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Dashboard" sheetId="1" state="visible" r:id="rId1"/>
    <sheet name="How to Use" sheetId="2" state="visible" r:id="rId2"/>
    <sheet name="People" sheetId="3" state="visible" r:id="rId3"/>
    <sheet name="Cloud Admin Accounts" sheetId="4" state="visible" r:id="rId4"/>
    <sheet name="Entra Admins" sheetId="5" state="visible" r:id="rId5"/>
    <sheet name="Azure RBAC Admins" sheetId="6" state="visible" r:id="rId6"/>
    <sheet name="On-Prem Admins" sheetId="7" state="visible" r:id="rId7"/>
    <sheet name="Role Tiers" sheetId="8" state="visible" r:id="rId8"/>
    <sheet name="Reference" sheetId="9" state="visible" r:id="rId9"/>
  </sheets>
  <definedNames>
    <definedName name="_xlnm._FilterDatabase" localSheetId="2" hidden="1">'People'!$A$1:$AE$1001</definedName>
    <definedName name="_xlnm._FilterDatabase" localSheetId="3" hidden="1">'Cloud Admin Accounts'!$A$1:$U$1001</definedName>
    <definedName name="_xlnm._FilterDatabase" localSheetId="4" hidden="1">'Entra Admins'!$A$1:$AO$1001</definedName>
    <definedName name="_xlnm._FilterDatabase" localSheetId="5" hidden="1">'Azure RBAC Admins'!$A$1:$AK$1001</definedName>
    <definedName name="_xlnm._FilterDatabase" localSheetId="6" hidden="1">'On-Prem Admins'!$A$1:$AM$1001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595959"/>
      <sz val="10"/>
    </font>
    <font>
      <name val="Arial"/>
      <charset val="1"/>
      <family val="0"/>
      <b val="1"/>
      <color rgb="FFFFFFFF"/>
      <sz val="11"/>
    </font>
    <font>
      <name val="Arial"/>
      <charset val="1"/>
      <family val="0"/>
      <b val="1"/>
      <sz val="10"/>
    </font>
    <font>
      <name val="Arial"/>
      <charset val="1"/>
      <family val="0"/>
      <i val="1"/>
      <color rgb="FF595959"/>
      <sz val="9"/>
    </font>
    <font>
      <name val="Arial"/>
      <charset val="1"/>
      <family val="0"/>
      <sz val="10"/>
    </font>
    <font>
      <name val="Arial"/>
      <charset val="1"/>
      <family val="0"/>
      <i val="1"/>
      <color rgb="FFC00000"/>
      <sz val="9"/>
    </font>
    <font>
      <name val="Arial"/>
      <charset val="1"/>
      <family val="0"/>
      <b val="1"/>
      <color rgb="FF1F3864"/>
      <sz val="12"/>
    </font>
    <font>
      <name val="Arial"/>
      <charset val="1"/>
      <family val="0"/>
      <b val="1"/>
      <color rgb="FFFFFFFF"/>
      <sz val="10"/>
    </font>
    <font>
      <name val="Arial"/>
      <charset val="1"/>
      <family val="0"/>
      <color rgb="FF000000"/>
      <sz val="10"/>
    </font>
    <font>
      <name val="Arial"/>
      <family val="2"/>
      <sz val="10"/>
    </font>
    <font>
      <name val="Arial"/>
      <charset val="1"/>
      <family val="0"/>
      <b val="1"/>
      <color rgb="FF9C0006"/>
      <sz val="10"/>
    </font>
    <font>
      <name val="Arial"/>
      <charset val="1"/>
      <family val="0"/>
      <color rgb="FF9C6500"/>
      <sz val="10"/>
    </font>
    <font>
      <name val="Arial"/>
      <charset val="1"/>
      <family val="0"/>
      <b val="1"/>
      <color rgb="FF1F3864"/>
      <sz val="10"/>
    </font>
    <font>
      <name val="Arial"/>
      <b val="1"/>
      <color rgb="FFFFFFFF"/>
      <sz val="10"/>
    </font>
    <font>
      <name val="Arial"/>
      <sz val="10"/>
    </font>
    <font>
      <name val="Arial"/>
      <b val="1"/>
      <color rgb="FFFFFFFF"/>
      <sz val="16"/>
    </font>
    <font>
      <name val="Arial"/>
      <b val="1"/>
      <color rgb="FFFFFFFF"/>
      <sz val="11"/>
    </font>
    <font>
      <name val="Arial"/>
      <b val="1"/>
      <sz val="10"/>
    </font>
    <font>
      <name val="Arial"/>
      <color rgb="FF595959"/>
      <sz val="9"/>
    </font>
  </fonts>
  <fills count="20">
    <fill>
      <patternFill/>
    </fill>
    <fill>
      <patternFill patternType="gray125"/>
    </fill>
    <fill>
      <patternFill patternType="solid">
        <fgColor rgb="FF1F3864"/>
        <bgColor rgb="FF1F4E79"/>
      </patternFill>
    </fill>
    <fill>
      <patternFill patternType="solid">
        <fgColor rgb="FF2E5496"/>
        <bgColor rgb="FF1F4E79"/>
      </patternFill>
    </fill>
    <fill>
      <patternFill patternType="solid">
        <fgColor rgb="FF5B2C6F"/>
        <bgColor rgb="FF1F3864"/>
      </patternFill>
    </fill>
    <fill>
      <patternFill patternType="solid">
        <fgColor rgb="FF385723"/>
        <bgColor rgb="FF595959"/>
      </patternFill>
    </fill>
    <fill>
      <patternFill patternType="solid">
        <fgColor rgb="FF595959"/>
        <bgColor rgb="FF385723"/>
      </patternFill>
    </fill>
    <fill>
      <patternFill patternType="solid">
        <fgColor rgb="FFFFF2CC"/>
        <bgColor rgb="FFFFEB9C"/>
      </patternFill>
    </fill>
    <fill>
      <patternFill patternType="solid">
        <fgColor rgb="FF1F4E79"/>
        <bgColor rgb="FF2E5496"/>
      </patternFill>
    </fill>
    <fill>
      <patternFill patternType="solid">
        <fgColor rgb="FF833C0B"/>
        <bgColor rgb="FF993366"/>
      </patternFill>
    </fill>
    <fill>
      <patternFill patternType="solid">
        <fgColor rgb="FFFFC7CE"/>
        <bgColor rgb="FFD9E2F3"/>
      </patternFill>
    </fill>
    <fill>
      <patternFill patternType="solid">
        <fgColor rgb="FFFFEB9C"/>
        <bgColor rgb="FFFFF2CC"/>
      </patternFill>
    </fill>
    <fill>
      <patternFill patternType="solid">
        <fgColor rgb="FFD9E2F3"/>
        <bgColor rgb="FFC6EFCE"/>
      </patternFill>
    </fill>
    <fill>
      <patternFill patternType="solid">
        <fgColor rgb="FF1F4E79"/>
      </patternFill>
    </fill>
    <fill>
      <patternFill patternType="solid">
        <fgColor rgb="FFFFF2CC"/>
      </patternFill>
    </fill>
    <fill>
      <patternFill patternType="solid">
        <fgColor rgb="FF264478"/>
      </patternFill>
    </fill>
    <fill>
      <patternFill patternType="solid">
        <fgColor rgb="FF0F6CBD"/>
      </patternFill>
    </fill>
    <fill>
      <patternFill patternType="solid">
        <fgColor rgb="FF5B2C6F"/>
      </patternFill>
    </fill>
    <fill>
      <patternFill patternType="solid">
        <fgColor rgb="FF1F3864"/>
      </patternFill>
    </fill>
    <fill>
      <patternFill patternType="solid">
        <fgColor rgb="FF2E549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0">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center" vertical="bottom"/>
    </xf>
    <xf numFmtId="0" fontId="7" fillId="0" borderId="1" applyAlignment="1" pivotButton="0" quotePrefix="0" xfId="0">
      <alignment horizontal="general" vertical="bottom"/>
    </xf>
    <xf numFmtId="3" fontId="7" fillId="0" borderId="1" applyAlignment="1" pivotButton="0" quotePrefix="0" xfId="0">
      <alignment horizontal="center" vertical="bottom"/>
    </xf>
    <xf numFmtId="0" fontId="8" fillId="0" borderId="1" applyAlignment="1" pivotButton="0" quotePrefix="0" xfId="0">
      <alignment horizontal="general" vertical="center" wrapText="1"/>
    </xf>
    <xf numFmtId="0" fontId="9" fillId="0" borderId="1" applyAlignment="1" pivotButton="0" quotePrefix="0" xfId="0">
      <alignment horizontal="general" vertical="bottom"/>
    </xf>
    <xf numFmtId="9" fontId="7" fillId="0" borderId="1" applyAlignment="1" pivotButton="0" quotePrefix="0" xfId="0">
      <alignment horizontal="center" vertical="bottom"/>
    </xf>
    <xf numFmtId="0" fontId="10" fillId="0" borderId="0" applyAlignment="1" pivotButton="0" quotePrefix="0" xfId="0">
      <alignment horizontal="general" vertical="bottom"/>
    </xf>
    <xf numFmtId="0" fontId="4" fillId="2" borderId="0" applyAlignment="1" pivotButton="0" quotePrefix="0" xfId="0">
      <alignment horizontal="general" vertical="top" wrapText="1"/>
    </xf>
    <xf numFmtId="0" fontId="9"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4"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general" vertical="top"/>
    </xf>
    <xf numFmtId="0" fontId="13" fillId="7" borderId="1" applyAlignment="1" pivotButton="0" quotePrefix="0" xfId="0">
      <alignment horizontal="general" vertical="top" wrapText="1"/>
    </xf>
    <xf numFmtId="164" fontId="13" fillId="7" borderId="1" applyAlignment="1" pivotButton="0" quotePrefix="0" xfId="0">
      <alignment horizontal="general" vertical="top"/>
    </xf>
    <xf numFmtId="0" fontId="5" fillId="7" borderId="1" applyAlignment="1" pivotButton="0" quotePrefix="0" xfId="0">
      <alignment horizontal="general" vertical="top"/>
    </xf>
    <xf numFmtId="0" fontId="13" fillId="0" borderId="1" applyAlignment="1" pivotButton="0" quotePrefix="0" xfId="0">
      <alignment horizontal="general" vertical="top"/>
    </xf>
    <xf numFmtId="0" fontId="13" fillId="0" borderId="1" applyAlignment="1" pivotButton="0" quotePrefix="0" xfId="0">
      <alignment horizontal="general" vertical="top" wrapText="1"/>
    </xf>
    <xf numFmtId="164" fontId="13" fillId="0" borderId="1" applyAlignment="1" pivotButton="0" quotePrefix="0" xfId="0">
      <alignment horizontal="general" vertical="top"/>
    </xf>
    <xf numFmtId="0" fontId="5" fillId="0" borderId="1" applyAlignment="1" pivotButton="0" quotePrefix="0" xfId="0">
      <alignment horizontal="general" vertical="top"/>
    </xf>
    <xf numFmtId="0" fontId="12" fillId="8" borderId="1" applyAlignment="1" pivotButton="0" quotePrefix="0" xfId="0">
      <alignment horizontal="center" vertical="center" wrapText="1"/>
    </xf>
    <xf numFmtId="0" fontId="5" fillId="7" borderId="1" applyAlignment="1" pivotButton="0" quotePrefix="0" xfId="0">
      <alignment horizontal="general" vertical="top"/>
    </xf>
    <xf numFmtId="0" fontId="5" fillId="7" borderId="1" applyAlignment="1" pivotButton="0" quotePrefix="0" xfId="0">
      <alignment horizontal="general" vertical="top" wrapText="1"/>
    </xf>
    <xf numFmtId="0" fontId="5" fillId="0" borderId="1" applyAlignment="1" pivotButton="0" quotePrefix="0" xfId="0">
      <alignment horizontal="general" vertical="top" wrapText="1"/>
    </xf>
    <xf numFmtId="0" fontId="12" fillId="9" borderId="1" applyAlignment="1" pivotButton="0" quotePrefix="0" xfId="0">
      <alignment horizontal="center" vertical="center" wrapText="1"/>
    </xf>
    <xf numFmtId="0" fontId="10" fillId="0" borderId="0" applyAlignment="1" pivotButton="0" quotePrefix="0" xfId="0">
      <alignment horizontal="general" vertical="bottom"/>
    </xf>
    <xf numFmtId="0" fontId="12" fillId="3" borderId="1" applyAlignment="1" pivotButton="0" quotePrefix="0" xfId="0">
      <alignment horizontal="center" vertical="bottom" wrapText="1"/>
    </xf>
    <xf numFmtId="0" fontId="15" fillId="10" borderId="1" applyAlignment="1" pivotButton="0" quotePrefix="0" xfId="0">
      <alignment horizontal="center" vertical="top"/>
    </xf>
    <xf numFmtId="0" fontId="9" fillId="0" borderId="1" applyAlignment="1" pivotButton="0" quotePrefix="0" xfId="0">
      <alignment horizontal="left" vertical="top"/>
    </xf>
    <xf numFmtId="0" fontId="9" fillId="0" borderId="1" applyAlignment="1" pivotButton="0" quotePrefix="0" xfId="0">
      <alignment horizontal="left" vertical="top" wrapText="1"/>
    </xf>
    <xf numFmtId="0" fontId="16" fillId="11" borderId="1" applyAlignment="1" pivotButton="0" quotePrefix="0" xfId="0">
      <alignment horizontal="center" vertical="top"/>
    </xf>
    <xf numFmtId="0" fontId="7" fillId="0" borderId="1" applyAlignment="1" pivotButton="0" quotePrefix="0" xfId="0">
      <alignment horizontal="center" vertical="top"/>
    </xf>
    <xf numFmtId="0" fontId="17" fillId="12" borderId="1" applyAlignment="1" pivotButton="0" quotePrefix="0" xfId="0">
      <alignment horizontal="center"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center" vertical="bottom"/>
    </xf>
    <xf numFmtId="0" fontId="7" fillId="0" borderId="1" applyAlignment="1" pivotButton="0" quotePrefix="0" xfId="0">
      <alignment horizontal="general" vertical="bottom"/>
    </xf>
    <xf numFmtId="3" fontId="7" fillId="0" borderId="1" applyAlignment="1" pivotButton="0" quotePrefix="0" xfId="0">
      <alignment horizontal="center" vertical="bottom"/>
    </xf>
    <xf numFmtId="0" fontId="8" fillId="0" borderId="1" applyAlignment="1" pivotButton="0" quotePrefix="0" xfId="0">
      <alignment horizontal="general" vertical="center" wrapText="1"/>
    </xf>
    <xf numFmtId="0" fontId="9" fillId="0" borderId="1" applyAlignment="1" pivotButton="0" quotePrefix="0" xfId="0">
      <alignment horizontal="general" vertical="bottom"/>
    </xf>
    <xf numFmtId="9" fontId="7" fillId="0" borderId="1" applyAlignment="1" pivotButton="0" quotePrefix="0" xfId="0">
      <alignment horizontal="center" vertical="bottom"/>
    </xf>
    <xf numFmtId="0" fontId="10" fillId="0" borderId="0" applyAlignment="1" pivotButton="0" quotePrefix="0" xfId="0">
      <alignment horizontal="general" vertical="bottom"/>
    </xf>
    <xf numFmtId="0" fontId="4" fillId="2" borderId="0" applyAlignment="1" pivotButton="0" quotePrefix="0" xfId="0">
      <alignment horizontal="general" vertical="top" wrapText="1"/>
    </xf>
    <xf numFmtId="0" fontId="9"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4"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general" vertical="top"/>
    </xf>
    <xf numFmtId="0" fontId="13" fillId="7" borderId="1" applyAlignment="1" pivotButton="0" quotePrefix="0" xfId="0">
      <alignment horizontal="general" vertical="top" wrapText="1"/>
    </xf>
    <xf numFmtId="164" fontId="13" fillId="7" borderId="1" applyAlignment="1" pivotButton="0" quotePrefix="0" xfId="0">
      <alignment horizontal="general" vertical="top"/>
    </xf>
    <xf numFmtId="0" fontId="5" fillId="7" borderId="1" applyAlignment="1" pivotButton="0" quotePrefix="0" xfId="0">
      <alignment horizontal="general" vertical="top"/>
    </xf>
    <xf numFmtId="0" fontId="13" fillId="0" borderId="1" applyAlignment="1" pivotButton="0" quotePrefix="0" xfId="0">
      <alignment horizontal="general" vertical="top"/>
    </xf>
    <xf numFmtId="0" fontId="13" fillId="0" borderId="1" applyAlignment="1" pivotButton="0" quotePrefix="0" xfId="0">
      <alignment horizontal="general" vertical="top" wrapText="1"/>
    </xf>
    <xf numFmtId="164" fontId="13" fillId="0" borderId="1" applyAlignment="1" pivotButton="0" quotePrefix="0" xfId="0">
      <alignment horizontal="general" vertical="top"/>
    </xf>
    <xf numFmtId="0" fontId="5" fillId="0" borderId="1" applyAlignment="1" pivotButton="0" quotePrefix="0" xfId="0">
      <alignment horizontal="general" vertical="top"/>
    </xf>
    <xf numFmtId="0" fontId="12" fillId="8" borderId="1" applyAlignment="1" pivotButton="0" quotePrefix="0" xfId="0">
      <alignment horizontal="center" vertical="center" wrapText="1"/>
    </xf>
    <xf numFmtId="0" fontId="5" fillId="7" borderId="1" applyAlignment="1" pivotButton="0" quotePrefix="0" xfId="0">
      <alignment horizontal="general" vertical="top" wrapText="1"/>
    </xf>
    <xf numFmtId="0" fontId="5" fillId="0" borderId="1" applyAlignment="1" pivotButton="0" quotePrefix="0" xfId="0">
      <alignment horizontal="general" vertical="top" wrapText="1"/>
    </xf>
    <xf numFmtId="0" fontId="12" fillId="9" borderId="1" applyAlignment="1" pivotButton="0" quotePrefix="0" xfId="0">
      <alignment horizontal="center" vertical="center" wrapText="1"/>
    </xf>
    <xf numFmtId="0" fontId="12" fillId="3" borderId="1" applyAlignment="1" pivotButton="0" quotePrefix="0" xfId="0">
      <alignment horizontal="center" vertical="bottom" wrapText="1"/>
    </xf>
    <xf numFmtId="0" fontId="15" fillId="10" borderId="1" applyAlignment="1" pivotButton="0" quotePrefix="0" xfId="0">
      <alignment horizontal="center" vertical="top"/>
    </xf>
    <xf numFmtId="0" fontId="9" fillId="0" borderId="1" applyAlignment="1" pivotButton="0" quotePrefix="0" xfId="0">
      <alignment horizontal="left" vertical="top"/>
    </xf>
    <xf numFmtId="0" fontId="9" fillId="0" borderId="1" applyAlignment="1" pivotButton="0" quotePrefix="0" xfId="0">
      <alignment horizontal="left" vertical="top" wrapText="1"/>
    </xf>
    <xf numFmtId="0" fontId="16" fillId="11" borderId="1" applyAlignment="1" pivotButton="0" quotePrefix="0" xfId="0">
      <alignment horizontal="center" vertical="top"/>
    </xf>
    <xf numFmtId="0" fontId="7" fillId="0" borderId="1" applyAlignment="1" pivotButton="0" quotePrefix="0" xfId="0">
      <alignment horizontal="center" vertical="top"/>
    </xf>
    <xf numFmtId="0" fontId="17" fillId="12" borderId="1" applyAlignment="1" pivotButton="0" quotePrefix="0" xfId="0">
      <alignment horizontal="center" vertical="bottom" wrapText="1"/>
    </xf>
    <xf numFmtId="0" fontId="20" fillId="18" borderId="0" pivotButton="0" quotePrefix="0" xfId="0"/>
    <xf numFmtId="0" fontId="21" fillId="19" borderId="0" pivotButton="0" quotePrefix="0" xfId="0"/>
    <xf numFmtId="0" fontId="21" fillId="19" borderId="0" applyAlignment="1" pivotButton="0" quotePrefix="0" xfId="0">
      <alignment horizontal="center"/>
    </xf>
    <xf numFmtId="0" fontId="22" fillId="0" borderId="2" pivotButton="0" quotePrefix="0" xfId="0"/>
    <xf numFmtId="3" fontId="22" fillId="0" borderId="2" applyAlignment="1" pivotButton="0" quotePrefix="0" xfId="0">
      <alignment horizontal="center"/>
    </xf>
    <xf numFmtId="0" fontId="23" fillId="0" borderId="2" applyAlignment="1" pivotButton="0" quotePrefix="0" xfId="0">
      <alignment vertical="center" wrapText="1"/>
    </xf>
    <xf numFmtId="9" fontId="22" fillId="0" borderId="2" applyAlignment="1" pivotButton="0" quotePrefix="0" xfId="0">
      <alignment horizontal="center"/>
    </xf>
    <xf numFmtId="0" fontId="18" fillId="17" borderId="2" applyAlignment="1" pivotButton="0" quotePrefix="0" xfId="0">
      <alignment horizontal="center" vertical="center" wrapText="1"/>
    </xf>
    <xf numFmtId="0" fontId="19" fillId="14" borderId="2" pivotButton="0" quotePrefix="0" xfId="0"/>
    <xf numFmtId="164" fontId="19" fillId="14" borderId="2" pivotButton="0" quotePrefix="0" xfId="0"/>
    <xf numFmtId="0" fontId="19" fillId="0" borderId="2" pivotButton="0" quotePrefix="0" xfId="0"/>
    <xf numFmtId="164" fontId="19" fillId="0" borderId="2" pivotButton="0" quotePrefix="0" xfId="0"/>
    <xf numFmtId="0" fontId="18" fillId="13" borderId="2" applyAlignment="1" pivotButton="0" quotePrefix="0" xfId="0">
      <alignment horizontal="center" vertical="center" wrapText="1"/>
    </xf>
    <xf numFmtId="0" fontId="18" fillId="15" borderId="2" applyAlignment="1" pivotButton="0" quotePrefix="0" xfId="0">
      <alignment horizontal="center" vertical="center" wrapText="1"/>
    </xf>
    <xf numFmtId="0" fontId="18" fillId="16"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9">
    <dxf>
      <fill>
        <patternFill patternType="solid">
          <fgColor rgb="FF5B2C6F"/>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385723"/>
          <bgColor rgb="FF000000"/>
        </patternFill>
      </fill>
    </dxf>
    <dxf>
      <fill>
        <patternFill patternType="solid">
          <fgColor rgb="FF595959"/>
          <bgColor rgb="FF000000"/>
        </patternFill>
      </fill>
    </dxf>
    <dxf>
      <font>
        <name val="Arial"/>
        <charset val="1"/>
        <family val="0"/>
        <b val="1"/>
        <color rgb="FF9C0006"/>
        <sz val="10"/>
      </font>
      <fill>
        <patternFill>
          <bgColor rgb="FFFFC7CE"/>
        </patternFill>
      </fill>
    </dxf>
    <dxf>
      <font>
        <name val="Arial"/>
        <charset val="1"/>
        <family val="0"/>
        <color rgb="FF9C6500"/>
        <sz val="10"/>
      </font>
      <fill>
        <patternFill>
          <bgColor rgb="FFFFEB9C"/>
        </patternFill>
      </fill>
    </dxf>
    <dxf>
      <font>
        <name val="Arial"/>
        <charset val="1"/>
        <family val="0"/>
        <color rgb="FF006100"/>
        <sz val="10"/>
      </font>
      <fill>
        <patternFill>
          <bgColor rgb="FFC6EFCE"/>
        </patternFill>
      </fill>
    </dxf>
    <dxf>
      <fill>
        <patternFill patternType="solid">
          <fgColor rgb="FF1F4E79"/>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833C0B"/>
          <bgColor rgb="FF000000"/>
        </patternFill>
      </fill>
    </dxf>
    <dxf>
      <font>
        <b val="1"/>
        <color rgb="FF9C0006"/>
      </font>
      <fill>
        <patternFill>
          <bgColor rgb="FFFFC7CE"/>
        </patternFill>
      </fill>
    </dxf>
    <dxf>
      <font>
        <color rgb="FF9C6500"/>
      </font>
      <fill>
        <patternFill>
          <bgColor rgb="FFFFEB9C"/>
        </patternFill>
      </fill>
    </dxf>
    <dxf>
      <font>
        <color rgb="FF00610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CCFFFF"/>
      <rgbColor rgb="FF5B2C6F"/>
      <rgbColor rgb="FFFF8080"/>
      <rgbColor rgb="FF1F4E79"/>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BF9000"/>
      <rgbColor rgb="FFFF6600"/>
      <rgbColor rgb="FF595959"/>
      <rgbColor rgb="FF969696"/>
      <rgbColor rgb="FF1F3864"/>
      <rgbColor rgb="FF339966"/>
      <rgbColor rgb="FF003300"/>
      <rgbColor rgb="FF333300"/>
      <rgbColor rgb="FF833C0B"/>
      <rgbColor rgb="FF993366"/>
      <rgbColor rgb="FF2E5496"/>
      <rgbColor rgb="FF3857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Unknown Author</author>
  </authors>
  <commentList>
    <comment ref="E1" authorId="0" shapeId="0">
      <text>
        <t>Whether this person holds a cloud admin account at all, regardless of current privilege. See the Cloud Admin Accounts tab.</t>
      </text>
    </comment>
    <comment ref="H1" authorId="0" shapeId="0">
      <text>
        <t>0 = control plane. Blank means no Entra role currently held. See the Entra Admins tab.</t>
      </text>
    </comment>
    <comment ref="J1" authorId="0" shapeId="0">
      <text>
        <t>0 = control plane. Blank means no Azure RBAC role currently held. See the Azure RBAC Admins tab.</t>
      </text>
    </comment>
    <comment ref="O1" authorId="0" shapeId="0">
      <text>
        <t>Yes means this person holds enabled privileged access in two or more of: Entra, Azure RBAC, on-prem AD. Cloud and on-prem admin accounts never mix, but the person does - compromising this individual once reaches multiple control planes.</t>
      </text>
    </comment>
    <comment ref="P1" authorId="0" shapeId="0">
      <text>
        <t>Minimum tier across all three planes. See the Role Tiers tab.</t>
      </text>
    </comment>
    <comment ref="Q1" authorId="0" shapeId="0">
      <text>
        <t>An enabled admin account whose standard account is disabled or missing. Almost always a leaver. Start here.</t>
      </text>
    </comment>
    <comment ref="AB1" authorId="0" shapeId="0">
      <text>
        <t>Has the account holder self-reviewed and confirmed this access is still required, across all their admin accounts, in the current Access Review cycle? Tier 0 approvals also route through a second reviewer before being trusted (see Review Decision on the Entra/Azure RBAC/On-Prem Admins tabs). This is what an access review actually is now.</t>
      </text>
    </comment>
    <comment ref="AD1" authorId="0" shapeId="0">
      <text>
        <t>Computed from Self-Reviewed and Last Reviewed. At Risk means there is no current self-review on file - not confirmed, no date recorded, or the last one is more than 90 days old - so access is removed automatically if this stays unaddressed.</t>
      </text>
    </comment>
    <comment ref="W1" authorId="0" shapeId="0">
      <text>
        <t>UPN of the AD Manager attribute, resolved by Update-AdminPeopleAD.ps1 (cached per manager). Blank means no manager set, or the manager DN did not resolve.</t>
      </text>
    </comment>
    <comment ref="X1" authorId="0" shapeId="0">
      <text>
        <t>Live per-person AD lookup (Update-AdminPeopleAD.ps1), not the bulk export used elsewhere on this tab. 'Not Found' means no AD account matched this base username - a genuine gap, or a naming/domain mismatch this lookup did not account for.</t>
      </text>
    </comment>
    <comment ref="Y1" authorId="0" shapeId="0">
      <text>
        <t>Only checked when AD Account Active is No - see Update-AdminPeopleEntra.ps1. A 'Not Checked (...)' value means Entra was not queried for this row at all, not that it was checked and found active.</t>
      </text>
    </comment>
    <comment ref="Z1" authorId="0" shapeId="0">
      <text>
        <t>YES means AD is disabled but Entra is still active. Entra Connect sync is supposed to prevent this - treat it as a live access-control gap, not a review backlog item.</t>
      </text>
    </comment>
  </commentList>
</comments>
</file>

<file path=xl/comments/comment2.xml><?xml version="1.0" encoding="utf-8"?>
<comments xmlns="http://schemas.openxmlformats.org/spreadsheetml/2006/main">
  <authors>
    <author>Unknown Author</author>
  </authors>
  <commentList>
    <comment ref="D1" authorId="0" shapeId="0">
      <text>
        <t>Join key to the People tab. Derived by stripping the .azr suffix.</t>
      </text>
    </comment>
    <comment ref="I1" authorId="0" shapeId="0">
      <text>
        <t>FIDO2, Windows Hello for Business or certificate-based. Anything else is phishable, and a phished Tier 0 admin is a tenant compromise.</t>
      </text>
    </comment>
    <comment ref="K1" authorId="0" shapeId="0">
      <text>
        <t>See the Entra Admins tab for full role detail and remediation tracking.</t>
      </text>
    </comment>
    <comment ref="L1" authorId="0" shapeId="0">
      <text>
        <t>See the Azure RBAC Admins tab for full role detail and remediation tracking.</t>
      </text>
    </comment>
    <comment ref="M1" authorId="0" shapeId="0">
      <text>
        <t>0 = control plane. Minimum tier across Entra and Azure RBAC. See the Role Tiers tab.</t>
      </text>
    </comment>
    <comment ref="O1" authorId="0" shapeId="0">
      <text>
        <t>'No' or 'NOT FOUND' against an enabled admin account usually means a leaver whose admin account was missed at offboarding.</t>
      </text>
    </comment>
    <comment ref="T1" authorId="0" shapeId="0">
      <text>
        <t>An enabled admin account whose standard account is disabled or missing. Almost always a leaver.</t>
      </text>
    </comment>
    <comment ref="U1" authorId="0" shapeId="0">
      <text>
        <t>Computed. T0-NoPhishResistant flags a Tier 0 account without a phishing-resistant method; NoMFA flags no registered MFA at all; NeverSignedIn flags an enabled account that has never signed in.</t>
      </text>
    </comment>
  </commentList>
</comments>
</file>

<file path=xl/comments/comment3.xml><?xml version="1.0" encoding="utf-8"?>
<comments xmlns="http://schemas.openxmlformats.org/spreadsheetml/2006/main">
  <authors>
    <author>Unknown Author</author>
  </authors>
  <commentList>
    <comment ref="D1" authorId="0" shapeId="0">
      <text>
        <t>Join key to the People tab. Derived by stripping the .azr suffix.</t>
      </text>
    </comment>
    <comment ref="I1" authorId="0" shapeId="0">
      <text>
        <t>FIDO2, Windows Hello for Business or certificate-based. Anything else is phishable, and a phished Tier 0 admin is a tenant compromise.</t>
      </text>
    </comment>
    <comment ref="K1" authorId="0" shapeId="0">
      <text>
        <t>Permanently assigned. Standing privilege - live every hour of every day, whether in use or not.</t>
      </text>
    </comment>
    <comment ref="L1" authorId="0" shapeId="0">
      <text>
        <t>PIM-eligible. Requires activation, so privilege exists only during a defined window.</t>
      </text>
    </comment>
    <comment ref="P1" authorId="0" shapeId="0">
      <text>
        <t>0 = control plane. See the Role Tiers tab.</t>
      </text>
    </comment>
    <comment ref="Q1" authorId="0" shapeId="0">
      <text>
        <t>Direct only, Group only, or both. 'Group only' accounts hold no direct assignment at all - they are invisible to any review that matches on the user object alone.</t>
      </text>
    </comment>
    <comment ref="R1" authorId="0" shapeId="0">
      <text>
        <t>Every role-assignable group granting this account an Entra role. Expanded transitively, so nested membership is included.</t>
      </text>
    </comment>
    <comment ref="S1" authorId="0" shapeId="0">
      <text>
        <t>Object IDs of the granting groups. Use these to trace the assignment, or to feed a group-membership review.</t>
      </text>
    </comment>
    <comment ref="V1" authorId="0" shapeId="0">
      <text>
        <t>Non-tenant-wide directory scopes. A role limited to one Administrative Unit is narrower than it looks - do not read it as full-tenant privilege.</t>
      </text>
    </comment>
    <comment ref="W1" authorId="0" shapeId="0">
      <text>
        <t>Yes means this account also appears on the Azure RBAC Admins tab. Coordinate remediation - removing an Entra role does not touch Azure RBAC privilege on the same account.</t>
      </text>
    </comment>
    <comment ref="Y1" authorId="0" shapeId="0">
      <text>
        <t>'No' or 'NOT FOUND' against an enabled admin account usually means a leaver whose admin account was missed at offboarding.</t>
      </text>
    </comment>
    <comment ref="AD1" authorId="0" shapeId="0">
      <text>
        <t>Why does this person need this level of access? 'They are in the infrastructure team' is a description, not a justification.</t>
      </text>
    </comment>
    <comment ref="AE1" authorId="0" shapeId="0">
      <text>
        <t>Who or what rendered the decision: the account holder (Self), the system after no response (Auto), a Tier 0 escalation reviewer, or a manual security-team override.</t>
      </text>
    </comment>
    <comment ref="AG1" authorId="0" shapeId="0">
      <text>
        <t>Populated from the recurring Access Review's next scheduled instance for this account, not set by hand. Blank means it isn't enrolled in a review cycle yet - a finding on a Tier 0/1 account.</t>
      </text>
    </comment>
    <comment ref="AK1" authorId="0" shapeId="0">
      <text>
        <t>Yes means at least one permanently assigned Entra role. Converting these to PIM-eligible is the single highest-value change available.</t>
      </text>
    </comment>
    <comment ref="AM1" authorId="0" shapeId="0">
      <text>
        <t>Computed. T0- prefixed flags apply only to Tier 0 accounts; AlsoAzureRBAC means this account also holds an Azure RBAC role - see that tab.</t>
      </text>
    </comment>
    <comment ref="AN1" authorId="0" shapeId="0">
      <text>
        <t>Computed from Next Review Due. Not Enrolled means no review is scheduled for this account yet; Review Overdue means the scheduled review date has passed without a recorded outcome here.</t>
      </text>
    </comment>
  </commentList>
</comments>
</file>

<file path=xl/comments/comment4.xml><?xml version="1.0" encoding="utf-8"?>
<comments xmlns="http://schemas.openxmlformats.org/spreadsheetml/2006/main">
  <authors>
    <author>Unknown Author</author>
  </authors>
  <commentList>
    <comment ref="D1" authorId="0" shapeId="0">
      <text>
        <t>Join key to the People tab. Derived by stripping the .azr suffix.</t>
      </text>
    </comment>
    <comment ref="I1" authorId="0" shapeId="0">
      <text>
        <t>FIDO2, Windows Hello for Business or certificate-based. Anything else is phishable, and a phished Tier 0 admin is a tenant compromise.</t>
      </text>
    </comment>
    <comment ref="M1" authorId="0" shapeId="0">
      <text>
        <t>0 = control plane. See the Role Tiers tab.</t>
      </text>
    </comment>
    <comment ref="N1" authorId="0" shapeId="0">
      <text>
        <t>Yes means at least one Azure assignment sits at subscription or management group scope, so it covers resources that do not exist yet.</t>
      </text>
    </comment>
    <comment ref="O1" authorId="0" shapeId="0">
      <text>
        <t>Direct only, Group only, or both. 'Group only' accounts hold no direct assignment at all - they are invisible to any review that matches on the user object alone.</t>
      </text>
    </comment>
    <comment ref="P1" authorId="0" shapeId="0">
      <text>
        <t>Every group granting this account an Azure RBAC role. Expanded transitively, so nested membership is included.</t>
      </text>
    </comment>
    <comment ref="T1" authorId="0" shapeId="0">
      <text>
        <t>Yes means this account also appears on the Entra Admins tab. Coordinate remediation - removing an Azure RBAC role does not touch Entra directory privilege on the same account.</t>
      </text>
    </comment>
    <comment ref="V1" authorId="0" shapeId="0">
      <text>
        <t>'No' or 'NOT FOUND' against an enabled admin account usually means a leaver whose admin account was missed at offboarding.</t>
      </text>
    </comment>
    <comment ref="AA1" authorId="0" shapeId="0">
      <text>
        <t>Why does this person need this level of access? 'They are in the infrastructure team' is a description, not a justification.</t>
      </text>
    </comment>
    <comment ref="AB1" authorId="0" shapeId="0">
      <text>
        <t>Who or what rendered the decision: the account holder (Self), the system after no response (Auto), a Tier 0 escalation reviewer, or a manual security-team override.</t>
      </text>
    </comment>
    <comment ref="AD1" authorId="0" shapeId="0">
      <text>
        <t>Populated from the recurring Access Review's next scheduled instance for this account, not set by hand. Blank means it isn't enrolled in a review cycle yet - a finding on a Tier 0/1 account.</t>
      </text>
    </comment>
    <comment ref="AI1" authorId="0" shapeId="0">
      <text>
        <t>Computed. T0- prefixed flags apply only to Tier 0 accounts; AlsoEntraRole means this account also holds an Entra role - see that tab.</t>
      </text>
    </comment>
    <comment ref="AJ1" authorId="0" shapeId="0">
      <text>
        <t>Computed from Next Review Due. Not Enrolled means no review is scheduled for this account yet; Review Overdue means the scheduled review date has passed without a recorded outcome here.</t>
      </text>
    </comment>
  </commentList>
</comments>
</file>

<file path=xl/comments/comment5.xml><?xml version="1.0" encoding="utf-8"?>
<comments xmlns="http://schemas.openxmlformats.org/spreadsheetml/2006/main">
  <authors>
    <author>Unknown Author</author>
  </authors>
  <commentList>
    <comment ref="E1" authorId="0" shapeId="0">
      <text>
        <t>Join key to the People tab. Derived by stripping the -a suffix.</t>
      </text>
    </comment>
    <comment ref="H1" authorId="0" shapeId="0">
      <text>
        <t>From lastLogonTimestamp, which replicates lazily and can sit up to 14 days behind. Approximate by design.</t>
      </text>
    </comment>
    <comment ref="L1" authorId="0" shapeId="0">
      <text>
        <t>The on-prem equivalent of phishing-resistant authentication. A Tier 0 account on a password alone is the same weakness as a cloud admin without FIDO2.</t>
      </text>
    </comment>
    <comment ref="M1" authorId="0" shapeId="0">
      <text>
        <t>Resolved recursively, so nested membership is included.</t>
      </text>
    </comment>
    <comment ref="AE1" authorId="0" shapeId="0">
      <text>
        <t>Why does this person need this level of access? 'They are in the infrastructure team' is a description, not a justification.</t>
      </text>
    </comment>
    <comment ref="AF1" authorId="0" shapeId="0">
      <text>
        <t>Who or what rendered the decision: the account holder (Self), the system after no response (Auto), a Tier 0 escalation reviewer, or a manual security-team override.</t>
      </text>
    </comment>
    <comment ref="AH1" authorId="0" shapeId="0">
      <text>
        <t>Populated from the recurring Access Review's next scheduled instance for this account, not set by hand. Blank means it isn't enrolled in a review cycle yet - a finding on a Tier 0/1 account.</t>
      </text>
    </comment>
    <comment ref="AL1" authorId="0" shapeId="0">
      <text>
        <t>Computed from Next Review Due. Not Enrolled means no review is scheduled for this account yet; Review Overdue means the scheduled review date has passed without a recorded outcome here.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B2:D63"/>
  <sheetViews>
    <sheetView showGridLines="1" workbookViewId="0">
      <selection activeCell="A1" sqref="A1"/>
    </sheetView>
  </sheetViews>
  <sheetFormatPr baseColWidth="8" defaultRowHeight="15"/>
  <cols>
    <col width="4" customWidth="1" style="39" min="1" max="1"/>
    <col width="52" customWidth="1" style="39" min="2" max="2"/>
    <col width="14" customWidth="1" style="39" min="3" max="3"/>
    <col width="62" customWidth="1" style="39" min="4" max="4"/>
  </cols>
  <sheetData>
    <row r="2" ht="27.75" customHeight="1" s="39">
      <c r="B2" s="75" t="inlineStr">
        <is>
          <t>Privileged Access Review - Dashboard</t>
        </is>
      </c>
    </row>
    <row r="3" ht="15" customHeight="1" s="39">
      <c r="B3" t="inlineStr">
        <is>
          <t>People, not accounts. Press F9 if calculation is set to manual.</t>
        </is>
      </c>
    </row>
    <row r="5" ht="15" customHeight="1" s="39">
      <c r="B5" s="76" t="inlineStr">
        <is>
          <t>PEOPLE</t>
        </is>
      </c>
      <c r="C5" s="77" t="inlineStr">
        <is>
          <t>Value</t>
        </is>
      </c>
      <c r="D5" s="76" t="inlineStr">
        <is>
          <t>Why it matters</t>
        </is>
      </c>
    </row>
    <row r="6" ht="30" customHeight="1" s="39">
      <c r="B6" s="78" t="inlineStr">
        <is>
          <t>People holding privileged access</t>
        </is>
      </c>
      <c r="C6" s="79">
        <f>COUNTA(People!$A$2:$A$1001)</f>
        <v/>
      </c>
      <c r="D6" s="80" t="inlineStr">
        <is>
          <t>One row per human, not per account.</t>
        </is>
      </c>
    </row>
    <row r="7" ht="30" customHeight="1" s="39">
      <c r="B7" s="78" t="inlineStr">
        <is>
          <t>Tier 0 in at least one plane</t>
        </is>
      </c>
      <c r="C7" s="79">
        <f>COUNTIF(People!$P$2:$P$1001,0)</f>
        <v/>
      </c>
      <c r="D7" s="80" t="inlineStr">
        <is>
          <t>Control plane. These people can grant themselves anything else.</t>
        </is>
      </c>
    </row>
    <row r="8" ht="30" customHeight="1" s="39">
      <c r="B8" s="78" t="inlineStr">
        <is>
          <t>PRIVILEGED IN MULTIPLE PLANES</t>
        </is>
      </c>
      <c r="C8" s="79">
        <f>COUNTIF(People!$O$2:$O$1001,"YES")</f>
        <v/>
      </c>
      <c r="D8" s="80" t="inlineStr">
        <is>
          <t>The reason this workbook is person-based. Accounts never mix; the human does. Compromise reaches every plane they hold at once.</t>
        </is>
      </c>
    </row>
    <row r="9" ht="30" customHeight="1" s="39">
      <c r="B9" s="78" t="inlineStr">
        <is>
          <t>Tier 0 in multiple planes</t>
        </is>
      </c>
      <c r="C9" s="79">
        <f>COUNTIFS(People!$O$2:$O$1001,"YES",People!$P$2:$P$1001,0)</f>
        <v/>
      </c>
      <c r="D9" s="80" t="inlineStr">
        <is>
          <t>The shortest and most consequential list here.</t>
        </is>
      </c>
    </row>
    <row r="10" ht="30" customHeight="1" s="39">
      <c r="B10" s="78" t="inlineStr">
        <is>
          <t>ORPHANED admin accounts</t>
        </is>
      </c>
      <c r="C10" s="79">
        <f>COUNTIF(People!$Q$2:$Q$1001,"YES")</f>
        <v/>
      </c>
      <c r="D10" s="80" t="inlineStr">
        <is>
          <t>Enabled admin account, standard account disabled or missing. Almost always a leaver whose admin objects were missed at offboarding. Start here.</t>
        </is>
      </c>
    </row>
    <row r="11" ht="30" customHeight="1" s="39">
      <c r="B11" s="78" t="inlineStr">
        <is>
          <t>AD/Entra active mismatch</t>
        </is>
      </c>
      <c r="C11" s="79">
        <f>COUNTIF(People!$Z$2:$Z$1001,"YES")</f>
        <v/>
      </c>
      <c r="D11" s="80" t="inlineStr">
        <is>
          <t>AD is disabled but Entra is still active. Entra Connect sync is supposed to prevent this - treat it as a live access-control gap, not a review backlog item.</t>
        </is>
      </c>
    </row>
    <row r="12" ht="30" customHeight="1" s="39">
      <c r="B12" s="78" t="inlineStr">
        <is>
          <t>Holding more than two admin accounts</t>
        </is>
      </c>
      <c r="C12" s="79">
        <f>COUNTIF(People!$R$2:$R$1001,"&gt;2")</f>
        <v/>
      </c>
      <c r="D12" s="80" t="inlineStr">
        <is>
          <t>Account sprawl per individual.</t>
        </is>
      </c>
    </row>
    <row r="13" ht="30" customHeight="1" s="39">
      <c r="B13" s="78" t="inlineStr">
        <is>
          <t>Not self-reviewed this cycle</t>
        </is>
      </c>
      <c r="C13" s="79">
        <f>COUNTIFS(People!$A$2:$A$1001,"&lt;&gt;",People!$AB$2:$AB$1001,"&lt;&gt;Yes")</f>
        <v/>
      </c>
      <c r="D13" s="80" t="inlineStr">
        <is>
          <t>An access review here means the account holder confirms the access is still needed, with the decision recorded automatically. Until then this is an inventory, not a review.</t>
        </is>
      </c>
    </row>
    <row r="15" ht="15" customHeight="1" s="39">
      <c r="B15" s="76" t="inlineStr">
        <is>
          <t>CLOUD ADMIN ACCOUNTS</t>
        </is>
      </c>
      <c r="C15" s="77" t="inlineStr">
        <is>
          <t>Value</t>
        </is>
      </c>
      <c r="D15" s="76" t="inlineStr">
        <is>
          <t>Why it matters</t>
        </is>
      </c>
    </row>
    <row r="16" ht="30" customHeight="1" s="39">
      <c r="B16" s="78" t="inlineStr">
        <is>
          <t>Cloud admin accounts</t>
        </is>
      </c>
      <c r="C16" s="79">
        <f>COUNTA('Cloud Admin Accounts'!$A$2:$A$1001)</f>
        <v/>
      </c>
      <c r="D16" s="80" t="n"/>
    </row>
    <row r="17" ht="30" customHeight="1" s="39">
      <c r="B17" s="78" t="inlineStr">
        <is>
          <t>ORPHANED - admin enabled, standard account disabled/missing</t>
        </is>
      </c>
      <c r="C17" s="79">
        <f>COUNTIF('Cloud Admin Accounts'!$T$2:$T$1001,"YES")</f>
        <v/>
      </c>
      <c r="D17" s="80" t="inlineStr">
        <is>
          <t>Likely leavers. Admin accounts are separate objects and are routinely missed at offboarding.</t>
        </is>
      </c>
    </row>
    <row r="18" ht="30" customHeight="1" s="39">
      <c r="B18" s="78" t="inlineStr">
        <is>
          <t>Holding NO privilege in either plane</t>
        </is>
      </c>
      <c r="C18" s="79">
        <f>COUNTIFS('Cloud Admin Accounts'!$K$2:$K$1001,"None",'Cloud Admin Accounts'!$L$2:$L$1001,"None")</f>
        <v/>
      </c>
      <c r="D18" s="80" t="inlineStr">
        <is>
          <t>Privilege was removed and the account wasn't, or it never held any. Not on the Entra or Azure RBAC worklists below - this is the only place it's visible.</t>
        </is>
      </c>
    </row>
    <row r="19" ht="30" customHeight="1" s="39">
      <c r="B19" s="78" t="inlineStr">
        <is>
          <t>Enabled without phishing-resistant MFA (Tier &lt;=1)</t>
        </is>
      </c>
      <c r="C19" s="79">
        <f>COUNTIFS('Cloud Admin Accounts'!$E$2:$E$1001,"Yes",'Cloud Admin Accounts'!$I$2:$I$1001,"No",'Cloud Admin Accounts'!$M$2:$M$1001,"&lt;=1")</f>
        <v/>
      </c>
      <c r="D19" s="80" t="inlineStr">
        <is>
          <t>Push and SMS are phishable. A phished Tier 0/1 admin is a tenant compromise.</t>
        </is>
      </c>
    </row>
    <row r="20" ht="30" customHeight="1" s="39">
      <c r="B20" s="78" t="inlineStr">
        <is>
          <t>Enabled with NO MFA registered</t>
        </is>
      </c>
      <c r="C20" s="79">
        <f>COUNTIFS('Cloud Admin Accounts'!$E$2:$E$1001,"Yes",'Cloud Admin Accounts'!$H$2:$H$1001,"No")</f>
        <v/>
      </c>
      <c r="D20" s="80" t="inlineStr">
        <is>
          <t>Should be zero.</t>
        </is>
      </c>
    </row>
    <row r="21" ht="30" customHeight="1" s="39">
      <c r="B21" s="78" t="inlineStr">
        <is>
          <t>Dormant 90+ days</t>
        </is>
      </c>
      <c r="C21" s="79">
        <f>COUNTIF('Cloud Admin Accounts'!$S$2:$S$1001,"&gt;90")</f>
        <v/>
      </c>
      <c r="D21" s="80" t="inlineStr">
        <is>
          <t>Privilege or not, the account is provisioned and unused.</t>
        </is>
      </c>
    </row>
    <row r="23" ht="15" customHeight="1" s="39">
      <c r="B23" s="76" t="inlineStr">
        <is>
          <t>ENTRA ADMINS</t>
        </is>
      </c>
      <c r="C23" s="77" t="inlineStr">
        <is>
          <t>Value</t>
        </is>
      </c>
      <c r="D23" s="76" t="inlineStr">
        <is>
          <t>Why it matters</t>
        </is>
      </c>
    </row>
    <row r="24" ht="30" customHeight="1" s="39">
      <c r="B24" s="78" t="inlineStr">
        <is>
          <t>Accounts holding an Entra role</t>
        </is>
      </c>
      <c r="C24" s="79">
        <f>COUNTA('Entra Admins'!$A$2:$A$1001)</f>
        <v/>
      </c>
      <c r="D24" s="80" t="n"/>
    </row>
    <row r="25" ht="30" customHeight="1" s="39">
      <c r="B25" s="78" t="inlineStr">
        <is>
          <t>Tier 0</t>
        </is>
      </c>
      <c r="C25" s="79">
        <f>COUNTIF('Entra Admins'!$P$2:$P$1001,0)</f>
        <v/>
      </c>
      <c r="D25" s="80" t="inlineStr">
        <is>
          <t>Global Admin, Privileged Role Admin, Application Admin, Hybrid Identity Admin and equivalents.</t>
        </is>
      </c>
    </row>
    <row r="26" ht="30" customHeight="1" s="39">
      <c r="B26" s="78" t="inlineStr">
        <is>
          <t>Holding STANDING (permanent) roles</t>
        </is>
      </c>
      <c r="C26" s="79">
        <f>COUNTIF('Entra Admins'!$AK$2:$AK$1001,"Yes")</f>
        <v/>
      </c>
      <c r="D26" s="80" t="inlineStr">
        <is>
          <t>Live every hour of every day whether in use or not. Converting these to PIM-eligible is the highest-value change available here.</t>
        </is>
      </c>
    </row>
    <row r="27" ht="30" customHeight="1" s="39">
      <c r="B27" s="78" t="inlineStr">
        <is>
          <t>Tier 0 with standing roles</t>
        </is>
      </c>
      <c r="C27" s="79">
        <f>COUNTIFS('Entra Admins'!$P$2:$P$1001,0,'Entra Admins'!$AK$2:$AK$1001,"Yes")</f>
        <v/>
      </c>
      <c r="D27" s="80" t="inlineStr">
        <is>
          <t>Permanent control-plane privilege.</t>
        </is>
      </c>
    </row>
    <row r="28" ht="30" customHeight="1" s="39">
      <c r="B28" s="78" t="inlineStr">
        <is>
          <t>Privilege held via GROUP membership</t>
        </is>
      </c>
      <c r="C28" s="79">
        <f>COUNTIF('Entra Admins'!$U$2:$U$1001,"&gt;0")</f>
        <v/>
      </c>
      <c r="D28" s="80" t="inlineStr">
        <is>
          <t>Role-assignable group membership. Any review matching only on the user object would miss these entirely.</t>
        </is>
      </c>
    </row>
    <row r="29" ht="30" customHeight="1" s="39">
      <c r="B29" s="78" t="inlineStr">
        <is>
          <t xml:space="preserve">  ... holding NO direct assignment</t>
        </is>
      </c>
      <c r="C29" s="79">
        <f>COUNTIF('Entra Admins'!$Q$2:$Q$1001,"Group only")</f>
        <v/>
      </c>
      <c r="D29" s="80" t="inlineStr">
        <is>
          <t>These accounts look unprivileged on their own object. Remediation is group removal, not role removal.</t>
        </is>
      </c>
    </row>
    <row r="30" ht="30" customHeight="1" s="39">
      <c r="B30" s="78" t="inlineStr">
        <is>
          <t>Roles scoped to an Administrative Unit</t>
        </is>
      </c>
      <c r="C30" s="79">
        <f>COUNTIFS('Entra Admins'!$V$2:$V$1001,"&lt;&gt;Tenant-wide",'Entra Admins'!$V$2:$V$1001,"&lt;&gt;")</f>
        <v/>
      </c>
      <c r="D30" s="80" t="inlineStr">
        <is>
          <t>Narrower than tenant-wide. Do not treat these as full-tenant privilege.</t>
        </is>
      </c>
    </row>
    <row r="31" ht="30" customHeight="1" s="39">
      <c r="B31" s="78" t="inlineStr">
        <is>
          <t>Also holds an Azure RBAC role</t>
        </is>
      </c>
      <c r="C31" s="79">
        <f>COUNTIF('Entra Admins'!$W$2:$W$1001,"Yes")</f>
        <v/>
      </c>
      <c r="D31" s="80" t="inlineStr">
        <is>
          <t>Coordinate with whoever owns the Azure RBAC Admins tab before closing out remediation here.</t>
        </is>
      </c>
    </row>
    <row r="33" ht="15" customHeight="1" s="39">
      <c r="B33" s="76" t="inlineStr">
        <is>
          <t>AZURE RBAC ADMINS</t>
        </is>
      </c>
      <c r="C33" s="77" t="inlineStr">
        <is>
          <t>Value</t>
        </is>
      </c>
      <c r="D33" s="76" t="inlineStr">
        <is>
          <t>Why it matters</t>
        </is>
      </c>
    </row>
    <row r="34" ht="30" customHeight="1" s="39">
      <c r="B34" s="78" t="inlineStr">
        <is>
          <t>Accounts holding an Azure RBAC role</t>
        </is>
      </c>
      <c r="C34" s="79">
        <f>COUNTA('Azure RBAC Admins'!$A$2:$A$1001)</f>
        <v/>
      </c>
      <c r="D34" s="80" t="n"/>
    </row>
    <row r="35" ht="30" customHeight="1" s="39">
      <c r="B35" s="78" t="inlineStr">
        <is>
          <t>Tier 0</t>
        </is>
      </c>
      <c r="C35" s="79">
        <f>COUNTIF('Azure RBAC Admins'!$M$2:$M$1001,0)</f>
        <v/>
      </c>
      <c r="D35" s="80" t="inlineStr">
        <is>
          <t>Owner, User Access Administrator, RBAC Administrator.</t>
        </is>
      </c>
    </row>
    <row r="36" ht="30" customHeight="1" s="39">
      <c r="B36" s="78" t="inlineStr">
        <is>
          <t>Privilege held via GROUP membership</t>
        </is>
      </c>
      <c r="C36" s="79">
        <f>COUNTIF('Azure RBAC Admins'!$S$2:$S$1001,"&gt;0")</f>
        <v/>
      </c>
      <c r="D36" s="80" t="inlineStr">
        <is>
          <t>Role-assignable group membership. Any review matching only on the user object would miss these entirely.</t>
        </is>
      </c>
    </row>
    <row r="37" ht="30" customHeight="1" s="39">
      <c r="B37" s="78" t="inlineStr">
        <is>
          <t xml:space="preserve">  ... holding NO direct assignment</t>
        </is>
      </c>
      <c r="C37" s="79">
        <f>COUNTIF('Azure RBAC Admins'!$O$2:$O$1001,"Group only")</f>
        <v/>
      </c>
      <c r="D37" s="80" t="inlineStr">
        <is>
          <t>These accounts look unprivileged on their own object. Remediation is group removal, not role removal.</t>
        </is>
      </c>
    </row>
    <row r="38" ht="30" customHeight="1" s="39">
      <c r="B38" s="78" t="inlineStr">
        <is>
          <t>Sub or MG scoped</t>
        </is>
      </c>
      <c r="C38" s="79">
        <f>COUNTIF('Azure RBAC Admins'!$N$2:$N$1001,"Yes")</f>
        <v/>
      </c>
      <c r="D38" s="80" t="inlineStr">
        <is>
          <t>Assignment covers every resource in the scope, including ones created next year.</t>
        </is>
      </c>
    </row>
    <row r="39" ht="30" customHeight="1" s="39">
      <c r="B39" s="78" t="inlineStr">
        <is>
          <t>Also holds an Entra role</t>
        </is>
      </c>
      <c r="C39" s="79">
        <f>COUNTIF('Azure RBAC Admins'!$T$2:$T$1001,"Yes")</f>
        <v/>
      </c>
      <c r="D39" s="80" t="inlineStr">
        <is>
          <t>Coordinate with whoever owns the Entra Admins tab before closing out remediation here.</t>
        </is>
      </c>
    </row>
    <row r="41" ht="15" customHeight="1" s="39">
      <c r="B41" s="76" t="inlineStr">
        <is>
          <t>ON-PREM ADMINS (Active Directory)</t>
        </is>
      </c>
      <c r="C41" s="77" t="inlineStr">
        <is>
          <t>Value</t>
        </is>
      </c>
      <c r="D41" s="76" t="inlineStr">
        <is>
          <t>Why it matters</t>
        </is>
      </c>
    </row>
    <row r="42" ht="30" customHeight="1" s="39">
      <c r="B42" s="78" t="inlineStr">
        <is>
          <t>On-prem admin accounts</t>
        </is>
      </c>
      <c r="C42" s="79">
        <f>COUNTA('On-Prem Admins'!$A$2:$A$1001)</f>
        <v/>
      </c>
      <c r="D42" s="80" t="n"/>
    </row>
    <row r="43" ht="30" customHeight="1" s="39">
      <c r="B43" s="78" t="inlineStr">
        <is>
          <t>Tier 0 (domain compromise capable)</t>
        </is>
      </c>
      <c r="C43" s="79">
        <f>COUNTIF('On-Prem Admins'!$P$2:$P$1001,0)</f>
        <v/>
      </c>
      <c r="D43" s="80" t="inlineStr">
        <is>
          <t>Domain Admins, Enterprise Admins, Backup Operators, DnsAdmins and equivalents.</t>
        </is>
      </c>
    </row>
    <row r="44" ht="30" customHeight="1" s="39">
      <c r="B44" s="78" t="inlineStr">
        <is>
          <t>Tier 0 without smartcard required</t>
        </is>
      </c>
      <c r="C44" s="79">
        <f>COUNTIFS('On-Prem Admins'!$P$2:$P$1001,0,'On-Prem Admins'!$L$2:$L$1001,"No")</f>
        <v/>
      </c>
      <c r="D44" s="80" t="inlineStr">
        <is>
          <t>The on-prem equivalent of an admin without FIDO2 - a password alone protects the domain.</t>
        </is>
      </c>
    </row>
    <row r="45" ht="30" customHeight="1" s="39">
      <c r="B45" s="78" t="inlineStr">
        <is>
          <t>Password older than one year</t>
        </is>
      </c>
      <c r="C45" s="79">
        <f>COUNTIFS('On-Prem Admins'!$J$2:$J$1001,"&gt;365",'On-Prem Admins'!$F$2:$F$1001,"Yes")</f>
        <v/>
      </c>
      <c r="D45" s="80" t="n"/>
    </row>
    <row r="46" ht="30" customHeight="1" s="39">
      <c r="B46" s="78" t="inlineStr">
        <is>
          <t>PasswordNeverExpires set</t>
        </is>
      </c>
      <c r="C46" s="79">
        <f>COUNTIFS('On-Prem Admins'!$K$2:$K$1001,"Yes",'On-Prem Admins'!$F$2:$F$1001,"Yes")</f>
        <v/>
      </c>
      <c r="D46" s="80" t="n"/>
    </row>
    <row r="47" ht="30" customHeight="1" s="39">
      <c r="B47" s="78" t="inlineStr">
        <is>
          <t>Configured for delegation</t>
        </is>
      </c>
      <c r="C47" s="79">
        <f>COUNTIFS('On-Prem Admins'!$S$2:$S$1001,"&lt;&gt;None",'On-Prem Admins'!$S$2:$S$1001,"&lt;&gt;")</f>
        <v/>
      </c>
      <c r="D47" s="80" t="inlineStr">
        <is>
          <t>Unconstrained delegation on an admin account is a domain-wide impersonation path.</t>
        </is>
      </c>
    </row>
    <row r="48" ht="30" customHeight="1" s="39">
      <c r="B48" s="78" t="inlineStr">
        <is>
          <t>Admin-named but no privileged group</t>
        </is>
      </c>
      <c r="C48" s="79">
        <f>COUNTIF('On-Prem Admins'!$O$2:$O$1001,"None")</f>
        <v/>
      </c>
      <c r="D48" s="80" t="inlineStr">
        <is>
          <t>Either privilege was removed and the account was not, or it is granted through delegated ACLs, which these scripts do not see. Run PingCastle to check.</t>
        </is>
      </c>
    </row>
    <row r="49" ht="30" customHeight="1" s="39">
      <c r="B49" s="78" t="inlineStr">
        <is>
          <t>Dormant 90+ days</t>
        </is>
      </c>
      <c r="C49" s="79">
        <f>COUNTIF('On-Prem Admins'!$AA$2:$AA$1001,"&gt;90")</f>
        <v/>
      </c>
      <c r="D49" s="80" t="inlineStr">
        <is>
          <t>Note that lastLogonTimestamp lags by up to 14 days - do not act on a single reading near the threshold.</t>
        </is>
      </c>
    </row>
    <row r="51" ht="15" customHeight="1" s="39">
      <c r="B51" s="76" t="inlineStr">
        <is>
          <t>GOVERNANCE</t>
        </is>
      </c>
      <c r="C51" s="77" t="inlineStr">
        <is>
          <t>Value</t>
        </is>
      </c>
      <c r="D51" s="76" t="inlineStr">
        <is>
          <t>Why it matters</t>
        </is>
      </c>
    </row>
    <row r="52" ht="30" customHeight="1" s="39">
      <c r="B52" s="78" t="inlineStr">
        <is>
          <t>Entra: not enrolled in a review cycle</t>
        </is>
      </c>
      <c r="C52" s="79">
        <f>COUNTIF('Entra Admins'!$AN$2:$AN$1001,"Not Enrolled")</f>
        <v/>
      </c>
      <c r="D52" s="80" t="inlineStr">
        <is>
          <t>No Access Review scheduled for this account yet. Acceptable only until rollout completes - a finding on a live Tier 0/1 account after that.</t>
        </is>
      </c>
    </row>
    <row r="53" ht="30" customHeight="1" s="39">
      <c r="B53" s="78" t="inlineStr">
        <is>
          <t>Entra: review cycle overdue</t>
        </is>
      </c>
      <c r="C53" s="79">
        <f>COUNTIF('Entra Admins'!$AN$2:$AN$1001,"Review Overdue")</f>
        <v/>
      </c>
      <c r="D53" s="80" t="inlineStr">
        <is>
          <t>Scheduled review date has passed with no recorded outcome - check whether auto-removal already fired or the sheet just needs refreshing from the Access Review results.</t>
        </is>
      </c>
    </row>
    <row r="54" ht="30" customHeight="1" s="39">
      <c r="B54" s="78" t="inlineStr">
        <is>
          <t>Entra: self-review overdue or not started</t>
        </is>
      </c>
      <c r="C54" s="79">
        <f>COUNTIF('Entra Admins'!$AO$2:$AO$1001,"OVERDUE")+COUNTIF('Entra Admins'!$AO$2:$AO$1001,"NOT REVIEWED")</f>
        <v/>
      </c>
      <c r="D54" s="80" t="n"/>
    </row>
    <row r="55" ht="30" customHeight="1" s="39">
      <c r="B55" s="78" t="inlineStr">
        <is>
          <t>Azure RBAC: not enrolled in a review cycle</t>
        </is>
      </c>
      <c r="C55" s="79">
        <f>COUNTIF('Azure RBAC Admins'!$AJ$2:$AJ$1001,"Not Enrolled")</f>
        <v/>
      </c>
      <c r="D55" s="80" t="inlineStr">
        <is>
          <t>No Access Review scheduled for this account yet. Acceptable only until rollout completes - a finding on a live Tier 0/1 account after that.</t>
        </is>
      </c>
    </row>
    <row r="56" ht="30" customHeight="1" s="39">
      <c r="B56" s="78" t="inlineStr">
        <is>
          <t>Azure RBAC: review cycle overdue</t>
        </is>
      </c>
      <c r="C56" s="79">
        <f>COUNTIF('Azure RBAC Admins'!$AJ$2:$AJ$1001,"Review Overdue")</f>
        <v/>
      </c>
      <c r="D56" s="80" t="inlineStr">
        <is>
          <t>Scheduled review date has passed with no recorded outcome - check whether auto-removal already fired or the sheet just needs refreshing from the Access Review results.</t>
        </is>
      </c>
    </row>
    <row r="57" ht="30" customHeight="1" s="39">
      <c r="B57" s="78" t="inlineStr">
        <is>
          <t>Azure RBAC: self-review overdue or not started</t>
        </is>
      </c>
      <c r="C57" s="79">
        <f>COUNTIF('Azure RBAC Admins'!$AK$2:$AK$1001,"OVERDUE")+COUNTIF('Azure RBAC Admins'!$AK$2:$AK$1001,"NOT REVIEWED")</f>
        <v/>
      </c>
      <c r="D57" s="80" t="n"/>
    </row>
    <row r="58" ht="30" customHeight="1" s="39">
      <c r="B58" s="78" t="inlineStr">
        <is>
          <t>On-prem: not enrolled in a review cycle</t>
        </is>
      </c>
      <c r="C58" s="79">
        <f>COUNTIF('On-Prem Admins'!$AL$2:$AL$1001,"Not Enrolled")</f>
        <v/>
      </c>
      <c r="D58" s="80" t="inlineStr">
        <is>
          <t>No Access Review scheduled for this account yet. Acceptable only until rollout completes - a finding on a live Tier 0/1 account after that.</t>
        </is>
      </c>
    </row>
    <row r="59" ht="30" customHeight="1" s="39">
      <c r="B59" s="78" t="inlineStr">
        <is>
          <t>On-prem: review cycle overdue</t>
        </is>
      </c>
      <c r="C59" s="79">
        <f>COUNTIF('On-Prem Admins'!$AL$2:$AL$1001,"Review Overdue")</f>
        <v/>
      </c>
      <c r="D59" s="80" t="inlineStr">
        <is>
          <t>Scheduled review date has passed with no recorded outcome - check whether auto-removal already fired or the sheet just needs refreshing from the Access Review results.</t>
        </is>
      </c>
    </row>
    <row r="60" ht="30" customHeight="1" s="39">
      <c r="B60" s="78" t="inlineStr">
        <is>
          <t>On-prem: self-review overdue or not started</t>
        </is>
      </c>
      <c r="C60" s="79">
        <f>COUNTIF('On-Prem Admins'!$AM$2:$AM$1001,"OVERDUE")+COUNTIF('On-Prem Admins'!$AM$2:$AM$1001,"NOT REVIEWED")</f>
        <v/>
      </c>
      <c r="D60" s="80" t="n"/>
    </row>
    <row r="61" ht="30" customHeight="1" s="39">
      <c r="B61" s="78" t="inlineStr">
        <is>
          <t>Self-review completion</t>
        </is>
      </c>
      <c r="C61" s="81">
        <f>IF(COUNTA(People!$A$2:$A$1001)=0,"n/a",COUNTIF(People!$AD$2:$AD$1001,"Not At Risk")/COUNTA(People!$A$2:$A$1001))</f>
        <v/>
      </c>
      <c r="D61" s="80" t="inlineStr">
        <is>
          <t>The only metric here that measures the work rather than the problem.</t>
        </is>
      </c>
    </row>
    <row r="63" ht="15" customHeight="1" s="39">
      <c r="B63" t="inlineStr">
        <is>
          <t>Example rows on each tab are counted until you delete them.</t>
        </is>
      </c>
    </row>
  </sheetData>
  <mergeCells count="1">
    <mergeCell ref="B2:D2"/>
  </mergeCells>
  <pageMargins left="0.75" right="0.75" top="1" bottom="1" header="0.5" footer="0.5"/>
</worksheet>
</file>

<file path=xl/worksheets/sheet2.xml><?xml version="1.0" encoding="utf-8"?>
<worksheet xmlns="http://schemas.openxmlformats.org/spreadsheetml/2006/main">
  <sheetPr filterMode="0">
    <tabColor rgb="FFBF9000"/>
    <outlinePr summaryBelow="1" summaryRight="1"/>
    <pageSetUpPr fitToPage="0"/>
  </sheetPr>
  <dimension ref="A1:B7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8" min="1" max="1"/>
    <col width="112" customWidth="1" style="38" min="2" max="2"/>
  </cols>
  <sheetData>
    <row r="1"/>
    <row r="2" ht="25.5" customHeight="1" s="39">
      <c r="B2" s="50" t="inlineStr">
        <is>
          <t>Privileged Access Review - how to use this workbook</t>
        </is>
      </c>
    </row>
    <row r="3"/>
    <row r="4" ht="51.75" customHeight="1" s="39">
      <c r="B4" s="51" t="inlineStr">
        <is>
          <t>This tracks PEOPLE who hold privileged access, not systems. Service accounts, service principals and managed identities belong in the Service Identity Inventory instead - the two are deliberately separate, because human privilege is reviewed by the account holder confirming their own need on a recurring cycle, while machine privilege is reviewed against a workload's function.</t>
        </is>
      </c>
    </row>
    <row r="5"/>
    <row r="6" ht="24" customHeight="1" s="39">
      <c r="B6" s="52" t="inlineStr">
        <is>
          <t>Naming conventions</t>
        </is>
      </c>
    </row>
    <row r="7"/>
    <row r="8" ht="51.75" customHeight="1" s="39">
      <c r="B8" s="51" t="inlineStr">
        <is>
          <t>Cloud admins follow username.azr@corp.onmicrosoft.com. On-prem admins follow username-a. Both encode the same base username, and that is what links an admin account back to a person. If your conventions differ, adjust the -AdminPattern and -BaseUsernameCapture parameters on the collection scripts rather than editing the workbook.</t>
        </is>
      </c>
    </row>
    <row r="9"/>
    <row r="10" ht="24" customHeight="1" s="39">
      <c r="B10" s="52" t="inlineStr">
        <is>
          <t>Order of operations</t>
        </is>
      </c>
    </row>
    <row r="11"/>
    <row r="12" ht="15.75" customHeight="1" s="39">
      <c r="B12" s="51" t="inlineStr">
        <is>
          <t>1. Build-CloudAdminReview.ps1     -&gt;  Cloud-Admin-Accounts.csv  -&gt;  'Cloud Admin Accounts' tab, A2, columns A-R</t>
        </is>
      </c>
    </row>
    <row r="13"/>
    <row r="14" ht="15.75" customHeight="1" s="39">
      <c r="B14" s="51" t="inlineStr">
        <is>
          <t xml:space="preserve">                                  -&gt;  Entra-Admins.csv          -&gt;  'Entra Admins' tab, A2, columns A-AB</t>
        </is>
      </c>
    </row>
    <row r="15"/>
    <row r="16" ht="15.75" customHeight="1" s="39">
      <c r="B16" s="51" t="inlineStr">
        <is>
          <t xml:space="preserve">                                  -&gt;  Azure-RBAC-Admins.csv     -&gt;  'Azure RBAC Admins' tab, A2, columns A-Y</t>
        </is>
      </c>
    </row>
    <row r="17"/>
    <row r="18" ht="39" customHeight="1" s="39">
      <c r="B18" t="inlineStr">
        <is>
          <t>2. Build-OnPremAdminReview.ps1    -&gt;  OnPrem-Admins.csv         -&gt;  'On-Prem Admins' tab, A2, columns A-Z</t>
        </is>
      </c>
    </row>
    <row r="19"/>
    <row r="20" ht="25.5" customHeight="1" s="39">
      <c r="B20" t="inlineStr">
        <is>
          <t>3. Merge-AdminReview.ps1          -&gt;  Admin-People.csv</t>
        </is>
      </c>
    </row>
    <row r="21"/>
    <row r="22" ht="15.75" customHeight="1" s="39">
      <c r="B22" s="51" t="inlineStr">
        <is>
          <t xml:space="preserve">4. Update-AdminPeopleAD.ps1       -&gt;  Admin-People.csv          -&gt;  (adds AD Manager, AD Account Active)</t>
        </is>
      </c>
    </row>
    <row r="23"/>
    <row r="24" ht="15.75" customHeight="1" s="39">
      <c r="B24" s="51" t="inlineStr">
        <is>
          <t xml:space="preserve">5. Update-AdminPeopleEntra.ps1    -&gt;  Admin-People.csv          -&gt;  'People' tab, A2, columns A-Z</t>
        </is>
      </c>
    </row>
    <row r="25"/>
    <row r="26" ht="24" customHeight="1" s="39">
      <c r="B26" s="51" t="inlineStr">
        <is>
          <t>The first script needs Microsoft Graph and, for Azure RBAC, an Az session, and now writes three CSVs instead of one - the unfiltered account inventory plus a filtered worklist per plane - so Entra and Azure RBAC remediation can be assigned to different owners and tracked independently. An account holding privilege in both planes appears on both worklists, each flagging the other via 'Also Holds ...' so nobody remediates one blind to exposure in the other. The second script needs RSAT on a domain-joined machine. The third runs anywhere - it only reads the CSVs, so it can be run wherever you have all four files. The fourth (Update-AdminPeopleAD.ps1) also needs RSAT - it is a targeted per-person lookup, not a full sweep, so it is cheap to re-run close to review time. The fifth (Update-AdminPeopleEntra.ps1) needs Microsoft Graph and must run after the fourth: it only checks Entra for the accounts the fourth found AD-disabled, since AD is the source of truth for account status here via Entra Connect sync. Paste into the People tab only after the fifth has run, or the columns after Total Admin Accounts will be missing or stale.</t>
        </is>
      </c>
    </row>
    <row r="27"/>
    <row r="28" ht="39" customHeight="1" s="39">
      <c r="B28" s="51" t="inlineStr">
        <is>
          <t>Delete the pale yellow example row on each tab before loading real data. Columns with a red corner marker carry a comment; hover for guidance.</t>
        </is>
      </c>
    </row>
    <row r="29"/>
    <row r="30" ht="39" customHeight="1" s="39">
      <c r="B30" s="52" t="inlineStr">
        <is>
          <t>Tiering</t>
        </is>
      </c>
    </row>
    <row r="31"/>
    <row r="32" ht="24" customHeight="1" s="39">
      <c r="B32" s="51" t="inlineStr">
        <is>
          <t>Tier 0 means control plane: the holder can grant themselves anything else, directly or by a well-known escalation path. The Role Tiers tab documents the model and the reasoning behind each entry. Tiers are assigned by the scripts, so to change the model edit the table at the top of the relevant script and re-run.</t>
        </is>
      </c>
    </row>
    <row r="33"/>
    <row r="34" ht="39" customHeight="1" s="39">
      <c r="B34" s="51" t="inlineStr">
        <is>
          <t>Two entries commonly surprise people. Application Administrator is Tier 0 because it can add credentials to any service principal, including highly privileged ones. DnsAdmins is Tier 0 because members can load a DLL into a service running as SYSTEM on a domain controller. Neither looks like a full administrator by name.</t>
        </is>
      </c>
    </row>
    <row r="35"/>
    <row r="36" ht="51.75" customHeight="1" s="39">
      <c r="B36" s="52" t="inlineStr">
        <is>
          <t>Group-assigned roles</t>
        </is>
      </c>
    </row>
    <row r="37"/>
    <row r="38" ht="25.5" customHeight="1" s="39">
      <c r="B38" s="51" t="inlineStr">
        <is>
          <t>Roles assigned to role-assignable groups are resolved and attributed to every member, expanded transitively so nested groups count. Graph reports the group as the principal, so a review matching only on the user's own object ID misses these entirely - and in most tenants that is a large share of all privileged access.</t>
        </is>
      </c>
    </row>
    <row r="39"/>
    <row r="40" ht="24" customHeight="1" s="39">
      <c r="B40" s="51" t="inlineStr">
        <is>
          <t>The Assignment Route column shows Direct only, Group only, or both. 'Group only' matters most: those accounts appear unprivileged when you inspect the user object, and the remediation is removing the person from the group rather than removing a role. Granting Groups and Granting Group IDs give you the name and object ID to act on.</t>
        </is>
      </c>
    </row>
    <row r="41"/>
    <row r="42" ht="39" customHeight="1" s="39">
      <c r="B42" s="51" t="inlineStr">
        <is>
          <t>Directory Scopes captures roles limited to an Administrative Unit. A User Administrator scoped to one AU is materially narrower than a tenant-wide one, and reporting them identically overstates privilege.</t>
        </is>
      </c>
    </row>
    <row r="43"/>
    <row r="44" ht="25.5" customHeight="1" s="39">
      <c r="B44" s="52" t="inlineStr">
        <is>
          <t>What to work first</t>
        </is>
      </c>
    </row>
    <row r="45"/>
    <row r="46" ht="39" customHeight="1" s="39">
      <c r="B46" s="51" t="inlineStr">
        <is>
          <t>Orphaned admin accounts. An enabled admin account whose standard account is disabled or missing is almost always a leaver - admin accounts are separate objects and are routinely missed at offboarding. This is the cheapest and highest-value remediation on the page.</t>
        </is>
      </c>
    </row>
    <row r="47"/>
    <row r="48" ht="39" customHeight="1" s="39">
      <c r="B48" s="51" t="inlineStr">
        <is>
          <t xml:space="preserve">Then AD/Entra Active Mismatch on the People tab - an AD account disabled but still active in Entra. Entra Connect sync is supposed to prevent this; when it shows up, treat it as a live access-control gap, not a review backlog item.</t>
        </is>
      </c>
    </row>
    <row r="49"/>
    <row r="50" ht="25.5" customHeight="1" s="39">
      <c r="B50" s="51" t="inlineStr">
        <is>
          <t>Then Tier 0 across multiple planes - see 'Privileged In Multiple Planes' on the People tab. Entra, Azure RBAC and on-prem admin accounts never mix, but the person behind them does. One phished individual reaches every control plane they hold.</t>
        </is>
      </c>
    </row>
    <row r="51"/>
    <row r="52" ht="24" customHeight="1" s="39">
      <c r="B52" s="51" t="inlineStr">
        <is>
          <t>Then standing Tier 0 privilege. A permanently assigned Global Administrator role is live every hour of every day whether in use or not. Converting to PIM-eligible is the single highest-value change available in the cloud plane, and it is usually low-friction.</t>
        </is>
      </c>
    </row>
    <row r="53"/>
    <row r="54" ht="39" customHeight="1" s="39">
      <c r="B54" s="51" t="inlineStr">
        <is>
          <t>Then authentication posture: Tier 0 cloud admins without a phishing-resistant method, and Tier 0 on-prem admins without smartcard required. These are the same weakness expressed in two planes.</t>
        </is>
      </c>
    </row>
    <row r="55"/>
    <row r="56" ht="24" customHeight="1" s="39">
      <c r="B56" s="52" t="inlineStr">
        <is>
          <t>Self-review is what makes this a review</t>
        </is>
      </c>
    </row>
    <row r="57"/>
    <row r="58" ht="51.75" customHeight="1" s="39">
      <c r="B58" s="51" t="inlineStr">
        <is>
          <t>Everything the scripts produce is an inventory. It becomes an access review through a recurring Entra Access Review: the account holder confirms the access is still needed and gives a reason, and access is removed automatically if they don't respond. Tier 0 approvals also route to a second reviewer before they're trusted, rather than being taken on the holder's word alone. The Self-Reviewed (All Accounts) column on the People tab reflects that decision, and the self-review completion figure on the Dashboard is the only metric here that measures progress rather than exposure.</t>
        </is>
      </c>
    </row>
    <row r="59"/>
    <row r="60" ht="25.5" customHeight="1" s="39">
      <c r="B60" s="52" t="inlineStr">
        <is>
          <t>What these scripts do not see</t>
        </is>
      </c>
    </row>
    <row r="61"/>
    <row r="62" ht="24" customHeight="1" s="39">
      <c r="B62" s="51" t="inlineStr">
        <is>
          <t>Delegated permissions expressed as ACLs on OUs and objects in Active Directory - partially covered. Build-OnPremAdminReview.ps1's ACL scan checks every resolved privileged group, AdminSDHolder, the Domain Controllers OU, the admin-account OU(s), each admin account object, the domain root (DCSync) and GPOs linked to Tier 0 OUs; findings show up here as 'ACL-Based Privilege' / 'ACL Privilege Detail' on the On-Prem Admins tab, with full detail in the companion OnPrem-DelegatedAccess.csv. It is NOT a domain-wide ACL sweep - anything delegated on an object outside that scoped list is still invisible here. Run PingCastle or BloodHound for that broader coverage. An account flagged 'admin-named but no privileged group' with no ACL-based privilege either is exactly the case where a delegated ACL outside this script's scope is the likely explanation.</t>
        </is>
      </c>
    </row>
    <row r="63"/>
    <row r="64" ht="51.75" customHeight="1" s="39">
      <c r="B64" s="51" t="inlineStr">
        <is>
          <t>Also not covered: Azure AD B2B guests with roles, Exchange RBAC, and privileged access granted through Administrative Units. Each is worth a separate look if relevant to your estate.</t>
        </is>
      </c>
    </row>
    <row r="65"/>
    <row r="66" ht="39" customHeight="1" s="39">
      <c r="B66" s="52" t="inlineStr">
        <is>
          <t>Australian context</t>
        </is>
      </c>
    </row>
    <row r="67"/>
    <row r="68">
      <c r="B68" s="51" t="inlineStr">
        <is>
          <t>The ACSC Essential Eight expects privileged access to be validated on first request and revalidated at least annually, with privileged accounts separated from standard accounts and prevented from accessing the internet and email. The separate .azr and -a conventions already satisfy the separation expectation; the review columns here, backed by the Access Review decision log, provide the revalidation evidence.</t>
        </is>
      </c>
    </row>
    <row r="69"/>
    <row r="70">
      <c r="B70" s="51" t="inlineStr">
        <is>
          <t>For APRA-regulated entities, CPS 234 requires clearly defined information security roles and responsibilities. Attestation here is self-review with Tier 0 escalation to a second reviewer, not line-manager sign-off - check with whoever owns your CPS 234 evidence that the Access Review decision log meets their expectations before relying on it as the sole record.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tabColor rgb="FF5B2C6F"/>
    <outlinePr summaryBelow="1" summaryRight="1"/>
    <pageSetUpPr/>
  </sheetPr>
  <dimension ref="A1:AE100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8" customWidth="1" style="39" min="1" max="1"/>
    <col width="26" customWidth="1" style="39" min="2" max="2"/>
    <col width="24" customWidth="1" style="39" min="3" max="3"/>
    <col width="26" customWidth="1" style="39" min="4" max="4"/>
    <col width="14" customWidth="1" style="39" min="5" max="5"/>
    <col width="32" customWidth="1" style="39" min="6" max="6"/>
    <col width="24" customWidth="1" style="39" min="7" max="7"/>
    <col width="11" customWidth="1" style="39" min="8" max="8"/>
    <col width="22" customWidth="1" style="39" min="9" max="9"/>
    <col width="11" customWidth="1" style="39" min="10" max="10"/>
    <col width="14" customWidth="1" style="39" min="11" max="11"/>
    <col width="28" customWidth="1" style="39" min="12" max="12"/>
    <col width="24" customWidth="1" style="39" min="13" max="13"/>
    <col width="11" customWidth="1" style="39" min="14" max="14"/>
    <col width="17" customWidth="1" style="39" min="15" max="15"/>
    <col width="11" customWidth="1" style="39" min="16" max="16"/>
    <col width="16" customWidth="1" style="39" min="17" max="17"/>
    <col width="14" customWidth="1" style="39" min="18" max="18"/>
    <col width="20" customWidth="1" style="39" min="19" max="19"/>
    <col width="18" customWidth="1" style="39" min="20" max="20"/>
    <col width="18" customWidth="1" style="39" min="21" max="21"/>
    <col width="16" customWidth="1" style="39" min="22" max="22"/>
    <col width="26" customWidth="1" style="39" min="23" max="23"/>
    <col width="16" customWidth="1" style="39" min="24" max="24"/>
    <col width="26" customWidth="1" style="39" min="25" max="25"/>
    <col width="20" customWidth="1" style="39" min="26" max="26"/>
    <col width="22" customWidth="1" style="39" min="27" max="27"/>
    <col width="14" customWidth="1" style="39" min="28" max="28"/>
    <col width="16" customWidth="1" style="39" min="29" max="29"/>
    <col width="16" customWidth="1" style="39" min="30" max="30"/>
    <col width="38" customWidth="1" style="39" min="31" max="31"/>
  </cols>
  <sheetData>
    <row r="1" ht="49.5" customHeight="1" s="39">
      <c r="A1" s="82" t="inlineStr">
        <is>
          <t>Base Username</t>
        </is>
      </c>
      <c r="B1" s="82" t="inlineStr">
        <is>
          <t>Person Display Name</t>
        </is>
      </c>
      <c r="C1" s="82" t="inlineStr">
        <is>
          <t>Department</t>
        </is>
      </c>
      <c r="D1" s="82" t="inlineStr">
        <is>
          <t>Job Title</t>
        </is>
      </c>
      <c r="E1" s="82" t="inlineStr">
        <is>
          <t>Has Cloud Admin</t>
        </is>
      </c>
      <c r="F1" s="82" t="inlineStr">
        <is>
          <t>Cloud Admin Accounts</t>
        </is>
      </c>
      <c r="G1" s="82" t="inlineStr">
        <is>
          <t>Highest Entra Role</t>
        </is>
      </c>
      <c r="H1" s="82" t="inlineStr">
        <is>
          <t>Entra Tier</t>
        </is>
      </c>
      <c r="I1" s="82" t="inlineStr">
        <is>
          <t>Highest Azure Role</t>
        </is>
      </c>
      <c r="J1" s="82" t="inlineStr">
        <is>
          <t>Azure Tier</t>
        </is>
      </c>
      <c r="K1" s="82" t="inlineStr">
        <is>
          <t>Has On-Prem Admin</t>
        </is>
      </c>
      <c r="L1" s="82" t="inlineStr">
        <is>
          <t>On-Prem Admin Accounts</t>
        </is>
      </c>
      <c r="M1" s="82" t="inlineStr">
        <is>
          <t>Highest AD Group</t>
        </is>
      </c>
      <c r="N1" s="82" t="inlineStr">
        <is>
          <t>On-Prem Tier</t>
        </is>
      </c>
      <c r="O1" s="82" t="inlineStr">
        <is>
          <t>Privileged In Multiple Planes</t>
        </is>
      </c>
      <c r="P1" s="82" t="inlineStr">
        <is>
          <t>Overall Tier</t>
        </is>
      </c>
      <c r="Q1" s="82" t="inlineStr">
        <is>
          <t>Orphaned Admin Account</t>
        </is>
      </c>
      <c r="R1" s="82" t="inlineStr">
        <is>
          <t>Total Admin Accounts</t>
        </is>
      </c>
      <c r="S1" s="82" t="inlineStr">
        <is>
          <t>On-Prem Identity Exists</t>
        </is>
      </c>
      <c r="T1" s="82" t="inlineStr">
        <is>
          <t>On-Prem Identity Enabled</t>
        </is>
      </c>
      <c r="U1" s="82" t="inlineStr">
        <is>
          <t>Cloud Identity Exists</t>
        </is>
      </c>
      <c r="V1" s="82" t="inlineStr">
        <is>
          <t>Cloud Identity Enabled</t>
        </is>
      </c>
      <c r="W1" s="82" t="inlineStr">
        <is>
          <t>AD Manager</t>
        </is>
      </c>
      <c r="X1" s="82" t="inlineStr">
        <is>
          <t>AD Account Active</t>
        </is>
      </c>
      <c r="Y1" s="82" t="inlineStr">
        <is>
          <t>Entra Account Active</t>
        </is>
      </c>
      <c r="Z1" s="82" t="inlineStr">
        <is>
          <t>AD/Entra Active Mismatch</t>
        </is>
      </c>
      <c r="AA1" s="82" t="inlineStr">
        <is>
          <t>Line Manager</t>
        </is>
      </c>
      <c r="AB1" s="82" t="inlineStr">
        <is>
          <t>Self-Reviewed (All Accounts)</t>
        </is>
      </c>
      <c r="AC1" s="82" t="inlineStr">
        <is>
          <t>Last Reviewed</t>
        </is>
      </c>
      <c r="AD1" s="82" t="inlineStr">
        <is>
          <t>Auto-Removal Risk</t>
        </is>
      </c>
      <c r="AE1" s="82" t="inlineStr">
        <is>
          <t>Notes</t>
        </is>
      </c>
    </row>
    <row r="2" ht="23.85" customHeight="1" s="39">
      <c r="A2" s="83" t="inlineStr">
        <is>
          <t>jsmith</t>
        </is>
      </c>
      <c r="B2" s="83" t="inlineStr">
        <is>
          <t>Jane Smith</t>
        </is>
      </c>
      <c r="C2" s="83" t="inlineStr">
        <is>
          <t>Cloud Platform Engineering</t>
        </is>
      </c>
      <c r="D2" s="83" t="inlineStr">
        <is>
          <t>Principal Engineer</t>
        </is>
      </c>
      <c r="E2" s="83" t="inlineStr">
        <is>
          <t>Yes</t>
        </is>
      </c>
      <c r="F2" s="83" t="inlineStr">
        <is>
          <t>jsmith.azr@corp.onmicrosoft.com</t>
        </is>
      </c>
      <c r="G2" s="83" t="inlineStr">
        <is>
          <t>Global Administrator</t>
        </is>
      </c>
      <c r="H2" s="83" t="n">
        <v>0</v>
      </c>
      <c r="I2" s="83" t="inlineStr">
        <is>
          <t>Owner</t>
        </is>
      </c>
      <c r="J2" s="83" t="n">
        <v>0</v>
      </c>
      <c r="K2" s="83" t="inlineStr">
        <is>
          <t>Yes</t>
        </is>
      </c>
      <c r="L2" s="83" t="inlineStr">
        <is>
          <t>jsmith-a</t>
        </is>
      </c>
      <c r="M2" s="83" t="inlineStr">
        <is>
          <t>Domain Admins</t>
        </is>
      </c>
      <c r="N2" s="83" t="n">
        <v>0</v>
      </c>
      <c r="O2" s="83" t="inlineStr">
        <is>
          <t>YES</t>
        </is>
      </c>
      <c r="P2" s="83" t="n">
        <v>0</v>
      </c>
      <c r="Q2" s="83" t="inlineStr">
        <is>
          <t>No</t>
        </is>
      </c>
      <c r="R2" s="83" t="n">
        <v>2</v>
      </c>
      <c r="S2" s="83" t="inlineStr">
        <is>
          <t>Yes</t>
        </is>
      </c>
      <c r="T2" s="83" t="inlineStr">
        <is>
          <t>Yes</t>
        </is>
      </c>
      <c r="U2" s="83" t="inlineStr">
        <is>
          <t>Yes</t>
        </is>
      </c>
      <c r="V2" s="83" t="inlineStr">
        <is>
          <t>Yes</t>
        </is>
      </c>
      <c r="W2" s="83" t="inlineStr">
        <is>
          <t>atran@corp.com.au</t>
        </is>
      </c>
      <c r="X2" s="83" t="inlineStr">
        <is>
          <t>Yes</t>
        </is>
      </c>
      <c r="Y2" s="83" t="inlineStr">
        <is>
          <t>Not Checked (AD Active)</t>
        </is>
      </c>
      <c r="Z2" s="83" t="n"/>
      <c r="AA2" s="83" t="inlineStr">
        <is>
          <t>Alex Tran</t>
        </is>
      </c>
      <c r="AB2" s="83" t="inlineStr">
        <is>
          <t>No</t>
        </is>
      </c>
      <c r="AC2" s="84" t="n"/>
      <c r="AD2" s="83">
        <f>IF($A2="","",IF(OR($AB2&lt;&gt;"Yes",$AC2="",TODAY()-$AC2&gt;90),"At Risk","Not At Risk"))</f>
        <v/>
      </c>
      <c r="AE2" s="83" t="inlineStr">
        <is>
          <t>EXAMPLE ROW - delete before use. Tier 0 in all three planes.</t>
        </is>
      </c>
    </row>
    <row r="3" ht="15" customHeight="1" s="39">
      <c r="A3" s="85" t="n"/>
      <c r="B3" s="85" t="n"/>
      <c r="C3" s="85" t="n"/>
      <c r="D3" s="85" t="n"/>
      <c r="E3" s="85" t="n"/>
      <c r="F3" s="85" t="n"/>
      <c r="G3" s="85" t="n"/>
      <c r="H3" s="85" t="n"/>
      <c r="I3" s="85" t="n"/>
      <c r="J3" s="85" t="n"/>
      <c r="K3" s="85" t="n"/>
      <c r="L3" s="85" t="n"/>
      <c r="M3" s="85" t="n"/>
      <c r="N3" s="85" t="n"/>
      <c r="O3" s="85" t="n"/>
      <c r="P3" s="85" t="n"/>
      <c r="Q3" s="85" t="n"/>
      <c r="R3" s="85" t="n"/>
      <c r="S3" s="85" t="n"/>
      <c r="T3" s="85" t="n"/>
      <c r="U3" s="85" t="n"/>
      <c r="V3" s="85" t="n"/>
      <c r="W3" s="85" t="n"/>
      <c r="X3" s="85" t="n"/>
      <c r="Y3" s="85" t="n"/>
      <c r="Z3" s="85" t="n"/>
      <c r="AA3" s="85" t="n"/>
      <c r="AB3" s="85" t="n"/>
      <c r="AC3" s="86" t="n"/>
      <c r="AD3" s="85">
        <f>IF($A3="","",IF(OR($AB3&lt;&gt;"Yes",$AC3="",TODAY()-$AC3&gt;90),"At Risk","Not At Risk"))</f>
        <v/>
      </c>
      <c r="AE3" s="85" t="n"/>
    </row>
    <row r="4" ht="15" customHeight="1" s="39">
      <c r="A4" s="85" t="n"/>
      <c r="B4" s="85" t="n"/>
      <c r="C4" s="85" t="n"/>
      <c r="D4" s="85" t="n"/>
      <c r="E4" s="85" t="n"/>
      <c r="F4" s="85" t="n"/>
      <c r="G4" s="85" t="n"/>
      <c r="H4" s="85" t="n"/>
      <c r="I4" s="85" t="n"/>
      <c r="J4" s="85" t="n"/>
      <c r="K4" s="85" t="n"/>
      <c r="L4" s="85" t="n"/>
      <c r="M4" s="85" t="n"/>
      <c r="N4" s="85" t="n"/>
      <c r="O4" s="85" t="n"/>
      <c r="P4" s="85" t="n"/>
      <c r="Q4" s="85" t="n"/>
      <c r="R4" s="85" t="n"/>
      <c r="S4" s="85" t="n"/>
      <c r="T4" s="85" t="n"/>
      <c r="U4" s="85" t="n"/>
      <c r="V4" s="85" t="n"/>
      <c r="W4" s="85" t="n"/>
      <c r="X4" s="85" t="n"/>
      <c r="Y4" s="85" t="n"/>
      <c r="Z4" s="85" t="n"/>
      <c r="AA4" s="85" t="n"/>
      <c r="AB4" s="85" t="n"/>
      <c r="AC4" s="86" t="n"/>
      <c r="AD4" s="85">
        <f>IF($A4="","",IF(OR($AB4&lt;&gt;"Yes",$AC4="",TODAY()-$AC4&gt;90),"At Risk","Not At Risk"))</f>
        <v/>
      </c>
      <c r="AE4" s="85" t="n"/>
    </row>
    <row r="5" ht="15" customHeight="1" s="39">
      <c r="A5" s="85" t="n"/>
      <c r="B5" s="85" t="n"/>
      <c r="C5" s="85" t="n"/>
      <c r="D5" s="85" t="n"/>
      <c r="E5" s="85" t="n"/>
      <c r="F5" s="85" t="n"/>
      <c r="G5" s="85" t="n"/>
      <c r="H5" s="85" t="n"/>
      <c r="I5" s="85" t="n"/>
      <c r="J5" s="85" t="n"/>
      <c r="K5" s="85" t="n"/>
      <c r="L5" s="85" t="n"/>
      <c r="M5" s="85" t="n"/>
      <c r="N5" s="85" t="n"/>
      <c r="O5" s="85" t="n"/>
      <c r="P5" s="85" t="n"/>
      <c r="Q5" s="85" t="n"/>
      <c r="R5" s="85" t="n"/>
      <c r="S5" s="85" t="n"/>
      <c r="T5" s="85" t="n"/>
      <c r="U5" s="85" t="n"/>
      <c r="V5" s="85" t="n"/>
      <c r="W5" s="85" t="n"/>
      <c r="X5" s="85" t="n"/>
      <c r="Y5" s="85" t="n"/>
      <c r="Z5" s="85" t="n"/>
      <c r="AA5" s="85" t="n"/>
      <c r="AB5" s="85" t="n"/>
      <c r="AC5" s="86" t="n"/>
      <c r="AD5" s="85">
        <f>IF($A5="","",IF(OR($AB5&lt;&gt;"Yes",$AC5="",TODAY()-$AC5&gt;90),"At Risk","Not At Risk"))</f>
        <v/>
      </c>
      <c r="AE5" s="85" t="n"/>
    </row>
    <row r="6" ht="15" customHeight="1" s="39">
      <c r="A6" s="85" t="n"/>
      <c r="B6" s="85" t="n"/>
      <c r="C6" s="85" t="n"/>
      <c r="D6" s="85" t="n"/>
      <c r="E6" s="85" t="n"/>
      <c r="F6" s="85" t="n"/>
      <c r="G6" s="85" t="n"/>
      <c r="H6" s="85" t="n"/>
      <c r="I6" s="85" t="n"/>
      <c r="J6" s="85" t="n"/>
      <c r="K6" s="85" t="n"/>
      <c r="L6" s="85" t="n"/>
      <c r="M6" s="85" t="n"/>
      <c r="N6" s="85" t="n"/>
      <c r="O6" s="85" t="n"/>
      <c r="P6" s="85" t="n"/>
      <c r="Q6" s="85" t="n"/>
      <c r="R6" s="85" t="n"/>
      <c r="S6" s="85" t="n"/>
      <c r="T6" s="85" t="n"/>
      <c r="U6" s="85" t="n"/>
      <c r="V6" s="85" t="n"/>
      <c r="W6" s="85" t="n"/>
      <c r="X6" s="85" t="n"/>
      <c r="Y6" s="85" t="n"/>
      <c r="Z6" s="85" t="n"/>
      <c r="AA6" s="85" t="n"/>
      <c r="AB6" s="85" t="n"/>
      <c r="AC6" s="86" t="n"/>
      <c r="AD6" s="85">
        <f>IF($A6="","",IF(OR($AB6&lt;&gt;"Yes",$AC6="",TODAY()-$AC6&gt;90),"At Risk","Not At Risk"))</f>
        <v/>
      </c>
      <c r="AE6" s="85" t="n"/>
    </row>
    <row r="7" ht="15" customHeight="1" s="39">
      <c r="A7" s="85" t="n"/>
      <c r="B7" s="85" t="n"/>
      <c r="C7" s="85" t="n"/>
      <c r="D7" s="85" t="n"/>
      <c r="E7" s="85" t="n"/>
      <c r="F7" s="85" t="n"/>
      <c r="G7" s="85" t="n"/>
      <c r="H7" s="85" t="n"/>
      <c r="I7" s="85" t="n"/>
      <c r="J7" s="85" t="n"/>
      <c r="K7" s="85" t="n"/>
      <c r="L7" s="85" t="n"/>
      <c r="M7" s="85" t="n"/>
      <c r="N7" s="85" t="n"/>
      <c r="O7" s="85" t="n"/>
      <c r="P7" s="85" t="n"/>
      <c r="Q7" s="85" t="n"/>
      <c r="R7" s="85" t="n"/>
      <c r="S7" s="85" t="n"/>
      <c r="T7" s="85" t="n"/>
      <c r="U7" s="85" t="n"/>
      <c r="V7" s="85" t="n"/>
      <c r="W7" s="85" t="n"/>
      <c r="X7" s="85" t="n"/>
      <c r="Y7" s="85" t="n"/>
      <c r="Z7" s="85" t="n"/>
      <c r="AA7" s="85" t="n"/>
      <c r="AB7" s="85" t="n"/>
      <c r="AC7" s="86" t="n"/>
      <c r="AD7" s="85">
        <f>IF($A7="","",IF(OR($AB7&lt;&gt;"Yes",$AC7="",TODAY()-$AC7&gt;90),"At Risk","Not At Risk"))</f>
        <v/>
      </c>
      <c r="AE7" s="85" t="n"/>
    </row>
    <row r="8" ht="15" customHeight="1" s="39">
      <c r="A8" s="85" t="n"/>
      <c r="B8" s="85" t="n"/>
      <c r="C8" s="85" t="n"/>
      <c r="D8" s="85" t="n"/>
      <c r="E8" s="85" t="n"/>
      <c r="F8" s="85" t="n"/>
      <c r="G8" s="85" t="n"/>
      <c r="H8" s="85" t="n"/>
      <c r="I8" s="85" t="n"/>
      <c r="J8" s="85" t="n"/>
      <c r="K8" s="85" t="n"/>
      <c r="L8" s="85" t="n"/>
      <c r="M8" s="85" t="n"/>
      <c r="N8" s="85" t="n"/>
      <c r="O8" s="85" t="n"/>
      <c r="P8" s="85" t="n"/>
      <c r="Q8" s="85" t="n"/>
      <c r="R8" s="85" t="n"/>
      <c r="S8" s="85" t="n"/>
      <c r="T8" s="85" t="n"/>
      <c r="U8" s="85" t="n"/>
      <c r="V8" s="85" t="n"/>
      <c r="W8" s="85" t="n"/>
      <c r="X8" s="85" t="n"/>
      <c r="Y8" s="85" t="n"/>
      <c r="Z8" s="85" t="n"/>
      <c r="AA8" s="85" t="n"/>
      <c r="AB8" s="85" t="n"/>
      <c r="AC8" s="86" t="n"/>
      <c r="AD8" s="85">
        <f>IF($A8="","",IF(OR($AB8&lt;&gt;"Yes",$AC8="",TODAY()-$AC8&gt;90),"At Risk","Not At Risk"))</f>
        <v/>
      </c>
      <c r="AE8" s="85" t="n"/>
    </row>
    <row r="9" ht="15" customHeight="1" s="39">
      <c r="A9" s="85" t="n"/>
      <c r="B9" s="85" t="n"/>
      <c r="C9" s="85" t="n"/>
      <c r="D9" s="85" t="n"/>
      <c r="E9" s="85" t="n"/>
      <c r="F9" s="85" t="n"/>
      <c r="G9" s="85" t="n"/>
      <c r="H9" s="85" t="n"/>
      <c r="I9" s="85" t="n"/>
      <c r="J9" s="85" t="n"/>
      <c r="K9" s="85" t="n"/>
      <c r="L9" s="85" t="n"/>
      <c r="M9" s="85" t="n"/>
      <c r="N9" s="85" t="n"/>
      <c r="O9" s="85" t="n"/>
      <c r="P9" s="85" t="n"/>
      <c r="Q9" s="85" t="n"/>
      <c r="R9" s="85" t="n"/>
      <c r="S9" s="85" t="n"/>
      <c r="T9" s="85" t="n"/>
      <c r="U9" s="85" t="n"/>
      <c r="V9" s="85" t="n"/>
      <c r="W9" s="85" t="n"/>
      <c r="X9" s="85" t="n"/>
      <c r="Y9" s="85" t="n"/>
      <c r="Z9" s="85" t="n"/>
      <c r="AA9" s="85" t="n"/>
      <c r="AB9" s="85" t="n"/>
      <c r="AC9" s="86" t="n"/>
      <c r="AD9" s="85">
        <f>IF($A9="","",IF(OR($AB9&lt;&gt;"Yes",$AC9="",TODAY()-$AC9&gt;90),"At Risk","Not At Risk"))</f>
        <v/>
      </c>
      <c r="AE9" s="85" t="n"/>
    </row>
    <row r="10" ht="15" customHeight="1" s="39">
      <c r="A10" s="85" t="n"/>
      <c r="B10" s="85" t="n"/>
      <c r="C10" s="85" t="n"/>
      <c r="D10" s="85" t="n"/>
      <c r="E10" s="85" t="n"/>
      <c r="F10" s="85" t="n"/>
      <c r="G10" s="85" t="n"/>
      <c r="H10" s="85" t="n"/>
      <c r="I10" s="85" t="n"/>
      <c r="J10" s="85" t="n"/>
      <c r="K10" s="85" t="n"/>
      <c r="L10" s="85" t="n"/>
      <c r="M10" s="85" t="n"/>
      <c r="N10" s="85" t="n"/>
      <c r="O10" s="85" t="n"/>
      <c r="P10" s="85" t="n"/>
      <c r="Q10" s="85" t="n"/>
      <c r="R10" s="85" t="n"/>
      <c r="S10" s="85" t="n"/>
      <c r="T10" s="85" t="n"/>
      <c r="U10" s="85" t="n"/>
      <c r="V10" s="85" t="n"/>
      <c r="W10" s="85" t="n"/>
      <c r="X10" s="85" t="n"/>
      <c r="Y10" s="85" t="n"/>
      <c r="Z10" s="85" t="n"/>
      <c r="AA10" s="85" t="n"/>
      <c r="AB10" s="85" t="n"/>
      <c r="AC10" s="86" t="n"/>
      <c r="AD10" s="85">
        <f>IF($A10="","",IF(OR($AB10&lt;&gt;"Yes",$AC10="",TODAY()-$AC10&gt;90),"At Risk","Not At Risk"))</f>
        <v/>
      </c>
      <c r="AE10" s="85" t="n"/>
    </row>
    <row r="11" ht="15" customHeight="1" s="39">
      <c r="A11" s="85" t="n"/>
      <c r="B11" s="85" t="n"/>
      <c r="C11" s="85" t="n"/>
      <c r="D11" s="85" t="n"/>
      <c r="E11" s="85" t="n"/>
      <c r="F11" s="85" t="n"/>
      <c r="G11" s="85" t="n"/>
      <c r="H11" s="85" t="n"/>
      <c r="I11" s="85" t="n"/>
      <c r="J11" s="85" t="n"/>
      <c r="K11" s="85" t="n"/>
      <c r="L11" s="85" t="n"/>
      <c r="M11" s="85" t="n"/>
      <c r="N11" s="85" t="n"/>
      <c r="O11" s="85" t="n"/>
      <c r="P11" s="85" t="n"/>
      <c r="Q11" s="85" t="n"/>
      <c r="R11" s="85" t="n"/>
      <c r="S11" s="85" t="n"/>
      <c r="T11" s="85" t="n"/>
      <c r="U11" s="85" t="n"/>
      <c r="V11" s="85" t="n"/>
      <c r="W11" s="85" t="n"/>
      <c r="X11" s="85" t="n"/>
      <c r="Y11" s="85" t="n"/>
      <c r="Z11" s="85" t="n"/>
      <c r="AA11" s="85" t="n"/>
      <c r="AB11" s="85" t="n"/>
      <c r="AC11" s="86" t="n"/>
      <c r="AD11" s="85">
        <f>IF($A11="","",IF(OR($AB11&lt;&gt;"Yes",$AC11="",TODAY()-$AC11&gt;90),"At Risk","Not At Risk"))</f>
        <v/>
      </c>
      <c r="AE11" s="85" t="n"/>
    </row>
    <row r="12" ht="15" customHeight="1" s="39">
      <c r="A12" s="85" t="n"/>
      <c r="B12" s="85" t="n"/>
      <c r="C12" s="85" t="n"/>
      <c r="D12" s="85" t="n"/>
      <c r="E12" s="85" t="n"/>
      <c r="F12" s="85" t="n"/>
      <c r="G12" s="85" t="n"/>
      <c r="H12" s="85" t="n"/>
      <c r="I12" s="85" t="n"/>
      <c r="J12" s="85" t="n"/>
      <c r="K12" s="85" t="n"/>
      <c r="L12" s="85" t="n"/>
      <c r="M12" s="85" t="n"/>
      <c r="N12" s="85" t="n"/>
      <c r="O12" s="85" t="n"/>
      <c r="P12" s="85" t="n"/>
      <c r="Q12" s="85" t="n"/>
      <c r="R12" s="85" t="n"/>
      <c r="S12" s="85" t="n"/>
      <c r="T12" s="85" t="n"/>
      <c r="U12" s="85" t="n"/>
      <c r="V12" s="85" t="n"/>
      <c r="W12" s="85" t="n"/>
      <c r="X12" s="85" t="n"/>
      <c r="Y12" s="85" t="n"/>
      <c r="Z12" s="85" t="n"/>
      <c r="AA12" s="85" t="n"/>
      <c r="AB12" s="85" t="n"/>
      <c r="AC12" s="86" t="n"/>
      <c r="AD12" s="85">
        <f>IF($A12="","",IF(OR($AB12&lt;&gt;"Yes",$AC12="",TODAY()-$AC12&gt;90),"At Risk","Not At Risk"))</f>
        <v/>
      </c>
      <c r="AE12" s="85" t="n"/>
    </row>
    <row r="13" ht="15" customHeight="1" s="39">
      <c r="A13" s="85" t="n"/>
      <c r="B13" s="85" t="n"/>
      <c r="C13" s="85" t="n"/>
      <c r="D13" s="85" t="n"/>
      <c r="E13" s="85" t="n"/>
      <c r="F13" s="85" t="n"/>
      <c r="G13" s="85"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6" t="n"/>
      <c r="AD13" s="85">
        <f>IF($A13="","",IF(OR($AB13&lt;&gt;"Yes",$AC13="",TODAY()-$AC13&gt;90),"At Risk","Not At Risk"))</f>
        <v/>
      </c>
      <c r="AE13" s="85" t="n"/>
    </row>
    <row r="14" ht="15" customHeight="1" s="39">
      <c r="A14" s="85" t="n"/>
      <c r="B14" s="85" t="n"/>
      <c r="C14" s="85" t="n"/>
      <c r="D14" s="85" t="n"/>
      <c r="E14" s="85" t="n"/>
      <c r="F14" s="85" t="n"/>
      <c r="G14" s="85" t="n"/>
      <c r="H14" s="85" t="n"/>
      <c r="I14" s="85" t="n"/>
      <c r="J14" s="85" t="n"/>
      <c r="K14" s="85" t="n"/>
      <c r="L14" s="85" t="n"/>
      <c r="M14" s="85" t="n"/>
      <c r="N14" s="85" t="n"/>
      <c r="O14" s="85" t="n"/>
      <c r="P14" s="85" t="n"/>
      <c r="Q14" s="85" t="n"/>
      <c r="R14" s="85" t="n"/>
      <c r="S14" s="85" t="n"/>
      <c r="T14" s="85" t="n"/>
      <c r="U14" s="85" t="n"/>
      <c r="V14" s="85" t="n"/>
      <c r="W14" s="85" t="n"/>
      <c r="X14" s="85" t="n"/>
      <c r="Y14" s="85" t="n"/>
      <c r="Z14" s="85" t="n"/>
      <c r="AA14" s="85" t="n"/>
      <c r="AB14" s="85" t="n"/>
      <c r="AC14" s="86" t="n"/>
      <c r="AD14" s="85">
        <f>IF($A14="","",IF(OR($AB14&lt;&gt;"Yes",$AC14="",TODAY()-$AC14&gt;90),"At Risk","Not At Risk"))</f>
        <v/>
      </c>
      <c r="AE14" s="85" t="n"/>
    </row>
    <row r="15" ht="15" customHeight="1" s="39">
      <c r="A15" s="85" t="n"/>
      <c r="B15" s="85" t="n"/>
      <c r="C15" s="85" t="n"/>
      <c r="D15" s="85" t="n"/>
      <c r="E15" s="85" t="n"/>
      <c r="F15" s="85" t="n"/>
      <c r="G15" s="85" t="n"/>
      <c r="H15" s="85" t="n"/>
      <c r="I15" s="85" t="n"/>
      <c r="J15" s="85" t="n"/>
      <c r="K15" s="85" t="n"/>
      <c r="L15" s="85" t="n"/>
      <c r="M15" s="85" t="n"/>
      <c r="N15" s="85" t="n"/>
      <c r="O15" s="85" t="n"/>
      <c r="P15" s="85" t="n"/>
      <c r="Q15" s="85" t="n"/>
      <c r="R15" s="85" t="n"/>
      <c r="S15" s="85" t="n"/>
      <c r="T15" s="85" t="n"/>
      <c r="U15" s="85" t="n"/>
      <c r="V15" s="85" t="n"/>
      <c r="W15" s="85" t="n"/>
      <c r="X15" s="85" t="n"/>
      <c r="Y15" s="85" t="n"/>
      <c r="Z15" s="85" t="n"/>
      <c r="AA15" s="85" t="n"/>
      <c r="AB15" s="85" t="n"/>
      <c r="AC15" s="86" t="n"/>
      <c r="AD15" s="85">
        <f>IF($A15="","",IF(OR($AB15&lt;&gt;"Yes",$AC15="",TODAY()-$AC15&gt;90),"At Risk","Not At Risk"))</f>
        <v/>
      </c>
      <c r="AE15" s="85" t="n"/>
    </row>
    <row r="16" ht="15" customHeight="1" s="39">
      <c r="A16" s="85" t="n"/>
      <c r="B16" s="85" t="n"/>
      <c r="C16" s="85" t="n"/>
      <c r="D16" s="85" t="n"/>
      <c r="E16" s="85" t="n"/>
      <c r="F16" s="85" t="n"/>
      <c r="G16" s="85" t="n"/>
      <c r="H16" s="85" t="n"/>
      <c r="I16" s="85" t="n"/>
      <c r="J16" s="85" t="n"/>
      <c r="K16" s="85" t="n"/>
      <c r="L16" s="85" t="n"/>
      <c r="M16" s="85" t="n"/>
      <c r="N16" s="85" t="n"/>
      <c r="O16" s="85" t="n"/>
      <c r="P16" s="85" t="n"/>
      <c r="Q16" s="85" t="n"/>
      <c r="R16" s="85" t="n"/>
      <c r="S16" s="85" t="n"/>
      <c r="T16" s="85" t="n"/>
      <c r="U16" s="85" t="n"/>
      <c r="V16" s="85" t="n"/>
      <c r="W16" s="85" t="n"/>
      <c r="X16" s="85" t="n"/>
      <c r="Y16" s="85" t="n"/>
      <c r="Z16" s="85" t="n"/>
      <c r="AA16" s="85" t="n"/>
      <c r="AB16" s="85" t="n"/>
      <c r="AC16" s="86" t="n"/>
      <c r="AD16" s="85">
        <f>IF($A16="","",IF(OR($AB16&lt;&gt;"Yes",$AC16="",TODAY()-$AC16&gt;90),"At Risk","Not At Risk"))</f>
        <v/>
      </c>
      <c r="AE16" s="85" t="n"/>
    </row>
    <row r="17" ht="15" customHeight="1" s="39">
      <c r="A17" s="85" t="n"/>
      <c r="B17" s="85" t="n"/>
      <c r="C17" s="85" t="n"/>
      <c r="D17" s="85" t="n"/>
      <c r="E17" s="85" t="n"/>
      <c r="F17" s="85" t="n"/>
      <c r="G17" s="85" t="n"/>
      <c r="H17" s="85" t="n"/>
      <c r="I17" s="85" t="n"/>
      <c r="J17" s="85" t="n"/>
      <c r="K17" s="85" t="n"/>
      <c r="L17" s="85" t="n"/>
      <c r="M17" s="85" t="n"/>
      <c r="N17" s="85" t="n"/>
      <c r="O17" s="85" t="n"/>
      <c r="P17" s="85" t="n"/>
      <c r="Q17" s="85" t="n"/>
      <c r="R17" s="85" t="n"/>
      <c r="S17" s="85" t="n"/>
      <c r="T17" s="85" t="n"/>
      <c r="U17" s="85" t="n"/>
      <c r="V17" s="85" t="n"/>
      <c r="W17" s="85" t="n"/>
      <c r="X17" s="85" t="n"/>
      <c r="Y17" s="85" t="n"/>
      <c r="Z17" s="85" t="n"/>
      <c r="AA17" s="85" t="n"/>
      <c r="AB17" s="85" t="n"/>
      <c r="AC17" s="86" t="n"/>
      <c r="AD17" s="85">
        <f>IF($A17="","",IF(OR($AB17&lt;&gt;"Yes",$AC17="",TODAY()-$AC17&gt;90),"At Risk","Not At Risk"))</f>
        <v/>
      </c>
      <c r="AE17" s="85" t="n"/>
    </row>
    <row r="18" ht="15" customHeight="1" s="39">
      <c r="A18" s="85" t="n"/>
      <c r="B18" s="85" t="n"/>
      <c r="C18" s="85" t="n"/>
      <c r="D18" s="85" t="n"/>
      <c r="E18" s="85" t="n"/>
      <c r="F18" s="85" t="n"/>
      <c r="G18" s="85" t="n"/>
      <c r="H18" s="85" t="n"/>
      <c r="I18" s="85" t="n"/>
      <c r="J18" s="85" t="n"/>
      <c r="K18" s="85" t="n"/>
      <c r="L18" s="85" t="n"/>
      <c r="M18" s="85" t="n"/>
      <c r="N18" s="85" t="n"/>
      <c r="O18" s="85" t="n"/>
      <c r="P18" s="85" t="n"/>
      <c r="Q18" s="85" t="n"/>
      <c r="R18" s="85" t="n"/>
      <c r="S18" s="85" t="n"/>
      <c r="T18" s="85" t="n"/>
      <c r="U18" s="85" t="n"/>
      <c r="V18" s="85" t="n"/>
      <c r="W18" s="85" t="n"/>
      <c r="X18" s="85" t="n"/>
      <c r="Y18" s="85" t="n"/>
      <c r="Z18" s="85" t="n"/>
      <c r="AA18" s="85" t="n"/>
      <c r="AB18" s="85" t="n"/>
      <c r="AC18" s="86" t="n"/>
      <c r="AD18" s="85">
        <f>IF($A18="","",IF(OR($AB18&lt;&gt;"Yes",$AC18="",TODAY()-$AC18&gt;90),"At Risk","Not At Risk"))</f>
        <v/>
      </c>
      <c r="AE18" s="85" t="n"/>
    </row>
    <row r="19" ht="15" customHeight="1" s="39">
      <c r="A19" s="85" t="n"/>
      <c r="B19" s="85" t="n"/>
      <c r="C19" s="85" t="n"/>
      <c r="D19" s="85" t="n"/>
      <c r="E19" s="85" t="n"/>
      <c r="F19" s="85" t="n"/>
      <c r="G19" s="85" t="n"/>
      <c r="H19" s="85" t="n"/>
      <c r="I19" s="85" t="n"/>
      <c r="J19" s="85" t="n"/>
      <c r="K19" s="85" t="n"/>
      <c r="L19" s="85" t="n"/>
      <c r="M19" s="85" t="n"/>
      <c r="N19" s="85" t="n"/>
      <c r="O19" s="85" t="n"/>
      <c r="P19" s="85" t="n"/>
      <c r="Q19" s="85" t="n"/>
      <c r="R19" s="85" t="n"/>
      <c r="S19" s="85" t="n"/>
      <c r="T19" s="85" t="n"/>
      <c r="U19" s="85" t="n"/>
      <c r="V19" s="85" t="n"/>
      <c r="W19" s="85" t="n"/>
      <c r="X19" s="85" t="n"/>
      <c r="Y19" s="85" t="n"/>
      <c r="Z19" s="85" t="n"/>
      <c r="AA19" s="85" t="n"/>
      <c r="AB19" s="85" t="n"/>
      <c r="AC19" s="86" t="n"/>
      <c r="AD19" s="85">
        <f>IF($A19="","",IF(OR($AB19&lt;&gt;"Yes",$AC19="",TODAY()-$AC19&gt;90),"At Risk","Not At Risk"))</f>
        <v/>
      </c>
      <c r="AE19" s="85" t="n"/>
    </row>
    <row r="20" ht="15" customHeight="1" s="39">
      <c r="A20" s="85" t="n"/>
      <c r="B20" s="85" t="n"/>
      <c r="C20" s="85" t="n"/>
      <c r="D20" s="85" t="n"/>
      <c r="E20" s="85" t="n"/>
      <c r="F20" s="85" t="n"/>
      <c r="G20" s="85" t="n"/>
      <c r="H20" s="85" t="n"/>
      <c r="I20" s="85" t="n"/>
      <c r="J20" s="85" t="n"/>
      <c r="K20" s="85" t="n"/>
      <c r="L20" s="85" t="n"/>
      <c r="M20" s="85" t="n"/>
      <c r="N20" s="85" t="n"/>
      <c r="O20" s="85" t="n"/>
      <c r="P20" s="85" t="n"/>
      <c r="Q20" s="85" t="n"/>
      <c r="R20" s="85" t="n"/>
      <c r="S20" s="85" t="n"/>
      <c r="T20" s="85" t="n"/>
      <c r="U20" s="85" t="n"/>
      <c r="V20" s="85" t="n"/>
      <c r="W20" s="85" t="n"/>
      <c r="X20" s="85" t="n"/>
      <c r="Y20" s="85" t="n"/>
      <c r="Z20" s="85" t="n"/>
      <c r="AA20" s="85" t="n"/>
      <c r="AB20" s="85" t="n"/>
      <c r="AC20" s="86" t="n"/>
      <c r="AD20" s="85">
        <f>IF($A20="","",IF(OR($AB20&lt;&gt;"Yes",$AC20="",TODAY()-$AC20&gt;90),"At Risk","Not At Risk"))</f>
        <v/>
      </c>
      <c r="AE20" s="85" t="n"/>
    </row>
    <row r="21" ht="15" customHeight="1" s="39">
      <c r="A21" s="85" t="n"/>
      <c r="B21" s="85" t="n"/>
      <c r="C21" s="85" t="n"/>
      <c r="D21" s="85" t="n"/>
      <c r="E21" s="85" t="n"/>
      <c r="F21" s="85" t="n"/>
      <c r="G21" s="85" t="n"/>
      <c r="H21" s="85" t="n"/>
      <c r="I21" s="85" t="n"/>
      <c r="J21" s="85" t="n"/>
      <c r="K21" s="85" t="n"/>
      <c r="L21" s="85" t="n"/>
      <c r="M21" s="85" t="n"/>
      <c r="N21" s="85" t="n"/>
      <c r="O21" s="85" t="n"/>
      <c r="P21" s="85" t="n"/>
      <c r="Q21" s="85" t="n"/>
      <c r="R21" s="85" t="n"/>
      <c r="S21" s="85" t="n"/>
      <c r="T21" s="85" t="n"/>
      <c r="U21" s="85" t="n"/>
      <c r="V21" s="85" t="n"/>
      <c r="W21" s="85" t="n"/>
      <c r="X21" s="85" t="n"/>
      <c r="Y21" s="85" t="n"/>
      <c r="Z21" s="85" t="n"/>
      <c r="AA21" s="85" t="n"/>
      <c r="AB21" s="85" t="n"/>
      <c r="AC21" s="86" t="n"/>
      <c r="AD21" s="85">
        <f>IF($A21="","",IF(OR($AB21&lt;&gt;"Yes",$AC21="",TODAY()-$AC21&gt;90),"At Risk","Not At Risk"))</f>
        <v/>
      </c>
      <c r="AE21" s="85" t="n"/>
    </row>
    <row r="22" ht="15" customHeight="1" s="39">
      <c r="A22" s="85" t="n"/>
      <c r="B22" s="85" t="n"/>
      <c r="C22" s="85" t="n"/>
      <c r="D22" s="85" t="n"/>
      <c r="E22" s="85" t="n"/>
      <c r="F22" s="85" t="n"/>
      <c r="G22" s="85" t="n"/>
      <c r="H22" s="85" t="n"/>
      <c r="I22" s="85" t="n"/>
      <c r="J22" s="85" t="n"/>
      <c r="K22" s="85" t="n"/>
      <c r="L22" s="85" t="n"/>
      <c r="M22" s="85" t="n"/>
      <c r="N22" s="85" t="n"/>
      <c r="O22" s="85" t="n"/>
      <c r="P22" s="85" t="n"/>
      <c r="Q22" s="85" t="n"/>
      <c r="R22" s="85" t="n"/>
      <c r="S22" s="85" t="n"/>
      <c r="T22" s="85" t="n"/>
      <c r="U22" s="85" t="n"/>
      <c r="V22" s="85" t="n"/>
      <c r="W22" s="85" t="n"/>
      <c r="X22" s="85" t="n"/>
      <c r="Y22" s="85" t="n"/>
      <c r="Z22" s="85" t="n"/>
      <c r="AA22" s="85" t="n"/>
      <c r="AB22" s="85" t="n"/>
      <c r="AC22" s="86" t="n"/>
      <c r="AD22" s="85">
        <f>IF($A22="","",IF(OR($AB22&lt;&gt;"Yes",$AC22="",TODAY()-$AC22&gt;90),"At Risk","Not At Risk"))</f>
        <v/>
      </c>
      <c r="AE22" s="85" t="n"/>
    </row>
    <row r="23" ht="15" customHeight="1" s="39">
      <c r="A23" s="85" t="n"/>
      <c r="B23" s="85" t="n"/>
      <c r="C23" s="85" t="n"/>
      <c r="D23" s="85" t="n"/>
      <c r="E23" s="85" t="n"/>
      <c r="F23" s="85" t="n"/>
      <c r="G23" s="85" t="n"/>
      <c r="H23" s="85" t="n"/>
      <c r="I23" s="85" t="n"/>
      <c r="J23" s="85" t="n"/>
      <c r="K23" s="85" t="n"/>
      <c r="L23" s="85" t="n"/>
      <c r="M23" s="85" t="n"/>
      <c r="N23" s="85" t="n"/>
      <c r="O23" s="85" t="n"/>
      <c r="P23" s="85" t="n"/>
      <c r="Q23" s="85" t="n"/>
      <c r="R23" s="85" t="n"/>
      <c r="S23" s="85" t="n"/>
      <c r="T23" s="85" t="n"/>
      <c r="U23" s="85" t="n"/>
      <c r="V23" s="85" t="n"/>
      <c r="W23" s="85" t="n"/>
      <c r="X23" s="85" t="n"/>
      <c r="Y23" s="85" t="n"/>
      <c r="Z23" s="85" t="n"/>
      <c r="AA23" s="85" t="n"/>
      <c r="AB23" s="85" t="n"/>
      <c r="AC23" s="86" t="n"/>
      <c r="AD23" s="85">
        <f>IF($A23="","",IF(OR($AB23&lt;&gt;"Yes",$AC23="",TODAY()-$AC23&gt;90),"At Risk","Not At Risk"))</f>
        <v/>
      </c>
      <c r="AE23" s="85" t="n"/>
    </row>
    <row r="24" ht="15" customHeight="1" s="39">
      <c r="A24" s="85" t="n"/>
      <c r="B24" s="85" t="n"/>
      <c r="C24" s="85" t="n"/>
      <c r="D24" s="85" t="n"/>
      <c r="E24" s="85" t="n"/>
      <c r="F24" s="85" t="n"/>
      <c r="G24" s="85" t="n"/>
      <c r="H24" s="85" t="n"/>
      <c r="I24" s="85" t="n"/>
      <c r="J24" s="85" t="n"/>
      <c r="K24" s="85" t="n"/>
      <c r="L24" s="85" t="n"/>
      <c r="M24" s="85" t="n"/>
      <c r="N24" s="85" t="n"/>
      <c r="O24" s="85" t="n"/>
      <c r="P24" s="85" t="n"/>
      <c r="Q24" s="85" t="n"/>
      <c r="R24" s="85" t="n"/>
      <c r="S24" s="85" t="n"/>
      <c r="T24" s="85" t="n"/>
      <c r="U24" s="85" t="n"/>
      <c r="V24" s="85" t="n"/>
      <c r="W24" s="85" t="n"/>
      <c r="X24" s="85" t="n"/>
      <c r="Y24" s="85" t="n"/>
      <c r="Z24" s="85" t="n"/>
      <c r="AA24" s="85" t="n"/>
      <c r="AB24" s="85" t="n"/>
      <c r="AC24" s="86" t="n"/>
      <c r="AD24" s="85">
        <f>IF($A24="","",IF(OR($AB24&lt;&gt;"Yes",$AC24="",TODAY()-$AC24&gt;90),"At Risk","Not At Risk"))</f>
        <v/>
      </c>
      <c r="AE24" s="85" t="n"/>
    </row>
    <row r="25" ht="15" customHeight="1" s="39">
      <c r="A25" s="85" t="n"/>
      <c r="B25" s="85" t="n"/>
      <c r="C25" s="85" t="n"/>
      <c r="D25" s="85" t="n"/>
      <c r="E25" s="85" t="n"/>
      <c r="F25" s="85" t="n"/>
      <c r="G25" s="85" t="n"/>
      <c r="H25" s="85" t="n"/>
      <c r="I25" s="85" t="n"/>
      <c r="J25" s="85" t="n"/>
      <c r="K25" s="85" t="n"/>
      <c r="L25" s="85" t="n"/>
      <c r="M25" s="85" t="n"/>
      <c r="N25" s="85" t="n"/>
      <c r="O25" s="85" t="n"/>
      <c r="P25" s="85" t="n"/>
      <c r="Q25" s="85" t="n"/>
      <c r="R25" s="85" t="n"/>
      <c r="S25" s="85" t="n"/>
      <c r="T25" s="85" t="n"/>
      <c r="U25" s="85" t="n"/>
      <c r="V25" s="85" t="n"/>
      <c r="W25" s="85" t="n"/>
      <c r="X25" s="85" t="n"/>
      <c r="Y25" s="85" t="n"/>
      <c r="Z25" s="85" t="n"/>
      <c r="AA25" s="85" t="n"/>
      <c r="AB25" s="85" t="n"/>
      <c r="AC25" s="86" t="n"/>
      <c r="AD25" s="85">
        <f>IF($A25="","",IF(OR($AB25&lt;&gt;"Yes",$AC25="",TODAY()-$AC25&gt;90),"At Risk","Not At Risk"))</f>
        <v/>
      </c>
      <c r="AE25" s="85" t="n"/>
    </row>
    <row r="26" ht="15" customHeight="1" s="39">
      <c r="A26" s="85" t="n"/>
      <c r="B26" s="85" t="n"/>
      <c r="C26" s="85" t="n"/>
      <c r="D26" s="85" t="n"/>
      <c r="E26" s="85" t="n"/>
      <c r="F26" s="85" t="n"/>
      <c r="G26" s="85" t="n"/>
      <c r="H26" s="85" t="n"/>
      <c r="I26" s="85" t="n"/>
      <c r="J26" s="85" t="n"/>
      <c r="K26" s="85" t="n"/>
      <c r="L26" s="85" t="n"/>
      <c r="M26" s="85" t="n"/>
      <c r="N26" s="85" t="n"/>
      <c r="O26" s="85" t="n"/>
      <c r="P26" s="85" t="n"/>
      <c r="Q26" s="85" t="n"/>
      <c r="R26" s="85" t="n"/>
      <c r="S26" s="85" t="n"/>
      <c r="T26" s="85" t="n"/>
      <c r="U26" s="85" t="n"/>
      <c r="V26" s="85" t="n"/>
      <c r="W26" s="85" t="n"/>
      <c r="X26" s="85" t="n"/>
      <c r="Y26" s="85" t="n"/>
      <c r="Z26" s="85" t="n"/>
      <c r="AA26" s="85" t="n"/>
      <c r="AB26" s="85" t="n"/>
      <c r="AC26" s="86" t="n"/>
      <c r="AD26" s="85">
        <f>IF($A26="","",IF(OR($AB26&lt;&gt;"Yes",$AC26="",TODAY()-$AC26&gt;90),"At Risk","Not At Risk"))</f>
        <v/>
      </c>
      <c r="AE26" s="85" t="n"/>
    </row>
    <row r="27" ht="15" customHeight="1" s="39">
      <c r="A27" s="85" t="n"/>
      <c r="B27" s="85" t="n"/>
      <c r="C27" s="85" t="n"/>
      <c r="D27" s="85" t="n"/>
      <c r="E27" s="85" t="n"/>
      <c r="F27" s="85" t="n"/>
      <c r="G27" s="85" t="n"/>
      <c r="H27" s="85" t="n"/>
      <c r="I27" s="85" t="n"/>
      <c r="J27" s="85" t="n"/>
      <c r="K27" s="85" t="n"/>
      <c r="L27" s="85" t="n"/>
      <c r="M27" s="85" t="n"/>
      <c r="N27" s="85" t="n"/>
      <c r="O27" s="85" t="n"/>
      <c r="P27" s="85" t="n"/>
      <c r="Q27" s="85" t="n"/>
      <c r="R27" s="85" t="n"/>
      <c r="S27" s="85" t="n"/>
      <c r="T27" s="85" t="n"/>
      <c r="U27" s="85" t="n"/>
      <c r="V27" s="85" t="n"/>
      <c r="W27" s="85" t="n"/>
      <c r="X27" s="85" t="n"/>
      <c r="Y27" s="85" t="n"/>
      <c r="Z27" s="85" t="n"/>
      <c r="AA27" s="85" t="n"/>
      <c r="AB27" s="85" t="n"/>
      <c r="AC27" s="86" t="n"/>
      <c r="AD27" s="85">
        <f>IF($A27="","",IF(OR($AB27&lt;&gt;"Yes",$AC27="",TODAY()-$AC27&gt;90),"At Risk","Not At Risk"))</f>
        <v/>
      </c>
      <c r="AE27" s="85" t="n"/>
    </row>
    <row r="28" ht="15" customHeight="1" s="39">
      <c r="A28" s="85" t="n"/>
      <c r="B28" s="85" t="n"/>
      <c r="C28" s="85" t="n"/>
      <c r="D28" s="85" t="n"/>
      <c r="E28" s="85" t="n"/>
      <c r="F28" s="85" t="n"/>
      <c r="G28" s="85" t="n"/>
      <c r="H28" s="85" t="n"/>
      <c r="I28" s="85" t="n"/>
      <c r="J28" s="85" t="n"/>
      <c r="K28" s="85" t="n"/>
      <c r="L28" s="85" t="n"/>
      <c r="M28" s="85" t="n"/>
      <c r="N28" s="85" t="n"/>
      <c r="O28" s="85" t="n"/>
      <c r="P28" s="85" t="n"/>
      <c r="Q28" s="85" t="n"/>
      <c r="R28" s="85" t="n"/>
      <c r="S28" s="85" t="n"/>
      <c r="T28" s="85" t="n"/>
      <c r="U28" s="85" t="n"/>
      <c r="V28" s="85" t="n"/>
      <c r="W28" s="85" t="n"/>
      <c r="X28" s="85" t="n"/>
      <c r="Y28" s="85" t="n"/>
      <c r="Z28" s="85" t="n"/>
      <c r="AA28" s="85" t="n"/>
      <c r="AB28" s="85" t="n"/>
      <c r="AC28" s="86" t="n"/>
      <c r="AD28" s="85">
        <f>IF($A28="","",IF(OR($AB28&lt;&gt;"Yes",$AC28="",TODAY()-$AC28&gt;90),"At Risk","Not At Risk"))</f>
        <v/>
      </c>
      <c r="AE28" s="85" t="n"/>
    </row>
    <row r="29" ht="15" customHeight="1" s="39">
      <c r="A29" s="85" t="n"/>
      <c r="B29" s="85" t="n"/>
      <c r="C29" s="85" t="n"/>
      <c r="D29" s="85" t="n"/>
      <c r="E29" s="85" t="n"/>
      <c r="F29" s="85" t="n"/>
      <c r="G29" s="85" t="n"/>
      <c r="H29" s="85" t="n"/>
      <c r="I29" s="85" t="n"/>
      <c r="J29" s="85" t="n"/>
      <c r="K29" s="85" t="n"/>
      <c r="L29" s="85" t="n"/>
      <c r="M29" s="85" t="n"/>
      <c r="N29" s="85" t="n"/>
      <c r="O29" s="85" t="n"/>
      <c r="P29" s="85" t="n"/>
      <c r="Q29" s="85" t="n"/>
      <c r="R29" s="85" t="n"/>
      <c r="S29" s="85" t="n"/>
      <c r="T29" s="85" t="n"/>
      <c r="U29" s="85" t="n"/>
      <c r="V29" s="85" t="n"/>
      <c r="W29" s="85" t="n"/>
      <c r="X29" s="85" t="n"/>
      <c r="Y29" s="85" t="n"/>
      <c r="Z29" s="85" t="n"/>
      <c r="AA29" s="85" t="n"/>
      <c r="AB29" s="85" t="n"/>
      <c r="AC29" s="86" t="n"/>
      <c r="AD29" s="85">
        <f>IF($A29="","",IF(OR($AB29&lt;&gt;"Yes",$AC29="",TODAY()-$AC29&gt;90),"At Risk","Not At Risk"))</f>
        <v/>
      </c>
      <c r="AE29" s="85" t="n"/>
    </row>
    <row r="30" ht="15" customHeight="1" s="39">
      <c r="A30" s="85" t="n"/>
      <c r="B30" s="85" t="n"/>
      <c r="C30" s="85" t="n"/>
      <c r="D30" s="85" t="n"/>
      <c r="E30" s="85" t="n"/>
      <c r="F30" s="85" t="n"/>
      <c r="G30" s="85" t="n"/>
      <c r="H30" s="85" t="n"/>
      <c r="I30" s="85" t="n"/>
      <c r="J30" s="85" t="n"/>
      <c r="K30" s="85" t="n"/>
      <c r="L30" s="85" t="n"/>
      <c r="M30" s="85" t="n"/>
      <c r="N30" s="85" t="n"/>
      <c r="O30" s="85" t="n"/>
      <c r="P30" s="85" t="n"/>
      <c r="Q30" s="85" t="n"/>
      <c r="R30" s="85" t="n"/>
      <c r="S30" s="85" t="n"/>
      <c r="T30" s="85" t="n"/>
      <c r="U30" s="85" t="n"/>
      <c r="V30" s="85" t="n"/>
      <c r="W30" s="85" t="n"/>
      <c r="X30" s="85" t="n"/>
      <c r="Y30" s="85" t="n"/>
      <c r="Z30" s="85" t="n"/>
      <c r="AA30" s="85" t="n"/>
      <c r="AB30" s="85" t="n"/>
      <c r="AC30" s="86" t="n"/>
      <c r="AD30" s="85">
        <f>IF($A30="","",IF(OR($AB30&lt;&gt;"Yes",$AC30="",TODAY()-$AC30&gt;90),"At Risk","Not At Risk"))</f>
        <v/>
      </c>
      <c r="AE30" s="85" t="n"/>
    </row>
    <row r="31" ht="15" customHeight="1" s="39">
      <c r="A31" s="85" t="n"/>
      <c r="B31" s="85" t="n"/>
      <c r="C31" s="85" t="n"/>
      <c r="D31" s="85" t="n"/>
      <c r="E31" s="85" t="n"/>
      <c r="F31" s="85" t="n"/>
      <c r="G31" s="85" t="n"/>
      <c r="H31" s="85" t="n"/>
      <c r="I31" s="85" t="n"/>
      <c r="J31" s="85" t="n"/>
      <c r="K31" s="85" t="n"/>
      <c r="L31" s="85" t="n"/>
      <c r="M31" s="85" t="n"/>
      <c r="N31" s="85" t="n"/>
      <c r="O31" s="85" t="n"/>
      <c r="P31" s="85" t="n"/>
      <c r="Q31" s="85" t="n"/>
      <c r="R31" s="85" t="n"/>
      <c r="S31" s="85" t="n"/>
      <c r="T31" s="85" t="n"/>
      <c r="U31" s="85" t="n"/>
      <c r="V31" s="85" t="n"/>
      <c r="W31" s="85" t="n"/>
      <c r="X31" s="85" t="n"/>
      <c r="Y31" s="85" t="n"/>
      <c r="Z31" s="85" t="n"/>
      <c r="AA31" s="85" t="n"/>
      <c r="AB31" s="85" t="n"/>
      <c r="AC31" s="86" t="n"/>
      <c r="AD31" s="85">
        <f>IF($A31="","",IF(OR($AB31&lt;&gt;"Yes",$AC31="",TODAY()-$AC31&gt;90),"At Risk","Not At Risk"))</f>
        <v/>
      </c>
      <c r="AE31" s="85" t="n"/>
    </row>
    <row r="32" ht="15" customHeight="1" s="39">
      <c r="A32" s="85" t="n"/>
      <c r="B32" s="85" t="n"/>
      <c r="C32" s="85" t="n"/>
      <c r="D32" s="85" t="n"/>
      <c r="E32" s="85" t="n"/>
      <c r="F32" s="85" t="n"/>
      <c r="G32" s="85" t="n"/>
      <c r="H32" s="85" t="n"/>
      <c r="I32" s="85" t="n"/>
      <c r="J32" s="85" t="n"/>
      <c r="K32" s="85" t="n"/>
      <c r="L32" s="85" t="n"/>
      <c r="M32" s="85" t="n"/>
      <c r="N32" s="85" t="n"/>
      <c r="O32" s="85" t="n"/>
      <c r="P32" s="85" t="n"/>
      <c r="Q32" s="85" t="n"/>
      <c r="R32" s="85" t="n"/>
      <c r="S32" s="85" t="n"/>
      <c r="T32" s="85" t="n"/>
      <c r="U32" s="85" t="n"/>
      <c r="V32" s="85" t="n"/>
      <c r="W32" s="85" t="n"/>
      <c r="X32" s="85" t="n"/>
      <c r="Y32" s="85" t="n"/>
      <c r="Z32" s="85" t="n"/>
      <c r="AA32" s="85" t="n"/>
      <c r="AB32" s="85" t="n"/>
      <c r="AC32" s="86" t="n"/>
      <c r="AD32" s="85">
        <f>IF($A32="","",IF(OR($AB32&lt;&gt;"Yes",$AC32="",TODAY()-$AC32&gt;90),"At Risk","Not At Risk"))</f>
        <v/>
      </c>
      <c r="AE32" s="85" t="n"/>
    </row>
    <row r="33" ht="15" customHeight="1" s="39">
      <c r="A33" s="85" t="n"/>
      <c r="B33" s="85" t="n"/>
      <c r="C33" s="85" t="n"/>
      <c r="D33" s="85" t="n"/>
      <c r="E33" s="85" t="n"/>
      <c r="F33" s="85" t="n"/>
      <c r="G33" s="85" t="n"/>
      <c r="H33" s="85" t="n"/>
      <c r="I33" s="85" t="n"/>
      <c r="J33" s="85" t="n"/>
      <c r="K33" s="85" t="n"/>
      <c r="L33" s="85" t="n"/>
      <c r="M33" s="85" t="n"/>
      <c r="N33" s="85" t="n"/>
      <c r="O33" s="85" t="n"/>
      <c r="P33" s="85" t="n"/>
      <c r="Q33" s="85" t="n"/>
      <c r="R33" s="85" t="n"/>
      <c r="S33" s="85" t="n"/>
      <c r="T33" s="85" t="n"/>
      <c r="U33" s="85" t="n"/>
      <c r="V33" s="85" t="n"/>
      <c r="W33" s="85" t="n"/>
      <c r="X33" s="85" t="n"/>
      <c r="Y33" s="85" t="n"/>
      <c r="Z33" s="85" t="n"/>
      <c r="AA33" s="85" t="n"/>
      <c r="AB33" s="85" t="n"/>
      <c r="AC33" s="86" t="n"/>
      <c r="AD33" s="85">
        <f>IF($A33="","",IF(OR($AB33&lt;&gt;"Yes",$AC33="",TODAY()-$AC33&gt;90),"At Risk","Not At Risk"))</f>
        <v/>
      </c>
      <c r="AE33" s="85" t="n"/>
    </row>
    <row r="34" ht="15" customHeight="1" s="39">
      <c r="A34" s="85" t="n"/>
      <c r="B34" s="85" t="n"/>
      <c r="C34" s="85" t="n"/>
      <c r="D34" s="85" t="n"/>
      <c r="E34" s="85" t="n"/>
      <c r="F34" s="85" t="n"/>
      <c r="G34" s="85" t="n"/>
      <c r="H34" s="85" t="n"/>
      <c r="I34" s="85" t="n"/>
      <c r="J34" s="85" t="n"/>
      <c r="K34" s="85" t="n"/>
      <c r="L34" s="85" t="n"/>
      <c r="M34" s="85" t="n"/>
      <c r="N34" s="85" t="n"/>
      <c r="O34" s="85" t="n"/>
      <c r="P34" s="85" t="n"/>
      <c r="Q34" s="85" t="n"/>
      <c r="R34" s="85" t="n"/>
      <c r="S34" s="85" t="n"/>
      <c r="T34" s="85" t="n"/>
      <c r="U34" s="85" t="n"/>
      <c r="V34" s="85" t="n"/>
      <c r="W34" s="85" t="n"/>
      <c r="X34" s="85" t="n"/>
      <c r="Y34" s="85" t="n"/>
      <c r="Z34" s="85" t="n"/>
      <c r="AA34" s="85" t="n"/>
      <c r="AB34" s="85" t="n"/>
      <c r="AC34" s="86" t="n"/>
      <c r="AD34" s="85">
        <f>IF($A34="","",IF(OR($AB34&lt;&gt;"Yes",$AC34="",TODAY()-$AC34&gt;90),"At Risk","Not At Risk"))</f>
        <v/>
      </c>
      <c r="AE34" s="85" t="n"/>
    </row>
    <row r="35" ht="15" customHeight="1" s="39">
      <c r="A35" s="85" t="n"/>
      <c r="B35" s="85" t="n"/>
      <c r="C35" s="85" t="n"/>
      <c r="D35" s="85" t="n"/>
      <c r="E35" s="85" t="n"/>
      <c r="F35" s="85" t="n"/>
      <c r="G35" s="85" t="n"/>
      <c r="H35" s="85" t="n"/>
      <c r="I35" s="85" t="n"/>
      <c r="J35" s="85" t="n"/>
      <c r="K35" s="85" t="n"/>
      <c r="L35" s="85" t="n"/>
      <c r="M35" s="85" t="n"/>
      <c r="N35" s="85" t="n"/>
      <c r="O35" s="85" t="n"/>
      <c r="P35" s="85" t="n"/>
      <c r="Q35" s="85" t="n"/>
      <c r="R35" s="85" t="n"/>
      <c r="S35" s="85" t="n"/>
      <c r="T35" s="85" t="n"/>
      <c r="U35" s="85" t="n"/>
      <c r="V35" s="85" t="n"/>
      <c r="W35" s="85" t="n"/>
      <c r="X35" s="85" t="n"/>
      <c r="Y35" s="85" t="n"/>
      <c r="Z35" s="85" t="n"/>
      <c r="AA35" s="85" t="n"/>
      <c r="AB35" s="85" t="n"/>
      <c r="AC35" s="86" t="n"/>
      <c r="AD35" s="85">
        <f>IF($A35="","",IF(OR($AB35&lt;&gt;"Yes",$AC35="",TODAY()-$AC35&gt;90),"At Risk","Not At Risk"))</f>
        <v/>
      </c>
      <c r="AE35" s="85" t="n"/>
    </row>
    <row r="36" ht="15" customHeight="1" s="39">
      <c r="A36" s="85" t="n"/>
      <c r="B36" s="85" t="n"/>
      <c r="C36" s="85" t="n"/>
      <c r="D36" s="85" t="n"/>
      <c r="E36" s="85" t="n"/>
      <c r="F36" s="85" t="n"/>
      <c r="G36" s="85" t="n"/>
      <c r="H36" s="85" t="n"/>
      <c r="I36" s="85" t="n"/>
      <c r="J36" s="85" t="n"/>
      <c r="K36" s="85" t="n"/>
      <c r="L36" s="85" t="n"/>
      <c r="M36" s="85" t="n"/>
      <c r="N36" s="85" t="n"/>
      <c r="O36" s="85" t="n"/>
      <c r="P36" s="85" t="n"/>
      <c r="Q36" s="85" t="n"/>
      <c r="R36" s="85" t="n"/>
      <c r="S36" s="85" t="n"/>
      <c r="T36" s="85" t="n"/>
      <c r="U36" s="85" t="n"/>
      <c r="V36" s="85" t="n"/>
      <c r="W36" s="85" t="n"/>
      <c r="X36" s="85" t="n"/>
      <c r="Y36" s="85" t="n"/>
      <c r="Z36" s="85" t="n"/>
      <c r="AA36" s="85" t="n"/>
      <c r="AB36" s="85" t="n"/>
      <c r="AC36" s="86" t="n"/>
      <c r="AD36" s="85">
        <f>IF($A36="","",IF(OR($AB36&lt;&gt;"Yes",$AC36="",TODAY()-$AC36&gt;90),"At Risk","Not At Risk"))</f>
        <v/>
      </c>
      <c r="AE36" s="85" t="n"/>
    </row>
    <row r="37" ht="15" customHeight="1" s="39">
      <c r="A37" s="85" t="n"/>
      <c r="B37" s="85" t="n"/>
      <c r="C37" s="85" t="n"/>
      <c r="D37" s="85" t="n"/>
      <c r="E37" s="85" t="n"/>
      <c r="F37" s="85" t="n"/>
      <c r="G37" s="85" t="n"/>
      <c r="H37" s="85" t="n"/>
      <c r="I37" s="85" t="n"/>
      <c r="J37" s="85" t="n"/>
      <c r="K37" s="85" t="n"/>
      <c r="L37" s="85" t="n"/>
      <c r="M37" s="85" t="n"/>
      <c r="N37" s="85" t="n"/>
      <c r="O37" s="85" t="n"/>
      <c r="P37" s="85" t="n"/>
      <c r="Q37" s="85" t="n"/>
      <c r="R37" s="85" t="n"/>
      <c r="S37" s="85" t="n"/>
      <c r="T37" s="85" t="n"/>
      <c r="U37" s="85" t="n"/>
      <c r="V37" s="85" t="n"/>
      <c r="W37" s="85" t="n"/>
      <c r="X37" s="85" t="n"/>
      <c r="Y37" s="85" t="n"/>
      <c r="Z37" s="85" t="n"/>
      <c r="AA37" s="85" t="n"/>
      <c r="AB37" s="85" t="n"/>
      <c r="AC37" s="86" t="n"/>
      <c r="AD37" s="85">
        <f>IF($A37="","",IF(OR($AB37&lt;&gt;"Yes",$AC37="",TODAY()-$AC37&gt;90),"At Risk","Not At Risk"))</f>
        <v/>
      </c>
      <c r="AE37" s="85" t="n"/>
    </row>
    <row r="38" ht="15" customHeight="1" s="39">
      <c r="A38" s="85" t="n"/>
      <c r="B38" s="85" t="n"/>
      <c r="C38" s="85" t="n"/>
      <c r="D38" s="85" t="n"/>
      <c r="E38" s="85" t="n"/>
      <c r="F38" s="85" t="n"/>
      <c r="G38" s="85" t="n"/>
      <c r="H38" s="85" t="n"/>
      <c r="I38" s="85" t="n"/>
      <c r="J38" s="85" t="n"/>
      <c r="K38" s="85" t="n"/>
      <c r="L38" s="85" t="n"/>
      <c r="M38" s="85" t="n"/>
      <c r="N38" s="85" t="n"/>
      <c r="O38" s="85" t="n"/>
      <c r="P38" s="85" t="n"/>
      <c r="Q38" s="85" t="n"/>
      <c r="R38" s="85" t="n"/>
      <c r="S38" s="85" t="n"/>
      <c r="T38" s="85" t="n"/>
      <c r="U38" s="85" t="n"/>
      <c r="V38" s="85" t="n"/>
      <c r="W38" s="85" t="n"/>
      <c r="X38" s="85" t="n"/>
      <c r="Y38" s="85" t="n"/>
      <c r="Z38" s="85" t="n"/>
      <c r="AA38" s="85" t="n"/>
      <c r="AB38" s="85" t="n"/>
      <c r="AC38" s="86" t="n"/>
      <c r="AD38" s="85">
        <f>IF($A38="","",IF(OR($AB38&lt;&gt;"Yes",$AC38="",TODAY()-$AC38&gt;90),"At Risk","Not At Risk"))</f>
        <v/>
      </c>
      <c r="AE38" s="85" t="n"/>
    </row>
    <row r="39" ht="15" customHeight="1" s="39">
      <c r="A39" s="85" t="n"/>
      <c r="B39" s="85" t="n"/>
      <c r="C39" s="85" t="n"/>
      <c r="D39" s="85" t="n"/>
      <c r="E39" s="85" t="n"/>
      <c r="F39" s="85" t="n"/>
      <c r="G39" s="85" t="n"/>
      <c r="H39" s="85" t="n"/>
      <c r="I39" s="85" t="n"/>
      <c r="J39" s="85" t="n"/>
      <c r="K39" s="85" t="n"/>
      <c r="L39" s="85" t="n"/>
      <c r="M39" s="85" t="n"/>
      <c r="N39" s="85" t="n"/>
      <c r="O39" s="85" t="n"/>
      <c r="P39" s="85" t="n"/>
      <c r="Q39" s="85" t="n"/>
      <c r="R39" s="85" t="n"/>
      <c r="S39" s="85" t="n"/>
      <c r="T39" s="85" t="n"/>
      <c r="U39" s="85" t="n"/>
      <c r="V39" s="85" t="n"/>
      <c r="W39" s="85" t="n"/>
      <c r="X39" s="85" t="n"/>
      <c r="Y39" s="85" t="n"/>
      <c r="Z39" s="85" t="n"/>
      <c r="AA39" s="85" t="n"/>
      <c r="AB39" s="85" t="n"/>
      <c r="AC39" s="86" t="n"/>
      <c r="AD39" s="85">
        <f>IF($A39="","",IF(OR($AB39&lt;&gt;"Yes",$AC39="",TODAY()-$AC39&gt;90),"At Risk","Not At Risk"))</f>
        <v/>
      </c>
      <c r="AE39" s="85" t="n"/>
    </row>
    <row r="40" ht="15" customHeight="1" s="39">
      <c r="A40" s="85" t="n"/>
      <c r="B40" s="85" t="n"/>
      <c r="C40" s="85" t="n"/>
      <c r="D40" s="85" t="n"/>
      <c r="E40" s="85" t="n"/>
      <c r="F40" s="85" t="n"/>
      <c r="G40" s="85" t="n"/>
      <c r="H40" s="85" t="n"/>
      <c r="I40" s="85" t="n"/>
      <c r="J40" s="85" t="n"/>
      <c r="K40" s="85" t="n"/>
      <c r="L40" s="85" t="n"/>
      <c r="M40" s="85" t="n"/>
      <c r="N40" s="85" t="n"/>
      <c r="O40" s="85" t="n"/>
      <c r="P40" s="85" t="n"/>
      <c r="Q40" s="85" t="n"/>
      <c r="R40" s="85" t="n"/>
      <c r="S40" s="85" t="n"/>
      <c r="T40" s="85" t="n"/>
      <c r="U40" s="85" t="n"/>
      <c r="V40" s="85" t="n"/>
      <c r="W40" s="85" t="n"/>
      <c r="X40" s="85" t="n"/>
      <c r="Y40" s="85" t="n"/>
      <c r="Z40" s="85" t="n"/>
      <c r="AA40" s="85" t="n"/>
      <c r="AB40" s="85" t="n"/>
      <c r="AC40" s="86" t="n"/>
      <c r="AD40" s="85">
        <f>IF($A40="","",IF(OR($AB40&lt;&gt;"Yes",$AC40="",TODAY()-$AC40&gt;90),"At Risk","Not At Risk"))</f>
        <v/>
      </c>
      <c r="AE40" s="85" t="n"/>
    </row>
    <row r="41" ht="15" customHeight="1" s="39">
      <c r="A41" s="85" t="n"/>
      <c r="B41" s="85" t="n"/>
      <c r="C41" s="85" t="n"/>
      <c r="D41" s="85" t="n"/>
      <c r="E41" s="85" t="n"/>
      <c r="F41" s="85" t="n"/>
      <c r="G41" s="85" t="n"/>
      <c r="H41" s="85" t="n"/>
      <c r="I41" s="85" t="n"/>
      <c r="J41" s="85" t="n"/>
      <c r="K41" s="85" t="n"/>
      <c r="L41" s="85" t="n"/>
      <c r="M41" s="85" t="n"/>
      <c r="N41" s="85" t="n"/>
      <c r="O41" s="85" t="n"/>
      <c r="P41" s="85" t="n"/>
      <c r="Q41" s="85" t="n"/>
      <c r="R41" s="85" t="n"/>
      <c r="S41" s="85" t="n"/>
      <c r="T41" s="85" t="n"/>
      <c r="U41" s="85" t="n"/>
      <c r="V41" s="85" t="n"/>
      <c r="W41" s="85" t="n"/>
      <c r="X41" s="85" t="n"/>
      <c r="Y41" s="85" t="n"/>
      <c r="Z41" s="85" t="n"/>
      <c r="AA41" s="85" t="n"/>
      <c r="AB41" s="85" t="n"/>
      <c r="AC41" s="86" t="n"/>
      <c r="AD41" s="85">
        <f>IF($A41="","",IF(OR($AB41&lt;&gt;"Yes",$AC41="",TODAY()-$AC41&gt;90),"At Risk","Not At Risk"))</f>
        <v/>
      </c>
      <c r="AE41" s="85" t="n"/>
    </row>
    <row r="42" ht="15" customHeight="1" s="39">
      <c r="A42" s="85" t="n"/>
      <c r="B42" s="85" t="n"/>
      <c r="C42" s="85" t="n"/>
      <c r="D42" s="85" t="n"/>
      <c r="E42" s="85" t="n"/>
      <c r="F42" s="85" t="n"/>
      <c r="G42" s="85" t="n"/>
      <c r="H42" s="85" t="n"/>
      <c r="I42" s="85" t="n"/>
      <c r="J42" s="85" t="n"/>
      <c r="K42" s="85" t="n"/>
      <c r="L42" s="85" t="n"/>
      <c r="M42" s="85" t="n"/>
      <c r="N42" s="85" t="n"/>
      <c r="O42" s="85" t="n"/>
      <c r="P42" s="85" t="n"/>
      <c r="Q42" s="85" t="n"/>
      <c r="R42" s="85" t="n"/>
      <c r="S42" s="85" t="n"/>
      <c r="T42" s="85" t="n"/>
      <c r="U42" s="85" t="n"/>
      <c r="V42" s="85" t="n"/>
      <c r="W42" s="85" t="n"/>
      <c r="X42" s="85" t="n"/>
      <c r="Y42" s="85" t="n"/>
      <c r="Z42" s="85" t="n"/>
      <c r="AA42" s="85" t="n"/>
      <c r="AB42" s="85" t="n"/>
      <c r="AC42" s="86" t="n"/>
      <c r="AD42" s="85">
        <f>IF($A42="","",IF(OR($AB42&lt;&gt;"Yes",$AC42="",TODAY()-$AC42&gt;90),"At Risk","Not At Risk"))</f>
        <v/>
      </c>
      <c r="AE42" s="85" t="n"/>
    </row>
    <row r="43" ht="15" customHeight="1" s="39">
      <c r="A43" s="85" t="n"/>
      <c r="B43" s="85" t="n"/>
      <c r="C43" s="85" t="n"/>
      <c r="D43" s="85" t="n"/>
      <c r="E43" s="85" t="n"/>
      <c r="F43" s="85" t="n"/>
      <c r="G43" s="85" t="n"/>
      <c r="H43" s="85" t="n"/>
      <c r="I43" s="85" t="n"/>
      <c r="J43" s="85" t="n"/>
      <c r="K43" s="85" t="n"/>
      <c r="L43" s="85" t="n"/>
      <c r="M43" s="85" t="n"/>
      <c r="N43" s="85" t="n"/>
      <c r="O43" s="85" t="n"/>
      <c r="P43" s="85" t="n"/>
      <c r="Q43" s="85" t="n"/>
      <c r="R43" s="85" t="n"/>
      <c r="S43" s="85" t="n"/>
      <c r="T43" s="85" t="n"/>
      <c r="U43" s="85" t="n"/>
      <c r="V43" s="85" t="n"/>
      <c r="W43" s="85" t="n"/>
      <c r="X43" s="85" t="n"/>
      <c r="Y43" s="85" t="n"/>
      <c r="Z43" s="85" t="n"/>
      <c r="AA43" s="85" t="n"/>
      <c r="AB43" s="85" t="n"/>
      <c r="AC43" s="86" t="n"/>
      <c r="AD43" s="85">
        <f>IF($A43="","",IF(OR($AB43&lt;&gt;"Yes",$AC43="",TODAY()-$AC43&gt;90),"At Risk","Not At Risk"))</f>
        <v/>
      </c>
      <c r="AE43" s="85" t="n"/>
    </row>
    <row r="44" ht="15" customHeight="1" s="39">
      <c r="A44" s="85" t="n"/>
      <c r="B44" s="85" t="n"/>
      <c r="C44" s="85" t="n"/>
      <c r="D44" s="85" t="n"/>
      <c r="E44" s="85" t="n"/>
      <c r="F44" s="85" t="n"/>
      <c r="G44" s="85" t="n"/>
      <c r="H44" s="85" t="n"/>
      <c r="I44" s="85" t="n"/>
      <c r="J44" s="85" t="n"/>
      <c r="K44" s="85" t="n"/>
      <c r="L44" s="85" t="n"/>
      <c r="M44" s="85" t="n"/>
      <c r="N44" s="85" t="n"/>
      <c r="O44" s="85" t="n"/>
      <c r="P44" s="85" t="n"/>
      <c r="Q44" s="85" t="n"/>
      <c r="R44" s="85" t="n"/>
      <c r="S44" s="85" t="n"/>
      <c r="T44" s="85" t="n"/>
      <c r="U44" s="85" t="n"/>
      <c r="V44" s="85" t="n"/>
      <c r="W44" s="85" t="n"/>
      <c r="X44" s="85" t="n"/>
      <c r="Y44" s="85" t="n"/>
      <c r="Z44" s="85" t="n"/>
      <c r="AA44" s="85" t="n"/>
      <c r="AB44" s="85" t="n"/>
      <c r="AC44" s="86" t="n"/>
      <c r="AD44" s="85">
        <f>IF($A44="","",IF(OR($AB44&lt;&gt;"Yes",$AC44="",TODAY()-$AC44&gt;90),"At Risk","Not At Risk"))</f>
        <v/>
      </c>
      <c r="AE44" s="85" t="n"/>
    </row>
    <row r="45" ht="15" customHeight="1" s="39">
      <c r="A45" s="85" t="n"/>
      <c r="B45" s="85" t="n"/>
      <c r="C45" s="85" t="n"/>
      <c r="D45" s="85" t="n"/>
      <c r="E45" s="85" t="n"/>
      <c r="F45" s="85" t="n"/>
      <c r="G45" s="85" t="n"/>
      <c r="H45" s="85" t="n"/>
      <c r="I45" s="85" t="n"/>
      <c r="J45" s="85" t="n"/>
      <c r="K45" s="85" t="n"/>
      <c r="L45" s="85" t="n"/>
      <c r="M45" s="85" t="n"/>
      <c r="N45" s="85" t="n"/>
      <c r="O45" s="85" t="n"/>
      <c r="P45" s="85" t="n"/>
      <c r="Q45" s="85" t="n"/>
      <c r="R45" s="85" t="n"/>
      <c r="S45" s="85" t="n"/>
      <c r="T45" s="85" t="n"/>
      <c r="U45" s="85" t="n"/>
      <c r="V45" s="85" t="n"/>
      <c r="W45" s="85" t="n"/>
      <c r="X45" s="85" t="n"/>
      <c r="Y45" s="85" t="n"/>
      <c r="Z45" s="85" t="n"/>
      <c r="AA45" s="85" t="n"/>
      <c r="AB45" s="85" t="n"/>
      <c r="AC45" s="86" t="n"/>
      <c r="AD45" s="85">
        <f>IF($A45="","",IF(OR($AB45&lt;&gt;"Yes",$AC45="",TODAY()-$AC45&gt;90),"At Risk","Not At Risk"))</f>
        <v/>
      </c>
      <c r="AE45" s="85" t="n"/>
    </row>
    <row r="46" ht="15" customHeight="1" s="39">
      <c r="A46" s="85" t="n"/>
      <c r="B46" s="85" t="n"/>
      <c r="C46" s="85" t="n"/>
      <c r="D46" s="85" t="n"/>
      <c r="E46" s="85" t="n"/>
      <c r="F46" s="85" t="n"/>
      <c r="G46" s="85" t="n"/>
      <c r="H46" s="85" t="n"/>
      <c r="I46" s="85" t="n"/>
      <c r="J46" s="85" t="n"/>
      <c r="K46" s="85" t="n"/>
      <c r="L46" s="85" t="n"/>
      <c r="M46" s="85" t="n"/>
      <c r="N46" s="85" t="n"/>
      <c r="O46" s="85" t="n"/>
      <c r="P46" s="85" t="n"/>
      <c r="Q46" s="85" t="n"/>
      <c r="R46" s="85" t="n"/>
      <c r="S46" s="85" t="n"/>
      <c r="T46" s="85" t="n"/>
      <c r="U46" s="85" t="n"/>
      <c r="V46" s="85" t="n"/>
      <c r="W46" s="85" t="n"/>
      <c r="X46" s="85" t="n"/>
      <c r="Y46" s="85" t="n"/>
      <c r="Z46" s="85" t="n"/>
      <c r="AA46" s="85" t="n"/>
      <c r="AB46" s="85" t="n"/>
      <c r="AC46" s="86" t="n"/>
      <c r="AD46" s="85">
        <f>IF($A46="","",IF(OR($AB46&lt;&gt;"Yes",$AC46="",TODAY()-$AC46&gt;90),"At Risk","Not At Risk"))</f>
        <v/>
      </c>
      <c r="AE46" s="85" t="n"/>
    </row>
    <row r="47" ht="15" customHeight="1" s="39">
      <c r="A47" s="85" t="n"/>
      <c r="B47" s="85" t="n"/>
      <c r="C47" s="85" t="n"/>
      <c r="D47" s="85" t="n"/>
      <c r="E47" s="85" t="n"/>
      <c r="F47" s="85" t="n"/>
      <c r="G47" s="85" t="n"/>
      <c r="H47" s="85" t="n"/>
      <c r="I47" s="85" t="n"/>
      <c r="J47" s="85" t="n"/>
      <c r="K47" s="85" t="n"/>
      <c r="L47" s="85" t="n"/>
      <c r="M47" s="85" t="n"/>
      <c r="N47" s="85" t="n"/>
      <c r="O47" s="85" t="n"/>
      <c r="P47" s="85" t="n"/>
      <c r="Q47" s="85" t="n"/>
      <c r="R47" s="85" t="n"/>
      <c r="S47" s="85" t="n"/>
      <c r="T47" s="85" t="n"/>
      <c r="U47" s="85" t="n"/>
      <c r="V47" s="85" t="n"/>
      <c r="W47" s="85" t="n"/>
      <c r="X47" s="85" t="n"/>
      <c r="Y47" s="85" t="n"/>
      <c r="Z47" s="85" t="n"/>
      <c r="AA47" s="85" t="n"/>
      <c r="AB47" s="85" t="n"/>
      <c r="AC47" s="86" t="n"/>
      <c r="AD47" s="85">
        <f>IF($A47="","",IF(OR($AB47&lt;&gt;"Yes",$AC47="",TODAY()-$AC47&gt;90),"At Risk","Not At Risk"))</f>
        <v/>
      </c>
      <c r="AE47" s="85" t="n"/>
    </row>
    <row r="48" ht="15" customHeight="1" s="39">
      <c r="A48" s="85" t="n"/>
      <c r="B48" s="85" t="n"/>
      <c r="C48" s="85" t="n"/>
      <c r="D48" s="85" t="n"/>
      <c r="E48" s="85" t="n"/>
      <c r="F48" s="85" t="n"/>
      <c r="G48" s="85" t="n"/>
      <c r="H48" s="85" t="n"/>
      <c r="I48" s="85" t="n"/>
      <c r="J48" s="85" t="n"/>
      <c r="K48" s="85" t="n"/>
      <c r="L48" s="85" t="n"/>
      <c r="M48" s="85" t="n"/>
      <c r="N48" s="85" t="n"/>
      <c r="O48" s="85" t="n"/>
      <c r="P48" s="85" t="n"/>
      <c r="Q48" s="85" t="n"/>
      <c r="R48" s="85" t="n"/>
      <c r="S48" s="85" t="n"/>
      <c r="T48" s="85" t="n"/>
      <c r="U48" s="85" t="n"/>
      <c r="V48" s="85" t="n"/>
      <c r="W48" s="85" t="n"/>
      <c r="X48" s="85" t="n"/>
      <c r="Y48" s="85" t="n"/>
      <c r="Z48" s="85" t="n"/>
      <c r="AA48" s="85" t="n"/>
      <c r="AB48" s="85" t="n"/>
      <c r="AC48" s="86" t="n"/>
      <c r="AD48" s="85">
        <f>IF($A48="","",IF(OR($AB48&lt;&gt;"Yes",$AC48="",TODAY()-$AC48&gt;90),"At Risk","Not At Risk"))</f>
        <v/>
      </c>
      <c r="AE48" s="85" t="n"/>
    </row>
    <row r="49" ht="15" customHeight="1" s="39">
      <c r="A49" s="85" t="n"/>
      <c r="B49" s="85" t="n"/>
      <c r="C49" s="85" t="n"/>
      <c r="D49" s="85" t="n"/>
      <c r="E49" s="85" t="n"/>
      <c r="F49" s="85" t="n"/>
      <c r="G49" s="85" t="n"/>
      <c r="H49" s="85" t="n"/>
      <c r="I49" s="85" t="n"/>
      <c r="J49" s="85" t="n"/>
      <c r="K49" s="85" t="n"/>
      <c r="L49" s="85" t="n"/>
      <c r="M49" s="85" t="n"/>
      <c r="N49" s="85" t="n"/>
      <c r="O49" s="85" t="n"/>
      <c r="P49" s="85" t="n"/>
      <c r="Q49" s="85" t="n"/>
      <c r="R49" s="85" t="n"/>
      <c r="S49" s="85" t="n"/>
      <c r="T49" s="85" t="n"/>
      <c r="U49" s="85" t="n"/>
      <c r="V49" s="85" t="n"/>
      <c r="W49" s="85" t="n"/>
      <c r="X49" s="85" t="n"/>
      <c r="Y49" s="85" t="n"/>
      <c r="Z49" s="85" t="n"/>
      <c r="AA49" s="85" t="n"/>
      <c r="AB49" s="85" t="n"/>
      <c r="AC49" s="86" t="n"/>
      <c r="AD49" s="85">
        <f>IF($A49="","",IF(OR($AB49&lt;&gt;"Yes",$AC49="",TODAY()-$AC49&gt;90),"At Risk","Not At Risk"))</f>
        <v/>
      </c>
      <c r="AE49" s="85" t="n"/>
    </row>
    <row r="50" ht="15" customHeight="1" s="39">
      <c r="A50" s="85" t="n"/>
      <c r="B50" s="85" t="n"/>
      <c r="C50" s="85" t="n"/>
      <c r="D50" s="85" t="n"/>
      <c r="E50" s="85" t="n"/>
      <c r="F50" s="85" t="n"/>
      <c r="G50" s="85" t="n"/>
      <c r="H50" s="85" t="n"/>
      <c r="I50" s="85" t="n"/>
      <c r="J50" s="85" t="n"/>
      <c r="K50" s="85" t="n"/>
      <c r="L50" s="85" t="n"/>
      <c r="M50" s="85" t="n"/>
      <c r="N50" s="85" t="n"/>
      <c r="O50" s="85" t="n"/>
      <c r="P50" s="85" t="n"/>
      <c r="Q50" s="85" t="n"/>
      <c r="R50" s="85" t="n"/>
      <c r="S50" s="85" t="n"/>
      <c r="T50" s="85" t="n"/>
      <c r="U50" s="85" t="n"/>
      <c r="V50" s="85" t="n"/>
      <c r="W50" s="85" t="n"/>
      <c r="X50" s="85" t="n"/>
      <c r="Y50" s="85" t="n"/>
      <c r="Z50" s="85" t="n"/>
      <c r="AA50" s="85" t="n"/>
      <c r="AB50" s="85" t="n"/>
      <c r="AC50" s="86" t="n"/>
      <c r="AD50" s="85">
        <f>IF($A50="","",IF(OR($AB50&lt;&gt;"Yes",$AC50="",TODAY()-$AC50&gt;90),"At Risk","Not At Risk"))</f>
        <v/>
      </c>
      <c r="AE50" s="85" t="n"/>
    </row>
    <row r="51" ht="15" customHeight="1" s="39">
      <c r="A51" s="85" t="n"/>
      <c r="B51" s="85" t="n"/>
      <c r="C51" s="85" t="n"/>
      <c r="D51" s="85" t="n"/>
      <c r="E51" s="85" t="n"/>
      <c r="F51" s="85" t="n"/>
      <c r="G51" s="85" t="n"/>
      <c r="H51" s="85" t="n"/>
      <c r="I51" s="85" t="n"/>
      <c r="J51" s="85" t="n"/>
      <c r="K51" s="85" t="n"/>
      <c r="L51" s="85" t="n"/>
      <c r="M51" s="85" t="n"/>
      <c r="N51" s="85" t="n"/>
      <c r="O51" s="85" t="n"/>
      <c r="P51" s="85" t="n"/>
      <c r="Q51" s="85" t="n"/>
      <c r="R51" s="85" t="n"/>
      <c r="S51" s="85" t="n"/>
      <c r="T51" s="85" t="n"/>
      <c r="U51" s="85" t="n"/>
      <c r="V51" s="85" t="n"/>
      <c r="W51" s="85" t="n"/>
      <c r="X51" s="85" t="n"/>
      <c r="Y51" s="85" t="n"/>
      <c r="Z51" s="85" t="n"/>
      <c r="AA51" s="85" t="n"/>
      <c r="AB51" s="85" t="n"/>
      <c r="AC51" s="86" t="n"/>
      <c r="AD51" s="85">
        <f>IF($A51="","",IF(OR($AB51&lt;&gt;"Yes",$AC51="",TODAY()-$AC51&gt;90),"At Risk","Not At Risk"))</f>
        <v/>
      </c>
      <c r="AE51" s="85" t="n"/>
    </row>
    <row r="52" ht="15" customHeight="1" s="39">
      <c r="A52" s="85" t="n"/>
      <c r="B52" s="85" t="n"/>
      <c r="C52" s="85" t="n"/>
      <c r="D52" s="85" t="n"/>
      <c r="E52" s="85" t="n"/>
      <c r="F52" s="85" t="n"/>
      <c r="G52" s="85" t="n"/>
      <c r="H52" s="85" t="n"/>
      <c r="I52" s="85" t="n"/>
      <c r="J52" s="85" t="n"/>
      <c r="K52" s="85" t="n"/>
      <c r="L52" s="85" t="n"/>
      <c r="M52" s="85" t="n"/>
      <c r="N52" s="85" t="n"/>
      <c r="O52" s="85" t="n"/>
      <c r="P52" s="85" t="n"/>
      <c r="Q52" s="85" t="n"/>
      <c r="R52" s="85" t="n"/>
      <c r="S52" s="85" t="n"/>
      <c r="T52" s="85" t="n"/>
      <c r="U52" s="85" t="n"/>
      <c r="V52" s="85" t="n"/>
      <c r="W52" s="85" t="n"/>
      <c r="X52" s="85" t="n"/>
      <c r="Y52" s="85" t="n"/>
      <c r="Z52" s="85" t="n"/>
      <c r="AA52" s="85" t="n"/>
      <c r="AB52" s="85" t="n"/>
      <c r="AC52" s="86" t="n"/>
      <c r="AD52" s="85">
        <f>IF($A52="","",IF(OR($AB52&lt;&gt;"Yes",$AC52="",TODAY()-$AC52&gt;90),"At Risk","Not At Risk"))</f>
        <v/>
      </c>
      <c r="AE52" s="85" t="n"/>
    </row>
    <row r="53" ht="15" customHeight="1" s="39">
      <c r="A53" s="85" t="n"/>
      <c r="B53" s="85" t="n"/>
      <c r="C53" s="85" t="n"/>
      <c r="D53" s="85" t="n"/>
      <c r="E53" s="85" t="n"/>
      <c r="F53" s="85" t="n"/>
      <c r="G53" s="85" t="n"/>
      <c r="H53" s="85" t="n"/>
      <c r="I53" s="85" t="n"/>
      <c r="J53" s="85" t="n"/>
      <c r="K53" s="85" t="n"/>
      <c r="L53" s="85" t="n"/>
      <c r="M53" s="85" t="n"/>
      <c r="N53" s="85" t="n"/>
      <c r="O53" s="85" t="n"/>
      <c r="P53" s="85" t="n"/>
      <c r="Q53" s="85" t="n"/>
      <c r="R53" s="85" t="n"/>
      <c r="S53" s="85" t="n"/>
      <c r="T53" s="85" t="n"/>
      <c r="U53" s="85" t="n"/>
      <c r="V53" s="85" t="n"/>
      <c r="W53" s="85" t="n"/>
      <c r="X53" s="85" t="n"/>
      <c r="Y53" s="85" t="n"/>
      <c r="Z53" s="85" t="n"/>
      <c r="AA53" s="85" t="n"/>
      <c r="AB53" s="85" t="n"/>
      <c r="AC53" s="86" t="n"/>
      <c r="AD53" s="85">
        <f>IF($A53="","",IF(OR($AB53&lt;&gt;"Yes",$AC53="",TODAY()-$AC53&gt;90),"At Risk","Not At Risk"))</f>
        <v/>
      </c>
      <c r="AE53" s="85" t="n"/>
    </row>
    <row r="54" ht="15" customHeight="1" s="39">
      <c r="A54" s="85" t="n"/>
      <c r="B54" s="85" t="n"/>
      <c r="C54" s="85" t="n"/>
      <c r="D54" s="85" t="n"/>
      <c r="E54" s="85" t="n"/>
      <c r="F54" s="85" t="n"/>
      <c r="G54" s="85" t="n"/>
      <c r="H54" s="85" t="n"/>
      <c r="I54" s="85" t="n"/>
      <c r="J54" s="85" t="n"/>
      <c r="K54" s="85" t="n"/>
      <c r="L54" s="85" t="n"/>
      <c r="M54" s="85" t="n"/>
      <c r="N54" s="85" t="n"/>
      <c r="O54" s="85" t="n"/>
      <c r="P54" s="85" t="n"/>
      <c r="Q54" s="85" t="n"/>
      <c r="R54" s="85" t="n"/>
      <c r="S54" s="85" t="n"/>
      <c r="T54" s="85" t="n"/>
      <c r="U54" s="85" t="n"/>
      <c r="V54" s="85" t="n"/>
      <c r="W54" s="85" t="n"/>
      <c r="X54" s="85" t="n"/>
      <c r="Y54" s="85" t="n"/>
      <c r="Z54" s="85" t="n"/>
      <c r="AA54" s="85" t="n"/>
      <c r="AB54" s="85" t="n"/>
      <c r="AC54" s="86" t="n"/>
      <c r="AD54" s="85">
        <f>IF($A54="","",IF(OR($AB54&lt;&gt;"Yes",$AC54="",TODAY()-$AC54&gt;90),"At Risk","Not At Risk"))</f>
        <v/>
      </c>
      <c r="AE54" s="85" t="n"/>
    </row>
    <row r="55" ht="15" customHeight="1" s="39">
      <c r="A55" s="85" t="n"/>
      <c r="B55" s="85" t="n"/>
      <c r="C55" s="85" t="n"/>
      <c r="D55" s="85" t="n"/>
      <c r="E55" s="85" t="n"/>
      <c r="F55" s="85" t="n"/>
      <c r="G55" s="85" t="n"/>
      <c r="H55" s="85" t="n"/>
      <c r="I55" s="85" t="n"/>
      <c r="J55" s="85" t="n"/>
      <c r="K55" s="85" t="n"/>
      <c r="L55" s="85" t="n"/>
      <c r="M55" s="85" t="n"/>
      <c r="N55" s="85" t="n"/>
      <c r="O55" s="85" t="n"/>
      <c r="P55" s="85" t="n"/>
      <c r="Q55" s="85" t="n"/>
      <c r="R55" s="85" t="n"/>
      <c r="S55" s="85" t="n"/>
      <c r="T55" s="85" t="n"/>
      <c r="U55" s="85" t="n"/>
      <c r="V55" s="85" t="n"/>
      <c r="W55" s="85" t="n"/>
      <c r="X55" s="85" t="n"/>
      <c r="Y55" s="85" t="n"/>
      <c r="Z55" s="85" t="n"/>
      <c r="AA55" s="85" t="n"/>
      <c r="AB55" s="85" t="n"/>
      <c r="AC55" s="86" t="n"/>
      <c r="AD55" s="85">
        <f>IF($A55="","",IF(OR($AB55&lt;&gt;"Yes",$AC55="",TODAY()-$AC55&gt;90),"At Risk","Not At Risk"))</f>
        <v/>
      </c>
      <c r="AE55" s="85" t="n"/>
    </row>
    <row r="56" ht="15" customHeight="1" s="39">
      <c r="A56" s="85" t="n"/>
      <c r="B56" s="85" t="n"/>
      <c r="C56" s="85" t="n"/>
      <c r="D56" s="85" t="n"/>
      <c r="E56" s="85" t="n"/>
      <c r="F56" s="85" t="n"/>
      <c r="G56" s="85" t="n"/>
      <c r="H56" s="85" t="n"/>
      <c r="I56" s="85" t="n"/>
      <c r="J56" s="85" t="n"/>
      <c r="K56" s="85" t="n"/>
      <c r="L56" s="85" t="n"/>
      <c r="M56" s="85" t="n"/>
      <c r="N56" s="85" t="n"/>
      <c r="O56" s="85" t="n"/>
      <c r="P56" s="85" t="n"/>
      <c r="Q56" s="85" t="n"/>
      <c r="R56" s="85" t="n"/>
      <c r="S56" s="85" t="n"/>
      <c r="T56" s="85" t="n"/>
      <c r="U56" s="85" t="n"/>
      <c r="V56" s="85" t="n"/>
      <c r="W56" s="85" t="n"/>
      <c r="X56" s="85" t="n"/>
      <c r="Y56" s="85" t="n"/>
      <c r="Z56" s="85" t="n"/>
      <c r="AA56" s="85" t="n"/>
      <c r="AB56" s="85" t="n"/>
      <c r="AC56" s="86" t="n"/>
      <c r="AD56" s="85">
        <f>IF($A56="","",IF(OR($AB56&lt;&gt;"Yes",$AC56="",TODAY()-$AC56&gt;90),"At Risk","Not At Risk"))</f>
        <v/>
      </c>
      <c r="AE56" s="85" t="n"/>
    </row>
    <row r="57" ht="15" customHeight="1" s="39">
      <c r="A57" s="85" t="n"/>
      <c r="B57" s="85" t="n"/>
      <c r="C57" s="85" t="n"/>
      <c r="D57" s="85" t="n"/>
      <c r="E57" s="85" t="n"/>
      <c r="F57" s="85" t="n"/>
      <c r="G57" s="85" t="n"/>
      <c r="H57" s="85" t="n"/>
      <c r="I57" s="85" t="n"/>
      <c r="J57" s="85" t="n"/>
      <c r="K57" s="85" t="n"/>
      <c r="L57" s="85" t="n"/>
      <c r="M57" s="85" t="n"/>
      <c r="N57" s="85" t="n"/>
      <c r="O57" s="85" t="n"/>
      <c r="P57" s="85" t="n"/>
      <c r="Q57" s="85" t="n"/>
      <c r="R57" s="85" t="n"/>
      <c r="S57" s="85" t="n"/>
      <c r="T57" s="85" t="n"/>
      <c r="U57" s="85" t="n"/>
      <c r="V57" s="85" t="n"/>
      <c r="W57" s="85" t="n"/>
      <c r="X57" s="85" t="n"/>
      <c r="Y57" s="85" t="n"/>
      <c r="Z57" s="85" t="n"/>
      <c r="AA57" s="85" t="n"/>
      <c r="AB57" s="85" t="n"/>
      <c r="AC57" s="86" t="n"/>
      <c r="AD57" s="85">
        <f>IF($A57="","",IF(OR($AB57&lt;&gt;"Yes",$AC57="",TODAY()-$AC57&gt;90),"At Risk","Not At Risk"))</f>
        <v/>
      </c>
      <c r="AE57" s="85" t="n"/>
    </row>
    <row r="58" ht="15" customHeight="1" s="39">
      <c r="A58" s="85" t="n"/>
      <c r="B58" s="85" t="n"/>
      <c r="C58" s="85" t="n"/>
      <c r="D58" s="85" t="n"/>
      <c r="E58" s="85" t="n"/>
      <c r="F58" s="85" t="n"/>
      <c r="G58" s="85" t="n"/>
      <c r="H58" s="85" t="n"/>
      <c r="I58" s="85" t="n"/>
      <c r="J58" s="85" t="n"/>
      <c r="K58" s="85" t="n"/>
      <c r="L58" s="85" t="n"/>
      <c r="M58" s="85" t="n"/>
      <c r="N58" s="85" t="n"/>
      <c r="O58" s="85" t="n"/>
      <c r="P58" s="85" t="n"/>
      <c r="Q58" s="85" t="n"/>
      <c r="R58" s="85" t="n"/>
      <c r="S58" s="85" t="n"/>
      <c r="T58" s="85" t="n"/>
      <c r="U58" s="85" t="n"/>
      <c r="V58" s="85" t="n"/>
      <c r="W58" s="85" t="n"/>
      <c r="X58" s="85" t="n"/>
      <c r="Y58" s="85" t="n"/>
      <c r="Z58" s="85" t="n"/>
      <c r="AA58" s="85" t="n"/>
      <c r="AB58" s="85" t="n"/>
      <c r="AC58" s="86" t="n"/>
      <c r="AD58" s="85">
        <f>IF($A58="","",IF(OR($AB58&lt;&gt;"Yes",$AC58="",TODAY()-$AC58&gt;90),"At Risk","Not At Risk"))</f>
        <v/>
      </c>
      <c r="AE58" s="85" t="n"/>
    </row>
    <row r="59" ht="15" customHeight="1" s="39">
      <c r="A59" s="85" t="n"/>
      <c r="B59" s="85" t="n"/>
      <c r="C59" s="85" t="n"/>
      <c r="D59" s="85" t="n"/>
      <c r="E59" s="85" t="n"/>
      <c r="F59" s="85" t="n"/>
      <c r="G59" s="85" t="n"/>
      <c r="H59" s="85" t="n"/>
      <c r="I59" s="85" t="n"/>
      <c r="J59" s="85" t="n"/>
      <c r="K59" s="85" t="n"/>
      <c r="L59" s="85" t="n"/>
      <c r="M59" s="85" t="n"/>
      <c r="N59" s="85" t="n"/>
      <c r="O59" s="85" t="n"/>
      <c r="P59" s="85" t="n"/>
      <c r="Q59" s="85" t="n"/>
      <c r="R59" s="85" t="n"/>
      <c r="S59" s="85" t="n"/>
      <c r="T59" s="85" t="n"/>
      <c r="U59" s="85" t="n"/>
      <c r="V59" s="85" t="n"/>
      <c r="W59" s="85" t="n"/>
      <c r="X59" s="85" t="n"/>
      <c r="Y59" s="85" t="n"/>
      <c r="Z59" s="85" t="n"/>
      <c r="AA59" s="85" t="n"/>
      <c r="AB59" s="85" t="n"/>
      <c r="AC59" s="86" t="n"/>
      <c r="AD59" s="85">
        <f>IF($A59="","",IF(OR($AB59&lt;&gt;"Yes",$AC59="",TODAY()-$AC59&gt;90),"At Risk","Not At Risk"))</f>
        <v/>
      </c>
      <c r="AE59" s="85" t="n"/>
    </row>
    <row r="60" ht="15" customHeight="1" s="39">
      <c r="A60" s="85" t="n"/>
      <c r="B60" s="85" t="n"/>
      <c r="C60" s="85" t="n"/>
      <c r="D60" s="85" t="n"/>
      <c r="E60" s="85" t="n"/>
      <c r="F60" s="85" t="n"/>
      <c r="G60" s="85" t="n"/>
      <c r="H60" s="85" t="n"/>
      <c r="I60" s="85" t="n"/>
      <c r="J60" s="85" t="n"/>
      <c r="K60" s="85" t="n"/>
      <c r="L60" s="85" t="n"/>
      <c r="M60" s="85" t="n"/>
      <c r="N60" s="85" t="n"/>
      <c r="O60" s="85" t="n"/>
      <c r="P60" s="85" t="n"/>
      <c r="Q60" s="85" t="n"/>
      <c r="R60" s="85" t="n"/>
      <c r="S60" s="85" t="n"/>
      <c r="T60" s="85" t="n"/>
      <c r="U60" s="85" t="n"/>
      <c r="V60" s="85" t="n"/>
      <c r="W60" s="85" t="n"/>
      <c r="X60" s="85" t="n"/>
      <c r="Y60" s="85" t="n"/>
      <c r="Z60" s="85" t="n"/>
      <c r="AA60" s="85" t="n"/>
      <c r="AB60" s="85" t="n"/>
      <c r="AC60" s="86" t="n"/>
      <c r="AD60" s="85">
        <f>IF($A60="","",IF(OR($AB60&lt;&gt;"Yes",$AC60="",TODAY()-$AC60&gt;90),"At Risk","Not At Risk"))</f>
        <v/>
      </c>
      <c r="AE60" s="85" t="n"/>
    </row>
    <row r="61" ht="15" customHeight="1" s="39">
      <c r="A61" s="85" t="n"/>
      <c r="B61" s="85" t="n"/>
      <c r="C61" s="85" t="n"/>
      <c r="D61" s="85" t="n"/>
      <c r="E61" s="85" t="n"/>
      <c r="F61" s="85" t="n"/>
      <c r="G61" s="85" t="n"/>
      <c r="H61" s="85" t="n"/>
      <c r="I61" s="85" t="n"/>
      <c r="J61" s="85" t="n"/>
      <c r="K61" s="85" t="n"/>
      <c r="L61" s="85" t="n"/>
      <c r="M61" s="85" t="n"/>
      <c r="N61" s="85" t="n"/>
      <c r="O61" s="85" t="n"/>
      <c r="P61" s="85" t="n"/>
      <c r="Q61" s="85" t="n"/>
      <c r="R61" s="85" t="n"/>
      <c r="S61" s="85" t="n"/>
      <c r="T61" s="85" t="n"/>
      <c r="U61" s="85" t="n"/>
      <c r="V61" s="85" t="n"/>
      <c r="W61" s="85" t="n"/>
      <c r="X61" s="85" t="n"/>
      <c r="Y61" s="85" t="n"/>
      <c r="Z61" s="85" t="n"/>
      <c r="AA61" s="85" t="n"/>
      <c r="AB61" s="85" t="n"/>
      <c r="AC61" s="86" t="n"/>
      <c r="AD61" s="85">
        <f>IF($A61="","",IF(OR($AB61&lt;&gt;"Yes",$AC61="",TODAY()-$AC61&gt;90),"At Risk","Not At Risk"))</f>
        <v/>
      </c>
      <c r="AE61" s="85" t="n"/>
    </row>
    <row r="62" ht="15" customHeight="1" s="39">
      <c r="A62" s="85" t="n"/>
      <c r="B62" s="85" t="n"/>
      <c r="C62" s="85" t="n"/>
      <c r="D62" s="85" t="n"/>
      <c r="E62" s="85" t="n"/>
      <c r="F62" s="85" t="n"/>
      <c r="G62" s="85" t="n"/>
      <c r="H62" s="85" t="n"/>
      <c r="I62" s="85" t="n"/>
      <c r="J62" s="85" t="n"/>
      <c r="K62" s="85" t="n"/>
      <c r="L62" s="85" t="n"/>
      <c r="M62" s="85" t="n"/>
      <c r="N62" s="85" t="n"/>
      <c r="O62" s="85" t="n"/>
      <c r="P62" s="85" t="n"/>
      <c r="Q62" s="85" t="n"/>
      <c r="R62" s="85" t="n"/>
      <c r="S62" s="85" t="n"/>
      <c r="T62" s="85" t="n"/>
      <c r="U62" s="85" t="n"/>
      <c r="V62" s="85" t="n"/>
      <c r="W62" s="85" t="n"/>
      <c r="X62" s="85" t="n"/>
      <c r="Y62" s="85" t="n"/>
      <c r="Z62" s="85" t="n"/>
      <c r="AA62" s="85" t="n"/>
      <c r="AB62" s="85" t="n"/>
      <c r="AC62" s="86" t="n"/>
      <c r="AD62" s="85">
        <f>IF($A62="","",IF(OR($AB62&lt;&gt;"Yes",$AC62="",TODAY()-$AC62&gt;90),"At Risk","Not At Risk"))</f>
        <v/>
      </c>
      <c r="AE62" s="85" t="n"/>
    </row>
    <row r="63" ht="15" customHeight="1" s="39">
      <c r="A63" s="85" t="n"/>
      <c r="B63" s="85" t="n"/>
      <c r="C63" s="85" t="n"/>
      <c r="D63" s="85" t="n"/>
      <c r="E63" s="85" t="n"/>
      <c r="F63" s="85" t="n"/>
      <c r="G63" s="85" t="n"/>
      <c r="H63" s="85" t="n"/>
      <c r="I63" s="85" t="n"/>
      <c r="J63" s="85" t="n"/>
      <c r="K63" s="85" t="n"/>
      <c r="L63" s="85" t="n"/>
      <c r="M63" s="85" t="n"/>
      <c r="N63" s="85" t="n"/>
      <c r="O63" s="85" t="n"/>
      <c r="P63" s="85" t="n"/>
      <c r="Q63" s="85" t="n"/>
      <c r="R63" s="85" t="n"/>
      <c r="S63" s="85" t="n"/>
      <c r="T63" s="85" t="n"/>
      <c r="U63" s="85" t="n"/>
      <c r="V63" s="85" t="n"/>
      <c r="W63" s="85" t="n"/>
      <c r="X63" s="85" t="n"/>
      <c r="Y63" s="85" t="n"/>
      <c r="Z63" s="85" t="n"/>
      <c r="AA63" s="85" t="n"/>
      <c r="AB63" s="85" t="n"/>
      <c r="AC63" s="86" t="n"/>
      <c r="AD63" s="85">
        <f>IF($A63="","",IF(OR($AB63&lt;&gt;"Yes",$AC63="",TODAY()-$AC63&gt;90),"At Risk","Not At Risk"))</f>
        <v/>
      </c>
      <c r="AE63" s="85" t="n"/>
    </row>
    <row r="64" ht="15" customHeight="1" s="39">
      <c r="A64" s="85" t="n"/>
      <c r="B64" s="85" t="n"/>
      <c r="C64" s="85" t="n"/>
      <c r="D64" s="85" t="n"/>
      <c r="E64" s="85" t="n"/>
      <c r="F64" s="85" t="n"/>
      <c r="G64" s="85" t="n"/>
      <c r="H64" s="85" t="n"/>
      <c r="I64" s="85" t="n"/>
      <c r="J64" s="85" t="n"/>
      <c r="K64" s="85" t="n"/>
      <c r="L64" s="85" t="n"/>
      <c r="M64" s="85" t="n"/>
      <c r="N64" s="85" t="n"/>
      <c r="O64" s="85" t="n"/>
      <c r="P64" s="85" t="n"/>
      <c r="Q64" s="85" t="n"/>
      <c r="R64" s="85" t="n"/>
      <c r="S64" s="85" t="n"/>
      <c r="T64" s="85" t="n"/>
      <c r="U64" s="85" t="n"/>
      <c r="V64" s="85" t="n"/>
      <c r="W64" s="85" t="n"/>
      <c r="X64" s="85" t="n"/>
      <c r="Y64" s="85" t="n"/>
      <c r="Z64" s="85" t="n"/>
      <c r="AA64" s="85" t="n"/>
      <c r="AB64" s="85" t="n"/>
      <c r="AC64" s="86" t="n"/>
      <c r="AD64" s="85">
        <f>IF($A64="","",IF(OR($AB64&lt;&gt;"Yes",$AC64="",TODAY()-$AC64&gt;90),"At Risk","Not At Risk"))</f>
        <v/>
      </c>
      <c r="AE64" s="85" t="n"/>
    </row>
    <row r="65" ht="15" customHeight="1" s="39">
      <c r="A65" s="85" t="n"/>
      <c r="B65" s="85" t="n"/>
      <c r="C65" s="85" t="n"/>
      <c r="D65" s="85" t="n"/>
      <c r="E65" s="85" t="n"/>
      <c r="F65" s="85" t="n"/>
      <c r="G65" s="85" t="n"/>
      <c r="H65" s="85" t="n"/>
      <c r="I65" s="85" t="n"/>
      <c r="J65" s="85" t="n"/>
      <c r="K65" s="85" t="n"/>
      <c r="L65" s="85" t="n"/>
      <c r="M65" s="85" t="n"/>
      <c r="N65" s="85" t="n"/>
      <c r="O65" s="85" t="n"/>
      <c r="P65" s="85" t="n"/>
      <c r="Q65" s="85" t="n"/>
      <c r="R65" s="85" t="n"/>
      <c r="S65" s="85" t="n"/>
      <c r="T65" s="85" t="n"/>
      <c r="U65" s="85" t="n"/>
      <c r="V65" s="85" t="n"/>
      <c r="W65" s="85" t="n"/>
      <c r="X65" s="85" t="n"/>
      <c r="Y65" s="85" t="n"/>
      <c r="Z65" s="85" t="n"/>
      <c r="AA65" s="85" t="n"/>
      <c r="AB65" s="85" t="n"/>
      <c r="AC65" s="86" t="n"/>
      <c r="AD65" s="85">
        <f>IF($A65="","",IF(OR($AB65&lt;&gt;"Yes",$AC65="",TODAY()-$AC65&gt;90),"At Risk","Not At Risk"))</f>
        <v/>
      </c>
      <c r="AE65" s="85" t="n"/>
    </row>
    <row r="66" ht="15" customHeight="1" s="39">
      <c r="A66" s="85" t="n"/>
      <c r="B66" s="85" t="n"/>
      <c r="C66" s="85" t="n"/>
      <c r="D66" s="85" t="n"/>
      <c r="E66" s="85" t="n"/>
      <c r="F66" s="85" t="n"/>
      <c r="G66" s="85" t="n"/>
      <c r="H66" s="85" t="n"/>
      <c r="I66" s="85" t="n"/>
      <c r="J66" s="85" t="n"/>
      <c r="K66" s="85" t="n"/>
      <c r="L66" s="85" t="n"/>
      <c r="M66" s="85" t="n"/>
      <c r="N66" s="85" t="n"/>
      <c r="O66" s="85" t="n"/>
      <c r="P66" s="85" t="n"/>
      <c r="Q66" s="85" t="n"/>
      <c r="R66" s="85" t="n"/>
      <c r="S66" s="85" t="n"/>
      <c r="T66" s="85" t="n"/>
      <c r="U66" s="85" t="n"/>
      <c r="V66" s="85" t="n"/>
      <c r="W66" s="85" t="n"/>
      <c r="X66" s="85" t="n"/>
      <c r="Y66" s="85" t="n"/>
      <c r="Z66" s="85" t="n"/>
      <c r="AA66" s="85" t="n"/>
      <c r="AB66" s="85" t="n"/>
      <c r="AC66" s="86" t="n"/>
      <c r="AD66" s="85">
        <f>IF($A66="","",IF(OR($AB66&lt;&gt;"Yes",$AC66="",TODAY()-$AC66&gt;90),"At Risk","Not At Risk"))</f>
        <v/>
      </c>
      <c r="AE66" s="85" t="n"/>
    </row>
    <row r="67" ht="15" customHeight="1" s="39">
      <c r="A67" s="85" t="n"/>
      <c r="B67" s="85" t="n"/>
      <c r="C67" s="85" t="n"/>
      <c r="D67" s="85" t="n"/>
      <c r="E67" s="85" t="n"/>
      <c r="F67" s="85" t="n"/>
      <c r="G67" s="85" t="n"/>
      <c r="H67" s="85" t="n"/>
      <c r="I67" s="85" t="n"/>
      <c r="J67" s="85" t="n"/>
      <c r="K67" s="85" t="n"/>
      <c r="L67" s="85" t="n"/>
      <c r="M67" s="85" t="n"/>
      <c r="N67" s="85" t="n"/>
      <c r="O67" s="85" t="n"/>
      <c r="P67" s="85" t="n"/>
      <c r="Q67" s="85" t="n"/>
      <c r="R67" s="85" t="n"/>
      <c r="S67" s="85" t="n"/>
      <c r="T67" s="85" t="n"/>
      <c r="U67" s="85" t="n"/>
      <c r="V67" s="85" t="n"/>
      <c r="W67" s="85" t="n"/>
      <c r="X67" s="85" t="n"/>
      <c r="Y67" s="85" t="n"/>
      <c r="Z67" s="85" t="n"/>
      <c r="AA67" s="85" t="n"/>
      <c r="AB67" s="85" t="n"/>
      <c r="AC67" s="86" t="n"/>
      <c r="AD67" s="85">
        <f>IF($A67="","",IF(OR($AB67&lt;&gt;"Yes",$AC67="",TODAY()-$AC67&gt;90),"At Risk","Not At Risk"))</f>
        <v/>
      </c>
      <c r="AE67" s="85" t="n"/>
    </row>
    <row r="68" ht="15" customHeight="1" s="39">
      <c r="A68" s="85" t="n"/>
      <c r="B68" s="85" t="n"/>
      <c r="C68" s="85" t="n"/>
      <c r="D68" s="85" t="n"/>
      <c r="E68" s="85" t="n"/>
      <c r="F68" s="85" t="n"/>
      <c r="G68" s="85" t="n"/>
      <c r="H68" s="85" t="n"/>
      <c r="I68" s="85" t="n"/>
      <c r="J68" s="85" t="n"/>
      <c r="K68" s="85" t="n"/>
      <c r="L68" s="85" t="n"/>
      <c r="M68" s="85" t="n"/>
      <c r="N68" s="85" t="n"/>
      <c r="O68" s="85" t="n"/>
      <c r="P68" s="85" t="n"/>
      <c r="Q68" s="85" t="n"/>
      <c r="R68" s="85" t="n"/>
      <c r="S68" s="85" t="n"/>
      <c r="T68" s="85" t="n"/>
      <c r="U68" s="85" t="n"/>
      <c r="V68" s="85" t="n"/>
      <c r="W68" s="85" t="n"/>
      <c r="X68" s="85" t="n"/>
      <c r="Y68" s="85" t="n"/>
      <c r="Z68" s="85" t="n"/>
      <c r="AA68" s="85" t="n"/>
      <c r="AB68" s="85" t="n"/>
      <c r="AC68" s="86" t="n"/>
      <c r="AD68" s="85">
        <f>IF($A68="","",IF(OR($AB68&lt;&gt;"Yes",$AC68="",TODAY()-$AC68&gt;90),"At Risk","Not At Risk"))</f>
        <v/>
      </c>
      <c r="AE68" s="85" t="n"/>
    </row>
    <row r="69" ht="15" customHeight="1" s="39">
      <c r="A69" s="85" t="n"/>
      <c r="B69" s="85" t="n"/>
      <c r="C69" s="85" t="n"/>
      <c r="D69" s="85" t="n"/>
      <c r="E69" s="85" t="n"/>
      <c r="F69" s="85" t="n"/>
      <c r="G69" s="85" t="n"/>
      <c r="H69" s="85" t="n"/>
      <c r="I69" s="85" t="n"/>
      <c r="J69" s="85" t="n"/>
      <c r="K69" s="85" t="n"/>
      <c r="L69" s="85" t="n"/>
      <c r="M69" s="85" t="n"/>
      <c r="N69" s="85" t="n"/>
      <c r="O69" s="85" t="n"/>
      <c r="P69" s="85" t="n"/>
      <c r="Q69" s="85" t="n"/>
      <c r="R69" s="85" t="n"/>
      <c r="S69" s="85" t="n"/>
      <c r="T69" s="85" t="n"/>
      <c r="U69" s="85" t="n"/>
      <c r="V69" s="85" t="n"/>
      <c r="W69" s="85" t="n"/>
      <c r="X69" s="85" t="n"/>
      <c r="Y69" s="85" t="n"/>
      <c r="Z69" s="85" t="n"/>
      <c r="AA69" s="85" t="n"/>
      <c r="AB69" s="85" t="n"/>
      <c r="AC69" s="86" t="n"/>
      <c r="AD69" s="85">
        <f>IF($A69="","",IF(OR($AB69&lt;&gt;"Yes",$AC69="",TODAY()-$AC69&gt;90),"At Risk","Not At Risk"))</f>
        <v/>
      </c>
      <c r="AE69" s="85" t="n"/>
    </row>
    <row r="70" ht="15" customHeight="1" s="39">
      <c r="A70" s="85" t="n"/>
      <c r="B70" s="85" t="n"/>
      <c r="C70" s="85" t="n"/>
      <c r="D70" s="85" t="n"/>
      <c r="E70" s="85" t="n"/>
      <c r="F70" s="85" t="n"/>
      <c r="G70" s="85" t="n"/>
      <c r="H70" s="85" t="n"/>
      <c r="I70" s="85" t="n"/>
      <c r="J70" s="85" t="n"/>
      <c r="K70" s="85" t="n"/>
      <c r="L70" s="85" t="n"/>
      <c r="M70" s="85" t="n"/>
      <c r="N70" s="85" t="n"/>
      <c r="O70" s="85" t="n"/>
      <c r="P70" s="85" t="n"/>
      <c r="Q70" s="85" t="n"/>
      <c r="R70" s="85" t="n"/>
      <c r="S70" s="85" t="n"/>
      <c r="T70" s="85" t="n"/>
      <c r="U70" s="85" t="n"/>
      <c r="V70" s="85" t="n"/>
      <c r="W70" s="85" t="n"/>
      <c r="X70" s="85" t="n"/>
      <c r="Y70" s="85" t="n"/>
      <c r="Z70" s="85" t="n"/>
      <c r="AA70" s="85" t="n"/>
      <c r="AB70" s="85" t="n"/>
      <c r="AC70" s="86" t="n"/>
      <c r="AD70" s="85">
        <f>IF($A70="","",IF(OR($AB70&lt;&gt;"Yes",$AC70="",TODAY()-$AC70&gt;90),"At Risk","Not At Risk"))</f>
        <v/>
      </c>
      <c r="AE70" s="85" t="n"/>
    </row>
    <row r="71" ht="15" customHeight="1" s="39">
      <c r="A71" s="85" t="n"/>
      <c r="B71" s="85" t="n"/>
      <c r="C71" s="85" t="n"/>
      <c r="D71" s="85" t="n"/>
      <c r="E71" s="85" t="n"/>
      <c r="F71" s="85" t="n"/>
      <c r="G71" s="85" t="n"/>
      <c r="H71" s="85" t="n"/>
      <c r="I71" s="85" t="n"/>
      <c r="J71" s="85" t="n"/>
      <c r="K71" s="85" t="n"/>
      <c r="L71" s="85" t="n"/>
      <c r="M71" s="85" t="n"/>
      <c r="N71" s="85" t="n"/>
      <c r="O71" s="85" t="n"/>
      <c r="P71" s="85" t="n"/>
      <c r="Q71" s="85" t="n"/>
      <c r="R71" s="85" t="n"/>
      <c r="S71" s="85" t="n"/>
      <c r="T71" s="85" t="n"/>
      <c r="U71" s="85" t="n"/>
      <c r="V71" s="85" t="n"/>
      <c r="W71" s="85" t="n"/>
      <c r="X71" s="85" t="n"/>
      <c r="Y71" s="85" t="n"/>
      <c r="Z71" s="85" t="n"/>
      <c r="AA71" s="85" t="n"/>
      <c r="AB71" s="85" t="n"/>
      <c r="AC71" s="86" t="n"/>
      <c r="AD71" s="85">
        <f>IF($A71="","",IF(OR($AB71&lt;&gt;"Yes",$AC71="",TODAY()-$AC71&gt;90),"At Risk","Not At Risk"))</f>
        <v/>
      </c>
      <c r="AE71" s="85" t="n"/>
    </row>
    <row r="72" ht="15" customHeight="1" s="39">
      <c r="A72" s="85" t="n"/>
      <c r="B72" s="85" t="n"/>
      <c r="C72" s="85" t="n"/>
      <c r="D72" s="85" t="n"/>
      <c r="E72" s="85" t="n"/>
      <c r="F72" s="85" t="n"/>
      <c r="G72" s="85" t="n"/>
      <c r="H72" s="85" t="n"/>
      <c r="I72" s="85" t="n"/>
      <c r="J72" s="85" t="n"/>
      <c r="K72" s="85" t="n"/>
      <c r="L72" s="85" t="n"/>
      <c r="M72" s="85" t="n"/>
      <c r="N72" s="85" t="n"/>
      <c r="O72" s="85" t="n"/>
      <c r="P72" s="85" t="n"/>
      <c r="Q72" s="85" t="n"/>
      <c r="R72" s="85" t="n"/>
      <c r="S72" s="85" t="n"/>
      <c r="T72" s="85" t="n"/>
      <c r="U72" s="85" t="n"/>
      <c r="V72" s="85" t="n"/>
      <c r="W72" s="85" t="n"/>
      <c r="X72" s="85" t="n"/>
      <c r="Y72" s="85" t="n"/>
      <c r="Z72" s="85" t="n"/>
      <c r="AA72" s="85" t="n"/>
      <c r="AB72" s="85" t="n"/>
      <c r="AC72" s="86" t="n"/>
      <c r="AD72" s="85">
        <f>IF($A72="","",IF(OR($AB72&lt;&gt;"Yes",$AC72="",TODAY()-$AC72&gt;90),"At Risk","Not At Risk"))</f>
        <v/>
      </c>
      <c r="AE72" s="85" t="n"/>
    </row>
    <row r="73" ht="15" customHeight="1" s="39">
      <c r="A73" s="85" t="n"/>
      <c r="B73" s="85" t="n"/>
      <c r="C73" s="85" t="n"/>
      <c r="D73" s="85" t="n"/>
      <c r="E73" s="85" t="n"/>
      <c r="F73" s="85" t="n"/>
      <c r="G73" s="85" t="n"/>
      <c r="H73" s="85" t="n"/>
      <c r="I73" s="85" t="n"/>
      <c r="J73" s="85" t="n"/>
      <c r="K73" s="85" t="n"/>
      <c r="L73" s="85" t="n"/>
      <c r="M73" s="85" t="n"/>
      <c r="N73" s="85" t="n"/>
      <c r="O73" s="85" t="n"/>
      <c r="P73" s="85" t="n"/>
      <c r="Q73" s="85" t="n"/>
      <c r="R73" s="85" t="n"/>
      <c r="S73" s="85" t="n"/>
      <c r="T73" s="85" t="n"/>
      <c r="U73" s="85" t="n"/>
      <c r="V73" s="85" t="n"/>
      <c r="W73" s="85" t="n"/>
      <c r="X73" s="85" t="n"/>
      <c r="Y73" s="85" t="n"/>
      <c r="Z73" s="85" t="n"/>
      <c r="AA73" s="85" t="n"/>
      <c r="AB73" s="85" t="n"/>
      <c r="AC73" s="86" t="n"/>
      <c r="AD73" s="85">
        <f>IF($A73="","",IF(OR($AB73&lt;&gt;"Yes",$AC73="",TODAY()-$AC73&gt;90),"At Risk","Not At Risk"))</f>
        <v/>
      </c>
      <c r="AE73" s="85" t="n"/>
    </row>
    <row r="74" ht="15" customHeight="1" s="39">
      <c r="A74" s="85" t="n"/>
      <c r="B74" s="85" t="n"/>
      <c r="C74" s="85" t="n"/>
      <c r="D74" s="85" t="n"/>
      <c r="E74" s="85" t="n"/>
      <c r="F74" s="85" t="n"/>
      <c r="G74" s="85" t="n"/>
      <c r="H74" s="85" t="n"/>
      <c r="I74" s="85" t="n"/>
      <c r="J74" s="85" t="n"/>
      <c r="K74" s="85" t="n"/>
      <c r="L74" s="85" t="n"/>
      <c r="M74" s="85" t="n"/>
      <c r="N74" s="85" t="n"/>
      <c r="O74" s="85" t="n"/>
      <c r="P74" s="85" t="n"/>
      <c r="Q74" s="85" t="n"/>
      <c r="R74" s="85" t="n"/>
      <c r="S74" s="85" t="n"/>
      <c r="T74" s="85" t="n"/>
      <c r="U74" s="85" t="n"/>
      <c r="V74" s="85" t="n"/>
      <c r="W74" s="85" t="n"/>
      <c r="X74" s="85" t="n"/>
      <c r="Y74" s="85" t="n"/>
      <c r="Z74" s="85" t="n"/>
      <c r="AA74" s="85" t="n"/>
      <c r="AB74" s="85" t="n"/>
      <c r="AC74" s="86" t="n"/>
      <c r="AD74" s="85">
        <f>IF($A74="","",IF(OR($AB74&lt;&gt;"Yes",$AC74="",TODAY()-$AC74&gt;90),"At Risk","Not At Risk"))</f>
        <v/>
      </c>
      <c r="AE74" s="85" t="n"/>
    </row>
    <row r="75" ht="15" customHeight="1" s="39">
      <c r="A75" s="85" t="n"/>
      <c r="B75" s="85" t="n"/>
      <c r="C75" s="85" t="n"/>
      <c r="D75" s="85" t="n"/>
      <c r="E75" s="85" t="n"/>
      <c r="F75" s="85" t="n"/>
      <c r="G75" s="85" t="n"/>
      <c r="H75" s="85" t="n"/>
      <c r="I75" s="85" t="n"/>
      <c r="J75" s="85" t="n"/>
      <c r="K75" s="85" t="n"/>
      <c r="L75" s="85" t="n"/>
      <c r="M75" s="85" t="n"/>
      <c r="N75" s="85" t="n"/>
      <c r="O75" s="85" t="n"/>
      <c r="P75" s="85" t="n"/>
      <c r="Q75" s="85" t="n"/>
      <c r="R75" s="85" t="n"/>
      <c r="S75" s="85" t="n"/>
      <c r="T75" s="85" t="n"/>
      <c r="U75" s="85" t="n"/>
      <c r="V75" s="85" t="n"/>
      <c r="W75" s="85" t="n"/>
      <c r="X75" s="85" t="n"/>
      <c r="Y75" s="85" t="n"/>
      <c r="Z75" s="85" t="n"/>
      <c r="AA75" s="85" t="n"/>
      <c r="AB75" s="85" t="n"/>
      <c r="AC75" s="86" t="n"/>
      <c r="AD75" s="85">
        <f>IF($A75="","",IF(OR($AB75&lt;&gt;"Yes",$AC75="",TODAY()-$AC75&gt;90),"At Risk","Not At Risk"))</f>
        <v/>
      </c>
      <c r="AE75" s="85" t="n"/>
    </row>
    <row r="76" ht="15" customHeight="1" s="39">
      <c r="A76" s="85" t="n"/>
      <c r="B76" s="85" t="n"/>
      <c r="C76" s="85" t="n"/>
      <c r="D76" s="85" t="n"/>
      <c r="E76" s="85" t="n"/>
      <c r="F76" s="85" t="n"/>
      <c r="G76" s="85" t="n"/>
      <c r="H76" s="85" t="n"/>
      <c r="I76" s="85" t="n"/>
      <c r="J76" s="85" t="n"/>
      <c r="K76" s="85" t="n"/>
      <c r="L76" s="85" t="n"/>
      <c r="M76" s="85" t="n"/>
      <c r="N76" s="85" t="n"/>
      <c r="O76" s="85" t="n"/>
      <c r="P76" s="85" t="n"/>
      <c r="Q76" s="85" t="n"/>
      <c r="R76" s="85" t="n"/>
      <c r="S76" s="85" t="n"/>
      <c r="T76" s="85" t="n"/>
      <c r="U76" s="85" t="n"/>
      <c r="V76" s="85" t="n"/>
      <c r="W76" s="85" t="n"/>
      <c r="X76" s="85" t="n"/>
      <c r="Y76" s="85" t="n"/>
      <c r="Z76" s="85" t="n"/>
      <c r="AA76" s="85" t="n"/>
      <c r="AB76" s="85" t="n"/>
      <c r="AC76" s="86" t="n"/>
      <c r="AD76" s="85">
        <f>IF($A76="","",IF(OR($AB76&lt;&gt;"Yes",$AC76="",TODAY()-$AC76&gt;90),"At Risk","Not At Risk"))</f>
        <v/>
      </c>
      <c r="AE76" s="85" t="n"/>
    </row>
    <row r="77" ht="15" customHeight="1" s="39">
      <c r="A77" s="85" t="n"/>
      <c r="B77" s="85" t="n"/>
      <c r="C77" s="85" t="n"/>
      <c r="D77" s="85" t="n"/>
      <c r="E77" s="85" t="n"/>
      <c r="F77" s="85" t="n"/>
      <c r="G77" s="85" t="n"/>
      <c r="H77" s="85" t="n"/>
      <c r="I77" s="85" t="n"/>
      <c r="J77" s="85" t="n"/>
      <c r="K77" s="85" t="n"/>
      <c r="L77" s="85" t="n"/>
      <c r="M77" s="85" t="n"/>
      <c r="N77" s="85" t="n"/>
      <c r="O77" s="85" t="n"/>
      <c r="P77" s="85" t="n"/>
      <c r="Q77" s="85" t="n"/>
      <c r="R77" s="85" t="n"/>
      <c r="S77" s="85" t="n"/>
      <c r="T77" s="85" t="n"/>
      <c r="U77" s="85" t="n"/>
      <c r="V77" s="85" t="n"/>
      <c r="W77" s="85" t="n"/>
      <c r="X77" s="85" t="n"/>
      <c r="Y77" s="85" t="n"/>
      <c r="Z77" s="85" t="n"/>
      <c r="AA77" s="85" t="n"/>
      <c r="AB77" s="85" t="n"/>
      <c r="AC77" s="86" t="n"/>
      <c r="AD77" s="85">
        <f>IF($A77="","",IF(OR($AB77&lt;&gt;"Yes",$AC77="",TODAY()-$AC77&gt;90),"At Risk","Not At Risk"))</f>
        <v/>
      </c>
      <c r="AE77" s="85" t="n"/>
    </row>
    <row r="78" ht="15" customHeight="1" s="39">
      <c r="A78" s="85" t="n"/>
      <c r="B78" s="85" t="n"/>
      <c r="C78" s="85" t="n"/>
      <c r="D78" s="85" t="n"/>
      <c r="E78" s="85" t="n"/>
      <c r="F78" s="85" t="n"/>
      <c r="G78" s="85" t="n"/>
      <c r="H78" s="85" t="n"/>
      <c r="I78" s="85" t="n"/>
      <c r="J78" s="85" t="n"/>
      <c r="K78" s="85" t="n"/>
      <c r="L78" s="85" t="n"/>
      <c r="M78" s="85" t="n"/>
      <c r="N78" s="85" t="n"/>
      <c r="O78" s="85" t="n"/>
      <c r="P78" s="85" t="n"/>
      <c r="Q78" s="85" t="n"/>
      <c r="R78" s="85" t="n"/>
      <c r="S78" s="85" t="n"/>
      <c r="T78" s="85" t="n"/>
      <c r="U78" s="85" t="n"/>
      <c r="V78" s="85" t="n"/>
      <c r="W78" s="85" t="n"/>
      <c r="X78" s="85" t="n"/>
      <c r="Y78" s="85" t="n"/>
      <c r="Z78" s="85" t="n"/>
      <c r="AA78" s="85" t="n"/>
      <c r="AB78" s="85" t="n"/>
      <c r="AC78" s="86" t="n"/>
      <c r="AD78" s="85">
        <f>IF($A78="","",IF(OR($AB78&lt;&gt;"Yes",$AC78="",TODAY()-$AC78&gt;90),"At Risk","Not At Risk"))</f>
        <v/>
      </c>
      <c r="AE78" s="85" t="n"/>
    </row>
    <row r="79" ht="15" customHeight="1" s="39">
      <c r="A79" s="85" t="n"/>
      <c r="B79" s="85" t="n"/>
      <c r="C79" s="85" t="n"/>
      <c r="D79" s="85" t="n"/>
      <c r="E79" s="85" t="n"/>
      <c r="F79" s="85" t="n"/>
      <c r="G79" s="85" t="n"/>
      <c r="H79" s="85" t="n"/>
      <c r="I79" s="85" t="n"/>
      <c r="J79" s="85" t="n"/>
      <c r="K79" s="85" t="n"/>
      <c r="L79" s="85" t="n"/>
      <c r="M79" s="85" t="n"/>
      <c r="N79" s="85" t="n"/>
      <c r="O79" s="85" t="n"/>
      <c r="P79" s="85" t="n"/>
      <c r="Q79" s="85" t="n"/>
      <c r="R79" s="85" t="n"/>
      <c r="S79" s="85" t="n"/>
      <c r="T79" s="85" t="n"/>
      <c r="U79" s="85" t="n"/>
      <c r="V79" s="85" t="n"/>
      <c r="W79" s="85" t="n"/>
      <c r="X79" s="85" t="n"/>
      <c r="Y79" s="85" t="n"/>
      <c r="Z79" s="85" t="n"/>
      <c r="AA79" s="85" t="n"/>
      <c r="AB79" s="85" t="n"/>
      <c r="AC79" s="86" t="n"/>
      <c r="AD79" s="85">
        <f>IF($A79="","",IF(OR($AB79&lt;&gt;"Yes",$AC79="",TODAY()-$AC79&gt;90),"At Risk","Not At Risk"))</f>
        <v/>
      </c>
      <c r="AE79" s="85" t="n"/>
    </row>
    <row r="80" ht="15" customHeight="1" s="39">
      <c r="A80" s="85" t="n"/>
      <c r="B80" s="85" t="n"/>
      <c r="C80" s="85" t="n"/>
      <c r="D80" s="85" t="n"/>
      <c r="E80" s="85" t="n"/>
      <c r="F80" s="85" t="n"/>
      <c r="G80" s="85" t="n"/>
      <c r="H80" s="85" t="n"/>
      <c r="I80" s="85" t="n"/>
      <c r="J80" s="85" t="n"/>
      <c r="K80" s="85" t="n"/>
      <c r="L80" s="85" t="n"/>
      <c r="M80" s="85" t="n"/>
      <c r="N80" s="85" t="n"/>
      <c r="O80" s="85" t="n"/>
      <c r="P80" s="85" t="n"/>
      <c r="Q80" s="85" t="n"/>
      <c r="R80" s="85" t="n"/>
      <c r="S80" s="85" t="n"/>
      <c r="T80" s="85" t="n"/>
      <c r="U80" s="85" t="n"/>
      <c r="V80" s="85" t="n"/>
      <c r="W80" s="85" t="n"/>
      <c r="X80" s="85" t="n"/>
      <c r="Y80" s="85" t="n"/>
      <c r="Z80" s="85" t="n"/>
      <c r="AA80" s="85" t="n"/>
      <c r="AB80" s="85" t="n"/>
      <c r="AC80" s="86" t="n"/>
      <c r="AD80" s="85">
        <f>IF($A80="","",IF(OR($AB80&lt;&gt;"Yes",$AC80="",TODAY()-$AC80&gt;90),"At Risk","Not At Risk"))</f>
        <v/>
      </c>
      <c r="AE80" s="85" t="n"/>
    </row>
    <row r="81" ht="15" customHeight="1" s="39">
      <c r="A81" s="85" t="n"/>
      <c r="B81" s="85" t="n"/>
      <c r="C81" s="85" t="n"/>
      <c r="D81" s="85" t="n"/>
      <c r="E81" s="85" t="n"/>
      <c r="F81" s="85" t="n"/>
      <c r="G81" s="85" t="n"/>
      <c r="H81" s="85" t="n"/>
      <c r="I81" s="85" t="n"/>
      <c r="J81" s="85" t="n"/>
      <c r="K81" s="85" t="n"/>
      <c r="L81" s="85" t="n"/>
      <c r="M81" s="85" t="n"/>
      <c r="N81" s="85" t="n"/>
      <c r="O81" s="85" t="n"/>
      <c r="P81" s="85" t="n"/>
      <c r="Q81" s="85" t="n"/>
      <c r="R81" s="85" t="n"/>
      <c r="S81" s="85" t="n"/>
      <c r="T81" s="85" t="n"/>
      <c r="U81" s="85" t="n"/>
      <c r="V81" s="85" t="n"/>
      <c r="W81" s="85" t="n"/>
      <c r="X81" s="85" t="n"/>
      <c r="Y81" s="85" t="n"/>
      <c r="Z81" s="85" t="n"/>
      <c r="AA81" s="85" t="n"/>
      <c r="AB81" s="85" t="n"/>
      <c r="AC81" s="86" t="n"/>
      <c r="AD81" s="85">
        <f>IF($A81="","",IF(OR($AB81&lt;&gt;"Yes",$AC81="",TODAY()-$AC81&gt;90),"At Risk","Not At Risk"))</f>
        <v/>
      </c>
      <c r="AE81" s="85" t="n"/>
    </row>
    <row r="82" ht="15" customHeight="1" s="39">
      <c r="A82" s="85" t="n"/>
      <c r="B82" s="85" t="n"/>
      <c r="C82" s="85" t="n"/>
      <c r="D82" s="85" t="n"/>
      <c r="E82" s="85" t="n"/>
      <c r="F82" s="85" t="n"/>
      <c r="G82" s="85" t="n"/>
      <c r="H82" s="85" t="n"/>
      <c r="I82" s="85" t="n"/>
      <c r="J82" s="85" t="n"/>
      <c r="K82" s="85" t="n"/>
      <c r="L82" s="85" t="n"/>
      <c r="M82" s="85" t="n"/>
      <c r="N82" s="85" t="n"/>
      <c r="O82" s="85" t="n"/>
      <c r="P82" s="85" t="n"/>
      <c r="Q82" s="85" t="n"/>
      <c r="R82" s="85" t="n"/>
      <c r="S82" s="85" t="n"/>
      <c r="T82" s="85" t="n"/>
      <c r="U82" s="85" t="n"/>
      <c r="V82" s="85" t="n"/>
      <c r="W82" s="85" t="n"/>
      <c r="X82" s="85" t="n"/>
      <c r="Y82" s="85" t="n"/>
      <c r="Z82" s="85" t="n"/>
      <c r="AA82" s="85" t="n"/>
      <c r="AB82" s="85" t="n"/>
      <c r="AC82" s="86" t="n"/>
      <c r="AD82" s="85">
        <f>IF($A82="","",IF(OR($AB82&lt;&gt;"Yes",$AC82="",TODAY()-$AC82&gt;90),"At Risk","Not At Risk"))</f>
        <v/>
      </c>
      <c r="AE82" s="85" t="n"/>
    </row>
    <row r="83" ht="15" customHeight="1" s="39">
      <c r="A83" s="85" t="n"/>
      <c r="B83" s="85" t="n"/>
      <c r="C83" s="85" t="n"/>
      <c r="D83" s="85" t="n"/>
      <c r="E83" s="85" t="n"/>
      <c r="F83" s="85" t="n"/>
      <c r="G83" s="85" t="n"/>
      <c r="H83" s="85" t="n"/>
      <c r="I83" s="85" t="n"/>
      <c r="J83" s="85" t="n"/>
      <c r="K83" s="85" t="n"/>
      <c r="L83" s="85" t="n"/>
      <c r="M83" s="85" t="n"/>
      <c r="N83" s="85" t="n"/>
      <c r="O83" s="85" t="n"/>
      <c r="P83" s="85" t="n"/>
      <c r="Q83" s="85" t="n"/>
      <c r="R83" s="85" t="n"/>
      <c r="S83" s="85" t="n"/>
      <c r="T83" s="85" t="n"/>
      <c r="U83" s="85" t="n"/>
      <c r="V83" s="85" t="n"/>
      <c r="W83" s="85" t="n"/>
      <c r="X83" s="85" t="n"/>
      <c r="Y83" s="85" t="n"/>
      <c r="Z83" s="85" t="n"/>
      <c r="AA83" s="85" t="n"/>
      <c r="AB83" s="85" t="n"/>
      <c r="AC83" s="86" t="n"/>
      <c r="AD83" s="85">
        <f>IF($A83="","",IF(OR($AB83&lt;&gt;"Yes",$AC83="",TODAY()-$AC83&gt;90),"At Risk","Not At Risk"))</f>
        <v/>
      </c>
      <c r="AE83" s="85" t="n"/>
    </row>
    <row r="84" ht="15" customHeight="1" s="39">
      <c r="A84" s="85" t="n"/>
      <c r="B84" s="85" t="n"/>
      <c r="C84" s="85" t="n"/>
      <c r="D84" s="85" t="n"/>
      <c r="E84" s="85" t="n"/>
      <c r="F84" s="85" t="n"/>
      <c r="G84" s="85" t="n"/>
      <c r="H84" s="85" t="n"/>
      <c r="I84" s="85" t="n"/>
      <c r="J84" s="85" t="n"/>
      <c r="K84" s="85" t="n"/>
      <c r="L84" s="85" t="n"/>
      <c r="M84" s="85" t="n"/>
      <c r="N84" s="85" t="n"/>
      <c r="O84" s="85" t="n"/>
      <c r="P84" s="85" t="n"/>
      <c r="Q84" s="85" t="n"/>
      <c r="R84" s="85" t="n"/>
      <c r="S84" s="85" t="n"/>
      <c r="T84" s="85" t="n"/>
      <c r="U84" s="85" t="n"/>
      <c r="V84" s="85" t="n"/>
      <c r="W84" s="85" t="n"/>
      <c r="X84" s="85" t="n"/>
      <c r="Y84" s="85" t="n"/>
      <c r="Z84" s="85" t="n"/>
      <c r="AA84" s="85" t="n"/>
      <c r="AB84" s="85" t="n"/>
      <c r="AC84" s="86" t="n"/>
      <c r="AD84" s="85">
        <f>IF($A84="","",IF(OR($AB84&lt;&gt;"Yes",$AC84="",TODAY()-$AC84&gt;90),"At Risk","Not At Risk"))</f>
        <v/>
      </c>
      <c r="AE84" s="85" t="n"/>
    </row>
    <row r="85" ht="15" customHeight="1" s="39">
      <c r="A85" s="85" t="n"/>
      <c r="B85" s="85" t="n"/>
      <c r="C85" s="85" t="n"/>
      <c r="D85" s="85" t="n"/>
      <c r="E85" s="85" t="n"/>
      <c r="F85" s="85" t="n"/>
      <c r="G85" s="85" t="n"/>
      <c r="H85" s="85" t="n"/>
      <c r="I85" s="85" t="n"/>
      <c r="J85" s="85" t="n"/>
      <c r="K85" s="85" t="n"/>
      <c r="L85" s="85" t="n"/>
      <c r="M85" s="85" t="n"/>
      <c r="N85" s="85" t="n"/>
      <c r="O85" s="85" t="n"/>
      <c r="P85" s="85" t="n"/>
      <c r="Q85" s="85" t="n"/>
      <c r="R85" s="85" t="n"/>
      <c r="S85" s="85" t="n"/>
      <c r="T85" s="85" t="n"/>
      <c r="U85" s="85" t="n"/>
      <c r="V85" s="85" t="n"/>
      <c r="W85" s="85" t="n"/>
      <c r="X85" s="85" t="n"/>
      <c r="Y85" s="85" t="n"/>
      <c r="Z85" s="85" t="n"/>
      <c r="AA85" s="85" t="n"/>
      <c r="AB85" s="85" t="n"/>
      <c r="AC85" s="86" t="n"/>
      <c r="AD85" s="85">
        <f>IF($A85="","",IF(OR($AB85&lt;&gt;"Yes",$AC85="",TODAY()-$AC85&gt;90),"At Risk","Not At Risk"))</f>
        <v/>
      </c>
      <c r="AE85" s="85" t="n"/>
    </row>
    <row r="86" ht="15" customHeight="1" s="39">
      <c r="A86" s="85" t="n"/>
      <c r="B86" s="85" t="n"/>
      <c r="C86" s="85" t="n"/>
      <c r="D86" s="85" t="n"/>
      <c r="E86" s="85" t="n"/>
      <c r="F86" s="85" t="n"/>
      <c r="G86" s="85" t="n"/>
      <c r="H86" s="85" t="n"/>
      <c r="I86" s="85" t="n"/>
      <c r="J86" s="85" t="n"/>
      <c r="K86" s="85" t="n"/>
      <c r="L86" s="85" t="n"/>
      <c r="M86" s="85" t="n"/>
      <c r="N86" s="85" t="n"/>
      <c r="O86" s="85" t="n"/>
      <c r="P86" s="85" t="n"/>
      <c r="Q86" s="85" t="n"/>
      <c r="R86" s="85" t="n"/>
      <c r="S86" s="85" t="n"/>
      <c r="T86" s="85" t="n"/>
      <c r="U86" s="85" t="n"/>
      <c r="V86" s="85" t="n"/>
      <c r="W86" s="85" t="n"/>
      <c r="X86" s="85" t="n"/>
      <c r="Y86" s="85" t="n"/>
      <c r="Z86" s="85" t="n"/>
      <c r="AA86" s="85" t="n"/>
      <c r="AB86" s="85" t="n"/>
      <c r="AC86" s="86" t="n"/>
      <c r="AD86" s="85">
        <f>IF($A86="","",IF(OR($AB86&lt;&gt;"Yes",$AC86="",TODAY()-$AC86&gt;90),"At Risk","Not At Risk"))</f>
        <v/>
      </c>
      <c r="AE86" s="85" t="n"/>
    </row>
    <row r="87" ht="15" customHeight="1" s="39">
      <c r="A87" s="85" t="n"/>
      <c r="B87" s="85" t="n"/>
      <c r="C87" s="85" t="n"/>
      <c r="D87" s="85" t="n"/>
      <c r="E87" s="85" t="n"/>
      <c r="F87" s="85" t="n"/>
      <c r="G87" s="85" t="n"/>
      <c r="H87" s="85" t="n"/>
      <c r="I87" s="85" t="n"/>
      <c r="J87" s="85" t="n"/>
      <c r="K87" s="85" t="n"/>
      <c r="L87" s="85" t="n"/>
      <c r="M87" s="85" t="n"/>
      <c r="N87" s="85" t="n"/>
      <c r="O87" s="85" t="n"/>
      <c r="P87" s="85" t="n"/>
      <c r="Q87" s="85" t="n"/>
      <c r="R87" s="85" t="n"/>
      <c r="S87" s="85" t="n"/>
      <c r="T87" s="85" t="n"/>
      <c r="U87" s="85" t="n"/>
      <c r="V87" s="85" t="n"/>
      <c r="W87" s="85" t="n"/>
      <c r="X87" s="85" t="n"/>
      <c r="Y87" s="85" t="n"/>
      <c r="Z87" s="85" t="n"/>
      <c r="AA87" s="85" t="n"/>
      <c r="AB87" s="85" t="n"/>
      <c r="AC87" s="86" t="n"/>
      <c r="AD87" s="85">
        <f>IF($A87="","",IF(OR($AB87&lt;&gt;"Yes",$AC87="",TODAY()-$AC87&gt;90),"At Risk","Not At Risk"))</f>
        <v/>
      </c>
      <c r="AE87" s="85" t="n"/>
    </row>
    <row r="88" ht="15" customHeight="1" s="39">
      <c r="A88" s="85" t="n"/>
      <c r="B88" s="85" t="n"/>
      <c r="C88" s="85" t="n"/>
      <c r="D88" s="85" t="n"/>
      <c r="E88" s="85" t="n"/>
      <c r="F88" s="85" t="n"/>
      <c r="G88" s="85" t="n"/>
      <c r="H88" s="85" t="n"/>
      <c r="I88" s="85" t="n"/>
      <c r="J88" s="85" t="n"/>
      <c r="K88" s="85" t="n"/>
      <c r="L88" s="85" t="n"/>
      <c r="M88" s="85" t="n"/>
      <c r="N88" s="85" t="n"/>
      <c r="O88" s="85" t="n"/>
      <c r="P88" s="85" t="n"/>
      <c r="Q88" s="85" t="n"/>
      <c r="R88" s="85" t="n"/>
      <c r="S88" s="85" t="n"/>
      <c r="T88" s="85" t="n"/>
      <c r="U88" s="85" t="n"/>
      <c r="V88" s="85" t="n"/>
      <c r="W88" s="85" t="n"/>
      <c r="X88" s="85" t="n"/>
      <c r="Y88" s="85" t="n"/>
      <c r="Z88" s="85" t="n"/>
      <c r="AA88" s="85" t="n"/>
      <c r="AB88" s="85" t="n"/>
      <c r="AC88" s="86" t="n"/>
      <c r="AD88" s="85">
        <f>IF($A88="","",IF(OR($AB88&lt;&gt;"Yes",$AC88="",TODAY()-$AC88&gt;90),"At Risk","Not At Risk"))</f>
        <v/>
      </c>
      <c r="AE88" s="85" t="n"/>
    </row>
    <row r="89" ht="15" customHeight="1" s="39">
      <c r="A89" s="85" t="n"/>
      <c r="B89" s="85" t="n"/>
      <c r="C89" s="85" t="n"/>
      <c r="D89" s="85" t="n"/>
      <c r="E89" s="85" t="n"/>
      <c r="F89" s="85" t="n"/>
      <c r="G89" s="85" t="n"/>
      <c r="H89" s="85" t="n"/>
      <c r="I89" s="85" t="n"/>
      <c r="J89" s="85" t="n"/>
      <c r="K89" s="85" t="n"/>
      <c r="L89" s="85" t="n"/>
      <c r="M89" s="85" t="n"/>
      <c r="N89" s="85" t="n"/>
      <c r="O89" s="85" t="n"/>
      <c r="P89" s="85" t="n"/>
      <c r="Q89" s="85" t="n"/>
      <c r="R89" s="85" t="n"/>
      <c r="S89" s="85" t="n"/>
      <c r="T89" s="85" t="n"/>
      <c r="U89" s="85" t="n"/>
      <c r="V89" s="85" t="n"/>
      <c r="W89" s="85" t="n"/>
      <c r="X89" s="85" t="n"/>
      <c r="Y89" s="85" t="n"/>
      <c r="Z89" s="85" t="n"/>
      <c r="AA89" s="85" t="n"/>
      <c r="AB89" s="85" t="n"/>
      <c r="AC89" s="86" t="n"/>
      <c r="AD89" s="85">
        <f>IF($A89="","",IF(OR($AB89&lt;&gt;"Yes",$AC89="",TODAY()-$AC89&gt;90),"At Risk","Not At Risk"))</f>
        <v/>
      </c>
      <c r="AE89" s="85" t="n"/>
    </row>
    <row r="90" ht="15" customHeight="1" s="39">
      <c r="A90" s="85" t="n"/>
      <c r="B90" s="85" t="n"/>
      <c r="C90" s="85" t="n"/>
      <c r="D90" s="85" t="n"/>
      <c r="E90" s="85" t="n"/>
      <c r="F90" s="85" t="n"/>
      <c r="G90" s="85" t="n"/>
      <c r="H90" s="85" t="n"/>
      <c r="I90" s="85" t="n"/>
      <c r="J90" s="85" t="n"/>
      <c r="K90" s="85" t="n"/>
      <c r="L90" s="85" t="n"/>
      <c r="M90" s="85" t="n"/>
      <c r="N90" s="85" t="n"/>
      <c r="O90" s="85" t="n"/>
      <c r="P90" s="85" t="n"/>
      <c r="Q90" s="85" t="n"/>
      <c r="R90" s="85" t="n"/>
      <c r="S90" s="85" t="n"/>
      <c r="T90" s="85" t="n"/>
      <c r="U90" s="85" t="n"/>
      <c r="V90" s="85" t="n"/>
      <c r="W90" s="85" t="n"/>
      <c r="X90" s="85" t="n"/>
      <c r="Y90" s="85" t="n"/>
      <c r="Z90" s="85" t="n"/>
      <c r="AA90" s="85" t="n"/>
      <c r="AB90" s="85" t="n"/>
      <c r="AC90" s="86" t="n"/>
      <c r="AD90" s="85">
        <f>IF($A90="","",IF(OR($AB90&lt;&gt;"Yes",$AC90="",TODAY()-$AC90&gt;90),"At Risk","Not At Risk"))</f>
        <v/>
      </c>
      <c r="AE90" s="85" t="n"/>
    </row>
    <row r="91" ht="15" customHeight="1" s="39">
      <c r="A91" s="85" t="n"/>
      <c r="B91" s="85" t="n"/>
      <c r="C91" s="85" t="n"/>
      <c r="D91" s="85" t="n"/>
      <c r="E91" s="85" t="n"/>
      <c r="F91" s="85" t="n"/>
      <c r="G91" s="85" t="n"/>
      <c r="H91" s="85" t="n"/>
      <c r="I91" s="85" t="n"/>
      <c r="J91" s="85" t="n"/>
      <c r="K91" s="85" t="n"/>
      <c r="L91" s="85" t="n"/>
      <c r="M91" s="85" t="n"/>
      <c r="N91" s="85" t="n"/>
      <c r="O91" s="85" t="n"/>
      <c r="P91" s="85" t="n"/>
      <c r="Q91" s="85" t="n"/>
      <c r="R91" s="85" t="n"/>
      <c r="S91" s="85" t="n"/>
      <c r="T91" s="85" t="n"/>
      <c r="U91" s="85" t="n"/>
      <c r="V91" s="85" t="n"/>
      <c r="W91" s="85" t="n"/>
      <c r="X91" s="85" t="n"/>
      <c r="Y91" s="85" t="n"/>
      <c r="Z91" s="85" t="n"/>
      <c r="AA91" s="85" t="n"/>
      <c r="AB91" s="85" t="n"/>
      <c r="AC91" s="86" t="n"/>
      <c r="AD91" s="85">
        <f>IF($A91="","",IF(OR($AB91&lt;&gt;"Yes",$AC91="",TODAY()-$AC91&gt;90),"At Risk","Not At Risk"))</f>
        <v/>
      </c>
      <c r="AE91" s="85" t="n"/>
    </row>
    <row r="92" ht="15" customHeight="1" s="39">
      <c r="A92" s="85" t="n"/>
      <c r="B92" s="85" t="n"/>
      <c r="C92" s="85" t="n"/>
      <c r="D92" s="85" t="n"/>
      <c r="E92" s="85" t="n"/>
      <c r="F92" s="85" t="n"/>
      <c r="G92" s="85" t="n"/>
      <c r="H92" s="85" t="n"/>
      <c r="I92" s="85" t="n"/>
      <c r="J92" s="85" t="n"/>
      <c r="K92" s="85" t="n"/>
      <c r="L92" s="85" t="n"/>
      <c r="M92" s="85" t="n"/>
      <c r="N92" s="85" t="n"/>
      <c r="O92" s="85" t="n"/>
      <c r="P92" s="85" t="n"/>
      <c r="Q92" s="85" t="n"/>
      <c r="R92" s="85" t="n"/>
      <c r="S92" s="85" t="n"/>
      <c r="T92" s="85" t="n"/>
      <c r="U92" s="85" t="n"/>
      <c r="V92" s="85" t="n"/>
      <c r="W92" s="85" t="n"/>
      <c r="X92" s="85" t="n"/>
      <c r="Y92" s="85" t="n"/>
      <c r="Z92" s="85" t="n"/>
      <c r="AA92" s="85" t="n"/>
      <c r="AB92" s="85" t="n"/>
      <c r="AC92" s="86" t="n"/>
      <c r="AD92" s="85">
        <f>IF($A92="","",IF(OR($AB92&lt;&gt;"Yes",$AC92="",TODAY()-$AC92&gt;90),"At Risk","Not At Risk"))</f>
        <v/>
      </c>
      <c r="AE92" s="85" t="n"/>
    </row>
    <row r="93" ht="15" customHeight="1" s="39">
      <c r="A93" s="85" t="n"/>
      <c r="B93" s="85" t="n"/>
      <c r="C93" s="85" t="n"/>
      <c r="D93" s="85" t="n"/>
      <c r="E93" s="85" t="n"/>
      <c r="F93" s="85" t="n"/>
      <c r="G93" s="85" t="n"/>
      <c r="H93" s="85" t="n"/>
      <c r="I93" s="85" t="n"/>
      <c r="J93" s="85" t="n"/>
      <c r="K93" s="85" t="n"/>
      <c r="L93" s="85" t="n"/>
      <c r="M93" s="85" t="n"/>
      <c r="N93" s="85" t="n"/>
      <c r="O93" s="85" t="n"/>
      <c r="P93" s="85" t="n"/>
      <c r="Q93" s="85" t="n"/>
      <c r="R93" s="85" t="n"/>
      <c r="S93" s="85" t="n"/>
      <c r="T93" s="85" t="n"/>
      <c r="U93" s="85" t="n"/>
      <c r="V93" s="85" t="n"/>
      <c r="W93" s="85" t="n"/>
      <c r="X93" s="85" t="n"/>
      <c r="Y93" s="85" t="n"/>
      <c r="Z93" s="85" t="n"/>
      <c r="AA93" s="85" t="n"/>
      <c r="AB93" s="85" t="n"/>
      <c r="AC93" s="86" t="n"/>
      <c r="AD93" s="85">
        <f>IF($A93="","",IF(OR($AB93&lt;&gt;"Yes",$AC93="",TODAY()-$AC93&gt;90),"At Risk","Not At Risk"))</f>
        <v/>
      </c>
      <c r="AE93" s="85" t="n"/>
    </row>
    <row r="94" ht="15" customHeight="1" s="39">
      <c r="A94" s="85" t="n"/>
      <c r="B94" s="85" t="n"/>
      <c r="C94" s="85" t="n"/>
      <c r="D94" s="85" t="n"/>
      <c r="E94" s="85" t="n"/>
      <c r="F94" s="85" t="n"/>
      <c r="G94" s="85" t="n"/>
      <c r="H94" s="85" t="n"/>
      <c r="I94" s="85" t="n"/>
      <c r="J94" s="85" t="n"/>
      <c r="K94" s="85" t="n"/>
      <c r="L94" s="85" t="n"/>
      <c r="M94" s="85" t="n"/>
      <c r="N94" s="85" t="n"/>
      <c r="O94" s="85" t="n"/>
      <c r="P94" s="85" t="n"/>
      <c r="Q94" s="85" t="n"/>
      <c r="R94" s="85" t="n"/>
      <c r="S94" s="85" t="n"/>
      <c r="T94" s="85" t="n"/>
      <c r="U94" s="85" t="n"/>
      <c r="V94" s="85" t="n"/>
      <c r="W94" s="85" t="n"/>
      <c r="X94" s="85" t="n"/>
      <c r="Y94" s="85" t="n"/>
      <c r="Z94" s="85" t="n"/>
      <c r="AA94" s="85" t="n"/>
      <c r="AB94" s="85" t="n"/>
      <c r="AC94" s="86" t="n"/>
      <c r="AD94" s="85">
        <f>IF($A94="","",IF(OR($AB94&lt;&gt;"Yes",$AC94="",TODAY()-$AC94&gt;90),"At Risk","Not At Risk"))</f>
        <v/>
      </c>
      <c r="AE94" s="85" t="n"/>
    </row>
    <row r="95" ht="15" customHeight="1" s="39">
      <c r="A95" s="85" t="n"/>
      <c r="B95" s="85" t="n"/>
      <c r="C95" s="85" t="n"/>
      <c r="D95" s="85" t="n"/>
      <c r="E95" s="85" t="n"/>
      <c r="F95" s="85" t="n"/>
      <c r="G95" s="85" t="n"/>
      <c r="H95" s="85" t="n"/>
      <c r="I95" s="85" t="n"/>
      <c r="J95" s="85" t="n"/>
      <c r="K95" s="85" t="n"/>
      <c r="L95" s="85" t="n"/>
      <c r="M95" s="85" t="n"/>
      <c r="N95" s="85" t="n"/>
      <c r="O95" s="85" t="n"/>
      <c r="P95" s="85" t="n"/>
      <c r="Q95" s="85" t="n"/>
      <c r="R95" s="85" t="n"/>
      <c r="S95" s="85" t="n"/>
      <c r="T95" s="85" t="n"/>
      <c r="U95" s="85" t="n"/>
      <c r="V95" s="85" t="n"/>
      <c r="W95" s="85" t="n"/>
      <c r="X95" s="85" t="n"/>
      <c r="Y95" s="85" t="n"/>
      <c r="Z95" s="85" t="n"/>
      <c r="AA95" s="85" t="n"/>
      <c r="AB95" s="85" t="n"/>
      <c r="AC95" s="86" t="n"/>
      <c r="AD95" s="85">
        <f>IF($A95="","",IF(OR($AB95&lt;&gt;"Yes",$AC95="",TODAY()-$AC95&gt;90),"At Risk","Not At Risk"))</f>
        <v/>
      </c>
      <c r="AE95" s="85" t="n"/>
    </row>
    <row r="96" ht="15" customHeight="1" s="39">
      <c r="A96" s="85" t="n"/>
      <c r="B96" s="85" t="n"/>
      <c r="C96" s="85" t="n"/>
      <c r="D96" s="85" t="n"/>
      <c r="E96" s="85" t="n"/>
      <c r="F96" s="85" t="n"/>
      <c r="G96" s="85" t="n"/>
      <c r="H96" s="85" t="n"/>
      <c r="I96" s="85" t="n"/>
      <c r="J96" s="85" t="n"/>
      <c r="K96" s="85" t="n"/>
      <c r="L96" s="85" t="n"/>
      <c r="M96" s="85" t="n"/>
      <c r="N96" s="85" t="n"/>
      <c r="O96" s="85" t="n"/>
      <c r="P96" s="85" t="n"/>
      <c r="Q96" s="85" t="n"/>
      <c r="R96" s="85" t="n"/>
      <c r="S96" s="85" t="n"/>
      <c r="T96" s="85" t="n"/>
      <c r="U96" s="85" t="n"/>
      <c r="V96" s="85" t="n"/>
      <c r="W96" s="85" t="n"/>
      <c r="X96" s="85" t="n"/>
      <c r="Y96" s="85" t="n"/>
      <c r="Z96" s="85" t="n"/>
      <c r="AA96" s="85" t="n"/>
      <c r="AB96" s="85" t="n"/>
      <c r="AC96" s="86" t="n"/>
      <c r="AD96" s="85">
        <f>IF($A96="","",IF(OR($AB96&lt;&gt;"Yes",$AC96="",TODAY()-$AC96&gt;90),"At Risk","Not At Risk"))</f>
        <v/>
      </c>
      <c r="AE96" s="85" t="n"/>
    </row>
    <row r="97" ht="15" customHeight="1" s="39">
      <c r="A97" s="85" t="n"/>
      <c r="B97" s="85" t="n"/>
      <c r="C97" s="85" t="n"/>
      <c r="D97" s="85" t="n"/>
      <c r="E97" s="85" t="n"/>
      <c r="F97" s="85" t="n"/>
      <c r="G97" s="85" t="n"/>
      <c r="H97" s="85" t="n"/>
      <c r="I97" s="85" t="n"/>
      <c r="J97" s="85" t="n"/>
      <c r="K97" s="85" t="n"/>
      <c r="L97" s="85" t="n"/>
      <c r="M97" s="85" t="n"/>
      <c r="N97" s="85" t="n"/>
      <c r="O97" s="85" t="n"/>
      <c r="P97" s="85" t="n"/>
      <c r="Q97" s="85" t="n"/>
      <c r="R97" s="85" t="n"/>
      <c r="S97" s="85" t="n"/>
      <c r="T97" s="85" t="n"/>
      <c r="U97" s="85" t="n"/>
      <c r="V97" s="85" t="n"/>
      <c r="W97" s="85" t="n"/>
      <c r="X97" s="85" t="n"/>
      <c r="Y97" s="85" t="n"/>
      <c r="Z97" s="85" t="n"/>
      <c r="AA97" s="85" t="n"/>
      <c r="AB97" s="85" t="n"/>
      <c r="AC97" s="86" t="n"/>
      <c r="AD97" s="85">
        <f>IF($A97="","",IF(OR($AB97&lt;&gt;"Yes",$AC97="",TODAY()-$AC97&gt;90),"At Risk","Not At Risk"))</f>
        <v/>
      </c>
      <c r="AE97" s="85" t="n"/>
    </row>
    <row r="98" ht="15" customHeight="1" s="39">
      <c r="A98" s="85" t="n"/>
      <c r="B98" s="85" t="n"/>
      <c r="C98" s="85" t="n"/>
      <c r="D98" s="85" t="n"/>
      <c r="E98" s="85" t="n"/>
      <c r="F98" s="85" t="n"/>
      <c r="G98" s="85" t="n"/>
      <c r="H98" s="85" t="n"/>
      <c r="I98" s="85" t="n"/>
      <c r="J98" s="85" t="n"/>
      <c r="K98" s="85" t="n"/>
      <c r="L98" s="85" t="n"/>
      <c r="M98" s="85" t="n"/>
      <c r="N98" s="85" t="n"/>
      <c r="O98" s="85" t="n"/>
      <c r="P98" s="85" t="n"/>
      <c r="Q98" s="85" t="n"/>
      <c r="R98" s="85" t="n"/>
      <c r="S98" s="85" t="n"/>
      <c r="T98" s="85" t="n"/>
      <c r="U98" s="85" t="n"/>
      <c r="V98" s="85" t="n"/>
      <c r="W98" s="85" t="n"/>
      <c r="X98" s="85" t="n"/>
      <c r="Y98" s="85" t="n"/>
      <c r="Z98" s="85" t="n"/>
      <c r="AA98" s="85" t="n"/>
      <c r="AB98" s="85" t="n"/>
      <c r="AC98" s="86" t="n"/>
      <c r="AD98" s="85">
        <f>IF($A98="","",IF(OR($AB98&lt;&gt;"Yes",$AC98="",TODAY()-$AC98&gt;90),"At Risk","Not At Risk"))</f>
        <v/>
      </c>
      <c r="AE98" s="85" t="n"/>
    </row>
    <row r="99" ht="15" customHeight="1" s="39">
      <c r="A99" s="85" t="n"/>
      <c r="B99" s="85" t="n"/>
      <c r="C99" s="85" t="n"/>
      <c r="D99" s="85" t="n"/>
      <c r="E99" s="85" t="n"/>
      <c r="F99" s="85" t="n"/>
      <c r="G99" s="85" t="n"/>
      <c r="H99" s="85" t="n"/>
      <c r="I99" s="85" t="n"/>
      <c r="J99" s="85" t="n"/>
      <c r="K99" s="85" t="n"/>
      <c r="L99" s="85" t="n"/>
      <c r="M99" s="85" t="n"/>
      <c r="N99" s="85" t="n"/>
      <c r="O99" s="85" t="n"/>
      <c r="P99" s="85" t="n"/>
      <c r="Q99" s="85" t="n"/>
      <c r="R99" s="85" t="n"/>
      <c r="S99" s="85" t="n"/>
      <c r="T99" s="85" t="n"/>
      <c r="U99" s="85" t="n"/>
      <c r="V99" s="85" t="n"/>
      <c r="W99" s="85" t="n"/>
      <c r="X99" s="85" t="n"/>
      <c r="Y99" s="85" t="n"/>
      <c r="Z99" s="85" t="n"/>
      <c r="AA99" s="85" t="n"/>
      <c r="AB99" s="85" t="n"/>
      <c r="AC99" s="86" t="n"/>
      <c r="AD99" s="85">
        <f>IF($A99="","",IF(OR($AB99&lt;&gt;"Yes",$AC99="",TODAY()-$AC99&gt;90),"At Risk","Not At Risk"))</f>
        <v/>
      </c>
      <c r="AE99" s="85" t="n"/>
    </row>
    <row r="100" ht="15" customHeight="1" s="39">
      <c r="A100" s="85" t="n"/>
      <c r="B100" s="85" t="n"/>
      <c r="C100" s="85" t="n"/>
      <c r="D100" s="85" t="n"/>
      <c r="E100" s="85" t="n"/>
      <c r="F100" s="85" t="n"/>
      <c r="G100" s="85" t="n"/>
      <c r="H100" s="85" t="n"/>
      <c r="I100" s="85" t="n"/>
      <c r="J100" s="85" t="n"/>
      <c r="K100" s="85" t="n"/>
      <c r="L100" s="85" t="n"/>
      <c r="M100" s="85" t="n"/>
      <c r="N100" s="85" t="n"/>
      <c r="O100" s="85" t="n"/>
      <c r="P100" s="85" t="n"/>
      <c r="Q100" s="85" t="n"/>
      <c r="R100" s="85" t="n"/>
      <c r="S100" s="85" t="n"/>
      <c r="T100" s="85" t="n"/>
      <c r="U100" s="85" t="n"/>
      <c r="V100" s="85" t="n"/>
      <c r="W100" s="85" t="n"/>
      <c r="X100" s="85" t="n"/>
      <c r="Y100" s="85" t="n"/>
      <c r="Z100" s="85" t="n"/>
      <c r="AA100" s="85" t="n"/>
      <c r="AB100" s="85" t="n"/>
      <c r="AC100" s="86" t="n"/>
      <c r="AD100" s="85">
        <f>IF($A100="","",IF(OR($AB100&lt;&gt;"Yes",$AC100="",TODAY()-$AC100&gt;90),"At Risk","Not At Risk"))</f>
        <v/>
      </c>
      <c r="AE100" s="85" t="n"/>
    </row>
    <row r="101" ht="15" customHeight="1" s="39">
      <c r="A101" s="85" t="n"/>
      <c r="B101" s="85" t="n"/>
      <c r="C101" s="85" t="n"/>
      <c r="D101" s="85" t="n"/>
      <c r="E101" s="85" t="n"/>
      <c r="F101" s="85" t="n"/>
      <c r="G101" s="85" t="n"/>
      <c r="H101" s="85" t="n"/>
      <c r="I101" s="85" t="n"/>
      <c r="J101" s="85" t="n"/>
      <c r="K101" s="85" t="n"/>
      <c r="L101" s="85" t="n"/>
      <c r="M101" s="85" t="n"/>
      <c r="N101" s="85" t="n"/>
      <c r="O101" s="85" t="n"/>
      <c r="P101" s="85" t="n"/>
      <c r="Q101" s="85" t="n"/>
      <c r="R101" s="85" t="n"/>
      <c r="S101" s="85" t="n"/>
      <c r="T101" s="85" t="n"/>
      <c r="U101" s="85" t="n"/>
      <c r="V101" s="85" t="n"/>
      <c r="W101" s="85" t="n"/>
      <c r="X101" s="85" t="n"/>
      <c r="Y101" s="85" t="n"/>
      <c r="Z101" s="85" t="n"/>
      <c r="AA101" s="85" t="n"/>
      <c r="AB101" s="85" t="n"/>
      <c r="AC101" s="86" t="n"/>
      <c r="AD101" s="85">
        <f>IF($A101="","",IF(OR($AB101&lt;&gt;"Yes",$AC101="",TODAY()-$AC101&gt;90),"At Risk","Not At Risk"))</f>
        <v/>
      </c>
      <c r="AE101" s="85" t="n"/>
    </row>
    <row r="102" ht="15" customHeight="1" s="39">
      <c r="A102" s="85" t="n"/>
      <c r="B102" s="85" t="n"/>
      <c r="C102" s="85" t="n"/>
      <c r="D102" s="85" t="n"/>
      <c r="E102" s="85" t="n"/>
      <c r="F102" s="85" t="n"/>
      <c r="G102" s="85" t="n"/>
      <c r="H102" s="85" t="n"/>
      <c r="I102" s="85" t="n"/>
      <c r="J102" s="85" t="n"/>
      <c r="K102" s="85" t="n"/>
      <c r="L102" s="85" t="n"/>
      <c r="M102" s="85" t="n"/>
      <c r="N102" s="85" t="n"/>
      <c r="O102" s="85" t="n"/>
      <c r="P102" s="85" t="n"/>
      <c r="Q102" s="85" t="n"/>
      <c r="R102" s="85" t="n"/>
      <c r="S102" s="85" t="n"/>
      <c r="T102" s="85" t="n"/>
      <c r="U102" s="85" t="n"/>
      <c r="V102" s="85" t="n"/>
      <c r="W102" s="85" t="n"/>
      <c r="X102" s="85" t="n"/>
      <c r="Y102" s="85" t="n"/>
      <c r="Z102" s="85" t="n"/>
      <c r="AA102" s="85" t="n"/>
      <c r="AB102" s="85" t="n"/>
      <c r="AC102" s="86" t="n"/>
      <c r="AD102" s="85">
        <f>IF($A102="","",IF(OR($AB102&lt;&gt;"Yes",$AC102="",TODAY()-$AC102&gt;90),"At Risk","Not At Risk"))</f>
        <v/>
      </c>
      <c r="AE102" s="85" t="n"/>
    </row>
    <row r="103" ht="15" customHeight="1" s="39">
      <c r="A103" s="85" t="n"/>
      <c r="B103" s="85" t="n"/>
      <c r="C103" s="85" t="n"/>
      <c r="D103" s="85" t="n"/>
      <c r="E103" s="85" t="n"/>
      <c r="F103" s="85" t="n"/>
      <c r="G103" s="85" t="n"/>
      <c r="H103" s="85" t="n"/>
      <c r="I103" s="85" t="n"/>
      <c r="J103" s="85" t="n"/>
      <c r="K103" s="85" t="n"/>
      <c r="L103" s="85" t="n"/>
      <c r="M103" s="85" t="n"/>
      <c r="N103" s="85" t="n"/>
      <c r="O103" s="85" t="n"/>
      <c r="P103" s="85" t="n"/>
      <c r="Q103" s="85" t="n"/>
      <c r="R103" s="85" t="n"/>
      <c r="S103" s="85" t="n"/>
      <c r="T103" s="85" t="n"/>
      <c r="U103" s="85" t="n"/>
      <c r="V103" s="85" t="n"/>
      <c r="W103" s="85" t="n"/>
      <c r="X103" s="85" t="n"/>
      <c r="Y103" s="85" t="n"/>
      <c r="Z103" s="85" t="n"/>
      <c r="AA103" s="85" t="n"/>
      <c r="AB103" s="85" t="n"/>
      <c r="AC103" s="86" t="n"/>
      <c r="AD103" s="85">
        <f>IF($A103="","",IF(OR($AB103&lt;&gt;"Yes",$AC103="",TODAY()-$AC103&gt;90),"At Risk","Not At Risk"))</f>
        <v/>
      </c>
      <c r="AE103" s="85" t="n"/>
    </row>
    <row r="104" ht="15" customHeight="1" s="39">
      <c r="A104" s="85" t="n"/>
      <c r="B104" s="85" t="n"/>
      <c r="C104" s="85" t="n"/>
      <c r="D104" s="85" t="n"/>
      <c r="E104" s="85" t="n"/>
      <c r="F104" s="85" t="n"/>
      <c r="G104" s="85" t="n"/>
      <c r="H104" s="85" t="n"/>
      <c r="I104" s="85" t="n"/>
      <c r="J104" s="85" t="n"/>
      <c r="K104" s="85" t="n"/>
      <c r="L104" s="85" t="n"/>
      <c r="M104" s="85" t="n"/>
      <c r="N104" s="85" t="n"/>
      <c r="O104" s="85" t="n"/>
      <c r="P104" s="85" t="n"/>
      <c r="Q104" s="85" t="n"/>
      <c r="R104" s="85" t="n"/>
      <c r="S104" s="85" t="n"/>
      <c r="T104" s="85" t="n"/>
      <c r="U104" s="85" t="n"/>
      <c r="V104" s="85" t="n"/>
      <c r="W104" s="85" t="n"/>
      <c r="X104" s="85" t="n"/>
      <c r="Y104" s="85" t="n"/>
      <c r="Z104" s="85" t="n"/>
      <c r="AA104" s="85" t="n"/>
      <c r="AB104" s="85" t="n"/>
      <c r="AC104" s="86" t="n"/>
      <c r="AD104" s="85">
        <f>IF($A104="","",IF(OR($AB104&lt;&gt;"Yes",$AC104="",TODAY()-$AC104&gt;90),"At Risk","Not At Risk"))</f>
        <v/>
      </c>
      <c r="AE104" s="85" t="n"/>
    </row>
    <row r="105" ht="15" customHeight="1" s="39">
      <c r="A105" s="85" t="n"/>
      <c r="B105" s="85" t="n"/>
      <c r="C105" s="85" t="n"/>
      <c r="D105" s="85" t="n"/>
      <c r="E105" s="85" t="n"/>
      <c r="F105" s="85" t="n"/>
      <c r="G105" s="85" t="n"/>
      <c r="H105" s="85" t="n"/>
      <c r="I105" s="85" t="n"/>
      <c r="J105" s="85" t="n"/>
      <c r="K105" s="85" t="n"/>
      <c r="L105" s="85" t="n"/>
      <c r="M105" s="85" t="n"/>
      <c r="N105" s="85" t="n"/>
      <c r="O105" s="85" t="n"/>
      <c r="P105" s="85" t="n"/>
      <c r="Q105" s="85" t="n"/>
      <c r="R105" s="85" t="n"/>
      <c r="S105" s="85" t="n"/>
      <c r="T105" s="85" t="n"/>
      <c r="U105" s="85" t="n"/>
      <c r="V105" s="85" t="n"/>
      <c r="W105" s="85" t="n"/>
      <c r="X105" s="85" t="n"/>
      <c r="Y105" s="85" t="n"/>
      <c r="Z105" s="85" t="n"/>
      <c r="AA105" s="85" t="n"/>
      <c r="AB105" s="85" t="n"/>
      <c r="AC105" s="86" t="n"/>
      <c r="AD105" s="85">
        <f>IF($A105="","",IF(OR($AB105&lt;&gt;"Yes",$AC105="",TODAY()-$AC105&gt;90),"At Risk","Not At Risk"))</f>
        <v/>
      </c>
      <c r="AE105" s="85" t="n"/>
    </row>
    <row r="106" ht="15" customHeight="1" s="39">
      <c r="A106" s="85" t="n"/>
      <c r="B106" s="85" t="n"/>
      <c r="C106" s="85" t="n"/>
      <c r="D106" s="85" t="n"/>
      <c r="E106" s="85" t="n"/>
      <c r="F106" s="85" t="n"/>
      <c r="G106" s="85" t="n"/>
      <c r="H106" s="85" t="n"/>
      <c r="I106" s="85" t="n"/>
      <c r="J106" s="85" t="n"/>
      <c r="K106" s="85" t="n"/>
      <c r="L106" s="85" t="n"/>
      <c r="M106" s="85" t="n"/>
      <c r="N106" s="85" t="n"/>
      <c r="O106" s="85" t="n"/>
      <c r="P106" s="85" t="n"/>
      <c r="Q106" s="85" t="n"/>
      <c r="R106" s="85" t="n"/>
      <c r="S106" s="85" t="n"/>
      <c r="T106" s="85" t="n"/>
      <c r="U106" s="85" t="n"/>
      <c r="V106" s="85" t="n"/>
      <c r="W106" s="85" t="n"/>
      <c r="X106" s="85" t="n"/>
      <c r="Y106" s="85" t="n"/>
      <c r="Z106" s="85" t="n"/>
      <c r="AA106" s="85" t="n"/>
      <c r="AB106" s="85" t="n"/>
      <c r="AC106" s="86" t="n"/>
      <c r="AD106" s="85">
        <f>IF($A106="","",IF(OR($AB106&lt;&gt;"Yes",$AC106="",TODAY()-$AC106&gt;90),"At Risk","Not At Risk"))</f>
        <v/>
      </c>
      <c r="AE106" s="85" t="n"/>
    </row>
    <row r="107" ht="15" customHeight="1" s="39">
      <c r="A107" s="85" t="n"/>
      <c r="B107" s="85" t="n"/>
      <c r="C107" s="85" t="n"/>
      <c r="D107" s="85" t="n"/>
      <c r="E107" s="85" t="n"/>
      <c r="F107" s="85" t="n"/>
      <c r="G107" s="85" t="n"/>
      <c r="H107" s="85" t="n"/>
      <c r="I107" s="85" t="n"/>
      <c r="J107" s="85" t="n"/>
      <c r="K107" s="85" t="n"/>
      <c r="L107" s="85" t="n"/>
      <c r="M107" s="85" t="n"/>
      <c r="N107" s="85" t="n"/>
      <c r="O107" s="85" t="n"/>
      <c r="P107" s="85" t="n"/>
      <c r="Q107" s="85" t="n"/>
      <c r="R107" s="85" t="n"/>
      <c r="S107" s="85" t="n"/>
      <c r="T107" s="85" t="n"/>
      <c r="U107" s="85" t="n"/>
      <c r="V107" s="85" t="n"/>
      <c r="W107" s="85" t="n"/>
      <c r="X107" s="85" t="n"/>
      <c r="Y107" s="85" t="n"/>
      <c r="Z107" s="85" t="n"/>
      <c r="AA107" s="85" t="n"/>
      <c r="AB107" s="85" t="n"/>
      <c r="AC107" s="86" t="n"/>
      <c r="AD107" s="85">
        <f>IF($A107="","",IF(OR($AB107&lt;&gt;"Yes",$AC107="",TODAY()-$AC107&gt;90),"At Risk","Not At Risk"))</f>
        <v/>
      </c>
      <c r="AE107" s="85" t="n"/>
    </row>
    <row r="108" ht="15" customHeight="1" s="39">
      <c r="A108" s="85" t="n"/>
      <c r="B108" s="85" t="n"/>
      <c r="C108" s="85" t="n"/>
      <c r="D108" s="85" t="n"/>
      <c r="E108" s="85" t="n"/>
      <c r="F108" s="85" t="n"/>
      <c r="G108" s="85" t="n"/>
      <c r="H108" s="85" t="n"/>
      <c r="I108" s="85" t="n"/>
      <c r="J108" s="85" t="n"/>
      <c r="K108" s="85" t="n"/>
      <c r="L108" s="85" t="n"/>
      <c r="M108" s="85" t="n"/>
      <c r="N108" s="85" t="n"/>
      <c r="O108" s="85" t="n"/>
      <c r="P108" s="85" t="n"/>
      <c r="Q108" s="85" t="n"/>
      <c r="R108" s="85" t="n"/>
      <c r="S108" s="85" t="n"/>
      <c r="T108" s="85" t="n"/>
      <c r="U108" s="85" t="n"/>
      <c r="V108" s="85" t="n"/>
      <c r="W108" s="85" t="n"/>
      <c r="X108" s="85" t="n"/>
      <c r="Y108" s="85" t="n"/>
      <c r="Z108" s="85" t="n"/>
      <c r="AA108" s="85" t="n"/>
      <c r="AB108" s="85" t="n"/>
      <c r="AC108" s="86" t="n"/>
      <c r="AD108" s="85">
        <f>IF($A108="","",IF(OR($AB108&lt;&gt;"Yes",$AC108="",TODAY()-$AC108&gt;90),"At Risk","Not At Risk"))</f>
        <v/>
      </c>
      <c r="AE108" s="85" t="n"/>
    </row>
    <row r="109" ht="15" customHeight="1" s="39">
      <c r="A109" s="85" t="n"/>
      <c r="B109" s="85" t="n"/>
      <c r="C109" s="85" t="n"/>
      <c r="D109" s="85" t="n"/>
      <c r="E109" s="85" t="n"/>
      <c r="F109" s="85" t="n"/>
      <c r="G109" s="85" t="n"/>
      <c r="H109" s="85" t="n"/>
      <c r="I109" s="85" t="n"/>
      <c r="J109" s="85" t="n"/>
      <c r="K109" s="85" t="n"/>
      <c r="L109" s="85" t="n"/>
      <c r="M109" s="85" t="n"/>
      <c r="N109" s="85" t="n"/>
      <c r="O109" s="85" t="n"/>
      <c r="P109" s="85" t="n"/>
      <c r="Q109" s="85" t="n"/>
      <c r="R109" s="85" t="n"/>
      <c r="S109" s="85" t="n"/>
      <c r="T109" s="85" t="n"/>
      <c r="U109" s="85" t="n"/>
      <c r="V109" s="85" t="n"/>
      <c r="W109" s="85" t="n"/>
      <c r="X109" s="85" t="n"/>
      <c r="Y109" s="85" t="n"/>
      <c r="Z109" s="85" t="n"/>
      <c r="AA109" s="85" t="n"/>
      <c r="AB109" s="85" t="n"/>
      <c r="AC109" s="86" t="n"/>
      <c r="AD109" s="85">
        <f>IF($A109="","",IF(OR($AB109&lt;&gt;"Yes",$AC109="",TODAY()-$AC109&gt;90),"At Risk","Not At Risk"))</f>
        <v/>
      </c>
      <c r="AE109" s="85" t="n"/>
    </row>
    <row r="110" ht="15" customHeight="1" s="39">
      <c r="A110" s="85" t="n"/>
      <c r="B110" s="85" t="n"/>
      <c r="C110" s="85" t="n"/>
      <c r="D110" s="85" t="n"/>
      <c r="E110" s="85" t="n"/>
      <c r="F110" s="85" t="n"/>
      <c r="G110" s="85" t="n"/>
      <c r="H110" s="85" t="n"/>
      <c r="I110" s="85" t="n"/>
      <c r="J110" s="85" t="n"/>
      <c r="K110" s="85" t="n"/>
      <c r="L110" s="85" t="n"/>
      <c r="M110" s="85" t="n"/>
      <c r="N110" s="85" t="n"/>
      <c r="O110" s="85" t="n"/>
      <c r="P110" s="85" t="n"/>
      <c r="Q110" s="85" t="n"/>
      <c r="R110" s="85" t="n"/>
      <c r="S110" s="85" t="n"/>
      <c r="T110" s="85" t="n"/>
      <c r="U110" s="85" t="n"/>
      <c r="V110" s="85" t="n"/>
      <c r="W110" s="85" t="n"/>
      <c r="X110" s="85" t="n"/>
      <c r="Y110" s="85" t="n"/>
      <c r="Z110" s="85" t="n"/>
      <c r="AA110" s="85" t="n"/>
      <c r="AB110" s="85" t="n"/>
      <c r="AC110" s="86" t="n"/>
      <c r="AD110" s="85">
        <f>IF($A110="","",IF(OR($AB110&lt;&gt;"Yes",$AC110="",TODAY()-$AC110&gt;90),"At Risk","Not At Risk"))</f>
        <v/>
      </c>
      <c r="AE110" s="85" t="n"/>
    </row>
    <row r="111" ht="15" customHeight="1" s="39">
      <c r="A111" s="85" t="n"/>
      <c r="B111" s="85" t="n"/>
      <c r="C111" s="85" t="n"/>
      <c r="D111" s="85" t="n"/>
      <c r="E111" s="85" t="n"/>
      <c r="F111" s="85" t="n"/>
      <c r="G111" s="85" t="n"/>
      <c r="H111" s="85" t="n"/>
      <c r="I111" s="85" t="n"/>
      <c r="J111" s="85" t="n"/>
      <c r="K111" s="85" t="n"/>
      <c r="L111" s="85" t="n"/>
      <c r="M111" s="85" t="n"/>
      <c r="N111" s="85" t="n"/>
      <c r="O111" s="85" t="n"/>
      <c r="P111" s="85" t="n"/>
      <c r="Q111" s="85" t="n"/>
      <c r="R111" s="85" t="n"/>
      <c r="S111" s="85" t="n"/>
      <c r="T111" s="85" t="n"/>
      <c r="U111" s="85" t="n"/>
      <c r="V111" s="85" t="n"/>
      <c r="W111" s="85" t="n"/>
      <c r="X111" s="85" t="n"/>
      <c r="Y111" s="85" t="n"/>
      <c r="Z111" s="85" t="n"/>
      <c r="AA111" s="85" t="n"/>
      <c r="AB111" s="85" t="n"/>
      <c r="AC111" s="86" t="n"/>
      <c r="AD111" s="85">
        <f>IF($A111="","",IF(OR($AB111&lt;&gt;"Yes",$AC111="",TODAY()-$AC111&gt;90),"At Risk","Not At Risk"))</f>
        <v/>
      </c>
      <c r="AE111" s="85" t="n"/>
    </row>
    <row r="112" ht="15" customHeight="1" s="39">
      <c r="A112" s="85" t="n"/>
      <c r="B112" s="85" t="n"/>
      <c r="C112" s="85" t="n"/>
      <c r="D112" s="85" t="n"/>
      <c r="E112" s="85" t="n"/>
      <c r="F112" s="85" t="n"/>
      <c r="G112" s="85" t="n"/>
      <c r="H112" s="85" t="n"/>
      <c r="I112" s="85" t="n"/>
      <c r="J112" s="85" t="n"/>
      <c r="K112" s="85" t="n"/>
      <c r="L112" s="85" t="n"/>
      <c r="M112" s="85" t="n"/>
      <c r="N112" s="85" t="n"/>
      <c r="O112" s="85" t="n"/>
      <c r="P112" s="85" t="n"/>
      <c r="Q112" s="85" t="n"/>
      <c r="R112" s="85" t="n"/>
      <c r="S112" s="85" t="n"/>
      <c r="T112" s="85" t="n"/>
      <c r="U112" s="85" t="n"/>
      <c r="V112" s="85" t="n"/>
      <c r="W112" s="85" t="n"/>
      <c r="X112" s="85" t="n"/>
      <c r="Y112" s="85" t="n"/>
      <c r="Z112" s="85" t="n"/>
      <c r="AA112" s="85" t="n"/>
      <c r="AB112" s="85" t="n"/>
      <c r="AC112" s="86" t="n"/>
      <c r="AD112" s="85">
        <f>IF($A112="","",IF(OR($AB112&lt;&gt;"Yes",$AC112="",TODAY()-$AC112&gt;90),"At Risk","Not At Risk"))</f>
        <v/>
      </c>
      <c r="AE112" s="85" t="n"/>
    </row>
    <row r="113" ht="15" customHeight="1" s="39">
      <c r="A113" s="85" t="n"/>
      <c r="B113" s="85" t="n"/>
      <c r="C113" s="85" t="n"/>
      <c r="D113" s="85" t="n"/>
      <c r="E113" s="85" t="n"/>
      <c r="F113" s="85" t="n"/>
      <c r="G113" s="85" t="n"/>
      <c r="H113" s="85" t="n"/>
      <c r="I113" s="85" t="n"/>
      <c r="J113" s="85" t="n"/>
      <c r="K113" s="85" t="n"/>
      <c r="L113" s="85" t="n"/>
      <c r="M113" s="85" t="n"/>
      <c r="N113" s="85" t="n"/>
      <c r="O113" s="85" t="n"/>
      <c r="P113" s="85" t="n"/>
      <c r="Q113" s="85" t="n"/>
      <c r="R113" s="85" t="n"/>
      <c r="S113" s="85" t="n"/>
      <c r="T113" s="85" t="n"/>
      <c r="U113" s="85" t="n"/>
      <c r="V113" s="85" t="n"/>
      <c r="W113" s="85" t="n"/>
      <c r="X113" s="85" t="n"/>
      <c r="Y113" s="85" t="n"/>
      <c r="Z113" s="85" t="n"/>
      <c r="AA113" s="85" t="n"/>
      <c r="AB113" s="85" t="n"/>
      <c r="AC113" s="86" t="n"/>
      <c r="AD113" s="85">
        <f>IF($A113="","",IF(OR($AB113&lt;&gt;"Yes",$AC113="",TODAY()-$AC113&gt;90),"At Risk","Not At Risk"))</f>
        <v/>
      </c>
      <c r="AE113" s="85" t="n"/>
    </row>
    <row r="114" ht="15" customHeight="1" s="39">
      <c r="A114" s="85" t="n"/>
      <c r="B114" s="85" t="n"/>
      <c r="C114" s="85" t="n"/>
      <c r="D114" s="85" t="n"/>
      <c r="E114" s="85" t="n"/>
      <c r="F114" s="85" t="n"/>
      <c r="G114" s="85" t="n"/>
      <c r="H114" s="85" t="n"/>
      <c r="I114" s="85" t="n"/>
      <c r="J114" s="85" t="n"/>
      <c r="K114" s="85" t="n"/>
      <c r="L114" s="85" t="n"/>
      <c r="M114" s="85" t="n"/>
      <c r="N114" s="85" t="n"/>
      <c r="O114" s="85" t="n"/>
      <c r="P114" s="85" t="n"/>
      <c r="Q114" s="85" t="n"/>
      <c r="R114" s="85" t="n"/>
      <c r="S114" s="85" t="n"/>
      <c r="T114" s="85" t="n"/>
      <c r="U114" s="85" t="n"/>
      <c r="V114" s="85" t="n"/>
      <c r="W114" s="85" t="n"/>
      <c r="X114" s="85" t="n"/>
      <c r="Y114" s="85" t="n"/>
      <c r="Z114" s="85" t="n"/>
      <c r="AA114" s="85" t="n"/>
      <c r="AB114" s="85" t="n"/>
      <c r="AC114" s="86" t="n"/>
      <c r="AD114" s="85">
        <f>IF($A114="","",IF(OR($AB114&lt;&gt;"Yes",$AC114="",TODAY()-$AC114&gt;90),"At Risk","Not At Risk"))</f>
        <v/>
      </c>
      <c r="AE114" s="85" t="n"/>
    </row>
    <row r="115" ht="15" customHeight="1" s="39">
      <c r="A115" s="85" t="n"/>
      <c r="B115" s="85" t="n"/>
      <c r="C115" s="85" t="n"/>
      <c r="D115" s="85" t="n"/>
      <c r="E115" s="85" t="n"/>
      <c r="F115" s="85" t="n"/>
      <c r="G115" s="85" t="n"/>
      <c r="H115" s="85" t="n"/>
      <c r="I115" s="85" t="n"/>
      <c r="J115" s="85" t="n"/>
      <c r="K115" s="85" t="n"/>
      <c r="L115" s="85" t="n"/>
      <c r="M115" s="85" t="n"/>
      <c r="N115" s="85" t="n"/>
      <c r="O115" s="85" t="n"/>
      <c r="P115" s="85" t="n"/>
      <c r="Q115" s="85" t="n"/>
      <c r="R115" s="85" t="n"/>
      <c r="S115" s="85" t="n"/>
      <c r="T115" s="85" t="n"/>
      <c r="U115" s="85" t="n"/>
      <c r="V115" s="85" t="n"/>
      <c r="W115" s="85" t="n"/>
      <c r="X115" s="85" t="n"/>
      <c r="Y115" s="85" t="n"/>
      <c r="Z115" s="85" t="n"/>
      <c r="AA115" s="85" t="n"/>
      <c r="AB115" s="85" t="n"/>
      <c r="AC115" s="86" t="n"/>
      <c r="AD115" s="85">
        <f>IF($A115="","",IF(OR($AB115&lt;&gt;"Yes",$AC115="",TODAY()-$AC115&gt;90),"At Risk","Not At Risk"))</f>
        <v/>
      </c>
      <c r="AE115" s="85" t="n"/>
    </row>
    <row r="116" ht="15" customHeight="1" s="39">
      <c r="A116" s="85" t="n"/>
      <c r="B116" s="85" t="n"/>
      <c r="C116" s="85" t="n"/>
      <c r="D116" s="85" t="n"/>
      <c r="E116" s="85" t="n"/>
      <c r="F116" s="85" t="n"/>
      <c r="G116" s="85" t="n"/>
      <c r="H116" s="85" t="n"/>
      <c r="I116" s="85" t="n"/>
      <c r="J116" s="85" t="n"/>
      <c r="K116" s="85" t="n"/>
      <c r="L116" s="85" t="n"/>
      <c r="M116" s="85" t="n"/>
      <c r="N116" s="85" t="n"/>
      <c r="O116" s="85" t="n"/>
      <c r="P116" s="85" t="n"/>
      <c r="Q116" s="85" t="n"/>
      <c r="R116" s="85" t="n"/>
      <c r="S116" s="85" t="n"/>
      <c r="T116" s="85" t="n"/>
      <c r="U116" s="85" t="n"/>
      <c r="V116" s="85" t="n"/>
      <c r="W116" s="85" t="n"/>
      <c r="X116" s="85" t="n"/>
      <c r="Y116" s="85" t="n"/>
      <c r="Z116" s="85" t="n"/>
      <c r="AA116" s="85" t="n"/>
      <c r="AB116" s="85" t="n"/>
      <c r="AC116" s="86" t="n"/>
      <c r="AD116" s="85">
        <f>IF($A116="","",IF(OR($AB116&lt;&gt;"Yes",$AC116="",TODAY()-$AC116&gt;90),"At Risk","Not At Risk"))</f>
        <v/>
      </c>
      <c r="AE116" s="85" t="n"/>
    </row>
    <row r="117" ht="15" customHeight="1" s="39">
      <c r="A117" s="85" t="n"/>
      <c r="B117" s="85" t="n"/>
      <c r="C117" s="85" t="n"/>
      <c r="D117" s="85" t="n"/>
      <c r="E117" s="85" t="n"/>
      <c r="F117" s="85" t="n"/>
      <c r="G117" s="85" t="n"/>
      <c r="H117" s="85" t="n"/>
      <c r="I117" s="85" t="n"/>
      <c r="J117" s="85" t="n"/>
      <c r="K117" s="85" t="n"/>
      <c r="L117" s="85" t="n"/>
      <c r="M117" s="85" t="n"/>
      <c r="N117" s="85" t="n"/>
      <c r="O117" s="85" t="n"/>
      <c r="P117" s="85" t="n"/>
      <c r="Q117" s="85" t="n"/>
      <c r="R117" s="85" t="n"/>
      <c r="S117" s="85" t="n"/>
      <c r="T117" s="85" t="n"/>
      <c r="U117" s="85" t="n"/>
      <c r="V117" s="85" t="n"/>
      <c r="W117" s="85" t="n"/>
      <c r="X117" s="85" t="n"/>
      <c r="Y117" s="85" t="n"/>
      <c r="Z117" s="85" t="n"/>
      <c r="AA117" s="85" t="n"/>
      <c r="AB117" s="85" t="n"/>
      <c r="AC117" s="86" t="n"/>
      <c r="AD117" s="85">
        <f>IF($A117="","",IF(OR($AB117&lt;&gt;"Yes",$AC117="",TODAY()-$AC117&gt;90),"At Risk","Not At Risk"))</f>
        <v/>
      </c>
      <c r="AE117" s="85" t="n"/>
    </row>
    <row r="118" ht="15" customHeight="1" s="39">
      <c r="A118" s="85" t="n"/>
      <c r="B118" s="85" t="n"/>
      <c r="C118" s="85" t="n"/>
      <c r="D118" s="85" t="n"/>
      <c r="E118" s="85" t="n"/>
      <c r="F118" s="85" t="n"/>
      <c r="G118" s="85" t="n"/>
      <c r="H118" s="85" t="n"/>
      <c r="I118" s="85" t="n"/>
      <c r="J118" s="85" t="n"/>
      <c r="K118" s="85" t="n"/>
      <c r="L118" s="85" t="n"/>
      <c r="M118" s="85" t="n"/>
      <c r="N118" s="85" t="n"/>
      <c r="O118" s="85" t="n"/>
      <c r="P118" s="85" t="n"/>
      <c r="Q118" s="85" t="n"/>
      <c r="R118" s="85" t="n"/>
      <c r="S118" s="85" t="n"/>
      <c r="T118" s="85" t="n"/>
      <c r="U118" s="85" t="n"/>
      <c r="V118" s="85" t="n"/>
      <c r="W118" s="85" t="n"/>
      <c r="X118" s="85" t="n"/>
      <c r="Y118" s="85" t="n"/>
      <c r="Z118" s="85" t="n"/>
      <c r="AA118" s="85" t="n"/>
      <c r="AB118" s="85" t="n"/>
      <c r="AC118" s="86" t="n"/>
      <c r="AD118" s="85">
        <f>IF($A118="","",IF(OR($AB118&lt;&gt;"Yes",$AC118="",TODAY()-$AC118&gt;90),"At Risk","Not At Risk"))</f>
        <v/>
      </c>
      <c r="AE118" s="85" t="n"/>
    </row>
    <row r="119" ht="15" customHeight="1" s="39">
      <c r="A119" s="85" t="n"/>
      <c r="B119" s="85" t="n"/>
      <c r="C119" s="85" t="n"/>
      <c r="D119" s="85" t="n"/>
      <c r="E119" s="85" t="n"/>
      <c r="F119" s="85" t="n"/>
      <c r="G119" s="85" t="n"/>
      <c r="H119" s="85" t="n"/>
      <c r="I119" s="85" t="n"/>
      <c r="J119" s="85" t="n"/>
      <c r="K119" s="85" t="n"/>
      <c r="L119" s="85" t="n"/>
      <c r="M119" s="85" t="n"/>
      <c r="N119" s="85" t="n"/>
      <c r="O119" s="85" t="n"/>
      <c r="P119" s="85" t="n"/>
      <c r="Q119" s="85" t="n"/>
      <c r="R119" s="85" t="n"/>
      <c r="S119" s="85" t="n"/>
      <c r="T119" s="85" t="n"/>
      <c r="U119" s="85" t="n"/>
      <c r="V119" s="85" t="n"/>
      <c r="W119" s="85" t="n"/>
      <c r="X119" s="85" t="n"/>
      <c r="Y119" s="85" t="n"/>
      <c r="Z119" s="85" t="n"/>
      <c r="AA119" s="85" t="n"/>
      <c r="AB119" s="85" t="n"/>
      <c r="AC119" s="86" t="n"/>
      <c r="AD119" s="85">
        <f>IF($A119="","",IF(OR($AB119&lt;&gt;"Yes",$AC119="",TODAY()-$AC119&gt;90),"At Risk","Not At Risk"))</f>
        <v/>
      </c>
      <c r="AE119" s="85" t="n"/>
    </row>
    <row r="120" ht="15" customHeight="1" s="39">
      <c r="A120" s="85" t="n"/>
      <c r="B120" s="85" t="n"/>
      <c r="C120" s="85" t="n"/>
      <c r="D120" s="85" t="n"/>
      <c r="E120" s="85" t="n"/>
      <c r="F120" s="85" t="n"/>
      <c r="G120" s="85" t="n"/>
      <c r="H120" s="85" t="n"/>
      <c r="I120" s="85" t="n"/>
      <c r="J120" s="85" t="n"/>
      <c r="K120" s="85" t="n"/>
      <c r="L120" s="85" t="n"/>
      <c r="M120" s="85" t="n"/>
      <c r="N120" s="85" t="n"/>
      <c r="O120" s="85" t="n"/>
      <c r="P120" s="85" t="n"/>
      <c r="Q120" s="85" t="n"/>
      <c r="R120" s="85" t="n"/>
      <c r="S120" s="85" t="n"/>
      <c r="T120" s="85" t="n"/>
      <c r="U120" s="85" t="n"/>
      <c r="V120" s="85" t="n"/>
      <c r="W120" s="85" t="n"/>
      <c r="X120" s="85" t="n"/>
      <c r="Y120" s="85" t="n"/>
      <c r="Z120" s="85" t="n"/>
      <c r="AA120" s="85" t="n"/>
      <c r="AB120" s="85" t="n"/>
      <c r="AC120" s="86" t="n"/>
      <c r="AD120" s="85">
        <f>IF($A120="","",IF(OR($AB120&lt;&gt;"Yes",$AC120="",TODAY()-$AC120&gt;90),"At Risk","Not At Risk"))</f>
        <v/>
      </c>
      <c r="AE120" s="85" t="n"/>
    </row>
    <row r="121" ht="15" customHeight="1" s="39">
      <c r="A121" s="85" t="n"/>
      <c r="B121" s="85" t="n"/>
      <c r="C121" s="85" t="n"/>
      <c r="D121" s="85" t="n"/>
      <c r="E121" s="85" t="n"/>
      <c r="F121" s="85" t="n"/>
      <c r="G121" s="85" t="n"/>
      <c r="H121" s="85" t="n"/>
      <c r="I121" s="85" t="n"/>
      <c r="J121" s="85" t="n"/>
      <c r="K121" s="85" t="n"/>
      <c r="L121" s="85" t="n"/>
      <c r="M121" s="85" t="n"/>
      <c r="N121" s="85" t="n"/>
      <c r="O121" s="85" t="n"/>
      <c r="P121" s="85" t="n"/>
      <c r="Q121" s="85" t="n"/>
      <c r="R121" s="85" t="n"/>
      <c r="S121" s="85" t="n"/>
      <c r="T121" s="85" t="n"/>
      <c r="U121" s="85" t="n"/>
      <c r="V121" s="85" t="n"/>
      <c r="W121" s="85" t="n"/>
      <c r="X121" s="85" t="n"/>
      <c r="Y121" s="85" t="n"/>
      <c r="Z121" s="85" t="n"/>
      <c r="AA121" s="85" t="n"/>
      <c r="AB121" s="85" t="n"/>
      <c r="AC121" s="86" t="n"/>
      <c r="AD121" s="85">
        <f>IF($A121="","",IF(OR($AB121&lt;&gt;"Yes",$AC121="",TODAY()-$AC121&gt;90),"At Risk","Not At Risk"))</f>
        <v/>
      </c>
      <c r="AE121" s="85" t="n"/>
    </row>
    <row r="122" ht="15" customHeight="1" s="39">
      <c r="A122" s="85" t="n"/>
      <c r="B122" s="85" t="n"/>
      <c r="C122" s="85" t="n"/>
      <c r="D122" s="85" t="n"/>
      <c r="E122" s="85" t="n"/>
      <c r="F122" s="85" t="n"/>
      <c r="G122" s="85" t="n"/>
      <c r="H122" s="85" t="n"/>
      <c r="I122" s="85" t="n"/>
      <c r="J122" s="85" t="n"/>
      <c r="K122" s="85" t="n"/>
      <c r="L122" s="85" t="n"/>
      <c r="M122" s="85" t="n"/>
      <c r="N122" s="85" t="n"/>
      <c r="O122" s="85" t="n"/>
      <c r="P122" s="85" t="n"/>
      <c r="Q122" s="85" t="n"/>
      <c r="R122" s="85" t="n"/>
      <c r="S122" s="85" t="n"/>
      <c r="T122" s="85" t="n"/>
      <c r="U122" s="85" t="n"/>
      <c r="V122" s="85" t="n"/>
      <c r="W122" s="85" t="n"/>
      <c r="X122" s="85" t="n"/>
      <c r="Y122" s="85" t="n"/>
      <c r="Z122" s="85" t="n"/>
      <c r="AA122" s="85" t="n"/>
      <c r="AB122" s="85" t="n"/>
      <c r="AC122" s="86" t="n"/>
      <c r="AD122" s="85">
        <f>IF($A122="","",IF(OR($AB122&lt;&gt;"Yes",$AC122="",TODAY()-$AC122&gt;90),"At Risk","Not At Risk"))</f>
        <v/>
      </c>
      <c r="AE122" s="85" t="n"/>
    </row>
    <row r="123" ht="15" customHeight="1" s="39">
      <c r="A123" s="85" t="n"/>
      <c r="B123" s="85" t="n"/>
      <c r="C123" s="85" t="n"/>
      <c r="D123" s="85" t="n"/>
      <c r="E123" s="85" t="n"/>
      <c r="F123" s="85" t="n"/>
      <c r="G123" s="85" t="n"/>
      <c r="H123" s="85" t="n"/>
      <c r="I123" s="85" t="n"/>
      <c r="J123" s="85" t="n"/>
      <c r="K123" s="85" t="n"/>
      <c r="L123" s="85" t="n"/>
      <c r="M123" s="85" t="n"/>
      <c r="N123" s="85" t="n"/>
      <c r="O123" s="85" t="n"/>
      <c r="P123" s="85" t="n"/>
      <c r="Q123" s="85" t="n"/>
      <c r="R123" s="85" t="n"/>
      <c r="S123" s="85" t="n"/>
      <c r="T123" s="85" t="n"/>
      <c r="U123" s="85" t="n"/>
      <c r="V123" s="85" t="n"/>
      <c r="W123" s="85" t="n"/>
      <c r="X123" s="85" t="n"/>
      <c r="Y123" s="85" t="n"/>
      <c r="Z123" s="85" t="n"/>
      <c r="AA123" s="85" t="n"/>
      <c r="AB123" s="85" t="n"/>
      <c r="AC123" s="86" t="n"/>
      <c r="AD123" s="85">
        <f>IF($A123="","",IF(OR($AB123&lt;&gt;"Yes",$AC123="",TODAY()-$AC123&gt;90),"At Risk","Not At Risk"))</f>
        <v/>
      </c>
      <c r="AE123" s="85" t="n"/>
    </row>
    <row r="124" ht="15" customHeight="1" s="39">
      <c r="A124" s="85" t="n"/>
      <c r="B124" s="85" t="n"/>
      <c r="C124" s="85" t="n"/>
      <c r="D124" s="85" t="n"/>
      <c r="E124" s="85" t="n"/>
      <c r="F124" s="85" t="n"/>
      <c r="G124" s="85" t="n"/>
      <c r="H124" s="85" t="n"/>
      <c r="I124" s="85" t="n"/>
      <c r="J124" s="85" t="n"/>
      <c r="K124" s="85" t="n"/>
      <c r="L124" s="85" t="n"/>
      <c r="M124" s="85" t="n"/>
      <c r="N124" s="85" t="n"/>
      <c r="O124" s="85" t="n"/>
      <c r="P124" s="85" t="n"/>
      <c r="Q124" s="85" t="n"/>
      <c r="R124" s="85" t="n"/>
      <c r="S124" s="85" t="n"/>
      <c r="T124" s="85" t="n"/>
      <c r="U124" s="85" t="n"/>
      <c r="V124" s="85" t="n"/>
      <c r="W124" s="85" t="n"/>
      <c r="X124" s="85" t="n"/>
      <c r="Y124" s="85" t="n"/>
      <c r="Z124" s="85" t="n"/>
      <c r="AA124" s="85" t="n"/>
      <c r="AB124" s="85" t="n"/>
      <c r="AC124" s="86" t="n"/>
      <c r="AD124" s="85">
        <f>IF($A124="","",IF(OR($AB124&lt;&gt;"Yes",$AC124="",TODAY()-$AC124&gt;90),"At Risk","Not At Risk"))</f>
        <v/>
      </c>
      <c r="AE124" s="85" t="n"/>
    </row>
    <row r="125" ht="15" customHeight="1" s="39">
      <c r="A125" s="85" t="n"/>
      <c r="B125" s="85" t="n"/>
      <c r="C125" s="85" t="n"/>
      <c r="D125" s="85" t="n"/>
      <c r="E125" s="85" t="n"/>
      <c r="F125" s="85" t="n"/>
      <c r="G125" s="85" t="n"/>
      <c r="H125" s="85" t="n"/>
      <c r="I125" s="85" t="n"/>
      <c r="J125" s="85" t="n"/>
      <c r="K125" s="85" t="n"/>
      <c r="L125" s="85" t="n"/>
      <c r="M125" s="85" t="n"/>
      <c r="N125" s="85" t="n"/>
      <c r="O125" s="85" t="n"/>
      <c r="P125" s="85" t="n"/>
      <c r="Q125" s="85" t="n"/>
      <c r="R125" s="85" t="n"/>
      <c r="S125" s="85" t="n"/>
      <c r="T125" s="85" t="n"/>
      <c r="U125" s="85" t="n"/>
      <c r="V125" s="85" t="n"/>
      <c r="W125" s="85" t="n"/>
      <c r="X125" s="85" t="n"/>
      <c r="Y125" s="85" t="n"/>
      <c r="Z125" s="85" t="n"/>
      <c r="AA125" s="85" t="n"/>
      <c r="AB125" s="85" t="n"/>
      <c r="AC125" s="86" t="n"/>
      <c r="AD125" s="85">
        <f>IF($A125="","",IF(OR($AB125&lt;&gt;"Yes",$AC125="",TODAY()-$AC125&gt;90),"At Risk","Not At Risk"))</f>
        <v/>
      </c>
      <c r="AE125" s="85" t="n"/>
    </row>
    <row r="126" ht="15" customHeight="1" s="39">
      <c r="A126" s="85" t="n"/>
      <c r="B126" s="85" t="n"/>
      <c r="C126" s="85" t="n"/>
      <c r="D126" s="85" t="n"/>
      <c r="E126" s="85" t="n"/>
      <c r="F126" s="85" t="n"/>
      <c r="G126" s="85" t="n"/>
      <c r="H126" s="85" t="n"/>
      <c r="I126" s="85" t="n"/>
      <c r="J126" s="85" t="n"/>
      <c r="K126" s="85" t="n"/>
      <c r="L126" s="85" t="n"/>
      <c r="M126" s="85" t="n"/>
      <c r="N126" s="85" t="n"/>
      <c r="O126" s="85" t="n"/>
      <c r="P126" s="85" t="n"/>
      <c r="Q126" s="85" t="n"/>
      <c r="R126" s="85" t="n"/>
      <c r="S126" s="85" t="n"/>
      <c r="T126" s="85" t="n"/>
      <c r="U126" s="85" t="n"/>
      <c r="V126" s="85" t="n"/>
      <c r="W126" s="85" t="n"/>
      <c r="X126" s="85" t="n"/>
      <c r="Y126" s="85" t="n"/>
      <c r="Z126" s="85" t="n"/>
      <c r="AA126" s="85" t="n"/>
      <c r="AB126" s="85" t="n"/>
      <c r="AC126" s="86" t="n"/>
      <c r="AD126" s="85">
        <f>IF($A126="","",IF(OR($AB126&lt;&gt;"Yes",$AC126="",TODAY()-$AC126&gt;90),"At Risk","Not At Risk"))</f>
        <v/>
      </c>
      <c r="AE126" s="85" t="n"/>
    </row>
    <row r="127" ht="15" customHeight="1" s="39">
      <c r="A127" s="85" t="n"/>
      <c r="B127" s="85" t="n"/>
      <c r="C127" s="85" t="n"/>
      <c r="D127" s="85" t="n"/>
      <c r="E127" s="85" t="n"/>
      <c r="F127" s="85" t="n"/>
      <c r="G127" s="85" t="n"/>
      <c r="H127" s="85" t="n"/>
      <c r="I127" s="85" t="n"/>
      <c r="J127" s="85" t="n"/>
      <c r="K127" s="85" t="n"/>
      <c r="L127" s="85" t="n"/>
      <c r="M127" s="85" t="n"/>
      <c r="N127" s="85" t="n"/>
      <c r="O127" s="85" t="n"/>
      <c r="P127" s="85" t="n"/>
      <c r="Q127" s="85" t="n"/>
      <c r="R127" s="85" t="n"/>
      <c r="S127" s="85" t="n"/>
      <c r="T127" s="85" t="n"/>
      <c r="U127" s="85" t="n"/>
      <c r="V127" s="85" t="n"/>
      <c r="W127" s="85" t="n"/>
      <c r="X127" s="85" t="n"/>
      <c r="Y127" s="85" t="n"/>
      <c r="Z127" s="85" t="n"/>
      <c r="AA127" s="85" t="n"/>
      <c r="AB127" s="85" t="n"/>
      <c r="AC127" s="86" t="n"/>
      <c r="AD127" s="85">
        <f>IF($A127="","",IF(OR($AB127&lt;&gt;"Yes",$AC127="",TODAY()-$AC127&gt;90),"At Risk","Not At Risk"))</f>
        <v/>
      </c>
      <c r="AE127" s="85" t="n"/>
    </row>
    <row r="128" ht="15" customHeight="1" s="39">
      <c r="A128" s="85" t="n"/>
      <c r="B128" s="85" t="n"/>
      <c r="C128" s="85" t="n"/>
      <c r="D128" s="85" t="n"/>
      <c r="E128" s="85" t="n"/>
      <c r="F128" s="85" t="n"/>
      <c r="G128" s="85" t="n"/>
      <c r="H128" s="85" t="n"/>
      <c r="I128" s="85" t="n"/>
      <c r="J128" s="85" t="n"/>
      <c r="K128" s="85" t="n"/>
      <c r="L128" s="85" t="n"/>
      <c r="M128" s="85" t="n"/>
      <c r="N128" s="85" t="n"/>
      <c r="O128" s="85" t="n"/>
      <c r="P128" s="85" t="n"/>
      <c r="Q128" s="85" t="n"/>
      <c r="R128" s="85" t="n"/>
      <c r="S128" s="85" t="n"/>
      <c r="T128" s="85" t="n"/>
      <c r="U128" s="85" t="n"/>
      <c r="V128" s="85" t="n"/>
      <c r="W128" s="85" t="n"/>
      <c r="X128" s="85" t="n"/>
      <c r="Y128" s="85" t="n"/>
      <c r="Z128" s="85" t="n"/>
      <c r="AA128" s="85" t="n"/>
      <c r="AB128" s="85" t="n"/>
      <c r="AC128" s="86" t="n"/>
      <c r="AD128" s="85">
        <f>IF($A128="","",IF(OR($AB128&lt;&gt;"Yes",$AC128="",TODAY()-$AC128&gt;90),"At Risk","Not At Risk"))</f>
        <v/>
      </c>
      <c r="AE128" s="85" t="n"/>
    </row>
    <row r="129" ht="15" customHeight="1" s="39">
      <c r="A129" s="85" t="n"/>
      <c r="B129" s="85" t="n"/>
      <c r="C129" s="85" t="n"/>
      <c r="D129" s="85" t="n"/>
      <c r="E129" s="85" t="n"/>
      <c r="F129" s="85" t="n"/>
      <c r="G129" s="85" t="n"/>
      <c r="H129" s="85" t="n"/>
      <c r="I129" s="85" t="n"/>
      <c r="J129" s="85" t="n"/>
      <c r="K129" s="85" t="n"/>
      <c r="L129" s="85" t="n"/>
      <c r="M129" s="85" t="n"/>
      <c r="N129" s="85" t="n"/>
      <c r="O129" s="85" t="n"/>
      <c r="P129" s="85" t="n"/>
      <c r="Q129" s="85" t="n"/>
      <c r="R129" s="85" t="n"/>
      <c r="S129" s="85" t="n"/>
      <c r="T129" s="85" t="n"/>
      <c r="U129" s="85" t="n"/>
      <c r="V129" s="85" t="n"/>
      <c r="W129" s="85" t="n"/>
      <c r="X129" s="85" t="n"/>
      <c r="Y129" s="85" t="n"/>
      <c r="Z129" s="85" t="n"/>
      <c r="AA129" s="85" t="n"/>
      <c r="AB129" s="85" t="n"/>
      <c r="AC129" s="86" t="n"/>
      <c r="AD129" s="85">
        <f>IF($A129="","",IF(OR($AB129&lt;&gt;"Yes",$AC129="",TODAY()-$AC129&gt;90),"At Risk","Not At Risk"))</f>
        <v/>
      </c>
      <c r="AE129" s="85" t="n"/>
    </row>
    <row r="130" ht="15" customHeight="1" s="39">
      <c r="A130" s="85" t="n"/>
      <c r="B130" s="85" t="n"/>
      <c r="C130" s="85" t="n"/>
      <c r="D130" s="85" t="n"/>
      <c r="E130" s="85" t="n"/>
      <c r="F130" s="85" t="n"/>
      <c r="G130" s="85" t="n"/>
      <c r="H130" s="85" t="n"/>
      <c r="I130" s="85" t="n"/>
      <c r="J130" s="85" t="n"/>
      <c r="K130" s="85" t="n"/>
      <c r="L130" s="85" t="n"/>
      <c r="M130" s="85" t="n"/>
      <c r="N130" s="85" t="n"/>
      <c r="O130" s="85" t="n"/>
      <c r="P130" s="85" t="n"/>
      <c r="Q130" s="85" t="n"/>
      <c r="R130" s="85" t="n"/>
      <c r="S130" s="85" t="n"/>
      <c r="T130" s="85" t="n"/>
      <c r="U130" s="85" t="n"/>
      <c r="V130" s="85" t="n"/>
      <c r="W130" s="85" t="n"/>
      <c r="X130" s="85" t="n"/>
      <c r="Y130" s="85" t="n"/>
      <c r="Z130" s="85" t="n"/>
      <c r="AA130" s="85" t="n"/>
      <c r="AB130" s="85" t="n"/>
      <c r="AC130" s="86" t="n"/>
      <c r="AD130" s="85">
        <f>IF($A130="","",IF(OR($AB130&lt;&gt;"Yes",$AC130="",TODAY()-$AC130&gt;90),"At Risk","Not At Risk"))</f>
        <v/>
      </c>
      <c r="AE130" s="85" t="n"/>
    </row>
    <row r="131" ht="15" customHeight="1" s="39">
      <c r="A131" s="85" t="n"/>
      <c r="B131" s="85" t="n"/>
      <c r="C131" s="85" t="n"/>
      <c r="D131" s="85" t="n"/>
      <c r="E131" s="85" t="n"/>
      <c r="F131" s="85" t="n"/>
      <c r="G131" s="85" t="n"/>
      <c r="H131" s="85" t="n"/>
      <c r="I131" s="85" t="n"/>
      <c r="J131" s="85" t="n"/>
      <c r="K131" s="85" t="n"/>
      <c r="L131" s="85" t="n"/>
      <c r="M131" s="85" t="n"/>
      <c r="N131" s="85" t="n"/>
      <c r="O131" s="85" t="n"/>
      <c r="P131" s="85" t="n"/>
      <c r="Q131" s="85" t="n"/>
      <c r="R131" s="85" t="n"/>
      <c r="S131" s="85" t="n"/>
      <c r="T131" s="85" t="n"/>
      <c r="U131" s="85" t="n"/>
      <c r="V131" s="85" t="n"/>
      <c r="W131" s="85" t="n"/>
      <c r="X131" s="85" t="n"/>
      <c r="Y131" s="85" t="n"/>
      <c r="Z131" s="85" t="n"/>
      <c r="AA131" s="85" t="n"/>
      <c r="AB131" s="85" t="n"/>
      <c r="AC131" s="86" t="n"/>
      <c r="AD131" s="85">
        <f>IF($A131="","",IF(OR($AB131&lt;&gt;"Yes",$AC131="",TODAY()-$AC131&gt;90),"At Risk","Not At Risk"))</f>
        <v/>
      </c>
      <c r="AE131" s="85" t="n"/>
    </row>
    <row r="132" ht="15" customHeight="1" s="39">
      <c r="A132" s="85" t="n"/>
      <c r="B132" s="85" t="n"/>
      <c r="C132" s="85" t="n"/>
      <c r="D132" s="85" t="n"/>
      <c r="E132" s="85" t="n"/>
      <c r="F132" s="85" t="n"/>
      <c r="G132" s="85" t="n"/>
      <c r="H132" s="85" t="n"/>
      <c r="I132" s="85" t="n"/>
      <c r="J132" s="85" t="n"/>
      <c r="K132" s="85" t="n"/>
      <c r="L132" s="85" t="n"/>
      <c r="M132" s="85" t="n"/>
      <c r="N132" s="85" t="n"/>
      <c r="O132" s="85" t="n"/>
      <c r="P132" s="85" t="n"/>
      <c r="Q132" s="85" t="n"/>
      <c r="R132" s="85" t="n"/>
      <c r="S132" s="85" t="n"/>
      <c r="T132" s="85" t="n"/>
      <c r="U132" s="85" t="n"/>
      <c r="V132" s="85" t="n"/>
      <c r="W132" s="85" t="n"/>
      <c r="X132" s="85" t="n"/>
      <c r="Y132" s="85" t="n"/>
      <c r="Z132" s="85" t="n"/>
      <c r="AA132" s="85" t="n"/>
      <c r="AB132" s="85" t="n"/>
      <c r="AC132" s="86" t="n"/>
      <c r="AD132" s="85">
        <f>IF($A132="","",IF(OR($AB132&lt;&gt;"Yes",$AC132="",TODAY()-$AC132&gt;90),"At Risk","Not At Risk"))</f>
        <v/>
      </c>
      <c r="AE132" s="85" t="n"/>
    </row>
    <row r="133" ht="15" customHeight="1" s="39">
      <c r="A133" s="85" t="n"/>
      <c r="B133" s="85" t="n"/>
      <c r="C133" s="85" t="n"/>
      <c r="D133" s="85" t="n"/>
      <c r="E133" s="85" t="n"/>
      <c r="F133" s="85" t="n"/>
      <c r="G133" s="85" t="n"/>
      <c r="H133" s="85" t="n"/>
      <c r="I133" s="85" t="n"/>
      <c r="J133" s="85" t="n"/>
      <c r="K133" s="85" t="n"/>
      <c r="L133" s="85" t="n"/>
      <c r="M133" s="85" t="n"/>
      <c r="N133" s="85" t="n"/>
      <c r="O133" s="85" t="n"/>
      <c r="P133" s="85" t="n"/>
      <c r="Q133" s="85" t="n"/>
      <c r="R133" s="85" t="n"/>
      <c r="S133" s="85" t="n"/>
      <c r="T133" s="85" t="n"/>
      <c r="U133" s="85" t="n"/>
      <c r="V133" s="85" t="n"/>
      <c r="W133" s="85" t="n"/>
      <c r="X133" s="85" t="n"/>
      <c r="Y133" s="85" t="n"/>
      <c r="Z133" s="85" t="n"/>
      <c r="AA133" s="85" t="n"/>
      <c r="AB133" s="85" t="n"/>
      <c r="AC133" s="86" t="n"/>
      <c r="AD133" s="85">
        <f>IF($A133="","",IF(OR($AB133&lt;&gt;"Yes",$AC133="",TODAY()-$AC133&gt;90),"At Risk","Not At Risk"))</f>
        <v/>
      </c>
      <c r="AE133" s="85" t="n"/>
    </row>
    <row r="134" ht="15" customHeight="1" s="39">
      <c r="A134" s="85" t="n"/>
      <c r="B134" s="85" t="n"/>
      <c r="C134" s="85" t="n"/>
      <c r="D134" s="85" t="n"/>
      <c r="E134" s="85" t="n"/>
      <c r="F134" s="85" t="n"/>
      <c r="G134" s="85" t="n"/>
      <c r="H134" s="85" t="n"/>
      <c r="I134" s="85" t="n"/>
      <c r="J134" s="85" t="n"/>
      <c r="K134" s="85" t="n"/>
      <c r="L134" s="85" t="n"/>
      <c r="M134" s="85" t="n"/>
      <c r="N134" s="85" t="n"/>
      <c r="O134" s="85" t="n"/>
      <c r="P134" s="85" t="n"/>
      <c r="Q134" s="85" t="n"/>
      <c r="R134" s="85" t="n"/>
      <c r="S134" s="85" t="n"/>
      <c r="T134" s="85" t="n"/>
      <c r="U134" s="85" t="n"/>
      <c r="V134" s="85" t="n"/>
      <c r="W134" s="85" t="n"/>
      <c r="X134" s="85" t="n"/>
      <c r="Y134" s="85" t="n"/>
      <c r="Z134" s="85" t="n"/>
      <c r="AA134" s="85" t="n"/>
      <c r="AB134" s="85" t="n"/>
      <c r="AC134" s="86" t="n"/>
      <c r="AD134" s="85">
        <f>IF($A134="","",IF(OR($AB134&lt;&gt;"Yes",$AC134="",TODAY()-$AC134&gt;90),"At Risk","Not At Risk"))</f>
        <v/>
      </c>
      <c r="AE134" s="85" t="n"/>
    </row>
    <row r="135" ht="15" customHeight="1" s="39">
      <c r="A135" s="85"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6" t="n"/>
      <c r="AD135" s="85">
        <f>IF($A135="","",IF(OR($AB135&lt;&gt;"Yes",$AC135="",TODAY()-$AC135&gt;90),"At Risk","Not At Risk"))</f>
        <v/>
      </c>
      <c r="AE135" s="85" t="n"/>
    </row>
    <row r="136" ht="15" customHeight="1" s="39">
      <c r="A136" s="85" t="n"/>
      <c r="B136" s="85" t="n"/>
      <c r="C136" s="85" t="n"/>
      <c r="D136" s="85" t="n"/>
      <c r="E136" s="85" t="n"/>
      <c r="F136" s="85" t="n"/>
      <c r="G136" s="85" t="n"/>
      <c r="H136" s="85" t="n"/>
      <c r="I136" s="85" t="n"/>
      <c r="J136" s="85" t="n"/>
      <c r="K136" s="85" t="n"/>
      <c r="L136" s="85" t="n"/>
      <c r="M136" s="85" t="n"/>
      <c r="N136" s="85" t="n"/>
      <c r="O136" s="85" t="n"/>
      <c r="P136" s="85" t="n"/>
      <c r="Q136" s="85" t="n"/>
      <c r="R136" s="85" t="n"/>
      <c r="S136" s="85" t="n"/>
      <c r="T136" s="85" t="n"/>
      <c r="U136" s="85" t="n"/>
      <c r="V136" s="85" t="n"/>
      <c r="W136" s="85" t="n"/>
      <c r="X136" s="85" t="n"/>
      <c r="Y136" s="85" t="n"/>
      <c r="Z136" s="85" t="n"/>
      <c r="AA136" s="85" t="n"/>
      <c r="AB136" s="85" t="n"/>
      <c r="AC136" s="86" t="n"/>
      <c r="AD136" s="85">
        <f>IF($A136="","",IF(OR($AB136&lt;&gt;"Yes",$AC136="",TODAY()-$AC136&gt;90),"At Risk","Not At Risk"))</f>
        <v/>
      </c>
      <c r="AE136" s="85" t="n"/>
    </row>
    <row r="137" ht="15" customHeight="1" s="39">
      <c r="A137" s="85" t="n"/>
      <c r="B137" s="85" t="n"/>
      <c r="C137" s="85" t="n"/>
      <c r="D137" s="85" t="n"/>
      <c r="E137" s="85" t="n"/>
      <c r="F137" s="85" t="n"/>
      <c r="G137" s="85" t="n"/>
      <c r="H137" s="85" t="n"/>
      <c r="I137" s="85" t="n"/>
      <c r="J137" s="85" t="n"/>
      <c r="K137" s="85" t="n"/>
      <c r="L137" s="85" t="n"/>
      <c r="M137" s="85" t="n"/>
      <c r="N137" s="85" t="n"/>
      <c r="O137" s="85" t="n"/>
      <c r="P137" s="85" t="n"/>
      <c r="Q137" s="85" t="n"/>
      <c r="R137" s="85" t="n"/>
      <c r="S137" s="85" t="n"/>
      <c r="T137" s="85" t="n"/>
      <c r="U137" s="85" t="n"/>
      <c r="V137" s="85" t="n"/>
      <c r="W137" s="85" t="n"/>
      <c r="X137" s="85" t="n"/>
      <c r="Y137" s="85" t="n"/>
      <c r="Z137" s="85" t="n"/>
      <c r="AA137" s="85" t="n"/>
      <c r="AB137" s="85" t="n"/>
      <c r="AC137" s="86" t="n"/>
      <c r="AD137" s="85">
        <f>IF($A137="","",IF(OR($AB137&lt;&gt;"Yes",$AC137="",TODAY()-$AC137&gt;90),"At Risk","Not At Risk"))</f>
        <v/>
      </c>
      <c r="AE137" s="85" t="n"/>
    </row>
    <row r="138" ht="15" customHeight="1" s="39">
      <c r="A138" s="85" t="n"/>
      <c r="B138" s="85" t="n"/>
      <c r="C138" s="85" t="n"/>
      <c r="D138" s="85" t="n"/>
      <c r="E138" s="85" t="n"/>
      <c r="F138" s="85" t="n"/>
      <c r="G138" s="85" t="n"/>
      <c r="H138" s="85" t="n"/>
      <c r="I138" s="85" t="n"/>
      <c r="J138" s="85" t="n"/>
      <c r="K138" s="85" t="n"/>
      <c r="L138" s="85" t="n"/>
      <c r="M138" s="85" t="n"/>
      <c r="N138" s="85" t="n"/>
      <c r="O138" s="85" t="n"/>
      <c r="P138" s="85" t="n"/>
      <c r="Q138" s="85" t="n"/>
      <c r="R138" s="85" t="n"/>
      <c r="S138" s="85" t="n"/>
      <c r="T138" s="85" t="n"/>
      <c r="U138" s="85" t="n"/>
      <c r="V138" s="85" t="n"/>
      <c r="W138" s="85" t="n"/>
      <c r="X138" s="85" t="n"/>
      <c r="Y138" s="85" t="n"/>
      <c r="Z138" s="85" t="n"/>
      <c r="AA138" s="85" t="n"/>
      <c r="AB138" s="85" t="n"/>
      <c r="AC138" s="86" t="n"/>
      <c r="AD138" s="85">
        <f>IF($A138="","",IF(OR($AB138&lt;&gt;"Yes",$AC138="",TODAY()-$AC138&gt;90),"At Risk","Not At Risk"))</f>
        <v/>
      </c>
      <c r="AE138" s="85" t="n"/>
    </row>
    <row r="139" ht="15" customHeight="1" s="39">
      <c r="A139" s="85" t="n"/>
      <c r="B139" s="85" t="n"/>
      <c r="C139" s="85" t="n"/>
      <c r="D139" s="85" t="n"/>
      <c r="E139" s="85" t="n"/>
      <c r="F139" s="85" t="n"/>
      <c r="G139" s="85" t="n"/>
      <c r="H139" s="85" t="n"/>
      <c r="I139" s="85" t="n"/>
      <c r="J139" s="85" t="n"/>
      <c r="K139" s="85" t="n"/>
      <c r="L139" s="85" t="n"/>
      <c r="M139" s="85" t="n"/>
      <c r="N139" s="85" t="n"/>
      <c r="O139" s="85" t="n"/>
      <c r="P139" s="85" t="n"/>
      <c r="Q139" s="85" t="n"/>
      <c r="R139" s="85" t="n"/>
      <c r="S139" s="85" t="n"/>
      <c r="T139" s="85" t="n"/>
      <c r="U139" s="85" t="n"/>
      <c r="V139" s="85" t="n"/>
      <c r="W139" s="85" t="n"/>
      <c r="X139" s="85" t="n"/>
      <c r="Y139" s="85" t="n"/>
      <c r="Z139" s="85" t="n"/>
      <c r="AA139" s="85" t="n"/>
      <c r="AB139" s="85" t="n"/>
      <c r="AC139" s="86" t="n"/>
      <c r="AD139" s="85">
        <f>IF($A139="","",IF(OR($AB139&lt;&gt;"Yes",$AC139="",TODAY()-$AC139&gt;90),"At Risk","Not At Risk"))</f>
        <v/>
      </c>
      <c r="AE139" s="85" t="n"/>
    </row>
    <row r="140" ht="15" customHeight="1" s="39">
      <c r="A140" s="85" t="n"/>
      <c r="B140" s="85" t="n"/>
      <c r="C140" s="85" t="n"/>
      <c r="D140" s="85" t="n"/>
      <c r="E140" s="85" t="n"/>
      <c r="F140" s="85" t="n"/>
      <c r="G140" s="85" t="n"/>
      <c r="H140" s="85" t="n"/>
      <c r="I140" s="85" t="n"/>
      <c r="J140" s="85" t="n"/>
      <c r="K140" s="85" t="n"/>
      <c r="L140" s="85" t="n"/>
      <c r="M140" s="85" t="n"/>
      <c r="N140" s="85" t="n"/>
      <c r="O140" s="85" t="n"/>
      <c r="P140" s="85" t="n"/>
      <c r="Q140" s="85" t="n"/>
      <c r="R140" s="85" t="n"/>
      <c r="S140" s="85" t="n"/>
      <c r="T140" s="85" t="n"/>
      <c r="U140" s="85" t="n"/>
      <c r="V140" s="85" t="n"/>
      <c r="W140" s="85" t="n"/>
      <c r="X140" s="85" t="n"/>
      <c r="Y140" s="85" t="n"/>
      <c r="Z140" s="85" t="n"/>
      <c r="AA140" s="85" t="n"/>
      <c r="AB140" s="85" t="n"/>
      <c r="AC140" s="86" t="n"/>
      <c r="AD140" s="85">
        <f>IF($A140="","",IF(OR($AB140&lt;&gt;"Yes",$AC140="",TODAY()-$AC140&gt;90),"At Risk","Not At Risk"))</f>
        <v/>
      </c>
      <c r="AE140" s="85" t="n"/>
    </row>
    <row r="141" ht="15" customHeight="1" s="39">
      <c r="A141" s="85" t="n"/>
      <c r="B141" s="85" t="n"/>
      <c r="C141" s="85" t="n"/>
      <c r="D141" s="85" t="n"/>
      <c r="E141" s="85" t="n"/>
      <c r="F141" s="85" t="n"/>
      <c r="G141" s="85" t="n"/>
      <c r="H141" s="85" t="n"/>
      <c r="I141" s="85" t="n"/>
      <c r="J141" s="85" t="n"/>
      <c r="K141" s="85" t="n"/>
      <c r="L141" s="85" t="n"/>
      <c r="M141" s="85" t="n"/>
      <c r="N141" s="85" t="n"/>
      <c r="O141" s="85" t="n"/>
      <c r="P141" s="85" t="n"/>
      <c r="Q141" s="85" t="n"/>
      <c r="R141" s="85" t="n"/>
      <c r="S141" s="85" t="n"/>
      <c r="T141" s="85" t="n"/>
      <c r="U141" s="85" t="n"/>
      <c r="V141" s="85" t="n"/>
      <c r="W141" s="85" t="n"/>
      <c r="X141" s="85" t="n"/>
      <c r="Y141" s="85" t="n"/>
      <c r="Z141" s="85" t="n"/>
      <c r="AA141" s="85" t="n"/>
      <c r="AB141" s="85" t="n"/>
      <c r="AC141" s="86" t="n"/>
      <c r="AD141" s="85">
        <f>IF($A141="","",IF(OR($AB141&lt;&gt;"Yes",$AC141="",TODAY()-$AC141&gt;90),"At Risk","Not At Risk"))</f>
        <v/>
      </c>
      <c r="AE141" s="85" t="n"/>
    </row>
    <row r="142" ht="15" customHeight="1" s="39">
      <c r="A142" s="85" t="n"/>
      <c r="B142" s="85" t="n"/>
      <c r="C142" s="85" t="n"/>
      <c r="D142" s="85" t="n"/>
      <c r="E142" s="85" t="n"/>
      <c r="F142" s="85" t="n"/>
      <c r="G142" s="85" t="n"/>
      <c r="H142" s="85" t="n"/>
      <c r="I142" s="85" t="n"/>
      <c r="J142" s="85" t="n"/>
      <c r="K142" s="85" t="n"/>
      <c r="L142" s="85" t="n"/>
      <c r="M142" s="85" t="n"/>
      <c r="N142" s="85" t="n"/>
      <c r="O142" s="85" t="n"/>
      <c r="P142" s="85" t="n"/>
      <c r="Q142" s="85" t="n"/>
      <c r="R142" s="85" t="n"/>
      <c r="S142" s="85" t="n"/>
      <c r="T142" s="85" t="n"/>
      <c r="U142" s="85" t="n"/>
      <c r="V142" s="85" t="n"/>
      <c r="W142" s="85" t="n"/>
      <c r="X142" s="85" t="n"/>
      <c r="Y142" s="85" t="n"/>
      <c r="Z142" s="85" t="n"/>
      <c r="AA142" s="85" t="n"/>
      <c r="AB142" s="85" t="n"/>
      <c r="AC142" s="86" t="n"/>
      <c r="AD142" s="85">
        <f>IF($A142="","",IF(OR($AB142&lt;&gt;"Yes",$AC142="",TODAY()-$AC142&gt;90),"At Risk","Not At Risk"))</f>
        <v/>
      </c>
      <c r="AE142" s="85" t="n"/>
    </row>
    <row r="143" ht="15" customHeight="1" s="39">
      <c r="A143" s="85" t="n"/>
      <c r="B143" s="85" t="n"/>
      <c r="C143" s="85" t="n"/>
      <c r="D143" s="85" t="n"/>
      <c r="E143" s="85" t="n"/>
      <c r="F143" s="85" t="n"/>
      <c r="G143" s="85" t="n"/>
      <c r="H143" s="85" t="n"/>
      <c r="I143" s="85" t="n"/>
      <c r="J143" s="85" t="n"/>
      <c r="K143" s="85" t="n"/>
      <c r="L143" s="85" t="n"/>
      <c r="M143" s="85" t="n"/>
      <c r="N143" s="85" t="n"/>
      <c r="O143" s="85" t="n"/>
      <c r="P143" s="85" t="n"/>
      <c r="Q143" s="85" t="n"/>
      <c r="R143" s="85" t="n"/>
      <c r="S143" s="85" t="n"/>
      <c r="T143" s="85" t="n"/>
      <c r="U143" s="85" t="n"/>
      <c r="V143" s="85" t="n"/>
      <c r="W143" s="85" t="n"/>
      <c r="X143" s="85" t="n"/>
      <c r="Y143" s="85" t="n"/>
      <c r="Z143" s="85" t="n"/>
      <c r="AA143" s="85" t="n"/>
      <c r="AB143" s="85" t="n"/>
      <c r="AC143" s="86" t="n"/>
      <c r="AD143" s="85">
        <f>IF($A143="","",IF(OR($AB143&lt;&gt;"Yes",$AC143="",TODAY()-$AC143&gt;90),"At Risk","Not At Risk"))</f>
        <v/>
      </c>
      <c r="AE143" s="85" t="n"/>
    </row>
    <row r="144" ht="15" customHeight="1" s="39">
      <c r="A144" s="85" t="n"/>
      <c r="B144" s="85" t="n"/>
      <c r="C144" s="85" t="n"/>
      <c r="D144" s="85" t="n"/>
      <c r="E144" s="85" t="n"/>
      <c r="F144" s="85" t="n"/>
      <c r="G144" s="85" t="n"/>
      <c r="H144" s="85" t="n"/>
      <c r="I144" s="85" t="n"/>
      <c r="J144" s="85" t="n"/>
      <c r="K144" s="85" t="n"/>
      <c r="L144" s="85" t="n"/>
      <c r="M144" s="85" t="n"/>
      <c r="N144" s="85" t="n"/>
      <c r="O144" s="85" t="n"/>
      <c r="P144" s="85" t="n"/>
      <c r="Q144" s="85" t="n"/>
      <c r="R144" s="85" t="n"/>
      <c r="S144" s="85" t="n"/>
      <c r="T144" s="85" t="n"/>
      <c r="U144" s="85" t="n"/>
      <c r="V144" s="85" t="n"/>
      <c r="W144" s="85" t="n"/>
      <c r="X144" s="85" t="n"/>
      <c r="Y144" s="85" t="n"/>
      <c r="Z144" s="85" t="n"/>
      <c r="AA144" s="85" t="n"/>
      <c r="AB144" s="85" t="n"/>
      <c r="AC144" s="86" t="n"/>
      <c r="AD144" s="85">
        <f>IF($A144="","",IF(OR($AB144&lt;&gt;"Yes",$AC144="",TODAY()-$AC144&gt;90),"At Risk","Not At Risk"))</f>
        <v/>
      </c>
      <c r="AE144" s="85" t="n"/>
    </row>
    <row r="145" ht="15" customHeight="1" s="39">
      <c r="A145" s="85" t="n"/>
      <c r="B145" s="85" t="n"/>
      <c r="C145" s="85" t="n"/>
      <c r="D145" s="85" t="n"/>
      <c r="E145" s="85" t="n"/>
      <c r="F145" s="85" t="n"/>
      <c r="G145" s="85" t="n"/>
      <c r="H145" s="85" t="n"/>
      <c r="I145" s="85" t="n"/>
      <c r="J145" s="85" t="n"/>
      <c r="K145" s="85" t="n"/>
      <c r="L145" s="85" t="n"/>
      <c r="M145" s="85" t="n"/>
      <c r="N145" s="85" t="n"/>
      <c r="O145" s="85" t="n"/>
      <c r="P145" s="85" t="n"/>
      <c r="Q145" s="85" t="n"/>
      <c r="R145" s="85" t="n"/>
      <c r="S145" s="85" t="n"/>
      <c r="T145" s="85" t="n"/>
      <c r="U145" s="85" t="n"/>
      <c r="V145" s="85" t="n"/>
      <c r="W145" s="85" t="n"/>
      <c r="X145" s="85" t="n"/>
      <c r="Y145" s="85" t="n"/>
      <c r="Z145" s="85" t="n"/>
      <c r="AA145" s="85" t="n"/>
      <c r="AB145" s="85" t="n"/>
      <c r="AC145" s="86" t="n"/>
      <c r="AD145" s="85">
        <f>IF($A145="","",IF(OR($AB145&lt;&gt;"Yes",$AC145="",TODAY()-$AC145&gt;90),"At Risk","Not At Risk"))</f>
        <v/>
      </c>
      <c r="AE145" s="85" t="n"/>
    </row>
    <row r="146" ht="15" customHeight="1" s="39">
      <c r="A146" s="85" t="n"/>
      <c r="B146" s="85" t="n"/>
      <c r="C146" s="85" t="n"/>
      <c r="D146" s="85" t="n"/>
      <c r="E146" s="85" t="n"/>
      <c r="F146" s="85" t="n"/>
      <c r="G146" s="85" t="n"/>
      <c r="H146" s="85" t="n"/>
      <c r="I146" s="85" t="n"/>
      <c r="J146" s="85" t="n"/>
      <c r="K146" s="85" t="n"/>
      <c r="L146" s="85" t="n"/>
      <c r="M146" s="85" t="n"/>
      <c r="N146" s="85" t="n"/>
      <c r="O146" s="85" t="n"/>
      <c r="P146" s="85" t="n"/>
      <c r="Q146" s="85" t="n"/>
      <c r="R146" s="85" t="n"/>
      <c r="S146" s="85" t="n"/>
      <c r="T146" s="85" t="n"/>
      <c r="U146" s="85" t="n"/>
      <c r="V146" s="85" t="n"/>
      <c r="W146" s="85" t="n"/>
      <c r="X146" s="85" t="n"/>
      <c r="Y146" s="85" t="n"/>
      <c r="Z146" s="85" t="n"/>
      <c r="AA146" s="85" t="n"/>
      <c r="AB146" s="85" t="n"/>
      <c r="AC146" s="86" t="n"/>
      <c r="AD146" s="85">
        <f>IF($A146="","",IF(OR($AB146&lt;&gt;"Yes",$AC146="",TODAY()-$AC146&gt;90),"At Risk","Not At Risk"))</f>
        <v/>
      </c>
      <c r="AE146" s="85" t="n"/>
    </row>
    <row r="147" ht="15" customHeight="1" s="39">
      <c r="A147" s="85" t="n"/>
      <c r="B147" s="85" t="n"/>
      <c r="C147" s="85" t="n"/>
      <c r="D147" s="85" t="n"/>
      <c r="E147" s="85" t="n"/>
      <c r="F147" s="85" t="n"/>
      <c r="G147" s="85" t="n"/>
      <c r="H147" s="85" t="n"/>
      <c r="I147" s="85" t="n"/>
      <c r="J147" s="85" t="n"/>
      <c r="K147" s="85" t="n"/>
      <c r="L147" s="85" t="n"/>
      <c r="M147" s="85" t="n"/>
      <c r="N147" s="85" t="n"/>
      <c r="O147" s="85" t="n"/>
      <c r="P147" s="85" t="n"/>
      <c r="Q147" s="85" t="n"/>
      <c r="R147" s="85" t="n"/>
      <c r="S147" s="85" t="n"/>
      <c r="T147" s="85" t="n"/>
      <c r="U147" s="85" t="n"/>
      <c r="V147" s="85" t="n"/>
      <c r="W147" s="85" t="n"/>
      <c r="X147" s="85" t="n"/>
      <c r="Y147" s="85" t="n"/>
      <c r="Z147" s="85" t="n"/>
      <c r="AA147" s="85" t="n"/>
      <c r="AB147" s="85" t="n"/>
      <c r="AC147" s="86" t="n"/>
      <c r="AD147" s="85">
        <f>IF($A147="","",IF(OR($AB147&lt;&gt;"Yes",$AC147="",TODAY()-$AC147&gt;90),"At Risk","Not At Risk"))</f>
        <v/>
      </c>
      <c r="AE147" s="85" t="n"/>
    </row>
    <row r="148" ht="15" customHeight="1" s="39">
      <c r="A148" s="85" t="n"/>
      <c r="B148" s="85" t="n"/>
      <c r="C148" s="85" t="n"/>
      <c r="D148" s="85" t="n"/>
      <c r="E148" s="85" t="n"/>
      <c r="F148" s="85" t="n"/>
      <c r="G148" s="85" t="n"/>
      <c r="H148" s="85" t="n"/>
      <c r="I148" s="85" t="n"/>
      <c r="J148" s="85" t="n"/>
      <c r="K148" s="85" t="n"/>
      <c r="L148" s="85" t="n"/>
      <c r="M148" s="85" t="n"/>
      <c r="N148" s="85" t="n"/>
      <c r="O148" s="85" t="n"/>
      <c r="P148" s="85" t="n"/>
      <c r="Q148" s="85" t="n"/>
      <c r="R148" s="85" t="n"/>
      <c r="S148" s="85" t="n"/>
      <c r="T148" s="85" t="n"/>
      <c r="U148" s="85" t="n"/>
      <c r="V148" s="85" t="n"/>
      <c r="W148" s="85" t="n"/>
      <c r="X148" s="85" t="n"/>
      <c r="Y148" s="85" t="n"/>
      <c r="Z148" s="85" t="n"/>
      <c r="AA148" s="85" t="n"/>
      <c r="AB148" s="85" t="n"/>
      <c r="AC148" s="86" t="n"/>
      <c r="AD148" s="85">
        <f>IF($A148="","",IF(OR($AB148&lt;&gt;"Yes",$AC148="",TODAY()-$AC148&gt;90),"At Risk","Not At Risk"))</f>
        <v/>
      </c>
      <c r="AE148" s="85" t="n"/>
    </row>
    <row r="149" ht="15" customHeight="1" s="39">
      <c r="A149" s="85" t="n"/>
      <c r="B149" s="85" t="n"/>
      <c r="C149" s="85" t="n"/>
      <c r="D149" s="85" t="n"/>
      <c r="E149" s="85" t="n"/>
      <c r="F149" s="85" t="n"/>
      <c r="G149" s="85" t="n"/>
      <c r="H149" s="85" t="n"/>
      <c r="I149" s="85" t="n"/>
      <c r="J149" s="85" t="n"/>
      <c r="K149" s="85" t="n"/>
      <c r="L149" s="85" t="n"/>
      <c r="M149" s="85" t="n"/>
      <c r="N149" s="85" t="n"/>
      <c r="O149" s="85" t="n"/>
      <c r="P149" s="85" t="n"/>
      <c r="Q149" s="85" t="n"/>
      <c r="R149" s="85" t="n"/>
      <c r="S149" s="85" t="n"/>
      <c r="T149" s="85" t="n"/>
      <c r="U149" s="85" t="n"/>
      <c r="V149" s="85" t="n"/>
      <c r="W149" s="85" t="n"/>
      <c r="X149" s="85" t="n"/>
      <c r="Y149" s="85" t="n"/>
      <c r="Z149" s="85" t="n"/>
      <c r="AA149" s="85" t="n"/>
      <c r="AB149" s="85" t="n"/>
      <c r="AC149" s="86" t="n"/>
      <c r="AD149" s="85">
        <f>IF($A149="","",IF(OR($AB149&lt;&gt;"Yes",$AC149="",TODAY()-$AC149&gt;90),"At Risk","Not At Risk"))</f>
        <v/>
      </c>
      <c r="AE149" s="85" t="n"/>
    </row>
    <row r="150" ht="15" customHeight="1" s="39">
      <c r="A150" s="85" t="n"/>
      <c r="B150" s="85" t="n"/>
      <c r="C150" s="85" t="n"/>
      <c r="D150" s="85" t="n"/>
      <c r="E150" s="85" t="n"/>
      <c r="F150" s="85" t="n"/>
      <c r="G150" s="85" t="n"/>
      <c r="H150" s="85" t="n"/>
      <c r="I150" s="85" t="n"/>
      <c r="J150" s="85" t="n"/>
      <c r="K150" s="85" t="n"/>
      <c r="L150" s="85" t="n"/>
      <c r="M150" s="85" t="n"/>
      <c r="N150" s="85" t="n"/>
      <c r="O150" s="85" t="n"/>
      <c r="P150" s="85" t="n"/>
      <c r="Q150" s="85" t="n"/>
      <c r="R150" s="85" t="n"/>
      <c r="S150" s="85" t="n"/>
      <c r="T150" s="85" t="n"/>
      <c r="U150" s="85" t="n"/>
      <c r="V150" s="85" t="n"/>
      <c r="W150" s="85" t="n"/>
      <c r="X150" s="85" t="n"/>
      <c r="Y150" s="85" t="n"/>
      <c r="Z150" s="85" t="n"/>
      <c r="AA150" s="85" t="n"/>
      <c r="AB150" s="85" t="n"/>
      <c r="AC150" s="86" t="n"/>
      <c r="AD150" s="85">
        <f>IF($A150="","",IF(OR($AB150&lt;&gt;"Yes",$AC150="",TODAY()-$AC150&gt;90),"At Risk","Not At Risk"))</f>
        <v/>
      </c>
      <c r="AE150" s="85" t="n"/>
    </row>
    <row r="151" ht="15" customHeight="1" s="39">
      <c r="A151" s="85" t="n"/>
      <c r="B151" s="85" t="n"/>
      <c r="C151" s="85" t="n"/>
      <c r="D151" s="85" t="n"/>
      <c r="E151" s="85" t="n"/>
      <c r="F151" s="85" t="n"/>
      <c r="G151" s="85" t="n"/>
      <c r="H151" s="85" t="n"/>
      <c r="I151" s="85" t="n"/>
      <c r="J151" s="85" t="n"/>
      <c r="K151" s="85" t="n"/>
      <c r="L151" s="85" t="n"/>
      <c r="M151" s="85" t="n"/>
      <c r="N151" s="85" t="n"/>
      <c r="O151" s="85" t="n"/>
      <c r="P151" s="85" t="n"/>
      <c r="Q151" s="85" t="n"/>
      <c r="R151" s="85" t="n"/>
      <c r="S151" s="85" t="n"/>
      <c r="T151" s="85" t="n"/>
      <c r="U151" s="85" t="n"/>
      <c r="V151" s="85" t="n"/>
      <c r="W151" s="85" t="n"/>
      <c r="X151" s="85" t="n"/>
      <c r="Y151" s="85" t="n"/>
      <c r="Z151" s="85" t="n"/>
      <c r="AA151" s="85" t="n"/>
      <c r="AB151" s="85" t="n"/>
      <c r="AC151" s="86" t="n"/>
      <c r="AD151" s="85">
        <f>IF($A151="","",IF(OR($AB151&lt;&gt;"Yes",$AC151="",TODAY()-$AC151&gt;90),"At Risk","Not At Risk"))</f>
        <v/>
      </c>
      <c r="AE151" s="85" t="n"/>
    </row>
    <row r="152" ht="15" customHeight="1" s="39">
      <c r="A152" s="85" t="n"/>
      <c r="B152" s="85" t="n"/>
      <c r="C152" s="85" t="n"/>
      <c r="D152" s="85" t="n"/>
      <c r="E152" s="85" t="n"/>
      <c r="F152" s="85" t="n"/>
      <c r="G152" s="85" t="n"/>
      <c r="H152" s="85" t="n"/>
      <c r="I152" s="85" t="n"/>
      <c r="J152" s="85" t="n"/>
      <c r="K152" s="85" t="n"/>
      <c r="L152" s="85" t="n"/>
      <c r="M152" s="85" t="n"/>
      <c r="N152" s="85" t="n"/>
      <c r="O152" s="85" t="n"/>
      <c r="P152" s="85" t="n"/>
      <c r="Q152" s="85" t="n"/>
      <c r="R152" s="85" t="n"/>
      <c r="S152" s="85" t="n"/>
      <c r="T152" s="85" t="n"/>
      <c r="U152" s="85" t="n"/>
      <c r="V152" s="85" t="n"/>
      <c r="W152" s="85" t="n"/>
      <c r="X152" s="85" t="n"/>
      <c r="Y152" s="85" t="n"/>
      <c r="Z152" s="85" t="n"/>
      <c r="AA152" s="85" t="n"/>
      <c r="AB152" s="85" t="n"/>
      <c r="AC152" s="86" t="n"/>
      <c r="AD152" s="85">
        <f>IF($A152="","",IF(OR($AB152&lt;&gt;"Yes",$AC152="",TODAY()-$AC152&gt;90),"At Risk","Not At Risk"))</f>
        <v/>
      </c>
      <c r="AE152" s="85" t="n"/>
    </row>
    <row r="153" ht="15" customHeight="1" s="39">
      <c r="A153" s="85" t="n"/>
      <c r="B153" s="85" t="n"/>
      <c r="C153" s="85" t="n"/>
      <c r="D153" s="85" t="n"/>
      <c r="E153" s="85" t="n"/>
      <c r="F153" s="85" t="n"/>
      <c r="G153" s="85" t="n"/>
      <c r="H153" s="85" t="n"/>
      <c r="I153" s="85" t="n"/>
      <c r="J153" s="85" t="n"/>
      <c r="K153" s="85" t="n"/>
      <c r="L153" s="85" t="n"/>
      <c r="M153" s="85" t="n"/>
      <c r="N153" s="85" t="n"/>
      <c r="O153" s="85" t="n"/>
      <c r="P153" s="85" t="n"/>
      <c r="Q153" s="85" t="n"/>
      <c r="R153" s="85" t="n"/>
      <c r="S153" s="85" t="n"/>
      <c r="T153" s="85" t="n"/>
      <c r="U153" s="85" t="n"/>
      <c r="V153" s="85" t="n"/>
      <c r="W153" s="85" t="n"/>
      <c r="X153" s="85" t="n"/>
      <c r="Y153" s="85" t="n"/>
      <c r="Z153" s="85" t="n"/>
      <c r="AA153" s="85" t="n"/>
      <c r="AB153" s="85" t="n"/>
      <c r="AC153" s="86" t="n"/>
      <c r="AD153" s="85">
        <f>IF($A153="","",IF(OR($AB153&lt;&gt;"Yes",$AC153="",TODAY()-$AC153&gt;90),"At Risk","Not At Risk"))</f>
        <v/>
      </c>
      <c r="AE153" s="85" t="n"/>
    </row>
    <row r="154" ht="15" customHeight="1" s="39">
      <c r="A154" s="85" t="n"/>
      <c r="B154" s="85" t="n"/>
      <c r="C154" s="85" t="n"/>
      <c r="D154" s="85" t="n"/>
      <c r="E154" s="85" t="n"/>
      <c r="F154" s="85" t="n"/>
      <c r="G154" s="85" t="n"/>
      <c r="H154" s="85" t="n"/>
      <c r="I154" s="85" t="n"/>
      <c r="J154" s="85" t="n"/>
      <c r="K154" s="85" t="n"/>
      <c r="L154" s="85" t="n"/>
      <c r="M154" s="85" t="n"/>
      <c r="N154" s="85" t="n"/>
      <c r="O154" s="85" t="n"/>
      <c r="P154" s="85" t="n"/>
      <c r="Q154" s="85" t="n"/>
      <c r="R154" s="85" t="n"/>
      <c r="S154" s="85" t="n"/>
      <c r="T154" s="85" t="n"/>
      <c r="U154" s="85" t="n"/>
      <c r="V154" s="85" t="n"/>
      <c r="W154" s="85" t="n"/>
      <c r="X154" s="85" t="n"/>
      <c r="Y154" s="85" t="n"/>
      <c r="Z154" s="85" t="n"/>
      <c r="AA154" s="85" t="n"/>
      <c r="AB154" s="85" t="n"/>
      <c r="AC154" s="86" t="n"/>
      <c r="AD154" s="85">
        <f>IF($A154="","",IF(OR($AB154&lt;&gt;"Yes",$AC154="",TODAY()-$AC154&gt;90),"At Risk","Not At Risk"))</f>
        <v/>
      </c>
      <c r="AE154" s="85" t="n"/>
    </row>
    <row r="155" ht="15" customHeight="1" s="39">
      <c r="A155" s="85" t="n"/>
      <c r="B155" s="85" t="n"/>
      <c r="C155" s="85" t="n"/>
      <c r="D155" s="85" t="n"/>
      <c r="E155" s="85" t="n"/>
      <c r="F155" s="85" t="n"/>
      <c r="G155" s="85" t="n"/>
      <c r="H155" s="85" t="n"/>
      <c r="I155" s="85" t="n"/>
      <c r="J155" s="85" t="n"/>
      <c r="K155" s="85" t="n"/>
      <c r="L155" s="85" t="n"/>
      <c r="M155" s="85" t="n"/>
      <c r="N155" s="85" t="n"/>
      <c r="O155" s="85" t="n"/>
      <c r="P155" s="85" t="n"/>
      <c r="Q155" s="85" t="n"/>
      <c r="R155" s="85" t="n"/>
      <c r="S155" s="85" t="n"/>
      <c r="T155" s="85" t="n"/>
      <c r="U155" s="85" t="n"/>
      <c r="V155" s="85" t="n"/>
      <c r="W155" s="85" t="n"/>
      <c r="X155" s="85" t="n"/>
      <c r="Y155" s="85" t="n"/>
      <c r="Z155" s="85" t="n"/>
      <c r="AA155" s="85" t="n"/>
      <c r="AB155" s="85" t="n"/>
      <c r="AC155" s="86" t="n"/>
      <c r="AD155" s="85">
        <f>IF($A155="","",IF(OR($AB155&lt;&gt;"Yes",$AC155="",TODAY()-$AC155&gt;90),"At Risk","Not At Risk"))</f>
        <v/>
      </c>
      <c r="AE155" s="85" t="n"/>
    </row>
    <row r="156" ht="15" customHeight="1" s="39">
      <c r="A156" s="85" t="n"/>
      <c r="B156" s="85" t="n"/>
      <c r="C156" s="85" t="n"/>
      <c r="D156" s="85" t="n"/>
      <c r="E156" s="85" t="n"/>
      <c r="F156" s="85" t="n"/>
      <c r="G156" s="85" t="n"/>
      <c r="H156" s="85" t="n"/>
      <c r="I156" s="85" t="n"/>
      <c r="J156" s="85" t="n"/>
      <c r="K156" s="85" t="n"/>
      <c r="L156" s="85" t="n"/>
      <c r="M156" s="85" t="n"/>
      <c r="N156" s="85" t="n"/>
      <c r="O156" s="85" t="n"/>
      <c r="P156" s="85" t="n"/>
      <c r="Q156" s="85" t="n"/>
      <c r="R156" s="85" t="n"/>
      <c r="S156" s="85" t="n"/>
      <c r="T156" s="85" t="n"/>
      <c r="U156" s="85" t="n"/>
      <c r="V156" s="85" t="n"/>
      <c r="W156" s="85" t="n"/>
      <c r="X156" s="85" t="n"/>
      <c r="Y156" s="85" t="n"/>
      <c r="Z156" s="85" t="n"/>
      <c r="AA156" s="85" t="n"/>
      <c r="AB156" s="85" t="n"/>
      <c r="AC156" s="86" t="n"/>
      <c r="AD156" s="85">
        <f>IF($A156="","",IF(OR($AB156&lt;&gt;"Yes",$AC156="",TODAY()-$AC156&gt;90),"At Risk","Not At Risk"))</f>
        <v/>
      </c>
      <c r="AE156" s="85" t="n"/>
    </row>
    <row r="157" ht="15" customHeight="1" s="39">
      <c r="A157" s="85" t="n"/>
      <c r="B157" s="85" t="n"/>
      <c r="C157" s="85" t="n"/>
      <c r="D157" s="85" t="n"/>
      <c r="E157" s="85" t="n"/>
      <c r="F157" s="85" t="n"/>
      <c r="G157" s="85" t="n"/>
      <c r="H157" s="85" t="n"/>
      <c r="I157" s="85" t="n"/>
      <c r="J157" s="85" t="n"/>
      <c r="K157" s="85" t="n"/>
      <c r="L157" s="85" t="n"/>
      <c r="M157" s="85" t="n"/>
      <c r="N157" s="85" t="n"/>
      <c r="O157" s="85" t="n"/>
      <c r="P157" s="85" t="n"/>
      <c r="Q157" s="85" t="n"/>
      <c r="R157" s="85" t="n"/>
      <c r="S157" s="85" t="n"/>
      <c r="T157" s="85" t="n"/>
      <c r="U157" s="85" t="n"/>
      <c r="V157" s="85" t="n"/>
      <c r="W157" s="85" t="n"/>
      <c r="X157" s="85" t="n"/>
      <c r="Y157" s="85" t="n"/>
      <c r="Z157" s="85" t="n"/>
      <c r="AA157" s="85" t="n"/>
      <c r="AB157" s="85" t="n"/>
      <c r="AC157" s="86" t="n"/>
      <c r="AD157" s="85">
        <f>IF($A157="","",IF(OR($AB157&lt;&gt;"Yes",$AC157="",TODAY()-$AC157&gt;90),"At Risk","Not At Risk"))</f>
        <v/>
      </c>
      <c r="AE157" s="85" t="n"/>
    </row>
    <row r="158" ht="15" customHeight="1" s="39">
      <c r="A158" s="85" t="n"/>
      <c r="B158" s="85" t="n"/>
      <c r="C158" s="85" t="n"/>
      <c r="D158" s="85" t="n"/>
      <c r="E158" s="85" t="n"/>
      <c r="F158" s="85" t="n"/>
      <c r="G158" s="85" t="n"/>
      <c r="H158" s="85" t="n"/>
      <c r="I158" s="85" t="n"/>
      <c r="J158" s="85" t="n"/>
      <c r="K158" s="85" t="n"/>
      <c r="L158" s="85" t="n"/>
      <c r="M158" s="85" t="n"/>
      <c r="N158" s="85" t="n"/>
      <c r="O158" s="85" t="n"/>
      <c r="P158" s="85" t="n"/>
      <c r="Q158" s="85" t="n"/>
      <c r="R158" s="85" t="n"/>
      <c r="S158" s="85" t="n"/>
      <c r="T158" s="85" t="n"/>
      <c r="U158" s="85" t="n"/>
      <c r="V158" s="85" t="n"/>
      <c r="W158" s="85" t="n"/>
      <c r="X158" s="85" t="n"/>
      <c r="Y158" s="85" t="n"/>
      <c r="Z158" s="85" t="n"/>
      <c r="AA158" s="85" t="n"/>
      <c r="AB158" s="85" t="n"/>
      <c r="AC158" s="86" t="n"/>
      <c r="AD158" s="85">
        <f>IF($A158="","",IF(OR($AB158&lt;&gt;"Yes",$AC158="",TODAY()-$AC158&gt;90),"At Risk","Not At Risk"))</f>
        <v/>
      </c>
      <c r="AE158" s="85" t="n"/>
    </row>
    <row r="159" ht="15" customHeight="1" s="39">
      <c r="A159" s="85" t="n"/>
      <c r="B159" s="85" t="n"/>
      <c r="C159" s="85" t="n"/>
      <c r="D159" s="85" t="n"/>
      <c r="E159" s="85" t="n"/>
      <c r="F159" s="85" t="n"/>
      <c r="G159" s="85" t="n"/>
      <c r="H159" s="85" t="n"/>
      <c r="I159" s="85" t="n"/>
      <c r="J159" s="85" t="n"/>
      <c r="K159" s="85" t="n"/>
      <c r="L159" s="85" t="n"/>
      <c r="M159" s="85" t="n"/>
      <c r="N159" s="85" t="n"/>
      <c r="O159" s="85" t="n"/>
      <c r="P159" s="85" t="n"/>
      <c r="Q159" s="85" t="n"/>
      <c r="R159" s="85" t="n"/>
      <c r="S159" s="85" t="n"/>
      <c r="T159" s="85" t="n"/>
      <c r="U159" s="85" t="n"/>
      <c r="V159" s="85" t="n"/>
      <c r="W159" s="85" t="n"/>
      <c r="X159" s="85" t="n"/>
      <c r="Y159" s="85" t="n"/>
      <c r="Z159" s="85" t="n"/>
      <c r="AA159" s="85" t="n"/>
      <c r="AB159" s="85" t="n"/>
      <c r="AC159" s="86" t="n"/>
      <c r="AD159" s="85">
        <f>IF($A159="","",IF(OR($AB159&lt;&gt;"Yes",$AC159="",TODAY()-$AC159&gt;90),"At Risk","Not At Risk"))</f>
        <v/>
      </c>
      <c r="AE159" s="85" t="n"/>
    </row>
    <row r="160" ht="15" customHeight="1" s="39">
      <c r="A160" s="85" t="n"/>
      <c r="B160" s="85" t="n"/>
      <c r="C160" s="85" t="n"/>
      <c r="D160" s="85" t="n"/>
      <c r="E160" s="85" t="n"/>
      <c r="F160" s="85" t="n"/>
      <c r="G160" s="85" t="n"/>
      <c r="H160" s="85" t="n"/>
      <c r="I160" s="85" t="n"/>
      <c r="J160" s="85" t="n"/>
      <c r="K160" s="85" t="n"/>
      <c r="L160" s="85" t="n"/>
      <c r="M160" s="85" t="n"/>
      <c r="N160" s="85" t="n"/>
      <c r="O160" s="85" t="n"/>
      <c r="P160" s="85" t="n"/>
      <c r="Q160" s="85" t="n"/>
      <c r="R160" s="85" t="n"/>
      <c r="S160" s="85" t="n"/>
      <c r="T160" s="85" t="n"/>
      <c r="U160" s="85" t="n"/>
      <c r="V160" s="85" t="n"/>
      <c r="W160" s="85" t="n"/>
      <c r="X160" s="85" t="n"/>
      <c r="Y160" s="85" t="n"/>
      <c r="Z160" s="85" t="n"/>
      <c r="AA160" s="85" t="n"/>
      <c r="AB160" s="85" t="n"/>
      <c r="AC160" s="86" t="n"/>
      <c r="AD160" s="85">
        <f>IF($A160="","",IF(OR($AB160&lt;&gt;"Yes",$AC160="",TODAY()-$AC160&gt;90),"At Risk","Not At Risk"))</f>
        <v/>
      </c>
      <c r="AE160" s="85" t="n"/>
    </row>
    <row r="161" ht="15" customHeight="1" s="39">
      <c r="A161" s="85" t="n"/>
      <c r="B161" s="85" t="n"/>
      <c r="C161" s="85" t="n"/>
      <c r="D161" s="85" t="n"/>
      <c r="E161" s="85" t="n"/>
      <c r="F161" s="85" t="n"/>
      <c r="G161" s="85" t="n"/>
      <c r="H161" s="85" t="n"/>
      <c r="I161" s="85" t="n"/>
      <c r="J161" s="85" t="n"/>
      <c r="K161" s="85" t="n"/>
      <c r="L161" s="85" t="n"/>
      <c r="M161" s="85" t="n"/>
      <c r="N161" s="85" t="n"/>
      <c r="O161" s="85" t="n"/>
      <c r="P161" s="85" t="n"/>
      <c r="Q161" s="85" t="n"/>
      <c r="R161" s="85" t="n"/>
      <c r="S161" s="85" t="n"/>
      <c r="T161" s="85" t="n"/>
      <c r="U161" s="85" t="n"/>
      <c r="V161" s="85" t="n"/>
      <c r="W161" s="85" t="n"/>
      <c r="X161" s="85" t="n"/>
      <c r="Y161" s="85" t="n"/>
      <c r="Z161" s="85" t="n"/>
      <c r="AA161" s="85" t="n"/>
      <c r="AB161" s="85" t="n"/>
      <c r="AC161" s="86" t="n"/>
      <c r="AD161" s="85">
        <f>IF($A161="","",IF(OR($AB161&lt;&gt;"Yes",$AC161="",TODAY()-$AC161&gt;90),"At Risk","Not At Risk"))</f>
        <v/>
      </c>
      <c r="AE161" s="85" t="n"/>
    </row>
    <row r="162" ht="15" customHeight="1" s="39">
      <c r="A162" s="85" t="n"/>
      <c r="B162" s="85" t="n"/>
      <c r="C162" s="85" t="n"/>
      <c r="D162" s="85" t="n"/>
      <c r="E162" s="85" t="n"/>
      <c r="F162" s="85" t="n"/>
      <c r="G162" s="85" t="n"/>
      <c r="H162" s="85" t="n"/>
      <c r="I162" s="85" t="n"/>
      <c r="J162" s="85" t="n"/>
      <c r="K162" s="85" t="n"/>
      <c r="L162" s="85" t="n"/>
      <c r="M162" s="85" t="n"/>
      <c r="N162" s="85" t="n"/>
      <c r="O162" s="85" t="n"/>
      <c r="P162" s="85" t="n"/>
      <c r="Q162" s="85" t="n"/>
      <c r="R162" s="85" t="n"/>
      <c r="S162" s="85" t="n"/>
      <c r="T162" s="85" t="n"/>
      <c r="U162" s="85" t="n"/>
      <c r="V162" s="85" t="n"/>
      <c r="W162" s="85" t="n"/>
      <c r="X162" s="85" t="n"/>
      <c r="Y162" s="85" t="n"/>
      <c r="Z162" s="85" t="n"/>
      <c r="AA162" s="85" t="n"/>
      <c r="AB162" s="85" t="n"/>
      <c r="AC162" s="86" t="n"/>
      <c r="AD162" s="85">
        <f>IF($A162="","",IF(OR($AB162&lt;&gt;"Yes",$AC162="",TODAY()-$AC162&gt;90),"At Risk","Not At Risk"))</f>
        <v/>
      </c>
      <c r="AE162" s="85" t="n"/>
    </row>
    <row r="163" ht="15" customHeight="1" s="39">
      <c r="A163" s="85" t="n"/>
      <c r="B163" s="85" t="n"/>
      <c r="C163" s="85" t="n"/>
      <c r="D163" s="85" t="n"/>
      <c r="E163" s="85" t="n"/>
      <c r="F163" s="85" t="n"/>
      <c r="G163" s="85" t="n"/>
      <c r="H163" s="85" t="n"/>
      <c r="I163" s="85" t="n"/>
      <c r="J163" s="85" t="n"/>
      <c r="K163" s="85" t="n"/>
      <c r="L163" s="85" t="n"/>
      <c r="M163" s="85" t="n"/>
      <c r="N163" s="85" t="n"/>
      <c r="O163" s="85" t="n"/>
      <c r="P163" s="85" t="n"/>
      <c r="Q163" s="85" t="n"/>
      <c r="R163" s="85" t="n"/>
      <c r="S163" s="85" t="n"/>
      <c r="T163" s="85" t="n"/>
      <c r="U163" s="85" t="n"/>
      <c r="V163" s="85" t="n"/>
      <c r="W163" s="85" t="n"/>
      <c r="X163" s="85" t="n"/>
      <c r="Y163" s="85" t="n"/>
      <c r="Z163" s="85" t="n"/>
      <c r="AA163" s="85" t="n"/>
      <c r="AB163" s="85" t="n"/>
      <c r="AC163" s="86" t="n"/>
      <c r="AD163" s="85">
        <f>IF($A163="","",IF(OR($AB163&lt;&gt;"Yes",$AC163="",TODAY()-$AC163&gt;90),"At Risk","Not At Risk"))</f>
        <v/>
      </c>
      <c r="AE163" s="85" t="n"/>
    </row>
    <row r="164" ht="15" customHeight="1" s="39">
      <c r="A164" s="85" t="n"/>
      <c r="B164" s="85" t="n"/>
      <c r="C164" s="85" t="n"/>
      <c r="D164" s="85" t="n"/>
      <c r="E164" s="85" t="n"/>
      <c r="F164" s="85" t="n"/>
      <c r="G164" s="85" t="n"/>
      <c r="H164" s="85" t="n"/>
      <c r="I164" s="85" t="n"/>
      <c r="J164" s="85" t="n"/>
      <c r="K164" s="85" t="n"/>
      <c r="L164" s="85" t="n"/>
      <c r="M164" s="85" t="n"/>
      <c r="N164" s="85" t="n"/>
      <c r="O164" s="85" t="n"/>
      <c r="P164" s="85" t="n"/>
      <c r="Q164" s="85" t="n"/>
      <c r="R164" s="85" t="n"/>
      <c r="S164" s="85" t="n"/>
      <c r="T164" s="85" t="n"/>
      <c r="U164" s="85" t="n"/>
      <c r="V164" s="85" t="n"/>
      <c r="W164" s="85" t="n"/>
      <c r="X164" s="85" t="n"/>
      <c r="Y164" s="85" t="n"/>
      <c r="Z164" s="85" t="n"/>
      <c r="AA164" s="85" t="n"/>
      <c r="AB164" s="85" t="n"/>
      <c r="AC164" s="86" t="n"/>
      <c r="AD164" s="85">
        <f>IF($A164="","",IF(OR($AB164&lt;&gt;"Yes",$AC164="",TODAY()-$AC164&gt;90),"At Risk","Not At Risk"))</f>
        <v/>
      </c>
      <c r="AE164" s="85" t="n"/>
    </row>
    <row r="165" ht="15" customHeight="1" s="39">
      <c r="A165" s="85" t="n"/>
      <c r="B165" s="85" t="n"/>
      <c r="C165" s="85" t="n"/>
      <c r="D165" s="85" t="n"/>
      <c r="E165" s="85" t="n"/>
      <c r="F165" s="85" t="n"/>
      <c r="G165" s="85" t="n"/>
      <c r="H165" s="85" t="n"/>
      <c r="I165" s="85" t="n"/>
      <c r="J165" s="85" t="n"/>
      <c r="K165" s="85" t="n"/>
      <c r="L165" s="85" t="n"/>
      <c r="M165" s="85" t="n"/>
      <c r="N165" s="85" t="n"/>
      <c r="O165" s="85" t="n"/>
      <c r="P165" s="85" t="n"/>
      <c r="Q165" s="85" t="n"/>
      <c r="R165" s="85" t="n"/>
      <c r="S165" s="85" t="n"/>
      <c r="T165" s="85" t="n"/>
      <c r="U165" s="85" t="n"/>
      <c r="V165" s="85" t="n"/>
      <c r="W165" s="85" t="n"/>
      <c r="X165" s="85" t="n"/>
      <c r="Y165" s="85" t="n"/>
      <c r="Z165" s="85" t="n"/>
      <c r="AA165" s="85" t="n"/>
      <c r="AB165" s="85" t="n"/>
      <c r="AC165" s="86" t="n"/>
      <c r="AD165" s="85">
        <f>IF($A165="","",IF(OR($AB165&lt;&gt;"Yes",$AC165="",TODAY()-$AC165&gt;90),"At Risk","Not At Risk"))</f>
        <v/>
      </c>
      <c r="AE165" s="85" t="n"/>
    </row>
    <row r="166" ht="15" customHeight="1" s="39">
      <c r="A166" s="85" t="n"/>
      <c r="B166" s="85" t="n"/>
      <c r="C166" s="85" t="n"/>
      <c r="D166" s="85" t="n"/>
      <c r="E166" s="85" t="n"/>
      <c r="F166" s="85" t="n"/>
      <c r="G166" s="85" t="n"/>
      <c r="H166" s="85" t="n"/>
      <c r="I166" s="85" t="n"/>
      <c r="J166" s="85" t="n"/>
      <c r="K166" s="85" t="n"/>
      <c r="L166" s="85" t="n"/>
      <c r="M166" s="85" t="n"/>
      <c r="N166" s="85" t="n"/>
      <c r="O166" s="85" t="n"/>
      <c r="P166" s="85" t="n"/>
      <c r="Q166" s="85" t="n"/>
      <c r="R166" s="85" t="n"/>
      <c r="S166" s="85" t="n"/>
      <c r="T166" s="85" t="n"/>
      <c r="U166" s="85" t="n"/>
      <c r="V166" s="85" t="n"/>
      <c r="W166" s="85" t="n"/>
      <c r="X166" s="85" t="n"/>
      <c r="Y166" s="85" t="n"/>
      <c r="Z166" s="85" t="n"/>
      <c r="AA166" s="85" t="n"/>
      <c r="AB166" s="85" t="n"/>
      <c r="AC166" s="86" t="n"/>
      <c r="AD166" s="85">
        <f>IF($A166="","",IF(OR($AB166&lt;&gt;"Yes",$AC166="",TODAY()-$AC166&gt;90),"At Risk","Not At Risk"))</f>
        <v/>
      </c>
      <c r="AE166" s="85" t="n"/>
    </row>
    <row r="167" ht="15" customHeight="1" s="39">
      <c r="A167" s="85" t="n"/>
      <c r="B167" s="85" t="n"/>
      <c r="C167" s="85" t="n"/>
      <c r="D167" s="85" t="n"/>
      <c r="E167" s="85" t="n"/>
      <c r="F167" s="85" t="n"/>
      <c r="G167" s="85" t="n"/>
      <c r="H167" s="85" t="n"/>
      <c r="I167" s="85" t="n"/>
      <c r="J167" s="85" t="n"/>
      <c r="K167" s="85" t="n"/>
      <c r="L167" s="85" t="n"/>
      <c r="M167" s="85" t="n"/>
      <c r="N167" s="85" t="n"/>
      <c r="O167" s="85" t="n"/>
      <c r="P167" s="85" t="n"/>
      <c r="Q167" s="85" t="n"/>
      <c r="R167" s="85" t="n"/>
      <c r="S167" s="85" t="n"/>
      <c r="T167" s="85" t="n"/>
      <c r="U167" s="85" t="n"/>
      <c r="V167" s="85" t="n"/>
      <c r="W167" s="85" t="n"/>
      <c r="X167" s="85" t="n"/>
      <c r="Y167" s="85" t="n"/>
      <c r="Z167" s="85" t="n"/>
      <c r="AA167" s="85" t="n"/>
      <c r="AB167" s="85" t="n"/>
      <c r="AC167" s="86" t="n"/>
      <c r="AD167" s="85">
        <f>IF($A167="","",IF(OR($AB167&lt;&gt;"Yes",$AC167="",TODAY()-$AC167&gt;90),"At Risk","Not At Risk"))</f>
        <v/>
      </c>
      <c r="AE167" s="85" t="n"/>
    </row>
    <row r="168" ht="15" customHeight="1" s="39">
      <c r="A168" s="85" t="n"/>
      <c r="B168" s="85" t="n"/>
      <c r="C168" s="85" t="n"/>
      <c r="D168" s="85" t="n"/>
      <c r="E168" s="85" t="n"/>
      <c r="F168" s="85" t="n"/>
      <c r="G168" s="85" t="n"/>
      <c r="H168" s="85" t="n"/>
      <c r="I168" s="85" t="n"/>
      <c r="J168" s="85" t="n"/>
      <c r="K168" s="85" t="n"/>
      <c r="L168" s="85" t="n"/>
      <c r="M168" s="85" t="n"/>
      <c r="N168" s="85" t="n"/>
      <c r="O168" s="85" t="n"/>
      <c r="P168" s="85" t="n"/>
      <c r="Q168" s="85" t="n"/>
      <c r="R168" s="85" t="n"/>
      <c r="S168" s="85" t="n"/>
      <c r="T168" s="85" t="n"/>
      <c r="U168" s="85" t="n"/>
      <c r="V168" s="85" t="n"/>
      <c r="W168" s="85" t="n"/>
      <c r="X168" s="85" t="n"/>
      <c r="Y168" s="85" t="n"/>
      <c r="Z168" s="85" t="n"/>
      <c r="AA168" s="85" t="n"/>
      <c r="AB168" s="85" t="n"/>
      <c r="AC168" s="86" t="n"/>
      <c r="AD168" s="85">
        <f>IF($A168="","",IF(OR($AB168&lt;&gt;"Yes",$AC168="",TODAY()-$AC168&gt;90),"At Risk","Not At Risk"))</f>
        <v/>
      </c>
      <c r="AE168" s="85" t="n"/>
    </row>
    <row r="169" ht="15" customHeight="1" s="39">
      <c r="A169" s="85" t="n"/>
      <c r="B169" s="85" t="n"/>
      <c r="C169" s="85" t="n"/>
      <c r="D169" s="85" t="n"/>
      <c r="E169" s="85" t="n"/>
      <c r="F169" s="85" t="n"/>
      <c r="G169" s="85" t="n"/>
      <c r="H169" s="85" t="n"/>
      <c r="I169" s="85" t="n"/>
      <c r="J169" s="85" t="n"/>
      <c r="K169" s="85" t="n"/>
      <c r="L169" s="85" t="n"/>
      <c r="M169" s="85" t="n"/>
      <c r="N169" s="85" t="n"/>
      <c r="O169" s="85" t="n"/>
      <c r="P169" s="85" t="n"/>
      <c r="Q169" s="85" t="n"/>
      <c r="R169" s="85" t="n"/>
      <c r="S169" s="85" t="n"/>
      <c r="T169" s="85" t="n"/>
      <c r="U169" s="85" t="n"/>
      <c r="V169" s="85" t="n"/>
      <c r="W169" s="85" t="n"/>
      <c r="X169" s="85" t="n"/>
      <c r="Y169" s="85" t="n"/>
      <c r="Z169" s="85" t="n"/>
      <c r="AA169" s="85" t="n"/>
      <c r="AB169" s="85" t="n"/>
      <c r="AC169" s="86" t="n"/>
      <c r="AD169" s="85">
        <f>IF($A169="","",IF(OR($AB169&lt;&gt;"Yes",$AC169="",TODAY()-$AC169&gt;90),"At Risk","Not At Risk"))</f>
        <v/>
      </c>
      <c r="AE169" s="85" t="n"/>
    </row>
    <row r="170" ht="15" customHeight="1" s="39">
      <c r="A170" s="85" t="n"/>
      <c r="B170" s="85" t="n"/>
      <c r="C170" s="85" t="n"/>
      <c r="D170" s="85" t="n"/>
      <c r="E170" s="85" t="n"/>
      <c r="F170" s="85" t="n"/>
      <c r="G170" s="85" t="n"/>
      <c r="H170" s="85" t="n"/>
      <c r="I170" s="85" t="n"/>
      <c r="J170" s="85" t="n"/>
      <c r="K170" s="85" t="n"/>
      <c r="L170" s="85" t="n"/>
      <c r="M170" s="85" t="n"/>
      <c r="N170" s="85" t="n"/>
      <c r="O170" s="85" t="n"/>
      <c r="P170" s="85" t="n"/>
      <c r="Q170" s="85" t="n"/>
      <c r="R170" s="85" t="n"/>
      <c r="S170" s="85" t="n"/>
      <c r="T170" s="85" t="n"/>
      <c r="U170" s="85" t="n"/>
      <c r="V170" s="85" t="n"/>
      <c r="W170" s="85" t="n"/>
      <c r="X170" s="85" t="n"/>
      <c r="Y170" s="85" t="n"/>
      <c r="Z170" s="85" t="n"/>
      <c r="AA170" s="85" t="n"/>
      <c r="AB170" s="85" t="n"/>
      <c r="AC170" s="86" t="n"/>
      <c r="AD170" s="85">
        <f>IF($A170="","",IF(OR($AB170&lt;&gt;"Yes",$AC170="",TODAY()-$AC170&gt;90),"At Risk","Not At Risk"))</f>
        <v/>
      </c>
      <c r="AE170" s="85" t="n"/>
    </row>
    <row r="171" ht="15" customHeight="1" s="39">
      <c r="A171" s="85" t="n"/>
      <c r="B171" s="85" t="n"/>
      <c r="C171" s="85" t="n"/>
      <c r="D171" s="85" t="n"/>
      <c r="E171" s="85" t="n"/>
      <c r="F171" s="85" t="n"/>
      <c r="G171" s="85" t="n"/>
      <c r="H171" s="85" t="n"/>
      <c r="I171" s="85" t="n"/>
      <c r="J171" s="85" t="n"/>
      <c r="K171" s="85" t="n"/>
      <c r="L171" s="85" t="n"/>
      <c r="M171" s="85" t="n"/>
      <c r="N171" s="85" t="n"/>
      <c r="O171" s="85" t="n"/>
      <c r="P171" s="85" t="n"/>
      <c r="Q171" s="85" t="n"/>
      <c r="R171" s="85" t="n"/>
      <c r="S171" s="85" t="n"/>
      <c r="T171" s="85" t="n"/>
      <c r="U171" s="85" t="n"/>
      <c r="V171" s="85" t="n"/>
      <c r="W171" s="85" t="n"/>
      <c r="X171" s="85" t="n"/>
      <c r="Y171" s="85" t="n"/>
      <c r="Z171" s="85" t="n"/>
      <c r="AA171" s="85" t="n"/>
      <c r="AB171" s="85" t="n"/>
      <c r="AC171" s="86" t="n"/>
      <c r="AD171" s="85">
        <f>IF($A171="","",IF(OR($AB171&lt;&gt;"Yes",$AC171="",TODAY()-$AC171&gt;90),"At Risk","Not At Risk"))</f>
        <v/>
      </c>
      <c r="AE171" s="85" t="n"/>
    </row>
    <row r="172" ht="15" customHeight="1" s="39">
      <c r="A172" s="85" t="n"/>
      <c r="B172" s="85" t="n"/>
      <c r="C172" s="85" t="n"/>
      <c r="D172" s="85" t="n"/>
      <c r="E172" s="85" t="n"/>
      <c r="F172" s="85" t="n"/>
      <c r="G172" s="85" t="n"/>
      <c r="H172" s="85" t="n"/>
      <c r="I172" s="85" t="n"/>
      <c r="J172" s="85" t="n"/>
      <c r="K172" s="85" t="n"/>
      <c r="L172" s="85" t="n"/>
      <c r="M172" s="85" t="n"/>
      <c r="N172" s="85" t="n"/>
      <c r="O172" s="85" t="n"/>
      <c r="P172" s="85" t="n"/>
      <c r="Q172" s="85" t="n"/>
      <c r="R172" s="85" t="n"/>
      <c r="S172" s="85" t="n"/>
      <c r="T172" s="85" t="n"/>
      <c r="U172" s="85" t="n"/>
      <c r="V172" s="85" t="n"/>
      <c r="W172" s="85" t="n"/>
      <c r="X172" s="85" t="n"/>
      <c r="Y172" s="85" t="n"/>
      <c r="Z172" s="85" t="n"/>
      <c r="AA172" s="85" t="n"/>
      <c r="AB172" s="85" t="n"/>
      <c r="AC172" s="86" t="n"/>
      <c r="AD172" s="85">
        <f>IF($A172="","",IF(OR($AB172&lt;&gt;"Yes",$AC172="",TODAY()-$AC172&gt;90),"At Risk","Not At Risk"))</f>
        <v/>
      </c>
      <c r="AE172" s="85" t="n"/>
    </row>
    <row r="173" ht="15" customHeight="1" s="39">
      <c r="A173" s="85" t="n"/>
      <c r="B173" s="85" t="n"/>
      <c r="C173" s="85" t="n"/>
      <c r="D173" s="85" t="n"/>
      <c r="E173" s="85" t="n"/>
      <c r="F173" s="85" t="n"/>
      <c r="G173" s="85" t="n"/>
      <c r="H173" s="85" t="n"/>
      <c r="I173" s="85" t="n"/>
      <c r="J173" s="85" t="n"/>
      <c r="K173" s="85" t="n"/>
      <c r="L173" s="85" t="n"/>
      <c r="M173" s="85" t="n"/>
      <c r="N173" s="85" t="n"/>
      <c r="O173" s="85" t="n"/>
      <c r="P173" s="85" t="n"/>
      <c r="Q173" s="85" t="n"/>
      <c r="R173" s="85" t="n"/>
      <c r="S173" s="85" t="n"/>
      <c r="T173" s="85" t="n"/>
      <c r="U173" s="85" t="n"/>
      <c r="V173" s="85" t="n"/>
      <c r="W173" s="85" t="n"/>
      <c r="X173" s="85" t="n"/>
      <c r="Y173" s="85" t="n"/>
      <c r="Z173" s="85" t="n"/>
      <c r="AA173" s="85" t="n"/>
      <c r="AB173" s="85" t="n"/>
      <c r="AC173" s="86" t="n"/>
      <c r="AD173" s="85">
        <f>IF($A173="","",IF(OR($AB173&lt;&gt;"Yes",$AC173="",TODAY()-$AC173&gt;90),"At Risk","Not At Risk"))</f>
        <v/>
      </c>
      <c r="AE173" s="85" t="n"/>
    </row>
    <row r="174" ht="15" customHeight="1" s="39">
      <c r="A174" s="85" t="n"/>
      <c r="B174" s="85" t="n"/>
      <c r="C174" s="85" t="n"/>
      <c r="D174" s="85" t="n"/>
      <c r="E174" s="85" t="n"/>
      <c r="F174" s="85" t="n"/>
      <c r="G174" s="85" t="n"/>
      <c r="H174" s="85" t="n"/>
      <c r="I174" s="85" t="n"/>
      <c r="J174" s="85" t="n"/>
      <c r="K174" s="85" t="n"/>
      <c r="L174" s="85" t="n"/>
      <c r="M174" s="85" t="n"/>
      <c r="N174" s="85" t="n"/>
      <c r="O174" s="85" t="n"/>
      <c r="P174" s="85" t="n"/>
      <c r="Q174" s="85" t="n"/>
      <c r="R174" s="85" t="n"/>
      <c r="S174" s="85" t="n"/>
      <c r="T174" s="85" t="n"/>
      <c r="U174" s="85" t="n"/>
      <c r="V174" s="85" t="n"/>
      <c r="W174" s="85" t="n"/>
      <c r="X174" s="85" t="n"/>
      <c r="Y174" s="85" t="n"/>
      <c r="Z174" s="85" t="n"/>
      <c r="AA174" s="85" t="n"/>
      <c r="AB174" s="85" t="n"/>
      <c r="AC174" s="86" t="n"/>
      <c r="AD174" s="85">
        <f>IF($A174="","",IF(OR($AB174&lt;&gt;"Yes",$AC174="",TODAY()-$AC174&gt;90),"At Risk","Not At Risk"))</f>
        <v/>
      </c>
      <c r="AE174" s="85" t="n"/>
    </row>
    <row r="175" ht="15" customHeight="1" s="39">
      <c r="A175" s="85" t="n"/>
      <c r="B175" s="85" t="n"/>
      <c r="C175" s="85" t="n"/>
      <c r="D175" s="85" t="n"/>
      <c r="E175" s="85" t="n"/>
      <c r="F175" s="85" t="n"/>
      <c r="G175" s="85" t="n"/>
      <c r="H175" s="85" t="n"/>
      <c r="I175" s="85" t="n"/>
      <c r="J175" s="85" t="n"/>
      <c r="K175" s="85" t="n"/>
      <c r="L175" s="85" t="n"/>
      <c r="M175" s="85" t="n"/>
      <c r="N175" s="85" t="n"/>
      <c r="O175" s="85" t="n"/>
      <c r="P175" s="85" t="n"/>
      <c r="Q175" s="85" t="n"/>
      <c r="R175" s="85" t="n"/>
      <c r="S175" s="85" t="n"/>
      <c r="T175" s="85" t="n"/>
      <c r="U175" s="85" t="n"/>
      <c r="V175" s="85" t="n"/>
      <c r="W175" s="85" t="n"/>
      <c r="X175" s="85" t="n"/>
      <c r="Y175" s="85" t="n"/>
      <c r="Z175" s="85" t="n"/>
      <c r="AA175" s="85" t="n"/>
      <c r="AB175" s="85" t="n"/>
      <c r="AC175" s="86" t="n"/>
      <c r="AD175" s="85">
        <f>IF($A175="","",IF(OR($AB175&lt;&gt;"Yes",$AC175="",TODAY()-$AC175&gt;90),"At Risk","Not At Risk"))</f>
        <v/>
      </c>
      <c r="AE175" s="85" t="n"/>
    </row>
    <row r="176" ht="15" customHeight="1" s="39">
      <c r="A176" s="85" t="n"/>
      <c r="B176" s="85" t="n"/>
      <c r="C176" s="85" t="n"/>
      <c r="D176" s="85" t="n"/>
      <c r="E176" s="85" t="n"/>
      <c r="F176" s="85" t="n"/>
      <c r="G176" s="85" t="n"/>
      <c r="H176" s="85" t="n"/>
      <c r="I176" s="85" t="n"/>
      <c r="J176" s="85" t="n"/>
      <c r="K176" s="85" t="n"/>
      <c r="L176" s="85" t="n"/>
      <c r="M176" s="85" t="n"/>
      <c r="N176" s="85" t="n"/>
      <c r="O176" s="85" t="n"/>
      <c r="P176" s="85" t="n"/>
      <c r="Q176" s="85" t="n"/>
      <c r="R176" s="85" t="n"/>
      <c r="S176" s="85" t="n"/>
      <c r="T176" s="85" t="n"/>
      <c r="U176" s="85" t="n"/>
      <c r="V176" s="85" t="n"/>
      <c r="W176" s="85" t="n"/>
      <c r="X176" s="85" t="n"/>
      <c r="Y176" s="85" t="n"/>
      <c r="Z176" s="85" t="n"/>
      <c r="AA176" s="85" t="n"/>
      <c r="AB176" s="85" t="n"/>
      <c r="AC176" s="86" t="n"/>
      <c r="AD176" s="85">
        <f>IF($A176="","",IF(OR($AB176&lt;&gt;"Yes",$AC176="",TODAY()-$AC176&gt;90),"At Risk","Not At Risk"))</f>
        <v/>
      </c>
      <c r="AE176" s="85" t="n"/>
    </row>
    <row r="177" ht="15" customHeight="1" s="39">
      <c r="A177" s="85" t="n"/>
      <c r="B177" s="85" t="n"/>
      <c r="C177" s="85" t="n"/>
      <c r="D177" s="85" t="n"/>
      <c r="E177" s="85" t="n"/>
      <c r="F177" s="85" t="n"/>
      <c r="G177" s="85" t="n"/>
      <c r="H177" s="85" t="n"/>
      <c r="I177" s="85" t="n"/>
      <c r="J177" s="85" t="n"/>
      <c r="K177" s="85" t="n"/>
      <c r="L177" s="85" t="n"/>
      <c r="M177" s="85" t="n"/>
      <c r="N177" s="85" t="n"/>
      <c r="O177" s="85" t="n"/>
      <c r="P177" s="85" t="n"/>
      <c r="Q177" s="85" t="n"/>
      <c r="R177" s="85" t="n"/>
      <c r="S177" s="85" t="n"/>
      <c r="T177" s="85" t="n"/>
      <c r="U177" s="85" t="n"/>
      <c r="V177" s="85" t="n"/>
      <c r="W177" s="85" t="n"/>
      <c r="X177" s="85" t="n"/>
      <c r="Y177" s="85" t="n"/>
      <c r="Z177" s="85" t="n"/>
      <c r="AA177" s="85" t="n"/>
      <c r="AB177" s="85" t="n"/>
      <c r="AC177" s="86" t="n"/>
      <c r="AD177" s="85">
        <f>IF($A177="","",IF(OR($AB177&lt;&gt;"Yes",$AC177="",TODAY()-$AC177&gt;90),"At Risk","Not At Risk"))</f>
        <v/>
      </c>
      <c r="AE177" s="85" t="n"/>
    </row>
    <row r="178" ht="15" customHeight="1" s="39">
      <c r="A178" s="85" t="n"/>
      <c r="B178" s="85" t="n"/>
      <c r="C178" s="85" t="n"/>
      <c r="D178" s="85" t="n"/>
      <c r="E178" s="85" t="n"/>
      <c r="F178" s="85" t="n"/>
      <c r="G178" s="85" t="n"/>
      <c r="H178" s="85" t="n"/>
      <c r="I178" s="85" t="n"/>
      <c r="J178" s="85" t="n"/>
      <c r="K178" s="85" t="n"/>
      <c r="L178" s="85" t="n"/>
      <c r="M178" s="85" t="n"/>
      <c r="N178" s="85" t="n"/>
      <c r="O178" s="85" t="n"/>
      <c r="P178" s="85" t="n"/>
      <c r="Q178" s="85" t="n"/>
      <c r="R178" s="85" t="n"/>
      <c r="S178" s="85" t="n"/>
      <c r="T178" s="85" t="n"/>
      <c r="U178" s="85" t="n"/>
      <c r="V178" s="85" t="n"/>
      <c r="W178" s="85" t="n"/>
      <c r="X178" s="85" t="n"/>
      <c r="Y178" s="85" t="n"/>
      <c r="Z178" s="85" t="n"/>
      <c r="AA178" s="85" t="n"/>
      <c r="AB178" s="85" t="n"/>
      <c r="AC178" s="86" t="n"/>
      <c r="AD178" s="85">
        <f>IF($A178="","",IF(OR($AB178&lt;&gt;"Yes",$AC178="",TODAY()-$AC178&gt;90),"At Risk","Not At Risk"))</f>
        <v/>
      </c>
      <c r="AE178" s="85" t="n"/>
    </row>
    <row r="179" ht="15" customHeight="1" s="39">
      <c r="A179" s="85" t="n"/>
      <c r="B179" s="85" t="n"/>
      <c r="C179" s="85" t="n"/>
      <c r="D179" s="85" t="n"/>
      <c r="E179" s="85" t="n"/>
      <c r="F179" s="85" t="n"/>
      <c r="G179" s="85" t="n"/>
      <c r="H179" s="85" t="n"/>
      <c r="I179" s="85" t="n"/>
      <c r="J179" s="85" t="n"/>
      <c r="K179" s="85" t="n"/>
      <c r="L179" s="85" t="n"/>
      <c r="M179" s="85" t="n"/>
      <c r="N179" s="85" t="n"/>
      <c r="O179" s="85" t="n"/>
      <c r="P179" s="85" t="n"/>
      <c r="Q179" s="85" t="n"/>
      <c r="R179" s="85" t="n"/>
      <c r="S179" s="85" t="n"/>
      <c r="T179" s="85" t="n"/>
      <c r="U179" s="85" t="n"/>
      <c r="V179" s="85" t="n"/>
      <c r="W179" s="85" t="n"/>
      <c r="X179" s="85" t="n"/>
      <c r="Y179" s="85" t="n"/>
      <c r="Z179" s="85" t="n"/>
      <c r="AA179" s="85" t="n"/>
      <c r="AB179" s="85" t="n"/>
      <c r="AC179" s="86" t="n"/>
      <c r="AD179" s="85">
        <f>IF($A179="","",IF(OR($AB179&lt;&gt;"Yes",$AC179="",TODAY()-$AC179&gt;90),"At Risk","Not At Risk"))</f>
        <v/>
      </c>
      <c r="AE179" s="85" t="n"/>
    </row>
    <row r="180" ht="15" customHeight="1" s="39">
      <c r="A180" s="85" t="n"/>
      <c r="B180" s="85" t="n"/>
      <c r="C180" s="85" t="n"/>
      <c r="D180" s="85" t="n"/>
      <c r="E180" s="85" t="n"/>
      <c r="F180" s="85" t="n"/>
      <c r="G180" s="85" t="n"/>
      <c r="H180" s="85" t="n"/>
      <c r="I180" s="85" t="n"/>
      <c r="J180" s="85" t="n"/>
      <c r="K180" s="85" t="n"/>
      <c r="L180" s="85" t="n"/>
      <c r="M180" s="85" t="n"/>
      <c r="N180" s="85" t="n"/>
      <c r="O180" s="85" t="n"/>
      <c r="P180" s="85" t="n"/>
      <c r="Q180" s="85" t="n"/>
      <c r="R180" s="85" t="n"/>
      <c r="S180" s="85" t="n"/>
      <c r="T180" s="85" t="n"/>
      <c r="U180" s="85" t="n"/>
      <c r="V180" s="85" t="n"/>
      <c r="W180" s="85" t="n"/>
      <c r="X180" s="85" t="n"/>
      <c r="Y180" s="85" t="n"/>
      <c r="Z180" s="85" t="n"/>
      <c r="AA180" s="85" t="n"/>
      <c r="AB180" s="85" t="n"/>
      <c r="AC180" s="86" t="n"/>
      <c r="AD180" s="85">
        <f>IF($A180="","",IF(OR($AB180&lt;&gt;"Yes",$AC180="",TODAY()-$AC180&gt;90),"At Risk","Not At Risk"))</f>
        <v/>
      </c>
      <c r="AE180" s="85" t="n"/>
    </row>
    <row r="181" ht="15" customHeight="1" s="39">
      <c r="A181" s="85" t="n"/>
      <c r="B181" s="85" t="n"/>
      <c r="C181" s="85" t="n"/>
      <c r="D181" s="85" t="n"/>
      <c r="E181" s="85" t="n"/>
      <c r="F181" s="85" t="n"/>
      <c r="G181" s="85" t="n"/>
      <c r="H181" s="85" t="n"/>
      <c r="I181" s="85" t="n"/>
      <c r="J181" s="85" t="n"/>
      <c r="K181" s="85" t="n"/>
      <c r="L181" s="85" t="n"/>
      <c r="M181" s="85" t="n"/>
      <c r="N181" s="85" t="n"/>
      <c r="O181" s="85" t="n"/>
      <c r="P181" s="85" t="n"/>
      <c r="Q181" s="85" t="n"/>
      <c r="R181" s="85" t="n"/>
      <c r="S181" s="85" t="n"/>
      <c r="T181" s="85" t="n"/>
      <c r="U181" s="85" t="n"/>
      <c r="V181" s="85" t="n"/>
      <c r="W181" s="85" t="n"/>
      <c r="X181" s="85" t="n"/>
      <c r="Y181" s="85" t="n"/>
      <c r="Z181" s="85" t="n"/>
      <c r="AA181" s="85" t="n"/>
      <c r="AB181" s="85" t="n"/>
      <c r="AC181" s="86" t="n"/>
      <c r="AD181" s="85">
        <f>IF($A181="","",IF(OR($AB181&lt;&gt;"Yes",$AC181="",TODAY()-$AC181&gt;90),"At Risk","Not At Risk"))</f>
        <v/>
      </c>
      <c r="AE181" s="85" t="n"/>
    </row>
    <row r="182" ht="15" customHeight="1" s="39">
      <c r="A182" s="85" t="n"/>
      <c r="B182" s="85" t="n"/>
      <c r="C182" s="85" t="n"/>
      <c r="D182" s="85" t="n"/>
      <c r="E182" s="85" t="n"/>
      <c r="F182" s="85" t="n"/>
      <c r="G182" s="85" t="n"/>
      <c r="H182" s="85" t="n"/>
      <c r="I182" s="85" t="n"/>
      <c r="J182" s="85" t="n"/>
      <c r="K182" s="85" t="n"/>
      <c r="L182" s="85" t="n"/>
      <c r="M182" s="85" t="n"/>
      <c r="N182" s="85" t="n"/>
      <c r="O182" s="85" t="n"/>
      <c r="P182" s="85" t="n"/>
      <c r="Q182" s="85" t="n"/>
      <c r="R182" s="85" t="n"/>
      <c r="S182" s="85" t="n"/>
      <c r="T182" s="85" t="n"/>
      <c r="U182" s="85" t="n"/>
      <c r="V182" s="85" t="n"/>
      <c r="W182" s="85" t="n"/>
      <c r="X182" s="85" t="n"/>
      <c r="Y182" s="85" t="n"/>
      <c r="Z182" s="85" t="n"/>
      <c r="AA182" s="85" t="n"/>
      <c r="AB182" s="85" t="n"/>
      <c r="AC182" s="86" t="n"/>
      <c r="AD182" s="85">
        <f>IF($A182="","",IF(OR($AB182&lt;&gt;"Yes",$AC182="",TODAY()-$AC182&gt;90),"At Risk","Not At Risk"))</f>
        <v/>
      </c>
      <c r="AE182" s="85" t="n"/>
    </row>
    <row r="183" ht="15" customHeight="1" s="39">
      <c r="A183" s="85" t="n"/>
      <c r="B183" s="85" t="n"/>
      <c r="C183" s="85" t="n"/>
      <c r="D183" s="85" t="n"/>
      <c r="E183" s="85" t="n"/>
      <c r="F183" s="85" t="n"/>
      <c r="G183" s="85" t="n"/>
      <c r="H183" s="85" t="n"/>
      <c r="I183" s="85" t="n"/>
      <c r="J183" s="85" t="n"/>
      <c r="K183" s="85" t="n"/>
      <c r="L183" s="85" t="n"/>
      <c r="M183" s="85" t="n"/>
      <c r="N183" s="85" t="n"/>
      <c r="O183" s="85" t="n"/>
      <c r="P183" s="85" t="n"/>
      <c r="Q183" s="85" t="n"/>
      <c r="R183" s="85" t="n"/>
      <c r="S183" s="85" t="n"/>
      <c r="T183" s="85" t="n"/>
      <c r="U183" s="85" t="n"/>
      <c r="V183" s="85" t="n"/>
      <c r="W183" s="85" t="n"/>
      <c r="X183" s="85" t="n"/>
      <c r="Y183" s="85" t="n"/>
      <c r="Z183" s="85" t="n"/>
      <c r="AA183" s="85" t="n"/>
      <c r="AB183" s="85" t="n"/>
      <c r="AC183" s="86" t="n"/>
      <c r="AD183" s="85">
        <f>IF($A183="","",IF(OR($AB183&lt;&gt;"Yes",$AC183="",TODAY()-$AC183&gt;90),"At Risk","Not At Risk"))</f>
        <v/>
      </c>
      <c r="AE183" s="85" t="n"/>
    </row>
    <row r="184" ht="15" customHeight="1" s="39">
      <c r="A184" s="85" t="n"/>
      <c r="B184" s="85" t="n"/>
      <c r="C184" s="85" t="n"/>
      <c r="D184" s="85" t="n"/>
      <c r="E184" s="85" t="n"/>
      <c r="F184" s="85" t="n"/>
      <c r="G184" s="85" t="n"/>
      <c r="H184" s="85" t="n"/>
      <c r="I184" s="85" t="n"/>
      <c r="J184" s="85" t="n"/>
      <c r="K184" s="85" t="n"/>
      <c r="L184" s="85" t="n"/>
      <c r="M184" s="85" t="n"/>
      <c r="N184" s="85" t="n"/>
      <c r="O184" s="85" t="n"/>
      <c r="P184" s="85" t="n"/>
      <c r="Q184" s="85" t="n"/>
      <c r="R184" s="85" t="n"/>
      <c r="S184" s="85" t="n"/>
      <c r="T184" s="85" t="n"/>
      <c r="U184" s="85" t="n"/>
      <c r="V184" s="85" t="n"/>
      <c r="W184" s="85" t="n"/>
      <c r="X184" s="85" t="n"/>
      <c r="Y184" s="85" t="n"/>
      <c r="Z184" s="85" t="n"/>
      <c r="AA184" s="85" t="n"/>
      <c r="AB184" s="85" t="n"/>
      <c r="AC184" s="86" t="n"/>
      <c r="AD184" s="85">
        <f>IF($A184="","",IF(OR($AB184&lt;&gt;"Yes",$AC184="",TODAY()-$AC184&gt;90),"At Risk","Not At Risk"))</f>
        <v/>
      </c>
      <c r="AE184" s="85" t="n"/>
    </row>
    <row r="185" ht="15" customHeight="1" s="39">
      <c r="A185" s="85" t="n"/>
      <c r="B185" s="85" t="n"/>
      <c r="C185" s="85" t="n"/>
      <c r="D185" s="85" t="n"/>
      <c r="E185" s="85" t="n"/>
      <c r="F185" s="85" t="n"/>
      <c r="G185" s="85" t="n"/>
      <c r="H185" s="85" t="n"/>
      <c r="I185" s="85" t="n"/>
      <c r="J185" s="85" t="n"/>
      <c r="K185" s="85" t="n"/>
      <c r="L185" s="85" t="n"/>
      <c r="M185" s="85" t="n"/>
      <c r="N185" s="85" t="n"/>
      <c r="O185" s="85" t="n"/>
      <c r="P185" s="85" t="n"/>
      <c r="Q185" s="85" t="n"/>
      <c r="R185" s="85" t="n"/>
      <c r="S185" s="85" t="n"/>
      <c r="T185" s="85" t="n"/>
      <c r="U185" s="85" t="n"/>
      <c r="V185" s="85" t="n"/>
      <c r="W185" s="85" t="n"/>
      <c r="X185" s="85" t="n"/>
      <c r="Y185" s="85" t="n"/>
      <c r="Z185" s="85" t="n"/>
      <c r="AA185" s="85" t="n"/>
      <c r="AB185" s="85" t="n"/>
      <c r="AC185" s="86" t="n"/>
      <c r="AD185" s="85">
        <f>IF($A185="","",IF(OR($AB185&lt;&gt;"Yes",$AC185="",TODAY()-$AC185&gt;90),"At Risk","Not At Risk"))</f>
        <v/>
      </c>
      <c r="AE185" s="85" t="n"/>
    </row>
    <row r="186" ht="15" customHeight="1" s="39">
      <c r="A186" s="85" t="n"/>
      <c r="B186" s="85" t="n"/>
      <c r="C186" s="85" t="n"/>
      <c r="D186" s="85" t="n"/>
      <c r="E186" s="85" t="n"/>
      <c r="F186" s="85" t="n"/>
      <c r="G186" s="85" t="n"/>
      <c r="H186" s="85" t="n"/>
      <c r="I186" s="85" t="n"/>
      <c r="J186" s="85" t="n"/>
      <c r="K186" s="85" t="n"/>
      <c r="L186" s="85" t="n"/>
      <c r="M186" s="85" t="n"/>
      <c r="N186" s="85" t="n"/>
      <c r="O186" s="85" t="n"/>
      <c r="P186" s="85" t="n"/>
      <c r="Q186" s="85" t="n"/>
      <c r="R186" s="85" t="n"/>
      <c r="S186" s="85" t="n"/>
      <c r="T186" s="85" t="n"/>
      <c r="U186" s="85" t="n"/>
      <c r="V186" s="85" t="n"/>
      <c r="W186" s="85" t="n"/>
      <c r="X186" s="85" t="n"/>
      <c r="Y186" s="85" t="n"/>
      <c r="Z186" s="85" t="n"/>
      <c r="AA186" s="85" t="n"/>
      <c r="AB186" s="85" t="n"/>
      <c r="AC186" s="86" t="n"/>
      <c r="AD186" s="85">
        <f>IF($A186="","",IF(OR($AB186&lt;&gt;"Yes",$AC186="",TODAY()-$AC186&gt;90),"At Risk","Not At Risk"))</f>
        <v/>
      </c>
      <c r="AE186" s="85" t="n"/>
    </row>
    <row r="187" ht="15" customHeight="1" s="39">
      <c r="A187" s="85" t="n"/>
      <c r="B187" s="85" t="n"/>
      <c r="C187" s="85" t="n"/>
      <c r="D187" s="85" t="n"/>
      <c r="E187" s="85" t="n"/>
      <c r="F187" s="85" t="n"/>
      <c r="G187" s="85" t="n"/>
      <c r="H187" s="85" t="n"/>
      <c r="I187" s="85" t="n"/>
      <c r="J187" s="85" t="n"/>
      <c r="K187" s="85" t="n"/>
      <c r="L187" s="85" t="n"/>
      <c r="M187" s="85" t="n"/>
      <c r="N187" s="85" t="n"/>
      <c r="O187" s="85" t="n"/>
      <c r="P187" s="85" t="n"/>
      <c r="Q187" s="85" t="n"/>
      <c r="R187" s="85" t="n"/>
      <c r="S187" s="85" t="n"/>
      <c r="T187" s="85" t="n"/>
      <c r="U187" s="85" t="n"/>
      <c r="V187" s="85" t="n"/>
      <c r="W187" s="85" t="n"/>
      <c r="X187" s="85" t="n"/>
      <c r="Y187" s="85" t="n"/>
      <c r="Z187" s="85" t="n"/>
      <c r="AA187" s="85" t="n"/>
      <c r="AB187" s="85" t="n"/>
      <c r="AC187" s="86" t="n"/>
      <c r="AD187" s="85">
        <f>IF($A187="","",IF(OR($AB187&lt;&gt;"Yes",$AC187="",TODAY()-$AC187&gt;90),"At Risk","Not At Risk"))</f>
        <v/>
      </c>
      <c r="AE187" s="85" t="n"/>
    </row>
    <row r="188" ht="15" customHeight="1" s="39">
      <c r="A188" s="85" t="n"/>
      <c r="B188" s="85" t="n"/>
      <c r="C188" s="85" t="n"/>
      <c r="D188" s="85" t="n"/>
      <c r="E188" s="85" t="n"/>
      <c r="F188" s="85" t="n"/>
      <c r="G188" s="85" t="n"/>
      <c r="H188" s="85" t="n"/>
      <c r="I188" s="85" t="n"/>
      <c r="J188" s="85" t="n"/>
      <c r="K188" s="85" t="n"/>
      <c r="L188" s="85" t="n"/>
      <c r="M188" s="85" t="n"/>
      <c r="N188" s="85" t="n"/>
      <c r="O188" s="85" t="n"/>
      <c r="P188" s="85" t="n"/>
      <c r="Q188" s="85" t="n"/>
      <c r="R188" s="85" t="n"/>
      <c r="S188" s="85" t="n"/>
      <c r="T188" s="85" t="n"/>
      <c r="U188" s="85" t="n"/>
      <c r="V188" s="85" t="n"/>
      <c r="W188" s="85" t="n"/>
      <c r="X188" s="85" t="n"/>
      <c r="Y188" s="85" t="n"/>
      <c r="Z188" s="85" t="n"/>
      <c r="AA188" s="85" t="n"/>
      <c r="AB188" s="85" t="n"/>
      <c r="AC188" s="86" t="n"/>
      <c r="AD188" s="85">
        <f>IF($A188="","",IF(OR($AB188&lt;&gt;"Yes",$AC188="",TODAY()-$AC188&gt;90),"At Risk","Not At Risk"))</f>
        <v/>
      </c>
      <c r="AE188" s="85" t="n"/>
    </row>
    <row r="189" ht="15" customHeight="1" s="39">
      <c r="A189" s="85" t="n"/>
      <c r="B189" s="85" t="n"/>
      <c r="C189" s="85" t="n"/>
      <c r="D189" s="85" t="n"/>
      <c r="E189" s="85" t="n"/>
      <c r="F189" s="85" t="n"/>
      <c r="G189" s="85" t="n"/>
      <c r="H189" s="85" t="n"/>
      <c r="I189" s="85" t="n"/>
      <c r="J189" s="85" t="n"/>
      <c r="K189" s="85" t="n"/>
      <c r="L189" s="85" t="n"/>
      <c r="M189" s="85" t="n"/>
      <c r="N189" s="85" t="n"/>
      <c r="O189" s="85" t="n"/>
      <c r="P189" s="85" t="n"/>
      <c r="Q189" s="85" t="n"/>
      <c r="R189" s="85" t="n"/>
      <c r="S189" s="85" t="n"/>
      <c r="T189" s="85" t="n"/>
      <c r="U189" s="85" t="n"/>
      <c r="V189" s="85" t="n"/>
      <c r="W189" s="85" t="n"/>
      <c r="X189" s="85" t="n"/>
      <c r="Y189" s="85" t="n"/>
      <c r="Z189" s="85" t="n"/>
      <c r="AA189" s="85" t="n"/>
      <c r="AB189" s="85" t="n"/>
      <c r="AC189" s="86" t="n"/>
      <c r="AD189" s="85">
        <f>IF($A189="","",IF(OR($AB189&lt;&gt;"Yes",$AC189="",TODAY()-$AC189&gt;90),"At Risk","Not At Risk"))</f>
        <v/>
      </c>
      <c r="AE189" s="85" t="n"/>
    </row>
    <row r="190" ht="15" customHeight="1" s="39">
      <c r="A190" s="85" t="n"/>
      <c r="B190" s="85" t="n"/>
      <c r="C190" s="85" t="n"/>
      <c r="D190" s="85" t="n"/>
      <c r="E190" s="85" t="n"/>
      <c r="F190" s="85" t="n"/>
      <c r="G190" s="85" t="n"/>
      <c r="H190" s="85" t="n"/>
      <c r="I190" s="85" t="n"/>
      <c r="J190" s="85" t="n"/>
      <c r="K190" s="85" t="n"/>
      <c r="L190" s="85" t="n"/>
      <c r="M190" s="85" t="n"/>
      <c r="N190" s="85" t="n"/>
      <c r="O190" s="85" t="n"/>
      <c r="P190" s="85" t="n"/>
      <c r="Q190" s="85" t="n"/>
      <c r="R190" s="85" t="n"/>
      <c r="S190" s="85" t="n"/>
      <c r="T190" s="85" t="n"/>
      <c r="U190" s="85" t="n"/>
      <c r="V190" s="85" t="n"/>
      <c r="W190" s="85" t="n"/>
      <c r="X190" s="85" t="n"/>
      <c r="Y190" s="85" t="n"/>
      <c r="Z190" s="85" t="n"/>
      <c r="AA190" s="85" t="n"/>
      <c r="AB190" s="85" t="n"/>
      <c r="AC190" s="86" t="n"/>
      <c r="AD190" s="85">
        <f>IF($A190="","",IF(OR($AB190&lt;&gt;"Yes",$AC190="",TODAY()-$AC190&gt;90),"At Risk","Not At Risk"))</f>
        <v/>
      </c>
      <c r="AE190" s="85" t="n"/>
    </row>
    <row r="191" ht="15" customHeight="1" s="39">
      <c r="A191" s="85" t="n"/>
      <c r="B191" s="85" t="n"/>
      <c r="C191" s="85" t="n"/>
      <c r="D191" s="85" t="n"/>
      <c r="E191" s="85" t="n"/>
      <c r="F191" s="85" t="n"/>
      <c r="G191" s="85" t="n"/>
      <c r="H191" s="85" t="n"/>
      <c r="I191" s="85" t="n"/>
      <c r="J191" s="85" t="n"/>
      <c r="K191" s="85" t="n"/>
      <c r="L191" s="85" t="n"/>
      <c r="M191" s="85" t="n"/>
      <c r="N191" s="85" t="n"/>
      <c r="O191" s="85" t="n"/>
      <c r="P191" s="85" t="n"/>
      <c r="Q191" s="85" t="n"/>
      <c r="R191" s="85" t="n"/>
      <c r="S191" s="85" t="n"/>
      <c r="T191" s="85" t="n"/>
      <c r="U191" s="85" t="n"/>
      <c r="V191" s="85" t="n"/>
      <c r="W191" s="85" t="n"/>
      <c r="X191" s="85" t="n"/>
      <c r="Y191" s="85" t="n"/>
      <c r="Z191" s="85" t="n"/>
      <c r="AA191" s="85" t="n"/>
      <c r="AB191" s="85" t="n"/>
      <c r="AC191" s="86" t="n"/>
      <c r="AD191" s="85">
        <f>IF($A191="","",IF(OR($AB191&lt;&gt;"Yes",$AC191="",TODAY()-$AC191&gt;90),"At Risk","Not At Risk"))</f>
        <v/>
      </c>
      <c r="AE191" s="85" t="n"/>
    </row>
    <row r="192" ht="15" customHeight="1" s="39">
      <c r="A192" s="85" t="n"/>
      <c r="B192" s="85" t="n"/>
      <c r="C192" s="85" t="n"/>
      <c r="D192" s="85" t="n"/>
      <c r="E192" s="85" t="n"/>
      <c r="F192" s="85" t="n"/>
      <c r="G192" s="85" t="n"/>
      <c r="H192" s="85" t="n"/>
      <c r="I192" s="85" t="n"/>
      <c r="J192" s="85" t="n"/>
      <c r="K192" s="85" t="n"/>
      <c r="L192" s="85" t="n"/>
      <c r="M192" s="85" t="n"/>
      <c r="N192" s="85" t="n"/>
      <c r="O192" s="85" t="n"/>
      <c r="P192" s="85" t="n"/>
      <c r="Q192" s="85" t="n"/>
      <c r="R192" s="85" t="n"/>
      <c r="S192" s="85" t="n"/>
      <c r="T192" s="85" t="n"/>
      <c r="U192" s="85" t="n"/>
      <c r="V192" s="85" t="n"/>
      <c r="W192" s="85" t="n"/>
      <c r="X192" s="85" t="n"/>
      <c r="Y192" s="85" t="n"/>
      <c r="Z192" s="85" t="n"/>
      <c r="AA192" s="85" t="n"/>
      <c r="AB192" s="85" t="n"/>
      <c r="AC192" s="86" t="n"/>
      <c r="AD192" s="85">
        <f>IF($A192="","",IF(OR($AB192&lt;&gt;"Yes",$AC192="",TODAY()-$AC192&gt;90),"At Risk","Not At Risk"))</f>
        <v/>
      </c>
      <c r="AE192" s="85" t="n"/>
    </row>
    <row r="193" ht="15" customHeight="1" s="39">
      <c r="A193" s="85" t="n"/>
      <c r="B193" s="85" t="n"/>
      <c r="C193" s="85" t="n"/>
      <c r="D193" s="85" t="n"/>
      <c r="E193" s="85" t="n"/>
      <c r="F193" s="85" t="n"/>
      <c r="G193" s="85" t="n"/>
      <c r="H193" s="85" t="n"/>
      <c r="I193" s="85" t="n"/>
      <c r="J193" s="85" t="n"/>
      <c r="K193" s="85" t="n"/>
      <c r="L193" s="85" t="n"/>
      <c r="M193" s="85" t="n"/>
      <c r="N193" s="85" t="n"/>
      <c r="O193" s="85" t="n"/>
      <c r="P193" s="85" t="n"/>
      <c r="Q193" s="85" t="n"/>
      <c r="R193" s="85" t="n"/>
      <c r="S193" s="85" t="n"/>
      <c r="T193" s="85" t="n"/>
      <c r="U193" s="85" t="n"/>
      <c r="V193" s="85" t="n"/>
      <c r="W193" s="85" t="n"/>
      <c r="X193" s="85" t="n"/>
      <c r="Y193" s="85" t="n"/>
      <c r="Z193" s="85" t="n"/>
      <c r="AA193" s="85" t="n"/>
      <c r="AB193" s="85" t="n"/>
      <c r="AC193" s="86" t="n"/>
      <c r="AD193" s="85">
        <f>IF($A193="","",IF(OR($AB193&lt;&gt;"Yes",$AC193="",TODAY()-$AC193&gt;90),"At Risk","Not At Risk"))</f>
        <v/>
      </c>
      <c r="AE193" s="85" t="n"/>
    </row>
    <row r="194" ht="15" customHeight="1" s="39">
      <c r="A194" s="85" t="n"/>
      <c r="B194" s="85" t="n"/>
      <c r="C194" s="85" t="n"/>
      <c r="D194" s="85" t="n"/>
      <c r="E194" s="85" t="n"/>
      <c r="F194" s="85" t="n"/>
      <c r="G194" s="85" t="n"/>
      <c r="H194" s="85" t="n"/>
      <c r="I194" s="85" t="n"/>
      <c r="J194" s="85" t="n"/>
      <c r="K194" s="85" t="n"/>
      <c r="L194" s="85" t="n"/>
      <c r="M194" s="85" t="n"/>
      <c r="N194" s="85" t="n"/>
      <c r="O194" s="85" t="n"/>
      <c r="P194" s="85" t="n"/>
      <c r="Q194" s="85" t="n"/>
      <c r="R194" s="85" t="n"/>
      <c r="S194" s="85" t="n"/>
      <c r="T194" s="85" t="n"/>
      <c r="U194" s="85" t="n"/>
      <c r="V194" s="85" t="n"/>
      <c r="W194" s="85" t="n"/>
      <c r="X194" s="85" t="n"/>
      <c r="Y194" s="85" t="n"/>
      <c r="Z194" s="85" t="n"/>
      <c r="AA194" s="85" t="n"/>
      <c r="AB194" s="85" t="n"/>
      <c r="AC194" s="86" t="n"/>
      <c r="AD194" s="85">
        <f>IF($A194="","",IF(OR($AB194&lt;&gt;"Yes",$AC194="",TODAY()-$AC194&gt;90),"At Risk","Not At Risk"))</f>
        <v/>
      </c>
      <c r="AE194" s="85" t="n"/>
    </row>
    <row r="195" ht="15" customHeight="1" s="39">
      <c r="A195" s="85" t="n"/>
      <c r="B195" s="85" t="n"/>
      <c r="C195" s="85" t="n"/>
      <c r="D195" s="85" t="n"/>
      <c r="E195" s="85" t="n"/>
      <c r="F195" s="85" t="n"/>
      <c r="G195" s="85" t="n"/>
      <c r="H195" s="85" t="n"/>
      <c r="I195" s="85" t="n"/>
      <c r="J195" s="85" t="n"/>
      <c r="K195" s="85" t="n"/>
      <c r="L195" s="85" t="n"/>
      <c r="M195" s="85" t="n"/>
      <c r="N195" s="85" t="n"/>
      <c r="O195" s="85" t="n"/>
      <c r="P195" s="85" t="n"/>
      <c r="Q195" s="85" t="n"/>
      <c r="R195" s="85" t="n"/>
      <c r="S195" s="85" t="n"/>
      <c r="T195" s="85" t="n"/>
      <c r="U195" s="85" t="n"/>
      <c r="V195" s="85" t="n"/>
      <c r="W195" s="85" t="n"/>
      <c r="X195" s="85" t="n"/>
      <c r="Y195" s="85" t="n"/>
      <c r="Z195" s="85" t="n"/>
      <c r="AA195" s="85" t="n"/>
      <c r="AB195" s="85" t="n"/>
      <c r="AC195" s="86" t="n"/>
      <c r="AD195" s="85">
        <f>IF($A195="","",IF(OR($AB195&lt;&gt;"Yes",$AC195="",TODAY()-$AC195&gt;90),"At Risk","Not At Risk"))</f>
        <v/>
      </c>
      <c r="AE195" s="85" t="n"/>
    </row>
    <row r="196" ht="15" customHeight="1" s="39">
      <c r="A196" s="85" t="n"/>
      <c r="B196" s="85" t="n"/>
      <c r="C196" s="85" t="n"/>
      <c r="D196" s="85" t="n"/>
      <c r="E196" s="85" t="n"/>
      <c r="F196" s="85" t="n"/>
      <c r="G196" s="85" t="n"/>
      <c r="H196" s="85" t="n"/>
      <c r="I196" s="85" t="n"/>
      <c r="J196" s="85" t="n"/>
      <c r="K196" s="85" t="n"/>
      <c r="L196" s="85" t="n"/>
      <c r="M196" s="85" t="n"/>
      <c r="N196" s="85" t="n"/>
      <c r="O196" s="85" t="n"/>
      <c r="P196" s="85" t="n"/>
      <c r="Q196" s="85" t="n"/>
      <c r="R196" s="85" t="n"/>
      <c r="S196" s="85" t="n"/>
      <c r="T196" s="85" t="n"/>
      <c r="U196" s="85" t="n"/>
      <c r="V196" s="85" t="n"/>
      <c r="W196" s="85" t="n"/>
      <c r="X196" s="85" t="n"/>
      <c r="Y196" s="85" t="n"/>
      <c r="Z196" s="85" t="n"/>
      <c r="AA196" s="85" t="n"/>
      <c r="AB196" s="85" t="n"/>
      <c r="AC196" s="86" t="n"/>
      <c r="AD196" s="85">
        <f>IF($A196="","",IF(OR($AB196&lt;&gt;"Yes",$AC196="",TODAY()-$AC196&gt;90),"At Risk","Not At Risk"))</f>
        <v/>
      </c>
      <c r="AE196" s="85" t="n"/>
    </row>
    <row r="197" ht="15" customHeight="1" s="39">
      <c r="A197" s="85" t="n"/>
      <c r="B197" s="85" t="n"/>
      <c r="C197" s="85" t="n"/>
      <c r="D197" s="85" t="n"/>
      <c r="E197" s="85" t="n"/>
      <c r="F197" s="85" t="n"/>
      <c r="G197" s="85" t="n"/>
      <c r="H197" s="85" t="n"/>
      <c r="I197" s="85" t="n"/>
      <c r="J197" s="85" t="n"/>
      <c r="K197" s="85" t="n"/>
      <c r="L197" s="85" t="n"/>
      <c r="M197" s="85" t="n"/>
      <c r="N197" s="85" t="n"/>
      <c r="O197" s="85" t="n"/>
      <c r="P197" s="85" t="n"/>
      <c r="Q197" s="85" t="n"/>
      <c r="R197" s="85" t="n"/>
      <c r="S197" s="85" t="n"/>
      <c r="T197" s="85" t="n"/>
      <c r="U197" s="85" t="n"/>
      <c r="V197" s="85" t="n"/>
      <c r="W197" s="85" t="n"/>
      <c r="X197" s="85" t="n"/>
      <c r="Y197" s="85" t="n"/>
      <c r="Z197" s="85" t="n"/>
      <c r="AA197" s="85" t="n"/>
      <c r="AB197" s="85" t="n"/>
      <c r="AC197" s="86" t="n"/>
      <c r="AD197" s="85">
        <f>IF($A197="","",IF(OR($AB197&lt;&gt;"Yes",$AC197="",TODAY()-$AC197&gt;90),"At Risk","Not At Risk"))</f>
        <v/>
      </c>
      <c r="AE197" s="85" t="n"/>
    </row>
    <row r="198" ht="15" customHeight="1" s="39">
      <c r="A198" s="85" t="n"/>
      <c r="B198" s="85" t="n"/>
      <c r="C198" s="85" t="n"/>
      <c r="D198" s="85" t="n"/>
      <c r="E198" s="85" t="n"/>
      <c r="F198" s="85" t="n"/>
      <c r="G198" s="85" t="n"/>
      <c r="H198" s="85" t="n"/>
      <c r="I198" s="85" t="n"/>
      <c r="J198" s="85" t="n"/>
      <c r="K198" s="85" t="n"/>
      <c r="L198" s="85" t="n"/>
      <c r="M198" s="85" t="n"/>
      <c r="N198" s="85" t="n"/>
      <c r="O198" s="85" t="n"/>
      <c r="P198" s="85" t="n"/>
      <c r="Q198" s="85" t="n"/>
      <c r="R198" s="85" t="n"/>
      <c r="S198" s="85" t="n"/>
      <c r="T198" s="85" t="n"/>
      <c r="U198" s="85" t="n"/>
      <c r="V198" s="85" t="n"/>
      <c r="W198" s="85" t="n"/>
      <c r="X198" s="85" t="n"/>
      <c r="Y198" s="85" t="n"/>
      <c r="Z198" s="85" t="n"/>
      <c r="AA198" s="85" t="n"/>
      <c r="AB198" s="85" t="n"/>
      <c r="AC198" s="86" t="n"/>
      <c r="AD198" s="85">
        <f>IF($A198="","",IF(OR($AB198&lt;&gt;"Yes",$AC198="",TODAY()-$AC198&gt;90),"At Risk","Not At Risk"))</f>
        <v/>
      </c>
      <c r="AE198" s="85" t="n"/>
    </row>
    <row r="199" ht="15" customHeight="1" s="39">
      <c r="A199" s="85" t="n"/>
      <c r="B199" s="85" t="n"/>
      <c r="C199" s="85" t="n"/>
      <c r="D199" s="85" t="n"/>
      <c r="E199" s="85" t="n"/>
      <c r="F199" s="85" t="n"/>
      <c r="G199" s="85" t="n"/>
      <c r="H199" s="85" t="n"/>
      <c r="I199" s="85" t="n"/>
      <c r="J199" s="85" t="n"/>
      <c r="K199" s="85" t="n"/>
      <c r="L199" s="85" t="n"/>
      <c r="M199" s="85" t="n"/>
      <c r="N199" s="85" t="n"/>
      <c r="O199" s="85" t="n"/>
      <c r="P199" s="85" t="n"/>
      <c r="Q199" s="85" t="n"/>
      <c r="R199" s="85" t="n"/>
      <c r="S199" s="85" t="n"/>
      <c r="T199" s="85" t="n"/>
      <c r="U199" s="85" t="n"/>
      <c r="V199" s="85" t="n"/>
      <c r="W199" s="85" t="n"/>
      <c r="X199" s="85" t="n"/>
      <c r="Y199" s="85" t="n"/>
      <c r="Z199" s="85" t="n"/>
      <c r="AA199" s="85" t="n"/>
      <c r="AB199" s="85" t="n"/>
      <c r="AC199" s="86" t="n"/>
      <c r="AD199" s="85">
        <f>IF($A199="","",IF(OR($AB199&lt;&gt;"Yes",$AC199="",TODAY()-$AC199&gt;90),"At Risk","Not At Risk"))</f>
        <v/>
      </c>
      <c r="AE199" s="85" t="n"/>
    </row>
    <row r="200" ht="15" customHeight="1" s="39">
      <c r="A200" s="85" t="n"/>
      <c r="B200" s="85" t="n"/>
      <c r="C200" s="85" t="n"/>
      <c r="D200" s="85" t="n"/>
      <c r="E200" s="85" t="n"/>
      <c r="F200" s="85" t="n"/>
      <c r="G200" s="85" t="n"/>
      <c r="H200" s="85" t="n"/>
      <c r="I200" s="85" t="n"/>
      <c r="J200" s="85" t="n"/>
      <c r="K200" s="85" t="n"/>
      <c r="L200" s="85" t="n"/>
      <c r="M200" s="85" t="n"/>
      <c r="N200" s="85" t="n"/>
      <c r="O200" s="85" t="n"/>
      <c r="P200" s="85" t="n"/>
      <c r="Q200" s="85" t="n"/>
      <c r="R200" s="85" t="n"/>
      <c r="S200" s="85" t="n"/>
      <c r="T200" s="85" t="n"/>
      <c r="U200" s="85" t="n"/>
      <c r="V200" s="85" t="n"/>
      <c r="W200" s="85" t="n"/>
      <c r="X200" s="85" t="n"/>
      <c r="Y200" s="85" t="n"/>
      <c r="Z200" s="85" t="n"/>
      <c r="AA200" s="85" t="n"/>
      <c r="AB200" s="85" t="n"/>
      <c r="AC200" s="86" t="n"/>
      <c r="AD200" s="85">
        <f>IF($A200="","",IF(OR($AB200&lt;&gt;"Yes",$AC200="",TODAY()-$AC200&gt;90),"At Risk","Not At Risk"))</f>
        <v/>
      </c>
      <c r="AE200" s="85" t="n"/>
    </row>
    <row r="201" ht="15" customHeight="1" s="39">
      <c r="A201" s="85" t="n"/>
      <c r="B201" s="85" t="n"/>
      <c r="C201" s="85" t="n"/>
      <c r="D201" s="85" t="n"/>
      <c r="E201" s="85" t="n"/>
      <c r="F201" s="85" t="n"/>
      <c r="G201" s="85" t="n"/>
      <c r="H201" s="85" t="n"/>
      <c r="I201" s="85" t="n"/>
      <c r="J201" s="85" t="n"/>
      <c r="K201" s="85" t="n"/>
      <c r="L201" s="85" t="n"/>
      <c r="M201" s="85" t="n"/>
      <c r="N201" s="85" t="n"/>
      <c r="O201" s="85" t="n"/>
      <c r="P201" s="85" t="n"/>
      <c r="Q201" s="85" t="n"/>
      <c r="R201" s="85" t="n"/>
      <c r="S201" s="85" t="n"/>
      <c r="T201" s="85" t="n"/>
      <c r="U201" s="85" t="n"/>
      <c r="V201" s="85" t="n"/>
      <c r="W201" s="85" t="n"/>
      <c r="X201" s="85" t="n"/>
      <c r="Y201" s="85" t="n"/>
      <c r="Z201" s="85" t="n"/>
      <c r="AA201" s="85" t="n"/>
      <c r="AB201" s="85" t="n"/>
      <c r="AC201" s="86" t="n"/>
      <c r="AD201" s="85">
        <f>IF($A201="","",IF(OR($AB201&lt;&gt;"Yes",$AC201="",TODAY()-$AC201&gt;90),"At Risk","Not At Risk"))</f>
        <v/>
      </c>
      <c r="AE201" s="85" t="n"/>
    </row>
    <row r="202" ht="15" customHeight="1" s="39">
      <c r="A202" s="85" t="n"/>
      <c r="B202" s="85" t="n"/>
      <c r="C202" s="85" t="n"/>
      <c r="D202" s="85" t="n"/>
      <c r="E202" s="85" t="n"/>
      <c r="F202" s="85" t="n"/>
      <c r="G202" s="85" t="n"/>
      <c r="H202" s="85" t="n"/>
      <c r="I202" s="85" t="n"/>
      <c r="J202" s="85" t="n"/>
      <c r="K202" s="85" t="n"/>
      <c r="L202" s="85" t="n"/>
      <c r="M202" s="85" t="n"/>
      <c r="N202" s="85" t="n"/>
      <c r="O202" s="85" t="n"/>
      <c r="P202" s="85" t="n"/>
      <c r="Q202" s="85" t="n"/>
      <c r="R202" s="85" t="n"/>
      <c r="S202" s="85" t="n"/>
      <c r="T202" s="85" t="n"/>
      <c r="U202" s="85" t="n"/>
      <c r="V202" s="85" t="n"/>
      <c r="W202" s="85" t="n"/>
      <c r="X202" s="85" t="n"/>
      <c r="Y202" s="85" t="n"/>
      <c r="Z202" s="85" t="n"/>
      <c r="AA202" s="85" t="n"/>
      <c r="AB202" s="85" t="n"/>
      <c r="AC202" s="86" t="n"/>
      <c r="AD202" s="85">
        <f>IF($A202="","",IF(OR($AB202&lt;&gt;"Yes",$AC202="",TODAY()-$AC202&gt;90),"At Risk","Not At Risk"))</f>
        <v/>
      </c>
      <c r="AE202" s="85" t="n"/>
    </row>
    <row r="203" ht="15" customHeight="1" s="39">
      <c r="A203" s="85" t="n"/>
      <c r="B203" s="85" t="n"/>
      <c r="C203" s="85" t="n"/>
      <c r="D203" s="85" t="n"/>
      <c r="E203" s="85" t="n"/>
      <c r="F203" s="85" t="n"/>
      <c r="G203" s="85" t="n"/>
      <c r="H203" s="85" t="n"/>
      <c r="I203" s="85" t="n"/>
      <c r="J203" s="85" t="n"/>
      <c r="K203" s="85" t="n"/>
      <c r="L203" s="85" t="n"/>
      <c r="M203" s="85" t="n"/>
      <c r="N203" s="85" t="n"/>
      <c r="O203" s="85" t="n"/>
      <c r="P203" s="85" t="n"/>
      <c r="Q203" s="85" t="n"/>
      <c r="R203" s="85" t="n"/>
      <c r="S203" s="85" t="n"/>
      <c r="T203" s="85" t="n"/>
      <c r="U203" s="85" t="n"/>
      <c r="V203" s="85" t="n"/>
      <c r="W203" s="85" t="n"/>
      <c r="X203" s="85" t="n"/>
      <c r="Y203" s="85" t="n"/>
      <c r="Z203" s="85" t="n"/>
      <c r="AA203" s="85" t="n"/>
      <c r="AB203" s="85" t="n"/>
      <c r="AC203" s="86" t="n"/>
      <c r="AD203" s="85">
        <f>IF($A203="","",IF(OR($AB203&lt;&gt;"Yes",$AC203="",TODAY()-$AC203&gt;90),"At Risk","Not At Risk"))</f>
        <v/>
      </c>
      <c r="AE203" s="85" t="n"/>
    </row>
    <row r="204" ht="15" customHeight="1" s="39">
      <c r="A204" s="85" t="n"/>
      <c r="B204" s="85" t="n"/>
      <c r="C204" s="85" t="n"/>
      <c r="D204" s="85" t="n"/>
      <c r="E204" s="85" t="n"/>
      <c r="F204" s="85" t="n"/>
      <c r="G204" s="85" t="n"/>
      <c r="H204" s="85" t="n"/>
      <c r="I204" s="85" t="n"/>
      <c r="J204" s="85" t="n"/>
      <c r="K204" s="85" t="n"/>
      <c r="L204" s="85" t="n"/>
      <c r="M204" s="85" t="n"/>
      <c r="N204" s="85" t="n"/>
      <c r="O204" s="85" t="n"/>
      <c r="P204" s="85" t="n"/>
      <c r="Q204" s="85" t="n"/>
      <c r="R204" s="85" t="n"/>
      <c r="S204" s="85" t="n"/>
      <c r="T204" s="85" t="n"/>
      <c r="U204" s="85" t="n"/>
      <c r="V204" s="85" t="n"/>
      <c r="W204" s="85" t="n"/>
      <c r="X204" s="85" t="n"/>
      <c r="Y204" s="85" t="n"/>
      <c r="Z204" s="85" t="n"/>
      <c r="AA204" s="85" t="n"/>
      <c r="AB204" s="85" t="n"/>
      <c r="AC204" s="86" t="n"/>
      <c r="AD204" s="85">
        <f>IF($A204="","",IF(OR($AB204&lt;&gt;"Yes",$AC204="",TODAY()-$AC204&gt;90),"At Risk","Not At Risk"))</f>
        <v/>
      </c>
      <c r="AE204" s="85" t="n"/>
    </row>
    <row r="205" ht="15" customHeight="1" s="39">
      <c r="A205" s="85" t="n"/>
      <c r="B205" s="85" t="n"/>
      <c r="C205" s="85" t="n"/>
      <c r="D205" s="85" t="n"/>
      <c r="E205" s="85" t="n"/>
      <c r="F205" s="85" t="n"/>
      <c r="G205" s="85" t="n"/>
      <c r="H205" s="85" t="n"/>
      <c r="I205" s="85" t="n"/>
      <c r="J205" s="85" t="n"/>
      <c r="K205" s="85" t="n"/>
      <c r="L205" s="85" t="n"/>
      <c r="M205" s="85" t="n"/>
      <c r="N205" s="85" t="n"/>
      <c r="O205" s="85" t="n"/>
      <c r="P205" s="85" t="n"/>
      <c r="Q205" s="85" t="n"/>
      <c r="R205" s="85" t="n"/>
      <c r="S205" s="85" t="n"/>
      <c r="T205" s="85" t="n"/>
      <c r="U205" s="85" t="n"/>
      <c r="V205" s="85" t="n"/>
      <c r="W205" s="85" t="n"/>
      <c r="X205" s="85" t="n"/>
      <c r="Y205" s="85" t="n"/>
      <c r="Z205" s="85" t="n"/>
      <c r="AA205" s="85" t="n"/>
      <c r="AB205" s="85" t="n"/>
      <c r="AC205" s="86" t="n"/>
      <c r="AD205" s="85">
        <f>IF($A205="","",IF(OR($AB205&lt;&gt;"Yes",$AC205="",TODAY()-$AC205&gt;90),"At Risk","Not At Risk"))</f>
        <v/>
      </c>
      <c r="AE205" s="85" t="n"/>
    </row>
    <row r="206" ht="15" customHeight="1" s="39">
      <c r="A206" s="85" t="n"/>
      <c r="B206" s="85" t="n"/>
      <c r="C206" s="85" t="n"/>
      <c r="D206" s="85" t="n"/>
      <c r="E206" s="85" t="n"/>
      <c r="F206" s="85" t="n"/>
      <c r="G206" s="85" t="n"/>
      <c r="H206" s="85" t="n"/>
      <c r="I206" s="85" t="n"/>
      <c r="J206" s="85" t="n"/>
      <c r="K206" s="85" t="n"/>
      <c r="L206" s="85" t="n"/>
      <c r="M206" s="85" t="n"/>
      <c r="N206" s="85" t="n"/>
      <c r="O206" s="85" t="n"/>
      <c r="P206" s="85" t="n"/>
      <c r="Q206" s="85" t="n"/>
      <c r="R206" s="85" t="n"/>
      <c r="S206" s="85" t="n"/>
      <c r="T206" s="85" t="n"/>
      <c r="U206" s="85" t="n"/>
      <c r="V206" s="85" t="n"/>
      <c r="W206" s="85" t="n"/>
      <c r="X206" s="85" t="n"/>
      <c r="Y206" s="85" t="n"/>
      <c r="Z206" s="85" t="n"/>
      <c r="AA206" s="85" t="n"/>
      <c r="AB206" s="85" t="n"/>
      <c r="AC206" s="86" t="n"/>
      <c r="AD206" s="85">
        <f>IF($A206="","",IF(OR($AB206&lt;&gt;"Yes",$AC206="",TODAY()-$AC206&gt;90),"At Risk","Not At Risk"))</f>
        <v/>
      </c>
      <c r="AE206" s="85" t="n"/>
    </row>
    <row r="207" ht="15" customHeight="1" s="39">
      <c r="A207" s="85" t="n"/>
      <c r="B207" s="85" t="n"/>
      <c r="C207" s="85" t="n"/>
      <c r="D207" s="85" t="n"/>
      <c r="E207" s="85" t="n"/>
      <c r="F207" s="85" t="n"/>
      <c r="G207" s="85" t="n"/>
      <c r="H207" s="85" t="n"/>
      <c r="I207" s="85" t="n"/>
      <c r="J207" s="85" t="n"/>
      <c r="K207" s="85" t="n"/>
      <c r="L207" s="85" t="n"/>
      <c r="M207" s="85" t="n"/>
      <c r="N207" s="85" t="n"/>
      <c r="O207" s="85" t="n"/>
      <c r="P207" s="85" t="n"/>
      <c r="Q207" s="85" t="n"/>
      <c r="R207" s="85" t="n"/>
      <c r="S207" s="85" t="n"/>
      <c r="T207" s="85" t="n"/>
      <c r="U207" s="85" t="n"/>
      <c r="V207" s="85" t="n"/>
      <c r="W207" s="85" t="n"/>
      <c r="X207" s="85" t="n"/>
      <c r="Y207" s="85" t="n"/>
      <c r="Z207" s="85" t="n"/>
      <c r="AA207" s="85" t="n"/>
      <c r="AB207" s="85" t="n"/>
      <c r="AC207" s="86" t="n"/>
      <c r="AD207" s="85">
        <f>IF($A207="","",IF(OR($AB207&lt;&gt;"Yes",$AC207="",TODAY()-$AC207&gt;90),"At Risk","Not At Risk"))</f>
        <v/>
      </c>
      <c r="AE207" s="85" t="n"/>
    </row>
    <row r="208" ht="15" customHeight="1" s="39">
      <c r="A208" s="85" t="n"/>
      <c r="B208" s="85" t="n"/>
      <c r="C208" s="85" t="n"/>
      <c r="D208" s="85" t="n"/>
      <c r="E208" s="85" t="n"/>
      <c r="F208" s="85" t="n"/>
      <c r="G208" s="85" t="n"/>
      <c r="H208" s="85" t="n"/>
      <c r="I208" s="85" t="n"/>
      <c r="J208" s="85" t="n"/>
      <c r="K208" s="85" t="n"/>
      <c r="L208" s="85" t="n"/>
      <c r="M208" s="85" t="n"/>
      <c r="N208" s="85" t="n"/>
      <c r="O208" s="85" t="n"/>
      <c r="P208" s="85" t="n"/>
      <c r="Q208" s="85" t="n"/>
      <c r="R208" s="85" t="n"/>
      <c r="S208" s="85" t="n"/>
      <c r="T208" s="85" t="n"/>
      <c r="U208" s="85" t="n"/>
      <c r="V208" s="85" t="n"/>
      <c r="W208" s="85" t="n"/>
      <c r="X208" s="85" t="n"/>
      <c r="Y208" s="85" t="n"/>
      <c r="Z208" s="85" t="n"/>
      <c r="AA208" s="85" t="n"/>
      <c r="AB208" s="85" t="n"/>
      <c r="AC208" s="86" t="n"/>
      <c r="AD208" s="85">
        <f>IF($A208="","",IF(OR($AB208&lt;&gt;"Yes",$AC208="",TODAY()-$AC208&gt;90),"At Risk","Not At Risk"))</f>
        <v/>
      </c>
      <c r="AE208" s="85" t="n"/>
    </row>
    <row r="209" ht="15" customHeight="1" s="39">
      <c r="A209" s="85" t="n"/>
      <c r="B209" s="85" t="n"/>
      <c r="C209" s="85" t="n"/>
      <c r="D209" s="85" t="n"/>
      <c r="E209" s="85" t="n"/>
      <c r="F209" s="85" t="n"/>
      <c r="G209" s="85" t="n"/>
      <c r="H209" s="85" t="n"/>
      <c r="I209" s="85" t="n"/>
      <c r="J209" s="85" t="n"/>
      <c r="K209" s="85" t="n"/>
      <c r="L209" s="85" t="n"/>
      <c r="M209" s="85" t="n"/>
      <c r="N209" s="85" t="n"/>
      <c r="O209" s="85" t="n"/>
      <c r="P209" s="85" t="n"/>
      <c r="Q209" s="85" t="n"/>
      <c r="R209" s="85" t="n"/>
      <c r="S209" s="85" t="n"/>
      <c r="T209" s="85" t="n"/>
      <c r="U209" s="85" t="n"/>
      <c r="V209" s="85" t="n"/>
      <c r="W209" s="85" t="n"/>
      <c r="X209" s="85" t="n"/>
      <c r="Y209" s="85" t="n"/>
      <c r="Z209" s="85" t="n"/>
      <c r="AA209" s="85" t="n"/>
      <c r="AB209" s="85" t="n"/>
      <c r="AC209" s="86" t="n"/>
      <c r="AD209" s="85">
        <f>IF($A209="","",IF(OR($AB209&lt;&gt;"Yes",$AC209="",TODAY()-$AC209&gt;90),"At Risk","Not At Risk"))</f>
        <v/>
      </c>
      <c r="AE209" s="85" t="n"/>
    </row>
    <row r="210" ht="15" customHeight="1" s="39">
      <c r="A210" s="85" t="n"/>
      <c r="B210" s="85" t="n"/>
      <c r="C210" s="85" t="n"/>
      <c r="D210" s="85" t="n"/>
      <c r="E210" s="85" t="n"/>
      <c r="F210" s="85" t="n"/>
      <c r="G210" s="85" t="n"/>
      <c r="H210" s="85" t="n"/>
      <c r="I210" s="85" t="n"/>
      <c r="J210" s="85" t="n"/>
      <c r="K210" s="85" t="n"/>
      <c r="L210" s="85" t="n"/>
      <c r="M210" s="85" t="n"/>
      <c r="N210" s="85" t="n"/>
      <c r="O210" s="85" t="n"/>
      <c r="P210" s="85" t="n"/>
      <c r="Q210" s="85" t="n"/>
      <c r="R210" s="85" t="n"/>
      <c r="S210" s="85" t="n"/>
      <c r="T210" s="85" t="n"/>
      <c r="U210" s="85" t="n"/>
      <c r="V210" s="85" t="n"/>
      <c r="W210" s="85" t="n"/>
      <c r="X210" s="85" t="n"/>
      <c r="Y210" s="85" t="n"/>
      <c r="Z210" s="85" t="n"/>
      <c r="AA210" s="85" t="n"/>
      <c r="AB210" s="85" t="n"/>
      <c r="AC210" s="86" t="n"/>
      <c r="AD210" s="85">
        <f>IF($A210="","",IF(OR($AB210&lt;&gt;"Yes",$AC210="",TODAY()-$AC210&gt;90),"At Risk","Not At Risk"))</f>
        <v/>
      </c>
      <c r="AE210" s="85" t="n"/>
    </row>
    <row r="211" ht="15" customHeight="1" s="39">
      <c r="A211" s="85" t="n"/>
      <c r="B211" s="85" t="n"/>
      <c r="C211" s="85" t="n"/>
      <c r="D211" s="85" t="n"/>
      <c r="E211" s="85" t="n"/>
      <c r="F211" s="85" t="n"/>
      <c r="G211" s="85" t="n"/>
      <c r="H211" s="85" t="n"/>
      <c r="I211" s="85" t="n"/>
      <c r="J211" s="85" t="n"/>
      <c r="K211" s="85" t="n"/>
      <c r="L211" s="85" t="n"/>
      <c r="M211" s="85" t="n"/>
      <c r="N211" s="85" t="n"/>
      <c r="O211" s="85" t="n"/>
      <c r="P211" s="85" t="n"/>
      <c r="Q211" s="85" t="n"/>
      <c r="R211" s="85" t="n"/>
      <c r="S211" s="85" t="n"/>
      <c r="T211" s="85" t="n"/>
      <c r="U211" s="85" t="n"/>
      <c r="V211" s="85" t="n"/>
      <c r="W211" s="85" t="n"/>
      <c r="X211" s="85" t="n"/>
      <c r="Y211" s="85" t="n"/>
      <c r="Z211" s="85" t="n"/>
      <c r="AA211" s="85" t="n"/>
      <c r="AB211" s="85" t="n"/>
      <c r="AC211" s="86" t="n"/>
      <c r="AD211" s="85">
        <f>IF($A211="","",IF(OR($AB211&lt;&gt;"Yes",$AC211="",TODAY()-$AC211&gt;90),"At Risk","Not At Risk"))</f>
        <v/>
      </c>
      <c r="AE211" s="85" t="n"/>
    </row>
    <row r="212" ht="15" customHeight="1" s="39">
      <c r="A212" s="85" t="n"/>
      <c r="B212" s="85" t="n"/>
      <c r="C212" s="85" t="n"/>
      <c r="D212" s="85" t="n"/>
      <c r="E212" s="85" t="n"/>
      <c r="F212" s="85" t="n"/>
      <c r="G212" s="85" t="n"/>
      <c r="H212" s="85" t="n"/>
      <c r="I212" s="85" t="n"/>
      <c r="J212" s="85" t="n"/>
      <c r="K212" s="85" t="n"/>
      <c r="L212" s="85" t="n"/>
      <c r="M212" s="85" t="n"/>
      <c r="N212" s="85" t="n"/>
      <c r="O212" s="85" t="n"/>
      <c r="P212" s="85" t="n"/>
      <c r="Q212" s="85" t="n"/>
      <c r="R212" s="85" t="n"/>
      <c r="S212" s="85" t="n"/>
      <c r="T212" s="85" t="n"/>
      <c r="U212" s="85" t="n"/>
      <c r="V212" s="85" t="n"/>
      <c r="W212" s="85" t="n"/>
      <c r="X212" s="85" t="n"/>
      <c r="Y212" s="85" t="n"/>
      <c r="Z212" s="85" t="n"/>
      <c r="AA212" s="85" t="n"/>
      <c r="AB212" s="85" t="n"/>
      <c r="AC212" s="86" t="n"/>
      <c r="AD212" s="85">
        <f>IF($A212="","",IF(OR($AB212&lt;&gt;"Yes",$AC212="",TODAY()-$AC212&gt;90),"At Risk","Not At Risk"))</f>
        <v/>
      </c>
      <c r="AE212" s="85" t="n"/>
    </row>
    <row r="213" ht="15" customHeight="1" s="39">
      <c r="A213" s="85" t="n"/>
      <c r="B213" s="85" t="n"/>
      <c r="C213" s="85" t="n"/>
      <c r="D213" s="85" t="n"/>
      <c r="E213" s="85" t="n"/>
      <c r="F213" s="85" t="n"/>
      <c r="G213" s="85" t="n"/>
      <c r="H213" s="85" t="n"/>
      <c r="I213" s="85" t="n"/>
      <c r="J213" s="85" t="n"/>
      <c r="K213" s="85" t="n"/>
      <c r="L213" s="85" t="n"/>
      <c r="M213" s="85" t="n"/>
      <c r="N213" s="85" t="n"/>
      <c r="O213" s="85" t="n"/>
      <c r="P213" s="85" t="n"/>
      <c r="Q213" s="85" t="n"/>
      <c r="R213" s="85" t="n"/>
      <c r="S213" s="85" t="n"/>
      <c r="T213" s="85" t="n"/>
      <c r="U213" s="85" t="n"/>
      <c r="V213" s="85" t="n"/>
      <c r="W213" s="85" t="n"/>
      <c r="X213" s="85" t="n"/>
      <c r="Y213" s="85" t="n"/>
      <c r="Z213" s="85" t="n"/>
      <c r="AA213" s="85" t="n"/>
      <c r="AB213" s="85" t="n"/>
      <c r="AC213" s="86" t="n"/>
      <c r="AD213" s="85">
        <f>IF($A213="","",IF(OR($AB213&lt;&gt;"Yes",$AC213="",TODAY()-$AC213&gt;90),"At Risk","Not At Risk"))</f>
        <v/>
      </c>
      <c r="AE213" s="85" t="n"/>
    </row>
    <row r="214" ht="15" customHeight="1" s="39">
      <c r="A214" s="85" t="n"/>
      <c r="B214" s="85" t="n"/>
      <c r="C214" s="85" t="n"/>
      <c r="D214" s="85" t="n"/>
      <c r="E214" s="85" t="n"/>
      <c r="F214" s="85" t="n"/>
      <c r="G214" s="85" t="n"/>
      <c r="H214" s="85" t="n"/>
      <c r="I214" s="85" t="n"/>
      <c r="J214" s="85" t="n"/>
      <c r="K214" s="85" t="n"/>
      <c r="L214" s="85" t="n"/>
      <c r="M214" s="85" t="n"/>
      <c r="N214" s="85" t="n"/>
      <c r="O214" s="85" t="n"/>
      <c r="P214" s="85" t="n"/>
      <c r="Q214" s="85" t="n"/>
      <c r="R214" s="85" t="n"/>
      <c r="S214" s="85" t="n"/>
      <c r="T214" s="85" t="n"/>
      <c r="U214" s="85" t="n"/>
      <c r="V214" s="85" t="n"/>
      <c r="W214" s="85" t="n"/>
      <c r="X214" s="85" t="n"/>
      <c r="Y214" s="85" t="n"/>
      <c r="Z214" s="85" t="n"/>
      <c r="AA214" s="85" t="n"/>
      <c r="AB214" s="85" t="n"/>
      <c r="AC214" s="86" t="n"/>
      <c r="AD214" s="85">
        <f>IF($A214="","",IF(OR($AB214&lt;&gt;"Yes",$AC214="",TODAY()-$AC214&gt;90),"At Risk","Not At Risk"))</f>
        <v/>
      </c>
      <c r="AE214" s="85" t="n"/>
    </row>
    <row r="215" ht="15" customHeight="1" s="39">
      <c r="A215" s="85" t="n"/>
      <c r="B215" s="85" t="n"/>
      <c r="C215" s="85" t="n"/>
      <c r="D215" s="85" t="n"/>
      <c r="E215" s="85" t="n"/>
      <c r="F215" s="85" t="n"/>
      <c r="G215" s="85" t="n"/>
      <c r="H215" s="85" t="n"/>
      <c r="I215" s="85" t="n"/>
      <c r="J215" s="85" t="n"/>
      <c r="K215" s="85" t="n"/>
      <c r="L215" s="85" t="n"/>
      <c r="M215" s="85" t="n"/>
      <c r="N215" s="85" t="n"/>
      <c r="O215" s="85" t="n"/>
      <c r="P215" s="85" t="n"/>
      <c r="Q215" s="85" t="n"/>
      <c r="R215" s="85" t="n"/>
      <c r="S215" s="85" t="n"/>
      <c r="T215" s="85" t="n"/>
      <c r="U215" s="85" t="n"/>
      <c r="V215" s="85" t="n"/>
      <c r="W215" s="85" t="n"/>
      <c r="X215" s="85" t="n"/>
      <c r="Y215" s="85" t="n"/>
      <c r="Z215" s="85" t="n"/>
      <c r="AA215" s="85" t="n"/>
      <c r="AB215" s="85" t="n"/>
      <c r="AC215" s="86" t="n"/>
      <c r="AD215" s="85">
        <f>IF($A215="","",IF(OR($AB215&lt;&gt;"Yes",$AC215="",TODAY()-$AC215&gt;90),"At Risk","Not At Risk"))</f>
        <v/>
      </c>
      <c r="AE215" s="85" t="n"/>
    </row>
    <row r="216" ht="15" customHeight="1" s="39">
      <c r="A216" s="85" t="n"/>
      <c r="B216" s="85" t="n"/>
      <c r="C216" s="85" t="n"/>
      <c r="D216" s="85" t="n"/>
      <c r="E216" s="85" t="n"/>
      <c r="F216" s="85" t="n"/>
      <c r="G216" s="85" t="n"/>
      <c r="H216" s="85" t="n"/>
      <c r="I216" s="85" t="n"/>
      <c r="J216" s="85" t="n"/>
      <c r="K216" s="85" t="n"/>
      <c r="L216" s="85" t="n"/>
      <c r="M216" s="85" t="n"/>
      <c r="N216" s="85" t="n"/>
      <c r="O216" s="85" t="n"/>
      <c r="P216" s="85" t="n"/>
      <c r="Q216" s="85" t="n"/>
      <c r="R216" s="85" t="n"/>
      <c r="S216" s="85" t="n"/>
      <c r="T216" s="85" t="n"/>
      <c r="U216" s="85" t="n"/>
      <c r="V216" s="85" t="n"/>
      <c r="W216" s="85" t="n"/>
      <c r="X216" s="85" t="n"/>
      <c r="Y216" s="85" t="n"/>
      <c r="Z216" s="85" t="n"/>
      <c r="AA216" s="85" t="n"/>
      <c r="AB216" s="85" t="n"/>
      <c r="AC216" s="86" t="n"/>
      <c r="AD216" s="85">
        <f>IF($A216="","",IF(OR($AB216&lt;&gt;"Yes",$AC216="",TODAY()-$AC216&gt;90),"At Risk","Not At Risk"))</f>
        <v/>
      </c>
      <c r="AE216" s="85" t="n"/>
    </row>
    <row r="217" ht="15" customHeight="1" s="39">
      <c r="A217" s="85" t="n"/>
      <c r="B217" s="85" t="n"/>
      <c r="C217" s="85" t="n"/>
      <c r="D217" s="85" t="n"/>
      <c r="E217" s="85" t="n"/>
      <c r="F217" s="85" t="n"/>
      <c r="G217" s="85" t="n"/>
      <c r="H217" s="85" t="n"/>
      <c r="I217" s="85" t="n"/>
      <c r="J217" s="85" t="n"/>
      <c r="K217" s="85" t="n"/>
      <c r="L217" s="85" t="n"/>
      <c r="M217" s="85" t="n"/>
      <c r="N217" s="85" t="n"/>
      <c r="O217" s="85" t="n"/>
      <c r="P217" s="85" t="n"/>
      <c r="Q217" s="85" t="n"/>
      <c r="R217" s="85" t="n"/>
      <c r="S217" s="85" t="n"/>
      <c r="T217" s="85" t="n"/>
      <c r="U217" s="85" t="n"/>
      <c r="V217" s="85" t="n"/>
      <c r="W217" s="85" t="n"/>
      <c r="X217" s="85" t="n"/>
      <c r="Y217" s="85" t="n"/>
      <c r="Z217" s="85" t="n"/>
      <c r="AA217" s="85" t="n"/>
      <c r="AB217" s="85" t="n"/>
      <c r="AC217" s="86" t="n"/>
      <c r="AD217" s="85">
        <f>IF($A217="","",IF(OR($AB217&lt;&gt;"Yes",$AC217="",TODAY()-$AC217&gt;90),"At Risk","Not At Risk"))</f>
        <v/>
      </c>
      <c r="AE217" s="85" t="n"/>
    </row>
    <row r="218" ht="15" customHeight="1" s="39">
      <c r="A218" s="85" t="n"/>
      <c r="B218" s="85" t="n"/>
      <c r="C218" s="85" t="n"/>
      <c r="D218" s="85" t="n"/>
      <c r="E218" s="85" t="n"/>
      <c r="F218" s="85" t="n"/>
      <c r="G218" s="85" t="n"/>
      <c r="H218" s="85" t="n"/>
      <c r="I218" s="85" t="n"/>
      <c r="J218" s="85" t="n"/>
      <c r="K218" s="85" t="n"/>
      <c r="L218" s="85" t="n"/>
      <c r="M218" s="85" t="n"/>
      <c r="N218" s="85" t="n"/>
      <c r="O218" s="85" t="n"/>
      <c r="P218" s="85" t="n"/>
      <c r="Q218" s="85" t="n"/>
      <c r="R218" s="85" t="n"/>
      <c r="S218" s="85" t="n"/>
      <c r="T218" s="85" t="n"/>
      <c r="U218" s="85" t="n"/>
      <c r="V218" s="85" t="n"/>
      <c r="W218" s="85" t="n"/>
      <c r="X218" s="85" t="n"/>
      <c r="Y218" s="85" t="n"/>
      <c r="Z218" s="85" t="n"/>
      <c r="AA218" s="85" t="n"/>
      <c r="AB218" s="85" t="n"/>
      <c r="AC218" s="86" t="n"/>
      <c r="AD218" s="85">
        <f>IF($A218="","",IF(OR($AB218&lt;&gt;"Yes",$AC218="",TODAY()-$AC218&gt;90),"At Risk","Not At Risk"))</f>
        <v/>
      </c>
      <c r="AE218" s="85" t="n"/>
    </row>
    <row r="219" ht="15" customHeight="1" s="39">
      <c r="A219" s="85" t="n"/>
      <c r="B219" s="85" t="n"/>
      <c r="C219" s="85" t="n"/>
      <c r="D219" s="85" t="n"/>
      <c r="E219" s="85" t="n"/>
      <c r="F219" s="85" t="n"/>
      <c r="G219" s="85" t="n"/>
      <c r="H219" s="85" t="n"/>
      <c r="I219" s="85" t="n"/>
      <c r="J219" s="85" t="n"/>
      <c r="K219" s="85" t="n"/>
      <c r="L219" s="85" t="n"/>
      <c r="M219" s="85" t="n"/>
      <c r="N219" s="85" t="n"/>
      <c r="O219" s="85" t="n"/>
      <c r="P219" s="85" t="n"/>
      <c r="Q219" s="85" t="n"/>
      <c r="R219" s="85" t="n"/>
      <c r="S219" s="85" t="n"/>
      <c r="T219" s="85" t="n"/>
      <c r="U219" s="85" t="n"/>
      <c r="V219" s="85" t="n"/>
      <c r="W219" s="85" t="n"/>
      <c r="X219" s="85" t="n"/>
      <c r="Y219" s="85" t="n"/>
      <c r="Z219" s="85" t="n"/>
      <c r="AA219" s="85" t="n"/>
      <c r="AB219" s="85" t="n"/>
      <c r="AC219" s="86" t="n"/>
      <c r="AD219" s="85">
        <f>IF($A219="","",IF(OR($AB219&lt;&gt;"Yes",$AC219="",TODAY()-$AC219&gt;90),"At Risk","Not At Risk"))</f>
        <v/>
      </c>
      <c r="AE219" s="85" t="n"/>
    </row>
    <row r="220" ht="15" customHeight="1" s="39">
      <c r="A220" s="85" t="n"/>
      <c r="B220" s="85" t="n"/>
      <c r="C220" s="85" t="n"/>
      <c r="D220" s="85" t="n"/>
      <c r="E220" s="85" t="n"/>
      <c r="F220" s="85" t="n"/>
      <c r="G220" s="85" t="n"/>
      <c r="H220" s="85" t="n"/>
      <c r="I220" s="85" t="n"/>
      <c r="J220" s="85" t="n"/>
      <c r="K220" s="85" t="n"/>
      <c r="L220" s="85" t="n"/>
      <c r="M220" s="85" t="n"/>
      <c r="N220" s="85" t="n"/>
      <c r="O220" s="85" t="n"/>
      <c r="P220" s="85" t="n"/>
      <c r="Q220" s="85" t="n"/>
      <c r="R220" s="85" t="n"/>
      <c r="S220" s="85" t="n"/>
      <c r="T220" s="85" t="n"/>
      <c r="U220" s="85" t="n"/>
      <c r="V220" s="85" t="n"/>
      <c r="W220" s="85" t="n"/>
      <c r="X220" s="85" t="n"/>
      <c r="Y220" s="85" t="n"/>
      <c r="Z220" s="85" t="n"/>
      <c r="AA220" s="85" t="n"/>
      <c r="AB220" s="85" t="n"/>
      <c r="AC220" s="86" t="n"/>
      <c r="AD220" s="85">
        <f>IF($A220="","",IF(OR($AB220&lt;&gt;"Yes",$AC220="",TODAY()-$AC220&gt;90),"At Risk","Not At Risk"))</f>
        <v/>
      </c>
      <c r="AE220" s="85" t="n"/>
    </row>
    <row r="221" ht="15" customHeight="1" s="39">
      <c r="A221" s="85" t="n"/>
      <c r="B221" s="85" t="n"/>
      <c r="C221" s="85" t="n"/>
      <c r="D221" s="85" t="n"/>
      <c r="E221" s="85" t="n"/>
      <c r="F221" s="85" t="n"/>
      <c r="G221" s="85" t="n"/>
      <c r="H221" s="85" t="n"/>
      <c r="I221" s="85" t="n"/>
      <c r="J221" s="85" t="n"/>
      <c r="K221" s="85" t="n"/>
      <c r="L221" s="85" t="n"/>
      <c r="M221" s="85" t="n"/>
      <c r="N221" s="85" t="n"/>
      <c r="O221" s="85" t="n"/>
      <c r="P221" s="85" t="n"/>
      <c r="Q221" s="85" t="n"/>
      <c r="R221" s="85" t="n"/>
      <c r="S221" s="85" t="n"/>
      <c r="T221" s="85" t="n"/>
      <c r="U221" s="85" t="n"/>
      <c r="V221" s="85" t="n"/>
      <c r="W221" s="85" t="n"/>
      <c r="X221" s="85" t="n"/>
      <c r="Y221" s="85" t="n"/>
      <c r="Z221" s="85" t="n"/>
      <c r="AA221" s="85" t="n"/>
      <c r="AB221" s="85" t="n"/>
      <c r="AC221" s="86" t="n"/>
      <c r="AD221" s="85">
        <f>IF($A221="","",IF(OR($AB221&lt;&gt;"Yes",$AC221="",TODAY()-$AC221&gt;90),"At Risk","Not At Risk"))</f>
        <v/>
      </c>
      <c r="AE221" s="85" t="n"/>
    </row>
    <row r="222" ht="15" customHeight="1" s="39">
      <c r="A222" s="85" t="n"/>
      <c r="B222" s="85" t="n"/>
      <c r="C222" s="85" t="n"/>
      <c r="D222" s="85" t="n"/>
      <c r="E222" s="85" t="n"/>
      <c r="F222" s="85" t="n"/>
      <c r="G222" s="85" t="n"/>
      <c r="H222" s="85" t="n"/>
      <c r="I222" s="85" t="n"/>
      <c r="J222" s="85" t="n"/>
      <c r="K222" s="85" t="n"/>
      <c r="L222" s="85" t="n"/>
      <c r="M222" s="85" t="n"/>
      <c r="N222" s="85" t="n"/>
      <c r="O222" s="85" t="n"/>
      <c r="P222" s="85" t="n"/>
      <c r="Q222" s="85" t="n"/>
      <c r="R222" s="85" t="n"/>
      <c r="S222" s="85" t="n"/>
      <c r="T222" s="85" t="n"/>
      <c r="U222" s="85" t="n"/>
      <c r="V222" s="85" t="n"/>
      <c r="W222" s="85" t="n"/>
      <c r="X222" s="85" t="n"/>
      <c r="Y222" s="85" t="n"/>
      <c r="Z222" s="85" t="n"/>
      <c r="AA222" s="85" t="n"/>
      <c r="AB222" s="85" t="n"/>
      <c r="AC222" s="86" t="n"/>
      <c r="AD222" s="85">
        <f>IF($A222="","",IF(OR($AB222&lt;&gt;"Yes",$AC222="",TODAY()-$AC222&gt;90),"At Risk","Not At Risk"))</f>
        <v/>
      </c>
      <c r="AE222" s="85" t="n"/>
    </row>
    <row r="223" ht="15" customHeight="1" s="39">
      <c r="A223" s="85" t="n"/>
      <c r="B223" s="85" t="n"/>
      <c r="C223" s="85" t="n"/>
      <c r="D223" s="85" t="n"/>
      <c r="E223" s="85" t="n"/>
      <c r="F223" s="85" t="n"/>
      <c r="G223" s="85" t="n"/>
      <c r="H223" s="85" t="n"/>
      <c r="I223" s="85" t="n"/>
      <c r="J223" s="85" t="n"/>
      <c r="K223" s="85" t="n"/>
      <c r="L223" s="85" t="n"/>
      <c r="M223" s="85" t="n"/>
      <c r="N223" s="85" t="n"/>
      <c r="O223" s="85" t="n"/>
      <c r="P223" s="85" t="n"/>
      <c r="Q223" s="85" t="n"/>
      <c r="R223" s="85" t="n"/>
      <c r="S223" s="85" t="n"/>
      <c r="T223" s="85" t="n"/>
      <c r="U223" s="85" t="n"/>
      <c r="V223" s="85" t="n"/>
      <c r="W223" s="85" t="n"/>
      <c r="X223" s="85" t="n"/>
      <c r="Y223" s="85" t="n"/>
      <c r="Z223" s="85" t="n"/>
      <c r="AA223" s="85" t="n"/>
      <c r="AB223" s="85" t="n"/>
      <c r="AC223" s="86" t="n"/>
      <c r="AD223" s="85">
        <f>IF($A223="","",IF(OR($AB223&lt;&gt;"Yes",$AC223="",TODAY()-$AC223&gt;90),"At Risk","Not At Risk"))</f>
        <v/>
      </c>
      <c r="AE223" s="85" t="n"/>
    </row>
    <row r="224" ht="15" customHeight="1" s="39">
      <c r="A224" s="85" t="n"/>
      <c r="B224" s="85" t="n"/>
      <c r="C224" s="85" t="n"/>
      <c r="D224" s="85" t="n"/>
      <c r="E224" s="85" t="n"/>
      <c r="F224" s="85" t="n"/>
      <c r="G224" s="85" t="n"/>
      <c r="H224" s="85" t="n"/>
      <c r="I224" s="85" t="n"/>
      <c r="J224" s="85" t="n"/>
      <c r="K224" s="85" t="n"/>
      <c r="L224" s="85" t="n"/>
      <c r="M224" s="85" t="n"/>
      <c r="N224" s="85" t="n"/>
      <c r="O224" s="85" t="n"/>
      <c r="P224" s="85" t="n"/>
      <c r="Q224" s="85" t="n"/>
      <c r="R224" s="85" t="n"/>
      <c r="S224" s="85" t="n"/>
      <c r="T224" s="85" t="n"/>
      <c r="U224" s="85" t="n"/>
      <c r="V224" s="85" t="n"/>
      <c r="W224" s="85" t="n"/>
      <c r="X224" s="85" t="n"/>
      <c r="Y224" s="85" t="n"/>
      <c r="Z224" s="85" t="n"/>
      <c r="AA224" s="85" t="n"/>
      <c r="AB224" s="85" t="n"/>
      <c r="AC224" s="86" t="n"/>
      <c r="AD224" s="85">
        <f>IF($A224="","",IF(OR($AB224&lt;&gt;"Yes",$AC224="",TODAY()-$AC224&gt;90),"At Risk","Not At Risk"))</f>
        <v/>
      </c>
      <c r="AE224" s="85" t="n"/>
    </row>
    <row r="225" ht="15" customHeight="1" s="39">
      <c r="A225" s="85" t="n"/>
      <c r="B225" s="85" t="n"/>
      <c r="C225" s="85" t="n"/>
      <c r="D225" s="85" t="n"/>
      <c r="E225" s="85" t="n"/>
      <c r="F225" s="85" t="n"/>
      <c r="G225" s="85" t="n"/>
      <c r="H225" s="85" t="n"/>
      <c r="I225" s="85" t="n"/>
      <c r="J225" s="85" t="n"/>
      <c r="K225" s="85" t="n"/>
      <c r="L225" s="85" t="n"/>
      <c r="M225" s="85" t="n"/>
      <c r="N225" s="85" t="n"/>
      <c r="O225" s="85" t="n"/>
      <c r="P225" s="85" t="n"/>
      <c r="Q225" s="85" t="n"/>
      <c r="R225" s="85" t="n"/>
      <c r="S225" s="85" t="n"/>
      <c r="T225" s="85" t="n"/>
      <c r="U225" s="85" t="n"/>
      <c r="V225" s="85" t="n"/>
      <c r="W225" s="85" t="n"/>
      <c r="X225" s="85" t="n"/>
      <c r="Y225" s="85" t="n"/>
      <c r="Z225" s="85" t="n"/>
      <c r="AA225" s="85" t="n"/>
      <c r="AB225" s="85" t="n"/>
      <c r="AC225" s="86" t="n"/>
      <c r="AD225" s="85">
        <f>IF($A225="","",IF(OR($AB225&lt;&gt;"Yes",$AC225="",TODAY()-$AC225&gt;90),"At Risk","Not At Risk"))</f>
        <v/>
      </c>
      <c r="AE225" s="85" t="n"/>
    </row>
    <row r="226" ht="15" customHeight="1" s="39">
      <c r="A226" s="85" t="n"/>
      <c r="B226" s="85" t="n"/>
      <c r="C226" s="85" t="n"/>
      <c r="D226" s="85" t="n"/>
      <c r="E226" s="85" t="n"/>
      <c r="F226" s="85" t="n"/>
      <c r="G226" s="85" t="n"/>
      <c r="H226" s="85" t="n"/>
      <c r="I226" s="85" t="n"/>
      <c r="J226" s="85" t="n"/>
      <c r="K226" s="85" t="n"/>
      <c r="L226" s="85" t="n"/>
      <c r="M226" s="85" t="n"/>
      <c r="N226" s="85" t="n"/>
      <c r="O226" s="85" t="n"/>
      <c r="P226" s="85" t="n"/>
      <c r="Q226" s="85" t="n"/>
      <c r="R226" s="85" t="n"/>
      <c r="S226" s="85" t="n"/>
      <c r="T226" s="85" t="n"/>
      <c r="U226" s="85" t="n"/>
      <c r="V226" s="85" t="n"/>
      <c r="W226" s="85" t="n"/>
      <c r="X226" s="85" t="n"/>
      <c r="Y226" s="85" t="n"/>
      <c r="Z226" s="85" t="n"/>
      <c r="AA226" s="85" t="n"/>
      <c r="AB226" s="85" t="n"/>
      <c r="AC226" s="86" t="n"/>
      <c r="AD226" s="85">
        <f>IF($A226="","",IF(OR($AB226&lt;&gt;"Yes",$AC226="",TODAY()-$AC226&gt;90),"At Risk","Not At Risk"))</f>
        <v/>
      </c>
      <c r="AE226" s="85" t="n"/>
    </row>
    <row r="227" ht="15" customHeight="1" s="39">
      <c r="A227" s="85" t="n"/>
      <c r="B227" s="85" t="n"/>
      <c r="C227" s="85" t="n"/>
      <c r="D227" s="85" t="n"/>
      <c r="E227" s="85" t="n"/>
      <c r="F227" s="85" t="n"/>
      <c r="G227" s="85" t="n"/>
      <c r="H227" s="85" t="n"/>
      <c r="I227" s="85" t="n"/>
      <c r="J227" s="85" t="n"/>
      <c r="K227" s="85" t="n"/>
      <c r="L227" s="85" t="n"/>
      <c r="M227" s="85" t="n"/>
      <c r="N227" s="85" t="n"/>
      <c r="O227" s="85" t="n"/>
      <c r="P227" s="85" t="n"/>
      <c r="Q227" s="85" t="n"/>
      <c r="R227" s="85" t="n"/>
      <c r="S227" s="85" t="n"/>
      <c r="T227" s="85" t="n"/>
      <c r="U227" s="85" t="n"/>
      <c r="V227" s="85" t="n"/>
      <c r="W227" s="85" t="n"/>
      <c r="X227" s="85" t="n"/>
      <c r="Y227" s="85" t="n"/>
      <c r="Z227" s="85" t="n"/>
      <c r="AA227" s="85" t="n"/>
      <c r="AB227" s="85" t="n"/>
      <c r="AC227" s="86" t="n"/>
      <c r="AD227" s="85">
        <f>IF($A227="","",IF(OR($AB227&lt;&gt;"Yes",$AC227="",TODAY()-$AC227&gt;90),"At Risk","Not At Risk"))</f>
        <v/>
      </c>
      <c r="AE227" s="85" t="n"/>
    </row>
    <row r="228" ht="15" customHeight="1" s="39">
      <c r="A228" s="85" t="n"/>
      <c r="B228" s="85" t="n"/>
      <c r="C228" s="85" t="n"/>
      <c r="D228" s="85" t="n"/>
      <c r="E228" s="85" t="n"/>
      <c r="F228" s="85" t="n"/>
      <c r="G228" s="85" t="n"/>
      <c r="H228" s="85" t="n"/>
      <c r="I228" s="85" t="n"/>
      <c r="J228" s="85" t="n"/>
      <c r="K228" s="85" t="n"/>
      <c r="L228" s="85" t="n"/>
      <c r="M228" s="85" t="n"/>
      <c r="N228" s="85" t="n"/>
      <c r="O228" s="85" t="n"/>
      <c r="P228" s="85" t="n"/>
      <c r="Q228" s="85" t="n"/>
      <c r="R228" s="85" t="n"/>
      <c r="S228" s="85" t="n"/>
      <c r="T228" s="85" t="n"/>
      <c r="U228" s="85" t="n"/>
      <c r="V228" s="85" t="n"/>
      <c r="W228" s="85" t="n"/>
      <c r="X228" s="85" t="n"/>
      <c r="Y228" s="85" t="n"/>
      <c r="Z228" s="85" t="n"/>
      <c r="AA228" s="85" t="n"/>
      <c r="AB228" s="85" t="n"/>
      <c r="AC228" s="86" t="n"/>
      <c r="AD228" s="85">
        <f>IF($A228="","",IF(OR($AB228&lt;&gt;"Yes",$AC228="",TODAY()-$AC228&gt;90),"At Risk","Not At Risk"))</f>
        <v/>
      </c>
      <c r="AE228" s="85" t="n"/>
    </row>
    <row r="229" ht="15" customHeight="1" s="39">
      <c r="A229" s="85" t="n"/>
      <c r="B229" s="85" t="n"/>
      <c r="C229" s="85" t="n"/>
      <c r="D229" s="85" t="n"/>
      <c r="E229" s="85" t="n"/>
      <c r="F229" s="85" t="n"/>
      <c r="G229" s="85" t="n"/>
      <c r="H229" s="85" t="n"/>
      <c r="I229" s="85" t="n"/>
      <c r="J229" s="85" t="n"/>
      <c r="K229" s="85" t="n"/>
      <c r="L229" s="85" t="n"/>
      <c r="M229" s="85" t="n"/>
      <c r="N229" s="85" t="n"/>
      <c r="O229" s="85" t="n"/>
      <c r="P229" s="85" t="n"/>
      <c r="Q229" s="85" t="n"/>
      <c r="R229" s="85" t="n"/>
      <c r="S229" s="85" t="n"/>
      <c r="T229" s="85" t="n"/>
      <c r="U229" s="85" t="n"/>
      <c r="V229" s="85" t="n"/>
      <c r="W229" s="85" t="n"/>
      <c r="X229" s="85" t="n"/>
      <c r="Y229" s="85" t="n"/>
      <c r="Z229" s="85" t="n"/>
      <c r="AA229" s="85" t="n"/>
      <c r="AB229" s="85" t="n"/>
      <c r="AC229" s="86" t="n"/>
      <c r="AD229" s="85">
        <f>IF($A229="","",IF(OR($AB229&lt;&gt;"Yes",$AC229="",TODAY()-$AC229&gt;90),"At Risk","Not At Risk"))</f>
        <v/>
      </c>
      <c r="AE229" s="85" t="n"/>
    </row>
    <row r="230" ht="15" customHeight="1" s="39">
      <c r="A230" s="85" t="n"/>
      <c r="B230" s="85" t="n"/>
      <c r="C230" s="85" t="n"/>
      <c r="D230" s="85" t="n"/>
      <c r="E230" s="85" t="n"/>
      <c r="F230" s="85" t="n"/>
      <c r="G230" s="85" t="n"/>
      <c r="H230" s="85" t="n"/>
      <c r="I230" s="85" t="n"/>
      <c r="J230" s="85" t="n"/>
      <c r="K230" s="85" t="n"/>
      <c r="L230" s="85" t="n"/>
      <c r="M230" s="85" t="n"/>
      <c r="N230" s="85" t="n"/>
      <c r="O230" s="85" t="n"/>
      <c r="P230" s="85" t="n"/>
      <c r="Q230" s="85" t="n"/>
      <c r="R230" s="85" t="n"/>
      <c r="S230" s="85" t="n"/>
      <c r="T230" s="85" t="n"/>
      <c r="U230" s="85" t="n"/>
      <c r="V230" s="85" t="n"/>
      <c r="W230" s="85" t="n"/>
      <c r="X230" s="85" t="n"/>
      <c r="Y230" s="85" t="n"/>
      <c r="Z230" s="85" t="n"/>
      <c r="AA230" s="85" t="n"/>
      <c r="AB230" s="85" t="n"/>
      <c r="AC230" s="86" t="n"/>
      <c r="AD230" s="85">
        <f>IF($A230="","",IF(OR($AB230&lt;&gt;"Yes",$AC230="",TODAY()-$AC230&gt;90),"At Risk","Not At Risk"))</f>
        <v/>
      </c>
      <c r="AE230" s="85" t="n"/>
    </row>
    <row r="231" ht="15" customHeight="1" s="39">
      <c r="A231" s="85" t="n"/>
      <c r="B231" s="85" t="n"/>
      <c r="C231" s="85" t="n"/>
      <c r="D231" s="85" t="n"/>
      <c r="E231" s="85" t="n"/>
      <c r="F231" s="85" t="n"/>
      <c r="G231" s="85" t="n"/>
      <c r="H231" s="85" t="n"/>
      <c r="I231" s="85" t="n"/>
      <c r="J231" s="85" t="n"/>
      <c r="K231" s="85" t="n"/>
      <c r="L231" s="85" t="n"/>
      <c r="M231" s="85" t="n"/>
      <c r="N231" s="85" t="n"/>
      <c r="O231" s="85" t="n"/>
      <c r="P231" s="85" t="n"/>
      <c r="Q231" s="85" t="n"/>
      <c r="R231" s="85" t="n"/>
      <c r="S231" s="85" t="n"/>
      <c r="T231" s="85" t="n"/>
      <c r="U231" s="85" t="n"/>
      <c r="V231" s="85" t="n"/>
      <c r="W231" s="85" t="n"/>
      <c r="X231" s="85" t="n"/>
      <c r="Y231" s="85" t="n"/>
      <c r="Z231" s="85" t="n"/>
      <c r="AA231" s="85" t="n"/>
      <c r="AB231" s="85" t="n"/>
      <c r="AC231" s="86" t="n"/>
      <c r="AD231" s="85">
        <f>IF($A231="","",IF(OR($AB231&lt;&gt;"Yes",$AC231="",TODAY()-$AC231&gt;90),"At Risk","Not At Risk"))</f>
        <v/>
      </c>
      <c r="AE231" s="85" t="n"/>
    </row>
    <row r="232" ht="15" customHeight="1" s="39">
      <c r="A232" s="85" t="n"/>
      <c r="B232" s="85" t="n"/>
      <c r="C232" s="85" t="n"/>
      <c r="D232" s="85" t="n"/>
      <c r="E232" s="85" t="n"/>
      <c r="F232" s="85" t="n"/>
      <c r="G232" s="85" t="n"/>
      <c r="H232" s="85" t="n"/>
      <c r="I232" s="85" t="n"/>
      <c r="J232" s="85" t="n"/>
      <c r="K232" s="85" t="n"/>
      <c r="L232" s="85" t="n"/>
      <c r="M232" s="85" t="n"/>
      <c r="N232" s="85" t="n"/>
      <c r="O232" s="85" t="n"/>
      <c r="P232" s="85" t="n"/>
      <c r="Q232" s="85" t="n"/>
      <c r="R232" s="85" t="n"/>
      <c r="S232" s="85" t="n"/>
      <c r="T232" s="85" t="n"/>
      <c r="U232" s="85" t="n"/>
      <c r="V232" s="85" t="n"/>
      <c r="W232" s="85" t="n"/>
      <c r="X232" s="85" t="n"/>
      <c r="Y232" s="85" t="n"/>
      <c r="Z232" s="85" t="n"/>
      <c r="AA232" s="85" t="n"/>
      <c r="AB232" s="85" t="n"/>
      <c r="AC232" s="86" t="n"/>
      <c r="AD232" s="85">
        <f>IF($A232="","",IF(OR($AB232&lt;&gt;"Yes",$AC232="",TODAY()-$AC232&gt;90),"At Risk","Not At Risk"))</f>
        <v/>
      </c>
      <c r="AE232" s="85" t="n"/>
    </row>
    <row r="233" ht="15" customHeight="1" s="39">
      <c r="A233" s="85" t="n"/>
      <c r="B233" s="85" t="n"/>
      <c r="C233" s="85" t="n"/>
      <c r="D233" s="85" t="n"/>
      <c r="E233" s="85" t="n"/>
      <c r="F233" s="85" t="n"/>
      <c r="G233" s="85" t="n"/>
      <c r="H233" s="85" t="n"/>
      <c r="I233" s="85" t="n"/>
      <c r="J233" s="85" t="n"/>
      <c r="K233" s="85" t="n"/>
      <c r="L233" s="85" t="n"/>
      <c r="M233" s="85" t="n"/>
      <c r="N233" s="85" t="n"/>
      <c r="O233" s="85" t="n"/>
      <c r="P233" s="85" t="n"/>
      <c r="Q233" s="85" t="n"/>
      <c r="R233" s="85" t="n"/>
      <c r="S233" s="85" t="n"/>
      <c r="T233" s="85" t="n"/>
      <c r="U233" s="85" t="n"/>
      <c r="V233" s="85" t="n"/>
      <c r="W233" s="85" t="n"/>
      <c r="X233" s="85" t="n"/>
      <c r="Y233" s="85" t="n"/>
      <c r="Z233" s="85" t="n"/>
      <c r="AA233" s="85" t="n"/>
      <c r="AB233" s="85" t="n"/>
      <c r="AC233" s="86" t="n"/>
      <c r="AD233" s="85">
        <f>IF($A233="","",IF(OR($AB233&lt;&gt;"Yes",$AC233="",TODAY()-$AC233&gt;90),"At Risk","Not At Risk"))</f>
        <v/>
      </c>
      <c r="AE233" s="85" t="n"/>
    </row>
    <row r="234" ht="15" customHeight="1" s="39">
      <c r="A234" s="85" t="n"/>
      <c r="B234" s="85" t="n"/>
      <c r="C234" s="85" t="n"/>
      <c r="D234" s="85" t="n"/>
      <c r="E234" s="85" t="n"/>
      <c r="F234" s="85" t="n"/>
      <c r="G234" s="85" t="n"/>
      <c r="H234" s="85" t="n"/>
      <c r="I234" s="85" t="n"/>
      <c r="J234" s="85" t="n"/>
      <c r="K234" s="85" t="n"/>
      <c r="L234" s="85" t="n"/>
      <c r="M234" s="85" t="n"/>
      <c r="N234" s="85" t="n"/>
      <c r="O234" s="85" t="n"/>
      <c r="P234" s="85" t="n"/>
      <c r="Q234" s="85" t="n"/>
      <c r="R234" s="85" t="n"/>
      <c r="S234" s="85" t="n"/>
      <c r="T234" s="85" t="n"/>
      <c r="U234" s="85" t="n"/>
      <c r="V234" s="85" t="n"/>
      <c r="W234" s="85" t="n"/>
      <c r="X234" s="85" t="n"/>
      <c r="Y234" s="85" t="n"/>
      <c r="Z234" s="85" t="n"/>
      <c r="AA234" s="85" t="n"/>
      <c r="AB234" s="85" t="n"/>
      <c r="AC234" s="86" t="n"/>
      <c r="AD234" s="85">
        <f>IF($A234="","",IF(OR($AB234&lt;&gt;"Yes",$AC234="",TODAY()-$AC234&gt;90),"At Risk","Not At Risk"))</f>
        <v/>
      </c>
      <c r="AE234" s="85" t="n"/>
    </row>
    <row r="235" ht="15" customHeight="1" s="39">
      <c r="A235" s="85" t="n"/>
      <c r="B235" s="85" t="n"/>
      <c r="C235" s="85" t="n"/>
      <c r="D235" s="85" t="n"/>
      <c r="E235" s="85" t="n"/>
      <c r="F235" s="85" t="n"/>
      <c r="G235" s="85" t="n"/>
      <c r="H235" s="85" t="n"/>
      <c r="I235" s="85" t="n"/>
      <c r="J235" s="85" t="n"/>
      <c r="K235" s="85" t="n"/>
      <c r="L235" s="85" t="n"/>
      <c r="M235" s="85" t="n"/>
      <c r="N235" s="85" t="n"/>
      <c r="O235" s="85" t="n"/>
      <c r="P235" s="85" t="n"/>
      <c r="Q235" s="85" t="n"/>
      <c r="R235" s="85" t="n"/>
      <c r="S235" s="85" t="n"/>
      <c r="T235" s="85" t="n"/>
      <c r="U235" s="85" t="n"/>
      <c r="V235" s="85" t="n"/>
      <c r="W235" s="85" t="n"/>
      <c r="X235" s="85" t="n"/>
      <c r="Y235" s="85" t="n"/>
      <c r="Z235" s="85" t="n"/>
      <c r="AA235" s="85" t="n"/>
      <c r="AB235" s="85" t="n"/>
      <c r="AC235" s="86" t="n"/>
      <c r="AD235" s="85">
        <f>IF($A235="","",IF(OR($AB235&lt;&gt;"Yes",$AC235="",TODAY()-$AC235&gt;90),"At Risk","Not At Risk"))</f>
        <v/>
      </c>
      <c r="AE235" s="85" t="n"/>
    </row>
    <row r="236" ht="15" customHeight="1" s="39">
      <c r="A236" s="85" t="n"/>
      <c r="B236" s="85" t="n"/>
      <c r="C236" s="85" t="n"/>
      <c r="D236" s="85" t="n"/>
      <c r="E236" s="85" t="n"/>
      <c r="F236" s="85" t="n"/>
      <c r="G236" s="85" t="n"/>
      <c r="H236" s="85" t="n"/>
      <c r="I236" s="85" t="n"/>
      <c r="J236" s="85" t="n"/>
      <c r="K236" s="85" t="n"/>
      <c r="L236" s="85" t="n"/>
      <c r="M236" s="85" t="n"/>
      <c r="N236" s="85" t="n"/>
      <c r="O236" s="85" t="n"/>
      <c r="P236" s="85" t="n"/>
      <c r="Q236" s="85" t="n"/>
      <c r="R236" s="85" t="n"/>
      <c r="S236" s="85" t="n"/>
      <c r="T236" s="85" t="n"/>
      <c r="U236" s="85" t="n"/>
      <c r="V236" s="85" t="n"/>
      <c r="W236" s="85" t="n"/>
      <c r="X236" s="85" t="n"/>
      <c r="Y236" s="85" t="n"/>
      <c r="Z236" s="85" t="n"/>
      <c r="AA236" s="85" t="n"/>
      <c r="AB236" s="85" t="n"/>
      <c r="AC236" s="86" t="n"/>
      <c r="AD236" s="85">
        <f>IF($A236="","",IF(OR($AB236&lt;&gt;"Yes",$AC236="",TODAY()-$AC236&gt;90),"At Risk","Not At Risk"))</f>
        <v/>
      </c>
      <c r="AE236" s="85" t="n"/>
    </row>
    <row r="237" ht="15" customHeight="1" s="39">
      <c r="A237" s="85" t="n"/>
      <c r="B237" s="85" t="n"/>
      <c r="C237" s="85" t="n"/>
      <c r="D237" s="85" t="n"/>
      <c r="E237" s="85" t="n"/>
      <c r="F237" s="85" t="n"/>
      <c r="G237" s="85" t="n"/>
      <c r="H237" s="85" t="n"/>
      <c r="I237" s="85" t="n"/>
      <c r="J237" s="85" t="n"/>
      <c r="K237" s="85" t="n"/>
      <c r="L237" s="85" t="n"/>
      <c r="M237" s="85" t="n"/>
      <c r="N237" s="85" t="n"/>
      <c r="O237" s="85" t="n"/>
      <c r="P237" s="85" t="n"/>
      <c r="Q237" s="85" t="n"/>
      <c r="R237" s="85" t="n"/>
      <c r="S237" s="85" t="n"/>
      <c r="T237" s="85" t="n"/>
      <c r="U237" s="85" t="n"/>
      <c r="V237" s="85" t="n"/>
      <c r="W237" s="85" t="n"/>
      <c r="X237" s="85" t="n"/>
      <c r="Y237" s="85" t="n"/>
      <c r="Z237" s="85" t="n"/>
      <c r="AA237" s="85" t="n"/>
      <c r="AB237" s="85" t="n"/>
      <c r="AC237" s="86" t="n"/>
      <c r="AD237" s="85">
        <f>IF($A237="","",IF(OR($AB237&lt;&gt;"Yes",$AC237="",TODAY()-$AC237&gt;90),"At Risk","Not At Risk"))</f>
        <v/>
      </c>
      <c r="AE237" s="85" t="n"/>
    </row>
    <row r="238" ht="15" customHeight="1" s="39">
      <c r="A238" s="85" t="n"/>
      <c r="B238" s="85" t="n"/>
      <c r="C238" s="85" t="n"/>
      <c r="D238" s="85" t="n"/>
      <c r="E238" s="85" t="n"/>
      <c r="F238" s="85" t="n"/>
      <c r="G238" s="85" t="n"/>
      <c r="H238" s="85" t="n"/>
      <c r="I238" s="85" t="n"/>
      <c r="J238" s="85" t="n"/>
      <c r="K238" s="85" t="n"/>
      <c r="L238" s="85" t="n"/>
      <c r="M238" s="85" t="n"/>
      <c r="N238" s="85" t="n"/>
      <c r="O238" s="85" t="n"/>
      <c r="P238" s="85" t="n"/>
      <c r="Q238" s="85" t="n"/>
      <c r="R238" s="85" t="n"/>
      <c r="S238" s="85" t="n"/>
      <c r="T238" s="85" t="n"/>
      <c r="U238" s="85" t="n"/>
      <c r="V238" s="85" t="n"/>
      <c r="W238" s="85" t="n"/>
      <c r="X238" s="85" t="n"/>
      <c r="Y238" s="85" t="n"/>
      <c r="Z238" s="85" t="n"/>
      <c r="AA238" s="85" t="n"/>
      <c r="AB238" s="85" t="n"/>
      <c r="AC238" s="86" t="n"/>
      <c r="AD238" s="85">
        <f>IF($A238="","",IF(OR($AB238&lt;&gt;"Yes",$AC238="",TODAY()-$AC238&gt;90),"At Risk","Not At Risk"))</f>
        <v/>
      </c>
      <c r="AE238" s="85" t="n"/>
    </row>
    <row r="239" ht="15" customHeight="1" s="39">
      <c r="A239" s="85" t="n"/>
      <c r="B239" s="85" t="n"/>
      <c r="C239" s="85" t="n"/>
      <c r="D239" s="85" t="n"/>
      <c r="E239" s="85" t="n"/>
      <c r="F239" s="85" t="n"/>
      <c r="G239" s="85" t="n"/>
      <c r="H239" s="85" t="n"/>
      <c r="I239" s="85" t="n"/>
      <c r="J239" s="85" t="n"/>
      <c r="K239" s="85" t="n"/>
      <c r="L239" s="85" t="n"/>
      <c r="M239" s="85" t="n"/>
      <c r="N239" s="85" t="n"/>
      <c r="O239" s="85" t="n"/>
      <c r="P239" s="85" t="n"/>
      <c r="Q239" s="85" t="n"/>
      <c r="R239" s="85" t="n"/>
      <c r="S239" s="85" t="n"/>
      <c r="T239" s="85" t="n"/>
      <c r="U239" s="85" t="n"/>
      <c r="V239" s="85" t="n"/>
      <c r="W239" s="85" t="n"/>
      <c r="X239" s="85" t="n"/>
      <c r="Y239" s="85" t="n"/>
      <c r="Z239" s="85" t="n"/>
      <c r="AA239" s="85" t="n"/>
      <c r="AB239" s="85" t="n"/>
      <c r="AC239" s="86" t="n"/>
      <c r="AD239" s="85">
        <f>IF($A239="","",IF(OR($AB239&lt;&gt;"Yes",$AC239="",TODAY()-$AC239&gt;90),"At Risk","Not At Risk"))</f>
        <v/>
      </c>
      <c r="AE239" s="85" t="n"/>
    </row>
    <row r="240" ht="15" customHeight="1" s="39">
      <c r="A240" s="85" t="n"/>
      <c r="B240" s="85" t="n"/>
      <c r="C240" s="85" t="n"/>
      <c r="D240" s="85" t="n"/>
      <c r="E240" s="85" t="n"/>
      <c r="F240" s="85" t="n"/>
      <c r="G240" s="85" t="n"/>
      <c r="H240" s="85" t="n"/>
      <c r="I240" s="85" t="n"/>
      <c r="J240" s="85" t="n"/>
      <c r="K240" s="85" t="n"/>
      <c r="L240" s="85" t="n"/>
      <c r="M240" s="85" t="n"/>
      <c r="N240" s="85" t="n"/>
      <c r="O240" s="85" t="n"/>
      <c r="P240" s="85" t="n"/>
      <c r="Q240" s="85" t="n"/>
      <c r="R240" s="85" t="n"/>
      <c r="S240" s="85" t="n"/>
      <c r="T240" s="85" t="n"/>
      <c r="U240" s="85" t="n"/>
      <c r="V240" s="85" t="n"/>
      <c r="W240" s="85" t="n"/>
      <c r="X240" s="85" t="n"/>
      <c r="Y240" s="85" t="n"/>
      <c r="Z240" s="85" t="n"/>
      <c r="AA240" s="85" t="n"/>
      <c r="AB240" s="85" t="n"/>
      <c r="AC240" s="86" t="n"/>
      <c r="AD240" s="85">
        <f>IF($A240="","",IF(OR($AB240&lt;&gt;"Yes",$AC240="",TODAY()-$AC240&gt;90),"At Risk","Not At Risk"))</f>
        <v/>
      </c>
      <c r="AE240" s="85" t="n"/>
    </row>
    <row r="241" ht="15" customHeight="1" s="39">
      <c r="A241" s="85" t="n"/>
      <c r="B241" s="85" t="n"/>
      <c r="C241" s="85" t="n"/>
      <c r="D241" s="85" t="n"/>
      <c r="E241" s="85" t="n"/>
      <c r="F241" s="85" t="n"/>
      <c r="G241" s="85" t="n"/>
      <c r="H241" s="85" t="n"/>
      <c r="I241" s="85" t="n"/>
      <c r="J241" s="85" t="n"/>
      <c r="K241" s="85" t="n"/>
      <c r="L241" s="85" t="n"/>
      <c r="M241" s="85" t="n"/>
      <c r="N241" s="85" t="n"/>
      <c r="O241" s="85" t="n"/>
      <c r="P241" s="85" t="n"/>
      <c r="Q241" s="85" t="n"/>
      <c r="R241" s="85" t="n"/>
      <c r="S241" s="85" t="n"/>
      <c r="T241" s="85" t="n"/>
      <c r="U241" s="85" t="n"/>
      <c r="V241" s="85" t="n"/>
      <c r="W241" s="85" t="n"/>
      <c r="X241" s="85" t="n"/>
      <c r="Y241" s="85" t="n"/>
      <c r="Z241" s="85" t="n"/>
      <c r="AA241" s="85" t="n"/>
      <c r="AB241" s="85" t="n"/>
      <c r="AC241" s="86" t="n"/>
      <c r="AD241" s="85">
        <f>IF($A241="","",IF(OR($AB241&lt;&gt;"Yes",$AC241="",TODAY()-$AC241&gt;90),"At Risk","Not At Risk"))</f>
        <v/>
      </c>
      <c r="AE241" s="85" t="n"/>
    </row>
    <row r="242" ht="15" customHeight="1" s="39">
      <c r="A242" s="85" t="n"/>
      <c r="B242" s="85" t="n"/>
      <c r="C242" s="85" t="n"/>
      <c r="D242" s="85" t="n"/>
      <c r="E242" s="85" t="n"/>
      <c r="F242" s="85" t="n"/>
      <c r="G242" s="85" t="n"/>
      <c r="H242" s="85" t="n"/>
      <c r="I242" s="85" t="n"/>
      <c r="J242" s="85" t="n"/>
      <c r="K242" s="85" t="n"/>
      <c r="L242" s="85" t="n"/>
      <c r="M242" s="85" t="n"/>
      <c r="N242" s="85" t="n"/>
      <c r="O242" s="85" t="n"/>
      <c r="P242" s="85" t="n"/>
      <c r="Q242" s="85" t="n"/>
      <c r="R242" s="85" t="n"/>
      <c r="S242" s="85" t="n"/>
      <c r="T242" s="85" t="n"/>
      <c r="U242" s="85" t="n"/>
      <c r="V242" s="85" t="n"/>
      <c r="W242" s="85" t="n"/>
      <c r="X242" s="85" t="n"/>
      <c r="Y242" s="85" t="n"/>
      <c r="Z242" s="85" t="n"/>
      <c r="AA242" s="85" t="n"/>
      <c r="AB242" s="85" t="n"/>
      <c r="AC242" s="86" t="n"/>
      <c r="AD242" s="85">
        <f>IF($A242="","",IF(OR($AB242&lt;&gt;"Yes",$AC242="",TODAY()-$AC242&gt;90),"At Risk","Not At Risk"))</f>
        <v/>
      </c>
      <c r="AE242" s="85" t="n"/>
    </row>
    <row r="243" ht="15" customHeight="1" s="39">
      <c r="A243" s="85" t="n"/>
      <c r="B243" s="85" t="n"/>
      <c r="C243" s="85" t="n"/>
      <c r="D243" s="85" t="n"/>
      <c r="E243" s="85" t="n"/>
      <c r="F243" s="85" t="n"/>
      <c r="G243" s="85" t="n"/>
      <c r="H243" s="85" t="n"/>
      <c r="I243" s="85" t="n"/>
      <c r="J243" s="85" t="n"/>
      <c r="K243" s="85" t="n"/>
      <c r="L243" s="85" t="n"/>
      <c r="M243" s="85" t="n"/>
      <c r="N243" s="85" t="n"/>
      <c r="O243" s="85" t="n"/>
      <c r="P243" s="85" t="n"/>
      <c r="Q243" s="85" t="n"/>
      <c r="R243" s="85" t="n"/>
      <c r="S243" s="85" t="n"/>
      <c r="T243" s="85" t="n"/>
      <c r="U243" s="85" t="n"/>
      <c r="V243" s="85" t="n"/>
      <c r="W243" s="85" t="n"/>
      <c r="X243" s="85" t="n"/>
      <c r="Y243" s="85" t="n"/>
      <c r="Z243" s="85" t="n"/>
      <c r="AA243" s="85" t="n"/>
      <c r="AB243" s="85" t="n"/>
      <c r="AC243" s="86" t="n"/>
      <c r="AD243" s="85">
        <f>IF($A243="","",IF(OR($AB243&lt;&gt;"Yes",$AC243="",TODAY()-$AC243&gt;90),"At Risk","Not At Risk"))</f>
        <v/>
      </c>
      <c r="AE243" s="85" t="n"/>
    </row>
    <row r="244" ht="15" customHeight="1" s="39">
      <c r="A244" s="85" t="n"/>
      <c r="B244" s="85" t="n"/>
      <c r="C244" s="85" t="n"/>
      <c r="D244" s="85" t="n"/>
      <c r="E244" s="85" t="n"/>
      <c r="F244" s="85" t="n"/>
      <c r="G244" s="85" t="n"/>
      <c r="H244" s="85" t="n"/>
      <c r="I244" s="85" t="n"/>
      <c r="J244" s="85" t="n"/>
      <c r="K244" s="85" t="n"/>
      <c r="L244" s="85" t="n"/>
      <c r="M244" s="85" t="n"/>
      <c r="N244" s="85" t="n"/>
      <c r="O244" s="85" t="n"/>
      <c r="P244" s="85" t="n"/>
      <c r="Q244" s="85" t="n"/>
      <c r="R244" s="85" t="n"/>
      <c r="S244" s="85" t="n"/>
      <c r="T244" s="85" t="n"/>
      <c r="U244" s="85" t="n"/>
      <c r="V244" s="85" t="n"/>
      <c r="W244" s="85" t="n"/>
      <c r="X244" s="85" t="n"/>
      <c r="Y244" s="85" t="n"/>
      <c r="Z244" s="85" t="n"/>
      <c r="AA244" s="85" t="n"/>
      <c r="AB244" s="85" t="n"/>
      <c r="AC244" s="86" t="n"/>
      <c r="AD244" s="85">
        <f>IF($A244="","",IF(OR($AB244&lt;&gt;"Yes",$AC244="",TODAY()-$AC244&gt;90),"At Risk","Not At Risk"))</f>
        <v/>
      </c>
      <c r="AE244" s="85" t="n"/>
    </row>
    <row r="245" ht="15" customHeight="1" s="39">
      <c r="A245" s="85" t="n"/>
      <c r="B245" s="85" t="n"/>
      <c r="C245" s="85" t="n"/>
      <c r="D245" s="85" t="n"/>
      <c r="E245" s="85" t="n"/>
      <c r="F245" s="85" t="n"/>
      <c r="G245" s="85" t="n"/>
      <c r="H245" s="85" t="n"/>
      <c r="I245" s="85" t="n"/>
      <c r="J245" s="85" t="n"/>
      <c r="K245" s="85" t="n"/>
      <c r="L245" s="85" t="n"/>
      <c r="M245" s="85" t="n"/>
      <c r="N245" s="85" t="n"/>
      <c r="O245" s="85" t="n"/>
      <c r="P245" s="85" t="n"/>
      <c r="Q245" s="85" t="n"/>
      <c r="R245" s="85" t="n"/>
      <c r="S245" s="85" t="n"/>
      <c r="T245" s="85" t="n"/>
      <c r="U245" s="85" t="n"/>
      <c r="V245" s="85" t="n"/>
      <c r="W245" s="85" t="n"/>
      <c r="X245" s="85" t="n"/>
      <c r="Y245" s="85" t="n"/>
      <c r="Z245" s="85" t="n"/>
      <c r="AA245" s="85" t="n"/>
      <c r="AB245" s="85" t="n"/>
      <c r="AC245" s="86" t="n"/>
      <c r="AD245" s="85">
        <f>IF($A245="","",IF(OR($AB245&lt;&gt;"Yes",$AC245="",TODAY()-$AC245&gt;90),"At Risk","Not At Risk"))</f>
        <v/>
      </c>
      <c r="AE245" s="85" t="n"/>
    </row>
    <row r="246" ht="15" customHeight="1" s="39">
      <c r="A246" s="85" t="n"/>
      <c r="B246" s="85" t="n"/>
      <c r="C246" s="85" t="n"/>
      <c r="D246" s="85" t="n"/>
      <c r="E246" s="85" t="n"/>
      <c r="F246" s="85" t="n"/>
      <c r="G246" s="85" t="n"/>
      <c r="H246" s="85" t="n"/>
      <c r="I246" s="85" t="n"/>
      <c r="J246" s="85" t="n"/>
      <c r="K246" s="85" t="n"/>
      <c r="L246" s="85" t="n"/>
      <c r="M246" s="85" t="n"/>
      <c r="N246" s="85" t="n"/>
      <c r="O246" s="85" t="n"/>
      <c r="P246" s="85" t="n"/>
      <c r="Q246" s="85" t="n"/>
      <c r="R246" s="85" t="n"/>
      <c r="S246" s="85" t="n"/>
      <c r="T246" s="85" t="n"/>
      <c r="U246" s="85" t="n"/>
      <c r="V246" s="85" t="n"/>
      <c r="W246" s="85" t="n"/>
      <c r="X246" s="85" t="n"/>
      <c r="Y246" s="85" t="n"/>
      <c r="Z246" s="85" t="n"/>
      <c r="AA246" s="85" t="n"/>
      <c r="AB246" s="85" t="n"/>
      <c r="AC246" s="86" t="n"/>
      <c r="AD246" s="85">
        <f>IF($A246="","",IF(OR($AB246&lt;&gt;"Yes",$AC246="",TODAY()-$AC246&gt;90),"At Risk","Not At Risk"))</f>
        <v/>
      </c>
      <c r="AE246" s="85" t="n"/>
    </row>
    <row r="247" ht="15" customHeight="1" s="39">
      <c r="A247" s="85" t="n"/>
      <c r="B247" s="85" t="n"/>
      <c r="C247" s="85" t="n"/>
      <c r="D247" s="85" t="n"/>
      <c r="E247" s="85" t="n"/>
      <c r="F247" s="85" t="n"/>
      <c r="G247" s="85" t="n"/>
      <c r="H247" s="85" t="n"/>
      <c r="I247" s="85" t="n"/>
      <c r="J247" s="85" t="n"/>
      <c r="K247" s="85" t="n"/>
      <c r="L247" s="85" t="n"/>
      <c r="M247" s="85" t="n"/>
      <c r="N247" s="85" t="n"/>
      <c r="O247" s="85" t="n"/>
      <c r="P247" s="85" t="n"/>
      <c r="Q247" s="85" t="n"/>
      <c r="R247" s="85" t="n"/>
      <c r="S247" s="85" t="n"/>
      <c r="T247" s="85" t="n"/>
      <c r="U247" s="85" t="n"/>
      <c r="V247" s="85" t="n"/>
      <c r="W247" s="85" t="n"/>
      <c r="X247" s="85" t="n"/>
      <c r="Y247" s="85" t="n"/>
      <c r="Z247" s="85" t="n"/>
      <c r="AA247" s="85" t="n"/>
      <c r="AB247" s="85" t="n"/>
      <c r="AC247" s="86" t="n"/>
      <c r="AD247" s="85">
        <f>IF($A247="","",IF(OR($AB247&lt;&gt;"Yes",$AC247="",TODAY()-$AC247&gt;90),"At Risk","Not At Risk"))</f>
        <v/>
      </c>
      <c r="AE247" s="85" t="n"/>
    </row>
    <row r="248" ht="15" customHeight="1" s="39">
      <c r="A248" s="85" t="n"/>
      <c r="B248" s="85" t="n"/>
      <c r="C248" s="85" t="n"/>
      <c r="D248" s="85" t="n"/>
      <c r="E248" s="85" t="n"/>
      <c r="F248" s="85" t="n"/>
      <c r="G248" s="85" t="n"/>
      <c r="H248" s="85" t="n"/>
      <c r="I248" s="85" t="n"/>
      <c r="J248" s="85" t="n"/>
      <c r="K248" s="85" t="n"/>
      <c r="L248" s="85" t="n"/>
      <c r="M248" s="85" t="n"/>
      <c r="N248" s="85" t="n"/>
      <c r="O248" s="85" t="n"/>
      <c r="P248" s="85" t="n"/>
      <c r="Q248" s="85" t="n"/>
      <c r="R248" s="85" t="n"/>
      <c r="S248" s="85" t="n"/>
      <c r="T248" s="85" t="n"/>
      <c r="U248" s="85" t="n"/>
      <c r="V248" s="85" t="n"/>
      <c r="W248" s="85" t="n"/>
      <c r="X248" s="85" t="n"/>
      <c r="Y248" s="85" t="n"/>
      <c r="Z248" s="85" t="n"/>
      <c r="AA248" s="85" t="n"/>
      <c r="AB248" s="85" t="n"/>
      <c r="AC248" s="86" t="n"/>
      <c r="AD248" s="85">
        <f>IF($A248="","",IF(OR($AB248&lt;&gt;"Yes",$AC248="",TODAY()-$AC248&gt;90),"At Risk","Not At Risk"))</f>
        <v/>
      </c>
      <c r="AE248" s="85" t="n"/>
    </row>
    <row r="249" ht="15" customHeight="1" s="39">
      <c r="A249" s="85" t="n"/>
      <c r="B249" s="85" t="n"/>
      <c r="C249" s="85" t="n"/>
      <c r="D249" s="85" t="n"/>
      <c r="E249" s="85" t="n"/>
      <c r="F249" s="85" t="n"/>
      <c r="G249" s="85" t="n"/>
      <c r="H249" s="85" t="n"/>
      <c r="I249" s="85" t="n"/>
      <c r="J249" s="85" t="n"/>
      <c r="K249" s="85" t="n"/>
      <c r="L249" s="85" t="n"/>
      <c r="M249" s="85" t="n"/>
      <c r="N249" s="85" t="n"/>
      <c r="O249" s="85" t="n"/>
      <c r="P249" s="85" t="n"/>
      <c r="Q249" s="85" t="n"/>
      <c r="R249" s="85" t="n"/>
      <c r="S249" s="85" t="n"/>
      <c r="T249" s="85" t="n"/>
      <c r="U249" s="85" t="n"/>
      <c r="V249" s="85" t="n"/>
      <c r="W249" s="85" t="n"/>
      <c r="X249" s="85" t="n"/>
      <c r="Y249" s="85" t="n"/>
      <c r="Z249" s="85" t="n"/>
      <c r="AA249" s="85" t="n"/>
      <c r="AB249" s="85" t="n"/>
      <c r="AC249" s="86" t="n"/>
      <c r="AD249" s="85">
        <f>IF($A249="","",IF(OR($AB249&lt;&gt;"Yes",$AC249="",TODAY()-$AC249&gt;90),"At Risk","Not At Risk"))</f>
        <v/>
      </c>
      <c r="AE249" s="85" t="n"/>
    </row>
    <row r="250" ht="15" customHeight="1" s="39">
      <c r="A250" s="85" t="n"/>
      <c r="B250" s="85" t="n"/>
      <c r="C250" s="85" t="n"/>
      <c r="D250" s="85" t="n"/>
      <c r="E250" s="85" t="n"/>
      <c r="F250" s="85" t="n"/>
      <c r="G250" s="85" t="n"/>
      <c r="H250" s="85" t="n"/>
      <c r="I250" s="85" t="n"/>
      <c r="J250" s="85" t="n"/>
      <c r="K250" s="85" t="n"/>
      <c r="L250" s="85" t="n"/>
      <c r="M250" s="85" t="n"/>
      <c r="N250" s="85" t="n"/>
      <c r="O250" s="85" t="n"/>
      <c r="P250" s="85" t="n"/>
      <c r="Q250" s="85" t="n"/>
      <c r="R250" s="85" t="n"/>
      <c r="S250" s="85" t="n"/>
      <c r="T250" s="85" t="n"/>
      <c r="U250" s="85" t="n"/>
      <c r="V250" s="85" t="n"/>
      <c r="W250" s="85" t="n"/>
      <c r="X250" s="85" t="n"/>
      <c r="Y250" s="85" t="n"/>
      <c r="Z250" s="85" t="n"/>
      <c r="AA250" s="85" t="n"/>
      <c r="AB250" s="85" t="n"/>
      <c r="AC250" s="86" t="n"/>
      <c r="AD250" s="85">
        <f>IF($A250="","",IF(OR($AB250&lt;&gt;"Yes",$AC250="",TODAY()-$AC250&gt;90),"At Risk","Not At Risk"))</f>
        <v/>
      </c>
      <c r="AE250" s="85" t="n"/>
    </row>
    <row r="251" ht="15" customHeight="1" s="39">
      <c r="A251" s="85" t="n"/>
      <c r="B251" s="85" t="n"/>
      <c r="C251" s="85" t="n"/>
      <c r="D251" s="85" t="n"/>
      <c r="E251" s="85" t="n"/>
      <c r="F251" s="85" t="n"/>
      <c r="G251" s="85" t="n"/>
      <c r="H251" s="85" t="n"/>
      <c r="I251" s="85" t="n"/>
      <c r="J251" s="85" t="n"/>
      <c r="K251" s="85" t="n"/>
      <c r="L251" s="85" t="n"/>
      <c r="M251" s="85" t="n"/>
      <c r="N251" s="85" t="n"/>
      <c r="O251" s="85" t="n"/>
      <c r="P251" s="85" t="n"/>
      <c r="Q251" s="85" t="n"/>
      <c r="R251" s="85" t="n"/>
      <c r="S251" s="85" t="n"/>
      <c r="T251" s="85" t="n"/>
      <c r="U251" s="85" t="n"/>
      <c r="V251" s="85" t="n"/>
      <c r="W251" s="85" t="n"/>
      <c r="X251" s="85" t="n"/>
      <c r="Y251" s="85" t="n"/>
      <c r="Z251" s="85" t="n"/>
      <c r="AA251" s="85" t="n"/>
      <c r="AB251" s="85" t="n"/>
      <c r="AC251" s="86" t="n"/>
      <c r="AD251" s="85">
        <f>IF($A251="","",IF(OR($AB251&lt;&gt;"Yes",$AC251="",TODAY()-$AC251&gt;90),"At Risk","Not At Risk"))</f>
        <v/>
      </c>
      <c r="AE251" s="85" t="n"/>
    </row>
    <row r="252" ht="15" customHeight="1" s="39">
      <c r="A252" s="85" t="n"/>
      <c r="B252" s="85" t="n"/>
      <c r="C252" s="85" t="n"/>
      <c r="D252" s="85" t="n"/>
      <c r="E252" s="85" t="n"/>
      <c r="F252" s="85" t="n"/>
      <c r="G252" s="85" t="n"/>
      <c r="H252" s="85" t="n"/>
      <c r="I252" s="85" t="n"/>
      <c r="J252" s="85" t="n"/>
      <c r="K252" s="85" t="n"/>
      <c r="L252" s="85" t="n"/>
      <c r="M252" s="85" t="n"/>
      <c r="N252" s="85" t="n"/>
      <c r="O252" s="85" t="n"/>
      <c r="P252" s="85" t="n"/>
      <c r="Q252" s="85" t="n"/>
      <c r="R252" s="85" t="n"/>
      <c r="S252" s="85" t="n"/>
      <c r="T252" s="85" t="n"/>
      <c r="U252" s="85" t="n"/>
      <c r="V252" s="85" t="n"/>
      <c r="W252" s="85" t="n"/>
      <c r="X252" s="85" t="n"/>
      <c r="Y252" s="85" t="n"/>
      <c r="Z252" s="85" t="n"/>
      <c r="AA252" s="85" t="n"/>
      <c r="AB252" s="85" t="n"/>
      <c r="AC252" s="86" t="n"/>
      <c r="AD252" s="85">
        <f>IF($A252="","",IF(OR($AB252&lt;&gt;"Yes",$AC252="",TODAY()-$AC252&gt;90),"At Risk","Not At Risk"))</f>
        <v/>
      </c>
      <c r="AE252" s="85" t="n"/>
    </row>
    <row r="253" ht="15" customHeight="1" s="39">
      <c r="A253" s="85" t="n"/>
      <c r="B253" s="85" t="n"/>
      <c r="C253" s="85" t="n"/>
      <c r="D253" s="85" t="n"/>
      <c r="E253" s="85" t="n"/>
      <c r="F253" s="85" t="n"/>
      <c r="G253" s="85" t="n"/>
      <c r="H253" s="85" t="n"/>
      <c r="I253" s="85" t="n"/>
      <c r="J253" s="85" t="n"/>
      <c r="K253" s="85" t="n"/>
      <c r="L253" s="85" t="n"/>
      <c r="M253" s="85" t="n"/>
      <c r="N253" s="85" t="n"/>
      <c r="O253" s="85" t="n"/>
      <c r="P253" s="85" t="n"/>
      <c r="Q253" s="85" t="n"/>
      <c r="R253" s="85" t="n"/>
      <c r="S253" s="85" t="n"/>
      <c r="T253" s="85" t="n"/>
      <c r="U253" s="85" t="n"/>
      <c r="V253" s="85" t="n"/>
      <c r="W253" s="85" t="n"/>
      <c r="X253" s="85" t="n"/>
      <c r="Y253" s="85" t="n"/>
      <c r="Z253" s="85" t="n"/>
      <c r="AA253" s="85" t="n"/>
      <c r="AB253" s="85" t="n"/>
      <c r="AC253" s="86" t="n"/>
      <c r="AD253" s="85">
        <f>IF($A253="","",IF(OR($AB253&lt;&gt;"Yes",$AC253="",TODAY()-$AC253&gt;90),"At Risk","Not At Risk"))</f>
        <v/>
      </c>
      <c r="AE253" s="85" t="n"/>
    </row>
    <row r="254" ht="15" customHeight="1" s="39">
      <c r="A254" s="85" t="n"/>
      <c r="B254" s="85" t="n"/>
      <c r="C254" s="85" t="n"/>
      <c r="D254" s="85" t="n"/>
      <c r="E254" s="85" t="n"/>
      <c r="F254" s="85" t="n"/>
      <c r="G254" s="85" t="n"/>
      <c r="H254" s="85" t="n"/>
      <c r="I254" s="85" t="n"/>
      <c r="J254" s="85" t="n"/>
      <c r="K254" s="85" t="n"/>
      <c r="L254" s="85" t="n"/>
      <c r="M254" s="85" t="n"/>
      <c r="N254" s="85" t="n"/>
      <c r="O254" s="85" t="n"/>
      <c r="P254" s="85" t="n"/>
      <c r="Q254" s="85" t="n"/>
      <c r="R254" s="85" t="n"/>
      <c r="S254" s="85" t="n"/>
      <c r="T254" s="85" t="n"/>
      <c r="U254" s="85" t="n"/>
      <c r="V254" s="85" t="n"/>
      <c r="W254" s="85" t="n"/>
      <c r="X254" s="85" t="n"/>
      <c r="Y254" s="85" t="n"/>
      <c r="Z254" s="85" t="n"/>
      <c r="AA254" s="85" t="n"/>
      <c r="AB254" s="85" t="n"/>
      <c r="AC254" s="86" t="n"/>
      <c r="AD254" s="85">
        <f>IF($A254="","",IF(OR($AB254&lt;&gt;"Yes",$AC254="",TODAY()-$AC254&gt;90),"At Risk","Not At Risk"))</f>
        <v/>
      </c>
      <c r="AE254" s="85" t="n"/>
    </row>
    <row r="255" ht="15" customHeight="1" s="39">
      <c r="A255" s="85" t="n"/>
      <c r="B255" s="85" t="n"/>
      <c r="C255" s="85" t="n"/>
      <c r="D255" s="85" t="n"/>
      <c r="E255" s="85" t="n"/>
      <c r="F255" s="85" t="n"/>
      <c r="G255" s="85" t="n"/>
      <c r="H255" s="85" t="n"/>
      <c r="I255" s="85" t="n"/>
      <c r="J255" s="85" t="n"/>
      <c r="K255" s="85" t="n"/>
      <c r="L255" s="85" t="n"/>
      <c r="M255" s="85" t="n"/>
      <c r="N255" s="85" t="n"/>
      <c r="O255" s="85" t="n"/>
      <c r="P255" s="85" t="n"/>
      <c r="Q255" s="85" t="n"/>
      <c r="R255" s="85" t="n"/>
      <c r="S255" s="85" t="n"/>
      <c r="T255" s="85" t="n"/>
      <c r="U255" s="85" t="n"/>
      <c r="V255" s="85" t="n"/>
      <c r="W255" s="85" t="n"/>
      <c r="X255" s="85" t="n"/>
      <c r="Y255" s="85" t="n"/>
      <c r="Z255" s="85" t="n"/>
      <c r="AA255" s="85" t="n"/>
      <c r="AB255" s="85" t="n"/>
      <c r="AC255" s="86" t="n"/>
      <c r="AD255" s="85">
        <f>IF($A255="","",IF(OR($AB255&lt;&gt;"Yes",$AC255="",TODAY()-$AC255&gt;90),"At Risk","Not At Risk"))</f>
        <v/>
      </c>
      <c r="AE255" s="85" t="n"/>
    </row>
    <row r="256" ht="15" customHeight="1" s="39">
      <c r="A256" s="85" t="n"/>
      <c r="B256" s="85" t="n"/>
      <c r="C256" s="85" t="n"/>
      <c r="D256" s="85" t="n"/>
      <c r="E256" s="85" t="n"/>
      <c r="F256" s="85" t="n"/>
      <c r="G256" s="85" t="n"/>
      <c r="H256" s="85" t="n"/>
      <c r="I256" s="85" t="n"/>
      <c r="J256" s="85" t="n"/>
      <c r="K256" s="85" t="n"/>
      <c r="L256" s="85" t="n"/>
      <c r="M256" s="85" t="n"/>
      <c r="N256" s="85" t="n"/>
      <c r="O256" s="85" t="n"/>
      <c r="P256" s="85" t="n"/>
      <c r="Q256" s="85" t="n"/>
      <c r="R256" s="85" t="n"/>
      <c r="S256" s="85" t="n"/>
      <c r="T256" s="85" t="n"/>
      <c r="U256" s="85" t="n"/>
      <c r="V256" s="85" t="n"/>
      <c r="W256" s="85" t="n"/>
      <c r="X256" s="85" t="n"/>
      <c r="Y256" s="85" t="n"/>
      <c r="Z256" s="85" t="n"/>
      <c r="AA256" s="85" t="n"/>
      <c r="AB256" s="85" t="n"/>
      <c r="AC256" s="86" t="n"/>
      <c r="AD256" s="85">
        <f>IF($A256="","",IF(OR($AB256&lt;&gt;"Yes",$AC256="",TODAY()-$AC256&gt;90),"At Risk","Not At Risk"))</f>
        <v/>
      </c>
      <c r="AE256" s="85" t="n"/>
    </row>
    <row r="257" ht="15" customHeight="1" s="39">
      <c r="A257" s="85" t="n"/>
      <c r="B257" s="85" t="n"/>
      <c r="C257" s="85" t="n"/>
      <c r="D257" s="85" t="n"/>
      <c r="E257" s="85" t="n"/>
      <c r="F257" s="85" t="n"/>
      <c r="G257" s="85" t="n"/>
      <c r="H257" s="85" t="n"/>
      <c r="I257" s="85" t="n"/>
      <c r="J257" s="85" t="n"/>
      <c r="K257" s="85" t="n"/>
      <c r="L257" s="85" t="n"/>
      <c r="M257" s="85" t="n"/>
      <c r="N257" s="85" t="n"/>
      <c r="O257" s="85" t="n"/>
      <c r="P257" s="85" t="n"/>
      <c r="Q257" s="85" t="n"/>
      <c r="R257" s="85" t="n"/>
      <c r="S257" s="85" t="n"/>
      <c r="T257" s="85" t="n"/>
      <c r="U257" s="85" t="n"/>
      <c r="V257" s="85" t="n"/>
      <c r="W257" s="85" t="n"/>
      <c r="X257" s="85" t="n"/>
      <c r="Y257" s="85" t="n"/>
      <c r="Z257" s="85" t="n"/>
      <c r="AA257" s="85" t="n"/>
      <c r="AB257" s="85" t="n"/>
      <c r="AC257" s="86" t="n"/>
      <c r="AD257" s="85">
        <f>IF($A257="","",IF(OR($AB257&lt;&gt;"Yes",$AC257="",TODAY()-$AC257&gt;90),"At Risk","Not At Risk"))</f>
        <v/>
      </c>
      <c r="AE257" s="85" t="n"/>
    </row>
    <row r="258" ht="15" customHeight="1" s="39">
      <c r="A258" s="85" t="n"/>
      <c r="B258" s="85" t="n"/>
      <c r="C258" s="85" t="n"/>
      <c r="D258" s="85" t="n"/>
      <c r="E258" s="85" t="n"/>
      <c r="F258" s="85" t="n"/>
      <c r="G258" s="85" t="n"/>
      <c r="H258" s="85" t="n"/>
      <c r="I258" s="85" t="n"/>
      <c r="J258" s="85" t="n"/>
      <c r="K258" s="85" t="n"/>
      <c r="L258" s="85" t="n"/>
      <c r="M258" s="85" t="n"/>
      <c r="N258" s="85" t="n"/>
      <c r="O258" s="85" t="n"/>
      <c r="P258" s="85" t="n"/>
      <c r="Q258" s="85" t="n"/>
      <c r="R258" s="85" t="n"/>
      <c r="S258" s="85" t="n"/>
      <c r="T258" s="85" t="n"/>
      <c r="U258" s="85" t="n"/>
      <c r="V258" s="85" t="n"/>
      <c r="W258" s="85" t="n"/>
      <c r="X258" s="85" t="n"/>
      <c r="Y258" s="85" t="n"/>
      <c r="Z258" s="85" t="n"/>
      <c r="AA258" s="85" t="n"/>
      <c r="AB258" s="85" t="n"/>
      <c r="AC258" s="86" t="n"/>
      <c r="AD258" s="85">
        <f>IF($A258="","",IF(OR($AB258&lt;&gt;"Yes",$AC258="",TODAY()-$AC258&gt;90),"At Risk","Not At Risk"))</f>
        <v/>
      </c>
      <c r="AE258" s="85" t="n"/>
    </row>
    <row r="259" ht="15" customHeight="1" s="39">
      <c r="A259" s="85" t="n"/>
      <c r="B259" s="85" t="n"/>
      <c r="C259" s="85" t="n"/>
      <c r="D259" s="85" t="n"/>
      <c r="E259" s="85" t="n"/>
      <c r="F259" s="85" t="n"/>
      <c r="G259" s="85" t="n"/>
      <c r="H259" s="85" t="n"/>
      <c r="I259" s="85" t="n"/>
      <c r="J259" s="85" t="n"/>
      <c r="K259" s="85" t="n"/>
      <c r="L259" s="85" t="n"/>
      <c r="M259" s="85" t="n"/>
      <c r="N259" s="85" t="n"/>
      <c r="O259" s="85" t="n"/>
      <c r="P259" s="85" t="n"/>
      <c r="Q259" s="85" t="n"/>
      <c r="R259" s="85" t="n"/>
      <c r="S259" s="85" t="n"/>
      <c r="T259" s="85" t="n"/>
      <c r="U259" s="85" t="n"/>
      <c r="V259" s="85" t="n"/>
      <c r="W259" s="85" t="n"/>
      <c r="X259" s="85" t="n"/>
      <c r="Y259" s="85" t="n"/>
      <c r="Z259" s="85" t="n"/>
      <c r="AA259" s="85" t="n"/>
      <c r="AB259" s="85" t="n"/>
      <c r="AC259" s="86" t="n"/>
      <c r="AD259" s="85">
        <f>IF($A259="","",IF(OR($AB259&lt;&gt;"Yes",$AC259="",TODAY()-$AC259&gt;90),"At Risk","Not At Risk"))</f>
        <v/>
      </c>
      <c r="AE259" s="85" t="n"/>
    </row>
    <row r="260" ht="15" customHeight="1" s="39">
      <c r="A260" s="85" t="n"/>
      <c r="B260" s="85" t="n"/>
      <c r="C260" s="85" t="n"/>
      <c r="D260" s="85" t="n"/>
      <c r="E260" s="85" t="n"/>
      <c r="F260" s="85" t="n"/>
      <c r="G260" s="85" t="n"/>
      <c r="H260" s="85" t="n"/>
      <c r="I260" s="85" t="n"/>
      <c r="J260" s="85" t="n"/>
      <c r="K260" s="85" t="n"/>
      <c r="L260" s="85" t="n"/>
      <c r="M260" s="85" t="n"/>
      <c r="N260" s="85" t="n"/>
      <c r="O260" s="85" t="n"/>
      <c r="P260" s="85" t="n"/>
      <c r="Q260" s="85" t="n"/>
      <c r="R260" s="85" t="n"/>
      <c r="S260" s="85" t="n"/>
      <c r="T260" s="85" t="n"/>
      <c r="U260" s="85" t="n"/>
      <c r="V260" s="85" t="n"/>
      <c r="W260" s="85" t="n"/>
      <c r="X260" s="85" t="n"/>
      <c r="Y260" s="85" t="n"/>
      <c r="Z260" s="85" t="n"/>
      <c r="AA260" s="85" t="n"/>
      <c r="AB260" s="85" t="n"/>
      <c r="AC260" s="86" t="n"/>
      <c r="AD260" s="85">
        <f>IF($A260="","",IF(OR($AB260&lt;&gt;"Yes",$AC260="",TODAY()-$AC260&gt;90),"At Risk","Not At Risk"))</f>
        <v/>
      </c>
      <c r="AE260" s="85" t="n"/>
    </row>
    <row r="261" ht="15" customHeight="1" s="39">
      <c r="A261" s="85" t="n"/>
      <c r="B261" s="85" t="n"/>
      <c r="C261" s="85" t="n"/>
      <c r="D261" s="85" t="n"/>
      <c r="E261" s="85" t="n"/>
      <c r="F261" s="85" t="n"/>
      <c r="G261" s="85" t="n"/>
      <c r="H261" s="85" t="n"/>
      <c r="I261" s="85" t="n"/>
      <c r="J261" s="85" t="n"/>
      <c r="K261" s="85" t="n"/>
      <c r="L261" s="85" t="n"/>
      <c r="M261" s="85" t="n"/>
      <c r="N261" s="85" t="n"/>
      <c r="O261" s="85" t="n"/>
      <c r="P261" s="85" t="n"/>
      <c r="Q261" s="85" t="n"/>
      <c r="R261" s="85" t="n"/>
      <c r="S261" s="85" t="n"/>
      <c r="T261" s="85" t="n"/>
      <c r="U261" s="85" t="n"/>
      <c r="V261" s="85" t="n"/>
      <c r="W261" s="85" t="n"/>
      <c r="X261" s="85" t="n"/>
      <c r="Y261" s="85" t="n"/>
      <c r="Z261" s="85" t="n"/>
      <c r="AA261" s="85" t="n"/>
      <c r="AB261" s="85" t="n"/>
      <c r="AC261" s="86" t="n"/>
      <c r="AD261" s="85">
        <f>IF($A261="","",IF(OR($AB261&lt;&gt;"Yes",$AC261="",TODAY()-$AC261&gt;90),"At Risk","Not At Risk"))</f>
        <v/>
      </c>
      <c r="AE261" s="85" t="n"/>
    </row>
    <row r="262" ht="15" customHeight="1" s="39">
      <c r="A262" s="85" t="n"/>
      <c r="B262" s="85" t="n"/>
      <c r="C262" s="85" t="n"/>
      <c r="D262" s="85" t="n"/>
      <c r="E262" s="85" t="n"/>
      <c r="F262" s="85" t="n"/>
      <c r="G262" s="85" t="n"/>
      <c r="H262" s="85" t="n"/>
      <c r="I262" s="85" t="n"/>
      <c r="J262" s="85" t="n"/>
      <c r="K262" s="85" t="n"/>
      <c r="L262" s="85" t="n"/>
      <c r="M262" s="85" t="n"/>
      <c r="N262" s="85" t="n"/>
      <c r="O262" s="85" t="n"/>
      <c r="P262" s="85" t="n"/>
      <c r="Q262" s="85" t="n"/>
      <c r="R262" s="85" t="n"/>
      <c r="S262" s="85" t="n"/>
      <c r="T262" s="85" t="n"/>
      <c r="U262" s="85" t="n"/>
      <c r="V262" s="85" t="n"/>
      <c r="W262" s="85" t="n"/>
      <c r="X262" s="85" t="n"/>
      <c r="Y262" s="85" t="n"/>
      <c r="Z262" s="85" t="n"/>
      <c r="AA262" s="85" t="n"/>
      <c r="AB262" s="85" t="n"/>
      <c r="AC262" s="86" t="n"/>
      <c r="AD262" s="85">
        <f>IF($A262="","",IF(OR($AB262&lt;&gt;"Yes",$AC262="",TODAY()-$AC262&gt;90),"At Risk","Not At Risk"))</f>
        <v/>
      </c>
      <c r="AE262" s="85" t="n"/>
    </row>
    <row r="263" ht="15" customHeight="1" s="39">
      <c r="A263" s="85" t="n"/>
      <c r="B263" s="85" t="n"/>
      <c r="C263" s="85" t="n"/>
      <c r="D263" s="85" t="n"/>
      <c r="E263" s="85" t="n"/>
      <c r="F263" s="85" t="n"/>
      <c r="G263" s="85" t="n"/>
      <c r="H263" s="85" t="n"/>
      <c r="I263" s="85" t="n"/>
      <c r="J263" s="85" t="n"/>
      <c r="K263" s="85" t="n"/>
      <c r="L263" s="85" t="n"/>
      <c r="M263" s="85" t="n"/>
      <c r="N263" s="85" t="n"/>
      <c r="O263" s="85" t="n"/>
      <c r="P263" s="85" t="n"/>
      <c r="Q263" s="85" t="n"/>
      <c r="R263" s="85" t="n"/>
      <c r="S263" s="85" t="n"/>
      <c r="T263" s="85" t="n"/>
      <c r="U263" s="85" t="n"/>
      <c r="V263" s="85" t="n"/>
      <c r="W263" s="85" t="n"/>
      <c r="X263" s="85" t="n"/>
      <c r="Y263" s="85" t="n"/>
      <c r="Z263" s="85" t="n"/>
      <c r="AA263" s="85" t="n"/>
      <c r="AB263" s="85" t="n"/>
      <c r="AC263" s="86" t="n"/>
      <c r="AD263" s="85">
        <f>IF($A263="","",IF(OR($AB263&lt;&gt;"Yes",$AC263="",TODAY()-$AC263&gt;90),"At Risk","Not At Risk"))</f>
        <v/>
      </c>
      <c r="AE263" s="85" t="n"/>
    </row>
    <row r="264" ht="15" customHeight="1" s="39">
      <c r="A264" s="85" t="n"/>
      <c r="B264" s="85" t="n"/>
      <c r="C264" s="85" t="n"/>
      <c r="D264" s="85" t="n"/>
      <c r="E264" s="85" t="n"/>
      <c r="F264" s="85" t="n"/>
      <c r="G264" s="85" t="n"/>
      <c r="H264" s="85" t="n"/>
      <c r="I264" s="85" t="n"/>
      <c r="J264" s="85" t="n"/>
      <c r="K264" s="85" t="n"/>
      <c r="L264" s="85" t="n"/>
      <c r="M264" s="85" t="n"/>
      <c r="N264" s="85" t="n"/>
      <c r="O264" s="85" t="n"/>
      <c r="P264" s="85" t="n"/>
      <c r="Q264" s="85" t="n"/>
      <c r="R264" s="85" t="n"/>
      <c r="S264" s="85" t="n"/>
      <c r="T264" s="85" t="n"/>
      <c r="U264" s="85" t="n"/>
      <c r="V264" s="85" t="n"/>
      <c r="W264" s="85" t="n"/>
      <c r="X264" s="85" t="n"/>
      <c r="Y264" s="85" t="n"/>
      <c r="Z264" s="85" t="n"/>
      <c r="AA264" s="85" t="n"/>
      <c r="AB264" s="85" t="n"/>
      <c r="AC264" s="86" t="n"/>
      <c r="AD264" s="85">
        <f>IF($A264="","",IF(OR($AB264&lt;&gt;"Yes",$AC264="",TODAY()-$AC264&gt;90),"At Risk","Not At Risk"))</f>
        <v/>
      </c>
      <c r="AE264" s="85" t="n"/>
    </row>
    <row r="265" ht="15" customHeight="1" s="39">
      <c r="A265" s="85" t="n"/>
      <c r="B265" s="85" t="n"/>
      <c r="C265" s="85" t="n"/>
      <c r="D265" s="85" t="n"/>
      <c r="E265" s="85" t="n"/>
      <c r="F265" s="85" t="n"/>
      <c r="G265" s="85" t="n"/>
      <c r="H265" s="85" t="n"/>
      <c r="I265" s="85" t="n"/>
      <c r="J265" s="85" t="n"/>
      <c r="K265" s="85" t="n"/>
      <c r="L265" s="85" t="n"/>
      <c r="M265" s="85" t="n"/>
      <c r="N265" s="85" t="n"/>
      <c r="O265" s="85" t="n"/>
      <c r="P265" s="85" t="n"/>
      <c r="Q265" s="85" t="n"/>
      <c r="R265" s="85" t="n"/>
      <c r="S265" s="85" t="n"/>
      <c r="T265" s="85" t="n"/>
      <c r="U265" s="85" t="n"/>
      <c r="V265" s="85" t="n"/>
      <c r="W265" s="85" t="n"/>
      <c r="X265" s="85" t="n"/>
      <c r="Y265" s="85" t="n"/>
      <c r="Z265" s="85" t="n"/>
      <c r="AA265" s="85" t="n"/>
      <c r="AB265" s="85" t="n"/>
      <c r="AC265" s="86" t="n"/>
      <c r="AD265" s="85">
        <f>IF($A265="","",IF(OR($AB265&lt;&gt;"Yes",$AC265="",TODAY()-$AC265&gt;90),"At Risk","Not At Risk"))</f>
        <v/>
      </c>
      <c r="AE265" s="85" t="n"/>
    </row>
    <row r="266" ht="15" customHeight="1" s="39">
      <c r="A266" s="85" t="n"/>
      <c r="B266" s="85" t="n"/>
      <c r="C266" s="85" t="n"/>
      <c r="D266" s="85" t="n"/>
      <c r="E266" s="85" t="n"/>
      <c r="F266" s="85" t="n"/>
      <c r="G266" s="85" t="n"/>
      <c r="H266" s="85" t="n"/>
      <c r="I266" s="85" t="n"/>
      <c r="J266" s="85" t="n"/>
      <c r="K266" s="85" t="n"/>
      <c r="L266" s="85" t="n"/>
      <c r="M266" s="85" t="n"/>
      <c r="N266" s="85" t="n"/>
      <c r="O266" s="85" t="n"/>
      <c r="P266" s="85" t="n"/>
      <c r="Q266" s="85" t="n"/>
      <c r="R266" s="85" t="n"/>
      <c r="S266" s="85" t="n"/>
      <c r="T266" s="85" t="n"/>
      <c r="U266" s="85" t="n"/>
      <c r="V266" s="85" t="n"/>
      <c r="W266" s="85" t="n"/>
      <c r="X266" s="85" t="n"/>
      <c r="Y266" s="85" t="n"/>
      <c r="Z266" s="85" t="n"/>
      <c r="AA266" s="85" t="n"/>
      <c r="AB266" s="85" t="n"/>
      <c r="AC266" s="86" t="n"/>
      <c r="AD266" s="85">
        <f>IF($A266="","",IF(OR($AB266&lt;&gt;"Yes",$AC266="",TODAY()-$AC266&gt;90),"At Risk","Not At Risk"))</f>
        <v/>
      </c>
      <c r="AE266" s="85" t="n"/>
    </row>
    <row r="267" ht="15" customHeight="1" s="39">
      <c r="A267" s="85" t="n"/>
      <c r="B267" s="85" t="n"/>
      <c r="C267" s="85" t="n"/>
      <c r="D267" s="85" t="n"/>
      <c r="E267" s="85" t="n"/>
      <c r="F267" s="85" t="n"/>
      <c r="G267" s="85" t="n"/>
      <c r="H267" s="85" t="n"/>
      <c r="I267" s="85" t="n"/>
      <c r="J267" s="85" t="n"/>
      <c r="K267" s="85" t="n"/>
      <c r="L267" s="85" t="n"/>
      <c r="M267" s="85" t="n"/>
      <c r="N267" s="85" t="n"/>
      <c r="O267" s="85" t="n"/>
      <c r="P267" s="85" t="n"/>
      <c r="Q267" s="85" t="n"/>
      <c r="R267" s="85" t="n"/>
      <c r="S267" s="85" t="n"/>
      <c r="T267" s="85" t="n"/>
      <c r="U267" s="85" t="n"/>
      <c r="V267" s="85" t="n"/>
      <c r="W267" s="85" t="n"/>
      <c r="X267" s="85" t="n"/>
      <c r="Y267" s="85" t="n"/>
      <c r="Z267" s="85" t="n"/>
      <c r="AA267" s="85" t="n"/>
      <c r="AB267" s="85" t="n"/>
      <c r="AC267" s="86" t="n"/>
      <c r="AD267" s="85">
        <f>IF($A267="","",IF(OR($AB267&lt;&gt;"Yes",$AC267="",TODAY()-$AC267&gt;90),"At Risk","Not At Risk"))</f>
        <v/>
      </c>
      <c r="AE267" s="85" t="n"/>
    </row>
    <row r="268" ht="15" customHeight="1" s="39">
      <c r="A268" s="85" t="n"/>
      <c r="B268" s="85" t="n"/>
      <c r="C268" s="85" t="n"/>
      <c r="D268" s="85" t="n"/>
      <c r="E268" s="85" t="n"/>
      <c r="F268" s="85" t="n"/>
      <c r="G268" s="85" t="n"/>
      <c r="H268" s="85" t="n"/>
      <c r="I268" s="85" t="n"/>
      <c r="J268" s="85" t="n"/>
      <c r="K268" s="85" t="n"/>
      <c r="L268" s="85" t="n"/>
      <c r="M268" s="85" t="n"/>
      <c r="N268" s="85" t="n"/>
      <c r="O268" s="85" t="n"/>
      <c r="P268" s="85" t="n"/>
      <c r="Q268" s="85" t="n"/>
      <c r="R268" s="85" t="n"/>
      <c r="S268" s="85" t="n"/>
      <c r="T268" s="85" t="n"/>
      <c r="U268" s="85" t="n"/>
      <c r="V268" s="85" t="n"/>
      <c r="W268" s="85" t="n"/>
      <c r="X268" s="85" t="n"/>
      <c r="Y268" s="85" t="n"/>
      <c r="Z268" s="85" t="n"/>
      <c r="AA268" s="85" t="n"/>
      <c r="AB268" s="85" t="n"/>
      <c r="AC268" s="86" t="n"/>
      <c r="AD268" s="85">
        <f>IF($A268="","",IF(OR($AB268&lt;&gt;"Yes",$AC268="",TODAY()-$AC268&gt;90),"At Risk","Not At Risk"))</f>
        <v/>
      </c>
      <c r="AE268" s="85" t="n"/>
    </row>
    <row r="269" ht="15" customHeight="1" s="39">
      <c r="A269" s="85" t="n"/>
      <c r="B269" s="85" t="n"/>
      <c r="C269" s="85" t="n"/>
      <c r="D269" s="85" t="n"/>
      <c r="E269" s="85" t="n"/>
      <c r="F269" s="85" t="n"/>
      <c r="G269" s="85" t="n"/>
      <c r="H269" s="85" t="n"/>
      <c r="I269" s="85" t="n"/>
      <c r="J269" s="85" t="n"/>
      <c r="K269" s="85" t="n"/>
      <c r="L269" s="85" t="n"/>
      <c r="M269" s="85" t="n"/>
      <c r="N269" s="85" t="n"/>
      <c r="O269" s="85" t="n"/>
      <c r="P269" s="85" t="n"/>
      <c r="Q269" s="85" t="n"/>
      <c r="R269" s="85" t="n"/>
      <c r="S269" s="85" t="n"/>
      <c r="T269" s="85" t="n"/>
      <c r="U269" s="85" t="n"/>
      <c r="V269" s="85" t="n"/>
      <c r="W269" s="85" t="n"/>
      <c r="X269" s="85" t="n"/>
      <c r="Y269" s="85" t="n"/>
      <c r="Z269" s="85" t="n"/>
      <c r="AA269" s="85" t="n"/>
      <c r="AB269" s="85" t="n"/>
      <c r="AC269" s="86" t="n"/>
      <c r="AD269" s="85">
        <f>IF($A269="","",IF(OR($AB269&lt;&gt;"Yes",$AC269="",TODAY()-$AC269&gt;90),"At Risk","Not At Risk"))</f>
        <v/>
      </c>
      <c r="AE269" s="85" t="n"/>
    </row>
    <row r="270" ht="15" customHeight="1" s="39">
      <c r="A270" s="85" t="n"/>
      <c r="B270" s="85" t="n"/>
      <c r="C270" s="85" t="n"/>
      <c r="D270" s="85" t="n"/>
      <c r="E270" s="85" t="n"/>
      <c r="F270" s="85" t="n"/>
      <c r="G270" s="85" t="n"/>
      <c r="H270" s="85" t="n"/>
      <c r="I270" s="85" t="n"/>
      <c r="J270" s="85" t="n"/>
      <c r="K270" s="85" t="n"/>
      <c r="L270" s="85" t="n"/>
      <c r="M270" s="85" t="n"/>
      <c r="N270" s="85" t="n"/>
      <c r="O270" s="85" t="n"/>
      <c r="P270" s="85" t="n"/>
      <c r="Q270" s="85" t="n"/>
      <c r="R270" s="85" t="n"/>
      <c r="S270" s="85" t="n"/>
      <c r="T270" s="85" t="n"/>
      <c r="U270" s="85" t="n"/>
      <c r="V270" s="85" t="n"/>
      <c r="W270" s="85" t="n"/>
      <c r="X270" s="85" t="n"/>
      <c r="Y270" s="85" t="n"/>
      <c r="Z270" s="85" t="n"/>
      <c r="AA270" s="85" t="n"/>
      <c r="AB270" s="85" t="n"/>
      <c r="AC270" s="86" t="n"/>
      <c r="AD270" s="85">
        <f>IF($A270="","",IF(OR($AB270&lt;&gt;"Yes",$AC270="",TODAY()-$AC270&gt;90),"At Risk","Not At Risk"))</f>
        <v/>
      </c>
      <c r="AE270" s="85" t="n"/>
    </row>
    <row r="271" ht="15" customHeight="1" s="39">
      <c r="A271" s="85" t="n"/>
      <c r="B271" s="85" t="n"/>
      <c r="C271" s="85" t="n"/>
      <c r="D271" s="85" t="n"/>
      <c r="E271" s="85" t="n"/>
      <c r="F271" s="85" t="n"/>
      <c r="G271" s="85" t="n"/>
      <c r="H271" s="85" t="n"/>
      <c r="I271" s="85" t="n"/>
      <c r="J271" s="85" t="n"/>
      <c r="K271" s="85" t="n"/>
      <c r="L271" s="85" t="n"/>
      <c r="M271" s="85" t="n"/>
      <c r="N271" s="85" t="n"/>
      <c r="O271" s="85" t="n"/>
      <c r="P271" s="85" t="n"/>
      <c r="Q271" s="85" t="n"/>
      <c r="R271" s="85" t="n"/>
      <c r="S271" s="85" t="n"/>
      <c r="T271" s="85" t="n"/>
      <c r="U271" s="85" t="n"/>
      <c r="V271" s="85" t="n"/>
      <c r="W271" s="85" t="n"/>
      <c r="X271" s="85" t="n"/>
      <c r="Y271" s="85" t="n"/>
      <c r="Z271" s="85" t="n"/>
      <c r="AA271" s="85" t="n"/>
      <c r="AB271" s="85" t="n"/>
      <c r="AC271" s="86" t="n"/>
      <c r="AD271" s="85">
        <f>IF($A271="","",IF(OR($AB271&lt;&gt;"Yes",$AC271="",TODAY()-$AC271&gt;90),"At Risk","Not At Risk"))</f>
        <v/>
      </c>
      <c r="AE271" s="85" t="n"/>
    </row>
    <row r="272" ht="15" customHeight="1" s="39">
      <c r="A272" s="85" t="n"/>
      <c r="B272" s="85" t="n"/>
      <c r="C272" s="85" t="n"/>
      <c r="D272" s="85" t="n"/>
      <c r="E272" s="85" t="n"/>
      <c r="F272" s="85" t="n"/>
      <c r="G272" s="85" t="n"/>
      <c r="H272" s="85" t="n"/>
      <c r="I272" s="85" t="n"/>
      <c r="J272" s="85" t="n"/>
      <c r="K272" s="85" t="n"/>
      <c r="L272" s="85" t="n"/>
      <c r="M272" s="85" t="n"/>
      <c r="N272" s="85" t="n"/>
      <c r="O272" s="85" t="n"/>
      <c r="P272" s="85" t="n"/>
      <c r="Q272" s="85" t="n"/>
      <c r="R272" s="85" t="n"/>
      <c r="S272" s="85" t="n"/>
      <c r="T272" s="85" t="n"/>
      <c r="U272" s="85" t="n"/>
      <c r="V272" s="85" t="n"/>
      <c r="W272" s="85" t="n"/>
      <c r="X272" s="85" t="n"/>
      <c r="Y272" s="85" t="n"/>
      <c r="Z272" s="85" t="n"/>
      <c r="AA272" s="85" t="n"/>
      <c r="AB272" s="85" t="n"/>
      <c r="AC272" s="86" t="n"/>
      <c r="AD272" s="85">
        <f>IF($A272="","",IF(OR($AB272&lt;&gt;"Yes",$AC272="",TODAY()-$AC272&gt;90),"At Risk","Not At Risk"))</f>
        <v/>
      </c>
      <c r="AE272" s="85" t="n"/>
    </row>
    <row r="273" ht="15" customHeight="1" s="39">
      <c r="A273" s="85" t="n"/>
      <c r="B273" s="85" t="n"/>
      <c r="C273" s="85" t="n"/>
      <c r="D273" s="85" t="n"/>
      <c r="E273" s="85" t="n"/>
      <c r="F273" s="85" t="n"/>
      <c r="G273" s="85" t="n"/>
      <c r="H273" s="85" t="n"/>
      <c r="I273" s="85" t="n"/>
      <c r="J273" s="85" t="n"/>
      <c r="K273" s="85" t="n"/>
      <c r="L273" s="85" t="n"/>
      <c r="M273" s="85" t="n"/>
      <c r="N273" s="85" t="n"/>
      <c r="O273" s="85" t="n"/>
      <c r="P273" s="85" t="n"/>
      <c r="Q273" s="85" t="n"/>
      <c r="R273" s="85" t="n"/>
      <c r="S273" s="85" t="n"/>
      <c r="T273" s="85" t="n"/>
      <c r="U273" s="85" t="n"/>
      <c r="V273" s="85" t="n"/>
      <c r="W273" s="85" t="n"/>
      <c r="X273" s="85" t="n"/>
      <c r="Y273" s="85" t="n"/>
      <c r="Z273" s="85" t="n"/>
      <c r="AA273" s="85" t="n"/>
      <c r="AB273" s="85" t="n"/>
      <c r="AC273" s="86" t="n"/>
      <c r="AD273" s="85">
        <f>IF($A273="","",IF(OR($AB273&lt;&gt;"Yes",$AC273="",TODAY()-$AC273&gt;90),"At Risk","Not At Risk"))</f>
        <v/>
      </c>
      <c r="AE273" s="85" t="n"/>
    </row>
    <row r="274" ht="15" customHeight="1" s="39">
      <c r="A274" s="85" t="n"/>
      <c r="B274" s="85" t="n"/>
      <c r="C274" s="85" t="n"/>
      <c r="D274" s="85" t="n"/>
      <c r="E274" s="85" t="n"/>
      <c r="F274" s="85" t="n"/>
      <c r="G274" s="85" t="n"/>
      <c r="H274" s="85" t="n"/>
      <c r="I274" s="85" t="n"/>
      <c r="J274" s="85" t="n"/>
      <c r="K274" s="85" t="n"/>
      <c r="L274" s="85" t="n"/>
      <c r="M274" s="85" t="n"/>
      <c r="N274" s="85" t="n"/>
      <c r="O274" s="85" t="n"/>
      <c r="P274" s="85" t="n"/>
      <c r="Q274" s="85" t="n"/>
      <c r="R274" s="85" t="n"/>
      <c r="S274" s="85" t="n"/>
      <c r="T274" s="85" t="n"/>
      <c r="U274" s="85" t="n"/>
      <c r="V274" s="85" t="n"/>
      <c r="W274" s="85" t="n"/>
      <c r="X274" s="85" t="n"/>
      <c r="Y274" s="85" t="n"/>
      <c r="Z274" s="85" t="n"/>
      <c r="AA274" s="85" t="n"/>
      <c r="AB274" s="85" t="n"/>
      <c r="AC274" s="86" t="n"/>
      <c r="AD274" s="85">
        <f>IF($A274="","",IF(OR($AB274&lt;&gt;"Yes",$AC274="",TODAY()-$AC274&gt;90),"At Risk","Not At Risk"))</f>
        <v/>
      </c>
      <c r="AE274" s="85" t="n"/>
    </row>
    <row r="275" ht="15" customHeight="1" s="39">
      <c r="A275" s="85" t="n"/>
      <c r="B275" s="85" t="n"/>
      <c r="C275" s="85" t="n"/>
      <c r="D275" s="85" t="n"/>
      <c r="E275" s="85" t="n"/>
      <c r="F275" s="85" t="n"/>
      <c r="G275" s="85" t="n"/>
      <c r="H275" s="85" t="n"/>
      <c r="I275" s="85" t="n"/>
      <c r="J275" s="85" t="n"/>
      <c r="K275" s="85" t="n"/>
      <c r="L275" s="85" t="n"/>
      <c r="M275" s="85" t="n"/>
      <c r="N275" s="85" t="n"/>
      <c r="O275" s="85" t="n"/>
      <c r="P275" s="85" t="n"/>
      <c r="Q275" s="85" t="n"/>
      <c r="R275" s="85" t="n"/>
      <c r="S275" s="85" t="n"/>
      <c r="T275" s="85" t="n"/>
      <c r="U275" s="85" t="n"/>
      <c r="V275" s="85" t="n"/>
      <c r="W275" s="85" t="n"/>
      <c r="X275" s="85" t="n"/>
      <c r="Y275" s="85" t="n"/>
      <c r="Z275" s="85" t="n"/>
      <c r="AA275" s="85" t="n"/>
      <c r="AB275" s="85" t="n"/>
      <c r="AC275" s="86" t="n"/>
      <c r="AD275" s="85">
        <f>IF($A275="","",IF(OR($AB275&lt;&gt;"Yes",$AC275="",TODAY()-$AC275&gt;90),"At Risk","Not At Risk"))</f>
        <v/>
      </c>
      <c r="AE275" s="85" t="n"/>
    </row>
    <row r="276" ht="15" customHeight="1" s="39">
      <c r="A276" s="85" t="n"/>
      <c r="B276" s="85" t="n"/>
      <c r="C276" s="85" t="n"/>
      <c r="D276" s="85" t="n"/>
      <c r="E276" s="85" t="n"/>
      <c r="F276" s="85" t="n"/>
      <c r="G276" s="85" t="n"/>
      <c r="H276" s="85" t="n"/>
      <c r="I276" s="85" t="n"/>
      <c r="J276" s="85" t="n"/>
      <c r="K276" s="85" t="n"/>
      <c r="L276" s="85" t="n"/>
      <c r="M276" s="85" t="n"/>
      <c r="N276" s="85" t="n"/>
      <c r="O276" s="85" t="n"/>
      <c r="P276" s="85" t="n"/>
      <c r="Q276" s="85" t="n"/>
      <c r="R276" s="85" t="n"/>
      <c r="S276" s="85" t="n"/>
      <c r="T276" s="85" t="n"/>
      <c r="U276" s="85" t="n"/>
      <c r="V276" s="85" t="n"/>
      <c r="W276" s="85" t="n"/>
      <c r="X276" s="85" t="n"/>
      <c r="Y276" s="85" t="n"/>
      <c r="Z276" s="85" t="n"/>
      <c r="AA276" s="85" t="n"/>
      <c r="AB276" s="85" t="n"/>
      <c r="AC276" s="86" t="n"/>
      <c r="AD276" s="85">
        <f>IF($A276="","",IF(OR($AB276&lt;&gt;"Yes",$AC276="",TODAY()-$AC276&gt;90),"At Risk","Not At Risk"))</f>
        <v/>
      </c>
      <c r="AE276" s="85" t="n"/>
    </row>
    <row r="277" ht="15" customHeight="1" s="39">
      <c r="A277" s="85" t="n"/>
      <c r="B277" s="85" t="n"/>
      <c r="C277" s="85" t="n"/>
      <c r="D277" s="85" t="n"/>
      <c r="E277" s="85" t="n"/>
      <c r="F277" s="85" t="n"/>
      <c r="G277" s="85" t="n"/>
      <c r="H277" s="85" t="n"/>
      <c r="I277" s="85" t="n"/>
      <c r="J277" s="85" t="n"/>
      <c r="K277" s="85" t="n"/>
      <c r="L277" s="85" t="n"/>
      <c r="M277" s="85" t="n"/>
      <c r="N277" s="85" t="n"/>
      <c r="O277" s="85" t="n"/>
      <c r="P277" s="85" t="n"/>
      <c r="Q277" s="85" t="n"/>
      <c r="R277" s="85" t="n"/>
      <c r="S277" s="85" t="n"/>
      <c r="T277" s="85" t="n"/>
      <c r="U277" s="85" t="n"/>
      <c r="V277" s="85" t="n"/>
      <c r="W277" s="85" t="n"/>
      <c r="X277" s="85" t="n"/>
      <c r="Y277" s="85" t="n"/>
      <c r="Z277" s="85" t="n"/>
      <c r="AA277" s="85" t="n"/>
      <c r="AB277" s="85" t="n"/>
      <c r="AC277" s="86" t="n"/>
      <c r="AD277" s="85">
        <f>IF($A277="","",IF(OR($AB277&lt;&gt;"Yes",$AC277="",TODAY()-$AC277&gt;90),"At Risk","Not At Risk"))</f>
        <v/>
      </c>
      <c r="AE277" s="85" t="n"/>
    </row>
    <row r="278" ht="15" customHeight="1" s="39">
      <c r="A278" s="85" t="n"/>
      <c r="B278" s="85" t="n"/>
      <c r="C278" s="85" t="n"/>
      <c r="D278" s="85" t="n"/>
      <c r="E278" s="85" t="n"/>
      <c r="F278" s="85" t="n"/>
      <c r="G278" s="85" t="n"/>
      <c r="H278" s="85" t="n"/>
      <c r="I278" s="85" t="n"/>
      <c r="J278" s="85" t="n"/>
      <c r="K278" s="85" t="n"/>
      <c r="L278" s="85" t="n"/>
      <c r="M278" s="85" t="n"/>
      <c r="N278" s="85" t="n"/>
      <c r="O278" s="85" t="n"/>
      <c r="P278" s="85" t="n"/>
      <c r="Q278" s="85" t="n"/>
      <c r="R278" s="85" t="n"/>
      <c r="S278" s="85" t="n"/>
      <c r="T278" s="85" t="n"/>
      <c r="U278" s="85" t="n"/>
      <c r="V278" s="85" t="n"/>
      <c r="W278" s="85" t="n"/>
      <c r="X278" s="85" t="n"/>
      <c r="Y278" s="85" t="n"/>
      <c r="Z278" s="85" t="n"/>
      <c r="AA278" s="85" t="n"/>
      <c r="AB278" s="85" t="n"/>
      <c r="AC278" s="86" t="n"/>
      <c r="AD278" s="85">
        <f>IF($A278="","",IF(OR($AB278&lt;&gt;"Yes",$AC278="",TODAY()-$AC278&gt;90),"At Risk","Not At Risk"))</f>
        <v/>
      </c>
      <c r="AE278" s="85" t="n"/>
    </row>
    <row r="279" ht="15" customHeight="1" s="39">
      <c r="A279" s="85" t="n"/>
      <c r="B279" s="85" t="n"/>
      <c r="C279" s="85" t="n"/>
      <c r="D279" s="85" t="n"/>
      <c r="E279" s="85" t="n"/>
      <c r="F279" s="85" t="n"/>
      <c r="G279" s="85" t="n"/>
      <c r="H279" s="85" t="n"/>
      <c r="I279" s="85" t="n"/>
      <c r="J279" s="85" t="n"/>
      <c r="K279" s="85" t="n"/>
      <c r="L279" s="85" t="n"/>
      <c r="M279" s="85" t="n"/>
      <c r="N279" s="85" t="n"/>
      <c r="O279" s="85" t="n"/>
      <c r="P279" s="85" t="n"/>
      <c r="Q279" s="85" t="n"/>
      <c r="R279" s="85" t="n"/>
      <c r="S279" s="85" t="n"/>
      <c r="T279" s="85" t="n"/>
      <c r="U279" s="85" t="n"/>
      <c r="V279" s="85" t="n"/>
      <c r="W279" s="85" t="n"/>
      <c r="X279" s="85" t="n"/>
      <c r="Y279" s="85" t="n"/>
      <c r="Z279" s="85" t="n"/>
      <c r="AA279" s="85" t="n"/>
      <c r="AB279" s="85" t="n"/>
      <c r="AC279" s="86" t="n"/>
      <c r="AD279" s="85">
        <f>IF($A279="","",IF(OR($AB279&lt;&gt;"Yes",$AC279="",TODAY()-$AC279&gt;90),"At Risk","Not At Risk"))</f>
        <v/>
      </c>
      <c r="AE279" s="85" t="n"/>
    </row>
    <row r="280" ht="15" customHeight="1" s="39">
      <c r="A280" s="85" t="n"/>
      <c r="B280" s="85" t="n"/>
      <c r="C280" s="85" t="n"/>
      <c r="D280" s="85" t="n"/>
      <c r="E280" s="85" t="n"/>
      <c r="F280" s="85" t="n"/>
      <c r="G280" s="85" t="n"/>
      <c r="H280" s="85" t="n"/>
      <c r="I280" s="85" t="n"/>
      <c r="J280" s="85" t="n"/>
      <c r="K280" s="85" t="n"/>
      <c r="L280" s="85" t="n"/>
      <c r="M280" s="85" t="n"/>
      <c r="N280" s="85" t="n"/>
      <c r="O280" s="85" t="n"/>
      <c r="P280" s="85" t="n"/>
      <c r="Q280" s="85" t="n"/>
      <c r="R280" s="85" t="n"/>
      <c r="S280" s="85" t="n"/>
      <c r="T280" s="85" t="n"/>
      <c r="U280" s="85" t="n"/>
      <c r="V280" s="85" t="n"/>
      <c r="W280" s="85" t="n"/>
      <c r="X280" s="85" t="n"/>
      <c r="Y280" s="85" t="n"/>
      <c r="Z280" s="85" t="n"/>
      <c r="AA280" s="85" t="n"/>
      <c r="AB280" s="85" t="n"/>
      <c r="AC280" s="86" t="n"/>
      <c r="AD280" s="85">
        <f>IF($A280="","",IF(OR($AB280&lt;&gt;"Yes",$AC280="",TODAY()-$AC280&gt;90),"At Risk","Not At Risk"))</f>
        <v/>
      </c>
      <c r="AE280" s="85" t="n"/>
    </row>
    <row r="281" ht="15" customHeight="1" s="39">
      <c r="A281" s="85" t="n"/>
      <c r="B281" s="85" t="n"/>
      <c r="C281" s="85" t="n"/>
      <c r="D281" s="85" t="n"/>
      <c r="E281" s="85" t="n"/>
      <c r="F281" s="85" t="n"/>
      <c r="G281" s="85" t="n"/>
      <c r="H281" s="85" t="n"/>
      <c r="I281" s="85" t="n"/>
      <c r="J281" s="85" t="n"/>
      <c r="K281" s="85" t="n"/>
      <c r="L281" s="85" t="n"/>
      <c r="M281" s="85" t="n"/>
      <c r="N281" s="85" t="n"/>
      <c r="O281" s="85" t="n"/>
      <c r="P281" s="85" t="n"/>
      <c r="Q281" s="85" t="n"/>
      <c r="R281" s="85" t="n"/>
      <c r="S281" s="85" t="n"/>
      <c r="T281" s="85" t="n"/>
      <c r="U281" s="85" t="n"/>
      <c r="V281" s="85" t="n"/>
      <c r="W281" s="85" t="n"/>
      <c r="X281" s="85" t="n"/>
      <c r="Y281" s="85" t="n"/>
      <c r="Z281" s="85" t="n"/>
      <c r="AA281" s="85" t="n"/>
      <c r="AB281" s="85" t="n"/>
      <c r="AC281" s="86" t="n"/>
      <c r="AD281" s="85">
        <f>IF($A281="","",IF(OR($AB281&lt;&gt;"Yes",$AC281="",TODAY()-$AC281&gt;90),"At Risk","Not At Risk"))</f>
        <v/>
      </c>
      <c r="AE281" s="85" t="n"/>
    </row>
    <row r="282" ht="15" customHeight="1" s="39">
      <c r="A282" s="85" t="n"/>
      <c r="B282" s="85" t="n"/>
      <c r="C282" s="85" t="n"/>
      <c r="D282" s="85" t="n"/>
      <c r="E282" s="85" t="n"/>
      <c r="F282" s="85" t="n"/>
      <c r="G282" s="85" t="n"/>
      <c r="H282" s="85" t="n"/>
      <c r="I282" s="85" t="n"/>
      <c r="J282" s="85" t="n"/>
      <c r="K282" s="85" t="n"/>
      <c r="L282" s="85" t="n"/>
      <c r="M282" s="85" t="n"/>
      <c r="N282" s="85" t="n"/>
      <c r="O282" s="85" t="n"/>
      <c r="P282" s="85" t="n"/>
      <c r="Q282" s="85" t="n"/>
      <c r="R282" s="85" t="n"/>
      <c r="S282" s="85" t="n"/>
      <c r="T282" s="85" t="n"/>
      <c r="U282" s="85" t="n"/>
      <c r="V282" s="85" t="n"/>
      <c r="W282" s="85" t="n"/>
      <c r="X282" s="85" t="n"/>
      <c r="Y282" s="85" t="n"/>
      <c r="Z282" s="85" t="n"/>
      <c r="AA282" s="85" t="n"/>
      <c r="AB282" s="85" t="n"/>
      <c r="AC282" s="86" t="n"/>
      <c r="AD282" s="85">
        <f>IF($A282="","",IF(OR($AB282&lt;&gt;"Yes",$AC282="",TODAY()-$AC282&gt;90),"At Risk","Not At Risk"))</f>
        <v/>
      </c>
      <c r="AE282" s="85" t="n"/>
    </row>
    <row r="283" ht="15" customHeight="1" s="39">
      <c r="A283" s="85" t="n"/>
      <c r="B283" s="85" t="n"/>
      <c r="C283" s="85" t="n"/>
      <c r="D283" s="85" t="n"/>
      <c r="E283" s="85" t="n"/>
      <c r="F283" s="85" t="n"/>
      <c r="G283" s="85" t="n"/>
      <c r="H283" s="85" t="n"/>
      <c r="I283" s="85" t="n"/>
      <c r="J283" s="85" t="n"/>
      <c r="K283" s="85" t="n"/>
      <c r="L283" s="85" t="n"/>
      <c r="M283" s="85" t="n"/>
      <c r="N283" s="85" t="n"/>
      <c r="O283" s="85" t="n"/>
      <c r="P283" s="85" t="n"/>
      <c r="Q283" s="85" t="n"/>
      <c r="R283" s="85" t="n"/>
      <c r="S283" s="85" t="n"/>
      <c r="T283" s="85" t="n"/>
      <c r="U283" s="85" t="n"/>
      <c r="V283" s="85" t="n"/>
      <c r="W283" s="85" t="n"/>
      <c r="X283" s="85" t="n"/>
      <c r="Y283" s="85" t="n"/>
      <c r="Z283" s="85" t="n"/>
      <c r="AA283" s="85" t="n"/>
      <c r="AB283" s="85" t="n"/>
      <c r="AC283" s="86" t="n"/>
      <c r="AD283" s="85">
        <f>IF($A283="","",IF(OR($AB283&lt;&gt;"Yes",$AC283="",TODAY()-$AC283&gt;90),"At Risk","Not At Risk"))</f>
        <v/>
      </c>
      <c r="AE283" s="85" t="n"/>
    </row>
    <row r="284" ht="15" customHeight="1" s="39">
      <c r="A284" s="85" t="n"/>
      <c r="B284" s="85" t="n"/>
      <c r="C284" s="85" t="n"/>
      <c r="D284" s="85" t="n"/>
      <c r="E284" s="85" t="n"/>
      <c r="F284" s="85" t="n"/>
      <c r="G284" s="85" t="n"/>
      <c r="H284" s="85" t="n"/>
      <c r="I284" s="85" t="n"/>
      <c r="J284" s="85" t="n"/>
      <c r="K284" s="85" t="n"/>
      <c r="L284" s="85" t="n"/>
      <c r="M284" s="85" t="n"/>
      <c r="N284" s="85" t="n"/>
      <c r="O284" s="85" t="n"/>
      <c r="P284" s="85" t="n"/>
      <c r="Q284" s="85" t="n"/>
      <c r="R284" s="85" t="n"/>
      <c r="S284" s="85" t="n"/>
      <c r="T284" s="85" t="n"/>
      <c r="U284" s="85" t="n"/>
      <c r="V284" s="85" t="n"/>
      <c r="W284" s="85" t="n"/>
      <c r="X284" s="85" t="n"/>
      <c r="Y284" s="85" t="n"/>
      <c r="Z284" s="85" t="n"/>
      <c r="AA284" s="85" t="n"/>
      <c r="AB284" s="85" t="n"/>
      <c r="AC284" s="86" t="n"/>
      <c r="AD284" s="85">
        <f>IF($A284="","",IF(OR($AB284&lt;&gt;"Yes",$AC284="",TODAY()-$AC284&gt;90),"At Risk","Not At Risk"))</f>
        <v/>
      </c>
      <c r="AE284" s="85" t="n"/>
    </row>
    <row r="285" ht="15" customHeight="1" s="39">
      <c r="A285" s="85" t="n"/>
      <c r="B285" s="85" t="n"/>
      <c r="C285" s="85" t="n"/>
      <c r="D285" s="85" t="n"/>
      <c r="E285" s="85" t="n"/>
      <c r="F285" s="85" t="n"/>
      <c r="G285" s="85" t="n"/>
      <c r="H285" s="85" t="n"/>
      <c r="I285" s="85" t="n"/>
      <c r="J285" s="85" t="n"/>
      <c r="K285" s="85" t="n"/>
      <c r="L285" s="85" t="n"/>
      <c r="M285" s="85" t="n"/>
      <c r="N285" s="85" t="n"/>
      <c r="O285" s="85" t="n"/>
      <c r="P285" s="85" t="n"/>
      <c r="Q285" s="85" t="n"/>
      <c r="R285" s="85" t="n"/>
      <c r="S285" s="85" t="n"/>
      <c r="T285" s="85" t="n"/>
      <c r="U285" s="85" t="n"/>
      <c r="V285" s="85" t="n"/>
      <c r="W285" s="85" t="n"/>
      <c r="X285" s="85" t="n"/>
      <c r="Y285" s="85" t="n"/>
      <c r="Z285" s="85" t="n"/>
      <c r="AA285" s="85" t="n"/>
      <c r="AB285" s="85" t="n"/>
      <c r="AC285" s="86" t="n"/>
      <c r="AD285" s="85">
        <f>IF($A285="","",IF(OR($AB285&lt;&gt;"Yes",$AC285="",TODAY()-$AC285&gt;90),"At Risk","Not At Risk"))</f>
        <v/>
      </c>
      <c r="AE285" s="85" t="n"/>
    </row>
    <row r="286" ht="15" customHeight="1" s="39">
      <c r="A286" s="85" t="n"/>
      <c r="B286" s="85" t="n"/>
      <c r="C286" s="85" t="n"/>
      <c r="D286" s="85" t="n"/>
      <c r="E286" s="85" t="n"/>
      <c r="F286" s="85" t="n"/>
      <c r="G286" s="85" t="n"/>
      <c r="H286" s="85" t="n"/>
      <c r="I286" s="85" t="n"/>
      <c r="J286" s="85" t="n"/>
      <c r="K286" s="85" t="n"/>
      <c r="L286" s="85" t="n"/>
      <c r="M286" s="85" t="n"/>
      <c r="N286" s="85" t="n"/>
      <c r="O286" s="85" t="n"/>
      <c r="P286" s="85" t="n"/>
      <c r="Q286" s="85" t="n"/>
      <c r="R286" s="85" t="n"/>
      <c r="S286" s="85" t="n"/>
      <c r="T286" s="85" t="n"/>
      <c r="U286" s="85" t="n"/>
      <c r="V286" s="85" t="n"/>
      <c r="W286" s="85" t="n"/>
      <c r="X286" s="85" t="n"/>
      <c r="Y286" s="85" t="n"/>
      <c r="Z286" s="85" t="n"/>
      <c r="AA286" s="85" t="n"/>
      <c r="AB286" s="85" t="n"/>
      <c r="AC286" s="86" t="n"/>
      <c r="AD286" s="85">
        <f>IF($A286="","",IF(OR($AB286&lt;&gt;"Yes",$AC286="",TODAY()-$AC286&gt;90),"At Risk","Not At Risk"))</f>
        <v/>
      </c>
      <c r="AE286" s="85" t="n"/>
    </row>
    <row r="287" ht="15" customHeight="1" s="39">
      <c r="A287" s="85" t="n"/>
      <c r="B287" s="85" t="n"/>
      <c r="C287" s="85" t="n"/>
      <c r="D287" s="85" t="n"/>
      <c r="E287" s="85" t="n"/>
      <c r="F287" s="85" t="n"/>
      <c r="G287" s="85" t="n"/>
      <c r="H287" s="85" t="n"/>
      <c r="I287" s="85" t="n"/>
      <c r="J287" s="85" t="n"/>
      <c r="K287" s="85" t="n"/>
      <c r="L287" s="85" t="n"/>
      <c r="M287" s="85" t="n"/>
      <c r="N287" s="85" t="n"/>
      <c r="O287" s="85" t="n"/>
      <c r="P287" s="85" t="n"/>
      <c r="Q287" s="85" t="n"/>
      <c r="R287" s="85" t="n"/>
      <c r="S287" s="85" t="n"/>
      <c r="T287" s="85" t="n"/>
      <c r="U287" s="85" t="n"/>
      <c r="V287" s="85" t="n"/>
      <c r="W287" s="85" t="n"/>
      <c r="X287" s="85" t="n"/>
      <c r="Y287" s="85" t="n"/>
      <c r="Z287" s="85" t="n"/>
      <c r="AA287" s="85" t="n"/>
      <c r="AB287" s="85" t="n"/>
      <c r="AC287" s="86" t="n"/>
      <c r="AD287" s="85">
        <f>IF($A287="","",IF(OR($AB287&lt;&gt;"Yes",$AC287="",TODAY()-$AC287&gt;90),"At Risk","Not At Risk"))</f>
        <v/>
      </c>
      <c r="AE287" s="85" t="n"/>
    </row>
    <row r="288" ht="15" customHeight="1" s="39">
      <c r="A288" s="85" t="n"/>
      <c r="B288" s="85" t="n"/>
      <c r="C288" s="85" t="n"/>
      <c r="D288" s="85" t="n"/>
      <c r="E288" s="85" t="n"/>
      <c r="F288" s="85" t="n"/>
      <c r="G288" s="85" t="n"/>
      <c r="H288" s="85" t="n"/>
      <c r="I288" s="85" t="n"/>
      <c r="J288" s="85" t="n"/>
      <c r="K288" s="85" t="n"/>
      <c r="L288" s="85" t="n"/>
      <c r="M288" s="85" t="n"/>
      <c r="N288" s="85" t="n"/>
      <c r="O288" s="85" t="n"/>
      <c r="P288" s="85" t="n"/>
      <c r="Q288" s="85" t="n"/>
      <c r="R288" s="85" t="n"/>
      <c r="S288" s="85" t="n"/>
      <c r="T288" s="85" t="n"/>
      <c r="U288" s="85" t="n"/>
      <c r="V288" s="85" t="n"/>
      <c r="W288" s="85" t="n"/>
      <c r="X288" s="85" t="n"/>
      <c r="Y288" s="85" t="n"/>
      <c r="Z288" s="85" t="n"/>
      <c r="AA288" s="85" t="n"/>
      <c r="AB288" s="85" t="n"/>
      <c r="AC288" s="86" t="n"/>
      <c r="AD288" s="85">
        <f>IF($A288="","",IF(OR($AB288&lt;&gt;"Yes",$AC288="",TODAY()-$AC288&gt;90),"At Risk","Not At Risk"))</f>
        <v/>
      </c>
      <c r="AE288" s="85" t="n"/>
    </row>
    <row r="289" ht="15" customHeight="1" s="39">
      <c r="A289" s="85" t="n"/>
      <c r="B289" s="85" t="n"/>
      <c r="C289" s="85" t="n"/>
      <c r="D289" s="85" t="n"/>
      <c r="E289" s="85" t="n"/>
      <c r="F289" s="85" t="n"/>
      <c r="G289" s="85" t="n"/>
      <c r="H289" s="85" t="n"/>
      <c r="I289" s="85" t="n"/>
      <c r="J289" s="85" t="n"/>
      <c r="K289" s="85" t="n"/>
      <c r="L289" s="85" t="n"/>
      <c r="M289" s="85" t="n"/>
      <c r="N289" s="85" t="n"/>
      <c r="O289" s="85" t="n"/>
      <c r="P289" s="85" t="n"/>
      <c r="Q289" s="85" t="n"/>
      <c r="R289" s="85" t="n"/>
      <c r="S289" s="85" t="n"/>
      <c r="T289" s="85" t="n"/>
      <c r="U289" s="85" t="n"/>
      <c r="V289" s="85" t="n"/>
      <c r="W289" s="85" t="n"/>
      <c r="X289" s="85" t="n"/>
      <c r="Y289" s="85" t="n"/>
      <c r="Z289" s="85" t="n"/>
      <c r="AA289" s="85" t="n"/>
      <c r="AB289" s="85" t="n"/>
      <c r="AC289" s="86" t="n"/>
      <c r="AD289" s="85">
        <f>IF($A289="","",IF(OR($AB289&lt;&gt;"Yes",$AC289="",TODAY()-$AC289&gt;90),"At Risk","Not At Risk"))</f>
        <v/>
      </c>
      <c r="AE289" s="85" t="n"/>
    </row>
    <row r="290" ht="15" customHeight="1" s="39">
      <c r="A290" s="85" t="n"/>
      <c r="B290" s="85" t="n"/>
      <c r="C290" s="85" t="n"/>
      <c r="D290" s="85" t="n"/>
      <c r="E290" s="85" t="n"/>
      <c r="F290" s="85" t="n"/>
      <c r="G290" s="85" t="n"/>
      <c r="H290" s="85" t="n"/>
      <c r="I290" s="85" t="n"/>
      <c r="J290" s="85" t="n"/>
      <c r="K290" s="85" t="n"/>
      <c r="L290" s="85" t="n"/>
      <c r="M290" s="85" t="n"/>
      <c r="N290" s="85" t="n"/>
      <c r="O290" s="85" t="n"/>
      <c r="P290" s="85" t="n"/>
      <c r="Q290" s="85" t="n"/>
      <c r="R290" s="85" t="n"/>
      <c r="S290" s="85" t="n"/>
      <c r="T290" s="85" t="n"/>
      <c r="U290" s="85" t="n"/>
      <c r="V290" s="85" t="n"/>
      <c r="W290" s="85" t="n"/>
      <c r="X290" s="85" t="n"/>
      <c r="Y290" s="85" t="n"/>
      <c r="Z290" s="85" t="n"/>
      <c r="AA290" s="85" t="n"/>
      <c r="AB290" s="85" t="n"/>
      <c r="AC290" s="86" t="n"/>
      <c r="AD290" s="85">
        <f>IF($A290="","",IF(OR($AB290&lt;&gt;"Yes",$AC290="",TODAY()-$AC290&gt;90),"At Risk","Not At Risk"))</f>
        <v/>
      </c>
      <c r="AE290" s="85" t="n"/>
    </row>
    <row r="291" ht="15" customHeight="1" s="39">
      <c r="A291" s="85" t="n"/>
      <c r="B291" s="85" t="n"/>
      <c r="C291" s="85" t="n"/>
      <c r="D291" s="85" t="n"/>
      <c r="E291" s="85" t="n"/>
      <c r="F291" s="85" t="n"/>
      <c r="G291" s="85" t="n"/>
      <c r="H291" s="85" t="n"/>
      <c r="I291" s="85" t="n"/>
      <c r="J291" s="85" t="n"/>
      <c r="K291" s="85" t="n"/>
      <c r="L291" s="85" t="n"/>
      <c r="M291" s="85" t="n"/>
      <c r="N291" s="85" t="n"/>
      <c r="O291" s="85" t="n"/>
      <c r="P291" s="85" t="n"/>
      <c r="Q291" s="85" t="n"/>
      <c r="R291" s="85" t="n"/>
      <c r="S291" s="85" t="n"/>
      <c r="T291" s="85" t="n"/>
      <c r="U291" s="85" t="n"/>
      <c r="V291" s="85" t="n"/>
      <c r="W291" s="85" t="n"/>
      <c r="X291" s="85" t="n"/>
      <c r="Y291" s="85" t="n"/>
      <c r="Z291" s="85" t="n"/>
      <c r="AA291" s="85" t="n"/>
      <c r="AB291" s="85" t="n"/>
      <c r="AC291" s="86" t="n"/>
      <c r="AD291" s="85">
        <f>IF($A291="","",IF(OR($AB291&lt;&gt;"Yes",$AC291="",TODAY()-$AC291&gt;90),"At Risk","Not At Risk"))</f>
        <v/>
      </c>
      <c r="AE291" s="85" t="n"/>
    </row>
    <row r="292" ht="15" customHeight="1" s="39">
      <c r="A292" s="85" t="n"/>
      <c r="B292" s="85" t="n"/>
      <c r="C292" s="85" t="n"/>
      <c r="D292" s="85" t="n"/>
      <c r="E292" s="85" t="n"/>
      <c r="F292" s="85" t="n"/>
      <c r="G292" s="85" t="n"/>
      <c r="H292" s="85" t="n"/>
      <c r="I292" s="85" t="n"/>
      <c r="J292" s="85" t="n"/>
      <c r="K292" s="85" t="n"/>
      <c r="L292" s="85" t="n"/>
      <c r="M292" s="85" t="n"/>
      <c r="N292" s="85" t="n"/>
      <c r="O292" s="85" t="n"/>
      <c r="P292" s="85" t="n"/>
      <c r="Q292" s="85" t="n"/>
      <c r="R292" s="85" t="n"/>
      <c r="S292" s="85" t="n"/>
      <c r="T292" s="85" t="n"/>
      <c r="U292" s="85" t="n"/>
      <c r="V292" s="85" t="n"/>
      <c r="W292" s="85" t="n"/>
      <c r="X292" s="85" t="n"/>
      <c r="Y292" s="85" t="n"/>
      <c r="Z292" s="85" t="n"/>
      <c r="AA292" s="85" t="n"/>
      <c r="AB292" s="85" t="n"/>
      <c r="AC292" s="86" t="n"/>
      <c r="AD292" s="85">
        <f>IF($A292="","",IF(OR($AB292&lt;&gt;"Yes",$AC292="",TODAY()-$AC292&gt;90),"At Risk","Not At Risk"))</f>
        <v/>
      </c>
      <c r="AE292" s="85" t="n"/>
    </row>
    <row r="293" ht="15" customHeight="1" s="39">
      <c r="A293" s="85" t="n"/>
      <c r="B293" s="85" t="n"/>
      <c r="C293" s="85" t="n"/>
      <c r="D293" s="85" t="n"/>
      <c r="E293" s="85" t="n"/>
      <c r="F293" s="85" t="n"/>
      <c r="G293" s="85" t="n"/>
      <c r="H293" s="85" t="n"/>
      <c r="I293" s="85" t="n"/>
      <c r="J293" s="85" t="n"/>
      <c r="K293" s="85" t="n"/>
      <c r="L293" s="85" t="n"/>
      <c r="M293" s="85" t="n"/>
      <c r="N293" s="85" t="n"/>
      <c r="O293" s="85" t="n"/>
      <c r="P293" s="85" t="n"/>
      <c r="Q293" s="85" t="n"/>
      <c r="R293" s="85" t="n"/>
      <c r="S293" s="85" t="n"/>
      <c r="T293" s="85" t="n"/>
      <c r="U293" s="85" t="n"/>
      <c r="V293" s="85" t="n"/>
      <c r="W293" s="85" t="n"/>
      <c r="X293" s="85" t="n"/>
      <c r="Y293" s="85" t="n"/>
      <c r="Z293" s="85" t="n"/>
      <c r="AA293" s="85" t="n"/>
      <c r="AB293" s="85" t="n"/>
      <c r="AC293" s="86" t="n"/>
      <c r="AD293" s="85">
        <f>IF($A293="","",IF(OR($AB293&lt;&gt;"Yes",$AC293="",TODAY()-$AC293&gt;90),"At Risk","Not At Risk"))</f>
        <v/>
      </c>
      <c r="AE293" s="85" t="n"/>
    </row>
    <row r="294" ht="15" customHeight="1" s="39">
      <c r="A294" s="85" t="n"/>
      <c r="B294" s="85" t="n"/>
      <c r="C294" s="85" t="n"/>
      <c r="D294" s="85" t="n"/>
      <c r="E294" s="85" t="n"/>
      <c r="F294" s="85" t="n"/>
      <c r="G294" s="85" t="n"/>
      <c r="H294" s="85" t="n"/>
      <c r="I294" s="85" t="n"/>
      <c r="J294" s="85" t="n"/>
      <c r="K294" s="85" t="n"/>
      <c r="L294" s="85" t="n"/>
      <c r="M294" s="85" t="n"/>
      <c r="N294" s="85" t="n"/>
      <c r="O294" s="85" t="n"/>
      <c r="P294" s="85" t="n"/>
      <c r="Q294" s="85" t="n"/>
      <c r="R294" s="85" t="n"/>
      <c r="S294" s="85" t="n"/>
      <c r="T294" s="85" t="n"/>
      <c r="U294" s="85" t="n"/>
      <c r="V294" s="85" t="n"/>
      <c r="W294" s="85" t="n"/>
      <c r="X294" s="85" t="n"/>
      <c r="Y294" s="85" t="n"/>
      <c r="Z294" s="85" t="n"/>
      <c r="AA294" s="85" t="n"/>
      <c r="AB294" s="85" t="n"/>
      <c r="AC294" s="86" t="n"/>
      <c r="AD294" s="85">
        <f>IF($A294="","",IF(OR($AB294&lt;&gt;"Yes",$AC294="",TODAY()-$AC294&gt;90),"At Risk","Not At Risk"))</f>
        <v/>
      </c>
      <c r="AE294" s="85" t="n"/>
    </row>
    <row r="295" ht="15" customHeight="1" s="39">
      <c r="A295" s="85" t="n"/>
      <c r="B295" s="85" t="n"/>
      <c r="C295" s="85" t="n"/>
      <c r="D295" s="85" t="n"/>
      <c r="E295" s="85" t="n"/>
      <c r="F295" s="85" t="n"/>
      <c r="G295" s="85" t="n"/>
      <c r="H295" s="85" t="n"/>
      <c r="I295" s="85" t="n"/>
      <c r="J295" s="85" t="n"/>
      <c r="K295" s="85" t="n"/>
      <c r="L295" s="85" t="n"/>
      <c r="M295" s="85" t="n"/>
      <c r="N295" s="85" t="n"/>
      <c r="O295" s="85" t="n"/>
      <c r="P295" s="85" t="n"/>
      <c r="Q295" s="85" t="n"/>
      <c r="R295" s="85" t="n"/>
      <c r="S295" s="85" t="n"/>
      <c r="T295" s="85" t="n"/>
      <c r="U295" s="85" t="n"/>
      <c r="V295" s="85" t="n"/>
      <c r="W295" s="85" t="n"/>
      <c r="X295" s="85" t="n"/>
      <c r="Y295" s="85" t="n"/>
      <c r="Z295" s="85" t="n"/>
      <c r="AA295" s="85" t="n"/>
      <c r="AB295" s="85" t="n"/>
      <c r="AC295" s="86" t="n"/>
      <c r="AD295" s="85">
        <f>IF($A295="","",IF(OR($AB295&lt;&gt;"Yes",$AC295="",TODAY()-$AC295&gt;90),"At Risk","Not At Risk"))</f>
        <v/>
      </c>
      <c r="AE295" s="85" t="n"/>
    </row>
    <row r="296" ht="15" customHeight="1" s="39">
      <c r="A296" s="85" t="n"/>
      <c r="B296" s="85" t="n"/>
      <c r="C296" s="85" t="n"/>
      <c r="D296" s="85" t="n"/>
      <c r="E296" s="85" t="n"/>
      <c r="F296" s="85" t="n"/>
      <c r="G296" s="85" t="n"/>
      <c r="H296" s="85" t="n"/>
      <c r="I296" s="85" t="n"/>
      <c r="J296" s="85" t="n"/>
      <c r="K296" s="85" t="n"/>
      <c r="L296" s="85" t="n"/>
      <c r="M296" s="85" t="n"/>
      <c r="N296" s="85" t="n"/>
      <c r="O296" s="85" t="n"/>
      <c r="P296" s="85" t="n"/>
      <c r="Q296" s="85" t="n"/>
      <c r="R296" s="85" t="n"/>
      <c r="S296" s="85" t="n"/>
      <c r="T296" s="85" t="n"/>
      <c r="U296" s="85" t="n"/>
      <c r="V296" s="85" t="n"/>
      <c r="W296" s="85" t="n"/>
      <c r="X296" s="85" t="n"/>
      <c r="Y296" s="85" t="n"/>
      <c r="Z296" s="85" t="n"/>
      <c r="AA296" s="85" t="n"/>
      <c r="AB296" s="85" t="n"/>
      <c r="AC296" s="86" t="n"/>
      <c r="AD296" s="85">
        <f>IF($A296="","",IF(OR($AB296&lt;&gt;"Yes",$AC296="",TODAY()-$AC296&gt;90),"At Risk","Not At Risk"))</f>
        <v/>
      </c>
      <c r="AE296" s="85" t="n"/>
    </row>
    <row r="297" ht="15" customHeight="1" s="39">
      <c r="A297" s="85" t="n"/>
      <c r="B297" s="85" t="n"/>
      <c r="C297" s="85" t="n"/>
      <c r="D297" s="85" t="n"/>
      <c r="E297" s="85" t="n"/>
      <c r="F297" s="85" t="n"/>
      <c r="G297" s="85" t="n"/>
      <c r="H297" s="85" t="n"/>
      <c r="I297" s="85" t="n"/>
      <c r="J297" s="85" t="n"/>
      <c r="K297" s="85" t="n"/>
      <c r="L297" s="85" t="n"/>
      <c r="M297" s="85" t="n"/>
      <c r="N297" s="85" t="n"/>
      <c r="O297" s="85" t="n"/>
      <c r="P297" s="85" t="n"/>
      <c r="Q297" s="85" t="n"/>
      <c r="R297" s="85" t="n"/>
      <c r="S297" s="85" t="n"/>
      <c r="T297" s="85" t="n"/>
      <c r="U297" s="85" t="n"/>
      <c r="V297" s="85" t="n"/>
      <c r="W297" s="85" t="n"/>
      <c r="X297" s="85" t="n"/>
      <c r="Y297" s="85" t="n"/>
      <c r="Z297" s="85" t="n"/>
      <c r="AA297" s="85" t="n"/>
      <c r="AB297" s="85" t="n"/>
      <c r="AC297" s="86" t="n"/>
      <c r="AD297" s="85">
        <f>IF($A297="","",IF(OR($AB297&lt;&gt;"Yes",$AC297="",TODAY()-$AC297&gt;90),"At Risk","Not At Risk"))</f>
        <v/>
      </c>
      <c r="AE297" s="85" t="n"/>
    </row>
    <row r="298" ht="15" customHeight="1" s="39">
      <c r="A298" s="85" t="n"/>
      <c r="B298" s="85" t="n"/>
      <c r="C298" s="85" t="n"/>
      <c r="D298" s="85" t="n"/>
      <c r="E298" s="85" t="n"/>
      <c r="F298" s="85" t="n"/>
      <c r="G298" s="85" t="n"/>
      <c r="H298" s="85" t="n"/>
      <c r="I298" s="85" t="n"/>
      <c r="J298" s="85" t="n"/>
      <c r="K298" s="85" t="n"/>
      <c r="L298" s="85" t="n"/>
      <c r="M298" s="85" t="n"/>
      <c r="N298" s="85" t="n"/>
      <c r="O298" s="85" t="n"/>
      <c r="P298" s="85" t="n"/>
      <c r="Q298" s="85" t="n"/>
      <c r="R298" s="85" t="n"/>
      <c r="S298" s="85" t="n"/>
      <c r="T298" s="85" t="n"/>
      <c r="U298" s="85" t="n"/>
      <c r="V298" s="85" t="n"/>
      <c r="W298" s="85" t="n"/>
      <c r="X298" s="85" t="n"/>
      <c r="Y298" s="85" t="n"/>
      <c r="Z298" s="85" t="n"/>
      <c r="AA298" s="85" t="n"/>
      <c r="AB298" s="85" t="n"/>
      <c r="AC298" s="86" t="n"/>
      <c r="AD298" s="85">
        <f>IF($A298="","",IF(OR($AB298&lt;&gt;"Yes",$AC298="",TODAY()-$AC298&gt;90),"At Risk","Not At Risk"))</f>
        <v/>
      </c>
      <c r="AE298" s="85" t="n"/>
    </row>
    <row r="299" ht="15" customHeight="1" s="39">
      <c r="A299" s="85" t="n"/>
      <c r="B299" s="85" t="n"/>
      <c r="C299" s="85" t="n"/>
      <c r="D299" s="85" t="n"/>
      <c r="E299" s="85" t="n"/>
      <c r="F299" s="85" t="n"/>
      <c r="G299" s="85" t="n"/>
      <c r="H299" s="85" t="n"/>
      <c r="I299" s="85" t="n"/>
      <c r="J299" s="85" t="n"/>
      <c r="K299" s="85" t="n"/>
      <c r="L299" s="85" t="n"/>
      <c r="M299" s="85" t="n"/>
      <c r="N299" s="85" t="n"/>
      <c r="O299" s="85" t="n"/>
      <c r="P299" s="85" t="n"/>
      <c r="Q299" s="85" t="n"/>
      <c r="R299" s="85" t="n"/>
      <c r="S299" s="85" t="n"/>
      <c r="T299" s="85" t="n"/>
      <c r="U299" s="85" t="n"/>
      <c r="V299" s="85" t="n"/>
      <c r="W299" s="85" t="n"/>
      <c r="X299" s="85" t="n"/>
      <c r="Y299" s="85" t="n"/>
      <c r="Z299" s="85" t="n"/>
      <c r="AA299" s="85" t="n"/>
      <c r="AB299" s="85" t="n"/>
      <c r="AC299" s="86" t="n"/>
      <c r="AD299" s="85">
        <f>IF($A299="","",IF(OR($AB299&lt;&gt;"Yes",$AC299="",TODAY()-$AC299&gt;90),"At Risk","Not At Risk"))</f>
        <v/>
      </c>
      <c r="AE299" s="85" t="n"/>
    </row>
    <row r="300" ht="15" customHeight="1" s="39">
      <c r="A300" s="85" t="n"/>
      <c r="B300" s="85" t="n"/>
      <c r="C300" s="85" t="n"/>
      <c r="D300" s="85" t="n"/>
      <c r="E300" s="85" t="n"/>
      <c r="F300" s="85" t="n"/>
      <c r="G300" s="85" t="n"/>
      <c r="H300" s="85" t="n"/>
      <c r="I300" s="85" t="n"/>
      <c r="J300" s="85" t="n"/>
      <c r="K300" s="85" t="n"/>
      <c r="L300" s="85" t="n"/>
      <c r="M300" s="85" t="n"/>
      <c r="N300" s="85" t="n"/>
      <c r="O300" s="85" t="n"/>
      <c r="P300" s="85" t="n"/>
      <c r="Q300" s="85" t="n"/>
      <c r="R300" s="85" t="n"/>
      <c r="S300" s="85" t="n"/>
      <c r="T300" s="85" t="n"/>
      <c r="U300" s="85" t="n"/>
      <c r="V300" s="85" t="n"/>
      <c r="W300" s="85" t="n"/>
      <c r="X300" s="85" t="n"/>
      <c r="Y300" s="85" t="n"/>
      <c r="Z300" s="85" t="n"/>
      <c r="AA300" s="85" t="n"/>
      <c r="AB300" s="85" t="n"/>
      <c r="AC300" s="86" t="n"/>
      <c r="AD300" s="85">
        <f>IF($A300="","",IF(OR($AB300&lt;&gt;"Yes",$AC300="",TODAY()-$AC300&gt;90),"At Risk","Not At Risk"))</f>
        <v/>
      </c>
      <c r="AE300" s="85" t="n"/>
    </row>
    <row r="301" ht="15" customHeight="1" s="39">
      <c r="A301" s="85" t="n"/>
      <c r="B301" s="85" t="n"/>
      <c r="C301" s="85" t="n"/>
      <c r="D301" s="85" t="n"/>
      <c r="E301" s="85" t="n"/>
      <c r="F301" s="85" t="n"/>
      <c r="G301" s="85" t="n"/>
      <c r="H301" s="85" t="n"/>
      <c r="I301" s="85" t="n"/>
      <c r="J301" s="85" t="n"/>
      <c r="K301" s="85" t="n"/>
      <c r="L301" s="85" t="n"/>
      <c r="M301" s="85" t="n"/>
      <c r="N301" s="85" t="n"/>
      <c r="O301" s="85" t="n"/>
      <c r="P301" s="85" t="n"/>
      <c r="Q301" s="85" t="n"/>
      <c r="R301" s="85" t="n"/>
      <c r="S301" s="85" t="n"/>
      <c r="T301" s="85" t="n"/>
      <c r="U301" s="85" t="n"/>
      <c r="V301" s="85" t="n"/>
      <c r="W301" s="85" t="n"/>
      <c r="X301" s="85" t="n"/>
      <c r="Y301" s="85" t="n"/>
      <c r="Z301" s="85" t="n"/>
      <c r="AA301" s="85" t="n"/>
      <c r="AB301" s="85" t="n"/>
      <c r="AC301" s="86" t="n"/>
      <c r="AD301" s="85">
        <f>IF($A301="","",IF(OR($AB301&lt;&gt;"Yes",$AC301="",TODAY()-$AC301&gt;90),"At Risk","Not At Risk"))</f>
        <v/>
      </c>
      <c r="AE301" s="85" t="n"/>
    </row>
    <row r="302" ht="15" customHeight="1" s="39">
      <c r="A302" s="85" t="n"/>
      <c r="B302" s="85" t="n"/>
      <c r="C302" s="85" t="n"/>
      <c r="D302" s="85" t="n"/>
      <c r="E302" s="85" t="n"/>
      <c r="F302" s="85" t="n"/>
      <c r="G302" s="85" t="n"/>
      <c r="H302" s="85" t="n"/>
      <c r="I302" s="85" t="n"/>
      <c r="J302" s="85" t="n"/>
      <c r="K302" s="85" t="n"/>
      <c r="L302" s="85" t="n"/>
      <c r="M302" s="85" t="n"/>
      <c r="N302" s="85" t="n"/>
      <c r="O302" s="85" t="n"/>
      <c r="P302" s="85" t="n"/>
      <c r="Q302" s="85" t="n"/>
      <c r="R302" s="85" t="n"/>
      <c r="S302" s="85" t="n"/>
      <c r="T302" s="85" t="n"/>
      <c r="U302" s="85" t="n"/>
      <c r="V302" s="85" t="n"/>
      <c r="W302" s="85" t="n"/>
      <c r="X302" s="85" t="n"/>
      <c r="Y302" s="85" t="n"/>
      <c r="Z302" s="85" t="n"/>
      <c r="AA302" s="85" t="n"/>
      <c r="AB302" s="85" t="n"/>
      <c r="AC302" s="86" t="n"/>
      <c r="AD302" s="85">
        <f>IF($A302="","",IF(OR($AB302&lt;&gt;"Yes",$AC302="",TODAY()-$AC302&gt;90),"At Risk","Not At Risk"))</f>
        <v/>
      </c>
      <c r="AE302" s="85" t="n"/>
    </row>
    <row r="303" ht="15" customHeight="1" s="39">
      <c r="A303" s="85" t="n"/>
      <c r="B303" s="85" t="n"/>
      <c r="C303" s="85" t="n"/>
      <c r="D303" s="85" t="n"/>
      <c r="E303" s="85" t="n"/>
      <c r="F303" s="85" t="n"/>
      <c r="G303" s="85" t="n"/>
      <c r="H303" s="85" t="n"/>
      <c r="I303" s="85" t="n"/>
      <c r="J303" s="85" t="n"/>
      <c r="K303" s="85" t="n"/>
      <c r="L303" s="85" t="n"/>
      <c r="M303" s="85" t="n"/>
      <c r="N303" s="85" t="n"/>
      <c r="O303" s="85" t="n"/>
      <c r="P303" s="85" t="n"/>
      <c r="Q303" s="85" t="n"/>
      <c r="R303" s="85" t="n"/>
      <c r="S303" s="85" t="n"/>
      <c r="T303" s="85" t="n"/>
      <c r="U303" s="85" t="n"/>
      <c r="V303" s="85" t="n"/>
      <c r="W303" s="85" t="n"/>
      <c r="X303" s="85" t="n"/>
      <c r="Y303" s="85" t="n"/>
      <c r="Z303" s="85" t="n"/>
      <c r="AA303" s="85" t="n"/>
      <c r="AB303" s="85" t="n"/>
      <c r="AC303" s="86" t="n"/>
      <c r="AD303" s="85">
        <f>IF($A303="","",IF(OR($AB303&lt;&gt;"Yes",$AC303="",TODAY()-$AC303&gt;90),"At Risk","Not At Risk"))</f>
        <v/>
      </c>
      <c r="AE303" s="85" t="n"/>
    </row>
    <row r="304" ht="15" customHeight="1" s="39">
      <c r="A304" s="85" t="n"/>
      <c r="B304" s="85" t="n"/>
      <c r="C304" s="85" t="n"/>
      <c r="D304" s="85" t="n"/>
      <c r="E304" s="85" t="n"/>
      <c r="F304" s="85" t="n"/>
      <c r="G304" s="85" t="n"/>
      <c r="H304" s="85" t="n"/>
      <c r="I304" s="85" t="n"/>
      <c r="J304" s="85" t="n"/>
      <c r="K304" s="85" t="n"/>
      <c r="L304" s="85" t="n"/>
      <c r="M304" s="85" t="n"/>
      <c r="N304" s="85" t="n"/>
      <c r="O304" s="85" t="n"/>
      <c r="P304" s="85" t="n"/>
      <c r="Q304" s="85" t="n"/>
      <c r="R304" s="85" t="n"/>
      <c r="S304" s="85" t="n"/>
      <c r="T304" s="85" t="n"/>
      <c r="U304" s="85" t="n"/>
      <c r="V304" s="85" t="n"/>
      <c r="W304" s="85" t="n"/>
      <c r="X304" s="85" t="n"/>
      <c r="Y304" s="85" t="n"/>
      <c r="Z304" s="85" t="n"/>
      <c r="AA304" s="85" t="n"/>
      <c r="AB304" s="85" t="n"/>
      <c r="AC304" s="86" t="n"/>
      <c r="AD304" s="85">
        <f>IF($A304="","",IF(OR($AB304&lt;&gt;"Yes",$AC304="",TODAY()-$AC304&gt;90),"At Risk","Not At Risk"))</f>
        <v/>
      </c>
      <c r="AE304" s="85" t="n"/>
    </row>
    <row r="305" ht="15" customHeight="1" s="39">
      <c r="A305" s="85" t="n"/>
      <c r="B305" s="85" t="n"/>
      <c r="C305" s="85" t="n"/>
      <c r="D305" s="85" t="n"/>
      <c r="E305" s="85" t="n"/>
      <c r="F305" s="85" t="n"/>
      <c r="G305" s="85" t="n"/>
      <c r="H305" s="85" t="n"/>
      <c r="I305" s="85" t="n"/>
      <c r="J305" s="85" t="n"/>
      <c r="K305" s="85" t="n"/>
      <c r="L305" s="85" t="n"/>
      <c r="M305" s="85" t="n"/>
      <c r="N305" s="85" t="n"/>
      <c r="O305" s="85" t="n"/>
      <c r="P305" s="85" t="n"/>
      <c r="Q305" s="85" t="n"/>
      <c r="R305" s="85" t="n"/>
      <c r="S305" s="85" t="n"/>
      <c r="T305" s="85" t="n"/>
      <c r="U305" s="85" t="n"/>
      <c r="V305" s="85" t="n"/>
      <c r="W305" s="85" t="n"/>
      <c r="X305" s="85" t="n"/>
      <c r="Y305" s="85" t="n"/>
      <c r="Z305" s="85" t="n"/>
      <c r="AA305" s="85" t="n"/>
      <c r="AB305" s="85" t="n"/>
      <c r="AC305" s="86" t="n"/>
      <c r="AD305" s="85">
        <f>IF($A305="","",IF(OR($AB305&lt;&gt;"Yes",$AC305="",TODAY()-$AC305&gt;90),"At Risk","Not At Risk"))</f>
        <v/>
      </c>
      <c r="AE305" s="85" t="n"/>
    </row>
    <row r="306" ht="15" customHeight="1" s="39">
      <c r="A306" s="85" t="n"/>
      <c r="B306" s="85" t="n"/>
      <c r="C306" s="85" t="n"/>
      <c r="D306" s="85" t="n"/>
      <c r="E306" s="85" t="n"/>
      <c r="F306" s="85" t="n"/>
      <c r="G306" s="85" t="n"/>
      <c r="H306" s="85" t="n"/>
      <c r="I306" s="85" t="n"/>
      <c r="J306" s="85" t="n"/>
      <c r="K306" s="85" t="n"/>
      <c r="L306" s="85" t="n"/>
      <c r="M306" s="85" t="n"/>
      <c r="N306" s="85" t="n"/>
      <c r="O306" s="85" t="n"/>
      <c r="P306" s="85" t="n"/>
      <c r="Q306" s="85" t="n"/>
      <c r="R306" s="85" t="n"/>
      <c r="S306" s="85" t="n"/>
      <c r="T306" s="85" t="n"/>
      <c r="U306" s="85" t="n"/>
      <c r="V306" s="85" t="n"/>
      <c r="W306" s="85" t="n"/>
      <c r="X306" s="85" t="n"/>
      <c r="Y306" s="85" t="n"/>
      <c r="Z306" s="85" t="n"/>
      <c r="AA306" s="85" t="n"/>
      <c r="AB306" s="85" t="n"/>
      <c r="AC306" s="86" t="n"/>
      <c r="AD306" s="85">
        <f>IF($A306="","",IF(OR($AB306&lt;&gt;"Yes",$AC306="",TODAY()-$AC306&gt;90),"At Risk","Not At Risk"))</f>
        <v/>
      </c>
      <c r="AE306" s="85" t="n"/>
    </row>
    <row r="307" ht="15" customHeight="1" s="39">
      <c r="A307" s="85" t="n"/>
      <c r="B307" s="85" t="n"/>
      <c r="C307" s="85" t="n"/>
      <c r="D307" s="85" t="n"/>
      <c r="E307" s="85" t="n"/>
      <c r="F307" s="85" t="n"/>
      <c r="G307" s="85" t="n"/>
      <c r="H307" s="85" t="n"/>
      <c r="I307" s="85" t="n"/>
      <c r="J307" s="85" t="n"/>
      <c r="K307" s="85" t="n"/>
      <c r="L307" s="85" t="n"/>
      <c r="M307" s="85" t="n"/>
      <c r="N307" s="85" t="n"/>
      <c r="O307" s="85" t="n"/>
      <c r="P307" s="85" t="n"/>
      <c r="Q307" s="85" t="n"/>
      <c r="R307" s="85" t="n"/>
      <c r="S307" s="85" t="n"/>
      <c r="T307" s="85" t="n"/>
      <c r="U307" s="85" t="n"/>
      <c r="V307" s="85" t="n"/>
      <c r="W307" s="85" t="n"/>
      <c r="X307" s="85" t="n"/>
      <c r="Y307" s="85" t="n"/>
      <c r="Z307" s="85" t="n"/>
      <c r="AA307" s="85" t="n"/>
      <c r="AB307" s="85" t="n"/>
      <c r="AC307" s="86" t="n"/>
      <c r="AD307" s="85">
        <f>IF($A307="","",IF(OR($AB307&lt;&gt;"Yes",$AC307="",TODAY()-$AC307&gt;90),"At Risk","Not At Risk"))</f>
        <v/>
      </c>
      <c r="AE307" s="85" t="n"/>
    </row>
    <row r="308" ht="15" customHeight="1" s="39">
      <c r="A308" s="85" t="n"/>
      <c r="B308" s="85" t="n"/>
      <c r="C308" s="85" t="n"/>
      <c r="D308" s="85" t="n"/>
      <c r="E308" s="85" t="n"/>
      <c r="F308" s="85" t="n"/>
      <c r="G308" s="85" t="n"/>
      <c r="H308" s="85" t="n"/>
      <c r="I308" s="85" t="n"/>
      <c r="J308" s="85" t="n"/>
      <c r="K308" s="85" t="n"/>
      <c r="L308" s="85" t="n"/>
      <c r="M308" s="85" t="n"/>
      <c r="N308" s="85" t="n"/>
      <c r="O308" s="85" t="n"/>
      <c r="P308" s="85" t="n"/>
      <c r="Q308" s="85" t="n"/>
      <c r="R308" s="85" t="n"/>
      <c r="S308" s="85" t="n"/>
      <c r="T308" s="85" t="n"/>
      <c r="U308" s="85" t="n"/>
      <c r="V308" s="85" t="n"/>
      <c r="W308" s="85" t="n"/>
      <c r="X308" s="85" t="n"/>
      <c r="Y308" s="85" t="n"/>
      <c r="Z308" s="85" t="n"/>
      <c r="AA308" s="85" t="n"/>
      <c r="AB308" s="85" t="n"/>
      <c r="AC308" s="86" t="n"/>
      <c r="AD308" s="85">
        <f>IF($A308="","",IF(OR($AB308&lt;&gt;"Yes",$AC308="",TODAY()-$AC308&gt;90),"At Risk","Not At Risk"))</f>
        <v/>
      </c>
      <c r="AE308" s="85" t="n"/>
    </row>
    <row r="309" ht="15" customHeight="1" s="39">
      <c r="A309" s="85" t="n"/>
      <c r="B309" s="85" t="n"/>
      <c r="C309" s="85" t="n"/>
      <c r="D309" s="85" t="n"/>
      <c r="E309" s="85" t="n"/>
      <c r="F309" s="85" t="n"/>
      <c r="G309" s="85" t="n"/>
      <c r="H309" s="85" t="n"/>
      <c r="I309" s="85" t="n"/>
      <c r="J309" s="85" t="n"/>
      <c r="K309" s="85" t="n"/>
      <c r="L309" s="85" t="n"/>
      <c r="M309" s="85" t="n"/>
      <c r="N309" s="85" t="n"/>
      <c r="O309" s="85" t="n"/>
      <c r="P309" s="85" t="n"/>
      <c r="Q309" s="85" t="n"/>
      <c r="R309" s="85" t="n"/>
      <c r="S309" s="85" t="n"/>
      <c r="T309" s="85" t="n"/>
      <c r="U309" s="85" t="n"/>
      <c r="V309" s="85" t="n"/>
      <c r="W309" s="85" t="n"/>
      <c r="X309" s="85" t="n"/>
      <c r="Y309" s="85" t="n"/>
      <c r="Z309" s="85" t="n"/>
      <c r="AA309" s="85" t="n"/>
      <c r="AB309" s="85" t="n"/>
      <c r="AC309" s="86" t="n"/>
      <c r="AD309" s="85">
        <f>IF($A309="","",IF(OR($AB309&lt;&gt;"Yes",$AC309="",TODAY()-$AC309&gt;90),"At Risk","Not At Risk"))</f>
        <v/>
      </c>
      <c r="AE309" s="85" t="n"/>
    </row>
    <row r="310" ht="15" customHeight="1" s="39">
      <c r="A310" s="85" t="n"/>
      <c r="B310" s="85" t="n"/>
      <c r="C310" s="85" t="n"/>
      <c r="D310" s="85" t="n"/>
      <c r="E310" s="85" t="n"/>
      <c r="F310" s="85" t="n"/>
      <c r="G310" s="85" t="n"/>
      <c r="H310" s="85" t="n"/>
      <c r="I310" s="85" t="n"/>
      <c r="J310" s="85" t="n"/>
      <c r="K310" s="85" t="n"/>
      <c r="L310" s="85" t="n"/>
      <c r="M310" s="85" t="n"/>
      <c r="N310" s="85" t="n"/>
      <c r="O310" s="85" t="n"/>
      <c r="P310" s="85" t="n"/>
      <c r="Q310" s="85" t="n"/>
      <c r="R310" s="85" t="n"/>
      <c r="S310" s="85" t="n"/>
      <c r="T310" s="85" t="n"/>
      <c r="U310" s="85" t="n"/>
      <c r="V310" s="85" t="n"/>
      <c r="W310" s="85" t="n"/>
      <c r="X310" s="85" t="n"/>
      <c r="Y310" s="85" t="n"/>
      <c r="Z310" s="85" t="n"/>
      <c r="AA310" s="85" t="n"/>
      <c r="AB310" s="85" t="n"/>
      <c r="AC310" s="86" t="n"/>
      <c r="AD310" s="85">
        <f>IF($A310="","",IF(OR($AB310&lt;&gt;"Yes",$AC310="",TODAY()-$AC310&gt;90),"At Risk","Not At Risk"))</f>
        <v/>
      </c>
      <c r="AE310" s="85" t="n"/>
    </row>
    <row r="311" ht="15" customHeight="1" s="39">
      <c r="A311" s="85" t="n"/>
      <c r="B311" s="85" t="n"/>
      <c r="C311" s="85" t="n"/>
      <c r="D311" s="85" t="n"/>
      <c r="E311" s="85" t="n"/>
      <c r="F311" s="85" t="n"/>
      <c r="G311" s="85" t="n"/>
      <c r="H311" s="85" t="n"/>
      <c r="I311" s="85" t="n"/>
      <c r="J311" s="85" t="n"/>
      <c r="K311" s="85" t="n"/>
      <c r="L311" s="85" t="n"/>
      <c r="M311" s="85" t="n"/>
      <c r="N311" s="85" t="n"/>
      <c r="O311" s="85" t="n"/>
      <c r="P311" s="85" t="n"/>
      <c r="Q311" s="85" t="n"/>
      <c r="R311" s="85" t="n"/>
      <c r="S311" s="85" t="n"/>
      <c r="T311" s="85" t="n"/>
      <c r="U311" s="85" t="n"/>
      <c r="V311" s="85" t="n"/>
      <c r="W311" s="85" t="n"/>
      <c r="X311" s="85" t="n"/>
      <c r="Y311" s="85" t="n"/>
      <c r="Z311" s="85" t="n"/>
      <c r="AA311" s="85" t="n"/>
      <c r="AB311" s="85" t="n"/>
      <c r="AC311" s="86" t="n"/>
      <c r="AD311" s="85">
        <f>IF($A311="","",IF(OR($AB311&lt;&gt;"Yes",$AC311="",TODAY()-$AC311&gt;90),"At Risk","Not At Risk"))</f>
        <v/>
      </c>
      <c r="AE311" s="85" t="n"/>
    </row>
    <row r="312" ht="15" customHeight="1" s="39">
      <c r="A312" s="85" t="n"/>
      <c r="B312" s="85" t="n"/>
      <c r="C312" s="85" t="n"/>
      <c r="D312" s="85" t="n"/>
      <c r="E312" s="85" t="n"/>
      <c r="F312" s="85" t="n"/>
      <c r="G312" s="85" t="n"/>
      <c r="H312" s="85" t="n"/>
      <c r="I312" s="85" t="n"/>
      <c r="J312" s="85" t="n"/>
      <c r="K312" s="85" t="n"/>
      <c r="L312" s="85" t="n"/>
      <c r="M312" s="85" t="n"/>
      <c r="N312" s="85" t="n"/>
      <c r="O312" s="85" t="n"/>
      <c r="P312" s="85" t="n"/>
      <c r="Q312" s="85" t="n"/>
      <c r="R312" s="85" t="n"/>
      <c r="S312" s="85" t="n"/>
      <c r="T312" s="85" t="n"/>
      <c r="U312" s="85" t="n"/>
      <c r="V312" s="85" t="n"/>
      <c r="W312" s="85" t="n"/>
      <c r="X312" s="85" t="n"/>
      <c r="Y312" s="85" t="n"/>
      <c r="Z312" s="85" t="n"/>
      <c r="AA312" s="85" t="n"/>
      <c r="AB312" s="85" t="n"/>
      <c r="AC312" s="86" t="n"/>
      <c r="AD312" s="85">
        <f>IF($A312="","",IF(OR($AB312&lt;&gt;"Yes",$AC312="",TODAY()-$AC312&gt;90),"At Risk","Not At Risk"))</f>
        <v/>
      </c>
      <c r="AE312" s="85" t="n"/>
    </row>
    <row r="313" ht="15" customHeight="1" s="39">
      <c r="A313" s="85" t="n"/>
      <c r="B313" s="85" t="n"/>
      <c r="C313" s="85" t="n"/>
      <c r="D313" s="85" t="n"/>
      <c r="E313" s="85" t="n"/>
      <c r="F313" s="85" t="n"/>
      <c r="G313" s="85" t="n"/>
      <c r="H313" s="85" t="n"/>
      <c r="I313" s="85" t="n"/>
      <c r="J313" s="85" t="n"/>
      <c r="K313" s="85" t="n"/>
      <c r="L313" s="85" t="n"/>
      <c r="M313" s="85" t="n"/>
      <c r="N313" s="85" t="n"/>
      <c r="O313" s="85" t="n"/>
      <c r="P313" s="85" t="n"/>
      <c r="Q313" s="85" t="n"/>
      <c r="R313" s="85" t="n"/>
      <c r="S313" s="85" t="n"/>
      <c r="T313" s="85" t="n"/>
      <c r="U313" s="85" t="n"/>
      <c r="V313" s="85" t="n"/>
      <c r="W313" s="85" t="n"/>
      <c r="X313" s="85" t="n"/>
      <c r="Y313" s="85" t="n"/>
      <c r="Z313" s="85" t="n"/>
      <c r="AA313" s="85" t="n"/>
      <c r="AB313" s="85" t="n"/>
      <c r="AC313" s="86" t="n"/>
      <c r="AD313" s="85">
        <f>IF($A313="","",IF(OR($AB313&lt;&gt;"Yes",$AC313="",TODAY()-$AC313&gt;90),"At Risk","Not At Risk"))</f>
        <v/>
      </c>
      <c r="AE313" s="85" t="n"/>
    </row>
    <row r="314" ht="15" customHeight="1" s="39">
      <c r="A314" s="85" t="n"/>
      <c r="B314" s="85" t="n"/>
      <c r="C314" s="85" t="n"/>
      <c r="D314" s="85" t="n"/>
      <c r="E314" s="85" t="n"/>
      <c r="F314" s="85" t="n"/>
      <c r="G314" s="85" t="n"/>
      <c r="H314" s="85" t="n"/>
      <c r="I314" s="85" t="n"/>
      <c r="J314" s="85" t="n"/>
      <c r="K314" s="85" t="n"/>
      <c r="L314" s="85" t="n"/>
      <c r="M314" s="85" t="n"/>
      <c r="N314" s="85" t="n"/>
      <c r="O314" s="85" t="n"/>
      <c r="P314" s="85" t="n"/>
      <c r="Q314" s="85" t="n"/>
      <c r="R314" s="85" t="n"/>
      <c r="S314" s="85" t="n"/>
      <c r="T314" s="85" t="n"/>
      <c r="U314" s="85" t="n"/>
      <c r="V314" s="85" t="n"/>
      <c r="W314" s="85" t="n"/>
      <c r="X314" s="85" t="n"/>
      <c r="Y314" s="85" t="n"/>
      <c r="Z314" s="85" t="n"/>
      <c r="AA314" s="85" t="n"/>
      <c r="AB314" s="85" t="n"/>
      <c r="AC314" s="86" t="n"/>
      <c r="AD314" s="85">
        <f>IF($A314="","",IF(OR($AB314&lt;&gt;"Yes",$AC314="",TODAY()-$AC314&gt;90),"At Risk","Not At Risk"))</f>
        <v/>
      </c>
      <c r="AE314" s="85" t="n"/>
    </row>
    <row r="315" ht="15" customHeight="1" s="39">
      <c r="A315" s="85" t="n"/>
      <c r="B315" s="85" t="n"/>
      <c r="C315" s="85" t="n"/>
      <c r="D315" s="85" t="n"/>
      <c r="E315" s="85" t="n"/>
      <c r="F315" s="85" t="n"/>
      <c r="G315" s="85" t="n"/>
      <c r="H315" s="85" t="n"/>
      <c r="I315" s="85" t="n"/>
      <c r="J315" s="85" t="n"/>
      <c r="K315" s="85" t="n"/>
      <c r="L315" s="85" t="n"/>
      <c r="M315" s="85" t="n"/>
      <c r="N315" s="85" t="n"/>
      <c r="O315" s="85" t="n"/>
      <c r="P315" s="85" t="n"/>
      <c r="Q315" s="85" t="n"/>
      <c r="R315" s="85" t="n"/>
      <c r="S315" s="85" t="n"/>
      <c r="T315" s="85" t="n"/>
      <c r="U315" s="85" t="n"/>
      <c r="V315" s="85" t="n"/>
      <c r="W315" s="85" t="n"/>
      <c r="X315" s="85" t="n"/>
      <c r="Y315" s="85" t="n"/>
      <c r="Z315" s="85" t="n"/>
      <c r="AA315" s="85" t="n"/>
      <c r="AB315" s="85" t="n"/>
      <c r="AC315" s="86" t="n"/>
      <c r="AD315" s="85">
        <f>IF($A315="","",IF(OR($AB315&lt;&gt;"Yes",$AC315="",TODAY()-$AC315&gt;90),"At Risk","Not At Risk"))</f>
        <v/>
      </c>
      <c r="AE315" s="85" t="n"/>
    </row>
    <row r="316" ht="15" customHeight="1" s="39">
      <c r="A316" s="85" t="n"/>
      <c r="B316" s="85" t="n"/>
      <c r="C316" s="85" t="n"/>
      <c r="D316" s="85" t="n"/>
      <c r="E316" s="85" t="n"/>
      <c r="F316" s="85" t="n"/>
      <c r="G316" s="85" t="n"/>
      <c r="H316" s="85" t="n"/>
      <c r="I316" s="85" t="n"/>
      <c r="J316" s="85" t="n"/>
      <c r="K316" s="85" t="n"/>
      <c r="L316" s="85" t="n"/>
      <c r="M316" s="85" t="n"/>
      <c r="N316" s="85" t="n"/>
      <c r="O316" s="85" t="n"/>
      <c r="P316" s="85" t="n"/>
      <c r="Q316" s="85" t="n"/>
      <c r="R316" s="85" t="n"/>
      <c r="S316" s="85" t="n"/>
      <c r="T316" s="85" t="n"/>
      <c r="U316" s="85" t="n"/>
      <c r="V316" s="85" t="n"/>
      <c r="W316" s="85" t="n"/>
      <c r="X316" s="85" t="n"/>
      <c r="Y316" s="85" t="n"/>
      <c r="Z316" s="85" t="n"/>
      <c r="AA316" s="85" t="n"/>
      <c r="AB316" s="85" t="n"/>
      <c r="AC316" s="86" t="n"/>
      <c r="AD316" s="85">
        <f>IF($A316="","",IF(OR($AB316&lt;&gt;"Yes",$AC316="",TODAY()-$AC316&gt;90),"At Risk","Not At Risk"))</f>
        <v/>
      </c>
      <c r="AE316" s="85" t="n"/>
    </row>
    <row r="317" ht="15" customHeight="1" s="39">
      <c r="A317" s="85" t="n"/>
      <c r="B317" s="85" t="n"/>
      <c r="C317" s="85" t="n"/>
      <c r="D317" s="85" t="n"/>
      <c r="E317" s="85" t="n"/>
      <c r="F317" s="85" t="n"/>
      <c r="G317" s="85" t="n"/>
      <c r="H317" s="85" t="n"/>
      <c r="I317" s="85" t="n"/>
      <c r="J317" s="85" t="n"/>
      <c r="K317" s="85" t="n"/>
      <c r="L317" s="85" t="n"/>
      <c r="M317" s="85" t="n"/>
      <c r="N317" s="85" t="n"/>
      <c r="O317" s="85" t="n"/>
      <c r="P317" s="85" t="n"/>
      <c r="Q317" s="85" t="n"/>
      <c r="R317" s="85" t="n"/>
      <c r="S317" s="85" t="n"/>
      <c r="T317" s="85" t="n"/>
      <c r="U317" s="85" t="n"/>
      <c r="V317" s="85" t="n"/>
      <c r="W317" s="85" t="n"/>
      <c r="X317" s="85" t="n"/>
      <c r="Y317" s="85" t="n"/>
      <c r="Z317" s="85" t="n"/>
      <c r="AA317" s="85" t="n"/>
      <c r="AB317" s="85" t="n"/>
      <c r="AC317" s="86" t="n"/>
      <c r="AD317" s="85">
        <f>IF($A317="","",IF(OR($AB317&lt;&gt;"Yes",$AC317="",TODAY()-$AC317&gt;90),"At Risk","Not At Risk"))</f>
        <v/>
      </c>
      <c r="AE317" s="85" t="n"/>
    </row>
    <row r="318" ht="15" customHeight="1" s="39">
      <c r="A318" s="85" t="n"/>
      <c r="B318" s="85" t="n"/>
      <c r="C318" s="85" t="n"/>
      <c r="D318" s="85" t="n"/>
      <c r="E318" s="85" t="n"/>
      <c r="F318" s="85" t="n"/>
      <c r="G318" s="85" t="n"/>
      <c r="H318" s="85" t="n"/>
      <c r="I318" s="85" t="n"/>
      <c r="J318" s="85" t="n"/>
      <c r="K318" s="85" t="n"/>
      <c r="L318" s="85" t="n"/>
      <c r="M318" s="85" t="n"/>
      <c r="N318" s="85" t="n"/>
      <c r="O318" s="85" t="n"/>
      <c r="P318" s="85" t="n"/>
      <c r="Q318" s="85" t="n"/>
      <c r="R318" s="85" t="n"/>
      <c r="S318" s="85" t="n"/>
      <c r="T318" s="85" t="n"/>
      <c r="U318" s="85" t="n"/>
      <c r="V318" s="85" t="n"/>
      <c r="W318" s="85" t="n"/>
      <c r="X318" s="85" t="n"/>
      <c r="Y318" s="85" t="n"/>
      <c r="Z318" s="85" t="n"/>
      <c r="AA318" s="85" t="n"/>
      <c r="AB318" s="85" t="n"/>
      <c r="AC318" s="86" t="n"/>
      <c r="AD318" s="85">
        <f>IF($A318="","",IF(OR($AB318&lt;&gt;"Yes",$AC318="",TODAY()-$AC318&gt;90),"At Risk","Not At Risk"))</f>
        <v/>
      </c>
      <c r="AE318" s="85" t="n"/>
    </row>
    <row r="319" ht="15" customHeight="1" s="39">
      <c r="A319" s="85" t="n"/>
      <c r="B319" s="85" t="n"/>
      <c r="C319" s="85" t="n"/>
      <c r="D319" s="85" t="n"/>
      <c r="E319" s="85" t="n"/>
      <c r="F319" s="85" t="n"/>
      <c r="G319" s="85" t="n"/>
      <c r="H319" s="85" t="n"/>
      <c r="I319" s="85" t="n"/>
      <c r="J319" s="85" t="n"/>
      <c r="K319" s="85" t="n"/>
      <c r="L319" s="85" t="n"/>
      <c r="M319" s="85" t="n"/>
      <c r="N319" s="85" t="n"/>
      <c r="O319" s="85" t="n"/>
      <c r="P319" s="85" t="n"/>
      <c r="Q319" s="85" t="n"/>
      <c r="R319" s="85" t="n"/>
      <c r="S319" s="85" t="n"/>
      <c r="T319" s="85" t="n"/>
      <c r="U319" s="85" t="n"/>
      <c r="V319" s="85" t="n"/>
      <c r="W319" s="85" t="n"/>
      <c r="X319" s="85" t="n"/>
      <c r="Y319" s="85" t="n"/>
      <c r="Z319" s="85" t="n"/>
      <c r="AA319" s="85" t="n"/>
      <c r="AB319" s="85" t="n"/>
      <c r="AC319" s="86" t="n"/>
      <c r="AD319" s="85">
        <f>IF($A319="","",IF(OR($AB319&lt;&gt;"Yes",$AC319="",TODAY()-$AC319&gt;90),"At Risk","Not At Risk"))</f>
        <v/>
      </c>
      <c r="AE319" s="85" t="n"/>
    </row>
    <row r="320" ht="15" customHeight="1" s="39">
      <c r="A320" s="85" t="n"/>
      <c r="B320" s="85" t="n"/>
      <c r="C320" s="85" t="n"/>
      <c r="D320" s="85" t="n"/>
      <c r="E320" s="85" t="n"/>
      <c r="F320" s="85" t="n"/>
      <c r="G320" s="85" t="n"/>
      <c r="H320" s="85" t="n"/>
      <c r="I320" s="85" t="n"/>
      <c r="J320" s="85" t="n"/>
      <c r="K320" s="85" t="n"/>
      <c r="L320" s="85" t="n"/>
      <c r="M320" s="85" t="n"/>
      <c r="N320" s="85" t="n"/>
      <c r="O320" s="85" t="n"/>
      <c r="P320" s="85" t="n"/>
      <c r="Q320" s="85" t="n"/>
      <c r="R320" s="85" t="n"/>
      <c r="S320" s="85" t="n"/>
      <c r="T320" s="85" t="n"/>
      <c r="U320" s="85" t="n"/>
      <c r="V320" s="85" t="n"/>
      <c r="W320" s="85" t="n"/>
      <c r="X320" s="85" t="n"/>
      <c r="Y320" s="85" t="n"/>
      <c r="Z320" s="85" t="n"/>
      <c r="AA320" s="85" t="n"/>
      <c r="AB320" s="85" t="n"/>
      <c r="AC320" s="86" t="n"/>
      <c r="AD320" s="85">
        <f>IF($A320="","",IF(OR($AB320&lt;&gt;"Yes",$AC320="",TODAY()-$AC320&gt;90),"At Risk","Not At Risk"))</f>
        <v/>
      </c>
      <c r="AE320" s="85" t="n"/>
    </row>
    <row r="321" ht="15" customHeight="1" s="39">
      <c r="A321" s="85" t="n"/>
      <c r="B321" s="85" t="n"/>
      <c r="C321" s="85" t="n"/>
      <c r="D321" s="85" t="n"/>
      <c r="E321" s="85" t="n"/>
      <c r="F321" s="85" t="n"/>
      <c r="G321" s="85" t="n"/>
      <c r="H321" s="85" t="n"/>
      <c r="I321" s="85" t="n"/>
      <c r="J321" s="85" t="n"/>
      <c r="K321" s="85" t="n"/>
      <c r="L321" s="85" t="n"/>
      <c r="M321" s="85" t="n"/>
      <c r="N321" s="85" t="n"/>
      <c r="O321" s="85" t="n"/>
      <c r="P321" s="85" t="n"/>
      <c r="Q321" s="85" t="n"/>
      <c r="R321" s="85" t="n"/>
      <c r="S321" s="85" t="n"/>
      <c r="T321" s="85" t="n"/>
      <c r="U321" s="85" t="n"/>
      <c r="V321" s="85" t="n"/>
      <c r="W321" s="85" t="n"/>
      <c r="X321" s="85" t="n"/>
      <c r="Y321" s="85" t="n"/>
      <c r="Z321" s="85" t="n"/>
      <c r="AA321" s="85" t="n"/>
      <c r="AB321" s="85" t="n"/>
      <c r="AC321" s="86" t="n"/>
      <c r="AD321" s="85">
        <f>IF($A321="","",IF(OR($AB321&lt;&gt;"Yes",$AC321="",TODAY()-$AC321&gt;90),"At Risk","Not At Risk"))</f>
        <v/>
      </c>
      <c r="AE321" s="85" t="n"/>
    </row>
    <row r="322" ht="15" customHeight="1" s="39">
      <c r="A322" s="85" t="n"/>
      <c r="B322" s="85" t="n"/>
      <c r="C322" s="85" t="n"/>
      <c r="D322" s="85" t="n"/>
      <c r="E322" s="85" t="n"/>
      <c r="F322" s="85" t="n"/>
      <c r="G322" s="85" t="n"/>
      <c r="H322" s="85" t="n"/>
      <c r="I322" s="85" t="n"/>
      <c r="J322" s="85" t="n"/>
      <c r="K322" s="85" t="n"/>
      <c r="L322" s="85" t="n"/>
      <c r="M322" s="85" t="n"/>
      <c r="N322" s="85" t="n"/>
      <c r="O322" s="85" t="n"/>
      <c r="P322" s="85" t="n"/>
      <c r="Q322" s="85" t="n"/>
      <c r="R322" s="85" t="n"/>
      <c r="S322" s="85" t="n"/>
      <c r="T322" s="85" t="n"/>
      <c r="U322" s="85" t="n"/>
      <c r="V322" s="85" t="n"/>
      <c r="W322" s="85" t="n"/>
      <c r="X322" s="85" t="n"/>
      <c r="Y322" s="85" t="n"/>
      <c r="Z322" s="85" t="n"/>
      <c r="AA322" s="85" t="n"/>
      <c r="AB322" s="85" t="n"/>
      <c r="AC322" s="86" t="n"/>
      <c r="AD322" s="85">
        <f>IF($A322="","",IF(OR($AB322&lt;&gt;"Yes",$AC322="",TODAY()-$AC322&gt;90),"At Risk","Not At Risk"))</f>
        <v/>
      </c>
      <c r="AE322" s="85" t="n"/>
    </row>
    <row r="323" ht="15" customHeight="1" s="39">
      <c r="A323" s="85" t="n"/>
      <c r="B323" s="85" t="n"/>
      <c r="C323" s="85" t="n"/>
      <c r="D323" s="85" t="n"/>
      <c r="E323" s="85" t="n"/>
      <c r="F323" s="85" t="n"/>
      <c r="G323" s="85" t="n"/>
      <c r="H323" s="85" t="n"/>
      <c r="I323" s="85" t="n"/>
      <c r="J323" s="85" t="n"/>
      <c r="K323" s="85" t="n"/>
      <c r="L323" s="85" t="n"/>
      <c r="M323" s="85" t="n"/>
      <c r="N323" s="85" t="n"/>
      <c r="O323" s="85" t="n"/>
      <c r="P323" s="85" t="n"/>
      <c r="Q323" s="85" t="n"/>
      <c r="R323" s="85" t="n"/>
      <c r="S323" s="85" t="n"/>
      <c r="T323" s="85" t="n"/>
      <c r="U323" s="85" t="n"/>
      <c r="V323" s="85" t="n"/>
      <c r="W323" s="85" t="n"/>
      <c r="X323" s="85" t="n"/>
      <c r="Y323" s="85" t="n"/>
      <c r="Z323" s="85" t="n"/>
      <c r="AA323" s="85" t="n"/>
      <c r="AB323" s="85" t="n"/>
      <c r="AC323" s="86" t="n"/>
      <c r="AD323" s="85">
        <f>IF($A323="","",IF(OR($AB323&lt;&gt;"Yes",$AC323="",TODAY()-$AC323&gt;90),"At Risk","Not At Risk"))</f>
        <v/>
      </c>
      <c r="AE323" s="85" t="n"/>
    </row>
    <row r="324" ht="15" customHeight="1" s="39">
      <c r="A324" s="85" t="n"/>
      <c r="B324" s="85" t="n"/>
      <c r="C324" s="85" t="n"/>
      <c r="D324" s="85" t="n"/>
      <c r="E324" s="85" t="n"/>
      <c r="F324" s="85" t="n"/>
      <c r="G324" s="85" t="n"/>
      <c r="H324" s="85" t="n"/>
      <c r="I324" s="85" t="n"/>
      <c r="J324" s="85" t="n"/>
      <c r="K324" s="85" t="n"/>
      <c r="L324" s="85" t="n"/>
      <c r="M324" s="85" t="n"/>
      <c r="N324" s="85" t="n"/>
      <c r="O324" s="85" t="n"/>
      <c r="P324" s="85" t="n"/>
      <c r="Q324" s="85" t="n"/>
      <c r="R324" s="85" t="n"/>
      <c r="S324" s="85" t="n"/>
      <c r="T324" s="85" t="n"/>
      <c r="U324" s="85" t="n"/>
      <c r="V324" s="85" t="n"/>
      <c r="W324" s="85" t="n"/>
      <c r="X324" s="85" t="n"/>
      <c r="Y324" s="85" t="n"/>
      <c r="Z324" s="85" t="n"/>
      <c r="AA324" s="85" t="n"/>
      <c r="AB324" s="85" t="n"/>
      <c r="AC324" s="86" t="n"/>
      <c r="AD324" s="85">
        <f>IF($A324="","",IF(OR($AB324&lt;&gt;"Yes",$AC324="",TODAY()-$AC324&gt;90),"At Risk","Not At Risk"))</f>
        <v/>
      </c>
      <c r="AE324" s="85" t="n"/>
    </row>
    <row r="325" ht="15" customHeight="1" s="39">
      <c r="A325" s="85" t="n"/>
      <c r="B325" s="85" t="n"/>
      <c r="C325" s="85" t="n"/>
      <c r="D325" s="85" t="n"/>
      <c r="E325" s="85" t="n"/>
      <c r="F325" s="85" t="n"/>
      <c r="G325" s="85" t="n"/>
      <c r="H325" s="85" t="n"/>
      <c r="I325" s="85" t="n"/>
      <c r="J325" s="85" t="n"/>
      <c r="K325" s="85" t="n"/>
      <c r="L325" s="85" t="n"/>
      <c r="M325" s="85" t="n"/>
      <c r="N325" s="85" t="n"/>
      <c r="O325" s="85" t="n"/>
      <c r="P325" s="85" t="n"/>
      <c r="Q325" s="85" t="n"/>
      <c r="R325" s="85" t="n"/>
      <c r="S325" s="85" t="n"/>
      <c r="T325" s="85" t="n"/>
      <c r="U325" s="85" t="n"/>
      <c r="V325" s="85" t="n"/>
      <c r="W325" s="85" t="n"/>
      <c r="X325" s="85" t="n"/>
      <c r="Y325" s="85" t="n"/>
      <c r="Z325" s="85" t="n"/>
      <c r="AA325" s="85" t="n"/>
      <c r="AB325" s="85" t="n"/>
      <c r="AC325" s="86" t="n"/>
      <c r="AD325" s="85">
        <f>IF($A325="","",IF(OR($AB325&lt;&gt;"Yes",$AC325="",TODAY()-$AC325&gt;90),"At Risk","Not At Risk"))</f>
        <v/>
      </c>
      <c r="AE325" s="85" t="n"/>
    </row>
    <row r="326" ht="15" customHeight="1" s="39">
      <c r="A326" s="85" t="n"/>
      <c r="B326" s="85" t="n"/>
      <c r="C326" s="85" t="n"/>
      <c r="D326" s="85" t="n"/>
      <c r="E326" s="85" t="n"/>
      <c r="F326" s="85" t="n"/>
      <c r="G326" s="85" t="n"/>
      <c r="H326" s="85" t="n"/>
      <c r="I326" s="85" t="n"/>
      <c r="J326" s="85" t="n"/>
      <c r="K326" s="85" t="n"/>
      <c r="L326" s="85" t="n"/>
      <c r="M326" s="85" t="n"/>
      <c r="N326" s="85" t="n"/>
      <c r="O326" s="85" t="n"/>
      <c r="P326" s="85" t="n"/>
      <c r="Q326" s="85" t="n"/>
      <c r="R326" s="85" t="n"/>
      <c r="S326" s="85" t="n"/>
      <c r="T326" s="85" t="n"/>
      <c r="U326" s="85" t="n"/>
      <c r="V326" s="85" t="n"/>
      <c r="W326" s="85" t="n"/>
      <c r="X326" s="85" t="n"/>
      <c r="Y326" s="85" t="n"/>
      <c r="Z326" s="85" t="n"/>
      <c r="AA326" s="85" t="n"/>
      <c r="AB326" s="85" t="n"/>
      <c r="AC326" s="86" t="n"/>
      <c r="AD326" s="85">
        <f>IF($A326="","",IF(OR($AB326&lt;&gt;"Yes",$AC326="",TODAY()-$AC326&gt;90),"At Risk","Not At Risk"))</f>
        <v/>
      </c>
      <c r="AE326" s="85" t="n"/>
    </row>
    <row r="327" ht="15" customHeight="1" s="39">
      <c r="A327" s="85" t="n"/>
      <c r="B327" s="85" t="n"/>
      <c r="C327" s="85" t="n"/>
      <c r="D327" s="85" t="n"/>
      <c r="E327" s="85" t="n"/>
      <c r="F327" s="85" t="n"/>
      <c r="G327" s="85" t="n"/>
      <c r="H327" s="85" t="n"/>
      <c r="I327" s="85" t="n"/>
      <c r="J327" s="85" t="n"/>
      <c r="K327" s="85" t="n"/>
      <c r="L327" s="85" t="n"/>
      <c r="M327" s="85" t="n"/>
      <c r="N327" s="85" t="n"/>
      <c r="O327" s="85" t="n"/>
      <c r="P327" s="85" t="n"/>
      <c r="Q327" s="85" t="n"/>
      <c r="R327" s="85" t="n"/>
      <c r="S327" s="85" t="n"/>
      <c r="T327" s="85" t="n"/>
      <c r="U327" s="85" t="n"/>
      <c r="V327" s="85" t="n"/>
      <c r="W327" s="85" t="n"/>
      <c r="X327" s="85" t="n"/>
      <c r="Y327" s="85" t="n"/>
      <c r="Z327" s="85" t="n"/>
      <c r="AA327" s="85" t="n"/>
      <c r="AB327" s="85" t="n"/>
      <c r="AC327" s="86" t="n"/>
      <c r="AD327" s="85">
        <f>IF($A327="","",IF(OR($AB327&lt;&gt;"Yes",$AC327="",TODAY()-$AC327&gt;90),"At Risk","Not At Risk"))</f>
        <v/>
      </c>
      <c r="AE327" s="85" t="n"/>
    </row>
    <row r="328" ht="15" customHeight="1" s="39">
      <c r="A328" s="85" t="n"/>
      <c r="B328" s="85" t="n"/>
      <c r="C328" s="85" t="n"/>
      <c r="D328" s="85" t="n"/>
      <c r="E328" s="85" t="n"/>
      <c r="F328" s="85" t="n"/>
      <c r="G328" s="85" t="n"/>
      <c r="H328" s="85" t="n"/>
      <c r="I328" s="85" t="n"/>
      <c r="J328" s="85" t="n"/>
      <c r="K328" s="85" t="n"/>
      <c r="L328" s="85" t="n"/>
      <c r="M328" s="85" t="n"/>
      <c r="N328" s="85" t="n"/>
      <c r="O328" s="85" t="n"/>
      <c r="P328" s="85" t="n"/>
      <c r="Q328" s="85" t="n"/>
      <c r="R328" s="85" t="n"/>
      <c r="S328" s="85" t="n"/>
      <c r="T328" s="85" t="n"/>
      <c r="U328" s="85" t="n"/>
      <c r="V328" s="85" t="n"/>
      <c r="W328" s="85" t="n"/>
      <c r="X328" s="85" t="n"/>
      <c r="Y328" s="85" t="n"/>
      <c r="Z328" s="85" t="n"/>
      <c r="AA328" s="85" t="n"/>
      <c r="AB328" s="85" t="n"/>
      <c r="AC328" s="86" t="n"/>
      <c r="AD328" s="85">
        <f>IF($A328="","",IF(OR($AB328&lt;&gt;"Yes",$AC328="",TODAY()-$AC328&gt;90),"At Risk","Not At Risk"))</f>
        <v/>
      </c>
      <c r="AE328" s="85" t="n"/>
    </row>
    <row r="329" ht="15" customHeight="1" s="39">
      <c r="A329" s="85" t="n"/>
      <c r="B329" s="85" t="n"/>
      <c r="C329" s="85" t="n"/>
      <c r="D329" s="85" t="n"/>
      <c r="E329" s="85" t="n"/>
      <c r="F329" s="85" t="n"/>
      <c r="G329" s="85" t="n"/>
      <c r="H329" s="85" t="n"/>
      <c r="I329" s="85" t="n"/>
      <c r="J329" s="85" t="n"/>
      <c r="K329" s="85" t="n"/>
      <c r="L329" s="85" t="n"/>
      <c r="M329" s="85" t="n"/>
      <c r="N329" s="85" t="n"/>
      <c r="O329" s="85" t="n"/>
      <c r="P329" s="85" t="n"/>
      <c r="Q329" s="85" t="n"/>
      <c r="R329" s="85" t="n"/>
      <c r="S329" s="85" t="n"/>
      <c r="T329" s="85" t="n"/>
      <c r="U329" s="85" t="n"/>
      <c r="V329" s="85" t="n"/>
      <c r="W329" s="85" t="n"/>
      <c r="X329" s="85" t="n"/>
      <c r="Y329" s="85" t="n"/>
      <c r="Z329" s="85" t="n"/>
      <c r="AA329" s="85" t="n"/>
      <c r="AB329" s="85" t="n"/>
      <c r="AC329" s="86" t="n"/>
      <c r="AD329" s="85">
        <f>IF($A329="","",IF(OR($AB329&lt;&gt;"Yes",$AC329="",TODAY()-$AC329&gt;90),"At Risk","Not At Risk"))</f>
        <v/>
      </c>
      <c r="AE329" s="85" t="n"/>
    </row>
    <row r="330" ht="15" customHeight="1" s="39">
      <c r="A330" s="85" t="n"/>
      <c r="B330" s="85" t="n"/>
      <c r="C330" s="85" t="n"/>
      <c r="D330" s="85" t="n"/>
      <c r="E330" s="85" t="n"/>
      <c r="F330" s="85" t="n"/>
      <c r="G330" s="85" t="n"/>
      <c r="H330" s="85" t="n"/>
      <c r="I330" s="85" t="n"/>
      <c r="J330" s="85" t="n"/>
      <c r="K330" s="85" t="n"/>
      <c r="L330" s="85" t="n"/>
      <c r="M330" s="85" t="n"/>
      <c r="N330" s="85" t="n"/>
      <c r="O330" s="85" t="n"/>
      <c r="P330" s="85" t="n"/>
      <c r="Q330" s="85" t="n"/>
      <c r="R330" s="85" t="n"/>
      <c r="S330" s="85" t="n"/>
      <c r="T330" s="85" t="n"/>
      <c r="U330" s="85" t="n"/>
      <c r="V330" s="85" t="n"/>
      <c r="W330" s="85" t="n"/>
      <c r="X330" s="85" t="n"/>
      <c r="Y330" s="85" t="n"/>
      <c r="Z330" s="85" t="n"/>
      <c r="AA330" s="85" t="n"/>
      <c r="AB330" s="85" t="n"/>
      <c r="AC330" s="86" t="n"/>
      <c r="AD330" s="85">
        <f>IF($A330="","",IF(OR($AB330&lt;&gt;"Yes",$AC330="",TODAY()-$AC330&gt;90),"At Risk","Not At Risk"))</f>
        <v/>
      </c>
      <c r="AE330" s="85" t="n"/>
    </row>
    <row r="331" ht="15" customHeight="1" s="39">
      <c r="A331" s="85" t="n"/>
      <c r="B331" s="85" t="n"/>
      <c r="C331" s="85" t="n"/>
      <c r="D331" s="85" t="n"/>
      <c r="E331" s="85" t="n"/>
      <c r="F331" s="85" t="n"/>
      <c r="G331" s="85" t="n"/>
      <c r="H331" s="85" t="n"/>
      <c r="I331" s="85" t="n"/>
      <c r="J331" s="85" t="n"/>
      <c r="K331" s="85" t="n"/>
      <c r="L331" s="85" t="n"/>
      <c r="M331" s="85" t="n"/>
      <c r="N331" s="85" t="n"/>
      <c r="O331" s="85" t="n"/>
      <c r="P331" s="85" t="n"/>
      <c r="Q331" s="85" t="n"/>
      <c r="R331" s="85" t="n"/>
      <c r="S331" s="85" t="n"/>
      <c r="T331" s="85" t="n"/>
      <c r="U331" s="85" t="n"/>
      <c r="V331" s="85" t="n"/>
      <c r="W331" s="85" t="n"/>
      <c r="X331" s="85" t="n"/>
      <c r="Y331" s="85" t="n"/>
      <c r="Z331" s="85" t="n"/>
      <c r="AA331" s="85" t="n"/>
      <c r="AB331" s="85" t="n"/>
      <c r="AC331" s="86" t="n"/>
      <c r="AD331" s="85">
        <f>IF($A331="","",IF(OR($AB331&lt;&gt;"Yes",$AC331="",TODAY()-$AC331&gt;90),"At Risk","Not At Risk"))</f>
        <v/>
      </c>
      <c r="AE331" s="85" t="n"/>
    </row>
    <row r="332" ht="15" customHeight="1" s="39">
      <c r="A332" s="85" t="n"/>
      <c r="B332" s="85" t="n"/>
      <c r="C332" s="85" t="n"/>
      <c r="D332" s="85" t="n"/>
      <c r="E332" s="85" t="n"/>
      <c r="F332" s="85" t="n"/>
      <c r="G332" s="85" t="n"/>
      <c r="H332" s="85" t="n"/>
      <c r="I332" s="85" t="n"/>
      <c r="J332" s="85" t="n"/>
      <c r="K332" s="85" t="n"/>
      <c r="L332" s="85" t="n"/>
      <c r="M332" s="85" t="n"/>
      <c r="N332" s="85" t="n"/>
      <c r="O332" s="85" t="n"/>
      <c r="P332" s="85" t="n"/>
      <c r="Q332" s="85" t="n"/>
      <c r="R332" s="85" t="n"/>
      <c r="S332" s="85" t="n"/>
      <c r="T332" s="85" t="n"/>
      <c r="U332" s="85" t="n"/>
      <c r="V332" s="85" t="n"/>
      <c r="W332" s="85" t="n"/>
      <c r="X332" s="85" t="n"/>
      <c r="Y332" s="85" t="n"/>
      <c r="Z332" s="85" t="n"/>
      <c r="AA332" s="85" t="n"/>
      <c r="AB332" s="85" t="n"/>
      <c r="AC332" s="86" t="n"/>
      <c r="AD332" s="85">
        <f>IF($A332="","",IF(OR($AB332&lt;&gt;"Yes",$AC332="",TODAY()-$AC332&gt;90),"At Risk","Not At Risk"))</f>
        <v/>
      </c>
      <c r="AE332" s="85" t="n"/>
    </row>
    <row r="333" ht="15" customHeight="1" s="39">
      <c r="A333" s="85" t="n"/>
      <c r="B333" s="85" t="n"/>
      <c r="C333" s="85" t="n"/>
      <c r="D333" s="85" t="n"/>
      <c r="E333" s="85" t="n"/>
      <c r="F333" s="85" t="n"/>
      <c r="G333" s="85" t="n"/>
      <c r="H333" s="85" t="n"/>
      <c r="I333" s="85" t="n"/>
      <c r="J333" s="85" t="n"/>
      <c r="K333" s="85" t="n"/>
      <c r="L333" s="85" t="n"/>
      <c r="M333" s="85" t="n"/>
      <c r="N333" s="85" t="n"/>
      <c r="O333" s="85" t="n"/>
      <c r="P333" s="85" t="n"/>
      <c r="Q333" s="85" t="n"/>
      <c r="R333" s="85" t="n"/>
      <c r="S333" s="85" t="n"/>
      <c r="T333" s="85" t="n"/>
      <c r="U333" s="85" t="n"/>
      <c r="V333" s="85" t="n"/>
      <c r="W333" s="85" t="n"/>
      <c r="X333" s="85" t="n"/>
      <c r="Y333" s="85" t="n"/>
      <c r="Z333" s="85" t="n"/>
      <c r="AA333" s="85" t="n"/>
      <c r="AB333" s="85" t="n"/>
      <c r="AC333" s="86" t="n"/>
      <c r="AD333" s="85">
        <f>IF($A333="","",IF(OR($AB333&lt;&gt;"Yes",$AC333="",TODAY()-$AC333&gt;90),"At Risk","Not At Risk"))</f>
        <v/>
      </c>
      <c r="AE333" s="85" t="n"/>
    </row>
    <row r="334" ht="15" customHeight="1" s="39">
      <c r="A334" s="85" t="n"/>
      <c r="B334" s="85" t="n"/>
      <c r="C334" s="85" t="n"/>
      <c r="D334" s="85" t="n"/>
      <c r="E334" s="85" t="n"/>
      <c r="F334" s="85" t="n"/>
      <c r="G334" s="85" t="n"/>
      <c r="H334" s="85" t="n"/>
      <c r="I334" s="85" t="n"/>
      <c r="J334" s="85" t="n"/>
      <c r="K334" s="85" t="n"/>
      <c r="L334" s="85" t="n"/>
      <c r="M334" s="85" t="n"/>
      <c r="N334" s="85" t="n"/>
      <c r="O334" s="85" t="n"/>
      <c r="P334" s="85" t="n"/>
      <c r="Q334" s="85" t="n"/>
      <c r="R334" s="85" t="n"/>
      <c r="S334" s="85" t="n"/>
      <c r="T334" s="85" t="n"/>
      <c r="U334" s="85" t="n"/>
      <c r="V334" s="85" t="n"/>
      <c r="W334" s="85" t="n"/>
      <c r="X334" s="85" t="n"/>
      <c r="Y334" s="85" t="n"/>
      <c r="Z334" s="85" t="n"/>
      <c r="AA334" s="85" t="n"/>
      <c r="AB334" s="85" t="n"/>
      <c r="AC334" s="86" t="n"/>
      <c r="AD334" s="85">
        <f>IF($A334="","",IF(OR($AB334&lt;&gt;"Yes",$AC334="",TODAY()-$AC334&gt;90),"At Risk","Not At Risk"))</f>
        <v/>
      </c>
      <c r="AE334" s="85" t="n"/>
    </row>
    <row r="335" ht="15" customHeight="1" s="39">
      <c r="A335" s="85" t="n"/>
      <c r="B335" s="85" t="n"/>
      <c r="C335" s="85" t="n"/>
      <c r="D335" s="85" t="n"/>
      <c r="E335" s="85" t="n"/>
      <c r="F335" s="85" t="n"/>
      <c r="G335" s="85" t="n"/>
      <c r="H335" s="85" t="n"/>
      <c r="I335" s="85" t="n"/>
      <c r="J335" s="85" t="n"/>
      <c r="K335" s="85" t="n"/>
      <c r="L335" s="85" t="n"/>
      <c r="M335" s="85" t="n"/>
      <c r="N335" s="85" t="n"/>
      <c r="O335" s="85" t="n"/>
      <c r="P335" s="85" t="n"/>
      <c r="Q335" s="85" t="n"/>
      <c r="R335" s="85" t="n"/>
      <c r="S335" s="85" t="n"/>
      <c r="T335" s="85" t="n"/>
      <c r="U335" s="85" t="n"/>
      <c r="V335" s="85" t="n"/>
      <c r="W335" s="85" t="n"/>
      <c r="X335" s="85" t="n"/>
      <c r="Y335" s="85" t="n"/>
      <c r="Z335" s="85" t="n"/>
      <c r="AA335" s="85" t="n"/>
      <c r="AB335" s="85" t="n"/>
      <c r="AC335" s="86" t="n"/>
      <c r="AD335" s="85">
        <f>IF($A335="","",IF(OR($AB335&lt;&gt;"Yes",$AC335="",TODAY()-$AC335&gt;90),"At Risk","Not At Risk"))</f>
        <v/>
      </c>
      <c r="AE335" s="85" t="n"/>
    </row>
    <row r="336" ht="15" customHeight="1" s="39">
      <c r="A336" s="85" t="n"/>
      <c r="B336" s="85" t="n"/>
      <c r="C336" s="85" t="n"/>
      <c r="D336" s="85" t="n"/>
      <c r="E336" s="85" t="n"/>
      <c r="F336" s="85" t="n"/>
      <c r="G336" s="85" t="n"/>
      <c r="H336" s="85" t="n"/>
      <c r="I336" s="85" t="n"/>
      <c r="J336" s="85" t="n"/>
      <c r="K336" s="85" t="n"/>
      <c r="L336" s="85" t="n"/>
      <c r="M336" s="85" t="n"/>
      <c r="N336" s="85" t="n"/>
      <c r="O336" s="85" t="n"/>
      <c r="P336" s="85" t="n"/>
      <c r="Q336" s="85" t="n"/>
      <c r="R336" s="85" t="n"/>
      <c r="S336" s="85" t="n"/>
      <c r="T336" s="85" t="n"/>
      <c r="U336" s="85" t="n"/>
      <c r="V336" s="85" t="n"/>
      <c r="W336" s="85" t="n"/>
      <c r="X336" s="85" t="n"/>
      <c r="Y336" s="85" t="n"/>
      <c r="Z336" s="85" t="n"/>
      <c r="AA336" s="85" t="n"/>
      <c r="AB336" s="85" t="n"/>
      <c r="AC336" s="86" t="n"/>
      <c r="AD336" s="85">
        <f>IF($A336="","",IF(OR($AB336&lt;&gt;"Yes",$AC336="",TODAY()-$AC336&gt;90),"At Risk","Not At Risk"))</f>
        <v/>
      </c>
      <c r="AE336" s="85" t="n"/>
    </row>
    <row r="337" ht="15" customHeight="1" s="39">
      <c r="A337" s="85" t="n"/>
      <c r="B337" s="85" t="n"/>
      <c r="C337" s="85" t="n"/>
      <c r="D337" s="85" t="n"/>
      <c r="E337" s="85" t="n"/>
      <c r="F337" s="85" t="n"/>
      <c r="G337" s="85" t="n"/>
      <c r="H337" s="85" t="n"/>
      <c r="I337" s="85" t="n"/>
      <c r="J337" s="85" t="n"/>
      <c r="K337" s="85" t="n"/>
      <c r="L337" s="85" t="n"/>
      <c r="M337" s="85" t="n"/>
      <c r="N337" s="85" t="n"/>
      <c r="O337" s="85" t="n"/>
      <c r="P337" s="85" t="n"/>
      <c r="Q337" s="85" t="n"/>
      <c r="R337" s="85" t="n"/>
      <c r="S337" s="85" t="n"/>
      <c r="T337" s="85" t="n"/>
      <c r="U337" s="85" t="n"/>
      <c r="V337" s="85" t="n"/>
      <c r="W337" s="85" t="n"/>
      <c r="X337" s="85" t="n"/>
      <c r="Y337" s="85" t="n"/>
      <c r="Z337" s="85" t="n"/>
      <c r="AA337" s="85" t="n"/>
      <c r="AB337" s="85" t="n"/>
      <c r="AC337" s="86" t="n"/>
      <c r="AD337" s="85">
        <f>IF($A337="","",IF(OR($AB337&lt;&gt;"Yes",$AC337="",TODAY()-$AC337&gt;90),"At Risk","Not At Risk"))</f>
        <v/>
      </c>
      <c r="AE337" s="85" t="n"/>
    </row>
    <row r="338" ht="15" customHeight="1" s="39">
      <c r="A338" s="85" t="n"/>
      <c r="B338" s="85" t="n"/>
      <c r="C338" s="85" t="n"/>
      <c r="D338" s="85" t="n"/>
      <c r="E338" s="85" t="n"/>
      <c r="F338" s="85" t="n"/>
      <c r="G338" s="85" t="n"/>
      <c r="H338" s="85" t="n"/>
      <c r="I338" s="85" t="n"/>
      <c r="J338" s="85" t="n"/>
      <c r="K338" s="85" t="n"/>
      <c r="L338" s="85" t="n"/>
      <c r="M338" s="85" t="n"/>
      <c r="N338" s="85" t="n"/>
      <c r="O338" s="85" t="n"/>
      <c r="P338" s="85" t="n"/>
      <c r="Q338" s="85" t="n"/>
      <c r="R338" s="85" t="n"/>
      <c r="S338" s="85" t="n"/>
      <c r="T338" s="85" t="n"/>
      <c r="U338" s="85" t="n"/>
      <c r="V338" s="85" t="n"/>
      <c r="W338" s="85" t="n"/>
      <c r="X338" s="85" t="n"/>
      <c r="Y338" s="85" t="n"/>
      <c r="Z338" s="85" t="n"/>
      <c r="AA338" s="85" t="n"/>
      <c r="AB338" s="85" t="n"/>
      <c r="AC338" s="86" t="n"/>
      <c r="AD338" s="85">
        <f>IF($A338="","",IF(OR($AB338&lt;&gt;"Yes",$AC338="",TODAY()-$AC338&gt;90),"At Risk","Not At Risk"))</f>
        <v/>
      </c>
      <c r="AE338" s="85" t="n"/>
    </row>
    <row r="339" ht="15" customHeight="1" s="39">
      <c r="A339" s="85" t="n"/>
      <c r="B339" s="85" t="n"/>
      <c r="C339" s="85" t="n"/>
      <c r="D339" s="85" t="n"/>
      <c r="E339" s="85" t="n"/>
      <c r="F339" s="85" t="n"/>
      <c r="G339" s="85" t="n"/>
      <c r="H339" s="85" t="n"/>
      <c r="I339" s="85" t="n"/>
      <c r="J339" s="85" t="n"/>
      <c r="K339" s="85" t="n"/>
      <c r="L339" s="85" t="n"/>
      <c r="M339" s="85" t="n"/>
      <c r="N339" s="85" t="n"/>
      <c r="O339" s="85" t="n"/>
      <c r="P339" s="85" t="n"/>
      <c r="Q339" s="85" t="n"/>
      <c r="R339" s="85" t="n"/>
      <c r="S339" s="85" t="n"/>
      <c r="T339" s="85" t="n"/>
      <c r="U339" s="85" t="n"/>
      <c r="V339" s="85" t="n"/>
      <c r="W339" s="85" t="n"/>
      <c r="X339" s="85" t="n"/>
      <c r="Y339" s="85" t="n"/>
      <c r="Z339" s="85" t="n"/>
      <c r="AA339" s="85" t="n"/>
      <c r="AB339" s="85" t="n"/>
      <c r="AC339" s="86" t="n"/>
      <c r="AD339" s="85">
        <f>IF($A339="","",IF(OR($AB339&lt;&gt;"Yes",$AC339="",TODAY()-$AC339&gt;90),"At Risk","Not At Risk"))</f>
        <v/>
      </c>
      <c r="AE339" s="85" t="n"/>
    </row>
    <row r="340" ht="15" customHeight="1" s="39">
      <c r="A340" s="85" t="n"/>
      <c r="B340" s="85" t="n"/>
      <c r="C340" s="85" t="n"/>
      <c r="D340" s="85" t="n"/>
      <c r="E340" s="85" t="n"/>
      <c r="F340" s="85" t="n"/>
      <c r="G340" s="85" t="n"/>
      <c r="H340" s="85" t="n"/>
      <c r="I340" s="85" t="n"/>
      <c r="J340" s="85" t="n"/>
      <c r="K340" s="85" t="n"/>
      <c r="L340" s="85" t="n"/>
      <c r="M340" s="85" t="n"/>
      <c r="N340" s="85" t="n"/>
      <c r="O340" s="85" t="n"/>
      <c r="P340" s="85" t="n"/>
      <c r="Q340" s="85" t="n"/>
      <c r="R340" s="85" t="n"/>
      <c r="S340" s="85" t="n"/>
      <c r="T340" s="85" t="n"/>
      <c r="U340" s="85" t="n"/>
      <c r="V340" s="85" t="n"/>
      <c r="W340" s="85" t="n"/>
      <c r="X340" s="85" t="n"/>
      <c r="Y340" s="85" t="n"/>
      <c r="Z340" s="85" t="n"/>
      <c r="AA340" s="85" t="n"/>
      <c r="AB340" s="85" t="n"/>
      <c r="AC340" s="86" t="n"/>
      <c r="AD340" s="85">
        <f>IF($A340="","",IF(OR($AB340&lt;&gt;"Yes",$AC340="",TODAY()-$AC340&gt;90),"At Risk","Not At Risk"))</f>
        <v/>
      </c>
      <c r="AE340" s="85" t="n"/>
    </row>
    <row r="341" ht="15" customHeight="1" s="39">
      <c r="A341" s="85" t="n"/>
      <c r="B341" s="85" t="n"/>
      <c r="C341" s="85" t="n"/>
      <c r="D341" s="85" t="n"/>
      <c r="E341" s="85" t="n"/>
      <c r="F341" s="85" t="n"/>
      <c r="G341" s="85" t="n"/>
      <c r="H341" s="85" t="n"/>
      <c r="I341" s="85" t="n"/>
      <c r="J341" s="85" t="n"/>
      <c r="K341" s="85" t="n"/>
      <c r="L341" s="85" t="n"/>
      <c r="M341" s="85" t="n"/>
      <c r="N341" s="85" t="n"/>
      <c r="O341" s="85" t="n"/>
      <c r="P341" s="85" t="n"/>
      <c r="Q341" s="85" t="n"/>
      <c r="R341" s="85" t="n"/>
      <c r="S341" s="85" t="n"/>
      <c r="T341" s="85" t="n"/>
      <c r="U341" s="85" t="n"/>
      <c r="V341" s="85" t="n"/>
      <c r="W341" s="85" t="n"/>
      <c r="X341" s="85" t="n"/>
      <c r="Y341" s="85" t="n"/>
      <c r="Z341" s="85" t="n"/>
      <c r="AA341" s="85" t="n"/>
      <c r="AB341" s="85" t="n"/>
      <c r="AC341" s="86" t="n"/>
      <c r="AD341" s="85">
        <f>IF($A341="","",IF(OR($AB341&lt;&gt;"Yes",$AC341="",TODAY()-$AC341&gt;90),"At Risk","Not At Risk"))</f>
        <v/>
      </c>
      <c r="AE341" s="85" t="n"/>
    </row>
    <row r="342" ht="15" customHeight="1" s="39">
      <c r="A342" s="85" t="n"/>
      <c r="B342" s="85" t="n"/>
      <c r="C342" s="85" t="n"/>
      <c r="D342" s="85" t="n"/>
      <c r="E342" s="85" t="n"/>
      <c r="F342" s="85" t="n"/>
      <c r="G342" s="85" t="n"/>
      <c r="H342" s="85" t="n"/>
      <c r="I342" s="85" t="n"/>
      <c r="J342" s="85" t="n"/>
      <c r="K342" s="85" t="n"/>
      <c r="L342" s="85" t="n"/>
      <c r="M342" s="85" t="n"/>
      <c r="N342" s="85" t="n"/>
      <c r="O342" s="85" t="n"/>
      <c r="P342" s="85" t="n"/>
      <c r="Q342" s="85" t="n"/>
      <c r="R342" s="85" t="n"/>
      <c r="S342" s="85" t="n"/>
      <c r="T342" s="85" t="n"/>
      <c r="U342" s="85" t="n"/>
      <c r="V342" s="85" t="n"/>
      <c r="W342" s="85" t="n"/>
      <c r="X342" s="85" t="n"/>
      <c r="Y342" s="85" t="n"/>
      <c r="Z342" s="85" t="n"/>
      <c r="AA342" s="85" t="n"/>
      <c r="AB342" s="85" t="n"/>
      <c r="AC342" s="86" t="n"/>
      <c r="AD342" s="85">
        <f>IF($A342="","",IF(OR($AB342&lt;&gt;"Yes",$AC342="",TODAY()-$AC342&gt;90),"At Risk","Not At Risk"))</f>
        <v/>
      </c>
      <c r="AE342" s="85" t="n"/>
    </row>
    <row r="343" ht="15" customHeight="1" s="39">
      <c r="A343" s="85" t="n"/>
      <c r="B343" s="85" t="n"/>
      <c r="C343" s="85" t="n"/>
      <c r="D343" s="85" t="n"/>
      <c r="E343" s="85" t="n"/>
      <c r="F343" s="85" t="n"/>
      <c r="G343" s="85" t="n"/>
      <c r="H343" s="85" t="n"/>
      <c r="I343" s="85" t="n"/>
      <c r="J343" s="85" t="n"/>
      <c r="K343" s="85" t="n"/>
      <c r="L343" s="85" t="n"/>
      <c r="M343" s="85" t="n"/>
      <c r="N343" s="85" t="n"/>
      <c r="O343" s="85" t="n"/>
      <c r="P343" s="85" t="n"/>
      <c r="Q343" s="85" t="n"/>
      <c r="R343" s="85" t="n"/>
      <c r="S343" s="85" t="n"/>
      <c r="T343" s="85" t="n"/>
      <c r="U343" s="85" t="n"/>
      <c r="V343" s="85" t="n"/>
      <c r="W343" s="85" t="n"/>
      <c r="X343" s="85" t="n"/>
      <c r="Y343" s="85" t="n"/>
      <c r="Z343" s="85" t="n"/>
      <c r="AA343" s="85" t="n"/>
      <c r="AB343" s="85" t="n"/>
      <c r="AC343" s="86" t="n"/>
      <c r="AD343" s="85">
        <f>IF($A343="","",IF(OR($AB343&lt;&gt;"Yes",$AC343="",TODAY()-$AC343&gt;90),"At Risk","Not At Risk"))</f>
        <v/>
      </c>
      <c r="AE343" s="85" t="n"/>
    </row>
    <row r="344" ht="15" customHeight="1" s="39">
      <c r="A344" s="85" t="n"/>
      <c r="B344" s="85" t="n"/>
      <c r="C344" s="85" t="n"/>
      <c r="D344" s="85" t="n"/>
      <c r="E344" s="85" t="n"/>
      <c r="F344" s="85" t="n"/>
      <c r="G344" s="85" t="n"/>
      <c r="H344" s="85" t="n"/>
      <c r="I344" s="85" t="n"/>
      <c r="J344" s="85" t="n"/>
      <c r="K344" s="85" t="n"/>
      <c r="L344" s="85" t="n"/>
      <c r="M344" s="85" t="n"/>
      <c r="N344" s="85" t="n"/>
      <c r="O344" s="85" t="n"/>
      <c r="P344" s="85" t="n"/>
      <c r="Q344" s="85" t="n"/>
      <c r="R344" s="85" t="n"/>
      <c r="S344" s="85" t="n"/>
      <c r="T344" s="85" t="n"/>
      <c r="U344" s="85" t="n"/>
      <c r="V344" s="85" t="n"/>
      <c r="W344" s="85" t="n"/>
      <c r="X344" s="85" t="n"/>
      <c r="Y344" s="85" t="n"/>
      <c r="Z344" s="85" t="n"/>
      <c r="AA344" s="85" t="n"/>
      <c r="AB344" s="85" t="n"/>
      <c r="AC344" s="86" t="n"/>
      <c r="AD344" s="85">
        <f>IF($A344="","",IF(OR($AB344&lt;&gt;"Yes",$AC344="",TODAY()-$AC344&gt;90),"At Risk","Not At Risk"))</f>
        <v/>
      </c>
      <c r="AE344" s="85" t="n"/>
    </row>
    <row r="345" ht="15" customHeight="1" s="39">
      <c r="A345" s="85" t="n"/>
      <c r="B345" s="85" t="n"/>
      <c r="C345" s="85" t="n"/>
      <c r="D345" s="85" t="n"/>
      <c r="E345" s="85" t="n"/>
      <c r="F345" s="85" t="n"/>
      <c r="G345" s="85" t="n"/>
      <c r="H345" s="85" t="n"/>
      <c r="I345" s="85" t="n"/>
      <c r="J345" s="85" t="n"/>
      <c r="K345" s="85" t="n"/>
      <c r="L345" s="85" t="n"/>
      <c r="M345" s="85" t="n"/>
      <c r="N345" s="85" t="n"/>
      <c r="O345" s="85" t="n"/>
      <c r="P345" s="85" t="n"/>
      <c r="Q345" s="85" t="n"/>
      <c r="R345" s="85" t="n"/>
      <c r="S345" s="85" t="n"/>
      <c r="T345" s="85" t="n"/>
      <c r="U345" s="85" t="n"/>
      <c r="V345" s="85" t="n"/>
      <c r="W345" s="85" t="n"/>
      <c r="X345" s="85" t="n"/>
      <c r="Y345" s="85" t="n"/>
      <c r="Z345" s="85" t="n"/>
      <c r="AA345" s="85" t="n"/>
      <c r="AB345" s="85" t="n"/>
      <c r="AC345" s="86" t="n"/>
      <c r="AD345" s="85">
        <f>IF($A345="","",IF(OR($AB345&lt;&gt;"Yes",$AC345="",TODAY()-$AC345&gt;90),"At Risk","Not At Risk"))</f>
        <v/>
      </c>
      <c r="AE345" s="85" t="n"/>
    </row>
    <row r="346" ht="15" customHeight="1" s="39">
      <c r="A346" s="85" t="n"/>
      <c r="B346" s="85" t="n"/>
      <c r="C346" s="85" t="n"/>
      <c r="D346" s="85" t="n"/>
      <c r="E346" s="85" t="n"/>
      <c r="F346" s="85" t="n"/>
      <c r="G346" s="85" t="n"/>
      <c r="H346" s="85" t="n"/>
      <c r="I346" s="85" t="n"/>
      <c r="J346" s="85" t="n"/>
      <c r="K346" s="85" t="n"/>
      <c r="L346" s="85" t="n"/>
      <c r="M346" s="85" t="n"/>
      <c r="N346" s="85" t="n"/>
      <c r="O346" s="85" t="n"/>
      <c r="P346" s="85" t="n"/>
      <c r="Q346" s="85" t="n"/>
      <c r="R346" s="85" t="n"/>
      <c r="S346" s="85" t="n"/>
      <c r="T346" s="85" t="n"/>
      <c r="U346" s="85" t="n"/>
      <c r="V346" s="85" t="n"/>
      <c r="W346" s="85" t="n"/>
      <c r="X346" s="85" t="n"/>
      <c r="Y346" s="85" t="n"/>
      <c r="Z346" s="85" t="n"/>
      <c r="AA346" s="85" t="n"/>
      <c r="AB346" s="85" t="n"/>
      <c r="AC346" s="86" t="n"/>
      <c r="AD346" s="85">
        <f>IF($A346="","",IF(OR($AB346&lt;&gt;"Yes",$AC346="",TODAY()-$AC346&gt;90),"At Risk","Not At Risk"))</f>
        <v/>
      </c>
      <c r="AE346" s="85" t="n"/>
    </row>
    <row r="347" ht="15" customHeight="1" s="39">
      <c r="A347" s="85" t="n"/>
      <c r="B347" s="85" t="n"/>
      <c r="C347" s="85" t="n"/>
      <c r="D347" s="85" t="n"/>
      <c r="E347" s="85" t="n"/>
      <c r="F347" s="85" t="n"/>
      <c r="G347" s="85" t="n"/>
      <c r="H347" s="85" t="n"/>
      <c r="I347" s="85" t="n"/>
      <c r="J347" s="85" t="n"/>
      <c r="K347" s="85" t="n"/>
      <c r="L347" s="85" t="n"/>
      <c r="M347" s="85" t="n"/>
      <c r="N347" s="85" t="n"/>
      <c r="O347" s="85" t="n"/>
      <c r="P347" s="85" t="n"/>
      <c r="Q347" s="85" t="n"/>
      <c r="R347" s="85" t="n"/>
      <c r="S347" s="85" t="n"/>
      <c r="T347" s="85" t="n"/>
      <c r="U347" s="85" t="n"/>
      <c r="V347" s="85" t="n"/>
      <c r="W347" s="85" t="n"/>
      <c r="X347" s="85" t="n"/>
      <c r="Y347" s="85" t="n"/>
      <c r="Z347" s="85" t="n"/>
      <c r="AA347" s="85" t="n"/>
      <c r="AB347" s="85" t="n"/>
      <c r="AC347" s="86" t="n"/>
      <c r="AD347" s="85">
        <f>IF($A347="","",IF(OR($AB347&lt;&gt;"Yes",$AC347="",TODAY()-$AC347&gt;90),"At Risk","Not At Risk"))</f>
        <v/>
      </c>
      <c r="AE347" s="85" t="n"/>
    </row>
    <row r="348" ht="15" customHeight="1" s="39">
      <c r="A348" s="85" t="n"/>
      <c r="B348" s="85" t="n"/>
      <c r="C348" s="85" t="n"/>
      <c r="D348" s="85" t="n"/>
      <c r="E348" s="85" t="n"/>
      <c r="F348" s="85" t="n"/>
      <c r="G348" s="85" t="n"/>
      <c r="H348" s="85" t="n"/>
      <c r="I348" s="85" t="n"/>
      <c r="J348" s="85" t="n"/>
      <c r="K348" s="85" t="n"/>
      <c r="L348" s="85" t="n"/>
      <c r="M348" s="85" t="n"/>
      <c r="N348" s="85" t="n"/>
      <c r="O348" s="85" t="n"/>
      <c r="P348" s="85" t="n"/>
      <c r="Q348" s="85" t="n"/>
      <c r="R348" s="85" t="n"/>
      <c r="S348" s="85" t="n"/>
      <c r="T348" s="85" t="n"/>
      <c r="U348" s="85" t="n"/>
      <c r="V348" s="85" t="n"/>
      <c r="W348" s="85" t="n"/>
      <c r="X348" s="85" t="n"/>
      <c r="Y348" s="85" t="n"/>
      <c r="Z348" s="85" t="n"/>
      <c r="AA348" s="85" t="n"/>
      <c r="AB348" s="85" t="n"/>
      <c r="AC348" s="86" t="n"/>
      <c r="AD348" s="85">
        <f>IF($A348="","",IF(OR($AB348&lt;&gt;"Yes",$AC348="",TODAY()-$AC348&gt;90),"At Risk","Not At Risk"))</f>
        <v/>
      </c>
      <c r="AE348" s="85" t="n"/>
    </row>
    <row r="349" ht="15" customHeight="1" s="39">
      <c r="A349" s="85" t="n"/>
      <c r="B349" s="85" t="n"/>
      <c r="C349" s="85" t="n"/>
      <c r="D349" s="85" t="n"/>
      <c r="E349" s="85" t="n"/>
      <c r="F349" s="85" t="n"/>
      <c r="G349" s="85" t="n"/>
      <c r="H349" s="85" t="n"/>
      <c r="I349" s="85" t="n"/>
      <c r="J349" s="85" t="n"/>
      <c r="K349" s="85" t="n"/>
      <c r="L349" s="85" t="n"/>
      <c r="M349" s="85" t="n"/>
      <c r="N349" s="85" t="n"/>
      <c r="O349" s="85" t="n"/>
      <c r="P349" s="85" t="n"/>
      <c r="Q349" s="85" t="n"/>
      <c r="R349" s="85" t="n"/>
      <c r="S349" s="85" t="n"/>
      <c r="T349" s="85" t="n"/>
      <c r="U349" s="85" t="n"/>
      <c r="V349" s="85" t="n"/>
      <c r="W349" s="85" t="n"/>
      <c r="X349" s="85" t="n"/>
      <c r="Y349" s="85" t="n"/>
      <c r="Z349" s="85" t="n"/>
      <c r="AA349" s="85" t="n"/>
      <c r="AB349" s="85" t="n"/>
      <c r="AC349" s="86" t="n"/>
      <c r="AD349" s="85">
        <f>IF($A349="","",IF(OR($AB349&lt;&gt;"Yes",$AC349="",TODAY()-$AC349&gt;90),"At Risk","Not At Risk"))</f>
        <v/>
      </c>
      <c r="AE349" s="85" t="n"/>
    </row>
    <row r="350" ht="15" customHeight="1" s="39">
      <c r="A350" s="85" t="n"/>
      <c r="B350" s="85" t="n"/>
      <c r="C350" s="85" t="n"/>
      <c r="D350" s="85" t="n"/>
      <c r="E350" s="85" t="n"/>
      <c r="F350" s="85" t="n"/>
      <c r="G350" s="85" t="n"/>
      <c r="H350" s="85" t="n"/>
      <c r="I350" s="85" t="n"/>
      <c r="J350" s="85" t="n"/>
      <c r="K350" s="85" t="n"/>
      <c r="L350" s="85" t="n"/>
      <c r="M350" s="85" t="n"/>
      <c r="N350" s="85" t="n"/>
      <c r="O350" s="85" t="n"/>
      <c r="P350" s="85" t="n"/>
      <c r="Q350" s="85" t="n"/>
      <c r="R350" s="85" t="n"/>
      <c r="S350" s="85" t="n"/>
      <c r="T350" s="85" t="n"/>
      <c r="U350" s="85" t="n"/>
      <c r="V350" s="85" t="n"/>
      <c r="W350" s="85" t="n"/>
      <c r="X350" s="85" t="n"/>
      <c r="Y350" s="85" t="n"/>
      <c r="Z350" s="85" t="n"/>
      <c r="AA350" s="85" t="n"/>
      <c r="AB350" s="85" t="n"/>
      <c r="AC350" s="86" t="n"/>
      <c r="AD350" s="85">
        <f>IF($A350="","",IF(OR($AB350&lt;&gt;"Yes",$AC350="",TODAY()-$AC350&gt;90),"At Risk","Not At Risk"))</f>
        <v/>
      </c>
      <c r="AE350" s="85" t="n"/>
    </row>
    <row r="351" ht="15" customHeight="1" s="39">
      <c r="A351" s="85" t="n"/>
      <c r="B351" s="85" t="n"/>
      <c r="C351" s="85" t="n"/>
      <c r="D351" s="85" t="n"/>
      <c r="E351" s="85" t="n"/>
      <c r="F351" s="85" t="n"/>
      <c r="G351" s="85" t="n"/>
      <c r="H351" s="85" t="n"/>
      <c r="I351" s="85" t="n"/>
      <c r="J351" s="85" t="n"/>
      <c r="K351" s="85" t="n"/>
      <c r="L351" s="85" t="n"/>
      <c r="M351" s="85" t="n"/>
      <c r="N351" s="85" t="n"/>
      <c r="O351" s="85" t="n"/>
      <c r="P351" s="85" t="n"/>
      <c r="Q351" s="85" t="n"/>
      <c r="R351" s="85" t="n"/>
      <c r="S351" s="85" t="n"/>
      <c r="T351" s="85" t="n"/>
      <c r="U351" s="85" t="n"/>
      <c r="V351" s="85" t="n"/>
      <c r="W351" s="85" t="n"/>
      <c r="X351" s="85" t="n"/>
      <c r="Y351" s="85" t="n"/>
      <c r="Z351" s="85" t="n"/>
      <c r="AA351" s="85" t="n"/>
      <c r="AB351" s="85" t="n"/>
      <c r="AC351" s="86" t="n"/>
      <c r="AD351" s="85">
        <f>IF($A351="","",IF(OR($AB351&lt;&gt;"Yes",$AC351="",TODAY()-$AC351&gt;90),"At Risk","Not At Risk"))</f>
        <v/>
      </c>
      <c r="AE351" s="85" t="n"/>
    </row>
    <row r="352" ht="15" customHeight="1" s="39">
      <c r="A352" s="85" t="n"/>
      <c r="B352" s="85" t="n"/>
      <c r="C352" s="85" t="n"/>
      <c r="D352" s="85" t="n"/>
      <c r="E352" s="85" t="n"/>
      <c r="F352" s="85" t="n"/>
      <c r="G352" s="85" t="n"/>
      <c r="H352" s="85" t="n"/>
      <c r="I352" s="85" t="n"/>
      <c r="J352" s="85" t="n"/>
      <c r="K352" s="85" t="n"/>
      <c r="L352" s="85" t="n"/>
      <c r="M352" s="85" t="n"/>
      <c r="N352" s="85" t="n"/>
      <c r="O352" s="85" t="n"/>
      <c r="P352" s="85" t="n"/>
      <c r="Q352" s="85" t="n"/>
      <c r="R352" s="85" t="n"/>
      <c r="S352" s="85" t="n"/>
      <c r="T352" s="85" t="n"/>
      <c r="U352" s="85" t="n"/>
      <c r="V352" s="85" t="n"/>
      <c r="W352" s="85" t="n"/>
      <c r="X352" s="85" t="n"/>
      <c r="Y352" s="85" t="n"/>
      <c r="Z352" s="85" t="n"/>
      <c r="AA352" s="85" t="n"/>
      <c r="AB352" s="85" t="n"/>
      <c r="AC352" s="86" t="n"/>
      <c r="AD352" s="85">
        <f>IF($A352="","",IF(OR($AB352&lt;&gt;"Yes",$AC352="",TODAY()-$AC352&gt;90),"At Risk","Not At Risk"))</f>
        <v/>
      </c>
      <c r="AE352" s="85" t="n"/>
    </row>
    <row r="353" ht="15" customHeight="1" s="39">
      <c r="A353" s="85" t="n"/>
      <c r="B353" s="85" t="n"/>
      <c r="C353" s="85" t="n"/>
      <c r="D353" s="85" t="n"/>
      <c r="E353" s="85" t="n"/>
      <c r="F353" s="85" t="n"/>
      <c r="G353" s="85" t="n"/>
      <c r="H353" s="85" t="n"/>
      <c r="I353" s="85" t="n"/>
      <c r="J353" s="85" t="n"/>
      <c r="K353" s="85" t="n"/>
      <c r="L353" s="85" t="n"/>
      <c r="M353" s="85" t="n"/>
      <c r="N353" s="85" t="n"/>
      <c r="O353" s="85" t="n"/>
      <c r="P353" s="85" t="n"/>
      <c r="Q353" s="85" t="n"/>
      <c r="R353" s="85" t="n"/>
      <c r="S353" s="85" t="n"/>
      <c r="T353" s="85" t="n"/>
      <c r="U353" s="85" t="n"/>
      <c r="V353" s="85" t="n"/>
      <c r="W353" s="85" t="n"/>
      <c r="X353" s="85" t="n"/>
      <c r="Y353" s="85" t="n"/>
      <c r="Z353" s="85" t="n"/>
      <c r="AA353" s="85" t="n"/>
      <c r="AB353" s="85" t="n"/>
      <c r="AC353" s="86" t="n"/>
      <c r="AD353" s="85">
        <f>IF($A353="","",IF(OR($AB353&lt;&gt;"Yes",$AC353="",TODAY()-$AC353&gt;90),"At Risk","Not At Risk"))</f>
        <v/>
      </c>
      <c r="AE353" s="85" t="n"/>
    </row>
    <row r="354" ht="15" customHeight="1" s="39">
      <c r="A354" s="85" t="n"/>
      <c r="B354" s="85" t="n"/>
      <c r="C354" s="85" t="n"/>
      <c r="D354" s="85" t="n"/>
      <c r="E354" s="85" t="n"/>
      <c r="F354" s="85" t="n"/>
      <c r="G354" s="85" t="n"/>
      <c r="H354" s="85" t="n"/>
      <c r="I354" s="85" t="n"/>
      <c r="J354" s="85" t="n"/>
      <c r="K354" s="85" t="n"/>
      <c r="L354" s="85" t="n"/>
      <c r="M354" s="85" t="n"/>
      <c r="N354" s="85" t="n"/>
      <c r="O354" s="85" t="n"/>
      <c r="P354" s="85" t="n"/>
      <c r="Q354" s="85" t="n"/>
      <c r="R354" s="85" t="n"/>
      <c r="S354" s="85" t="n"/>
      <c r="T354" s="85" t="n"/>
      <c r="U354" s="85" t="n"/>
      <c r="V354" s="85" t="n"/>
      <c r="W354" s="85" t="n"/>
      <c r="X354" s="85" t="n"/>
      <c r="Y354" s="85" t="n"/>
      <c r="Z354" s="85" t="n"/>
      <c r="AA354" s="85" t="n"/>
      <c r="AB354" s="85" t="n"/>
      <c r="AC354" s="86" t="n"/>
      <c r="AD354" s="85">
        <f>IF($A354="","",IF(OR($AB354&lt;&gt;"Yes",$AC354="",TODAY()-$AC354&gt;90),"At Risk","Not At Risk"))</f>
        <v/>
      </c>
      <c r="AE354" s="85" t="n"/>
    </row>
    <row r="355" ht="15" customHeight="1" s="39">
      <c r="A355" s="85" t="n"/>
      <c r="B355" s="85" t="n"/>
      <c r="C355" s="85" t="n"/>
      <c r="D355" s="85" t="n"/>
      <c r="E355" s="85" t="n"/>
      <c r="F355" s="85" t="n"/>
      <c r="G355" s="85" t="n"/>
      <c r="H355" s="85" t="n"/>
      <c r="I355" s="85" t="n"/>
      <c r="J355" s="85" t="n"/>
      <c r="K355" s="85" t="n"/>
      <c r="L355" s="85" t="n"/>
      <c r="M355" s="85" t="n"/>
      <c r="N355" s="85" t="n"/>
      <c r="O355" s="85" t="n"/>
      <c r="P355" s="85" t="n"/>
      <c r="Q355" s="85" t="n"/>
      <c r="R355" s="85" t="n"/>
      <c r="S355" s="85" t="n"/>
      <c r="T355" s="85" t="n"/>
      <c r="U355" s="85" t="n"/>
      <c r="V355" s="85" t="n"/>
      <c r="W355" s="85" t="n"/>
      <c r="X355" s="85" t="n"/>
      <c r="Y355" s="85" t="n"/>
      <c r="Z355" s="85" t="n"/>
      <c r="AA355" s="85" t="n"/>
      <c r="AB355" s="85" t="n"/>
      <c r="AC355" s="86" t="n"/>
      <c r="AD355" s="85">
        <f>IF($A355="","",IF(OR($AB355&lt;&gt;"Yes",$AC355="",TODAY()-$AC355&gt;90),"At Risk","Not At Risk"))</f>
        <v/>
      </c>
      <c r="AE355" s="85" t="n"/>
    </row>
    <row r="356" ht="15" customHeight="1" s="39">
      <c r="A356" s="85" t="n"/>
      <c r="B356" s="85" t="n"/>
      <c r="C356" s="85" t="n"/>
      <c r="D356" s="85" t="n"/>
      <c r="E356" s="85" t="n"/>
      <c r="F356" s="85" t="n"/>
      <c r="G356" s="85" t="n"/>
      <c r="H356" s="85" t="n"/>
      <c r="I356" s="85" t="n"/>
      <c r="J356" s="85" t="n"/>
      <c r="K356" s="85" t="n"/>
      <c r="L356" s="85" t="n"/>
      <c r="M356" s="85" t="n"/>
      <c r="N356" s="85" t="n"/>
      <c r="O356" s="85" t="n"/>
      <c r="P356" s="85" t="n"/>
      <c r="Q356" s="85" t="n"/>
      <c r="R356" s="85" t="n"/>
      <c r="S356" s="85" t="n"/>
      <c r="T356" s="85" t="n"/>
      <c r="U356" s="85" t="n"/>
      <c r="V356" s="85" t="n"/>
      <c r="W356" s="85" t="n"/>
      <c r="X356" s="85" t="n"/>
      <c r="Y356" s="85" t="n"/>
      <c r="Z356" s="85" t="n"/>
      <c r="AA356" s="85" t="n"/>
      <c r="AB356" s="85" t="n"/>
      <c r="AC356" s="86" t="n"/>
      <c r="AD356" s="85">
        <f>IF($A356="","",IF(OR($AB356&lt;&gt;"Yes",$AC356="",TODAY()-$AC356&gt;90),"At Risk","Not At Risk"))</f>
        <v/>
      </c>
      <c r="AE356" s="85" t="n"/>
    </row>
    <row r="357" ht="15" customHeight="1" s="39">
      <c r="A357" s="85" t="n"/>
      <c r="B357" s="85" t="n"/>
      <c r="C357" s="85" t="n"/>
      <c r="D357" s="85" t="n"/>
      <c r="E357" s="85" t="n"/>
      <c r="F357" s="85" t="n"/>
      <c r="G357" s="85" t="n"/>
      <c r="H357" s="85" t="n"/>
      <c r="I357" s="85" t="n"/>
      <c r="J357" s="85" t="n"/>
      <c r="K357" s="85" t="n"/>
      <c r="L357" s="85" t="n"/>
      <c r="M357" s="85" t="n"/>
      <c r="N357" s="85" t="n"/>
      <c r="O357" s="85" t="n"/>
      <c r="P357" s="85" t="n"/>
      <c r="Q357" s="85" t="n"/>
      <c r="R357" s="85" t="n"/>
      <c r="S357" s="85" t="n"/>
      <c r="T357" s="85" t="n"/>
      <c r="U357" s="85" t="n"/>
      <c r="V357" s="85" t="n"/>
      <c r="W357" s="85" t="n"/>
      <c r="X357" s="85" t="n"/>
      <c r="Y357" s="85" t="n"/>
      <c r="Z357" s="85" t="n"/>
      <c r="AA357" s="85" t="n"/>
      <c r="AB357" s="85" t="n"/>
      <c r="AC357" s="86" t="n"/>
      <c r="AD357" s="85">
        <f>IF($A357="","",IF(OR($AB357&lt;&gt;"Yes",$AC357="",TODAY()-$AC357&gt;90),"At Risk","Not At Risk"))</f>
        <v/>
      </c>
      <c r="AE357" s="85" t="n"/>
    </row>
    <row r="358" ht="15" customHeight="1" s="39">
      <c r="A358" s="85" t="n"/>
      <c r="B358" s="85" t="n"/>
      <c r="C358" s="85" t="n"/>
      <c r="D358" s="85" t="n"/>
      <c r="E358" s="85" t="n"/>
      <c r="F358" s="85" t="n"/>
      <c r="G358" s="85" t="n"/>
      <c r="H358" s="85" t="n"/>
      <c r="I358" s="85" t="n"/>
      <c r="J358" s="85" t="n"/>
      <c r="K358" s="85" t="n"/>
      <c r="L358" s="85" t="n"/>
      <c r="M358" s="85" t="n"/>
      <c r="N358" s="85" t="n"/>
      <c r="O358" s="85" t="n"/>
      <c r="P358" s="85" t="n"/>
      <c r="Q358" s="85" t="n"/>
      <c r="R358" s="85" t="n"/>
      <c r="S358" s="85" t="n"/>
      <c r="T358" s="85" t="n"/>
      <c r="U358" s="85" t="n"/>
      <c r="V358" s="85" t="n"/>
      <c r="W358" s="85" t="n"/>
      <c r="X358" s="85" t="n"/>
      <c r="Y358" s="85" t="n"/>
      <c r="Z358" s="85" t="n"/>
      <c r="AA358" s="85" t="n"/>
      <c r="AB358" s="85" t="n"/>
      <c r="AC358" s="86" t="n"/>
      <c r="AD358" s="85">
        <f>IF($A358="","",IF(OR($AB358&lt;&gt;"Yes",$AC358="",TODAY()-$AC358&gt;90),"At Risk","Not At Risk"))</f>
        <v/>
      </c>
      <c r="AE358" s="85" t="n"/>
    </row>
    <row r="359" ht="15" customHeight="1" s="39">
      <c r="A359" s="85" t="n"/>
      <c r="B359" s="85" t="n"/>
      <c r="C359" s="85" t="n"/>
      <c r="D359" s="85" t="n"/>
      <c r="E359" s="85" t="n"/>
      <c r="F359" s="85" t="n"/>
      <c r="G359" s="85" t="n"/>
      <c r="H359" s="85" t="n"/>
      <c r="I359" s="85" t="n"/>
      <c r="J359" s="85" t="n"/>
      <c r="K359" s="85" t="n"/>
      <c r="L359" s="85" t="n"/>
      <c r="M359" s="85" t="n"/>
      <c r="N359" s="85" t="n"/>
      <c r="O359" s="85" t="n"/>
      <c r="P359" s="85" t="n"/>
      <c r="Q359" s="85" t="n"/>
      <c r="R359" s="85" t="n"/>
      <c r="S359" s="85" t="n"/>
      <c r="T359" s="85" t="n"/>
      <c r="U359" s="85" t="n"/>
      <c r="V359" s="85" t="n"/>
      <c r="W359" s="85" t="n"/>
      <c r="X359" s="85" t="n"/>
      <c r="Y359" s="85" t="n"/>
      <c r="Z359" s="85" t="n"/>
      <c r="AA359" s="85" t="n"/>
      <c r="AB359" s="85" t="n"/>
      <c r="AC359" s="86" t="n"/>
      <c r="AD359" s="85">
        <f>IF($A359="","",IF(OR($AB359&lt;&gt;"Yes",$AC359="",TODAY()-$AC359&gt;90),"At Risk","Not At Risk"))</f>
        <v/>
      </c>
      <c r="AE359" s="85" t="n"/>
    </row>
    <row r="360" ht="15" customHeight="1" s="39">
      <c r="A360" s="85" t="n"/>
      <c r="B360" s="85" t="n"/>
      <c r="C360" s="85" t="n"/>
      <c r="D360" s="85" t="n"/>
      <c r="E360" s="85" t="n"/>
      <c r="F360" s="85" t="n"/>
      <c r="G360" s="85" t="n"/>
      <c r="H360" s="85" t="n"/>
      <c r="I360" s="85" t="n"/>
      <c r="J360" s="85" t="n"/>
      <c r="K360" s="85" t="n"/>
      <c r="L360" s="85" t="n"/>
      <c r="M360" s="85" t="n"/>
      <c r="N360" s="85" t="n"/>
      <c r="O360" s="85" t="n"/>
      <c r="P360" s="85" t="n"/>
      <c r="Q360" s="85" t="n"/>
      <c r="R360" s="85" t="n"/>
      <c r="S360" s="85" t="n"/>
      <c r="T360" s="85" t="n"/>
      <c r="U360" s="85" t="n"/>
      <c r="V360" s="85" t="n"/>
      <c r="W360" s="85" t="n"/>
      <c r="X360" s="85" t="n"/>
      <c r="Y360" s="85" t="n"/>
      <c r="Z360" s="85" t="n"/>
      <c r="AA360" s="85" t="n"/>
      <c r="AB360" s="85" t="n"/>
      <c r="AC360" s="86" t="n"/>
      <c r="AD360" s="85">
        <f>IF($A360="","",IF(OR($AB360&lt;&gt;"Yes",$AC360="",TODAY()-$AC360&gt;90),"At Risk","Not At Risk"))</f>
        <v/>
      </c>
      <c r="AE360" s="85" t="n"/>
    </row>
    <row r="361" ht="15" customHeight="1" s="39">
      <c r="A361" s="85" t="n"/>
      <c r="B361" s="85" t="n"/>
      <c r="C361" s="85" t="n"/>
      <c r="D361" s="85" t="n"/>
      <c r="E361" s="85" t="n"/>
      <c r="F361" s="85" t="n"/>
      <c r="G361" s="85" t="n"/>
      <c r="H361" s="85" t="n"/>
      <c r="I361" s="85" t="n"/>
      <c r="J361" s="85" t="n"/>
      <c r="K361" s="85" t="n"/>
      <c r="L361" s="85" t="n"/>
      <c r="M361" s="85" t="n"/>
      <c r="N361" s="85" t="n"/>
      <c r="O361" s="85" t="n"/>
      <c r="P361" s="85" t="n"/>
      <c r="Q361" s="85" t="n"/>
      <c r="R361" s="85" t="n"/>
      <c r="S361" s="85" t="n"/>
      <c r="T361" s="85" t="n"/>
      <c r="U361" s="85" t="n"/>
      <c r="V361" s="85" t="n"/>
      <c r="W361" s="85" t="n"/>
      <c r="X361" s="85" t="n"/>
      <c r="Y361" s="85" t="n"/>
      <c r="Z361" s="85" t="n"/>
      <c r="AA361" s="85" t="n"/>
      <c r="AB361" s="85" t="n"/>
      <c r="AC361" s="86" t="n"/>
      <c r="AD361" s="85">
        <f>IF($A361="","",IF(OR($AB361&lt;&gt;"Yes",$AC361="",TODAY()-$AC361&gt;90),"At Risk","Not At Risk"))</f>
        <v/>
      </c>
      <c r="AE361" s="85" t="n"/>
    </row>
    <row r="362" ht="15" customHeight="1" s="39">
      <c r="A362" s="85" t="n"/>
      <c r="B362" s="85" t="n"/>
      <c r="C362" s="85" t="n"/>
      <c r="D362" s="85" t="n"/>
      <c r="E362" s="85" t="n"/>
      <c r="F362" s="85" t="n"/>
      <c r="G362" s="85" t="n"/>
      <c r="H362" s="85" t="n"/>
      <c r="I362" s="85" t="n"/>
      <c r="J362" s="85" t="n"/>
      <c r="K362" s="85" t="n"/>
      <c r="L362" s="85" t="n"/>
      <c r="M362" s="85" t="n"/>
      <c r="N362" s="85" t="n"/>
      <c r="O362" s="85" t="n"/>
      <c r="P362" s="85" t="n"/>
      <c r="Q362" s="85" t="n"/>
      <c r="R362" s="85" t="n"/>
      <c r="S362" s="85" t="n"/>
      <c r="T362" s="85" t="n"/>
      <c r="U362" s="85" t="n"/>
      <c r="V362" s="85" t="n"/>
      <c r="W362" s="85" t="n"/>
      <c r="X362" s="85" t="n"/>
      <c r="Y362" s="85" t="n"/>
      <c r="Z362" s="85" t="n"/>
      <c r="AA362" s="85" t="n"/>
      <c r="AB362" s="85" t="n"/>
      <c r="AC362" s="86" t="n"/>
      <c r="AD362" s="85">
        <f>IF($A362="","",IF(OR($AB362&lt;&gt;"Yes",$AC362="",TODAY()-$AC362&gt;90),"At Risk","Not At Risk"))</f>
        <v/>
      </c>
      <c r="AE362" s="85" t="n"/>
    </row>
    <row r="363" ht="15" customHeight="1" s="39">
      <c r="A363" s="85" t="n"/>
      <c r="B363" s="85" t="n"/>
      <c r="C363" s="85" t="n"/>
      <c r="D363" s="85" t="n"/>
      <c r="E363" s="85" t="n"/>
      <c r="F363" s="85" t="n"/>
      <c r="G363" s="85" t="n"/>
      <c r="H363" s="85" t="n"/>
      <c r="I363" s="85" t="n"/>
      <c r="J363" s="85" t="n"/>
      <c r="K363" s="85" t="n"/>
      <c r="L363" s="85" t="n"/>
      <c r="M363" s="85" t="n"/>
      <c r="N363" s="85" t="n"/>
      <c r="O363" s="85" t="n"/>
      <c r="P363" s="85" t="n"/>
      <c r="Q363" s="85" t="n"/>
      <c r="R363" s="85" t="n"/>
      <c r="S363" s="85" t="n"/>
      <c r="T363" s="85" t="n"/>
      <c r="U363" s="85" t="n"/>
      <c r="V363" s="85" t="n"/>
      <c r="W363" s="85" t="n"/>
      <c r="X363" s="85" t="n"/>
      <c r="Y363" s="85" t="n"/>
      <c r="Z363" s="85" t="n"/>
      <c r="AA363" s="85" t="n"/>
      <c r="AB363" s="85" t="n"/>
      <c r="AC363" s="86" t="n"/>
      <c r="AD363" s="85">
        <f>IF($A363="","",IF(OR($AB363&lt;&gt;"Yes",$AC363="",TODAY()-$AC363&gt;90),"At Risk","Not At Risk"))</f>
        <v/>
      </c>
      <c r="AE363" s="85" t="n"/>
    </row>
    <row r="364" ht="15" customHeight="1" s="39">
      <c r="A364" s="85" t="n"/>
      <c r="B364" s="85" t="n"/>
      <c r="C364" s="85" t="n"/>
      <c r="D364" s="85" t="n"/>
      <c r="E364" s="85" t="n"/>
      <c r="F364" s="85" t="n"/>
      <c r="G364" s="85" t="n"/>
      <c r="H364" s="85" t="n"/>
      <c r="I364" s="85" t="n"/>
      <c r="J364" s="85" t="n"/>
      <c r="K364" s="85" t="n"/>
      <c r="L364" s="85" t="n"/>
      <c r="M364" s="85" t="n"/>
      <c r="N364" s="85" t="n"/>
      <c r="O364" s="85" t="n"/>
      <c r="P364" s="85" t="n"/>
      <c r="Q364" s="85" t="n"/>
      <c r="R364" s="85" t="n"/>
      <c r="S364" s="85" t="n"/>
      <c r="T364" s="85" t="n"/>
      <c r="U364" s="85" t="n"/>
      <c r="V364" s="85" t="n"/>
      <c r="W364" s="85" t="n"/>
      <c r="X364" s="85" t="n"/>
      <c r="Y364" s="85" t="n"/>
      <c r="Z364" s="85" t="n"/>
      <c r="AA364" s="85" t="n"/>
      <c r="AB364" s="85" t="n"/>
      <c r="AC364" s="86" t="n"/>
      <c r="AD364" s="85">
        <f>IF($A364="","",IF(OR($AB364&lt;&gt;"Yes",$AC364="",TODAY()-$AC364&gt;90),"At Risk","Not At Risk"))</f>
        <v/>
      </c>
      <c r="AE364" s="85" t="n"/>
    </row>
    <row r="365" ht="15" customHeight="1" s="39">
      <c r="A365" s="85" t="n"/>
      <c r="B365" s="85" t="n"/>
      <c r="C365" s="85" t="n"/>
      <c r="D365" s="85" t="n"/>
      <c r="E365" s="85" t="n"/>
      <c r="F365" s="85" t="n"/>
      <c r="G365" s="85" t="n"/>
      <c r="H365" s="85" t="n"/>
      <c r="I365" s="85" t="n"/>
      <c r="J365" s="85" t="n"/>
      <c r="K365" s="85" t="n"/>
      <c r="L365" s="85" t="n"/>
      <c r="M365" s="85" t="n"/>
      <c r="N365" s="85" t="n"/>
      <c r="O365" s="85" t="n"/>
      <c r="P365" s="85" t="n"/>
      <c r="Q365" s="85" t="n"/>
      <c r="R365" s="85" t="n"/>
      <c r="S365" s="85" t="n"/>
      <c r="T365" s="85" t="n"/>
      <c r="U365" s="85" t="n"/>
      <c r="V365" s="85" t="n"/>
      <c r="W365" s="85" t="n"/>
      <c r="X365" s="85" t="n"/>
      <c r="Y365" s="85" t="n"/>
      <c r="Z365" s="85" t="n"/>
      <c r="AA365" s="85" t="n"/>
      <c r="AB365" s="85" t="n"/>
      <c r="AC365" s="86" t="n"/>
      <c r="AD365" s="85">
        <f>IF($A365="","",IF(OR($AB365&lt;&gt;"Yes",$AC365="",TODAY()-$AC365&gt;90),"At Risk","Not At Risk"))</f>
        <v/>
      </c>
      <c r="AE365" s="85" t="n"/>
    </row>
    <row r="366" ht="15" customHeight="1" s="39">
      <c r="A366" s="85" t="n"/>
      <c r="B366" s="85" t="n"/>
      <c r="C366" s="85" t="n"/>
      <c r="D366" s="85" t="n"/>
      <c r="E366" s="85" t="n"/>
      <c r="F366" s="85" t="n"/>
      <c r="G366" s="85" t="n"/>
      <c r="H366" s="85" t="n"/>
      <c r="I366" s="85" t="n"/>
      <c r="J366" s="85" t="n"/>
      <c r="K366" s="85" t="n"/>
      <c r="L366" s="85" t="n"/>
      <c r="M366" s="85" t="n"/>
      <c r="N366" s="85" t="n"/>
      <c r="O366" s="85" t="n"/>
      <c r="P366" s="85" t="n"/>
      <c r="Q366" s="85" t="n"/>
      <c r="R366" s="85" t="n"/>
      <c r="S366" s="85" t="n"/>
      <c r="T366" s="85" t="n"/>
      <c r="U366" s="85" t="n"/>
      <c r="V366" s="85" t="n"/>
      <c r="W366" s="85" t="n"/>
      <c r="X366" s="85" t="n"/>
      <c r="Y366" s="85" t="n"/>
      <c r="Z366" s="85" t="n"/>
      <c r="AA366" s="85" t="n"/>
      <c r="AB366" s="85" t="n"/>
      <c r="AC366" s="86" t="n"/>
      <c r="AD366" s="85">
        <f>IF($A366="","",IF(OR($AB366&lt;&gt;"Yes",$AC366="",TODAY()-$AC366&gt;90),"At Risk","Not At Risk"))</f>
        <v/>
      </c>
      <c r="AE366" s="85" t="n"/>
    </row>
    <row r="367" ht="15" customHeight="1" s="39">
      <c r="A367" s="85" t="n"/>
      <c r="B367" s="85" t="n"/>
      <c r="C367" s="85" t="n"/>
      <c r="D367" s="85" t="n"/>
      <c r="E367" s="85" t="n"/>
      <c r="F367" s="85" t="n"/>
      <c r="G367" s="85" t="n"/>
      <c r="H367" s="85" t="n"/>
      <c r="I367" s="85" t="n"/>
      <c r="J367" s="85" t="n"/>
      <c r="K367" s="85" t="n"/>
      <c r="L367" s="85" t="n"/>
      <c r="M367" s="85" t="n"/>
      <c r="N367" s="85" t="n"/>
      <c r="O367" s="85" t="n"/>
      <c r="P367" s="85" t="n"/>
      <c r="Q367" s="85" t="n"/>
      <c r="R367" s="85" t="n"/>
      <c r="S367" s="85" t="n"/>
      <c r="T367" s="85" t="n"/>
      <c r="U367" s="85" t="n"/>
      <c r="V367" s="85" t="n"/>
      <c r="W367" s="85" t="n"/>
      <c r="X367" s="85" t="n"/>
      <c r="Y367" s="85" t="n"/>
      <c r="Z367" s="85" t="n"/>
      <c r="AA367" s="85" t="n"/>
      <c r="AB367" s="85" t="n"/>
      <c r="AC367" s="86" t="n"/>
      <c r="AD367" s="85">
        <f>IF($A367="","",IF(OR($AB367&lt;&gt;"Yes",$AC367="",TODAY()-$AC367&gt;90),"At Risk","Not At Risk"))</f>
        <v/>
      </c>
      <c r="AE367" s="85" t="n"/>
    </row>
    <row r="368" ht="15" customHeight="1" s="39">
      <c r="A368" s="85" t="n"/>
      <c r="B368" s="85" t="n"/>
      <c r="C368" s="85" t="n"/>
      <c r="D368" s="85" t="n"/>
      <c r="E368" s="85" t="n"/>
      <c r="F368" s="85" t="n"/>
      <c r="G368" s="85" t="n"/>
      <c r="H368" s="85" t="n"/>
      <c r="I368" s="85" t="n"/>
      <c r="J368" s="85" t="n"/>
      <c r="K368" s="85" t="n"/>
      <c r="L368" s="85" t="n"/>
      <c r="M368" s="85" t="n"/>
      <c r="N368" s="85" t="n"/>
      <c r="O368" s="85" t="n"/>
      <c r="P368" s="85" t="n"/>
      <c r="Q368" s="85" t="n"/>
      <c r="R368" s="85" t="n"/>
      <c r="S368" s="85" t="n"/>
      <c r="T368" s="85" t="n"/>
      <c r="U368" s="85" t="n"/>
      <c r="V368" s="85" t="n"/>
      <c r="W368" s="85" t="n"/>
      <c r="X368" s="85" t="n"/>
      <c r="Y368" s="85" t="n"/>
      <c r="Z368" s="85" t="n"/>
      <c r="AA368" s="85" t="n"/>
      <c r="AB368" s="85" t="n"/>
      <c r="AC368" s="86" t="n"/>
      <c r="AD368" s="85">
        <f>IF($A368="","",IF(OR($AB368&lt;&gt;"Yes",$AC368="",TODAY()-$AC368&gt;90),"At Risk","Not At Risk"))</f>
        <v/>
      </c>
      <c r="AE368" s="85" t="n"/>
    </row>
    <row r="369" ht="15" customHeight="1" s="39">
      <c r="A369" s="85" t="n"/>
      <c r="B369" s="85" t="n"/>
      <c r="C369" s="85" t="n"/>
      <c r="D369" s="85" t="n"/>
      <c r="E369" s="85" t="n"/>
      <c r="F369" s="85" t="n"/>
      <c r="G369" s="85" t="n"/>
      <c r="H369" s="85" t="n"/>
      <c r="I369" s="85" t="n"/>
      <c r="J369" s="85" t="n"/>
      <c r="K369" s="85" t="n"/>
      <c r="L369" s="85" t="n"/>
      <c r="M369" s="85" t="n"/>
      <c r="N369" s="85" t="n"/>
      <c r="O369" s="85" t="n"/>
      <c r="P369" s="85" t="n"/>
      <c r="Q369" s="85" t="n"/>
      <c r="R369" s="85" t="n"/>
      <c r="S369" s="85" t="n"/>
      <c r="T369" s="85" t="n"/>
      <c r="U369" s="85" t="n"/>
      <c r="V369" s="85" t="n"/>
      <c r="W369" s="85" t="n"/>
      <c r="X369" s="85" t="n"/>
      <c r="Y369" s="85" t="n"/>
      <c r="Z369" s="85" t="n"/>
      <c r="AA369" s="85" t="n"/>
      <c r="AB369" s="85" t="n"/>
      <c r="AC369" s="86" t="n"/>
      <c r="AD369" s="85">
        <f>IF($A369="","",IF(OR($AB369&lt;&gt;"Yes",$AC369="",TODAY()-$AC369&gt;90),"At Risk","Not At Risk"))</f>
        <v/>
      </c>
      <c r="AE369" s="85" t="n"/>
    </row>
    <row r="370" ht="15" customHeight="1" s="39">
      <c r="A370" s="85" t="n"/>
      <c r="B370" s="85" t="n"/>
      <c r="C370" s="85" t="n"/>
      <c r="D370" s="85" t="n"/>
      <c r="E370" s="85" t="n"/>
      <c r="F370" s="85" t="n"/>
      <c r="G370" s="85" t="n"/>
      <c r="H370" s="85" t="n"/>
      <c r="I370" s="85" t="n"/>
      <c r="J370" s="85" t="n"/>
      <c r="K370" s="85" t="n"/>
      <c r="L370" s="85" t="n"/>
      <c r="M370" s="85" t="n"/>
      <c r="N370" s="85" t="n"/>
      <c r="O370" s="85" t="n"/>
      <c r="P370" s="85" t="n"/>
      <c r="Q370" s="85" t="n"/>
      <c r="R370" s="85" t="n"/>
      <c r="S370" s="85" t="n"/>
      <c r="T370" s="85" t="n"/>
      <c r="U370" s="85" t="n"/>
      <c r="V370" s="85" t="n"/>
      <c r="W370" s="85" t="n"/>
      <c r="X370" s="85" t="n"/>
      <c r="Y370" s="85" t="n"/>
      <c r="Z370" s="85" t="n"/>
      <c r="AA370" s="85" t="n"/>
      <c r="AB370" s="85" t="n"/>
      <c r="AC370" s="86" t="n"/>
      <c r="AD370" s="85">
        <f>IF($A370="","",IF(OR($AB370&lt;&gt;"Yes",$AC370="",TODAY()-$AC370&gt;90),"At Risk","Not At Risk"))</f>
        <v/>
      </c>
      <c r="AE370" s="85" t="n"/>
    </row>
    <row r="371" ht="15" customHeight="1" s="39">
      <c r="A371" s="85" t="n"/>
      <c r="B371" s="85" t="n"/>
      <c r="C371" s="85" t="n"/>
      <c r="D371" s="85" t="n"/>
      <c r="E371" s="85" t="n"/>
      <c r="F371" s="85" t="n"/>
      <c r="G371" s="85" t="n"/>
      <c r="H371" s="85" t="n"/>
      <c r="I371" s="85" t="n"/>
      <c r="J371" s="85" t="n"/>
      <c r="K371" s="85" t="n"/>
      <c r="L371" s="85" t="n"/>
      <c r="M371" s="85" t="n"/>
      <c r="N371" s="85" t="n"/>
      <c r="O371" s="85" t="n"/>
      <c r="P371" s="85" t="n"/>
      <c r="Q371" s="85" t="n"/>
      <c r="R371" s="85" t="n"/>
      <c r="S371" s="85" t="n"/>
      <c r="T371" s="85" t="n"/>
      <c r="U371" s="85" t="n"/>
      <c r="V371" s="85" t="n"/>
      <c r="W371" s="85" t="n"/>
      <c r="X371" s="85" t="n"/>
      <c r="Y371" s="85" t="n"/>
      <c r="Z371" s="85" t="n"/>
      <c r="AA371" s="85" t="n"/>
      <c r="AB371" s="85" t="n"/>
      <c r="AC371" s="86" t="n"/>
      <c r="AD371" s="85">
        <f>IF($A371="","",IF(OR($AB371&lt;&gt;"Yes",$AC371="",TODAY()-$AC371&gt;90),"At Risk","Not At Risk"))</f>
        <v/>
      </c>
      <c r="AE371" s="85" t="n"/>
    </row>
    <row r="372" ht="15" customHeight="1" s="39">
      <c r="A372" s="85" t="n"/>
      <c r="B372" s="85" t="n"/>
      <c r="C372" s="85" t="n"/>
      <c r="D372" s="85" t="n"/>
      <c r="E372" s="85" t="n"/>
      <c r="F372" s="85" t="n"/>
      <c r="G372" s="85" t="n"/>
      <c r="H372" s="85" t="n"/>
      <c r="I372" s="85" t="n"/>
      <c r="J372" s="85" t="n"/>
      <c r="K372" s="85" t="n"/>
      <c r="L372" s="85" t="n"/>
      <c r="M372" s="85" t="n"/>
      <c r="N372" s="85" t="n"/>
      <c r="O372" s="85" t="n"/>
      <c r="P372" s="85" t="n"/>
      <c r="Q372" s="85" t="n"/>
      <c r="R372" s="85" t="n"/>
      <c r="S372" s="85" t="n"/>
      <c r="T372" s="85" t="n"/>
      <c r="U372" s="85" t="n"/>
      <c r="V372" s="85" t="n"/>
      <c r="W372" s="85" t="n"/>
      <c r="X372" s="85" t="n"/>
      <c r="Y372" s="85" t="n"/>
      <c r="Z372" s="85" t="n"/>
      <c r="AA372" s="85" t="n"/>
      <c r="AB372" s="85" t="n"/>
      <c r="AC372" s="86" t="n"/>
      <c r="AD372" s="85">
        <f>IF($A372="","",IF(OR($AB372&lt;&gt;"Yes",$AC372="",TODAY()-$AC372&gt;90),"At Risk","Not At Risk"))</f>
        <v/>
      </c>
      <c r="AE372" s="85" t="n"/>
    </row>
    <row r="373" ht="15" customHeight="1" s="39">
      <c r="A373" s="85" t="n"/>
      <c r="B373" s="85" t="n"/>
      <c r="C373" s="85" t="n"/>
      <c r="D373" s="85" t="n"/>
      <c r="E373" s="85" t="n"/>
      <c r="F373" s="85" t="n"/>
      <c r="G373" s="85" t="n"/>
      <c r="H373" s="85" t="n"/>
      <c r="I373" s="85" t="n"/>
      <c r="J373" s="85" t="n"/>
      <c r="K373" s="85" t="n"/>
      <c r="L373" s="85" t="n"/>
      <c r="M373" s="85" t="n"/>
      <c r="N373" s="85" t="n"/>
      <c r="O373" s="85" t="n"/>
      <c r="P373" s="85" t="n"/>
      <c r="Q373" s="85" t="n"/>
      <c r="R373" s="85" t="n"/>
      <c r="S373" s="85" t="n"/>
      <c r="T373" s="85" t="n"/>
      <c r="U373" s="85" t="n"/>
      <c r="V373" s="85" t="n"/>
      <c r="W373" s="85" t="n"/>
      <c r="X373" s="85" t="n"/>
      <c r="Y373" s="85" t="n"/>
      <c r="Z373" s="85" t="n"/>
      <c r="AA373" s="85" t="n"/>
      <c r="AB373" s="85" t="n"/>
      <c r="AC373" s="86" t="n"/>
      <c r="AD373" s="85">
        <f>IF($A373="","",IF(OR($AB373&lt;&gt;"Yes",$AC373="",TODAY()-$AC373&gt;90),"At Risk","Not At Risk"))</f>
        <v/>
      </c>
      <c r="AE373" s="85" t="n"/>
    </row>
    <row r="374" ht="15" customHeight="1" s="39">
      <c r="A374" s="85" t="n"/>
      <c r="B374" s="85" t="n"/>
      <c r="C374" s="85" t="n"/>
      <c r="D374" s="85" t="n"/>
      <c r="E374" s="85" t="n"/>
      <c r="F374" s="85" t="n"/>
      <c r="G374" s="85" t="n"/>
      <c r="H374" s="85" t="n"/>
      <c r="I374" s="85" t="n"/>
      <c r="J374" s="85" t="n"/>
      <c r="K374" s="85" t="n"/>
      <c r="L374" s="85" t="n"/>
      <c r="M374" s="85" t="n"/>
      <c r="N374" s="85" t="n"/>
      <c r="O374" s="85" t="n"/>
      <c r="P374" s="85" t="n"/>
      <c r="Q374" s="85" t="n"/>
      <c r="R374" s="85" t="n"/>
      <c r="S374" s="85" t="n"/>
      <c r="T374" s="85" t="n"/>
      <c r="U374" s="85" t="n"/>
      <c r="V374" s="85" t="n"/>
      <c r="W374" s="85" t="n"/>
      <c r="X374" s="85" t="n"/>
      <c r="Y374" s="85" t="n"/>
      <c r="Z374" s="85" t="n"/>
      <c r="AA374" s="85" t="n"/>
      <c r="AB374" s="85" t="n"/>
      <c r="AC374" s="86" t="n"/>
      <c r="AD374" s="85">
        <f>IF($A374="","",IF(OR($AB374&lt;&gt;"Yes",$AC374="",TODAY()-$AC374&gt;90),"At Risk","Not At Risk"))</f>
        <v/>
      </c>
      <c r="AE374" s="85" t="n"/>
    </row>
    <row r="375" ht="15" customHeight="1" s="39">
      <c r="A375" s="85" t="n"/>
      <c r="B375" s="85" t="n"/>
      <c r="C375" s="85" t="n"/>
      <c r="D375" s="85" t="n"/>
      <c r="E375" s="85" t="n"/>
      <c r="F375" s="85" t="n"/>
      <c r="G375" s="85" t="n"/>
      <c r="H375" s="85" t="n"/>
      <c r="I375" s="85" t="n"/>
      <c r="J375" s="85" t="n"/>
      <c r="K375" s="85" t="n"/>
      <c r="L375" s="85" t="n"/>
      <c r="M375" s="85" t="n"/>
      <c r="N375" s="85" t="n"/>
      <c r="O375" s="85" t="n"/>
      <c r="P375" s="85" t="n"/>
      <c r="Q375" s="85" t="n"/>
      <c r="R375" s="85" t="n"/>
      <c r="S375" s="85" t="n"/>
      <c r="T375" s="85" t="n"/>
      <c r="U375" s="85" t="n"/>
      <c r="V375" s="85" t="n"/>
      <c r="W375" s="85" t="n"/>
      <c r="X375" s="85" t="n"/>
      <c r="Y375" s="85" t="n"/>
      <c r="Z375" s="85" t="n"/>
      <c r="AA375" s="85" t="n"/>
      <c r="AB375" s="85" t="n"/>
      <c r="AC375" s="86" t="n"/>
      <c r="AD375" s="85">
        <f>IF($A375="","",IF(OR($AB375&lt;&gt;"Yes",$AC375="",TODAY()-$AC375&gt;90),"At Risk","Not At Risk"))</f>
        <v/>
      </c>
      <c r="AE375" s="85" t="n"/>
    </row>
    <row r="376" ht="15" customHeight="1" s="39">
      <c r="A376" s="85" t="n"/>
      <c r="B376" s="85" t="n"/>
      <c r="C376" s="85" t="n"/>
      <c r="D376" s="85" t="n"/>
      <c r="E376" s="85" t="n"/>
      <c r="F376" s="85" t="n"/>
      <c r="G376" s="85" t="n"/>
      <c r="H376" s="85" t="n"/>
      <c r="I376" s="85" t="n"/>
      <c r="J376" s="85" t="n"/>
      <c r="K376" s="85" t="n"/>
      <c r="L376" s="85" t="n"/>
      <c r="M376" s="85" t="n"/>
      <c r="N376" s="85" t="n"/>
      <c r="O376" s="85" t="n"/>
      <c r="P376" s="85" t="n"/>
      <c r="Q376" s="85" t="n"/>
      <c r="R376" s="85" t="n"/>
      <c r="S376" s="85" t="n"/>
      <c r="T376" s="85" t="n"/>
      <c r="U376" s="85" t="n"/>
      <c r="V376" s="85" t="n"/>
      <c r="W376" s="85" t="n"/>
      <c r="X376" s="85" t="n"/>
      <c r="Y376" s="85" t="n"/>
      <c r="Z376" s="85" t="n"/>
      <c r="AA376" s="85" t="n"/>
      <c r="AB376" s="85" t="n"/>
      <c r="AC376" s="86" t="n"/>
      <c r="AD376" s="85">
        <f>IF($A376="","",IF(OR($AB376&lt;&gt;"Yes",$AC376="",TODAY()-$AC376&gt;90),"At Risk","Not At Risk"))</f>
        <v/>
      </c>
      <c r="AE376" s="85" t="n"/>
    </row>
    <row r="377" ht="15" customHeight="1" s="39">
      <c r="A377" s="85" t="n"/>
      <c r="B377" s="85" t="n"/>
      <c r="C377" s="85" t="n"/>
      <c r="D377" s="85" t="n"/>
      <c r="E377" s="85" t="n"/>
      <c r="F377" s="85" t="n"/>
      <c r="G377" s="85" t="n"/>
      <c r="H377" s="85" t="n"/>
      <c r="I377" s="85" t="n"/>
      <c r="J377" s="85" t="n"/>
      <c r="K377" s="85" t="n"/>
      <c r="L377" s="85" t="n"/>
      <c r="M377" s="85" t="n"/>
      <c r="N377" s="85" t="n"/>
      <c r="O377" s="85" t="n"/>
      <c r="P377" s="85" t="n"/>
      <c r="Q377" s="85" t="n"/>
      <c r="R377" s="85" t="n"/>
      <c r="S377" s="85" t="n"/>
      <c r="T377" s="85" t="n"/>
      <c r="U377" s="85" t="n"/>
      <c r="V377" s="85" t="n"/>
      <c r="W377" s="85" t="n"/>
      <c r="X377" s="85" t="n"/>
      <c r="Y377" s="85" t="n"/>
      <c r="Z377" s="85" t="n"/>
      <c r="AA377" s="85" t="n"/>
      <c r="AB377" s="85" t="n"/>
      <c r="AC377" s="86" t="n"/>
      <c r="AD377" s="85">
        <f>IF($A377="","",IF(OR($AB377&lt;&gt;"Yes",$AC377="",TODAY()-$AC377&gt;90),"At Risk","Not At Risk"))</f>
        <v/>
      </c>
      <c r="AE377" s="85" t="n"/>
    </row>
    <row r="378" ht="15" customHeight="1" s="39">
      <c r="A378" s="85" t="n"/>
      <c r="B378" s="85" t="n"/>
      <c r="C378" s="85" t="n"/>
      <c r="D378" s="85" t="n"/>
      <c r="E378" s="85" t="n"/>
      <c r="F378" s="85" t="n"/>
      <c r="G378" s="85" t="n"/>
      <c r="H378" s="85" t="n"/>
      <c r="I378" s="85" t="n"/>
      <c r="J378" s="85" t="n"/>
      <c r="K378" s="85" t="n"/>
      <c r="L378" s="85" t="n"/>
      <c r="M378" s="85" t="n"/>
      <c r="N378" s="85" t="n"/>
      <c r="O378" s="85" t="n"/>
      <c r="P378" s="85" t="n"/>
      <c r="Q378" s="85" t="n"/>
      <c r="R378" s="85" t="n"/>
      <c r="S378" s="85" t="n"/>
      <c r="T378" s="85" t="n"/>
      <c r="U378" s="85" t="n"/>
      <c r="V378" s="85" t="n"/>
      <c r="W378" s="85" t="n"/>
      <c r="X378" s="85" t="n"/>
      <c r="Y378" s="85" t="n"/>
      <c r="Z378" s="85" t="n"/>
      <c r="AA378" s="85" t="n"/>
      <c r="AB378" s="85" t="n"/>
      <c r="AC378" s="86" t="n"/>
      <c r="AD378" s="85">
        <f>IF($A378="","",IF(OR($AB378&lt;&gt;"Yes",$AC378="",TODAY()-$AC378&gt;90),"At Risk","Not At Risk"))</f>
        <v/>
      </c>
      <c r="AE378" s="85" t="n"/>
    </row>
    <row r="379" ht="15" customHeight="1" s="39">
      <c r="A379" s="85" t="n"/>
      <c r="B379" s="85" t="n"/>
      <c r="C379" s="85" t="n"/>
      <c r="D379" s="85" t="n"/>
      <c r="E379" s="85" t="n"/>
      <c r="F379" s="85" t="n"/>
      <c r="G379" s="85" t="n"/>
      <c r="H379" s="85" t="n"/>
      <c r="I379" s="85" t="n"/>
      <c r="J379" s="85" t="n"/>
      <c r="K379" s="85" t="n"/>
      <c r="L379" s="85" t="n"/>
      <c r="M379" s="85" t="n"/>
      <c r="N379" s="85" t="n"/>
      <c r="O379" s="85" t="n"/>
      <c r="P379" s="85" t="n"/>
      <c r="Q379" s="85" t="n"/>
      <c r="R379" s="85" t="n"/>
      <c r="S379" s="85" t="n"/>
      <c r="T379" s="85" t="n"/>
      <c r="U379" s="85" t="n"/>
      <c r="V379" s="85" t="n"/>
      <c r="W379" s="85" t="n"/>
      <c r="X379" s="85" t="n"/>
      <c r="Y379" s="85" t="n"/>
      <c r="Z379" s="85" t="n"/>
      <c r="AA379" s="85" t="n"/>
      <c r="AB379" s="85" t="n"/>
      <c r="AC379" s="86" t="n"/>
      <c r="AD379" s="85">
        <f>IF($A379="","",IF(OR($AB379&lt;&gt;"Yes",$AC379="",TODAY()-$AC379&gt;90),"At Risk","Not At Risk"))</f>
        <v/>
      </c>
      <c r="AE379" s="85" t="n"/>
    </row>
    <row r="380" ht="15" customHeight="1" s="39">
      <c r="A380" s="85" t="n"/>
      <c r="B380" s="85" t="n"/>
      <c r="C380" s="85" t="n"/>
      <c r="D380" s="85" t="n"/>
      <c r="E380" s="85" t="n"/>
      <c r="F380" s="85" t="n"/>
      <c r="G380" s="85" t="n"/>
      <c r="H380" s="85" t="n"/>
      <c r="I380" s="85" t="n"/>
      <c r="J380" s="85" t="n"/>
      <c r="K380" s="85" t="n"/>
      <c r="L380" s="85" t="n"/>
      <c r="M380" s="85" t="n"/>
      <c r="N380" s="85" t="n"/>
      <c r="O380" s="85" t="n"/>
      <c r="P380" s="85" t="n"/>
      <c r="Q380" s="85" t="n"/>
      <c r="R380" s="85" t="n"/>
      <c r="S380" s="85" t="n"/>
      <c r="T380" s="85" t="n"/>
      <c r="U380" s="85" t="n"/>
      <c r="V380" s="85" t="n"/>
      <c r="W380" s="85" t="n"/>
      <c r="X380" s="85" t="n"/>
      <c r="Y380" s="85" t="n"/>
      <c r="Z380" s="85" t="n"/>
      <c r="AA380" s="85" t="n"/>
      <c r="AB380" s="85" t="n"/>
      <c r="AC380" s="86" t="n"/>
      <c r="AD380" s="85">
        <f>IF($A380="","",IF(OR($AB380&lt;&gt;"Yes",$AC380="",TODAY()-$AC380&gt;90),"At Risk","Not At Risk"))</f>
        <v/>
      </c>
      <c r="AE380" s="85" t="n"/>
    </row>
    <row r="381" ht="15" customHeight="1" s="39">
      <c r="A381" s="85" t="n"/>
      <c r="B381" s="85" t="n"/>
      <c r="C381" s="85" t="n"/>
      <c r="D381" s="85" t="n"/>
      <c r="E381" s="85" t="n"/>
      <c r="F381" s="85" t="n"/>
      <c r="G381" s="85" t="n"/>
      <c r="H381" s="85" t="n"/>
      <c r="I381" s="85" t="n"/>
      <c r="J381" s="85" t="n"/>
      <c r="K381" s="85" t="n"/>
      <c r="L381" s="85" t="n"/>
      <c r="M381" s="85" t="n"/>
      <c r="N381" s="85" t="n"/>
      <c r="O381" s="85" t="n"/>
      <c r="P381" s="85" t="n"/>
      <c r="Q381" s="85" t="n"/>
      <c r="R381" s="85" t="n"/>
      <c r="S381" s="85" t="n"/>
      <c r="T381" s="85" t="n"/>
      <c r="U381" s="85" t="n"/>
      <c r="V381" s="85" t="n"/>
      <c r="W381" s="85" t="n"/>
      <c r="X381" s="85" t="n"/>
      <c r="Y381" s="85" t="n"/>
      <c r="Z381" s="85" t="n"/>
      <c r="AA381" s="85" t="n"/>
      <c r="AB381" s="85" t="n"/>
      <c r="AC381" s="86" t="n"/>
      <c r="AD381" s="85">
        <f>IF($A381="","",IF(OR($AB381&lt;&gt;"Yes",$AC381="",TODAY()-$AC381&gt;90),"At Risk","Not At Risk"))</f>
        <v/>
      </c>
      <c r="AE381" s="85" t="n"/>
    </row>
    <row r="382" ht="15" customHeight="1" s="39">
      <c r="A382" s="85" t="n"/>
      <c r="B382" s="85" t="n"/>
      <c r="C382" s="85" t="n"/>
      <c r="D382" s="85" t="n"/>
      <c r="E382" s="85" t="n"/>
      <c r="F382" s="85" t="n"/>
      <c r="G382" s="85" t="n"/>
      <c r="H382" s="85" t="n"/>
      <c r="I382" s="85" t="n"/>
      <c r="J382" s="85" t="n"/>
      <c r="K382" s="85" t="n"/>
      <c r="L382" s="85" t="n"/>
      <c r="M382" s="85" t="n"/>
      <c r="N382" s="85" t="n"/>
      <c r="O382" s="85" t="n"/>
      <c r="P382" s="85" t="n"/>
      <c r="Q382" s="85" t="n"/>
      <c r="R382" s="85" t="n"/>
      <c r="S382" s="85" t="n"/>
      <c r="T382" s="85" t="n"/>
      <c r="U382" s="85" t="n"/>
      <c r="V382" s="85" t="n"/>
      <c r="W382" s="85" t="n"/>
      <c r="X382" s="85" t="n"/>
      <c r="Y382" s="85" t="n"/>
      <c r="Z382" s="85" t="n"/>
      <c r="AA382" s="85" t="n"/>
      <c r="AB382" s="85" t="n"/>
      <c r="AC382" s="86" t="n"/>
      <c r="AD382" s="85">
        <f>IF($A382="","",IF(OR($AB382&lt;&gt;"Yes",$AC382="",TODAY()-$AC382&gt;90),"At Risk","Not At Risk"))</f>
        <v/>
      </c>
      <c r="AE382" s="85" t="n"/>
    </row>
    <row r="383" ht="15" customHeight="1" s="39">
      <c r="A383" s="85" t="n"/>
      <c r="B383" s="85" t="n"/>
      <c r="C383" s="85" t="n"/>
      <c r="D383" s="85" t="n"/>
      <c r="E383" s="85" t="n"/>
      <c r="F383" s="85" t="n"/>
      <c r="G383" s="85" t="n"/>
      <c r="H383" s="85" t="n"/>
      <c r="I383" s="85" t="n"/>
      <c r="J383" s="85" t="n"/>
      <c r="K383" s="85" t="n"/>
      <c r="L383" s="85" t="n"/>
      <c r="M383" s="85" t="n"/>
      <c r="N383" s="85" t="n"/>
      <c r="O383" s="85" t="n"/>
      <c r="P383" s="85" t="n"/>
      <c r="Q383" s="85" t="n"/>
      <c r="R383" s="85" t="n"/>
      <c r="S383" s="85" t="n"/>
      <c r="T383" s="85" t="n"/>
      <c r="U383" s="85" t="n"/>
      <c r="V383" s="85" t="n"/>
      <c r="W383" s="85" t="n"/>
      <c r="X383" s="85" t="n"/>
      <c r="Y383" s="85" t="n"/>
      <c r="Z383" s="85" t="n"/>
      <c r="AA383" s="85" t="n"/>
      <c r="AB383" s="85" t="n"/>
      <c r="AC383" s="86" t="n"/>
      <c r="AD383" s="85">
        <f>IF($A383="","",IF(OR($AB383&lt;&gt;"Yes",$AC383="",TODAY()-$AC383&gt;90),"At Risk","Not At Risk"))</f>
        <v/>
      </c>
      <c r="AE383" s="85" t="n"/>
    </row>
    <row r="384" ht="15" customHeight="1" s="39">
      <c r="A384" s="85" t="n"/>
      <c r="B384" s="85" t="n"/>
      <c r="C384" s="85" t="n"/>
      <c r="D384" s="85" t="n"/>
      <c r="E384" s="85" t="n"/>
      <c r="F384" s="85" t="n"/>
      <c r="G384" s="85" t="n"/>
      <c r="H384" s="85" t="n"/>
      <c r="I384" s="85" t="n"/>
      <c r="J384" s="85" t="n"/>
      <c r="K384" s="85" t="n"/>
      <c r="L384" s="85" t="n"/>
      <c r="M384" s="85" t="n"/>
      <c r="N384" s="85" t="n"/>
      <c r="O384" s="85" t="n"/>
      <c r="P384" s="85" t="n"/>
      <c r="Q384" s="85" t="n"/>
      <c r="R384" s="85" t="n"/>
      <c r="S384" s="85" t="n"/>
      <c r="T384" s="85" t="n"/>
      <c r="U384" s="85" t="n"/>
      <c r="V384" s="85" t="n"/>
      <c r="W384" s="85" t="n"/>
      <c r="X384" s="85" t="n"/>
      <c r="Y384" s="85" t="n"/>
      <c r="Z384" s="85" t="n"/>
      <c r="AA384" s="85" t="n"/>
      <c r="AB384" s="85" t="n"/>
      <c r="AC384" s="86" t="n"/>
      <c r="AD384" s="85">
        <f>IF($A384="","",IF(OR($AB384&lt;&gt;"Yes",$AC384="",TODAY()-$AC384&gt;90),"At Risk","Not At Risk"))</f>
        <v/>
      </c>
      <c r="AE384" s="85" t="n"/>
    </row>
    <row r="385" ht="15" customHeight="1" s="39">
      <c r="A385" s="85" t="n"/>
      <c r="B385" s="85" t="n"/>
      <c r="C385" s="85" t="n"/>
      <c r="D385" s="85" t="n"/>
      <c r="E385" s="85" t="n"/>
      <c r="F385" s="85" t="n"/>
      <c r="G385" s="85" t="n"/>
      <c r="H385" s="85" t="n"/>
      <c r="I385" s="85" t="n"/>
      <c r="J385" s="85" t="n"/>
      <c r="K385" s="85" t="n"/>
      <c r="L385" s="85" t="n"/>
      <c r="M385" s="85" t="n"/>
      <c r="N385" s="85" t="n"/>
      <c r="O385" s="85" t="n"/>
      <c r="P385" s="85" t="n"/>
      <c r="Q385" s="85" t="n"/>
      <c r="R385" s="85" t="n"/>
      <c r="S385" s="85" t="n"/>
      <c r="T385" s="85" t="n"/>
      <c r="U385" s="85" t="n"/>
      <c r="V385" s="85" t="n"/>
      <c r="W385" s="85" t="n"/>
      <c r="X385" s="85" t="n"/>
      <c r="Y385" s="85" t="n"/>
      <c r="Z385" s="85" t="n"/>
      <c r="AA385" s="85" t="n"/>
      <c r="AB385" s="85" t="n"/>
      <c r="AC385" s="86" t="n"/>
      <c r="AD385" s="85">
        <f>IF($A385="","",IF(OR($AB385&lt;&gt;"Yes",$AC385="",TODAY()-$AC385&gt;90),"At Risk","Not At Risk"))</f>
        <v/>
      </c>
      <c r="AE385" s="85" t="n"/>
    </row>
    <row r="386" ht="15" customHeight="1" s="39">
      <c r="A386" s="85" t="n"/>
      <c r="B386" s="85" t="n"/>
      <c r="C386" s="85" t="n"/>
      <c r="D386" s="85" t="n"/>
      <c r="E386" s="85" t="n"/>
      <c r="F386" s="85" t="n"/>
      <c r="G386" s="85" t="n"/>
      <c r="H386" s="85" t="n"/>
      <c r="I386" s="85" t="n"/>
      <c r="J386" s="85" t="n"/>
      <c r="K386" s="85" t="n"/>
      <c r="L386" s="85" t="n"/>
      <c r="M386" s="85" t="n"/>
      <c r="N386" s="85" t="n"/>
      <c r="O386" s="85" t="n"/>
      <c r="P386" s="85" t="n"/>
      <c r="Q386" s="85" t="n"/>
      <c r="R386" s="85" t="n"/>
      <c r="S386" s="85" t="n"/>
      <c r="T386" s="85" t="n"/>
      <c r="U386" s="85" t="n"/>
      <c r="V386" s="85" t="n"/>
      <c r="W386" s="85" t="n"/>
      <c r="X386" s="85" t="n"/>
      <c r="Y386" s="85" t="n"/>
      <c r="Z386" s="85" t="n"/>
      <c r="AA386" s="85" t="n"/>
      <c r="AB386" s="85" t="n"/>
      <c r="AC386" s="86" t="n"/>
      <c r="AD386" s="85">
        <f>IF($A386="","",IF(OR($AB386&lt;&gt;"Yes",$AC386="",TODAY()-$AC386&gt;90),"At Risk","Not At Risk"))</f>
        <v/>
      </c>
      <c r="AE386" s="85" t="n"/>
    </row>
    <row r="387" ht="15" customHeight="1" s="39">
      <c r="A387" s="85" t="n"/>
      <c r="B387" s="85" t="n"/>
      <c r="C387" s="85" t="n"/>
      <c r="D387" s="85" t="n"/>
      <c r="E387" s="85" t="n"/>
      <c r="F387" s="85" t="n"/>
      <c r="G387" s="85" t="n"/>
      <c r="H387" s="85" t="n"/>
      <c r="I387" s="85" t="n"/>
      <c r="J387" s="85" t="n"/>
      <c r="K387" s="85" t="n"/>
      <c r="L387" s="85" t="n"/>
      <c r="M387" s="85" t="n"/>
      <c r="N387" s="85" t="n"/>
      <c r="O387" s="85" t="n"/>
      <c r="P387" s="85" t="n"/>
      <c r="Q387" s="85" t="n"/>
      <c r="R387" s="85" t="n"/>
      <c r="S387" s="85" t="n"/>
      <c r="T387" s="85" t="n"/>
      <c r="U387" s="85" t="n"/>
      <c r="V387" s="85" t="n"/>
      <c r="W387" s="85" t="n"/>
      <c r="X387" s="85" t="n"/>
      <c r="Y387" s="85" t="n"/>
      <c r="Z387" s="85" t="n"/>
      <c r="AA387" s="85" t="n"/>
      <c r="AB387" s="85" t="n"/>
      <c r="AC387" s="86" t="n"/>
      <c r="AD387" s="85">
        <f>IF($A387="","",IF(OR($AB387&lt;&gt;"Yes",$AC387="",TODAY()-$AC387&gt;90),"At Risk","Not At Risk"))</f>
        <v/>
      </c>
      <c r="AE387" s="85" t="n"/>
    </row>
    <row r="388" ht="15" customHeight="1" s="39">
      <c r="A388" s="85" t="n"/>
      <c r="B388" s="85" t="n"/>
      <c r="C388" s="85" t="n"/>
      <c r="D388" s="85" t="n"/>
      <c r="E388" s="85" t="n"/>
      <c r="F388" s="85" t="n"/>
      <c r="G388" s="85" t="n"/>
      <c r="H388" s="85" t="n"/>
      <c r="I388" s="85" t="n"/>
      <c r="J388" s="85" t="n"/>
      <c r="K388" s="85" t="n"/>
      <c r="L388" s="85" t="n"/>
      <c r="M388" s="85" t="n"/>
      <c r="N388" s="85" t="n"/>
      <c r="O388" s="85" t="n"/>
      <c r="P388" s="85" t="n"/>
      <c r="Q388" s="85" t="n"/>
      <c r="R388" s="85" t="n"/>
      <c r="S388" s="85" t="n"/>
      <c r="T388" s="85" t="n"/>
      <c r="U388" s="85" t="n"/>
      <c r="V388" s="85" t="n"/>
      <c r="W388" s="85" t="n"/>
      <c r="X388" s="85" t="n"/>
      <c r="Y388" s="85" t="n"/>
      <c r="Z388" s="85" t="n"/>
      <c r="AA388" s="85" t="n"/>
      <c r="AB388" s="85" t="n"/>
      <c r="AC388" s="86" t="n"/>
      <c r="AD388" s="85">
        <f>IF($A388="","",IF(OR($AB388&lt;&gt;"Yes",$AC388="",TODAY()-$AC388&gt;90),"At Risk","Not At Risk"))</f>
        <v/>
      </c>
      <c r="AE388" s="85" t="n"/>
    </row>
    <row r="389" ht="15" customHeight="1" s="39">
      <c r="A389" s="85" t="n"/>
      <c r="B389" s="85" t="n"/>
      <c r="C389" s="85" t="n"/>
      <c r="D389" s="85" t="n"/>
      <c r="E389" s="85" t="n"/>
      <c r="F389" s="85" t="n"/>
      <c r="G389" s="85" t="n"/>
      <c r="H389" s="85" t="n"/>
      <c r="I389" s="85" t="n"/>
      <c r="J389" s="85" t="n"/>
      <c r="K389" s="85" t="n"/>
      <c r="L389" s="85" t="n"/>
      <c r="M389" s="85" t="n"/>
      <c r="N389" s="85" t="n"/>
      <c r="O389" s="85" t="n"/>
      <c r="P389" s="85" t="n"/>
      <c r="Q389" s="85" t="n"/>
      <c r="R389" s="85" t="n"/>
      <c r="S389" s="85" t="n"/>
      <c r="T389" s="85" t="n"/>
      <c r="U389" s="85" t="n"/>
      <c r="V389" s="85" t="n"/>
      <c r="W389" s="85" t="n"/>
      <c r="X389" s="85" t="n"/>
      <c r="Y389" s="85" t="n"/>
      <c r="Z389" s="85" t="n"/>
      <c r="AA389" s="85" t="n"/>
      <c r="AB389" s="85" t="n"/>
      <c r="AC389" s="86" t="n"/>
      <c r="AD389" s="85">
        <f>IF($A389="","",IF(OR($AB389&lt;&gt;"Yes",$AC389="",TODAY()-$AC389&gt;90),"At Risk","Not At Risk"))</f>
        <v/>
      </c>
      <c r="AE389" s="85" t="n"/>
    </row>
    <row r="390" ht="15" customHeight="1" s="39">
      <c r="A390" s="85" t="n"/>
      <c r="B390" s="85" t="n"/>
      <c r="C390" s="85" t="n"/>
      <c r="D390" s="85" t="n"/>
      <c r="E390" s="85" t="n"/>
      <c r="F390" s="85" t="n"/>
      <c r="G390" s="85" t="n"/>
      <c r="H390" s="85" t="n"/>
      <c r="I390" s="85" t="n"/>
      <c r="J390" s="85" t="n"/>
      <c r="K390" s="85" t="n"/>
      <c r="L390" s="85" t="n"/>
      <c r="M390" s="85" t="n"/>
      <c r="N390" s="85" t="n"/>
      <c r="O390" s="85" t="n"/>
      <c r="P390" s="85" t="n"/>
      <c r="Q390" s="85" t="n"/>
      <c r="R390" s="85" t="n"/>
      <c r="S390" s="85" t="n"/>
      <c r="T390" s="85" t="n"/>
      <c r="U390" s="85" t="n"/>
      <c r="V390" s="85" t="n"/>
      <c r="W390" s="85" t="n"/>
      <c r="X390" s="85" t="n"/>
      <c r="Y390" s="85" t="n"/>
      <c r="Z390" s="85" t="n"/>
      <c r="AA390" s="85" t="n"/>
      <c r="AB390" s="85" t="n"/>
      <c r="AC390" s="86" t="n"/>
      <c r="AD390" s="85">
        <f>IF($A390="","",IF(OR($AB390&lt;&gt;"Yes",$AC390="",TODAY()-$AC390&gt;90),"At Risk","Not At Risk"))</f>
        <v/>
      </c>
      <c r="AE390" s="85" t="n"/>
    </row>
    <row r="391" ht="15" customHeight="1" s="39">
      <c r="A391" s="85" t="n"/>
      <c r="B391" s="85" t="n"/>
      <c r="C391" s="85" t="n"/>
      <c r="D391" s="85" t="n"/>
      <c r="E391" s="85" t="n"/>
      <c r="F391" s="85" t="n"/>
      <c r="G391" s="85" t="n"/>
      <c r="H391" s="85" t="n"/>
      <c r="I391" s="85" t="n"/>
      <c r="J391" s="85" t="n"/>
      <c r="K391" s="85" t="n"/>
      <c r="L391" s="85" t="n"/>
      <c r="M391" s="85" t="n"/>
      <c r="N391" s="85" t="n"/>
      <c r="O391" s="85" t="n"/>
      <c r="P391" s="85" t="n"/>
      <c r="Q391" s="85" t="n"/>
      <c r="R391" s="85" t="n"/>
      <c r="S391" s="85" t="n"/>
      <c r="T391" s="85" t="n"/>
      <c r="U391" s="85" t="n"/>
      <c r="V391" s="85" t="n"/>
      <c r="W391" s="85" t="n"/>
      <c r="X391" s="85" t="n"/>
      <c r="Y391" s="85" t="n"/>
      <c r="Z391" s="85" t="n"/>
      <c r="AA391" s="85" t="n"/>
      <c r="AB391" s="85" t="n"/>
      <c r="AC391" s="86" t="n"/>
      <c r="AD391" s="85">
        <f>IF($A391="","",IF(OR($AB391&lt;&gt;"Yes",$AC391="",TODAY()-$AC391&gt;90),"At Risk","Not At Risk"))</f>
        <v/>
      </c>
      <c r="AE391" s="85" t="n"/>
    </row>
    <row r="392" ht="15" customHeight="1" s="39">
      <c r="A392" s="85" t="n"/>
      <c r="B392" s="85" t="n"/>
      <c r="C392" s="85" t="n"/>
      <c r="D392" s="85" t="n"/>
      <c r="E392" s="85" t="n"/>
      <c r="F392" s="85" t="n"/>
      <c r="G392" s="85" t="n"/>
      <c r="H392" s="85" t="n"/>
      <c r="I392" s="85" t="n"/>
      <c r="J392" s="85" t="n"/>
      <c r="K392" s="85" t="n"/>
      <c r="L392" s="85" t="n"/>
      <c r="M392" s="85" t="n"/>
      <c r="N392" s="85" t="n"/>
      <c r="O392" s="85" t="n"/>
      <c r="P392" s="85" t="n"/>
      <c r="Q392" s="85" t="n"/>
      <c r="R392" s="85" t="n"/>
      <c r="S392" s="85" t="n"/>
      <c r="T392" s="85" t="n"/>
      <c r="U392" s="85" t="n"/>
      <c r="V392" s="85" t="n"/>
      <c r="W392" s="85" t="n"/>
      <c r="X392" s="85" t="n"/>
      <c r="Y392" s="85" t="n"/>
      <c r="Z392" s="85" t="n"/>
      <c r="AA392" s="85" t="n"/>
      <c r="AB392" s="85" t="n"/>
      <c r="AC392" s="86" t="n"/>
      <c r="AD392" s="85">
        <f>IF($A392="","",IF(OR($AB392&lt;&gt;"Yes",$AC392="",TODAY()-$AC392&gt;90),"At Risk","Not At Risk"))</f>
        <v/>
      </c>
      <c r="AE392" s="85" t="n"/>
    </row>
    <row r="393" ht="15" customHeight="1" s="39">
      <c r="A393" s="85" t="n"/>
      <c r="B393" s="85" t="n"/>
      <c r="C393" s="85" t="n"/>
      <c r="D393" s="85" t="n"/>
      <c r="E393" s="85" t="n"/>
      <c r="F393" s="85" t="n"/>
      <c r="G393" s="85" t="n"/>
      <c r="H393" s="85" t="n"/>
      <c r="I393" s="85" t="n"/>
      <c r="J393" s="85" t="n"/>
      <c r="K393" s="85" t="n"/>
      <c r="L393" s="85" t="n"/>
      <c r="M393" s="85" t="n"/>
      <c r="N393" s="85" t="n"/>
      <c r="O393" s="85" t="n"/>
      <c r="P393" s="85" t="n"/>
      <c r="Q393" s="85" t="n"/>
      <c r="R393" s="85" t="n"/>
      <c r="S393" s="85" t="n"/>
      <c r="T393" s="85" t="n"/>
      <c r="U393" s="85" t="n"/>
      <c r="V393" s="85" t="n"/>
      <c r="W393" s="85" t="n"/>
      <c r="X393" s="85" t="n"/>
      <c r="Y393" s="85" t="n"/>
      <c r="Z393" s="85" t="n"/>
      <c r="AA393" s="85" t="n"/>
      <c r="AB393" s="85" t="n"/>
      <c r="AC393" s="86" t="n"/>
      <c r="AD393" s="85">
        <f>IF($A393="","",IF(OR($AB393&lt;&gt;"Yes",$AC393="",TODAY()-$AC393&gt;90),"At Risk","Not At Risk"))</f>
        <v/>
      </c>
      <c r="AE393" s="85" t="n"/>
    </row>
    <row r="394" ht="15" customHeight="1" s="39">
      <c r="A394" s="85" t="n"/>
      <c r="B394" s="85" t="n"/>
      <c r="C394" s="85" t="n"/>
      <c r="D394" s="85" t="n"/>
      <c r="E394" s="85" t="n"/>
      <c r="F394" s="85" t="n"/>
      <c r="G394" s="85" t="n"/>
      <c r="H394" s="85" t="n"/>
      <c r="I394" s="85" t="n"/>
      <c r="J394" s="85" t="n"/>
      <c r="K394" s="85" t="n"/>
      <c r="L394" s="85" t="n"/>
      <c r="M394" s="85" t="n"/>
      <c r="N394" s="85" t="n"/>
      <c r="O394" s="85" t="n"/>
      <c r="P394" s="85" t="n"/>
      <c r="Q394" s="85" t="n"/>
      <c r="R394" s="85" t="n"/>
      <c r="S394" s="85" t="n"/>
      <c r="T394" s="85" t="n"/>
      <c r="U394" s="85" t="n"/>
      <c r="V394" s="85" t="n"/>
      <c r="W394" s="85" t="n"/>
      <c r="X394" s="85" t="n"/>
      <c r="Y394" s="85" t="n"/>
      <c r="Z394" s="85" t="n"/>
      <c r="AA394" s="85" t="n"/>
      <c r="AB394" s="85" t="n"/>
      <c r="AC394" s="86" t="n"/>
      <c r="AD394" s="85">
        <f>IF($A394="","",IF(OR($AB394&lt;&gt;"Yes",$AC394="",TODAY()-$AC394&gt;90),"At Risk","Not At Risk"))</f>
        <v/>
      </c>
      <c r="AE394" s="85" t="n"/>
    </row>
    <row r="395" ht="15" customHeight="1" s="39">
      <c r="A395" s="85" t="n"/>
      <c r="B395" s="85" t="n"/>
      <c r="C395" s="85" t="n"/>
      <c r="D395" s="85" t="n"/>
      <c r="E395" s="85" t="n"/>
      <c r="F395" s="85" t="n"/>
      <c r="G395" s="85" t="n"/>
      <c r="H395" s="85" t="n"/>
      <c r="I395" s="85" t="n"/>
      <c r="J395" s="85" t="n"/>
      <c r="K395" s="85" t="n"/>
      <c r="L395" s="85" t="n"/>
      <c r="M395" s="85" t="n"/>
      <c r="N395" s="85" t="n"/>
      <c r="O395" s="85" t="n"/>
      <c r="P395" s="85" t="n"/>
      <c r="Q395" s="85" t="n"/>
      <c r="R395" s="85" t="n"/>
      <c r="S395" s="85" t="n"/>
      <c r="T395" s="85" t="n"/>
      <c r="U395" s="85" t="n"/>
      <c r="V395" s="85" t="n"/>
      <c r="W395" s="85" t="n"/>
      <c r="X395" s="85" t="n"/>
      <c r="Y395" s="85" t="n"/>
      <c r="Z395" s="85" t="n"/>
      <c r="AA395" s="85" t="n"/>
      <c r="AB395" s="85" t="n"/>
      <c r="AC395" s="86" t="n"/>
      <c r="AD395" s="85">
        <f>IF($A395="","",IF(OR($AB395&lt;&gt;"Yes",$AC395="",TODAY()-$AC395&gt;90),"At Risk","Not At Risk"))</f>
        <v/>
      </c>
      <c r="AE395" s="85" t="n"/>
    </row>
    <row r="396" ht="15" customHeight="1" s="39">
      <c r="A396" s="85" t="n"/>
      <c r="B396" s="85" t="n"/>
      <c r="C396" s="85" t="n"/>
      <c r="D396" s="85" t="n"/>
      <c r="E396" s="85" t="n"/>
      <c r="F396" s="85" t="n"/>
      <c r="G396" s="85" t="n"/>
      <c r="H396" s="85" t="n"/>
      <c r="I396" s="85" t="n"/>
      <c r="J396" s="85" t="n"/>
      <c r="K396" s="85" t="n"/>
      <c r="L396" s="85" t="n"/>
      <c r="M396" s="85" t="n"/>
      <c r="N396" s="85" t="n"/>
      <c r="O396" s="85" t="n"/>
      <c r="P396" s="85" t="n"/>
      <c r="Q396" s="85" t="n"/>
      <c r="R396" s="85" t="n"/>
      <c r="S396" s="85" t="n"/>
      <c r="T396" s="85" t="n"/>
      <c r="U396" s="85" t="n"/>
      <c r="V396" s="85" t="n"/>
      <c r="W396" s="85" t="n"/>
      <c r="X396" s="85" t="n"/>
      <c r="Y396" s="85" t="n"/>
      <c r="Z396" s="85" t="n"/>
      <c r="AA396" s="85" t="n"/>
      <c r="AB396" s="85" t="n"/>
      <c r="AC396" s="86" t="n"/>
      <c r="AD396" s="85">
        <f>IF($A396="","",IF(OR($AB396&lt;&gt;"Yes",$AC396="",TODAY()-$AC396&gt;90),"At Risk","Not At Risk"))</f>
        <v/>
      </c>
      <c r="AE396" s="85" t="n"/>
    </row>
    <row r="397" ht="15" customHeight="1" s="39">
      <c r="A397" s="85" t="n"/>
      <c r="B397" s="85" t="n"/>
      <c r="C397" s="85" t="n"/>
      <c r="D397" s="85" t="n"/>
      <c r="E397" s="85" t="n"/>
      <c r="F397" s="85" t="n"/>
      <c r="G397" s="85" t="n"/>
      <c r="H397" s="85" t="n"/>
      <c r="I397" s="85" t="n"/>
      <c r="J397" s="85" t="n"/>
      <c r="K397" s="85" t="n"/>
      <c r="L397" s="85" t="n"/>
      <c r="M397" s="85" t="n"/>
      <c r="N397" s="85" t="n"/>
      <c r="O397" s="85" t="n"/>
      <c r="P397" s="85" t="n"/>
      <c r="Q397" s="85" t="n"/>
      <c r="R397" s="85" t="n"/>
      <c r="S397" s="85" t="n"/>
      <c r="T397" s="85" t="n"/>
      <c r="U397" s="85" t="n"/>
      <c r="V397" s="85" t="n"/>
      <c r="W397" s="85" t="n"/>
      <c r="X397" s="85" t="n"/>
      <c r="Y397" s="85" t="n"/>
      <c r="Z397" s="85" t="n"/>
      <c r="AA397" s="85" t="n"/>
      <c r="AB397" s="85" t="n"/>
      <c r="AC397" s="86" t="n"/>
      <c r="AD397" s="85">
        <f>IF($A397="","",IF(OR($AB397&lt;&gt;"Yes",$AC397="",TODAY()-$AC397&gt;90),"At Risk","Not At Risk"))</f>
        <v/>
      </c>
      <c r="AE397" s="85" t="n"/>
    </row>
    <row r="398" ht="15" customHeight="1" s="39">
      <c r="A398" s="85" t="n"/>
      <c r="B398" s="85" t="n"/>
      <c r="C398" s="85" t="n"/>
      <c r="D398" s="85" t="n"/>
      <c r="E398" s="85" t="n"/>
      <c r="F398" s="85" t="n"/>
      <c r="G398" s="85" t="n"/>
      <c r="H398" s="85" t="n"/>
      <c r="I398" s="85" t="n"/>
      <c r="J398" s="85" t="n"/>
      <c r="K398" s="85" t="n"/>
      <c r="L398" s="85" t="n"/>
      <c r="M398" s="85" t="n"/>
      <c r="N398" s="85" t="n"/>
      <c r="O398" s="85" t="n"/>
      <c r="P398" s="85" t="n"/>
      <c r="Q398" s="85" t="n"/>
      <c r="R398" s="85" t="n"/>
      <c r="S398" s="85" t="n"/>
      <c r="T398" s="85" t="n"/>
      <c r="U398" s="85" t="n"/>
      <c r="V398" s="85" t="n"/>
      <c r="W398" s="85" t="n"/>
      <c r="X398" s="85" t="n"/>
      <c r="Y398" s="85" t="n"/>
      <c r="Z398" s="85" t="n"/>
      <c r="AA398" s="85" t="n"/>
      <c r="AB398" s="85" t="n"/>
      <c r="AC398" s="86" t="n"/>
      <c r="AD398" s="85">
        <f>IF($A398="","",IF(OR($AB398&lt;&gt;"Yes",$AC398="",TODAY()-$AC398&gt;90),"At Risk","Not At Risk"))</f>
        <v/>
      </c>
      <c r="AE398" s="85" t="n"/>
    </row>
    <row r="399" ht="15" customHeight="1" s="39">
      <c r="A399" s="85" t="n"/>
      <c r="B399" s="85" t="n"/>
      <c r="C399" s="85" t="n"/>
      <c r="D399" s="85" t="n"/>
      <c r="E399" s="85" t="n"/>
      <c r="F399" s="85" t="n"/>
      <c r="G399" s="85" t="n"/>
      <c r="H399" s="85" t="n"/>
      <c r="I399" s="85" t="n"/>
      <c r="J399" s="85" t="n"/>
      <c r="K399" s="85" t="n"/>
      <c r="L399" s="85" t="n"/>
      <c r="M399" s="85" t="n"/>
      <c r="N399" s="85" t="n"/>
      <c r="O399" s="85" t="n"/>
      <c r="P399" s="85" t="n"/>
      <c r="Q399" s="85" t="n"/>
      <c r="R399" s="85" t="n"/>
      <c r="S399" s="85" t="n"/>
      <c r="T399" s="85" t="n"/>
      <c r="U399" s="85" t="n"/>
      <c r="V399" s="85" t="n"/>
      <c r="W399" s="85" t="n"/>
      <c r="X399" s="85" t="n"/>
      <c r="Y399" s="85" t="n"/>
      <c r="Z399" s="85" t="n"/>
      <c r="AA399" s="85" t="n"/>
      <c r="AB399" s="85" t="n"/>
      <c r="AC399" s="86" t="n"/>
      <c r="AD399" s="85">
        <f>IF($A399="","",IF(OR($AB399&lt;&gt;"Yes",$AC399="",TODAY()-$AC399&gt;90),"At Risk","Not At Risk"))</f>
        <v/>
      </c>
      <c r="AE399" s="85" t="n"/>
    </row>
    <row r="400" ht="15" customHeight="1" s="39">
      <c r="A400" s="85" t="n"/>
      <c r="B400" s="85" t="n"/>
      <c r="C400" s="85" t="n"/>
      <c r="D400" s="85" t="n"/>
      <c r="E400" s="85" t="n"/>
      <c r="F400" s="85" t="n"/>
      <c r="G400" s="85" t="n"/>
      <c r="H400" s="85" t="n"/>
      <c r="I400" s="85" t="n"/>
      <c r="J400" s="85" t="n"/>
      <c r="K400" s="85" t="n"/>
      <c r="L400" s="85" t="n"/>
      <c r="M400" s="85" t="n"/>
      <c r="N400" s="85" t="n"/>
      <c r="O400" s="85" t="n"/>
      <c r="P400" s="85" t="n"/>
      <c r="Q400" s="85" t="n"/>
      <c r="R400" s="85" t="n"/>
      <c r="S400" s="85" t="n"/>
      <c r="T400" s="85" t="n"/>
      <c r="U400" s="85" t="n"/>
      <c r="V400" s="85" t="n"/>
      <c r="W400" s="85" t="n"/>
      <c r="X400" s="85" t="n"/>
      <c r="Y400" s="85" t="n"/>
      <c r="Z400" s="85" t="n"/>
      <c r="AA400" s="85" t="n"/>
      <c r="AB400" s="85" t="n"/>
      <c r="AC400" s="86" t="n"/>
      <c r="AD400" s="85">
        <f>IF($A400="","",IF(OR($AB400&lt;&gt;"Yes",$AC400="",TODAY()-$AC400&gt;90),"At Risk","Not At Risk"))</f>
        <v/>
      </c>
      <c r="AE400" s="85" t="n"/>
    </row>
    <row r="401" ht="15" customHeight="1" s="39">
      <c r="A401" s="85" t="n"/>
      <c r="B401" s="85" t="n"/>
      <c r="C401" s="85" t="n"/>
      <c r="D401" s="85" t="n"/>
      <c r="E401" s="85" t="n"/>
      <c r="F401" s="85" t="n"/>
      <c r="G401" s="85" t="n"/>
      <c r="H401" s="85" t="n"/>
      <c r="I401" s="85" t="n"/>
      <c r="J401" s="85" t="n"/>
      <c r="K401" s="85" t="n"/>
      <c r="L401" s="85" t="n"/>
      <c r="M401" s="85" t="n"/>
      <c r="N401" s="85" t="n"/>
      <c r="O401" s="85" t="n"/>
      <c r="P401" s="85" t="n"/>
      <c r="Q401" s="85" t="n"/>
      <c r="R401" s="85" t="n"/>
      <c r="S401" s="85" t="n"/>
      <c r="T401" s="85" t="n"/>
      <c r="U401" s="85" t="n"/>
      <c r="V401" s="85" t="n"/>
      <c r="W401" s="85" t="n"/>
      <c r="X401" s="85" t="n"/>
      <c r="Y401" s="85" t="n"/>
      <c r="Z401" s="85" t="n"/>
      <c r="AA401" s="85" t="n"/>
      <c r="AB401" s="85" t="n"/>
      <c r="AC401" s="86" t="n"/>
      <c r="AD401" s="85">
        <f>IF($A401="","",IF(OR($AB401&lt;&gt;"Yes",$AC401="",TODAY()-$AC401&gt;90),"At Risk","Not At Risk"))</f>
        <v/>
      </c>
      <c r="AE401" s="85" t="n"/>
    </row>
    <row r="402" ht="15" customHeight="1" s="39">
      <c r="A402" s="85" t="n"/>
      <c r="B402" s="85" t="n"/>
      <c r="C402" s="85" t="n"/>
      <c r="D402" s="85" t="n"/>
      <c r="E402" s="85" t="n"/>
      <c r="F402" s="85" t="n"/>
      <c r="G402" s="85" t="n"/>
      <c r="H402" s="85" t="n"/>
      <c r="I402" s="85" t="n"/>
      <c r="J402" s="85" t="n"/>
      <c r="K402" s="85" t="n"/>
      <c r="L402" s="85" t="n"/>
      <c r="M402" s="85" t="n"/>
      <c r="N402" s="85" t="n"/>
      <c r="O402" s="85" t="n"/>
      <c r="P402" s="85" t="n"/>
      <c r="Q402" s="85" t="n"/>
      <c r="R402" s="85" t="n"/>
      <c r="S402" s="85" t="n"/>
      <c r="T402" s="85" t="n"/>
      <c r="U402" s="85" t="n"/>
      <c r="V402" s="85" t="n"/>
      <c r="W402" s="85" t="n"/>
      <c r="X402" s="85" t="n"/>
      <c r="Y402" s="85" t="n"/>
      <c r="Z402" s="85" t="n"/>
      <c r="AA402" s="85" t="n"/>
      <c r="AB402" s="85" t="n"/>
      <c r="AC402" s="86" t="n"/>
      <c r="AD402" s="85">
        <f>IF($A402="","",IF(OR($AB402&lt;&gt;"Yes",$AC402="",TODAY()-$AC402&gt;90),"At Risk","Not At Risk"))</f>
        <v/>
      </c>
      <c r="AE402" s="85" t="n"/>
    </row>
    <row r="403" ht="15" customHeight="1" s="39">
      <c r="A403" s="85" t="n"/>
      <c r="B403" s="85" t="n"/>
      <c r="C403" s="85" t="n"/>
      <c r="D403" s="85" t="n"/>
      <c r="E403" s="85" t="n"/>
      <c r="F403" s="85" t="n"/>
      <c r="G403" s="85" t="n"/>
      <c r="H403" s="85" t="n"/>
      <c r="I403" s="85" t="n"/>
      <c r="J403" s="85" t="n"/>
      <c r="K403" s="85" t="n"/>
      <c r="L403" s="85" t="n"/>
      <c r="M403" s="85" t="n"/>
      <c r="N403" s="85" t="n"/>
      <c r="O403" s="85" t="n"/>
      <c r="P403" s="85" t="n"/>
      <c r="Q403" s="85" t="n"/>
      <c r="R403" s="85" t="n"/>
      <c r="S403" s="85" t="n"/>
      <c r="T403" s="85" t="n"/>
      <c r="U403" s="85" t="n"/>
      <c r="V403" s="85" t="n"/>
      <c r="W403" s="85" t="n"/>
      <c r="X403" s="85" t="n"/>
      <c r="Y403" s="85" t="n"/>
      <c r="Z403" s="85" t="n"/>
      <c r="AA403" s="85" t="n"/>
      <c r="AB403" s="85" t="n"/>
      <c r="AC403" s="86" t="n"/>
      <c r="AD403" s="85">
        <f>IF($A403="","",IF(OR($AB403&lt;&gt;"Yes",$AC403="",TODAY()-$AC403&gt;90),"At Risk","Not At Risk"))</f>
        <v/>
      </c>
      <c r="AE403" s="85" t="n"/>
    </row>
    <row r="404" ht="15" customHeight="1" s="39">
      <c r="A404" s="85" t="n"/>
      <c r="B404" s="85" t="n"/>
      <c r="C404" s="85" t="n"/>
      <c r="D404" s="85" t="n"/>
      <c r="E404" s="85" t="n"/>
      <c r="F404" s="85" t="n"/>
      <c r="G404" s="85" t="n"/>
      <c r="H404" s="85" t="n"/>
      <c r="I404" s="85" t="n"/>
      <c r="J404" s="85" t="n"/>
      <c r="K404" s="85" t="n"/>
      <c r="L404" s="85" t="n"/>
      <c r="M404" s="85" t="n"/>
      <c r="N404" s="85" t="n"/>
      <c r="O404" s="85" t="n"/>
      <c r="P404" s="85" t="n"/>
      <c r="Q404" s="85" t="n"/>
      <c r="R404" s="85" t="n"/>
      <c r="S404" s="85" t="n"/>
      <c r="T404" s="85" t="n"/>
      <c r="U404" s="85" t="n"/>
      <c r="V404" s="85" t="n"/>
      <c r="W404" s="85" t="n"/>
      <c r="X404" s="85" t="n"/>
      <c r="Y404" s="85" t="n"/>
      <c r="Z404" s="85" t="n"/>
      <c r="AA404" s="85" t="n"/>
      <c r="AB404" s="85" t="n"/>
      <c r="AC404" s="86" t="n"/>
      <c r="AD404" s="85">
        <f>IF($A404="","",IF(OR($AB404&lt;&gt;"Yes",$AC404="",TODAY()-$AC404&gt;90),"At Risk","Not At Risk"))</f>
        <v/>
      </c>
      <c r="AE404" s="85" t="n"/>
    </row>
    <row r="405" ht="15" customHeight="1" s="39">
      <c r="A405" s="85" t="n"/>
      <c r="B405" s="85" t="n"/>
      <c r="C405" s="85" t="n"/>
      <c r="D405" s="85" t="n"/>
      <c r="E405" s="85" t="n"/>
      <c r="F405" s="85" t="n"/>
      <c r="G405" s="85" t="n"/>
      <c r="H405" s="85" t="n"/>
      <c r="I405" s="85" t="n"/>
      <c r="J405" s="85" t="n"/>
      <c r="K405" s="85" t="n"/>
      <c r="L405" s="85" t="n"/>
      <c r="M405" s="85" t="n"/>
      <c r="N405" s="85" t="n"/>
      <c r="O405" s="85" t="n"/>
      <c r="P405" s="85" t="n"/>
      <c r="Q405" s="85" t="n"/>
      <c r="R405" s="85" t="n"/>
      <c r="S405" s="85" t="n"/>
      <c r="T405" s="85" t="n"/>
      <c r="U405" s="85" t="n"/>
      <c r="V405" s="85" t="n"/>
      <c r="W405" s="85" t="n"/>
      <c r="X405" s="85" t="n"/>
      <c r="Y405" s="85" t="n"/>
      <c r="Z405" s="85" t="n"/>
      <c r="AA405" s="85" t="n"/>
      <c r="AB405" s="85" t="n"/>
      <c r="AC405" s="86" t="n"/>
      <c r="AD405" s="85">
        <f>IF($A405="","",IF(OR($AB405&lt;&gt;"Yes",$AC405="",TODAY()-$AC405&gt;90),"At Risk","Not At Risk"))</f>
        <v/>
      </c>
      <c r="AE405" s="85" t="n"/>
    </row>
    <row r="406" ht="15" customHeight="1" s="39">
      <c r="A406" s="85" t="n"/>
      <c r="B406" s="85" t="n"/>
      <c r="C406" s="85" t="n"/>
      <c r="D406" s="85" t="n"/>
      <c r="E406" s="85" t="n"/>
      <c r="F406" s="85" t="n"/>
      <c r="G406" s="85" t="n"/>
      <c r="H406" s="85" t="n"/>
      <c r="I406" s="85" t="n"/>
      <c r="J406" s="85" t="n"/>
      <c r="K406" s="85" t="n"/>
      <c r="L406" s="85" t="n"/>
      <c r="M406" s="85" t="n"/>
      <c r="N406" s="85" t="n"/>
      <c r="O406" s="85" t="n"/>
      <c r="P406" s="85" t="n"/>
      <c r="Q406" s="85" t="n"/>
      <c r="R406" s="85" t="n"/>
      <c r="S406" s="85" t="n"/>
      <c r="T406" s="85" t="n"/>
      <c r="U406" s="85" t="n"/>
      <c r="V406" s="85" t="n"/>
      <c r="W406" s="85" t="n"/>
      <c r="X406" s="85" t="n"/>
      <c r="Y406" s="85" t="n"/>
      <c r="Z406" s="85" t="n"/>
      <c r="AA406" s="85" t="n"/>
      <c r="AB406" s="85" t="n"/>
      <c r="AC406" s="86" t="n"/>
      <c r="AD406" s="85">
        <f>IF($A406="","",IF(OR($AB406&lt;&gt;"Yes",$AC406="",TODAY()-$AC406&gt;90),"At Risk","Not At Risk"))</f>
        <v/>
      </c>
      <c r="AE406" s="85" t="n"/>
    </row>
    <row r="407" ht="15" customHeight="1" s="39">
      <c r="A407" s="85" t="n"/>
      <c r="B407" s="85" t="n"/>
      <c r="C407" s="85" t="n"/>
      <c r="D407" s="85" t="n"/>
      <c r="E407" s="85" t="n"/>
      <c r="F407" s="85" t="n"/>
      <c r="G407" s="85" t="n"/>
      <c r="H407" s="85" t="n"/>
      <c r="I407" s="85" t="n"/>
      <c r="J407" s="85" t="n"/>
      <c r="K407" s="85" t="n"/>
      <c r="L407" s="85" t="n"/>
      <c r="M407" s="85" t="n"/>
      <c r="N407" s="85" t="n"/>
      <c r="O407" s="85" t="n"/>
      <c r="P407" s="85" t="n"/>
      <c r="Q407" s="85" t="n"/>
      <c r="R407" s="85" t="n"/>
      <c r="S407" s="85" t="n"/>
      <c r="T407" s="85" t="n"/>
      <c r="U407" s="85" t="n"/>
      <c r="V407" s="85" t="n"/>
      <c r="W407" s="85" t="n"/>
      <c r="X407" s="85" t="n"/>
      <c r="Y407" s="85" t="n"/>
      <c r="Z407" s="85" t="n"/>
      <c r="AA407" s="85" t="n"/>
      <c r="AB407" s="85" t="n"/>
      <c r="AC407" s="86" t="n"/>
      <c r="AD407" s="85">
        <f>IF($A407="","",IF(OR($AB407&lt;&gt;"Yes",$AC407="",TODAY()-$AC407&gt;90),"At Risk","Not At Risk"))</f>
        <v/>
      </c>
      <c r="AE407" s="85" t="n"/>
    </row>
    <row r="408" ht="15" customHeight="1" s="39">
      <c r="A408" s="85" t="n"/>
      <c r="B408" s="85" t="n"/>
      <c r="C408" s="85" t="n"/>
      <c r="D408" s="85" t="n"/>
      <c r="E408" s="85" t="n"/>
      <c r="F408" s="85" t="n"/>
      <c r="G408" s="85" t="n"/>
      <c r="H408" s="85" t="n"/>
      <c r="I408" s="85" t="n"/>
      <c r="J408" s="85" t="n"/>
      <c r="K408" s="85" t="n"/>
      <c r="L408" s="85" t="n"/>
      <c r="M408" s="85" t="n"/>
      <c r="N408" s="85" t="n"/>
      <c r="O408" s="85" t="n"/>
      <c r="P408" s="85" t="n"/>
      <c r="Q408" s="85" t="n"/>
      <c r="R408" s="85" t="n"/>
      <c r="S408" s="85" t="n"/>
      <c r="T408" s="85" t="n"/>
      <c r="U408" s="85" t="n"/>
      <c r="V408" s="85" t="n"/>
      <c r="W408" s="85" t="n"/>
      <c r="X408" s="85" t="n"/>
      <c r="Y408" s="85" t="n"/>
      <c r="Z408" s="85" t="n"/>
      <c r="AA408" s="85" t="n"/>
      <c r="AB408" s="85" t="n"/>
      <c r="AC408" s="86" t="n"/>
      <c r="AD408" s="85">
        <f>IF($A408="","",IF(OR($AB408&lt;&gt;"Yes",$AC408="",TODAY()-$AC408&gt;90),"At Risk","Not At Risk"))</f>
        <v/>
      </c>
      <c r="AE408" s="85" t="n"/>
    </row>
    <row r="409" ht="15" customHeight="1" s="39">
      <c r="A409" s="85" t="n"/>
      <c r="B409" s="85" t="n"/>
      <c r="C409" s="85" t="n"/>
      <c r="D409" s="85" t="n"/>
      <c r="E409" s="85" t="n"/>
      <c r="F409" s="85" t="n"/>
      <c r="G409" s="85" t="n"/>
      <c r="H409" s="85" t="n"/>
      <c r="I409" s="85" t="n"/>
      <c r="J409" s="85" t="n"/>
      <c r="K409" s="85" t="n"/>
      <c r="L409" s="85" t="n"/>
      <c r="M409" s="85" t="n"/>
      <c r="N409" s="85" t="n"/>
      <c r="O409" s="85" t="n"/>
      <c r="P409" s="85" t="n"/>
      <c r="Q409" s="85" t="n"/>
      <c r="R409" s="85" t="n"/>
      <c r="S409" s="85" t="n"/>
      <c r="T409" s="85" t="n"/>
      <c r="U409" s="85" t="n"/>
      <c r="V409" s="85" t="n"/>
      <c r="W409" s="85" t="n"/>
      <c r="X409" s="85" t="n"/>
      <c r="Y409" s="85" t="n"/>
      <c r="Z409" s="85" t="n"/>
      <c r="AA409" s="85" t="n"/>
      <c r="AB409" s="85" t="n"/>
      <c r="AC409" s="86" t="n"/>
      <c r="AD409" s="85">
        <f>IF($A409="","",IF(OR($AB409&lt;&gt;"Yes",$AC409="",TODAY()-$AC409&gt;90),"At Risk","Not At Risk"))</f>
        <v/>
      </c>
      <c r="AE409" s="85" t="n"/>
    </row>
    <row r="410" ht="15" customHeight="1" s="39">
      <c r="A410" s="85" t="n"/>
      <c r="B410" s="85" t="n"/>
      <c r="C410" s="85" t="n"/>
      <c r="D410" s="85" t="n"/>
      <c r="E410" s="85" t="n"/>
      <c r="F410" s="85" t="n"/>
      <c r="G410" s="85" t="n"/>
      <c r="H410" s="85" t="n"/>
      <c r="I410" s="85" t="n"/>
      <c r="J410" s="85" t="n"/>
      <c r="K410" s="85" t="n"/>
      <c r="L410" s="85" t="n"/>
      <c r="M410" s="85" t="n"/>
      <c r="N410" s="85" t="n"/>
      <c r="O410" s="85" t="n"/>
      <c r="P410" s="85" t="n"/>
      <c r="Q410" s="85" t="n"/>
      <c r="R410" s="85" t="n"/>
      <c r="S410" s="85" t="n"/>
      <c r="T410" s="85" t="n"/>
      <c r="U410" s="85" t="n"/>
      <c r="V410" s="85" t="n"/>
      <c r="W410" s="85" t="n"/>
      <c r="X410" s="85" t="n"/>
      <c r="Y410" s="85" t="n"/>
      <c r="Z410" s="85" t="n"/>
      <c r="AA410" s="85" t="n"/>
      <c r="AB410" s="85" t="n"/>
      <c r="AC410" s="86" t="n"/>
      <c r="AD410" s="85">
        <f>IF($A410="","",IF(OR($AB410&lt;&gt;"Yes",$AC410="",TODAY()-$AC410&gt;90),"At Risk","Not At Risk"))</f>
        <v/>
      </c>
      <c r="AE410" s="85" t="n"/>
    </row>
    <row r="411" ht="15" customHeight="1" s="39">
      <c r="A411" s="85" t="n"/>
      <c r="B411" s="85" t="n"/>
      <c r="C411" s="85" t="n"/>
      <c r="D411" s="85" t="n"/>
      <c r="E411" s="85" t="n"/>
      <c r="F411" s="85" t="n"/>
      <c r="G411" s="85" t="n"/>
      <c r="H411" s="85" t="n"/>
      <c r="I411" s="85" t="n"/>
      <c r="J411" s="85" t="n"/>
      <c r="K411" s="85" t="n"/>
      <c r="L411" s="85" t="n"/>
      <c r="M411" s="85" t="n"/>
      <c r="N411" s="85" t="n"/>
      <c r="O411" s="85" t="n"/>
      <c r="P411" s="85" t="n"/>
      <c r="Q411" s="85" t="n"/>
      <c r="R411" s="85" t="n"/>
      <c r="S411" s="85" t="n"/>
      <c r="T411" s="85" t="n"/>
      <c r="U411" s="85" t="n"/>
      <c r="V411" s="85" t="n"/>
      <c r="W411" s="85" t="n"/>
      <c r="X411" s="85" t="n"/>
      <c r="Y411" s="85" t="n"/>
      <c r="Z411" s="85" t="n"/>
      <c r="AA411" s="85" t="n"/>
      <c r="AB411" s="85" t="n"/>
      <c r="AC411" s="86" t="n"/>
      <c r="AD411" s="85">
        <f>IF($A411="","",IF(OR($AB411&lt;&gt;"Yes",$AC411="",TODAY()-$AC411&gt;90),"At Risk","Not At Risk"))</f>
        <v/>
      </c>
      <c r="AE411" s="85" t="n"/>
    </row>
    <row r="412" ht="15" customHeight="1" s="39">
      <c r="A412" s="85" t="n"/>
      <c r="B412" s="85" t="n"/>
      <c r="C412" s="85" t="n"/>
      <c r="D412" s="85" t="n"/>
      <c r="E412" s="85" t="n"/>
      <c r="F412" s="85" t="n"/>
      <c r="G412" s="85" t="n"/>
      <c r="H412" s="85" t="n"/>
      <c r="I412" s="85" t="n"/>
      <c r="J412" s="85" t="n"/>
      <c r="K412" s="85" t="n"/>
      <c r="L412" s="85" t="n"/>
      <c r="M412" s="85" t="n"/>
      <c r="N412" s="85" t="n"/>
      <c r="O412" s="85" t="n"/>
      <c r="P412" s="85" t="n"/>
      <c r="Q412" s="85" t="n"/>
      <c r="R412" s="85" t="n"/>
      <c r="S412" s="85" t="n"/>
      <c r="T412" s="85" t="n"/>
      <c r="U412" s="85" t="n"/>
      <c r="V412" s="85" t="n"/>
      <c r="W412" s="85" t="n"/>
      <c r="X412" s="85" t="n"/>
      <c r="Y412" s="85" t="n"/>
      <c r="Z412" s="85" t="n"/>
      <c r="AA412" s="85" t="n"/>
      <c r="AB412" s="85" t="n"/>
      <c r="AC412" s="86" t="n"/>
      <c r="AD412" s="85">
        <f>IF($A412="","",IF(OR($AB412&lt;&gt;"Yes",$AC412="",TODAY()-$AC412&gt;90),"At Risk","Not At Risk"))</f>
        <v/>
      </c>
      <c r="AE412" s="85" t="n"/>
    </row>
    <row r="413" ht="15" customHeight="1" s="39">
      <c r="A413" s="85" t="n"/>
      <c r="B413" s="85" t="n"/>
      <c r="C413" s="85" t="n"/>
      <c r="D413" s="85" t="n"/>
      <c r="E413" s="85" t="n"/>
      <c r="F413" s="85" t="n"/>
      <c r="G413" s="85" t="n"/>
      <c r="H413" s="85" t="n"/>
      <c r="I413" s="85" t="n"/>
      <c r="J413" s="85" t="n"/>
      <c r="K413" s="85" t="n"/>
      <c r="L413" s="85" t="n"/>
      <c r="M413" s="85" t="n"/>
      <c r="N413" s="85" t="n"/>
      <c r="O413" s="85" t="n"/>
      <c r="P413" s="85" t="n"/>
      <c r="Q413" s="85" t="n"/>
      <c r="R413" s="85" t="n"/>
      <c r="S413" s="85" t="n"/>
      <c r="T413" s="85" t="n"/>
      <c r="U413" s="85" t="n"/>
      <c r="V413" s="85" t="n"/>
      <c r="W413" s="85" t="n"/>
      <c r="X413" s="85" t="n"/>
      <c r="Y413" s="85" t="n"/>
      <c r="Z413" s="85" t="n"/>
      <c r="AA413" s="85" t="n"/>
      <c r="AB413" s="85" t="n"/>
      <c r="AC413" s="86" t="n"/>
      <c r="AD413" s="85">
        <f>IF($A413="","",IF(OR($AB413&lt;&gt;"Yes",$AC413="",TODAY()-$AC413&gt;90),"At Risk","Not At Risk"))</f>
        <v/>
      </c>
      <c r="AE413" s="85" t="n"/>
    </row>
    <row r="414" ht="15" customHeight="1" s="39">
      <c r="A414" s="85" t="n"/>
      <c r="B414" s="85" t="n"/>
      <c r="C414" s="85" t="n"/>
      <c r="D414" s="85" t="n"/>
      <c r="E414" s="85" t="n"/>
      <c r="F414" s="85" t="n"/>
      <c r="G414" s="85" t="n"/>
      <c r="H414" s="85" t="n"/>
      <c r="I414" s="85" t="n"/>
      <c r="J414" s="85" t="n"/>
      <c r="K414" s="85" t="n"/>
      <c r="L414" s="85" t="n"/>
      <c r="M414" s="85" t="n"/>
      <c r="N414" s="85" t="n"/>
      <c r="O414" s="85" t="n"/>
      <c r="P414" s="85" t="n"/>
      <c r="Q414" s="85" t="n"/>
      <c r="R414" s="85" t="n"/>
      <c r="S414" s="85" t="n"/>
      <c r="T414" s="85" t="n"/>
      <c r="U414" s="85" t="n"/>
      <c r="V414" s="85" t="n"/>
      <c r="W414" s="85" t="n"/>
      <c r="X414" s="85" t="n"/>
      <c r="Y414" s="85" t="n"/>
      <c r="Z414" s="85" t="n"/>
      <c r="AA414" s="85" t="n"/>
      <c r="AB414" s="85" t="n"/>
      <c r="AC414" s="86" t="n"/>
      <c r="AD414" s="85">
        <f>IF($A414="","",IF(OR($AB414&lt;&gt;"Yes",$AC414="",TODAY()-$AC414&gt;90),"At Risk","Not At Risk"))</f>
        <v/>
      </c>
      <c r="AE414" s="85" t="n"/>
    </row>
    <row r="415" ht="15" customHeight="1" s="39">
      <c r="A415" s="85" t="n"/>
      <c r="B415" s="85" t="n"/>
      <c r="C415" s="85" t="n"/>
      <c r="D415" s="85" t="n"/>
      <c r="E415" s="85" t="n"/>
      <c r="F415" s="85" t="n"/>
      <c r="G415" s="85" t="n"/>
      <c r="H415" s="85" t="n"/>
      <c r="I415" s="85" t="n"/>
      <c r="J415" s="85" t="n"/>
      <c r="K415" s="85" t="n"/>
      <c r="L415" s="85" t="n"/>
      <c r="M415" s="85" t="n"/>
      <c r="N415" s="85" t="n"/>
      <c r="O415" s="85" t="n"/>
      <c r="P415" s="85" t="n"/>
      <c r="Q415" s="85" t="n"/>
      <c r="R415" s="85" t="n"/>
      <c r="S415" s="85" t="n"/>
      <c r="T415" s="85" t="n"/>
      <c r="U415" s="85" t="n"/>
      <c r="V415" s="85" t="n"/>
      <c r="W415" s="85" t="n"/>
      <c r="X415" s="85" t="n"/>
      <c r="Y415" s="85" t="n"/>
      <c r="Z415" s="85" t="n"/>
      <c r="AA415" s="85" t="n"/>
      <c r="AB415" s="85" t="n"/>
      <c r="AC415" s="86" t="n"/>
      <c r="AD415" s="85">
        <f>IF($A415="","",IF(OR($AB415&lt;&gt;"Yes",$AC415="",TODAY()-$AC415&gt;90),"At Risk","Not At Risk"))</f>
        <v/>
      </c>
      <c r="AE415" s="85" t="n"/>
    </row>
    <row r="416" ht="15" customHeight="1" s="39">
      <c r="A416" s="85" t="n"/>
      <c r="B416" s="85" t="n"/>
      <c r="C416" s="85" t="n"/>
      <c r="D416" s="85" t="n"/>
      <c r="E416" s="85" t="n"/>
      <c r="F416" s="85" t="n"/>
      <c r="G416" s="85" t="n"/>
      <c r="H416" s="85" t="n"/>
      <c r="I416" s="85" t="n"/>
      <c r="J416" s="85" t="n"/>
      <c r="K416" s="85" t="n"/>
      <c r="L416" s="85" t="n"/>
      <c r="M416" s="85" t="n"/>
      <c r="N416" s="85" t="n"/>
      <c r="O416" s="85" t="n"/>
      <c r="P416" s="85" t="n"/>
      <c r="Q416" s="85" t="n"/>
      <c r="R416" s="85" t="n"/>
      <c r="S416" s="85" t="n"/>
      <c r="T416" s="85" t="n"/>
      <c r="U416" s="85" t="n"/>
      <c r="V416" s="85" t="n"/>
      <c r="W416" s="85" t="n"/>
      <c r="X416" s="85" t="n"/>
      <c r="Y416" s="85" t="n"/>
      <c r="Z416" s="85" t="n"/>
      <c r="AA416" s="85" t="n"/>
      <c r="AB416" s="85" t="n"/>
      <c r="AC416" s="86" t="n"/>
      <c r="AD416" s="85">
        <f>IF($A416="","",IF(OR($AB416&lt;&gt;"Yes",$AC416="",TODAY()-$AC416&gt;90),"At Risk","Not At Risk"))</f>
        <v/>
      </c>
      <c r="AE416" s="85" t="n"/>
    </row>
    <row r="417" ht="15" customHeight="1" s="39">
      <c r="A417" s="85" t="n"/>
      <c r="B417" s="85" t="n"/>
      <c r="C417" s="85" t="n"/>
      <c r="D417" s="85" t="n"/>
      <c r="E417" s="85" t="n"/>
      <c r="F417" s="85" t="n"/>
      <c r="G417" s="85" t="n"/>
      <c r="H417" s="85" t="n"/>
      <c r="I417" s="85" t="n"/>
      <c r="J417" s="85" t="n"/>
      <c r="K417" s="85" t="n"/>
      <c r="L417" s="85" t="n"/>
      <c r="M417" s="85" t="n"/>
      <c r="N417" s="85" t="n"/>
      <c r="O417" s="85" t="n"/>
      <c r="P417" s="85" t="n"/>
      <c r="Q417" s="85" t="n"/>
      <c r="R417" s="85" t="n"/>
      <c r="S417" s="85" t="n"/>
      <c r="T417" s="85" t="n"/>
      <c r="U417" s="85" t="n"/>
      <c r="V417" s="85" t="n"/>
      <c r="W417" s="85" t="n"/>
      <c r="X417" s="85" t="n"/>
      <c r="Y417" s="85" t="n"/>
      <c r="Z417" s="85" t="n"/>
      <c r="AA417" s="85" t="n"/>
      <c r="AB417" s="85" t="n"/>
      <c r="AC417" s="86" t="n"/>
      <c r="AD417" s="85">
        <f>IF($A417="","",IF(OR($AB417&lt;&gt;"Yes",$AC417="",TODAY()-$AC417&gt;90),"At Risk","Not At Risk"))</f>
        <v/>
      </c>
      <c r="AE417" s="85" t="n"/>
    </row>
    <row r="418" ht="15" customHeight="1" s="39">
      <c r="A418" s="85" t="n"/>
      <c r="B418" s="85" t="n"/>
      <c r="C418" s="85" t="n"/>
      <c r="D418" s="85" t="n"/>
      <c r="E418" s="85" t="n"/>
      <c r="F418" s="85" t="n"/>
      <c r="G418" s="85" t="n"/>
      <c r="H418" s="85" t="n"/>
      <c r="I418" s="85" t="n"/>
      <c r="J418" s="85" t="n"/>
      <c r="K418" s="85" t="n"/>
      <c r="L418" s="85" t="n"/>
      <c r="M418" s="85" t="n"/>
      <c r="N418" s="85" t="n"/>
      <c r="O418" s="85" t="n"/>
      <c r="P418" s="85" t="n"/>
      <c r="Q418" s="85" t="n"/>
      <c r="R418" s="85" t="n"/>
      <c r="S418" s="85" t="n"/>
      <c r="T418" s="85" t="n"/>
      <c r="U418" s="85" t="n"/>
      <c r="V418" s="85" t="n"/>
      <c r="W418" s="85" t="n"/>
      <c r="X418" s="85" t="n"/>
      <c r="Y418" s="85" t="n"/>
      <c r="Z418" s="85" t="n"/>
      <c r="AA418" s="85" t="n"/>
      <c r="AB418" s="85" t="n"/>
      <c r="AC418" s="86" t="n"/>
      <c r="AD418" s="85">
        <f>IF($A418="","",IF(OR($AB418&lt;&gt;"Yes",$AC418="",TODAY()-$AC418&gt;90),"At Risk","Not At Risk"))</f>
        <v/>
      </c>
      <c r="AE418" s="85" t="n"/>
    </row>
    <row r="419" ht="15" customHeight="1" s="39">
      <c r="A419" s="85" t="n"/>
      <c r="B419" s="85" t="n"/>
      <c r="C419" s="85" t="n"/>
      <c r="D419" s="85" t="n"/>
      <c r="E419" s="85" t="n"/>
      <c r="F419" s="85" t="n"/>
      <c r="G419" s="85" t="n"/>
      <c r="H419" s="85" t="n"/>
      <c r="I419" s="85" t="n"/>
      <c r="J419" s="85" t="n"/>
      <c r="K419" s="85" t="n"/>
      <c r="L419" s="85" t="n"/>
      <c r="M419" s="85" t="n"/>
      <c r="N419" s="85" t="n"/>
      <c r="O419" s="85" t="n"/>
      <c r="P419" s="85" t="n"/>
      <c r="Q419" s="85" t="n"/>
      <c r="R419" s="85" t="n"/>
      <c r="S419" s="85" t="n"/>
      <c r="T419" s="85" t="n"/>
      <c r="U419" s="85" t="n"/>
      <c r="V419" s="85" t="n"/>
      <c r="W419" s="85" t="n"/>
      <c r="X419" s="85" t="n"/>
      <c r="Y419" s="85" t="n"/>
      <c r="Z419" s="85" t="n"/>
      <c r="AA419" s="85" t="n"/>
      <c r="AB419" s="85" t="n"/>
      <c r="AC419" s="86" t="n"/>
      <c r="AD419" s="85">
        <f>IF($A419="","",IF(OR($AB419&lt;&gt;"Yes",$AC419="",TODAY()-$AC419&gt;90),"At Risk","Not At Risk"))</f>
        <v/>
      </c>
      <c r="AE419" s="85" t="n"/>
    </row>
    <row r="420" ht="15" customHeight="1" s="39">
      <c r="A420" s="85" t="n"/>
      <c r="B420" s="85" t="n"/>
      <c r="C420" s="85" t="n"/>
      <c r="D420" s="85" t="n"/>
      <c r="E420" s="85" t="n"/>
      <c r="F420" s="85" t="n"/>
      <c r="G420" s="85" t="n"/>
      <c r="H420" s="85" t="n"/>
      <c r="I420" s="85" t="n"/>
      <c r="J420" s="85" t="n"/>
      <c r="K420" s="85" t="n"/>
      <c r="L420" s="85" t="n"/>
      <c r="M420" s="85" t="n"/>
      <c r="N420" s="85" t="n"/>
      <c r="O420" s="85" t="n"/>
      <c r="P420" s="85" t="n"/>
      <c r="Q420" s="85" t="n"/>
      <c r="R420" s="85" t="n"/>
      <c r="S420" s="85" t="n"/>
      <c r="T420" s="85" t="n"/>
      <c r="U420" s="85" t="n"/>
      <c r="V420" s="85" t="n"/>
      <c r="W420" s="85" t="n"/>
      <c r="X420" s="85" t="n"/>
      <c r="Y420" s="85" t="n"/>
      <c r="Z420" s="85" t="n"/>
      <c r="AA420" s="85" t="n"/>
      <c r="AB420" s="85" t="n"/>
      <c r="AC420" s="86" t="n"/>
      <c r="AD420" s="85">
        <f>IF($A420="","",IF(OR($AB420&lt;&gt;"Yes",$AC420="",TODAY()-$AC420&gt;90),"At Risk","Not At Risk"))</f>
        <v/>
      </c>
      <c r="AE420" s="85" t="n"/>
    </row>
    <row r="421" ht="15" customHeight="1" s="39">
      <c r="A421" s="85" t="n"/>
      <c r="B421" s="85" t="n"/>
      <c r="C421" s="85" t="n"/>
      <c r="D421" s="85" t="n"/>
      <c r="E421" s="85" t="n"/>
      <c r="F421" s="85" t="n"/>
      <c r="G421" s="85" t="n"/>
      <c r="H421" s="85" t="n"/>
      <c r="I421" s="85" t="n"/>
      <c r="J421" s="85" t="n"/>
      <c r="K421" s="85" t="n"/>
      <c r="L421" s="85" t="n"/>
      <c r="M421" s="85" t="n"/>
      <c r="N421" s="85" t="n"/>
      <c r="O421" s="85" t="n"/>
      <c r="P421" s="85" t="n"/>
      <c r="Q421" s="85" t="n"/>
      <c r="R421" s="85" t="n"/>
      <c r="S421" s="85" t="n"/>
      <c r="T421" s="85" t="n"/>
      <c r="U421" s="85" t="n"/>
      <c r="V421" s="85" t="n"/>
      <c r="W421" s="85" t="n"/>
      <c r="X421" s="85" t="n"/>
      <c r="Y421" s="85" t="n"/>
      <c r="Z421" s="85" t="n"/>
      <c r="AA421" s="85" t="n"/>
      <c r="AB421" s="85" t="n"/>
      <c r="AC421" s="86" t="n"/>
      <c r="AD421" s="85">
        <f>IF($A421="","",IF(OR($AB421&lt;&gt;"Yes",$AC421="",TODAY()-$AC421&gt;90),"At Risk","Not At Risk"))</f>
        <v/>
      </c>
      <c r="AE421" s="85" t="n"/>
    </row>
    <row r="422" ht="15" customHeight="1" s="39">
      <c r="A422" s="85" t="n"/>
      <c r="B422" s="85" t="n"/>
      <c r="C422" s="85" t="n"/>
      <c r="D422" s="85" t="n"/>
      <c r="E422" s="85" t="n"/>
      <c r="F422" s="85" t="n"/>
      <c r="G422" s="85" t="n"/>
      <c r="H422" s="85" t="n"/>
      <c r="I422" s="85" t="n"/>
      <c r="J422" s="85" t="n"/>
      <c r="K422" s="85" t="n"/>
      <c r="L422" s="85" t="n"/>
      <c r="M422" s="85" t="n"/>
      <c r="N422" s="85" t="n"/>
      <c r="O422" s="85" t="n"/>
      <c r="P422" s="85" t="n"/>
      <c r="Q422" s="85" t="n"/>
      <c r="R422" s="85" t="n"/>
      <c r="S422" s="85" t="n"/>
      <c r="T422" s="85" t="n"/>
      <c r="U422" s="85" t="n"/>
      <c r="V422" s="85" t="n"/>
      <c r="W422" s="85" t="n"/>
      <c r="X422" s="85" t="n"/>
      <c r="Y422" s="85" t="n"/>
      <c r="Z422" s="85" t="n"/>
      <c r="AA422" s="85" t="n"/>
      <c r="AB422" s="85" t="n"/>
      <c r="AC422" s="86" t="n"/>
      <c r="AD422" s="85">
        <f>IF($A422="","",IF(OR($AB422&lt;&gt;"Yes",$AC422="",TODAY()-$AC422&gt;90),"At Risk","Not At Risk"))</f>
        <v/>
      </c>
      <c r="AE422" s="85" t="n"/>
    </row>
    <row r="423" ht="15" customHeight="1" s="39">
      <c r="A423" s="85" t="n"/>
      <c r="B423" s="85" t="n"/>
      <c r="C423" s="85" t="n"/>
      <c r="D423" s="85" t="n"/>
      <c r="E423" s="85" t="n"/>
      <c r="F423" s="85" t="n"/>
      <c r="G423" s="85" t="n"/>
      <c r="H423" s="85" t="n"/>
      <c r="I423" s="85" t="n"/>
      <c r="J423" s="85" t="n"/>
      <c r="K423" s="85" t="n"/>
      <c r="L423" s="85" t="n"/>
      <c r="M423" s="85" t="n"/>
      <c r="N423" s="85" t="n"/>
      <c r="O423" s="85" t="n"/>
      <c r="P423" s="85" t="n"/>
      <c r="Q423" s="85" t="n"/>
      <c r="R423" s="85" t="n"/>
      <c r="S423" s="85" t="n"/>
      <c r="T423" s="85" t="n"/>
      <c r="U423" s="85" t="n"/>
      <c r="V423" s="85" t="n"/>
      <c r="W423" s="85" t="n"/>
      <c r="X423" s="85" t="n"/>
      <c r="Y423" s="85" t="n"/>
      <c r="Z423" s="85" t="n"/>
      <c r="AA423" s="85" t="n"/>
      <c r="AB423" s="85" t="n"/>
      <c r="AC423" s="86" t="n"/>
      <c r="AD423" s="85">
        <f>IF($A423="","",IF(OR($AB423&lt;&gt;"Yes",$AC423="",TODAY()-$AC423&gt;90),"At Risk","Not At Risk"))</f>
        <v/>
      </c>
      <c r="AE423" s="85" t="n"/>
    </row>
    <row r="424" ht="15" customHeight="1" s="39">
      <c r="A424" s="85" t="n"/>
      <c r="B424" s="85" t="n"/>
      <c r="C424" s="85" t="n"/>
      <c r="D424" s="85" t="n"/>
      <c r="E424" s="85" t="n"/>
      <c r="F424" s="85" t="n"/>
      <c r="G424" s="85" t="n"/>
      <c r="H424" s="85" t="n"/>
      <c r="I424" s="85" t="n"/>
      <c r="J424" s="85" t="n"/>
      <c r="K424" s="85" t="n"/>
      <c r="L424" s="85" t="n"/>
      <c r="M424" s="85" t="n"/>
      <c r="N424" s="85" t="n"/>
      <c r="O424" s="85" t="n"/>
      <c r="P424" s="85" t="n"/>
      <c r="Q424" s="85" t="n"/>
      <c r="R424" s="85" t="n"/>
      <c r="S424" s="85" t="n"/>
      <c r="T424" s="85" t="n"/>
      <c r="U424" s="85" t="n"/>
      <c r="V424" s="85" t="n"/>
      <c r="W424" s="85" t="n"/>
      <c r="X424" s="85" t="n"/>
      <c r="Y424" s="85" t="n"/>
      <c r="Z424" s="85" t="n"/>
      <c r="AA424" s="85" t="n"/>
      <c r="AB424" s="85" t="n"/>
      <c r="AC424" s="86" t="n"/>
      <c r="AD424" s="85">
        <f>IF($A424="","",IF(OR($AB424&lt;&gt;"Yes",$AC424="",TODAY()-$AC424&gt;90),"At Risk","Not At Risk"))</f>
        <v/>
      </c>
      <c r="AE424" s="85" t="n"/>
    </row>
    <row r="425" ht="15" customHeight="1" s="39">
      <c r="A425" s="85" t="n"/>
      <c r="B425" s="85" t="n"/>
      <c r="C425" s="85" t="n"/>
      <c r="D425" s="85" t="n"/>
      <c r="E425" s="85" t="n"/>
      <c r="F425" s="85" t="n"/>
      <c r="G425" s="85" t="n"/>
      <c r="H425" s="85" t="n"/>
      <c r="I425" s="85" t="n"/>
      <c r="J425" s="85" t="n"/>
      <c r="K425" s="85" t="n"/>
      <c r="L425" s="85" t="n"/>
      <c r="M425" s="85" t="n"/>
      <c r="N425" s="85" t="n"/>
      <c r="O425" s="85" t="n"/>
      <c r="P425" s="85" t="n"/>
      <c r="Q425" s="85" t="n"/>
      <c r="R425" s="85" t="n"/>
      <c r="S425" s="85" t="n"/>
      <c r="T425" s="85" t="n"/>
      <c r="U425" s="85" t="n"/>
      <c r="V425" s="85" t="n"/>
      <c r="W425" s="85" t="n"/>
      <c r="X425" s="85" t="n"/>
      <c r="Y425" s="85" t="n"/>
      <c r="Z425" s="85" t="n"/>
      <c r="AA425" s="85" t="n"/>
      <c r="AB425" s="85" t="n"/>
      <c r="AC425" s="86" t="n"/>
      <c r="AD425" s="85">
        <f>IF($A425="","",IF(OR($AB425&lt;&gt;"Yes",$AC425="",TODAY()-$AC425&gt;90),"At Risk","Not At Risk"))</f>
        <v/>
      </c>
      <c r="AE425" s="85" t="n"/>
    </row>
    <row r="426" ht="15" customHeight="1" s="39">
      <c r="A426" s="85" t="n"/>
      <c r="B426" s="85" t="n"/>
      <c r="C426" s="85" t="n"/>
      <c r="D426" s="85" t="n"/>
      <c r="E426" s="85" t="n"/>
      <c r="F426" s="85" t="n"/>
      <c r="G426" s="85" t="n"/>
      <c r="H426" s="85" t="n"/>
      <c r="I426" s="85" t="n"/>
      <c r="J426" s="85" t="n"/>
      <c r="K426" s="85" t="n"/>
      <c r="L426" s="85" t="n"/>
      <c r="M426" s="85" t="n"/>
      <c r="N426" s="85" t="n"/>
      <c r="O426" s="85" t="n"/>
      <c r="P426" s="85" t="n"/>
      <c r="Q426" s="85" t="n"/>
      <c r="R426" s="85" t="n"/>
      <c r="S426" s="85" t="n"/>
      <c r="T426" s="85" t="n"/>
      <c r="U426" s="85" t="n"/>
      <c r="V426" s="85" t="n"/>
      <c r="W426" s="85" t="n"/>
      <c r="X426" s="85" t="n"/>
      <c r="Y426" s="85" t="n"/>
      <c r="Z426" s="85" t="n"/>
      <c r="AA426" s="85" t="n"/>
      <c r="AB426" s="85" t="n"/>
      <c r="AC426" s="86" t="n"/>
      <c r="AD426" s="85">
        <f>IF($A426="","",IF(OR($AB426&lt;&gt;"Yes",$AC426="",TODAY()-$AC426&gt;90),"At Risk","Not At Risk"))</f>
        <v/>
      </c>
      <c r="AE426" s="85" t="n"/>
    </row>
    <row r="427" ht="15" customHeight="1" s="39">
      <c r="A427" s="85" t="n"/>
      <c r="B427" s="85" t="n"/>
      <c r="C427" s="85" t="n"/>
      <c r="D427" s="85" t="n"/>
      <c r="E427" s="85" t="n"/>
      <c r="F427" s="85" t="n"/>
      <c r="G427" s="85" t="n"/>
      <c r="H427" s="85" t="n"/>
      <c r="I427" s="85" t="n"/>
      <c r="J427" s="85" t="n"/>
      <c r="K427" s="85" t="n"/>
      <c r="L427" s="85" t="n"/>
      <c r="M427" s="85" t="n"/>
      <c r="N427" s="85" t="n"/>
      <c r="O427" s="85" t="n"/>
      <c r="P427" s="85" t="n"/>
      <c r="Q427" s="85" t="n"/>
      <c r="R427" s="85" t="n"/>
      <c r="S427" s="85" t="n"/>
      <c r="T427" s="85" t="n"/>
      <c r="U427" s="85" t="n"/>
      <c r="V427" s="85" t="n"/>
      <c r="W427" s="85" t="n"/>
      <c r="X427" s="85" t="n"/>
      <c r="Y427" s="85" t="n"/>
      <c r="Z427" s="85" t="n"/>
      <c r="AA427" s="85" t="n"/>
      <c r="AB427" s="85" t="n"/>
      <c r="AC427" s="86" t="n"/>
      <c r="AD427" s="85">
        <f>IF($A427="","",IF(OR($AB427&lt;&gt;"Yes",$AC427="",TODAY()-$AC427&gt;90),"At Risk","Not At Risk"))</f>
        <v/>
      </c>
      <c r="AE427" s="85" t="n"/>
    </row>
    <row r="428" ht="15" customHeight="1" s="39">
      <c r="A428" s="85" t="n"/>
      <c r="B428" s="85" t="n"/>
      <c r="C428" s="85" t="n"/>
      <c r="D428" s="85" t="n"/>
      <c r="E428" s="85" t="n"/>
      <c r="F428" s="85" t="n"/>
      <c r="G428" s="85" t="n"/>
      <c r="H428" s="85" t="n"/>
      <c r="I428" s="85" t="n"/>
      <c r="J428" s="85" t="n"/>
      <c r="K428" s="85" t="n"/>
      <c r="L428" s="85" t="n"/>
      <c r="M428" s="85" t="n"/>
      <c r="N428" s="85" t="n"/>
      <c r="O428" s="85" t="n"/>
      <c r="P428" s="85" t="n"/>
      <c r="Q428" s="85" t="n"/>
      <c r="R428" s="85" t="n"/>
      <c r="S428" s="85" t="n"/>
      <c r="T428" s="85" t="n"/>
      <c r="U428" s="85" t="n"/>
      <c r="V428" s="85" t="n"/>
      <c r="W428" s="85" t="n"/>
      <c r="X428" s="85" t="n"/>
      <c r="Y428" s="85" t="n"/>
      <c r="Z428" s="85" t="n"/>
      <c r="AA428" s="85" t="n"/>
      <c r="AB428" s="85" t="n"/>
      <c r="AC428" s="86" t="n"/>
      <c r="AD428" s="85">
        <f>IF($A428="","",IF(OR($AB428&lt;&gt;"Yes",$AC428="",TODAY()-$AC428&gt;90),"At Risk","Not At Risk"))</f>
        <v/>
      </c>
      <c r="AE428" s="85" t="n"/>
    </row>
    <row r="429" ht="15" customHeight="1" s="39">
      <c r="A429" s="85" t="n"/>
      <c r="B429" s="85" t="n"/>
      <c r="C429" s="85" t="n"/>
      <c r="D429" s="85" t="n"/>
      <c r="E429" s="85" t="n"/>
      <c r="F429" s="85" t="n"/>
      <c r="G429" s="85" t="n"/>
      <c r="H429" s="85" t="n"/>
      <c r="I429" s="85" t="n"/>
      <c r="J429" s="85" t="n"/>
      <c r="K429" s="85" t="n"/>
      <c r="L429" s="85" t="n"/>
      <c r="M429" s="85" t="n"/>
      <c r="N429" s="85" t="n"/>
      <c r="O429" s="85" t="n"/>
      <c r="P429" s="85" t="n"/>
      <c r="Q429" s="85" t="n"/>
      <c r="R429" s="85" t="n"/>
      <c r="S429" s="85" t="n"/>
      <c r="T429" s="85" t="n"/>
      <c r="U429" s="85" t="n"/>
      <c r="V429" s="85" t="n"/>
      <c r="W429" s="85" t="n"/>
      <c r="X429" s="85" t="n"/>
      <c r="Y429" s="85" t="n"/>
      <c r="Z429" s="85" t="n"/>
      <c r="AA429" s="85" t="n"/>
      <c r="AB429" s="85" t="n"/>
      <c r="AC429" s="86" t="n"/>
      <c r="AD429" s="85">
        <f>IF($A429="","",IF(OR($AB429&lt;&gt;"Yes",$AC429="",TODAY()-$AC429&gt;90),"At Risk","Not At Risk"))</f>
        <v/>
      </c>
      <c r="AE429" s="85" t="n"/>
    </row>
    <row r="430" ht="15" customHeight="1" s="39">
      <c r="A430" s="85" t="n"/>
      <c r="B430" s="85" t="n"/>
      <c r="C430" s="85" t="n"/>
      <c r="D430" s="85" t="n"/>
      <c r="E430" s="85" t="n"/>
      <c r="F430" s="85" t="n"/>
      <c r="G430" s="85" t="n"/>
      <c r="H430" s="85" t="n"/>
      <c r="I430" s="85" t="n"/>
      <c r="J430" s="85" t="n"/>
      <c r="K430" s="85" t="n"/>
      <c r="L430" s="85" t="n"/>
      <c r="M430" s="85" t="n"/>
      <c r="N430" s="85" t="n"/>
      <c r="O430" s="85" t="n"/>
      <c r="P430" s="85" t="n"/>
      <c r="Q430" s="85" t="n"/>
      <c r="R430" s="85" t="n"/>
      <c r="S430" s="85" t="n"/>
      <c r="T430" s="85" t="n"/>
      <c r="U430" s="85" t="n"/>
      <c r="V430" s="85" t="n"/>
      <c r="W430" s="85" t="n"/>
      <c r="X430" s="85" t="n"/>
      <c r="Y430" s="85" t="n"/>
      <c r="Z430" s="85" t="n"/>
      <c r="AA430" s="85" t="n"/>
      <c r="AB430" s="85" t="n"/>
      <c r="AC430" s="86" t="n"/>
      <c r="AD430" s="85">
        <f>IF($A430="","",IF(OR($AB430&lt;&gt;"Yes",$AC430="",TODAY()-$AC430&gt;90),"At Risk","Not At Risk"))</f>
        <v/>
      </c>
      <c r="AE430" s="85" t="n"/>
    </row>
    <row r="431" ht="15" customHeight="1" s="39">
      <c r="A431" s="85" t="n"/>
      <c r="B431" s="85" t="n"/>
      <c r="C431" s="85" t="n"/>
      <c r="D431" s="85" t="n"/>
      <c r="E431" s="85" t="n"/>
      <c r="F431" s="85" t="n"/>
      <c r="G431" s="85" t="n"/>
      <c r="H431" s="85" t="n"/>
      <c r="I431" s="85" t="n"/>
      <c r="J431" s="85" t="n"/>
      <c r="K431" s="85" t="n"/>
      <c r="L431" s="85" t="n"/>
      <c r="M431" s="85" t="n"/>
      <c r="N431" s="85" t="n"/>
      <c r="O431" s="85" t="n"/>
      <c r="P431" s="85" t="n"/>
      <c r="Q431" s="85" t="n"/>
      <c r="R431" s="85" t="n"/>
      <c r="S431" s="85" t="n"/>
      <c r="T431" s="85" t="n"/>
      <c r="U431" s="85" t="n"/>
      <c r="V431" s="85" t="n"/>
      <c r="W431" s="85" t="n"/>
      <c r="X431" s="85" t="n"/>
      <c r="Y431" s="85" t="n"/>
      <c r="Z431" s="85" t="n"/>
      <c r="AA431" s="85" t="n"/>
      <c r="AB431" s="85" t="n"/>
      <c r="AC431" s="86" t="n"/>
      <c r="AD431" s="85">
        <f>IF($A431="","",IF(OR($AB431&lt;&gt;"Yes",$AC431="",TODAY()-$AC431&gt;90),"At Risk","Not At Risk"))</f>
        <v/>
      </c>
      <c r="AE431" s="85" t="n"/>
    </row>
    <row r="432" ht="15" customHeight="1" s="39">
      <c r="A432" s="85" t="n"/>
      <c r="B432" s="85" t="n"/>
      <c r="C432" s="85" t="n"/>
      <c r="D432" s="85" t="n"/>
      <c r="E432" s="85" t="n"/>
      <c r="F432" s="85" t="n"/>
      <c r="G432" s="85" t="n"/>
      <c r="H432" s="85" t="n"/>
      <c r="I432" s="85" t="n"/>
      <c r="J432" s="85" t="n"/>
      <c r="K432" s="85" t="n"/>
      <c r="L432" s="85" t="n"/>
      <c r="M432" s="85" t="n"/>
      <c r="N432" s="85" t="n"/>
      <c r="O432" s="85" t="n"/>
      <c r="P432" s="85" t="n"/>
      <c r="Q432" s="85" t="n"/>
      <c r="R432" s="85" t="n"/>
      <c r="S432" s="85" t="n"/>
      <c r="T432" s="85" t="n"/>
      <c r="U432" s="85" t="n"/>
      <c r="V432" s="85" t="n"/>
      <c r="W432" s="85" t="n"/>
      <c r="X432" s="85" t="n"/>
      <c r="Y432" s="85" t="n"/>
      <c r="Z432" s="85" t="n"/>
      <c r="AA432" s="85" t="n"/>
      <c r="AB432" s="85" t="n"/>
      <c r="AC432" s="86" t="n"/>
      <c r="AD432" s="85">
        <f>IF($A432="","",IF(OR($AB432&lt;&gt;"Yes",$AC432="",TODAY()-$AC432&gt;90),"At Risk","Not At Risk"))</f>
        <v/>
      </c>
      <c r="AE432" s="85" t="n"/>
    </row>
    <row r="433" ht="15" customHeight="1" s="39">
      <c r="A433" s="85" t="n"/>
      <c r="B433" s="85" t="n"/>
      <c r="C433" s="85" t="n"/>
      <c r="D433" s="85" t="n"/>
      <c r="E433" s="85" t="n"/>
      <c r="F433" s="85" t="n"/>
      <c r="G433" s="85" t="n"/>
      <c r="H433" s="85" t="n"/>
      <c r="I433" s="85" t="n"/>
      <c r="J433" s="85" t="n"/>
      <c r="K433" s="85" t="n"/>
      <c r="L433" s="85" t="n"/>
      <c r="M433" s="85" t="n"/>
      <c r="N433" s="85" t="n"/>
      <c r="O433" s="85" t="n"/>
      <c r="P433" s="85" t="n"/>
      <c r="Q433" s="85" t="n"/>
      <c r="R433" s="85" t="n"/>
      <c r="S433" s="85" t="n"/>
      <c r="T433" s="85" t="n"/>
      <c r="U433" s="85" t="n"/>
      <c r="V433" s="85" t="n"/>
      <c r="W433" s="85" t="n"/>
      <c r="X433" s="85" t="n"/>
      <c r="Y433" s="85" t="n"/>
      <c r="Z433" s="85" t="n"/>
      <c r="AA433" s="85" t="n"/>
      <c r="AB433" s="85" t="n"/>
      <c r="AC433" s="86" t="n"/>
      <c r="AD433" s="85">
        <f>IF($A433="","",IF(OR($AB433&lt;&gt;"Yes",$AC433="",TODAY()-$AC433&gt;90),"At Risk","Not At Risk"))</f>
        <v/>
      </c>
      <c r="AE433" s="85" t="n"/>
    </row>
    <row r="434" ht="15" customHeight="1" s="39">
      <c r="A434" s="85" t="n"/>
      <c r="B434" s="85" t="n"/>
      <c r="C434" s="85" t="n"/>
      <c r="D434" s="85" t="n"/>
      <c r="E434" s="85" t="n"/>
      <c r="F434" s="85" t="n"/>
      <c r="G434" s="85" t="n"/>
      <c r="H434" s="85" t="n"/>
      <c r="I434" s="85" t="n"/>
      <c r="J434" s="85" t="n"/>
      <c r="K434" s="85" t="n"/>
      <c r="L434" s="85" t="n"/>
      <c r="M434" s="85" t="n"/>
      <c r="N434" s="85" t="n"/>
      <c r="O434" s="85" t="n"/>
      <c r="P434" s="85" t="n"/>
      <c r="Q434" s="85" t="n"/>
      <c r="R434" s="85" t="n"/>
      <c r="S434" s="85" t="n"/>
      <c r="T434" s="85" t="n"/>
      <c r="U434" s="85" t="n"/>
      <c r="V434" s="85" t="n"/>
      <c r="W434" s="85" t="n"/>
      <c r="X434" s="85" t="n"/>
      <c r="Y434" s="85" t="n"/>
      <c r="Z434" s="85" t="n"/>
      <c r="AA434" s="85" t="n"/>
      <c r="AB434" s="85" t="n"/>
      <c r="AC434" s="86" t="n"/>
      <c r="AD434" s="85">
        <f>IF($A434="","",IF(OR($AB434&lt;&gt;"Yes",$AC434="",TODAY()-$AC434&gt;90),"At Risk","Not At Risk"))</f>
        <v/>
      </c>
      <c r="AE434" s="85" t="n"/>
    </row>
    <row r="435" ht="15" customHeight="1" s="39">
      <c r="A435" s="85" t="n"/>
      <c r="B435" s="85" t="n"/>
      <c r="C435" s="85" t="n"/>
      <c r="D435" s="85" t="n"/>
      <c r="E435" s="85" t="n"/>
      <c r="F435" s="85" t="n"/>
      <c r="G435" s="85" t="n"/>
      <c r="H435" s="85" t="n"/>
      <c r="I435" s="85" t="n"/>
      <c r="J435" s="85" t="n"/>
      <c r="K435" s="85" t="n"/>
      <c r="L435" s="85" t="n"/>
      <c r="M435" s="85" t="n"/>
      <c r="N435" s="85" t="n"/>
      <c r="O435" s="85" t="n"/>
      <c r="P435" s="85" t="n"/>
      <c r="Q435" s="85" t="n"/>
      <c r="R435" s="85" t="n"/>
      <c r="S435" s="85" t="n"/>
      <c r="T435" s="85" t="n"/>
      <c r="U435" s="85" t="n"/>
      <c r="V435" s="85" t="n"/>
      <c r="W435" s="85" t="n"/>
      <c r="X435" s="85" t="n"/>
      <c r="Y435" s="85" t="n"/>
      <c r="Z435" s="85" t="n"/>
      <c r="AA435" s="85" t="n"/>
      <c r="AB435" s="85" t="n"/>
      <c r="AC435" s="86" t="n"/>
      <c r="AD435" s="85">
        <f>IF($A435="","",IF(OR($AB435&lt;&gt;"Yes",$AC435="",TODAY()-$AC435&gt;90),"At Risk","Not At Risk"))</f>
        <v/>
      </c>
      <c r="AE435" s="85" t="n"/>
    </row>
    <row r="436" ht="15" customHeight="1" s="39">
      <c r="A436" s="85" t="n"/>
      <c r="B436" s="85" t="n"/>
      <c r="C436" s="85" t="n"/>
      <c r="D436" s="85" t="n"/>
      <c r="E436" s="85" t="n"/>
      <c r="F436" s="85" t="n"/>
      <c r="G436" s="85" t="n"/>
      <c r="H436" s="85" t="n"/>
      <c r="I436" s="85" t="n"/>
      <c r="J436" s="85" t="n"/>
      <c r="K436" s="85" t="n"/>
      <c r="L436" s="85" t="n"/>
      <c r="M436" s="85" t="n"/>
      <c r="N436" s="85" t="n"/>
      <c r="O436" s="85" t="n"/>
      <c r="P436" s="85" t="n"/>
      <c r="Q436" s="85" t="n"/>
      <c r="R436" s="85" t="n"/>
      <c r="S436" s="85" t="n"/>
      <c r="T436" s="85" t="n"/>
      <c r="U436" s="85" t="n"/>
      <c r="V436" s="85" t="n"/>
      <c r="W436" s="85" t="n"/>
      <c r="X436" s="85" t="n"/>
      <c r="Y436" s="85" t="n"/>
      <c r="Z436" s="85" t="n"/>
      <c r="AA436" s="85" t="n"/>
      <c r="AB436" s="85" t="n"/>
      <c r="AC436" s="86" t="n"/>
      <c r="AD436" s="85">
        <f>IF($A436="","",IF(OR($AB436&lt;&gt;"Yes",$AC436="",TODAY()-$AC436&gt;90),"At Risk","Not At Risk"))</f>
        <v/>
      </c>
      <c r="AE436" s="85" t="n"/>
    </row>
    <row r="437" ht="15" customHeight="1" s="39">
      <c r="A437" s="85" t="n"/>
      <c r="B437" s="85" t="n"/>
      <c r="C437" s="85" t="n"/>
      <c r="D437" s="85" t="n"/>
      <c r="E437" s="85" t="n"/>
      <c r="F437" s="85" t="n"/>
      <c r="G437" s="85" t="n"/>
      <c r="H437" s="85" t="n"/>
      <c r="I437" s="85" t="n"/>
      <c r="J437" s="85" t="n"/>
      <c r="K437" s="85" t="n"/>
      <c r="L437" s="85" t="n"/>
      <c r="M437" s="85" t="n"/>
      <c r="N437" s="85" t="n"/>
      <c r="O437" s="85" t="n"/>
      <c r="P437" s="85" t="n"/>
      <c r="Q437" s="85" t="n"/>
      <c r="R437" s="85" t="n"/>
      <c r="S437" s="85" t="n"/>
      <c r="T437" s="85" t="n"/>
      <c r="U437" s="85" t="n"/>
      <c r="V437" s="85" t="n"/>
      <c r="W437" s="85" t="n"/>
      <c r="X437" s="85" t="n"/>
      <c r="Y437" s="85" t="n"/>
      <c r="Z437" s="85" t="n"/>
      <c r="AA437" s="85" t="n"/>
      <c r="AB437" s="85" t="n"/>
      <c r="AC437" s="86" t="n"/>
      <c r="AD437" s="85">
        <f>IF($A437="","",IF(OR($AB437&lt;&gt;"Yes",$AC437="",TODAY()-$AC437&gt;90),"At Risk","Not At Risk"))</f>
        <v/>
      </c>
      <c r="AE437" s="85" t="n"/>
    </row>
    <row r="438" ht="15" customHeight="1" s="39">
      <c r="A438" s="85" t="n"/>
      <c r="B438" s="85" t="n"/>
      <c r="C438" s="85" t="n"/>
      <c r="D438" s="85" t="n"/>
      <c r="E438" s="85" t="n"/>
      <c r="F438" s="85" t="n"/>
      <c r="G438" s="85" t="n"/>
      <c r="H438" s="85" t="n"/>
      <c r="I438" s="85" t="n"/>
      <c r="J438" s="85" t="n"/>
      <c r="K438" s="85" t="n"/>
      <c r="L438" s="85" t="n"/>
      <c r="M438" s="85" t="n"/>
      <c r="N438" s="85" t="n"/>
      <c r="O438" s="85" t="n"/>
      <c r="P438" s="85" t="n"/>
      <c r="Q438" s="85" t="n"/>
      <c r="R438" s="85" t="n"/>
      <c r="S438" s="85" t="n"/>
      <c r="T438" s="85" t="n"/>
      <c r="U438" s="85" t="n"/>
      <c r="V438" s="85" t="n"/>
      <c r="W438" s="85" t="n"/>
      <c r="X438" s="85" t="n"/>
      <c r="Y438" s="85" t="n"/>
      <c r="Z438" s="85" t="n"/>
      <c r="AA438" s="85" t="n"/>
      <c r="AB438" s="85" t="n"/>
      <c r="AC438" s="86" t="n"/>
      <c r="AD438" s="85">
        <f>IF($A438="","",IF(OR($AB438&lt;&gt;"Yes",$AC438="",TODAY()-$AC438&gt;90),"At Risk","Not At Risk"))</f>
        <v/>
      </c>
      <c r="AE438" s="85" t="n"/>
    </row>
    <row r="439" ht="15" customHeight="1" s="39">
      <c r="A439" s="85" t="n"/>
      <c r="B439" s="85" t="n"/>
      <c r="C439" s="85" t="n"/>
      <c r="D439" s="85" t="n"/>
      <c r="E439" s="85" t="n"/>
      <c r="F439" s="85" t="n"/>
      <c r="G439" s="85" t="n"/>
      <c r="H439" s="85" t="n"/>
      <c r="I439" s="85" t="n"/>
      <c r="J439" s="85" t="n"/>
      <c r="K439" s="85" t="n"/>
      <c r="L439" s="85" t="n"/>
      <c r="M439" s="85" t="n"/>
      <c r="N439" s="85" t="n"/>
      <c r="O439" s="85" t="n"/>
      <c r="P439" s="85" t="n"/>
      <c r="Q439" s="85" t="n"/>
      <c r="R439" s="85" t="n"/>
      <c r="S439" s="85" t="n"/>
      <c r="T439" s="85" t="n"/>
      <c r="U439" s="85" t="n"/>
      <c r="V439" s="85" t="n"/>
      <c r="W439" s="85" t="n"/>
      <c r="X439" s="85" t="n"/>
      <c r="Y439" s="85" t="n"/>
      <c r="Z439" s="85" t="n"/>
      <c r="AA439" s="85" t="n"/>
      <c r="AB439" s="85" t="n"/>
      <c r="AC439" s="86" t="n"/>
      <c r="AD439" s="85">
        <f>IF($A439="","",IF(OR($AB439&lt;&gt;"Yes",$AC439="",TODAY()-$AC439&gt;90),"At Risk","Not At Risk"))</f>
        <v/>
      </c>
      <c r="AE439" s="85" t="n"/>
    </row>
    <row r="440" ht="15" customHeight="1" s="39">
      <c r="A440" s="85" t="n"/>
      <c r="B440" s="85" t="n"/>
      <c r="C440" s="85" t="n"/>
      <c r="D440" s="85" t="n"/>
      <c r="E440" s="85" t="n"/>
      <c r="F440" s="85" t="n"/>
      <c r="G440" s="85" t="n"/>
      <c r="H440" s="85" t="n"/>
      <c r="I440" s="85" t="n"/>
      <c r="J440" s="85" t="n"/>
      <c r="K440" s="85" t="n"/>
      <c r="L440" s="85" t="n"/>
      <c r="M440" s="85" t="n"/>
      <c r="N440" s="85" t="n"/>
      <c r="O440" s="85" t="n"/>
      <c r="P440" s="85" t="n"/>
      <c r="Q440" s="85" t="n"/>
      <c r="R440" s="85" t="n"/>
      <c r="S440" s="85" t="n"/>
      <c r="T440" s="85" t="n"/>
      <c r="U440" s="85" t="n"/>
      <c r="V440" s="85" t="n"/>
      <c r="W440" s="85" t="n"/>
      <c r="X440" s="85" t="n"/>
      <c r="Y440" s="85" t="n"/>
      <c r="Z440" s="85" t="n"/>
      <c r="AA440" s="85" t="n"/>
      <c r="AB440" s="85" t="n"/>
      <c r="AC440" s="86" t="n"/>
      <c r="AD440" s="85">
        <f>IF($A440="","",IF(OR($AB440&lt;&gt;"Yes",$AC440="",TODAY()-$AC440&gt;90),"At Risk","Not At Risk"))</f>
        <v/>
      </c>
      <c r="AE440" s="85" t="n"/>
    </row>
    <row r="441" ht="15" customHeight="1" s="39">
      <c r="A441" s="85" t="n"/>
      <c r="B441" s="85" t="n"/>
      <c r="C441" s="85" t="n"/>
      <c r="D441" s="85" t="n"/>
      <c r="E441" s="85" t="n"/>
      <c r="F441" s="85" t="n"/>
      <c r="G441" s="85" t="n"/>
      <c r="H441" s="85" t="n"/>
      <c r="I441" s="85" t="n"/>
      <c r="J441" s="85" t="n"/>
      <c r="K441" s="85" t="n"/>
      <c r="L441" s="85" t="n"/>
      <c r="M441" s="85" t="n"/>
      <c r="N441" s="85" t="n"/>
      <c r="O441" s="85" t="n"/>
      <c r="P441" s="85" t="n"/>
      <c r="Q441" s="85" t="n"/>
      <c r="R441" s="85" t="n"/>
      <c r="S441" s="85" t="n"/>
      <c r="T441" s="85" t="n"/>
      <c r="U441" s="85" t="n"/>
      <c r="V441" s="85" t="n"/>
      <c r="W441" s="85" t="n"/>
      <c r="X441" s="85" t="n"/>
      <c r="Y441" s="85" t="n"/>
      <c r="Z441" s="85" t="n"/>
      <c r="AA441" s="85" t="n"/>
      <c r="AB441" s="85" t="n"/>
      <c r="AC441" s="86" t="n"/>
      <c r="AD441" s="85">
        <f>IF($A441="","",IF(OR($AB441&lt;&gt;"Yes",$AC441="",TODAY()-$AC441&gt;90),"At Risk","Not At Risk"))</f>
        <v/>
      </c>
      <c r="AE441" s="85" t="n"/>
    </row>
    <row r="442" ht="15" customHeight="1" s="39">
      <c r="A442" s="85" t="n"/>
      <c r="B442" s="85" t="n"/>
      <c r="C442" s="85" t="n"/>
      <c r="D442" s="85" t="n"/>
      <c r="E442" s="85" t="n"/>
      <c r="F442" s="85" t="n"/>
      <c r="G442" s="85" t="n"/>
      <c r="H442" s="85" t="n"/>
      <c r="I442" s="85" t="n"/>
      <c r="J442" s="85" t="n"/>
      <c r="K442" s="85" t="n"/>
      <c r="L442" s="85" t="n"/>
      <c r="M442" s="85" t="n"/>
      <c r="N442" s="85" t="n"/>
      <c r="O442" s="85" t="n"/>
      <c r="P442" s="85" t="n"/>
      <c r="Q442" s="85" t="n"/>
      <c r="R442" s="85" t="n"/>
      <c r="S442" s="85" t="n"/>
      <c r="T442" s="85" t="n"/>
      <c r="U442" s="85" t="n"/>
      <c r="V442" s="85" t="n"/>
      <c r="W442" s="85" t="n"/>
      <c r="X442" s="85" t="n"/>
      <c r="Y442" s="85" t="n"/>
      <c r="Z442" s="85" t="n"/>
      <c r="AA442" s="85" t="n"/>
      <c r="AB442" s="85" t="n"/>
      <c r="AC442" s="86" t="n"/>
      <c r="AD442" s="85">
        <f>IF($A442="","",IF(OR($AB442&lt;&gt;"Yes",$AC442="",TODAY()-$AC442&gt;90),"At Risk","Not At Risk"))</f>
        <v/>
      </c>
      <c r="AE442" s="85" t="n"/>
    </row>
    <row r="443" ht="15" customHeight="1" s="39">
      <c r="A443" s="85" t="n"/>
      <c r="B443" s="85" t="n"/>
      <c r="C443" s="85" t="n"/>
      <c r="D443" s="85" t="n"/>
      <c r="E443" s="85" t="n"/>
      <c r="F443" s="85" t="n"/>
      <c r="G443" s="85" t="n"/>
      <c r="H443" s="85" t="n"/>
      <c r="I443" s="85" t="n"/>
      <c r="J443" s="85" t="n"/>
      <c r="K443" s="85" t="n"/>
      <c r="L443" s="85" t="n"/>
      <c r="M443" s="85" t="n"/>
      <c r="N443" s="85" t="n"/>
      <c r="O443" s="85" t="n"/>
      <c r="P443" s="85" t="n"/>
      <c r="Q443" s="85" t="n"/>
      <c r="R443" s="85" t="n"/>
      <c r="S443" s="85" t="n"/>
      <c r="T443" s="85" t="n"/>
      <c r="U443" s="85" t="n"/>
      <c r="V443" s="85" t="n"/>
      <c r="W443" s="85" t="n"/>
      <c r="X443" s="85" t="n"/>
      <c r="Y443" s="85" t="n"/>
      <c r="Z443" s="85" t="n"/>
      <c r="AA443" s="85" t="n"/>
      <c r="AB443" s="85" t="n"/>
      <c r="AC443" s="86" t="n"/>
      <c r="AD443" s="85">
        <f>IF($A443="","",IF(OR($AB443&lt;&gt;"Yes",$AC443="",TODAY()-$AC443&gt;90),"At Risk","Not At Risk"))</f>
        <v/>
      </c>
      <c r="AE443" s="85" t="n"/>
    </row>
    <row r="444" ht="15" customHeight="1" s="39">
      <c r="A444" s="85" t="n"/>
      <c r="B444" s="85" t="n"/>
      <c r="C444" s="85" t="n"/>
      <c r="D444" s="85" t="n"/>
      <c r="E444" s="85" t="n"/>
      <c r="F444" s="85" t="n"/>
      <c r="G444" s="85" t="n"/>
      <c r="H444" s="85" t="n"/>
      <c r="I444" s="85" t="n"/>
      <c r="J444" s="85" t="n"/>
      <c r="K444" s="85" t="n"/>
      <c r="L444" s="85" t="n"/>
      <c r="M444" s="85" t="n"/>
      <c r="N444" s="85" t="n"/>
      <c r="O444" s="85" t="n"/>
      <c r="P444" s="85" t="n"/>
      <c r="Q444" s="85" t="n"/>
      <c r="R444" s="85" t="n"/>
      <c r="S444" s="85" t="n"/>
      <c r="T444" s="85" t="n"/>
      <c r="U444" s="85" t="n"/>
      <c r="V444" s="85" t="n"/>
      <c r="W444" s="85" t="n"/>
      <c r="X444" s="85" t="n"/>
      <c r="Y444" s="85" t="n"/>
      <c r="Z444" s="85" t="n"/>
      <c r="AA444" s="85" t="n"/>
      <c r="AB444" s="85" t="n"/>
      <c r="AC444" s="86" t="n"/>
      <c r="AD444" s="85">
        <f>IF($A444="","",IF(OR($AB444&lt;&gt;"Yes",$AC444="",TODAY()-$AC444&gt;90),"At Risk","Not At Risk"))</f>
        <v/>
      </c>
      <c r="AE444" s="85" t="n"/>
    </row>
    <row r="445" ht="15" customHeight="1" s="39">
      <c r="A445" s="85" t="n"/>
      <c r="B445" s="85" t="n"/>
      <c r="C445" s="85" t="n"/>
      <c r="D445" s="85" t="n"/>
      <c r="E445" s="85" t="n"/>
      <c r="F445" s="85" t="n"/>
      <c r="G445" s="85" t="n"/>
      <c r="H445" s="85" t="n"/>
      <c r="I445" s="85" t="n"/>
      <c r="J445" s="85" t="n"/>
      <c r="K445" s="85" t="n"/>
      <c r="L445" s="85" t="n"/>
      <c r="M445" s="85" t="n"/>
      <c r="N445" s="85" t="n"/>
      <c r="O445" s="85" t="n"/>
      <c r="P445" s="85" t="n"/>
      <c r="Q445" s="85" t="n"/>
      <c r="R445" s="85" t="n"/>
      <c r="S445" s="85" t="n"/>
      <c r="T445" s="85" t="n"/>
      <c r="U445" s="85" t="n"/>
      <c r="V445" s="85" t="n"/>
      <c r="W445" s="85" t="n"/>
      <c r="X445" s="85" t="n"/>
      <c r="Y445" s="85" t="n"/>
      <c r="Z445" s="85" t="n"/>
      <c r="AA445" s="85" t="n"/>
      <c r="AB445" s="85" t="n"/>
      <c r="AC445" s="86" t="n"/>
      <c r="AD445" s="85">
        <f>IF($A445="","",IF(OR($AB445&lt;&gt;"Yes",$AC445="",TODAY()-$AC445&gt;90),"At Risk","Not At Risk"))</f>
        <v/>
      </c>
      <c r="AE445" s="85" t="n"/>
    </row>
    <row r="446" ht="15" customHeight="1" s="39">
      <c r="A446" s="85" t="n"/>
      <c r="B446" s="85" t="n"/>
      <c r="C446" s="85" t="n"/>
      <c r="D446" s="85" t="n"/>
      <c r="E446" s="85" t="n"/>
      <c r="F446" s="85" t="n"/>
      <c r="G446" s="85" t="n"/>
      <c r="H446" s="85" t="n"/>
      <c r="I446" s="85" t="n"/>
      <c r="J446" s="85" t="n"/>
      <c r="K446" s="85" t="n"/>
      <c r="L446" s="85" t="n"/>
      <c r="M446" s="85" t="n"/>
      <c r="N446" s="85" t="n"/>
      <c r="O446" s="85" t="n"/>
      <c r="P446" s="85" t="n"/>
      <c r="Q446" s="85" t="n"/>
      <c r="R446" s="85" t="n"/>
      <c r="S446" s="85" t="n"/>
      <c r="T446" s="85" t="n"/>
      <c r="U446" s="85" t="n"/>
      <c r="V446" s="85" t="n"/>
      <c r="W446" s="85" t="n"/>
      <c r="X446" s="85" t="n"/>
      <c r="Y446" s="85" t="n"/>
      <c r="Z446" s="85" t="n"/>
      <c r="AA446" s="85" t="n"/>
      <c r="AB446" s="85" t="n"/>
      <c r="AC446" s="86" t="n"/>
      <c r="AD446" s="85">
        <f>IF($A446="","",IF(OR($AB446&lt;&gt;"Yes",$AC446="",TODAY()-$AC446&gt;90),"At Risk","Not At Risk"))</f>
        <v/>
      </c>
      <c r="AE446" s="85" t="n"/>
    </row>
    <row r="447" ht="15" customHeight="1" s="39">
      <c r="A447" s="85" t="n"/>
      <c r="B447" s="85" t="n"/>
      <c r="C447" s="85" t="n"/>
      <c r="D447" s="85" t="n"/>
      <c r="E447" s="85" t="n"/>
      <c r="F447" s="85" t="n"/>
      <c r="G447" s="85" t="n"/>
      <c r="H447" s="85" t="n"/>
      <c r="I447" s="85" t="n"/>
      <c r="J447" s="85" t="n"/>
      <c r="K447" s="85" t="n"/>
      <c r="L447" s="85" t="n"/>
      <c r="M447" s="85" t="n"/>
      <c r="N447" s="85" t="n"/>
      <c r="O447" s="85" t="n"/>
      <c r="P447" s="85" t="n"/>
      <c r="Q447" s="85" t="n"/>
      <c r="R447" s="85" t="n"/>
      <c r="S447" s="85" t="n"/>
      <c r="T447" s="85" t="n"/>
      <c r="U447" s="85" t="n"/>
      <c r="V447" s="85" t="n"/>
      <c r="W447" s="85" t="n"/>
      <c r="X447" s="85" t="n"/>
      <c r="Y447" s="85" t="n"/>
      <c r="Z447" s="85" t="n"/>
      <c r="AA447" s="85" t="n"/>
      <c r="AB447" s="85" t="n"/>
      <c r="AC447" s="86" t="n"/>
      <c r="AD447" s="85">
        <f>IF($A447="","",IF(OR($AB447&lt;&gt;"Yes",$AC447="",TODAY()-$AC447&gt;90),"At Risk","Not At Risk"))</f>
        <v/>
      </c>
      <c r="AE447" s="85" t="n"/>
    </row>
    <row r="448" ht="15" customHeight="1" s="39">
      <c r="A448" s="85" t="n"/>
      <c r="B448" s="85" t="n"/>
      <c r="C448" s="85" t="n"/>
      <c r="D448" s="85" t="n"/>
      <c r="E448" s="85" t="n"/>
      <c r="F448" s="85" t="n"/>
      <c r="G448" s="85" t="n"/>
      <c r="H448" s="85" t="n"/>
      <c r="I448" s="85" t="n"/>
      <c r="J448" s="85" t="n"/>
      <c r="K448" s="85" t="n"/>
      <c r="L448" s="85" t="n"/>
      <c r="M448" s="85" t="n"/>
      <c r="N448" s="85" t="n"/>
      <c r="O448" s="85" t="n"/>
      <c r="P448" s="85" t="n"/>
      <c r="Q448" s="85" t="n"/>
      <c r="R448" s="85" t="n"/>
      <c r="S448" s="85" t="n"/>
      <c r="T448" s="85" t="n"/>
      <c r="U448" s="85" t="n"/>
      <c r="V448" s="85" t="n"/>
      <c r="W448" s="85" t="n"/>
      <c r="X448" s="85" t="n"/>
      <c r="Y448" s="85" t="n"/>
      <c r="Z448" s="85" t="n"/>
      <c r="AA448" s="85" t="n"/>
      <c r="AB448" s="85" t="n"/>
      <c r="AC448" s="86" t="n"/>
      <c r="AD448" s="85">
        <f>IF($A448="","",IF(OR($AB448&lt;&gt;"Yes",$AC448="",TODAY()-$AC448&gt;90),"At Risk","Not At Risk"))</f>
        <v/>
      </c>
      <c r="AE448" s="85" t="n"/>
    </row>
    <row r="449" ht="15" customHeight="1" s="39">
      <c r="A449" s="85" t="n"/>
      <c r="B449" s="85" t="n"/>
      <c r="C449" s="85" t="n"/>
      <c r="D449" s="85" t="n"/>
      <c r="E449" s="85" t="n"/>
      <c r="F449" s="85" t="n"/>
      <c r="G449" s="85" t="n"/>
      <c r="H449" s="85" t="n"/>
      <c r="I449" s="85" t="n"/>
      <c r="J449" s="85" t="n"/>
      <c r="K449" s="85" t="n"/>
      <c r="L449" s="85" t="n"/>
      <c r="M449" s="85" t="n"/>
      <c r="N449" s="85" t="n"/>
      <c r="O449" s="85" t="n"/>
      <c r="P449" s="85" t="n"/>
      <c r="Q449" s="85" t="n"/>
      <c r="R449" s="85" t="n"/>
      <c r="S449" s="85" t="n"/>
      <c r="T449" s="85" t="n"/>
      <c r="U449" s="85" t="n"/>
      <c r="V449" s="85" t="n"/>
      <c r="W449" s="85" t="n"/>
      <c r="X449" s="85" t="n"/>
      <c r="Y449" s="85" t="n"/>
      <c r="Z449" s="85" t="n"/>
      <c r="AA449" s="85" t="n"/>
      <c r="AB449" s="85" t="n"/>
      <c r="AC449" s="86" t="n"/>
      <c r="AD449" s="85">
        <f>IF($A449="","",IF(OR($AB449&lt;&gt;"Yes",$AC449="",TODAY()-$AC449&gt;90),"At Risk","Not At Risk"))</f>
        <v/>
      </c>
      <c r="AE449" s="85" t="n"/>
    </row>
    <row r="450" ht="15" customHeight="1" s="39">
      <c r="A450" s="85" t="n"/>
      <c r="B450" s="85" t="n"/>
      <c r="C450" s="85" t="n"/>
      <c r="D450" s="85" t="n"/>
      <c r="E450" s="85" t="n"/>
      <c r="F450" s="85" t="n"/>
      <c r="G450" s="85" t="n"/>
      <c r="H450" s="85" t="n"/>
      <c r="I450" s="85" t="n"/>
      <c r="J450" s="85" t="n"/>
      <c r="K450" s="85" t="n"/>
      <c r="L450" s="85" t="n"/>
      <c r="M450" s="85" t="n"/>
      <c r="N450" s="85" t="n"/>
      <c r="O450" s="85" t="n"/>
      <c r="P450" s="85" t="n"/>
      <c r="Q450" s="85" t="n"/>
      <c r="R450" s="85" t="n"/>
      <c r="S450" s="85" t="n"/>
      <c r="T450" s="85" t="n"/>
      <c r="U450" s="85" t="n"/>
      <c r="V450" s="85" t="n"/>
      <c r="W450" s="85" t="n"/>
      <c r="X450" s="85" t="n"/>
      <c r="Y450" s="85" t="n"/>
      <c r="Z450" s="85" t="n"/>
      <c r="AA450" s="85" t="n"/>
      <c r="AB450" s="85" t="n"/>
      <c r="AC450" s="86" t="n"/>
      <c r="AD450" s="85">
        <f>IF($A450="","",IF(OR($AB450&lt;&gt;"Yes",$AC450="",TODAY()-$AC450&gt;90),"At Risk","Not At Risk"))</f>
        <v/>
      </c>
      <c r="AE450" s="85" t="n"/>
    </row>
    <row r="451" ht="15" customHeight="1" s="39">
      <c r="A451" s="85" t="n"/>
      <c r="B451" s="85" t="n"/>
      <c r="C451" s="85" t="n"/>
      <c r="D451" s="85" t="n"/>
      <c r="E451" s="85" t="n"/>
      <c r="F451" s="85" t="n"/>
      <c r="G451" s="85" t="n"/>
      <c r="H451" s="85" t="n"/>
      <c r="I451" s="85" t="n"/>
      <c r="J451" s="85" t="n"/>
      <c r="K451" s="85" t="n"/>
      <c r="L451" s="85" t="n"/>
      <c r="M451" s="85" t="n"/>
      <c r="N451" s="85" t="n"/>
      <c r="O451" s="85" t="n"/>
      <c r="P451" s="85" t="n"/>
      <c r="Q451" s="85" t="n"/>
      <c r="R451" s="85" t="n"/>
      <c r="S451" s="85" t="n"/>
      <c r="T451" s="85" t="n"/>
      <c r="U451" s="85" t="n"/>
      <c r="V451" s="85" t="n"/>
      <c r="W451" s="85" t="n"/>
      <c r="X451" s="85" t="n"/>
      <c r="Y451" s="85" t="n"/>
      <c r="Z451" s="85" t="n"/>
      <c r="AA451" s="85" t="n"/>
      <c r="AB451" s="85" t="n"/>
      <c r="AC451" s="86" t="n"/>
      <c r="AD451" s="85">
        <f>IF($A451="","",IF(OR($AB451&lt;&gt;"Yes",$AC451="",TODAY()-$AC451&gt;90),"At Risk","Not At Risk"))</f>
        <v/>
      </c>
      <c r="AE451" s="85" t="n"/>
    </row>
    <row r="452" ht="15" customHeight="1" s="39">
      <c r="A452" s="85" t="n"/>
      <c r="B452" s="85" t="n"/>
      <c r="C452" s="85" t="n"/>
      <c r="D452" s="85" t="n"/>
      <c r="E452" s="85" t="n"/>
      <c r="F452" s="85" t="n"/>
      <c r="G452" s="85" t="n"/>
      <c r="H452" s="85" t="n"/>
      <c r="I452" s="85" t="n"/>
      <c r="J452" s="85" t="n"/>
      <c r="K452" s="85" t="n"/>
      <c r="L452" s="85" t="n"/>
      <c r="M452" s="85" t="n"/>
      <c r="N452" s="85" t="n"/>
      <c r="O452" s="85" t="n"/>
      <c r="P452" s="85" t="n"/>
      <c r="Q452" s="85" t="n"/>
      <c r="R452" s="85" t="n"/>
      <c r="S452" s="85" t="n"/>
      <c r="T452" s="85" t="n"/>
      <c r="U452" s="85" t="n"/>
      <c r="V452" s="85" t="n"/>
      <c r="W452" s="85" t="n"/>
      <c r="X452" s="85" t="n"/>
      <c r="Y452" s="85" t="n"/>
      <c r="Z452" s="85" t="n"/>
      <c r="AA452" s="85" t="n"/>
      <c r="AB452" s="85" t="n"/>
      <c r="AC452" s="86" t="n"/>
      <c r="AD452" s="85">
        <f>IF($A452="","",IF(OR($AB452&lt;&gt;"Yes",$AC452="",TODAY()-$AC452&gt;90),"At Risk","Not At Risk"))</f>
        <v/>
      </c>
      <c r="AE452" s="85" t="n"/>
    </row>
    <row r="453" ht="15" customHeight="1" s="39">
      <c r="A453" s="85" t="n"/>
      <c r="B453" s="85" t="n"/>
      <c r="C453" s="85" t="n"/>
      <c r="D453" s="85" t="n"/>
      <c r="E453" s="85" t="n"/>
      <c r="F453" s="85" t="n"/>
      <c r="G453" s="85" t="n"/>
      <c r="H453" s="85" t="n"/>
      <c r="I453" s="85" t="n"/>
      <c r="J453" s="85" t="n"/>
      <c r="K453" s="85" t="n"/>
      <c r="L453" s="85" t="n"/>
      <c r="M453" s="85" t="n"/>
      <c r="N453" s="85" t="n"/>
      <c r="O453" s="85" t="n"/>
      <c r="P453" s="85" t="n"/>
      <c r="Q453" s="85" t="n"/>
      <c r="R453" s="85" t="n"/>
      <c r="S453" s="85" t="n"/>
      <c r="T453" s="85" t="n"/>
      <c r="U453" s="85" t="n"/>
      <c r="V453" s="85" t="n"/>
      <c r="W453" s="85" t="n"/>
      <c r="X453" s="85" t="n"/>
      <c r="Y453" s="85" t="n"/>
      <c r="Z453" s="85" t="n"/>
      <c r="AA453" s="85" t="n"/>
      <c r="AB453" s="85" t="n"/>
      <c r="AC453" s="86" t="n"/>
      <c r="AD453" s="85">
        <f>IF($A453="","",IF(OR($AB453&lt;&gt;"Yes",$AC453="",TODAY()-$AC453&gt;90),"At Risk","Not At Risk"))</f>
        <v/>
      </c>
      <c r="AE453" s="85" t="n"/>
    </row>
    <row r="454" ht="15" customHeight="1" s="39">
      <c r="A454" s="85" t="n"/>
      <c r="B454" s="85" t="n"/>
      <c r="C454" s="85" t="n"/>
      <c r="D454" s="85" t="n"/>
      <c r="E454" s="85" t="n"/>
      <c r="F454" s="85" t="n"/>
      <c r="G454" s="85" t="n"/>
      <c r="H454" s="85" t="n"/>
      <c r="I454" s="85" t="n"/>
      <c r="J454" s="85" t="n"/>
      <c r="K454" s="85" t="n"/>
      <c r="L454" s="85" t="n"/>
      <c r="M454" s="85" t="n"/>
      <c r="N454" s="85" t="n"/>
      <c r="O454" s="85" t="n"/>
      <c r="P454" s="85" t="n"/>
      <c r="Q454" s="85" t="n"/>
      <c r="R454" s="85" t="n"/>
      <c r="S454" s="85" t="n"/>
      <c r="T454" s="85" t="n"/>
      <c r="U454" s="85" t="n"/>
      <c r="V454" s="85" t="n"/>
      <c r="W454" s="85" t="n"/>
      <c r="X454" s="85" t="n"/>
      <c r="Y454" s="85" t="n"/>
      <c r="Z454" s="85" t="n"/>
      <c r="AA454" s="85" t="n"/>
      <c r="AB454" s="85" t="n"/>
      <c r="AC454" s="86" t="n"/>
      <c r="AD454" s="85">
        <f>IF($A454="","",IF(OR($AB454&lt;&gt;"Yes",$AC454="",TODAY()-$AC454&gt;90),"At Risk","Not At Risk"))</f>
        <v/>
      </c>
      <c r="AE454" s="85" t="n"/>
    </row>
    <row r="455" ht="15" customHeight="1" s="39">
      <c r="A455" s="85" t="n"/>
      <c r="B455" s="85" t="n"/>
      <c r="C455" s="85" t="n"/>
      <c r="D455" s="85" t="n"/>
      <c r="E455" s="85" t="n"/>
      <c r="F455" s="85" t="n"/>
      <c r="G455" s="85" t="n"/>
      <c r="H455" s="85" t="n"/>
      <c r="I455" s="85" t="n"/>
      <c r="J455" s="85" t="n"/>
      <c r="K455" s="85" t="n"/>
      <c r="L455" s="85" t="n"/>
      <c r="M455" s="85" t="n"/>
      <c r="N455" s="85" t="n"/>
      <c r="O455" s="85" t="n"/>
      <c r="P455" s="85" t="n"/>
      <c r="Q455" s="85" t="n"/>
      <c r="R455" s="85" t="n"/>
      <c r="S455" s="85" t="n"/>
      <c r="T455" s="85" t="n"/>
      <c r="U455" s="85" t="n"/>
      <c r="V455" s="85" t="n"/>
      <c r="W455" s="85" t="n"/>
      <c r="X455" s="85" t="n"/>
      <c r="Y455" s="85" t="n"/>
      <c r="Z455" s="85" t="n"/>
      <c r="AA455" s="85" t="n"/>
      <c r="AB455" s="85" t="n"/>
      <c r="AC455" s="86" t="n"/>
      <c r="AD455" s="85">
        <f>IF($A455="","",IF(OR($AB455&lt;&gt;"Yes",$AC455="",TODAY()-$AC455&gt;90),"At Risk","Not At Risk"))</f>
        <v/>
      </c>
      <c r="AE455" s="85" t="n"/>
    </row>
    <row r="456" ht="15" customHeight="1" s="39">
      <c r="A456" s="85" t="n"/>
      <c r="B456" s="85" t="n"/>
      <c r="C456" s="85" t="n"/>
      <c r="D456" s="85" t="n"/>
      <c r="E456" s="85" t="n"/>
      <c r="F456" s="85" t="n"/>
      <c r="G456" s="85" t="n"/>
      <c r="H456" s="85" t="n"/>
      <c r="I456" s="85" t="n"/>
      <c r="J456" s="85" t="n"/>
      <c r="K456" s="85" t="n"/>
      <c r="L456" s="85" t="n"/>
      <c r="M456" s="85" t="n"/>
      <c r="N456" s="85" t="n"/>
      <c r="O456" s="85" t="n"/>
      <c r="P456" s="85" t="n"/>
      <c r="Q456" s="85" t="n"/>
      <c r="R456" s="85" t="n"/>
      <c r="S456" s="85" t="n"/>
      <c r="T456" s="85" t="n"/>
      <c r="U456" s="85" t="n"/>
      <c r="V456" s="85" t="n"/>
      <c r="W456" s="85" t="n"/>
      <c r="X456" s="85" t="n"/>
      <c r="Y456" s="85" t="n"/>
      <c r="Z456" s="85" t="n"/>
      <c r="AA456" s="85" t="n"/>
      <c r="AB456" s="85" t="n"/>
      <c r="AC456" s="86" t="n"/>
      <c r="AD456" s="85">
        <f>IF($A456="","",IF(OR($AB456&lt;&gt;"Yes",$AC456="",TODAY()-$AC456&gt;90),"At Risk","Not At Risk"))</f>
        <v/>
      </c>
      <c r="AE456" s="85" t="n"/>
    </row>
    <row r="457" ht="15" customHeight="1" s="39">
      <c r="A457" s="85" t="n"/>
      <c r="B457" s="85" t="n"/>
      <c r="C457" s="85" t="n"/>
      <c r="D457" s="85" t="n"/>
      <c r="E457" s="85" t="n"/>
      <c r="F457" s="85" t="n"/>
      <c r="G457" s="85" t="n"/>
      <c r="H457" s="85" t="n"/>
      <c r="I457" s="85" t="n"/>
      <c r="J457" s="85" t="n"/>
      <c r="K457" s="85" t="n"/>
      <c r="L457" s="85" t="n"/>
      <c r="M457" s="85" t="n"/>
      <c r="N457" s="85" t="n"/>
      <c r="O457" s="85" t="n"/>
      <c r="P457" s="85" t="n"/>
      <c r="Q457" s="85" t="n"/>
      <c r="R457" s="85" t="n"/>
      <c r="S457" s="85" t="n"/>
      <c r="T457" s="85" t="n"/>
      <c r="U457" s="85" t="n"/>
      <c r="V457" s="85" t="n"/>
      <c r="W457" s="85" t="n"/>
      <c r="X457" s="85" t="n"/>
      <c r="Y457" s="85" t="n"/>
      <c r="Z457" s="85" t="n"/>
      <c r="AA457" s="85" t="n"/>
      <c r="AB457" s="85" t="n"/>
      <c r="AC457" s="86" t="n"/>
      <c r="AD457" s="85">
        <f>IF($A457="","",IF(OR($AB457&lt;&gt;"Yes",$AC457="",TODAY()-$AC457&gt;90),"At Risk","Not At Risk"))</f>
        <v/>
      </c>
      <c r="AE457" s="85" t="n"/>
    </row>
    <row r="458" ht="15" customHeight="1" s="39">
      <c r="A458" s="85" t="n"/>
      <c r="B458" s="85" t="n"/>
      <c r="C458" s="85" t="n"/>
      <c r="D458" s="85" t="n"/>
      <c r="E458" s="85" t="n"/>
      <c r="F458" s="85" t="n"/>
      <c r="G458" s="85" t="n"/>
      <c r="H458" s="85" t="n"/>
      <c r="I458" s="85" t="n"/>
      <c r="J458" s="85" t="n"/>
      <c r="K458" s="85" t="n"/>
      <c r="L458" s="85" t="n"/>
      <c r="M458" s="85" t="n"/>
      <c r="N458" s="85" t="n"/>
      <c r="O458" s="85" t="n"/>
      <c r="P458" s="85" t="n"/>
      <c r="Q458" s="85" t="n"/>
      <c r="R458" s="85" t="n"/>
      <c r="S458" s="85" t="n"/>
      <c r="T458" s="85" t="n"/>
      <c r="U458" s="85" t="n"/>
      <c r="V458" s="85" t="n"/>
      <c r="W458" s="85" t="n"/>
      <c r="X458" s="85" t="n"/>
      <c r="Y458" s="85" t="n"/>
      <c r="Z458" s="85" t="n"/>
      <c r="AA458" s="85" t="n"/>
      <c r="AB458" s="85" t="n"/>
      <c r="AC458" s="86" t="n"/>
      <c r="AD458" s="85">
        <f>IF($A458="","",IF(OR($AB458&lt;&gt;"Yes",$AC458="",TODAY()-$AC458&gt;90),"At Risk","Not At Risk"))</f>
        <v/>
      </c>
      <c r="AE458" s="85" t="n"/>
    </row>
    <row r="459" ht="15" customHeight="1" s="39">
      <c r="A459" s="85" t="n"/>
      <c r="B459" s="85" t="n"/>
      <c r="C459" s="85" t="n"/>
      <c r="D459" s="85" t="n"/>
      <c r="E459" s="85" t="n"/>
      <c r="F459" s="85" t="n"/>
      <c r="G459" s="85" t="n"/>
      <c r="H459" s="85" t="n"/>
      <c r="I459" s="85" t="n"/>
      <c r="J459" s="85" t="n"/>
      <c r="K459" s="85" t="n"/>
      <c r="L459" s="85" t="n"/>
      <c r="M459" s="85" t="n"/>
      <c r="N459" s="85" t="n"/>
      <c r="O459" s="85" t="n"/>
      <c r="P459" s="85" t="n"/>
      <c r="Q459" s="85" t="n"/>
      <c r="R459" s="85" t="n"/>
      <c r="S459" s="85" t="n"/>
      <c r="T459" s="85" t="n"/>
      <c r="U459" s="85" t="n"/>
      <c r="V459" s="85" t="n"/>
      <c r="W459" s="85" t="n"/>
      <c r="X459" s="85" t="n"/>
      <c r="Y459" s="85" t="n"/>
      <c r="Z459" s="85" t="n"/>
      <c r="AA459" s="85" t="n"/>
      <c r="AB459" s="85" t="n"/>
      <c r="AC459" s="86" t="n"/>
      <c r="AD459" s="85">
        <f>IF($A459="","",IF(OR($AB459&lt;&gt;"Yes",$AC459="",TODAY()-$AC459&gt;90),"At Risk","Not At Risk"))</f>
        <v/>
      </c>
      <c r="AE459" s="85" t="n"/>
    </row>
    <row r="460" ht="15" customHeight="1" s="39">
      <c r="A460" s="85" t="n"/>
      <c r="B460" s="85" t="n"/>
      <c r="C460" s="85" t="n"/>
      <c r="D460" s="85" t="n"/>
      <c r="E460" s="85" t="n"/>
      <c r="F460" s="85" t="n"/>
      <c r="G460" s="85" t="n"/>
      <c r="H460" s="85" t="n"/>
      <c r="I460" s="85" t="n"/>
      <c r="J460" s="85" t="n"/>
      <c r="K460" s="85" t="n"/>
      <c r="L460" s="85" t="n"/>
      <c r="M460" s="85" t="n"/>
      <c r="N460" s="85" t="n"/>
      <c r="O460" s="85" t="n"/>
      <c r="P460" s="85" t="n"/>
      <c r="Q460" s="85" t="n"/>
      <c r="R460" s="85" t="n"/>
      <c r="S460" s="85" t="n"/>
      <c r="T460" s="85" t="n"/>
      <c r="U460" s="85" t="n"/>
      <c r="V460" s="85" t="n"/>
      <c r="W460" s="85" t="n"/>
      <c r="X460" s="85" t="n"/>
      <c r="Y460" s="85" t="n"/>
      <c r="Z460" s="85" t="n"/>
      <c r="AA460" s="85" t="n"/>
      <c r="AB460" s="85" t="n"/>
      <c r="AC460" s="86" t="n"/>
      <c r="AD460" s="85">
        <f>IF($A460="","",IF(OR($AB460&lt;&gt;"Yes",$AC460="",TODAY()-$AC460&gt;90),"At Risk","Not At Risk"))</f>
        <v/>
      </c>
      <c r="AE460" s="85" t="n"/>
    </row>
    <row r="461" ht="15" customHeight="1" s="39">
      <c r="A461" s="85" t="n"/>
      <c r="B461" s="85" t="n"/>
      <c r="C461" s="85" t="n"/>
      <c r="D461" s="85" t="n"/>
      <c r="E461" s="85" t="n"/>
      <c r="F461" s="85" t="n"/>
      <c r="G461" s="85" t="n"/>
      <c r="H461" s="85" t="n"/>
      <c r="I461" s="85" t="n"/>
      <c r="J461" s="85" t="n"/>
      <c r="K461" s="85" t="n"/>
      <c r="L461" s="85" t="n"/>
      <c r="M461" s="85" t="n"/>
      <c r="N461" s="85" t="n"/>
      <c r="O461" s="85" t="n"/>
      <c r="P461" s="85" t="n"/>
      <c r="Q461" s="85" t="n"/>
      <c r="R461" s="85" t="n"/>
      <c r="S461" s="85" t="n"/>
      <c r="T461" s="85" t="n"/>
      <c r="U461" s="85" t="n"/>
      <c r="V461" s="85" t="n"/>
      <c r="W461" s="85" t="n"/>
      <c r="X461" s="85" t="n"/>
      <c r="Y461" s="85" t="n"/>
      <c r="Z461" s="85" t="n"/>
      <c r="AA461" s="85" t="n"/>
      <c r="AB461" s="85" t="n"/>
      <c r="AC461" s="86" t="n"/>
      <c r="AD461" s="85">
        <f>IF($A461="","",IF(OR($AB461&lt;&gt;"Yes",$AC461="",TODAY()-$AC461&gt;90),"At Risk","Not At Risk"))</f>
        <v/>
      </c>
      <c r="AE461" s="85" t="n"/>
    </row>
    <row r="462" ht="15" customHeight="1" s="39">
      <c r="A462" s="85" t="n"/>
      <c r="B462" s="85" t="n"/>
      <c r="C462" s="85" t="n"/>
      <c r="D462" s="85" t="n"/>
      <c r="E462" s="85" t="n"/>
      <c r="F462" s="85" t="n"/>
      <c r="G462" s="85" t="n"/>
      <c r="H462" s="85" t="n"/>
      <c r="I462" s="85" t="n"/>
      <c r="J462" s="85" t="n"/>
      <c r="K462" s="85" t="n"/>
      <c r="L462" s="85" t="n"/>
      <c r="M462" s="85" t="n"/>
      <c r="N462" s="85" t="n"/>
      <c r="O462" s="85" t="n"/>
      <c r="P462" s="85" t="n"/>
      <c r="Q462" s="85" t="n"/>
      <c r="R462" s="85" t="n"/>
      <c r="S462" s="85" t="n"/>
      <c r="T462" s="85" t="n"/>
      <c r="U462" s="85" t="n"/>
      <c r="V462" s="85" t="n"/>
      <c r="W462" s="85" t="n"/>
      <c r="X462" s="85" t="n"/>
      <c r="Y462" s="85" t="n"/>
      <c r="Z462" s="85" t="n"/>
      <c r="AA462" s="85" t="n"/>
      <c r="AB462" s="85" t="n"/>
      <c r="AC462" s="86" t="n"/>
      <c r="AD462" s="85">
        <f>IF($A462="","",IF(OR($AB462&lt;&gt;"Yes",$AC462="",TODAY()-$AC462&gt;90),"At Risk","Not At Risk"))</f>
        <v/>
      </c>
      <c r="AE462" s="85" t="n"/>
    </row>
    <row r="463" ht="15" customHeight="1" s="39">
      <c r="A463" s="85" t="n"/>
      <c r="B463" s="85" t="n"/>
      <c r="C463" s="85" t="n"/>
      <c r="D463" s="85" t="n"/>
      <c r="E463" s="85" t="n"/>
      <c r="F463" s="85" t="n"/>
      <c r="G463" s="85" t="n"/>
      <c r="H463" s="85" t="n"/>
      <c r="I463" s="85" t="n"/>
      <c r="J463" s="85" t="n"/>
      <c r="K463" s="85" t="n"/>
      <c r="L463" s="85" t="n"/>
      <c r="M463" s="85" t="n"/>
      <c r="N463" s="85" t="n"/>
      <c r="O463" s="85" t="n"/>
      <c r="P463" s="85" t="n"/>
      <c r="Q463" s="85" t="n"/>
      <c r="R463" s="85" t="n"/>
      <c r="S463" s="85" t="n"/>
      <c r="T463" s="85" t="n"/>
      <c r="U463" s="85" t="n"/>
      <c r="V463" s="85" t="n"/>
      <c r="W463" s="85" t="n"/>
      <c r="X463" s="85" t="n"/>
      <c r="Y463" s="85" t="n"/>
      <c r="Z463" s="85" t="n"/>
      <c r="AA463" s="85" t="n"/>
      <c r="AB463" s="85" t="n"/>
      <c r="AC463" s="86" t="n"/>
      <c r="AD463" s="85">
        <f>IF($A463="","",IF(OR($AB463&lt;&gt;"Yes",$AC463="",TODAY()-$AC463&gt;90),"At Risk","Not At Risk"))</f>
        <v/>
      </c>
      <c r="AE463" s="85" t="n"/>
    </row>
    <row r="464" ht="15" customHeight="1" s="39">
      <c r="A464" s="85" t="n"/>
      <c r="B464" s="85" t="n"/>
      <c r="C464" s="85" t="n"/>
      <c r="D464" s="85" t="n"/>
      <c r="E464" s="85" t="n"/>
      <c r="F464" s="85" t="n"/>
      <c r="G464" s="85" t="n"/>
      <c r="H464" s="85" t="n"/>
      <c r="I464" s="85" t="n"/>
      <c r="J464" s="85" t="n"/>
      <c r="K464" s="85" t="n"/>
      <c r="L464" s="85" t="n"/>
      <c r="M464" s="85" t="n"/>
      <c r="N464" s="85" t="n"/>
      <c r="O464" s="85" t="n"/>
      <c r="P464" s="85" t="n"/>
      <c r="Q464" s="85" t="n"/>
      <c r="R464" s="85" t="n"/>
      <c r="S464" s="85" t="n"/>
      <c r="T464" s="85" t="n"/>
      <c r="U464" s="85" t="n"/>
      <c r="V464" s="85" t="n"/>
      <c r="W464" s="85" t="n"/>
      <c r="X464" s="85" t="n"/>
      <c r="Y464" s="85" t="n"/>
      <c r="Z464" s="85" t="n"/>
      <c r="AA464" s="85" t="n"/>
      <c r="AB464" s="85" t="n"/>
      <c r="AC464" s="86" t="n"/>
      <c r="AD464" s="85">
        <f>IF($A464="","",IF(OR($AB464&lt;&gt;"Yes",$AC464="",TODAY()-$AC464&gt;90),"At Risk","Not At Risk"))</f>
        <v/>
      </c>
      <c r="AE464" s="85" t="n"/>
    </row>
    <row r="465" ht="15" customHeight="1" s="39">
      <c r="A465" s="85" t="n"/>
      <c r="B465" s="85" t="n"/>
      <c r="C465" s="85" t="n"/>
      <c r="D465" s="85" t="n"/>
      <c r="E465" s="85" t="n"/>
      <c r="F465" s="85" t="n"/>
      <c r="G465" s="85" t="n"/>
      <c r="H465" s="85" t="n"/>
      <c r="I465" s="85" t="n"/>
      <c r="J465" s="85" t="n"/>
      <c r="K465" s="85" t="n"/>
      <c r="L465" s="85" t="n"/>
      <c r="M465" s="85" t="n"/>
      <c r="N465" s="85" t="n"/>
      <c r="O465" s="85" t="n"/>
      <c r="P465" s="85" t="n"/>
      <c r="Q465" s="85" t="n"/>
      <c r="R465" s="85" t="n"/>
      <c r="S465" s="85" t="n"/>
      <c r="T465" s="85" t="n"/>
      <c r="U465" s="85" t="n"/>
      <c r="V465" s="85" t="n"/>
      <c r="W465" s="85" t="n"/>
      <c r="X465" s="85" t="n"/>
      <c r="Y465" s="85" t="n"/>
      <c r="Z465" s="85" t="n"/>
      <c r="AA465" s="85" t="n"/>
      <c r="AB465" s="85" t="n"/>
      <c r="AC465" s="86" t="n"/>
      <c r="AD465" s="85">
        <f>IF($A465="","",IF(OR($AB465&lt;&gt;"Yes",$AC465="",TODAY()-$AC465&gt;90),"At Risk","Not At Risk"))</f>
        <v/>
      </c>
      <c r="AE465" s="85" t="n"/>
    </row>
    <row r="466" ht="15" customHeight="1" s="39">
      <c r="A466" s="85" t="n"/>
      <c r="B466" s="85" t="n"/>
      <c r="C466" s="85" t="n"/>
      <c r="D466" s="85" t="n"/>
      <c r="E466" s="85" t="n"/>
      <c r="F466" s="85" t="n"/>
      <c r="G466" s="85" t="n"/>
      <c r="H466" s="85" t="n"/>
      <c r="I466" s="85" t="n"/>
      <c r="J466" s="85" t="n"/>
      <c r="K466" s="85" t="n"/>
      <c r="L466" s="85" t="n"/>
      <c r="M466" s="85" t="n"/>
      <c r="N466" s="85" t="n"/>
      <c r="O466" s="85" t="n"/>
      <c r="P466" s="85" t="n"/>
      <c r="Q466" s="85" t="n"/>
      <c r="R466" s="85" t="n"/>
      <c r="S466" s="85" t="n"/>
      <c r="T466" s="85" t="n"/>
      <c r="U466" s="85" t="n"/>
      <c r="V466" s="85" t="n"/>
      <c r="W466" s="85" t="n"/>
      <c r="X466" s="85" t="n"/>
      <c r="Y466" s="85" t="n"/>
      <c r="Z466" s="85" t="n"/>
      <c r="AA466" s="85" t="n"/>
      <c r="AB466" s="85" t="n"/>
      <c r="AC466" s="86" t="n"/>
      <c r="AD466" s="85">
        <f>IF($A466="","",IF(OR($AB466&lt;&gt;"Yes",$AC466="",TODAY()-$AC466&gt;90),"At Risk","Not At Risk"))</f>
        <v/>
      </c>
      <c r="AE466" s="85" t="n"/>
    </row>
    <row r="467" ht="15" customHeight="1" s="39">
      <c r="A467" s="85" t="n"/>
      <c r="B467" s="85" t="n"/>
      <c r="C467" s="85" t="n"/>
      <c r="D467" s="85" t="n"/>
      <c r="E467" s="85" t="n"/>
      <c r="F467" s="85" t="n"/>
      <c r="G467" s="85" t="n"/>
      <c r="H467" s="85" t="n"/>
      <c r="I467" s="85" t="n"/>
      <c r="J467" s="85" t="n"/>
      <c r="K467" s="85" t="n"/>
      <c r="L467" s="85" t="n"/>
      <c r="M467" s="85" t="n"/>
      <c r="N467" s="85" t="n"/>
      <c r="O467" s="85" t="n"/>
      <c r="P467" s="85" t="n"/>
      <c r="Q467" s="85" t="n"/>
      <c r="R467" s="85" t="n"/>
      <c r="S467" s="85" t="n"/>
      <c r="T467" s="85" t="n"/>
      <c r="U467" s="85" t="n"/>
      <c r="V467" s="85" t="n"/>
      <c r="W467" s="85" t="n"/>
      <c r="X467" s="85" t="n"/>
      <c r="Y467" s="85" t="n"/>
      <c r="Z467" s="85" t="n"/>
      <c r="AA467" s="85" t="n"/>
      <c r="AB467" s="85" t="n"/>
      <c r="AC467" s="86" t="n"/>
      <c r="AD467" s="85">
        <f>IF($A467="","",IF(OR($AB467&lt;&gt;"Yes",$AC467="",TODAY()-$AC467&gt;90),"At Risk","Not At Risk"))</f>
        <v/>
      </c>
      <c r="AE467" s="85" t="n"/>
    </row>
    <row r="468" ht="15" customHeight="1" s="39">
      <c r="A468" s="85" t="n"/>
      <c r="B468" s="85" t="n"/>
      <c r="C468" s="85" t="n"/>
      <c r="D468" s="85" t="n"/>
      <c r="E468" s="85" t="n"/>
      <c r="F468" s="85" t="n"/>
      <c r="G468" s="85" t="n"/>
      <c r="H468" s="85" t="n"/>
      <c r="I468" s="85" t="n"/>
      <c r="J468" s="85" t="n"/>
      <c r="K468" s="85" t="n"/>
      <c r="L468" s="85" t="n"/>
      <c r="M468" s="85" t="n"/>
      <c r="N468" s="85" t="n"/>
      <c r="O468" s="85" t="n"/>
      <c r="P468" s="85" t="n"/>
      <c r="Q468" s="85" t="n"/>
      <c r="R468" s="85" t="n"/>
      <c r="S468" s="85" t="n"/>
      <c r="T468" s="85" t="n"/>
      <c r="U468" s="85" t="n"/>
      <c r="V468" s="85" t="n"/>
      <c r="W468" s="85" t="n"/>
      <c r="X468" s="85" t="n"/>
      <c r="Y468" s="85" t="n"/>
      <c r="Z468" s="85" t="n"/>
      <c r="AA468" s="85" t="n"/>
      <c r="AB468" s="85" t="n"/>
      <c r="AC468" s="86" t="n"/>
      <c r="AD468" s="85">
        <f>IF($A468="","",IF(OR($AB468&lt;&gt;"Yes",$AC468="",TODAY()-$AC468&gt;90),"At Risk","Not At Risk"))</f>
        <v/>
      </c>
      <c r="AE468" s="85" t="n"/>
    </row>
    <row r="469" ht="15" customHeight="1" s="39">
      <c r="A469" s="85" t="n"/>
      <c r="B469" s="85" t="n"/>
      <c r="C469" s="85" t="n"/>
      <c r="D469" s="85" t="n"/>
      <c r="E469" s="85" t="n"/>
      <c r="F469" s="85" t="n"/>
      <c r="G469" s="85" t="n"/>
      <c r="H469" s="85" t="n"/>
      <c r="I469" s="85" t="n"/>
      <c r="J469" s="85" t="n"/>
      <c r="K469" s="85" t="n"/>
      <c r="L469" s="85" t="n"/>
      <c r="M469" s="85" t="n"/>
      <c r="N469" s="85" t="n"/>
      <c r="O469" s="85" t="n"/>
      <c r="P469" s="85" t="n"/>
      <c r="Q469" s="85" t="n"/>
      <c r="R469" s="85" t="n"/>
      <c r="S469" s="85" t="n"/>
      <c r="T469" s="85" t="n"/>
      <c r="U469" s="85" t="n"/>
      <c r="V469" s="85" t="n"/>
      <c r="W469" s="85" t="n"/>
      <c r="X469" s="85" t="n"/>
      <c r="Y469" s="85" t="n"/>
      <c r="Z469" s="85" t="n"/>
      <c r="AA469" s="85" t="n"/>
      <c r="AB469" s="85" t="n"/>
      <c r="AC469" s="86" t="n"/>
      <c r="AD469" s="85">
        <f>IF($A469="","",IF(OR($AB469&lt;&gt;"Yes",$AC469="",TODAY()-$AC469&gt;90),"At Risk","Not At Risk"))</f>
        <v/>
      </c>
      <c r="AE469" s="85" t="n"/>
    </row>
    <row r="470" ht="15" customHeight="1" s="39">
      <c r="A470" s="85" t="n"/>
      <c r="B470" s="85" t="n"/>
      <c r="C470" s="85" t="n"/>
      <c r="D470" s="85" t="n"/>
      <c r="E470" s="85" t="n"/>
      <c r="F470" s="85" t="n"/>
      <c r="G470" s="85" t="n"/>
      <c r="H470" s="85" t="n"/>
      <c r="I470" s="85" t="n"/>
      <c r="J470" s="85" t="n"/>
      <c r="K470" s="85" t="n"/>
      <c r="L470" s="85" t="n"/>
      <c r="M470" s="85" t="n"/>
      <c r="N470" s="85" t="n"/>
      <c r="O470" s="85" t="n"/>
      <c r="P470" s="85" t="n"/>
      <c r="Q470" s="85" t="n"/>
      <c r="R470" s="85" t="n"/>
      <c r="S470" s="85" t="n"/>
      <c r="T470" s="85" t="n"/>
      <c r="U470" s="85" t="n"/>
      <c r="V470" s="85" t="n"/>
      <c r="W470" s="85" t="n"/>
      <c r="X470" s="85" t="n"/>
      <c r="Y470" s="85" t="n"/>
      <c r="Z470" s="85" t="n"/>
      <c r="AA470" s="85" t="n"/>
      <c r="AB470" s="85" t="n"/>
      <c r="AC470" s="86" t="n"/>
      <c r="AD470" s="85">
        <f>IF($A470="","",IF(OR($AB470&lt;&gt;"Yes",$AC470="",TODAY()-$AC470&gt;90),"At Risk","Not At Risk"))</f>
        <v/>
      </c>
      <c r="AE470" s="85" t="n"/>
    </row>
    <row r="471" ht="15" customHeight="1" s="39">
      <c r="A471" s="85" t="n"/>
      <c r="B471" s="85" t="n"/>
      <c r="C471" s="85" t="n"/>
      <c r="D471" s="85" t="n"/>
      <c r="E471" s="85" t="n"/>
      <c r="F471" s="85" t="n"/>
      <c r="G471" s="85" t="n"/>
      <c r="H471" s="85" t="n"/>
      <c r="I471" s="85" t="n"/>
      <c r="J471" s="85" t="n"/>
      <c r="K471" s="85" t="n"/>
      <c r="L471" s="85" t="n"/>
      <c r="M471" s="85" t="n"/>
      <c r="N471" s="85" t="n"/>
      <c r="O471" s="85" t="n"/>
      <c r="P471" s="85" t="n"/>
      <c r="Q471" s="85" t="n"/>
      <c r="R471" s="85" t="n"/>
      <c r="S471" s="85" t="n"/>
      <c r="T471" s="85" t="n"/>
      <c r="U471" s="85" t="n"/>
      <c r="V471" s="85" t="n"/>
      <c r="W471" s="85" t="n"/>
      <c r="X471" s="85" t="n"/>
      <c r="Y471" s="85" t="n"/>
      <c r="Z471" s="85" t="n"/>
      <c r="AA471" s="85" t="n"/>
      <c r="AB471" s="85" t="n"/>
      <c r="AC471" s="86" t="n"/>
      <c r="AD471" s="85">
        <f>IF($A471="","",IF(OR($AB471&lt;&gt;"Yes",$AC471="",TODAY()-$AC471&gt;90),"At Risk","Not At Risk"))</f>
        <v/>
      </c>
      <c r="AE471" s="85" t="n"/>
    </row>
    <row r="472" ht="15" customHeight="1" s="39">
      <c r="A472" s="85" t="n"/>
      <c r="B472" s="85" t="n"/>
      <c r="C472" s="85" t="n"/>
      <c r="D472" s="85" t="n"/>
      <c r="E472" s="85" t="n"/>
      <c r="F472" s="85" t="n"/>
      <c r="G472" s="85" t="n"/>
      <c r="H472" s="85" t="n"/>
      <c r="I472" s="85" t="n"/>
      <c r="J472" s="85" t="n"/>
      <c r="K472" s="85" t="n"/>
      <c r="L472" s="85" t="n"/>
      <c r="M472" s="85" t="n"/>
      <c r="N472" s="85" t="n"/>
      <c r="O472" s="85" t="n"/>
      <c r="P472" s="85" t="n"/>
      <c r="Q472" s="85" t="n"/>
      <c r="R472" s="85" t="n"/>
      <c r="S472" s="85" t="n"/>
      <c r="T472" s="85" t="n"/>
      <c r="U472" s="85" t="n"/>
      <c r="V472" s="85" t="n"/>
      <c r="W472" s="85" t="n"/>
      <c r="X472" s="85" t="n"/>
      <c r="Y472" s="85" t="n"/>
      <c r="Z472" s="85" t="n"/>
      <c r="AA472" s="85" t="n"/>
      <c r="AB472" s="85" t="n"/>
      <c r="AC472" s="86" t="n"/>
      <c r="AD472" s="85">
        <f>IF($A472="","",IF(OR($AB472&lt;&gt;"Yes",$AC472="",TODAY()-$AC472&gt;90),"At Risk","Not At Risk"))</f>
        <v/>
      </c>
      <c r="AE472" s="85" t="n"/>
    </row>
    <row r="473" ht="15" customHeight="1" s="39">
      <c r="A473" s="85" t="n"/>
      <c r="B473" s="85" t="n"/>
      <c r="C473" s="85" t="n"/>
      <c r="D473" s="85" t="n"/>
      <c r="E473" s="85" t="n"/>
      <c r="F473" s="85" t="n"/>
      <c r="G473" s="85" t="n"/>
      <c r="H473" s="85" t="n"/>
      <c r="I473" s="85" t="n"/>
      <c r="J473" s="85" t="n"/>
      <c r="K473" s="85" t="n"/>
      <c r="L473" s="85" t="n"/>
      <c r="M473" s="85" t="n"/>
      <c r="N473" s="85" t="n"/>
      <c r="O473" s="85" t="n"/>
      <c r="P473" s="85" t="n"/>
      <c r="Q473" s="85" t="n"/>
      <c r="R473" s="85" t="n"/>
      <c r="S473" s="85" t="n"/>
      <c r="T473" s="85" t="n"/>
      <c r="U473" s="85" t="n"/>
      <c r="V473" s="85" t="n"/>
      <c r="W473" s="85" t="n"/>
      <c r="X473" s="85" t="n"/>
      <c r="Y473" s="85" t="n"/>
      <c r="Z473" s="85" t="n"/>
      <c r="AA473" s="85" t="n"/>
      <c r="AB473" s="85" t="n"/>
      <c r="AC473" s="86" t="n"/>
      <c r="AD473" s="85">
        <f>IF($A473="","",IF(OR($AB473&lt;&gt;"Yes",$AC473="",TODAY()-$AC473&gt;90),"At Risk","Not At Risk"))</f>
        <v/>
      </c>
      <c r="AE473" s="85" t="n"/>
    </row>
    <row r="474" ht="15" customHeight="1" s="39">
      <c r="A474" s="85" t="n"/>
      <c r="B474" s="85" t="n"/>
      <c r="C474" s="85" t="n"/>
      <c r="D474" s="85" t="n"/>
      <c r="E474" s="85" t="n"/>
      <c r="F474" s="85" t="n"/>
      <c r="G474" s="85" t="n"/>
      <c r="H474" s="85" t="n"/>
      <c r="I474" s="85" t="n"/>
      <c r="J474" s="85" t="n"/>
      <c r="K474" s="85" t="n"/>
      <c r="L474" s="85" t="n"/>
      <c r="M474" s="85" t="n"/>
      <c r="N474" s="85" t="n"/>
      <c r="O474" s="85" t="n"/>
      <c r="P474" s="85" t="n"/>
      <c r="Q474" s="85" t="n"/>
      <c r="R474" s="85" t="n"/>
      <c r="S474" s="85" t="n"/>
      <c r="T474" s="85" t="n"/>
      <c r="U474" s="85" t="n"/>
      <c r="V474" s="85" t="n"/>
      <c r="W474" s="85" t="n"/>
      <c r="X474" s="85" t="n"/>
      <c r="Y474" s="85" t="n"/>
      <c r="Z474" s="85" t="n"/>
      <c r="AA474" s="85" t="n"/>
      <c r="AB474" s="85" t="n"/>
      <c r="AC474" s="86" t="n"/>
      <c r="AD474" s="85">
        <f>IF($A474="","",IF(OR($AB474&lt;&gt;"Yes",$AC474="",TODAY()-$AC474&gt;90),"At Risk","Not At Risk"))</f>
        <v/>
      </c>
      <c r="AE474" s="85" t="n"/>
    </row>
    <row r="475" ht="15" customHeight="1" s="39">
      <c r="A475" s="85" t="n"/>
      <c r="B475" s="85" t="n"/>
      <c r="C475" s="85" t="n"/>
      <c r="D475" s="85" t="n"/>
      <c r="E475" s="85" t="n"/>
      <c r="F475" s="85" t="n"/>
      <c r="G475" s="85" t="n"/>
      <c r="H475" s="85" t="n"/>
      <c r="I475" s="85" t="n"/>
      <c r="J475" s="85" t="n"/>
      <c r="K475" s="85" t="n"/>
      <c r="L475" s="85" t="n"/>
      <c r="M475" s="85" t="n"/>
      <c r="N475" s="85" t="n"/>
      <c r="O475" s="85" t="n"/>
      <c r="P475" s="85" t="n"/>
      <c r="Q475" s="85" t="n"/>
      <c r="R475" s="85" t="n"/>
      <c r="S475" s="85" t="n"/>
      <c r="T475" s="85" t="n"/>
      <c r="U475" s="85" t="n"/>
      <c r="V475" s="85" t="n"/>
      <c r="W475" s="85" t="n"/>
      <c r="X475" s="85" t="n"/>
      <c r="Y475" s="85" t="n"/>
      <c r="Z475" s="85" t="n"/>
      <c r="AA475" s="85" t="n"/>
      <c r="AB475" s="85" t="n"/>
      <c r="AC475" s="86" t="n"/>
      <c r="AD475" s="85">
        <f>IF($A475="","",IF(OR($AB475&lt;&gt;"Yes",$AC475="",TODAY()-$AC475&gt;90),"At Risk","Not At Risk"))</f>
        <v/>
      </c>
      <c r="AE475" s="85" t="n"/>
    </row>
    <row r="476" ht="15" customHeight="1" s="39">
      <c r="A476" s="85" t="n"/>
      <c r="B476" s="85" t="n"/>
      <c r="C476" s="85" t="n"/>
      <c r="D476" s="85" t="n"/>
      <c r="E476" s="85" t="n"/>
      <c r="F476" s="85" t="n"/>
      <c r="G476" s="85" t="n"/>
      <c r="H476" s="85" t="n"/>
      <c r="I476" s="85" t="n"/>
      <c r="J476" s="85" t="n"/>
      <c r="K476" s="85" t="n"/>
      <c r="L476" s="85" t="n"/>
      <c r="M476" s="85" t="n"/>
      <c r="N476" s="85" t="n"/>
      <c r="O476" s="85" t="n"/>
      <c r="P476" s="85" t="n"/>
      <c r="Q476" s="85" t="n"/>
      <c r="R476" s="85" t="n"/>
      <c r="S476" s="85" t="n"/>
      <c r="T476" s="85" t="n"/>
      <c r="U476" s="85" t="n"/>
      <c r="V476" s="85" t="n"/>
      <c r="W476" s="85" t="n"/>
      <c r="X476" s="85" t="n"/>
      <c r="Y476" s="85" t="n"/>
      <c r="Z476" s="85" t="n"/>
      <c r="AA476" s="85" t="n"/>
      <c r="AB476" s="85" t="n"/>
      <c r="AC476" s="86" t="n"/>
      <c r="AD476" s="85">
        <f>IF($A476="","",IF(OR($AB476&lt;&gt;"Yes",$AC476="",TODAY()-$AC476&gt;90),"At Risk","Not At Risk"))</f>
        <v/>
      </c>
      <c r="AE476" s="85" t="n"/>
    </row>
    <row r="477" ht="15" customHeight="1" s="39">
      <c r="A477" s="85" t="n"/>
      <c r="B477" s="85" t="n"/>
      <c r="C477" s="85" t="n"/>
      <c r="D477" s="85" t="n"/>
      <c r="E477" s="85" t="n"/>
      <c r="F477" s="85" t="n"/>
      <c r="G477" s="85" t="n"/>
      <c r="H477" s="85" t="n"/>
      <c r="I477" s="85" t="n"/>
      <c r="J477" s="85" t="n"/>
      <c r="K477" s="85" t="n"/>
      <c r="L477" s="85" t="n"/>
      <c r="M477" s="85" t="n"/>
      <c r="N477" s="85" t="n"/>
      <c r="O477" s="85" t="n"/>
      <c r="P477" s="85" t="n"/>
      <c r="Q477" s="85" t="n"/>
      <c r="R477" s="85" t="n"/>
      <c r="S477" s="85" t="n"/>
      <c r="T477" s="85" t="n"/>
      <c r="U477" s="85" t="n"/>
      <c r="V477" s="85" t="n"/>
      <c r="W477" s="85" t="n"/>
      <c r="X477" s="85" t="n"/>
      <c r="Y477" s="85" t="n"/>
      <c r="Z477" s="85" t="n"/>
      <c r="AA477" s="85" t="n"/>
      <c r="AB477" s="85" t="n"/>
      <c r="AC477" s="86" t="n"/>
      <c r="AD477" s="85">
        <f>IF($A477="","",IF(OR($AB477&lt;&gt;"Yes",$AC477="",TODAY()-$AC477&gt;90),"At Risk","Not At Risk"))</f>
        <v/>
      </c>
      <c r="AE477" s="85" t="n"/>
    </row>
    <row r="478" ht="15" customHeight="1" s="39">
      <c r="A478" s="85" t="n"/>
      <c r="B478" s="85" t="n"/>
      <c r="C478" s="85" t="n"/>
      <c r="D478" s="85" t="n"/>
      <c r="E478" s="85" t="n"/>
      <c r="F478" s="85" t="n"/>
      <c r="G478" s="85" t="n"/>
      <c r="H478" s="85" t="n"/>
      <c r="I478" s="85" t="n"/>
      <c r="J478" s="85" t="n"/>
      <c r="K478" s="85" t="n"/>
      <c r="L478" s="85" t="n"/>
      <c r="M478" s="85" t="n"/>
      <c r="N478" s="85" t="n"/>
      <c r="O478" s="85" t="n"/>
      <c r="P478" s="85" t="n"/>
      <c r="Q478" s="85" t="n"/>
      <c r="R478" s="85" t="n"/>
      <c r="S478" s="85" t="n"/>
      <c r="T478" s="85" t="n"/>
      <c r="U478" s="85" t="n"/>
      <c r="V478" s="85" t="n"/>
      <c r="W478" s="85" t="n"/>
      <c r="X478" s="85" t="n"/>
      <c r="Y478" s="85" t="n"/>
      <c r="Z478" s="85" t="n"/>
      <c r="AA478" s="85" t="n"/>
      <c r="AB478" s="85" t="n"/>
      <c r="AC478" s="86" t="n"/>
      <c r="AD478" s="85">
        <f>IF($A478="","",IF(OR($AB478&lt;&gt;"Yes",$AC478="",TODAY()-$AC478&gt;90),"At Risk","Not At Risk"))</f>
        <v/>
      </c>
      <c r="AE478" s="85" t="n"/>
    </row>
    <row r="479" ht="15" customHeight="1" s="39">
      <c r="A479" s="85" t="n"/>
      <c r="B479" s="85" t="n"/>
      <c r="C479" s="85" t="n"/>
      <c r="D479" s="85" t="n"/>
      <c r="E479" s="85" t="n"/>
      <c r="F479" s="85" t="n"/>
      <c r="G479" s="85" t="n"/>
      <c r="H479" s="85" t="n"/>
      <c r="I479" s="85" t="n"/>
      <c r="J479" s="85" t="n"/>
      <c r="K479" s="85" t="n"/>
      <c r="L479" s="85" t="n"/>
      <c r="M479" s="85" t="n"/>
      <c r="N479" s="85" t="n"/>
      <c r="O479" s="85" t="n"/>
      <c r="P479" s="85" t="n"/>
      <c r="Q479" s="85" t="n"/>
      <c r="R479" s="85" t="n"/>
      <c r="S479" s="85" t="n"/>
      <c r="T479" s="85" t="n"/>
      <c r="U479" s="85" t="n"/>
      <c r="V479" s="85" t="n"/>
      <c r="W479" s="85" t="n"/>
      <c r="X479" s="85" t="n"/>
      <c r="Y479" s="85" t="n"/>
      <c r="Z479" s="85" t="n"/>
      <c r="AA479" s="85" t="n"/>
      <c r="AB479" s="85" t="n"/>
      <c r="AC479" s="86" t="n"/>
      <c r="AD479" s="85">
        <f>IF($A479="","",IF(OR($AB479&lt;&gt;"Yes",$AC479="",TODAY()-$AC479&gt;90),"At Risk","Not At Risk"))</f>
        <v/>
      </c>
      <c r="AE479" s="85" t="n"/>
    </row>
    <row r="480" ht="15" customHeight="1" s="39">
      <c r="A480" s="85" t="n"/>
      <c r="B480" s="85" t="n"/>
      <c r="C480" s="85" t="n"/>
      <c r="D480" s="85" t="n"/>
      <c r="E480" s="85" t="n"/>
      <c r="F480" s="85" t="n"/>
      <c r="G480" s="85" t="n"/>
      <c r="H480" s="85" t="n"/>
      <c r="I480" s="85" t="n"/>
      <c r="J480" s="85" t="n"/>
      <c r="K480" s="85" t="n"/>
      <c r="L480" s="85" t="n"/>
      <c r="M480" s="85" t="n"/>
      <c r="N480" s="85" t="n"/>
      <c r="O480" s="85" t="n"/>
      <c r="P480" s="85" t="n"/>
      <c r="Q480" s="85" t="n"/>
      <c r="R480" s="85" t="n"/>
      <c r="S480" s="85" t="n"/>
      <c r="T480" s="85" t="n"/>
      <c r="U480" s="85" t="n"/>
      <c r="V480" s="85" t="n"/>
      <c r="W480" s="85" t="n"/>
      <c r="X480" s="85" t="n"/>
      <c r="Y480" s="85" t="n"/>
      <c r="Z480" s="85" t="n"/>
      <c r="AA480" s="85" t="n"/>
      <c r="AB480" s="85" t="n"/>
      <c r="AC480" s="86" t="n"/>
      <c r="AD480" s="85">
        <f>IF($A480="","",IF(OR($AB480&lt;&gt;"Yes",$AC480="",TODAY()-$AC480&gt;90),"At Risk","Not At Risk"))</f>
        <v/>
      </c>
      <c r="AE480" s="85" t="n"/>
    </row>
    <row r="481" ht="15" customHeight="1" s="39">
      <c r="A481" s="85" t="n"/>
      <c r="B481" s="85" t="n"/>
      <c r="C481" s="85" t="n"/>
      <c r="D481" s="85" t="n"/>
      <c r="E481" s="85" t="n"/>
      <c r="F481" s="85" t="n"/>
      <c r="G481" s="85" t="n"/>
      <c r="H481" s="85" t="n"/>
      <c r="I481" s="85" t="n"/>
      <c r="J481" s="85" t="n"/>
      <c r="K481" s="85" t="n"/>
      <c r="L481" s="85" t="n"/>
      <c r="M481" s="85" t="n"/>
      <c r="N481" s="85" t="n"/>
      <c r="O481" s="85" t="n"/>
      <c r="P481" s="85" t="n"/>
      <c r="Q481" s="85" t="n"/>
      <c r="R481" s="85" t="n"/>
      <c r="S481" s="85" t="n"/>
      <c r="T481" s="85" t="n"/>
      <c r="U481" s="85" t="n"/>
      <c r="V481" s="85" t="n"/>
      <c r="W481" s="85" t="n"/>
      <c r="X481" s="85" t="n"/>
      <c r="Y481" s="85" t="n"/>
      <c r="Z481" s="85" t="n"/>
      <c r="AA481" s="85" t="n"/>
      <c r="AB481" s="85" t="n"/>
      <c r="AC481" s="86" t="n"/>
      <c r="AD481" s="85">
        <f>IF($A481="","",IF(OR($AB481&lt;&gt;"Yes",$AC481="",TODAY()-$AC481&gt;90),"At Risk","Not At Risk"))</f>
        <v/>
      </c>
      <c r="AE481" s="85" t="n"/>
    </row>
    <row r="482" ht="15" customHeight="1" s="39">
      <c r="A482" s="85" t="n"/>
      <c r="B482" s="85" t="n"/>
      <c r="C482" s="85" t="n"/>
      <c r="D482" s="85" t="n"/>
      <c r="E482" s="85" t="n"/>
      <c r="F482" s="85" t="n"/>
      <c r="G482" s="85" t="n"/>
      <c r="H482" s="85" t="n"/>
      <c r="I482" s="85" t="n"/>
      <c r="J482" s="85" t="n"/>
      <c r="K482" s="85" t="n"/>
      <c r="L482" s="85" t="n"/>
      <c r="M482" s="85" t="n"/>
      <c r="N482" s="85" t="n"/>
      <c r="O482" s="85" t="n"/>
      <c r="P482" s="85" t="n"/>
      <c r="Q482" s="85" t="n"/>
      <c r="R482" s="85" t="n"/>
      <c r="S482" s="85" t="n"/>
      <c r="T482" s="85" t="n"/>
      <c r="U482" s="85" t="n"/>
      <c r="V482" s="85" t="n"/>
      <c r="W482" s="85" t="n"/>
      <c r="X482" s="85" t="n"/>
      <c r="Y482" s="85" t="n"/>
      <c r="Z482" s="85" t="n"/>
      <c r="AA482" s="85" t="n"/>
      <c r="AB482" s="85" t="n"/>
      <c r="AC482" s="86" t="n"/>
      <c r="AD482" s="85">
        <f>IF($A482="","",IF(OR($AB482&lt;&gt;"Yes",$AC482="",TODAY()-$AC482&gt;90),"At Risk","Not At Risk"))</f>
        <v/>
      </c>
      <c r="AE482" s="85" t="n"/>
    </row>
    <row r="483" ht="15" customHeight="1" s="39">
      <c r="A483" s="85" t="n"/>
      <c r="B483" s="85" t="n"/>
      <c r="C483" s="85" t="n"/>
      <c r="D483" s="85" t="n"/>
      <c r="E483" s="85" t="n"/>
      <c r="F483" s="85" t="n"/>
      <c r="G483" s="85" t="n"/>
      <c r="H483" s="85" t="n"/>
      <c r="I483" s="85" t="n"/>
      <c r="J483" s="85" t="n"/>
      <c r="K483" s="85" t="n"/>
      <c r="L483" s="85" t="n"/>
      <c r="M483" s="85" t="n"/>
      <c r="N483" s="85" t="n"/>
      <c r="O483" s="85" t="n"/>
      <c r="P483" s="85" t="n"/>
      <c r="Q483" s="85" t="n"/>
      <c r="R483" s="85" t="n"/>
      <c r="S483" s="85" t="n"/>
      <c r="T483" s="85" t="n"/>
      <c r="U483" s="85" t="n"/>
      <c r="V483" s="85" t="n"/>
      <c r="W483" s="85" t="n"/>
      <c r="X483" s="85" t="n"/>
      <c r="Y483" s="85" t="n"/>
      <c r="Z483" s="85" t="n"/>
      <c r="AA483" s="85" t="n"/>
      <c r="AB483" s="85" t="n"/>
      <c r="AC483" s="86" t="n"/>
      <c r="AD483" s="85">
        <f>IF($A483="","",IF(OR($AB483&lt;&gt;"Yes",$AC483="",TODAY()-$AC483&gt;90),"At Risk","Not At Risk"))</f>
        <v/>
      </c>
      <c r="AE483" s="85" t="n"/>
    </row>
    <row r="484" ht="15" customHeight="1" s="39">
      <c r="A484" s="85" t="n"/>
      <c r="B484" s="85" t="n"/>
      <c r="C484" s="85" t="n"/>
      <c r="D484" s="85" t="n"/>
      <c r="E484" s="85" t="n"/>
      <c r="F484" s="85" t="n"/>
      <c r="G484" s="85" t="n"/>
      <c r="H484" s="85" t="n"/>
      <c r="I484" s="85" t="n"/>
      <c r="J484" s="85" t="n"/>
      <c r="K484" s="85" t="n"/>
      <c r="L484" s="85" t="n"/>
      <c r="M484" s="85" t="n"/>
      <c r="N484" s="85" t="n"/>
      <c r="O484" s="85" t="n"/>
      <c r="P484" s="85" t="n"/>
      <c r="Q484" s="85" t="n"/>
      <c r="R484" s="85" t="n"/>
      <c r="S484" s="85" t="n"/>
      <c r="T484" s="85" t="n"/>
      <c r="U484" s="85" t="n"/>
      <c r="V484" s="85" t="n"/>
      <c r="W484" s="85" t="n"/>
      <c r="X484" s="85" t="n"/>
      <c r="Y484" s="85" t="n"/>
      <c r="Z484" s="85" t="n"/>
      <c r="AA484" s="85" t="n"/>
      <c r="AB484" s="85" t="n"/>
      <c r="AC484" s="86" t="n"/>
      <c r="AD484" s="85">
        <f>IF($A484="","",IF(OR($AB484&lt;&gt;"Yes",$AC484="",TODAY()-$AC484&gt;90),"At Risk","Not At Risk"))</f>
        <v/>
      </c>
      <c r="AE484" s="85" t="n"/>
    </row>
    <row r="485" ht="15" customHeight="1" s="39">
      <c r="A485" s="85" t="n"/>
      <c r="B485" s="85" t="n"/>
      <c r="C485" s="85" t="n"/>
      <c r="D485" s="85" t="n"/>
      <c r="E485" s="85" t="n"/>
      <c r="F485" s="85" t="n"/>
      <c r="G485" s="85" t="n"/>
      <c r="H485" s="85" t="n"/>
      <c r="I485" s="85" t="n"/>
      <c r="J485" s="85" t="n"/>
      <c r="K485" s="85" t="n"/>
      <c r="L485" s="85" t="n"/>
      <c r="M485" s="85" t="n"/>
      <c r="N485" s="85" t="n"/>
      <c r="O485" s="85" t="n"/>
      <c r="P485" s="85" t="n"/>
      <c r="Q485" s="85" t="n"/>
      <c r="R485" s="85" t="n"/>
      <c r="S485" s="85" t="n"/>
      <c r="T485" s="85" t="n"/>
      <c r="U485" s="85" t="n"/>
      <c r="V485" s="85" t="n"/>
      <c r="W485" s="85" t="n"/>
      <c r="X485" s="85" t="n"/>
      <c r="Y485" s="85" t="n"/>
      <c r="Z485" s="85" t="n"/>
      <c r="AA485" s="85" t="n"/>
      <c r="AB485" s="85" t="n"/>
      <c r="AC485" s="86" t="n"/>
      <c r="AD485" s="85">
        <f>IF($A485="","",IF(OR($AB485&lt;&gt;"Yes",$AC485="",TODAY()-$AC485&gt;90),"At Risk","Not At Risk"))</f>
        <v/>
      </c>
      <c r="AE485" s="85" t="n"/>
    </row>
    <row r="486" ht="15" customHeight="1" s="39">
      <c r="A486" s="85" t="n"/>
      <c r="B486" s="85" t="n"/>
      <c r="C486" s="85" t="n"/>
      <c r="D486" s="85" t="n"/>
      <c r="E486" s="85" t="n"/>
      <c r="F486" s="85" t="n"/>
      <c r="G486" s="85" t="n"/>
      <c r="H486" s="85" t="n"/>
      <c r="I486" s="85" t="n"/>
      <c r="J486" s="85" t="n"/>
      <c r="K486" s="85" t="n"/>
      <c r="L486" s="85" t="n"/>
      <c r="M486" s="85" t="n"/>
      <c r="N486" s="85" t="n"/>
      <c r="O486" s="85" t="n"/>
      <c r="P486" s="85" t="n"/>
      <c r="Q486" s="85" t="n"/>
      <c r="R486" s="85" t="n"/>
      <c r="S486" s="85" t="n"/>
      <c r="T486" s="85" t="n"/>
      <c r="U486" s="85" t="n"/>
      <c r="V486" s="85" t="n"/>
      <c r="W486" s="85" t="n"/>
      <c r="X486" s="85" t="n"/>
      <c r="Y486" s="85" t="n"/>
      <c r="Z486" s="85" t="n"/>
      <c r="AA486" s="85" t="n"/>
      <c r="AB486" s="85" t="n"/>
      <c r="AC486" s="86" t="n"/>
      <c r="AD486" s="85">
        <f>IF($A486="","",IF(OR($AB486&lt;&gt;"Yes",$AC486="",TODAY()-$AC486&gt;90),"At Risk","Not At Risk"))</f>
        <v/>
      </c>
      <c r="AE486" s="85" t="n"/>
    </row>
    <row r="487" ht="15" customHeight="1" s="39">
      <c r="A487" s="85" t="n"/>
      <c r="B487" s="85" t="n"/>
      <c r="C487" s="85" t="n"/>
      <c r="D487" s="85" t="n"/>
      <c r="E487" s="85" t="n"/>
      <c r="F487" s="85" t="n"/>
      <c r="G487" s="85" t="n"/>
      <c r="H487" s="85" t="n"/>
      <c r="I487" s="85" t="n"/>
      <c r="J487" s="85" t="n"/>
      <c r="K487" s="85" t="n"/>
      <c r="L487" s="85" t="n"/>
      <c r="M487" s="85" t="n"/>
      <c r="N487" s="85" t="n"/>
      <c r="O487" s="85" t="n"/>
      <c r="P487" s="85" t="n"/>
      <c r="Q487" s="85" t="n"/>
      <c r="R487" s="85" t="n"/>
      <c r="S487" s="85" t="n"/>
      <c r="T487" s="85" t="n"/>
      <c r="U487" s="85" t="n"/>
      <c r="V487" s="85" t="n"/>
      <c r="W487" s="85" t="n"/>
      <c r="X487" s="85" t="n"/>
      <c r="Y487" s="85" t="n"/>
      <c r="Z487" s="85" t="n"/>
      <c r="AA487" s="85" t="n"/>
      <c r="AB487" s="85" t="n"/>
      <c r="AC487" s="86" t="n"/>
      <c r="AD487" s="85">
        <f>IF($A487="","",IF(OR($AB487&lt;&gt;"Yes",$AC487="",TODAY()-$AC487&gt;90),"At Risk","Not At Risk"))</f>
        <v/>
      </c>
      <c r="AE487" s="85" t="n"/>
    </row>
    <row r="488" ht="15" customHeight="1" s="39">
      <c r="A488" s="85" t="n"/>
      <c r="B488" s="85" t="n"/>
      <c r="C488" s="85" t="n"/>
      <c r="D488" s="85" t="n"/>
      <c r="E488" s="85" t="n"/>
      <c r="F488" s="85" t="n"/>
      <c r="G488" s="85" t="n"/>
      <c r="H488" s="85" t="n"/>
      <c r="I488" s="85" t="n"/>
      <c r="J488" s="85" t="n"/>
      <c r="K488" s="85" t="n"/>
      <c r="L488" s="85" t="n"/>
      <c r="M488" s="85" t="n"/>
      <c r="N488" s="85" t="n"/>
      <c r="O488" s="85" t="n"/>
      <c r="P488" s="85" t="n"/>
      <c r="Q488" s="85" t="n"/>
      <c r="R488" s="85" t="n"/>
      <c r="S488" s="85" t="n"/>
      <c r="T488" s="85" t="n"/>
      <c r="U488" s="85" t="n"/>
      <c r="V488" s="85" t="n"/>
      <c r="W488" s="85" t="n"/>
      <c r="X488" s="85" t="n"/>
      <c r="Y488" s="85" t="n"/>
      <c r="Z488" s="85" t="n"/>
      <c r="AA488" s="85" t="n"/>
      <c r="AB488" s="85" t="n"/>
      <c r="AC488" s="86" t="n"/>
      <c r="AD488" s="85">
        <f>IF($A488="","",IF(OR($AB488&lt;&gt;"Yes",$AC488="",TODAY()-$AC488&gt;90),"At Risk","Not At Risk"))</f>
        <v/>
      </c>
      <c r="AE488" s="85" t="n"/>
    </row>
    <row r="489" ht="15" customHeight="1" s="39">
      <c r="A489" s="85" t="n"/>
      <c r="B489" s="85" t="n"/>
      <c r="C489" s="85" t="n"/>
      <c r="D489" s="85" t="n"/>
      <c r="E489" s="85" t="n"/>
      <c r="F489" s="85" t="n"/>
      <c r="G489" s="85" t="n"/>
      <c r="H489" s="85" t="n"/>
      <c r="I489" s="85" t="n"/>
      <c r="J489" s="85" t="n"/>
      <c r="K489" s="85" t="n"/>
      <c r="L489" s="85" t="n"/>
      <c r="M489" s="85" t="n"/>
      <c r="N489" s="85" t="n"/>
      <c r="O489" s="85" t="n"/>
      <c r="P489" s="85" t="n"/>
      <c r="Q489" s="85" t="n"/>
      <c r="R489" s="85" t="n"/>
      <c r="S489" s="85" t="n"/>
      <c r="T489" s="85" t="n"/>
      <c r="U489" s="85" t="n"/>
      <c r="V489" s="85" t="n"/>
      <c r="W489" s="85" t="n"/>
      <c r="X489" s="85" t="n"/>
      <c r="Y489" s="85" t="n"/>
      <c r="Z489" s="85" t="n"/>
      <c r="AA489" s="85" t="n"/>
      <c r="AB489" s="85" t="n"/>
      <c r="AC489" s="86" t="n"/>
      <c r="AD489" s="85">
        <f>IF($A489="","",IF(OR($AB489&lt;&gt;"Yes",$AC489="",TODAY()-$AC489&gt;90),"At Risk","Not At Risk"))</f>
        <v/>
      </c>
      <c r="AE489" s="85" t="n"/>
    </row>
    <row r="490" ht="15" customHeight="1" s="39">
      <c r="A490" s="85" t="n"/>
      <c r="B490" s="85" t="n"/>
      <c r="C490" s="85" t="n"/>
      <c r="D490" s="85" t="n"/>
      <c r="E490" s="85" t="n"/>
      <c r="F490" s="85" t="n"/>
      <c r="G490" s="85" t="n"/>
      <c r="H490" s="85" t="n"/>
      <c r="I490" s="85" t="n"/>
      <c r="J490" s="85" t="n"/>
      <c r="K490" s="85" t="n"/>
      <c r="L490" s="85" t="n"/>
      <c r="M490" s="85" t="n"/>
      <c r="N490" s="85" t="n"/>
      <c r="O490" s="85" t="n"/>
      <c r="P490" s="85" t="n"/>
      <c r="Q490" s="85" t="n"/>
      <c r="R490" s="85" t="n"/>
      <c r="S490" s="85" t="n"/>
      <c r="T490" s="85" t="n"/>
      <c r="U490" s="85" t="n"/>
      <c r="V490" s="85" t="n"/>
      <c r="W490" s="85" t="n"/>
      <c r="X490" s="85" t="n"/>
      <c r="Y490" s="85" t="n"/>
      <c r="Z490" s="85" t="n"/>
      <c r="AA490" s="85" t="n"/>
      <c r="AB490" s="85" t="n"/>
      <c r="AC490" s="86" t="n"/>
      <c r="AD490" s="85">
        <f>IF($A490="","",IF(OR($AB490&lt;&gt;"Yes",$AC490="",TODAY()-$AC490&gt;90),"At Risk","Not At Risk"))</f>
        <v/>
      </c>
      <c r="AE490" s="85" t="n"/>
    </row>
    <row r="491" ht="15" customHeight="1" s="39">
      <c r="A491" s="85" t="n"/>
      <c r="B491" s="85" t="n"/>
      <c r="C491" s="85" t="n"/>
      <c r="D491" s="85" t="n"/>
      <c r="E491" s="85" t="n"/>
      <c r="F491" s="85" t="n"/>
      <c r="G491" s="85" t="n"/>
      <c r="H491" s="85" t="n"/>
      <c r="I491" s="85" t="n"/>
      <c r="J491" s="85" t="n"/>
      <c r="K491" s="85" t="n"/>
      <c r="L491" s="85" t="n"/>
      <c r="M491" s="85" t="n"/>
      <c r="N491" s="85" t="n"/>
      <c r="O491" s="85" t="n"/>
      <c r="P491" s="85" t="n"/>
      <c r="Q491" s="85" t="n"/>
      <c r="R491" s="85" t="n"/>
      <c r="S491" s="85" t="n"/>
      <c r="T491" s="85" t="n"/>
      <c r="U491" s="85" t="n"/>
      <c r="V491" s="85" t="n"/>
      <c r="W491" s="85" t="n"/>
      <c r="X491" s="85" t="n"/>
      <c r="Y491" s="85" t="n"/>
      <c r="Z491" s="85" t="n"/>
      <c r="AA491" s="85" t="n"/>
      <c r="AB491" s="85" t="n"/>
      <c r="AC491" s="86" t="n"/>
      <c r="AD491" s="85">
        <f>IF($A491="","",IF(OR($AB491&lt;&gt;"Yes",$AC491="",TODAY()-$AC491&gt;90),"At Risk","Not At Risk"))</f>
        <v/>
      </c>
      <c r="AE491" s="85" t="n"/>
    </row>
    <row r="492" ht="15" customHeight="1" s="39">
      <c r="A492" s="85" t="n"/>
      <c r="B492" s="85" t="n"/>
      <c r="C492" s="85" t="n"/>
      <c r="D492" s="85" t="n"/>
      <c r="E492" s="85" t="n"/>
      <c r="F492" s="85" t="n"/>
      <c r="G492" s="85" t="n"/>
      <c r="H492" s="85" t="n"/>
      <c r="I492" s="85" t="n"/>
      <c r="J492" s="85" t="n"/>
      <c r="K492" s="85" t="n"/>
      <c r="L492" s="85" t="n"/>
      <c r="M492" s="85" t="n"/>
      <c r="N492" s="85" t="n"/>
      <c r="O492" s="85" t="n"/>
      <c r="P492" s="85" t="n"/>
      <c r="Q492" s="85" t="n"/>
      <c r="R492" s="85" t="n"/>
      <c r="S492" s="85" t="n"/>
      <c r="T492" s="85" t="n"/>
      <c r="U492" s="85" t="n"/>
      <c r="V492" s="85" t="n"/>
      <c r="W492" s="85" t="n"/>
      <c r="X492" s="85" t="n"/>
      <c r="Y492" s="85" t="n"/>
      <c r="Z492" s="85" t="n"/>
      <c r="AA492" s="85" t="n"/>
      <c r="AB492" s="85" t="n"/>
      <c r="AC492" s="86" t="n"/>
      <c r="AD492" s="85">
        <f>IF($A492="","",IF(OR($AB492&lt;&gt;"Yes",$AC492="",TODAY()-$AC492&gt;90),"At Risk","Not At Risk"))</f>
        <v/>
      </c>
      <c r="AE492" s="85" t="n"/>
    </row>
    <row r="493" ht="15" customHeight="1" s="39">
      <c r="A493" s="85" t="n"/>
      <c r="B493" s="85" t="n"/>
      <c r="C493" s="85" t="n"/>
      <c r="D493" s="85" t="n"/>
      <c r="E493" s="85" t="n"/>
      <c r="F493" s="85" t="n"/>
      <c r="G493" s="85" t="n"/>
      <c r="H493" s="85" t="n"/>
      <c r="I493" s="85" t="n"/>
      <c r="J493" s="85" t="n"/>
      <c r="K493" s="85" t="n"/>
      <c r="L493" s="85" t="n"/>
      <c r="M493" s="85" t="n"/>
      <c r="N493" s="85" t="n"/>
      <c r="O493" s="85" t="n"/>
      <c r="P493" s="85" t="n"/>
      <c r="Q493" s="85" t="n"/>
      <c r="R493" s="85" t="n"/>
      <c r="S493" s="85" t="n"/>
      <c r="T493" s="85" t="n"/>
      <c r="U493" s="85" t="n"/>
      <c r="V493" s="85" t="n"/>
      <c r="W493" s="85" t="n"/>
      <c r="X493" s="85" t="n"/>
      <c r="Y493" s="85" t="n"/>
      <c r="Z493" s="85" t="n"/>
      <c r="AA493" s="85" t="n"/>
      <c r="AB493" s="85" t="n"/>
      <c r="AC493" s="86" t="n"/>
      <c r="AD493" s="85">
        <f>IF($A493="","",IF(OR($AB493&lt;&gt;"Yes",$AC493="",TODAY()-$AC493&gt;90),"At Risk","Not At Risk"))</f>
        <v/>
      </c>
      <c r="AE493" s="85" t="n"/>
    </row>
    <row r="494" ht="15" customHeight="1" s="39">
      <c r="A494" s="85" t="n"/>
      <c r="B494" s="85" t="n"/>
      <c r="C494" s="85" t="n"/>
      <c r="D494" s="85" t="n"/>
      <c r="E494" s="85" t="n"/>
      <c r="F494" s="85" t="n"/>
      <c r="G494" s="85" t="n"/>
      <c r="H494" s="85" t="n"/>
      <c r="I494" s="85" t="n"/>
      <c r="J494" s="85" t="n"/>
      <c r="K494" s="85" t="n"/>
      <c r="L494" s="85" t="n"/>
      <c r="M494" s="85" t="n"/>
      <c r="N494" s="85" t="n"/>
      <c r="O494" s="85" t="n"/>
      <c r="P494" s="85" t="n"/>
      <c r="Q494" s="85" t="n"/>
      <c r="R494" s="85" t="n"/>
      <c r="S494" s="85" t="n"/>
      <c r="T494" s="85" t="n"/>
      <c r="U494" s="85" t="n"/>
      <c r="V494" s="85" t="n"/>
      <c r="W494" s="85" t="n"/>
      <c r="X494" s="85" t="n"/>
      <c r="Y494" s="85" t="n"/>
      <c r="Z494" s="85" t="n"/>
      <c r="AA494" s="85" t="n"/>
      <c r="AB494" s="85" t="n"/>
      <c r="AC494" s="86" t="n"/>
      <c r="AD494" s="85">
        <f>IF($A494="","",IF(OR($AB494&lt;&gt;"Yes",$AC494="",TODAY()-$AC494&gt;90),"At Risk","Not At Risk"))</f>
        <v/>
      </c>
      <c r="AE494" s="85" t="n"/>
    </row>
    <row r="495" ht="15" customHeight="1" s="39">
      <c r="A495" s="85" t="n"/>
      <c r="B495" s="85" t="n"/>
      <c r="C495" s="85" t="n"/>
      <c r="D495" s="85" t="n"/>
      <c r="E495" s="85" t="n"/>
      <c r="F495" s="85" t="n"/>
      <c r="G495" s="85" t="n"/>
      <c r="H495" s="85" t="n"/>
      <c r="I495" s="85" t="n"/>
      <c r="J495" s="85" t="n"/>
      <c r="K495" s="85" t="n"/>
      <c r="L495" s="85" t="n"/>
      <c r="M495" s="85" t="n"/>
      <c r="N495" s="85" t="n"/>
      <c r="O495" s="85" t="n"/>
      <c r="P495" s="85" t="n"/>
      <c r="Q495" s="85" t="n"/>
      <c r="R495" s="85" t="n"/>
      <c r="S495" s="85" t="n"/>
      <c r="T495" s="85" t="n"/>
      <c r="U495" s="85" t="n"/>
      <c r="V495" s="85" t="n"/>
      <c r="W495" s="85" t="n"/>
      <c r="X495" s="85" t="n"/>
      <c r="Y495" s="85" t="n"/>
      <c r="Z495" s="85" t="n"/>
      <c r="AA495" s="85" t="n"/>
      <c r="AB495" s="85" t="n"/>
      <c r="AC495" s="86" t="n"/>
      <c r="AD495" s="85">
        <f>IF($A495="","",IF(OR($AB495&lt;&gt;"Yes",$AC495="",TODAY()-$AC495&gt;90),"At Risk","Not At Risk"))</f>
        <v/>
      </c>
      <c r="AE495" s="85" t="n"/>
    </row>
    <row r="496" ht="15" customHeight="1" s="39">
      <c r="A496" s="85" t="n"/>
      <c r="B496" s="85" t="n"/>
      <c r="C496" s="85" t="n"/>
      <c r="D496" s="85" t="n"/>
      <c r="E496" s="85" t="n"/>
      <c r="F496" s="85" t="n"/>
      <c r="G496" s="85" t="n"/>
      <c r="H496" s="85" t="n"/>
      <c r="I496" s="85" t="n"/>
      <c r="J496" s="85" t="n"/>
      <c r="K496" s="85" t="n"/>
      <c r="L496" s="85" t="n"/>
      <c r="M496" s="85" t="n"/>
      <c r="N496" s="85" t="n"/>
      <c r="O496" s="85" t="n"/>
      <c r="P496" s="85" t="n"/>
      <c r="Q496" s="85" t="n"/>
      <c r="R496" s="85" t="n"/>
      <c r="S496" s="85" t="n"/>
      <c r="T496" s="85" t="n"/>
      <c r="U496" s="85" t="n"/>
      <c r="V496" s="85" t="n"/>
      <c r="W496" s="85" t="n"/>
      <c r="X496" s="85" t="n"/>
      <c r="Y496" s="85" t="n"/>
      <c r="Z496" s="85" t="n"/>
      <c r="AA496" s="85" t="n"/>
      <c r="AB496" s="85" t="n"/>
      <c r="AC496" s="86" t="n"/>
      <c r="AD496" s="85">
        <f>IF($A496="","",IF(OR($AB496&lt;&gt;"Yes",$AC496="",TODAY()-$AC496&gt;90),"At Risk","Not At Risk"))</f>
        <v/>
      </c>
      <c r="AE496" s="85" t="n"/>
    </row>
    <row r="497" ht="15" customHeight="1" s="39">
      <c r="A497" s="85" t="n"/>
      <c r="B497" s="85" t="n"/>
      <c r="C497" s="85" t="n"/>
      <c r="D497" s="85" t="n"/>
      <c r="E497" s="85" t="n"/>
      <c r="F497" s="85" t="n"/>
      <c r="G497" s="85" t="n"/>
      <c r="H497" s="85" t="n"/>
      <c r="I497" s="85" t="n"/>
      <c r="J497" s="85" t="n"/>
      <c r="K497" s="85" t="n"/>
      <c r="L497" s="85" t="n"/>
      <c r="M497" s="85" t="n"/>
      <c r="N497" s="85" t="n"/>
      <c r="O497" s="85" t="n"/>
      <c r="P497" s="85" t="n"/>
      <c r="Q497" s="85" t="n"/>
      <c r="R497" s="85" t="n"/>
      <c r="S497" s="85" t="n"/>
      <c r="T497" s="85" t="n"/>
      <c r="U497" s="85" t="n"/>
      <c r="V497" s="85" t="n"/>
      <c r="W497" s="85" t="n"/>
      <c r="X497" s="85" t="n"/>
      <c r="Y497" s="85" t="n"/>
      <c r="Z497" s="85" t="n"/>
      <c r="AA497" s="85" t="n"/>
      <c r="AB497" s="85" t="n"/>
      <c r="AC497" s="86" t="n"/>
      <c r="AD497" s="85">
        <f>IF($A497="","",IF(OR($AB497&lt;&gt;"Yes",$AC497="",TODAY()-$AC497&gt;90),"At Risk","Not At Risk"))</f>
        <v/>
      </c>
      <c r="AE497" s="85" t="n"/>
    </row>
    <row r="498" ht="15" customHeight="1" s="39">
      <c r="A498" s="85" t="n"/>
      <c r="B498" s="85" t="n"/>
      <c r="C498" s="85" t="n"/>
      <c r="D498" s="85" t="n"/>
      <c r="E498" s="85" t="n"/>
      <c r="F498" s="85" t="n"/>
      <c r="G498" s="85" t="n"/>
      <c r="H498" s="85" t="n"/>
      <c r="I498" s="85" t="n"/>
      <c r="J498" s="85" t="n"/>
      <c r="K498" s="85" t="n"/>
      <c r="L498" s="85" t="n"/>
      <c r="M498" s="85" t="n"/>
      <c r="N498" s="85" t="n"/>
      <c r="O498" s="85" t="n"/>
      <c r="P498" s="85" t="n"/>
      <c r="Q498" s="85" t="n"/>
      <c r="R498" s="85" t="n"/>
      <c r="S498" s="85" t="n"/>
      <c r="T498" s="85" t="n"/>
      <c r="U498" s="85" t="n"/>
      <c r="V498" s="85" t="n"/>
      <c r="W498" s="85" t="n"/>
      <c r="X498" s="85" t="n"/>
      <c r="Y498" s="85" t="n"/>
      <c r="Z498" s="85" t="n"/>
      <c r="AA498" s="85" t="n"/>
      <c r="AB498" s="85" t="n"/>
      <c r="AC498" s="86" t="n"/>
      <c r="AD498" s="85">
        <f>IF($A498="","",IF(OR($AB498&lt;&gt;"Yes",$AC498="",TODAY()-$AC498&gt;90),"At Risk","Not At Risk"))</f>
        <v/>
      </c>
      <c r="AE498" s="85" t="n"/>
    </row>
    <row r="499" ht="15" customHeight="1" s="39">
      <c r="A499" s="85" t="n"/>
      <c r="B499" s="85" t="n"/>
      <c r="C499" s="85" t="n"/>
      <c r="D499" s="85" t="n"/>
      <c r="E499" s="85" t="n"/>
      <c r="F499" s="85" t="n"/>
      <c r="G499" s="85" t="n"/>
      <c r="H499" s="85" t="n"/>
      <c r="I499" s="85" t="n"/>
      <c r="J499" s="85" t="n"/>
      <c r="K499" s="85" t="n"/>
      <c r="L499" s="85" t="n"/>
      <c r="M499" s="85" t="n"/>
      <c r="N499" s="85" t="n"/>
      <c r="O499" s="85" t="n"/>
      <c r="P499" s="85" t="n"/>
      <c r="Q499" s="85" t="n"/>
      <c r="R499" s="85" t="n"/>
      <c r="S499" s="85" t="n"/>
      <c r="T499" s="85" t="n"/>
      <c r="U499" s="85" t="n"/>
      <c r="V499" s="85" t="n"/>
      <c r="W499" s="85" t="n"/>
      <c r="X499" s="85" t="n"/>
      <c r="Y499" s="85" t="n"/>
      <c r="Z499" s="85" t="n"/>
      <c r="AA499" s="85" t="n"/>
      <c r="AB499" s="85" t="n"/>
      <c r="AC499" s="86" t="n"/>
      <c r="AD499" s="85">
        <f>IF($A499="","",IF(OR($AB499&lt;&gt;"Yes",$AC499="",TODAY()-$AC499&gt;90),"At Risk","Not At Risk"))</f>
        <v/>
      </c>
      <c r="AE499" s="85" t="n"/>
    </row>
    <row r="500" ht="15" customHeight="1" s="39">
      <c r="A500" s="85" t="n"/>
      <c r="B500" s="85" t="n"/>
      <c r="C500" s="85" t="n"/>
      <c r="D500" s="85" t="n"/>
      <c r="E500" s="85" t="n"/>
      <c r="F500" s="85" t="n"/>
      <c r="G500" s="85" t="n"/>
      <c r="H500" s="85" t="n"/>
      <c r="I500" s="85" t="n"/>
      <c r="J500" s="85" t="n"/>
      <c r="K500" s="85" t="n"/>
      <c r="L500" s="85" t="n"/>
      <c r="M500" s="85" t="n"/>
      <c r="N500" s="85" t="n"/>
      <c r="O500" s="85" t="n"/>
      <c r="P500" s="85" t="n"/>
      <c r="Q500" s="85" t="n"/>
      <c r="R500" s="85" t="n"/>
      <c r="S500" s="85" t="n"/>
      <c r="T500" s="85" t="n"/>
      <c r="U500" s="85" t="n"/>
      <c r="V500" s="85" t="n"/>
      <c r="W500" s="85" t="n"/>
      <c r="X500" s="85" t="n"/>
      <c r="Y500" s="85" t="n"/>
      <c r="Z500" s="85" t="n"/>
      <c r="AA500" s="85" t="n"/>
      <c r="AB500" s="85" t="n"/>
      <c r="AC500" s="86" t="n"/>
      <c r="AD500" s="85">
        <f>IF($A500="","",IF(OR($AB500&lt;&gt;"Yes",$AC500="",TODAY()-$AC500&gt;90),"At Risk","Not At Risk"))</f>
        <v/>
      </c>
      <c r="AE500" s="85" t="n"/>
    </row>
    <row r="501" ht="15" customHeight="1" s="39">
      <c r="A501" s="85" t="n"/>
      <c r="B501" s="85" t="n"/>
      <c r="C501" s="85" t="n"/>
      <c r="D501" s="85" t="n"/>
      <c r="E501" s="85" t="n"/>
      <c r="F501" s="85" t="n"/>
      <c r="G501" s="85" t="n"/>
      <c r="H501" s="85" t="n"/>
      <c r="I501" s="85" t="n"/>
      <c r="J501" s="85" t="n"/>
      <c r="K501" s="85" t="n"/>
      <c r="L501" s="85" t="n"/>
      <c r="M501" s="85" t="n"/>
      <c r="N501" s="85" t="n"/>
      <c r="O501" s="85" t="n"/>
      <c r="P501" s="85" t="n"/>
      <c r="Q501" s="85" t="n"/>
      <c r="R501" s="85" t="n"/>
      <c r="S501" s="85" t="n"/>
      <c r="T501" s="85" t="n"/>
      <c r="U501" s="85" t="n"/>
      <c r="V501" s="85" t="n"/>
      <c r="W501" s="85" t="n"/>
      <c r="X501" s="85" t="n"/>
      <c r="Y501" s="85" t="n"/>
      <c r="Z501" s="85" t="n"/>
      <c r="AA501" s="85" t="n"/>
      <c r="AB501" s="85" t="n"/>
      <c r="AC501" s="86" t="n"/>
      <c r="AD501" s="85">
        <f>IF($A501="","",IF(OR($AB501&lt;&gt;"Yes",$AC501="",TODAY()-$AC501&gt;90),"At Risk","Not At Risk"))</f>
        <v/>
      </c>
      <c r="AE501" s="85" t="n"/>
    </row>
    <row r="502" ht="15" customHeight="1" s="39">
      <c r="A502" s="85" t="n"/>
      <c r="B502" s="85" t="n"/>
      <c r="C502" s="85" t="n"/>
      <c r="D502" s="85" t="n"/>
      <c r="E502" s="85" t="n"/>
      <c r="F502" s="85" t="n"/>
      <c r="G502" s="85" t="n"/>
      <c r="H502" s="85" t="n"/>
      <c r="I502" s="85" t="n"/>
      <c r="J502" s="85" t="n"/>
      <c r="K502" s="85" t="n"/>
      <c r="L502" s="85" t="n"/>
      <c r="M502" s="85" t="n"/>
      <c r="N502" s="85" t="n"/>
      <c r="O502" s="85" t="n"/>
      <c r="P502" s="85" t="n"/>
      <c r="Q502" s="85" t="n"/>
      <c r="R502" s="85" t="n"/>
      <c r="S502" s="85" t="n"/>
      <c r="T502" s="85" t="n"/>
      <c r="U502" s="85" t="n"/>
      <c r="V502" s="85" t="n"/>
      <c r="W502" s="85" t="n"/>
      <c r="X502" s="85" t="n"/>
      <c r="Y502" s="85" t="n"/>
      <c r="Z502" s="85" t="n"/>
      <c r="AA502" s="85" t="n"/>
      <c r="AB502" s="85" t="n"/>
      <c r="AC502" s="86" t="n"/>
      <c r="AD502" s="85">
        <f>IF($A502="","",IF(OR($AB502&lt;&gt;"Yes",$AC502="",TODAY()-$AC502&gt;90),"At Risk","Not At Risk"))</f>
        <v/>
      </c>
      <c r="AE502" s="85" t="n"/>
    </row>
    <row r="503" ht="15" customHeight="1" s="39">
      <c r="A503" s="85" t="n"/>
      <c r="B503" s="85" t="n"/>
      <c r="C503" s="85" t="n"/>
      <c r="D503" s="85" t="n"/>
      <c r="E503" s="85" t="n"/>
      <c r="F503" s="85" t="n"/>
      <c r="G503" s="85" t="n"/>
      <c r="H503" s="85" t="n"/>
      <c r="I503" s="85" t="n"/>
      <c r="J503" s="85" t="n"/>
      <c r="K503" s="85" t="n"/>
      <c r="L503" s="85" t="n"/>
      <c r="M503" s="85" t="n"/>
      <c r="N503" s="85" t="n"/>
      <c r="O503" s="85" t="n"/>
      <c r="P503" s="85" t="n"/>
      <c r="Q503" s="85" t="n"/>
      <c r="R503" s="85" t="n"/>
      <c r="S503" s="85" t="n"/>
      <c r="T503" s="85" t="n"/>
      <c r="U503" s="85" t="n"/>
      <c r="V503" s="85" t="n"/>
      <c r="W503" s="85" t="n"/>
      <c r="X503" s="85" t="n"/>
      <c r="Y503" s="85" t="n"/>
      <c r="Z503" s="85" t="n"/>
      <c r="AA503" s="85" t="n"/>
      <c r="AB503" s="85" t="n"/>
      <c r="AC503" s="86" t="n"/>
      <c r="AD503" s="85">
        <f>IF($A503="","",IF(OR($AB503&lt;&gt;"Yes",$AC503="",TODAY()-$AC503&gt;90),"At Risk","Not At Risk"))</f>
        <v/>
      </c>
      <c r="AE503" s="85" t="n"/>
    </row>
    <row r="504" ht="15" customHeight="1" s="39">
      <c r="A504" s="85" t="n"/>
      <c r="B504" s="85" t="n"/>
      <c r="C504" s="85" t="n"/>
      <c r="D504" s="85" t="n"/>
      <c r="E504" s="85" t="n"/>
      <c r="F504" s="85" t="n"/>
      <c r="G504" s="85" t="n"/>
      <c r="H504" s="85" t="n"/>
      <c r="I504" s="85" t="n"/>
      <c r="J504" s="85" t="n"/>
      <c r="K504" s="85" t="n"/>
      <c r="L504" s="85" t="n"/>
      <c r="M504" s="85" t="n"/>
      <c r="N504" s="85" t="n"/>
      <c r="O504" s="85" t="n"/>
      <c r="P504" s="85" t="n"/>
      <c r="Q504" s="85" t="n"/>
      <c r="R504" s="85" t="n"/>
      <c r="S504" s="85" t="n"/>
      <c r="T504" s="85" t="n"/>
      <c r="U504" s="85" t="n"/>
      <c r="V504" s="85" t="n"/>
      <c r="W504" s="85" t="n"/>
      <c r="X504" s="85" t="n"/>
      <c r="Y504" s="85" t="n"/>
      <c r="Z504" s="85" t="n"/>
      <c r="AA504" s="85" t="n"/>
      <c r="AB504" s="85" t="n"/>
      <c r="AC504" s="86" t="n"/>
      <c r="AD504" s="85">
        <f>IF($A504="","",IF(OR($AB504&lt;&gt;"Yes",$AC504="",TODAY()-$AC504&gt;90),"At Risk","Not At Risk"))</f>
        <v/>
      </c>
      <c r="AE504" s="85" t="n"/>
    </row>
    <row r="505" ht="15" customHeight="1" s="39">
      <c r="A505" s="85" t="n"/>
      <c r="B505" s="85" t="n"/>
      <c r="C505" s="85" t="n"/>
      <c r="D505" s="85" t="n"/>
      <c r="E505" s="85" t="n"/>
      <c r="F505" s="85" t="n"/>
      <c r="G505" s="85" t="n"/>
      <c r="H505" s="85" t="n"/>
      <c r="I505" s="85" t="n"/>
      <c r="J505" s="85" t="n"/>
      <c r="K505" s="85" t="n"/>
      <c r="L505" s="85" t="n"/>
      <c r="M505" s="85" t="n"/>
      <c r="N505" s="85" t="n"/>
      <c r="O505" s="85" t="n"/>
      <c r="P505" s="85" t="n"/>
      <c r="Q505" s="85" t="n"/>
      <c r="R505" s="85" t="n"/>
      <c r="S505" s="85" t="n"/>
      <c r="T505" s="85" t="n"/>
      <c r="U505" s="85" t="n"/>
      <c r="V505" s="85" t="n"/>
      <c r="W505" s="85" t="n"/>
      <c r="X505" s="85" t="n"/>
      <c r="Y505" s="85" t="n"/>
      <c r="Z505" s="85" t="n"/>
      <c r="AA505" s="85" t="n"/>
      <c r="AB505" s="85" t="n"/>
      <c r="AC505" s="86" t="n"/>
      <c r="AD505" s="85">
        <f>IF($A505="","",IF(OR($AB505&lt;&gt;"Yes",$AC505="",TODAY()-$AC505&gt;90),"At Risk","Not At Risk"))</f>
        <v/>
      </c>
      <c r="AE505" s="85" t="n"/>
    </row>
    <row r="506" ht="15" customHeight="1" s="39">
      <c r="A506" s="85" t="n"/>
      <c r="B506" s="85" t="n"/>
      <c r="C506" s="85" t="n"/>
      <c r="D506" s="85" t="n"/>
      <c r="E506" s="85" t="n"/>
      <c r="F506" s="85" t="n"/>
      <c r="G506" s="85" t="n"/>
      <c r="H506" s="85" t="n"/>
      <c r="I506" s="85" t="n"/>
      <c r="J506" s="85" t="n"/>
      <c r="K506" s="85" t="n"/>
      <c r="L506" s="85" t="n"/>
      <c r="M506" s="85" t="n"/>
      <c r="N506" s="85" t="n"/>
      <c r="O506" s="85" t="n"/>
      <c r="P506" s="85" t="n"/>
      <c r="Q506" s="85" t="n"/>
      <c r="R506" s="85" t="n"/>
      <c r="S506" s="85" t="n"/>
      <c r="T506" s="85" t="n"/>
      <c r="U506" s="85" t="n"/>
      <c r="V506" s="85" t="n"/>
      <c r="W506" s="85" t="n"/>
      <c r="X506" s="85" t="n"/>
      <c r="Y506" s="85" t="n"/>
      <c r="Z506" s="85" t="n"/>
      <c r="AA506" s="85" t="n"/>
      <c r="AB506" s="85" t="n"/>
      <c r="AC506" s="86" t="n"/>
      <c r="AD506" s="85">
        <f>IF($A506="","",IF(OR($AB506&lt;&gt;"Yes",$AC506="",TODAY()-$AC506&gt;90),"At Risk","Not At Risk"))</f>
        <v/>
      </c>
      <c r="AE506" s="85" t="n"/>
    </row>
    <row r="507" ht="15" customHeight="1" s="39">
      <c r="A507" s="85" t="n"/>
      <c r="B507" s="85" t="n"/>
      <c r="C507" s="85" t="n"/>
      <c r="D507" s="85" t="n"/>
      <c r="E507" s="85" t="n"/>
      <c r="F507" s="85" t="n"/>
      <c r="G507" s="85" t="n"/>
      <c r="H507" s="85" t="n"/>
      <c r="I507" s="85" t="n"/>
      <c r="J507" s="85" t="n"/>
      <c r="K507" s="85" t="n"/>
      <c r="L507" s="85" t="n"/>
      <c r="M507" s="85" t="n"/>
      <c r="N507" s="85" t="n"/>
      <c r="O507" s="85" t="n"/>
      <c r="P507" s="85" t="n"/>
      <c r="Q507" s="85" t="n"/>
      <c r="R507" s="85" t="n"/>
      <c r="S507" s="85" t="n"/>
      <c r="T507" s="85" t="n"/>
      <c r="U507" s="85" t="n"/>
      <c r="V507" s="85" t="n"/>
      <c r="W507" s="85" t="n"/>
      <c r="X507" s="85" t="n"/>
      <c r="Y507" s="85" t="n"/>
      <c r="Z507" s="85" t="n"/>
      <c r="AA507" s="85" t="n"/>
      <c r="AB507" s="85" t="n"/>
      <c r="AC507" s="86" t="n"/>
      <c r="AD507" s="85">
        <f>IF($A507="","",IF(OR($AB507&lt;&gt;"Yes",$AC507="",TODAY()-$AC507&gt;90),"At Risk","Not At Risk"))</f>
        <v/>
      </c>
      <c r="AE507" s="85" t="n"/>
    </row>
    <row r="508" ht="15" customHeight="1" s="39">
      <c r="A508" s="85" t="n"/>
      <c r="B508" s="85" t="n"/>
      <c r="C508" s="85" t="n"/>
      <c r="D508" s="85" t="n"/>
      <c r="E508" s="85" t="n"/>
      <c r="F508" s="85" t="n"/>
      <c r="G508" s="85" t="n"/>
      <c r="H508" s="85" t="n"/>
      <c r="I508" s="85" t="n"/>
      <c r="J508" s="85" t="n"/>
      <c r="K508" s="85" t="n"/>
      <c r="L508" s="85" t="n"/>
      <c r="M508" s="85" t="n"/>
      <c r="N508" s="85" t="n"/>
      <c r="O508" s="85" t="n"/>
      <c r="P508" s="85" t="n"/>
      <c r="Q508" s="85" t="n"/>
      <c r="R508" s="85" t="n"/>
      <c r="S508" s="85" t="n"/>
      <c r="T508" s="85" t="n"/>
      <c r="U508" s="85" t="n"/>
      <c r="V508" s="85" t="n"/>
      <c r="W508" s="85" t="n"/>
      <c r="X508" s="85" t="n"/>
      <c r="Y508" s="85" t="n"/>
      <c r="Z508" s="85" t="n"/>
      <c r="AA508" s="85" t="n"/>
      <c r="AB508" s="85" t="n"/>
      <c r="AC508" s="86" t="n"/>
      <c r="AD508" s="85">
        <f>IF($A508="","",IF(OR($AB508&lt;&gt;"Yes",$AC508="",TODAY()-$AC508&gt;90),"At Risk","Not At Risk"))</f>
        <v/>
      </c>
      <c r="AE508" s="85" t="n"/>
    </row>
    <row r="509" ht="15" customHeight="1" s="39">
      <c r="A509" s="85" t="n"/>
      <c r="B509" s="85" t="n"/>
      <c r="C509" s="85" t="n"/>
      <c r="D509" s="85" t="n"/>
      <c r="E509" s="85" t="n"/>
      <c r="F509" s="85" t="n"/>
      <c r="G509" s="85" t="n"/>
      <c r="H509" s="85" t="n"/>
      <c r="I509" s="85" t="n"/>
      <c r="J509" s="85" t="n"/>
      <c r="K509" s="85" t="n"/>
      <c r="L509" s="85" t="n"/>
      <c r="M509" s="85" t="n"/>
      <c r="N509" s="85" t="n"/>
      <c r="O509" s="85" t="n"/>
      <c r="P509" s="85" t="n"/>
      <c r="Q509" s="85" t="n"/>
      <c r="R509" s="85" t="n"/>
      <c r="S509" s="85" t="n"/>
      <c r="T509" s="85" t="n"/>
      <c r="U509" s="85" t="n"/>
      <c r="V509" s="85" t="n"/>
      <c r="W509" s="85" t="n"/>
      <c r="X509" s="85" t="n"/>
      <c r="Y509" s="85" t="n"/>
      <c r="Z509" s="85" t="n"/>
      <c r="AA509" s="85" t="n"/>
      <c r="AB509" s="85" t="n"/>
      <c r="AC509" s="86" t="n"/>
      <c r="AD509" s="85">
        <f>IF($A509="","",IF(OR($AB509&lt;&gt;"Yes",$AC509="",TODAY()-$AC509&gt;90),"At Risk","Not At Risk"))</f>
        <v/>
      </c>
      <c r="AE509" s="85" t="n"/>
    </row>
    <row r="510" ht="15" customHeight="1" s="39">
      <c r="A510" s="85" t="n"/>
      <c r="B510" s="85" t="n"/>
      <c r="C510" s="85" t="n"/>
      <c r="D510" s="85" t="n"/>
      <c r="E510" s="85" t="n"/>
      <c r="F510" s="85" t="n"/>
      <c r="G510" s="85" t="n"/>
      <c r="H510" s="85" t="n"/>
      <c r="I510" s="85" t="n"/>
      <c r="J510" s="85" t="n"/>
      <c r="K510" s="85" t="n"/>
      <c r="L510" s="85" t="n"/>
      <c r="M510" s="85" t="n"/>
      <c r="N510" s="85" t="n"/>
      <c r="O510" s="85" t="n"/>
      <c r="P510" s="85" t="n"/>
      <c r="Q510" s="85" t="n"/>
      <c r="R510" s="85" t="n"/>
      <c r="S510" s="85" t="n"/>
      <c r="T510" s="85" t="n"/>
      <c r="U510" s="85" t="n"/>
      <c r="V510" s="85" t="n"/>
      <c r="W510" s="85" t="n"/>
      <c r="X510" s="85" t="n"/>
      <c r="Y510" s="85" t="n"/>
      <c r="Z510" s="85" t="n"/>
      <c r="AA510" s="85" t="n"/>
      <c r="AB510" s="85" t="n"/>
      <c r="AC510" s="86" t="n"/>
      <c r="AD510" s="85">
        <f>IF($A510="","",IF(OR($AB510&lt;&gt;"Yes",$AC510="",TODAY()-$AC510&gt;90),"At Risk","Not At Risk"))</f>
        <v/>
      </c>
      <c r="AE510" s="85" t="n"/>
    </row>
    <row r="511" ht="15" customHeight="1" s="39">
      <c r="A511" s="85" t="n"/>
      <c r="B511" s="85" t="n"/>
      <c r="C511" s="85" t="n"/>
      <c r="D511" s="85" t="n"/>
      <c r="E511" s="85" t="n"/>
      <c r="F511" s="85" t="n"/>
      <c r="G511" s="85" t="n"/>
      <c r="H511" s="85" t="n"/>
      <c r="I511" s="85" t="n"/>
      <c r="J511" s="85" t="n"/>
      <c r="K511" s="85" t="n"/>
      <c r="L511" s="85" t="n"/>
      <c r="M511" s="85" t="n"/>
      <c r="N511" s="85" t="n"/>
      <c r="O511" s="85" t="n"/>
      <c r="P511" s="85" t="n"/>
      <c r="Q511" s="85" t="n"/>
      <c r="R511" s="85" t="n"/>
      <c r="S511" s="85" t="n"/>
      <c r="T511" s="85" t="n"/>
      <c r="U511" s="85" t="n"/>
      <c r="V511" s="85" t="n"/>
      <c r="W511" s="85" t="n"/>
      <c r="X511" s="85" t="n"/>
      <c r="Y511" s="85" t="n"/>
      <c r="Z511" s="85" t="n"/>
      <c r="AA511" s="85" t="n"/>
      <c r="AB511" s="85" t="n"/>
      <c r="AC511" s="86" t="n"/>
      <c r="AD511" s="85">
        <f>IF($A511="","",IF(OR($AB511&lt;&gt;"Yes",$AC511="",TODAY()-$AC511&gt;90),"At Risk","Not At Risk"))</f>
        <v/>
      </c>
      <c r="AE511" s="85" t="n"/>
    </row>
    <row r="512" ht="15" customHeight="1" s="39">
      <c r="A512" s="85" t="n"/>
      <c r="B512" s="85" t="n"/>
      <c r="C512" s="85" t="n"/>
      <c r="D512" s="85" t="n"/>
      <c r="E512" s="85" t="n"/>
      <c r="F512" s="85" t="n"/>
      <c r="G512" s="85" t="n"/>
      <c r="H512" s="85" t="n"/>
      <c r="I512" s="85" t="n"/>
      <c r="J512" s="85" t="n"/>
      <c r="K512" s="85" t="n"/>
      <c r="L512" s="85" t="n"/>
      <c r="M512" s="85" t="n"/>
      <c r="N512" s="85" t="n"/>
      <c r="O512" s="85" t="n"/>
      <c r="P512" s="85" t="n"/>
      <c r="Q512" s="85" t="n"/>
      <c r="R512" s="85" t="n"/>
      <c r="S512" s="85" t="n"/>
      <c r="T512" s="85" t="n"/>
      <c r="U512" s="85" t="n"/>
      <c r="V512" s="85" t="n"/>
      <c r="W512" s="85" t="n"/>
      <c r="X512" s="85" t="n"/>
      <c r="Y512" s="85" t="n"/>
      <c r="Z512" s="85" t="n"/>
      <c r="AA512" s="85" t="n"/>
      <c r="AB512" s="85" t="n"/>
      <c r="AC512" s="86" t="n"/>
      <c r="AD512" s="85">
        <f>IF($A512="","",IF(OR($AB512&lt;&gt;"Yes",$AC512="",TODAY()-$AC512&gt;90),"At Risk","Not At Risk"))</f>
        <v/>
      </c>
      <c r="AE512" s="85" t="n"/>
    </row>
    <row r="513" ht="15" customHeight="1" s="39">
      <c r="A513" s="85" t="n"/>
      <c r="B513" s="85" t="n"/>
      <c r="C513" s="85" t="n"/>
      <c r="D513" s="85" t="n"/>
      <c r="E513" s="85" t="n"/>
      <c r="F513" s="85" t="n"/>
      <c r="G513" s="85" t="n"/>
      <c r="H513" s="85" t="n"/>
      <c r="I513" s="85" t="n"/>
      <c r="J513" s="85" t="n"/>
      <c r="K513" s="85" t="n"/>
      <c r="L513" s="85" t="n"/>
      <c r="M513" s="85" t="n"/>
      <c r="N513" s="85" t="n"/>
      <c r="O513" s="85" t="n"/>
      <c r="P513" s="85" t="n"/>
      <c r="Q513" s="85" t="n"/>
      <c r="R513" s="85" t="n"/>
      <c r="S513" s="85" t="n"/>
      <c r="T513" s="85" t="n"/>
      <c r="U513" s="85" t="n"/>
      <c r="V513" s="85" t="n"/>
      <c r="W513" s="85" t="n"/>
      <c r="X513" s="85" t="n"/>
      <c r="Y513" s="85" t="n"/>
      <c r="Z513" s="85" t="n"/>
      <c r="AA513" s="85" t="n"/>
      <c r="AB513" s="85" t="n"/>
      <c r="AC513" s="86" t="n"/>
      <c r="AD513" s="85">
        <f>IF($A513="","",IF(OR($AB513&lt;&gt;"Yes",$AC513="",TODAY()-$AC513&gt;90),"At Risk","Not At Risk"))</f>
        <v/>
      </c>
      <c r="AE513" s="85" t="n"/>
    </row>
    <row r="514" ht="15" customHeight="1" s="39">
      <c r="A514" s="85" t="n"/>
      <c r="B514" s="85" t="n"/>
      <c r="C514" s="85" t="n"/>
      <c r="D514" s="85" t="n"/>
      <c r="E514" s="85" t="n"/>
      <c r="F514" s="85" t="n"/>
      <c r="G514" s="85" t="n"/>
      <c r="H514" s="85" t="n"/>
      <c r="I514" s="85" t="n"/>
      <c r="J514" s="85" t="n"/>
      <c r="K514" s="85" t="n"/>
      <c r="L514" s="85" t="n"/>
      <c r="M514" s="85" t="n"/>
      <c r="N514" s="85" t="n"/>
      <c r="O514" s="85" t="n"/>
      <c r="P514" s="85" t="n"/>
      <c r="Q514" s="85" t="n"/>
      <c r="R514" s="85" t="n"/>
      <c r="S514" s="85" t="n"/>
      <c r="T514" s="85" t="n"/>
      <c r="U514" s="85" t="n"/>
      <c r="V514" s="85" t="n"/>
      <c r="W514" s="85" t="n"/>
      <c r="X514" s="85" t="n"/>
      <c r="Y514" s="85" t="n"/>
      <c r="Z514" s="85" t="n"/>
      <c r="AA514" s="85" t="n"/>
      <c r="AB514" s="85" t="n"/>
      <c r="AC514" s="86" t="n"/>
      <c r="AD514" s="85">
        <f>IF($A514="","",IF(OR($AB514&lt;&gt;"Yes",$AC514="",TODAY()-$AC514&gt;90),"At Risk","Not At Risk"))</f>
        <v/>
      </c>
      <c r="AE514" s="85" t="n"/>
    </row>
    <row r="515" ht="15" customHeight="1" s="39">
      <c r="A515" s="85" t="n"/>
      <c r="B515" s="85" t="n"/>
      <c r="C515" s="85" t="n"/>
      <c r="D515" s="85" t="n"/>
      <c r="E515" s="85" t="n"/>
      <c r="F515" s="85" t="n"/>
      <c r="G515" s="85" t="n"/>
      <c r="H515" s="85" t="n"/>
      <c r="I515" s="85" t="n"/>
      <c r="J515" s="85" t="n"/>
      <c r="K515" s="85" t="n"/>
      <c r="L515" s="85" t="n"/>
      <c r="M515" s="85" t="n"/>
      <c r="N515" s="85" t="n"/>
      <c r="O515" s="85" t="n"/>
      <c r="P515" s="85" t="n"/>
      <c r="Q515" s="85" t="n"/>
      <c r="R515" s="85" t="n"/>
      <c r="S515" s="85" t="n"/>
      <c r="T515" s="85" t="n"/>
      <c r="U515" s="85" t="n"/>
      <c r="V515" s="85" t="n"/>
      <c r="W515" s="85" t="n"/>
      <c r="X515" s="85" t="n"/>
      <c r="Y515" s="85" t="n"/>
      <c r="Z515" s="85" t="n"/>
      <c r="AA515" s="85" t="n"/>
      <c r="AB515" s="85" t="n"/>
      <c r="AC515" s="86" t="n"/>
      <c r="AD515" s="85">
        <f>IF($A515="","",IF(OR($AB515&lt;&gt;"Yes",$AC515="",TODAY()-$AC515&gt;90),"At Risk","Not At Risk"))</f>
        <v/>
      </c>
      <c r="AE515" s="85" t="n"/>
    </row>
    <row r="516" ht="15" customHeight="1" s="39">
      <c r="A516" s="85" t="n"/>
      <c r="B516" s="85" t="n"/>
      <c r="C516" s="85" t="n"/>
      <c r="D516" s="85" t="n"/>
      <c r="E516" s="85" t="n"/>
      <c r="F516" s="85" t="n"/>
      <c r="G516" s="85" t="n"/>
      <c r="H516" s="85" t="n"/>
      <c r="I516" s="85" t="n"/>
      <c r="J516" s="85" t="n"/>
      <c r="K516" s="85" t="n"/>
      <c r="L516" s="85" t="n"/>
      <c r="M516" s="85" t="n"/>
      <c r="N516" s="85" t="n"/>
      <c r="O516" s="85" t="n"/>
      <c r="P516" s="85" t="n"/>
      <c r="Q516" s="85" t="n"/>
      <c r="R516" s="85" t="n"/>
      <c r="S516" s="85" t="n"/>
      <c r="T516" s="85" t="n"/>
      <c r="U516" s="85" t="n"/>
      <c r="V516" s="85" t="n"/>
      <c r="W516" s="85" t="n"/>
      <c r="X516" s="85" t="n"/>
      <c r="Y516" s="85" t="n"/>
      <c r="Z516" s="85" t="n"/>
      <c r="AA516" s="85" t="n"/>
      <c r="AB516" s="85" t="n"/>
      <c r="AC516" s="86" t="n"/>
      <c r="AD516" s="85">
        <f>IF($A516="","",IF(OR($AB516&lt;&gt;"Yes",$AC516="",TODAY()-$AC516&gt;90),"At Risk","Not At Risk"))</f>
        <v/>
      </c>
      <c r="AE516" s="85" t="n"/>
    </row>
    <row r="517" ht="15" customHeight="1" s="39">
      <c r="A517" s="85" t="n"/>
      <c r="B517" s="85" t="n"/>
      <c r="C517" s="85" t="n"/>
      <c r="D517" s="85" t="n"/>
      <c r="E517" s="85" t="n"/>
      <c r="F517" s="85" t="n"/>
      <c r="G517" s="85" t="n"/>
      <c r="H517" s="85" t="n"/>
      <c r="I517" s="85" t="n"/>
      <c r="J517" s="85" t="n"/>
      <c r="K517" s="85" t="n"/>
      <c r="L517" s="85" t="n"/>
      <c r="M517" s="85" t="n"/>
      <c r="N517" s="85" t="n"/>
      <c r="O517" s="85" t="n"/>
      <c r="P517" s="85" t="n"/>
      <c r="Q517" s="85" t="n"/>
      <c r="R517" s="85" t="n"/>
      <c r="S517" s="85" t="n"/>
      <c r="T517" s="85" t="n"/>
      <c r="U517" s="85" t="n"/>
      <c r="V517" s="85" t="n"/>
      <c r="W517" s="85" t="n"/>
      <c r="X517" s="85" t="n"/>
      <c r="Y517" s="85" t="n"/>
      <c r="Z517" s="85" t="n"/>
      <c r="AA517" s="85" t="n"/>
      <c r="AB517" s="85" t="n"/>
      <c r="AC517" s="86" t="n"/>
      <c r="AD517" s="85">
        <f>IF($A517="","",IF(OR($AB517&lt;&gt;"Yes",$AC517="",TODAY()-$AC517&gt;90),"At Risk","Not At Risk"))</f>
        <v/>
      </c>
      <c r="AE517" s="85" t="n"/>
    </row>
    <row r="518" ht="15" customHeight="1" s="39">
      <c r="A518" s="85" t="n"/>
      <c r="B518" s="85" t="n"/>
      <c r="C518" s="85" t="n"/>
      <c r="D518" s="85" t="n"/>
      <c r="E518" s="85" t="n"/>
      <c r="F518" s="85" t="n"/>
      <c r="G518" s="85" t="n"/>
      <c r="H518" s="85" t="n"/>
      <c r="I518" s="85" t="n"/>
      <c r="J518" s="85" t="n"/>
      <c r="K518" s="85" t="n"/>
      <c r="L518" s="85" t="n"/>
      <c r="M518" s="85" t="n"/>
      <c r="N518" s="85" t="n"/>
      <c r="O518" s="85" t="n"/>
      <c r="P518" s="85" t="n"/>
      <c r="Q518" s="85" t="n"/>
      <c r="R518" s="85" t="n"/>
      <c r="S518" s="85" t="n"/>
      <c r="T518" s="85" t="n"/>
      <c r="U518" s="85" t="n"/>
      <c r="V518" s="85" t="n"/>
      <c r="W518" s="85" t="n"/>
      <c r="X518" s="85" t="n"/>
      <c r="Y518" s="85" t="n"/>
      <c r="Z518" s="85" t="n"/>
      <c r="AA518" s="85" t="n"/>
      <c r="AB518" s="85" t="n"/>
      <c r="AC518" s="86" t="n"/>
      <c r="AD518" s="85">
        <f>IF($A518="","",IF(OR($AB518&lt;&gt;"Yes",$AC518="",TODAY()-$AC518&gt;90),"At Risk","Not At Risk"))</f>
        <v/>
      </c>
      <c r="AE518" s="85" t="n"/>
    </row>
    <row r="519" ht="15" customHeight="1" s="39">
      <c r="A519" s="85" t="n"/>
      <c r="B519" s="85" t="n"/>
      <c r="C519" s="85" t="n"/>
      <c r="D519" s="85" t="n"/>
      <c r="E519" s="85" t="n"/>
      <c r="F519" s="85" t="n"/>
      <c r="G519" s="85" t="n"/>
      <c r="H519" s="85" t="n"/>
      <c r="I519" s="85" t="n"/>
      <c r="J519" s="85" t="n"/>
      <c r="K519" s="85" t="n"/>
      <c r="L519" s="85" t="n"/>
      <c r="M519" s="85" t="n"/>
      <c r="N519" s="85" t="n"/>
      <c r="O519" s="85" t="n"/>
      <c r="P519" s="85" t="n"/>
      <c r="Q519" s="85" t="n"/>
      <c r="R519" s="85" t="n"/>
      <c r="S519" s="85" t="n"/>
      <c r="T519" s="85" t="n"/>
      <c r="U519" s="85" t="n"/>
      <c r="V519" s="85" t="n"/>
      <c r="W519" s="85" t="n"/>
      <c r="X519" s="85" t="n"/>
      <c r="Y519" s="85" t="n"/>
      <c r="Z519" s="85" t="n"/>
      <c r="AA519" s="85" t="n"/>
      <c r="AB519" s="85" t="n"/>
      <c r="AC519" s="86" t="n"/>
      <c r="AD519" s="85">
        <f>IF($A519="","",IF(OR($AB519&lt;&gt;"Yes",$AC519="",TODAY()-$AC519&gt;90),"At Risk","Not At Risk"))</f>
        <v/>
      </c>
      <c r="AE519" s="85" t="n"/>
    </row>
    <row r="520" ht="15" customHeight="1" s="39">
      <c r="A520" s="85" t="n"/>
      <c r="B520" s="85" t="n"/>
      <c r="C520" s="85" t="n"/>
      <c r="D520" s="85" t="n"/>
      <c r="E520" s="85" t="n"/>
      <c r="F520" s="85" t="n"/>
      <c r="G520" s="85" t="n"/>
      <c r="H520" s="85" t="n"/>
      <c r="I520" s="85" t="n"/>
      <c r="J520" s="85" t="n"/>
      <c r="K520" s="85" t="n"/>
      <c r="L520" s="85" t="n"/>
      <c r="M520" s="85" t="n"/>
      <c r="N520" s="85" t="n"/>
      <c r="O520" s="85" t="n"/>
      <c r="P520" s="85" t="n"/>
      <c r="Q520" s="85" t="n"/>
      <c r="R520" s="85" t="n"/>
      <c r="S520" s="85" t="n"/>
      <c r="T520" s="85" t="n"/>
      <c r="U520" s="85" t="n"/>
      <c r="V520" s="85" t="n"/>
      <c r="W520" s="85" t="n"/>
      <c r="X520" s="85" t="n"/>
      <c r="Y520" s="85" t="n"/>
      <c r="Z520" s="85" t="n"/>
      <c r="AA520" s="85" t="n"/>
      <c r="AB520" s="85" t="n"/>
      <c r="AC520" s="86" t="n"/>
      <c r="AD520" s="85">
        <f>IF($A520="","",IF(OR($AB520&lt;&gt;"Yes",$AC520="",TODAY()-$AC520&gt;90),"At Risk","Not At Risk"))</f>
        <v/>
      </c>
      <c r="AE520" s="85" t="n"/>
    </row>
    <row r="521" ht="15" customHeight="1" s="39">
      <c r="A521" s="85" t="n"/>
      <c r="B521" s="85" t="n"/>
      <c r="C521" s="85" t="n"/>
      <c r="D521" s="85" t="n"/>
      <c r="E521" s="85" t="n"/>
      <c r="F521" s="85" t="n"/>
      <c r="G521" s="85" t="n"/>
      <c r="H521" s="85" t="n"/>
      <c r="I521" s="85" t="n"/>
      <c r="J521" s="85" t="n"/>
      <c r="K521" s="85" t="n"/>
      <c r="L521" s="85" t="n"/>
      <c r="M521" s="85" t="n"/>
      <c r="N521" s="85" t="n"/>
      <c r="O521" s="85" t="n"/>
      <c r="P521" s="85" t="n"/>
      <c r="Q521" s="85" t="n"/>
      <c r="R521" s="85" t="n"/>
      <c r="S521" s="85" t="n"/>
      <c r="T521" s="85" t="n"/>
      <c r="U521" s="85" t="n"/>
      <c r="V521" s="85" t="n"/>
      <c r="W521" s="85" t="n"/>
      <c r="X521" s="85" t="n"/>
      <c r="Y521" s="85" t="n"/>
      <c r="Z521" s="85" t="n"/>
      <c r="AA521" s="85" t="n"/>
      <c r="AB521" s="85" t="n"/>
      <c r="AC521" s="86" t="n"/>
      <c r="AD521" s="85">
        <f>IF($A521="","",IF(OR($AB521&lt;&gt;"Yes",$AC521="",TODAY()-$AC521&gt;90),"At Risk","Not At Risk"))</f>
        <v/>
      </c>
      <c r="AE521" s="85" t="n"/>
    </row>
    <row r="522" ht="15" customHeight="1" s="39">
      <c r="A522" s="85" t="n"/>
      <c r="B522" s="85" t="n"/>
      <c r="C522" s="85" t="n"/>
      <c r="D522" s="85" t="n"/>
      <c r="E522" s="85" t="n"/>
      <c r="F522" s="85" t="n"/>
      <c r="G522" s="85" t="n"/>
      <c r="H522" s="85" t="n"/>
      <c r="I522" s="85" t="n"/>
      <c r="J522" s="85" t="n"/>
      <c r="K522" s="85" t="n"/>
      <c r="L522" s="85" t="n"/>
      <c r="M522" s="85" t="n"/>
      <c r="N522" s="85" t="n"/>
      <c r="O522" s="85" t="n"/>
      <c r="P522" s="85" t="n"/>
      <c r="Q522" s="85" t="n"/>
      <c r="R522" s="85" t="n"/>
      <c r="S522" s="85" t="n"/>
      <c r="T522" s="85" t="n"/>
      <c r="U522" s="85" t="n"/>
      <c r="V522" s="85" t="n"/>
      <c r="W522" s="85" t="n"/>
      <c r="X522" s="85" t="n"/>
      <c r="Y522" s="85" t="n"/>
      <c r="Z522" s="85" t="n"/>
      <c r="AA522" s="85" t="n"/>
      <c r="AB522" s="85" t="n"/>
      <c r="AC522" s="86" t="n"/>
      <c r="AD522" s="85">
        <f>IF($A522="","",IF(OR($AB522&lt;&gt;"Yes",$AC522="",TODAY()-$AC522&gt;90),"At Risk","Not At Risk"))</f>
        <v/>
      </c>
      <c r="AE522" s="85" t="n"/>
    </row>
    <row r="523" ht="15" customHeight="1" s="39">
      <c r="A523" s="85" t="n"/>
      <c r="B523" s="85" t="n"/>
      <c r="C523" s="85" t="n"/>
      <c r="D523" s="85" t="n"/>
      <c r="E523" s="85" t="n"/>
      <c r="F523" s="85" t="n"/>
      <c r="G523" s="85" t="n"/>
      <c r="H523" s="85" t="n"/>
      <c r="I523" s="85" t="n"/>
      <c r="J523" s="85" t="n"/>
      <c r="K523" s="85" t="n"/>
      <c r="L523" s="85" t="n"/>
      <c r="M523" s="85" t="n"/>
      <c r="N523" s="85" t="n"/>
      <c r="O523" s="85" t="n"/>
      <c r="P523" s="85" t="n"/>
      <c r="Q523" s="85" t="n"/>
      <c r="R523" s="85" t="n"/>
      <c r="S523" s="85" t="n"/>
      <c r="T523" s="85" t="n"/>
      <c r="U523" s="85" t="n"/>
      <c r="V523" s="85" t="n"/>
      <c r="W523" s="85" t="n"/>
      <c r="X523" s="85" t="n"/>
      <c r="Y523" s="85" t="n"/>
      <c r="Z523" s="85" t="n"/>
      <c r="AA523" s="85" t="n"/>
      <c r="AB523" s="85" t="n"/>
      <c r="AC523" s="86" t="n"/>
      <c r="AD523" s="85">
        <f>IF($A523="","",IF(OR($AB523&lt;&gt;"Yes",$AC523="",TODAY()-$AC523&gt;90),"At Risk","Not At Risk"))</f>
        <v/>
      </c>
      <c r="AE523" s="85" t="n"/>
    </row>
    <row r="524" ht="15" customHeight="1" s="39">
      <c r="A524" s="85" t="n"/>
      <c r="B524" s="85" t="n"/>
      <c r="C524" s="85" t="n"/>
      <c r="D524" s="85" t="n"/>
      <c r="E524" s="85" t="n"/>
      <c r="F524" s="85" t="n"/>
      <c r="G524" s="85" t="n"/>
      <c r="H524" s="85" t="n"/>
      <c r="I524" s="85" t="n"/>
      <c r="J524" s="85" t="n"/>
      <c r="K524" s="85" t="n"/>
      <c r="L524" s="85" t="n"/>
      <c r="M524" s="85" t="n"/>
      <c r="N524" s="85" t="n"/>
      <c r="O524" s="85" t="n"/>
      <c r="P524" s="85" t="n"/>
      <c r="Q524" s="85" t="n"/>
      <c r="R524" s="85" t="n"/>
      <c r="S524" s="85" t="n"/>
      <c r="T524" s="85" t="n"/>
      <c r="U524" s="85" t="n"/>
      <c r="V524" s="85" t="n"/>
      <c r="W524" s="85" t="n"/>
      <c r="X524" s="85" t="n"/>
      <c r="Y524" s="85" t="n"/>
      <c r="Z524" s="85" t="n"/>
      <c r="AA524" s="85" t="n"/>
      <c r="AB524" s="85" t="n"/>
      <c r="AC524" s="86" t="n"/>
      <c r="AD524" s="85">
        <f>IF($A524="","",IF(OR($AB524&lt;&gt;"Yes",$AC524="",TODAY()-$AC524&gt;90),"At Risk","Not At Risk"))</f>
        <v/>
      </c>
      <c r="AE524" s="85" t="n"/>
    </row>
    <row r="525" ht="15" customHeight="1" s="39">
      <c r="A525" s="85" t="n"/>
      <c r="B525" s="85" t="n"/>
      <c r="C525" s="85" t="n"/>
      <c r="D525" s="85" t="n"/>
      <c r="E525" s="85" t="n"/>
      <c r="F525" s="85" t="n"/>
      <c r="G525" s="85" t="n"/>
      <c r="H525" s="85" t="n"/>
      <c r="I525" s="85" t="n"/>
      <c r="J525" s="85" t="n"/>
      <c r="K525" s="85" t="n"/>
      <c r="L525" s="85" t="n"/>
      <c r="M525" s="85" t="n"/>
      <c r="N525" s="85" t="n"/>
      <c r="O525" s="85" t="n"/>
      <c r="P525" s="85" t="n"/>
      <c r="Q525" s="85" t="n"/>
      <c r="R525" s="85" t="n"/>
      <c r="S525" s="85" t="n"/>
      <c r="T525" s="85" t="n"/>
      <c r="U525" s="85" t="n"/>
      <c r="V525" s="85" t="n"/>
      <c r="W525" s="85" t="n"/>
      <c r="X525" s="85" t="n"/>
      <c r="Y525" s="85" t="n"/>
      <c r="Z525" s="85" t="n"/>
      <c r="AA525" s="85" t="n"/>
      <c r="AB525" s="85" t="n"/>
      <c r="AC525" s="86" t="n"/>
      <c r="AD525" s="85">
        <f>IF($A525="","",IF(OR($AB525&lt;&gt;"Yes",$AC525="",TODAY()-$AC525&gt;90),"At Risk","Not At Risk"))</f>
        <v/>
      </c>
      <c r="AE525" s="85" t="n"/>
    </row>
    <row r="526" ht="15" customHeight="1" s="39">
      <c r="A526" s="85" t="n"/>
      <c r="B526" s="85" t="n"/>
      <c r="C526" s="85" t="n"/>
      <c r="D526" s="85" t="n"/>
      <c r="E526" s="85" t="n"/>
      <c r="F526" s="85" t="n"/>
      <c r="G526" s="85" t="n"/>
      <c r="H526" s="85" t="n"/>
      <c r="I526" s="85" t="n"/>
      <c r="J526" s="85" t="n"/>
      <c r="K526" s="85" t="n"/>
      <c r="L526" s="85" t="n"/>
      <c r="M526" s="85" t="n"/>
      <c r="N526" s="85" t="n"/>
      <c r="O526" s="85" t="n"/>
      <c r="P526" s="85" t="n"/>
      <c r="Q526" s="85" t="n"/>
      <c r="R526" s="85" t="n"/>
      <c r="S526" s="85" t="n"/>
      <c r="T526" s="85" t="n"/>
      <c r="U526" s="85" t="n"/>
      <c r="V526" s="85" t="n"/>
      <c r="W526" s="85" t="n"/>
      <c r="X526" s="85" t="n"/>
      <c r="Y526" s="85" t="n"/>
      <c r="Z526" s="85" t="n"/>
      <c r="AA526" s="85" t="n"/>
      <c r="AB526" s="85" t="n"/>
      <c r="AC526" s="86" t="n"/>
      <c r="AD526" s="85">
        <f>IF($A526="","",IF(OR($AB526&lt;&gt;"Yes",$AC526="",TODAY()-$AC526&gt;90),"At Risk","Not At Risk"))</f>
        <v/>
      </c>
      <c r="AE526" s="85" t="n"/>
    </row>
    <row r="527" ht="15" customHeight="1" s="39">
      <c r="A527" s="85" t="n"/>
      <c r="B527" s="85" t="n"/>
      <c r="C527" s="85" t="n"/>
      <c r="D527" s="85" t="n"/>
      <c r="E527" s="85" t="n"/>
      <c r="F527" s="85" t="n"/>
      <c r="G527" s="85" t="n"/>
      <c r="H527" s="85" t="n"/>
      <c r="I527" s="85" t="n"/>
      <c r="J527" s="85" t="n"/>
      <c r="K527" s="85" t="n"/>
      <c r="L527" s="85" t="n"/>
      <c r="M527" s="85" t="n"/>
      <c r="N527" s="85" t="n"/>
      <c r="O527" s="85" t="n"/>
      <c r="P527" s="85" t="n"/>
      <c r="Q527" s="85" t="n"/>
      <c r="R527" s="85" t="n"/>
      <c r="S527" s="85" t="n"/>
      <c r="T527" s="85" t="n"/>
      <c r="U527" s="85" t="n"/>
      <c r="V527" s="85" t="n"/>
      <c r="W527" s="85" t="n"/>
      <c r="X527" s="85" t="n"/>
      <c r="Y527" s="85" t="n"/>
      <c r="Z527" s="85" t="n"/>
      <c r="AA527" s="85" t="n"/>
      <c r="AB527" s="85" t="n"/>
      <c r="AC527" s="86" t="n"/>
      <c r="AD527" s="85">
        <f>IF($A527="","",IF(OR($AB527&lt;&gt;"Yes",$AC527="",TODAY()-$AC527&gt;90),"At Risk","Not At Risk"))</f>
        <v/>
      </c>
      <c r="AE527" s="85" t="n"/>
    </row>
    <row r="528" ht="15" customHeight="1" s="39">
      <c r="A528" s="85" t="n"/>
      <c r="B528" s="85" t="n"/>
      <c r="C528" s="85" t="n"/>
      <c r="D528" s="85" t="n"/>
      <c r="E528" s="85" t="n"/>
      <c r="F528" s="85" t="n"/>
      <c r="G528" s="85" t="n"/>
      <c r="H528" s="85" t="n"/>
      <c r="I528" s="85" t="n"/>
      <c r="J528" s="85" t="n"/>
      <c r="K528" s="85" t="n"/>
      <c r="L528" s="85" t="n"/>
      <c r="M528" s="85" t="n"/>
      <c r="N528" s="85" t="n"/>
      <c r="O528" s="85" t="n"/>
      <c r="P528" s="85" t="n"/>
      <c r="Q528" s="85" t="n"/>
      <c r="R528" s="85" t="n"/>
      <c r="S528" s="85" t="n"/>
      <c r="T528" s="85" t="n"/>
      <c r="U528" s="85" t="n"/>
      <c r="V528" s="85" t="n"/>
      <c r="W528" s="85" t="n"/>
      <c r="X528" s="85" t="n"/>
      <c r="Y528" s="85" t="n"/>
      <c r="Z528" s="85" t="n"/>
      <c r="AA528" s="85" t="n"/>
      <c r="AB528" s="85" t="n"/>
      <c r="AC528" s="86" t="n"/>
      <c r="AD528" s="85">
        <f>IF($A528="","",IF(OR($AB528&lt;&gt;"Yes",$AC528="",TODAY()-$AC528&gt;90),"At Risk","Not At Risk"))</f>
        <v/>
      </c>
      <c r="AE528" s="85" t="n"/>
    </row>
    <row r="529" ht="15" customHeight="1" s="39">
      <c r="A529" s="85" t="n"/>
      <c r="B529" s="85" t="n"/>
      <c r="C529" s="85" t="n"/>
      <c r="D529" s="85" t="n"/>
      <c r="E529" s="85" t="n"/>
      <c r="F529" s="85" t="n"/>
      <c r="G529" s="85" t="n"/>
      <c r="H529" s="85" t="n"/>
      <c r="I529" s="85" t="n"/>
      <c r="J529" s="85" t="n"/>
      <c r="K529" s="85" t="n"/>
      <c r="L529" s="85" t="n"/>
      <c r="M529" s="85" t="n"/>
      <c r="N529" s="85" t="n"/>
      <c r="O529" s="85" t="n"/>
      <c r="P529" s="85" t="n"/>
      <c r="Q529" s="85" t="n"/>
      <c r="R529" s="85" t="n"/>
      <c r="S529" s="85" t="n"/>
      <c r="T529" s="85" t="n"/>
      <c r="U529" s="85" t="n"/>
      <c r="V529" s="85" t="n"/>
      <c r="W529" s="85" t="n"/>
      <c r="X529" s="85" t="n"/>
      <c r="Y529" s="85" t="n"/>
      <c r="Z529" s="85" t="n"/>
      <c r="AA529" s="85" t="n"/>
      <c r="AB529" s="85" t="n"/>
      <c r="AC529" s="86" t="n"/>
      <c r="AD529" s="85">
        <f>IF($A529="","",IF(OR($AB529&lt;&gt;"Yes",$AC529="",TODAY()-$AC529&gt;90),"At Risk","Not At Risk"))</f>
        <v/>
      </c>
      <c r="AE529" s="85" t="n"/>
    </row>
    <row r="530" ht="15" customHeight="1" s="39">
      <c r="A530" s="85" t="n"/>
      <c r="B530" s="85" t="n"/>
      <c r="C530" s="85" t="n"/>
      <c r="D530" s="85" t="n"/>
      <c r="E530" s="85" t="n"/>
      <c r="F530" s="85" t="n"/>
      <c r="G530" s="85" t="n"/>
      <c r="H530" s="85" t="n"/>
      <c r="I530" s="85" t="n"/>
      <c r="J530" s="85" t="n"/>
      <c r="K530" s="85" t="n"/>
      <c r="L530" s="85" t="n"/>
      <c r="M530" s="85" t="n"/>
      <c r="N530" s="85" t="n"/>
      <c r="O530" s="85" t="n"/>
      <c r="P530" s="85" t="n"/>
      <c r="Q530" s="85" t="n"/>
      <c r="R530" s="85" t="n"/>
      <c r="S530" s="85" t="n"/>
      <c r="T530" s="85" t="n"/>
      <c r="U530" s="85" t="n"/>
      <c r="V530" s="85" t="n"/>
      <c r="W530" s="85" t="n"/>
      <c r="X530" s="85" t="n"/>
      <c r="Y530" s="85" t="n"/>
      <c r="Z530" s="85" t="n"/>
      <c r="AA530" s="85" t="n"/>
      <c r="AB530" s="85" t="n"/>
      <c r="AC530" s="86" t="n"/>
      <c r="AD530" s="85">
        <f>IF($A530="","",IF(OR($AB530&lt;&gt;"Yes",$AC530="",TODAY()-$AC530&gt;90),"At Risk","Not At Risk"))</f>
        <v/>
      </c>
      <c r="AE530" s="85" t="n"/>
    </row>
    <row r="531" ht="15" customHeight="1" s="39">
      <c r="A531" s="85" t="n"/>
      <c r="B531" s="85" t="n"/>
      <c r="C531" s="85" t="n"/>
      <c r="D531" s="85" t="n"/>
      <c r="E531" s="85" t="n"/>
      <c r="F531" s="85" t="n"/>
      <c r="G531" s="85" t="n"/>
      <c r="H531" s="85" t="n"/>
      <c r="I531" s="85" t="n"/>
      <c r="J531" s="85" t="n"/>
      <c r="K531" s="85" t="n"/>
      <c r="L531" s="85" t="n"/>
      <c r="M531" s="85" t="n"/>
      <c r="N531" s="85" t="n"/>
      <c r="O531" s="85" t="n"/>
      <c r="P531" s="85" t="n"/>
      <c r="Q531" s="85" t="n"/>
      <c r="R531" s="85" t="n"/>
      <c r="S531" s="85" t="n"/>
      <c r="T531" s="85" t="n"/>
      <c r="U531" s="85" t="n"/>
      <c r="V531" s="85" t="n"/>
      <c r="W531" s="85" t="n"/>
      <c r="X531" s="85" t="n"/>
      <c r="Y531" s="85" t="n"/>
      <c r="Z531" s="85" t="n"/>
      <c r="AA531" s="85" t="n"/>
      <c r="AB531" s="85" t="n"/>
      <c r="AC531" s="86" t="n"/>
      <c r="AD531" s="85">
        <f>IF($A531="","",IF(OR($AB531&lt;&gt;"Yes",$AC531="",TODAY()-$AC531&gt;90),"At Risk","Not At Risk"))</f>
        <v/>
      </c>
      <c r="AE531" s="85" t="n"/>
    </row>
    <row r="532" ht="15" customHeight="1" s="39">
      <c r="A532" s="85" t="n"/>
      <c r="B532" s="85" t="n"/>
      <c r="C532" s="85" t="n"/>
      <c r="D532" s="85" t="n"/>
      <c r="E532" s="85" t="n"/>
      <c r="F532" s="85" t="n"/>
      <c r="G532" s="85" t="n"/>
      <c r="H532" s="85" t="n"/>
      <c r="I532" s="85" t="n"/>
      <c r="J532" s="85" t="n"/>
      <c r="K532" s="85" t="n"/>
      <c r="L532" s="85" t="n"/>
      <c r="M532" s="85" t="n"/>
      <c r="N532" s="85" t="n"/>
      <c r="O532" s="85" t="n"/>
      <c r="P532" s="85" t="n"/>
      <c r="Q532" s="85" t="n"/>
      <c r="R532" s="85" t="n"/>
      <c r="S532" s="85" t="n"/>
      <c r="T532" s="85" t="n"/>
      <c r="U532" s="85" t="n"/>
      <c r="V532" s="85" t="n"/>
      <c r="W532" s="85" t="n"/>
      <c r="X532" s="85" t="n"/>
      <c r="Y532" s="85" t="n"/>
      <c r="Z532" s="85" t="n"/>
      <c r="AA532" s="85" t="n"/>
      <c r="AB532" s="85" t="n"/>
      <c r="AC532" s="86" t="n"/>
      <c r="AD532" s="85">
        <f>IF($A532="","",IF(OR($AB532&lt;&gt;"Yes",$AC532="",TODAY()-$AC532&gt;90),"At Risk","Not At Risk"))</f>
        <v/>
      </c>
      <c r="AE532" s="85" t="n"/>
    </row>
    <row r="533" ht="15" customHeight="1" s="39">
      <c r="A533" s="85" t="n"/>
      <c r="B533" s="85" t="n"/>
      <c r="C533" s="85" t="n"/>
      <c r="D533" s="85" t="n"/>
      <c r="E533" s="85" t="n"/>
      <c r="F533" s="85" t="n"/>
      <c r="G533" s="85" t="n"/>
      <c r="H533" s="85" t="n"/>
      <c r="I533" s="85" t="n"/>
      <c r="J533" s="85" t="n"/>
      <c r="K533" s="85" t="n"/>
      <c r="L533" s="85" t="n"/>
      <c r="M533" s="85" t="n"/>
      <c r="N533" s="85" t="n"/>
      <c r="O533" s="85" t="n"/>
      <c r="P533" s="85" t="n"/>
      <c r="Q533" s="85" t="n"/>
      <c r="R533" s="85" t="n"/>
      <c r="S533" s="85" t="n"/>
      <c r="T533" s="85" t="n"/>
      <c r="U533" s="85" t="n"/>
      <c r="V533" s="85" t="n"/>
      <c r="W533" s="85" t="n"/>
      <c r="X533" s="85" t="n"/>
      <c r="Y533" s="85" t="n"/>
      <c r="Z533" s="85" t="n"/>
      <c r="AA533" s="85" t="n"/>
      <c r="AB533" s="85" t="n"/>
      <c r="AC533" s="86" t="n"/>
      <c r="AD533" s="85">
        <f>IF($A533="","",IF(OR($AB533&lt;&gt;"Yes",$AC533="",TODAY()-$AC533&gt;90),"At Risk","Not At Risk"))</f>
        <v/>
      </c>
      <c r="AE533" s="85" t="n"/>
    </row>
    <row r="534" ht="15" customHeight="1" s="39">
      <c r="A534" s="85" t="n"/>
      <c r="B534" s="85" t="n"/>
      <c r="C534" s="85" t="n"/>
      <c r="D534" s="85" t="n"/>
      <c r="E534" s="85" t="n"/>
      <c r="F534" s="85" t="n"/>
      <c r="G534" s="85" t="n"/>
      <c r="H534" s="85" t="n"/>
      <c r="I534" s="85" t="n"/>
      <c r="J534" s="85" t="n"/>
      <c r="K534" s="85" t="n"/>
      <c r="L534" s="85" t="n"/>
      <c r="M534" s="85" t="n"/>
      <c r="N534" s="85" t="n"/>
      <c r="O534" s="85" t="n"/>
      <c r="P534" s="85" t="n"/>
      <c r="Q534" s="85" t="n"/>
      <c r="R534" s="85" t="n"/>
      <c r="S534" s="85" t="n"/>
      <c r="T534" s="85" t="n"/>
      <c r="U534" s="85" t="n"/>
      <c r="V534" s="85" t="n"/>
      <c r="W534" s="85" t="n"/>
      <c r="X534" s="85" t="n"/>
      <c r="Y534" s="85" t="n"/>
      <c r="Z534" s="85" t="n"/>
      <c r="AA534" s="85" t="n"/>
      <c r="AB534" s="85" t="n"/>
      <c r="AC534" s="86" t="n"/>
      <c r="AD534" s="85">
        <f>IF($A534="","",IF(OR($AB534&lt;&gt;"Yes",$AC534="",TODAY()-$AC534&gt;90),"At Risk","Not At Risk"))</f>
        <v/>
      </c>
      <c r="AE534" s="85" t="n"/>
    </row>
    <row r="535" ht="15" customHeight="1" s="39">
      <c r="A535" s="85" t="n"/>
      <c r="B535" s="85" t="n"/>
      <c r="C535" s="85" t="n"/>
      <c r="D535" s="85" t="n"/>
      <c r="E535" s="85" t="n"/>
      <c r="F535" s="85" t="n"/>
      <c r="G535" s="85" t="n"/>
      <c r="H535" s="85" t="n"/>
      <c r="I535" s="85" t="n"/>
      <c r="J535" s="85" t="n"/>
      <c r="K535" s="85" t="n"/>
      <c r="L535" s="85" t="n"/>
      <c r="M535" s="85" t="n"/>
      <c r="N535" s="85" t="n"/>
      <c r="O535" s="85" t="n"/>
      <c r="P535" s="85" t="n"/>
      <c r="Q535" s="85" t="n"/>
      <c r="R535" s="85" t="n"/>
      <c r="S535" s="85" t="n"/>
      <c r="T535" s="85" t="n"/>
      <c r="U535" s="85" t="n"/>
      <c r="V535" s="85" t="n"/>
      <c r="W535" s="85" t="n"/>
      <c r="X535" s="85" t="n"/>
      <c r="Y535" s="85" t="n"/>
      <c r="Z535" s="85" t="n"/>
      <c r="AA535" s="85" t="n"/>
      <c r="AB535" s="85" t="n"/>
      <c r="AC535" s="86" t="n"/>
      <c r="AD535" s="85">
        <f>IF($A535="","",IF(OR($AB535&lt;&gt;"Yes",$AC535="",TODAY()-$AC535&gt;90),"At Risk","Not At Risk"))</f>
        <v/>
      </c>
      <c r="AE535" s="85" t="n"/>
    </row>
    <row r="536" ht="15" customHeight="1" s="39">
      <c r="A536" s="85" t="n"/>
      <c r="B536" s="85" t="n"/>
      <c r="C536" s="85" t="n"/>
      <c r="D536" s="85" t="n"/>
      <c r="E536" s="85" t="n"/>
      <c r="F536" s="85" t="n"/>
      <c r="G536" s="85" t="n"/>
      <c r="H536" s="85" t="n"/>
      <c r="I536" s="85" t="n"/>
      <c r="J536" s="85" t="n"/>
      <c r="K536" s="85" t="n"/>
      <c r="L536" s="85" t="n"/>
      <c r="M536" s="85" t="n"/>
      <c r="N536" s="85" t="n"/>
      <c r="O536" s="85" t="n"/>
      <c r="P536" s="85" t="n"/>
      <c r="Q536" s="85" t="n"/>
      <c r="R536" s="85" t="n"/>
      <c r="S536" s="85" t="n"/>
      <c r="T536" s="85" t="n"/>
      <c r="U536" s="85" t="n"/>
      <c r="V536" s="85" t="n"/>
      <c r="W536" s="85" t="n"/>
      <c r="X536" s="85" t="n"/>
      <c r="Y536" s="85" t="n"/>
      <c r="Z536" s="85" t="n"/>
      <c r="AA536" s="85" t="n"/>
      <c r="AB536" s="85" t="n"/>
      <c r="AC536" s="86" t="n"/>
      <c r="AD536" s="85">
        <f>IF($A536="","",IF(OR($AB536&lt;&gt;"Yes",$AC536="",TODAY()-$AC536&gt;90),"At Risk","Not At Risk"))</f>
        <v/>
      </c>
      <c r="AE536" s="85" t="n"/>
    </row>
    <row r="537" ht="15" customHeight="1" s="39">
      <c r="A537" s="85" t="n"/>
      <c r="B537" s="85" t="n"/>
      <c r="C537" s="85" t="n"/>
      <c r="D537" s="85" t="n"/>
      <c r="E537" s="85" t="n"/>
      <c r="F537" s="85" t="n"/>
      <c r="G537" s="85" t="n"/>
      <c r="H537" s="85" t="n"/>
      <c r="I537" s="85" t="n"/>
      <c r="J537" s="85" t="n"/>
      <c r="K537" s="85" t="n"/>
      <c r="L537" s="85" t="n"/>
      <c r="M537" s="85" t="n"/>
      <c r="N537" s="85" t="n"/>
      <c r="O537" s="85" t="n"/>
      <c r="P537" s="85" t="n"/>
      <c r="Q537" s="85" t="n"/>
      <c r="R537" s="85" t="n"/>
      <c r="S537" s="85" t="n"/>
      <c r="T537" s="85" t="n"/>
      <c r="U537" s="85" t="n"/>
      <c r="V537" s="85" t="n"/>
      <c r="W537" s="85" t="n"/>
      <c r="X537" s="85" t="n"/>
      <c r="Y537" s="85" t="n"/>
      <c r="Z537" s="85" t="n"/>
      <c r="AA537" s="85" t="n"/>
      <c r="AB537" s="85" t="n"/>
      <c r="AC537" s="86" t="n"/>
      <c r="AD537" s="85">
        <f>IF($A537="","",IF(OR($AB537&lt;&gt;"Yes",$AC537="",TODAY()-$AC537&gt;90),"At Risk","Not At Risk"))</f>
        <v/>
      </c>
      <c r="AE537" s="85" t="n"/>
    </row>
    <row r="538" ht="15" customHeight="1" s="39">
      <c r="A538" s="85" t="n"/>
      <c r="B538" s="85" t="n"/>
      <c r="C538" s="85" t="n"/>
      <c r="D538" s="85" t="n"/>
      <c r="E538" s="85" t="n"/>
      <c r="F538" s="85" t="n"/>
      <c r="G538" s="85" t="n"/>
      <c r="H538" s="85" t="n"/>
      <c r="I538" s="85" t="n"/>
      <c r="J538" s="85" t="n"/>
      <c r="K538" s="85" t="n"/>
      <c r="L538" s="85" t="n"/>
      <c r="M538" s="85" t="n"/>
      <c r="N538" s="85" t="n"/>
      <c r="O538" s="85" t="n"/>
      <c r="P538" s="85" t="n"/>
      <c r="Q538" s="85" t="n"/>
      <c r="R538" s="85" t="n"/>
      <c r="S538" s="85" t="n"/>
      <c r="T538" s="85" t="n"/>
      <c r="U538" s="85" t="n"/>
      <c r="V538" s="85" t="n"/>
      <c r="W538" s="85" t="n"/>
      <c r="X538" s="85" t="n"/>
      <c r="Y538" s="85" t="n"/>
      <c r="Z538" s="85" t="n"/>
      <c r="AA538" s="85" t="n"/>
      <c r="AB538" s="85" t="n"/>
      <c r="AC538" s="86" t="n"/>
      <c r="AD538" s="85">
        <f>IF($A538="","",IF(OR($AB538&lt;&gt;"Yes",$AC538="",TODAY()-$AC538&gt;90),"At Risk","Not At Risk"))</f>
        <v/>
      </c>
      <c r="AE538" s="85" t="n"/>
    </row>
    <row r="539" ht="15" customHeight="1" s="39">
      <c r="A539" s="85" t="n"/>
      <c r="B539" s="85" t="n"/>
      <c r="C539" s="85" t="n"/>
      <c r="D539" s="85" t="n"/>
      <c r="E539" s="85" t="n"/>
      <c r="F539" s="85" t="n"/>
      <c r="G539" s="85" t="n"/>
      <c r="H539" s="85" t="n"/>
      <c r="I539" s="85" t="n"/>
      <c r="J539" s="85" t="n"/>
      <c r="K539" s="85" t="n"/>
      <c r="L539" s="85" t="n"/>
      <c r="M539" s="85" t="n"/>
      <c r="N539" s="85" t="n"/>
      <c r="O539" s="85" t="n"/>
      <c r="P539" s="85" t="n"/>
      <c r="Q539" s="85" t="n"/>
      <c r="R539" s="85" t="n"/>
      <c r="S539" s="85" t="n"/>
      <c r="T539" s="85" t="n"/>
      <c r="U539" s="85" t="n"/>
      <c r="V539" s="85" t="n"/>
      <c r="W539" s="85" t="n"/>
      <c r="X539" s="85" t="n"/>
      <c r="Y539" s="85" t="n"/>
      <c r="Z539" s="85" t="n"/>
      <c r="AA539" s="85" t="n"/>
      <c r="AB539" s="85" t="n"/>
      <c r="AC539" s="86" t="n"/>
      <c r="AD539" s="85">
        <f>IF($A539="","",IF(OR($AB539&lt;&gt;"Yes",$AC539="",TODAY()-$AC539&gt;90),"At Risk","Not At Risk"))</f>
        <v/>
      </c>
      <c r="AE539" s="85" t="n"/>
    </row>
    <row r="540" ht="15" customHeight="1" s="39">
      <c r="A540" s="85" t="n"/>
      <c r="B540" s="85" t="n"/>
      <c r="C540" s="85" t="n"/>
      <c r="D540" s="85" t="n"/>
      <c r="E540" s="85" t="n"/>
      <c r="F540" s="85" t="n"/>
      <c r="G540" s="85" t="n"/>
      <c r="H540" s="85" t="n"/>
      <c r="I540" s="85" t="n"/>
      <c r="J540" s="85" t="n"/>
      <c r="K540" s="85" t="n"/>
      <c r="L540" s="85" t="n"/>
      <c r="M540" s="85" t="n"/>
      <c r="N540" s="85" t="n"/>
      <c r="O540" s="85" t="n"/>
      <c r="P540" s="85" t="n"/>
      <c r="Q540" s="85" t="n"/>
      <c r="R540" s="85" t="n"/>
      <c r="S540" s="85" t="n"/>
      <c r="T540" s="85" t="n"/>
      <c r="U540" s="85" t="n"/>
      <c r="V540" s="85" t="n"/>
      <c r="W540" s="85" t="n"/>
      <c r="X540" s="85" t="n"/>
      <c r="Y540" s="85" t="n"/>
      <c r="Z540" s="85" t="n"/>
      <c r="AA540" s="85" t="n"/>
      <c r="AB540" s="85" t="n"/>
      <c r="AC540" s="86" t="n"/>
      <c r="AD540" s="85">
        <f>IF($A540="","",IF(OR($AB540&lt;&gt;"Yes",$AC540="",TODAY()-$AC540&gt;90),"At Risk","Not At Risk"))</f>
        <v/>
      </c>
      <c r="AE540" s="85" t="n"/>
    </row>
    <row r="541" ht="15" customHeight="1" s="39">
      <c r="A541" s="85" t="n"/>
      <c r="B541" s="85" t="n"/>
      <c r="C541" s="85" t="n"/>
      <c r="D541" s="85" t="n"/>
      <c r="E541" s="85" t="n"/>
      <c r="F541" s="85" t="n"/>
      <c r="G541" s="85" t="n"/>
      <c r="H541" s="85" t="n"/>
      <c r="I541" s="85" t="n"/>
      <c r="J541" s="85" t="n"/>
      <c r="K541" s="85" t="n"/>
      <c r="L541" s="85" t="n"/>
      <c r="M541" s="85" t="n"/>
      <c r="N541" s="85" t="n"/>
      <c r="O541" s="85" t="n"/>
      <c r="P541" s="85" t="n"/>
      <c r="Q541" s="85" t="n"/>
      <c r="R541" s="85" t="n"/>
      <c r="S541" s="85" t="n"/>
      <c r="T541" s="85" t="n"/>
      <c r="U541" s="85" t="n"/>
      <c r="V541" s="85" t="n"/>
      <c r="W541" s="85" t="n"/>
      <c r="X541" s="85" t="n"/>
      <c r="Y541" s="85" t="n"/>
      <c r="Z541" s="85" t="n"/>
      <c r="AA541" s="85" t="n"/>
      <c r="AB541" s="85" t="n"/>
      <c r="AC541" s="86" t="n"/>
      <c r="AD541" s="85">
        <f>IF($A541="","",IF(OR($AB541&lt;&gt;"Yes",$AC541="",TODAY()-$AC541&gt;90),"At Risk","Not At Risk"))</f>
        <v/>
      </c>
      <c r="AE541" s="85" t="n"/>
    </row>
    <row r="542" ht="15" customHeight="1" s="39">
      <c r="A542" s="85" t="n"/>
      <c r="B542" s="85" t="n"/>
      <c r="C542" s="85" t="n"/>
      <c r="D542" s="85" t="n"/>
      <c r="E542" s="85" t="n"/>
      <c r="F542" s="85" t="n"/>
      <c r="G542" s="85" t="n"/>
      <c r="H542" s="85" t="n"/>
      <c r="I542" s="85" t="n"/>
      <c r="J542" s="85" t="n"/>
      <c r="K542" s="85" t="n"/>
      <c r="L542" s="85" t="n"/>
      <c r="M542" s="85" t="n"/>
      <c r="N542" s="85" t="n"/>
      <c r="O542" s="85" t="n"/>
      <c r="P542" s="85" t="n"/>
      <c r="Q542" s="85" t="n"/>
      <c r="R542" s="85" t="n"/>
      <c r="S542" s="85" t="n"/>
      <c r="T542" s="85" t="n"/>
      <c r="U542" s="85" t="n"/>
      <c r="V542" s="85" t="n"/>
      <c r="W542" s="85" t="n"/>
      <c r="X542" s="85" t="n"/>
      <c r="Y542" s="85" t="n"/>
      <c r="Z542" s="85" t="n"/>
      <c r="AA542" s="85" t="n"/>
      <c r="AB542" s="85" t="n"/>
      <c r="AC542" s="86" t="n"/>
      <c r="AD542" s="85">
        <f>IF($A542="","",IF(OR($AB542&lt;&gt;"Yes",$AC542="",TODAY()-$AC542&gt;90),"At Risk","Not At Risk"))</f>
        <v/>
      </c>
      <c r="AE542" s="85" t="n"/>
    </row>
    <row r="543" ht="15" customHeight="1" s="39">
      <c r="A543" s="85" t="n"/>
      <c r="B543" s="85" t="n"/>
      <c r="C543" s="85" t="n"/>
      <c r="D543" s="85" t="n"/>
      <c r="E543" s="85" t="n"/>
      <c r="F543" s="85" t="n"/>
      <c r="G543" s="85" t="n"/>
      <c r="H543" s="85" t="n"/>
      <c r="I543" s="85" t="n"/>
      <c r="J543" s="85" t="n"/>
      <c r="K543" s="85" t="n"/>
      <c r="L543" s="85" t="n"/>
      <c r="M543" s="85" t="n"/>
      <c r="N543" s="85" t="n"/>
      <c r="O543" s="85" t="n"/>
      <c r="P543" s="85" t="n"/>
      <c r="Q543" s="85" t="n"/>
      <c r="R543" s="85" t="n"/>
      <c r="S543" s="85" t="n"/>
      <c r="T543" s="85" t="n"/>
      <c r="U543" s="85" t="n"/>
      <c r="V543" s="85" t="n"/>
      <c r="W543" s="85" t="n"/>
      <c r="X543" s="85" t="n"/>
      <c r="Y543" s="85" t="n"/>
      <c r="Z543" s="85" t="n"/>
      <c r="AA543" s="85" t="n"/>
      <c r="AB543" s="85" t="n"/>
      <c r="AC543" s="86" t="n"/>
      <c r="AD543" s="85">
        <f>IF($A543="","",IF(OR($AB543&lt;&gt;"Yes",$AC543="",TODAY()-$AC543&gt;90),"At Risk","Not At Risk"))</f>
        <v/>
      </c>
      <c r="AE543" s="85" t="n"/>
    </row>
    <row r="544" ht="15" customHeight="1" s="39">
      <c r="A544" s="85" t="n"/>
      <c r="B544" s="85" t="n"/>
      <c r="C544" s="85" t="n"/>
      <c r="D544" s="85" t="n"/>
      <c r="E544" s="85" t="n"/>
      <c r="F544" s="85" t="n"/>
      <c r="G544" s="85" t="n"/>
      <c r="H544" s="85" t="n"/>
      <c r="I544" s="85" t="n"/>
      <c r="J544" s="85" t="n"/>
      <c r="K544" s="85" t="n"/>
      <c r="L544" s="85" t="n"/>
      <c r="M544" s="85" t="n"/>
      <c r="N544" s="85" t="n"/>
      <c r="O544" s="85" t="n"/>
      <c r="P544" s="85" t="n"/>
      <c r="Q544" s="85" t="n"/>
      <c r="R544" s="85" t="n"/>
      <c r="S544" s="85" t="n"/>
      <c r="T544" s="85" t="n"/>
      <c r="U544" s="85" t="n"/>
      <c r="V544" s="85" t="n"/>
      <c r="W544" s="85" t="n"/>
      <c r="X544" s="85" t="n"/>
      <c r="Y544" s="85" t="n"/>
      <c r="Z544" s="85" t="n"/>
      <c r="AA544" s="85" t="n"/>
      <c r="AB544" s="85" t="n"/>
      <c r="AC544" s="86" t="n"/>
      <c r="AD544" s="85">
        <f>IF($A544="","",IF(OR($AB544&lt;&gt;"Yes",$AC544="",TODAY()-$AC544&gt;90),"At Risk","Not At Risk"))</f>
        <v/>
      </c>
      <c r="AE544" s="85" t="n"/>
    </row>
    <row r="545" ht="15" customHeight="1" s="39">
      <c r="A545" s="85" t="n"/>
      <c r="B545" s="85" t="n"/>
      <c r="C545" s="85" t="n"/>
      <c r="D545" s="85" t="n"/>
      <c r="E545" s="85" t="n"/>
      <c r="F545" s="85" t="n"/>
      <c r="G545" s="85" t="n"/>
      <c r="H545" s="85" t="n"/>
      <c r="I545" s="85" t="n"/>
      <c r="J545" s="85" t="n"/>
      <c r="K545" s="85" t="n"/>
      <c r="L545" s="85" t="n"/>
      <c r="M545" s="85" t="n"/>
      <c r="N545" s="85" t="n"/>
      <c r="O545" s="85" t="n"/>
      <c r="P545" s="85" t="n"/>
      <c r="Q545" s="85" t="n"/>
      <c r="R545" s="85" t="n"/>
      <c r="S545" s="85" t="n"/>
      <c r="T545" s="85" t="n"/>
      <c r="U545" s="85" t="n"/>
      <c r="V545" s="85" t="n"/>
      <c r="W545" s="85" t="n"/>
      <c r="X545" s="85" t="n"/>
      <c r="Y545" s="85" t="n"/>
      <c r="Z545" s="85" t="n"/>
      <c r="AA545" s="85" t="n"/>
      <c r="AB545" s="85" t="n"/>
      <c r="AC545" s="86" t="n"/>
      <c r="AD545" s="85">
        <f>IF($A545="","",IF(OR($AB545&lt;&gt;"Yes",$AC545="",TODAY()-$AC545&gt;90),"At Risk","Not At Risk"))</f>
        <v/>
      </c>
      <c r="AE545" s="85" t="n"/>
    </row>
    <row r="546" ht="15" customHeight="1" s="39">
      <c r="A546" s="85" t="n"/>
      <c r="B546" s="85" t="n"/>
      <c r="C546" s="85" t="n"/>
      <c r="D546" s="85" t="n"/>
      <c r="E546" s="85" t="n"/>
      <c r="F546" s="85" t="n"/>
      <c r="G546" s="85" t="n"/>
      <c r="H546" s="85" t="n"/>
      <c r="I546" s="85" t="n"/>
      <c r="J546" s="85" t="n"/>
      <c r="K546" s="85" t="n"/>
      <c r="L546" s="85" t="n"/>
      <c r="M546" s="85" t="n"/>
      <c r="N546" s="85" t="n"/>
      <c r="O546" s="85" t="n"/>
      <c r="P546" s="85" t="n"/>
      <c r="Q546" s="85" t="n"/>
      <c r="R546" s="85" t="n"/>
      <c r="S546" s="85" t="n"/>
      <c r="T546" s="85" t="n"/>
      <c r="U546" s="85" t="n"/>
      <c r="V546" s="85" t="n"/>
      <c r="W546" s="85" t="n"/>
      <c r="X546" s="85" t="n"/>
      <c r="Y546" s="85" t="n"/>
      <c r="Z546" s="85" t="n"/>
      <c r="AA546" s="85" t="n"/>
      <c r="AB546" s="85" t="n"/>
      <c r="AC546" s="86" t="n"/>
      <c r="AD546" s="85">
        <f>IF($A546="","",IF(OR($AB546&lt;&gt;"Yes",$AC546="",TODAY()-$AC546&gt;90),"At Risk","Not At Risk"))</f>
        <v/>
      </c>
      <c r="AE546" s="85" t="n"/>
    </row>
    <row r="547" ht="15" customHeight="1" s="39">
      <c r="A547" s="85" t="n"/>
      <c r="B547" s="85" t="n"/>
      <c r="C547" s="85" t="n"/>
      <c r="D547" s="85" t="n"/>
      <c r="E547" s="85" t="n"/>
      <c r="F547" s="85" t="n"/>
      <c r="G547" s="85" t="n"/>
      <c r="H547" s="85" t="n"/>
      <c r="I547" s="85" t="n"/>
      <c r="J547" s="85" t="n"/>
      <c r="K547" s="85" t="n"/>
      <c r="L547" s="85" t="n"/>
      <c r="M547" s="85" t="n"/>
      <c r="N547" s="85" t="n"/>
      <c r="O547" s="85" t="n"/>
      <c r="P547" s="85" t="n"/>
      <c r="Q547" s="85" t="n"/>
      <c r="R547" s="85" t="n"/>
      <c r="S547" s="85" t="n"/>
      <c r="T547" s="85" t="n"/>
      <c r="U547" s="85" t="n"/>
      <c r="V547" s="85" t="n"/>
      <c r="W547" s="85" t="n"/>
      <c r="X547" s="85" t="n"/>
      <c r="Y547" s="85" t="n"/>
      <c r="Z547" s="85" t="n"/>
      <c r="AA547" s="85" t="n"/>
      <c r="AB547" s="85" t="n"/>
      <c r="AC547" s="86" t="n"/>
      <c r="AD547" s="85">
        <f>IF($A547="","",IF(OR($AB547&lt;&gt;"Yes",$AC547="",TODAY()-$AC547&gt;90),"At Risk","Not At Risk"))</f>
        <v/>
      </c>
      <c r="AE547" s="85" t="n"/>
    </row>
    <row r="548" ht="15" customHeight="1" s="39">
      <c r="A548" s="85" t="n"/>
      <c r="B548" s="85" t="n"/>
      <c r="C548" s="85" t="n"/>
      <c r="D548" s="85" t="n"/>
      <c r="E548" s="85" t="n"/>
      <c r="F548" s="85" t="n"/>
      <c r="G548" s="85" t="n"/>
      <c r="H548" s="85" t="n"/>
      <c r="I548" s="85" t="n"/>
      <c r="J548" s="85" t="n"/>
      <c r="K548" s="85" t="n"/>
      <c r="L548" s="85" t="n"/>
      <c r="M548" s="85" t="n"/>
      <c r="N548" s="85" t="n"/>
      <c r="O548" s="85" t="n"/>
      <c r="P548" s="85" t="n"/>
      <c r="Q548" s="85" t="n"/>
      <c r="R548" s="85" t="n"/>
      <c r="S548" s="85" t="n"/>
      <c r="T548" s="85" t="n"/>
      <c r="U548" s="85" t="n"/>
      <c r="V548" s="85" t="n"/>
      <c r="W548" s="85" t="n"/>
      <c r="X548" s="85" t="n"/>
      <c r="Y548" s="85" t="n"/>
      <c r="Z548" s="85" t="n"/>
      <c r="AA548" s="85" t="n"/>
      <c r="AB548" s="85" t="n"/>
      <c r="AC548" s="86" t="n"/>
      <c r="AD548" s="85">
        <f>IF($A548="","",IF(OR($AB548&lt;&gt;"Yes",$AC548="",TODAY()-$AC548&gt;90),"At Risk","Not At Risk"))</f>
        <v/>
      </c>
      <c r="AE548" s="85" t="n"/>
    </row>
    <row r="549" ht="15" customHeight="1" s="39">
      <c r="A549" s="85" t="n"/>
      <c r="B549" s="85" t="n"/>
      <c r="C549" s="85" t="n"/>
      <c r="D549" s="85" t="n"/>
      <c r="E549" s="85" t="n"/>
      <c r="F549" s="85" t="n"/>
      <c r="G549" s="85" t="n"/>
      <c r="H549" s="85" t="n"/>
      <c r="I549" s="85" t="n"/>
      <c r="J549" s="85" t="n"/>
      <c r="K549" s="85" t="n"/>
      <c r="L549" s="85" t="n"/>
      <c r="M549" s="85" t="n"/>
      <c r="N549" s="85" t="n"/>
      <c r="O549" s="85" t="n"/>
      <c r="P549" s="85" t="n"/>
      <c r="Q549" s="85" t="n"/>
      <c r="R549" s="85" t="n"/>
      <c r="S549" s="85" t="n"/>
      <c r="T549" s="85" t="n"/>
      <c r="U549" s="85" t="n"/>
      <c r="V549" s="85" t="n"/>
      <c r="W549" s="85" t="n"/>
      <c r="X549" s="85" t="n"/>
      <c r="Y549" s="85" t="n"/>
      <c r="Z549" s="85" t="n"/>
      <c r="AA549" s="85" t="n"/>
      <c r="AB549" s="85" t="n"/>
      <c r="AC549" s="86" t="n"/>
      <c r="AD549" s="85">
        <f>IF($A549="","",IF(OR($AB549&lt;&gt;"Yes",$AC549="",TODAY()-$AC549&gt;90),"At Risk","Not At Risk"))</f>
        <v/>
      </c>
      <c r="AE549" s="85" t="n"/>
    </row>
    <row r="550" ht="15" customHeight="1" s="39">
      <c r="A550" s="85" t="n"/>
      <c r="B550" s="85" t="n"/>
      <c r="C550" s="85" t="n"/>
      <c r="D550" s="85" t="n"/>
      <c r="E550" s="85" t="n"/>
      <c r="F550" s="85" t="n"/>
      <c r="G550" s="85" t="n"/>
      <c r="H550" s="85" t="n"/>
      <c r="I550" s="85" t="n"/>
      <c r="J550" s="85" t="n"/>
      <c r="K550" s="85" t="n"/>
      <c r="L550" s="85" t="n"/>
      <c r="M550" s="85" t="n"/>
      <c r="N550" s="85" t="n"/>
      <c r="O550" s="85" t="n"/>
      <c r="P550" s="85" t="n"/>
      <c r="Q550" s="85" t="n"/>
      <c r="R550" s="85" t="n"/>
      <c r="S550" s="85" t="n"/>
      <c r="T550" s="85" t="n"/>
      <c r="U550" s="85" t="n"/>
      <c r="V550" s="85" t="n"/>
      <c r="W550" s="85" t="n"/>
      <c r="X550" s="85" t="n"/>
      <c r="Y550" s="85" t="n"/>
      <c r="Z550" s="85" t="n"/>
      <c r="AA550" s="85" t="n"/>
      <c r="AB550" s="85" t="n"/>
      <c r="AC550" s="86" t="n"/>
      <c r="AD550" s="85">
        <f>IF($A550="","",IF(OR($AB550&lt;&gt;"Yes",$AC550="",TODAY()-$AC550&gt;90),"At Risk","Not At Risk"))</f>
        <v/>
      </c>
      <c r="AE550" s="85" t="n"/>
    </row>
    <row r="551" ht="15" customHeight="1" s="39">
      <c r="A551" s="85" t="n"/>
      <c r="B551" s="85" t="n"/>
      <c r="C551" s="85" t="n"/>
      <c r="D551" s="85" t="n"/>
      <c r="E551" s="85" t="n"/>
      <c r="F551" s="85" t="n"/>
      <c r="G551" s="85" t="n"/>
      <c r="H551" s="85" t="n"/>
      <c r="I551" s="85" t="n"/>
      <c r="J551" s="85" t="n"/>
      <c r="K551" s="85" t="n"/>
      <c r="L551" s="85" t="n"/>
      <c r="M551" s="85" t="n"/>
      <c r="N551" s="85" t="n"/>
      <c r="O551" s="85" t="n"/>
      <c r="P551" s="85" t="n"/>
      <c r="Q551" s="85" t="n"/>
      <c r="R551" s="85" t="n"/>
      <c r="S551" s="85" t="n"/>
      <c r="T551" s="85" t="n"/>
      <c r="U551" s="85" t="n"/>
      <c r="V551" s="85" t="n"/>
      <c r="W551" s="85" t="n"/>
      <c r="X551" s="85" t="n"/>
      <c r="Y551" s="85" t="n"/>
      <c r="Z551" s="85" t="n"/>
      <c r="AA551" s="85" t="n"/>
      <c r="AB551" s="85" t="n"/>
      <c r="AC551" s="86" t="n"/>
      <c r="AD551" s="85">
        <f>IF($A551="","",IF(OR($AB551&lt;&gt;"Yes",$AC551="",TODAY()-$AC551&gt;90),"At Risk","Not At Risk"))</f>
        <v/>
      </c>
      <c r="AE551" s="85" t="n"/>
    </row>
    <row r="552" ht="15" customHeight="1" s="39">
      <c r="A552" s="85" t="n"/>
      <c r="B552" s="85" t="n"/>
      <c r="C552" s="85" t="n"/>
      <c r="D552" s="85" t="n"/>
      <c r="E552" s="85" t="n"/>
      <c r="F552" s="85" t="n"/>
      <c r="G552" s="85" t="n"/>
      <c r="H552" s="85" t="n"/>
      <c r="I552" s="85" t="n"/>
      <c r="J552" s="85" t="n"/>
      <c r="K552" s="85" t="n"/>
      <c r="L552" s="85" t="n"/>
      <c r="M552" s="85" t="n"/>
      <c r="N552" s="85" t="n"/>
      <c r="O552" s="85" t="n"/>
      <c r="P552" s="85" t="n"/>
      <c r="Q552" s="85" t="n"/>
      <c r="R552" s="85" t="n"/>
      <c r="S552" s="85" t="n"/>
      <c r="T552" s="85" t="n"/>
      <c r="U552" s="85" t="n"/>
      <c r="V552" s="85" t="n"/>
      <c r="W552" s="85" t="n"/>
      <c r="X552" s="85" t="n"/>
      <c r="Y552" s="85" t="n"/>
      <c r="Z552" s="85" t="n"/>
      <c r="AA552" s="85" t="n"/>
      <c r="AB552" s="85" t="n"/>
      <c r="AC552" s="86" t="n"/>
      <c r="AD552" s="85">
        <f>IF($A552="","",IF(OR($AB552&lt;&gt;"Yes",$AC552="",TODAY()-$AC552&gt;90),"At Risk","Not At Risk"))</f>
        <v/>
      </c>
      <c r="AE552" s="85" t="n"/>
    </row>
    <row r="553" ht="15" customHeight="1" s="39">
      <c r="A553" s="85" t="n"/>
      <c r="B553" s="85" t="n"/>
      <c r="C553" s="85" t="n"/>
      <c r="D553" s="85" t="n"/>
      <c r="E553" s="85" t="n"/>
      <c r="F553" s="85" t="n"/>
      <c r="G553" s="85" t="n"/>
      <c r="H553" s="85" t="n"/>
      <c r="I553" s="85" t="n"/>
      <c r="J553" s="85" t="n"/>
      <c r="K553" s="85" t="n"/>
      <c r="L553" s="85" t="n"/>
      <c r="M553" s="85" t="n"/>
      <c r="N553" s="85" t="n"/>
      <c r="O553" s="85" t="n"/>
      <c r="P553" s="85" t="n"/>
      <c r="Q553" s="85" t="n"/>
      <c r="R553" s="85" t="n"/>
      <c r="S553" s="85" t="n"/>
      <c r="T553" s="85" t="n"/>
      <c r="U553" s="85" t="n"/>
      <c r="V553" s="85" t="n"/>
      <c r="W553" s="85" t="n"/>
      <c r="X553" s="85" t="n"/>
      <c r="Y553" s="85" t="n"/>
      <c r="Z553" s="85" t="n"/>
      <c r="AA553" s="85" t="n"/>
      <c r="AB553" s="85" t="n"/>
      <c r="AC553" s="86" t="n"/>
      <c r="AD553" s="85">
        <f>IF($A553="","",IF(OR($AB553&lt;&gt;"Yes",$AC553="",TODAY()-$AC553&gt;90),"At Risk","Not At Risk"))</f>
        <v/>
      </c>
      <c r="AE553" s="85" t="n"/>
    </row>
    <row r="554" ht="15" customHeight="1" s="39">
      <c r="A554" s="85" t="n"/>
      <c r="B554" s="85" t="n"/>
      <c r="C554" s="85" t="n"/>
      <c r="D554" s="85" t="n"/>
      <c r="E554" s="85" t="n"/>
      <c r="F554" s="85" t="n"/>
      <c r="G554" s="85" t="n"/>
      <c r="H554" s="85" t="n"/>
      <c r="I554" s="85" t="n"/>
      <c r="J554" s="85" t="n"/>
      <c r="K554" s="85" t="n"/>
      <c r="L554" s="85" t="n"/>
      <c r="M554" s="85" t="n"/>
      <c r="N554" s="85" t="n"/>
      <c r="O554" s="85" t="n"/>
      <c r="P554" s="85" t="n"/>
      <c r="Q554" s="85" t="n"/>
      <c r="R554" s="85" t="n"/>
      <c r="S554" s="85" t="n"/>
      <c r="T554" s="85" t="n"/>
      <c r="U554" s="85" t="n"/>
      <c r="V554" s="85" t="n"/>
      <c r="W554" s="85" t="n"/>
      <c r="X554" s="85" t="n"/>
      <c r="Y554" s="85" t="n"/>
      <c r="Z554" s="85" t="n"/>
      <c r="AA554" s="85" t="n"/>
      <c r="AB554" s="85" t="n"/>
      <c r="AC554" s="86" t="n"/>
      <c r="AD554" s="85">
        <f>IF($A554="","",IF(OR($AB554&lt;&gt;"Yes",$AC554="",TODAY()-$AC554&gt;90),"At Risk","Not At Risk"))</f>
        <v/>
      </c>
      <c r="AE554" s="85" t="n"/>
    </row>
    <row r="555" ht="15" customHeight="1" s="39">
      <c r="A555" s="85" t="n"/>
      <c r="B555" s="85" t="n"/>
      <c r="C555" s="85" t="n"/>
      <c r="D555" s="85" t="n"/>
      <c r="E555" s="85" t="n"/>
      <c r="F555" s="85" t="n"/>
      <c r="G555" s="85" t="n"/>
      <c r="H555" s="85" t="n"/>
      <c r="I555" s="85" t="n"/>
      <c r="J555" s="85" t="n"/>
      <c r="K555" s="85" t="n"/>
      <c r="L555" s="85" t="n"/>
      <c r="M555" s="85" t="n"/>
      <c r="N555" s="85" t="n"/>
      <c r="O555" s="85" t="n"/>
      <c r="P555" s="85" t="n"/>
      <c r="Q555" s="85" t="n"/>
      <c r="R555" s="85" t="n"/>
      <c r="S555" s="85" t="n"/>
      <c r="T555" s="85" t="n"/>
      <c r="U555" s="85" t="n"/>
      <c r="V555" s="85" t="n"/>
      <c r="W555" s="85" t="n"/>
      <c r="X555" s="85" t="n"/>
      <c r="Y555" s="85" t="n"/>
      <c r="Z555" s="85" t="n"/>
      <c r="AA555" s="85" t="n"/>
      <c r="AB555" s="85" t="n"/>
      <c r="AC555" s="86" t="n"/>
      <c r="AD555" s="85">
        <f>IF($A555="","",IF(OR($AB555&lt;&gt;"Yes",$AC555="",TODAY()-$AC555&gt;90),"At Risk","Not At Risk"))</f>
        <v/>
      </c>
      <c r="AE555" s="85" t="n"/>
    </row>
    <row r="556" ht="15" customHeight="1" s="39">
      <c r="A556" s="85" t="n"/>
      <c r="B556" s="85" t="n"/>
      <c r="C556" s="85" t="n"/>
      <c r="D556" s="85" t="n"/>
      <c r="E556" s="85" t="n"/>
      <c r="F556" s="85" t="n"/>
      <c r="G556" s="85" t="n"/>
      <c r="H556" s="85" t="n"/>
      <c r="I556" s="85" t="n"/>
      <c r="J556" s="85" t="n"/>
      <c r="K556" s="85" t="n"/>
      <c r="L556" s="85" t="n"/>
      <c r="M556" s="85" t="n"/>
      <c r="N556" s="85" t="n"/>
      <c r="O556" s="85" t="n"/>
      <c r="P556" s="85" t="n"/>
      <c r="Q556" s="85" t="n"/>
      <c r="R556" s="85" t="n"/>
      <c r="S556" s="85" t="n"/>
      <c r="T556" s="85" t="n"/>
      <c r="U556" s="85" t="n"/>
      <c r="V556" s="85" t="n"/>
      <c r="W556" s="85" t="n"/>
      <c r="X556" s="85" t="n"/>
      <c r="Y556" s="85" t="n"/>
      <c r="Z556" s="85" t="n"/>
      <c r="AA556" s="85" t="n"/>
      <c r="AB556" s="85" t="n"/>
      <c r="AC556" s="86" t="n"/>
      <c r="AD556" s="85">
        <f>IF($A556="","",IF(OR($AB556&lt;&gt;"Yes",$AC556="",TODAY()-$AC556&gt;90),"At Risk","Not At Risk"))</f>
        <v/>
      </c>
      <c r="AE556" s="85" t="n"/>
    </row>
    <row r="557" ht="15" customHeight="1" s="39">
      <c r="A557" s="85" t="n"/>
      <c r="B557" s="85" t="n"/>
      <c r="C557" s="85" t="n"/>
      <c r="D557" s="85" t="n"/>
      <c r="E557" s="85" t="n"/>
      <c r="F557" s="85" t="n"/>
      <c r="G557" s="85" t="n"/>
      <c r="H557" s="85" t="n"/>
      <c r="I557" s="85" t="n"/>
      <c r="J557" s="85" t="n"/>
      <c r="K557" s="85" t="n"/>
      <c r="L557" s="85" t="n"/>
      <c r="M557" s="85" t="n"/>
      <c r="N557" s="85" t="n"/>
      <c r="O557" s="85" t="n"/>
      <c r="P557" s="85" t="n"/>
      <c r="Q557" s="85" t="n"/>
      <c r="R557" s="85" t="n"/>
      <c r="S557" s="85" t="n"/>
      <c r="T557" s="85" t="n"/>
      <c r="U557" s="85" t="n"/>
      <c r="V557" s="85" t="n"/>
      <c r="W557" s="85" t="n"/>
      <c r="X557" s="85" t="n"/>
      <c r="Y557" s="85" t="n"/>
      <c r="Z557" s="85" t="n"/>
      <c r="AA557" s="85" t="n"/>
      <c r="AB557" s="85" t="n"/>
      <c r="AC557" s="86" t="n"/>
      <c r="AD557" s="85">
        <f>IF($A557="","",IF(OR($AB557&lt;&gt;"Yes",$AC557="",TODAY()-$AC557&gt;90),"At Risk","Not At Risk"))</f>
        <v/>
      </c>
      <c r="AE557" s="85" t="n"/>
    </row>
    <row r="558" ht="15" customHeight="1" s="39">
      <c r="A558" s="85" t="n"/>
      <c r="B558" s="85" t="n"/>
      <c r="C558" s="85" t="n"/>
      <c r="D558" s="85" t="n"/>
      <c r="E558" s="85" t="n"/>
      <c r="F558" s="85" t="n"/>
      <c r="G558" s="85" t="n"/>
      <c r="H558" s="85" t="n"/>
      <c r="I558" s="85" t="n"/>
      <c r="J558" s="85" t="n"/>
      <c r="K558" s="85" t="n"/>
      <c r="L558" s="85" t="n"/>
      <c r="M558" s="85" t="n"/>
      <c r="N558" s="85" t="n"/>
      <c r="O558" s="85" t="n"/>
      <c r="P558" s="85" t="n"/>
      <c r="Q558" s="85" t="n"/>
      <c r="R558" s="85" t="n"/>
      <c r="S558" s="85" t="n"/>
      <c r="T558" s="85" t="n"/>
      <c r="U558" s="85" t="n"/>
      <c r="V558" s="85" t="n"/>
      <c r="W558" s="85" t="n"/>
      <c r="X558" s="85" t="n"/>
      <c r="Y558" s="85" t="n"/>
      <c r="Z558" s="85" t="n"/>
      <c r="AA558" s="85" t="n"/>
      <c r="AB558" s="85" t="n"/>
      <c r="AC558" s="86" t="n"/>
      <c r="AD558" s="85">
        <f>IF($A558="","",IF(OR($AB558&lt;&gt;"Yes",$AC558="",TODAY()-$AC558&gt;90),"At Risk","Not At Risk"))</f>
        <v/>
      </c>
      <c r="AE558" s="85" t="n"/>
    </row>
    <row r="559" ht="15" customHeight="1" s="39">
      <c r="A559" s="85" t="n"/>
      <c r="B559" s="85" t="n"/>
      <c r="C559" s="85" t="n"/>
      <c r="D559" s="85" t="n"/>
      <c r="E559" s="85" t="n"/>
      <c r="F559" s="85" t="n"/>
      <c r="G559" s="85" t="n"/>
      <c r="H559" s="85" t="n"/>
      <c r="I559" s="85" t="n"/>
      <c r="J559" s="85" t="n"/>
      <c r="K559" s="85" t="n"/>
      <c r="L559" s="85" t="n"/>
      <c r="M559" s="85" t="n"/>
      <c r="N559" s="85" t="n"/>
      <c r="O559" s="85" t="n"/>
      <c r="P559" s="85" t="n"/>
      <c r="Q559" s="85" t="n"/>
      <c r="R559" s="85" t="n"/>
      <c r="S559" s="85" t="n"/>
      <c r="T559" s="85" t="n"/>
      <c r="U559" s="85" t="n"/>
      <c r="V559" s="85" t="n"/>
      <c r="W559" s="85" t="n"/>
      <c r="X559" s="85" t="n"/>
      <c r="Y559" s="85" t="n"/>
      <c r="Z559" s="85" t="n"/>
      <c r="AA559" s="85" t="n"/>
      <c r="AB559" s="85" t="n"/>
      <c r="AC559" s="86" t="n"/>
      <c r="AD559" s="85">
        <f>IF($A559="","",IF(OR($AB559&lt;&gt;"Yes",$AC559="",TODAY()-$AC559&gt;90),"At Risk","Not At Risk"))</f>
        <v/>
      </c>
      <c r="AE559" s="85" t="n"/>
    </row>
    <row r="560" ht="15" customHeight="1" s="39">
      <c r="A560" s="85" t="n"/>
      <c r="B560" s="85" t="n"/>
      <c r="C560" s="85" t="n"/>
      <c r="D560" s="85" t="n"/>
      <c r="E560" s="85" t="n"/>
      <c r="F560" s="85" t="n"/>
      <c r="G560" s="85" t="n"/>
      <c r="H560" s="85" t="n"/>
      <c r="I560" s="85" t="n"/>
      <c r="J560" s="85" t="n"/>
      <c r="K560" s="85" t="n"/>
      <c r="L560" s="85" t="n"/>
      <c r="M560" s="85" t="n"/>
      <c r="N560" s="85" t="n"/>
      <c r="O560" s="85" t="n"/>
      <c r="P560" s="85" t="n"/>
      <c r="Q560" s="85" t="n"/>
      <c r="R560" s="85" t="n"/>
      <c r="S560" s="85" t="n"/>
      <c r="T560" s="85" t="n"/>
      <c r="U560" s="85" t="n"/>
      <c r="V560" s="85" t="n"/>
      <c r="W560" s="85" t="n"/>
      <c r="X560" s="85" t="n"/>
      <c r="Y560" s="85" t="n"/>
      <c r="Z560" s="85" t="n"/>
      <c r="AA560" s="85" t="n"/>
      <c r="AB560" s="85" t="n"/>
      <c r="AC560" s="86" t="n"/>
      <c r="AD560" s="85">
        <f>IF($A560="","",IF(OR($AB560&lt;&gt;"Yes",$AC560="",TODAY()-$AC560&gt;90),"At Risk","Not At Risk"))</f>
        <v/>
      </c>
      <c r="AE560" s="85" t="n"/>
    </row>
    <row r="561" ht="15" customHeight="1" s="39">
      <c r="A561" s="85" t="n"/>
      <c r="B561" s="85" t="n"/>
      <c r="C561" s="85" t="n"/>
      <c r="D561" s="85" t="n"/>
      <c r="E561" s="85" t="n"/>
      <c r="F561" s="85" t="n"/>
      <c r="G561" s="85" t="n"/>
      <c r="H561" s="85" t="n"/>
      <c r="I561" s="85" t="n"/>
      <c r="J561" s="85" t="n"/>
      <c r="K561" s="85" t="n"/>
      <c r="L561" s="85" t="n"/>
      <c r="M561" s="85" t="n"/>
      <c r="N561" s="85" t="n"/>
      <c r="O561" s="85" t="n"/>
      <c r="P561" s="85" t="n"/>
      <c r="Q561" s="85" t="n"/>
      <c r="R561" s="85" t="n"/>
      <c r="S561" s="85" t="n"/>
      <c r="T561" s="85" t="n"/>
      <c r="U561" s="85" t="n"/>
      <c r="V561" s="85" t="n"/>
      <c r="W561" s="85" t="n"/>
      <c r="X561" s="85" t="n"/>
      <c r="Y561" s="85" t="n"/>
      <c r="Z561" s="85" t="n"/>
      <c r="AA561" s="85" t="n"/>
      <c r="AB561" s="85" t="n"/>
      <c r="AC561" s="86" t="n"/>
      <c r="AD561" s="85">
        <f>IF($A561="","",IF(OR($AB561&lt;&gt;"Yes",$AC561="",TODAY()-$AC561&gt;90),"At Risk","Not At Risk"))</f>
        <v/>
      </c>
      <c r="AE561" s="85" t="n"/>
    </row>
    <row r="562" ht="15" customHeight="1" s="39">
      <c r="A562" s="85" t="n"/>
      <c r="B562" s="85" t="n"/>
      <c r="C562" s="85" t="n"/>
      <c r="D562" s="85" t="n"/>
      <c r="E562" s="85" t="n"/>
      <c r="F562" s="85" t="n"/>
      <c r="G562" s="85" t="n"/>
      <c r="H562" s="85" t="n"/>
      <c r="I562" s="85" t="n"/>
      <c r="J562" s="85" t="n"/>
      <c r="K562" s="85" t="n"/>
      <c r="L562" s="85" t="n"/>
      <c r="M562" s="85" t="n"/>
      <c r="N562" s="85" t="n"/>
      <c r="O562" s="85" t="n"/>
      <c r="P562" s="85" t="n"/>
      <c r="Q562" s="85" t="n"/>
      <c r="R562" s="85" t="n"/>
      <c r="S562" s="85" t="n"/>
      <c r="T562" s="85" t="n"/>
      <c r="U562" s="85" t="n"/>
      <c r="V562" s="85" t="n"/>
      <c r="W562" s="85" t="n"/>
      <c r="X562" s="85" t="n"/>
      <c r="Y562" s="85" t="n"/>
      <c r="Z562" s="85" t="n"/>
      <c r="AA562" s="85" t="n"/>
      <c r="AB562" s="85" t="n"/>
      <c r="AC562" s="86" t="n"/>
      <c r="AD562" s="85">
        <f>IF($A562="","",IF(OR($AB562&lt;&gt;"Yes",$AC562="",TODAY()-$AC562&gt;90),"At Risk","Not At Risk"))</f>
        <v/>
      </c>
      <c r="AE562" s="85" t="n"/>
    </row>
    <row r="563" ht="15" customHeight="1" s="39">
      <c r="A563" s="85" t="n"/>
      <c r="B563" s="85" t="n"/>
      <c r="C563" s="85" t="n"/>
      <c r="D563" s="85" t="n"/>
      <c r="E563" s="85" t="n"/>
      <c r="F563" s="85" t="n"/>
      <c r="G563" s="85" t="n"/>
      <c r="H563" s="85" t="n"/>
      <c r="I563" s="85" t="n"/>
      <c r="J563" s="85" t="n"/>
      <c r="K563" s="85" t="n"/>
      <c r="L563" s="85" t="n"/>
      <c r="M563" s="85" t="n"/>
      <c r="N563" s="85" t="n"/>
      <c r="O563" s="85" t="n"/>
      <c r="P563" s="85" t="n"/>
      <c r="Q563" s="85" t="n"/>
      <c r="R563" s="85" t="n"/>
      <c r="S563" s="85" t="n"/>
      <c r="T563" s="85" t="n"/>
      <c r="U563" s="85" t="n"/>
      <c r="V563" s="85" t="n"/>
      <c r="W563" s="85" t="n"/>
      <c r="X563" s="85" t="n"/>
      <c r="Y563" s="85" t="n"/>
      <c r="Z563" s="85" t="n"/>
      <c r="AA563" s="85" t="n"/>
      <c r="AB563" s="85" t="n"/>
      <c r="AC563" s="86" t="n"/>
      <c r="AD563" s="85">
        <f>IF($A563="","",IF(OR($AB563&lt;&gt;"Yes",$AC563="",TODAY()-$AC563&gt;90),"At Risk","Not At Risk"))</f>
        <v/>
      </c>
      <c r="AE563" s="85" t="n"/>
    </row>
    <row r="564" ht="15" customHeight="1" s="39">
      <c r="A564" s="85" t="n"/>
      <c r="B564" s="85" t="n"/>
      <c r="C564" s="85" t="n"/>
      <c r="D564" s="85" t="n"/>
      <c r="E564" s="85" t="n"/>
      <c r="F564" s="85" t="n"/>
      <c r="G564" s="85" t="n"/>
      <c r="H564" s="85" t="n"/>
      <c r="I564" s="85" t="n"/>
      <c r="J564" s="85" t="n"/>
      <c r="K564" s="85" t="n"/>
      <c r="L564" s="85" t="n"/>
      <c r="M564" s="85" t="n"/>
      <c r="N564" s="85" t="n"/>
      <c r="O564" s="85" t="n"/>
      <c r="P564" s="85" t="n"/>
      <c r="Q564" s="85" t="n"/>
      <c r="R564" s="85" t="n"/>
      <c r="S564" s="85" t="n"/>
      <c r="T564" s="85" t="n"/>
      <c r="U564" s="85" t="n"/>
      <c r="V564" s="85" t="n"/>
      <c r="W564" s="85" t="n"/>
      <c r="X564" s="85" t="n"/>
      <c r="Y564" s="85" t="n"/>
      <c r="Z564" s="85" t="n"/>
      <c r="AA564" s="85" t="n"/>
      <c r="AB564" s="85" t="n"/>
      <c r="AC564" s="86" t="n"/>
      <c r="AD564" s="85">
        <f>IF($A564="","",IF(OR($AB564&lt;&gt;"Yes",$AC564="",TODAY()-$AC564&gt;90),"At Risk","Not At Risk"))</f>
        <v/>
      </c>
      <c r="AE564" s="85" t="n"/>
    </row>
    <row r="565" ht="15" customHeight="1" s="39">
      <c r="A565" s="85" t="n"/>
      <c r="B565" s="85" t="n"/>
      <c r="C565" s="85" t="n"/>
      <c r="D565" s="85" t="n"/>
      <c r="E565" s="85" t="n"/>
      <c r="F565" s="85" t="n"/>
      <c r="G565" s="85" t="n"/>
      <c r="H565" s="85" t="n"/>
      <c r="I565" s="85" t="n"/>
      <c r="J565" s="85" t="n"/>
      <c r="K565" s="85" t="n"/>
      <c r="L565" s="85" t="n"/>
      <c r="M565" s="85" t="n"/>
      <c r="N565" s="85" t="n"/>
      <c r="O565" s="85" t="n"/>
      <c r="P565" s="85" t="n"/>
      <c r="Q565" s="85" t="n"/>
      <c r="R565" s="85" t="n"/>
      <c r="S565" s="85" t="n"/>
      <c r="T565" s="85" t="n"/>
      <c r="U565" s="85" t="n"/>
      <c r="V565" s="85" t="n"/>
      <c r="W565" s="85" t="n"/>
      <c r="X565" s="85" t="n"/>
      <c r="Y565" s="85" t="n"/>
      <c r="Z565" s="85" t="n"/>
      <c r="AA565" s="85" t="n"/>
      <c r="AB565" s="85" t="n"/>
      <c r="AC565" s="86" t="n"/>
      <c r="AD565" s="85">
        <f>IF($A565="","",IF(OR($AB565&lt;&gt;"Yes",$AC565="",TODAY()-$AC565&gt;90),"At Risk","Not At Risk"))</f>
        <v/>
      </c>
      <c r="AE565" s="85" t="n"/>
    </row>
    <row r="566" ht="15" customHeight="1" s="39">
      <c r="A566" s="85" t="n"/>
      <c r="B566" s="85" t="n"/>
      <c r="C566" s="85" t="n"/>
      <c r="D566" s="85" t="n"/>
      <c r="E566" s="85" t="n"/>
      <c r="F566" s="85" t="n"/>
      <c r="G566" s="85" t="n"/>
      <c r="H566" s="85" t="n"/>
      <c r="I566" s="85" t="n"/>
      <c r="J566" s="85" t="n"/>
      <c r="K566" s="85" t="n"/>
      <c r="L566" s="85" t="n"/>
      <c r="M566" s="85" t="n"/>
      <c r="N566" s="85" t="n"/>
      <c r="O566" s="85" t="n"/>
      <c r="P566" s="85" t="n"/>
      <c r="Q566" s="85" t="n"/>
      <c r="R566" s="85" t="n"/>
      <c r="S566" s="85" t="n"/>
      <c r="T566" s="85" t="n"/>
      <c r="U566" s="85" t="n"/>
      <c r="V566" s="85" t="n"/>
      <c r="W566" s="85" t="n"/>
      <c r="X566" s="85" t="n"/>
      <c r="Y566" s="85" t="n"/>
      <c r="Z566" s="85" t="n"/>
      <c r="AA566" s="85" t="n"/>
      <c r="AB566" s="85" t="n"/>
      <c r="AC566" s="86" t="n"/>
      <c r="AD566" s="85">
        <f>IF($A566="","",IF(OR($AB566&lt;&gt;"Yes",$AC566="",TODAY()-$AC566&gt;90),"At Risk","Not At Risk"))</f>
        <v/>
      </c>
      <c r="AE566" s="85" t="n"/>
    </row>
    <row r="567" ht="15" customHeight="1" s="39">
      <c r="A567" s="85" t="n"/>
      <c r="B567" s="85" t="n"/>
      <c r="C567" s="85" t="n"/>
      <c r="D567" s="85" t="n"/>
      <c r="E567" s="85" t="n"/>
      <c r="F567" s="85" t="n"/>
      <c r="G567" s="85" t="n"/>
      <c r="H567" s="85" t="n"/>
      <c r="I567" s="85" t="n"/>
      <c r="J567" s="85" t="n"/>
      <c r="K567" s="85" t="n"/>
      <c r="L567" s="85" t="n"/>
      <c r="M567" s="85" t="n"/>
      <c r="N567" s="85" t="n"/>
      <c r="O567" s="85" t="n"/>
      <c r="P567" s="85" t="n"/>
      <c r="Q567" s="85" t="n"/>
      <c r="R567" s="85" t="n"/>
      <c r="S567" s="85" t="n"/>
      <c r="T567" s="85" t="n"/>
      <c r="U567" s="85" t="n"/>
      <c r="V567" s="85" t="n"/>
      <c r="W567" s="85" t="n"/>
      <c r="X567" s="85" t="n"/>
      <c r="Y567" s="85" t="n"/>
      <c r="Z567" s="85" t="n"/>
      <c r="AA567" s="85" t="n"/>
      <c r="AB567" s="85" t="n"/>
      <c r="AC567" s="86" t="n"/>
      <c r="AD567" s="85">
        <f>IF($A567="","",IF(OR($AB567&lt;&gt;"Yes",$AC567="",TODAY()-$AC567&gt;90),"At Risk","Not At Risk"))</f>
        <v/>
      </c>
      <c r="AE567" s="85" t="n"/>
    </row>
    <row r="568" ht="15" customHeight="1" s="39">
      <c r="A568" s="85" t="n"/>
      <c r="B568" s="85" t="n"/>
      <c r="C568" s="85" t="n"/>
      <c r="D568" s="85" t="n"/>
      <c r="E568" s="85" t="n"/>
      <c r="F568" s="85" t="n"/>
      <c r="G568" s="85" t="n"/>
      <c r="H568" s="85" t="n"/>
      <c r="I568" s="85" t="n"/>
      <c r="J568" s="85" t="n"/>
      <c r="K568" s="85" t="n"/>
      <c r="L568" s="85" t="n"/>
      <c r="M568" s="85" t="n"/>
      <c r="N568" s="85" t="n"/>
      <c r="O568" s="85" t="n"/>
      <c r="P568" s="85" t="n"/>
      <c r="Q568" s="85" t="n"/>
      <c r="R568" s="85" t="n"/>
      <c r="S568" s="85" t="n"/>
      <c r="T568" s="85" t="n"/>
      <c r="U568" s="85" t="n"/>
      <c r="V568" s="85" t="n"/>
      <c r="W568" s="85" t="n"/>
      <c r="X568" s="85" t="n"/>
      <c r="Y568" s="85" t="n"/>
      <c r="Z568" s="85" t="n"/>
      <c r="AA568" s="85" t="n"/>
      <c r="AB568" s="85" t="n"/>
      <c r="AC568" s="86" t="n"/>
      <c r="AD568" s="85">
        <f>IF($A568="","",IF(OR($AB568&lt;&gt;"Yes",$AC568="",TODAY()-$AC568&gt;90),"At Risk","Not At Risk"))</f>
        <v/>
      </c>
      <c r="AE568" s="85" t="n"/>
    </row>
    <row r="569" ht="15" customHeight="1" s="39">
      <c r="A569" s="85" t="n"/>
      <c r="B569" s="85" t="n"/>
      <c r="C569" s="85" t="n"/>
      <c r="D569" s="85" t="n"/>
      <c r="E569" s="85" t="n"/>
      <c r="F569" s="85" t="n"/>
      <c r="G569" s="85" t="n"/>
      <c r="H569" s="85" t="n"/>
      <c r="I569" s="85" t="n"/>
      <c r="J569" s="85" t="n"/>
      <c r="K569" s="85" t="n"/>
      <c r="L569" s="85" t="n"/>
      <c r="M569" s="85" t="n"/>
      <c r="N569" s="85" t="n"/>
      <c r="O569" s="85" t="n"/>
      <c r="P569" s="85" t="n"/>
      <c r="Q569" s="85" t="n"/>
      <c r="R569" s="85" t="n"/>
      <c r="S569" s="85" t="n"/>
      <c r="T569" s="85" t="n"/>
      <c r="U569" s="85" t="n"/>
      <c r="V569" s="85" t="n"/>
      <c r="W569" s="85" t="n"/>
      <c r="X569" s="85" t="n"/>
      <c r="Y569" s="85" t="n"/>
      <c r="Z569" s="85" t="n"/>
      <c r="AA569" s="85" t="n"/>
      <c r="AB569" s="85" t="n"/>
      <c r="AC569" s="86" t="n"/>
      <c r="AD569" s="85">
        <f>IF($A569="","",IF(OR($AB569&lt;&gt;"Yes",$AC569="",TODAY()-$AC569&gt;90),"At Risk","Not At Risk"))</f>
        <v/>
      </c>
      <c r="AE569" s="85" t="n"/>
    </row>
    <row r="570" ht="15" customHeight="1" s="39">
      <c r="A570" s="85" t="n"/>
      <c r="B570" s="85" t="n"/>
      <c r="C570" s="85" t="n"/>
      <c r="D570" s="85" t="n"/>
      <c r="E570" s="85" t="n"/>
      <c r="F570" s="85" t="n"/>
      <c r="G570" s="85" t="n"/>
      <c r="H570" s="85" t="n"/>
      <c r="I570" s="85" t="n"/>
      <c r="J570" s="85" t="n"/>
      <c r="K570" s="85" t="n"/>
      <c r="L570" s="85" t="n"/>
      <c r="M570" s="85" t="n"/>
      <c r="N570" s="85" t="n"/>
      <c r="O570" s="85" t="n"/>
      <c r="P570" s="85" t="n"/>
      <c r="Q570" s="85" t="n"/>
      <c r="R570" s="85" t="n"/>
      <c r="S570" s="85" t="n"/>
      <c r="T570" s="85" t="n"/>
      <c r="U570" s="85" t="n"/>
      <c r="V570" s="85" t="n"/>
      <c r="W570" s="85" t="n"/>
      <c r="X570" s="85" t="n"/>
      <c r="Y570" s="85" t="n"/>
      <c r="Z570" s="85" t="n"/>
      <c r="AA570" s="85" t="n"/>
      <c r="AB570" s="85" t="n"/>
      <c r="AC570" s="86" t="n"/>
      <c r="AD570" s="85">
        <f>IF($A570="","",IF(OR($AB570&lt;&gt;"Yes",$AC570="",TODAY()-$AC570&gt;90),"At Risk","Not At Risk"))</f>
        <v/>
      </c>
      <c r="AE570" s="85" t="n"/>
    </row>
    <row r="571" ht="15" customHeight="1" s="39">
      <c r="A571" s="85" t="n"/>
      <c r="B571" s="85" t="n"/>
      <c r="C571" s="85" t="n"/>
      <c r="D571" s="85" t="n"/>
      <c r="E571" s="85" t="n"/>
      <c r="F571" s="85" t="n"/>
      <c r="G571" s="85" t="n"/>
      <c r="H571" s="85" t="n"/>
      <c r="I571" s="85" t="n"/>
      <c r="J571" s="85" t="n"/>
      <c r="K571" s="85" t="n"/>
      <c r="L571" s="85" t="n"/>
      <c r="M571" s="85" t="n"/>
      <c r="N571" s="85" t="n"/>
      <c r="O571" s="85" t="n"/>
      <c r="P571" s="85" t="n"/>
      <c r="Q571" s="85" t="n"/>
      <c r="R571" s="85" t="n"/>
      <c r="S571" s="85" t="n"/>
      <c r="T571" s="85" t="n"/>
      <c r="U571" s="85" t="n"/>
      <c r="V571" s="85" t="n"/>
      <c r="W571" s="85" t="n"/>
      <c r="X571" s="85" t="n"/>
      <c r="Y571" s="85" t="n"/>
      <c r="Z571" s="85" t="n"/>
      <c r="AA571" s="85" t="n"/>
      <c r="AB571" s="85" t="n"/>
      <c r="AC571" s="86" t="n"/>
      <c r="AD571" s="85">
        <f>IF($A571="","",IF(OR($AB571&lt;&gt;"Yes",$AC571="",TODAY()-$AC571&gt;90),"At Risk","Not At Risk"))</f>
        <v/>
      </c>
      <c r="AE571" s="85" t="n"/>
    </row>
    <row r="572" ht="15" customHeight="1" s="39">
      <c r="A572" s="85" t="n"/>
      <c r="B572" s="85" t="n"/>
      <c r="C572" s="85" t="n"/>
      <c r="D572" s="85" t="n"/>
      <c r="E572" s="85" t="n"/>
      <c r="F572" s="85" t="n"/>
      <c r="G572" s="85" t="n"/>
      <c r="H572" s="85" t="n"/>
      <c r="I572" s="85" t="n"/>
      <c r="J572" s="85" t="n"/>
      <c r="K572" s="85" t="n"/>
      <c r="L572" s="85" t="n"/>
      <c r="M572" s="85" t="n"/>
      <c r="N572" s="85" t="n"/>
      <c r="O572" s="85" t="n"/>
      <c r="P572" s="85" t="n"/>
      <c r="Q572" s="85" t="n"/>
      <c r="R572" s="85" t="n"/>
      <c r="S572" s="85" t="n"/>
      <c r="T572" s="85" t="n"/>
      <c r="U572" s="85" t="n"/>
      <c r="V572" s="85" t="n"/>
      <c r="W572" s="85" t="n"/>
      <c r="X572" s="85" t="n"/>
      <c r="Y572" s="85" t="n"/>
      <c r="Z572" s="85" t="n"/>
      <c r="AA572" s="85" t="n"/>
      <c r="AB572" s="85" t="n"/>
      <c r="AC572" s="86" t="n"/>
      <c r="AD572" s="85">
        <f>IF($A572="","",IF(OR($AB572&lt;&gt;"Yes",$AC572="",TODAY()-$AC572&gt;90),"At Risk","Not At Risk"))</f>
        <v/>
      </c>
      <c r="AE572" s="85" t="n"/>
    </row>
    <row r="573" ht="15" customHeight="1" s="39">
      <c r="A573" s="85" t="n"/>
      <c r="B573" s="85" t="n"/>
      <c r="C573" s="85" t="n"/>
      <c r="D573" s="85" t="n"/>
      <c r="E573" s="85" t="n"/>
      <c r="F573" s="85" t="n"/>
      <c r="G573" s="85" t="n"/>
      <c r="H573" s="85" t="n"/>
      <c r="I573" s="85" t="n"/>
      <c r="J573" s="85" t="n"/>
      <c r="K573" s="85" t="n"/>
      <c r="L573" s="85" t="n"/>
      <c r="M573" s="85" t="n"/>
      <c r="N573" s="85" t="n"/>
      <c r="O573" s="85" t="n"/>
      <c r="P573" s="85" t="n"/>
      <c r="Q573" s="85" t="n"/>
      <c r="R573" s="85" t="n"/>
      <c r="S573" s="85" t="n"/>
      <c r="T573" s="85" t="n"/>
      <c r="U573" s="85" t="n"/>
      <c r="V573" s="85" t="n"/>
      <c r="W573" s="85" t="n"/>
      <c r="X573" s="85" t="n"/>
      <c r="Y573" s="85" t="n"/>
      <c r="Z573" s="85" t="n"/>
      <c r="AA573" s="85" t="n"/>
      <c r="AB573" s="85" t="n"/>
      <c r="AC573" s="86" t="n"/>
      <c r="AD573" s="85">
        <f>IF($A573="","",IF(OR($AB573&lt;&gt;"Yes",$AC573="",TODAY()-$AC573&gt;90),"At Risk","Not At Risk"))</f>
        <v/>
      </c>
      <c r="AE573" s="85" t="n"/>
    </row>
    <row r="574" ht="15" customHeight="1" s="39">
      <c r="A574" s="85" t="n"/>
      <c r="B574" s="85" t="n"/>
      <c r="C574" s="85" t="n"/>
      <c r="D574" s="85" t="n"/>
      <c r="E574" s="85" t="n"/>
      <c r="F574" s="85" t="n"/>
      <c r="G574" s="85" t="n"/>
      <c r="H574" s="85" t="n"/>
      <c r="I574" s="85" t="n"/>
      <c r="J574" s="85" t="n"/>
      <c r="K574" s="85" t="n"/>
      <c r="L574" s="85" t="n"/>
      <c r="M574" s="85" t="n"/>
      <c r="N574" s="85" t="n"/>
      <c r="O574" s="85" t="n"/>
      <c r="P574" s="85" t="n"/>
      <c r="Q574" s="85" t="n"/>
      <c r="R574" s="85" t="n"/>
      <c r="S574" s="85" t="n"/>
      <c r="T574" s="85" t="n"/>
      <c r="U574" s="85" t="n"/>
      <c r="V574" s="85" t="n"/>
      <c r="W574" s="85" t="n"/>
      <c r="X574" s="85" t="n"/>
      <c r="Y574" s="85" t="n"/>
      <c r="Z574" s="85" t="n"/>
      <c r="AA574" s="85" t="n"/>
      <c r="AB574" s="85" t="n"/>
      <c r="AC574" s="86" t="n"/>
      <c r="AD574" s="85">
        <f>IF($A574="","",IF(OR($AB574&lt;&gt;"Yes",$AC574="",TODAY()-$AC574&gt;90),"At Risk","Not At Risk"))</f>
        <v/>
      </c>
      <c r="AE574" s="85" t="n"/>
    </row>
    <row r="575" ht="15" customHeight="1" s="39">
      <c r="A575" s="85" t="n"/>
      <c r="B575" s="85" t="n"/>
      <c r="C575" s="85" t="n"/>
      <c r="D575" s="85" t="n"/>
      <c r="E575" s="85" t="n"/>
      <c r="F575" s="85" t="n"/>
      <c r="G575" s="85" t="n"/>
      <c r="H575" s="85" t="n"/>
      <c r="I575" s="85" t="n"/>
      <c r="J575" s="85" t="n"/>
      <c r="K575" s="85" t="n"/>
      <c r="L575" s="85" t="n"/>
      <c r="M575" s="85" t="n"/>
      <c r="N575" s="85" t="n"/>
      <c r="O575" s="85" t="n"/>
      <c r="P575" s="85" t="n"/>
      <c r="Q575" s="85" t="n"/>
      <c r="R575" s="85" t="n"/>
      <c r="S575" s="85" t="n"/>
      <c r="T575" s="85" t="n"/>
      <c r="U575" s="85" t="n"/>
      <c r="V575" s="85" t="n"/>
      <c r="W575" s="85" t="n"/>
      <c r="X575" s="85" t="n"/>
      <c r="Y575" s="85" t="n"/>
      <c r="Z575" s="85" t="n"/>
      <c r="AA575" s="85" t="n"/>
      <c r="AB575" s="85" t="n"/>
      <c r="AC575" s="86" t="n"/>
      <c r="AD575" s="85">
        <f>IF($A575="","",IF(OR($AB575&lt;&gt;"Yes",$AC575="",TODAY()-$AC575&gt;90),"At Risk","Not At Risk"))</f>
        <v/>
      </c>
      <c r="AE575" s="85" t="n"/>
    </row>
    <row r="576" ht="15" customHeight="1" s="39">
      <c r="A576" s="85" t="n"/>
      <c r="B576" s="85" t="n"/>
      <c r="C576" s="85" t="n"/>
      <c r="D576" s="85" t="n"/>
      <c r="E576" s="85" t="n"/>
      <c r="F576" s="85" t="n"/>
      <c r="G576" s="85" t="n"/>
      <c r="H576" s="85" t="n"/>
      <c r="I576" s="85" t="n"/>
      <c r="J576" s="85" t="n"/>
      <c r="K576" s="85" t="n"/>
      <c r="L576" s="85" t="n"/>
      <c r="M576" s="85" t="n"/>
      <c r="N576" s="85" t="n"/>
      <c r="O576" s="85" t="n"/>
      <c r="P576" s="85" t="n"/>
      <c r="Q576" s="85" t="n"/>
      <c r="R576" s="85" t="n"/>
      <c r="S576" s="85" t="n"/>
      <c r="T576" s="85" t="n"/>
      <c r="U576" s="85" t="n"/>
      <c r="V576" s="85" t="n"/>
      <c r="W576" s="85" t="n"/>
      <c r="X576" s="85" t="n"/>
      <c r="Y576" s="85" t="n"/>
      <c r="Z576" s="85" t="n"/>
      <c r="AA576" s="85" t="n"/>
      <c r="AB576" s="85" t="n"/>
      <c r="AC576" s="86" t="n"/>
      <c r="AD576" s="85">
        <f>IF($A576="","",IF(OR($AB576&lt;&gt;"Yes",$AC576="",TODAY()-$AC576&gt;90),"At Risk","Not At Risk"))</f>
        <v/>
      </c>
      <c r="AE576" s="85" t="n"/>
    </row>
    <row r="577" ht="15" customHeight="1" s="39">
      <c r="A577" s="85" t="n"/>
      <c r="B577" s="85" t="n"/>
      <c r="C577" s="85" t="n"/>
      <c r="D577" s="85" t="n"/>
      <c r="E577" s="85" t="n"/>
      <c r="F577" s="85" t="n"/>
      <c r="G577" s="85" t="n"/>
      <c r="H577" s="85" t="n"/>
      <c r="I577" s="85" t="n"/>
      <c r="J577" s="85" t="n"/>
      <c r="K577" s="85" t="n"/>
      <c r="L577" s="85" t="n"/>
      <c r="M577" s="85" t="n"/>
      <c r="N577" s="85" t="n"/>
      <c r="O577" s="85" t="n"/>
      <c r="P577" s="85" t="n"/>
      <c r="Q577" s="85" t="n"/>
      <c r="R577" s="85" t="n"/>
      <c r="S577" s="85" t="n"/>
      <c r="T577" s="85" t="n"/>
      <c r="U577" s="85" t="n"/>
      <c r="V577" s="85" t="n"/>
      <c r="W577" s="85" t="n"/>
      <c r="X577" s="85" t="n"/>
      <c r="Y577" s="85" t="n"/>
      <c r="Z577" s="85" t="n"/>
      <c r="AA577" s="85" t="n"/>
      <c r="AB577" s="85" t="n"/>
      <c r="AC577" s="86" t="n"/>
      <c r="AD577" s="85">
        <f>IF($A577="","",IF(OR($AB577&lt;&gt;"Yes",$AC577="",TODAY()-$AC577&gt;90),"At Risk","Not At Risk"))</f>
        <v/>
      </c>
      <c r="AE577" s="85" t="n"/>
    </row>
    <row r="578" ht="15" customHeight="1" s="39">
      <c r="A578" s="85" t="n"/>
      <c r="B578" s="85" t="n"/>
      <c r="C578" s="85" t="n"/>
      <c r="D578" s="85" t="n"/>
      <c r="E578" s="85" t="n"/>
      <c r="F578" s="85" t="n"/>
      <c r="G578" s="85" t="n"/>
      <c r="H578" s="85" t="n"/>
      <c r="I578" s="85" t="n"/>
      <c r="J578" s="85" t="n"/>
      <c r="K578" s="85" t="n"/>
      <c r="L578" s="85" t="n"/>
      <c r="M578" s="85" t="n"/>
      <c r="N578" s="85" t="n"/>
      <c r="O578" s="85" t="n"/>
      <c r="P578" s="85" t="n"/>
      <c r="Q578" s="85" t="n"/>
      <c r="R578" s="85" t="n"/>
      <c r="S578" s="85" t="n"/>
      <c r="T578" s="85" t="n"/>
      <c r="U578" s="85" t="n"/>
      <c r="V578" s="85" t="n"/>
      <c r="W578" s="85" t="n"/>
      <c r="X578" s="85" t="n"/>
      <c r="Y578" s="85" t="n"/>
      <c r="Z578" s="85" t="n"/>
      <c r="AA578" s="85" t="n"/>
      <c r="AB578" s="85" t="n"/>
      <c r="AC578" s="86" t="n"/>
      <c r="AD578" s="85">
        <f>IF($A578="","",IF(OR($AB578&lt;&gt;"Yes",$AC578="",TODAY()-$AC578&gt;90),"At Risk","Not At Risk"))</f>
        <v/>
      </c>
      <c r="AE578" s="85" t="n"/>
    </row>
    <row r="579" ht="15" customHeight="1" s="39">
      <c r="A579" s="85" t="n"/>
      <c r="B579" s="85" t="n"/>
      <c r="C579" s="85" t="n"/>
      <c r="D579" s="85" t="n"/>
      <c r="E579" s="85" t="n"/>
      <c r="F579" s="85" t="n"/>
      <c r="G579" s="85" t="n"/>
      <c r="H579" s="85" t="n"/>
      <c r="I579" s="85" t="n"/>
      <c r="J579" s="85" t="n"/>
      <c r="K579" s="85" t="n"/>
      <c r="L579" s="85" t="n"/>
      <c r="M579" s="85" t="n"/>
      <c r="N579" s="85" t="n"/>
      <c r="O579" s="85" t="n"/>
      <c r="P579" s="85" t="n"/>
      <c r="Q579" s="85" t="n"/>
      <c r="R579" s="85" t="n"/>
      <c r="S579" s="85" t="n"/>
      <c r="T579" s="85" t="n"/>
      <c r="U579" s="85" t="n"/>
      <c r="V579" s="85" t="n"/>
      <c r="W579" s="85" t="n"/>
      <c r="X579" s="85" t="n"/>
      <c r="Y579" s="85" t="n"/>
      <c r="Z579" s="85" t="n"/>
      <c r="AA579" s="85" t="n"/>
      <c r="AB579" s="85" t="n"/>
      <c r="AC579" s="86" t="n"/>
      <c r="AD579" s="85">
        <f>IF($A579="","",IF(OR($AB579&lt;&gt;"Yes",$AC579="",TODAY()-$AC579&gt;90),"At Risk","Not At Risk"))</f>
        <v/>
      </c>
      <c r="AE579" s="85" t="n"/>
    </row>
    <row r="580" ht="15" customHeight="1" s="39">
      <c r="A580" s="85" t="n"/>
      <c r="B580" s="85" t="n"/>
      <c r="C580" s="85" t="n"/>
      <c r="D580" s="85" t="n"/>
      <c r="E580" s="85" t="n"/>
      <c r="F580" s="85" t="n"/>
      <c r="G580" s="85" t="n"/>
      <c r="H580" s="85" t="n"/>
      <c r="I580" s="85" t="n"/>
      <c r="J580" s="85" t="n"/>
      <c r="K580" s="85" t="n"/>
      <c r="L580" s="85" t="n"/>
      <c r="M580" s="85" t="n"/>
      <c r="N580" s="85" t="n"/>
      <c r="O580" s="85" t="n"/>
      <c r="P580" s="85" t="n"/>
      <c r="Q580" s="85" t="n"/>
      <c r="R580" s="85" t="n"/>
      <c r="S580" s="85" t="n"/>
      <c r="T580" s="85" t="n"/>
      <c r="U580" s="85" t="n"/>
      <c r="V580" s="85" t="n"/>
      <c r="W580" s="85" t="n"/>
      <c r="X580" s="85" t="n"/>
      <c r="Y580" s="85" t="n"/>
      <c r="Z580" s="85" t="n"/>
      <c r="AA580" s="85" t="n"/>
      <c r="AB580" s="85" t="n"/>
      <c r="AC580" s="86" t="n"/>
      <c r="AD580" s="85">
        <f>IF($A580="","",IF(OR($AB580&lt;&gt;"Yes",$AC580="",TODAY()-$AC580&gt;90),"At Risk","Not At Risk"))</f>
        <v/>
      </c>
      <c r="AE580" s="85" t="n"/>
    </row>
    <row r="581" ht="15" customHeight="1" s="39">
      <c r="A581" s="85" t="n"/>
      <c r="B581" s="85" t="n"/>
      <c r="C581" s="85" t="n"/>
      <c r="D581" s="85" t="n"/>
      <c r="E581" s="85" t="n"/>
      <c r="F581" s="85" t="n"/>
      <c r="G581" s="85" t="n"/>
      <c r="H581" s="85" t="n"/>
      <c r="I581" s="85" t="n"/>
      <c r="J581" s="85" t="n"/>
      <c r="K581" s="85" t="n"/>
      <c r="L581" s="85" t="n"/>
      <c r="M581" s="85" t="n"/>
      <c r="N581" s="85" t="n"/>
      <c r="O581" s="85" t="n"/>
      <c r="P581" s="85" t="n"/>
      <c r="Q581" s="85" t="n"/>
      <c r="R581" s="85" t="n"/>
      <c r="S581" s="85" t="n"/>
      <c r="T581" s="85" t="n"/>
      <c r="U581" s="85" t="n"/>
      <c r="V581" s="85" t="n"/>
      <c r="W581" s="85" t="n"/>
      <c r="X581" s="85" t="n"/>
      <c r="Y581" s="85" t="n"/>
      <c r="Z581" s="85" t="n"/>
      <c r="AA581" s="85" t="n"/>
      <c r="AB581" s="85" t="n"/>
      <c r="AC581" s="86" t="n"/>
      <c r="AD581" s="85">
        <f>IF($A581="","",IF(OR($AB581&lt;&gt;"Yes",$AC581="",TODAY()-$AC581&gt;90),"At Risk","Not At Risk"))</f>
        <v/>
      </c>
      <c r="AE581" s="85" t="n"/>
    </row>
    <row r="582" ht="15" customHeight="1" s="39">
      <c r="A582" s="85" t="n"/>
      <c r="B582" s="85" t="n"/>
      <c r="C582" s="85" t="n"/>
      <c r="D582" s="85" t="n"/>
      <c r="E582" s="85" t="n"/>
      <c r="F582" s="85" t="n"/>
      <c r="G582" s="85" t="n"/>
      <c r="H582" s="85" t="n"/>
      <c r="I582" s="85" t="n"/>
      <c r="J582" s="85" t="n"/>
      <c r="K582" s="85" t="n"/>
      <c r="L582" s="85" t="n"/>
      <c r="M582" s="85" t="n"/>
      <c r="N582" s="85" t="n"/>
      <c r="O582" s="85" t="n"/>
      <c r="P582" s="85" t="n"/>
      <c r="Q582" s="85" t="n"/>
      <c r="R582" s="85" t="n"/>
      <c r="S582" s="85" t="n"/>
      <c r="T582" s="85" t="n"/>
      <c r="U582" s="85" t="n"/>
      <c r="V582" s="85" t="n"/>
      <c r="W582" s="85" t="n"/>
      <c r="X582" s="85" t="n"/>
      <c r="Y582" s="85" t="n"/>
      <c r="Z582" s="85" t="n"/>
      <c r="AA582" s="85" t="n"/>
      <c r="AB582" s="85" t="n"/>
      <c r="AC582" s="86" t="n"/>
      <c r="AD582" s="85">
        <f>IF($A582="","",IF(OR($AB582&lt;&gt;"Yes",$AC582="",TODAY()-$AC582&gt;90),"At Risk","Not At Risk"))</f>
        <v/>
      </c>
      <c r="AE582" s="85" t="n"/>
    </row>
    <row r="583" ht="15" customHeight="1" s="39">
      <c r="A583" s="85" t="n"/>
      <c r="B583" s="85" t="n"/>
      <c r="C583" s="85" t="n"/>
      <c r="D583" s="85" t="n"/>
      <c r="E583" s="85" t="n"/>
      <c r="F583" s="85" t="n"/>
      <c r="G583" s="85" t="n"/>
      <c r="H583" s="85" t="n"/>
      <c r="I583" s="85" t="n"/>
      <c r="J583" s="85" t="n"/>
      <c r="K583" s="85" t="n"/>
      <c r="L583" s="85" t="n"/>
      <c r="M583" s="85" t="n"/>
      <c r="N583" s="85" t="n"/>
      <c r="O583" s="85" t="n"/>
      <c r="P583" s="85" t="n"/>
      <c r="Q583" s="85" t="n"/>
      <c r="R583" s="85" t="n"/>
      <c r="S583" s="85" t="n"/>
      <c r="T583" s="85" t="n"/>
      <c r="U583" s="85" t="n"/>
      <c r="V583" s="85" t="n"/>
      <c r="W583" s="85" t="n"/>
      <c r="X583" s="85" t="n"/>
      <c r="Y583" s="85" t="n"/>
      <c r="Z583" s="85" t="n"/>
      <c r="AA583" s="85" t="n"/>
      <c r="AB583" s="85" t="n"/>
      <c r="AC583" s="86" t="n"/>
      <c r="AD583" s="85">
        <f>IF($A583="","",IF(OR($AB583&lt;&gt;"Yes",$AC583="",TODAY()-$AC583&gt;90),"At Risk","Not At Risk"))</f>
        <v/>
      </c>
      <c r="AE583" s="85" t="n"/>
    </row>
    <row r="584" ht="15" customHeight="1" s="39">
      <c r="A584" s="85" t="n"/>
      <c r="B584" s="85" t="n"/>
      <c r="C584" s="85" t="n"/>
      <c r="D584" s="85" t="n"/>
      <c r="E584" s="85" t="n"/>
      <c r="F584" s="85" t="n"/>
      <c r="G584" s="85" t="n"/>
      <c r="H584" s="85" t="n"/>
      <c r="I584" s="85" t="n"/>
      <c r="J584" s="85" t="n"/>
      <c r="K584" s="85" t="n"/>
      <c r="L584" s="85" t="n"/>
      <c r="M584" s="85" t="n"/>
      <c r="N584" s="85" t="n"/>
      <c r="O584" s="85" t="n"/>
      <c r="P584" s="85" t="n"/>
      <c r="Q584" s="85" t="n"/>
      <c r="R584" s="85" t="n"/>
      <c r="S584" s="85" t="n"/>
      <c r="T584" s="85" t="n"/>
      <c r="U584" s="85" t="n"/>
      <c r="V584" s="85" t="n"/>
      <c r="W584" s="85" t="n"/>
      <c r="X584" s="85" t="n"/>
      <c r="Y584" s="85" t="n"/>
      <c r="Z584" s="85" t="n"/>
      <c r="AA584" s="85" t="n"/>
      <c r="AB584" s="85" t="n"/>
      <c r="AC584" s="86" t="n"/>
      <c r="AD584" s="85">
        <f>IF($A584="","",IF(OR($AB584&lt;&gt;"Yes",$AC584="",TODAY()-$AC584&gt;90),"At Risk","Not At Risk"))</f>
        <v/>
      </c>
      <c r="AE584" s="85" t="n"/>
    </row>
    <row r="585" ht="15" customHeight="1" s="39">
      <c r="A585" s="85" t="n"/>
      <c r="B585" s="85" t="n"/>
      <c r="C585" s="85" t="n"/>
      <c r="D585" s="85" t="n"/>
      <c r="E585" s="85" t="n"/>
      <c r="F585" s="85" t="n"/>
      <c r="G585" s="85" t="n"/>
      <c r="H585" s="85" t="n"/>
      <c r="I585" s="85" t="n"/>
      <c r="J585" s="85" t="n"/>
      <c r="K585" s="85" t="n"/>
      <c r="L585" s="85" t="n"/>
      <c r="M585" s="85" t="n"/>
      <c r="N585" s="85" t="n"/>
      <c r="O585" s="85" t="n"/>
      <c r="P585" s="85" t="n"/>
      <c r="Q585" s="85" t="n"/>
      <c r="R585" s="85" t="n"/>
      <c r="S585" s="85" t="n"/>
      <c r="T585" s="85" t="n"/>
      <c r="U585" s="85" t="n"/>
      <c r="V585" s="85" t="n"/>
      <c r="W585" s="85" t="n"/>
      <c r="X585" s="85" t="n"/>
      <c r="Y585" s="85" t="n"/>
      <c r="Z585" s="85" t="n"/>
      <c r="AA585" s="85" t="n"/>
      <c r="AB585" s="85" t="n"/>
      <c r="AC585" s="86" t="n"/>
      <c r="AD585" s="85">
        <f>IF($A585="","",IF(OR($AB585&lt;&gt;"Yes",$AC585="",TODAY()-$AC585&gt;90),"At Risk","Not At Risk"))</f>
        <v/>
      </c>
      <c r="AE585" s="85" t="n"/>
    </row>
    <row r="586" ht="15" customHeight="1" s="39">
      <c r="A586" s="85" t="n"/>
      <c r="B586" s="85" t="n"/>
      <c r="C586" s="85" t="n"/>
      <c r="D586" s="85" t="n"/>
      <c r="E586" s="85" t="n"/>
      <c r="F586" s="85" t="n"/>
      <c r="G586" s="85" t="n"/>
      <c r="H586" s="85" t="n"/>
      <c r="I586" s="85" t="n"/>
      <c r="J586" s="85" t="n"/>
      <c r="K586" s="85" t="n"/>
      <c r="L586" s="85" t="n"/>
      <c r="M586" s="85" t="n"/>
      <c r="N586" s="85" t="n"/>
      <c r="O586" s="85" t="n"/>
      <c r="P586" s="85" t="n"/>
      <c r="Q586" s="85" t="n"/>
      <c r="R586" s="85" t="n"/>
      <c r="S586" s="85" t="n"/>
      <c r="T586" s="85" t="n"/>
      <c r="U586" s="85" t="n"/>
      <c r="V586" s="85" t="n"/>
      <c r="W586" s="85" t="n"/>
      <c r="X586" s="85" t="n"/>
      <c r="Y586" s="85" t="n"/>
      <c r="Z586" s="85" t="n"/>
      <c r="AA586" s="85" t="n"/>
      <c r="AB586" s="85" t="n"/>
      <c r="AC586" s="86" t="n"/>
      <c r="AD586" s="85">
        <f>IF($A586="","",IF(OR($AB586&lt;&gt;"Yes",$AC586="",TODAY()-$AC586&gt;90),"At Risk","Not At Risk"))</f>
        <v/>
      </c>
      <c r="AE586" s="85" t="n"/>
    </row>
    <row r="587" ht="15" customHeight="1" s="39">
      <c r="A587" s="85" t="n"/>
      <c r="B587" s="85" t="n"/>
      <c r="C587" s="85" t="n"/>
      <c r="D587" s="85" t="n"/>
      <c r="E587" s="85" t="n"/>
      <c r="F587" s="85" t="n"/>
      <c r="G587" s="85" t="n"/>
      <c r="H587" s="85" t="n"/>
      <c r="I587" s="85" t="n"/>
      <c r="J587" s="85" t="n"/>
      <c r="K587" s="85" t="n"/>
      <c r="L587" s="85" t="n"/>
      <c r="M587" s="85" t="n"/>
      <c r="N587" s="85" t="n"/>
      <c r="O587" s="85" t="n"/>
      <c r="P587" s="85" t="n"/>
      <c r="Q587" s="85" t="n"/>
      <c r="R587" s="85" t="n"/>
      <c r="S587" s="85" t="n"/>
      <c r="T587" s="85" t="n"/>
      <c r="U587" s="85" t="n"/>
      <c r="V587" s="85" t="n"/>
      <c r="W587" s="85" t="n"/>
      <c r="X587" s="85" t="n"/>
      <c r="Y587" s="85" t="n"/>
      <c r="Z587" s="85" t="n"/>
      <c r="AA587" s="85" t="n"/>
      <c r="AB587" s="85" t="n"/>
      <c r="AC587" s="86" t="n"/>
      <c r="AD587" s="85">
        <f>IF($A587="","",IF(OR($AB587&lt;&gt;"Yes",$AC587="",TODAY()-$AC587&gt;90),"At Risk","Not At Risk"))</f>
        <v/>
      </c>
      <c r="AE587" s="85" t="n"/>
    </row>
    <row r="588" ht="15" customHeight="1" s="39">
      <c r="A588" s="85" t="n"/>
      <c r="B588" s="85" t="n"/>
      <c r="C588" s="85" t="n"/>
      <c r="D588" s="85" t="n"/>
      <c r="E588" s="85" t="n"/>
      <c r="F588" s="85" t="n"/>
      <c r="G588" s="85" t="n"/>
      <c r="H588" s="85" t="n"/>
      <c r="I588" s="85" t="n"/>
      <c r="J588" s="85" t="n"/>
      <c r="K588" s="85" t="n"/>
      <c r="L588" s="85" t="n"/>
      <c r="M588" s="85" t="n"/>
      <c r="N588" s="85" t="n"/>
      <c r="O588" s="85" t="n"/>
      <c r="P588" s="85" t="n"/>
      <c r="Q588" s="85" t="n"/>
      <c r="R588" s="85" t="n"/>
      <c r="S588" s="85" t="n"/>
      <c r="T588" s="85" t="n"/>
      <c r="U588" s="85" t="n"/>
      <c r="V588" s="85" t="n"/>
      <c r="W588" s="85" t="n"/>
      <c r="X588" s="85" t="n"/>
      <c r="Y588" s="85" t="n"/>
      <c r="Z588" s="85" t="n"/>
      <c r="AA588" s="85" t="n"/>
      <c r="AB588" s="85" t="n"/>
      <c r="AC588" s="86" t="n"/>
      <c r="AD588" s="85">
        <f>IF($A588="","",IF(OR($AB588&lt;&gt;"Yes",$AC588="",TODAY()-$AC588&gt;90),"At Risk","Not At Risk"))</f>
        <v/>
      </c>
      <c r="AE588" s="85" t="n"/>
    </row>
    <row r="589" ht="15" customHeight="1" s="39">
      <c r="A589" s="85" t="n"/>
      <c r="B589" s="85" t="n"/>
      <c r="C589" s="85" t="n"/>
      <c r="D589" s="85" t="n"/>
      <c r="E589" s="85" t="n"/>
      <c r="F589" s="85" t="n"/>
      <c r="G589" s="85" t="n"/>
      <c r="H589" s="85" t="n"/>
      <c r="I589" s="85" t="n"/>
      <c r="J589" s="85" t="n"/>
      <c r="K589" s="85" t="n"/>
      <c r="L589" s="85" t="n"/>
      <c r="M589" s="85" t="n"/>
      <c r="N589" s="85" t="n"/>
      <c r="O589" s="85" t="n"/>
      <c r="P589" s="85" t="n"/>
      <c r="Q589" s="85" t="n"/>
      <c r="R589" s="85" t="n"/>
      <c r="S589" s="85" t="n"/>
      <c r="T589" s="85" t="n"/>
      <c r="U589" s="85" t="n"/>
      <c r="V589" s="85" t="n"/>
      <c r="W589" s="85" t="n"/>
      <c r="X589" s="85" t="n"/>
      <c r="Y589" s="85" t="n"/>
      <c r="Z589" s="85" t="n"/>
      <c r="AA589" s="85" t="n"/>
      <c r="AB589" s="85" t="n"/>
      <c r="AC589" s="86" t="n"/>
      <c r="AD589" s="85">
        <f>IF($A589="","",IF(OR($AB589&lt;&gt;"Yes",$AC589="",TODAY()-$AC589&gt;90),"At Risk","Not At Risk"))</f>
        <v/>
      </c>
      <c r="AE589" s="85" t="n"/>
    </row>
    <row r="590" ht="15" customHeight="1" s="39">
      <c r="A590" s="85" t="n"/>
      <c r="B590" s="85" t="n"/>
      <c r="C590" s="85" t="n"/>
      <c r="D590" s="85" t="n"/>
      <c r="E590" s="85" t="n"/>
      <c r="F590" s="85" t="n"/>
      <c r="G590" s="85" t="n"/>
      <c r="H590" s="85" t="n"/>
      <c r="I590" s="85" t="n"/>
      <c r="J590" s="85" t="n"/>
      <c r="K590" s="85" t="n"/>
      <c r="L590" s="85" t="n"/>
      <c r="M590" s="85" t="n"/>
      <c r="N590" s="85" t="n"/>
      <c r="O590" s="85" t="n"/>
      <c r="P590" s="85" t="n"/>
      <c r="Q590" s="85" t="n"/>
      <c r="R590" s="85" t="n"/>
      <c r="S590" s="85" t="n"/>
      <c r="T590" s="85" t="n"/>
      <c r="U590" s="85" t="n"/>
      <c r="V590" s="85" t="n"/>
      <c r="W590" s="85" t="n"/>
      <c r="X590" s="85" t="n"/>
      <c r="Y590" s="85" t="n"/>
      <c r="Z590" s="85" t="n"/>
      <c r="AA590" s="85" t="n"/>
      <c r="AB590" s="85" t="n"/>
      <c r="AC590" s="86" t="n"/>
      <c r="AD590" s="85">
        <f>IF($A590="","",IF(OR($AB590&lt;&gt;"Yes",$AC590="",TODAY()-$AC590&gt;90),"At Risk","Not At Risk"))</f>
        <v/>
      </c>
      <c r="AE590" s="85" t="n"/>
    </row>
    <row r="591" ht="15" customHeight="1" s="39">
      <c r="A591" s="85" t="n"/>
      <c r="B591" s="85" t="n"/>
      <c r="C591" s="85" t="n"/>
      <c r="D591" s="85" t="n"/>
      <c r="E591" s="85" t="n"/>
      <c r="F591" s="85" t="n"/>
      <c r="G591" s="85" t="n"/>
      <c r="H591" s="85" t="n"/>
      <c r="I591" s="85" t="n"/>
      <c r="J591" s="85" t="n"/>
      <c r="K591" s="85" t="n"/>
      <c r="L591" s="85" t="n"/>
      <c r="M591" s="85" t="n"/>
      <c r="N591" s="85" t="n"/>
      <c r="O591" s="85" t="n"/>
      <c r="P591" s="85" t="n"/>
      <c r="Q591" s="85" t="n"/>
      <c r="R591" s="85" t="n"/>
      <c r="S591" s="85" t="n"/>
      <c r="T591" s="85" t="n"/>
      <c r="U591" s="85" t="n"/>
      <c r="V591" s="85" t="n"/>
      <c r="W591" s="85" t="n"/>
      <c r="X591" s="85" t="n"/>
      <c r="Y591" s="85" t="n"/>
      <c r="Z591" s="85" t="n"/>
      <c r="AA591" s="85" t="n"/>
      <c r="AB591" s="85" t="n"/>
      <c r="AC591" s="86" t="n"/>
      <c r="AD591" s="85">
        <f>IF($A591="","",IF(OR($AB591&lt;&gt;"Yes",$AC591="",TODAY()-$AC591&gt;90),"At Risk","Not At Risk"))</f>
        <v/>
      </c>
      <c r="AE591" s="85" t="n"/>
    </row>
    <row r="592" ht="15" customHeight="1" s="39">
      <c r="A592" s="85" t="n"/>
      <c r="B592" s="85" t="n"/>
      <c r="C592" s="85" t="n"/>
      <c r="D592" s="85" t="n"/>
      <c r="E592" s="85" t="n"/>
      <c r="F592" s="85" t="n"/>
      <c r="G592" s="85" t="n"/>
      <c r="H592" s="85" t="n"/>
      <c r="I592" s="85" t="n"/>
      <c r="J592" s="85" t="n"/>
      <c r="K592" s="85" t="n"/>
      <c r="L592" s="85" t="n"/>
      <c r="M592" s="85" t="n"/>
      <c r="N592" s="85" t="n"/>
      <c r="O592" s="85" t="n"/>
      <c r="P592" s="85" t="n"/>
      <c r="Q592" s="85" t="n"/>
      <c r="R592" s="85" t="n"/>
      <c r="S592" s="85" t="n"/>
      <c r="T592" s="85" t="n"/>
      <c r="U592" s="85" t="n"/>
      <c r="V592" s="85" t="n"/>
      <c r="W592" s="85" t="n"/>
      <c r="X592" s="85" t="n"/>
      <c r="Y592" s="85" t="n"/>
      <c r="Z592" s="85" t="n"/>
      <c r="AA592" s="85" t="n"/>
      <c r="AB592" s="85" t="n"/>
      <c r="AC592" s="86" t="n"/>
      <c r="AD592" s="85">
        <f>IF($A592="","",IF(OR($AB592&lt;&gt;"Yes",$AC592="",TODAY()-$AC592&gt;90),"At Risk","Not At Risk"))</f>
        <v/>
      </c>
      <c r="AE592" s="85" t="n"/>
    </row>
    <row r="593" ht="15" customHeight="1" s="39">
      <c r="A593" s="85" t="n"/>
      <c r="B593" s="85" t="n"/>
      <c r="C593" s="85" t="n"/>
      <c r="D593" s="85" t="n"/>
      <c r="E593" s="85" t="n"/>
      <c r="F593" s="85" t="n"/>
      <c r="G593" s="85" t="n"/>
      <c r="H593" s="85" t="n"/>
      <c r="I593" s="85" t="n"/>
      <c r="J593" s="85" t="n"/>
      <c r="K593" s="85" t="n"/>
      <c r="L593" s="85" t="n"/>
      <c r="M593" s="85" t="n"/>
      <c r="N593" s="85" t="n"/>
      <c r="O593" s="85" t="n"/>
      <c r="P593" s="85" t="n"/>
      <c r="Q593" s="85" t="n"/>
      <c r="R593" s="85" t="n"/>
      <c r="S593" s="85" t="n"/>
      <c r="T593" s="85" t="n"/>
      <c r="U593" s="85" t="n"/>
      <c r="V593" s="85" t="n"/>
      <c r="W593" s="85" t="n"/>
      <c r="X593" s="85" t="n"/>
      <c r="Y593" s="85" t="n"/>
      <c r="Z593" s="85" t="n"/>
      <c r="AA593" s="85" t="n"/>
      <c r="AB593" s="85" t="n"/>
      <c r="AC593" s="86" t="n"/>
      <c r="AD593" s="85">
        <f>IF($A593="","",IF(OR($AB593&lt;&gt;"Yes",$AC593="",TODAY()-$AC593&gt;90),"At Risk","Not At Risk"))</f>
        <v/>
      </c>
      <c r="AE593" s="85" t="n"/>
    </row>
    <row r="594" ht="15" customHeight="1" s="39">
      <c r="A594" s="85" t="n"/>
      <c r="B594" s="85" t="n"/>
      <c r="C594" s="85" t="n"/>
      <c r="D594" s="85" t="n"/>
      <c r="E594" s="85" t="n"/>
      <c r="F594" s="85" t="n"/>
      <c r="G594" s="85" t="n"/>
      <c r="H594" s="85" t="n"/>
      <c r="I594" s="85" t="n"/>
      <c r="J594" s="85" t="n"/>
      <c r="K594" s="85" t="n"/>
      <c r="L594" s="85" t="n"/>
      <c r="M594" s="85" t="n"/>
      <c r="N594" s="85" t="n"/>
      <c r="O594" s="85" t="n"/>
      <c r="P594" s="85" t="n"/>
      <c r="Q594" s="85" t="n"/>
      <c r="R594" s="85" t="n"/>
      <c r="S594" s="85" t="n"/>
      <c r="T594" s="85" t="n"/>
      <c r="U594" s="85" t="n"/>
      <c r="V594" s="85" t="n"/>
      <c r="W594" s="85" t="n"/>
      <c r="X594" s="85" t="n"/>
      <c r="Y594" s="85" t="n"/>
      <c r="Z594" s="85" t="n"/>
      <c r="AA594" s="85" t="n"/>
      <c r="AB594" s="85" t="n"/>
      <c r="AC594" s="86" t="n"/>
      <c r="AD594" s="85">
        <f>IF($A594="","",IF(OR($AB594&lt;&gt;"Yes",$AC594="",TODAY()-$AC594&gt;90),"At Risk","Not At Risk"))</f>
        <v/>
      </c>
      <c r="AE594" s="85" t="n"/>
    </row>
    <row r="595" ht="15" customHeight="1" s="39">
      <c r="A595" s="85" t="n"/>
      <c r="B595" s="85" t="n"/>
      <c r="C595" s="85" t="n"/>
      <c r="D595" s="85" t="n"/>
      <c r="E595" s="85" t="n"/>
      <c r="F595" s="85" t="n"/>
      <c r="G595" s="85" t="n"/>
      <c r="H595" s="85" t="n"/>
      <c r="I595" s="85" t="n"/>
      <c r="J595" s="85" t="n"/>
      <c r="K595" s="85" t="n"/>
      <c r="L595" s="85" t="n"/>
      <c r="M595" s="85" t="n"/>
      <c r="N595" s="85" t="n"/>
      <c r="O595" s="85" t="n"/>
      <c r="P595" s="85" t="n"/>
      <c r="Q595" s="85" t="n"/>
      <c r="R595" s="85" t="n"/>
      <c r="S595" s="85" t="n"/>
      <c r="T595" s="85" t="n"/>
      <c r="U595" s="85" t="n"/>
      <c r="V595" s="85" t="n"/>
      <c r="W595" s="85" t="n"/>
      <c r="X595" s="85" t="n"/>
      <c r="Y595" s="85" t="n"/>
      <c r="Z595" s="85" t="n"/>
      <c r="AA595" s="85" t="n"/>
      <c r="AB595" s="85" t="n"/>
      <c r="AC595" s="86" t="n"/>
      <c r="AD595" s="85">
        <f>IF($A595="","",IF(OR($AB595&lt;&gt;"Yes",$AC595="",TODAY()-$AC595&gt;90),"At Risk","Not At Risk"))</f>
        <v/>
      </c>
      <c r="AE595" s="85" t="n"/>
    </row>
    <row r="596" ht="15" customHeight="1" s="39">
      <c r="A596" s="85" t="n"/>
      <c r="B596" s="85" t="n"/>
      <c r="C596" s="85" t="n"/>
      <c r="D596" s="85" t="n"/>
      <c r="E596" s="85" t="n"/>
      <c r="F596" s="85" t="n"/>
      <c r="G596" s="85" t="n"/>
      <c r="H596" s="85" t="n"/>
      <c r="I596" s="85" t="n"/>
      <c r="J596" s="85" t="n"/>
      <c r="K596" s="85" t="n"/>
      <c r="L596" s="85" t="n"/>
      <c r="M596" s="85" t="n"/>
      <c r="N596" s="85" t="n"/>
      <c r="O596" s="85" t="n"/>
      <c r="P596" s="85" t="n"/>
      <c r="Q596" s="85" t="n"/>
      <c r="R596" s="85" t="n"/>
      <c r="S596" s="85" t="n"/>
      <c r="T596" s="85" t="n"/>
      <c r="U596" s="85" t="n"/>
      <c r="V596" s="85" t="n"/>
      <c r="W596" s="85" t="n"/>
      <c r="X596" s="85" t="n"/>
      <c r="Y596" s="85" t="n"/>
      <c r="Z596" s="85" t="n"/>
      <c r="AA596" s="85" t="n"/>
      <c r="AB596" s="85" t="n"/>
      <c r="AC596" s="86" t="n"/>
      <c r="AD596" s="85">
        <f>IF($A596="","",IF(OR($AB596&lt;&gt;"Yes",$AC596="",TODAY()-$AC596&gt;90),"At Risk","Not At Risk"))</f>
        <v/>
      </c>
      <c r="AE596" s="85" t="n"/>
    </row>
    <row r="597" ht="15" customHeight="1" s="39">
      <c r="A597" s="85" t="n"/>
      <c r="B597" s="85" t="n"/>
      <c r="C597" s="85" t="n"/>
      <c r="D597" s="85" t="n"/>
      <c r="E597" s="85" t="n"/>
      <c r="F597" s="85" t="n"/>
      <c r="G597" s="85" t="n"/>
      <c r="H597" s="85" t="n"/>
      <c r="I597" s="85" t="n"/>
      <c r="J597" s="85" t="n"/>
      <c r="K597" s="85" t="n"/>
      <c r="L597" s="85" t="n"/>
      <c r="M597" s="85" t="n"/>
      <c r="N597" s="85" t="n"/>
      <c r="O597" s="85" t="n"/>
      <c r="P597" s="85" t="n"/>
      <c r="Q597" s="85" t="n"/>
      <c r="R597" s="85" t="n"/>
      <c r="S597" s="85" t="n"/>
      <c r="T597" s="85" t="n"/>
      <c r="U597" s="85" t="n"/>
      <c r="V597" s="85" t="n"/>
      <c r="W597" s="85" t="n"/>
      <c r="X597" s="85" t="n"/>
      <c r="Y597" s="85" t="n"/>
      <c r="Z597" s="85" t="n"/>
      <c r="AA597" s="85" t="n"/>
      <c r="AB597" s="85" t="n"/>
      <c r="AC597" s="86" t="n"/>
      <c r="AD597" s="85">
        <f>IF($A597="","",IF(OR($AB597&lt;&gt;"Yes",$AC597="",TODAY()-$AC597&gt;90),"At Risk","Not At Risk"))</f>
        <v/>
      </c>
      <c r="AE597" s="85" t="n"/>
    </row>
    <row r="598" ht="15" customHeight="1" s="39">
      <c r="A598" s="85" t="n"/>
      <c r="B598" s="85" t="n"/>
      <c r="C598" s="85" t="n"/>
      <c r="D598" s="85" t="n"/>
      <c r="E598" s="85" t="n"/>
      <c r="F598" s="85" t="n"/>
      <c r="G598" s="85" t="n"/>
      <c r="H598" s="85" t="n"/>
      <c r="I598" s="85" t="n"/>
      <c r="J598" s="85" t="n"/>
      <c r="K598" s="85" t="n"/>
      <c r="L598" s="85" t="n"/>
      <c r="M598" s="85" t="n"/>
      <c r="N598" s="85" t="n"/>
      <c r="O598" s="85" t="n"/>
      <c r="P598" s="85" t="n"/>
      <c r="Q598" s="85" t="n"/>
      <c r="R598" s="85" t="n"/>
      <c r="S598" s="85" t="n"/>
      <c r="T598" s="85" t="n"/>
      <c r="U598" s="85" t="n"/>
      <c r="V598" s="85" t="n"/>
      <c r="W598" s="85" t="n"/>
      <c r="X598" s="85" t="n"/>
      <c r="Y598" s="85" t="n"/>
      <c r="Z598" s="85" t="n"/>
      <c r="AA598" s="85" t="n"/>
      <c r="AB598" s="85" t="n"/>
      <c r="AC598" s="86" t="n"/>
      <c r="AD598" s="85">
        <f>IF($A598="","",IF(OR($AB598&lt;&gt;"Yes",$AC598="",TODAY()-$AC598&gt;90),"At Risk","Not At Risk"))</f>
        <v/>
      </c>
      <c r="AE598" s="85" t="n"/>
    </row>
    <row r="599" ht="15" customHeight="1" s="39">
      <c r="A599" s="85" t="n"/>
      <c r="B599" s="85" t="n"/>
      <c r="C599" s="85" t="n"/>
      <c r="D599" s="85" t="n"/>
      <c r="E599" s="85" t="n"/>
      <c r="F599" s="85" t="n"/>
      <c r="G599" s="85" t="n"/>
      <c r="H599" s="85" t="n"/>
      <c r="I599" s="85" t="n"/>
      <c r="J599" s="85" t="n"/>
      <c r="K599" s="85" t="n"/>
      <c r="L599" s="85" t="n"/>
      <c r="M599" s="85" t="n"/>
      <c r="N599" s="85" t="n"/>
      <c r="O599" s="85" t="n"/>
      <c r="P599" s="85" t="n"/>
      <c r="Q599" s="85" t="n"/>
      <c r="R599" s="85" t="n"/>
      <c r="S599" s="85" t="n"/>
      <c r="T599" s="85" t="n"/>
      <c r="U599" s="85" t="n"/>
      <c r="V599" s="85" t="n"/>
      <c r="W599" s="85" t="n"/>
      <c r="X599" s="85" t="n"/>
      <c r="Y599" s="85" t="n"/>
      <c r="Z599" s="85" t="n"/>
      <c r="AA599" s="85" t="n"/>
      <c r="AB599" s="85" t="n"/>
      <c r="AC599" s="86" t="n"/>
      <c r="AD599" s="85">
        <f>IF($A599="","",IF(OR($AB599&lt;&gt;"Yes",$AC599="",TODAY()-$AC599&gt;90),"At Risk","Not At Risk"))</f>
        <v/>
      </c>
      <c r="AE599" s="85" t="n"/>
    </row>
    <row r="600" ht="15" customHeight="1" s="39">
      <c r="A600" s="85" t="n"/>
      <c r="B600" s="85" t="n"/>
      <c r="C600" s="85" t="n"/>
      <c r="D600" s="85" t="n"/>
      <c r="E600" s="85" t="n"/>
      <c r="F600" s="85" t="n"/>
      <c r="G600" s="85" t="n"/>
      <c r="H600" s="85" t="n"/>
      <c r="I600" s="85" t="n"/>
      <c r="J600" s="85" t="n"/>
      <c r="K600" s="85" t="n"/>
      <c r="L600" s="85" t="n"/>
      <c r="M600" s="85" t="n"/>
      <c r="N600" s="85" t="n"/>
      <c r="O600" s="85" t="n"/>
      <c r="P600" s="85" t="n"/>
      <c r="Q600" s="85" t="n"/>
      <c r="R600" s="85" t="n"/>
      <c r="S600" s="85" t="n"/>
      <c r="T600" s="85" t="n"/>
      <c r="U600" s="85" t="n"/>
      <c r="V600" s="85" t="n"/>
      <c r="W600" s="85" t="n"/>
      <c r="X600" s="85" t="n"/>
      <c r="Y600" s="85" t="n"/>
      <c r="Z600" s="85" t="n"/>
      <c r="AA600" s="85" t="n"/>
      <c r="AB600" s="85" t="n"/>
      <c r="AC600" s="86" t="n"/>
      <c r="AD600" s="85">
        <f>IF($A600="","",IF(OR($AB600&lt;&gt;"Yes",$AC600="",TODAY()-$AC600&gt;90),"At Risk","Not At Risk"))</f>
        <v/>
      </c>
      <c r="AE600" s="85" t="n"/>
    </row>
    <row r="601" ht="15" customHeight="1" s="39">
      <c r="A601" s="85" t="n"/>
      <c r="B601" s="85" t="n"/>
      <c r="C601" s="85" t="n"/>
      <c r="D601" s="85" t="n"/>
      <c r="E601" s="85" t="n"/>
      <c r="F601" s="85" t="n"/>
      <c r="G601" s="85" t="n"/>
      <c r="H601" s="85" t="n"/>
      <c r="I601" s="85" t="n"/>
      <c r="J601" s="85" t="n"/>
      <c r="K601" s="85" t="n"/>
      <c r="L601" s="85" t="n"/>
      <c r="M601" s="85" t="n"/>
      <c r="N601" s="85" t="n"/>
      <c r="O601" s="85" t="n"/>
      <c r="P601" s="85" t="n"/>
      <c r="Q601" s="85" t="n"/>
      <c r="R601" s="85" t="n"/>
      <c r="S601" s="85" t="n"/>
      <c r="T601" s="85" t="n"/>
      <c r="U601" s="85" t="n"/>
      <c r="V601" s="85" t="n"/>
      <c r="W601" s="85" t="n"/>
      <c r="X601" s="85" t="n"/>
      <c r="Y601" s="85" t="n"/>
      <c r="Z601" s="85" t="n"/>
      <c r="AA601" s="85" t="n"/>
      <c r="AB601" s="85" t="n"/>
      <c r="AC601" s="86" t="n"/>
      <c r="AD601" s="85">
        <f>IF($A601="","",IF(OR($AB601&lt;&gt;"Yes",$AC601="",TODAY()-$AC601&gt;90),"At Risk","Not At Risk"))</f>
        <v/>
      </c>
      <c r="AE601" s="85" t="n"/>
    </row>
    <row r="602" ht="15" customHeight="1" s="39">
      <c r="A602" s="85" t="n"/>
      <c r="B602" s="85" t="n"/>
      <c r="C602" s="85" t="n"/>
      <c r="D602" s="85" t="n"/>
      <c r="E602" s="85" t="n"/>
      <c r="F602" s="85" t="n"/>
      <c r="G602" s="85" t="n"/>
      <c r="H602" s="85" t="n"/>
      <c r="I602" s="85" t="n"/>
      <c r="J602" s="85" t="n"/>
      <c r="K602" s="85" t="n"/>
      <c r="L602" s="85" t="n"/>
      <c r="M602" s="85" t="n"/>
      <c r="N602" s="85" t="n"/>
      <c r="O602" s="85" t="n"/>
      <c r="P602" s="85" t="n"/>
      <c r="Q602" s="85" t="n"/>
      <c r="R602" s="85" t="n"/>
      <c r="S602" s="85" t="n"/>
      <c r="T602" s="85" t="n"/>
      <c r="U602" s="85" t="n"/>
      <c r="V602" s="85" t="n"/>
      <c r="W602" s="85" t="n"/>
      <c r="X602" s="85" t="n"/>
      <c r="Y602" s="85" t="n"/>
      <c r="Z602" s="85" t="n"/>
      <c r="AA602" s="85" t="n"/>
      <c r="AB602" s="85" t="n"/>
      <c r="AC602" s="86" t="n"/>
      <c r="AD602" s="85">
        <f>IF($A602="","",IF(OR($AB602&lt;&gt;"Yes",$AC602="",TODAY()-$AC602&gt;90),"At Risk","Not At Risk"))</f>
        <v/>
      </c>
      <c r="AE602" s="85" t="n"/>
    </row>
    <row r="603" ht="15" customHeight="1" s="39">
      <c r="A603" s="85" t="n"/>
      <c r="B603" s="85" t="n"/>
      <c r="C603" s="85" t="n"/>
      <c r="D603" s="85" t="n"/>
      <c r="E603" s="85" t="n"/>
      <c r="F603" s="85" t="n"/>
      <c r="G603" s="85" t="n"/>
      <c r="H603" s="85" t="n"/>
      <c r="I603" s="85" t="n"/>
      <c r="J603" s="85" t="n"/>
      <c r="K603" s="85" t="n"/>
      <c r="L603" s="85" t="n"/>
      <c r="M603" s="85" t="n"/>
      <c r="N603" s="85" t="n"/>
      <c r="O603" s="85" t="n"/>
      <c r="P603" s="85" t="n"/>
      <c r="Q603" s="85" t="n"/>
      <c r="R603" s="85" t="n"/>
      <c r="S603" s="85" t="n"/>
      <c r="T603" s="85" t="n"/>
      <c r="U603" s="85" t="n"/>
      <c r="V603" s="85" t="n"/>
      <c r="W603" s="85" t="n"/>
      <c r="X603" s="85" t="n"/>
      <c r="Y603" s="85" t="n"/>
      <c r="Z603" s="85" t="n"/>
      <c r="AA603" s="85" t="n"/>
      <c r="AB603" s="85" t="n"/>
      <c r="AC603" s="86" t="n"/>
      <c r="AD603" s="85">
        <f>IF($A603="","",IF(OR($AB603&lt;&gt;"Yes",$AC603="",TODAY()-$AC603&gt;90),"At Risk","Not At Risk"))</f>
        <v/>
      </c>
      <c r="AE603" s="85" t="n"/>
    </row>
    <row r="604" ht="15" customHeight="1" s="39">
      <c r="A604" s="85" t="n"/>
      <c r="B604" s="85" t="n"/>
      <c r="C604" s="85" t="n"/>
      <c r="D604" s="85" t="n"/>
      <c r="E604" s="85" t="n"/>
      <c r="F604" s="85" t="n"/>
      <c r="G604" s="85" t="n"/>
      <c r="H604" s="85" t="n"/>
      <c r="I604" s="85" t="n"/>
      <c r="J604" s="85" t="n"/>
      <c r="K604" s="85" t="n"/>
      <c r="L604" s="85" t="n"/>
      <c r="M604" s="85" t="n"/>
      <c r="N604" s="85" t="n"/>
      <c r="O604" s="85" t="n"/>
      <c r="P604" s="85" t="n"/>
      <c r="Q604" s="85" t="n"/>
      <c r="R604" s="85" t="n"/>
      <c r="S604" s="85" t="n"/>
      <c r="T604" s="85" t="n"/>
      <c r="U604" s="85" t="n"/>
      <c r="V604" s="85" t="n"/>
      <c r="W604" s="85" t="n"/>
      <c r="X604" s="85" t="n"/>
      <c r="Y604" s="85" t="n"/>
      <c r="Z604" s="85" t="n"/>
      <c r="AA604" s="85" t="n"/>
      <c r="AB604" s="85" t="n"/>
      <c r="AC604" s="86" t="n"/>
      <c r="AD604" s="85">
        <f>IF($A604="","",IF(OR($AB604&lt;&gt;"Yes",$AC604="",TODAY()-$AC604&gt;90),"At Risk","Not At Risk"))</f>
        <v/>
      </c>
      <c r="AE604" s="85" t="n"/>
    </row>
    <row r="605" ht="15" customHeight="1" s="39">
      <c r="A605" s="85" t="n"/>
      <c r="B605" s="85" t="n"/>
      <c r="C605" s="85" t="n"/>
      <c r="D605" s="85" t="n"/>
      <c r="E605" s="85" t="n"/>
      <c r="F605" s="85" t="n"/>
      <c r="G605" s="85" t="n"/>
      <c r="H605" s="85" t="n"/>
      <c r="I605" s="85" t="n"/>
      <c r="J605" s="85" t="n"/>
      <c r="K605" s="85" t="n"/>
      <c r="L605" s="85" t="n"/>
      <c r="M605" s="85" t="n"/>
      <c r="N605" s="85" t="n"/>
      <c r="O605" s="85" t="n"/>
      <c r="P605" s="85" t="n"/>
      <c r="Q605" s="85" t="n"/>
      <c r="R605" s="85" t="n"/>
      <c r="S605" s="85" t="n"/>
      <c r="T605" s="85" t="n"/>
      <c r="U605" s="85" t="n"/>
      <c r="V605" s="85" t="n"/>
      <c r="W605" s="85" t="n"/>
      <c r="X605" s="85" t="n"/>
      <c r="Y605" s="85" t="n"/>
      <c r="Z605" s="85" t="n"/>
      <c r="AA605" s="85" t="n"/>
      <c r="AB605" s="85" t="n"/>
      <c r="AC605" s="86" t="n"/>
      <c r="AD605" s="85">
        <f>IF($A605="","",IF(OR($AB605&lt;&gt;"Yes",$AC605="",TODAY()-$AC605&gt;90),"At Risk","Not At Risk"))</f>
        <v/>
      </c>
      <c r="AE605" s="85" t="n"/>
    </row>
    <row r="606" ht="15" customHeight="1" s="39">
      <c r="A606" s="85" t="n"/>
      <c r="B606" s="85" t="n"/>
      <c r="C606" s="85" t="n"/>
      <c r="D606" s="85" t="n"/>
      <c r="E606" s="85" t="n"/>
      <c r="F606" s="85" t="n"/>
      <c r="G606" s="85" t="n"/>
      <c r="H606" s="85" t="n"/>
      <c r="I606" s="85" t="n"/>
      <c r="J606" s="85" t="n"/>
      <c r="K606" s="85" t="n"/>
      <c r="L606" s="85" t="n"/>
      <c r="M606" s="85" t="n"/>
      <c r="N606" s="85" t="n"/>
      <c r="O606" s="85" t="n"/>
      <c r="P606" s="85" t="n"/>
      <c r="Q606" s="85" t="n"/>
      <c r="R606" s="85" t="n"/>
      <c r="S606" s="85" t="n"/>
      <c r="T606" s="85" t="n"/>
      <c r="U606" s="85" t="n"/>
      <c r="V606" s="85" t="n"/>
      <c r="W606" s="85" t="n"/>
      <c r="X606" s="85" t="n"/>
      <c r="Y606" s="85" t="n"/>
      <c r="Z606" s="85" t="n"/>
      <c r="AA606" s="85" t="n"/>
      <c r="AB606" s="85" t="n"/>
      <c r="AC606" s="86" t="n"/>
      <c r="AD606" s="85">
        <f>IF($A606="","",IF(OR($AB606&lt;&gt;"Yes",$AC606="",TODAY()-$AC606&gt;90),"At Risk","Not At Risk"))</f>
        <v/>
      </c>
      <c r="AE606" s="85" t="n"/>
    </row>
    <row r="607" ht="15" customHeight="1" s="39">
      <c r="A607" s="85" t="n"/>
      <c r="B607" s="85" t="n"/>
      <c r="C607" s="85" t="n"/>
      <c r="D607" s="85" t="n"/>
      <c r="E607" s="85" t="n"/>
      <c r="F607" s="85" t="n"/>
      <c r="G607" s="85" t="n"/>
      <c r="H607" s="85" t="n"/>
      <c r="I607" s="85" t="n"/>
      <c r="J607" s="85" t="n"/>
      <c r="K607" s="85" t="n"/>
      <c r="L607" s="85" t="n"/>
      <c r="M607" s="85" t="n"/>
      <c r="N607" s="85" t="n"/>
      <c r="O607" s="85" t="n"/>
      <c r="P607" s="85" t="n"/>
      <c r="Q607" s="85" t="n"/>
      <c r="R607" s="85" t="n"/>
      <c r="S607" s="85" t="n"/>
      <c r="T607" s="85" t="n"/>
      <c r="U607" s="85" t="n"/>
      <c r="V607" s="85" t="n"/>
      <c r="W607" s="85" t="n"/>
      <c r="X607" s="85" t="n"/>
      <c r="Y607" s="85" t="n"/>
      <c r="Z607" s="85" t="n"/>
      <c r="AA607" s="85" t="n"/>
      <c r="AB607" s="85" t="n"/>
      <c r="AC607" s="86" t="n"/>
      <c r="AD607" s="85">
        <f>IF($A607="","",IF(OR($AB607&lt;&gt;"Yes",$AC607="",TODAY()-$AC607&gt;90),"At Risk","Not At Risk"))</f>
        <v/>
      </c>
      <c r="AE607" s="85" t="n"/>
    </row>
    <row r="608" ht="15" customHeight="1" s="39">
      <c r="A608" s="85" t="n"/>
      <c r="B608" s="85" t="n"/>
      <c r="C608" s="85" t="n"/>
      <c r="D608" s="85" t="n"/>
      <c r="E608" s="85" t="n"/>
      <c r="F608" s="85" t="n"/>
      <c r="G608" s="85" t="n"/>
      <c r="H608" s="85" t="n"/>
      <c r="I608" s="85" t="n"/>
      <c r="J608" s="85" t="n"/>
      <c r="K608" s="85" t="n"/>
      <c r="L608" s="85" t="n"/>
      <c r="M608" s="85" t="n"/>
      <c r="N608" s="85" t="n"/>
      <c r="O608" s="85" t="n"/>
      <c r="P608" s="85" t="n"/>
      <c r="Q608" s="85" t="n"/>
      <c r="R608" s="85" t="n"/>
      <c r="S608" s="85" t="n"/>
      <c r="T608" s="85" t="n"/>
      <c r="U608" s="85" t="n"/>
      <c r="V608" s="85" t="n"/>
      <c r="W608" s="85" t="n"/>
      <c r="X608" s="85" t="n"/>
      <c r="Y608" s="85" t="n"/>
      <c r="Z608" s="85" t="n"/>
      <c r="AA608" s="85" t="n"/>
      <c r="AB608" s="85" t="n"/>
      <c r="AC608" s="86" t="n"/>
      <c r="AD608" s="85">
        <f>IF($A608="","",IF(OR($AB608&lt;&gt;"Yes",$AC608="",TODAY()-$AC608&gt;90),"At Risk","Not At Risk"))</f>
        <v/>
      </c>
      <c r="AE608" s="85" t="n"/>
    </row>
    <row r="609" ht="15" customHeight="1" s="39">
      <c r="A609" s="85" t="n"/>
      <c r="B609" s="85" t="n"/>
      <c r="C609" s="85" t="n"/>
      <c r="D609" s="85" t="n"/>
      <c r="E609" s="85" t="n"/>
      <c r="F609" s="85" t="n"/>
      <c r="G609" s="85" t="n"/>
      <c r="H609" s="85" t="n"/>
      <c r="I609" s="85" t="n"/>
      <c r="J609" s="85" t="n"/>
      <c r="K609" s="85" t="n"/>
      <c r="L609" s="85" t="n"/>
      <c r="M609" s="85" t="n"/>
      <c r="N609" s="85" t="n"/>
      <c r="O609" s="85" t="n"/>
      <c r="P609" s="85" t="n"/>
      <c r="Q609" s="85" t="n"/>
      <c r="R609" s="85" t="n"/>
      <c r="S609" s="85" t="n"/>
      <c r="T609" s="85" t="n"/>
      <c r="U609" s="85" t="n"/>
      <c r="V609" s="85" t="n"/>
      <c r="W609" s="85" t="n"/>
      <c r="X609" s="85" t="n"/>
      <c r="Y609" s="85" t="n"/>
      <c r="Z609" s="85" t="n"/>
      <c r="AA609" s="85" t="n"/>
      <c r="AB609" s="85" t="n"/>
      <c r="AC609" s="86" t="n"/>
      <c r="AD609" s="85">
        <f>IF($A609="","",IF(OR($AB609&lt;&gt;"Yes",$AC609="",TODAY()-$AC609&gt;90),"At Risk","Not At Risk"))</f>
        <v/>
      </c>
      <c r="AE609" s="85" t="n"/>
    </row>
    <row r="610" ht="15" customHeight="1" s="39">
      <c r="A610" s="85" t="n"/>
      <c r="B610" s="85" t="n"/>
      <c r="C610" s="85" t="n"/>
      <c r="D610" s="85" t="n"/>
      <c r="E610" s="85" t="n"/>
      <c r="F610" s="85" t="n"/>
      <c r="G610" s="85" t="n"/>
      <c r="H610" s="85" t="n"/>
      <c r="I610" s="85" t="n"/>
      <c r="J610" s="85" t="n"/>
      <c r="K610" s="85" t="n"/>
      <c r="L610" s="85" t="n"/>
      <c r="M610" s="85" t="n"/>
      <c r="N610" s="85" t="n"/>
      <c r="O610" s="85" t="n"/>
      <c r="P610" s="85" t="n"/>
      <c r="Q610" s="85" t="n"/>
      <c r="R610" s="85" t="n"/>
      <c r="S610" s="85" t="n"/>
      <c r="T610" s="85" t="n"/>
      <c r="U610" s="85" t="n"/>
      <c r="V610" s="85" t="n"/>
      <c r="W610" s="85" t="n"/>
      <c r="X610" s="85" t="n"/>
      <c r="Y610" s="85" t="n"/>
      <c r="Z610" s="85" t="n"/>
      <c r="AA610" s="85" t="n"/>
      <c r="AB610" s="85" t="n"/>
      <c r="AC610" s="86" t="n"/>
      <c r="AD610" s="85">
        <f>IF($A610="","",IF(OR($AB610&lt;&gt;"Yes",$AC610="",TODAY()-$AC610&gt;90),"At Risk","Not At Risk"))</f>
        <v/>
      </c>
      <c r="AE610" s="85" t="n"/>
    </row>
    <row r="611" ht="15" customHeight="1" s="39">
      <c r="A611" s="85" t="n"/>
      <c r="B611" s="85" t="n"/>
      <c r="C611" s="85" t="n"/>
      <c r="D611" s="85" t="n"/>
      <c r="E611" s="85" t="n"/>
      <c r="F611" s="85" t="n"/>
      <c r="G611" s="85" t="n"/>
      <c r="H611" s="85" t="n"/>
      <c r="I611" s="85" t="n"/>
      <c r="J611" s="85" t="n"/>
      <c r="K611" s="85" t="n"/>
      <c r="L611" s="85" t="n"/>
      <c r="M611" s="85" t="n"/>
      <c r="N611" s="85" t="n"/>
      <c r="O611" s="85" t="n"/>
      <c r="P611" s="85" t="n"/>
      <c r="Q611" s="85" t="n"/>
      <c r="R611" s="85" t="n"/>
      <c r="S611" s="85" t="n"/>
      <c r="T611" s="85" t="n"/>
      <c r="U611" s="85" t="n"/>
      <c r="V611" s="85" t="n"/>
      <c r="W611" s="85" t="n"/>
      <c r="X611" s="85" t="n"/>
      <c r="Y611" s="85" t="n"/>
      <c r="Z611" s="85" t="n"/>
      <c r="AA611" s="85" t="n"/>
      <c r="AB611" s="85" t="n"/>
      <c r="AC611" s="86" t="n"/>
      <c r="AD611" s="85">
        <f>IF($A611="","",IF(OR($AB611&lt;&gt;"Yes",$AC611="",TODAY()-$AC611&gt;90),"At Risk","Not At Risk"))</f>
        <v/>
      </c>
      <c r="AE611" s="85" t="n"/>
    </row>
    <row r="612" ht="15" customHeight="1" s="39">
      <c r="A612" s="85" t="n"/>
      <c r="B612" s="85" t="n"/>
      <c r="C612" s="85" t="n"/>
      <c r="D612" s="85" t="n"/>
      <c r="E612" s="85" t="n"/>
      <c r="F612" s="85" t="n"/>
      <c r="G612" s="85" t="n"/>
      <c r="H612" s="85" t="n"/>
      <c r="I612" s="85" t="n"/>
      <c r="J612" s="85" t="n"/>
      <c r="K612" s="85" t="n"/>
      <c r="L612" s="85" t="n"/>
      <c r="M612" s="85" t="n"/>
      <c r="N612" s="85" t="n"/>
      <c r="O612" s="85" t="n"/>
      <c r="P612" s="85" t="n"/>
      <c r="Q612" s="85" t="n"/>
      <c r="R612" s="85" t="n"/>
      <c r="S612" s="85" t="n"/>
      <c r="T612" s="85" t="n"/>
      <c r="U612" s="85" t="n"/>
      <c r="V612" s="85" t="n"/>
      <c r="W612" s="85" t="n"/>
      <c r="X612" s="85" t="n"/>
      <c r="Y612" s="85" t="n"/>
      <c r="Z612" s="85" t="n"/>
      <c r="AA612" s="85" t="n"/>
      <c r="AB612" s="85" t="n"/>
      <c r="AC612" s="86" t="n"/>
      <c r="AD612" s="85">
        <f>IF($A612="","",IF(OR($AB612&lt;&gt;"Yes",$AC612="",TODAY()-$AC612&gt;90),"At Risk","Not At Risk"))</f>
        <v/>
      </c>
      <c r="AE612" s="85" t="n"/>
    </row>
    <row r="613" ht="15" customHeight="1" s="39">
      <c r="A613" s="85" t="n"/>
      <c r="B613" s="85" t="n"/>
      <c r="C613" s="85" t="n"/>
      <c r="D613" s="85" t="n"/>
      <c r="E613" s="85" t="n"/>
      <c r="F613" s="85" t="n"/>
      <c r="G613" s="85" t="n"/>
      <c r="H613" s="85" t="n"/>
      <c r="I613" s="85" t="n"/>
      <c r="J613" s="85" t="n"/>
      <c r="K613" s="85" t="n"/>
      <c r="L613" s="85" t="n"/>
      <c r="M613" s="85" t="n"/>
      <c r="N613" s="85" t="n"/>
      <c r="O613" s="85" t="n"/>
      <c r="P613" s="85" t="n"/>
      <c r="Q613" s="85" t="n"/>
      <c r="R613" s="85" t="n"/>
      <c r="S613" s="85" t="n"/>
      <c r="T613" s="85" t="n"/>
      <c r="U613" s="85" t="n"/>
      <c r="V613" s="85" t="n"/>
      <c r="W613" s="85" t="n"/>
      <c r="X613" s="85" t="n"/>
      <c r="Y613" s="85" t="n"/>
      <c r="Z613" s="85" t="n"/>
      <c r="AA613" s="85" t="n"/>
      <c r="AB613" s="85" t="n"/>
      <c r="AC613" s="86" t="n"/>
      <c r="AD613" s="85">
        <f>IF($A613="","",IF(OR($AB613&lt;&gt;"Yes",$AC613="",TODAY()-$AC613&gt;90),"At Risk","Not At Risk"))</f>
        <v/>
      </c>
      <c r="AE613" s="85" t="n"/>
    </row>
    <row r="614" ht="15" customHeight="1" s="39">
      <c r="A614" s="85" t="n"/>
      <c r="B614" s="85" t="n"/>
      <c r="C614" s="85" t="n"/>
      <c r="D614" s="85" t="n"/>
      <c r="E614" s="85" t="n"/>
      <c r="F614" s="85" t="n"/>
      <c r="G614" s="85" t="n"/>
      <c r="H614" s="85" t="n"/>
      <c r="I614" s="85" t="n"/>
      <c r="J614" s="85" t="n"/>
      <c r="K614" s="85" t="n"/>
      <c r="L614" s="85" t="n"/>
      <c r="M614" s="85" t="n"/>
      <c r="N614" s="85" t="n"/>
      <c r="O614" s="85" t="n"/>
      <c r="P614" s="85" t="n"/>
      <c r="Q614" s="85" t="n"/>
      <c r="R614" s="85" t="n"/>
      <c r="S614" s="85" t="n"/>
      <c r="T614" s="85" t="n"/>
      <c r="U614" s="85" t="n"/>
      <c r="V614" s="85" t="n"/>
      <c r="W614" s="85" t="n"/>
      <c r="X614" s="85" t="n"/>
      <c r="Y614" s="85" t="n"/>
      <c r="Z614" s="85" t="n"/>
      <c r="AA614" s="85" t="n"/>
      <c r="AB614" s="85" t="n"/>
      <c r="AC614" s="86" t="n"/>
      <c r="AD614" s="85">
        <f>IF($A614="","",IF(OR($AB614&lt;&gt;"Yes",$AC614="",TODAY()-$AC614&gt;90),"At Risk","Not At Risk"))</f>
        <v/>
      </c>
      <c r="AE614" s="85" t="n"/>
    </row>
    <row r="615" ht="15" customHeight="1" s="39">
      <c r="A615" s="85" t="n"/>
      <c r="B615" s="85" t="n"/>
      <c r="C615" s="85" t="n"/>
      <c r="D615" s="85" t="n"/>
      <c r="E615" s="85" t="n"/>
      <c r="F615" s="85" t="n"/>
      <c r="G615" s="85" t="n"/>
      <c r="H615" s="85" t="n"/>
      <c r="I615" s="85" t="n"/>
      <c r="J615" s="85" t="n"/>
      <c r="K615" s="85" t="n"/>
      <c r="L615" s="85" t="n"/>
      <c r="M615" s="85" t="n"/>
      <c r="N615" s="85" t="n"/>
      <c r="O615" s="85" t="n"/>
      <c r="P615" s="85" t="n"/>
      <c r="Q615" s="85" t="n"/>
      <c r="R615" s="85" t="n"/>
      <c r="S615" s="85" t="n"/>
      <c r="T615" s="85" t="n"/>
      <c r="U615" s="85" t="n"/>
      <c r="V615" s="85" t="n"/>
      <c r="W615" s="85" t="n"/>
      <c r="X615" s="85" t="n"/>
      <c r="Y615" s="85" t="n"/>
      <c r="Z615" s="85" t="n"/>
      <c r="AA615" s="85" t="n"/>
      <c r="AB615" s="85" t="n"/>
      <c r="AC615" s="86" t="n"/>
      <c r="AD615" s="85">
        <f>IF($A615="","",IF(OR($AB615&lt;&gt;"Yes",$AC615="",TODAY()-$AC615&gt;90),"At Risk","Not At Risk"))</f>
        <v/>
      </c>
      <c r="AE615" s="85" t="n"/>
    </row>
    <row r="616" ht="15" customHeight="1" s="39">
      <c r="A616" s="85" t="n"/>
      <c r="B616" s="85" t="n"/>
      <c r="C616" s="85" t="n"/>
      <c r="D616" s="85" t="n"/>
      <c r="E616" s="85" t="n"/>
      <c r="F616" s="85" t="n"/>
      <c r="G616" s="85" t="n"/>
      <c r="H616" s="85" t="n"/>
      <c r="I616" s="85" t="n"/>
      <c r="J616" s="85" t="n"/>
      <c r="K616" s="85" t="n"/>
      <c r="L616" s="85" t="n"/>
      <c r="M616" s="85" t="n"/>
      <c r="N616" s="85" t="n"/>
      <c r="O616" s="85" t="n"/>
      <c r="P616" s="85" t="n"/>
      <c r="Q616" s="85" t="n"/>
      <c r="R616" s="85" t="n"/>
      <c r="S616" s="85" t="n"/>
      <c r="T616" s="85" t="n"/>
      <c r="U616" s="85" t="n"/>
      <c r="V616" s="85" t="n"/>
      <c r="W616" s="85" t="n"/>
      <c r="X616" s="85" t="n"/>
      <c r="Y616" s="85" t="n"/>
      <c r="Z616" s="85" t="n"/>
      <c r="AA616" s="85" t="n"/>
      <c r="AB616" s="85" t="n"/>
      <c r="AC616" s="86" t="n"/>
      <c r="AD616" s="85">
        <f>IF($A616="","",IF(OR($AB616&lt;&gt;"Yes",$AC616="",TODAY()-$AC616&gt;90),"At Risk","Not At Risk"))</f>
        <v/>
      </c>
      <c r="AE616" s="85" t="n"/>
    </row>
    <row r="617" ht="15" customHeight="1" s="39">
      <c r="A617" s="85" t="n"/>
      <c r="B617" s="85" t="n"/>
      <c r="C617" s="85" t="n"/>
      <c r="D617" s="85" t="n"/>
      <c r="E617" s="85" t="n"/>
      <c r="F617" s="85" t="n"/>
      <c r="G617" s="85" t="n"/>
      <c r="H617" s="85" t="n"/>
      <c r="I617" s="85" t="n"/>
      <c r="J617" s="85" t="n"/>
      <c r="K617" s="85" t="n"/>
      <c r="L617" s="85" t="n"/>
      <c r="M617" s="85" t="n"/>
      <c r="N617" s="85" t="n"/>
      <c r="O617" s="85" t="n"/>
      <c r="P617" s="85" t="n"/>
      <c r="Q617" s="85" t="n"/>
      <c r="R617" s="85" t="n"/>
      <c r="S617" s="85" t="n"/>
      <c r="T617" s="85" t="n"/>
      <c r="U617" s="85" t="n"/>
      <c r="V617" s="85" t="n"/>
      <c r="W617" s="85" t="n"/>
      <c r="X617" s="85" t="n"/>
      <c r="Y617" s="85" t="n"/>
      <c r="Z617" s="85" t="n"/>
      <c r="AA617" s="85" t="n"/>
      <c r="AB617" s="85" t="n"/>
      <c r="AC617" s="86" t="n"/>
      <c r="AD617" s="85">
        <f>IF($A617="","",IF(OR($AB617&lt;&gt;"Yes",$AC617="",TODAY()-$AC617&gt;90),"At Risk","Not At Risk"))</f>
        <v/>
      </c>
      <c r="AE617" s="85" t="n"/>
    </row>
    <row r="618" ht="15" customHeight="1" s="39">
      <c r="A618" s="85" t="n"/>
      <c r="B618" s="85" t="n"/>
      <c r="C618" s="85" t="n"/>
      <c r="D618" s="85" t="n"/>
      <c r="E618" s="85" t="n"/>
      <c r="F618" s="85" t="n"/>
      <c r="G618" s="85" t="n"/>
      <c r="H618" s="85" t="n"/>
      <c r="I618" s="85" t="n"/>
      <c r="J618" s="85" t="n"/>
      <c r="K618" s="85" t="n"/>
      <c r="L618" s="85" t="n"/>
      <c r="M618" s="85" t="n"/>
      <c r="N618" s="85" t="n"/>
      <c r="O618" s="85" t="n"/>
      <c r="P618" s="85" t="n"/>
      <c r="Q618" s="85" t="n"/>
      <c r="R618" s="85" t="n"/>
      <c r="S618" s="85" t="n"/>
      <c r="T618" s="85" t="n"/>
      <c r="U618" s="85" t="n"/>
      <c r="V618" s="85" t="n"/>
      <c r="W618" s="85" t="n"/>
      <c r="X618" s="85" t="n"/>
      <c r="Y618" s="85" t="n"/>
      <c r="Z618" s="85" t="n"/>
      <c r="AA618" s="85" t="n"/>
      <c r="AB618" s="85" t="n"/>
      <c r="AC618" s="86" t="n"/>
      <c r="AD618" s="85">
        <f>IF($A618="","",IF(OR($AB618&lt;&gt;"Yes",$AC618="",TODAY()-$AC618&gt;90),"At Risk","Not At Risk"))</f>
        <v/>
      </c>
      <c r="AE618" s="85" t="n"/>
    </row>
    <row r="619" ht="15" customHeight="1" s="39">
      <c r="A619" s="85" t="n"/>
      <c r="B619" s="85" t="n"/>
      <c r="C619" s="85" t="n"/>
      <c r="D619" s="85" t="n"/>
      <c r="E619" s="85" t="n"/>
      <c r="F619" s="85" t="n"/>
      <c r="G619" s="85" t="n"/>
      <c r="H619" s="85" t="n"/>
      <c r="I619" s="85" t="n"/>
      <c r="J619" s="85" t="n"/>
      <c r="K619" s="85" t="n"/>
      <c r="L619" s="85" t="n"/>
      <c r="M619" s="85" t="n"/>
      <c r="N619" s="85" t="n"/>
      <c r="O619" s="85" t="n"/>
      <c r="P619" s="85" t="n"/>
      <c r="Q619" s="85" t="n"/>
      <c r="R619" s="85" t="n"/>
      <c r="S619" s="85" t="n"/>
      <c r="T619" s="85" t="n"/>
      <c r="U619" s="85" t="n"/>
      <c r="V619" s="85" t="n"/>
      <c r="W619" s="85" t="n"/>
      <c r="X619" s="85" t="n"/>
      <c r="Y619" s="85" t="n"/>
      <c r="Z619" s="85" t="n"/>
      <c r="AA619" s="85" t="n"/>
      <c r="AB619" s="85" t="n"/>
      <c r="AC619" s="86" t="n"/>
      <c r="AD619" s="85">
        <f>IF($A619="","",IF(OR($AB619&lt;&gt;"Yes",$AC619="",TODAY()-$AC619&gt;90),"At Risk","Not At Risk"))</f>
        <v/>
      </c>
      <c r="AE619" s="85" t="n"/>
    </row>
    <row r="620" ht="15" customHeight="1" s="39">
      <c r="A620" s="85" t="n"/>
      <c r="B620" s="85" t="n"/>
      <c r="C620" s="85" t="n"/>
      <c r="D620" s="85" t="n"/>
      <c r="E620" s="85" t="n"/>
      <c r="F620" s="85" t="n"/>
      <c r="G620" s="85" t="n"/>
      <c r="H620" s="85" t="n"/>
      <c r="I620" s="85" t="n"/>
      <c r="J620" s="85" t="n"/>
      <c r="K620" s="85" t="n"/>
      <c r="L620" s="85" t="n"/>
      <c r="M620" s="85" t="n"/>
      <c r="N620" s="85" t="n"/>
      <c r="O620" s="85" t="n"/>
      <c r="P620" s="85" t="n"/>
      <c r="Q620" s="85" t="n"/>
      <c r="R620" s="85" t="n"/>
      <c r="S620" s="85" t="n"/>
      <c r="T620" s="85" t="n"/>
      <c r="U620" s="85" t="n"/>
      <c r="V620" s="85" t="n"/>
      <c r="W620" s="85" t="n"/>
      <c r="X620" s="85" t="n"/>
      <c r="Y620" s="85" t="n"/>
      <c r="Z620" s="85" t="n"/>
      <c r="AA620" s="85" t="n"/>
      <c r="AB620" s="85" t="n"/>
      <c r="AC620" s="86" t="n"/>
      <c r="AD620" s="85">
        <f>IF($A620="","",IF(OR($AB620&lt;&gt;"Yes",$AC620="",TODAY()-$AC620&gt;90),"At Risk","Not At Risk"))</f>
        <v/>
      </c>
      <c r="AE620" s="85" t="n"/>
    </row>
    <row r="621" ht="15" customHeight="1" s="39">
      <c r="A621" s="85" t="n"/>
      <c r="B621" s="85" t="n"/>
      <c r="C621" s="85" t="n"/>
      <c r="D621" s="85" t="n"/>
      <c r="E621" s="85" t="n"/>
      <c r="F621" s="85" t="n"/>
      <c r="G621" s="85" t="n"/>
      <c r="H621" s="85" t="n"/>
      <c r="I621" s="85" t="n"/>
      <c r="J621" s="85" t="n"/>
      <c r="K621" s="85" t="n"/>
      <c r="L621" s="85" t="n"/>
      <c r="M621" s="85" t="n"/>
      <c r="N621" s="85" t="n"/>
      <c r="O621" s="85" t="n"/>
      <c r="P621" s="85" t="n"/>
      <c r="Q621" s="85" t="n"/>
      <c r="R621" s="85" t="n"/>
      <c r="S621" s="85" t="n"/>
      <c r="T621" s="85" t="n"/>
      <c r="U621" s="85" t="n"/>
      <c r="V621" s="85" t="n"/>
      <c r="W621" s="85" t="n"/>
      <c r="X621" s="85" t="n"/>
      <c r="Y621" s="85" t="n"/>
      <c r="Z621" s="85" t="n"/>
      <c r="AA621" s="85" t="n"/>
      <c r="AB621" s="85" t="n"/>
      <c r="AC621" s="86" t="n"/>
      <c r="AD621" s="85">
        <f>IF($A621="","",IF(OR($AB621&lt;&gt;"Yes",$AC621="",TODAY()-$AC621&gt;90),"At Risk","Not At Risk"))</f>
        <v/>
      </c>
      <c r="AE621" s="85" t="n"/>
    </row>
    <row r="622" ht="15" customHeight="1" s="39">
      <c r="A622" s="85" t="n"/>
      <c r="B622" s="85" t="n"/>
      <c r="C622" s="85" t="n"/>
      <c r="D622" s="85" t="n"/>
      <c r="E622" s="85" t="n"/>
      <c r="F622" s="85" t="n"/>
      <c r="G622" s="85" t="n"/>
      <c r="H622" s="85" t="n"/>
      <c r="I622" s="85" t="n"/>
      <c r="J622" s="85" t="n"/>
      <c r="K622" s="85" t="n"/>
      <c r="L622" s="85" t="n"/>
      <c r="M622" s="85" t="n"/>
      <c r="N622" s="85" t="n"/>
      <c r="O622" s="85" t="n"/>
      <c r="P622" s="85" t="n"/>
      <c r="Q622" s="85" t="n"/>
      <c r="R622" s="85" t="n"/>
      <c r="S622" s="85" t="n"/>
      <c r="T622" s="85" t="n"/>
      <c r="U622" s="85" t="n"/>
      <c r="V622" s="85" t="n"/>
      <c r="W622" s="85" t="n"/>
      <c r="X622" s="85" t="n"/>
      <c r="Y622" s="85" t="n"/>
      <c r="Z622" s="85" t="n"/>
      <c r="AA622" s="85" t="n"/>
      <c r="AB622" s="85" t="n"/>
      <c r="AC622" s="86" t="n"/>
      <c r="AD622" s="85">
        <f>IF($A622="","",IF(OR($AB622&lt;&gt;"Yes",$AC622="",TODAY()-$AC622&gt;90),"At Risk","Not At Risk"))</f>
        <v/>
      </c>
      <c r="AE622" s="85" t="n"/>
    </row>
    <row r="623" ht="15" customHeight="1" s="39">
      <c r="A623" s="85" t="n"/>
      <c r="B623" s="85" t="n"/>
      <c r="C623" s="85" t="n"/>
      <c r="D623" s="85" t="n"/>
      <c r="E623" s="85" t="n"/>
      <c r="F623" s="85" t="n"/>
      <c r="G623" s="85" t="n"/>
      <c r="H623" s="85" t="n"/>
      <c r="I623" s="85" t="n"/>
      <c r="J623" s="85" t="n"/>
      <c r="K623" s="85" t="n"/>
      <c r="L623" s="85" t="n"/>
      <c r="M623" s="85" t="n"/>
      <c r="N623" s="85" t="n"/>
      <c r="O623" s="85" t="n"/>
      <c r="P623" s="85" t="n"/>
      <c r="Q623" s="85" t="n"/>
      <c r="R623" s="85" t="n"/>
      <c r="S623" s="85" t="n"/>
      <c r="T623" s="85" t="n"/>
      <c r="U623" s="85" t="n"/>
      <c r="V623" s="85" t="n"/>
      <c r="W623" s="85" t="n"/>
      <c r="X623" s="85" t="n"/>
      <c r="Y623" s="85" t="n"/>
      <c r="Z623" s="85" t="n"/>
      <c r="AA623" s="85" t="n"/>
      <c r="AB623" s="85" t="n"/>
      <c r="AC623" s="86" t="n"/>
      <c r="AD623" s="85">
        <f>IF($A623="","",IF(OR($AB623&lt;&gt;"Yes",$AC623="",TODAY()-$AC623&gt;90),"At Risk","Not At Risk"))</f>
        <v/>
      </c>
      <c r="AE623" s="85" t="n"/>
    </row>
    <row r="624" ht="15" customHeight="1" s="39">
      <c r="A624" s="85" t="n"/>
      <c r="B624" s="85" t="n"/>
      <c r="C624" s="85" t="n"/>
      <c r="D624" s="85" t="n"/>
      <c r="E624" s="85" t="n"/>
      <c r="F624" s="85" t="n"/>
      <c r="G624" s="85" t="n"/>
      <c r="H624" s="85" t="n"/>
      <c r="I624" s="85" t="n"/>
      <c r="J624" s="85" t="n"/>
      <c r="K624" s="85" t="n"/>
      <c r="L624" s="85" t="n"/>
      <c r="M624" s="85" t="n"/>
      <c r="N624" s="85" t="n"/>
      <c r="O624" s="85" t="n"/>
      <c r="P624" s="85" t="n"/>
      <c r="Q624" s="85" t="n"/>
      <c r="R624" s="85" t="n"/>
      <c r="S624" s="85" t="n"/>
      <c r="T624" s="85" t="n"/>
      <c r="U624" s="85" t="n"/>
      <c r="V624" s="85" t="n"/>
      <c r="W624" s="85" t="n"/>
      <c r="X624" s="85" t="n"/>
      <c r="Y624" s="85" t="n"/>
      <c r="Z624" s="85" t="n"/>
      <c r="AA624" s="85" t="n"/>
      <c r="AB624" s="85" t="n"/>
      <c r="AC624" s="86" t="n"/>
      <c r="AD624" s="85">
        <f>IF($A624="","",IF(OR($AB624&lt;&gt;"Yes",$AC624="",TODAY()-$AC624&gt;90),"At Risk","Not At Risk"))</f>
        <v/>
      </c>
      <c r="AE624" s="85" t="n"/>
    </row>
    <row r="625" ht="15" customHeight="1" s="39">
      <c r="A625" s="85" t="n"/>
      <c r="B625" s="85" t="n"/>
      <c r="C625" s="85" t="n"/>
      <c r="D625" s="85" t="n"/>
      <c r="E625" s="85" t="n"/>
      <c r="F625" s="85" t="n"/>
      <c r="G625" s="85" t="n"/>
      <c r="H625" s="85" t="n"/>
      <c r="I625" s="85" t="n"/>
      <c r="J625" s="85" t="n"/>
      <c r="K625" s="85" t="n"/>
      <c r="L625" s="85" t="n"/>
      <c r="M625" s="85" t="n"/>
      <c r="N625" s="85" t="n"/>
      <c r="O625" s="85" t="n"/>
      <c r="P625" s="85" t="n"/>
      <c r="Q625" s="85" t="n"/>
      <c r="R625" s="85" t="n"/>
      <c r="S625" s="85" t="n"/>
      <c r="T625" s="85" t="n"/>
      <c r="U625" s="85" t="n"/>
      <c r="V625" s="85" t="n"/>
      <c r="W625" s="85" t="n"/>
      <c r="X625" s="85" t="n"/>
      <c r="Y625" s="85" t="n"/>
      <c r="Z625" s="85" t="n"/>
      <c r="AA625" s="85" t="n"/>
      <c r="AB625" s="85" t="n"/>
      <c r="AC625" s="86" t="n"/>
      <c r="AD625" s="85">
        <f>IF($A625="","",IF(OR($AB625&lt;&gt;"Yes",$AC625="",TODAY()-$AC625&gt;90),"At Risk","Not At Risk"))</f>
        <v/>
      </c>
      <c r="AE625" s="85" t="n"/>
    </row>
    <row r="626" ht="15" customHeight="1" s="39">
      <c r="A626" s="85" t="n"/>
      <c r="B626" s="85" t="n"/>
      <c r="C626" s="85" t="n"/>
      <c r="D626" s="85" t="n"/>
      <c r="E626" s="85" t="n"/>
      <c r="F626" s="85" t="n"/>
      <c r="G626" s="85" t="n"/>
      <c r="H626" s="85" t="n"/>
      <c r="I626" s="85" t="n"/>
      <c r="J626" s="85" t="n"/>
      <c r="K626" s="85" t="n"/>
      <c r="L626" s="85" t="n"/>
      <c r="M626" s="85" t="n"/>
      <c r="N626" s="85" t="n"/>
      <c r="O626" s="85" t="n"/>
      <c r="P626" s="85" t="n"/>
      <c r="Q626" s="85" t="n"/>
      <c r="R626" s="85" t="n"/>
      <c r="S626" s="85" t="n"/>
      <c r="T626" s="85" t="n"/>
      <c r="U626" s="85" t="n"/>
      <c r="V626" s="85" t="n"/>
      <c r="W626" s="85" t="n"/>
      <c r="X626" s="85" t="n"/>
      <c r="Y626" s="85" t="n"/>
      <c r="Z626" s="85" t="n"/>
      <c r="AA626" s="85" t="n"/>
      <c r="AB626" s="85" t="n"/>
      <c r="AC626" s="86" t="n"/>
      <c r="AD626" s="85">
        <f>IF($A626="","",IF(OR($AB626&lt;&gt;"Yes",$AC626="",TODAY()-$AC626&gt;90),"At Risk","Not At Risk"))</f>
        <v/>
      </c>
      <c r="AE626" s="85" t="n"/>
    </row>
    <row r="627" ht="15" customHeight="1" s="39">
      <c r="A627" s="85" t="n"/>
      <c r="B627" s="85" t="n"/>
      <c r="C627" s="85" t="n"/>
      <c r="D627" s="85" t="n"/>
      <c r="E627" s="85" t="n"/>
      <c r="F627" s="85" t="n"/>
      <c r="G627" s="85" t="n"/>
      <c r="H627" s="85" t="n"/>
      <c r="I627" s="85" t="n"/>
      <c r="J627" s="85" t="n"/>
      <c r="K627" s="85" t="n"/>
      <c r="L627" s="85" t="n"/>
      <c r="M627" s="85" t="n"/>
      <c r="N627" s="85" t="n"/>
      <c r="O627" s="85" t="n"/>
      <c r="P627" s="85" t="n"/>
      <c r="Q627" s="85" t="n"/>
      <c r="R627" s="85" t="n"/>
      <c r="S627" s="85" t="n"/>
      <c r="T627" s="85" t="n"/>
      <c r="U627" s="85" t="n"/>
      <c r="V627" s="85" t="n"/>
      <c r="W627" s="85" t="n"/>
      <c r="X627" s="85" t="n"/>
      <c r="Y627" s="85" t="n"/>
      <c r="Z627" s="85" t="n"/>
      <c r="AA627" s="85" t="n"/>
      <c r="AB627" s="85" t="n"/>
      <c r="AC627" s="86" t="n"/>
      <c r="AD627" s="85">
        <f>IF($A627="","",IF(OR($AB627&lt;&gt;"Yes",$AC627="",TODAY()-$AC627&gt;90),"At Risk","Not At Risk"))</f>
        <v/>
      </c>
      <c r="AE627" s="85" t="n"/>
    </row>
    <row r="628" ht="15" customHeight="1" s="39">
      <c r="A628" s="85" t="n"/>
      <c r="B628" s="85" t="n"/>
      <c r="C628" s="85" t="n"/>
      <c r="D628" s="85" t="n"/>
      <c r="E628" s="85" t="n"/>
      <c r="F628" s="85" t="n"/>
      <c r="G628" s="85" t="n"/>
      <c r="H628" s="85" t="n"/>
      <c r="I628" s="85" t="n"/>
      <c r="J628" s="85" t="n"/>
      <c r="K628" s="85" t="n"/>
      <c r="L628" s="85" t="n"/>
      <c r="M628" s="85" t="n"/>
      <c r="N628" s="85" t="n"/>
      <c r="O628" s="85" t="n"/>
      <c r="P628" s="85" t="n"/>
      <c r="Q628" s="85" t="n"/>
      <c r="R628" s="85" t="n"/>
      <c r="S628" s="85" t="n"/>
      <c r="T628" s="85" t="n"/>
      <c r="U628" s="85" t="n"/>
      <c r="V628" s="85" t="n"/>
      <c r="W628" s="85" t="n"/>
      <c r="X628" s="85" t="n"/>
      <c r="Y628" s="85" t="n"/>
      <c r="Z628" s="85" t="n"/>
      <c r="AA628" s="85" t="n"/>
      <c r="AB628" s="85" t="n"/>
      <c r="AC628" s="86" t="n"/>
      <c r="AD628" s="85">
        <f>IF($A628="","",IF(OR($AB628&lt;&gt;"Yes",$AC628="",TODAY()-$AC628&gt;90),"At Risk","Not At Risk"))</f>
        <v/>
      </c>
      <c r="AE628" s="85" t="n"/>
    </row>
    <row r="629" ht="15" customHeight="1" s="39">
      <c r="A629" s="85" t="n"/>
      <c r="B629" s="85" t="n"/>
      <c r="C629" s="85" t="n"/>
      <c r="D629" s="85" t="n"/>
      <c r="E629" s="85" t="n"/>
      <c r="F629" s="85" t="n"/>
      <c r="G629" s="85" t="n"/>
      <c r="H629" s="85" t="n"/>
      <c r="I629" s="85" t="n"/>
      <c r="J629" s="85" t="n"/>
      <c r="K629" s="85" t="n"/>
      <c r="L629" s="85" t="n"/>
      <c r="M629" s="85" t="n"/>
      <c r="N629" s="85" t="n"/>
      <c r="O629" s="85" t="n"/>
      <c r="P629" s="85" t="n"/>
      <c r="Q629" s="85" t="n"/>
      <c r="R629" s="85" t="n"/>
      <c r="S629" s="85" t="n"/>
      <c r="T629" s="85" t="n"/>
      <c r="U629" s="85" t="n"/>
      <c r="V629" s="85" t="n"/>
      <c r="W629" s="85" t="n"/>
      <c r="X629" s="85" t="n"/>
      <c r="Y629" s="85" t="n"/>
      <c r="Z629" s="85" t="n"/>
      <c r="AA629" s="85" t="n"/>
      <c r="AB629" s="85" t="n"/>
      <c r="AC629" s="86" t="n"/>
      <c r="AD629" s="85">
        <f>IF($A629="","",IF(OR($AB629&lt;&gt;"Yes",$AC629="",TODAY()-$AC629&gt;90),"At Risk","Not At Risk"))</f>
        <v/>
      </c>
      <c r="AE629" s="85" t="n"/>
    </row>
    <row r="630" ht="15" customHeight="1" s="39">
      <c r="A630" s="85" t="n"/>
      <c r="B630" s="85" t="n"/>
      <c r="C630" s="85" t="n"/>
      <c r="D630" s="85" t="n"/>
      <c r="E630" s="85" t="n"/>
      <c r="F630" s="85" t="n"/>
      <c r="G630" s="85" t="n"/>
      <c r="H630" s="85" t="n"/>
      <c r="I630" s="85" t="n"/>
      <c r="J630" s="85" t="n"/>
      <c r="K630" s="85" t="n"/>
      <c r="L630" s="85" t="n"/>
      <c r="M630" s="85" t="n"/>
      <c r="N630" s="85" t="n"/>
      <c r="O630" s="85" t="n"/>
      <c r="P630" s="85" t="n"/>
      <c r="Q630" s="85" t="n"/>
      <c r="R630" s="85" t="n"/>
      <c r="S630" s="85" t="n"/>
      <c r="T630" s="85" t="n"/>
      <c r="U630" s="85" t="n"/>
      <c r="V630" s="85" t="n"/>
      <c r="W630" s="85" t="n"/>
      <c r="X630" s="85" t="n"/>
      <c r="Y630" s="85" t="n"/>
      <c r="Z630" s="85" t="n"/>
      <c r="AA630" s="85" t="n"/>
      <c r="AB630" s="85" t="n"/>
      <c r="AC630" s="86" t="n"/>
      <c r="AD630" s="85">
        <f>IF($A630="","",IF(OR($AB630&lt;&gt;"Yes",$AC630="",TODAY()-$AC630&gt;90),"At Risk","Not At Risk"))</f>
        <v/>
      </c>
      <c r="AE630" s="85" t="n"/>
    </row>
    <row r="631" ht="15" customHeight="1" s="39">
      <c r="A631" s="85" t="n"/>
      <c r="B631" s="85" t="n"/>
      <c r="C631" s="85" t="n"/>
      <c r="D631" s="85" t="n"/>
      <c r="E631" s="85" t="n"/>
      <c r="F631" s="85" t="n"/>
      <c r="G631" s="85" t="n"/>
      <c r="H631" s="85" t="n"/>
      <c r="I631" s="85" t="n"/>
      <c r="J631" s="85" t="n"/>
      <c r="K631" s="85" t="n"/>
      <c r="L631" s="85" t="n"/>
      <c r="M631" s="85" t="n"/>
      <c r="N631" s="85" t="n"/>
      <c r="O631" s="85" t="n"/>
      <c r="P631" s="85" t="n"/>
      <c r="Q631" s="85" t="n"/>
      <c r="R631" s="85" t="n"/>
      <c r="S631" s="85" t="n"/>
      <c r="T631" s="85" t="n"/>
      <c r="U631" s="85" t="n"/>
      <c r="V631" s="85" t="n"/>
      <c r="W631" s="85" t="n"/>
      <c r="X631" s="85" t="n"/>
      <c r="Y631" s="85" t="n"/>
      <c r="Z631" s="85" t="n"/>
      <c r="AA631" s="85" t="n"/>
      <c r="AB631" s="85" t="n"/>
      <c r="AC631" s="86" t="n"/>
      <c r="AD631" s="85">
        <f>IF($A631="","",IF(OR($AB631&lt;&gt;"Yes",$AC631="",TODAY()-$AC631&gt;90),"At Risk","Not At Risk"))</f>
        <v/>
      </c>
      <c r="AE631" s="85" t="n"/>
    </row>
    <row r="632" ht="15" customHeight="1" s="39">
      <c r="A632" s="85" t="n"/>
      <c r="B632" s="85" t="n"/>
      <c r="C632" s="85" t="n"/>
      <c r="D632" s="85" t="n"/>
      <c r="E632" s="85" t="n"/>
      <c r="F632" s="85" t="n"/>
      <c r="G632" s="85" t="n"/>
      <c r="H632" s="85" t="n"/>
      <c r="I632" s="85" t="n"/>
      <c r="J632" s="85" t="n"/>
      <c r="K632" s="85" t="n"/>
      <c r="L632" s="85" t="n"/>
      <c r="M632" s="85" t="n"/>
      <c r="N632" s="85" t="n"/>
      <c r="O632" s="85" t="n"/>
      <c r="P632" s="85" t="n"/>
      <c r="Q632" s="85" t="n"/>
      <c r="R632" s="85" t="n"/>
      <c r="S632" s="85" t="n"/>
      <c r="T632" s="85" t="n"/>
      <c r="U632" s="85" t="n"/>
      <c r="V632" s="85" t="n"/>
      <c r="W632" s="85" t="n"/>
      <c r="X632" s="85" t="n"/>
      <c r="Y632" s="85" t="n"/>
      <c r="Z632" s="85" t="n"/>
      <c r="AA632" s="85" t="n"/>
      <c r="AB632" s="85" t="n"/>
      <c r="AC632" s="86" t="n"/>
      <c r="AD632" s="85">
        <f>IF($A632="","",IF(OR($AB632&lt;&gt;"Yes",$AC632="",TODAY()-$AC632&gt;90),"At Risk","Not At Risk"))</f>
        <v/>
      </c>
      <c r="AE632" s="85" t="n"/>
    </row>
    <row r="633" ht="15" customHeight="1" s="39">
      <c r="A633" s="85" t="n"/>
      <c r="B633" s="85" t="n"/>
      <c r="C633" s="85" t="n"/>
      <c r="D633" s="85" t="n"/>
      <c r="E633" s="85" t="n"/>
      <c r="F633" s="85" t="n"/>
      <c r="G633" s="85" t="n"/>
      <c r="H633" s="85" t="n"/>
      <c r="I633" s="85" t="n"/>
      <c r="J633" s="85" t="n"/>
      <c r="K633" s="85" t="n"/>
      <c r="L633" s="85" t="n"/>
      <c r="M633" s="85" t="n"/>
      <c r="N633" s="85" t="n"/>
      <c r="O633" s="85" t="n"/>
      <c r="P633" s="85" t="n"/>
      <c r="Q633" s="85" t="n"/>
      <c r="R633" s="85" t="n"/>
      <c r="S633" s="85" t="n"/>
      <c r="T633" s="85" t="n"/>
      <c r="U633" s="85" t="n"/>
      <c r="V633" s="85" t="n"/>
      <c r="W633" s="85" t="n"/>
      <c r="X633" s="85" t="n"/>
      <c r="Y633" s="85" t="n"/>
      <c r="Z633" s="85" t="n"/>
      <c r="AA633" s="85" t="n"/>
      <c r="AB633" s="85" t="n"/>
      <c r="AC633" s="86" t="n"/>
      <c r="AD633" s="85">
        <f>IF($A633="","",IF(OR($AB633&lt;&gt;"Yes",$AC633="",TODAY()-$AC633&gt;90),"At Risk","Not At Risk"))</f>
        <v/>
      </c>
      <c r="AE633" s="85" t="n"/>
    </row>
    <row r="634" ht="15" customHeight="1" s="39">
      <c r="A634" s="85" t="n"/>
      <c r="B634" s="85" t="n"/>
      <c r="C634" s="85" t="n"/>
      <c r="D634" s="85" t="n"/>
      <c r="E634" s="85" t="n"/>
      <c r="F634" s="85" t="n"/>
      <c r="G634" s="85" t="n"/>
      <c r="H634" s="85" t="n"/>
      <c r="I634" s="85" t="n"/>
      <c r="J634" s="85" t="n"/>
      <c r="K634" s="85" t="n"/>
      <c r="L634" s="85" t="n"/>
      <c r="M634" s="85" t="n"/>
      <c r="N634" s="85" t="n"/>
      <c r="O634" s="85" t="n"/>
      <c r="P634" s="85" t="n"/>
      <c r="Q634" s="85" t="n"/>
      <c r="R634" s="85" t="n"/>
      <c r="S634" s="85" t="n"/>
      <c r="T634" s="85" t="n"/>
      <c r="U634" s="85" t="n"/>
      <c r="V634" s="85" t="n"/>
      <c r="W634" s="85" t="n"/>
      <c r="X634" s="85" t="n"/>
      <c r="Y634" s="85" t="n"/>
      <c r="Z634" s="85" t="n"/>
      <c r="AA634" s="85" t="n"/>
      <c r="AB634" s="85" t="n"/>
      <c r="AC634" s="86" t="n"/>
      <c r="AD634" s="85">
        <f>IF($A634="","",IF(OR($AB634&lt;&gt;"Yes",$AC634="",TODAY()-$AC634&gt;90),"At Risk","Not At Risk"))</f>
        <v/>
      </c>
      <c r="AE634" s="85" t="n"/>
    </row>
    <row r="635" ht="15" customHeight="1" s="39">
      <c r="A635" s="85" t="n"/>
      <c r="B635" s="85" t="n"/>
      <c r="C635" s="85" t="n"/>
      <c r="D635" s="85" t="n"/>
      <c r="E635" s="85" t="n"/>
      <c r="F635" s="85" t="n"/>
      <c r="G635" s="85" t="n"/>
      <c r="H635" s="85" t="n"/>
      <c r="I635" s="85" t="n"/>
      <c r="J635" s="85" t="n"/>
      <c r="K635" s="85" t="n"/>
      <c r="L635" s="85" t="n"/>
      <c r="M635" s="85" t="n"/>
      <c r="N635" s="85" t="n"/>
      <c r="O635" s="85" t="n"/>
      <c r="P635" s="85" t="n"/>
      <c r="Q635" s="85" t="n"/>
      <c r="R635" s="85" t="n"/>
      <c r="S635" s="85" t="n"/>
      <c r="T635" s="85" t="n"/>
      <c r="U635" s="85" t="n"/>
      <c r="V635" s="85" t="n"/>
      <c r="W635" s="85" t="n"/>
      <c r="X635" s="85" t="n"/>
      <c r="Y635" s="85" t="n"/>
      <c r="Z635" s="85" t="n"/>
      <c r="AA635" s="85" t="n"/>
      <c r="AB635" s="85" t="n"/>
      <c r="AC635" s="86" t="n"/>
      <c r="AD635" s="85">
        <f>IF($A635="","",IF(OR($AB635&lt;&gt;"Yes",$AC635="",TODAY()-$AC635&gt;90),"At Risk","Not At Risk"))</f>
        <v/>
      </c>
      <c r="AE635" s="85" t="n"/>
    </row>
    <row r="636" ht="15" customHeight="1" s="39">
      <c r="A636" s="85" t="n"/>
      <c r="B636" s="85" t="n"/>
      <c r="C636" s="85" t="n"/>
      <c r="D636" s="85" t="n"/>
      <c r="E636" s="85" t="n"/>
      <c r="F636" s="85" t="n"/>
      <c r="G636" s="85" t="n"/>
      <c r="H636" s="85" t="n"/>
      <c r="I636" s="85" t="n"/>
      <c r="J636" s="85" t="n"/>
      <c r="K636" s="85" t="n"/>
      <c r="L636" s="85" t="n"/>
      <c r="M636" s="85" t="n"/>
      <c r="N636" s="85" t="n"/>
      <c r="O636" s="85" t="n"/>
      <c r="P636" s="85" t="n"/>
      <c r="Q636" s="85" t="n"/>
      <c r="R636" s="85" t="n"/>
      <c r="S636" s="85" t="n"/>
      <c r="T636" s="85" t="n"/>
      <c r="U636" s="85" t="n"/>
      <c r="V636" s="85" t="n"/>
      <c r="W636" s="85" t="n"/>
      <c r="X636" s="85" t="n"/>
      <c r="Y636" s="85" t="n"/>
      <c r="Z636" s="85" t="n"/>
      <c r="AA636" s="85" t="n"/>
      <c r="AB636" s="85" t="n"/>
      <c r="AC636" s="86" t="n"/>
      <c r="AD636" s="85">
        <f>IF($A636="","",IF(OR($AB636&lt;&gt;"Yes",$AC636="",TODAY()-$AC636&gt;90),"At Risk","Not At Risk"))</f>
        <v/>
      </c>
      <c r="AE636" s="85" t="n"/>
    </row>
    <row r="637" ht="15" customHeight="1" s="39">
      <c r="A637" s="85" t="n"/>
      <c r="B637" s="85" t="n"/>
      <c r="C637" s="85" t="n"/>
      <c r="D637" s="85" t="n"/>
      <c r="E637" s="85" t="n"/>
      <c r="F637" s="85" t="n"/>
      <c r="G637" s="85" t="n"/>
      <c r="H637" s="85" t="n"/>
      <c r="I637" s="85" t="n"/>
      <c r="J637" s="85" t="n"/>
      <c r="K637" s="85" t="n"/>
      <c r="L637" s="85" t="n"/>
      <c r="M637" s="85" t="n"/>
      <c r="N637" s="85" t="n"/>
      <c r="O637" s="85" t="n"/>
      <c r="P637" s="85" t="n"/>
      <c r="Q637" s="85" t="n"/>
      <c r="R637" s="85" t="n"/>
      <c r="S637" s="85" t="n"/>
      <c r="T637" s="85" t="n"/>
      <c r="U637" s="85" t="n"/>
      <c r="V637" s="85" t="n"/>
      <c r="W637" s="85" t="n"/>
      <c r="X637" s="85" t="n"/>
      <c r="Y637" s="85" t="n"/>
      <c r="Z637" s="85" t="n"/>
      <c r="AA637" s="85" t="n"/>
      <c r="AB637" s="85" t="n"/>
      <c r="AC637" s="86" t="n"/>
      <c r="AD637" s="85">
        <f>IF($A637="","",IF(OR($AB637&lt;&gt;"Yes",$AC637="",TODAY()-$AC637&gt;90),"At Risk","Not At Risk"))</f>
        <v/>
      </c>
      <c r="AE637" s="85" t="n"/>
    </row>
    <row r="638" ht="15" customHeight="1" s="39">
      <c r="A638" s="85" t="n"/>
      <c r="B638" s="85" t="n"/>
      <c r="C638" s="85" t="n"/>
      <c r="D638" s="85" t="n"/>
      <c r="E638" s="85" t="n"/>
      <c r="F638" s="85" t="n"/>
      <c r="G638" s="85" t="n"/>
      <c r="H638" s="85" t="n"/>
      <c r="I638" s="85" t="n"/>
      <c r="J638" s="85" t="n"/>
      <c r="K638" s="85" t="n"/>
      <c r="L638" s="85" t="n"/>
      <c r="M638" s="85" t="n"/>
      <c r="N638" s="85" t="n"/>
      <c r="O638" s="85" t="n"/>
      <c r="P638" s="85" t="n"/>
      <c r="Q638" s="85" t="n"/>
      <c r="R638" s="85" t="n"/>
      <c r="S638" s="85" t="n"/>
      <c r="T638" s="85" t="n"/>
      <c r="U638" s="85" t="n"/>
      <c r="V638" s="85" t="n"/>
      <c r="W638" s="85" t="n"/>
      <c r="X638" s="85" t="n"/>
      <c r="Y638" s="85" t="n"/>
      <c r="Z638" s="85" t="n"/>
      <c r="AA638" s="85" t="n"/>
      <c r="AB638" s="85" t="n"/>
      <c r="AC638" s="86" t="n"/>
      <c r="AD638" s="85">
        <f>IF($A638="","",IF(OR($AB638&lt;&gt;"Yes",$AC638="",TODAY()-$AC638&gt;90),"At Risk","Not At Risk"))</f>
        <v/>
      </c>
      <c r="AE638" s="85" t="n"/>
    </row>
    <row r="639" ht="15" customHeight="1" s="39">
      <c r="A639" s="85" t="n"/>
      <c r="B639" s="85" t="n"/>
      <c r="C639" s="85" t="n"/>
      <c r="D639" s="85" t="n"/>
      <c r="E639" s="85" t="n"/>
      <c r="F639" s="85" t="n"/>
      <c r="G639" s="85" t="n"/>
      <c r="H639" s="85" t="n"/>
      <c r="I639" s="85" t="n"/>
      <c r="J639" s="85" t="n"/>
      <c r="K639" s="85" t="n"/>
      <c r="L639" s="85" t="n"/>
      <c r="M639" s="85" t="n"/>
      <c r="N639" s="85" t="n"/>
      <c r="O639" s="85" t="n"/>
      <c r="P639" s="85" t="n"/>
      <c r="Q639" s="85" t="n"/>
      <c r="R639" s="85" t="n"/>
      <c r="S639" s="85" t="n"/>
      <c r="T639" s="85" t="n"/>
      <c r="U639" s="85" t="n"/>
      <c r="V639" s="85" t="n"/>
      <c r="W639" s="85" t="n"/>
      <c r="X639" s="85" t="n"/>
      <c r="Y639" s="85" t="n"/>
      <c r="Z639" s="85" t="n"/>
      <c r="AA639" s="85" t="n"/>
      <c r="AB639" s="85" t="n"/>
      <c r="AC639" s="86" t="n"/>
      <c r="AD639" s="85">
        <f>IF($A639="","",IF(OR($AB639&lt;&gt;"Yes",$AC639="",TODAY()-$AC639&gt;90),"At Risk","Not At Risk"))</f>
        <v/>
      </c>
      <c r="AE639" s="85" t="n"/>
    </row>
    <row r="640" ht="15" customHeight="1" s="39">
      <c r="A640" s="85" t="n"/>
      <c r="B640" s="85" t="n"/>
      <c r="C640" s="85" t="n"/>
      <c r="D640" s="85" t="n"/>
      <c r="E640" s="85" t="n"/>
      <c r="F640" s="85" t="n"/>
      <c r="G640" s="85" t="n"/>
      <c r="H640" s="85" t="n"/>
      <c r="I640" s="85" t="n"/>
      <c r="J640" s="85" t="n"/>
      <c r="K640" s="85" t="n"/>
      <c r="L640" s="85" t="n"/>
      <c r="M640" s="85" t="n"/>
      <c r="N640" s="85" t="n"/>
      <c r="O640" s="85" t="n"/>
      <c r="P640" s="85" t="n"/>
      <c r="Q640" s="85" t="n"/>
      <c r="R640" s="85" t="n"/>
      <c r="S640" s="85" t="n"/>
      <c r="T640" s="85" t="n"/>
      <c r="U640" s="85" t="n"/>
      <c r="V640" s="85" t="n"/>
      <c r="W640" s="85" t="n"/>
      <c r="X640" s="85" t="n"/>
      <c r="Y640" s="85" t="n"/>
      <c r="Z640" s="85" t="n"/>
      <c r="AA640" s="85" t="n"/>
      <c r="AB640" s="85" t="n"/>
      <c r="AC640" s="86" t="n"/>
      <c r="AD640" s="85">
        <f>IF($A640="","",IF(OR($AB640&lt;&gt;"Yes",$AC640="",TODAY()-$AC640&gt;90),"At Risk","Not At Risk"))</f>
        <v/>
      </c>
      <c r="AE640" s="85" t="n"/>
    </row>
    <row r="641" ht="15" customHeight="1" s="39">
      <c r="A641" s="85" t="n"/>
      <c r="B641" s="85" t="n"/>
      <c r="C641" s="85" t="n"/>
      <c r="D641" s="85" t="n"/>
      <c r="E641" s="85" t="n"/>
      <c r="F641" s="85" t="n"/>
      <c r="G641" s="85" t="n"/>
      <c r="H641" s="85" t="n"/>
      <c r="I641" s="85" t="n"/>
      <c r="J641" s="85" t="n"/>
      <c r="K641" s="85" t="n"/>
      <c r="L641" s="85" t="n"/>
      <c r="M641" s="85" t="n"/>
      <c r="N641" s="85" t="n"/>
      <c r="O641" s="85" t="n"/>
      <c r="P641" s="85" t="n"/>
      <c r="Q641" s="85" t="n"/>
      <c r="R641" s="85" t="n"/>
      <c r="S641" s="85" t="n"/>
      <c r="T641" s="85" t="n"/>
      <c r="U641" s="85" t="n"/>
      <c r="V641" s="85" t="n"/>
      <c r="W641" s="85" t="n"/>
      <c r="X641" s="85" t="n"/>
      <c r="Y641" s="85" t="n"/>
      <c r="Z641" s="85" t="n"/>
      <c r="AA641" s="85" t="n"/>
      <c r="AB641" s="85" t="n"/>
      <c r="AC641" s="86" t="n"/>
      <c r="AD641" s="85">
        <f>IF($A641="","",IF(OR($AB641&lt;&gt;"Yes",$AC641="",TODAY()-$AC641&gt;90),"At Risk","Not At Risk"))</f>
        <v/>
      </c>
      <c r="AE641" s="85" t="n"/>
    </row>
    <row r="642" ht="15" customHeight="1" s="39">
      <c r="A642" s="85" t="n"/>
      <c r="B642" s="85" t="n"/>
      <c r="C642" s="85" t="n"/>
      <c r="D642" s="85" t="n"/>
      <c r="E642" s="85" t="n"/>
      <c r="F642" s="85" t="n"/>
      <c r="G642" s="85" t="n"/>
      <c r="H642" s="85" t="n"/>
      <c r="I642" s="85" t="n"/>
      <c r="J642" s="85" t="n"/>
      <c r="K642" s="85" t="n"/>
      <c r="L642" s="85" t="n"/>
      <c r="M642" s="85" t="n"/>
      <c r="N642" s="85" t="n"/>
      <c r="O642" s="85" t="n"/>
      <c r="P642" s="85" t="n"/>
      <c r="Q642" s="85" t="n"/>
      <c r="R642" s="85" t="n"/>
      <c r="S642" s="85" t="n"/>
      <c r="T642" s="85" t="n"/>
      <c r="U642" s="85" t="n"/>
      <c r="V642" s="85" t="n"/>
      <c r="W642" s="85" t="n"/>
      <c r="X642" s="85" t="n"/>
      <c r="Y642" s="85" t="n"/>
      <c r="Z642" s="85" t="n"/>
      <c r="AA642" s="85" t="n"/>
      <c r="AB642" s="85" t="n"/>
      <c r="AC642" s="86" t="n"/>
      <c r="AD642" s="85">
        <f>IF($A642="","",IF(OR($AB642&lt;&gt;"Yes",$AC642="",TODAY()-$AC642&gt;90),"At Risk","Not At Risk"))</f>
        <v/>
      </c>
      <c r="AE642" s="85" t="n"/>
    </row>
    <row r="643" ht="15" customHeight="1" s="39">
      <c r="A643" s="85" t="n"/>
      <c r="B643" s="85" t="n"/>
      <c r="C643" s="85" t="n"/>
      <c r="D643" s="85" t="n"/>
      <c r="E643" s="85" t="n"/>
      <c r="F643" s="85" t="n"/>
      <c r="G643" s="85" t="n"/>
      <c r="H643" s="85" t="n"/>
      <c r="I643" s="85" t="n"/>
      <c r="J643" s="85" t="n"/>
      <c r="K643" s="85" t="n"/>
      <c r="L643" s="85" t="n"/>
      <c r="M643" s="85" t="n"/>
      <c r="N643" s="85" t="n"/>
      <c r="O643" s="85" t="n"/>
      <c r="P643" s="85" t="n"/>
      <c r="Q643" s="85" t="n"/>
      <c r="R643" s="85" t="n"/>
      <c r="S643" s="85" t="n"/>
      <c r="T643" s="85" t="n"/>
      <c r="U643" s="85" t="n"/>
      <c r="V643" s="85" t="n"/>
      <c r="W643" s="85" t="n"/>
      <c r="X643" s="85" t="n"/>
      <c r="Y643" s="85" t="n"/>
      <c r="Z643" s="85" t="n"/>
      <c r="AA643" s="85" t="n"/>
      <c r="AB643" s="85" t="n"/>
      <c r="AC643" s="86" t="n"/>
      <c r="AD643" s="85">
        <f>IF($A643="","",IF(OR($AB643&lt;&gt;"Yes",$AC643="",TODAY()-$AC643&gt;90),"At Risk","Not At Risk"))</f>
        <v/>
      </c>
      <c r="AE643" s="85" t="n"/>
    </row>
    <row r="644" ht="15" customHeight="1" s="39">
      <c r="A644" s="85" t="n"/>
      <c r="B644" s="85" t="n"/>
      <c r="C644" s="85" t="n"/>
      <c r="D644" s="85" t="n"/>
      <c r="E644" s="85" t="n"/>
      <c r="F644" s="85" t="n"/>
      <c r="G644" s="85" t="n"/>
      <c r="H644" s="85" t="n"/>
      <c r="I644" s="85" t="n"/>
      <c r="J644" s="85" t="n"/>
      <c r="K644" s="85" t="n"/>
      <c r="L644" s="85" t="n"/>
      <c r="M644" s="85" t="n"/>
      <c r="N644" s="85" t="n"/>
      <c r="O644" s="85" t="n"/>
      <c r="P644" s="85" t="n"/>
      <c r="Q644" s="85" t="n"/>
      <c r="R644" s="85" t="n"/>
      <c r="S644" s="85" t="n"/>
      <c r="T644" s="85" t="n"/>
      <c r="U644" s="85" t="n"/>
      <c r="V644" s="85" t="n"/>
      <c r="W644" s="85" t="n"/>
      <c r="X644" s="85" t="n"/>
      <c r="Y644" s="85" t="n"/>
      <c r="Z644" s="85" t="n"/>
      <c r="AA644" s="85" t="n"/>
      <c r="AB644" s="85" t="n"/>
      <c r="AC644" s="86" t="n"/>
      <c r="AD644" s="85">
        <f>IF($A644="","",IF(OR($AB644&lt;&gt;"Yes",$AC644="",TODAY()-$AC644&gt;90),"At Risk","Not At Risk"))</f>
        <v/>
      </c>
      <c r="AE644" s="85" t="n"/>
    </row>
    <row r="645" ht="15" customHeight="1" s="39">
      <c r="A645" s="85" t="n"/>
      <c r="B645" s="85" t="n"/>
      <c r="C645" s="85" t="n"/>
      <c r="D645" s="85" t="n"/>
      <c r="E645" s="85" t="n"/>
      <c r="F645" s="85" t="n"/>
      <c r="G645" s="85" t="n"/>
      <c r="H645" s="85" t="n"/>
      <c r="I645" s="85" t="n"/>
      <c r="J645" s="85" t="n"/>
      <c r="K645" s="85" t="n"/>
      <c r="L645" s="85" t="n"/>
      <c r="M645" s="85" t="n"/>
      <c r="N645" s="85" t="n"/>
      <c r="O645" s="85" t="n"/>
      <c r="P645" s="85" t="n"/>
      <c r="Q645" s="85" t="n"/>
      <c r="R645" s="85" t="n"/>
      <c r="S645" s="85" t="n"/>
      <c r="T645" s="85" t="n"/>
      <c r="U645" s="85" t="n"/>
      <c r="V645" s="85" t="n"/>
      <c r="W645" s="85" t="n"/>
      <c r="X645" s="85" t="n"/>
      <c r="Y645" s="85" t="n"/>
      <c r="Z645" s="85" t="n"/>
      <c r="AA645" s="85" t="n"/>
      <c r="AB645" s="85" t="n"/>
      <c r="AC645" s="86" t="n"/>
      <c r="AD645" s="85">
        <f>IF($A645="","",IF(OR($AB645&lt;&gt;"Yes",$AC645="",TODAY()-$AC645&gt;90),"At Risk","Not At Risk"))</f>
        <v/>
      </c>
      <c r="AE645" s="85" t="n"/>
    </row>
    <row r="646" ht="15" customHeight="1" s="39">
      <c r="A646" s="85" t="n"/>
      <c r="B646" s="85" t="n"/>
      <c r="C646" s="85" t="n"/>
      <c r="D646" s="85" t="n"/>
      <c r="E646" s="85" t="n"/>
      <c r="F646" s="85" t="n"/>
      <c r="G646" s="85" t="n"/>
      <c r="H646" s="85" t="n"/>
      <c r="I646" s="85" t="n"/>
      <c r="J646" s="85" t="n"/>
      <c r="K646" s="85" t="n"/>
      <c r="L646" s="85" t="n"/>
      <c r="M646" s="85" t="n"/>
      <c r="N646" s="85" t="n"/>
      <c r="O646" s="85" t="n"/>
      <c r="P646" s="85" t="n"/>
      <c r="Q646" s="85" t="n"/>
      <c r="R646" s="85" t="n"/>
      <c r="S646" s="85" t="n"/>
      <c r="T646" s="85" t="n"/>
      <c r="U646" s="85" t="n"/>
      <c r="V646" s="85" t="n"/>
      <c r="W646" s="85" t="n"/>
      <c r="X646" s="85" t="n"/>
      <c r="Y646" s="85" t="n"/>
      <c r="Z646" s="85" t="n"/>
      <c r="AA646" s="85" t="n"/>
      <c r="AB646" s="85" t="n"/>
      <c r="AC646" s="86" t="n"/>
      <c r="AD646" s="85">
        <f>IF($A646="","",IF(OR($AB646&lt;&gt;"Yes",$AC646="",TODAY()-$AC646&gt;90),"At Risk","Not At Risk"))</f>
        <v/>
      </c>
      <c r="AE646" s="85" t="n"/>
    </row>
    <row r="647" ht="15" customHeight="1" s="39">
      <c r="A647" s="85" t="n"/>
      <c r="B647" s="85" t="n"/>
      <c r="C647" s="85" t="n"/>
      <c r="D647" s="85" t="n"/>
      <c r="E647" s="85" t="n"/>
      <c r="F647" s="85" t="n"/>
      <c r="G647" s="85" t="n"/>
      <c r="H647" s="85" t="n"/>
      <c r="I647" s="85" t="n"/>
      <c r="J647" s="85" t="n"/>
      <c r="K647" s="85" t="n"/>
      <c r="L647" s="85" t="n"/>
      <c r="M647" s="85" t="n"/>
      <c r="N647" s="85" t="n"/>
      <c r="O647" s="85" t="n"/>
      <c r="P647" s="85" t="n"/>
      <c r="Q647" s="85" t="n"/>
      <c r="R647" s="85" t="n"/>
      <c r="S647" s="85" t="n"/>
      <c r="T647" s="85" t="n"/>
      <c r="U647" s="85" t="n"/>
      <c r="V647" s="85" t="n"/>
      <c r="W647" s="85" t="n"/>
      <c r="X647" s="85" t="n"/>
      <c r="Y647" s="85" t="n"/>
      <c r="Z647" s="85" t="n"/>
      <c r="AA647" s="85" t="n"/>
      <c r="AB647" s="85" t="n"/>
      <c r="AC647" s="86" t="n"/>
      <c r="AD647" s="85">
        <f>IF($A647="","",IF(OR($AB647&lt;&gt;"Yes",$AC647="",TODAY()-$AC647&gt;90),"At Risk","Not At Risk"))</f>
        <v/>
      </c>
      <c r="AE647" s="85" t="n"/>
    </row>
    <row r="648" ht="15" customHeight="1" s="39">
      <c r="A648" s="85" t="n"/>
      <c r="B648" s="85" t="n"/>
      <c r="C648" s="85" t="n"/>
      <c r="D648" s="85" t="n"/>
      <c r="E648" s="85" t="n"/>
      <c r="F648" s="85" t="n"/>
      <c r="G648" s="85" t="n"/>
      <c r="H648" s="85" t="n"/>
      <c r="I648" s="85" t="n"/>
      <c r="J648" s="85" t="n"/>
      <c r="K648" s="85" t="n"/>
      <c r="L648" s="85" t="n"/>
      <c r="M648" s="85" t="n"/>
      <c r="N648" s="85" t="n"/>
      <c r="O648" s="85" t="n"/>
      <c r="P648" s="85" t="n"/>
      <c r="Q648" s="85" t="n"/>
      <c r="R648" s="85" t="n"/>
      <c r="S648" s="85" t="n"/>
      <c r="T648" s="85" t="n"/>
      <c r="U648" s="85" t="n"/>
      <c r="V648" s="85" t="n"/>
      <c r="W648" s="85" t="n"/>
      <c r="X648" s="85" t="n"/>
      <c r="Y648" s="85" t="n"/>
      <c r="Z648" s="85" t="n"/>
      <c r="AA648" s="85" t="n"/>
      <c r="AB648" s="85" t="n"/>
      <c r="AC648" s="86" t="n"/>
      <c r="AD648" s="85">
        <f>IF($A648="","",IF(OR($AB648&lt;&gt;"Yes",$AC648="",TODAY()-$AC648&gt;90),"At Risk","Not At Risk"))</f>
        <v/>
      </c>
      <c r="AE648" s="85" t="n"/>
    </row>
    <row r="649" ht="15" customHeight="1" s="39">
      <c r="A649" s="85" t="n"/>
      <c r="B649" s="85" t="n"/>
      <c r="C649" s="85" t="n"/>
      <c r="D649" s="85" t="n"/>
      <c r="E649" s="85" t="n"/>
      <c r="F649" s="85" t="n"/>
      <c r="G649" s="85" t="n"/>
      <c r="H649" s="85" t="n"/>
      <c r="I649" s="85" t="n"/>
      <c r="J649" s="85" t="n"/>
      <c r="K649" s="85" t="n"/>
      <c r="L649" s="85" t="n"/>
      <c r="M649" s="85" t="n"/>
      <c r="N649" s="85" t="n"/>
      <c r="O649" s="85" t="n"/>
      <c r="P649" s="85" t="n"/>
      <c r="Q649" s="85" t="n"/>
      <c r="R649" s="85" t="n"/>
      <c r="S649" s="85" t="n"/>
      <c r="T649" s="85" t="n"/>
      <c r="U649" s="85" t="n"/>
      <c r="V649" s="85" t="n"/>
      <c r="W649" s="85" t="n"/>
      <c r="X649" s="85" t="n"/>
      <c r="Y649" s="85" t="n"/>
      <c r="Z649" s="85" t="n"/>
      <c r="AA649" s="85" t="n"/>
      <c r="AB649" s="85" t="n"/>
      <c r="AC649" s="86" t="n"/>
      <c r="AD649" s="85">
        <f>IF($A649="","",IF(OR($AB649&lt;&gt;"Yes",$AC649="",TODAY()-$AC649&gt;90),"At Risk","Not At Risk"))</f>
        <v/>
      </c>
      <c r="AE649" s="85" t="n"/>
    </row>
    <row r="650" ht="15" customHeight="1" s="39">
      <c r="A650" s="85" t="n"/>
      <c r="B650" s="85" t="n"/>
      <c r="C650" s="85" t="n"/>
      <c r="D650" s="85" t="n"/>
      <c r="E650" s="85" t="n"/>
      <c r="F650" s="85" t="n"/>
      <c r="G650" s="85" t="n"/>
      <c r="H650" s="85" t="n"/>
      <c r="I650" s="85" t="n"/>
      <c r="J650" s="85" t="n"/>
      <c r="K650" s="85" t="n"/>
      <c r="L650" s="85" t="n"/>
      <c r="M650" s="85" t="n"/>
      <c r="N650" s="85" t="n"/>
      <c r="O650" s="85" t="n"/>
      <c r="P650" s="85" t="n"/>
      <c r="Q650" s="85" t="n"/>
      <c r="R650" s="85" t="n"/>
      <c r="S650" s="85" t="n"/>
      <c r="T650" s="85" t="n"/>
      <c r="U650" s="85" t="n"/>
      <c r="V650" s="85" t="n"/>
      <c r="W650" s="85" t="n"/>
      <c r="X650" s="85" t="n"/>
      <c r="Y650" s="85" t="n"/>
      <c r="Z650" s="85" t="n"/>
      <c r="AA650" s="85" t="n"/>
      <c r="AB650" s="85" t="n"/>
      <c r="AC650" s="86" t="n"/>
      <c r="AD650" s="85">
        <f>IF($A650="","",IF(OR($AB650&lt;&gt;"Yes",$AC650="",TODAY()-$AC650&gt;90),"At Risk","Not At Risk"))</f>
        <v/>
      </c>
      <c r="AE650" s="85" t="n"/>
    </row>
    <row r="651" ht="15" customHeight="1" s="39">
      <c r="A651" s="85" t="n"/>
      <c r="B651" s="85" t="n"/>
      <c r="C651" s="85" t="n"/>
      <c r="D651" s="85" t="n"/>
      <c r="E651" s="85" t="n"/>
      <c r="F651" s="85" t="n"/>
      <c r="G651" s="85" t="n"/>
      <c r="H651" s="85" t="n"/>
      <c r="I651" s="85" t="n"/>
      <c r="J651" s="85" t="n"/>
      <c r="K651" s="85" t="n"/>
      <c r="L651" s="85" t="n"/>
      <c r="M651" s="85" t="n"/>
      <c r="N651" s="85" t="n"/>
      <c r="O651" s="85" t="n"/>
      <c r="P651" s="85" t="n"/>
      <c r="Q651" s="85" t="n"/>
      <c r="R651" s="85" t="n"/>
      <c r="S651" s="85" t="n"/>
      <c r="T651" s="85" t="n"/>
      <c r="U651" s="85" t="n"/>
      <c r="V651" s="85" t="n"/>
      <c r="W651" s="85" t="n"/>
      <c r="X651" s="85" t="n"/>
      <c r="Y651" s="85" t="n"/>
      <c r="Z651" s="85" t="n"/>
      <c r="AA651" s="85" t="n"/>
      <c r="AB651" s="85" t="n"/>
      <c r="AC651" s="86" t="n"/>
      <c r="AD651" s="85">
        <f>IF($A651="","",IF(OR($AB651&lt;&gt;"Yes",$AC651="",TODAY()-$AC651&gt;90),"At Risk","Not At Risk"))</f>
        <v/>
      </c>
      <c r="AE651" s="85" t="n"/>
    </row>
    <row r="652" ht="15" customHeight="1" s="39">
      <c r="A652" s="85" t="n"/>
      <c r="B652" s="85" t="n"/>
      <c r="C652" s="85" t="n"/>
      <c r="D652" s="85" t="n"/>
      <c r="E652" s="85" t="n"/>
      <c r="F652" s="85" t="n"/>
      <c r="G652" s="85" t="n"/>
      <c r="H652" s="85" t="n"/>
      <c r="I652" s="85" t="n"/>
      <c r="J652" s="85" t="n"/>
      <c r="K652" s="85" t="n"/>
      <c r="L652" s="85" t="n"/>
      <c r="M652" s="85" t="n"/>
      <c r="N652" s="85" t="n"/>
      <c r="O652" s="85" t="n"/>
      <c r="P652" s="85" t="n"/>
      <c r="Q652" s="85" t="n"/>
      <c r="R652" s="85" t="n"/>
      <c r="S652" s="85" t="n"/>
      <c r="T652" s="85" t="n"/>
      <c r="U652" s="85" t="n"/>
      <c r="V652" s="85" t="n"/>
      <c r="W652" s="85" t="n"/>
      <c r="X652" s="85" t="n"/>
      <c r="Y652" s="85" t="n"/>
      <c r="Z652" s="85" t="n"/>
      <c r="AA652" s="85" t="n"/>
      <c r="AB652" s="85" t="n"/>
      <c r="AC652" s="86" t="n"/>
      <c r="AD652" s="85">
        <f>IF($A652="","",IF(OR($AB652&lt;&gt;"Yes",$AC652="",TODAY()-$AC652&gt;90),"At Risk","Not At Risk"))</f>
        <v/>
      </c>
      <c r="AE652" s="85" t="n"/>
    </row>
    <row r="653" ht="15" customHeight="1" s="39">
      <c r="A653" s="85" t="n"/>
      <c r="B653" s="85" t="n"/>
      <c r="C653" s="85" t="n"/>
      <c r="D653" s="85" t="n"/>
      <c r="E653" s="85" t="n"/>
      <c r="F653" s="85" t="n"/>
      <c r="G653" s="85" t="n"/>
      <c r="H653" s="85" t="n"/>
      <c r="I653" s="85" t="n"/>
      <c r="J653" s="85" t="n"/>
      <c r="K653" s="85" t="n"/>
      <c r="L653" s="85" t="n"/>
      <c r="M653" s="85" t="n"/>
      <c r="N653" s="85" t="n"/>
      <c r="O653" s="85" t="n"/>
      <c r="P653" s="85" t="n"/>
      <c r="Q653" s="85" t="n"/>
      <c r="R653" s="85" t="n"/>
      <c r="S653" s="85" t="n"/>
      <c r="T653" s="85" t="n"/>
      <c r="U653" s="85" t="n"/>
      <c r="V653" s="85" t="n"/>
      <c r="W653" s="85" t="n"/>
      <c r="X653" s="85" t="n"/>
      <c r="Y653" s="85" t="n"/>
      <c r="Z653" s="85" t="n"/>
      <c r="AA653" s="85" t="n"/>
      <c r="AB653" s="85" t="n"/>
      <c r="AC653" s="86" t="n"/>
      <c r="AD653" s="85">
        <f>IF($A653="","",IF(OR($AB653&lt;&gt;"Yes",$AC653="",TODAY()-$AC653&gt;90),"At Risk","Not At Risk"))</f>
        <v/>
      </c>
      <c r="AE653" s="85" t="n"/>
    </row>
    <row r="654" ht="15" customHeight="1" s="39">
      <c r="A654" s="85" t="n"/>
      <c r="B654" s="85" t="n"/>
      <c r="C654" s="85" t="n"/>
      <c r="D654" s="85" t="n"/>
      <c r="E654" s="85" t="n"/>
      <c r="F654" s="85" t="n"/>
      <c r="G654" s="85" t="n"/>
      <c r="H654" s="85" t="n"/>
      <c r="I654" s="85" t="n"/>
      <c r="J654" s="85" t="n"/>
      <c r="K654" s="85" t="n"/>
      <c r="L654" s="85" t="n"/>
      <c r="M654" s="85" t="n"/>
      <c r="N654" s="85" t="n"/>
      <c r="O654" s="85" t="n"/>
      <c r="P654" s="85" t="n"/>
      <c r="Q654" s="85" t="n"/>
      <c r="R654" s="85" t="n"/>
      <c r="S654" s="85" t="n"/>
      <c r="T654" s="85" t="n"/>
      <c r="U654" s="85" t="n"/>
      <c r="V654" s="85" t="n"/>
      <c r="W654" s="85" t="n"/>
      <c r="X654" s="85" t="n"/>
      <c r="Y654" s="85" t="n"/>
      <c r="Z654" s="85" t="n"/>
      <c r="AA654" s="85" t="n"/>
      <c r="AB654" s="85" t="n"/>
      <c r="AC654" s="86" t="n"/>
      <c r="AD654" s="85">
        <f>IF($A654="","",IF(OR($AB654&lt;&gt;"Yes",$AC654="",TODAY()-$AC654&gt;90),"At Risk","Not At Risk"))</f>
        <v/>
      </c>
      <c r="AE654" s="85" t="n"/>
    </row>
    <row r="655" ht="15" customHeight="1" s="39">
      <c r="A655" s="85" t="n"/>
      <c r="B655" s="85" t="n"/>
      <c r="C655" s="85" t="n"/>
      <c r="D655" s="85" t="n"/>
      <c r="E655" s="85" t="n"/>
      <c r="F655" s="85" t="n"/>
      <c r="G655" s="85" t="n"/>
      <c r="H655" s="85" t="n"/>
      <c r="I655" s="85" t="n"/>
      <c r="J655" s="85" t="n"/>
      <c r="K655" s="85" t="n"/>
      <c r="L655" s="85" t="n"/>
      <c r="M655" s="85" t="n"/>
      <c r="N655" s="85" t="n"/>
      <c r="O655" s="85" t="n"/>
      <c r="P655" s="85" t="n"/>
      <c r="Q655" s="85" t="n"/>
      <c r="R655" s="85" t="n"/>
      <c r="S655" s="85" t="n"/>
      <c r="T655" s="85" t="n"/>
      <c r="U655" s="85" t="n"/>
      <c r="V655" s="85" t="n"/>
      <c r="W655" s="85" t="n"/>
      <c r="X655" s="85" t="n"/>
      <c r="Y655" s="85" t="n"/>
      <c r="Z655" s="85" t="n"/>
      <c r="AA655" s="85" t="n"/>
      <c r="AB655" s="85" t="n"/>
      <c r="AC655" s="86" t="n"/>
      <c r="AD655" s="85">
        <f>IF($A655="","",IF(OR($AB655&lt;&gt;"Yes",$AC655="",TODAY()-$AC655&gt;90),"At Risk","Not At Risk"))</f>
        <v/>
      </c>
      <c r="AE655" s="85" t="n"/>
    </row>
    <row r="656" ht="15" customHeight="1" s="39">
      <c r="A656" s="85" t="n"/>
      <c r="B656" s="85" t="n"/>
      <c r="C656" s="85" t="n"/>
      <c r="D656" s="85" t="n"/>
      <c r="E656" s="85" t="n"/>
      <c r="F656" s="85" t="n"/>
      <c r="G656" s="85" t="n"/>
      <c r="H656" s="85" t="n"/>
      <c r="I656" s="85" t="n"/>
      <c r="J656" s="85" t="n"/>
      <c r="K656" s="85" t="n"/>
      <c r="L656" s="85" t="n"/>
      <c r="M656" s="85" t="n"/>
      <c r="N656" s="85" t="n"/>
      <c r="O656" s="85" t="n"/>
      <c r="P656" s="85" t="n"/>
      <c r="Q656" s="85" t="n"/>
      <c r="R656" s="85" t="n"/>
      <c r="S656" s="85" t="n"/>
      <c r="T656" s="85" t="n"/>
      <c r="U656" s="85" t="n"/>
      <c r="V656" s="85" t="n"/>
      <c r="W656" s="85" t="n"/>
      <c r="X656" s="85" t="n"/>
      <c r="Y656" s="85" t="n"/>
      <c r="Z656" s="85" t="n"/>
      <c r="AA656" s="85" t="n"/>
      <c r="AB656" s="85" t="n"/>
      <c r="AC656" s="86" t="n"/>
      <c r="AD656" s="85">
        <f>IF($A656="","",IF(OR($AB656&lt;&gt;"Yes",$AC656="",TODAY()-$AC656&gt;90),"At Risk","Not At Risk"))</f>
        <v/>
      </c>
      <c r="AE656" s="85" t="n"/>
    </row>
    <row r="657" ht="15" customHeight="1" s="39">
      <c r="A657" s="85" t="n"/>
      <c r="B657" s="85" t="n"/>
      <c r="C657" s="85" t="n"/>
      <c r="D657" s="85" t="n"/>
      <c r="E657" s="85" t="n"/>
      <c r="F657" s="85" t="n"/>
      <c r="G657" s="85" t="n"/>
      <c r="H657" s="85" t="n"/>
      <c r="I657" s="85" t="n"/>
      <c r="J657" s="85" t="n"/>
      <c r="K657" s="85" t="n"/>
      <c r="L657" s="85" t="n"/>
      <c r="M657" s="85" t="n"/>
      <c r="N657" s="85" t="n"/>
      <c r="O657" s="85" t="n"/>
      <c r="P657" s="85" t="n"/>
      <c r="Q657" s="85" t="n"/>
      <c r="R657" s="85" t="n"/>
      <c r="S657" s="85" t="n"/>
      <c r="T657" s="85" t="n"/>
      <c r="U657" s="85" t="n"/>
      <c r="V657" s="85" t="n"/>
      <c r="W657" s="85" t="n"/>
      <c r="X657" s="85" t="n"/>
      <c r="Y657" s="85" t="n"/>
      <c r="Z657" s="85" t="n"/>
      <c r="AA657" s="85" t="n"/>
      <c r="AB657" s="85" t="n"/>
      <c r="AC657" s="86" t="n"/>
      <c r="AD657" s="85">
        <f>IF($A657="","",IF(OR($AB657&lt;&gt;"Yes",$AC657="",TODAY()-$AC657&gt;90),"At Risk","Not At Risk"))</f>
        <v/>
      </c>
      <c r="AE657" s="85" t="n"/>
    </row>
    <row r="658" ht="15" customHeight="1" s="39">
      <c r="A658" s="85" t="n"/>
      <c r="B658" s="85" t="n"/>
      <c r="C658" s="85" t="n"/>
      <c r="D658" s="85" t="n"/>
      <c r="E658" s="85" t="n"/>
      <c r="F658" s="85" t="n"/>
      <c r="G658" s="85" t="n"/>
      <c r="H658" s="85" t="n"/>
      <c r="I658" s="85" t="n"/>
      <c r="J658" s="85" t="n"/>
      <c r="K658" s="85" t="n"/>
      <c r="L658" s="85" t="n"/>
      <c r="M658" s="85" t="n"/>
      <c r="N658" s="85" t="n"/>
      <c r="O658" s="85" t="n"/>
      <c r="P658" s="85" t="n"/>
      <c r="Q658" s="85" t="n"/>
      <c r="R658" s="85" t="n"/>
      <c r="S658" s="85" t="n"/>
      <c r="T658" s="85" t="n"/>
      <c r="U658" s="85" t="n"/>
      <c r="V658" s="85" t="n"/>
      <c r="W658" s="85" t="n"/>
      <c r="X658" s="85" t="n"/>
      <c r="Y658" s="85" t="n"/>
      <c r="Z658" s="85" t="n"/>
      <c r="AA658" s="85" t="n"/>
      <c r="AB658" s="85" t="n"/>
      <c r="AC658" s="86" t="n"/>
      <c r="AD658" s="85">
        <f>IF($A658="","",IF(OR($AB658&lt;&gt;"Yes",$AC658="",TODAY()-$AC658&gt;90),"At Risk","Not At Risk"))</f>
        <v/>
      </c>
      <c r="AE658" s="85" t="n"/>
    </row>
    <row r="659" ht="15" customHeight="1" s="39">
      <c r="A659" s="85" t="n"/>
      <c r="B659" s="85" t="n"/>
      <c r="C659" s="85" t="n"/>
      <c r="D659" s="85" t="n"/>
      <c r="E659" s="85" t="n"/>
      <c r="F659" s="85" t="n"/>
      <c r="G659" s="85" t="n"/>
      <c r="H659" s="85" t="n"/>
      <c r="I659" s="85" t="n"/>
      <c r="J659" s="85" t="n"/>
      <c r="K659" s="85" t="n"/>
      <c r="L659" s="85" t="n"/>
      <c r="M659" s="85" t="n"/>
      <c r="N659" s="85" t="n"/>
      <c r="O659" s="85" t="n"/>
      <c r="P659" s="85" t="n"/>
      <c r="Q659" s="85" t="n"/>
      <c r="R659" s="85" t="n"/>
      <c r="S659" s="85" t="n"/>
      <c r="T659" s="85" t="n"/>
      <c r="U659" s="85" t="n"/>
      <c r="V659" s="85" t="n"/>
      <c r="W659" s="85" t="n"/>
      <c r="X659" s="85" t="n"/>
      <c r="Y659" s="85" t="n"/>
      <c r="Z659" s="85" t="n"/>
      <c r="AA659" s="85" t="n"/>
      <c r="AB659" s="85" t="n"/>
      <c r="AC659" s="86" t="n"/>
      <c r="AD659" s="85">
        <f>IF($A659="","",IF(OR($AB659&lt;&gt;"Yes",$AC659="",TODAY()-$AC659&gt;90),"At Risk","Not At Risk"))</f>
        <v/>
      </c>
      <c r="AE659" s="85" t="n"/>
    </row>
    <row r="660" ht="15" customHeight="1" s="39">
      <c r="A660" s="85" t="n"/>
      <c r="B660" s="85" t="n"/>
      <c r="C660" s="85" t="n"/>
      <c r="D660" s="85" t="n"/>
      <c r="E660" s="85" t="n"/>
      <c r="F660" s="85" t="n"/>
      <c r="G660" s="85" t="n"/>
      <c r="H660" s="85" t="n"/>
      <c r="I660" s="85" t="n"/>
      <c r="J660" s="85" t="n"/>
      <c r="K660" s="85" t="n"/>
      <c r="L660" s="85" t="n"/>
      <c r="M660" s="85" t="n"/>
      <c r="N660" s="85" t="n"/>
      <c r="O660" s="85" t="n"/>
      <c r="P660" s="85" t="n"/>
      <c r="Q660" s="85" t="n"/>
      <c r="R660" s="85" t="n"/>
      <c r="S660" s="85" t="n"/>
      <c r="T660" s="85" t="n"/>
      <c r="U660" s="85" t="n"/>
      <c r="V660" s="85" t="n"/>
      <c r="W660" s="85" t="n"/>
      <c r="X660" s="85" t="n"/>
      <c r="Y660" s="85" t="n"/>
      <c r="Z660" s="85" t="n"/>
      <c r="AA660" s="85" t="n"/>
      <c r="AB660" s="85" t="n"/>
      <c r="AC660" s="86" t="n"/>
      <c r="AD660" s="85">
        <f>IF($A660="","",IF(OR($AB660&lt;&gt;"Yes",$AC660="",TODAY()-$AC660&gt;90),"At Risk","Not At Risk"))</f>
        <v/>
      </c>
      <c r="AE660" s="85" t="n"/>
    </row>
    <row r="661" ht="15" customHeight="1" s="39">
      <c r="A661" s="85" t="n"/>
      <c r="B661" s="85" t="n"/>
      <c r="C661" s="85" t="n"/>
      <c r="D661" s="85" t="n"/>
      <c r="E661" s="85" t="n"/>
      <c r="F661" s="85" t="n"/>
      <c r="G661" s="85" t="n"/>
      <c r="H661" s="85" t="n"/>
      <c r="I661" s="85" t="n"/>
      <c r="J661" s="85" t="n"/>
      <c r="K661" s="85" t="n"/>
      <c r="L661" s="85" t="n"/>
      <c r="M661" s="85" t="n"/>
      <c r="N661" s="85" t="n"/>
      <c r="O661" s="85" t="n"/>
      <c r="P661" s="85" t="n"/>
      <c r="Q661" s="85" t="n"/>
      <c r="R661" s="85" t="n"/>
      <c r="S661" s="85" t="n"/>
      <c r="T661" s="85" t="n"/>
      <c r="U661" s="85" t="n"/>
      <c r="V661" s="85" t="n"/>
      <c r="W661" s="85" t="n"/>
      <c r="X661" s="85" t="n"/>
      <c r="Y661" s="85" t="n"/>
      <c r="Z661" s="85" t="n"/>
      <c r="AA661" s="85" t="n"/>
      <c r="AB661" s="85" t="n"/>
      <c r="AC661" s="86" t="n"/>
      <c r="AD661" s="85">
        <f>IF($A661="","",IF(OR($AB661&lt;&gt;"Yes",$AC661="",TODAY()-$AC661&gt;90),"At Risk","Not At Risk"))</f>
        <v/>
      </c>
      <c r="AE661" s="85" t="n"/>
    </row>
    <row r="662" ht="15" customHeight="1" s="39">
      <c r="A662" s="85" t="n"/>
      <c r="B662" s="85" t="n"/>
      <c r="C662" s="85" t="n"/>
      <c r="D662" s="85" t="n"/>
      <c r="E662" s="85" t="n"/>
      <c r="F662" s="85" t="n"/>
      <c r="G662" s="85" t="n"/>
      <c r="H662" s="85" t="n"/>
      <c r="I662" s="85" t="n"/>
      <c r="J662" s="85" t="n"/>
      <c r="K662" s="85" t="n"/>
      <c r="L662" s="85" t="n"/>
      <c r="M662" s="85" t="n"/>
      <c r="N662" s="85" t="n"/>
      <c r="O662" s="85" t="n"/>
      <c r="P662" s="85" t="n"/>
      <c r="Q662" s="85" t="n"/>
      <c r="R662" s="85" t="n"/>
      <c r="S662" s="85" t="n"/>
      <c r="T662" s="85" t="n"/>
      <c r="U662" s="85" t="n"/>
      <c r="V662" s="85" t="n"/>
      <c r="W662" s="85" t="n"/>
      <c r="X662" s="85" t="n"/>
      <c r="Y662" s="85" t="n"/>
      <c r="Z662" s="85" t="n"/>
      <c r="AA662" s="85" t="n"/>
      <c r="AB662" s="85" t="n"/>
      <c r="AC662" s="86" t="n"/>
      <c r="AD662" s="85">
        <f>IF($A662="","",IF(OR($AB662&lt;&gt;"Yes",$AC662="",TODAY()-$AC662&gt;90),"At Risk","Not At Risk"))</f>
        <v/>
      </c>
      <c r="AE662" s="85" t="n"/>
    </row>
    <row r="663" ht="15" customHeight="1" s="39">
      <c r="A663" s="85" t="n"/>
      <c r="B663" s="85" t="n"/>
      <c r="C663" s="85" t="n"/>
      <c r="D663" s="85" t="n"/>
      <c r="E663" s="85" t="n"/>
      <c r="F663" s="85" t="n"/>
      <c r="G663" s="85" t="n"/>
      <c r="H663" s="85" t="n"/>
      <c r="I663" s="85" t="n"/>
      <c r="J663" s="85" t="n"/>
      <c r="K663" s="85" t="n"/>
      <c r="L663" s="85" t="n"/>
      <c r="M663" s="85" t="n"/>
      <c r="N663" s="85" t="n"/>
      <c r="O663" s="85" t="n"/>
      <c r="P663" s="85" t="n"/>
      <c r="Q663" s="85" t="n"/>
      <c r="R663" s="85" t="n"/>
      <c r="S663" s="85" t="n"/>
      <c r="T663" s="85" t="n"/>
      <c r="U663" s="85" t="n"/>
      <c r="V663" s="85" t="n"/>
      <c r="W663" s="85" t="n"/>
      <c r="X663" s="85" t="n"/>
      <c r="Y663" s="85" t="n"/>
      <c r="Z663" s="85" t="n"/>
      <c r="AA663" s="85" t="n"/>
      <c r="AB663" s="85" t="n"/>
      <c r="AC663" s="86" t="n"/>
      <c r="AD663" s="85">
        <f>IF($A663="","",IF(OR($AB663&lt;&gt;"Yes",$AC663="",TODAY()-$AC663&gt;90),"At Risk","Not At Risk"))</f>
        <v/>
      </c>
      <c r="AE663" s="85" t="n"/>
    </row>
    <row r="664" ht="15" customHeight="1" s="39">
      <c r="A664" s="85" t="n"/>
      <c r="B664" s="85" t="n"/>
      <c r="C664" s="85" t="n"/>
      <c r="D664" s="85" t="n"/>
      <c r="E664" s="85" t="n"/>
      <c r="F664" s="85" t="n"/>
      <c r="G664" s="85" t="n"/>
      <c r="H664" s="85" t="n"/>
      <c r="I664" s="85" t="n"/>
      <c r="J664" s="85" t="n"/>
      <c r="K664" s="85" t="n"/>
      <c r="L664" s="85" t="n"/>
      <c r="M664" s="85" t="n"/>
      <c r="N664" s="85" t="n"/>
      <c r="O664" s="85" t="n"/>
      <c r="P664" s="85" t="n"/>
      <c r="Q664" s="85" t="n"/>
      <c r="R664" s="85" t="n"/>
      <c r="S664" s="85" t="n"/>
      <c r="T664" s="85" t="n"/>
      <c r="U664" s="85" t="n"/>
      <c r="V664" s="85" t="n"/>
      <c r="W664" s="85" t="n"/>
      <c r="X664" s="85" t="n"/>
      <c r="Y664" s="85" t="n"/>
      <c r="Z664" s="85" t="n"/>
      <c r="AA664" s="85" t="n"/>
      <c r="AB664" s="85" t="n"/>
      <c r="AC664" s="86" t="n"/>
      <c r="AD664" s="85">
        <f>IF($A664="","",IF(OR($AB664&lt;&gt;"Yes",$AC664="",TODAY()-$AC664&gt;90),"At Risk","Not At Risk"))</f>
        <v/>
      </c>
      <c r="AE664" s="85" t="n"/>
    </row>
    <row r="665" ht="15" customHeight="1" s="39">
      <c r="A665" s="85" t="n"/>
      <c r="B665" s="85" t="n"/>
      <c r="C665" s="85" t="n"/>
      <c r="D665" s="85" t="n"/>
      <c r="E665" s="85" t="n"/>
      <c r="F665" s="85" t="n"/>
      <c r="G665" s="85" t="n"/>
      <c r="H665" s="85" t="n"/>
      <c r="I665" s="85" t="n"/>
      <c r="J665" s="85" t="n"/>
      <c r="K665" s="85" t="n"/>
      <c r="L665" s="85" t="n"/>
      <c r="M665" s="85" t="n"/>
      <c r="N665" s="85" t="n"/>
      <c r="O665" s="85" t="n"/>
      <c r="P665" s="85" t="n"/>
      <c r="Q665" s="85" t="n"/>
      <c r="R665" s="85" t="n"/>
      <c r="S665" s="85" t="n"/>
      <c r="T665" s="85" t="n"/>
      <c r="U665" s="85" t="n"/>
      <c r="V665" s="85" t="n"/>
      <c r="W665" s="85" t="n"/>
      <c r="X665" s="85" t="n"/>
      <c r="Y665" s="85" t="n"/>
      <c r="Z665" s="85" t="n"/>
      <c r="AA665" s="85" t="n"/>
      <c r="AB665" s="85" t="n"/>
      <c r="AC665" s="86" t="n"/>
      <c r="AD665" s="85">
        <f>IF($A665="","",IF(OR($AB665&lt;&gt;"Yes",$AC665="",TODAY()-$AC665&gt;90),"At Risk","Not At Risk"))</f>
        <v/>
      </c>
      <c r="AE665" s="85" t="n"/>
    </row>
    <row r="666" ht="15" customHeight="1" s="39">
      <c r="A666" s="85" t="n"/>
      <c r="B666" s="85" t="n"/>
      <c r="C666" s="85" t="n"/>
      <c r="D666" s="85" t="n"/>
      <c r="E666" s="85" t="n"/>
      <c r="F666" s="85" t="n"/>
      <c r="G666" s="85" t="n"/>
      <c r="H666" s="85" t="n"/>
      <c r="I666" s="85" t="n"/>
      <c r="J666" s="85" t="n"/>
      <c r="K666" s="85" t="n"/>
      <c r="L666" s="85" t="n"/>
      <c r="M666" s="85" t="n"/>
      <c r="N666" s="85" t="n"/>
      <c r="O666" s="85" t="n"/>
      <c r="P666" s="85" t="n"/>
      <c r="Q666" s="85" t="n"/>
      <c r="R666" s="85" t="n"/>
      <c r="S666" s="85" t="n"/>
      <c r="T666" s="85" t="n"/>
      <c r="U666" s="85" t="n"/>
      <c r="V666" s="85" t="n"/>
      <c r="W666" s="85" t="n"/>
      <c r="X666" s="85" t="n"/>
      <c r="Y666" s="85" t="n"/>
      <c r="Z666" s="85" t="n"/>
      <c r="AA666" s="85" t="n"/>
      <c r="AB666" s="85" t="n"/>
      <c r="AC666" s="86" t="n"/>
      <c r="AD666" s="85">
        <f>IF($A666="","",IF(OR($AB666&lt;&gt;"Yes",$AC666="",TODAY()-$AC666&gt;90),"At Risk","Not At Risk"))</f>
        <v/>
      </c>
      <c r="AE666" s="85" t="n"/>
    </row>
    <row r="667" ht="15" customHeight="1" s="39">
      <c r="A667" s="85" t="n"/>
      <c r="B667" s="85" t="n"/>
      <c r="C667" s="85" t="n"/>
      <c r="D667" s="85" t="n"/>
      <c r="E667" s="85" t="n"/>
      <c r="F667" s="85" t="n"/>
      <c r="G667" s="85" t="n"/>
      <c r="H667" s="85" t="n"/>
      <c r="I667" s="85" t="n"/>
      <c r="J667" s="85" t="n"/>
      <c r="K667" s="85" t="n"/>
      <c r="L667" s="85" t="n"/>
      <c r="M667" s="85" t="n"/>
      <c r="N667" s="85" t="n"/>
      <c r="O667" s="85" t="n"/>
      <c r="P667" s="85" t="n"/>
      <c r="Q667" s="85" t="n"/>
      <c r="R667" s="85" t="n"/>
      <c r="S667" s="85" t="n"/>
      <c r="T667" s="85" t="n"/>
      <c r="U667" s="85" t="n"/>
      <c r="V667" s="85" t="n"/>
      <c r="W667" s="85" t="n"/>
      <c r="X667" s="85" t="n"/>
      <c r="Y667" s="85" t="n"/>
      <c r="Z667" s="85" t="n"/>
      <c r="AA667" s="85" t="n"/>
      <c r="AB667" s="85" t="n"/>
      <c r="AC667" s="86" t="n"/>
      <c r="AD667" s="85">
        <f>IF($A667="","",IF(OR($AB667&lt;&gt;"Yes",$AC667="",TODAY()-$AC667&gt;90),"At Risk","Not At Risk"))</f>
        <v/>
      </c>
      <c r="AE667" s="85" t="n"/>
    </row>
    <row r="668" ht="15" customHeight="1" s="39">
      <c r="A668" s="85" t="n"/>
      <c r="B668" s="85" t="n"/>
      <c r="C668" s="85" t="n"/>
      <c r="D668" s="85" t="n"/>
      <c r="E668" s="85" t="n"/>
      <c r="F668" s="85" t="n"/>
      <c r="G668" s="85" t="n"/>
      <c r="H668" s="85" t="n"/>
      <c r="I668" s="85" t="n"/>
      <c r="J668" s="85" t="n"/>
      <c r="K668" s="85" t="n"/>
      <c r="L668" s="85" t="n"/>
      <c r="M668" s="85" t="n"/>
      <c r="N668" s="85" t="n"/>
      <c r="O668" s="85" t="n"/>
      <c r="P668" s="85" t="n"/>
      <c r="Q668" s="85" t="n"/>
      <c r="R668" s="85" t="n"/>
      <c r="S668" s="85" t="n"/>
      <c r="T668" s="85" t="n"/>
      <c r="U668" s="85" t="n"/>
      <c r="V668" s="85" t="n"/>
      <c r="W668" s="85" t="n"/>
      <c r="X668" s="85" t="n"/>
      <c r="Y668" s="85" t="n"/>
      <c r="Z668" s="85" t="n"/>
      <c r="AA668" s="85" t="n"/>
      <c r="AB668" s="85" t="n"/>
      <c r="AC668" s="86" t="n"/>
      <c r="AD668" s="85">
        <f>IF($A668="","",IF(OR($AB668&lt;&gt;"Yes",$AC668="",TODAY()-$AC668&gt;90),"At Risk","Not At Risk"))</f>
        <v/>
      </c>
      <c r="AE668" s="85" t="n"/>
    </row>
    <row r="669" ht="15" customHeight="1" s="39">
      <c r="A669" s="85" t="n"/>
      <c r="B669" s="85" t="n"/>
      <c r="C669" s="85" t="n"/>
      <c r="D669" s="85" t="n"/>
      <c r="E669" s="85" t="n"/>
      <c r="F669" s="85" t="n"/>
      <c r="G669" s="85" t="n"/>
      <c r="H669" s="85" t="n"/>
      <c r="I669" s="85" t="n"/>
      <c r="J669" s="85" t="n"/>
      <c r="K669" s="85" t="n"/>
      <c r="L669" s="85" t="n"/>
      <c r="M669" s="85" t="n"/>
      <c r="N669" s="85" t="n"/>
      <c r="O669" s="85" t="n"/>
      <c r="P669" s="85" t="n"/>
      <c r="Q669" s="85" t="n"/>
      <c r="R669" s="85" t="n"/>
      <c r="S669" s="85" t="n"/>
      <c r="T669" s="85" t="n"/>
      <c r="U669" s="85" t="n"/>
      <c r="V669" s="85" t="n"/>
      <c r="W669" s="85" t="n"/>
      <c r="X669" s="85" t="n"/>
      <c r="Y669" s="85" t="n"/>
      <c r="Z669" s="85" t="n"/>
      <c r="AA669" s="85" t="n"/>
      <c r="AB669" s="85" t="n"/>
      <c r="AC669" s="86" t="n"/>
      <c r="AD669" s="85">
        <f>IF($A669="","",IF(OR($AB669&lt;&gt;"Yes",$AC669="",TODAY()-$AC669&gt;90),"At Risk","Not At Risk"))</f>
        <v/>
      </c>
      <c r="AE669" s="85" t="n"/>
    </row>
    <row r="670" ht="15" customHeight="1" s="39">
      <c r="A670" s="85" t="n"/>
      <c r="B670" s="85" t="n"/>
      <c r="C670" s="85" t="n"/>
      <c r="D670" s="85" t="n"/>
      <c r="E670" s="85" t="n"/>
      <c r="F670" s="85" t="n"/>
      <c r="G670" s="85" t="n"/>
      <c r="H670" s="85" t="n"/>
      <c r="I670" s="85" t="n"/>
      <c r="J670" s="85" t="n"/>
      <c r="K670" s="85" t="n"/>
      <c r="L670" s="85" t="n"/>
      <c r="M670" s="85" t="n"/>
      <c r="N670" s="85" t="n"/>
      <c r="O670" s="85" t="n"/>
      <c r="P670" s="85" t="n"/>
      <c r="Q670" s="85" t="n"/>
      <c r="R670" s="85" t="n"/>
      <c r="S670" s="85" t="n"/>
      <c r="T670" s="85" t="n"/>
      <c r="U670" s="85" t="n"/>
      <c r="V670" s="85" t="n"/>
      <c r="W670" s="85" t="n"/>
      <c r="X670" s="85" t="n"/>
      <c r="Y670" s="85" t="n"/>
      <c r="Z670" s="85" t="n"/>
      <c r="AA670" s="85" t="n"/>
      <c r="AB670" s="85" t="n"/>
      <c r="AC670" s="86" t="n"/>
      <c r="AD670" s="85">
        <f>IF($A670="","",IF(OR($AB670&lt;&gt;"Yes",$AC670="",TODAY()-$AC670&gt;90),"At Risk","Not At Risk"))</f>
        <v/>
      </c>
      <c r="AE670" s="85" t="n"/>
    </row>
    <row r="671" ht="15" customHeight="1" s="39">
      <c r="A671" s="85" t="n"/>
      <c r="B671" s="85" t="n"/>
      <c r="C671" s="85" t="n"/>
      <c r="D671" s="85" t="n"/>
      <c r="E671" s="85" t="n"/>
      <c r="F671" s="85" t="n"/>
      <c r="G671" s="85" t="n"/>
      <c r="H671" s="85" t="n"/>
      <c r="I671" s="85" t="n"/>
      <c r="J671" s="85" t="n"/>
      <c r="K671" s="85" t="n"/>
      <c r="L671" s="85" t="n"/>
      <c r="M671" s="85" t="n"/>
      <c r="N671" s="85" t="n"/>
      <c r="O671" s="85" t="n"/>
      <c r="P671" s="85" t="n"/>
      <c r="Q671" s="85" t="n"/>
      <c r="R671" s="85" t="n"/>
      <c r="S671" s="85" t="n"/>
      <c r="T671" s="85" t="n"/>
      <c r="U671" s="85" t="n"/>
      <c r="V671" s="85" t="n"/>
      <c r="W671" s="85" t="n"/>
      <c r="X671" s="85" t="n"/>
      <c r="Y671" s="85" t="n"/>
      <c r="Z671" s="85" t="n"/>
      <c r="AA671" s="85" t="n"/>
      <c r="AB671" s="85" t="n"/>
      <c r="AC671" s="86" t="n"/>
      <c r="AD671" s="85">
        <f>IF($A671="","",IF(OR($AB671&lt;&gt;"Yes",$AC671="",TODAY()-$AC671&gt;90),"At Risk","Not At Risk"))</f>
        <v/>
      </c>
      <c r="AE671" s="85" t="n"/>
    </row>
    <row r="672" ht="15" customHeight="1" s="39">
      <c r="A672" s="85" t="n"/>
      <c r="B672" s="85" t="n"/>
      <c r="C672" s="85" t="n"/>
      <c r="D672" s="85" t="n"/>
      <c r="E672" s="85" t="n"/>
      <c r="F672" s="85" t="n"/>
      <c r="G672" s="85" t="n"/>
      <c r="H672" s="85" t="n"/>
      <c r="I672" s="85" t="n"/>
      <c r="J672" s="85" t="n"/>
      <c r="K672" s="85" t="n"/>
      <c r="L672" s="85" t="n"/>
      <c r="M672" s="85" t="n"/>
      <c r="N672" s="85" t="n"/>
      <c r="O672" s="85" t="n"/>
      <c r="P672" s="85" t="n"/>
      <c r="Q672" s="85" t="n"/>
      <c r="R672" s="85" t="n"/>
      <c r="S672" s="85" t="n"/>
      <c r="T672" s="85" t="n"/>
      <c r="U672" s="85" t="n"/>
      <c r="V672" s="85" t="n"/>
      <c r="W672" s="85" t="n"/>
      <c r="X672" s="85" t="n"/>
      <c r="Y672" s="85" t="n"/>
      <c r="Z672" s="85" t="n"/>
      <c r="AA672" s="85" t="n"/>
      <c r="AB672" s="85" t="n"/>
      <c r="AC672" s="86" t="n"/>
      <c r="AD672" s="85">
        <f>IF($A672="","",IF(OR($AB672&lt;&gt;"Yes",$AC672="",TODAY()-$AC672&gt;90),"At Risk","Not At Risk"))</f>
        <v/>
      </c>
      <c r="AE672" s="85" t="n"/>
    </row>
    <row r="673" ht="15" customHeight="1" s="39">
      <c r="A673" s="85" t="n"/>
      <c r="B673" s="85" t="n"/>
      <c r="C673" s="85" t="n"/>
      <c r="D673" s="85" t="n"/>
      <c r="E673" s="85" t="n"/>
      <c r="F673" s="85" t="n"/>
      <c r="G673" s="85" t="n"/>
      <c r="H673" s="85" t="n"/>
      <c r="I673" s="85" t="n"/>
      <c r="J673" s="85" t="n"/>
      <c r="K673" s="85" t="n"/>
      <c r="L673" s="85" t="n"/>
      <c r="M673" s="85" t="n"/>
      <c r="N673" s="85" t="n"/>
      <c r="O673" s="85" t="n"/>
      <c r="P673" s="85" t="n"/>
      <c r="Q673" s="85" t="n"/>
      <c r="R673" s="85" t="n"/>
      <c r="S673" s="85" t="n"/>
      <c r="T673" s="85" t="n"/>
      <c r="U673" s="85" t="n"/>
      <c r="V673" s="85" t="n"/>
      <c r="W673" s="85" t="n"/>
      <c r="X673" s="85" t="n"/>
      <c r="Y673" s="85" t="n"/>
      <c r="Z673" s="85" t="n"/>
      <c r="AA673" s="85" t="n"/>
      <c r="AB673" s="85" t="n"/>
      <c r="AC673" s="86" t="n"/>
      <c r="AD673" s="85">
        <f>IF($A673="","",IF(OR($AB673&lt;&gt;"Yes",$AC673="",TODAY()-$AC673&gt;90),"At Risk","Not At Risk"))</f>
        <v/>
      </c>
      <c r="AE673" s="85" t="n"/>
    </row>
    <row r="674" ht="15" customHeight="1" s="39">
      <c r="A674" s="85" t="n"/>
      <c r="B674" s="85" t="n"/>
      <c r="C674" s="85" t="n"/>
      <c r="D674" s="85" t="n"/>
      <c r="E674" s="85" t="n"/>
      <c r="F674" s="85" t="n"/>
      <c r="G674" s="85" t="n"/>
      <c r="H674" s="85" t="n"/>
      <c r="I674" s="85" t="n"/>
      <c r="J674" s="85" t="n"/>
      <c r="K674" s="85" t="n"/>
      <c r="L674" s="85" t="n"/>
      <c r="M674" s="85" t="n"/>
      <c r="N674" s="85" t="n"/>
      <c r="O674" s="85" t="n"/>
      <c r="P674" s="85" t="n"/>
      <c r="Q674" s="85" t="n"/>
      <c r="R674" s="85" t="n"/>
      <c r="S674" s="85" t="n"/>
      <c r="T674" s="85" t="n"/>
      <c r="U674" s="85" t="n"/>
      <c r="V674" s="85" t="n"/>
      <c r="W674" s="85" t="n"/>
      <c r="X674" s="85" t="n"/>
      <c r="Y674" s="85" t="n"/>
      <c r="Z674" s="85" t="n"/>
      <c r="AA674" s="85" t="n"/>
      <c r="AB674" s="85" t="n"/>
      <c r="AC674" s="86" t="n"/>
      <c r="AD674" s="85">
        <f>IF($A674="","",IF(OR($AB674&lt;&gt;"Yes",$AC674="",TODAY()-$AC674&gt;90),"At Risk","Not At Risk"))</f>
        <v/>
      </c>
      <c r="AE674" s="85" t="n"/>
    </row>
    <row r="675" ht="15" customHeight="1" s="39">
      <c r="A675" s="85" t="n"/>
      <c r="B675" s="85" t="n"/>
      <c r="C675" s="85" t="n"/>
      <c r="D675" s="85" t="n"/>
      <c r="E675" s="85" t="n"/>
      <c r="F675" s="85" t="n"/>
      <c r="G675" s="85" t="n"/>
      <c r="H675" s="85" t="n"/>
      <c r="I675" s="85" t="n"/>
      <c r="J675" s="85" t="n"/>
      <c r="K675" s="85" t="n"/>
      <c r="L675" s="85" t="n"/>
      <c r="M675" s="85" t="n"/>
      <c r="N675" s="85" t="n"/>
      <c r="O675" s="85" t="n"/>
      <c r="P675" s="85" t="n"/>
      <c r="Q675" s="85" t="n"/>
      <c r="R675" s="85" t="n"/>
      <c r="S675" s="85" t="n"/>
      <c r="T675" s="85" t="n"/>
      <c r="U675" s="85" t="n"/>
      <c r="V675" s="85" t="n"/>
      <c r="W675" s="85" t="n"/>
      <c r="X675" s="85" t="n"/>
      <c r="Y675" s="85" t="n"/>
      <c r="Z675" s="85" t="n"/>
      <c r="AA675" s="85" t="n"/>
      <c r="AB675" s="85" t="n"/>
      <c r="AC675" s="86" t="n"/>
      <c r="AD675" s="85">
        <f>IF($A675="","",IF(OR($AB675&lt;&gt;"Yes",$AC675="",TODAY()-$AC675&gt;90),"At Risk","Not At Risk"))</f>
        <v/>
      </c>
      <c r="AE675" s="85" t="n"/>
    </row>
    <row r="676" ht="15" customHeight="1" s="39">
      <c r="A676" s="85" t="n"/>
      <c r="B676" s="85" t="n"/>
      <c r="C676" s="85" t="n"/>
      <c r="D676" s="85" t="n"/>
      <c r="E676" s="85" t="n"/>
      <c r="F676" s="85" t="n"/>
      <c r="G676" s="85" t="n"/>
      <c r="H676" s="85" t="n"/>
      <c r="I676" s="85" t="n"/>
      <c r="J676" s="85" t="n"/>
      <c r="K676" s="85" t="n"/>
      <c r="L676" s="85" t="n"/>
      <c r="M676" s="85" t="n"/>
      <c r="N676" s="85" t="n"/>
      <c r="O676" s="85" t="n"/>
      <c r="P676" s="85" t="n"/>
      <c r="Q676" s="85" t="n"/>
      <c r="R676" s="85" t="n"/>
      <c r="S676" s="85" t="n"/>
      <c r="T676" s="85" t="n"/>
      <c r="U676" s="85" t="n"/>
      <c r="V676" s="85" t="n"/>
      <c r="W676" s="85" t="n"/>
      <c r="X676" s="85" t="n"/>
      <c r="Y676" s="85" t="n"/>
      <c r="Z676" s="85" t="n"/>
      <c r="AA676" s="85" t="n"/>
      <c r="AB676" s="85" t="n"/>
      <c r="AC676" s="86" t="n"/>
      <c r="AD676" s="85">
        <f>IF($A676="","",IF(OR($AB676&lt;&gt;"Yes",$AC676="",TODAY()-$AC676&gt;90),"At Risk","Not At Risk"))</f>
        <v/>
      </c>
      <c r="AE676" s="85" t="n"/>
    </row>
    <row r="677" ht="15" customHeight="1" s="39">
      <c r="A677" s="85" t="n"/>
      <c r="B677" s="85" t="n"/>
      <c r="C677" s="85" t="n"/>
      <c r="D677" s="85" t="n"/>
      <c r="E677" s="85" t="n"/>
      <c r="F677" s="85" t="n"/>
      <c r="G677" s="85" t="n"/>
      <c r="H677" s="85" t="n"/>
      <c r="I677" s="85" t="n"/>
      <c r="J677" s="85" t="n"/>
      <c r="K677" s="85" t="n"/>
      <c r="L677" s="85" t="n"/>
      <c r="M677" s="85" t="n"/>
      <c r="N677" s="85" t="n"/>
      <c r="O677" s="85" t="n"/>
      <c r="P677" s="85" t="n"/>
      <c r="Q677" s="85" t="n"/>
      <c r="R677" s="85" t="n"/>
      <c r="S677" s="85" t="n"/>
      <c r="T677" s="85" t="n"/>
      <c r="U677" s="85" t="n"/>
      <c r="V677" s="85" t="n"/>
      <c r="W677" s="85" t="n"/>
      <c r="X677" s="85" t="n"/>
      <c r="Y677" s="85" t="n"/>
      <c r="Z677" s="85" t="n"/>
      <c r="AA677" s="85" t="n"/>
      <c r="AB677" s="85" t="n"/>
      <c r="AC677" s="86" t="n"/>
      <c r="AD677" s="85">
        <f>IF($A677="","",IF(OR($AB677&lt;&gt;"Yes",$AC677="",TODAY()-$AC677&gt;90),"At Risk","Not At Risk"))</f>
        <v/>
      </c>
      <c r="AE677" s="85" t="n"/>
    </row>
    <row r="678" ht="15" customHeight="1" s="39">
      <c r="A678" s="85" t="n"/>
      <c r="B678" s="85" t="n"/>
      <c r="C678" s="85" t="n"/>
      <c r="D678" s="85" t="n"/>
      <c r="E678" s="85" t="n"/>
      <c r="F678" s="85" t="n"/>
      <c r="G678" s="85" t="n"/>
      <c r="H678" s="85" t="n"/>
      <c r="I678" s="85" t="n"/>
      <c r="J678" s="85" t="n"/>
      <c r="K678" s="85" t="n"/>
      <c r="L678" s="85" t="n"/>
      <c r="M678" s="85" t="n"/>
      <c r="N678" s="85" t="n"/>
      <c r="O678" s="85" t="n"/>
      <c r="P678" s="85" t="n"/>
      <c r="Q678" s="85" t="n"/>
      <c r="R678" s="85" t="n"/>
      <c r="S678" s="85" t="n"/>
      <c r="T678" s="85" t="n"/>
      <c r="U678" s="85" t="n"/>
      <c r="V678" s="85" t="n"/>
      <c r="W678" s="85" t="n"/>
      <c r="X678" s="85" t="n"/>
      <c r="Y678" s="85" t="n"/>
      <c r="Z678" s="85" t="n"/>
      <c r="AA678" s="85" t="n"/>
      <c r="AB678" s="85" t="n"/>
      <c r="AC678" s="86" t="n"/>
      <c r="AD678" s="85">
        <f>IF($A678="","",IF(OR($AB678&lt;&gt;"Yes",$AC678="",TODAY()-$AC678&gt;90),"At Risk","Not At Risk"))</f>
        <v/>
      </c>
      <c r="AE678" s="85" t="n"/>
    </row>
    <row r="679" ht="15" customHeight="1" s="39">
      <c r="A679" s="85" t="n"/>
      <c r="B679" s="85" t="n"/>
      <c r="C679" s="85" t="n"/>
      <c r="D679" s="85" t="n"/>
      <c r="E679" s="85" t="n"/>
      <c r="F679" s="85" t="n"/>
      <c r="G679" s="85" t="n"/>
      <c r="H679" s="85" t="n"/>
      <c r="I679" s="85" t="n"/>
      <c r="J679" s="85" t="n"/>
      <c r="K679" s="85" t="n"/>
      <c r="L679" s="85" t="n"/>
      <c r="M679" s="85" t="n"/>
      <c r="N679" s="85" t="n"/>
      <c r="O679" s="85" t="n"/>
      <c r="P679" s="85" t="n"/>
      <c r="Q679" s="85" t="n"/>
      <c r="R679" s="85" t="n"/>
      <c r="S679" s="85" t="n"/>
      <c r="T679" s="85" t="n"/>
      <c r="U679" s="85" t="n"/>
      <c r="V679" s="85" t="n"/>
      <c r="W679" s="85" t="n"/>
      <c r="X679" s="85" t="n"/>
      <c r="Y679" s="85" t="n"/>
      <c r="Z679" s="85" t="n"/>
      <c r="AA679" s="85" t="n"/>
      <c r="AB679" s="85" t="n"/>
      <c r="AC679" s="86" t="n"/>
      <c r="AD679" s="85">
        <f>IF($A679="","",IF(OR($AB679&lt;&gt;"Yes",$AC679="",TODAY()-$AC679&gt;90),"At Risk","Not At Risk"))</f>
        <v/>
      </c>
      <c r="AE679" s="85" t="n"/>
    </row>
    <row r="680" ht="15" customHeight="1" s="39">
      <c r="A680" s="85" t="n"/>
      <c r="B680" s="85" t="n"/>
      <c r="C680" s="85" t="n"/>
      <c r="D680" s="85" t="n"/>
      <c r="E680" s="85" t="n"/>
      <c r="F680" s="85" t="n"/>
      <c r="G680" s="85" t="n"/>
      <c r="H680" s="85" t="n"/>
      <c r="I680" s="85" t="n"/>
      <c r="J680" s="85" t="n"/>
      <c r="K680" s="85" t="n"/>
      <c r="L680" s="85" t="n"/>
      <c r="M680" s="85" t="n"/>
      <c r="N680" s="85" t="n"/>
      <c r="O680" s="85" t="n"/>
      <c r="P680" s="85" t="n"/>
      <c r="Q680" s="85" t="n"/>
      <c r="R680" s="85" t="n"/>
      <c r="S680" s="85" t="n"/>
      <c r="T680" s="85" t="n"/>
      <c r="U680" s="85" t="n"/>
      <c r="V680" s="85" t="n"/>
      <c r="W680" s="85" t="n"/>
      <c r="X680" s="85" t="n"/>
      <c r="Y680" s="85" t="n"/>
      <c r="Z680" s="85" t="n"/>
      <c r="AA680" s="85" t="n"/>
      <c r="AB680" s="85" t="n"/>
      <c r="AC680" s="86" t="n"/>
      <c r="AD680" s="85">
        <f>IF($A680="","",IF(OR($AB680&lt;&gt;"Yes",$AC680="",TODAY()-$AC680&gt;90),"At Risk","Not At Risk"))</f>
        <v/>
      </c>
      <c r="AE680" s="85" t="n"/>
    </row>
    <row r="681" ht="15" customHeight="1" s="39">
      <c r="A681" s="85" t="n"/>
      <c r="B681" s="85" t="n"/>
      <c r="C681" s="85" t="n"/>
      <c r="D681" s="85" t="n"/>
      <c r="E681" s="85" t="n"/>
      <c r="F681" s="85" t="n"/>
      <c r="G681" s="85" t="n"/>
      <c r="H681" s="85" t="n"/>
      <c r="I681" s="85" t="n"/>
      <c r="J681" s="85" t="n"/>
      <c r="K681" s="85" t="n"/>
      <c r="L681" s="85" t="n"/>
      <c r="M681" s="85" t="n"/>
      <c r="N681" s="85" t="n"/>
      <c r="O681" s="85" t="n"/>
      <c r="P681" s="85" t="n"/>
      <c r="Q681" s="85" t="n"/>
      <c r="R681" s="85" t="n"/>
      <c r="S681" s="85" t="n"/>
      <c r="T681" s="85" t="n"/>
      <c r="U681" s="85" t="n"/>
      <c r="V681" s="85" t="n"/>
      <c r="W681" s="85" t="n"/>
      <c r="X681" s="85" t="n"/>
      <c r="Y681" s="85" t="n"/>
      <c r="Z681" s="85" t="n"/>
      <c r="AA681" s="85" t="n"/>
      <c r="AB681" s="85" t="n"/>
      <c r="AC681" s="86" t="n"/>
      <c r="AD681" s="85">
        <f>IF($A681="","",IF(OR($AB681&lt;&gt;"Yes",$AC681="",TODAY()-$AC681&gt;90),"At Risk","Not At Risk"))</f>
        <v/>
      </c>
      <c r="AE681" s="85" t="n"/>
    </row>
    <row r="682" ht="15" customHeight="1" s="39">
      <c r="A682" s="85" t="n"/>
      <c r="B682" s="85" t="n"/>
      <c r="C682" s="85" t="n"/>
      <c r="D682" s="85" t="n"/>
      <c r="E682" s="85" t="n"/>
      <c r="F682" s="85" t="n"/>
      <c r="G682" s="85" t="n"/>
      <c r="H682" s="85" t="n"/>
      <c r="I682" s="85" t="n"/>
      <c r="J682" s="85" t="n"/>
      <c r="K682" s="85" t="n"/>
      <c r="L682" s="85" t="n"/>
      <c r="M682" s="85" t="n"/>
      <c r="N682" s="85" t="n"/>
      <c r="O682" s="85" t="n"/>
      <c r="P682" s="85" t="n"/>
      <c r="Q682" s="85" t="n"/>
      <c r="R682" s="85" t="n"/>
      <c r="S682" s="85" t="n"/>
      <c r="T682" s="85" t="n"/>
      <c r="U682" s="85" t="n"/>
      <c r="V682" s="85" t="n"/>
      <c r="W682" s="85" t="n"/>
      <c r="X682" s="85" t="n"/>
      <c r="Y682" s="85" t="n"/>
      <c r="Z682" s="85" t="n"/>
      <c r="AA682" s="85" t="n"/>
      <c r="AB682" s="85" t="n"/>
      <c r="AC682" s="86" t="n"/>
      <c r="AD682" s="85">
        <f>IF($A682="","",IF(OR($AB682&lt;&gt;"Yes",$AC682="",TODAY()-$AC682&gt;90),"At Risk","Not At Risk"))</f>
        <v/>
      </c>
      <c r="AE682" s="85" t="n"/>
    </row>
    <row r="683" ht="15" customHeight="1" s="39">
      <c r="A683" s="85" t="n"/>
      <c r="B683" s="85" t="n"/>
      <c r="C683" s="85" t="n"/>
      <c r="D683" s="85" t="n"/>
      <c r="E683" s="85" t="n"/>
      <c r="F683" s="85" t="n"/>
      <c r="G683" s="85" t="n"/>
      <c r="H683" s="85" t="n"/>
      <c r="I683" s="85" t="n"/>
      <c r="J683" s="85" t="n"/>
      <c r="K683" s="85" t="n"/>
      <c r="L683" s="85" t="n"/>
      <c r="M683" s="85" t="n"/>
      <c r="N683" s="85" t="n"/>
      <c r="O683" s="85" t="n"/>
      <c r="P683" s="85" t="n"/>
      <c r="Q683" s="85" t="n"/>
      <c r="R683" s="85" t="n"/>
      <c r="S683" s="85" t="n"/>
      <c r="T683" s="85" t="n"/>
      <c r="U683" s="85" t="n"/>
      <c r="V683" s="85" t="n"/>
      <c r="W683" s="85" t="n"/>
      <c r="X683" s="85" t="n"/>
      <c r="Y683" s="85" t="n"/>
      <c r="Z683" s="85" t="n"/>
      <c r="AA683" s="85" t="n"/>
      <c r="AB683" s="85" t="n"/>
      <c r="AC683" s="86" t="n"/>
      <c r="AD683" s="85">
        <f>IF($A683="","",IF(OR($AB683&lt;&gt;"Yes",$AC683="",TODAY()-$AC683&gt;90),"At Risk","Not At Risk"))</f>
        <v/>
      </c>
      <c r="AE683" s="85" t="n"/>
    </row>
    <row r="684" ht="15" customHeight="1" s="39">
      <c r="A684" s="85" t="n"/>
      <c r="B684" s="85" t="n"/>
      <c r="C684" s="85" t="n"/>
      <c r="D684" s="85" t="n"/>
      <c r="E684" s="85" t="n"/>
      <c r="F684" s="85" t="n"/>
      <c r="G684" s="85" t="n"/>
      <c r="H684" s="85" t="n"/>
      <c r="I684" s="85" t="n"/>
      <c r="J684" s="85" t="n"/>
      <c r="K684" s="85" t="n"/>
      <c r="L684" s="85" t="n"/>
      <c r="M684" s="85" t="n"/>
      <c r="N684" s="85" t="n"/>
      <c r="O684" s="85" t="n"/>
      <c r="P684" s="85" t="n"/>
      <c r="Q684" s="85" t="n"/>
      <c r="R684" s="85" t="n"/>
      <c r="S684" s="85" t="n"/>
      <c r="T684" s="85" t="n"/>
      <c r="U684" s="85" t="n"/>
      <c r="V684" s="85" t="n"/>
      <c r="W684" s="85" t="n"/>
      <c r="X684" s="85" t="n"/>
      <c r="Y684" s="85" t="n"/>
      <c r="Z684" s="85" t="n"/>
      <c r="AA684" s="85" t="n"/>
      <c r="AB684" s="85" t="n"/>
      <c r="AC684" s="86" t="n"/>
      <c r="AD684" s="85">
        <f>IF($A684="","",IF(OR($AB684&lt;&gt;"Yes",$AC684="",TODAY()-$AC684&gt;90),"At Risk","Not At Risk"))</f>
        <v/>
      </c>
      <c r="AE684" s="85" t="n"/>
    </row>
    <row r="685" ht="15" customHeight="1" s="39">
      <c r="A685" s="85" t="n"/>
      <c r="B685" s="85" t="n"/>
      <c r="C685" s="85" t="n"/>
      <c r="D685" s="85" t="n"/>
      <c r="E685" s="85" t="n"/>
      <c r="F685" s="85" t="n"/>
      <c r="G685" s="85" t="n"/>
      <c r="H685" s="85" t="n"/>
      <c r="I685" s="85" t="n"/>
      <c r="J685" s="85" t="n"/>
      <c r="K685" s="85" t="n"/>
      <c r="L685" s="85" t="n"/>
      <c r="M685" s="85" t="n"/>
      <c r="N685" s="85" t="n"/>
      <c r="O685" s="85" t="n"/>
      <c r="P685" s="85" t="n"/>
      <c r="Q685" s="85" t="n"/>
      <c r="R685" s="85" t="n"/>
      <c r="S685" s="85" t="n"/>
      <c r="T685" s="85" t="n"/>
      <c r="U685" s="85" t="n"/>
      <c r="V685" s="85" t="n"/>
      <c r="W685" s="85" t="n"/>
      <c r="X685" s="85" t="n"/>
      <c r="Y685" s="85" t="n"/>
      <c r="Z685" s="85" t="n"/>
      <c r="AA685" s="85" t="n"/>
      <c r="AB685" s="85" t="n"/>
      <c r="AC685" s="86" t="n"/>
      <c r="AD685" s="85">
        <f>IF($A685="","",IF(OR($AB685&lt;&gt;"Yes",$AC685="",TODAY()-$AC685&gt;90),"At Risk","Not At Risk"))</f>
        <v/>
      </c>
      <c r="AE685" s="85" t="n"/>
    </row>
    <row r="686" ht="15" customHeight="1" s="39">
      <c r="A686" s="85" t="n"/>
      <c r="B686" s="85" t="n"/>
      <c r="C686" s="85" t="n"/>
      <c r="D686" s="85" t="n"/>
      <c r="E686" s="85" t="n"/>
      <c r="F686" s="85" t="n"/>
      <c r="G686" s="85" t="n"/>
      <c r="H686" s="85" t="n"/>
      <c r="I686" s="85" t="n"/>
      <c r="J686" s="85" t="n"/>
      <c r="K686" s="85" t="n"/>
      <c r="L686" s="85" t="n"/>
      <c r="M686" s="85" t="n"/>
      <c r="N686" s="85" t="n"/>
      <c r="O686" s="85" t="n"/>
      <c r="P686" s="85" t="n"/>
      <c r="Q686" s="85" t="n"/>
      <c r="R686" s="85" t="n"/>
      <c r="S686" s="85" t="n"/>
      <c r="T686" s="85" t="n"/>
      <c r="U686" s="85" t="n"/>
      <c r="V686" s="85" t="n"/>
      <c r="W686" s="85" t="n"/>
      <c r="X686" s="85" t="n"/>
      <c r="Y686" s="85" t="n"/>
      <c r="Z686" s="85" t="n"/>
      <c r="AA686" s="85" t="n"/>
      <c r="AB686" s="85" t="n"/>
      <c r="AC686" s="86" t="n"/>
      <c r="AD686" s="85">
        <f>IF($A686="","",IF(OR($AB686&lt;&gt;"Yes",$AC686="",TODAY()-$AC686&gt;90),"At Risk","Not At Risk"))</f>
        <v/>
      </c>
      <c r="AE686" s="85" t="n"/>
    </row>
    <row r="687" ht="15" customHeight="1" s="39">
      <c r="A687" s="85" t="n"/>
      <c r="B687" s="85" t="n"/>
      <c r="C687" s="85" t="n"/>
      <c r="D687" s="85" t="n"/>
      <c r="E687" s="85" t="n"/>
      <c r="F687" s="85" t="n"/>
      <c r="G687" s="85" t="n"/>
      <c r="H687" s="85" t="n"/>
      <c r="I687" s="85" t="n"/>
      <c r="J687" s="85" t="n"/>
      <c r="K687" s="85" t="n"/>
      <c r="L687" s="85" t="n"/>
      <c r="M687" s="85" t="n"/>
      <c r="N687" s="85" t="n"/>
      <c r="O687" s="85" t="n"/>
      <c r="P687" s="85" t="n"/>
      <c r="Q687" s="85" t="n"/>
      <c r="R687" s="85" t="n"/>
      <c r="S687" s="85" t="n"/>
      <c r="T687" s="85" t="n"/>
      <c r="U687" s="85" t="n"/>
      <c r="V687" s="85" t="n"/>
      <c r="W687" s="85" t="n"/>
      <c r="X687" s="85" t="n"/>
      <c r="Y687" s="85" t="n"/>
      <c r="Z687" s="85" t="n"/>
      <c r="AA687" s="85" t="n"/>
      <c r="AB687" s="85" t="n"/>
      <c r="AC687" s="86" t="n"/>
      <c r="AD687" s="85">
        <f>IF($A687="","",IF(OR($AB687&lt;&gt;"Yes",$AC687="",TODAY()-$AC687&gt;90),"At Risk","Not At Risk"))</f>
        <v/>
      </c>
      <c r="AE687" s="85" t="n"/>
    </row>
    <row r="688" ht="15" customHeight="1" s="39">
      <c r="A688" s="85" t="n"/>
      <c r="B688" s="85" t="n"/>
      <c r="C688" s="85" t="n"/>
      <c r="D688" s="85" t="n"/>
      <c r="E688" s="85" t="n"/>
      <c r="F688" s="85" t="n"/>
      <c r="G688" s="85" t="n"/>
      <c r="H688" s="85" t="n"/>
      <c r="I688" s="85" t="n"/>
      <c r="J688" s="85" t="n"/>
      <c r="K688" s="85" t="n"/>
      <c r="L688" s="85" t="n"/>
      <c r="M688" s="85" t="n"/>
      <c r="N688" s="85" t="n"/>
      <c r="O688" s="85" t="n"/>
      <c r="P688" s="85" t="n"/>
      <c r="Q688" s="85" t="n"/>
      <c r="R688" s="85" t="n"/>
      <c r="S688" s="85" t="n"/>
      <c r="T688" s="85" t="n"/>
      <c r="U688" s="85" t="n"/>
      <c r="V688" s="85" t="n"/>
      <c r="W688" s="85" t="n"/>
      <c r="X688" s="85" t="n"/>
      <c r="Y688" s="85" t="n"/>
      <c r="Z688" s="85" t="n"/>
      <c r="AA688" s="85" t="n"/>
      <c r="AB688" s="85" t="n"/>
      <c r="AC688" s="86" t="n"/>
      <c r="AD688" s="85">
        <f>IF($A688="","",IF(OR($AB688&lt;&gt;"Yes",$AC688="",TODAY()-$AC688&gt;90),"At Risk","Not At Risk"))</f>
        <v/>
      </c>
      <c r="AE688" s="85" t="n"/>
    </row>
    <row r="689" ht="15" customHeight="1" s="39">
      <c r="A689" s="85" t="n"/>
      <c r="B689" s="85" t="n"/>
      <c r="C689" s="85" t="n"/>
      <c r="D689" s="85" t="n"/>
      <c r="E689" s="85" t="n"/>
      <c r="F689" s="85" t="n"/>
      <c r="G689" s="85" t="n"/>
      <c r="H689" s="85" t="n"/>
      <c r="I689" s="85" t="n"/>
      <c r="J689" s="85" t="n"/>
      <c r="K689" s="85" t="n"/>
      <c r="L689" s="85" t="n"/>
      <c r="M689" s="85" t="n"/>
      <c r="N689" s="85" t="n"/>
      <c r="O689" s="85" t="n"/>
      <c r="P689" s="85" t="n"/>
      <c r="Q689" s="85" t="n"/>
      <c r="R689" s="85" t="n"/>
      <c r="S689" s="85" t="n"/>
      <c r="T689" s="85" t="n"/>
      <c r="U689" s="85" t="n"/>
      <c r="V689" s="85" t="n"/>
      <c r="W689" s="85" t="n"/>
      <c r="X689" s="85" t="n"/>
      <c r="Y689" s="85" t="n"/>
      <c r="Z689" s="85" t="n"/>
      <c r="AA689" s="85" t="n"/>
      <c r="AB689" s="85" t="n"/>
      <c r="AC689" s="86" t="n"/>
      <c r="AD689" s="85">
        <f>IF($A689="","",IF(OR($AB689&lt;&gt;"Yes",$AC689="",TODAY()-$AC689&gt;90),"At Risk","Not At Risk"))</f>
        <v/>
      </c>
      <c r="AE689" s="85" t="n"/>
    </row>
    <row r="690" ht="15" customHeight="1" s="39">
      <c r="A690" s="85" t="n"/>
      <c r="B690" s="85" t="n"/>
      <c r="C690" s="85" t="n"/>
      <c r="D690" s="85" t="n"/>
      <c r="E690" s="85" t="n"/>
      <c r="F690" s="85" t="n"/>
      <c r="G690" s="85" t="n"/>
      <c r="H690" s="85" t="n"/>
      <c r="I690" s="85" t="n"/>
      <c r="J690" s="85" t="n"/>
      <c r="K690" s="85" t="n"/>
      <c r="L690" s="85" t="n"/>
      <c r="M690" s="85" t="n"/>
      <c r="N690" s="85" t="n"/>
      <c r="O690" s="85" t="n"/>
      <c r="P690" s="85" t="n"/>
      <c r="Q690" s="85" t="n"/>
      <c r="R690" s="85" t="n"/>
      <c r="S690" s="85" t="n"/>
      <c r="T690" s="85" t="n"/>
      <c r="U690" s="85" t="n"/>
      <c r="V690" s="85" t="n"/>
      <c r="W690" s="85" t="n"/>
      <c r="X690" s="85" t="n"/>
      <c r="Y690" s="85" t="n"/>
      <c r="Z690" s="85" t="n"/>
      <c r="AA690" s="85" t="n"/>
      <c r="AB690" s="85" t="n"/>
      <c r="AC690" s="86" t="n"/>
      <c r="AD690" s="85">
        <f>IF($A690="","",IF(OR($AB690&lt;&gt;"Yes",$AC690="",TODAY()-$AC690&gt;90),"At Risk","Not At Risk"))</f>
        <v/>
      </c>
      <c r="AE690" s="85" t="n"/>
    </row>
    <row r="691" ht="15" customHeight="1" s="39">
      <c r="A691" s="85" t="n"/>
      <c r="B691" s="85" t="n"/>
      <c r="C691" s="85" t="n"/>
      <c r="D691" s="85" t="n"/>
      <c r="E691" s="85" t="n"/>
      <c r="F691" s="85" t="n"/>
      <c r="G691" s="85" t="n"/>
      <c r="H691" s="85" t="n"/>
      <c r="I691" s="85" t="n"/>
      <c r="J691" s="85" t="n"/>
      <c r="K691" s="85" t="n"/>
      <c r="L691" s="85" t="n"/>
      <c r="M691" s="85" t="n"/>
      <c r="N691" s="85" t="n"/>
      <c r="O691" s="85" t="n"/>
      <c r="P691" s="85" t="n"/>
      <c r="Q691" s="85" t="n"/>
      <c r="R691" s="85" t="n"/>
      <c r="S691" s="85" t="n"/>
      <c r="T691" s="85" t="n"/>
      <c r="U691" s="85" t="n"/>
      <c r="V691" s="85" t="n"/>
      <c r="W691" s="85" t="n"/>
      <c r="X691" s="85" t="n"/>
      <c r="Y691" s="85" t="n"/>
      <c r="Z691" s="85" t="n"/>
      <c r="AA691" s="85" t="n"/>
      <c r="AB691" s="85" t="n"/>
      <c r="AC691" s="86" t="n"/>
      <c r="AD691" s="85">
        <f>IF($A691="","",IF(OR($AB691&lt;&gt;"Yes",$AC691="",TODAY()-$AC691&gt;90),"At Risk","Not At Risk"))</f>
        <v/>
      </c>
      <c r="AE691" s="85" t="n"/>
    </row>
    <row r="692" ht="15" customHeight="1" s="39">
      <c r="A692" s="85" t="n"/>
      <c r="B692" s="85" t="n"/>
      <c r="C692" s="85" t="n"/>
      <c r="D692" s="85" t="n"/>
      <c r="E692" s="85" t="n"/>
      <c r="F692" s="85" t="n"/>
      <c r="G692" s="85" t="n"/>
      <c r="H692" s="85" t="n"/>
      <c r="I692" s="85" t="n"/>
      <c r="J692" s="85" t="n"/>
      <c r="K692" s="85" t="n"/>
      <c r="L692" s="85" t="n"/>
      <c r="M692" s="85" t="n"/>
      <c r="N692" s="85" t="n"/>
      <c r="O692" s="85" t="n"/>
      <c r="P692" s="85" t="n"/>
      <c r="Q692" s="85" t="n"/>
      <c r="R692" s="85" t="n"/>
      <c r="S692" s="85" t="n"/>
      <c r="T692" s="85" t="n"/>
      <c r="U692" s="85" t="n"/>
      <c r="V692" s="85" t="n"/>
      <c r="W692" s="85" t="n"/>
      <c r="X692" s="85" t="n"/>
      <c r="Y692" s="85" t="n"/>
      <c r="Z692" s="85" t="n"/>
      <c r="AA692" s="85" t="n"/>
      <c r="AB692" s="85" t="n"/>
      <c r="AC692" s="86" t="n"/>
      <c r="AD692" s="85">
        <f>IF($A692="","",IF(OR($AB692&lt;&gt;"Yes",$AC692="",TODAY()-$AC692&gt;90),"At Risk","Not At Risk"))</f>
        <v/>
      </c>
      <c r="AE692" s="85" t="n"/>
    </row>
    <row r="693" ht="15" customHeight="1" s="39">
      <c r="A693" s="85" t="n"/>
      <c r="B693" s="85" t="n"/>
      <c r="C693" s="85" t="n"/>
      <c r="D693" s="85" t="n"/>
      <c r="E693" s="85" t="n"/>
      <c r="F693" s="85" t="n"/>
      <c r="G693" s="85" t="n"/>
      <c r="H693" s="85" t="n"/>
      <c r="I693" s="85" t="n"/>
      <c r="J693" s="85" t="n"/>
      <c r="K693" s="85" t="n"/>
      <c r="L693" s="85" t="n"/>
      <c r="M693" s="85" t="n"/>
      <c r="N693" s="85" t="n"/>
      <c r="O693" s="85" t="n"/>
      <c r="P693" s="85" t="n"/>
      <c r="Q693" s="85" t="n"/>
      <c r="R693" s="85" t="n"/>
      <c r="S693" s="85" t="n"/>
      <c r="T693" s="85" t="n"/>
      <c r="U693" s="85" t="n"/>
      <c r="V693" s="85" t="n"/>
      <c r="W693" s="85" t="n"/>
      <c r="X693" s="85" t="n"/>
      <c r="Y693" s="85" t="n"/>
      <c r="Z693" s="85" t="n"/>
      <c r="AA693" s="85" t="n"/>
      <c r="AB693" s="85" t="n"/>
      <c r="AC693" s="86" t="n"/>
      <c r="AD693" s="85">
        <f>IF($A693="","",IF(OR($AB693&lt;&gt;"Yes",$AC693="",TODAY()-$AC693&gt;90),"At Risk","Not At Risk"))</f>
        <v/>
      </c>
      <c r="AE693" s="85" t="n"/>
    </row>
    <row r="694" ht="15" customHeight="1" s="39">
      <c r="A694" s="85" t="n"/>
      <c r="B694" s="85" t="n"/>
      <c r="C694" s="85" t="n"/>
      <c r="D694" s="85" t="n"/>
      <c r="E694" s="85" t="n"/>
      <c r="F694" s="85" t="n"/>
      <c r="G694" s="85" t="n"/>
      <c r="H694" s="85" t="n"/>
      <c r="I694" s="85" t="n"/>
      <c r="J694" s="85" t="n"/>
      <c r="K694" s="85" t="n"/>
      <c r="L694" s="85" t="n"/>
      <c r="M694" s="85" t="n"/>
      <c r="N694" s="85" t="n"/>
      <c r="O694" s="85" t="n"/>
      <c r="P694" s="85" t="n"/>
      <c r="Q694" s="85" t="n"/>
      <c r="R694" s="85" t="n"/>
      <c r="S694" s="85" t="n"/>
      <c r="T694" s="85" t="n"/>
      <c r="U694" s="85" t="n"/>
      <c r="V694" s="85" t="n"/>
      <c r="W694" s="85" t="n"/>
      <c r="X694" s="85" t="n"/>
      <c r="Y694" s="85" t="n"/>
      <c r="Z694" s="85" t="n"/>
      <c r="AA694" s="85" t="n"/>
      <c r="AB694" s="85" t="n"/>
      <c r="AC694" s="86" t="n"/>
      <c r="AD694" s="85">
        <f>IF($A694="","",IF(OR($AB694&lt;&gt;"Yes",$AC694="",TODAY()-$AC694&gt;90),"At Risk","Not At Risk"))</f>
        <v/>
      </c>
      <c r="AE694" s="85" t="n"/>
    </row>
    <row r="695" ht="15" customHeight="1" s="39">
      <c r="A695" s="85" t="n"/>
      <c r="B695" s="85" t="n"/>
      <c r="C695" s="85" t="n"/>
      <c r="D695" s="85" t="n"/>
      <c r="E695" s="85" t="n"/>
      <c r="F695" s="85" t="n"/>
      <c r="G695" s="85" t="n"/>
      <c r="H695" s="85" t="n"/>
      <c r="I695" s="85" t="n"/>
      <c r="J695" s="85" t="n"/>
      <c r="K695" s="85" t="n"/>
      <c r="L695" s="85" t="n"/>
      <c r="M695" s="85" t="n"/>
      <c r="N695" s="85" t="n"/>
      <c r="O695" s="85" t="n"/>
      <c r="P695" s="85" t="n"/>
      <c r="Q695" s="85" t="n"/>
      <c r="R695" s="85" t="n"/>
      <c r="S695" s="85" t="n"/>
      <c r="T695" s="85" t="n"/>
      <c r="U695" s="85" t="n"/>
      <c r="V695" s="85" t="n"/>
      <c r="W695" s="85" t="n"/>
      <c r="X695" s="85" t="n"/>
      <c r="Y695" s="85" t="n"/>
      <c r="Z695" s="85" t="n"/>
      <c r="AA695" s="85" t="n"/>
      <c r="AB695" s="85" t="n"/>
      <c r="AC695" s="86" t="n"/>
      <c r="AD695" s="85">
        <f>IF($A695="","",IF(OR($AB695&lt;&gt;"Yes",$AC695="",TODAY()-$AC695&gt;90),"At Risk","Not At Risk"))</f>
        <v/>
      </c>
      <c r="AE695" s="85" t="n"/>
    </row>
    <row r="696" ht="15" customHeight="1" s="39">
      <c r="A696" s="85" t="n"/>
      <c r="B696" s="85" t="n"/>
      <c r="C696" s="85" t="n"/>
      <c r="D696" s="85" t="n"/>
      <c r="E696" s="85" t="n"/>
      <c r="F696" s="85" t="n"/>
      <c r="G696" s="85" t="n"/>
      <c r="H696" s="85" t="n"/>
      <c r="I696" s="85" t="n"/>
      <c r="J696" s="85" t="n"/>
      <c r="K696" s="85" t="n"/>
      <c r="L696" s="85" t="n"/>
      <c r="M696" s="85" t="n"/>
      <c r="N696" s="85" t="n"/>
      <c r="O696" s="85" t="n"/>
      <c r="P696" s="85" t="n"/>
      <c r="Q696" s="85" t="n"/>
      <c r="R696" s="85" t="n"/>
      <c r="S696" s="85" t="n"/>
      <c r="T696" s="85" t="n"/>
      <c r="U696" s="85" t="n"/>
      <c r="V696" s="85" t="n"/>
      <c r="W696" s="85" t="n"/>
      <c r="X696" s="85" t="n"/>
      <c r="Y696" s="85" t="n"/>
      <c r="Z696" s="85" t="n"/>
      <c r="AA696" s="85" t="n"/>
      <c r="AB696" s="85" t="n"/>
      <c r="AC696" s="86" t="n"/>
      <c r="AD696" s="85">
        <f>IF($A696="","",IF(OR($AB696&lt;&gt;"Yes",$AC696="",TODAY()-$AC696&gt;90),"At Risk","Not At Risk"))</f>
        <v/>
      </c>
      <c r="AE696" s="85" t="n"/>
    </row>
    <row r="697" ht="15" customHeight="1" s="39">
      <c r="A697" s="85" t="n"/>
      <c r="B697" s="85" t="n"/>
      <c r="C697" s="85" t="n"/>
      <c r="D697" s="85" t="n"/>
      <c r="E697" s="85" t="n"/>
      <c r="F697" s="85" t="n"/>
      <c r="G697" s="85" t="n"/>
      <c r="H697" s="85" t="n"/>
      <c r="I697" s="85" t="n"/>
      <c r="J697" s="85" t="n"/>
      <c r="K697" s="85" t="n"/>
      <c r="L697" s="85" t="n"/>
      <c r="M697" s="85" t="n"/>
      <c r="N697" s="85" t="n"/>
      <c r="O697" s="85" t="n"/>
      <c r="P697" s="85" t="n"/>
      <c r="Q697" s="85" t="n"/>
      <c r="R697" s="85" t="n"/>
      <c r="S697" s="85" t="n"/>
      <c r="T697" s="85" t="n"/>
      <c r="U697" s="85" t="n"/>
      <c r="V697" s="85" t="n"/>
      <c r="W697" s="85" t="n"/>
      <c r="X697" s="85" t="n"/>
      <c r="Y697" s="85" t="n"/>
      <c r="Z697" s="85" t="n"/>
      <c r="AA697" s="85" t="n"/>
      <c r="AB697" s="85" t="n"/>
      <c r="AC697" s="86" t="n"/>
      <c r="AD697" s="85">
        <f>IF($A697="","",IF(OR($AB697&lt;&gt;"Yes",$AC697="",TODAY()-$AC697&gt;90),"At Risk","Not At Risk"))</f>
        <v/>
      </c>
      <c r="AE697" s="85" t="n"/>
    </row>
    <row r="698" ht="15" customHeight="1" s="39">
      <c r="A698" s="85" t="n"/>
      <c r="B698" s="85" t="n"/>
      <c r="C698" s="85" t="n"/>
      <c r="D698" s="85" t="n"/>
      <c r="E698" s="85" t="n"/>
      <c r="F698" s="85" t="n"/>
      <c r="G698" s="85" t="n"/>
      <c r="H698" s="85" t="n"/>
      <c r="I698" s="85" t="n"/>
      <c r="J698" s="85" t="n"/>
      <c r="K698" s="85" t="n"/>
      <c r="L698" s="85" t="n"/>
      <c r="M698" s="85" t="n"/>
      <c r="N698" s="85" t="n"/>
      <c r="O698" s="85" t="n"/>
      <c r="P698" s="85" t="n"/>
      <c r="Q698" s="85" t="n"/>
      <c r="R698" s="85" t="n"/>
      <c r="S698" s="85" t="n"/>
      <c r="T698" s="85" t="n"/>
      <c r="U698" s="85" t="n"/>
      <c r="V698" s="85" t="n"/>
      <c r="W698" s="85" t="n"/>
      <c r="X698" s="85" t="n"/>
      <c r="Y698" s="85" t="n"/>
      <c r="Z698" s="85" t="n"/>
      <c r="AA698" s="85" t="n"/>
      <c r="AB698" s="85" t="n"/>
      <c r="AC698" s="86" t="n"/>
      <c r="AD698" s="85">
        <f>IF($A698="","",IF(OR($AB698&lt;&gt;"Yes",$AC698="",TODAY()-$AC698&gt;90),"At Risk","Not At Risk"))</f>
        <v/>
      </c>
      <c r="AE698" s="85" t="n"/>
    </row>
    <row r="699" ht="15" customHeight="1" s="39">
      <c r="A699" s="85" t="n"/>
      <c r="B699" s="85" t="n"/>
      <c r="C699" s="85" t="n"/>
      <c r="D699" s="85" t="n"/>
      <c r="E699" s="85" t="n"/>
      <c r="F699" s="85" t="n"/>
      <c r="G699" s="85" t="n"/>
      <c r="H699" s="85" t="n"/>
      <c r="I699" s="85" t="n"/>
      <c r="J699" s="85" t="n"/>
      <c r="K699" s="85" t="n"/>
      <c r="L699" s="85" t="n"/>
      <c r="M699" s="85" t="n"/>
      <c r="N699" s="85" t="n"/>
      <c r="O699" s="85" t="n"/>
      <c r="P699" s="85" t="n"/>
      <c r="Q699" s="85" t="n"/>
      <c r="R699" s="85" t="n"/>
      <c r="S699" s="85" t="n"/>
      <c r="T699" s="85" t="n"/>
      <c r="U699" s="85" t="n"/>
      <c r="V699" s="85" t="n"/>
      <c r="W699" s="85" t="n"/>
      <c r="X699" s="85" t="n"/>
      <c r="Y699" s="85" t="n"/>
      <c r="Z699" s="85" t="n"/>
      <c r="AA699" s="85" t="n"/>
      <c r="AB699" s="85" t="n"/>
      <c r="AC699" s="86" t="n"/>
      <c r="AD699" s="85">
        <f>IF($A699="","",IF(OR($AB699&lt;&gt;"Yes",$AC699="",TODAY()-$AC699&gt;90),"At Risk","Not At Risk"))</f>
        <v/>
      </c>
      <c r="AE699" s="85" t="n"/>
    </row>
    <row r="700" ht="15" customHeight="1" s="39">
      <c r="A700" s="85" t="n"/>
      <c r="B700" s="85" t="n"/>
      <c r="C700" s="85" t="n"/>
      <c r="D700" s="85" t="n"/>
      <c r="E700" s="85" t="n"/>
      <c r="F700" s="85" t="n"/>
      <c r="G700" s="85" t="n"/>
      <c r="H700" s="85" t="n"/>
      <c r="I700" s="85" t="n"/>
      <c r="J700" s="85" t="n"/>
      <c r="K700" s="85" t="n"/>
      <c r="L700" s="85" t="n"/>
      <c r="M700" s="85" t="n"/>
      <c r="N700" s="85" t="n"/>
      <c r="O700" s="85" t="n"/>
      <c r="P700" s="85" t="n"/>
      <c r="Q700" s="85" t="n"/>
      <c r="R700" s="85" t="n"/>
      <c r="S700" s="85" t="n"/>
      <c r="T700" s="85" t="n"/>
      <c r="U700" s="85" t="n"/>
      <c r="V700" s="85" t="n"/>
      <c r="W700" s="85" t="n"/>
      <c r="X700" s="85" t="n"/>
      <c r="Y700" s="85" t="n"/>
      <c r="Z700" s="85" t="n"/>
      <c r="AA700" s="85" t="n"/>
      <c r="AB700" s="85" t="n"/>
      <c r="AC700" s="86" t="n"/>
      <c r="AD700" s="85">
        <f>IF($A700="","",IF(OR($AB700&lt;&gt;"Yes",$AC700="",TODAY()-$AC700&gt;90),"At Risk","Not At Risk"))</f>
        <v/>
      </c>
      <c r="AE700" s="85" t="n"/>
    </row>
    <row r="701" ht="15" customHeight="1" s="39">
      <c r="A701" s="85" t="n"/>
      <c r="B701" s="85" t="n"/>
      <c r="C701" s="85" t="n"/>
      <c r="D701" s="85" t="n"/>
      <c r="E701" s="85" t="n"/>
      <c r="F701" s="85" t="n"/>
      <c r="G701" s="85" t="n"/>
      <c r="H701" s="85" t="n"/>
      <c r="I701" s="85" t="n"/>
      <c r="J701" s="85" t="n"/>
      <c r="K701" s="85" t="n"/>
      <c r="L701" s="85" t="n"/>
      <c r="M701" s="85" t="n"/>
      <c r="N701" s="85" t="n"/>
      <c r="O701" s="85" t="n"/>
      <c r="P701" s="85" t="n"/>
      <c r="Q701" s="85" t="n"/>
      <c r="R701" s="85" t="n"/>
      <c r="S701" s="85" t="n"/>
      <c r="T701" s="85" t="n"/>
      <c r="U701" s="85" t="n"/>
      <c r="V701" s="85" t="n"/>
      <c r="W701" s="85" t="n"/>
      <c r="X701" s="85" t="n"/>
      <c r="Y701" s="85" t="n"/>
      <c r="Z701" s="85" t="n"/>
      <c r="AA701" s="85" t="n"/>
      <c r="AB701" s="85" t="n"/>
      <c r="AC701" s="86" t="n"/>
      <c r="AD701" s="85">
        <f>IF($A701="","",IF(OR($AB701&lt;&gt;"Yes",$AC701="",TODAY()-$AC701&gt;90),"At Risk","Not At Risk"))</f>
        <v/>
      </c>
      <c r="AE701" s="85" t="n"/>
    </row>
    <row r="702" ht="15" customHeight="1" s="39">
      <c r="A702" s="85" t="n"/>
      <c r="B702" s="85" t="n"/>
      <c r="C702" s="85" t="n"/>
      <c r="D702" s="85" t="n"/>
      <c r="E702" s="85" t="n"/>
      <c r="F702" s="85" t="n"/>
      <c r="G702" s="85" t="n"/>
      <c r="H702" s="85" t="n"/>
      <c r="I702" s="85" t="n"/>
      <c r="J702" s="85" t="n"/>
      <c r="K702" s="85" t="n"/>
      <c r="L702" s="85" t="n"/>
      <c r="M702" s="85" t="n"/>
      <c r="N702" s="85" t="n"/>
      <c r="O702" s="85" t="n"/>
      <c r="P702" s="85" t="n"/>
      <c r="Q702" s="85" t="n"/>
      <c r="R702" s="85" t="n"/>
      <c r="S702" s="85" t="n"/>
      <c r="T702" s="85" t="n"/>
      <c r="U702" s="85" t="n"/>
      <c r="V702" s="85" t="n"/>
      <c r="W702" s="85" t="n"/>
      <c r="X702" s="85" t="n"/>
      <c r="Y702" s="85" t="n"/>
      <c r="Z702" s="85" t="n"/>
      <c r="AA702" s="85" t="n"/>
      <c r="AB702" s="85" t="n"/>
      <c r="AC702" s="86" t="n"/>
      <c r="AD702" s="85">
        <f>IF($A702="","",IF(OR($AB702&lt;&gt;"Yes",$AC702="",TODAY()-$AC702&gt;90),"At Risk","Not At Risk"))</f>
        <v/>
      </c>
      <c r="AE702" s="85" t="n"/>
    </row>
    <row r="703" ht="15" customHeight="1" s="39">
      <c r="A703" s="85" t="n"/>
      <c r="B703" s="85" t="n"/>
      <c r="C703" s="85" t="n"/>
      <c r="D703" s="85" t="n"/>
      <c r="E703" s="85" t="n"/>
      <c r="F703" s="85" t="n"/>
      <c r="G703" s="85" t="n"/>
      <c r="H703" s="85" t="n"/>
      <c r="I703" s="85" t="n"/>
      <c r="J703" s="85" t="n"/>
      <c r="K703" s="85" t="n"/>
      <c r="L703" s="85" t="n"/>
      <c r="M703" s="85" t="n"/>
      <c r="N703" s="85" t="n"/>
      <c r="O703" s="85" t="n"/>
      <c r="P703" s="85" t="n"/>
      <c r="Q703" s="85" t="n"/>
      <c r="R703" s="85" t="n"/>
      <c r="S703" s="85" t="n"/>
      <c r="T703" s="85" t="n"/>
      <c r="U703" s="85" t="n"/>
      <c r="V703" s="85" t="n"/>
      <c r="W703" s="85" t="n"/>
      <c r="X703" s="85" t="n"/>
      <c r="Y703" s="85" t="n"/>
      <c r="Z703" s="85" t="n"/>
      <c r="AA703" s="85" t="n"/>
      <c r="AB703" s="85" t="n"/>
      <c r="AC703" s="86" t="n"/>
      <c r="AD703" s="85">
        <f>IF($A703="","",IF(OR($AB703&lt;&gt;"Yes",$AC703="",TODAY()-$AC703&gt;90),"At Risk","Not At Risk"))</f>
        <v/>
      </c>
      <c r="AE703" s="85" t="n"/>
    </row>
    <row r="704" ht="15" customHeight="1" s="39">
      <c r="A704" s="85" t="n"/>
      <c r="B704" s="85" t="n"/>
      <c r="C704" s="85" t="n"/>
      <c r="D704" s="85" t="n"/>
      <c r="E704" s="85" t="n"/>
      <c r="F704" s="85" t="n"/>
      <c r="G704" s="85" t="n"/>
      <c r="H704" s="85" t="n"/>
      <c r="I704" s="85" t="n"/>
      <c r="J704" s="85" t="n"/>
      <c r="K704" s="85" t="n"/>
      <c r="L704" s="85" t="n"/>
      <c r="M704" s="85" t="n"/>
      <c r="N704" s="85" t="n"/>
      <c r="O704" s="85" t="n"/>
      <c r="P704" s="85" t="n"/>
      <c r="Q704" s="85" t="n"/>
      <c r="R704" s="85" t="n"/>
      <c r="S704" s="85" t="n"/>
      <c r="T704" s="85" t="n"/>
      <c r="U704" s="85" t="n"/>
      <c r="V704" s="85" t="n"/>
      <c r="W704" s="85" t="n"/>
      <c r="X704" s="85" t="n"/>
      <c r="Y704" s="85" t="n"/>
      <c r="Z704" s="85" t="n"/>
      <c r="AA704" s="85" t="n"/>
      <c r="AB704" s="85" t="n"/>
      <c r="AC704" s="86" t="n"/>
      <c r="AD704" s="85">
        <f>IF($A704="","",IF(OR($AB704&lt;&gt;"Yes",$AC704="",TODAY()-$AC704&gt;90),"At Risk","Not At Risk"))</f>
        <v/>
      </c>
      <c r="AE704" s="85" t="n"/>
    </row>
    <row r="705" ht="15" customHeight="1" s="39">
      <c r="A705" s="85" t="n"/>
      <c r="B705" s="85" t="n"/>
      <c r="C705" s="85" t="n"/>
      <c r="D705" s="85" t="n"/>
      <c r="E705" s="85" t="n"/>
      <c r="F705" s="85" t="n"/>
      <c r="G705" s="85" t="n"/>
      <c r="H705" s="85" t="n"/>
      <c r="I705" s="85" t="n"/>
      <c r="J705" s="85" t="n"/>
      <c r="K705" s="85" t="n"/>
      <c r="L705" s="85" t="n"/>
      <c r="M705" s="85" t="n"/>
      <c r="N705" s="85" t="n"/>
      <c r="O705" s="85" t="n"/>
      <c r="P705" s="85" t="n"/>
      <c r="Q705" s="85" t="n"/>
      <c r="R705" s="85" t="n"/>
      <c r="S705" s="85" t="n"/>
      <c r="T705" s="85" t="n"/>
      <c r="U705" s="85" t="n"/>
      <c r="V705" s="85" t="n"/>
      <c r="W705" s="85" t="n"/>
      <c r="X705" s="85" t="n"/>
      <c r="Y705" s="85" t="n"/>
      <c r="Z705" s="85" t="n"/>
      <c r="AA705" s="85" t="n"/>
      <c r="AB705" s="85" t="n"/>
      <c r="AC705" s="86" t="n"/>
      <c r="AD705" s="85">
        <f>IF($A705="","",IF(OR($AB705&lt;&gt;"Yes",$AC705="",TODAY()-$AC705&gt;90),"At Risk","Not At Risk"))</f>
        <v/>
      </c>
      <c r="AE705" s="85" t="n"/>
    </row>
    <row r="706" ht="15" customHeight="1" s="39">
      <c r="A706" s="85" t="n"/>
      <c r="B706" s="85" t="n"/>
      <c r="C706" s="85" t="n"/>
      <c r="D706" s="85" t="n"/>
      <c r="E706" s="85" t="n"/>
      <c r="F706" s="85" t="n"/>
      <c r="G706" s="85" t="n"/>
      <c r="H706" s="85" t="n"/>
      <c r="I706" s="85" t="n"/>
      <c r="J706" s="85" t="n"/>
      <c r="K706" s="85" t="n"/>
      <c r="L706" s="85" t="n"/>
      <c r="M706" s="85" t="n"/>
      <c r="N706" s="85" t="n"/>
      <c r="O706" s="85" t="n"/>
      <c r="P706" s="85" t="n"/>
      <c r="Q706" s="85" t="n"/>
      <c r="R706" s="85" t="n"/>
      <c r="S706" s="85" t="n"/>
      <c r="T706" s="85" t="n"/>
      <c r="U706" s="85" t="n"/>
      <c r="V706" s="85" t="n"/>
      <c r="W706" s="85" t="n"/>
      <c r="X706" s="85" t="n"/>
      <c r="Y706" s="85" t="n"/>
      <c r="Z706" s="85" t="n"/>
      <c r="AA706" s="85" t="n"/>
      <c r="AB706" s="85" t="n"/>
      <c r="AC706" s="86" t="n"/>
      <c r="AD706" s="85">
        <f>IF($A706="","",IF(OR($AB706&lt;&gt;"Yes",$AC706="",TODAY()-$AC706&gt;90),"At Risk","Not At Risk"))</f>
        <v/>
      </c>
      <c r="AE706" s="85" t="n"/>
    </row>
    <row r="707" ht="15" customHeight="1" s="39">
      <c r="A707" s="85" t="n"/>
      <c r="B707" s="85" t="n"/>
      <c r="C707" s="85" t="n"/>
      <c r="D707" s="85" t="n"/>
      <c r="E707" s="85" t="n"/>
      <c r="F707" s="85" t="n"/>
      <c r="G707" s="85" t="n"/>
      <c r="H707" s="85" t="n"/>
      <c r="I707" s="85" t="n"/>
      <c r="J707" s="85" t="n"/>
      <c r="K707" s="85" t="n"/>
      <c r="L707" s="85" t="n"/>
      <c r="M707" s="85" t="n"/>
      <c r="N707" s="85" t="n"/>
      <c r="O707" s="85" t="n"/>
      <c r="P707" s="85" t="n"/>
      <c r="Q707" s="85" t="n"/>
      <c r="R707" s="85" t="n"/>
      <c r="S707" s="85" t="n"/>
      <c r="T707" s="85" t="n"/>
      <c r="U707" s="85" t="n"/>
      <c r="V707" s="85" t="n"/>
      <c r="W707" s="85" t="n"/>
      <c r="X707" s="85" t="n"/>
      <c r="Y707" s="85" t="n"/>
      <c r="Z707" s="85" t="n"/>
      <c r="AA707" s="85" t="n"/>
      <c r="AB707" s="85" t="n"/>
      <c r="AC707" s="86" t="n"/>
      <c r="AD707" s="85">
        <f>IF($A707="","",IF(OR($AB707&lt;&gt;"Yes",$AC707="",TODAY()-$AC707&gt;90),"At Risk","Not At Risk"))</f>
        <v/>
      </c>
      <c r="AE707" s="85" t="n"/>
    </row>
    <row r="708" ht="15" customHeight="1" s="39">
      <c r="A708" s="85" t="n"/>
      <c r="B708" s="85" t="n"/>
      <c r="C708" s="85" t="n"/>
      <c r="D708" s="85" t="n"/>
      <c r="E708" s="85" t="n"/>
      <c r="F708" s="85" t="n"/>
      <c r="G708" s="85" t="n"/>
      <c r="H708" s="85" t="n"/>
      <c r="I708" s="85" t="n"/>
      <c r="J708" s="85" t="n"/>
      <c r="K708" s="85" t="n"/>
      <c r="L708" s="85" t="n"/>
      <c r="M708" s="85" t="n"/>
      <c r="N708" s="85" t="n"/>
      <c r="O708" s="85" t="n"/>
      <c r="P708" s="85" t="n"/>
      <c r="Q708" s="85" t="n"/>
      <c r="R708" s="85" t="n"/>
      <c r="S708" s="85" t="n"/>
      <c r="T708" s="85" t="n"/>
      <c r="U708" s="85" t="n"/>
      <c r="V708" s="85" t="n"/>
      <c r="W708" s="85" t="n"/>
      <c r="X708" s="85" t="n"/>
      <c r="Y708" s="85" t="n"/>
      <c r="Z708" s="85" t="n"/>
      <c r="AA708" s="85" t="n"/>
      <c r="AB708" s="85" t="n"/>
      <c r="AC708" s="86" t="n"/>
      <c r="AD708" s="85">
        <f>IF($A708="","",IF(OR($AB708&lt;&gt;"Yes",$AC708="",TODAY()-$AC708&gt;90),"At Risk","Not At Risk"))</f>
        <v/>
      </c>
      <c r="AE708" s="85" t="n"/>
    </row>
    <row r="709" ht="15" customHeight="1" s="39">
      <c r="A709" s="85" t="n"/>
      <c r="B709" s="85" t="n"/>
      <c r="C709" s="85" t="n"/>
      <c r="D709" s="85" t="n"/>
      <c r="E709" s="85" t="n"/>
      <c r="F709" s="85" t="n"/>
      <c r="G709" s="85" t="n"/>
      <c r="H709" s="85" t="n"/>
      <c r="I709" s="85" t="n"/>
      <c r="J709" s="85" t="n"/>
      <c r="K709" s="85" t="n"/>
      <c r="L709" s="85" t="n"/>
      <c r="M709" s="85" t="n"/>
      <c r="N709" s="85" t="n"/>
      <c r="O709" s="85" t="n"/>
      <c r="P709" s="85" t="n"/>
      <c r="Q709" s="85" t="n"/>
      <c r="R709" s="85" t="n"/>
      <c r="S709" s="85" t="n"/>
      <c r="T709" s="85" t="n"/>
      <c r="U709" s="85" t="n"/>
      <c r="V709" s="85" t="n"/>
      <c r="W709" s="85" t="n"/>
      <c r="X709" s="85" t="n"/>
      <c r="Y709" s="85" t="n"/>
      <c r="Z709" s="85" t="n"/>
      <c r="AA709" s="85" t="n"/>
      <c r="AB709" s="85" t="n"/>
      <c r="AC709" s="86" t="n"/>
      <c r="AD709" s="85">
        <f>IF($A709="","",IF(OR($AB709&lt;&gt;"Yes",$AC709="",TODAY()-$AC709&gt;90),"At Risk","Not At Risk"))</f>
        <v/>
      </c>
      <c r="AE709" s="85" t="n"/>
    </row>
    <row r="710" ht="15" customHeight="1" s="39">
      <c r="A710" s="85" t="n"/>
      <c r="B710" s="85" t="n"/>
      <c r="C710" s="85" t="n"/>
      <c r="D710" s="85" t="n"/>
      <c r="E710" s="85" t="n"/>
      <c r="F710" s="85" t="n"/>
      <c r="G710" s="85" t="n"/>
      <c r="H710" s="85" t="n"/>
      <c r="I710" s="85" t="n"/>
      <c r="J710" s="85" t="n"/>
      <c r="K710" s="85" t="n"/>
      <c r="L710" s="85" t="n"/>
      <c r="M710" s="85" t="n"/>
      <c r="N710" s="85" t="n"/>
      <c r="O710" s="85" t="n"/>
      <c r="P710" s="85" t="n"/>
      <c r="Q710" s="85" t="n"/>
      <c r="R710" s="85" t="n"/>
      <c r="S710" s="85" t="n"/>
      <c r="T710" s="85" t="n"/>
      <c r="U710" s="85" t="n"/>
      <c r="V710" s="85" t="n"/>
      <c r="W710" s="85" t="n"/>
      <c r="X710" s="85" t="n"/>
      <c r="Y710" s="85" t="n"/>
      <c r="Z710" s="85" t="n"/>
      <c r="AA710" s="85" t="n"/>
      <c r="AB710" s="85" t="n"/>
      <c r="AC710" s="86" t="n"/>
      <c r="AD710" s="85">
        <f>IF($A710="","",IF(OR($AB710&lt;&gt;"Yes",$AC710="",TODAY()-$AC710&gt;90),"At Risk","Not At Risk"))</f>
        <v/>
      </c>
      <c r="AE710" s="85" t="n"/>
    </row>
    <row r="711" ht="15" customHeight="1" s="39">
      <c r="A711" s="85" t="n"/>
      <c r="B711" s="85" t="n"/>
      <c r="C711" s="85" t="n"/>
      <c r="D711" s="85" t="n"/>
      <c r="E711" s="85" t="n"/>
      <c r="F711" s="85" t="n"/>
      <c r="G711" s="85" t="n"/>
      <c r="H711" s="85" t="n"/>
      <c r="I711" s="85" t="n"/>
      <c r="J711" s="85" t="n"/>
      <c r="K711" s="85" t="n"/>
      <c r="L711" s="85" t="n"/>
      <c r="M711" s="85" t="n"/>
      <c r="N711" s="85" t="n"/>
      <c r="O711" s="85" t="n"/>
      <c r="P711" s="85" t="n"/>
      <c r="Q711" s="85" t="n"/>
      <c r="R711" s="85" t="n"/>
      <c r="S711" s="85" t="n"/>
      <c r="T711" s="85" t="n"/>
      <c r="U711" s="85" t="n"/>
      <c r="V711" s="85" t="n"/>
      <c r="W711" s="85" t="n"/>
      <c r="X711" s="85" t="n"/>
      <c r="Y711" s="85" t="n"/>
      <c r="Z711" s="85" t="n"/>
      <c r="AA711" s="85" t="n"/>
      <c r="AB711" s="85" t="n"/>
      <c r="AC711" s="86" t="n"/>
      <c r="AD711" s="85">
        <f>IF($A711="","",IF(OR($AB711&lt;&gt;"Yes",$AC711="",TODAY()-$AC711&gt;90),"At Risk","Not At Risk"))</f>
        <v/>
      </c>
      <c r="AE711" s="85" t="n"/>
    </row>
    <row r="712" ht="15" customHeight="1" s="39">
      <c r="A712" s="85" t="n"/>
      <c r="B712" s="85" t="n"/>
      <c r="C712" s="85" t="n"/>
      <c r="D712" s="85" t="n"/>
      <c r="E712" s="85" t="n"/>
      <c r="F712" s="85" t="n"/>
      <c r="G712" s="85" t="n"/>
      <c r="H712" s="85" t="n"/>
      <c r="I712" s="85" t="n"/>
      <c r="J712" s="85" t="n"/>
      <c r="K712" s="85" t="n"/>
      <c r="L712" s="85" t="n"/>
      <c r="M712" s="85" t="n"/>
      <c r="N712" s="85" t="n"/>
      <c r="O712" s="85" t="n"/>
      <c r="P712" s="85" t="n"/>
      <c r="Q712" s="85" t="n"/>
      <c r="R712" s="85" t="n"/>
      <c r="S712" s="85" t="n"/>
      <c r="T712" s="85" t="n"/>
      <c r="U712" s="85" t="n"/>
      <c r="V712" s="85" t="n"/>
      <c r="W712" s="85" t="n"/>
      <c r="X712" s="85" t="n"/>
      <c r="Y712" s="85" t="n"/>
      <c r="Z712" s="85" t="n"/>
      <c r="AA712" s="85" t="n"/>
      <c r="AB712" s="85" t="n"/>
      <c r="AC712" s="86" t="n"/>
      <c r="AD712" s="85">
        <f>IF($A712="","",IF(OR($AB712&lt;&gt;"Yes",$AC712="",TODAY()-$AC712&gt;90),"At Risk","Not At Risk"))</f>
        <v/>
      </c>
      <c r="AE712" s="85" t="n"/>
    </row>
    <row r="713" ht="15" customHeight="1" s="39">
      <c r="A713" s="85" t="n"/>
      <c r="B713" s="85" t="n"/>
      <c r="C713" s="85" t="n"/>
      <c r="D713" s="85" t="n"/>
      <c r="E713" s="85" t="n"/>
      <c r="F713" s="85" t="n"/>
      <c r="G713" s="85" t="n"/>
      <c r="H713" s="85" t="n"/>
      <c r="I713" s="85" t="n"/>
      <c r="J713" s="85" t="n"/>
      <c r="K713" s="85" t="n"/>
      <c r="L713" s="85" t="n"/>
      <c r="M713" s="85" t="n"/>
      <c r="N713" s="85" t="n"/>
      <c r="O713" s="85" t="n"/>
      <c r="P713" s="85" t="n"/>
      <c r="Q713" s="85" t="n"/>
      <c r="R713" s="85" t="n"/>
      <c r="S713" s="85" t="n"/>
      <c r="T713" s="85" t="n"/>
      <c r="U713" s="85" t="n"/>
      <c r="V713" s="85" t="n"/>
      <c r="W713" s="85" t="n"/>
      <c r="X713" s="85" t="n"/>
      <c r="Y713" s="85" t="n"/>
      <c r="Z713" s="85" t="n"/>
      <c r="AA713" s="85" t="n"/>
      <c r="AB713" s="85" t="n"/>
      <c r="AC713" s="86" t="n"/>
      <c r="AD713" s="85">
        <f>IF($A713="","",IF(OR($AB713&lt;&gt;"Yes",$AC713="",TODAY()-$AC713&gt;90),"At Risk","Not At Risk"))</f>
        <v/>
      </c>
      <c r="AE713" s="85" t="n"/>
    </row>
    <row r="714" ht="15" customHeight="1" s="39">
      <c r="A714" s="85" t="n"/>
      <c r="B714" s="85" t="n"/>
      <c r="C714" s="85" t="n"/>
      <c r="D714" s="85" t="n"/>
      <c r="E714" s="85" t="n"/>
      <c r="F714" s="85" t="n"/>
      <c r="G714" s="85" t="n"/>
      <c r="H714" s="85" t="n"/>
      <c r="I714" s="85" t="n"/>
      <c r="J714" s="85" t="n"/>
      <c r="K714" s="85" t="n"/>
      <c r="L714" s="85" t="n"/>
      <c r="M714" s="85" t="n"/>
      <c r="N714" s="85" t="n"/>
      <c r="O714" s="85" t="n"/>
      <c r="P714" s="85" t="n"/>
      <c r="Q714" s="85" t="n"/>
      <c r="R714" s="85" t="n"/>
      <c r="S714" s="85" t="n"/>
      <c r="T714" s="85" t="n"/>
      <c r="U714" s="85" t="n"/>
      <c r="V714" s="85" t="n"/>
      <c r="W714" s="85" t="n"/>
      <c r="X714" s="85" t="n"/>
      <c r="Y714" s="85" t="n"/>
      <c r="Z714" s="85" t="n"/>
      <c r="AA714" s="85" t="n"/>
      <c r="AB714" s="85" t="n"/>
      <c r="AC714" s="86" t="n"/>
      <c r="AD714" s="85">
        <f>IF($A714="","",IF(OR($AB714&lt;&gt;"Yes",$AC714="",TODAY()-$AC714&gt;90),"At Risk","Not At Risk"))</f>
        <v/>
      </c>
      <c r="AE714" s="85" t="n"/>
    </row>
    <row r="715" ht="15" customHeight="1" s="39">
      <c r="A715" s="85" t="n"/>
      <c r="B715" s="85" t="n"/>
      <c r="C715" s="85" t="n"/>
      <c r="D715" s="85" t="n"/>
      <c r="E715" s="85" t="n"/>
      <c r="F715" s="85" t="n"/>
      <c r="G715" s="85" t="n"/>
      <c r="H715" s="85" t="n"/>
      <c r="I715" s="85" t="n"/>
      <c r="J715" s="85" t="n"/>
      <c r="K715" s="85" t="n"/>
      <c r="L715" s="85" t="n"/>
      <c r="M715" s="85" t="n"/>
      <c r="N715" s="85" t="n"/>
      <c r="O715" s="85" t="n"/>
      <c r="P715" s="85" t="n"/>
      <c r="Q715" s="85" t="n"/>
      <c r="R715" s="85" t="n"/>
      <c r="S715" s="85" t="n"/>
      <c r="T715" s="85" t="n"/>
      <c r="U715" s="85" t="n"/>
      <c r="V715" s="85" t="n"/>
      <c r="W715" s="85" t="n"/>
      <c r="X715" s="85" t="n"/>
      <c r="Y715" s="85" t="n"/>
      <c r="Z715" s="85" t="n"/>
      <c r="AA715" s="85" t="n"/>
      <c r="AB715" s="85" t="n"/>
      <c r="AC715" s="86" t="n"/>
      <c r="AD715" s="85">
        <f>IF($A715="","",IF(OR($AB715&lt;&gt;"Yes",$AC715="",TODAY()-$AC715&gt;90),"At Risk","Not At Risk"))</f>
        <v/>
      </c>
      <c r="AE715" s="85" t="n"/>
    </row>
    <row r="716" ht="15" customHeight="1" s="39">
      <c r="A716" s="85" t="n"/>
      <c r="B716" s="85" t="n"/>
      <c r="C716" s="85" t="n"/>
      <c r="D716" s="85" t="n"/>
      <c r="E716" s="85" t="n"/>
      <c r="F716" s="85" t="n"/>
      <c r="G716" s="85" t="n"/>
      <c r="H716" s="85" t="n"/>
      <c r="I716" s="85" t="n"/>
      <c r="J716" s="85" t="n"/>
      <c r="K716" s="85" t="n"/>
      <c r="L716" s="85" t="n"/>
      <c r="M716" s="85" t="n"/>
      <c r="N716" s="85" t="n"/>
      <c r="O716" s="85" t="n"/>
      <c r="P716" s="85" t="n"/>
      <c r="Q716" s="85" t="n"/>
      <c r="R716" s="85" t="n"/>
      <c r="S716" s="85" t="n"/>
      <c r="T716" s="85" t="n"/>
      <c r="U716" s="85" t="n"/>
      <c r="V716" s="85" t="n"/>
      <c r="W716" s="85" t="n"/>
      <c r="X716" s="85" t="n"/>
      <c r="Y716" s="85" t="n"/>
      <c r="Z716" s="85" t="n"/>
      <c r="AA716" s="85" t="n"/>
      <c r="AB716" s="85" t="n"/>
      <c r="AC716" s="86" t="n"/>
      <c r="AD716" s="85">
        <f>IF($A716="","",IF(OR($AB716&lt;&gt;"Yes",$AC716="",TODAY()-$AC716&gt;90),"At Risk","Not At Risk"))</f>
        <v/>
      </c>
      <c r="AE716" s="85" t="n"/>
    </row>
    <row r="717" ht="15" customHeight="1" s="39">
      <c r="A717" s="85" t="n"/>
      <c r="B717" s="85" t="n"/>
      <c r="C717" s="85" t="n"/>
      <c r="D717" s="85" t="n"/>
      <c r="E717" s="85" t="n"/>
      <c r="F717" s="85" t="n"/>
      <c r="G717" s="85" t="n"/>
      <c r="H717" s="85" t="n"/>
      <c r="I717" s="85" t="n"/>
      <c r="J717" s="85" t="n"/>
      <c r="K717" s="85" t="n"/>
      <c r="L717" s="85" t="n"/>
      <c r="M717" s="85" t="n"/>
      <c r="N717" s="85" t="n"/>
      <c r="O717" s="85" t="n"/>
      <c r="P717" s="85" t="n"/>
      <c r="Q717" s="85" t="n"/>
      <c r="R717" s="85" t="n"/>
      <c r="S717" s="85" t="n"/>
      <c r="T717" s="85" t="n"/>
      <c r="U717" s="85" t="n"/>
      <c r="V717" s="85" t="n"/>
      <c r="W717" s="85" t="n"/>
      <c r="X717" s="85" t="n"/>
      <c r="Y717" s="85" t="n"/>
      <c r="Z717" s="85" t="n"/>
      <c r="AA717" s="85" t="n"/>
      <c r="AB717" s="85" t="n"/>
      <c r="AC717" s="86" t="n"/>
      <c r="AD717" s="85">
        <f>IF($A717="","",IF(OR($AB717&lt;&gt;"Yes",$AC717="",TODAY()-$AC717&gt;90),"At Risk","Not At Risk"))</f>
        <v/>
      </c>
      <c r="AE717" s="85" t="n"/>
    </row>
    <row r="718" ht="15" customHeight="1" s="39">
      <c r="A718" s="85" t="n"/>
      <c r="B718" s="85" t="n"/>
      <c r="C718" s="85" t="n"/>
      <c r="D718" s="85" t="n"/>
      <c r="E718" s="85" t="n"/>
      <c r="F718" s="85" t="n"/>
      <c r="G718" s="85" t="n"/>
      <c r="H718" s="85" t="n"/>
      <c r="I718" s="85" t="n"/>
      <c r="J718" s="85" t="n"/>
      <c r="K718" s="85" t="n"/>
      <c r="L718" s="85" t="n"/>
      <c r="M718" s="85" t="n"/>
      <c r="N718" s="85" t="n"/>
      <c r="O718" s="85" t="n"/>
      <c r="P718" s="85" t="n"/>
      <c r="Q718" s="85" t="n"/>
      <c r="R718" s="85" t="n"/>
      <c r="S718" s="85" t="n"/>
      <c r="T718" s="85" t="n"/>
      <c r="U718" s="85" t="n"/>
      <c r="V718" s="85" t="n"/>
      <c r="W718" s="85" t="n"/>
      <c r="X718" s="85" t="n"/>
      <c r="Y718" s="85" t="n"/>
      <c r="Z718" s="85" t="n"/>
      <c r="AA718" s="85" t="n"/>
      <c r="AB718" s="85" t="n"/>
      <c r="AC718" s="86" t="n"/>
      <c r="AD718" s="85">
        <f>IF($A718="","",IF(OR($AB718&lt;&gt;"Yes",$AC718="",TODAY()-$AC718&gt;90),"At Risk","Not At Risk"))</f>
        <v/>
      </c>
      <c r="AE718" s="85" t="n"/>
    </row>
    <row r="719" ht="15" customHeight="1" s="39">
      <c r="A719" s="85" t="n"/>
      <c r="B719" s="85" t="n"/>
      <c r="C719" s="85" t="n"/>
      <c r="D719" s="85" t="n"/>
      <c r="E719" s="85" t="n"/>
      <c r="F719" s="85" t="n"/>
      <c r="G719" s="85" t="n"/>
      <c r="H719" s="85" t="n"/>
      <c r="I719" s="85" t="n"/>
      <c r="J719" s="85" t="n"/>
      <c r="K719" s="85" t="n"/>
      <c r="L719" s="85" t="n"/>
      <c r="M719" s="85" t="n"/>
      <c r="N719" s="85" t="n"/>
      <c r="O719" s="85" t="n"/>
      <c r="P719" s="85" t="n"/>
      <c r="Q719" s="85" t="n"/>
      <c r="R719" s="85" t="n"/>
      <c r="S719" s="85" t="n"/>
      <c r="T719" s="85" t="n"/>
      <c r="U719" s="85" t="n"/>
      <c r="V719" s="85" t="n"/>
      <c r="W719" s="85" t="n"/>
      <c r="X719" s="85" t="n"/>
      <c r="Y719" s="85" t="n"/>
      <c r="Z719" s="85" t="n"/>
      <c r="AA719" s="85" t="n"/>
      <c r="AB719" s="85" t="n"/>
      <c r="AC719" s="86" t="n"/>
      <c r="AD719" s="85">
        <f>IF($A719="","",IF(OR($AB719&lt;&gt;"Yes",$AC719="",TODAY()-$AC719&gt;90),"At Risk","Not At Risk"))</f>
        <v/>
      </c>
      <c r="AE719" s="85" t="n"/>
    </row>
    <row r="720" ht="15" customHeight="1" s="39">
      <c r="A720" s="85" t="n"/>
      <c r="B720" s="85" t="n"/>
      <c r="C720" s="85" t="n"/>
      <c r="D720" s="85" t="n"/>
      <c r="E720" s="85" t="n"/>
      <c r="F720" s="85" t="n"/>
      <c r="G720" s="85" t="n"/>
      <c r="H720" s="85" t="n"/>
      <c r="I720" s="85" t="n"/>
      <c r="J720" s="85" t="n"/>
      <c r="K720" s="85" t="n"/>
      <c r="L720" s="85" t="n"/>
      <c r="M720" s="85" t="n"/>
      <c r="N720" s="85" t="n"/>
      <c r="O720" s="85" t="n"/>
      <c r="P720" s="85" t="n"/>
      <c r="Q720" s="85" t="n"/>
      <c r="R720" s="85" t="n"/>
      <c r="S720" s="85" t="n"/>
      <c r="T720" s="85" t="n"/>
      <c r="U720" s="85" t="n"/>
      <c r="V720" s="85" t="n"/>
      <c r="W720" s="85" t="n"/>
      <c r="X720" s="85" t="n"/>
      <c r="Y720" s="85" t="n"/>
      <c r="Z720" s="85" t="n"/>
      <c r="AA720" s="85" t="n"/>
      <c r="AB720" s="85" t="n"/>
      <c r="AC720" s="86" t="n"/>
      <c r="AD720" s="85">
        <f>IF($A720="","",IF(OR($AB720&lt;&gt;"Yes",$AC720="",TODAY()-$AC720&gt;90),"At Risk","Not At Risk"))</f>
        <v/>
      </c>
      <c r="AE720" s="85" t="n"/>
    </row>
    <row r="721" ht="15" customHeight="1" s="39">
      <c r="A721" s="85" t="n"/>
      <c r="B721" s="85" t="n"/>
      <c r="C721" s="85" t="n"/>
      <c r="D721" s="85" t="n"/>
      <c r="E721" s="85" t="n"/>
      <c r="F721" s="85" t="n"/>
      <c r="G721" s="85" t="n"/>
      <c r="H721" s="85" t="n"/>
      <c r="I721" s="85" t="n"/>
      <c r="J721" s="85" t="n"/>
      <c r="K721" s="85" t="n"/>
      <c r="L721" s="85" t="n"/>
      <c r="M721" s="85" t="n"/>
      <c r="N721" s="85" t="n"/>
      <c r="O721" s="85" t="n"/>
      <c r="P721" s="85" t="n"/>
      <c r="Q721" s="85" t="n"/>
      <c r="R721" s="85" t="n"/>
      <c r="S721" s="85" t="n"/>
      <c r="T721" s="85" t="n"/>
      <c r="U721" s="85" t="n"/>
      <c r="V721" s="85" t="n"/>
      <c r="W721" s="85" t="n"/>
      <c r="X721" s="85" t="n"/>
      <c r="Y721" s="85" t="n"/>
      <c r="Z721" s="85" t="n"/>
      <c r="AA721" s="85" t="n"/>
      <c r="AB721" s="85" t="n"/>
      <c r="AC721" s="86" t="n"/>
      <c r="AD721" s="85">
        <f>IF($A721="","",IF(OR($AB721&lt;&gt;"Yes",$AC721="",TODAY()-$AC721&gt;90),"At Risk","Not At Risk"))</f>
        <v/>
      </c>
      <c r="AE721" s="85" t="n"/>
    </row>
    <row r="722" ht="15" customHeight="1" s="39">
      <c r="A722" s="85" t="n"/>
      <c r="B722" s="85" t="n"/>
      <c r="C722" s="85" t="n"/>
      <c r="D722" s="85" t="n"/>
      <c r="E722" s="85" t="n"/>
      <c r="F722" s="85" t="n"/>
      <c r="G722" s="85" t="n"/>
      <c r="H722" s="85" t="n"/>
      <c r="I722" s="85" t="n"/>
      <c r="J722" s="85" t="n"/>
      <c r="K722" s="85" t="n"/>
      <c r="L722" s="85" t="n"/>
      <c r="M722" s="85" t="n"/>
      <c r="N722" s="85" t="n"/>
      <c r="O722" s="85" t="n"/>
      <c r="P722" s="85" t="n"/>
      <c r="Q722" s="85" t="n"/>
      <c r="R722" s="85" t="n"/>
      <c r="S722" s="85" t="n"/>
      <c r="T722" s="85" t="n"/>
      <c r="U722" s="85" t="n"/>
      <c r="V722" s="85" t="n"/>
      <c r="W722" s="85" t="n"/>
      <c r="X722" s="85" t="n"/>
      <c r="Y722" s="85" t="n"/>
      <c r="Z722" s="85" t="n"/>
      <c r="AA722" s="85" t="n"/>
      <c r="AB722" s="85" t="n"/>
      <c r="AC722" s="86" t="n"/>
      <c r="AD722" s="85">
        <f>IF($A722="","",IF(OR($AB722&lt;&gt;"Yes",$AC722="",TODAY()-$AC722&gt;90),"At Risk","Not At Risk"))</f>
        <v/>
      </c>
      <c r="AE722" s="85" t="n"/>
    </row>
    <row r="723" ht="15" customHeight="1" s="39">
      <c r="A723" s="85" t="n"/>
      <c r="B723" s="85" t="n"/>
      <c r="C723" s="85" t="n"/>
      <c r="D723" s="85" t="n"/>
      <c r="E723" s="85" t="n"/>
      <c r="F723" s="85" t="n"/>
      <c r="G723" s="85" t="n"/>
      <c r="H723" s="85" t="n"/>
      <c r="I723" s="85" t="n"/>
      <c r="J723" s="85" t="n"/>
      <c r="K723" s="85" t="n"/>
      <c r="L723" s="85" t="n"/>
      <c r="M723" s="85" t="n"/>
      <c r="N723" s="85" t="n"/>
      <c r="O723" s="85" t="n"/>
      <c r="P723" s="85" t="n"/>
      <c r="Q723" s="85" t="n"/>
      <c r="R723" s="85" t="n"/>
      <c r="S723" s="85" t="n"/>
      <c r="T723" s="85" t="n"/>
      <c r="U723" s="85" t="n"/>
      <c r="V723" s="85" t="n"/>
      <c r="W723" s="85" t="n"/>
      <c r="X723" s="85" t="n"/>
      <c r="Y723" s="85" t="n"/>
      <c r="Z723" s="85" t="n"/>
      <c r="AA723" s="85" t="n"/>
      <c r="AB723" s="85" t="n"/>
      <c r="AC723" s="86" t="n"/>
      <c r="AD723" s="85">
        <f>IF($A723="","",IF(OR($AB723&lt;&gt;"Yes",$AC723="",TODAY()-$AC723&gt;90),"At Risk","Not At Risk"))</f>
        <v/>
      </c>
      <c r="AE723" s="85" t="n"/>
    </row>
    <row r="724" ht="15" customHeight="1" s="39">
      <c r="A724" s="85" t="n"/>
      <c r="B724" s="85" t="n"/>
      <c r="C724" s="85" t="n"/>
      <c r="D724" s="85" t="n"/>
      <c r="E724" s="85" t="n"/>
      <c r="F724" s="85" t="n"/>
      <c r="G724" s="85" t="n"/>
      <c r="H724" s="85" t="n"/>
      <c r="I724" s="85" t="n"/>
      <c r="J724" s="85" t="n"/>
      <c r="K724" s="85" t="n"/>
      <c r="L724" s="85" t="n"/>
      <c r="M724" s="85" t="n"/>
      <c r="N724" s="85" t="n"/>
      <c r="O724" s="85" t="n"/>
      <c r="P724" s="85" t="n"/>
      <c r="Q724" s="85" t="n"/>
      <c r="R724" s="85" t="n"/>
      <c r="S724" s="85" t="n"/>
      <c r="T724" s="85" t="n"/>
      <c r="U724" s="85" t="n"/>
      <c r="V724" s="85" t="n"/>
      <c r="W724" s="85" t="n"/>
      <c r="X724" s="85" t="n"/>
      <c r="Y724" s="85" t="n"/>
      <c r="Z724" s="85" t="n"/>
      <c r="AA724" s="85" t="n"/>
      <c r="AB724" s="85" t="n"/>
      <c r="AC724" s="86" t="n"/>
      <c r="AD724" s="85">
        <f>IF($A724="","",IF(OR($AB724&lt;&gt;"Yes",$AC724="",TODAY()-$AC724&gt;90),"At Risk","Not At Risk"))</f>
        <v/>
      </c>
      <c r="AE724" s="85" t="n"/>
    </row>
    <row r="725" ht="15" customHeight="1" s="39">
      <c r="A725" s="85" t="n"/>
      <c r="B725" s="85" t="n"/>
      <c r="C725" s="85" t="n"/>
      <c r="D725" s="85" t="n"/>
      <c r="E725" s="85" t="n"/>
      <c r="F725" s="85" t="n"/>
      <c r="G725" s="85" t="n"/>
      <c r="H725" s="85" t="n"/>
      <c r="I725" s="85" t="n"/>
      <c r="J725" s="85" t="n"/>
      <c r="K725" s="85" t="n"/>
      <c r="L725" s="85" t="n"/>
      <c r="M725" s="85" t="n"/>
      <c r="N725" s="85" t="n"/>
      <c r="O725" s="85" t="n"/>
      <c r="P725" s="85" t="n"/>
      <c r="Q725" s="85" t="n"/>
      <c r="R725" s="85" t="n"/>
      <c r="S725" s="85" t="n"/>
      <c r="T725" s="85" t="n"/>
      <c r="U725" s="85" t="n"/>
      <c r="V725" s="85" t="n"/>
      <c r="W725" s="85" t="n"/>
      <c r="X725" s="85" t="n"/>
      <c r="Y725" s="85" t="n"/>
      <c r="Z725" s="85" t="n"/>
      <c r="AA725" s="85" t="n"/>
      <c r="AB725" s="85" t="n"/>
      <c r="AC725" s="86" t="n"/>
      <c r="AD725" s="85">
        <f>IF($A725="","",IF(OR($AB725&lt;&gt;"Yes",$AC725="",TODAY()-$AC725&gt;90),"At Risk","Not At Risk"))</f>
        <v/>
      </c>
      <c r="AE725" s="85" t="n"/>
    </row>
    <row r="726" ht="15" customHeight="1" s="39">
      <c r="A726" s="85" t="n"/>
      <c r="B726" s="85" t="n"/>
      <c r="C726" s="85" t="n"/>
      <c r="D726" s="85" t="n"/>
      <c r="E726" s="85" t="n"/>
      <c r="F726" s="85" t="n"/>
      <c r="G726" s="85" t="n"/>
      <c r="H726" s="85" t="n"/>
      <c r="I726" s="85" t="n"/>
      <c r="J726" s="85" t="n"/>
      <c r="K726" s="85" t="n"/>
      <c r="L726" s="85" t="n"/>
      <c r="M726" s="85" t="n"/>
      <c r="N726" s="85" t="n"/>
      <c r="O726" s="85" t="n"/>
      <c r="P726" s="85" t="n"/>
      <c r="Q726" s="85" t="n"/>
      <c r="R726" s="85" t="n"/>
      <c r="S726" s="85" t="n"/>
      <c r="T726" s="85" t="n"/>
      <c r="U726" s="85" t="n"/>
      <c r="V726" s="85" t="n"/>
      <c r="W726" s="85" t="n"/>
      <c r="X726" s="85" t="n"/>
      <c r="Y726" s="85" t="n"/>
      <c r="Z726" s="85" t="n"/>
      <c r="AA726" s="85" t="n"/>
      <c r="AB726" s="85" t="n"/>
      <c r="AC726" s="86" t="n"/>
      <c r="AD726" s="85">
        <f>IF($A726="","",IF(OR($AB726&lt;&gt;"Yes",$AC726="",TODAY()-$AC726&gt;90),"At Risk","Not At Risk"))</f>
        <v/>
      </c>
      <c r="AE726" s="85" t="n"/>
    </row>
    <row r="727" ht="15" customHeight="1" s="39">
      <c r="A727" s="85" t="n"/>
      <c r="B727" s="85" t="n"/>
      <c r="C727" s="85" t="n"/>
      <c r="D727" s="85" t="n"/>
      <c r="E727" s="85" t="n"/>
      <c r="F727" s="85" t="n"/>
      <c r="G727" s="85" t="n"/>
      <c r="H727" s="85" t="n"/>
      <c r="I727" s="85" t="n"/>
      <c r="J727" s="85" t="n"/>
      <c r="K727" s="85" t="n"/>
      <c r="L727" s="85" t="n"/>
      <c r="M727" s="85" t="n"/>
      <c r="N727" s="85" t="n"/>
      <c r="O727" s="85" t="n"/>
      <c r="P727" s="85" t="n"/>
      <c r="Q727" s="85" t="n"/>
      <c r="R727" s="85" t="n"/>
      <c r="S727" s="85" t="n"/>
      <c r="T727" s="85" t="n"/>
      <c r="U727" s="85" t="n"/>
      <c r="V727" s="85" t="n"/>
      <c r="W727" s="85" t="n"/>
      <c r="X727" s="85" t="n"/>
      <c r="Y727" s="85" t="n"/>
      <c r="Z727" s="85" t="n"/>
      <c r="AA727" s="85" t="n"/>
      <c r="AB727" s="85" t="n"/>
      <c r="AC727" s="86" t="n"/>
      <c r="AD727" s="85">
        <f>IF($A727="","",IF(OR($AB727&lt;&gt;"Yes",$AC727="",TODAY()-$AC727&gt;90),"At Risk","Not At Risk"))</f>
        <v/>
      </c>
      <c r="AE727" s="85" t="n"/>
    </row>
    <row r="728" ht="15" customHeight="1" s="39">
      <c r="A728" s="85" t="n"/>
      <c r="B728" s="85" t="n"/>
      <c r="C728" s="85" t="n"/>
      <c r="D728" s="85" t="n"/>
      <c r="E728" s="85" t="n"/>
      <c r="F728" s="85" t="n"/>
      <c r="G728" s="85" t="n"/>
      <c r="H728" s="85" t="n"/>
      <c r="I728" s="85" t="n"/>
      <c r="J728" s="85" t="n"/>
      <c r="K728" s="85" t="n"/>
      <c r="L728" s="85" t="n"/>
      <c r="M728" s="85" t="n"/>
      <c r="N728" s="85" t="n"/>
      <c r="O728" s="85" t="n"/>
      <c r="P728" s="85" t="n"/>
      <c r="Q728" s="85" t="n"/>
      <c r="R728" s="85" t="n"/>
      <c r="S728" s="85" t="n"/>
      <c r="T728" s="85" t="n"/>
      <c r="U728" s="85" t="n"/>
      <c r="V728" s="85" t="n"/>
      <c r="W728" s="85" t="n"/>
      <c r="X728" s="85" t="n"/>
      <c r="Y728" s="85" t="n"/>
      <c r="Z728" s="85" t="n"/>
      <c r="AA728" s="85" t="n"/>
      <c r="AB728" s="85" t="n"/>
      <c r="AC728" s="86" t="n"/>
      <c r="AD728" s="85">
        <f>IF($A728="","",IF(OR($AB728&lt;&gt;"Yes",$AC728="",TODAY()-$AC728&gt;90),"At Risk","Not At Risk"))</f>
        <v/>
      </c>
      <c r="AE728" s="85" t="n"/>
    </row>
    <row r="729" ht="15" customHeight="1" s="39">
      <c r="A729" s="85" t="n"/>
      <c r="B729" s="85" t="n"/>
      <c r="C729" s="85" t="n"/>
      <c r="D729" s="85" t="n"/>
      <c r="E729" s="85" t="n"/>
      <c r="F729" s="85" t="n"/>
      <c r="G729" s="85" t="n"/>
      <c r="H729" s="85" t="n"/>
      <c r="I729" s="85" t="n"/>
      <c r="J729" s="85" t="n"/>
      <c r="K729" s="85" t="n"/>
      <c r="L729" s="85" t="n"/>
      <c r="M729" s="85" t="n"/>
      <c r="N729" s="85" t="n"/>
      <c r="O729" s="85" t="n"/>
      <c r="P729" s="85" t="n"/>
      <c r="Q729" s="85" t="n"/>
      <c r="R729" s="85" t="n"/>
      <c r="S729" s="85" t="n"/>
      <c r="T729" s="85" t="n"/>
      <c r="U729" s="85" t="n"/>
      <c r="V729" s="85" t="n"/>
      <c r="W729" s="85" t="n"/>
      <c r="X729" s="85" t="n"/>
      <c r="Y729" s="85" t="n"/>
      <c r="Z729" s="85" t="n"/>
      <c r="AA729" s="85" t="n"/>
      <c r="AB729" s="85" t="n"/>
      <c r="AC729" s="86" t="n"/>
      <c r="AD729" s="85">
        <f>IF($A729="","",IF(OR($AB729&lt;&gt;"Yes",$AC729="",TODAY()-$AC729&gt;90),"At Risk","Not At Risk"))</f>
        <v/>
      </c>
      <c r="AE729" s="85" t="n"/>
    </row>
    <row r="730" ht="15" customHeight="1" s="39">
      <c r="A730" s="85" t="n"/>
      <c r="B730" s="85" t="n"/>
      <c r="C730" s="85" t="n"/>
      <c r="D730" s="85" t="n"/>
      <c r="E730" s="85" t="n"/>
      <c r="F730" s="85" t="n"/>
      <c r="G730" s="85" t="n"/>
      <c r="H730" s="85" t="n"/>
      <c r="I730" s="85" t="n"/>
      <c r="J730" s="85" t="n"/>
      <c r="K730" s="85" t="n"/>
      <c r="L730" s="85" t="n"/>
      <c r="M730" s="85" t="n"/>
      <c r="N730" s="85" t="n"/>
      <c r="O730" s="85" t="n"/>
      <c r="P730" s="85" t="n"/>
      <c r="Q730" s="85" t="n"/>
      <c r="R730" s="85" t="n"/>
      <c r="S730" s="85" t="n"/>
      <c r="T730" s="85" t="n"/>
      <c r="U730" s="85" t="n"/>
      <c r="V730" s="85" t="n"/>
      <c r="W730" s="85" t="n"/>
      <c r="X730" s="85" t="n"/>
      <c r="Y730" s="85" t="n"/>
      <c r="Z730" s="85" t="n"/>
      <c r="AA730" s="85" t="n"/>
      <c r="AB730" s="85" t="n"/>
      <c r="AC730" s="86" t="n"/>
      <c r="AD730" s="85">
        <f>IF($A730="","",IF(OR($AB730&lt;&gt;"Yes",$AC730="",TODAY()-$AC730&gt;90),"At Risk","Not At Risk"))</f>
        <v/>
      </c>
      <c r="AE730" s="85" t="n"/>
    </row>
    <row r="731" ht="15" customHeight="1" s="39">
      <c r="A731" s="85" t="n"/>
      <c r="B731" s="85" t="n"/>
      <c r="C731" s="85" t="n"/>
      <c r="D731" s="85" t="n"/>
      <c r="E731" s="85" t="n"/>
      <c r="F731" s="85" t="n"/>
      <c r="G731" s="85" t="n"/>
      <c r="H731" s="85" t="n"/>
      <c r="I731" s="85" t="n"/>
      <c r="J731" s="85" t="n"/>
      <c r="K731" s="85" t="n"/>
      <c r="L731" s="85" t="n"/>
      <c r="M731" s="85" t="n"/>
      <c r="N731" s="85" t="n"/>
      <c r="O731" s="85" t="n"/>
      <c r="P731" s="85" t="n"/>
      <c r="Q731" s="85" t="n"/>
      <c r="R731" s="85" t="n"/>
      <c r="S731" s="85" t="n"/>
      <c r="T731" s="85" t="n"/>
      <c r="U731" s="85" t="n"/>
      <c r="V731" s="85" t="n"/>
      <c r="W731" s="85" t="n"/>
      <c r="X731" s="85" t="n"/>
      <c r="Y731" s="85" t="n"/>
      <c r="Z731" s="85" t="n"/>
      <c r="AA731" s="85" t="n"/>
      <c r="AB731" s="85" t="n"/>
      <c r="AC731" s="86" t="n"/>
      <c r="AD731" s="85">
        <f>IF($A731="","",IF(OR($AB731&lt;&gt;"Yes",$AC731="",TODAY()-$AC731&gt;90),"At Risk","Not At Risk"))</f>
        <v/>
      </c>
      <c r="AE731" s="85" t="n"/>
    </row>
    <row r="732" ht="15" customHeight="1" s="39">
      <c r="A732" s="85" t="n"/>
      <c r="B732" s="85" t="n"/>
      <c r="C732" s="85" t="n"/>
      <c r="D732" s="85" t="n"/>
      <c r="E732" s="85" t="n"/>
      <c r="F732" s="85" t="n"/>
      <c r="G732" s="85" t="n"/>
      <c r="H732" s="85" t="n"/>
      <c r="I732" s="85" t="n"/>
      <c r="J732" s="85" t="n"/>
      <c r="K732" s="85" t="n"/>
      <c r="L732" s="85" t="n"/>
      <c r="M732" s="85" t="n"/>
      <c r="N732" s="85" t="n"/>
      <c r="O732" s="85" t="n"/>
      <c r="P732" s="85" t="n"/>
      <c r="Q732" s="85" t="n"/>
      <c r="R732" s="85" t="n"/>
      <c r="S732" s="85" t="n"/>
      <c r="T732" s="85" t="n"/>
      <c r="U732" s="85" t="n"/>
      <c r="V732" s="85" t="n"/>
      <c r="W732" s="85" t="n"/>
      <c r="X732" s="85" t="n"/>
      <c r="Y732" s="85" t="n"/>
      <c r="Z732" s="85" t="n"/>
      <c r="AA732" s="85" t="n"/>
      <c r="AB732" s="85" t="n"/>
      <c r="AC732" s="86" t="n"/>
      <c r="AD732" s="85">
        <f>IF($A732="","",IF(OR($AB732&lt;&gt;"Yes",$AC732="",TODAY()-$AC732&gt;90),"At Risk","Not At Risk"))</f>
        <v/>
      </c>
      <c r="AE732" s="85" t="n"/>
    </row>
    <row r="733" ht="15" customHeight="1" s="39">
      <c r="A733" s="85" t="n"/>
      <c r="B733" s="85" t="n"/>
      <c r="C733" s="85" t="n"/>
      <c r="D733" s="85" t="n"/>
      <c r="E733" s="85" t="n"/>
      <c r="F733" s="85" t="n"/>
      <c r="G733" s="85" t="n"/>
      <c r="H733" s="85" t="n"/>
      <c r="I733" s="85" t="n"/>
      <c r="J733" s="85" t="n"/>
      <c r="K733" s="85" t="n"/>
      <c r="L733" s="85" t="n"/>
      <c r="M733" s="85" t="n"/>
      <c r="N733" s="85" t="n"/>
      <c r="O733" s="85" t="n"/>
      <c r="P733" s="85" t="n"/>
      <c r="Q733" s="85" t="n"/>
      <c r="R733" s="85" t="n"/>
      <c r="S733" s="85" t="n"/>
      <c r="T733" s="85" t="n"/>
      <c r="U733" s="85" t="n"/>
      <c r="V733" s="85" t="n"/>
      <c r="W733" s="85" t="n"/>
      <c r="X733" s="85" t="n"/>
      <c r="Y733" s="85" t="n"/>
      <c r="Z733" s="85" t="n"/>
      <c r="AA733" s="85" t="n"/>
      <c r="AB733" s="85" t="n"/>
      <c r="AC733" s="86" t="n"/>
      <c r="AD733" s="85">
        <f>IF($A733="","",IF(OR($AB733&lt;&gt;"Yes",$AC733="",TODAY()-$AC733&gt;90),"At Risk","Not At Risk"))</f>
        <v/>
      </c>
      <c r="AE733" s="85" t="n"/>
    </row>
    <row r="734" ht="15" customHeight="1" s="39">
      <c r="A734" s="85" t="n"/>
      <c r="B734" s="85" t="n"/>
      <c r="C734" s="85" t="n"/>
      <c r="D734" s="85" t="n"/>
      <c r="E734" s="85" t="n"/>
      <c r="F734" s="85" t="n"/>
      <c r="G734" s="85" t="n"/>
      <c r="H734" s="85" t="n"/>
      <c r="I734" s="85" t="n"/>
      <c r="J734" s="85" t="n"/>
      <c r="K734" s="85" t="n"/>
      <c r="L734" s="85" t="n"/>
      <c r="M734" s="85" t="n"/>
      <c r="N734" s="85" t="n"/>
      <c r="O734" s="85" t="n"/>
      <c r="P734" s="85" t="n"/>
      <c r="Q734" s="85" t="n"/>
      <c r="R734" s="85" t="n"/>
      <c r="S734" s="85" t="n"/>
      <c r="T734" s="85" t="n"/>
      <c r="U734" s="85" t="n"/>
      <c r="V734" s="85" t="n"/>
      <c r="W734" s="85" t="n"/>
      <c r="X734" s="85" t="n"/>
      <c r="Y734" s="85" t="n"/>
      <c r="Z734" s="85" t="n"/>
      <c r="AA734" s="85" t="n"/>
      <c r="AB734" s="85" t="n"/>
      <c r="AC734" s="86" t="n"/>
      <c r="AD734" s="85">
        <f>IF($A734="","",IF(OR($AB734&lt;&gt;"Yes",$AC734="",TODAY()-$AC734&gt;90),"At Risk","Not At Risk"))</f>
        <v/>
      </c>
      <c r="AE734" s="85" t="n"/>
    </row>
    <row r="735" ht="15" customHeight="1" s="39">
      <c r="A735" s="85" t="n"/>
      <c r="B735" s="85" t="n"/>
      <c r="C735" s="85" t="n"/>
      <c r="D735" s="85" t="n"/>
      <c r="E735" s="85" t="n"/>
      <c r="F735" s="85" t="n"/>
      <c r="G735" s="85" t="n"/>
      <c r="H735" s="85" t="n"/>
      <c r="I735" s="85" t="n"/>
      <c r="J735" s="85" t="n"/>
      <c r="K735" s="85" t="n"/>
      <c r="L735" s="85" t="n"/>
      <c r="M735" s="85" t="n"/>
      <c r="N735" s="85" t="n"/>
      <c r="O735" s="85" t="n"/>
      <c r="P735" s="85" t="n"/>
      <c r="Q735" s="85" t="n"/>
      <c r="R735" s="85" t="n"/>
      <c r="S735" s="85" t="n"/>
      <c r="T735" s="85" t="n"/>
      <c r="U735" s="85" t="n"/>
      <c r="V735" s="85" t="n"/>
      <c r="W735" s="85" t="n"/>
      <c r="X735" s="85" t="n"/>
      <c r="Y735" s="85" t="n"/>
      <c r="Z735" s="85" t="n"/>
      <c r="AA735" s="85" t="n"/>
      <c r="AB735" s="85" t="n"/>
      <c r="AC735" s="86" t="n"/>
      <c r="AD735" s="85">
        <f>IF($A735="","",IF(OR($AB735&lt;&gt;"Yes",$AC735="",TODAY()-$AC735&gt;90),"At Risk","Not At Risk"))</f>
        <v/>
      </c>
      <c r="AE735" s="85" t="n"/>
    </row>
    <row r="736" ht="15" customHeight="1" s="39">
      <c r="A736" s="85" t="n"/>
      <c r="B736" s="85" t="n"/>
      <c r="C736" s="85" t="n"/>
      <c r="D736" s="85" t="n"/>
      <c r="E736" s="85" t="n"/>
      <c r="F736" s="85" t="n"/>
      <c r="G736" s="85" t="n"/>
      <c r="H736" s="85" t="n"/>
      <c r="I736" s="85" t="n"/>
      <c r="J736" s="85" t="n"/>
      <c r="K736" s="85" t="n"/>
      <c r="L736" s="85" t="n"/>
      <c r="M736" s="85" t="n"/>
      <c r="N736" s="85" t="n"/>
      <c r="O736" s="85" t="n"/>
      <c r="P736" s="85" t="n"/>
      <c r="Q736" s="85" t="n"/>
      <c r="R736" s="85" t="n"/>
      <c r="S736" s="85" t="n"/>
      <c r="T736" s="85" t="n"/>
      <c r="U736" s="85" t="n"/>
      <c r="V736" s="85" t="n"/>
      <c r="W736" s="85" t="n"/>
      <c r="X736" s="85" t="n"/>
      <c r="Y736" s="85" t="n"/>
      <c r="Z736" s="85" t="n"/>
      <c r="AA736" s="85" t="n"/>
      <c r="AB736" s="85" t="n"/>
      <c r="AC736" s="86" t="n"/>
      <c r="AD736" s="85">
        <f>IF($A736="","",IF(OR($AB736&lt;&gt;"Yes",$AC736="",TODAY()-$AC736&gt;90),"At Risk","Not At Risk"))</f>
        <v/>
      </c>
      <c r="AE736" s="85" t="n"/>
    </row>
    <row r="737" ht="15" customHeight="1" s="39">
      <c r="A737" s="85" t="n"/>
      <c r="B737" s="85" t="n"/>
      <c r="C737" s="85" t="n"/>
      <c r="D737" s="85" t="n"/>
      <c r="E737" s="85" t="n"/>
      <c r="F737" s="85" t="n"/>
      <c r="G737" s="85" t="n"/>
      <c r="H737" s="85" t="n"/>
      <c r="I737" s="85" t="n"/>
      <c r="J737" s="85" t="n"/>
      <c r="K737" s="85" t="n"/>
      <c r="L737" s="85" t="n"/>
      <c r="M737" s="85" t="n"/>
      <c r="N737" s="85" t="n"/>
      <c r="O737" s="85" t="n"/>
      <c r="P737" s="85" t="n"/>
      <c r="Q737" s="85" t="n"/>
      <c r="R737" s="85" t="n"/>
      <c r="S737" s="85" t="n"/>
      <c r="T737" s="85" t="n"/>
      <c r="U737" s="85" t="n"/>
      <c r="V737" s="85" t="n"/>
      <c r="W737" s="85" t="n"/>
      <c r="X737" s="85" t="n"/>
      <c r="Y737" s="85" t="n"/>
      <c r="Z737" s="85" t="n"/>
      <c r="AA737" s="85" t="n"/>
      <c r="AB737" s="85" t="n"/>
      <c r="AC737" s="86" t="n"/>
      <c r="AD737" s="85">
        <f>IF($A737="","",IF(OR($AB737&lt;&gt;"Yes",$AC737="",TODAY()-$AC737&gt;90),"At Risk","Not At Risk"))</f>
        <v/>
      </c>
      <c r="AE737" s="85" t="n"/>
    </row>
    <row r="738" ht="15" customHeight="1" s="39">
      <c r="A738" s="85" t="n"/>
      <c r="B738" s="85" t="n"/>
      <c r="C738" s="85" t="n"/>
      <c r="D738" s="85" t="n"/>
      <c r="E738" s="85" t="n"/>
      <c r="F738" s="85" t="n"/>
      <c r="G738" s="85" t="n"/>
      <c r="H738" s="85" t="n"/>
      <c r="I738" s="85" t="n"/>
      <c r="J738" s="85" t="n"/>
      <c r="K738" s="85" t="n"/>
      <c r="L738" s="85" t="n"/>
      <c r="M738" s="85" t="n"/>
      <c r="N738" s="85" t="n"/>
      <c r="O738" s="85" t="n"/>
      <c r="P738" s="85" t="n"/>
      <c r="Q738" s="85" t="n"/>
      <c r="R738" s="85" t="n"/>
      <c r="S738" s="85" t="n"/>
      <c r="T738" s="85" t="n"/>
      <c r="U738" s="85" t="n"/>
      <c r="V738" s="85" t="n"/>
      <c r="W738" s="85" t="n"/>
      <c r="X738" s="85" t="n"/>
      <c r="Y738" s="85" t="n"/>
      <c r="Z738" s="85" t="n"/>
      <c r="AA738" s="85" t="n"/>
      <c r="AB738" s="85" t="n"/>
      <c r="AC738" s="86" t="n"/>
      <c r="AD738" s="85">
        <f>IF($A738="","",IF(OR($AB738&lt;&gt;"Yes",$AC738="",TODAY()-$AC738&gt;90),"At Risk","Not At Risk"))</f>
        <v/>
      </c>
      <c r="AE738" s="85" t="n"/>
    </row>
    <row r="739" ht="15" customHeight="1" s="39">
      <c r="A739" s="85" t="n"/>
      <c r="B739" s="85" t="n"/>
      <c r="C739" s="85" t="n"/>
      <c r="D739" s="85" t="n"/>
      <c r="E739" s="85" t="n"/>
      <c r="F739" s="85" t="n"/>
      <c r="G739" s="85" t="n"/>
      <c r="H739" s="85" t="n"/>
      <c r="I739" s="85" t="n"/>
      <c r="J739" s="85" t="n"/>
      <c r="K739" s="85" t="n"/>
      <c r="L739" s="85" t="n"/>
      <c r="M739" s="85" t="n"/>
      <c r="N739" s="85" t="n"/>
      <c r="O739" s="85" t="n"/>
      <c r="P739" s="85" t="n"/>
      <c r="Q739" s="85" t="n"/>
      <c r="R739" s="85" t="n"/>
      <c r="S739" s="85" t="n"/>
      <c r="T739" s="85" t="n"/>
      <c r="U739" s="85" t="n"/>
      <c r="V739" s="85" t="n"/>
      <c r="W739" s="85" t="n"/>
      <c r="X739" s="85" t="n"/>
      <c r="Y739" s="85" t="n"/>
      <c r="Z739" s="85" t="n"/>
      <c r="AA739" s="85" t="n"/>
      <c r="AB739" s="85" t="n"/>
      <c r="AC739" s="86" t="n"/>
      <c r="AD739" s="85">
        <f>IF($A739="","",IF(OR($AB739&lt;&gt;"Yes",$AC739="",TODAY()-$AC739&gt;90),"At Risk","Not At Risk"))</f>
        <v/>
      </c>
      <c r="AE739" s="85" t="n"/>
    </row>
    <row r="740" ht="15" customHeight="1" s="39">
      <c r="A740" s="85" t="n"/>
      <c r="B740" s="85" t="n"/>
      <c r="C740" s="85" t="n"/>
      <c r="D740" s="85" t="n"/>
      <c r="E740" s="85" t="n"/>
      <c r="F740" s="85" t="n"/>
      <c r="G740" s="85" t="n"/>
      <c r="H740" s="85" t="n"/>
      <c r="I740" s="85" t="n"/>
      <c r="J740" s="85" t="n"/>
      <c r="K740" s="85" t="n"/>
      <c r="L740" s="85" t="n"/>
      <c r="M740" s="85" t="n"/>
      <c r="N740" s="85" t="n"/>
      <c r="O740" s="85" t="n"/>
      <c r="P740" s="85" t="n"/>
      <c r="Q740" s="85" t="n"/>
      <c r="R740" s="85" t="n"/>
      <c r="S740" s="85" t="n"/>
      <c r="T740" s="85" t="n"/>
      <c r="U740" s="85" t="n"/>
      <c r="V740" s="85" t="n"/>
      <c r="W740" s="85" t="n"/>
      <c r="X740" s="85" t="n"/>
      <c r="Y740" s="85" t="n"/>
      <c r="Z740" s="85" t="n"/>
      <c r="AA740" s="85" t="n"/>
      <c r="AB740" s="85" t="n"/>
      <c r="AC740" s="86" t="n"/>
      <c r="AD740" s="85">
        <f>IF($A740="","",IF(OR($AB740&lt;&gt;"Yes",$AC740="",TODAY()-$AC740&gt;90),"At Risk","Not At Risk"))</f>
        <v/>
      </c>
      <c r="AE740" s="85" t="n"/>
    </row>
    <row r="741" ht="15" customHeight="1" s="39">
      <c r="A741" s="85" t="n"/>
      <c r="B741" s="85" t="n"/>
      <c r="C741" s="85" t="n"/>
      <c r="D741" s="85" t="n"/>
      <c r="E741" s="85" t="n"/>
      <c r="F741" s="85" t="n"/>
      <c r="G741" s="85" t="n"/>
      <c r="H741" s="85" t="n"/>
      <c r="I741" s="85" t="n"/>
      <c r="J741" s="85" t="n"/>
      <c r="K741" s="85" t="n"/>
      <c r="L741" s="85" t="n"/>
      <c r="M741" s="85" t="n"/>
      <c r="N741" s="85" t="n"/>
      <c r="O741" s="85" t="n"/>
      <c r="P741" s="85" t="n"/>
      <c r="Q741" s="85" t="n"/>
      <c r="R741" s="85" t="n"/>
      <c r="S741" s="85" t="n"/>
      <c r="T741" s="85" t="n"/>
      <c r="U741" s="85" t="n"/>
      <c r="V741" s="85" t="n"/>
      <c r="W741" s="85" t="n"/>
      <c r="X741" s="85" t="n"/>
      <c r="Y741" s="85" t="n"/>
      <c r="Z741" s="85" t="n"/>
      <c r="AA741" s="85" t="n"/>
      <c r="AB741" s="85" t="n"/>
      <c r="AC741" s="86" t="n"/>
      <c r="AD741" s="85">
        <f>IF($A741="","",IF(OR($AB741&lt;&gt;"Yes",$AC741="",TODAY()-$AC741&gt;90),"At Risk","Not At Risk"))</f>
        <v/>
      </c>
      <c r="AE741" s="85" t="n"/>
    </row>
    <row r="742" ht="15" customHeight="1" s="39">
      <c r="A742" s="85" t="n"/>
      <c r="B742" s="85" t="n"/>
      <c r="C742" s="85" t="n"/>
      <c r="D742" s="85" t="n"/>
      <c r="E742" s="85" t="n"/>
      <c r="F742" s="85" t="n"/>
      <c r="G742" s="85" t="n"/>
      <c r="H742" s="85" t="n"/>
      <c r="I742" s="85" t="n"/>
      <c r="J742" s="85" t="n"/>
      <c r="K742" s="85" t="n"/>
      <c r="L742" s="85" t="n"/>
      <c r="M742" s="85" t="n"/>
      <c r="N742" s="85" t="n"/>
      <c r="O742" s="85" t="n"/>
      <c r="P742" s="85" t="n"/>
      <c r="Q742" s="85" t="n"/>
      <c r="R742" s="85" t="n"/>
      <c r="S742" s="85" t="n"/>
      <c r="T742" s="85" t="n"/>
      <c r="U742" s="85" t="n"/>
      <c r="V742" s="85" t="n"/>
      <c r="W742" s="85" t="n"/>
      <c r="X742" s="85" t="n"/>
      <c r="Y742" s="85" t="n"/>
      <c r="Z742" s="85" t="n"/>
      <c r="AA742" s="85" t="n"/>
      <c r="AB742" s="85" t="n"/>
      <c r="AC742" s="86" t="n"/>
      <c r="AD742" s="85">
        <f>IF($A742="","",IF(OR($AB742&lt;&gt;"Yes",$AC742="",TODAY()-$AC742&gt;90),"At Risk","Not At Risk"))</f>
        <v/>
      </c>
      <c r="AE742" s="85" t="n"/>
    </row>
    <row r="743" ht="15" customHeight="1" s="39">
      <c r="A743" s="85" t="n"/>
      <c r="B743" s="85" t="n"/>
      <c r="C743" s="85" t="n"/>
      <c r="D743" s="85" t="n"/>
      <c r="E743" s="85" t="n"/>
      <c r="F743" s="85" t="n"/>
      <c r="G743" s="85" t="n"/>
      <c r="H743" s="85" t="n"/>
      <c r="I743" s="85" t="n"/>
      <c r="J743" s="85" t="n"/>
      <c r="K743" s="85" t="n"/>
      <c r="L743" s="85" t="n"/>
      <c r="M743" s="85" t="n"/>
      <c r="N743" s="85" t="n"/>
      <c r="O743" s="85" t="n"/>
      <c r="P743" s="85" t="n"/>
      <c r="Q743" s="85" t="n"/>
      <c r="R743" s="85" t="n"/>
      <c r="S743" s="85" t="n"/>
      <c r="T743" s="85" t="n"/>
      <c r="U743" s="85" t="n"/>
      <c r="V743" s="85" t="n"/>
      <c r="W743" s="85" t="n"/>
      <c r="X743" s="85" t="n"/>
      <c r="Y743" s="85" t="n"/>
      <c r="Z743" s="85" t="n"/>
      <c r="AA743" s="85" t="n"/>
      <c r="AB743" s="85" t="n"/>
      <c r="AC743" s="86" t="n"/>
      <c r="AD743" s="85">
        <f>IF($A743="","",IF(OR($AB743&lt;&gt;"Yes",$AC743="",TODAY()-$AC743&gt;90),"At Risk","Not At Risk"))</f>
        <v/>
      </c>
      <c r="AE743" s="85" t="n"/>
    </row>
    <row r="744" ht="15" customHeight="1" s="39">
      <c r="A744" s="85" t="n"/>
      <c r="B744" s="85" t="n"/>
      <c r="C744" s="85" t="n"/>
      <c r="D744" s="85" t="n"/>
      <c r="E744" s="85" t="n"/>
      <c r="F744" s="85" t="n"/>
      <c r="G744" s="85" t="n"/>
      <c r="H744" s="85" t="n"/>
      <c r="I744" s="85" t="n"/>
      <c r="J744" s="85" t="n"/>
      <c r="K744" s="85" t="n"/>
      <c r="L744" s="85" t="n"/>
      <c r="M744" s="85" t="n"/>
      <c r="N744" s="85" t="n"/>
      <c r="O744" s="85" t="n"/>
      <c r="P744" s="85" t="n"/>
      <c r="Q744" s="85" t="n"/>
      <c r="R744" s="85" t="n"/>
      <c r="S744" s="85" t="n"/>
      <c r="T744" s="85" t="n"/>
      <c r="U744" s="85" t="n"/>
      <c r="V744" s="85" t="n"/>
      <c r="W744" s="85" t="n"/>
      <c r="X744" s="85" t="n"/>
      <c r="Y744" s="85" t="n"/>
      <c r="Z744" s="85" t="n"/>
      <c r="AA744" s="85" t="n"/>
      <c r="AB744" s="85" t="n"/>
      <c r="AC744" s="86" t="n"/>
      <c r="AD744" s="85">
        <f>IF($A744="","",IF(OR($AB744&lt;&gt;"Yes",$AC744="",TODAY()-$AC744&gt;90),"At Risk","Not At Risk"))</f>
        <v/>
      </c>
      <c r="AE744" s="85" t="n"/>
    </row>
    <row r="745" ht="15" customHeight="1" s="39">
      <c r="A745" s="85" t="n"/>
      <c r="B745" s="85" t="n"/>
      <c r="C745" s="85" t="n"/>
      <c r="D745" s="85" t="n"/>
      <c r="E745" s="85" t="n"/>
      <c r="F745" s="85" t="n"/>
      <c r="G745" s="85" t="n"/>
      <c r="H745" s="85" t="n"/>
      <c r="I745" s="85" t="n"/>
      <c r="J745" s="85" t="n"/>
      <c r="K745" s="85" t="n"/>
      <c r="L745" s="85" t="n"/>
      <c r="M745" s="85" t="n"/>
      <c r="N745" s="85" t="n"/>
      <c r="O745" s="85" t="n"/>
      <c r="P745" s="85" t="n"/>
      <c r="Q745" s="85" t="n"/>
      <c r="R745" s="85" t="n"/>
      <c r="S745" s="85" t="n"/>
      <c r="T745" s="85" t="n"/>
      <c r="U745" s="85" t="n"/>
      <c r="V745" s="85" t="n"/>
      <c r="W745" s="85" t="n"/>
      <c r="X745" s="85" t="n"/>
      <c r="Y745" s="85" t="n"/>
      <c r="Z745" s="85" t="n"/>
      <c r="AA745" s="85" t="n"/>
      <c r="AB745" s="85" t="n"/>
      <c r="AC745" s="86" t="n"/>
      <c r="AD745" s="85">
        <f>IF($A745="","",IF(OR($AB745&lt;&gt;"Yes",$AC745="",TODAY()-$AC745&gt;90),"At Risk","Not At Risk"))</f>
        <v/>
      </c>
      <c r="AE745" s="85" t="n"/>
    </row>
    <row r="746" ht="15" customHeight="1" s="39">
      <c r="A746" s="85" t="n"/>
      <c r="B746" s="85" t="n"/>
      <c r="C746" s="85" t="n"/>
      <c r="D746" s="85" t="n"/>
      <c r="E746" s="85" t="n"/>
      <c r="F746" s="85" t="n"/>
      <c r="G746" s="85" t="n"/>
      <c r="H746" s="85" t="n"/>
      <c r="I746" s="85" t="n"/>
      <c r="J746" s="85" t="n"/>
      <c r="K746" s="85" t="n"/>
      <c r="L746" s="85" t="n"/>
      <c r="M746" s="85" t="n"/>
      <c r="N746" s="85" t="n"/>
      <c r="O746" s="85" t="n"/>
      <c r="P746" s="85" t="n"/>
      <c r="Q746" s="85" t="n"/>
      <c r="R746" s="85" t="n"/>
      <c r="S746" s="85" t="n"/>
      <c r="T746" s="85" t="n"/>
      <c r="U746" s="85" t="n"/>
      <c r="V746" s="85" t="n"/>
      <c r="W746" s="85" t="n"/>
      <c r="X746" s="85" t="n"/>
      <c r="Y746" s="85" t="n"/>
      <c r="Z746" s="85" t="n"/>
      <c r="AA746" s="85" t="n"/>
      <c r="AB746" s="85" t="n"/>
      <c r="AC746" s="86" t="n"/>
      <c r="AD746" s="85">
        <f>IF($A746="","",IF(OR($AB746&lt;&gt;"Yes",$AC746="",TODAY()-$AC746&gt;90),"At Risk","Not At Risk"))</f>
        <v/>
      </c>
      <c r="AE746" s="85" t="n"/>
    </row>
    <row r="747" ht="15" customHeight="1" s="39">
      <c r="A747" s="85" t="n"/>
      <c r="B747" s="85" t="n"/>
      <c r="C747" s="85" t="n"/>
      <c r="D747" s="85" t="n"/>
      <c r="E747" s="85" t="n"/>
      <c r="F747" s="85" t="n"/>
      <c r="G747" s="85" t="n"/>
      <c r="H747" s="85" t="n"/>
      <c r="I747" s="85" t="n"/>
      <c r="J747" s="85" t="n"/>
      <c r="K747" s="85" t="n"/>
      <c r="L747" s="85" t="n"/>
      <c r="M747" s="85" t="n"/>
      <c r="N747" s="85" t="n"/>
      <c r="O747" s="85" t="n"/>
      <c r="P747" s="85" t="n"/>
      <c r="Q747" s="85" t="n"/>
      <c r="R747" s="85" t="n"/>
      <c r="S747" s="85" t="n"/>
      <c r="T747" s="85" t="n"/>
      <c r="U747" s="85" t="n"/>
      <c r="V747" s="85" t="n"/>
      <c r="W747" s="85" t="n"/>
      <c r="X747" s="85" t="n"/>
      <c r="Y747" s="85" t="n"/>
      <c r="Z747" s="85" t="n"/>
      <c r="AA747" s="85" t="n"/>
      <c r="AB747" s="85" t="n"/>
      <c r="AC747" s="86" t="n"/>
      <c r="AD747" s="85">
        <f>IF($A747="","",IF(OR($AB747&lt;&gt;"Yes",$AC747="",TODAY()-$AC747&gt;90),"At Risk","Not At Risk"))</f>
        <v/>
      </c>
      <c r="AE747" s="85" t="n"/>
    </row>
    <row r="748" ht="15" customHeight="1" s="39">
      <c r="A748" s="85" t="n"/>
      <c r="B748" s="85" t="n"/>
      <c r="C748" s="85" t="n"/>
      <c r="D748" s="85" t="n"/>
      <c r="E748" s="85" t="n"/>
      <c r="F748" s="85" t="n"/>
      <c r="G748" s="85" t="n"/>
      <c r="H748" s="85" t="n"/>
      <c r="I748" s="85" t="n"/>
      <c r="J748" s="85" t="n"/>
      <c r="K748" s="85" t="n"/>
      <c r="L748" s="85" t="n"/>
      <c r="M748" s="85" t="n"/>
      <c r="N748" s="85" t="n"/>
      <c r="O748" s="85" t="n"/>
      <c r="P748" s="85" t="n"/>
      <c r="Q748" s="85" t="n"/>
      <c r="R748" s="85" t="n"/>
      <c r="S748" s="85" t="n"/>
      <c r="T748" s="85" t="n"/>
      <c r="U748" s="85" t="n"/>
      <c r="V748" s="85" t="n"/>
      <c r="W748" s="85" t="n"/>
      <c r="X748" s="85" t="n"/>
      <c r="Y748" s="85" t="n"/>
      <c r="Z748" s="85" t="n"/>
      <c r="AA748" s="85" t="n"/>
      <c r="AB748" s="85" t="n"/>
      <c r="AC748" s="86" t="n"/>
      <c r="AD748" s="85">
        <f>IF($A748="","",IF(OR($AB748&lt;&gt;"Yes",$AC748="",TODAY()-$AC748&gt;90),"At Risk","Not At Risk"))</f>
        <v/>
      </c>
      <c r="AE748" s="85" t="n"/>
    </row>
    <row r="749" ht="15" customHeight="1" s="39">
      <c r="A749" s="85" t="n"/>
      <c r="B749" s="85" t="n"/>
      <c r="C749" s="85" t="n"/>
      <c r="D749" s="85" t="n"/>
      <c r="E749" s="85" t="n"/>
      <c r="F749" s="85" t="n"/>
      <c r="G749" s="85" t="n"/>
      <c r="H749" s="85" t="n"/>
      <c r="I749" s="85" t="n"/>
      <c r="J749" s="85" t="n"/>
      <c r="K749" s="85" t="n"/>
      <c r="L749" s="85" t="n"/>
      <c r="M749" s="85" t="n"/>
      <c r="N749" s="85" t="n"/>
      <c r="O749" s="85" t="n"/>
      <c r="P749" s="85" t="n"/>
      <c r="Q749" s="85" t="n"/>
      <c r="R749" s="85" t="n"/>
      <c r="S749" s="85" t="n"/>
      <c r="T749" s="85" t="n"/>
      <c r="U749" s="85" t="n"/>
      <c r="V749" s="85" t="n"/>
      <c r="W749" s="85" t="n"/>
      <c r="X749" s="85" t="n"/>
      <c r="Y749" s="85" t="n"/>
      <c r="Z749" s="85" t="n"/>
      <c r="AA749" s="85" t="n"/>
      <c r="AB749" s="85" t="n"/>
      <c r="AC749" s="86" t="n"/>
      <c r="AD749" s="85">
        <f>IF($A749="","",IF(OR($AB749&lt;&gt;"Yes",$AC749="",TODAY()-$AC749&gt;90),"At Risk","Not At Risk"))</f>
        <v/>
      </c>
      <c r="AE749" s="85" t="n"/>
    </row>
    <row r="750" ht="15" customHeight="1" s="39">
      <c r="A750" s="85" t="n"/>
      <c r="B750" s="85" t="n"/>
      <c r="C750" s="85" t="n"/>
      <c r="D750" s="85" t="n"/>
      <c r="E750" s="85" t="n"/>
      <c r="F750" s="85" t="n"/>
      <c r="G750" s="85" t="n"/>
      <c r="H750" s="85" t="n"/>
      <c r="I750" s="85" t="n"/>
      <c r="J750" s="85" t="n"/>
      <c r="K750" s="85" t="n"/>
      <c r="L750" s="85" t="n"/>
      <c r="M750" s="85" t="n"/>
      <c r="N750" s="85" t="n"/>
      <c r="O750" s="85" t="n"/>
      <c r="P750" s="85" t="n"/>
      <c r="Q750" s="85" t="n"/>
      <c r="R750" s="85" t="n"/>
      <c r="S750" s="85" t="n"/>
      <c r="T750" s="85" t="n"/>
      <c r="U750" s="85" t="n"/>
      <c r="V750" s="85" t="n"/>
      <c r="W750" s="85" t="n"/>
      <c r="X750" s="85" t="n"/>
      <c r="Y750" s="85" t="n"/>
      <c r="Z750" s="85" t="n"/>
      <c r="AA750" s="85" t="n"/>
      <c r="AB750" s="85" t="n"/>
      <c r="AC750" s="86" t="n"/>
      <c r="AD750" s="85">
        <f>IF($A750="","",IF(OR($AB750&lt;&gt;"Yes",$AC750="",TODAY()-$AC750&gt;90),"At Risk","Not At Risk"))</f>
        <v/>
      </c>
      <c r="AE750" s="85" t="n"/>
    </row>
    <row r="751" ht="15" customHeight="1" s="39">
      <c r="A751" s="85" t="n"/>
      <c r="B751" s="85" t="n"/>
      <c r="C751" s="85" t="n"/>
      <c r="D751" s="85" t="n"/>
      <c r="E751" s="85" t="n"/>
      <c r="F751" s="85" t="n"/>
      <c r="G751" s="85" t="n"/>
      <c r="H751" s="85" t="n"/>
      <c r="I751" s="85" t="n"/>
      <c r="J751" s="85" t="n"/>
      <c r="K751" s="85" t="n"/>
      <c r="L751" s="85" t="n"/>
      <c r="M751" s="85" t="n"/>
      <c r="N751" s="85" t="n"/>
      <c r="O751" s="85" t="n"/>
      <c r="P751" s="85" t="n"/>
      <c r="Q751" s="85" t="n"/>
      <c r="R751" s="85" t="n"/>
      <c r="S751" s="85" t="n"/>
      <c r="T751" s="85" t="n"/>
      <c r="U751" s="85" t="n"/>
      <c r="V751" s="85" t="n"/>
      <c r="W751" s="85" t="n"/>
      <c r="X751" s="85" t="n"/>
      <c r="Y751" s="85" t="n"/>
      <c r="Z751" s="85" t="n"/>
      <c r="AA751" s="85" t="n"/>
      <c r="AB751" s="85" t="n"/>
      <c r="AC751" s="86" t="n"/>
      <c r="AD751" s="85">
        <f>IF($A751="","",IF(OR($AB751&lt;&gt;"Yes",$AC751="",TODAY()-$AC751&gt;90),"At Risk","Not At Risk"))</f>
        <v/>
      </c>
      <c r="AE751" s="85" t="n"/>
    </row>
    <row r="752" ht="15" customHeight="1" s="39">
      <c r="A752" s="85" t="n"/>
      <c r="B752" s="85" t="n"/>
      <c r="C752" s="85" t="n"/>
      <c r="D752" s="85" t="n"/>
      <c r="E752" s="85" t="n"/>
      <c r="F752" s="85" t="n"/>
      <c r="G752" s="85" t="n"/>
      <c r="H752" s="85" t="n"/>
      <c r="I752" s="85" t="n"/>
      <c r="J752" s="85" t="n"/>
      <c r="K752" s="85" t="n"/>
      <c r="L752" s="85" t="n"/>
      <c r="M752" s="85" t="n"/>
      <c r="N752" s="85" t="n"/>
      <c r="O752" s="85" t="n"/>
      <c r="P752" s="85" t="n"/>
      <c r="Q752" s="85" t="n"/>
      <c r="R752" s="85" t="n"/>
      <c r="S752" s="85" t="n"/>
      <c r="T752" s="85" t="n"/>
      <c r="U752" s="85" t="n"/>
      <c r="V752" s="85" t="n"/>
      <c r="W752" s="85" t="n"/>
      <c r="X752" s="85" t="n"/>
      <c r="Y752" s="85" t="n"/>
      <c r="Z752" s="85" t="n"/>
      <c r="AA752" s="85" t="n"/>
      <c r="AB752" s="85" t="n"/>
      <c r="AC752" s="86" t="n"/>
      <c r="AD752" s="85">
        <f>IF($A752="","",IF(OR($AB752&lt;&gt;"Yes",$AC752="",TODAY()-$AC752&gt;90),"At Risk","Not At Risk"))</f>
        <v/>
      </c>
      <c r="AE752" s="85" t="n"/>
    </row>
    <row r="753" ht="15" customHeight="1" s="39">
      <c r="A753" s="85" t="n"/>
      <c r="B753" s="85" t="n"/>
      <c r="C753" s="85" t="n"/>
      <c r="D753" s="85" t="n"/>
      <c r="E753" s="85" t="n"/>
      <c r="F753" s="85" t="n"/>
      <c r="G753" s="85" t="n"/>
      <c r="H753" s="85" t="n"/>
      <c r="I753" s="85" t="n"/>
      <c r="J753" s="85" t="n"/>
      <c r="K753" s="85" t="n"/>
      <c r="L753" s="85" t="n"/>
      <c r="M753" s="85" t="n"/>
      <c r="N753" s="85" t="n"/>
      <c r="O753" s="85" t="n"/>
      <c r="P753" s="85" t="n"/>
      <c r="Q753" s="85" t="n"/>
      <c r="R753" s="85" t="n"/>
      <c r="S753" s="85" t="n"/>
      <c r="T753" s="85" t="n"/>
      <c r="U753" s="85" t="n"/>
      <c r="V753" s="85" t="n"/>
      <c r="W753" s="85" t="n"/>
      <c r="X753" s="85" t="n"/>
      <c r="Y753" s="85" t="n"/>
      <c r="Z753" s="85" t="n"/>
      <c r="AA753" s="85" t="n"/>
      <c r="AB753" s="85" t="n"/>
      <c r="AC753" s="86" t="n"/>
      <c r="AD753" s="85">
        <f>IF($A753="","",IF(OR($AB753&lt;&gt;"Yes",$AC753="",TODAY()-$AC753&gt;90),"At Risk","Not At Risk"))</f>
        <v/>
      </c>
      <c r="AE753" s="85" t="n"/>
    </row>
    <row r="754" ht="15" customHeight="1" s="39">
      <c r="A754" s="85" t="n"/>
      <c r="B754" s="85" t="n"/>
      <c r="C754" s="85" t="n"/>
      <c r="D754" s="85" t="n"/>
      <c r="E754" s="85" t="n"/>
      <c r="F754" s="85" t="n"/>
      <c r="G754" s="85" t="n"/>
      <c r="H754" s="85" t="n"/>
      <c r="I754" s="85" t="n"/>
      <c r="J754" s="85" t="n"/>
      <c r="K754" s="85" t="n"/>
      <c r="L754" s="85" t="n"/>
      <c r="M754" s="85" t="n"/>
      <c r="N754" s="85" t="n"/>
      <c r="O754" s="85" t="n"/>
      <c r="P754" s="85" t="n"/>
      <c r="Q754" s="85" t="n"/>
      <c r="R754" s="85" t="n"/>
      <c r="S754" s="85" t="n"/>
      <c r="T754" s="85" t="n"/>
      <c r="U754" s="85" t="n"/>
      <c r="V754" s="85" t="n"/>
      <c r="W754" s="85" t="n"/>
      <c r="X754" s="85" t="n"/>
      <c r="Y754" s="85" t="n"/>
      <c r="Z754" s="85" t="n"/>
      <c r="AA754" s="85" t="n"/>
      <c r="AB754" s="85" t="n"/>
      <c r="AC754" s="86" t="n"/>
      <c r="AD754" s="85">
        <f>IF($A754="","",IF(OR($AB754&lt;&gt;"Yes",$AC754="",TODAY()-$AC754&gt;90),"At Risk","Not At Risk"))</f>
        <v/>
      </c>
      <c r="AE754" s="85" t="n"/>
    </row>
    <row r="755" ht="15" customHeight="1" s="39">
      <c r="A755" s="85" t="n"/>
      <c r="B755" s="85" t="n"/>
      <c r="C755" s="85" t="n"/>
      <c r="D755" s="85" t="n"/>
      <c r="E755" s="85" t="n"/>
      <c r="F755" s="85" t="n"/>
      <c r="G755" s="85" t="n"/>
      <c r="H755" s="85" t="n"/>
      <c r="I755" s="85" t="n"/>
      <c r="J755" s="85" t="n"/>
      <c r="K755" s="85" t="n"/>
      <c r="L755" s="85" t="n"/>
      <c r="M755" s="85" t="n"/>
      <c r="N755" s="85" t="n"/>
      <c r="O755" s="85" t="n"/>
      <c r="P755" s="85" t="n"/>
      <c r="Q755" s="85" t="n"/>
      <c r="R755" s="85" t="n"/>
      <c r="S755" s="85" t="n"/>
      <c r="T755" s="85" t="n"/>
      <c r="U755" s="85" t="n"/>
      <c r="V755" s="85" t="n"/>
      <c r="W755" s="85" t="n"/>
      <c r="X755" s="85" t="n"/>
      <c r="Y755" s="85" t="n"/>
      <c r="Z755" s="85" t="n"/>
      <c r="AA755" s="85" t="n"/>
      <c r="AB755" s="85" t="n"/>
      <c r="AC755" s="86" t="n"/>
      <c r="AD755" s="85">
        <f>IF($A755="","",IF(OR($AB755&lt;&gt;"Yes",$AC755="",TODAY()-$AC755&gt;90),"At Risk","Not At Risk"))</f>
        <v/>
      </c>
      <c r="AE755" s="85" t="n"/>
    </row>
    <row r="756" ht="15" customHeight="1" s="39">
      <c r="A756" s="85" t="n"/>
      <c r="B756" s="85" t="n"/>
      <c r="C756" s="85" t="n"/>
      <c r="D756" s="85" t="n"/>
      <c r="E756" s="85" t="n"/>
      <c r="F756" s="85" t="n"/>
      <c r="G756" s="85" t="n"/>
      <c r="H756" s="85" t="n"/>
      <c r="I756" s="85" t="n"/>
      <c r="J756" s="85" t="n"/>
      <c r="K756" s="85" t="n"/>
      <c r="L756" s="85" t="n"/>
      <c r="M756" s="85" t="n"/>
      <c r="N756" s="85" t="n"/>
      <c r="O756" s="85" t="n"/>
      <c r="P756" s="85" t="n"/>
      <c r="Q756" s="85" t="n"/>
      <c r="R756" s="85" t="n"/>
      <c r="S756" s="85" t="n"/>
      <c r="T756" s="85" t="n"/>
      <c r="U756" s="85" t="n"/>
      <c r="V756" s="85" t="n"/>
      <c r="W756" s="85" t="n"/>
      <c r="X756" s="85" t="n"/>
      <c r="Y756" s="85" t="n"/>
      <c r="Z756" s="85" t="n"/>
      <c r="AA756" s="85" t="n"/>
      <c r="AB756" s="85" t="n"/>
      <c r="AC756" s="86" t="n"/>
      <c r="AD756" s="85">
        <f>IF($A756="","",IF(OR($AB756&lt;&gt;"Yes",$AC756="",TODAY()-$AC756&gt;90),"At Risk","Not At Risk"))</f>
        <v/>
      </c>
      <c r="AE756" s="85" t="n"/>
    </row>
    <row r="757" ht="15" customHeight="1" s="39">
      <c r="A757" s="85" t="n"/>
      <c r="B757" s="85" t="n"/>
      <c r="C757" s="85" t="n"/>
      <c r="D757" s="85" t="n"/>
      <c r="E757" s="85" t="n"/>
      <c r="F757" s="85" t="n"/>
      <c r="G757" s="85" t="n"/>
      <c r="H757" s="85" t="n"/>
      <c r="I757" s="85" t="n"/>
      <c r="J757" s="85" t="n"/>
      <c r="K757" s="85" t="n"/>
      <c r="L757" s="85" t="n"/>
      <c r="M757" s="85" t="n"/>
      <c r="N757" s="85" t="n"/>
      <c r="O757" s="85" t="n"/>
      <c r="P757" s="85" t="n"/>
      <c r="Q757" s="85" t="n"/>
      <c r="R757" s="85" t="n"/>
      <c r="S757" s="85" t="n"/>
      <c r="T757" s="85" t="n"/>
      <c r="U757" s="85" t="n"/>
      <c r="V757" s="85" t="n"/>
      <c r="W757" s="85" t="n"/>
      <c r="X757" s="85" t="n"/>
      <c r="Y757" s="85" t="n"/>
      <c r="Z757" s="85" t="n"/>
      <c r="AA757" s="85" t="n"/>
      <c r="AB757" s="85" t="n"/>
      <c r="AC757" s="86" t="n"/>
      <c r="AD757" s="85">
        <f>IF($A757="","",IF(OR($AB757&lt;&gt;"Yes",$AC757="",TODAY()-$AC757&gt;90),"At Risk","Not At Risk"))</f>
        <v/>
      </c>
      <c r="AE757" s="85" t="n"/>
    </row>
    <row r="758" ht="15" customHeight="1" s="39">
      <c r="A758" s="85" t="n"/>
      <c r="B758" s="85" t="n"/>
      <c r="C758" s="85" t="n"/>
      <c r="D758" s="85" t="n"/>
      <c r="E758" s="85" t="n"/>
      <c r="F758" s="85" t="n"/>
      <c r="G758" s="85" t="n"/>
      <c r="H758" s="85" t="n"/>
      <c r="I758" s="85" t="n"/>
      <c r="J758" s="85" t="n"/>
      <c r="K758" s="85" t="n"/>
      <c r="L758" s="85" t="n"/>
      <c r="M758" s="85" t="n"/>
      <c r="N758" s="85" t="n"/>
      <c r="O758" s="85" t="n"/>
      <c r="P758" s="85" t="n"/>
      <c r="Q758" s="85" t="n"/>
      <c r="R758" s="85" t="n"/>
      <c r="S758" s="85" t="n"/>
      <c r="T758" s="85" t="n"/>
      <c r="U758" s="85" t="n"/>
      <c r="V758" s="85" t="n"/>
      <c r="W758" s="85" t="n"/>
      <c r="X758" s="85" t="n"/>
      <c r="Y758" s="85" t="n"/>
      <c r="Z758" s="85" t="n"/>
      <c r="AA758" s="85" t="n"/>
      <c r="AB758" s="85" t="n"/>
      <c r="AC758" s="86" t="n"/>
      <c r="AD758" s="85">
        <f>IF($A758="","",IF(OR($AB758&lt;&gt;"Yes",$AC758="",TODAY()-$AC758&gt;90),"At Risk","Not At Risk"))</f>
        <v/>
      </c>
      <c r="AE758" s="85" t="n"/>
    </row>
    <row r="759" ht="15" customHeight="1" s="39">
      <c r="A759" s="85" t="n"/>
      <c r="B759" s="85" t="n"/>
      <c r="C759" s="85" t="n"/>
      <c r="D759" s="85" t="n"/>
      <c r="E759" s="85" t="n"/>
      <c r="F759" s="85" t="n"/>
      <c r="G759" s="85" t="n"/>
      <c r="H759" s="85" t="n"/>
      <c r="I759" s="85" t="n"/>
      <c r="J759" s="85" t="n"/>
      <c r="K759" s="85" t="n"/>
      <c r="L759" s="85" t="n"/>
      <c r="M759" s="85" t="n"/>
      <c r="N759" s="85" t="n"/>
      <c r="O759" s="85" t="n"/>
      <c r="P759" s="85" t="n"/>
      <c r="Q759" s="85" t="n"/>
      <c r="R759" s="85" t="n"/>
      <c r="S759" s="85" t="n"/>
      <c r="T759" s="85" t="n"/>
      <c r="U759" s="85" t="n"/>
      <c r="V759" s="85" t="n"/>
      <c r="W759" s="85" t="n"/>
      <c r="X759" s="85" t="n"/>
      <c r="Y759" s="85" t="n"/>
      <c r="Z759" s="85" t="n"/>
      <c r="AA759" s="85" t="n"/>
      <c r="AB759" s="85" t="n"/>
      <c r="AC759" s="86" t="n"/>
      <c r="AD759" s="85">
        <f>IF($A759="","",IF(OR($AB759&lt;&gt;"Yes",$AC759="",TODAY()-$AC759&gt;90),"At Risk","Not At Risk"))</f>
        <v/>
      </c>
      <c r="AE759" s="85" t="n"/>
    </row>
    <row r="760" ht="15" customHeight="1" s="39">
      <c r="A760" s="85" t="n"/>
      <c r="B760" s="85" t="n"/>
      <c r="C760" s="85" t="n"/>
      <c r="D760" s="85" t="n"/>
      <c r="E760" s="85" t="n"/>
      <c r="F760" s="85" t="n"/>
      <c r="G760" s="85" t="n"/>
      <c r="H760" s="85" t="n"/>
      <c r="I760" s="85" t="n"/>
      <c r="J760" s="85" t="n"/>
      <c r="K760" s="85" t="n"/>
      <c r="L760" s="85" t="n"/>
      <c r="M760" s="85" t="n"/>
      <c r="N760" s="85" t="n"/>
      <c r="O760" s="85" t="n"/>
      <c r="P760" s="85" t="n"/>
      <c r="Q760" s="85" t="n"/>
      <c r="R760" s="85" t="n"/>
      <c r="S760" s="85" t="n"/>
      <c r="T760" s="85" t="n"/>
      <c r="U760" s="85" t="n"/>
      <c r="V760" s="85" t="n"/>
      <c r="W760" s="85" t="n"/>
      <c r="X760" s="85" t="n"/>
      <c r="Y760" s="85" t="n"/>
      <c r="Z760" s="85" t="n"/>
      <c r="AA760" s="85" t="n"/>
      <c r="AB760" s="85" t="n"/>
      <c r="AC760" s="86" t="n"/>
      <c r="AD760" s="85">
        <f>IF($A760="","",IF(OR($AB760&lt;&gt;"Yes",$AC760="",TODAY()-$AC760&gt;90),"At Risk","Not At Risk"))</f>
        <v/>
      </c>
      <c r="AE760" s="85" t="n"/>
    </row>
    <row r="761" ht="15" customHeight="1" s="39">
      <c r="A761" s="85" t="n"/>
      <c r="B761" s="85" t="n"/>
      <c r="C761" s="85" t="n"/>
      <c r="D761" s="85" t="n"/>
      <c r="E761" s="85" t="n"/>
      <c r="F761" s="85" t="n"/>
      <c r="G761" s="85" t="n"/>
      <c r="H761" s="85" t="n"/>
      <c r="I761" s="85" t="n"/>
      <c r="J761" s="85" t="n"/>
      <c r="K761" s="85" t="n"/>
      <c r="L761" s="85" t="n"/>
      <c r="M761" s="85" t="n"/>
      <c r="N761" s="85" t="n"/>
      <c r="O761" s="85" t="n"/>
      <c r="P761" s="85" t="n"/>
      <c r="Q761" s="85" t="n"/>
      <c r="R761" s="85" t="n"/>
      <c r="S761" s="85" t="n"/>
      <c r="T761" s="85" t="n"/>
      <c r="U761" s="85" t="n"/>
      <c r="V761" s="85" t="n"/>
      <c r="W761" s="85" t="n"/>
      <c r="X761" s="85" t="n"/>
      <c r="Y761" s="85" t="n"/>
      <c r="Z761" s="85" t="n"/>
      <c r="AA761" s="85" t="n"/>
      <c r="AB761" s="85" t="n"/>
      <c r="AC761" s="86" t="n"/>
      <c r="AD761" s="85">
        <f>IF($A761="","",IF(OR($AB761&lt;&gt;"Yes",$AC761="",TODAY()-$AC761&gt;90),"At Risk","Not At Risk"))</f>
        <v/>
      </c>
      <c r="AE761" s="85" t="n"/>
    </row>
    <row r="762" ht="15" customHeight="1" s="39">
      <c r="A762" s="85" t="n"/>
      <c r="B762" s="85" t="n"/>
      <c r="C762" s="85" t="n"/>
      <c r="D762" s="85" t="n"/>
      <c r="E762" s="85" t="n"/>
      <c r="F762" s="85" t="n"/>
      <c r="G762" s="85" t="n"/>
      <c r="H762" s="85" t="n"/>
      <c r="I762" s="85" t="n"/>
      <c r="J762" s="85" t="n"/>
      <c r="K762" s="85" t="n"/>
      <c r="L762" s="85" t="n"/>
      <c r="M762" s="85" t="n"/>
      <c r="N762" s="85" t="n"/>
      <c r="O762" s="85" t="n"/>
      <c r="P762" s="85" t="n"/>
      <c r="Q762" s="85" t="n"/>
      <c r="R762" s="85" t="n"/>
      <c r="S762" s="85" t="n"/>
      <c r="T762" s="85" t="n"/>
      <c r="U762" s="85" t="n"/>
      <c r="V762" s="85" t="n"/>
      <c r="W762" s="85" t="n"/>
      <c r="X762" s="85" t="n"/>
      <c r="Y762" s="85" t="n"/>
      <c r="Z762" s="85" t="n"/>
      <c r="AA762" s="85" t="n"/>
      <c r="AB762" s="85" t="n"/>
      <c r="AC762" s="86" t="n"/>
      <c r="AD762" s="85">
        <f>IF($A762="","",IF(OR($AB762&lt;&gt;"Yes",$AC762="",TODAY()-$AC762&gt;90),"At Risk","Not At Risk"))</f>
        <v/>
      </c>
      <c r="AE762" s="85" t="n"/>
    </row>
    <row r="763" ht="15" customHeight="1" s="39">
      <c r="A763" s="85" t="n"/>
      <c r="B763" s="85" t="n"/>
      <c r="C763" s="85" t="n"/>
      <c r="D763" s="85" t="n"/>
      <c r="E763" s="85" t="n"/>
      <c r="F763" s="85" t="n"/>
      <c r="G763" s="85" t="n"/>
      <c r="H763" s="85" t="n"/>
      <c r="I763" s="85" t="n"/>
      <c r="J763" s="85" t="n"/>
      <c r="K763" s="85" t="n"/>
      <c r="L763" s="85" t="n"/>
      <c r="M763" s="85" t="n"/>
      <c r="N763" s="85" t="n"/>
      <c r="O763" s="85" t="n"/>
      <c r="P763" s="85" t="n"/>
      <c r="Q763" s="85" t="n"/>
      <c r="R763" s="85" t="n"/>
      <c r="S763" s="85" t="n"/>
      <c r="T763" s="85" t="n"/>
      <c r="U763" s="85" t="n"/>
      <c r="V763" s="85" t="n"/>
      <c r="W763" s="85" t="n"/>
      <c r="X763" s="85" t="n"/>
      <c r="Y763" s="85" t="n"/>
      <c r="Z763" s="85" t="n"/>
      <c r="AA763" s="85" t="n"/>
      <c r="AB763" s="85" t="n"/>
      <c r="AC763" s="86" t="n"/>
      <c r="AD763" s="85">
        <f>IF($A763="","",IF(OR($AB763&lt;&gt;"Yes",$AC763="",TODAY()-$AC763&gt;90),"At Risk","Not At Risk"))</f>
        <v/>
      </c>
      <c r="AE763" s="85" t="n"/>
    </row>
    <row r="764" ht="15" customHeight="1" s="39">
      <c r="A764" s="85" t="n"/>
      <c r="B764" s="85" t="n"/>
      <c r="C764" s="85" t="n"/>
      <c r="D764" s="85" t="n"/>
      <c r="E764" s="85" t="n"/>
      <c r="F764" s="85" t="n"/>
      <c r="G764" s="85" t="n"/>
      <c r="H764" s="85" t="n"/>
      <c r="I764" s="85" t="n"/>
      <c r="J764" s="85" t="n"/>
      <c r="K764" s="85" t="n"/>
      <c r="L764" s="85" t="n"/>
      <c r="M764" s="85" t="n"/>
      <c r="N764" s="85" t="n"/>
      <c r="O764" s="85" t="n"/>
      <c r="P764" s="85" t="n"/>
      <c r="Q764" s="85" t="n"/>
      <c r="R764" s="85" t="n"/>
      <c r="S764" s="85" t="n"/>
      <c r="T764" s="85" t="n"/>
      <c r="U764" s="85" t="n"/>
      <c r="V764" s="85" t="n"/>
      <c r="W764" s="85" t="n"/>
      <c r="X764" s="85" t="n"/>
      <c r="Y764" s="85" t="n"/>
      <c r="Z764" s="85" t="n"/>
      <c r="AA764" s="85" t="n"/>
      <c r="AB764" s="85" t="n"/>
      <c r="AC764" s="86" t="n"/>
      <c r="AD764" s="85">
        <f>IF($A764="","",IF(OR($AB764&lt;&gt;"Yes",$AC764="",TODAY()-$AC764&gt;90),"At Risk","Not At Risk"))</f>
        <v/>
      </c>
      <c r="AE764" s="85" t="n"/>
    </row>
    <row r="765" ht="15" customHeight="1" s="39">
      <c r="A765" s="85" t="n"/>
      <c r="B765" s="85" t="n"/>
      <c r="C765" s="85" t="n"/>
      <c r="D765" s="85" t="n"/>
      <c r="E765" s="85" t="n"/>
      <c r="F765" s="85" t="n"/>
      <c r="G765" s="85" t="n"/>
      <c r="H765" s="85" t="n"/>
      <c r="I765" s="85" t="n"/>
      <c r="J765" s="85" t="n"/>
      <c r="K765" s="85" t="n"/>
      <c r="L765" s="85" t="n"/>
      <c r="M765" s="85" t="n"/>
      <c r="N765" s="85" t="n"/>
      <c r="O765" s="85" t="n"/>
      <c r="P765" s="85" t="n"/>
      <c r="Q765" s="85" t="n"/>
      <c r="R765" s="85" t="n"/>
      <c r="S765" s="85" t="n"/>
      <c r="T765" s="85" t="n"/>
      <c r="U765" s="85" t="n"/>
      <c r="V765" s="85" t="n"/>
      <c r="W765" s="85" t="n"/>
      <c r="X765" s="85" t="n"/>
      <c r="Y765" s="85" t="n"/>
      <c r="Z765" s="85" t="n"/>
      <c r="AA765" s="85" t="n"/>
      <c r="AB765" s="85" t="n"/>
      <c r="AC765" s="86" t="n"/>
      <c r="AD765" s="85">
        <f>IF($A765="","",IF(OR($AB765&lt;&gt;"Yes",$AC765="",TODAY()-$AC765&gt;90),"At Risk","Not At Risk"))</f>
        <v/>
      </c>
      <c r="AE765" s="85" t="n"/>
    </row>
    <row r="766" ht="15" customHeight="1" s="39">
      <c r="A766" s="85" t="n"/>
      <c r="B766" s="85" t="n"/>
      <c r="C766" s="85" t="n"/>
      <c r="D766" s="85" t="n"/>
      <c r="E766" s="85" t="n"/>
      <c r="F766" s="85" t="n"/>
      <c r="G766" s="85" t="n"/>
      <c r="H766" s="85" t="n"/>
      <c r="I766" s="85" t="n"/>
      <c r="J766" s="85" t="n"/>
      <c r="K766" s="85" t="n"/>
      <c r="L766" s="85" t="n"/>
      <c r="M766" s="85" t="n"/>
      <c r="N766" s="85" t="n"/>
      <c r="O766" s="85" t="n"/>
      <c r="P766" s="85" t="n"/>
      <c r="Q766" s="85" t="n"/>
      <c r="R766" s="85" t="n"/>
      <c r="S766" s="85" t="n"/>
      <c r="T766" s="85" t="n"/>
      <c r="U766" s="85" t="n"/>
      <c r="V766" s="85" t="n"/>
      <c r="W766" s="85" t="n"/>
      <c r="X766" s="85" t="n"/>
      <c r="Y766" s="85" t="n"/>
      <c r="Z766" s="85" t="n"/>
      <c r="AA766" s="85" t="n"/>
      <c r="AB766" s="85" t="n"/>
      <c r="AC766" s="86" t="n"/>
      <c r="AD766" s="85">
        <f>IF($A766="","",IF(OR($AB766&lt;&gt;"Yes",$AC766="",TODAY()-$AC766&gt;90),"At Risk","Not At Risk"))</f>
        <v/>
      </c>
      <c r="AE766" s="85" t="n"/>
    </row>
    <row r="767" ht="15" customHeight="1" s="39">
      <c r="A767" s="85" t="n"/>
      <c r="B767" s="85" t="n"/>
      <c r="C767" s="85" t="n"/>
      <c r="D767" s="85" t="n"/>
      <c r="E767" s="85" t="n"/>
      <c r="F767" s="85" t="n"/>
      <c r="G767" s="85" t="n"/>
      <c r="H767" s="85" t="n"/>
      <c r="I767" s="85" t="n"/>
      <c r="J767" s="85" t="n"/>
      <c r="K767" s="85" t="n"/>
      <c r="L767" s="85" t="n"/>
      <c r="M767" s="85" t="n"/>
      <c r="N767" s="85" t="n"/>
      <c r="O767" s="85" t="n"/>
      <c r="P767" s="85" t="n"/>
      <c r="Q767" s="85" t="n"/>
      <c r="R767" s="85" t="n"/>
      <c r="S767" s="85" t="n"/>
      <c r="T767" s="85" t="n"/>
      <c r="U767" s="85" t="n"/>
      <c r="V767" s="85" t="n"/>
      <c r="W767" s="85" t="n"/>
      <c r="X767" s="85" t="n"/>
      <c r="Y767" s="85" t="n"/>
      <c r="Z767" s="85" t="n"/>
      <c r="AA767" s="85" t="n"/>
      <c r="AB767" s="85" t="n"/>
      <c r="AC767" s="86" t="n"/>
      <c r="AD767" s="85">
        <f>IF($A767="","",IF(OR($AB767&lt;&gt;"Yes",$AC767="",TODAY()-$AC767&gt;90),"At Risk","Not At Risk"))</f>
        <v/>
      </c>
      <c r="AE767" s="85" t="n"/>
    </row>
    <row r="768" ht="15" customHeight="1" s="39">
      <c r="A768" s="85" t="n"/>
      <c r="B768" s="85" t="n"/>
      <c r="C768" s="85" t="n"/>
      <c r="D768" s="85" t="n"/>
      <c r="E768" s="85" t="n"/>
      <c r="F768" s="85" t="n"/>
      <c r="G768" s="85" t="n"/>
      <c r="H768" s="85" t="n"/>
      <c r="I768" s="85" t="n"/>
      <c r="J768" s="85" t="n"/>
      <c r="K768" s="85" t="n"/>
      <c r="L768" s="85" t="n"/>
      <c r="M768" s="85" t="n"/>
      <c r="N768" s="85" t="n"/>
      <c r="O768" s="85" t="n"/>
      <c r="P768" s="85" t="n"/>
      <c r="Q768" s="85" t="n"/>
      <c r="R768" s="85" t="n"/>
      <c r="S768" s="85" t="n"/>
      <c r="T768" s="85" t="n"/>
      <c r="U768" s="85" t="n"/>
      <c r="V768" s="85" t="n"/>
      <c r="W768" s="85" t="n"/>
      <c r="X768" s="85" t="n"/>
      <c r="Y768" s="85" t="n"/>
      <c r="Z768" s="85" t="n"/>
      <c r="AA768" s="85" t="n"/>
      <c r="AB768" s="85" t="n"/>
      <c r="AC768" s="86" t="n"/>
      <c r="AD768" s="85">
        <f>IF($A768="","",IF(OR($AB768&lt;&gt;"Yes",$AC768="",TODAY()-$AC768&gt;90),"At Risk","Not At Risk"))</f>
        <v/>
      </c>
      <c r="AE768" s="85" t="n"/>
    </row>
    <row r="769" ht="15" customHeight="1" s="39">
      <c r="A769" s="85" t="n"/>
      <c r="B769" s="85" t="n"/>
      <c r="C769" s="85" t="n"/>
      <c r="D769" s="85" t="n"/>
      <c r="E769" s="85" t="n"/>
      <c r="F769" s="85" t="n"/>
      <c r="G769" s="85" t="n"/>
      <c r="H769" s="85" t="n"/>
      <c r="I769" s="85" t="n"/>
      <c r="J769" s="85" t="n"/>
      <c r="K769" s="85" t="n"/>
      <c r="L769" s="85" t="n"/>
      <c r="M769" s="85" t="n"/>
      <c r="N769" s="85" t="n"/>
      <c r="O769" s="85" t="n"/>
      <c r="P769" s="85" t="n"/>
      <c r="Q769" s="85" t="n"/>
      <c r="R769" s="85" t="n"/>
      <c r="S769" s="85" t="n"/>
      <c r="T769" s="85" t="n"/>
      <c r="U769" s="85" t="n"/>
      <c r="V769" s="85" t="n"/>
      <c r="W769" s="85" t="n"/>
      <c r="X769" s="85" t="n"/>
      <c r="Y769" s="85" t="n"/>
      <c r="Z769" s="85" t="n"/>
      <c r="AA769" s="85" t="n"/>
      <c r="AB769" s="85" t="n"/>
      <c r="AC769" s="86" t="n"/>
      <c r="AD769" s="85">
        <f>IF($A769="","",IF(OR($AB769&lt;&gt;"Yes",$AC769="",TODAY()-$AC769&gt;90),"At Risk","Not At Risk"))</f>
        <v/>
      </c>
      <c r="AE769" s="85" t="n"/>
    </row>
    <row r="770" ht="15" customHeight="1" s="39">
      <c r="A770" s="85" t="n"/>
      <c r="B770" s="85" t="n"/>
      <c r="C770" s="85" t="n"/>
      <c r="D770" s="85" t="n"/>
      <c r="E770" s="85" t="n"/>
      <c r="F770" s="85" t="n"/>
      <c r="G770" s="85" t="n"/>
      <c r="H770" s="85" t="n"/>
      <c r="I770" s="85" t="n"/>
      <c r="J770" s="85" t="n"/>
      <c r="K770" s="85" t="n"/>
      <c r="L770" s="85" t="n"/>
      <c r="M770" s="85" t="n"/>
      <c r="N770" s="85" t="n"/>
      <c r="O770" s="85" t="n"/>
      <c r="P770" s="85" t="n"/>
      <c r="Q770" s="85" t="n"/>
      <c r="R770" s="85" t="n"/>
      <c r="S770" s="85" t="n"/>
      <c r="T770" s="85" t="n"/>
      <c r="U770" s="85" t="n"/>
      <c r="V770" s="85" t="n"/>
      <c r="W770" s="85" t="n"/>
      <c r="X770" s="85" t="n"/>
      <c r="Y770" s="85" t="n"/>
      <c r="Z770" s="85" t="n"/>
      <c r="AA770" s="85" t="n"/>
      <c r="AB770" s="85" t="n"/>
      <c r="AC770" s="86" t="n"/>
      <c r="AD770" s="85">
        <f>IF($A770="","",IF(OR($AB770&lt;&gt;"Yes",$AC770="",TODAY()-$AC770&gt;90),"At Risk","Not At Risk"))</f>
        <v/>
      </c>
      <c r="AE770" s="85" t="n"/>
    </row>
    <row r="771" ht="15" customHeight="1" s="39">
      <c r="A771" s="85" t="n"/>
      <c r="B771" s="85" t="n"/>
      <c r="C771" s="85" t="n"/>
      <c r="D771" s="85" t="n"/>
      <c r="E771" s="85" t="n"/>
      <c r="F771" s="85" t="n"/>
      <c r="G771" s="85" t="n"/>
      <c r="H771" s="85" t="n"/>
      <c r="I771" s="85" t="n"/>
      <c r="J771" s="85" t="n"/>
      <c r="K771" s="85" t="n"/>
      <c r="L771" s="85" t="n"/>
      <c r="M771" s="85" t="n"/>
      <c r="N771" s="85" t="n"/>
      <c r="O771" s="85" t="n"/>
      <c r="P771" s="85" t="n"/>
      <c r="Q771" s="85" t="n"/>
      <c r="R771" s="85" t="n"/>
      <c r="S771" s="85" t="n"/>
      <c r="T771" s="85" t="n"/>
      <c r="U771" s="85" t="n"/>
      <c r="V771" s="85" t="n"/>
      <c r="W771" s="85" t="n"/>
      <c r="X771" s="85" t="n"/>
      <c r="Y771" s="85" t="n"/>
      <c r="Z771" s="85" t="n"/>
      <c r="AA771" s="85" t="n"/>
      <c r="AB771" s="85" t="n"/>
      <c r="AC771" s="86" t="n"/>
      <c r="AD771" s="85">
        <f>IF($A771="","",IF(OR($AB771&lt;&gt;"Yes",$AC771="",TODAY()-$AC771&gt;90),"At Risk","Not At Risk"))</f>
        <v/>
      </c>
      <c r="AE771" s="85" t="n"/>
    </row>
    <row r="772" ht="15" customHeight="1" s="39">
      <c r="A772" s="85" t="n"/>
      <c r="B772" s="85" t="n"/>
      <c r="C772" s="85" t="n"/>
      <c r="D772" s="85" t="n"/>
      <c r="E772" s="85" t="n"/>
      <c r="F772" s="85" t="n"/>
      <c r="G772" s="85" t="n"/>
      <c r="H772" s="85" t="n"/>
      <c r="I772" s="85" t="n"/>
      <c r="J772" s="85" t="n"/>
      <c r="K772" s="85" t="n"/>
      <c r="L772" s="85" t="n"/>
      <c r="M772" s="85" t="n"/>
      <c r="N772" s="85" t="n"/>
      <c r="O772" s="85" t="n"/>
      <c r="P772" s="85" t="n"/>
      <c r="Q772" s="85" t="n"/>
      <c r="R772" s="85" t="n"/>
      <c r="S772" s="85" t="n"/>
      <c r="T772" s="85" t="n"/>
      <c r="U772" s="85" t="n"/>
      <c r="V772" s="85" t="n"/>
      <c r="W772" s="85" t="n"/>
      <c r="X772" s="85" t="n"/>
      <c r="Y772" s="85" t="n"/>
      <c r="Z772" s="85" t="n"/>
      <c r="AA772" s="85" t="n"/>
      <c r="AB772" s="85" t="n"/>
      <c r="AC772" s="86" t="n"/>
      <c r="AD772" s="85">
        <f>IF($A772="","",IF(OR($AB772&lt;&gt;"Yes",$AC772="",TODAY()-$AC772&gt;90),"At Risk","Not At Risk"))</f>
        <v/>
      </c>
      <c r="AE772" s="85" t="n"/>
    </row>
    <row r="773" ht="15" customHeight="1" s="39">
      <c r="A773" s="85" t="n"/>
      <c r="B773" s="85" t="n"/>
      <c r="C773" s="85" t="n"/>
      <c r="D773" s="85" t="n"/>
      <c r="E773" s="85" t="n"/>
      <c r="F773" s="85" t="n"/>
      <c r="G773" s="85" t="n"/>
      <c r="H773" s="85" t="n"/>
      <c r="I773" s="85" t="n"/>
      <c r="J773" s="85" t="n"/>
      <c r="K773" s="85" t="n"/>
      <c r="L773" s="85" t="n"/>
      <c r="M773" s="85" t="n"/>
      <c r="N773" s="85" t="n"/>
      <c r="O773" s="85" t="n"/>
      <c r="P773" s="85" t="n"/>
      <c r="Q773" s="85" t="n"/>
      <c r="R773" s="85" t="n"/>
      <c r="S773" s="85" t="n"/>
      <c r="T773" s="85" t="n"/>
      <c r="U773" s="85" t="n"/>
      <c r="V773" s="85" t="n"/>
      <c r="W773" s="85" t="n"/>
      <c r="X773" s="85" t="n"/>
      <c r="Y773" s="85" t="n"/>
      <c r="Z773" s="85" t="n"/>
      <c r="AA773" s="85" t="n"/>
      <c r="AB773" s="85" t="n"/>
      <c r="AC773" s="86" t="n"/>
      <c r="AD773" s="85">
        <f>IF($A773="","",IF(OR($AB773&lt;&gt;"Yes",$AC773="",TODAY()-$AC773&gt;90),"At Risk","Not At Risk"))</f>
        <v/>
      </c>
      <c r="AE773" s="85" t="n"/>
    </row>
    <row r="774" ht="15" customHeight="1" s="39">
      <c r="A774" s="85" t="n"/>
      <c r="B774" s="85" t="n"/>
      <c r="C774" s="85" t="n"/>
      <c r="D774" s="85" t="n"/>
      <c r="E774" s="85" t="n"/>
      <c r="F774" s="85" t="n"/>
      <c r="G774" s="85" t="n"/>
      <c r="H774" s="85" t="n"/>
      <c r="I774" s="85" t="n"/>
      <c r="J774" s="85" t="n"/>
      <c r="K774" s="85" t="n"/>
      <c r="L774" s="85" t="n"/>
      <c r="M774" s="85" t="n"/>
      <c r="N774" s="85" t="n"/>
      <c r="O774" s="85" t="n"/>
      <c r="P774" s="85" t="n"/>
      <c r="Q774" s="85" t="n"/>
      <c r="R774" s="85" t="n"/>
      <c r="S774" s="85" t="n"/>
      <c r="T774" s="85" t="n"/>
      <c r="U774" s="85" t="n"/>
      <c r="V774" s="85" t="n"/>
      <c r="W774" s="85" t="n"/>
      <c r="X774" s="85" t="n"/>
      <c r="Y774" s="85" t="n"/>
      <c r="Z774" s="85" t="n"/>
      <c r="AA774" s="85" t="n"/>
      <c r="AB774" s="85" t="n"/>
      <c r="AC774" s="86" t="n"/>
      <c r="AD774" s="85">
        <f>IF($A774="","",IF(OR($AB774&lt;&gt;"Yes",$AC774="",TODAY()-$AC774&gt;90),"At Risk","Not At Risk"))</f>
        <v/>
      </c>
      <c r="AE774" s="85" t="n"/>
    </row>
    <row r="775" ht="15" customHeight="1" s="39">
      <c r="A775" s="85" t="n"/>
      <c r="B775" s="85" t="n"/>
      <c r="C775" s="85" t="n"/>
      <c r="D775" s="85" t="n"/>
      <c r="E775" s="85" t="n"/>
      <c r="F775" s="85" t="n"/>
      <c r="G775" s="85" t="n"/>
      <c r="H775" s="85" t="n"/>
      <c r="I775" s="85" t="n"/>
      <c r="J775" s="85" t="n"/>
      <c r="K775" s="85" t="n"/>
      <c r="L775" s="85" t="n"/>
      <c r="M775" s="85" t="n"/>
      <c r="N775" s="85" t="n"/>
      <c r="O775" s="85" t="n"/>
      <c r="P775" s="85" t="n"/>
      <c r="Q775" s="85" t="n"/>
      <c r="R775" s="85" t="n"/>
      <c r="S775" s="85" t="n"/>
      <c r="T775" s="85" t="n"/>
      <c r="U775" s="85" t="n"/>
      <c r="V775" s="85" t="n"/>
      <c r="W775" s="85" t="n"/>
      <c r="X775" s="85" t="n"/>
      <c r="Y775" s="85" t="n"/>
      <c r="Z775" s="85" t="n"/>
      <c r="AA775" s="85" t="n"/>
      <c r="AB775" s="85" t="n"/>
      <c r="AC775" s="86" t="n"/>
      <c r="AD775" s="85">
        <f>IF($A775="","",IF(OR($AB775&lt;&gt;"Yes",$AC775="",TODAY()-$AC775&gt;90),"At Risk","Not At Risk"))</f>
        <v/>
      </c>
      <c r="AE775" s="85" t="n"/>
    </row>
    <row r="776" ht="15" customHeight="1" s="39">
      <c r="A776" s="85" t="n"/>
      <c r="B776" s="85" t="n"/>
      <c r="C776" s="85" t="n"/>
      <c r="D776" s="85" t="n"/>
      <c r="E776" s="85" t="n"/>
      <c r="F776" s="85" t="n"/>
      <c r="G776" s="85" t="n"/>
      <c r="H776" s="85" t="n"/>
      <c r="I776" s="85" t="n"/>
      <c r="J776" s="85" t="n"/>
      <c r="K776" s="85" t="n"/>
      <c r="L776" s="85" t="n"/>
      <c r="M776" s="85" t="n"/>
      <c r="N776" s="85" t="n"/>
      <c r="O776" s="85" t="n"/>
      <c r="P776" s="85" t="n"/>
      <c r="Q776" s="85" t="n"/>
      <c r="R776" s="85" t="n"/>
      <c r="S776" s="85" t="n"/>
      <c r="T776" s="85" t="n"/>
      <c r="U776" s="85" t="n"/>
      <c r="V776" s="85" t="n"/>
      <c r="W776" s="85" t="n"/>
      <c r="X776" s="85" t="n"/>
      <c r="Y776" s="85" t="n"/>
      <c r="Z776" s="85" t="n"/>
      <c r="AA776" s="85" t="n"/>
      <c r="AB776" s="85" t="n"/>
      <c r="AC776" s="86" t="n"/>
      <c r="AD776" s="85">
        <f>IF($A776="","",IF(OR($AB776&lt;&gt;"Yes",$AC776="",TODAY()-$AC776&gt;90),"At Risk","Not At Risk"))</f>
        <v/>
      </c>
      <c r="AE776" s="85" t="n"/>
    </row>
    <row r="777" ht="15" customHeight="1" s="39">
      <c r="A777" s="85" t="n"/>
      <c r="B777" s="85" t="n"/>
      <c r="C777" s="85" t="n"/>
      <c r="D777" s="85" t="n"/>
      <c r="E777" s="85" t="n"/>
      <c r="F777" s="85" t="n"/>
      <c r="G777" s="85" t="n"/>
      <c r="H777" s="85" t="n"/>
      <c r="I777" s="85" t="n"/>
      <c r="J777" s="85" t="n"/>
      <c r="K777" s="85" t="n"/>
      <c r="L777" s="85" t="n"/>
      <c r="M777" s="85" t="n"/>
      <c r="N777" s="85" t="n"/>
      <c r="O777" s="85" t="n"/>
      <c r="P777" s="85" t="n"/>
      <c r="Q777" s="85" t="n"/>
      <c r="R777" s="85" t="n"/>
      <c r="S777" s="85" t="n"/>
      <c r="T777" s="85" t="n"/>
      <c r="U777" s="85" t="n"/>
      <c r="V777" s="85" t="n"/>
      <c r="W777" s="85" t="n"/>
      <c r="X777" s="85" t="n"/>
      <c r="Y777" s="85" t="n"/>
      <c r="Z777" s="85" t="n"/>
      <c r="AA777" s="85" t="n"/>
      <c r="AB777" s="85" t="n"/>
      <c r="AC777" s="86" t="n"/>
      <c r="AD777" s="85">
        <f>IF($A777="","",IF(OR($AB777&lt;&gt;"Yes",$AC777="",TODAY()-$AC777&gt;90),"At Risk","Not At Risk"))</f>
        <v/>
      </c>
      <c r="AE777" s="85" t="n"/>
    </row>
    <row r="778" ht="15" customHeight="1" s="39">
      <c r="A778" s="85" t="n"/>
      <c r="B778" s="85" t="n"/>
      <c r="C778" s="85" t="n"/>
      <c r="D778" s="85" t="n"/>
      <c r="E778" s="85" t="n"/>
      <c r="F778" s="85" t="n"/>
      <c r="G778" s="85" t="n"/>
      <c r="H778" s="85" t="n"/>
      <c r="I778" s="85" t="n"/>
      <c r="J778" s="85" t="n"/>
      <c r="K778" s="85" t="n"/>
      <c r="L778" s="85" t="n"/>
      <c r="M778" s="85" t="n"/>
      <c r="N778" s="85" t="n"/>
      <c r="O778" s="85" t="n"/>
      <c r="P778" s="85" t="n"/>
      <c r="Q778" s="85" t="n"/>
      <c r="R778" s="85" t="n"/>
      <c r="S778" s="85" t="n"/>
      <c r="T778" s="85" t="n"/>
      <c r="U778" s="85" t="n"/>
      <c r="V778" s="85" t="n"/>
      <c r="W778" s="85" t="n"/>
      <c r="X778" s="85" t="n"/>
      <c r="Y778" s="85" t="n"/>
      <c r="Z778" s="85" t="n"/>
      <c r="AA778" s="85" t="n"/>
      <c r="AB778" s="85" t="n"/>
      <c r="AC778" s="86" t="n"/>
      <c r="AD778" s="85">
        <f>IF($A778="","",IF(OR($AB778&lt;&gt;"Yes",$AC778="",TODAY()-$AC778&gt;90),"At Risk","Not At Risk"))</f>
        <v/>
      </c>
      <c r="AE778" s="85" t="n"/>
    </row>
    <row r="779" ht="15" customHeight="1" s="39">
      <c r="A779" s="85" t="n"/>
      <c r="B779" s="85" t="n"/>
      <c r="C779" s="85" t="n"/>
      <c r="D779" s="85" t="n"/>
      <c r="E779" s="85" t="n"/>
      <c r="F779" s="85" t="n"/>
      <c r="G779" s="85" t="n"/>
      <c r="H779" s="85" t="n"/>
      <c r="I779" s="85" t="n"/>
      <c r="J779" s="85" t="n"/>
      <c r="K779" s="85" t="n"/>
      <c r="L779" s="85" t="n"/>
      <c r="M779" s="85" t="n"/>
      <c r="N779" s="85" t="n"/>
      <c r="O779" s="85" t="n"/>
      <c r="P779" s="85" t="n"/>
      <c r="Q779" s="85" t="n"/>
      <c r="R779" s="85" t="n"/>
      <c r="S779" s="85" t="n"/>
      <c r="T779" s="85" t="n"/>
      <c r="U779" s="85" t="n"/>
      <c r="V779" s="85" t="n"/>
      <c r="W779" s="85" t="n"/>
      <c r="X779" s="85" t="n"/>
      <c r="Y779" s="85" t="n"/>
      <c r="Z779" s="85" t="n"/>
      <c r="AA779" s="85" t="n"/>
      <c r="AB779" s="85" t="n"/>
      <c r="AC779" s="86" t="n"/>
      <c r="AD779" s="85">
        <f>IF($A779="","",IF(OR($AB779&lt;&gt;"Yes",$AC779="",TODAY()-$AC779&gt;90),"At Risk","Not At Risk"))</f>
        <v/>
      </c>
      <c r="AE779" s="85" t="n"/>
    </row>
    <row r="780" ht="15" customHeight="1" s="39">
      <c r="A780" s="85" t="n"/>
      <c r="B780" s="85" t="n"/>
      <c r="C780" s="85" t="n"/>
      <c r="D780" s="85" t="n"/>
      <c r="E780" s="85" t="n"/>
      <c r="F780" s="85" t="n"/>
      <c r="G780" s="85" t="n"/>
      <c r="H780" s="85" t="n"/>
      <c r="I780" s="85" t="n"/>
      <c r="J780" s="85" t="n"/>
      <c r="K780" s="85" t="n"/>
      <c r="L780" s="85" t="n"/>
      <c r="M780" s="85" t="n"/>
      <c r="N780" s="85" t="n"/>
      <c r="O780" s="85" t="n"/>
      <c r="P780" s="85" t="n"/>
      <c r="Q780" s="85" t="n"/>
      <c r="R780" s="85" t="n"/>
      <c r="S780" s="85" t="n"/>
      <c r="T780" s="85" t="n"/>
      <c r="U780" s="85" t="n"/>
      <c r="V780" s="85" t="n"/>
      <c r="W780" s="85" t="n"/>
      <c r="X780" s="85" t="n"/>
      <c r="Y780" s="85" t="n"/>
      <c r="Z780" s="85" t="n"/>
      <c r="AA780" s="85" t="n"/>
      <c r="AB780" s="85" t="n"/>
      <c r="AC780" s="86" t="n"/>
      <c r="AD780" s="85">
        <f>IF($A780="","",IF(OR($AB780&lt;&gt;"Yes",$AC780="",TODAY()-$AC780&gt;90),"At Risk","Not At Risk"))</f>
        <v/>
      </c>
      <c r="AE780" s="85" t="n"/>
    </row>
    <row r="781" ht="15" customHeight="1" s="39">
      <c r="A781" s="85" t="n"/>
      <c r="B781" s="85" t="n"/>
      <c r="C781" s="85" t="n"/>
      <c r="D781" s="85" t="n"/>
      <c r="E781" s="85" t="n"/>
      <c r="F781" s="85" t="n"/>
      <c r="G781" s="85" t="n"/>
      <c r="H781" s="85" t="n"/>
      <c r="I781" s="85" t="n"/>
      <c r="J781" s="85" t="n"/>
      <c r="K781" s="85" t="n"/>
      <c r="L781" s="85" t="n"/>
      <c r="M781" s="85" t="n"/>
      <c r="N781" s="85" t="n"/>
      <c r="O781" s="85" t="n"/>
      <c r="P781" s="85" t="n"/>
      <c r="Q781" s="85" t="n"/>
      <c r="R781" s="85" t="n"/>
      <c r="S781" s="85" t="n"/>
      <c r="T781" s="85" t="n"/>
      <c r="U781" s="85" t="n"/>
      <c r="V781" s="85" t="n"/>
      <c r="W781" s="85" t="n"/>
      <c r="X781" s="85" t="n"/>
      <c r="Y781" s="85" t="n"/>
      <c r="Z781" s="85" t="n"/>
      <c r="AA781" s="85" t="n"/>
      <c r="AB781" s="85" t="n"/>
      <c r="AC781" s="86" t="n"/>
      <c r="AD781" s="85">
        <f>IF($A781="","",IF(OR($AB781&lt;&gt;"Yes",$AC781="",TODAY()-$AC781&gt;90),"At Risk","Not At Risk"))</f>
        <v/>
      </c>
      <c r="AE781" s="85" t="n"/>
    </row>
    <row r="782" ht="15" customHeight="1" s="39">
      <c r="A782" s="85" t="n"/>
      <c r="B782" s="85" t="n"/>
      <c r="C782" s="85" t="n"/>
      <c r="D782" s="85" t="n"/>
      <c r="E782" s="85" t="n"/>
      <c r="F782" s="85" t="n"/>
      <c r="G782" s="85" t="n"/>
      <c r="H782" s="85" t="n"/>
      <c r="I782" s="85" t="n"/>
      <c r="J782" s="85" t="n"/>
      <c r="K782" s="85" t="n"/>
      <c r="L782" s="85" t="n"/>
      <c r="M782" s="85" t="n"/>
      <c r="N782" s="85" t="n"/>
      <c r="O782" s="85" t="n"/>
      <c r="P782" s="85" t="n"/>
      <c r="Q782" s="85" t="n"/>
      <c r="R782" s="85" t="n"/>
      <c r="S782" s="85" t="n"/>
      <c r="T782" s="85" t="n"/>
      <c r="U782" s="85" t="n"/>
      <c r="V782" s="85" t="n"/>
      <c r="W782" s="85" t="n"/>
      <c r="X782" s="85" t="n"/>
      <c r="Y782" s="85" t="n"/>
      <c r="Z782" s="85" t="n"/>
      <c r="AA782" s="85" t="n"/>
      <c r="AB782" s="85" t="n"/>
      <c r="AC782" s="86" t="n"/>
      <c r="AD782" s="85">
        <f>IF($A782="","",IF(OR($AB782&lt;&gt;"Yes",$AC782="",TODAY()-$AC782&gt;90),"At Risk","Not At Risk"))</f>
        <v/>
      </c>
      <c r="AE782" s="85" t="n"/>
    </row>
    <row r="783" ht="15" customHeight="1" s="39">
      <c r="A783" s="85" t="n"/>
      <c r="B783" s="85" t="n"/>
      <c r="C783" s="85" t="n"/>
      <c r="D783" s="85" t="n"/>
      <c r="E783" s="85" t="n"/>
      <c r="F783" s="85" t="n"/>
      <c r="G783" s="85" t="n"/>
      <c r="H783" s="85" t="n"/>
      <c r="I783" s="85" t="n"/>
      <c r="J783" s="85" t="n"/>
      <c r="K783" s="85" t="n"/>
      <c r="L783" s="85" t="n"/>
      <c r="M783" s="85" t="n"/>
      <c r="N783" s="85" t="n"/>
      <c r="O783" s="85" t="n"/>
      <c r="P783" s="85" t="n"/>
      <c r="Q783" s="85" t="n"/>
      <c r="R783" s="85" t="n"/>
      <c r="S783" s="85" t="n"/>
      <c r="T783" s="85" t="n"/>
      <c r="U783" s="85" t="n"/>
      <c r="V783" s="85" t="n"/>
      <c r="W783" s="85" t="n"/>
      <c r="X783" s="85" t="n"/>
      <c r="Y783" s="85" t="n"/>
      <c r="Z783" s="85" t="n"/>
      <c r="AA783" s="85" t="n"/>
      <c r="AB783" s="85" t="n"/>
      <c r="AC783" s="86" t="n"/>
      <c r="AD783" s="85">
        <f>IF($A783="","",IF(OR($AB783&lt;&gt;"Yes",$AC783="",TODAY()-$AC783&gt;90),"At Risk","Not At Risk"))</f>
        <v/>
      </c>
      <c r="AE783" s="85" t="n"/>
    </row>
    <row r="784" ht="15" customHeight="1" s="39">
      <c r="A784" s="85" t="n"/>
      <c r="B784" s="85" t="n"/>
      <c r="C784" s="85" t="n"/>
      <c r="D784" s="85" t="n"/>
      <c r="E784" s="85" t="n"/>
      <c r="F784" s="85" t="n"/>
      <c r="G784" s="85" t="n"/>
      <c r="H784" s="85" t="n"/>
      <c r="I784" s="85" t="n"/>
      <c r="J784" s="85" t="n"/>
      <c r="K784" s="85" t="n"/>
      <c r="L784" s="85" t="n"/>
      <c r="M784" s="85" t="n"/>
      <c r="N784" s="85" t="n"/>
      <c r="O784" s="85" t="n"/>
      <c r="P784" s="85" t="n"/>
      <c r="Q784" s="85" t="n"/>
      <c r="R784" s="85" t="n"/>
      <c r="S784" s="85" t="n"/>
      <c r="T784" s="85" t="n"/>
      <c r="U784" s="85" t="n"/>
      <c r="V784" s="85" t="n"/>
      <c r="W784" s="85" t="n"/>
      <c r="X784" s="85" t="n"/>
      <c r="Y784" s="85" t="n"/>
      <c r="Z784" s="85" t="n"/>
      <c r="AA784" s="85" t="n"/>
      <c r="AB784" s="85" t="n"/>
      <c r="AC784" s="86" t="n"/>
      <c r="AD784" s="85">
        <f>IF($A784="","",IF(OR($AB784&lt;&gt;"Yes",$AC784="",TODAY()-$AC784&gt;90),"At Risk","Not At Risk"))</f>
        <v/>
      </c>
      <c r="AE784" s="85" t="n"/>
    </row>
    <row r="785" ht="15" customHeight="1" s="39">
      <c r="A785" s="85" t="n"/>
      <c r="B785" s="85" t="n"/>
      <c r="C785" s="85" t="n"/>
      <c r="D785" s="85" t="n"/>
      <c r="E785" s="85" t="n"/>
      <c r="F785" s="85" t="n"/>
      <c r="G785" s="85" t="n"/>
      <c r="H785" s="85" t="n"/>
      <c r="I785" s="85" t="n"/>
      <c r="J785" s="85" t="n"/>
      <c r="K785" s="85" t="n"/>
      <c r="L785" s="85" t="n"/>
      <c r="M785" s="85" t="n"/>
      <c r="N785" s="85" t="n"/>
      <c r="O785" s="85" t="n"/>
      <c r="P785" s="85" t="n"/>
      <c r="Q785" s="85" t="n"/>
      <c r="R785" s="85" t="n"/>
      <c r="S785" s="85" t="n"/>
      <c r="T785" s="85" t="n"/>
      <c r="U785" s="85" t="n"/>
      <c r="V785" s="85" t="n"/>
      <c r="W785" s="85" t="n"/>
      <c r="X785" s="85" t="n"/>
      <c r="Y785" s="85" t="n"/>
      <c r="Z785" s="85" t="n"/>
      <c r="AA785" s="85" t="n"/>
      <c r="AB785" s="85" t="n"/>
      <c r="AC785" s="86" t="n"/>
      <c r="AD785" s="85">
        <f>IF($A785="","",IF(OR($AB785&lt;&gt;"Yes",$AC785="",TODAY()-$AC785&gt;90),"At Risk","Not At Risk"))</f>
        <v/>
      </c>
      <c r="AE785" s="85" t="n"/>
    </row>
    <row r="786" ht="15" customHeight="1" s="39">
      <c r="A786" s="85" t="n"/>
      <c r="B786" s="85" t="n"/>
      <c r="C786" s="85" t="n"/>
      <c r="D786" s="85" t="n"/>
      <c r="E786" s="85" t="n"/>
      <c r="F786" s="85" t="n"/>
      <c r="G786" s="85" t="n"/>
      <c r="H786" s="85" t="n"/>
      <c r="I786" s="85" t="n"/>
      <c r="J786" s="85" t="n"/>
      <c r="K786" s="85" t="n"/>
      <c r="L786" s="85" t="n"/>
      <c r="M786" s="85" t="n"/>
      <c r="N786" s="85" t="n"/>
      <c r="O786" s="85" t="n"/>
      <c r="P786" s="85" t="n"/>
      <c r="Q786" s="85" t="n"/>
      <c r="R786" s="85" t="n"/>
      <c r="S786" s="85" t="n"/>
      <c r="T786" s="85" t="n"/>
      <c r="U786" s="85" t="n"/>
      <c r="V786" s="85" t="n"/>
      <c r="W786" s="85" t="n"/>
      <c r="X786" s="85" t="n"/>
      <c r="Y786" s="85" t="n"/>
      <c r="Z786" s="85" t="n"/>
      <c r="AA786" s="85" t="n"/>
      <c r="AB786" s="85" t="n"/>
      <c r="AC786" s="86" t="n"/>
      <c r="AD786" s="85">
        <f>IF($A786="","",IF(OR($AB786&lt;&gt;"Yes",$AC786="",TODAY()-$AC786&gt;90),"At Risk","Not At Risk"))</f>
        <v/>
      </c>
      <c r="AE786" s="85" t="n"/>
    </row>
    <row r="787" ht="15" customHeight="1" s="39">
      <c r="A787" s="85" t="n"/>
      <c r="B787" s="85" t="n"/>
      <c r="C787" s="85" t="n"/>
      <c r="D787" s="85" t="n"/>
      <c r="E787" s="85" t="n"/>
      <c r="F787" s="85" t="n"/>
      <c r="G787" s="85" t="n"/>
      <c r="H787" s="85" t="n"/>
      <c r="I787" s="85" t="n"/>
      <c r="J787" s="85" t="n"/>
      <c r="K787" s="85" t="n"/>
      <c r="L787" s="85" t="n"/>
      <c r="M787" s="85" t="n"/>
      <c r="N787" s="85" t="n"/>
      <c r="O787" s="85" t="n"/>
      <c r="P787" s="85" t="n"/>
      <c r="Q787" s="85" t="n"/>
      <c r="R787" s="85" t="n"/>
      <c r="S787" s="85" t="n"/>
      <c r="T787" s="85" t="n"/>
      <c r="U787" s="85" t="n"/>
      <c r="V787" s="85" t="n"/>
      <c r="W787" s="85" t="n"/>
      <c r="X787" s="85" t="n"/>
      <c r="Y787" s="85" t="n"/>
      <c r="Z787" s="85" t="n"/>
      <c r="AA787" s="85" t="n"/>
      <c r="AB787" s="85" t="n"/>
      <c r="AC787" s="86" t="n"/>
      <c r="AD787" s="85">
        <f>IF($A787="","",IF(OR($AB787&lt;&gt;"Yes",$AC787="",TODAY()-$AC787&gt;90),"At Risk","Not At Risk"))</f>
        <v/>
      </c>
      <c r="AE787" s="85" t="n"/>
    </row>
    <row r="788" ht="15" customHeight="1" s="39">
      <c r="A788" s="85" t="n"/>
      <c r="B788" s="85" t="n"/>
      <c r="C788" s="85" t="n"/>
      <c r="D788" s="85" t="n"/>
      <c r="E788" s="85" t="n"/>
      <c r="F788" s="85" t="n"/>
      <c r="G788" s="85" t="n"/>
      <c r="H788" s="85" t="n"/>
      <c r="I788" s="85" t="n"/>
      <c r="J788" s="85" t="n"/>
      <c r="K788" s="85" t="n"/>
      <c r="L788" s="85" t="n"/>
      <c r="M788" s="85" t="n"/>
      <c r="N788" s="85" t="n"/>
      <c r="O788" s="85" t="n"/>
      <c r="P788" s="85" t="n"/>
      <c r="Q788" s="85" t="n"/>
      <c r="R788" s="85" t="n"/>
      <c r="S788" s="85" t="n"/>
      <c r="T788" s="85" t="n"/>
      <c r="U788" s="85" t="n"/>
      <c r="V788" s="85" t="n"/>
      <c r="W788" s="85" t="n"/>
      <c r="X788" s="85" t="n"/>
      <c r="Y788" s="85" t="n"/>
      <c r="Z788" s="85" t="n"/>
      <c r="AA788" s="85" t="n"/>
      <c r="AB788" s="85" t="n"/>
      <c r="AC788" s="86" t="n"/>
      <c r="AD788" s="85">
        <f>IF($A788="","",IF(OR($AB788&lt;&gt;"Yes",$AC788="",TODAY()-$AC788&gt;90),"At Risk","Not At Risk"))</f>
        <v/>
      </c>
      <c r="AE788" s="85" t="n"/>
    </row>
    <row r="789" ht="15" customHeight="1" s="39">
      <c r="A789" s="85" t="n"/>
      <c r="B789" s="85" t="n"/>
      <c r="C789" s="85" t="n"/>
      <c r="D789" s="85" t="n"/>
      <c r="E789" s="85" t="n"/>
      <c r="F789" s="85" t="n"/>
      <c r="G789" s="85" t="n"/>
      <c r="H789" s="85" t="n"/>
      <c r="I789" s="85" t="n"/>
      <c r="J789" s="85" t="n"/>
      <c r="K789" s="85" t="n"/>
      <c r="L789" s="85" t="n"/>
      <c r="M789" s="85" t="n"/>
      <c r="N789" s="85" t="n"/>
      <c r="O789" s="85" t="n"/>
      <c r="P789" s="85" t="n"/>
      <c r="Q789" s="85" t="n"/>
      <c r="R789" s="85" t="n"/>
      <c r="S789" s="85" t="n"/>
      <c r="T789" s="85" t="n"/>
      <c r="U789" s="85" t="n"/>
      <c r="V789" s="85" t="n"/>
      <c r="W789" s="85" t="n"/>
      <c r="X789" s="85" t="n"/>
      <c r="Y789" s="85" t="n"/>
      <c r="Z789" s="85" t="n"/>
      <c r="AA789" s="85" t="n"/>
      <c r="AB789" s="85" t="n"/>
      <c r="AC789" s="86" t="n"/>
      <c r="AD789" s="85">
        <f>IF($A789="","",IF(OR($AB789&lt;&gt;"Yes",$AC789="",TODAY()-$AC789&gt;90),"At Risk","Not At Risk"))</f>
        <v/>
      </c>
      <c r="AE789" s="85" t="n"/>
    </row>
    <row r="790" ht="15" customHeight="1" s="39">
      <c r="A790" s="85" t="n"/>
      <c r="B790" s="85" t="n"/>
      <c r="C790" s="85" t="n"/>
      <c r="D790" s="85" t="n"/>
      <c r="E790" s="85" t="n"/>
      <c r="F790" s="85" t="n"/>
      <c r="G790" s="85" t="n"/>
      <c r="H790" s="85" t="n"/>
      <c r="I790" s="85" t="n"/>
      <c r="J790" s="85" t="n"/>
      <c r="K790" s="85" t="n"/>
      <c r="L790" s="85" t="n"/>
      <c r="M790" s="85" t="n"/>
      <c r="N790" s="85" t="n"/>
      <c r="O790" s="85" t="n"/>
      <c r="P790" s="85" t="n"/>
      <c r="Q790" s="85" t="n"/>
      <c r="R790" s="85" t="n"/>
      <c r="S790" s="85" t="n"/>
      <c r="T790" s="85" t="n"/>
      <c r="U790" s="85" t="n"/>
      <c r="V790" s="85" t="n"/>
      <c r="W790" s="85" t="n"/>
      <c r="X790" s="85" t="n"/>
      <c r="Y790" s="85" t="n"/>
      <c r="Z790" s="85" t="n"/>
      <c r="AA790" s="85" t="n"/>
      <c r="AB790" s="85" t="n"/>
      <c r="AC790" s="86" t="n"/>
      <c r="AD790" s="85">
        <f>IF($A790="","",IF(OR($AB790&lt;&gt;"Yes",$AC790="",TODAY()-$AC790&gt;90),"At Risk","Not At Risk"))</f>
        <v/>
      </c>
      <c r="AE790" s="85" t="n"/>
    </row>
    <row r="791" ht="15" customHeight="1" s="39">
      <c r="A791" s="85" t="n"/>
      <c r="B791" s="85" t="n"/>
      <c r="C791" s="85" t="n"/>
      <c r="D791" s="85" t="n"/>
      <c r="E791" s="85" t="n"/>
      <c r="F791" s="85" t="n"/>
      <c r="G791" s="85" t="n"/>
      <c r="H791" s="85" t="n"/>
      <c r="I791" s="85" t="n"/>
      <c r="J791" s="85" t="n"/>
      <c r="K791" s="85" t="n"/>
      <c r="L791" s="85" t="n"/>
      <c r="M791" s="85" t="n"/>
      <c r="N791" s="85" t="n"/>
      <c r="O791" s="85" t="n"/>
      <c r="P791" s="85" t="n"/>
      <c r="Q791" s="85" t="n"/>
      <c r="R791" s="85" t="n"/>
      <c r="S791" s="85" t="n"/>
      <c r="T791" s="85" t="n"/>
      <c r="U791" s="85" t="n"/>
      <c r="V791" s="85" t="n"/>
      <c r="W791" s="85" t="n"/>
      <c r="X791" s="85" t="n"/>
      <c r="Y791" s="85" t="n"/>
      <c r="Z791" s="85" t="n"/>
      <c r="AA791" s="85" t="n"/>
      <c r="AB791" s="85" t="n"/>
      <c r="AC791" s="86" t="n"/>
      <c r="AD791" s="85">
        <f>IF($A791="","",IF(OR($AB791&lt;&gt;"Yes",$AC791="",TODAY()-$AC791&gt;90),"At Risk","Not At Risk"))</f>
        <v/>
      </c>
      <c r="AE791" s="85" t="n"/>
    </row>
    <row r="792" ht="15" customHeight="1" s="39">
      <c r="A792" s="85" t="n"/>
      <c r="B792" s="85" t="n"/>
      <c r="C792" s="85" t="n"/>
      <c r="D792" s="85" t="n"/>
      <c r="E792" s="85" t="n"/>
      <c r="F792" s="85" t="n"/>
      <c r="G792" s="85" t="n"/>
      <c r="H792" s="85" t="n"/>
      <c r="I792" s="85" t="n"/>
      <c r="J792" s="85" t="n"/>
      <c r="K792" s="85" t="n"/>
      <c r="L792" s="85" t="n"/>
      <c r="M792" s="85" t="n"/>
      <c r="N792" s="85" t="n"/>
      <c r="O792" s="85" t="n"/>
      <c r="P792" s="85" t="n"/>
      <c r="Q792" s="85" t="n"/>
      <c r="R792" s="85" t="n"/>
      <c r="S792" s="85" t="n"/>
      <c r="T792" s="85" t="n"/>
      <c r="U792" s="85" t="n"/>
      <c r="V792" s="85" t="n"/>
      <c r="W792" s="85" t="n"/>
      <c r="X792" s="85" t="n"/>
      <c r="Y792" s="85" t="n"/>
      <c r="Z792" s="85" t="n"/>
      <c r="AA792" s="85" t="n"/>
      <c r="AB792" s="85" t="n"/>
      <c r="AC792" s="86" t="n"/>
      <c r="AD792" s="85">
        <f>IF($A792="","",IF(OR($AB792&lt;&gt;"Yes",$AC792="",TODAY()-$AC792&gt;90),"At Risk","Not At Risk"))</f>
        <v/>
      </c>
      <c r="AE792" s="85" t="n"/>
    </row>
    <row r="793" ht="15" customHeight="1" s="39">
      <c r="A793" s="85" t="n"/>
      <c r="B793" s="85" t="n"/>
      <c r="C793" s="85" t="n"/>
      <c r="D793" s="85" t="n"/>
      <c r="E793" s="85" t="n"/>
      <c r="F793" s="85" t="n"/>
      <c r="G793" s="85" t="n"/>
      <c r="H793" s="85" t="n"/>
      <c r="I793" s="85" t="n"/>
      <c r="J793" s="85" t="n"/>
      <c r="K793" s="85" t="n"/>
      <c r="L793" s="85" t="n"/>
      <c r="M793" s="85" t="n"/>
      <c r="N793" s="85" t="n"/>
      <c r="O793" s="85" t="n"/>
      <c r="P793" s="85" t="n"/>
      <c r="Q793" s="85" t="n"/>
      <c r="R793" s="85" t="n"/>
      <c r="S793" s="85" t="n"/>
      <c r="T793" s="85" t="n"/>
      <c r="U793" s="85" t="n"/>
      <c r="V793" s="85" t="n"/>
      <c r="W793" s="85" t="n"/>
      <c r="X793" s="85" t="n"/>
      <c r="Y793" s="85" t="n"/>
      <c r="Z793" s="85" t="n"/>
      <c r="AA793" s="85" t="n"/>
      <c r="AB793" s="85" t="n"/>
      <c r="AC793" s="86" t="n"/>
      <c r="AD793" s="85">
        <f>IF($A793="","",IF(OR($AB793&lt;&gt;"Yes",$AC793="",TODAY()-$AC793&gt;90),"At Risk","Not At Risk"))</f>
        <v/>
      </c>
      <c r="AE793" s="85" t="n"/>
    </row>
    <row r="794" ht="15" customHeight="1" s="39">
      <c r="A794" s="85" t="n"/>
      <c r="B794" s="85" t="n"/>
      <c r="C794" s="85" t="n"/>
      <c r="D794" s="85" t="n"/>
      <c r="E794" s="85" t="n"/>
      <c r="F794" s="85" t="n"/>
      <c r="G794" s="85" t="n"/>
      <c r="H794" s="85" t="n"/>
      <c r="I794" s="85" t="n"/>
      <c r="J794" s="85" t="n"/>
      <c r="K794" s="85" t="n"/>
      <c r="L794" s="85" t="n"/>
      <c r="M794" s="85" t="n"/>
      <c r="N794" s="85" t="n"/>
      <c r="O794" s="85" t="n"/>
      <c r="P794" s="85" t="n"/>
      <c r="Q794" s="85" t="n"/>
      <c r="R794" s="85" t="n"/>
      <c r="S794" s="85" t="n"/>
      <c r="T794" s="85" t="n"/>
      <c r="U794" s="85" t="n"/>
      <c r="V794" s="85" t="n"/>
      <c r="W794" s="85" t="n"/>
      <c r="X794" s="85" t="n"/>
      <c r="Y794" s="85" t="n"/>
      <c r="Z794" s="85" t="n"/>
      <c r="AA794" s="85" t="n"/>
      <c r="AB794" s="85" t="n"/>
      <c r="AC794" s="86" t="n"/>
      <c r="AD794" s="85">
        <f>IF($A794="","",IF(OR($AB794&lt;&gt;"Yes",$AC794="",TODAY()-$AC794&gt;90),"At Risk","Not At Risk"))</f>
        <v/>
      </c>
      <c r="AE794" s="85" t="n"/>
    </row>
    <row r="795" ht="15" customHeight="1" s="39">
      <c r="A795" s="85" t="n"/>
      <c r="B795" s="85" t="n"/>
      <c r="C795" s="85" t="n"/>
      <c r="D795" s="85" t="n"/>
      <c r="E795" s="85" t="n"/>
      <c r="F795" s="85" t="n"/>
      <c r="G795" s="85" t="n"/>
      <c r="H795" s="85" t="n"/>
      <c r="I795" s="85" t="n"/>
      <c r="J795" s="85" t="n"/>
      <c r="K795" s="85" t="n"/>
      <c r="L795" s="85" t="n"/>
      <c r="M795" s="85" t="n"/>
      <c r="N795" s="85" t="n"/>
      <c r="O795" s="85" t="n"/>
      <c r="P795" s="85" t="n"/>
      <c r="Q795" s="85" t="n"/>
      <c r="R795" s="85" t="n"/>
      <c r="S795" s="85" t="n"/>
      <c r="T795" s="85" t="n"/>
      <c r="U795" s="85" t="n"/>
      <c r="V795" s="85" t="n"/>
      <c r="W795" s="85" t="n"/>
      <c r="X795" s="85" t="n"/>
      <c r="Y795" s="85" t="n"/>
      <c r="Z795" s="85" t="n"/>
      <c r="AA795" s="85" t="n"/>
      <c r="AB795" s="85" t="n"/>
      <c r="AC795" s="86" t="n"/>
      <c r="AD795" s="85">
        <f>IF($A795="","",IF(OR($AB795&lt;&gt;"Yes",$AC795="",TODAY()-$AC795&gt;90),"At Risk","Not At Risk"))</f>
        <v/>
      </c>
      <c r="AE795" s="85" t="n"/>
    </row>
    <row r="796" ht="15" customHeight="1" s="39">
      <c r="A796" s="85" t="n"/>
      <c r="B796" s="85" t="n"/>
      <c r="C796" s="85" t="n"/>
      <c r="D796" s="85" t="n"/>
      <c r="E796" s="85" t="n"/>
      <c r="F796" s="85" t="n"/>
      <c r="G796" s="85" t="n"/>
      <c r="H796" s="85" t="n"/>
      <c r="I796" s="85" t="n"/>
      <c r="J796" s="85" t="n"/>
      <c r="K796" s="85" t="n"/>
      <c r="L796" s="85" t="n"/>
      <c r="M796" s="85" t="n"/>
      <c r="N796" s="85" t="n"/>
      <c r="O796" s="85" t="n"/>
      <c r="P796" s="85" t="n"/>
      <c r="Q796" s="85" t="n"/>
      <c r="R796" s="85" t="n"/>
      <c r="S796" s="85" t="n"/>
      <c r="T796" s="85" t="n"/>
      <c r="U796" s="85" t="n"/>
      <c r="V796" s="85" t="n"/>
      <c r="W796" s="85" t="n"/>
      <c r="X796" s="85" t="n"/>
      <c r="Y796" s="85" t="n"/>
      <c r="Z796" s="85" t="n"/>
      <c r="AA796" s="85" t="n"/>
      <c r="AB796" s="85" t="n"/>
      <c r="AC796" s="86" t="n"/>
      <c r="AD796" s="85">
        <f>IF($A796="","",IF(OR($AB796&lt;&gt;"Yes",$AC796="",TODAY()-$AC796&gt;90),"At Risk","Not At Risk"))</f>
        <v/>
      </c>
      <c r="AE796" s="85" t="n"/>
    </row>
    <row r="797" ht="15" customHeight="1" s="39">
      <c r="A797" s="85" t="n"/>
      <c r="B797" s="85" t="n"/>
      <c r="C797" s="85" t="n"/>
      <c r="D797" s="85" t="n"/>
      <c r="E797" s="85" t="n"/>
      <c r="F797" s="85" t="n"/>
      <c r="G797" s="85" t="n"/>
      <c r="H797" s="85" t="n"/>
      <c r="I797" s="85" t="n"/>
      <c r="J797" s="85" t="n"/>
      <c r="K797" s="85" t="n"/>
      <c r="L797" s="85" t="n"/>
      <c r="M797" s="85" t="n"/>
      <c r="N797" s="85" t="n"/>
      <c r="O797" s="85" t="n"/>
      <c r="P797" s="85" t="n"/>
      <c r="Q797" s="85" t="n"/>
      <c r="R797" s="85" t="n"/>
      <c r="S797" s="85" t="n"/>
      <c r="T797" s="85" t="n"/>
      <c r="U797" s="85" t="n"/>
      <c r="V797" s="85" t="n"/>
      <c r="W797" s="85" t="n"/>
      <c r="X797" s="85" t="n"/>
      <c r="Y797" s="85" t="n"/>
      <c r="Z797" s="85" t="n"/>
      <c r="AA797" s="85" t="n"/>
      <c r="AB797" s="85" t="n"/>
      <c r="AC797" s="86" t="n"/>
      <c r="AD797" s="85">
        <f>IF($A797="","",IF(OR($AB797&lt;&gt;"Yes",$AC797="",TODAY()-$AC797&gt;90),"At Risk","Not At Risk"))</f>
        <v/>
      </c>
      <c r="AE797" s="85" t="n"/>
    </row>
    <row r="798" ht="15" customHeight="1" s="39">
      <c r="A798" s="85" t="n"/>
      <c r="B798" s="85" t="n"/>
      <c r="C798" s="85" t="n"/>
      <c r="D798" s="85" t="n"/>
      <c r="E798" s="85" t="n"/>
      <c r="F798" s="85" t="n"/>
      <c r="G798" s="85" t="n"/>
      <c r="H798" s="85" t="n"/>
      <c r="I798" s="85" t="n"/>
      <c r="J798" s="85" t="n"/>
      <c r="K798" s="85" t="n"/>
      <c r="L798" s="85" t="n"/>
      <c r="M798" s="85" t="n"/>
      <c r="N798" s="85" t="n"/>
      <c r="O798" s="85" t="n"/>
      <c r="P798" s="85" t="n"/>
      <c r="Q798" s="85" t="n"/>
      <c r="R798" s="85" t="n"/>
      <c r="S798" s="85" t="n"/>
      <c r="T798" s="85" t="n"/>
      <c r="U798" s="85" t="n"/>
      <c r="V798" s="85" t="n"/>
      <c r="W798" s="85" t="n"/>
      <c r="X798" s="85" t="n"/>
      <c r="Y798" s="85" t="n"/>
      <c r="Z798" s="85" t="n"/>
      <c r="AA798" s="85" t="n"/>
      <c r="AB798" s="85" t="n"/>
      <c r="AC798" s="86" t="n"/>
      <c r="AD798" s="85">
        <f>IF($A798="","",IF(OR($AB798&lt;&gt;"Yes",$AC798="",TODAY()-$AC798&gt;90),"At Risk","Not At Risk"))</f>
        <v/>
      </c>
      <c r="AE798" s="85" t="n"/>
    </row>
    <row r="799" ht="15" customHeight="1" s="39">
      <c r="A799" s="85" t="n"/>
      <c r="B799" s="85" t="n"/>
      <c r="C799" s="85" t="n"/>
      <c r="D799" s="85" t="n"/>
      <c r="E799" s="85" t="n"/>
      <c r="F799" s="85" t="n"/>
      <c r="G799" s="85" t="n"/>
      <c r="H799" s="85" t="n"/>
      <c r="I799" s="85" t="n"/>
      <c r="J799" s="85" t="n"/>
      <c r="K799" s="85" t="n"/>
      <c r="L799" s="85" t="n"/>
      <c r="M799" s="85" t="n"/>
      <c r="N799" s="85" t="n"/>
      <c r="O799" s="85" t="n"/>
      <c r="P799" s="85" t="n"/>
      <c r="Q799" s="85" t="n"/>
      <c r="R799" s="85" t="n"/>
      <c r="S799" s="85" t="n"/>
      <c r="T799" s="85" t="n"/>
      <c r="U799" s="85" t="n"/>
      <c r="V799" s="85" t="n"/>
      <c r="W799" s="85" t="n"/>
      <c r="X799" s="85" t="n"/>
      <c r="Y799" s="85" t="n"/>
      <c r="Z799" s="85" t="n"/>
      <c r="AA799" s="85" t="n"/>
      <c r="AB799" s="85" t="n"/>
      <c r="AC799" s="86" t="n"/>
      <c r="AD799" s="85">
        <f>IF($A799="","",IF(OR($AB799&lt;&gt;"Yes",$AC799="",TODAY()-$AC799&gt;90),"At Risk","Not At Risk"))</f>
        <v/>
      </c>
      <c r="AE799" s="85" t="n"/>
    </row>
    <row r="800" ht="15" customHeight="1" s="39">
      <c r="A800" s="85" t="n"/>
      <c r="B800" s="85" t="n"/>
      <c r="C800" s="85" t="n"/>
      <c r="D800" s="85" t="n"/>
      <c r="E800" s="85" t="n"/>
      <c r="F800" s="85" t="n"/>
      <c r="G800" s="85" t="n"/>
      <c r="H800" s="85" t="n"/>
      <c r="I800" s="85" t="n"/>
      <c r="J800" s="85" t="n"/>
      <c r="K800" s="85" t="n"/>
      <c r="L800" s="85" t="n"/>
      <c r="M800" s="85" t="n"/>
      <c r="N800" s="85" t="n"/>
      <c r="O800" s="85" t="n"/>
      <c r="P800" s="85" t="n"/>
      <c r="Q800" s="85" t="n"/>
      <c r="R800" s="85" t="n"/>
      <c r="S800" s="85" t="n"/>
      <c r="T800" s="85" t="n"/>
      <c r="U800" s="85" t="n"/>
      <c r="V800" s="85" t="n"/>
      <c r="W800" s="85" t="n"/>
      <c r="X800" s="85" t="n"/>
      <c r="Y800" s="85" t="n"/>
      <c r="Z800" s="85" t="n"/>
      <c r="AA800" s="85" t="n"/>
      <c r="AB800" s="85" t="n"/>
      <c r="AC800" s="86" t="n"/>
      <c r="AD800" s="85">
        <f>IF($A800="","",IF(OR($AB800&lt;&gt;"Yes",$AC800="",TODAY()-$AC800&gt;90),"At Risk","Not At Risk"))</f>
        <v/>
      </c>
      <c r="AE800" s="85" t="n"/>
    </row>
    <row r="801" ht="15" customHeight="1" s="39">
      <c r="A801" s="85" t="n"/>
      <c r="B801" s="85" t="n"/>
      <c r="C801" s="85" t="n"/>
      <c r="D801" s="85" t="n"/>
      <c r="E801" s="85" t="n"/>
      <c r="F801" s="85" t="n"/>
      <c r="G801" s="85" t="n"/>
      <c r="H801" s="85" t="n"/>
      <c r="I801" s="85" t="n"/>
      <c r="J801" s="85" t="n"/>
      <c r="K801" s="85" t="n"/>
      <c r="L801" s="85" t="n"/>
      <c r="M801" s="85" t="n"/>
      <c r="N801" s="85" t="n"/>
      <c r="O801" s="85" t="n"/>
      <c r="P801" s="85" t="n"/>
      <c r="Q801" s="85" t="n"/>
      <c r="R801" s="85" t="n"/>
      <c r="S801" s="85" t="n"/>
      <c r="T801" s="85" t="n"/>
      <c r="U801" s="85" t="n"/>
      <c r="V801" s="85" t="n"/>
      <c r="W801" s="85" t="n"/>
      <c r="X801" s="85" t="n"/>
      <c r="Y801" s="85" t="n"/>
      <c r="Z801" s="85" t="n"/>
      <c r="AA801" s="85" t="n"/>
      <c r="AB801" s="85" t="n"/>
      <c r="AC801" s="86" t="n"/>
      <c r="AD801" s="85">
        <f>IF($A801="","",IF(OR($AB801&lt;&gt;"Yes",$AC801="",TODAY()-$AC801&gt;90),"At Risk","Not At Risk"))</f>
        <v/>
      </c>
      <c r="AE801" s="85" t="n"/>
    </row>
    <row r="802" ht="15" customHeight="1" s="39">
      <c r="A802" s="85" t="n"/>
      <c r="B802" s="85" t="n"/>
      <c r="C802" s="85" t="n"/>
      <c r="D802" s="85" t="n"/>
      <c r="E802" s="85" t="n"/>
      <c r="F802" s="85" t="n"/>
      <c r="G802" s="85" t="n"/>
      <c r="H802" s="85" t="n"/>
      <c r="I802" s="85" t="n"/>
      <c r="J802" s="85" t="n"/>
      <c r="K802" s="85" t="n"/>
      <c r="L802" s="85" t="n"/>
      <c r="M802" s="85" t="n"/>
      <c r="N802" s="85" t="n"/>
      <c r="O802" s="85" t="n"/>
      <c r="P802" s="85" t="n"/>
      <c r="Q802" s="85" t="n"/>
      <c r="R802" s="85" t="n"/>
      <c r="S802" s="85" t="n"/>
      <c r="T802" s="85" t="n"/>
      <c r="U802" s="85" t="n"/>
      <c r="V802" s="85" t="n"/>
      <c r="W802" s="85" t="n"/>
      <c r="X802" s="85" t="n"/>
      <c r="Y802" s="85" t="n"/>
      <c r="Z802" s="85" t="n"/>
      <c r="AA802" s="85" t="n"/>
      <c r="AB802" s="85" t="n"/>
      <c r="AC802" s="86" t="n"/>
      <c r="AD802" s="85">
        <f>IF($A802="","",IF(OR($AB802&lt;&gt;"Yes",$AC802="",TODAY()-$AC802&gt;90),"At Risk","Not At Risk"))</f>
        <v/>
      </c>
      <c r="AE802" s="85" t="n"/>
    </row>
    <row r="803" ht="15" customHeight="1" s="39">
      <c r="A803" s="85" t="n"/>
      <c r="B803" s="85" t="n"/>
      <c r="C803" s="85" t="n"/>
      <c r="D803" s="85" t="n"/>
      <c r="E803" s="85" t="n"/>
      <c r="F803" s="85" t="n"/>
      <c r="G803" s="85" t="n"/>
      <c r="H803" s="85" t="n"/>
      <c r="I803" s="85" t="n"/>
      <c r="J803" s="85" t="n"/>
      <c r="K803" s="85" t="n"/>
      <c r="L803" s="85" t="n"/>
      <c r="M803" s="85" t="n"/>
      <c r="N803" s="85" t="n"/>
      <c r="O803" s="85" t="n"/>
      <c r="P803" s="85" t="n"/>
      <c r="Q803" s="85" t="n"/>
      <c r="R803" s="85" t="n"/>
      <c r="S803" s="85" t="n"/>
      <c r="T803" s="85" t="n"/>
      <c r="U803" s="85" t="n"/>
      <c r="V803" s="85" t="n"/>
      <c r="W803" s="85" t="n"/>
      <c r="X803" s="85" t="n"/>
      <c r="Y803" s="85" t="n"/>
      <c r="Z803" s="85" t="n"/>
      <c r="AA803" s="85" t="n"/>
      <c r="AB803" s="85" t="n"/>
      <c r="AC803" s="86" t="n"/>
      <c r="AD803" s="85">
        <f>IF($A803="","",IF(OR($AB803&lt;&gt;"Yes",$AC803="",TODAY()-$AC803&gt;90),"At Risk","Not At Risk"))</f>
        <v/>
      </c>
      <c r="AE803" s="85" t="n"/>
    </row>
    <row r="804" ht="15" customHeight="1" s="39">
      <c r="A804" s="85" t="n"/>
      <c r="B804" s="85" t="n"/>
      <c r="C804" s="85" t="n"/>
      <c r="D804" s="85" t="n"/>
      <c r="E804" s="85" t="n"/>
      <c r="F804" s="85" t="n"/>
      <c r="G804" s="85" t="n"/>
      <c r="H804" s="85" t="n"/>
      <c r="I804" s="85" t="n"/>
      <c r="J804" s="85" t="n"/>
      <c r="K804" s="85" t="n"/>
      <c r="L804" s="85" t="n"/>
      <c r="M804" s="85" t="n"/>
      <c r="N804" s="85" t="n"/>
      <c r="O804" s="85" t="n"/>
      <c r="P804" s="85" t="n"/>
      <c r="Q804" s="85" t="n"/>
      <c r="R804" s="85" t="n"/>
      <c r="S804" s="85" t="n"/>
      <c r="T804" s="85" t="n"/>
      <c r="U804" s="85" t="n"/>
      <c r="V804" s="85" t="n"/>
      <c r="W804" s="85" t="n"/>
      <c r="X804" s="85" t="n"/>
      <c r="Y804" s="85" t="n"/>
      <c r="Z804" s="85" t="n"/>
      <c r="AA804" s="85" t="n"/>
      <c r="AB804" s="85" t="n"/>
      <c r="AC804" s="86" t="n"/>
      <c r="AD804" s="85">
        <f>IF($A804="","",IF(OR($AB804&lt;&gt;"Yes",$AC804="",TODAY()-$AC804&gt;90),"At Risk","Not At Risk"))</f>
        <v/>
      </c>
      <c r="AE804" s="85" t="n"/>
    </row>
    <row r="805" ht="15" customHeight="1" s="39">
      <c r="A805" s="85" t="n"/>
      <c r="B805" s="85" t="n"/>
      <c r="C805" s="85" t="n"/>
      <c r="D805" s="85" t="n"/>
      <c r="E805" s="85" t="n"/>
      <c r="F805" s="85" t="n"/>
      <c r="G805" s="85" t="n"/>
      <c r="H805" s="85" t="n"/>
      <c r="I805" s="85" t="n"/>
      <c r="J805" s="85" t="n"/>
      <c r="K805" s="85" t="n"/>
      <c r="L805" s="85" t="n"/>
      <c r="M805" s="85" t="n"/>
      <c r="N805" s="85" t="n"/>
      <c r="O805" s="85" t="n"/>
      <c r="P805" s="85" t="n"/>
      <c r="Q805" s="85" t="n"/>
      <c r="R805" s="85" t="n"/>
      <c r="S805" s="85" t="n"/>
      <c r="T805" s="85" t="n"/>
      <c r="U805" s="85" t="n"/>
      <c r="V805" s="85" t="n"/>
      <c r="W805" s="85" t="n"/>
      <c r="X805" s="85" t="n"/>
      <c r="Y805" s="85" t="n"/>
      <c r="Z805" s="85" t="n"/>
      <c r="AA805" s="85" t="n"/>
      <c r="AB805" s="85" t="n"/>
      <c r="AC805" s="86" t="n"/>
      <c r="AD805" s="85">
        <f>IF($A805="","",IF(OR($AB805&lt;&gt;"Yes",$AC805="",TODAY()-$AC805&gt;90),"At Risk","Not At Risk"))</f>
        <v/>
      </c>
      <c r="AE805" s="85" t="n"/>
    </row>
    <row r="806" ht="15" customHeight="1" s="39">
      <c r="A806" s="85" t="n"/>
      <c r="B806" s="85" t="n"/>
      <c r="C806" s="85" t="n"/>
      <c r="D806" s="85" t="n"/>
      <c r="E806" s="85" t="n"/>
      <c r="F806" s="85" t="n"/>
      <c r="G806" s="85" t="n"/>
      <c r="H806" s="85" t="n"/>
      <c r="I806" s="85" t="n"/>
      <c r="J806" s="85" t="n"/>
      <c r="K806" s="85" t="n"/>
      <c r="L806" s="85" t="n"/>
      <c r="M806" s="85" t="n"/>
      <c r="N806" s="85" t="n"/>
      <c r="O806" s="85" t="n"/>
      <c r="P806" s="85" t="n"/>
      <c r="Q806" s="85" t="n"/>
      <c r="R806" s="85" t="n"/>
      <c r="S806" s="85" t="n"/>
      <c r="T806" s="85" t="n"/>
      <c r="U806" s="85" t="n"/>
      <c r="V806" s="85" t="n"/>
      <c r="W806" s="85" t="n"/>
      <c r="X806" s="85" t="n"/>
      <c r="Y806" s="85" t="n"/>
      <c r="Z806" s="85" t="n"/>
      <c r="AA806" s="85" t="n"/>
      <c r="AB806" s="85" t="n"/>
      <c r="AC806" s="86" t="n"/>
      <c r="AD806" s="85">
        <f>IF($A806="","",IF(OR($AB806&lt;&gt;"Yes",$AC806="",TODAY()-$AC806&gt;90),"At Risk","Not At Risk"))</f>
        <v/>
      </c>
      <c r="AE806" s="85" t="n"/>
    </row>
    <row r="807" ht="15" customHeight="1" s="39">
      <c r="A807" s="85" t="n"/>
      <c r="B807" s="85" t="n"/>
      <c r="C807" s="85" t="n"/>
      <c r="D807" s="85" t="n"/>
      <c r="E807" s="85" t="n"/>
      <c r="F807" s="85" t="n"/>
      <c r="G807" s="85" t="n"/>
      <c r="H807" s="85" t="n"/>
      <c r="I807" s="85" t="n"/>
      <c r="J807" s="85" t="n"/>
      <c r="K807" s="85" t="n"/>
      <c r="L807" s="85" t="n"/>
      <c r="M807" s="85" t="n"/>
      <c r="N807" s="85" t="n"/>
      <c r="O807" s="85" t="n"/>
      <c r="P807" s="85" t="n"/>
      <c r="Q807" s="85" t="n"/>
      <c r="R807" s="85" t="n"/>
      <c r="S807" s="85" t="n"/>
      <c r="T807" s="85" t="n"/>
      <c r="U807" s="85" t="n"/>
      <c r="V807" s="85" t="n"/>
      <c r="W807" s="85" t="n"/>
      <c r="X807" s="85" t="n"/>
      <c r="Y807" s="85" t="n"/>
      <c r="Z807" s="85" t="n"/>
      <c r="AA807" s="85" t="n"/>
      <c r="AB807" s="85" t="n"/>
      <c r="AC807" s="86" t="n"/>
      <c r="AD807" s="85">
        <f>IF($A807="","",IF(OR($AB807&lt;&gt;"Yes",$AC807="",TODAY()-$AC807&gt;90),"At Risk","Not At Risk"))</f>
        <v/>
      </c>
      <c r="AE807" s="85" t="n"/>
    </row>
    <row r="808" ht="15" customHeight="1" s="39">
      <c r="A808" s="85" t="n"/>
      <c r="B808" s="85" t="n"/>
      <c r="C808" s="85" t="n"/>
      <c r="D808" s="85" t="n"/>
      <c r="E808" s="85" t="n"/>
      <c r="F808" s="85" t="n"/>
      <c r="G808" s="85" t="n"/>
      <c r="H808" s="85" t="n"/>
      <c r="I808" s="85" t="n"/>
      <c r="J808" s="85" t="n"/>
      <c r="K808" s="85" t="n"/>
      <c r="L808" s="85" t="n"/>
      <c r="M808" s="85" t="n"/>
      <c r="N808" s="85" t="n"/>
      <c r="O808" s="85" t="n"/>
      <c r="P808" s="85" t="n"/>
      <c r="Q808" s="85" t="n"/>
      <c r="R808" s="85" t="n"/>
      <c r="S808" s="85" t="n"/>
      <c r="T808" s="85" t="n"/>
      <c r="U808" s="85" t="n"/>
      <c r="V808" s="85" t="n"/>
      <c r="W808" s="85" t="n"/>
      <c r="X808" s="85" t="n"/>
      <c r="Y808" s="85" t="n"/>
      <c r="Z808" s="85" t="n"/>
      <c r="AA808" s="85" t="n"/>
      <c r="AB808" s="85" t="n"/>
      <c r="AC808" s="86" t="n"/>
      <c r="AD808" s="85">
        <f>IF($A808="","",IF(OR($AB808&lt;&gt;"Yes",$AC808="",TODAY()-$AC808&gt;90),"At Risk","Not At Risk"))</f>
        <v/>
      </c>
      <c r="AE808" s="85" t="n"/>
    </row>
    <row r="809" ht="15" customHeight="1" s="39">
      <c r="A809" s="85" t="n"/>
      <c r="B809" s="85" t="n"/>
      <c r="C809" s="85" t="n"/>
      <c r="D809" s="85" t="n"/>
      <c r="E809" s="85" t="n"/>
      <c r="F809" s="85" t="n"/>
      <c r="G809" s="85" t="n"/>
      <c r="H809" s="85" t="n"/>
      <c r="I809" s="85" t="n"/>
      <c r="J809" s="85" t="n"/>
      <c r="K809" s="85" t="n"/>
      <c r="L809" s="85" t="n"/>
      <c r="M809" s="85" t="n"/>
      <c r="N809" s="85" t="n"/>
      <c r="O809" s="85" t="n"/>
      <c r="P809" s="85" t="n"/>
      <c r="Q809" s="85" t="n"/>
      <c r="R809" s="85" t="n"/>
      <c r="S809" s="85" t="n"/>
      <c r="T809" s="85" t="n"/>
      <c r="U809" s="85" t="n"/>
      <c r="V809" s="85" t="n"/>
      <c r="W809" s="85" t="n"/>
      <c r="X809" s="85" t="n"/>
      <c r="Y809" s="85" t="n"/>
      <c r="Z809" s="85" t="n"/>
      <c r="AA809" s="85" t="n"/>
      <c r="AB809" s="85" t="n"/>
      <c r="AC809" s="86" t="n"/>
      <c r="AD809" s="85">
        <f>IF($A809="","",IF(OR($AB809&lt;&gt;"Yes",$AC809="",TODAY()-$AC809&gt;90),"At Risk","Not At Risk"))</f>
        <v/>
      </c>
      <c r="AE809" s="85" t="n"/>
    </row>
    <row r="810" ht="15" customHeight="1" s="39">
      <c r="A810" s="85" t="n"/>
      <c r="B810" s="85" t="n"/>
      <c r="C810" s="85" t="n"/>
      <c r="D810" s="85" t="n"/>
      <c r="E810" s="85" t="n"/>
      <c r="F810" s="85" t="n"/>
      <c r="G810" s="85" t="n"/>
      <c r="H810" s="85" t="n"/>
      <c r="I810" s="85" t="n"/>
      <c r="J810" s="85" t="n"/>
      <c r="K810" s="85" t="n"/>
      <c r="L810" s="85" t="n"/>
      <c r="M810" s="85" t="n"/>
      <c r="N810" s="85" t="n"/>
      <c r="O810" s="85" t="n"/>
      <c r="P810" s="85" t="n"/>
      <c r="Q810" s="85" t="n"/>
      <c r="R810" s="85" t="n"/>
      <c r="S810" s="85" t="n"/>
      <c r="T810" s="85" t="n"/>
      <c r="U810" s="85" t="n"/>
      <c r="V810" s="85" t="n"/>
      <c r="W810" s="85" t="n"/>
      <c r="X810" s="85" t="n"/>
      <c r="Y810" s="85" t="n"/>
      <c r="Z810" s="85" t="n"/>
      <c r="AA810" s="85" t="n"/>
      <c r="AB810" s="85" t="n"/>
      <c r="AC810" s="86" t="n"/>
      <c r="AD810" s="85">
        <f>IF($A810="","",IF(OR($AB810&lt;&gt;"Yes",$AC810="",TODAY()-$AC810&gt;90),"At Risk","Not At Risk"))</f>
        <v/>
      </c>
      <c r="AE810" s="85" t="n"/>
    </row>
    <row r="811" ht="15" customHeight="1" s="39">
      <c r="A811" s="85" t="n"/>
      <c r="B811" s="85" t="n"/>
      <c r="C811" s="85" t="n"/>
      <c r="D811" s="85" t="n"/>
      <c r="E811" s="85" t="n"/>
      <c r="F811" s="85" t="n"/>
      <c r="G811" s="85" t="n"/>
      <c r="H811" s="85" t="n"/>
      <c r="I811" s="85" t="n"/>
      <c r="J811" s="85" t="n"/>
      <c r="K811" s="85" t="n"/>
      <c r="L811" s="85" t="n"/>
      <c r="M811" s="85" t="n"/>
      <c r="N811" s="85" t="n"/>
      <c r="O811" s="85" t="n"/>
      <c r="P811" s="85" t="n"/>
      <c r="Q811" s="85" t="n"/>
      <c r="R811" s="85" t="n"/>
      <c r="S811" s="85" t="n"/>
      <c r="T811" s="85" t="n"/>
      <c r="U811" s="85" t="n"/>
      <c r="V811" s="85" t="n"/>
      <c r="W811" s="85" t="n"/>
      <c r="X811" s="85" t="n"/>
      <c r="Y811" s="85" t="n"/>
      <c r="Z811" s="85" t="n"/>
      <c r="AA811" s="85" t="n"/>
      <c r="AB811" s="85" t="n"/>
      <c r="AC811" s="86" t="n"/>
      <c r="AD811" s="85">
        <f>IF($A811="","",IF(OR($AB811&lt;&gt;"Yes",$AC811="",TODAY()-$AC811&gt;90),"At Risk","Not At Risk"))</f>
        <v/>
      </c>
      <c r="AE811" s="85" t="n"/>
    </row>
    <row r="812" ht="15" customHeight="1" s="39">
      <c r="A812" s="85" t="n"/>
      <c r="B812" s="85" t="n"/>
      <c r="C812" s="85" t="n"/>
      <c r="D812" s="85" t="n"/>
      <c r="E812" s="85" t="n"/>
      <c r="F812" s="85" t="n"/>
      <c r="G812" s="85" t="n"/>
      <c r="H812" s="85" t="n"/>
      <c r="I812" s="85" t="n"/>
      <c r="J812" s="85" t="n"/>
      <c r="K812" s="85" t="n"/>
      <c r="L812" s="85" t="n"/>
      <c r="M812" s="85" t="n"/>
      <c r="N812" s="85" t="n"/>
      <c r="O812" s="85" t="n"/>
      <c r="P812" s="85" t="n"/>
      <c r="Q812" s="85" t="n"/>
      <c r="R812" s="85" t="n"/>
      <c r="S812" s="85" t="n"/>
      <c r="T812" s="85" t="n"/>
      <c r="U812" s="85" t="n"/>
      <c r="V812" s="85" t="n"/>
      <c r="W812" s="85" t="n"/>
      <c r="X812" s="85" t="n"/>
      <c r="Y812" s="85" t="n"/>
      <c r="Z812" s="85" t="n"/>
      <c r="AA812" s="85" t="n"/>
      <c r="AB812" s="85" t="n"/>
      <c r="AC812" s="86" t="n"/>
      <c r="AD812" s="85">
        <f>IF($A812="","",IF(OR($AB812&lt;&gt;"Yes",$AC812="",TODAY()-$AC812&gt;90),"At Risk","Not At Risk"))</f>
        <v/>
      </c>
      <c r="AE812" s="85" t="n"/>
    </row>
    <row r="813" ht="15" customHeight="1" s="39">
      <c r="A813" s="85" t="n"/>
      <c r="B813" s="85" t="n"/>
      <c r="C813" s="85" t="n"/>
      <c r="D813" s="85" t="n"/>
      <c r="E813" s="85" t="n"/>
      <c r="F813" s="85" t="n"/>
      <c r="G813" s="85" t="n"/>
      <c r="H813" s="85" t="n"/>
      <c r="I813" s="85" t="n"/>
      <c r="J813" s="85" t="n"/>
      <c r="K813" s="85" t="n"/>
      <c r="L813" s="85" t="n"/>
      <c r="M813" s="85" t="n"/>
      <c r="N813" s="85" t="n"/>
      <c r="O813" s="85" t="n"/>
      <c r="P813" s="85" t="n"/>
      <c r="Q813" s="85" t="n"/>
      <c r="R813" s="85" t="n"/>
      <c r="S813" s="85" t="n"/>
      <c r="T813" s="85" t="n"/>
      <c r="U813" s="85" t="n"/>
      <c r="V813" s="85" t="n"/>
      <c r="W813" s="85" t="n"/>
      <c r="X813" s="85" t="n"/>
      <c r="Y813" s="85" t="n"/>
      <c r="Z813" s="85" t="n"/>
      <c r="AA813" s="85" t="n"/>
      <c r="AB813" s="85" t="n"/>
      <c r="AC813" s="86" t="n"/>
      <c r="AD813" s="85">
        <f>IF($A813="","",IF(OR($AB813&lt;&gt;"Yes",$AC813="",TODAY()-$AC813&gt;90),"At Risk","Not At Risk"))</f>
        <v/>
      </c>
      <c r="AE813" s="85" t="n"/>
    </row>
    <row r="814" ht="15" customHeight="1" s="39">
      <c r="A814" s="85" t="n"/>
      <c r="B814" s="85" t="n"/>
      <c r="C814" s="85" t="n"/>
      <c r="D814" s="85" t="n"/>
      <c r="E814" s="85" t="n"/>
      <c r="F814" s="85" t="n"/>
      <c r="G814" s="85" t="n"/>
      <c r="H814" s="85" t="n"/>
      <c r="I814" s="85" t="n"/>
      <c r="J814" s="85" t="n"/>
      <c r="K814" s="85" t="n"/>
      <c r="L814" s="85" t="n"/>
      <c r="M814" s="85" t="n"/>
      <c r="N814" s="85" t="n"/>
      <c r="O814" s="85" t="n"/>
      <c r="P814" s="85" t="n"/>
      <c r="Q814" s="85" t="n"/>
      <c r="R814" s="85" t="n"/>
      <c r="S814" s="85" t="n"/>
      <c r="T814" s="85" t="n"/>
      <c r="U814" s="85" t="n"/>
      <c r="V814" s="85" t="n"/>
      <c r="W814" s="85" t="n"/>
      <c r="X814" s="85" t="n"/>
      <c r="Y814" s="85" t="n"/>
      <c r="Z814" s="85" t="n"/>
      <c r="AA814" s="85" t="n"/>
      <c r="AB814" s="85" t="n"/>
      <c r="AC814" s="86" t="n"/>
      <c r="AD814" s="85">
        <f>IF($A814="","",IF(OR($AB814&lt;&gt;"Yes",$AC814="",TODAY()-$AC814&gt;90),"At Risk","Not At Risk"))</f>
        <v/>
      </c>
      <c r="AE814" s="85" t="n"/>
    </row>
    <row r="815" ht="15" customHeight="1" s="39">
      <c r="A815" s="85" t="n"/>
      <c r="B815" s="85" t="n"/>
      <c r="C815" s="85" t="n"/>
      <c r="D815" s="85" t="n"/>
      <c r="E815" s="85" t="n"/>
      <c r="F815" s="85" t="n"/>
      <c r="G815" s="85" t="n"/>
      <c r="H815" s="85" t="n"/>
      <c r="I815" s="85" t="n"/>
      <c r="J815" s="85" t="n"/>
      <c r="K815" s="85" t="n"/>
      <c r="L815" s="85" t="n"/>
      <c r="M815" s="85" t="n"/>
      <c r="N815" s="85" t="n"/>
      <c r="O815" s="85" t="n"/>
      <c r="P815" s="85" t="n"/>
      <c r="Q815" s="85" t="n"/>
      <c r="R815" s="85" t="n"/>
      <c r="S815" s="85" t="n"/>
      <c r="T815" s="85" t="n"/>
      <c r="U815" s="85" t="n"/>
      <c r="V815" s="85" t="n"/>
      <c r="W815" s="85" t="n"/>
      <c r="X815" s="85" t="n"/>
      <c r="Y815" s="85" t="n"/>
      <c r="Z815" s="85" t="n"/>
      <c r="AA815" s="85" t="n"/>
      <c r="AB815" s="85" t="n"/>
      <c r="AC815" s="86" t="n"/>
      <c r="AD815" s="85">
        <f>IF($A815="","",IF(OR($AB815&lt;&gt;"Yes",$AC815="",TODAY()-$AC815&gt;90),"At Risk","Not At Risk"))</f>
        <v/>
      </c>
      <c r="AE815" s="85" t="n"/>
    </row>
    <row r="816" ht="15" customHeight="1" s="39">
      <c r="A816" s="85" t="n"/>
      <c r="B816" s="85" t="n"/>
      <c r="C816" s="85" t="n"/>
      <c r="D816" s="85" t="n"/>
      <c r="E816" s="85" t="n"/>
      <c r="F816" s="85" t="n"/>
      <c r="G816" s="85" t="n"/>
      <c r="H816" s="85" t="n"/>
      <c r="I816" s="85" t="n"/>
      <c r="J816" s="85" t="n"/>
      <c r="K816" s="85" t="n"/>
      <c r="L816" s="85" t="n"/>
      <c r="M816" s="85" t="n"/>
      <c r="N816" s="85" t="n"/>
      <c r="O816" s="85" t="n"/>
      <c r="P816" s="85" t="n"/>
      <c r="Q816" s="85" t="n"/>
      <c r="R816" s="85" t="n"/>
      <c r="S816" s="85" t="n"/>
      <c r="T816" s="85" t="n"/>
      <c r="U816" s="85" t="n"/>
      <c r="V816" s="85" t="n"/>
      <c r="W816" s="85" t="n"/>
      <c r="X816" s="85" t="n"/>
      <c r="Y816" s="85" t="n"/>
      <c r="Z816" s="85" t="n"/>
      <c r="AA816" s="85" t="n"/>
      <c r="AB816" s="85" t="n"/>
      <c r="AC816" s="86" t="n"/>
      <c r="AD816" s="85">
        <f>IF($A816="","",IF(OR($AB816&lt;&gt;"Yes",$AC816="",TODAY()-$AC816&gt;90),"At Risk","Not At Risk"))</f>
        <v/>
      </c>
      <c r="AE816" s="85" t="n"/>
    </row>
    <row r="817" ht="15" customHeight="1" s="39">
      <c r="A817" s="85" t="n"/>
      <c r="B817" s="85" t="n"/>
      <c r="C817" s="85" t="n"/>
      <c r="D817" s="85" t="n"/>
      <c r="E817" s="85" t="n"/>
      <c r="F817" s="85" t="n"/>
      <c r="G817" s="85" t="n"/>
      <c r="H817" s="85" t="n"/>
      <c r="I817" s="85" t="n"/>
      <c r="J817" s="85" t="n"/>
      <c r="K817" s="85" t="n"/>
      <c r="L817" s="85" t="n"/>
      <c r="M817" s="85" t="n"/>
      <c r="N817" s="85" t="n"/>
      <c r="O817" s="85" t="n"/>
      <c r="P817" s="85" t="n"/>
      <c r="Q817" s="85" t="n"/>
      <c r="R817" s="85" t="n"/>
      <c r="S817" s="85" t="n"/>
      <c r="T817" s="85" t="n"/>
      <c r="U817" s="85" t="n"/>
      <c r="V817" s="85" t="n"/>
      <c r="W817" s="85" t="n"/>
      <c r="X817" s="85" t="n"/>
      <c r="Y817" s="85" t="n"/>
      <c r="Z817" s="85" t="n"/>
      <c r="AA817" s="85" t="n"/>
      <c r="AB817" s="85" t="n"/>
      <c r="AC817" s="86" t="n"/>
      <c r="AD817" s="85">
        <f>IF($A817="","",IF(OR($AB817&lt;&gt;"Yes",$AC817="",TODAY()-$AC817&gt;90),"At Risk","Not At Risk"))</f>
        <v/>
      </c>
      <c r="AE817" s="85" t="n"/>
    </row>
    <row r="818" ht="15" customHeight="1" s="39">
      <c r="A818" s="85" t="n"/>
      <c r="B818" s="85" t="n"/>
      <c r="C818" s="85" t="n"/>
      <c r="D818" s="85" t="n"/>
      <c r="E818" s="85" t="n"/>
      <c r="F818" s="85" t="n"/>
      <c r="G818" s="85" t="n"/>
      <c r="H818" s="85" t="n"/>
      <c r="I818" s="85" t="n"/>
      <c r="J818" s="85" t="n"/>
      <c r="K818" s="85" t="n"/>
      <c r="L818" s="85" t="n"/>
      <c r="M818" s="85" t="n"/>
      <c r="N818" s="85" t="n"/>
      <c r="O818" s="85" t="n"/>
      <c r="P818" s="85" t="n"/>
      <c r="Q818" s="85" t="n"/>
      <c r="R818" s="85" t="n"/>
      <c r="S818" s="85" t="n"/>
      <c r="T818" s="85" t="n"/>
      <c r="U818" s="85" t="n"/>
      <c r="V818" s="85" t="n"/>
      <c r="W818" s="85" t="n"/>
      <c r="X818" s="85" t="n"/>
      <c r="Y818" s="85" t="n"/>
      <c r="Z818" s="85" t="n"/>
      <c r="AA818" s="85" t="n"/>
      <c r="AB818" s="85" t="n"/>
      <c r="AC818" s="86" t="n"/>
      <c r="AD818" s="85">
        <f>IF($A818="","",IF(OR($AB818&lt;&gt;"Yes",$AC818="",TODAY()-$AC818&gt;90),"At Risk","Not At Risk"))</f>
        <v/>
      </c>
      <c r="AE818" s="85" t="n"/>
    </row>
    <row r="819" ht="15" customHeight="1" s="39">
      <c r="A819" s="85" t="n"/>
      <c r="B819" s="85" t="n"/>
      <c r="C819" s="85" t="n"/>
      <c r="D819" s="85" t="n"/>
      <c r="E819" s="85" t="n"/>
      <c r="F819" s="85" t="n"/>
      <c r="G819" s="85" t="n"/>
      <c r="H819" s="85" t="n"/>
      <c r="I819" s="85" t="n"/>
      <c r="J819" s="85" t="n"/>
      <c r="K819" s="85" t="n"/>
      <c r="L819" s="85" t="n"/>
      <c r="M819" s="85" t="n"/>
      <c r="N819" s="85" t="n"/>
      <c r="O819" s="85" t="n"/>
      <c r="P819" s="85" t="n"/>
      <c r="Q819" s="85" t="n"/>
      <c r="R819" s="85" t="n"/>
      <c r="S819" s="85" t="n"/>
      <c r="T819" s="85" t="n"/>
      <c r="U819" s="85" t="n"/>
      <c r="V819" s="85" t="n"/>
      <c r="W819" s="85" t="n"/>
      <c r="X819" s="85" t="n"/>
      <c r="Y819" s="85" t="n"/>
      <c r="Z819" s="85" t="n"/>
      <c r="AA819" s="85" t="n"/>
      <c r="AB819" s="85" t="n"/>
      <c r="AC819" s="86" t="n"/>
      <c r="AD819" s="85">
        <f>IF($A819="","",IF(OR($AB819&lt;&gt;"Yes",$AC819="",TODAY()-$AC819&gt;90),"At Risk","Not At Risk"))</f>
        <v/>
      </c>
      <c r="AE819" s="85" t="n"/>
    </row>
    <row r="820" ht="15" customHeight="1" s="39">
      <c r="A820" s="85" t="n"/>
      <c r="B820" s="85" t="n"/>
      <c r="C820" s="85" t="n"/>
      <c r="D820" s="85" t="n"/>
      <c r="E820" s="85" t="n"/>
      <c r="F820" s="85" t="n"/>
      <c r="G820" s="85" t="n"/>
      <c r="H820" s="85" t="n"/>
      <c r="I820" s="85" t="n"/>
      <c r="J820" s="85" t="n"/>
      <c r="K820" s="85" t="n"/>
      <c r="L820" s="85" t="n"/>
      <c r="M820" s="85" t="n"/>
      <c r="N820" s="85" t="n"/>
      <c r="O820" s="85" t="n"/>
      <c r="P820" s="85" t="n"/>
      <c r="Q820" s="85" t="n"/>
      <c r="R820" s="85" t="n"/>
      <c r="S820" s="85" t="n"/>
      <c r="T820" s="85" t="n"/>
      <c r="U820" s="85" t="n"/>
      <c r="V820" s="85" t="n"/>
      <c r="W820" s="85" t="n"/>
      <c r="X820" s="85" t="n"/>
      <c r="Y820" s="85" t="n"/>
      <c r="Z820" s="85" t="n"/>
      <c r="AA820" s="85" t="n"/>
      <c r="AB820" s="85" t="n"/>
      <c r="AC820" s="86" t="n"/>
      <c r="AD820" s="85">
        <f>IF($A820="","",IF(OR($AB820&lt;&gt;"Yes",$AC820="",TODAY()-$AC820&gt;90),"At Risk","Not At Risk"))</f>
        <v/>
      </c>
      <c r="AE820" s="85" t="n"/>
    </row>
    <row r="821" ht="15" customHeight="1" s="39">
      <c r="A821" s="85" t="n"/>
      <c r="B821" s="85" t="n"/>
      <c r="C821" s="85" t="n"/>
      <c r="D821" s="85" t="n"/>
      <c r="E821" s="85" t="n"/>
      <c r="F821" s="85" t="n"/>
      <c r="G821" s="85" t="n"/>
      <c r="H821" s="85" t="n"/>
      <c r="I821" s="85" t="n"/>
      <c r="J821" s="85" t="n"/>
      <c r="K821" s="85" t="n"/>
      <c r="L821" s="85" t="n"/>
      <c r="M821" s="85" t="n"/>
      <c r="N821" s="85" t="n"/>
      <c r="O821" s="85" t="n"/>
      <c r="P821" s="85" t="n"/>
      <c r="Q821" s="85" t="n"/>
      <c r="R821" s="85" t="n"/>
      <c r="S821" s="85" t="n"/>
      <c r="T821" s="85" t="n"/>
      <c r="U821" s="85" t="n"/>
      <c r="V821" s="85" t="n"/>
      <c r="W821" s="85" t="n"/>
      <c r="X821" s="85" t="n"/>
      <c r="Y821" s="85" t="n"/>
      <c r="Z821" s="85" t="n"/>
      <c r="AA821" s="85" t="n"/>
      <c r="AB821" s="85" t="n"/>
      <c r="AC821" s="86" t="n"/>
      <c r="AD821" s="85">
        <f>IF($A821="","",IF(OR($AB821&lt;&gt;"Yes",$AC821="",TODAY()-$AC821&gt;90),"At Risk","Not At Risk"))</f>
        <v/>
      </c>
      <c r="AE821" s="85" t="n"/>
    </row>
    <row r="822" ht="15" customHeight="1" s="39">
      <c r="A822" s="85" t="n"/>
      <c r="B822" s="85" t="n"/>
      <c r="C822" s="85" t="n"/>
      <c r="D822" s="85" t="n"/>
      <c r="E822" s="85" t="n"/>
      <c r="F822" s="85" t="n"/>
      <c r="G822" s="85" t="n"/>
      <c r="H822" s="85" t="n"/>
      <c r="I822" s="85" t="n"/>
      <c r="J822" s="85" t="n"/>
      <c r="K822" s="85" t="n"/>
      <c r="L822" s="85" t="n"/>
      <c r="M822" s="85" t="n"/>
      <c r="N822" s="85" t="n"/>
      <c r="O822" s="85" t="n"/>
      <c r="P822" s="85" t="n"/>
      <c r="Q822" s="85" t="n"/>
      <c r="R822" s="85" t="n"/>
      <c r="S822" s="85" t="n"/>
      <c r="T822" s="85" t="n"/>
      <c r="U822" s="85" t="n"/>
      <c r="V822" s="85" t="n"/>
      <c r="W822" s="85" t="n"/>
      <c r="X822" s="85" t="n"/>
      <c r="Y822" s="85" t="n"/>
      <c r="Z822" s="85" t="n"/>
      <c r="AA822" s="85" t="n"/>
      <c r="AB822" s="85" t="n"/>
      <c r="AC822" s="86" t="n"/>
      <c r="AD822" s="85">
        <f>IF($A822="","",IF(OR($AB822&lt;&gt;"Yes",$AC822="",TODAY()-$AC822&gt;90),"At Risk","Not At Risk"))</f>
        <v/>
      </c>
      <c r="AE822" s="85" t="n"/>
    </row>
    <row r="823" ht="15" customHeight="1" s="39">
      <c r="A823" s="85" t="n"/>
      <c r="B823" s="85" t="n"/>
      <c r="C823" s="85" t="n"/>
      <c r="D823" s="85" t="n"/>
      <c r="E823" s="85" t="n"/>
      <c r="F823" s="85" t="n"/>
      <c r="G823" s="85" t="n"/>
      <c r="H823" s="85" t="n"/>
      <c r="I823" s="85" t="n"/>
      <c r="J823" s="85" t="n"/>
      <c r="K823" s="85" t="n"/>
      <c r="L823" s="85" t="n"/>
      <c r="M823" s="85" t="n"/>
      <c r="N823" s="85" t="n"/>
      <c r="O823" s="85" t="n"/>
      <c r="P823" s="85" t="n"/>
      <c r="Q823" s="85" t="n"/>
      <c r="R823" s="85" t="n"/>
      <c r="S823" s="85" t="n"/>
      <c r="T823" s="85" t="n"/>
      <c r="U823" s="85" t="n"/>
      <c r="V823" s="85" t="n"/>
      <c r="W823" s="85" t="n"/>
      <c r="X823" s="85" t="n"/>
      <c r="Y823" s="85" t="n"/>
      <c r="Z823" s="85" t="n"/>
      <c r="AA823" s="85" t="n"/>
      <c r="AB823" s="85" t="n"/>
      <c r="AC823" s="86" t="n"/>
      <c r="AD823" s="85">
        <f>IF($A823="","",IF(OR($AB823&lt;&gt;"Yes",$AC823="",TODAY()-$AC823&gt;90),"At Risk","Not At Risk"))</f>
        <v/>
      </c>
      <c r="AE823" s="85" t="n"/>
    </row>
    <row r="824" ht="15" customHeight="1" s="39">
      <c r="A824" s="85" t="n"/>
      <c r="B824" s="85" t="n"/>
      <c r="C824" s="85" t="n"/>
      <c r="D824" s="85" t="n"/>
      <c r="E824" s="85" t="n"/>
      <c r="F824" s="85" t="n"/>
      <c r="G824" s="85" t="n"/>
      <c r="H824" s="85" t="n"/>
      <c r="I824" s="85" t="n"/>
      <c r="J824" s="85" t="n"/>
      <c r="K824" s="85" t="n"/>
      <c r="L824" s="85" t="n"/>
      <c r="M824" s="85" t="n"/>
      <c r="N824" s="85" t="n"/>
      <c r="O824" s="85" t="n"/>
      <c r="P824" s="85" t="n"/>
      <c r="Q824" s="85" t="n"/>
      <c r="R824" s="85" t="n"/>
      <c r="S824" s="85" t="n"/>
      <c r="T824" s="85" t="n"/>
      <c r="U824" s="85" t="n"/>
      <c r="V824" s="85" t="n"/>
      <c r="W824" s="85" t="n"/>
      <c r="X824" s="85" t="n"/>
      <c r="Y824" s="85" t="n"/>
      <c r="Z824" s="85" t="n"/>
      <c r="AA824" s="85" t="n"/>
      <c r="AB824" s="85" t="n"/>
      <c r="AC824" s="86" t="n"/>
      <c r="AD824" s="85">
        <f>IF($A824="","",IF(OR($AB824&lt;&gt;"Yes",$AC824="",TODAY()-$AC824&gt;90),"At Risk","Not At Risk"))</f>
        <v/>
      </c>
      <c r="AE824" s="85" t="n"/>
    </row>
    <row r="825" ht="15" customHeight="1" s="39">
      <c r="A825" s="85" t="n"/>
      <c r="B825" s="85" t="n"/>
      <c r="C825" s="85" t="n"/>
      <c r="D825" s="85" t="n"/>
      <c r="E825" s="85" t="n"/>
      <c r="F825" s="85" t="n"/>
      <c r="G825" s="85" t="n"/>
      <c r="H825" s="85" t="n"/>
      <c r="I825" s="85" t="n"/>
      <c r="J825" s="85" t="n"/>
      <c r="K825" s="85" t="n"/>
      <c r="L825" s="85" t="n"/>
      <c r="M825" s="85" t="n"/>
      <c r="N825" s="85" t="n"/>
      <c r="O825" s="85" t="n"/>
      <c r="P825" s="85" t="n"/>
      <c r="Q825" s="85" t="n"/>
      <c r="R825" s="85" t="n"/>
      <c r="S825" s="85" t="n"/>
      <c r="T825" s="85" t="n"/>
      <c r="U825" s="85" t="n"/>
      <c r="V825" s="85" t="n"/>
      <c r="W825" s="85" t="n"/>
      <c r="X825" s="85" t="n"/>
      <c r="Y825" s="85" t="n"/>
      <c r="Z825" s="85" t="n"/>
      <c r="AA825" s="85" t="n"/>
      <c r="AB825" s="85" t="n"/>
      <c r="AC825" s="86" t="n"/>
      <c r="AD825" s="85">
        <f>IF($A825="","",IF(OR($AB825&lt;&gt;"Yes",$AC825="",TODAY()-$AC825&gt;90),"At Risk","Not At Risk"))</f>
        <v/>
      </c>
      <c r="AE825" s="85" t="n"/>
    </row>
    <row r="826" ht="15" customHeight="1" s="39">
      <c r="A826" s="85" t="n"/>
      <c r="B826" s="85" t="n"/>
      <c r="C826" s="85" t="n"/>
      <c r="D826" s="85" t="n"/>
      <c r="E826" s="85" t="n"/>
      <c r="F826" s="85" t="n"/>
      <c r="G826" s="85" t="n"/>
      <c r="H826" s="85" t="n"/>
      <c r="I826" s="85" t="n"/>
      <c r="J826" s="85" t="n"/>
      <c r="K826" s="85" t="n"/>
      <c r="L826" s="85" t="n"/>
      <c r="M826" s="85" t="n"/>
      <c r="N826" s="85" t="n"/>
      <c r="O826" s="85" t="n"/>
      <c r="P826" s="85" t="n"/>
      <c r="Q826" s="85" t="n"/>
      <c r="R826" s="85" t="n"/>
      <c r="S826" s="85" t="n"/>
      <c r="T826" s="85" t="n"/>
      <c r="U826" s="85" t="n"/>
      <c r="V826" s="85" t="n"/>
      <c r="W826" s="85" t="n"/>
      <c r="X826" s="85" t="n"/>
      <c r="Y826" s="85" t="n"/>
      <c r="Z826" s="85" t="n"/>
      <c r="AA826" s="85" t="n"/>
      <c r="AB826" s="85" t="n"/>
      <c r="AC826" s="86" t="n"/>
      <c r="AD826" s="85">
        <f>IF($A826="","",IF(OR($AB826&lt;&gt;"Yes",$AC826="",TODAY()-$AC826&gt;90),"At Risk","Not At Risk"))</f>
        <v/>
      </c>
      <c r="AE826" s="85" t="n"/>
    </row>
    <row r="827" ht="15" customHeight="1" s="39">
      <c r="A827" s="85" t="n"/>
      <c r="B827" s="85" t="n"/>
      <c r="C827" s="85" t="n"/>
      <c r="D827" s="85" t="n"/>
      <c r="E827" s="85" t="n"/>
      <c r="F827" s="85" t="n"/>
      <c r="G827" s="85" t="n"/>
      <c r="H827" s="85" t="n"/>
      <c r="I827" s="85" t="n"/>
      <c r="J827" s="85" t="n"/>
      <c r="K827" s="85" t="n"/>
      <c r="L827" s="85" t="n"/>
      <c r="M827" s="85" t="n"/>
      <c r="N827" s="85" t="n"/>
      <c r="O827" s="85" t="n"/>
      <c r="P827" s="85" t="n"/>
      <c r="Q827" s="85" t="n"/>
      <c r="R827" s="85" t="n"/>
      <c r="S827" s="85" t="n"/>
      <c r="T827" s="85" t="n"/>
      <c r="U827" s="85" t="n"/>
      <c r="V827" s="85" t="n"/>
      <c r="W827" s="85" t="n"/>
      <c r="X827" s="85" t="n"/>
      <c r="Y827" s="85" t="n"/>
      <c r="Z827" s="85" t="n"/>
      <c r="AA827" s="85" t="n"/>
      <c r="AB827" s="85" t="n"/>
      <c r="AC827" s="86" t="n"/>
      <c r="AD827" s="85">
        <f>IF($A827="","",IF(OR($AB827&lt;&gt;"Yes",$AC827="",TODAY()-$AC827&gt;90),"At Risk","Not At Risk"))</f>
        <v/>
      </c>
      <c r="AE827" s="85" t="n"/>
    </row>
    <row r="828" ht="15" customHeight="1" s="39">
      <c r="A828" s="85" t="n"/>
      <c r="B828" s="85" t="n"/>
      <c r="C828" s="85" t="n"/>
      <c r="D828" s="85" t="n"/>
      <c r="E828" s="85" t="n"/>
      <c r="F828" s="85" t="n"/>
      <c r="G828" s="85" t="n"/>
      <c r="H828" s="85" t="n"/>
      <c r="I828" s="85" t="n"/>
      <c r="J828" s="85" t="n"/>
      <c r="K828" s="85" t="n"/>
      <c r="L828" s="85" t="n"/>
      <c r="M828" s="85" t="n"/>
      <c r="N828" s="85" t="n"/>
      <c r="O828" s="85" t="n"/>
      <c r="P828" s="85" t="n"/>
      <c r="Q828" s="85" t="n"/>
      <c r="R828" s="85" t="n"/>
      <c r="S828" s="85" t="n"/>
      <c r="T828" s="85" t="n"/>
      <c r="U828" s="85" t="n"/>
      <c r="V828" s="85" t="n"/>
      <c r="W828" s="85" t="n"/>
      <c r="X828" s="85" t="n"/>
      <c r="Y828" s="85" t="n"/>
      <c r="Z828" s="85" t="n"/>
      <c r="AA828" s="85" t="n"/>
      <c r="AB828" s="85" t="n"/>
      <c r="AC828" s="86" t="n"/>
      <c r="AD828" s="85">
        <f>IF($A828="","",IF(OR($AB828&lt;&gt;"Yes",$AC828="",TODAY()-$AC828&gt;90),"At Risk","Not At Risk"))</f>
        <v/>
      </c>
      <c r="AE828" s="85" t="n"/>
    </row>
    <row r="829" ht="15" customHeight="1" s="39">
      <c r="A829" s="85" t="n"/>
      <c r="B829" s="85" t="n"/>
      <c r="C829" s="85" t="n"/>
      <c r="D829" s="85" t="n"/>
      <c r="E829" s="85" t="n"/>
      <c r="F829" s="85" t="n"/>
      <c r="G829" s="85" t="n"/>
      <c r="H829" s="85" t="n"/>
      <c r="I829" s="85" t="n"/>
      <c r="J829" s="85" t="n"/>
      <c r="K829" s="85" t="n"/>
      <c r="L829" s="85" t="n"/>
      <c r="M829" s="85" t="n"/>
      <c r="N829" s="85" t="n"/>
      <c r="O829" s="85" t="n"/>
      <c r="P829" s="85" t="n"/>
      <c r="Q829" s="85" t="n"/>
      <c r="R829" s="85" t="n"/>
      <c r="S829" s="85" t="n"/>
      <c r="T829" s="85" t="n"/>
      <c r="U829" s="85" t="n"/>
      <c r="V829" s="85" t="n"/>
      <c r="W829" s="85" t="n"/>
      <c r="X829" s="85" t="n"/>
      <c r="Y829" s="85" t="n"/>
      <c r="Z829" s="85" t="n"/>
      <c r="AA829" s="85" t="n"/>
      <c r="AB829" s="85" t="n"/>
      <c r="AC829" s="86" t="n"/>
      <c r="AD829" s="85">
        <f>IF($A829="","",IF(OR($AB829&lt;&gt;"Yes",$AC829="",TODAY()-$AC829&gt;90),"At Risk","Not At Risk"))</f>
        <v/>
      </c>
      <c r="AE829" s="85" t="n"/>
    </row>
    <row r="830" ht="15" customHeight="1" s="39">
      <c r="A830" s="85" t="n"/>
      <c r="B830" s="85" t="n"/>
      <c r="C830" s="85" t="n"/>
      <c r="D830" s="85" t="n"/>
      <c r="E830" s="85" t="n"/>
      <c r="F830" s="85" t="n"/>
      <c r="G830" s="85" t="n"/>
      <c r="H830" s="85" t="n"/>
      <c r="I830" s="85" t="n"/>
      <c r="J830" s="85" t="n"/>
      <c r="K830" s="85" t="n"/>
      <c r="L830" s="85" t="n"/>
      <c r="M830" s="85" t="n"/>
      <c r="N830" s="85" t="n"/>
      <c r="O830" s="85" t="n"/>
      <c r="P830" s="85" t="n"/>
      <c r="Q830" s="85" t="n"/>
      <c r="R830" s="85" t="n"/>
      <c r="S830" s="85" t="n"/>
      <c r="T830" s="85" t="n"/>
      <c r="U830" s="85" t="n"/>
      <c r="V830" s="85" t="n"/>
      <c r="W830" s="85" t="n"/>
      <c r="X830" s="85" t="n"/>
      <c r="Y830" s="85" t="n"/>
      <c r="Z830" s="85" t="n"/>
      <c r="AA830" s="85" t="n"/>
      <c r="AB830" s="85" t="n"/>
      <c r="AC830" s="86" t="n"/>
      <c r="AD830" s="85">
        <f>IF($A830="","",IF(OR($AB830&lt;&gt;"Yes",$AC830="",TODAY()-$AC830&gt;90),"At Risk","Not At Risk"))</f>
        <v/>
      </c>
      <c r="AE830" s="85" t="n"/>
    </row>
    <row r="831" ht="15" customHeight="1" s="39">
      <c r="A831" s="85" t="n"/>
      <c r="B831" s="85" t="n"/>
      <c r="C831" s="85" t="n"/>
      <c r="D831" s="85" t="n"/>
      <c r="E831" s="85" t="n"/>
      <c r="F831" s="85" t="n"/>
      <c r="G831" s="85" t="n"/>
      <c r="H831" s="85" t="n"/>
      <c r="I831" s="85" t="n"/>
      <c r="J831" s="85" t="n"/>
      <c r="K831" s="85" t="n"/>
      <c r="L831" s="85" t="n"/>
      <c r="M831" s="85" t="n"/>
      <c r="N831" s="85" t="n"/>
      <c r="O831" s="85" t="n"/>
      <c r="P831" s="85" t="n"/>
      <c r="Q831" s="85" t="n"/>
      <c r="R831" s="85" t="n"/>
      <c r="S831" s="85" t="n"/>
      <c r="T831" s="85" t="n"/>
      <c r="U831" s="85" t="n"/>
      <c r="V831" s="85" t="n"/>
      <c r="W831" s="85" t="n"/>
      <c r="X831" s="85" t="n"/>
      <c r="Y831" s="85" t="n"/>
      <c r="Z831" s="85" t="n"/>
      <c r="AA831" s="85" t="n"/>
      <c r="AB831" s="85" t="n"/>
      <c r="AC831" s="86" t="n"/>
      <c r="AD831" s="85">
        <f>IF($A831="","",IF(OR($AB831&lt;&gt;"Yes",$AC831="",TODAY()-$AC831&gt;90),"At Risk","Not At Risk"))</f>
        <v/>
      </c>
      <c r="AE831" s="85" t="n"/>
    </row>
    <row r="832" ht="15" customHeight="1" s="39">
      <c r="A832" s="85" t="n"/>
      <c r="B832" s="85" t="n"/>
      <c r="C832" s="85" t="n"/>
      <c r="D832" s="85" t="n"/>
      <c r="E832" s="85" t="n"/>
      <c r="F832" s="85" t="n"/>
      <c r="G832" s="85" t="n"/>
      <c r="H832" s="85" t="n"/>
      <c r="I832" s="85" t="n"/>
      <c r="J832" s="85" t="n"/>
      <c r="K832" s="85" t="n"/>
      <c r="L832" s="85" t="n"/>
      <c r="M832" s="85" t="n"/>
      <c r="N832" s="85" t="n"/>
      <c r="O832" s="85" t="n"/>
      <c r="P832" s="85" t="n"/>
      <c r="Q832" s="85" t="n"/>
      <c r="R832" s="85" t="n"/>
      <c r="S832" s="85" t="n"/>
      <c r="T832" s="85" t="n"/>
      <c r="U832" s="85" t="n"/>
      <c r="V832" s="85" t="n"/>
      <c r="W832" s="85" t="n"/>
      <c r="X832" s="85" t="n"/>
      <c r="Y832" s="85" t="n"/>
      <c r="Z832" s="85" t="n"/>
      <c r="AA832" s="85" t="n"/>
      <c r="AB832" s="85" t="n"/>
      <c r="AC832" s="86" t="n"/>
      <c r="AD832" s="85">
        <f>IF($A832="","",IF(OR($AB832&lt;&gt;"Yes",$AC832="",TODAY()-$AC832&gt;90),"At Risk","Not At Risk"))</f>
        <v/>
      </c>
      <c r="AE832" s="85" t="n"/>
    </row>
    <row r="833" ht="15" customHeight="1" s="39">
      <c r="A833" s="85" t="n"/>
      <c r="B833" s="85" t="n"/>
      <c r="C833" s="85" t="n"/>
      <c r="D833" s="85" t="n"/>
      <c r="E833" s="85" t="n"/>
      <c r="F833" s="85" t="n"/>
      <c r="G833" s="85" t="n"/>
      <c r="H833" s="85" t="n"/>
      <c r="I833" s="85" t="n"/>
      <c r="J833" s="85" t="n"/>
      <c r="K833" s="85" t="n"/>
      <c r="L833" s="85" t="n"/>
      <c r="M833" s="85" t="n"/>
      <c r="N833" s="85" t="n"/>
      <c r="O833" s="85" t="n"/>
      <c r="P833" s="85" t="n"/>
      <c r="Q833" s="85" t="n"/>
      <c r="R833" s="85" t="n"/>
      <c r="S833" s="85" t="n"/>
      <c r="T833" s="85" t="n"/>
      <c r="U833" s="85" t="n"/>
      <c r="V833" s="85" t="n"/>
      <c r="W833" s="85" t="n"/>
      <c r="X833" s="85" t="n"/>
      <c r="Y833" s="85" t="n"/>
      <c r="Z833" s="85" t="n"/>
      <c r="AA833" s="85" t="n"/>
      <c r="AB833" s="85" t="n"/>
      <c r="AC833" s="86" t="n"/>
      <c r="AD833" s="85">
        <f>IF($A833="","",IF(OR($AB833&lt;&gt;"Yes",$AC833="",TODAY()-$AC833&gt;90),"At Risk","Not At Risk"))</f>
        <v/>
      </c>
      <c r="AE833" s="85" t="n"/>
    </row>
    <row r="834" ht="15" customHeight="1" s="39">
      <c r="A834" s="85" t="n"/>
      <c r="B834" s="85" t="n"/>
      <c r="C834" s="85" t="n"/>
      <c r="D834" s="85" t="n"/>
      <c r="E834" s="85" t="n"/>
      <c r="F834" s="85" t="n"/>
      <c r="G834" s="85" t="n"/>
      <c r="H834" s="85" t="n"/>
      <c r="I834" s="85" t="n"/>
      <c r="J834" s="85" t="n"/>
      <c r="K834" s="85" t="n"/>
      <c r="L834" s="85" t="n"/>
      <c r="M834" s="85" t="n"/>
      <c r="N834" s="85" t="n"/>
      <c r="O834" s="85" t="n"/>
      <c r="P834" s="85" t="n"/>
      <c r="Q834" s="85" t="n"/>
      <c r="R834" s="85" t="n"/>
      <c r="S834" s="85" t="n"/>
      <c r="T834" s="85" t="n"/>
      <c r="U834" s="85" t="n"/>
      <c r="V834" s="85" t="n"/>
      <c r="W834" s="85" t="n"/>
      <c r="X834" s="85" t="n"/>
      <c r="Y834" s="85" t="n"/>
      <c r="Z834" s="85" t="n"/>
      <c r="AA834" s="85" t="n"/>
      <c r="AB834" s="85" t="n"/>
      <c r="AC834" s="86" t="n"/>
      <c r="AD834" s="85">
        <f>IF($A834="","",IF(OR($AB834&lt;&gt;"Yes",$AC834="",TODAY()-$AC834&gt;90),"At Risk","Not At Risk"))</f>
        <v/>
      </c>
      <c r="AE834" s="85" t="n"/>
    </row>
    <row r="835" ht="15" customHeight="1" s="39">
      <c r="A835" s="85" t="n"/>
      <c r="B835" s="85" t="n"/>
      <c r="C835" s="85" t="n"/>
      <c r="D835" s="85" t="n"/>
      <c r="E835" s="85" t="n"/>
      <c r="F835" s="85" t="n"/>
      <c r="G835" s="85" t="n"/>
      <c r="H835" s="85" t="n"/>
      <c r="I835" s="85" t="n"/>
      <c r="J835" s="85" t="n"/>
      <c r="K835" s="85" t="n"/>
      <c r="L835" s="85" t="n"/>
      <c r="M835" s="85" t="n"/>
      <c r="N835" s="85" t="n"/>
      <c r="O835" s="85" t="n"/>
      <c r="P835" s="85" t="n"/>
      <c r="Q835" s="85" t="n"/>
      <c r="R835" s="85" t="n"/>
      <c r="S835" s="85" t="n"/>
      <c r="T835" s="85" t="n"/>
      <c r="U835" s="85" t="n"/>
      <c r="V835" s="85" t="n"/>
      <c r="W835" s="85" t="n"/>
      <c r="X835" s="85" t="n"/>
      <c r="Y835" s="85" t="n"/>
      <c r="Z835" s="85" t="n"/>
      <c r="AA835" s="85" t="n"/>
      <c r="AB835" s="85" t="n"/>
      <c r="AC835" s="86" t="n"/>
      <c r="AD835" s="85">
        <f>IF($A835="","",IF(OR($AB835&lt;&gt;"Yes",$AC835="",TODAY()-$AC835&gt;90),"At Risk","Not At Risk"))</f>
        <v/>
      </c>
      <c r="AE835" s="85" t="n"/>
    </row>
    <row r="836" ht="15" customHeight="1" s="39">
      <c r="A836" s="85" t="n"/>
      <c r="B836" s="85" t="n"/>
      <c r="C836" s="85" t="n"/>
      <c r="D836" s="85" t="n"/>
      <c r="E836" s="85" t="n"/>
      <c r="F836" s="85" t="n"/>
      <c r="G836" s="85" t="n"/>
      <c r="H836" s="85" t="n"/>
      <c r="I836" s="85" t="n"/>
      <c r="J836" s="85" t="n"/>
      <c r="K836" s="85" t="n"/>
      <c r="L836" s="85" t="n"/>
      <c r="M836" s="85" t="n"/>
      <c r="N836" s="85" t="n"/>
      <c r="O836" s="85" t="n"/>
      <c r="P836" s="85" t="n"/>
      <c r="Q836" s="85" t="n"/>
      <c r="R836" s="85" t="n"/>
      <c r="S836" s="85" t="n"/>
      <c r="T836" s="85" t="n"/>
      <c r="U836" s="85" t="n"/>
      <c r="V836" s="85" t="n"/>
      <c r="W836" s="85" t="n"/>
      <c r="X836" s="85" t="n"/>
      <c r="Y836" s="85" t="n"/>
      <c r="Z836" s="85" t="n"/>
      <c r="AA836" s="85" t="n"/>
      <c r="AB836" s="85" t="n"/>
      <c r="AC836" s="86" t="n"/>
      <c r="AD836" s="85">
        <f>IF($A836="","",IF(OR($AB836&lt;&gt;"Yes",$AC836="",TODAY()-$AC836&gt;90),"At Risk","Not At Risk"))</f>
        <v/>
      </c>
      <c r="AE836" s="85" t="n"/>
    </row>
    <row r="837" ht="15" customHeight="1" s="39">
      <c r="A837" s="85" t="n"/>
      <c r="B837" s="85" t="n"/>
      <c r="C837" s="85" t="n"/>
      <c r="D837" s="85" t="n"/>
      <c r="E837" s="85" t="n"/>
      <c r="F837" s="85" t="n"/>
      <c r="G837" s="85" t="n"/>
      <c r="H837" s="85" t="n"/>
      <c r="I837" s="85" t="n"/>
      <c r="J837" s="85" t="n"/>
      <c r="K837" s="85" t="n"/>
      <c r="L837" s="85" t="n"/>
      <c r="M837" s="85" t="n"/>
      <c r="N837" s="85" t="n"/>
      <c r="O837" s="85" t="n"/>
      <c r="P837" s="85" t="n"/>
      <c r="Q837" s="85" t="n"/>
      <c r="R837" s="85" t="n"/>
      <c r="S837" s="85" t="n"/>
      <c r="T837" s="85" t="n"/>
      <c r="U837" s="85" t="n"/>
      <c r="V837" s="85" t="n"/>
      <c r="W837" s="85" t="n"/>
      <c r="X837" s="85" t="n"/>
      <c r="Y837" s="85" t="n"/>
      <c r="Z837" s="85" t="n"/>
      <c r="AA837" s="85" t="n"/>
      <c r="AB837" s="85" t="n"/>
      <c r="AC837" s="86" t="n"/>
      <c r="AD837" s="85">
        <f>IF($A837="","",IF(OR($AB837&lt;&gt;"Yes",$AC837="",TODAY()-$AC837&gt;90),"At Risk","Not At Risk"))</f>
        <v/>
      </c>
      <c r="AE837" s="85" t="n"/>
    </row>
    <row r="838" ht="15" customHeight="1" s="39">
      <c r="A838" s="85" t="n"/>
      <c r="B838" s="85" t="n"/>
      <c r="C838" s="85" t="n"/>
      <c r="D838" s="85" t="n"/>
      <c r="E838" s="85" t="n"/>
      <c r="F838" s="85" t="n"/>
      <c r="G838" s="85" t="n"/>
      <c r="H838" s="85" t="n"/>
      <c r="I838" s="85" t="n"/>
      <c r="J838" s="85" t="n"/>
      <c r="K838" s="85" t="n"/>
      <c r="L838" s="85" t="n"/>
      <c r="M838" s="85" t="n"/>
      <c r="N838" s="85" t="n"/>
      <c r="O838" s="85" t="n"/>
      <c r="P838" s="85" t="n"/>
      <c r="Q838" s="85" t="n"/>
      <c r="R838" s="85" t="n"/>
      <c r="S838" s="85" t="n"/>
      <c r="T838" s="85" t="n"/>
      <c r="U838" s="85" t="n"/>
      <c r="V838" s="85" t="n"/>
      <c r="W838" s="85" t="n"/>
      <c r="X838" s="85" t="n"/>
      <c r="Y838" s="85" t="n"/>
      <c r="Z838" s="85" t="n"/>
      <c r="AA838" s="85" t="n"/>
      <c r="AB838" s="85" t="n"/>
      <c r="AC838" s="86" t="n"/>
      <c r="AD838" s="85">
        <f>IF($A838="","",IF(OR($AB838&lt;&gt;"Yes",$AC838="",TODAY()-$AC838&gt;90),"At Risk","Not At Risk"))</f>
        <v/>
      </c>
      <c r="AE838" s="85" t="n"/>
    </row>
    <row r="839" ht="15" customHeight="1" s="39">
      <c r="A839" s="85" t="n"/>
      <c r="B839" s="85" t="n"/>
      <c r="C839" s="85" t="n"/>
      <c r="D839" s="85" t="n"/>
      <c r="E839" s="85" t="n"/>
      <c r="F839" s="85" t="n"/>
      <c r="G839" s="85" t="n"/>
      <c r="H839" s="85" t="n"/>
      <c r="I839" s="85" t="n"/>
      <c r="J839" s="85" t="n"/>
      <c r="K839" s="85" t="n"/>
      <c r="L839" s="85" t="n"/>
      <c r="M839" s="85" t="n"/>
      <c r="N839" s="85" t="n"/>
      <c r="O839" s="85" t="n"/>
      <c r="P839" s="85" t="n"/>
      <c r="Q839" s="85" t="n"/>
      <c r="R839" s="85" t="n"/>
      <c r="S839" s="85" t="n"/>
      <c r="T839" s="85" t="n"/>
      <c r="U839" s="85" t="n"/>
      <c r="V839" s="85" t="n"/>
      <c r="W839" s="85" t="n"/>
      <c r="X839" s="85" t="n"/>
      <c r="Y839" s="85" t="n"/>
      <c r="Z839" s="85" t="n"/>
      <c r="AA839" s="85" t="n"/>
      <c r="AB839" s="85" t="n"/>
      <c r="AC839" s="86" t="n"/>
      <c r="AD839" s="85">
        <f>IF($A839="","",IF(OR($AB839&lt;&gt;"Yes",$AC839="",TODAY()-$AC839&gt;90),"At Risk","Not At Risk"))</f>
        <v/>
      </c>
      <c r="AE839" s="85" t="n"/>
    </row>
    <row r="840" ht="15" customHeight="1" s="39">
      <c r="A840" s="85" t="n"/>
      <c r="B840" s="85" t="n"/>
      <c r="C840" s="85" t="n"/>
      <c r="D840" s="85" t="n"/>
      <c r="E840" s="85" t="n"/>
      <c r="F840" s="85" t="n"/>
      <c r="G840" s="85" t="n"/>
      <c r="H840" s="85" t="n"/>
      <c r="I840" s="85" t="n"/>
      <c r="J840" s="85" t="n"/>
      <c r="K840" s="85" t="n"/>
      <c r="L840" s="85" t="n"/>
      <c r="M840" s="85" t="n"/>
      <c r="N840" s="85" t="n"/>
      <c r="O840" s="85" t="n"/>
      <c r="P840" s="85" t="n"/>
      <c r="Q840" s="85" t="n"/>
      <c r="R840" s="85" t="n"/>
      <c r="S840" s="85" t="n"/>
      <c r="T840" s="85" t="n"/>
      <c r="U840" s="85" t="n"/>
      <c r="V840" s="85" t="n"/>
      <c r="W840" s="85" t="n"/>
      <c r="X840" s="85" t="n"/>
      <c r="Y840" s="85" t="n"/>
      <c r="Z840" s="85" t="n"/>
      <c r="AA840" s="85" t="n"/>
      <c r="AB840" s="85" t="n"/>
      <c r="AC840" s="86" t="n"/>
      <c r="AD840" s="85">
        <f>IF($A840="","",IF(OR($AB840&lt;&gt;"Yes",$AC840="",TODAY()-$AC840&gt;90),"At Risk","Not At Risk"))</f>
        <v/>
      </c>
      <c r="AE840" s="85" t="n"/>
    </row>
    <row r="841" ht="15" customHeight="1" s="39">
      <c r="A841" s="85" t="n"/>
      <c r="B841" s="85" t="n"/>
      <c r="C841" s="85" t="n"/>
      <c r="D841" s="85" t="n"/>
      <c r="E841" s="85" t="n"/>
      <c r="F841" s="85" t="n"/>
      <c r="G841" s="85" t="n"/>
      <c r="H841" s="85" t="n"/>
      <c r="I841" s="85" t="n"/>
      <c r="J841" s="85" t="n"/>
      <c r="K841" s="85" t="n"/>
      <c r="L841" s="85" t="n"/>
      <c r="M841" s="85" t="n"/>
      <c r="N841" s="85" t="n"/>
      <c r="O841" s="85" t="n"/>
      <c r="P841" s="85" t="n"/>
      <c r="Q841" s="85" t="n"/>
      <c r="R841" s="85" t="n"/>
      <c r="S841" s="85" t="n"/>
      <c r="T841" s="85" t="n"/>
      <c r="U841" s="85" t="n"/>
      <c r="V841" s="85" t="n"/>
      <c r="W841" s="85" t="n"/>
      <c r="X841" s="85" t="n"/>
      <c r="Y841" s="85" t="n"/>
      <c r="Z841" s="85" t="n"/>
      <c r="AA841" s="85" t="n"/>
      <c r="AB841" s="85" t="n"/>
      <c r="AC841" s="86" t="n"/>
      <c r="AD841" s="85">
        <f>IF($A841="","",IF(OR($AB841&lt;&gt;"Yes",$AC841="",TODAY()-$AC841&gt;90),"At Risk","Not At Risk"))</f>
        <v/>
      </c>
      <c r="AE841" s="85" t="n"/>
    </row>
    <row r="842" ht="15" customHeight="1" s="39">
      <c r="A842" s="85" t="n"/>
      <c r="B842" s="85" t="n"/>
      <c r="C842" s="85" t="n"/>
      <c r="D842" s="85" t="n"/>
      <c r="E842" s="85" t="n"/>
      <c r="F842" s="85" t="n"/>
      <c r="G842" s="85" t="n"/>
      <c r="H842" s="85" t="n"/>
      <c r="I842" s="85" t="n"/>
      <c r="J842" s="85" t="n"/>
      <c r="K842" s="85" t="n"/>
      <c r="L842" s="85" t="n"/>
      <c r="M842" s="85" t="n"/>
      <c r="N842" s="85" t="n"/>
      <c r="O842" s="85" t="n"/>
      <c r="P842" s="85" t="n"/>
      <c r="Q842" s="85" t="n"/>
      <c r="R842" s="85" t="n"/>
      <c r="S842" s="85" t="n"/>
      <c r="T842" s="85" t="n"/>
      <c r="U842" s="85" t="n"/>
      <c r="V842" s="85" t="n"/>
      <c r="W842" s="85" t="n"/>
      <c r="X842" s="85" t="n"/>
      <c r="Y842" s="85" t="n"/>
      <c r="Z842" s="85" t="n"/>
      <c r="AA842" s="85" t="n"/>
      <c r="AB842" s="85" t="n"/>
      <c r="AC842" s="86" t="n"/>
      <c r="AD842" s="85">
        <f>IF($A842="","",IF(OR($AB842&lt;&gt;"Yes",$AC842="",TODAY()-$AC842&gt;90),"At Risk","Not At Risk"))</f>
        <v/>
      </c>
      <c r="AE842" s="85" t="n"/>
    </row>
    <row r="843" ht="15" customHeight="1" s="39">
      <c r="A843" s="85" t="n"/>
      <c r="B843" s="85" t="n"/>
      <c r="C843" s="85" t="n"/>
      <c r="D843" s="85" t="n"/>
      <c r="E843" s="85" t="n"/>
      <c r="F843" s="85" t="n"/>
      <c r="G843" s="85" t="n"/>
      <c r="H843" s="85" t="n"/>
      <c r="I843" s="85" t="n"/>
      <c r="J843" s="85" t="n"/>
      <c r="K843" s="85" t="n"/>
      <c r="L843" s="85" t="n"/>
      <c r="M843" s="85" t="n"/>
      <c r="N843" s="85" t="n"/>
      <c r="O843" s="85" t="n"/>
      <c r="P843" s="85" t="n"/>
      <c r="Q843" s="85" t="n"/>
      <c r="R843" s="85" t="n"/>
      <c r="S843" s="85" t="n"/>
      <c r="T843" s="85" t="n"/>
      <c r="U843" s="85" t="n"/>
      <c r="V843" s="85" t="n"/>
      <c r="W843" s="85" t="n"/>
      <c r="X843" s="85" t="n"/>
      <c r="Y843" s="85" t="n"/>
      <c r="Z843" s="85" t="n"/>
      <c r="AA843" s="85" t="n"/>
      <c r="AB843" s="85" t="n"/>
      <c r="AC843" s="86" t="n"/>
      <c r="AD843" s="85">
        <f>IF($A843="","",IF(OR($AB843&lt;&gt;"Yes",$AC843="",TODAY()-$AC843&gt;90),"At Risk","Not At Risk"))</f>
        <v/>
      </c>
      <c r="AE843" s="85" t="n"/>
    </row>
    <row r="844" ht="15" customHeight="1" s="39">
      <c r="A844" s="85" t="n"/>
      <c r="B844" s="85" t="n"/>
      <c r="C844" s="85" t="n"/>
      <c r="D844" s="85" t="n"/>
      <c r="E844" s="85" t="n"/>
      <c r="F844" s="85" t="n"/>
      <c r="G844" s="85" t="n"/>
      <c r="H844" s="85" t="n"/>
      <c r="I844" s="85" t="n"/>
      <c r="J844" s="85" t="n"/>
      <c r="K844" s="85" t="n"/>
      <c r="L844" s="85" t="n"/>
      <c r="M844" s="85" t="n"/>
      <c r="N844" s="85" t="n"/>
      <c r="O844" s="85" t="n"/>
      <c r="P844" s="85" t="n"/>
      <c r="Q844" s="85" t="n"/>
      <c r="R844" s="85" t="n"/>
      <c r="S844" s="85" t="n"/>
      <c r="T844" s="85" t="n"/>
      <c r="U844" s="85" t="n"/>
      <c r="V844" s="85" t="n"/>
      <c r="W844" s="85" t="n"/>
      <c r="X844" s="85" t="n"/>
      <c r="Y844" s="85" t="n"/>
      <c r="Z844" s="85" t="n"/>
      <c r="AA844" s="85" t="n"/>
      <c r="AB844" s="85" t="n"/>
      <c r="AC844" s="86" t="n"/>
      <c r="AD844" s="85">
        <f>IF($A844="","",IF(OR($AB844&lt;&gt;"Yes",$AC844="",TODAY()-$AC844&gt;90),"At Risk","Not At Risk"))</f>
        <v/>
      </c>
      <c r="AE844" s="85" t="n"/>
    </row>
    <row r="845" ht="15" customHeight="1" s="39">
      <c r="A845" s="85" t="n"/>
      <c r="B845" s="85" t="n"/>
      <c r="C845" s="85" t="n"/>
      <c r="D845" s="85" t="n"/>
      <c r="E845" s="85" t="n"/>
      <c r="F845" s="85" t="n"/>
      <c r="G845" s="85" t="n"/>
      <c r="H845" s="85" t="n"/>
      <c r="I845" s="85" t="n"/>
      <c r="J845" s="85" t="n"/>
      <c r="K845" s="85" t="n"/>
      <c r="L845" s="85" t="n"/>
      <c r="M845" s="85" t="n"/>
      <c r="N845" s="85" t="n"/>
      <c r="O845" s="85" t="n"/>
      <c r="P845" s="85" t="n"/>
      <c r="Q845" s="85" t="n"/>
      <c r="R845" s="85" t="n"/>
      <c r="S845" s="85" t="n"/>
      <c r="T845" s="85" t="n"/>
      <c r="U845" s="85" t="n"/>
      <c r="V845" s="85" t="n"/>
      <c r="W845" s="85" t="n"/>
      <c r="X845" s="85" t="n"/>
      <c r="Y845" s="85" t="n"/>
      <c r="Z845" s="85" t="n"/>
      <c r="AA845" s="85" t="n"/>
      <c r="AB845" s="85" t="n"/>
      <c r="AC845" s="86" t="n"/>
      <c r="AD845" s="85">
        <f>IF($A845="","",IF(OR($AB845&lt;&gt;"Yes",$AC845="",TODAY()-$AC845&gt;90),"At Risk","Not At Risk"))</f>
        <v/>
      </c>
      <c r="AE845" s="85" t="n"/>
    </row>
    <row r="846" ht="15" customHeight="1" s="39">
      <c r="A846" s="85" t="n"/>
      <c r="B846" s="85" t="n"/>
      <c r="C846" s="85" t="n"/>
      <c r="D846" s="85" t="n"/>
      <c r="E846" s="85" t="n"/>
      <c r="F846" s="85" t="n"/>
      <c r="G846" s="85" t="n"/>
      <c r="H846" s="85" t="n"/>
      <c r="I846" s="85" t="n"/>
      <c r="J846" s="85" t="n"/>
      <c r="K846" s="85" t="n"/>
      <c r="L846" s="85" t="n"/>
      <c r="M846" s="85" t="n"/>
      <c r="N846" s="85" t="n"/>
      <c r="O846" s="85" t="n"/>
      <c r="P846" s="85" t="n"/>
      <c r="Q846" s="85" t="n"/>
      <c r="R846" s="85" t="n"/>
      <c r="S846" s="85" t="n"/>
      <c r="T846" s="85" t="n"/>
      <c r="U846" s="85" t="n"/>
      <c r="V846" s="85" t="n"/>
      <c r="W846" s="85" t="n"/>
      <c r="X846" s="85" t="n"/>
      <c r="Y846" s="85" t="n"/>
      <c r="Z846" s="85" t="n"/>
      <c r="AA846" s="85" t="n"/>
      <c r="AB846" s="85" t="n"/>
      <c r="AC846" s="86" t="n"/>
      <c r="AD846" s="85">
        <f>IF($A846="","",IF(OR($AB846&lt;&gt;"Yes",$AC846="",TODAY()-$AC846&gt;90),"At Risk","Not At Risk"))</f>
        <v/>
      </c>
      <c r="AE846" s="85" t="n"/>
    </row>
    <row r="847" ht="15" customHeight="1" s="39">
      <c r="A847" s="85" t="n"/>
      <c r="B847" s="85" t="n"/>
      <c r="C847" s="85" t="n"/>
      <c r="D847" s="85" t="n"/>
      <c r="E847" s="85" t="n"/>
      <c r="F847" s="85" t="n"/>
      <c r="G847" s="85" t="n"/>
      <c r="H847" s="85" t="n"/>
      <c r="I847" s="85" t="n"/>
      <c r="J847" s="85" t="n"/>
      <c r="K847" s="85" t="n"/>
      <c r="L847" s="85" t="n"/>
      <c r="M847" s="85" t="n"/>
      <c r="N847" s="85" t="n"/>
      <c r="O847" s="85" t="n"/>
      <c r="P847" s="85" t="n"/>
      <c r="Q847" s="85" t="n"/>
      <c r="R847" s="85" t="n"/>
      <c r="S847" s="85" t="n"/>
      <c r="T847" s="85" t="n"/>
      <c r="U847" s="85" t="n"/>
      <c r="V847" s="85" t="n"/>
      <c r="W847" s="85" t="n"/>
      <c r="X847" s="85" t="n"/>
      <c r="Y847" s="85" t="n"/>
      <c r="Z847" s="85" t="n"/>
      <c r="AA847" s="85" t="n"/>
      <c r="AB847" s="85" t="n"/>
      <c r="AC847" s="86" t="n"/>
      <c r="AD847" s="85">
        <f>IF($A847="","",IF(OR($AB847&lt;&gt;"Yes",$AC847="",TODAY()-$AC847&gt;90),"At Risk","Not At Risk"))</f>
        <v/>
      </c>
      <c r="AE847" s="85" t="n"/>
    </row>
    <row r="848" ht="15" customHeight="1" s="39">
      <c r="A848" s="85" t="n"/>
      <c r="B848" s="85" t="n"/>
      <c r="C848" s="85" t="n"/>
      <c r="D848" s="85" t="n"/>
      <c r="E848" s="85" t="n"/>
      <c r="F848" s="85" t="n"/>
      <c r="G848" s="85" t="n"/>
      <c r="H848" s="85" t="n"/>
      <c r="I848" s="85" t="n"/>
      <c r="J848" s="85" t="n"/>
      <c r="K848" s="85" t="n"/>
      <c r="L848" s="85" t="n"/>
      <c r="M848" s="85" t="n"/>
      <c r="N848" s="85" t="n"/>
      <c r="O848" s="85" t="n"/>
      <c r="P848" s="85" t="n"/>
      <c r="Q848" s="85" t="n"/>
      <c r="R848" s="85" t="n"/>
      <c r="S848" s="85" t="n"/>
      <c r="T848" s="85" t="n"/>
      <c r="U848" s="85" t="n"/>
      <c r="V848" s="85" t="n"/>
      <c r="W848" s="85" t="n"/>
      <c r="X848" s="85" t="n"/>
      <c r="Y848" s="85" t="n"/>
      <c r="Z848" s="85" t="n"/>
      <c r="AA848" s="85" t="n"/>
      <c r="AB848" s="85" t="n"/>
      <c r="AC848" s="86" t="n"/>
      <c r="AD848" s="85">
        <f>IF($A848="","",IF(OR($AB848&lt;&gt;"Yes",$AC848="",TODAY()-$AC848&gt;90),"At Risk","Not At Risk"))</f>
        <v/>
      </c>
      <c r="AE848" s="85" t="n"/>
    </row>
    <row r="849" ht="15" customHeight="1" s="39">
      <c r="A849" s="85" t="n"/>
      <c r="B849" s="85" t="n"/>
      <c r="C849" s="85" t="n"/>
      <c r="D849" s="85" t="n"/>
      <c r="E849" s="85" t="n"/>
      <c r="F849" s="85" t="n"/>
      <c r="G849" s="85" t="n"/>
      <c r="H849" s="85" t="n"/>
      <c r="I849" s="85" t="n"/>
      <c r="J849" s="85" t="n"/>
      <c r="K849" s="85" t="n"/>
      <c r="L849" s="85" t="n"/>
      <c r="M849" s="85" t="n"/>
      <c r="N849" s="85" t="n"/>
      <c r="O849" s="85" t="n"/>
      <c r="P849" s="85" t="n"/>
      <c r="Q849" s="85" t="n"/>
      <c r="R849" s="85" t="n"/>
      <c r="S849" s="85" t="n"/>
      <c r="T849" s="85" t="n"/>
      <c r="U849" s="85" t="n"/>
      <c r="V849" s="85" t="n"/>
      <c r="W849" s="85" t="n"/>
      <c r="X849" s="85" t="n"/>
      <c r="Y849" s="85" t="n"/>
      <c r="Z849" s="85" t="n"/>
      <c r="AA849" s="85" t="n"/>
      <c r="AB849" s="85" t="n"/>
      <c r="AC849" s="86" t="n"/>
      <c r="AD849" s="85">
        <f>IF($A849="","",IF(OR($AB849&lt;&gt;"Yes",$AC849="",TODAY()-$AC849&gt;90),"At Risk","Not At Risk"))</f>
        <v/>
      </c>
      <c r="AE849" s="85" t="n"/>
    </row>
    <row r="850" ht="15" customHeight="1" s="39">
      <c r="A850" s="85" t="n"/>
      <c r="B850" s="85" t="n"/>
      <c r="C850" s="85" t="n"/>
      <c r="D850" s="85" t="n"/>
      <c r="E850" s="85" t="n"/>
      <c r="F850" s="85" t="n"/>
      <c r="G850" s="85" t="n"/>
      <c r="H850" s="85" t="n"/>
      <c r="I850" s="85" t="n"/>
      <c r="J850" s="85" t="n"/>
      <c r="K850" s="85" t="n"/>
      <c r="L850" s="85" t="n"/>
      <c r="M850" s="85" t="n"/>
      <c r="N850" s="85" t="n"/>
      <c r="O850" s="85" t="n"/>
      <c r="P850" s="85" t="n"/>
      <c r="Q850" s="85" t="n"/>
      <c r="R850" s="85" t="n"/>
      <c r="S850" s="85" t="n"/>
      <c r="T850" s="85" t="n"/>
      <c r="U850" s="85" t="n"/>
      <c r="V850" s="85" t="n"/>
      <c r="W850" s="85" t="n"/>
      <c r="X850" s="85" t="n"/>
      <c r="Y850" s="85" t="n"/>
      <c r="Z850" s="85" t="n"/>
      <c r="AA850" s="85" t="n"/>
      <c r="AB850" s="85" t="n"/>
      <c r="AC850" s="86" t="n"/>
      <c r="AD850" s="85">
        <f>IF($A850="","",IF(OR($AB850&lt;&gt;"Yes",$AC850="",TODAY()-$AC850&gt;90),"At Risk","Not At Risk"))</f>
        <v/>
      </c>
      <c r="AE850" s="85" t="n"/>
    </row>
    <row r="851" ht="15" customHeight="1" s="39">
      <c r="A851" s="85" t="n"/>
      <c r="B851" s="85" t="n"/>
      <c r="C851" s="85" t="n"/>
      <c r="D851" s="85" t="n"/>
      <c r="E851" s="85" t="n"/>
      <c r="F851" s="85" t="n"/>
      <c r="G851" s="85" t="n"/>
      <c r="H851" s="85" t="n"/>
      <c r="I851" s="85" t="n"/>
      <c r="J851" s="85" t="n"/>
      <c r="K851" s="85" t="n"/>
      <c r="L851" s="85" t="n"/>
      <c r="M851" s="85" t="n"/>
      <c r="N851" s="85" t="n"/>
      <c r="O851" s="85" t="n"/>
      <c r="P851" s="85" t="n"/>
      <c r="Q851" s="85" t="n"/>
      <c r="R851" s="85" t="n"/>
      <c r="S851" s="85" t="n"/>
      <c r="T851" s="85" t="n"/>
      <c r="U851" s="85" t="n"/>
      <c r="V851" s="85" t="n"/>
      <c r="W851" s="85" t="n"/>
      <c r="X851" s="85" t="n"/>
      <c r="Y851" s="85" t="n"/>
      <c r="Z851" s="85" t="n"/>
      <c r="AA851" s="85" t="n"/>
      <c r="AB851" s="85" t="n"/>
      <c r="AC851" s="86" t="n"/>
      <c r="AD851" s="85">
        <f>IF($A851="","",IF(OR($AB851&lt;&gt;"Yes",$AC851="",TODAY()-$AC851&gt;90),"At Risk","Not At Risk"))</f>
        <v/>
      </c>
      <c r="AE851" s="85" t="n"/>
    </row>
    <row r="852" ht="15" customHeight="1" s="39">
      <c r="A852" s="85" t="n"/>
      <c r="B852" s="85" t="n"/>
      <c r="C852" s="85" t="n"/>
      <c r="D852" s="85" t="n"/>
      <c r="E852" s="85" t="n"/>
      <c r="F852" s="85" t="n"/>
      <c r="G852" s="85" t="n"/>
      <c r="H852" s="85" t="n"/>
      <c r="I852" s="85" t="n"/>
      <c r="J852" s="85" t="n"/>
      <c r="K852" s="85" t="n"/>
      <c r="L852" s="85" t="n"/>
      <c r="M852" s="85" t="n"/>
      <c r="N852" s="85" t="n"/>
      <c r="O852" s="85" t="n"/>
      <c r="P852" s="85" t="n"/>
      <c r="Q852" s="85" t="n"/>
      <c r="R852" s="85" t="n"/>
      <c r="S852" s="85" t="n"/>
      <c r="T852" s="85" t="n"/>
      <c r="U852" s="85" t="n"/>
      <c r="V852" s="85" t="n"/>
      <c r="W852" s="85" t="n"/>
      <c r="X852" s="85" t="n"/>
      <c r="Y852" s="85" t="n"/>
      <c r="Z852" s="85" t="n"/>
      <c r="AA852" s="85" t="n"/>
      <c r="AB852" s="85" t="n"/>
      <c r="AC852" s="86" t="n"/>
      <c r="AD852" s="85">
        <f>IF($A852="","",IF(OR($AB852&lt;&gt;"Yes",$AC852="",TODAY()-$AC852&gt;90),"At Risk","Not At Risk"))</f>
        <v/>
      </c>
      <c r="AE852" s="85" t="n"/>
    </row>
    <row r="853" ht="15" customHeight="1" s="39">
      <c r="A853" s="85" t="n"/>
      <c r="B853" s="85" t="n"/>
      <c r="C853" s="85" t="n"/>
      <c r="D853" s="85" t="n"/>
      <c r="E853" s="85" t="n"/>
      <c r="F853" s="85" t="n"/>
      <c r="G853" s="85" t="n"/>
      <c r="H853" s="85" t="n"/>
      <c r="I853" s="85" t="n"/>
      <c r="J853" s="85" t="n"/>
      <c r="K853" s="85" t="n"/>
      <c r="L853" s="85" t="n"/>
      <c r="M853" s="85" t="n"/>
      <c r="N853" s="85" t="n"/>
      <c r="O853" s="85" t="n"/>
      <c r="P853" s="85" t="n"/>
      <c r="Q853" s="85" t="n"/>
      <c r="R853" s="85" t="n"/>
      <c r="S853" s="85" t="n"/>
      <c r="T853" s="85" t="n"/>
      <c r="U853" s="85" t="n"/>
      <c r="V853" s="85" t="n"/>
      <c r="W853" s="85" t="n"/>
      <c r="X853" s="85" t="n"/>
      <c r="Y853" s="85" t="n"/>
      <c r="Z853" s="85" t="n"/>
      <c r="AA853" s="85" t="n"/>
      <c r="AB853" s="85" t="n"/>
      <c r="AC853" s="86" t="n"/>
      <c r="AD853" s="85">
        <f>IF($A853="","",IF(OR($AB853&lt;&gt;"Yes",$AC853="",TODAY()-$AC853&gt;90),"At Risk","Not At Risk"))</f>
        <v/>
      </c>
      <c r="AE853" s="85" t="n"/>
    </row>
    <row r="854" ht="15" customHeight="1" s="39">
      <c r="A854" s="85" t="n"/>
      <c r="B854" s="85" t="n"/>
      <c r="C854" s="85" t="n"/>
      <c r="D854" s="85" t="n"/>
      <c r="E854" s="85" t="n"/>
      <c r="F854" s="85" t="n"/>
      <c r="G854" s="85" t="n"/>
      <c r="H854" s="85" t="n"/>
      <c r="I854" s="85" t="n"/>
      <c r="J854" s="85" t="n"/>
      <c r="K854" s="85" t="n"/>
      <c r="L854" s="85" t="n"/>
      <c r="M854" s="85" t="n"/>
      <c r="N854" s="85" t="n"/>
      <c r="O854" s="85" t="n"/>
      <c r="P854" s="85" t="n"/>
      <c r="Q854" s="85" t="n"/>
      <c r="R854" s="85" t="n"/>
      <c r="S854" s="85" t="n"/>
      <c r="T854" s="85" t="n"/>
      <c r="U854" s="85" t="n"/>
      <c r="V854" s="85" t="n"/>
      <c r="W854" s="85" t="n"/>
      <c r="X854" s="85" t="n"/>
      <c r="Y854" s="85" t="n"/>
      <c r="Z854" s="85" t="n"/>
      <c r="AA854" s="85" t="n"/>
      <c r="AB854" s="85" t="n"/>
      <c r="AC854" s="86" t="n"/>
      <c r="AD854" s="85">
        <f>IF($A854="","",IF(OR($AB854&lt;&gt;"Yes",$AC854="",TODAY()-$AC854&gt;90),"At Risk","Not At Risk"))</f>
        <v/>
      </c>
      <c r="AE854" s="85" t="n"/>
    </row>
    <row r="855" ht="15" customHeight="1" s="39">
      <c r="A855" s="85" t="n"/>
      <c r="B855" s="85" t="n"/>
      <c r="C855" s="85" t="n"/>
      <c r="D855" s="85" t="n"/>
      <c r="E855" s="85" t="n"/>
      <c r="F855" s="85" t="n"/>
      <c r="G855" s="85" t="n"/>
      <c r="H855" s="85" t="n"/>
      <c r="I855" s="85" t="n"/>
      <c r="J855" s="85" t="n"/>
      <c r="K855" s="85" t="n"/>
      <c r="L855" s="85" t="n"/>
      <c r="M855" s="85" t="n"/>
      <c r="N855" s="85" t="n"/>
      <c r="O855" s="85" t="n"/>
      <c r="P855" s="85" t="n"/>
      <c r="Q855" s="85" t="n"/>
      <c r="R855" s="85" t="n"/>
      <c r="S855" s="85" t="n"/>
      <c r="T855" s="85" t="n"/>
      <c r="U855" s="85" t="n"/>
      <c r="V855" s="85" t="n"/>
      <c r="W855" s="85" t="n"/>
      <c r="X855" s="85" t="n"/>
      <c r="Y855" s="85" t="n"/>
      <c r="Z855" s="85" t="n"/>
      <c r="AA855" s="85" t="n"/>
      <c r="AB855" s="85" t="n"/>
      <c r="AC855" s="86" t="n"/>
      <c r="AD855" s="85">
        <f>IF($A855="","",IF(OR($AB855&lt;&gt;"Yes",$AC855="",TODAY()-$AC855&gt;90),"At Risk","Not At Risk"))</f>
        <v/>
      </c>
      <c r="AE855" s="85" t="n"/>
    </row>
    <row r="856" ht="15" customHeight="1" s="39">
      <c r="A856" s="85" t="n"/>
      <c r="B856" s="85" t="n"/>
      <c r="C856" s="85" t="n"/>
      <c r="D856" s="85" t="n"/>
      <c r="E856" s="85" t="n"/>
      <c r="F856" s="85" t="n"/>
      <c r="G856" s="85" t="n"/>
      <c r="H856" s="85" t="n"/>
      <c r="I856" s="85" t="n"/>
      <c r="J856" s="85" t="n"/>
      <c r="K856" s="85" t="n"/>
      <c r="L856" s="85" t="n"/>
      <c r="M856" s="85" t="n"/>
      <c r="N856" s="85" t="n"/>
      <c r="O856" s="85" t="n"/>
      <c r="P856" s="85" t="n"/>
      <c r="Q856" s="85" t="n"/>
      <c r="R856" s="85" t="n"/>
      <c r="S856" s="85" t="n"/>
      <c r="T856" s="85" t="n"/>
      <c r="U856" s="85" t="n"/>
      <c r="V856" s="85" t="n"/>
      <c r="W856" s="85" t="n"/>
      <c r="X856" s="85" t="n"/>
      <c r="Y856" s="85" t="n"/>
      <c r="Z856" s="85" t="n"/>
      <c r="AA856" s="85" t="n"/>
      <c r="AB856" s="85" t="n"/>
      <c r="AC856" s="86" t="n"/>
      <c r="AD856" s="85">
        <f>IF($A856="","",IF(OR($AB856&lt;&gt;"Yes",$AC856="",TODAY()-$AC856&gt;90),"At Risk","Not At Risk"))</f>
        <v/>
      </c>
      <c r="AE856" s="85" t="n"/>
    </row>
    <row r="857" ht="15" customHeight="1" s="39">
      <c r="A857" s="85" t="n"/>
      <c r="B857" s="85" t="n"/>
      <c r="C857" s="85" t="n"/>
      <c r="D857" s="85" t="n"/>
      <c r="E857" s="85" t="n"/>
      <c r="F857" s="85" t="n"/>
      <c r="G857" s="85" t="n"/>
      <c r="H857" s="85" t="n"/>
      <c r="I857" s="85" t="n"/>
      <c r="J857" s="85" t="n"/>
      <c r="K857" s="85" t="n"/>
      <c r="L857" s="85" t="n"/>
      <c r="M857" s="85" t="n"/>
      <c r="N857" s="85" t="n"/>
      <c r="O857" s="85" t="n"/>
      <c r="P857" s="85" t="n"/>
      <c r="Q857" s="85" t="n"/>
      <c r="R857" s="85" t="n"/>
      <c r="S857" s="85" t="n"/>
      <c r="T857" s="85" t="n"/>
      <c r="U857" s="85" t="n"/>
      <c r="V857" s="85" t="n"/>
      <c r="W857" s="85" t="n"/>
      <c r="X857" s="85" t="n"/>
      <c r="Y857" s="85" t="n"/>
      <c r="Z857" s="85" t="n"/>
      <c r="AA857" s="85" t="n"/>
      <c r="AB857" s="85" t="n"/>
      <c r="AC857" s="86" t="n"/>
      <c r="AD857" s="85">
        <f>IF($A857="","",IF(OR($AB857&lt;&gt;"Yes",$AC857="",TODAY()-$AC857&gt;90),"At Risk","Not At Risk"))</f>
        <v/>
      </c>
      <c r="AE857" s="85" t="n"/>
    </row>
    <row r="858" ht="15" customHeight="1" s="39">
      <c r="A858" s="85" t="n"/>
      <c r="B858" s="85" t="n"/>
      <c r="C858" s="85" t="n"/>
      <c r="D858" s="85" t="n"/>
      <c r="E858" s="85" t="n"/>
      <c r="F858" s="85" t="n"/>
      <c r="G858" s="85" t="n"/>
      <c r="H858" s="85" t="n"/>
      <c r="I858" s="85" t="n"/>
      <c r="J858" s="85" t="n"/>
      <c r="K858" s="85" t="n"/>
      <c r="L858" s="85" t="n"/>
      <c r="M858" s="85" t="n"/>
      <c r="N858" s="85" t="n"/>
      <c r="O858" s="85" t="n"/>
      <c r="P858" s="85" t="n"/>
      <c r="Q858" s="85" t="n"/>
      <c r="R858" s="85" t="n"/>
      <c r="S858" s="85" t="n"/>
      <c r="T858" s="85" t="n"/>
      <c r="U858" s="85" t="n"/>
      <c r="V858" s="85" t="n"/>
      <c r="W858" s="85" t="n"/>
      <c r="X858" s="85" t="n"/>
      <c r="Y858" s="85" t="n"/>
      <c r="Z858" s="85" t="n"/>
      <c r="AA858" s="85" t="n"/>
      <c r="AB858" s="85" t="n"/>
      <c r="AC858" s="86" t="n"/>
      <c r="AD858" s="85">
        <f>IF($A858="","",IF(OR($AB858&lt;&gt;"Yes",$AC858="",TODAY()-$AC858&gt;90),"At Risk","Not At Risk"))</f>
        <v/>
      </c>
      <c r="AE858" s="85" t="n"/>
    </row>
    <row r="859" ht="15" customHeight="1" s="39">
      <c r="A859" s="85" t="n"/>
      <c r="B859" s="85" t="n"/>
      <c r="C859" s="85" t="n"/>
      <c r="D859" s="85" t="n"/>
      <c r="E859" s="85" t="n"/>
      <c r="F859" s="85" t="n"/>
      <c r="G859" s="85" t="n"/>
      <c r="H859" s="85" t="n"/>
      <c r="I859" s="85" t="n"/>
      <c r="J859" s="85" t="n"/>
      <c r="K859" s="85" t="n"/>
      <c r="L859" s="85" t="n"/>
      <c r="M859" s="85" t="n"/>
      <c r="N859" s="85" t="n"/>
      <c r="O859" s="85" t="n"/>
      <c r="P859" s="85" t="n"/>
      <c r="Q859" s="85" t="n"/>
      <c r="R859" s="85" t="n"/>
      <c r="S859" s="85" t="n"/>
      <c r="T859" s="85" t="n"/>
      <c r="U859" s="85" t="n"/>
      <c r="V859" s="85" t="n"/>
      <c r="W859" s="85" t="n"/>
      <c r="X859" s="85" t="n"/>
      <c r="Y859" s="85" t="n"/>
      <c r="Z859" s="85" t="n"/>
      <c r="AA859" s="85" t="n"/>
      <c r="AB859" s="85" t="n"/>
      <c r="AC859" s="86" t="n"/>
      <c r="AD859" s="85">
        <f>IF($A859="","",IF(OR($AB859&lt;&gt;"Yes",$AC859="",TODAY()-$AC859&gt;90),"At Risk","Not At Risk"))</f>
        <v/>
      </c>
      <c r="AE859" s="85" t="n"/>
    </row>
    <row r="860" ht="15" customHeight="1" s="39">
      <c r="A860" s="85" t="n"/>
      <c r="B860" s="85" t="n"/>
      <c r="C860" s="85" t="n"/>
      <c r="D860" s="85" t="n"/>
      <c r="E860" s="85" t="n"/>
      <c r="F860" s="85" t="n"/>
      <c r="G860" s="85" t="n"/>
      <c r="H860" s="85" t="n"/>
      <c r="I860" s="85" t="n"/>
      <c r="J860" s="85" t="n"/>
      <c r="K860" s="85" t="n"/>
      <c r="L860" s="85" t="n"/>
      <c r="M860" s="85" t="n"/>
      <c r="N860" s="85" t="n"/>
      <c r="O860" s="85" t="n"/>
      <c r="P860" s="85" t="n"/>
      <c r="Q860" s="85" t="n"/>
      <c r="R860" s="85" t="n"/>
      <c r="S860" s="85" t="n"/>
      <c r="T860" s="85" t="n"/>
      <c r="U860" s="85" t="n"/>
      <c r="V860" s="85" t="n"/>
      <c r="W860" s="85" t="n"/>
      <c r="X860" s="85" t="n"/>
      <c r="Y860" s="85" t="n"/>
      <c r="Z860" s="85" t="n"/>
      <c r="AA860" s="85" t="n"/>
      <c r="AB860" s="85" t="n"/>
      <c r="AC860" s="86" t="n"/>
      <c r="AD860" s="85">
        <f>IF($A860="","",IF(OR($AB860&lt;&gt;"Yes",$AC860="",TODAY()-$AC860&gt;90),"At Risk","Not At Risk"))</f>
        <v/>
      </c>
      <c r="AE860" s="85" t="n"/>
    </row>
    <row r="861" ht="15" customHeight="1" s="39">
      <c r="A861" s="85" t="n"/>
      <c r="B861" s="85" t="n"/>
      <c r="C861" s="85" t="n"/>
      <c r="D861" s="85" t="n"/>
      <c r="E861" s="85" t="n"/>
      <c r="F861" s="85" t="n"/>
      <c r="G861" s="85" t="n"/>
      <c r="H861" s="85" t="n"/>
      <c r="I861" s="85" t="n"/>
      <c r="J861" s="85" t="n"/>
      <c r="K861" s="85" t="n"/>
      <c r="L861" s="85" t="n"/>
      <c r="M861" s="85" t="n"/>
      <c r="N861" s="85" t="n"/>
      <c r="O861" s="85" t="n"/>
      <c r="P861" s="85" t="n"/>
      <c r="Q861" s="85" t="n"/>
      <c r="R861" s="85" t="n"/>
      <c r="S861" s="85" t="n"/>
      <c r="T861" s="85" t="n"/>
      <c r="U861" s="85" t="n"/>
      <c r="V861" s="85" t="n"/>
      <c r="W861" s="85" t="n"/>
      <c r="X861" s="85" t="n"/>
      <c r="Y861" s="85" t="n"/>
      <c r="Z861" s="85" t="n"/>
      <c r="AA861" s="85" t="n"/>
      <c r="AB861" s="85" t="n"/>
      <c r="AC861" s="86" t="n"/>
      <c r="AD861" s="85">
        <f>IF($A861="","",IF(OR($AB861&lt;&gt;"Yes",$AC861="",TODAY()-$AC861&gt;90),"At Risk","Not At Risk"))</f>
        <v/>
      </c>
      <c r="AE861" s="85" t="n"/>
    </row>
    <row r="862" ht="15" customHeight="1" s="39">
      <c r="A862" s="85" t="n"/>
      <c r="B862" s="85" t="n"/>
      <c r="C862" s="85" t="n"/>
      <c r="D862" s="85" t="n"/>
      <c r="E862" s="85" t="n"/>
      <c r="F862" s="85" t="n"/>
      <c r="G862" s="85" t="n"/>
      <c r="H862" s="85" t="n"/>
      <c r="I862" s="85" t="n"/>
      <c r="J862" s="85" t="n"/>
      <c r="K862" s="85" t="n"/>
      <c r="L862" s="85" t="n"/>
      <c r="M862" s="85" t="n"/>
      <c r="N862" s="85" t="n"/>
      <c r="O862" s="85" t="n"/>
      <c r="P862" s="85" t="n"/>
      <c r="Q862" s="85" t="n"/>
      <c r="R862" s="85" t="n"/>
      <c r="S862" s="85" t="n"/>
      <c r="T862" s="85" t="n"/>
      <c r="U862" s="85" t="n"/>
      <c r="V862" s="85" t="n"/>
      <c r="W862" s="85" t="n"/>
      <c r="X862" s="85" t="n"/>
      <c r="Y862" s="85" t="n"/>
      <c r="Z862" s="85" t="n"/>
      <c r="AA862" s="85" t="n"/>
      <c r="AB862" s="85" t="n"/>
      <c r="AC862" s="86" t="n"/>
      <c r="AD862" s="85">
        <f>IF($A862="","",IF(OR($AB862&lt;&gt;"Yes",$AC862="",TODAY()-$AC862&gt;90),"At Risk","Not At Risk"))</f>
        <v/>
      </c>
      <c r="AE862" s="85" t="n"/>
    </row>
    <row r="863" ht="15" customHeight="1" s="39">
      <c r="A863" s="85" t="n"/>
      <c r="B863" s="85" t="n"/>
      <c r="C863" s="85" t="n"/>
      <c r="D863" s="85" t="n"/>
      <c r="E863" s="85" t="n"/>
      <c r="F863" s="85" t="n"/>
      <c r="G863" s="85" t="n"/>
      <c r="H863" s="85" t="n"/>
      <c r="I863" s="85" t="n"/>
      <c r="J863" s="85" t="n"/>
      <c r="K863" s="85" t="n"/>
      <c r="L863" s="85" t="n"/>
      <c r="M863" s="85" t="n"/>
      <c r="N863" s="85" t="n"/>
      <c r="O863" s="85" t="n"/>
      <c r="P863" s="85" t="n"/>
      <c r="Q863" s="85" t="n"/>
      <c r="R863" s="85" t="n"/>
      <c r="S863" s="85" t="n"/>
      <c r="T863" s="85" t="n"/>
      <c r="U863" s="85" t="n"/>
      <c r="V863" s="85" t="n"/>
      <c r="W863" s="85" t="n"/>
      <c r="X863" s="85" t="n"/>
      <c r="Y863" s="85" t="n"/>
      <c r="Z863" s="85" t="n"/>
      <c r="AA863" s="85" t="n"/>
      <c r="AB863" s="85" t="n"/>
      <c r="AC863" s="86" t="n"/>
      <c r="AD863" s="85">
        <f>IF($A863="","",IF(OR($AB863&lt;&gt;"Yes",$AC863="",TODAY()-$AC863&gt;90),"At Risk","Not At Risk"))</f>
        <v/>
      </c>
      <c r="AE863" s="85" t="n"/>
    </row>
    <row r="864" ht="15" customHeight="1" s="39">
      <c r="A864" s="85" t="n"/>
      <c r="B864" s="85" t="n"/>
      <c r="C864" s="85" t="n"/>
      <c r="D864" s="85" t="n"/>
      <c r="E864" s="85" t="n"/>
      <c r="F864" s="85" t="n"/>
      <c r="G864" s="85" t="n"/>
      <c r="H864" s="85" t="n"/>
      <c r="I864" s="85" t="n"/>
      <c r="J864" s="85" t="n"/>
      <c r="K864" s="85" t="n"/>
      <c r="L864" s="85" t="n"/>
      <c r="M864" s="85" t="n"/>
      <c r="N864" s="85" t="n"/>
      <c r="O864" s="85" t="n"/>
      <c r="P864" s="85" t="n"/>
      <c r="Q864" s="85" t="n"/>
      <c r="R864" s="85" t="n"/>
      <c r="S864" s="85" t="n"/>
      <c r="T864" s="85" t="n"/>
      <c r="U864" s="85" t="n"/>
      <c r="V864" s="85" t="n"/>
      <c r="W864" s="85" t="n"/>
      <c r="X864" s="85" t="n"/>
      <c r="Y864" s="85" t="n"/>
      <c r="Z864" s="85" t="n"/>
      <c r="AA864" s="85" t="n"/>
      <c r="AB864" s="85" t="n"/>
      <c r="AC864" s="86" t="n"/>
      <c r="AD864" s="85">
        <f>IF($A864="","",IF(OR($AB864&lt;&gt;"Yes",$AC864="",TODAY()-$AC864&gt;90),"At Risk","Not At Risk"))</f>
        <v/>
      </c>
      <c r="AE864" s="85" t="n"/>
    </row>
    <row r="865" ht="15" customHeight="1" s="39">
      <c r="A865" s="85" t="n"/>
      <c r="B865" s="85" t="n"/>
      <c r="C865" s="85" t="n"/>
      <c r="D865" s="85" t="n"/>
      <c r="E865" s="85" t="n"/>
      <c r="F865" s="85" t="n"/>
      <c r="G865" s="85" t="n"/>
      <c r="H865" s="85" t="n"/>
      <c r="I865" s="85" t="n"/>
      <c r="J865" s="85" t="n"/>
      <c r="K865" s="85" t="n"/>
      <c r="L865" s="85" t="n"/>
      <c r="M865" s="85" t="n"/>
      <c r="N865" s="85" t="n"/>
      <c r="O865" s="85" t="n"/>
      <c r="P865" s="85" t="n"/>
      <c r="Q865" s="85" t="n"/>
      <c r="R865" s="85" t="n"/>
      <c r="S865" s="85" t="n"/>
      <c r="T865" s="85" t="n"/>
      <c r="U865" s="85" t="n"/>
      <c r="V865" s="85" t="n"/>
      <c r="W865" s="85" t="n"/>
      <c r="X865" s="85" t="n"/>
      <c r="Y865" s="85" t="n"/>
      <c r="Z865" s="85" t="n"/>
      <c r="AA865" s="85" t="n"/>
      <c r="AB865" s="85" t="n"/>
      <c r="AC865" s="86" t="n"/>
      <c r="AD865" s="85">
        <f>IF($A865="","",IF(OR($AB865&lt;&gt;"Yes",$AC865="",TODAY()-$AC865&gt;90),"At Risk","Not At Risk"))</f>
        <v/>
      </c>
      <c r="AE865" s="85" t="n"/>
    </row>
    <row r="866" ht="15" customHeight="1" s="39">
      <c r="A866" s="85" t="n"/>
      <c r="B866" s="85" t="n"/>
      <c r="C866" s="85" t="n"/>
      <c r="D866" s="85" t="n"/>
      <c r="E866" s="85" t="n"/>
      <c r="F866" s="85" t="n"/>
      <c r="G866" s="85" t="n"/>
      <c r="H866" s="85" t="n"/>
      <c r="I866" s="85" t="n"/>
      <c r="J866" s="85" t="n"/>
      <c r="K866" s="85" t="n"/>
      <c r="L866" s="85" t="n"/>
      <c r="M866" s="85" t="n"/>
      <c r="N866" s="85" t="n"/>
      <c r="O866" s="85" t="n"/>
      <c r="P866" s="85" t="n"/>
      <c r="Q866" s="85" t="n"/>
      <c r="R866" s="85" t="n"/>
      <c r="S866" s="85" t="n"/>
      <c r="T866" s="85" t="n"/>
      <c r="U866" s="85" t="n"/>
      <c r="V866" s="85" t="n"/>
      <c r="W866" s="85" t="n"/>
      <c r="X866" s="85" t="n"/>
      <c r="Y866" s="85" t="n"/>
      <c r="Z866" s="85" t="n"/>
      <c r="AA866" s="85" t="n"/>
      <c r="AB866" s="85" t="n"/>
      <c r="AC866" s="86" t="n"/>
      <c r="AD866" s="85">
        <f>IF($A866="","",IF(OR($AB866&lt;&gt;"Yes",$AC866="",TODAY()-$AC866&gt;90),"At Risk","Not At Risk"))</f>
        <v/>
      </c>
      <c r="AE866" s="85" t="n"/>
    </row>
    <row r="867" ht="15" customHeight="1" s="39">
      <c r="A867" s="85" t="n"/>
      <c r="B867" s="85" t="n"/>
      <c r="C867" s="85" t="n"/>
      <c r="D867" s="85" t="n"/>
      <c r="E867" s="85" t="n"/>
      <c r="F867" s="85" t="n"/>
      <c r="G867" s="85" t="n"/>
      <c r="H867" s="85" t="n"/>
      <c r="I867" s="85" t="n"/>
      <c r="J867" s="85" t="n"/>
      <c r="K867" s="85" t="n"/>
      <c r="L867" s="85" t="n"/>
      <c r="M867" s="85" t="n"/>
      <c r="N867" s="85" t="n"/>
      <c r="O867" s="85" t="n"/>
      <c r="P867" s="85" t="n"/>
      <c r="Q867" s="85" t="n"/>
      <c r="R867" s="85" t="n"/>
      <c r="S867" s="85" t="n"/>
      <c r="T867" s="85" t="n"/>
      <c r="U867" s="85" t="n"/>
      <c r="V867" s="85" t="n"/>
      <c r="W867" s="85" t="n"/>
      <c r="X867" s="85" t="n"/>
      <c r="Y867" s="85" t="n"/>
      <c r="Z867" s="85" t="n"/>
      <c r="AA867" s="85" t="n"/>
      <c r="AB867" s="85" t="n"/>
      <c r="AC867" s="86" t="n"/>
      <c r="AD867" s="85">
        <f>IF($A867="","",IF(OR($AB867&lt;&gt;"Yes",$AC867="",TODAY()-$AC867&gt;90),"At Risk","Not At Risk"))</f>
        <v/>
      </c>
      <c r="AE867" s="85" t="n"/>
    </row>
    <row r="868" ht="15" customHeight="1" s="39">
      <c r="A868" s="85" t="n"/>
      <c r="B868" s="85" t="n"/>
      <c r="C868" s="85" t="n"/>
      <c r="D868" s="85" t="n"/>
      <c r="E868" s="85" t="n"/>
      <c r="F868" s="85" t="n"/>
      <c r="G868" s="85" t="n"/>
      <c r="H868" s="85" t="n"/>
      <c r="I868" s="85" t="n"/>
      <c r="J868" s="85" t="n"/>
      <c r="K868" s="85" t="n"/>
      <c r="L868" s="85" t="n"/>
      <c r="M868" s="85" t="n"/>
      <c r="N868" s="85" t="n"/>
      <c r="O868" s="85" t="n"/>
      <c r="P868" s="85" t="n"/>
      <c r="Q868" s="85" t="n"/>
      <c r="R868" s="85" t="n"/>
      <c r="S868" s="85" t="n"/>
      <c r="T868" s="85" t="n"/>
      <c r="U868" s="85" t="n"/>
      <c r="V868" s="85" t="n"/>
      <c r="W868" s="85" t="n"/>
      <c r="X868" s="85" t="n"/>
      <c r="Y868" s="85" t="n"/>
      <c r="Z868" s="85" t="n"/>
      <c r="AA868" s="85" t="n"/>
      <c r="AB868" s="85" t="n"/>
      <c r="AC868" s="86" t="n"/>
      <c r="AD868" s="85">
        <f>IF($A868="","",IF(OR($AB868&lt;&gt;"Yes",$AC868="",TODAY()-$AC868&gt;90),"At Risk","Not At Risk"))</f>
        <v/>
      </c>
      <c r="AE868" s="85" t="n"/>
    </row>
    <row r="869" ht="15" customHeight="1" s="39">
      <c r="A869" s="85" t="n"/>
      <c r="B869" s="85" t="n"/>
      <c r="C869" s="85" t="n"/>
      <c r="D869" s="85" t="n"/>
      <c r="E869" s="85" t="n"/>
      <c r="F869" s="85" t="n"/>
      <c r="G869" s="85" t="n"/>
      <c r="H869" s="85" t="n"/>
      <c r="I869" s="85" t="n"/>
      <c r="J869" s="85" t="n"/>
      <c r="K869" s="85" t="n"/>
      <c r="L869" s="85" t="n"/>
      <c r="M869" s="85" t="n"/>
      <c r="N869" s="85" t="n"/>
      <c r="O869" s="85" t="n"/>
      <c r="P869" s="85" t="n"/>
      <c r="Q869" s="85" t="n"/>
      <c r="R869" s="85" t="n"/>
      <c r="S869" s="85" t="n"/>
      <c r="T869" s="85" t="n"/>
      <c r="U869" s="85" t="n"/>
      <c r="V869" s="85" t="n"/>
      <c r="W869" s="85" t="n"/>
      <c r="X869" s="85" t="n"/>
      <c r="Y869" s="85" t="n"/>
      <c r="Z869" s="85" t="n"/>
      <c r="AA869" s="85" t="n"/>
      <c r="AB869" s="85" t="n"/>
      <c r="AC869" s="86" t="n"/>
      <c r="AD869" s="85">
        <f>IF($A869="","",IF(OR($AB869&lt;&gt;"Yes",$AC869="",TODAY()-$AC869&gt;90),"At Risk","Not At Risk"))</f>
        <v/>
      </c>
      <c r="AE869" s="85" t="n"/>
    </row>
    <row r="870" ht="15" customHeight="1" s="39">
      <c r="A870" s="85" t="n"/>
      <c r="B870" s="85" t="n"/>
      <c r="C870" s="85" t="n"/>
      <c r="D870" s="85" t="n"/>
      <c r="E870" s="85" t="n"/>
      <c r="F870" s="85" t="n"/>
      <c r="G870" s="85" t="n"/>
      <c r="H870" s="85" t="n"/>
      <c r="I870" s="85" t="n"/>
      <c r="J870" s="85" t="n"/>
      <c r="K870" s="85" t="n"/>
      <c r="L870" s="85" t="n"/>
      <c r="M870" s="85" t="n"/>
      <c r="N870" s="85" t="n"/>
      <c r="O870" s="85" t="n"/>
      <c r="P870" s="85" t="n"/>
      <c r="Q870" s="85" t="n"/>
      <c r="R870" s="85" t="n"/>
      <c r="S870" s="85" t="n"/>
      <c r="T870" s="85" t="n"/>
      <c r="U870" s="85" t="n"/>
      <c r="V870" s="85" t="n"/>
      <c r="W870" s="85" t="n"/>
      <c r="X870" s="85" t="n"/>
      <c r="Y870" s="85" t="n"/>
      <c r="Z870" s="85" t="n"/>
      <c r="AA870" s="85" t="n"/>
      <c r="AB870" s="85" t="n"/>
      <c r="AC870" s="86" t="n"/>
      <c r="AD870" s="85">
        <f>IF($A870="","",IF(OR($AB870&lt;&gt;"Yes",$AC870="",TODAY()-$AC870&gt;90),"At Risk","Not At Risk"))</f>
        <v/>
      </c>
      <c r="AE870" s="85" t="n"/>
    </row>
    <row r="871" ht="15" customHeight="1" s="39">
      <c r="A871" s="85" t="n"/>
      <c r="B871" s="85" t="n"/>
      <c r="C871" s="85" t="n"/>
      <c r="D871" s="85" t="n"/>
      <c r="E871" s="85" t="n"/>
      <c r="F871" s="85" t="n"/>
      <c r="G871" s="85" t="n"/>
      <c r="H871" s="85" t="n"/>
      <c r="I871" s="85" t="n"/>
      <c r="J871" s="85" t="n"/>
      <c r="K871" s="85" t="n"/>
      <c r="L871" s="85" t="n"/>
      <c r="M871" s="85" t="n"/>
      <c r="N871" s="85" t="n"/>
      <c r="O871" s="85" t="n"/>
      <c r="P871" s="85" t="n"/>
      <c r="Q871" s="85" t="n"/>
      <c r="R871" s="85" t="n"/>
      <c r="S871" s="85" t="n"/>
      <c r="T871" s="85" t="n"/>
      <c r="U871" s="85" t="n"/>
      <c r="V871" s="85" t="n"/>
      <c r="W871" s="85" t="n"/>
      <c r="X871" s="85" t="n"/>
      <c r="Y871" s="85" t="n"/>
      <c r="Z871" s="85" t="n"/>
      <c r="AA871" s="85" t="n"/>
      <c r="AB871" s="85" t="n"/>
      <c r="AC871" s="86" t="n"/>
      <c r="AD871" s="85">
        <f>IF($A871="","",IF(OR($AB871&lt;&gt;"Yes",$AC871="",TODAY()-$AC871&gt;90),"At Risk","Not At Risk"))</f>
        <v/>
      </c>
      <c r="AE871" s="85" t="n"/>
    </row>
    <row r="872" ht="15" customHeight="1" s="39">
      <c r="A872" s="85" t="n"/>
      <c r="B872" s="85" t="n"/>
      <c r="C872" s="85" t="n"/>
      <c r="D872" s="85" t="n"/>
      <c r="E872" s="85" t="n"/>
      <c r="F872" s="85" t="n"/>
      <c r="G872" s="85" t="n"/>
      <c r="H872" s="85" t="n"/>
      <c r="I872" s="85" t="n"/>
      <c r="J872" s="85" t="n"/>
      <c r="K872" s="85" t="n"/>
      <c r="L872" s="85" t="n"/>
      <c r="M872" s="85" t="n"/>
      <c r="N872" s="85" t="n"/>
      <c r="O872" s="85" t="n"/>
      <c r="P872" s="85" t="n"/>
      <c r="Q872" s="85" t="n"/>
      <c r="R872" s="85" t="n"/>
      <c r="S872" s="85" t="n"/>
      <c r="T872" s="85" t="n"/>
      <c r="U872" s="85" t="n"/>
      <c r="V872" s="85" t="n"/>
      <c r="W872" s="85" t="n"/>
      <c r="X872" s="85" t="n"/>
      <c r="Y872" s="85" t="n"/>
      <c r="Z872" s="85" t="n"/>
      <c r="AA872" s="85" t="n"/>
      <c r="AB872" s="85" t="n"/>
      <c r="AC872" s="86" t="n"/>
      <c r="AD872" s="85">
        <f>IF($A872="","",IF(OR($AB872&lt;&gt;"Yes",$AC872="",TODAY()-$AC872&gt;90),"At Risk","Not At Risk"))</f>
        <v/>
      </c>
      <c r="AE872" s="85" t="n"/>
    </row>
    <row r="873" ht="15" customHeight="1" s="39">
      <c r="A873" s="85" t="n"/>
      <c r="B873" s="85" t="n"/>
      <c r="C873" s="85" t="n"/>
      <c r="D873" s="85" t="n"/>
      <c r="E873" s="85" t="n"/>
      <c r="F873" s="85" t="n"/>
      <c r="G873" s="85" t="n"/>
      <c r="H873" s="85" t="n"/>
      <c r="I873" s="85" t="n"/>
      <c r="J873" s="85" t="n"/>
      <c r="K873" s="85" t="n"/>
      <c r="L873" s="85" t="n"/>
      <c r="M873" s="85" t="n"/>
      <c r="N873" s="85" t="n"/>
      <c r="O873" s="85" t="n"/>
      <c r="P873" s="85" t="n"/>
      <c r="Q873" s="85" t="n"/>
      <c r="R873" s="85" t="n"/>
      <c r="S873" s="85" t="n"/>
      <c r="T873" s="85" t="n"/>
      <c r="U873" s="85" t="n"/>
      <c r="V873" s="85" t="n"/>
      <c r="W873" s="85" t="n"/>
      <c r="X873" s="85" t="n"/>
      <c r="Y873" s="85" t="n"/>
      <c r="Z873" s="85" t="n"/>
      <c r="AA873" s="85" t="n"/>
      <c r="AB873" s="85" t="n"/>
      <c r="AC873" s="86" t="n"/>
      <c r="AD873" s="85">
        <f>IF($A873="","",IF(OR($AB873&lt;&gt;"Yes",$AC873="",TODAY()-$AC873&gt;90),"At Risk","Not At Risk"))</f>
        <v/>
      </c>
      <c r="AE873" s="85" t="n"/>
    </row>
    <row r="874" ht="15" customHeight="1" s="39">
      <c r="A874" s="85" t="n"/>
      <c r="B874" s="85" t="n"/>
      <c r="C874" s="85" t="n"/>
      <c r="D874" s="85" t="n"/>
      <c r="E874" s="85" t="n"/>
      <c r="F874" s="85" t="n"/>
      <c r="G874" s="85" t="n"/>
      <c r="H874" s="85" t="n"/>
      <c r="I874" s="85" t="n"/>
      <c r="J874" s="85" t="n"/>
      <c r="K874" s="85" t="n"/>
      <c r="L874" s="85" t="n"/>
      <c r="M874" s="85" t="n"/>
      <c r="N874" s="85" t="n"/>
      <c r="O874" s="85" t="n"/>
      <c r="P874" s="85" t="n"/>
      <c r="Q874" s="85" t="n"/>
      <c r="R874" s="85" t="n"/>
      <c r="S874" s="85" t="n"/>
      <c r="T874" s="85" t="n"/>
      <c r="U874" s="85" t="n"/>
      <c r="V874" s="85" t="n"/>
      <c r="W874" s="85" t="n"/>
      <c r="X874" s="85" t="n"/>
      <c r="Y874" s="85" t="n"/>
      <c r="Z874" s="85" t="n"/>
      <c r="AA874" s="85" t="n"/>
      <c r="AB874" s="85" t="n"/>
      <c r="AC874" s="86" t="n"/>
      <c r="AD874" s="85">
        <f>IF($A874="","",IF(OR($AB874&lt;&gt;"Yes",$AC874="",TODAY()-$AC874&gt;90),"At Risk","Not At Risk"))</f>
        <v/>
      </c>
      <c r="AE874" s="85" t="n"/>
    </row>
    <row r="875" ht="15" customHeight="1" s="39">
      <c r="A875" s="85" t="n"/>
      <c r="B875" s="85" t="n"/>
      <c r="C875" s="85" t="n"/>
      <c r="D875" s="85" t="n"/>
      <c r="E875" s="85" t="n"/>
      <c r="F875" s="85" t="n"/>
      <c r="G875" s="85" t="n"/>
      <c r="H875" s="85" t="n"/>
      <c r="I875" s="85" t="n"/>
      <c r="J875" s="85" t="n"/>
      <c r="K875" s="85" t="n"/>
      <c r="L875" s="85" t="n"/>
      <c r="M875" s="85" t="n"/>
      <c r="N875" s="85" t="n"/>
      <c r="O875" s="85" t="n"/>
      <c r="P875" s="85" t="n"/>
      <c r="Q875" s="85" t="n"/>
      <c r="R875" s="85" t="n"/>
      <c r="S875" s="85" t="n"/>
      <c r="T875" s="85" t="n"/>
      <c r="U875" s="85" t="n"/>
      <c r="V875" s="85" t="n"/>
      <c r="W875" s="85" t="n"/>
      <c r="X875" s="85" t="n"/>
      <c r="Y875" s="85" t="n"/>
      <c r="Z875" s="85" t="n"/>
      <c r="AA875" s="85" t="n"/>
      <c r="AB875" s="85" t="n"/>
      <c r="AC875" s="86" t="n"/>
      <c r="AD875" s="85">
        <f>IF($A875="","",IF(OR($AB875&lt;&gt;"Yes",$AC875="",TODAY()-$AC875&gt;90),"At Risk","Not At Risk"))</f>
        <v/>
      </c>
      <c r="AE875" s="85" t="n"/>
    </row>
    <row r="876" ht="15" customHeight="1" s="39">
      <c r="A876" s="85" t="n"/>
      <c r="B876" s="85" t="n"/>
      <c r="C876" s="85" t="n"/>
      <c r="D876" s="85" t="n"/>
      <c r="E876" s="85" t="n"/>
      <c r="F876" s="85" t="n"/>
      <c r="G876" s="85" t="n"/>
      <c r="H876" s="85" t="n"/>
      <c r="I876" s="85" t="n"/>
      <c r="J876" s="85" t="n"/>
      <c r="K876" s="85" t="n"/>
      <c r="L876" s="85" t="n"/>
      <c r="M876" s="85" t="n"/>
      <c r="N876" s="85" t="n"/>
      <c r="O876" s="85" t="n"/>
      <c r="P876" s="85" t="n"/>
      <c r="Q876" s="85" t="n"/>
      <c r="R876" s="85" t="n"/>
      <c r="S876" s="85" t="n"/>
      <c r="T876" s="85" t="n"/>
      <c r="U876" s="85" t="n"/>
      <c r="V876" s="85" t="n"/>
      <c r="W876" s="85" t="n"/>
      <c r="X876" s="85" t="n"/>
      <c r="Y876" s="85" t="n"/>
      <c r="Z876" s="85" t="n"/>
      <c r="AA876" s="85" t="n"/>
      <c r="AB876" s="85" t="n"/>
      <c r="AC876" s="86" t="n"/>
      <c r="AD876" s="85">
        <f>IF($A876="","",IF(OR($AB876&lt;&gt;"Yes",$AC876="",TODAY()-$AC876&gt;90),"At Risk","Not At Risk"))</f>
        <v/>
      </c>
      <c r="AE876" s="85" t="n"/>
    </row>
    <row r="877" ht="15" customHeight="1" s="39">
      <c r="A877" s="85" t="n"/>
      <c r="B877" s="85" t="n"/>
      <c r="C877" s="85" t="n"/>
      <c r="D877" s="85" t="n"/>
      <c r="E877" s="85" t="n"/>
      <c r="F877" s="85" t="n"/>
      <c r="G877" s="85" t="n"/>
      <c r="H877" s="85" t="n"/>
      <c r="I877" s="85" t="n"/>
      <c r="J877" s="85" t="n"/>
      <c r="K877" s="85" t="n"/>
      <c r="L877" s="85" t="n"/>
      <c r="M877" s="85" t="n"/>
      <c r="N877" s="85" t="n"/>
      <c r="O877" s="85" t="n"/>
      <c r="P877" s="85" t="n"/>
      <c r="Q877" s="85" t="n"/>
      <c r="R877" s="85" t="n"/>
      <c r="S877" s="85" t="n"/>
      <c r="T877" s="85" t="n"/>
      <c r="U877" s="85" t="n"/>
      <c r="V877" s="85" t="n"/>
      <c r="W877" s="85" t="n"/>
      <c r="X877" s="85" t="n"/>
      <c r="Y877" s="85" t="n"/>
      <c r="Z877" s="85" t="n"/>
      <c r="AA877" s="85" t="n"/>
      <c r="AB877" s="85" t="n"/>
      <c r="AC877" s="86" t="n"/>
      <c r="AD877" s="85">
        <f>IF($A877="","",IF(OR($AB877&lt;&gt;"Yes",$AC877="",TODAY()-$AC877&gt;90),"At Risk","Not At Risk"))</f>
        <v/>
      </c>
      <c r="AE877" s="85" t="n"/>
    </row>
    <row r="878" ht="15" customHeight="1" s="39">
      <c r="A878" s="85" t="n"/>
      <c r="B878" s="85" t="n"/>
      <c r="C878" s="85" t="n"/>
      <c r="D878" s="85" t="n"/>
      <c r="E878" s="85" t="n"/>
      <c r="F878" s="85" t="n"/>
      <c r="G878" s="85" t="n"/>
      <c r="H878" s="85" t="n"/>
      <c r="I878" s="85" t="n"/>
      <c r="J878" s="85" t="n"/>
      <c r="K878" s="85" t="n"/>
      <c r="L878" s="85" t="n"/>
      <c r="M878" s="85" t="n"/>
      <c r="N878" s="85" t="n"/>
      <c r="O878" s="85" t="n"/>
      <c r="P878" s="85" t="n"/>
      <c r="Q878" s="85" t="n"/>
      <c r="R878" s="85" t="n"/>
      <c r="S878" s="85" t="n"/>
      <c r="T878" s="85" t="n"/>
      <c r="U878" s="85" t="n"/>
      <c r="V878" s="85" t="n"/>
      <c r="W878" s="85" t="n"/>
      <c r="X878" s="85" t="n"/>
      <c r="Y878" s="85" t="n"/>
      <c r="Z878" s="85" t="n"/>
      <c r="AA878" s="85" t="n"/>
      <c r="AB878" s="85" t="n"/>
      <c r="AC878" s="86" t="n"/>
      <c r="AD878" s="85">
        <f>IF($A878="","",IF(OR($AB878&lt;&gt;"Yes",$AC878="",TODAY()-$AC878&gt;90),"At Risk","Not At Risk"))</f>
        <v/>
      </c>
      <c r="AE878" s="85" t="n"/>
    </row>
    <row r="879" ht="15" customHeight="1" s="39">
      <c r="A879" s="85" t="n"/>
      <c r="B879" s="85" t="n"/>
      <c r="C879" s="85" t="n"/>
      <c r="D879" s="85" t="n"/>
      <c r="E879" s="85" t="n"/>
      <c r="F879" s="85" t="n"/>
      <c r="G879" s="85" t="n"/>
      <c r="H879" s="85" t="n"/>
      <c r="I879" s="85" t="n"/>
      <c r="J879" s="85" t="n"/>
      <c r="K879" s="85" t="n"/>
      <c r="L879" s="85" t="n"/>
      <c r="M879" s="85" t="n"/>
      <c r="N879" s="85" t="n"/>
      <c r="O879" s="85" t="n"/>
      <c r="P879" s="85" t="n"/>
      <c r="Q879" s="85" t="n"/>
      <c r="R879" s="85" t="n"/>
      <c r="S879" s="85" t="n"/>
      <c r="T879" s="85" t="n"/>
      <c r="U879" s="85" t="n"/>
      <c r="V879" s="85" t="n"/>
      <c r="W879" s="85" t="n"/>
      <c r="X879" s="85" t="n"/>
      <c r="Y879" s="85" t="n"/>
      <c r="Z879" s="85" t="n"/>
      <c r="AA879" s="85" t="n"/>
      <c r="AB879" s="85" t="n"/>
      <c r="AC879" s="86" t="n"/>
      <c r="AD879" s="85">
        <f>IF($A879="","",IF(OR($AB879&lt;&gt;"Yes",$AC879="",TODAY()-$AC879&gt;90),"At Risk","Not At Risk"))</f>
        <v/>
      </c>
      <c r="AE879" s="85" t="n"/>
    </row>
    <row r="880" ht="15" customHeight="1" s="39">
      <c r="A880" s="85" t="n"/>
      <c r="B880" s="85" t="n"/>
      <c r="C880" s="85" t="n"/>
      <c r="D880" s="85" t="n"/>
      <c r="E880" s="85" t="n"/>
      <c r="F880" s="85" t="n"/>
      <c r="G880" s="85" t="n"/>
      <c r="H880" s="85" t="n"/>
      <c r="I880" s="85" t="n"/>
      <c r="J880" s="85" t="n"/>
      <c r="K880" s="85" t="n"/>
      <c r="L880" s="85" t="n"/>
      <c r="M880" s="85" t="n"/>
      <c r="N880" s="85" t="n"/>
      <c r="O880" s="85" t="n"/>
      <c r="P880" s="85" t="n"/>
      <c r="Q880" s="85" t="n"/>
      <c r="R880" s="85" t="n"/>
      <c r="S880" s="85" t="n"/>
      <c r="T880" s="85" t="n"/>
      <c r="U880" s="85" t="n"/>
      <c r="V880" s="85" t="n"/>
      <c r="W880" s="85" t="n"/>
      <c r="X880" s="85" t="n"/>
      <c r="Y880" s="85" t="n"/>
      <c r="Z880" s="85" t="n"/>
      <c r="AA880" s="85" t="n"/>
      <c r="AB880" s="85" t="n"/>
      <c r="AC880" s="86" t="n"/>
      <c r="AD880" s="85">
        <f>IF($A880="","",IF(OR($AB880&lt;&gt;"Yes",$AC880="",TODAY()-$AC880&gt;90),"At Risk","Not At Risk"))</f>
        <v/>
      </c>
      <c r="AE880" s="85" t="n"/>
    </row>
    <row r="881" ht="15" customHeight="1" s="39">
      <c r="A881" s="85" t="n"/>
      <c r="B881" s="85" t="n"/>
      <c r="C881" s="85" t="n"/>
      <c r="D881" s="85" t="n"/>
      <c r="E881" s="85" t="n"/>
      <c r="F881" s="85" t="n"/>
      <c r="G881" s="85" t="n"/>
      <c r="H881" s="85" t="n"/>
      <c r="I881" s="85" t="n"/>
      <c r="J881" s="85" t="n"/>
      <c r="K881" s="85" t="n"/>
      <c r="L881" s="85" t="n"/>
      <c r="M881" s="85" t="n"/>
      <c r="N881" s="85" t="n"/>
      <c r="O881" s="85" t="n"/>
      <c r="P881" s="85" t="n"/>
      <c r="Q881" s="85" t="n"/>
      <c r="R881" s="85" t="n"/>
      <c r="S881" s="85" t="n"/>
      <c r="T881" s="85" t="n"/>
      <c r="U881" s="85" t="n"/>
      <c r="V881" s="85" t="n"/>
      <c r="W881" s="85" t="n"/>
      <c r="X881" s="85" t="n"/>
      <c r="Y881" s="85" t="n"/>
      <c r="Z881" s="85" t="n"/>
      <c r="AA881" s="85" t="n"/>
      <c r="AB881" s="85" t="n"/>
      <c r="AC881" s="86" t="n"/>
      <c r="AD881" s="85">
        <f>IF($A881="","",IF(OR($AB881&lt;&gt;"Yes",$AC881="",TODAY()-$AC881&gt;90),"At Risk","Not At Risk"))</f>
        <v/>
      </c>
      <c r="AE881" s="85" t="n"/>
    </row>
    <row r="882" ht="15" customHeight="1" s="39">
      <c r="A882" s="85" t="n"/>
      <c r="B882" s="85" t="n"/>
      <c r="C882" s="85" t="n"/>
      <c r="D882" s="85" t="n"/>
      <c r="E882" s="85" t="n"/>
      <c r="F882" s="85" t="n"/>
      <c r="G882" s="85" t="n"/>
      <c r="H882" s="85" t="n"/>
      <c r="I882" s="85" t="n"/>
      <c r="J882" s="85" t="n"/>
      <c r="K882" s="85" t="n"/>
      <c r="L882" s="85" t="n"/>
      <c r="M882" s="85" t="n"/>
      <c r="N882" s="85" t="n"/>
      <c r="O882" s="85" t="n"/>
      <c r="P882" s="85" t="n"/>
      <c r="Q882" s="85" t="n"/>
      <c r="R882" s="85" t="n"/>
      <c r="S882" s="85" t="n"/>
      <c r="T882" s="85" t="n"/>
      <c r="U882" s="85" t="n"/>
      <c r="V882" s="85" t="n"/>
      <c r="W882" s="85" t="n"/>
      <c r="X882" s="85" t="n"/>
      <c r="Y882" s="85" t="n"/>
      <c r="Z882" s="85" t="n"/>
      <c r="AA882" s="85" t="n"/>
      <c r="AB882" s="85" t="n"/>
      <c r="AC882" s="86" t="n"/>
      <c r="AD882" s="85">
        <f>IF($A882="","",IF(OR($AB882&lt;&gt;"Yes",$AC882="",TODAY()-$AC882&gt;90),"At Risk","Not At Risk"))</f>
        <v/>
      </c>
      <c r="AE882" s="85" t="n"/>
    </row>
    <row r="883" ht="15" customHeight="1" s="39">
      <c r="A883" s="85" t="n"/>
      <c r="B883" s="85" t="n"/>
      <c r="C883" s="85" t="n"/>
      <c r="D883" s="85" t="n"/>
      <c r="E883" s="85" t="n"/>
      <c r="F883" s="85" t="n"/>
      <c r="G883" s="85" t="n"/>
      <c r="H883" s="85" t="n"/>
      <c r="I883" s="85" t="n"/>
      <c r="J883" s="85" t="n"/>
      <c r="K883" s="85" t="n"/>
      <c r="L883" s="85" t="n"/>
      <c r="M883" s="85" t="n"/>
      <c r="N883" s="85" t="n"/>
      <c r="O883" s="85" t="n"/>
      <c r="P883" s="85" t="n"/>
      <c r="Q883" s="85" t="n"/>
      <c r="R883" s="85" t="n"/>
      <c r="S883" s="85" t="n"/>
      <c r="T883" s="85" t="n"/>
      <c r="U883" s="85" t="n"/>
      <c r="V883" s="85" t="n"/>
      <c r="W883" s="85" t="n"/>
      <c r="X883" s="85" t="n"/>
      <c r="Y883" s="85" t="n"/>
      <c r="Z883" s="85" t="n"/>
      <c r="AA883" s="85" t="n"/>
      <c r="AB883" s="85" t="n"/>
      <c r="AC883" s="86" t="n"/>
      <c r="AD883" s="85">
        <f>IF($A883="","",IF(OR($AB883&lt;&gt;"Yes",$AC883="",TODAY()-$AC883&gt;90),"At Risk","Not At Risk"))</f>
        <v/>
      </c>
      <c r="AE883" s="85" t="n"/>
    </row>
    <row r="884" ht="15" customHeight="1" s="39">
      <c r="A884" s="85" t="n"/>
      <c r="B884" s="85" t="n"/>
      <c r="C884" s="85" t="n"/>
      <c r="D884" s="85" t="n"/>
      <c r="E884" s="85" t="n"/>
      <c r="F884" s="85" t="n"/>
      <c r="G884" s="85" t="n"/>
      <c r="H884" s="85" t="n"/>
      <c r="I884" s="85" t="n"/>
      <c r="J884" s="85" t="n"/>
      <c r="K884" s="85" t="n"/>
      <c r="L884" s="85" t="n"/>
      <c r="M884" s="85" t="n"/>
      <c r="N884" s="85" t="n"/>
      <c r="O884" s="85" t="n"/>
      <c r="P884" s="85" t="n"/>
      <c r="Q884" s="85" t="n"/>
      <c r="R884" s="85" t="n"/>
      <c r="S884" s="85" t="n"/>
      <c r="T884" s="85" t="n"/>
      <c r="U884" s="85" t="n"/>
      <c r="V884" s="85" t="n"/>
      <c r="W884" s="85" t="n"/>
      <c r="X884" s="85" t="n"/>
      <c r="Y884" s="85" t="n"/>
      <c r="Z884" s="85" t="n"/>
      <c r="AA884" s="85" t="n"/>
      <c r="AB884" s="85" t="n"/>
      <c r="AC884" s="86" t="n"/>
      <c r="AD884" s="85">
        <f>IF($A884="","",IF(OR($AB884&lt;&gt;"Yes",$AC884="",TODAY()-$AC884&gt;90),"At Risk","Not At Risk"))</f>
        <v/>
      </c>
      <c r="AE884" s="85" t="n"/>
    </row>
    <row r="885" ht="15" customHeight="1" s="39">
      <c r="A885" s="85" t="n"/>
      <c r="B885" s="85" t="n"/>
      <c r="C885" s="85" t="n"/>
      <c r="D885" s="85" t="n"/>
      <c r="E885" s="85" t="n"/>
      <c r="F885" s="85" t="n"/>
      <c r="G885" s="85" t="n"/>
      <c r="H885" s="85" t="n"/>
      <c r="I885" s="85" t="n"/>
      <c r="J885" s="85" t="n"/>
      <c r="K885" s="85" t="n"/>
      <c r="L885" s="85" t="n"/>
      <c r="M885" s="85" t="n"/>
      <c r="N885" s="85" t="n"/>
      <c r="O885" s="85" t="n"/>
      <c r="P885" s="85" t="n"/>
      <c r="Q885" s="85" t="n"/>
      <c r="R885" s="85" t="n"/>
      <c r="S885" s="85" t="n"/>
      <c r="T885" s="85" t="n"/>
      <c r="U885" s="85" t="n"/>
      <c r="V885" s="85" t="n"/>
      <c r="W885" s="85" t="n"/>
      <c r="X885" s="85" t="n"/>
      <c r="Y885" s="85" t="n"/>
      <c r="Z885" s="85" t="n"/>
      <c r="AA885" s="85" t="n"/>
      <c r="AB885" s="85" t="n"/>
      <c r="AC885" s="86" t="n"/>
      <c r="AD885" s="85">
        <f>IF($A885="","",IF(OR($AB885&lt;&gt;"Yes",$AC885="",TODAY()-$AC885&gt;90),"At Risk","Not At Risk"))</f>
        <v/>
      </c>
      <c r="AE885" s="85" t="n"/>
    </row>
    <row r="886" ht="15" customHeight="1" s="39">
      <c r="A886" s="85" t="n"/>
      <c r="B886" s="85" t="n"/>
      <c r="C886" s="85" t="n"/>
      <c r="D886" s="85" t="n"/>
      <c r="E886" s="85" t="n"/>
      <c r="F886" s="85" t="n"/>
      <c r="G886" s="85" t="n"/>
      <c r="H886" s="85" t="n"/>
      <c r="I886" s="85" t="n"/>
      <c r="J886" s="85" t="n"/>
      <c r="K886" s="85" t="n"/>
      <c r="L886" s="85" t="n"/>
      <c r="M886" s="85" t="n"/>
      <c r="N886" s="85" t="n"/>
      <c r="O886" s="85" t="n"/>
      <c r="P886" s="85" t="n"/>
      <c r="Q886" s="85" t="n"/>
      <c r="R886" s="85" t="n"/>
      <c r="S886" s="85" t="n"/>
      <c r="T886" s="85" t="n"/>
      <c r="U886" s="85" t="n"/>
      <c r="V886" s="85" t="n"/>
      <c r="W886" s="85" t="n"/>
      <c r="X886" s="85" t="n"/>
      <c r="Y886" s="85" t="n"/>
      <c r="Z886" s="85" t="n"/>
      <c r="AA886" s="85" t="n"/>
      <c r="AB886" s="85" t="n"/>
      <c r="AC886" s="86" t="n"/>
      <c r="AD886" s="85">
        <f>IF($A886="","",IF(OR($AB886&lt;&gt;"Yes",$AC886="",TODAY()-$AC886&gt;90),"At Risk","Not At Risk"))</f>
        <v/>
      </c>
      <c r="AE886" s="85" t="n"/>
    </row>
    <row r="887" ht="15" customHeight="1" s="39">
      <c r="A887" s="85" t="n"/>
      <c r="B887" s="85" t="n"/>
      <c r="C887" s="85" t="n"/>
      <c r="D887" s="85" t="n"/>
      <c r="E887" s="85" t="n"/>
      <c r="F887" s="85" t="n"/>
      <c r="G887" s="85" t="n"/>
      <c r="H887" s="85" t="n"/>
      <c r="I887" s="85" t="n"/>
      <c r="J887" s="85" t="n"/>
      <c r="K887" s="85" t="n"/>
      <c r="L887" s="85" t="n"/>
      <c r="M887" s="85" t="n"/>
      <c r="N887" s="85" t="n"/>
      <c r="O887" s="85" t="n"/>
      <c r="P887" s="85" t="n"/>
      <c r="Q887" s="85" t="n"/>
      <c r="R887" s="85" t="n"/>
      <c r="S887" s="85" t="n"/>
      <c r="T887" s="85" t="n"/>
      <c r="U887" s="85" t="n"/>
      <c r="V887" s="85" t="n"/>
      <c r="W887" s="85" t="n"/>
      <c r="X887" s="85" t="n"/>
      <c r="Y887" s="85" t="n"/>
      <c r="Z887" s="85" t="n"/>
      <c r="AA887" s="85" t="n"/>
      <c r="AB887" s="85" t="n"/>
      <c r="AC887" s="86" t="n"/>
      <c r="AD887" s="85">
        <f>IF($A887="","",IF(OR($AB887&lt;&gt;"Yes",$AC887="",TODAY()-$AC887&gt;90),"At Risk","Not At Risk"))</f>
        <v/>
      </c>
      <c r="AE887" s="85" t="n"/>
    </row>
    <row r="888" ht="15" customHeight="1" s="39">
      <c r="A888" s="85" t="n"/>
      <c r="B888" s="85" t="n"/>
      <c r="C888" s="85" t="n"/>
      <c r="D888" s="85" t="n"/>
      <c r="E888" s="85" t="n"/>
      <c r="F888" s="85" t="n"/>
      <c r="G888" s="85" t="n"/>
      <c r="H888" s="85" t="n"/>
      <c r="I888" s="85" t="n"/>
      <c r="J888" s="85" t="n"/>
      <c r="K888" s="85" t="n"/>
      <c r="L888" s="85" t="n"/>
      <c r="M888" s="85" t="n"/>
      <c r="N888" s="85" t="n"/>
      <c r="O888" s="85" t="n"/>
      <c r="P888" s="85" t="n"/>
      <c r="Q888" s="85" t="n"/>
      <c r="R888" s="85" t="n"/>
      <c r="S888" s="85" t="n"/>
      <c r="T888" s="85" t="n"/>
      <c r="U888" s="85" t="n"/>
      <c r="V888" s="85" t="n"/>
      <c r="W888" s="85" t="n"/>
      <c r="X888" s="85" t="n"/>
      <c r="Y888" s="85" t="n"/>
      <c r="Z888" s="85" t="n"/>
      <c r="AA888" s="85" t="n"/>
      <c r="AB888" s="85" t="n"/>
      <c r="AC888" s="86" t="n"/>
      <c r="AD888" s="85">
        <f>IF($A888="","",IF(OR($AB888&lt;&gt;"Yes",$AC888="",TODAY()-$AC888&gt;90),"At Risk","Not At Risk"))</f>
        <v/>
      </c>
      <c r="AE888" s="85" t="n"/>
    </row>
    <row r="889" ht="15" customHeight="1" s="39">
      <c r="A889" s="85" t="n"/>
      <c r="B889" s="85" t="n"/>
      <c r="C889" s="85" t="n"/>
      <c r="D889" s="85" t="n"/>
      <c r="E889" s="85" t="n"/>
      <c r="F889" s="85" t="n"/>
      <c r="G889" s="85" t="n"/>
      <c r="H889" s="85" t="n"/>
      <c r="I889" s="85" t="n"/>
      <c r="J889" s="85" t="n"/>
      <c r="K889" s="85" t="n"/>
      <c r="L889" s="85" t="n"/>
      <c r="M889" s="85" t="n"/>
      <c r="N889" s="85" t="n"/>
      <c r="O889" s="85" t="n"/>
      <c r="P889" s="85" t="n"/>
      <c r="Q889" s="85" t="n"/>
      <c r="R889" s="85" t="n"/>
      <c r="S889" s="85" t="n"/>
      <c r="T889" s="85" t="n"/>
      <c r="U889" s="85" t="n"/>
      <c r="V889" s="85" t="n"/>
      <c r="W889" s="85" t="n"/>
      <c r="X889" s="85" t="n"/>
      <c r="Y889" s="85" t="n"/>
      <c r="Z889" s="85" t="n"/>
      <c r="AA889" s="85" t="n"/>
      <c r="AB889" s="85" t="n"/>
      <c r="AC889" s="86" t="n"/>
      <c r="AD889" s="85">
        <f>IF($A889="","",IF(OR($AB889&lt;&gt;"Yes",$AC889="",TODAY()-$AC889&gt;90),"At Risk","Not At Risk"))</f>
        <v/>
      </c>
      <c r="AE889" s="85" t="n"/>
    </row>
    <row r="890" ht="15" customHeight="1" s="39">
      <c r="A890" s="85" t="n"/>
      <c r="B890" s="85" t="n"/>
      <c r="C890" s="85" t="n"/>
      <c r="D890" s="85" t="n"/>
      <c r="E890" s="85" t="n"/>
      <c r="F890" s="85" t="n"/>
      <c r="G890" s="85" t="n"/>
      <c r="H890" s="85" t="n"/>
      <c r="I890" s="85" t="n"/>
      <c r="J890" s="85" t="n"/>
      <c r="K890" s="85" t="n"/>
      <c r="L890" s="85" t="n"/>
      <c r="M890" s="85" t="n"/>
      <c r="N890" s="85" t="n"/>
      <c r="O890" s="85" t="n"/>
      <c r="P890" s="85" t="n"/>
      <c r="Q890" s="85" t="n"/>
      <c r="R890" s="85" t="n"/>
      <c r="S890" s="85" t="n"/>
      <c r="T890" s="85" t="n"/>
      <c r="U890" s="85" t="n"/>
      <c r="V890" s="85" t="n"/>
      <c r="W890" s="85" t="n"/>
      <c r="X890" s="85" t="n"/>
      <c r="Y890" s="85" t="n"/>
      <c r="Z890" s="85" t="n"/>
      <c r="AA890" s="85" t="n"/>
      <c r="AB890" s="85" t="n"/>
      <c r="AC890" s="86" t="n"/>
      <c r="AD890" s="85">
        <f>IF($A890="","",IF(OR($AB890&lt;&gt;"Yes",$AC890="",TODAY()-$AC890&gt;90),"At Risk","Not At Risk"))</f>
        <v/>
      </c>
      <c r="AE890" s="85" t="n"/>
    </row>
    <row r="891" ht="15" customHeight="1" s="39">
      <c r="A891" s="85" t="n"/>
      <c r="B891" s="85" t="n"/>
      <c r="C891" s="85" t="n"/>
      <c r="D891" s="85" t="n"/>
      <c r="E891" s="85" t="n"/>
      <c r="F891" s="85" t="n"/>
      <c r="G891" s="85" t="n"/>
      <c r="H891" s="85" t="n"/>
      <c r="I891" s="85" t="n"/>
      <c r="J891" s="85" t="n"/>
      <c r="K891" s="85" t="n"/>
      <c r="L891" s="85" t="n"/>
      <c r="M891" s="85" t="n"/>
      <c r="N891" s="85" t="n"/>
      <c r="O891" s="85" t="n"/>
      <c r="P891" s="85" t="n"/>
      <c r="Q891" s="85" t="n"/>
      <c r="R891" s="85" t="n"/>
      <c r="S891" s="85" t="n"/>
      <c r="T891" s="85" t="n"/>
      <c r="U891" s="85" t="n"/>
      <c r="V891" s="85" t="n"/>
      <c r="W891" s="85" t="n"/>
      <c r="X891" s="85" t="n"/>
      <c r="Y891" s="85" t="n"/>
      <c r="Z891" s="85" t="n"/>
      <c r="AA891" s="85" t="n"/>
      <c r="AB891" s="85" t="n"/>
      <c r="AC891" s="86" t="n"/>
      <c r="AD891" s="85">
        <f>IF($A891="","",IF(OR($AB891&lt;&gt;"Yes",$AC891="",TODAY()-$AC891&gt;90),"At Risk","Not At Risk"))</f>
        <v/>
      </c>
      <c r="AE891" s="85" t="n"/>
    </row>
    <row r="892" ht="15" customHeight="1" s="39">
      <c r="A892" s="85" t="n"/>
      <c r="B892" s="85" t="n"/>
      <c r="C892" s="85" t="n"/>
      <c r="D892" s="85" t="n"/>
      <c r="E892" s="85" t="n"/>
      <c r="F892" s="85" t="n"/>
      <c r="G892" s="85" t="n"/>
      <c r="H892" s="85" t="n"/>
      <c r="I892" s="85" t="n"/>
      <c r="J892" s="85" t="n"/>
      <c r="K892" s="85" t="n"/>
      <c r="L892" s="85" t="n"/>
      <c r="M892" s="85" t="n"/>
      <c r="N892" s="85" t="n"/>
      <c r="O892" s="85" t="n"/>
      <c r="P892" s="85" t="n"/>
      <c r="Q892" s="85" t="n"/>
      <c r="R892" s="85" t="n"/>
      <c r="S892" s="85" t="n"/>
      <c r="T892" s="85" t="n"/>
      <c r="U892" s="85" t="n"/>
      <c r="V892" s="85" t="n"/>
      <c r="W892" s="85" t="n"/>
      <c r="X892" s="85" t="n"/>
      <c r="Y892" s="85" t="n"/>
      <c r="Z892" s="85" t="n"/>
      <c r="AA892" s="85" t="n"/>
      <c r="AB892" s="85" t="n"/>
      <c r="AC892" s="86" t="n"/>
      <c r="AD892" s="85">
        <f>IF($A892="","",IF(OR($AB892&lt;&gt;"Yes",$AC892="",TODAY()-$AC892&gt;90),"At Risk","Not At Risk"))</f>
        <v/>
      </c>
      <c r="AE892" s="85" t="n"/>
    </row>
    <row r="893" ht="15" customHeight="1" s="39">
      <c r="A893" s="85" t="n"/>
      <c r="B893" s="85" t="n"/>
      <c r="C893" s="85" t="n"/>
      <c r="D893" s="85" t="n"/>
      <c r="E893" s="85" t="n"/>
      <c r="F893" s="85" t="n"/>
      <c r="G893" s="85" t="n"/>
      <c r="H893" s="85" t="n"/>
      <c r="I893" s="85" t="n"/>
      <c r="J893" s="85" t="n"/>
      <c r="K893" s="85" t="n"/>
      <c r="L893" s="85" t="n"/>
      <c r="M893" s="85" t="n"/>
      <c r="N893" s="85" t="n"/>
      <c r="O893" s="85" t="n"/>
      <c r="P893" s="85" t="n"/>
      <c r="Q893" s="85" t="n"/>
      <c r="R893" s="85" t="n"/>
      <c r="S893" s="85" t="n"/>
      <c r="T893" s="85" t="n"/>
      <c r="U893" s="85" t="n"/>
      <c r="V893" s="85" t="n"/>
      <c r="W893" s="85" t="n"/>
      <c r="X893" s="85" t="n"/>
      <c r="Y893" s="85" t="n"/>
      <c r="Z893" s="85" t="n"/>
      <c r="AA893" s="85" t="n"/>
      <c r="AB893" s="85" t="n"/>
      <c r="AC893" s="86" t="n"/>
      <c r="AD893" s="85">
        <f>IF($A893="","",IF(OR($AB893&lt;&gt;"Yes",$AC893="",TODAY()-$AC893&gt;90),"At Risk","Not At Risk"))</f>
        <v/>
      </c>
      <c r="AE893" s="85" t="n"/>
    </row>
    <row r="894" ht="15" customHeight="1" s="39">
      <c r="A894" s="85" t="n"/>
      <c r="B894" s="85" t="n"/>
      <c r="C894" s="85" t="n"/>
      <c r="D894" s="85" t="n"/>
      <c r="E894" s="85" t="n"/>
      <c r="F894" s="85" t="n"/>
      <c r="G894" s="85" t="n"/>
      <c r="H894" s="85" t="n"/>
      <c r="I894" s="85" t="n"/>
      <c r="J894" s="85" t="n"/>
      <c r="K894" s="85" t="n"/>
      <c r="L894" s="85" t="n"/>
      <c r="M894" s="85" t="n"/>
      <c r="N894" s="85" t="n"/>
      <c r="O894" s="85" t="n"/>
      <c r="P894" s="85" t="n"/>
      <c r="Q894" s="85" t="n"/>
      <c r="R894" s="85" t="n"/>
      <c r="S894" s="85" t="n"/>
      <c r="T894" s="85" t="n"/>
      <c r="U894" s="85" t="n"/>
      <c r="V894" s="85" t="n"/>
      <c r="W894" s="85" t="n"/>
      <c r="X894" s="85" t="n"/>
      <c r="Y894" s="85" t="n"/>
      <c r="Z894" s="85" t="n"/>
      <c r="AA894" s="85" t="n"/>
      <c r="AB894" s="85" t="n"/>
      <c r="AC894" s="86" t="n"/>
      <c r="AD894" s="85">
        <f>IF($A894="","",IF(OR($AB894&lt;&gt;"Yes",$AC894="",TODAY()-$AC894&gt;90),"At Risk","Not At Risk"))</f>
        <v/>
      </c>
      <c r="AE894" s="85" t="n"/>
    </row>
    <row r="895" ht="15" customHeight="1" s="39">
      <c r="A895" s="85" t="n"/>
      <c r="B895" s="85" t="n"/>
      <c r="C895" s="85" t="n"/>
      <c r="D895" s="85" t="n"/>
      <c r="E895" s="85" t="n"/>
      <c r="F895" s="85" t="n"/>
      <c r="G895" s="85" t="n"/>
      <c r="H895" s="85" t="n"/>
      <c r="I895" s="85" t="n"/>
      <c r="J895" s="85" t="n"/>
      <c r="K895" s="85" t="n"/>
      <c r="L895" s="85" t="n"/>
      <c r="M895" s="85" t="n"/>
      <c r="N895" s="85" t="n"/>
      <c r="O895" s="85" t="n"/>
      <c r="P895" s="85" t="n"/>
      <c r="Q895" s="85" t="n"/>
      <c r="R895" s="85" t="n"/>
      <c r="S895" s="85" t="n"/>
      <c r="T895" s="85" t="n"/>
      <c r="U895" s="85" t="n"/>
      <c r="V895" s="85" t="n"/>
      <c r="W895" s="85" t="n"/>
      <c r="X895" s="85" t="n"/>
      <c r="Y895" s="85" t="n"/>
      <c r="Z895" s="85" t="n"/>
      <c r="AA895" s="85" t="n"/>
      <c r="AB895" s="85" t="n"/>
      <c r="AC895" s="86" t="n"/>
      <c r="AD895" s="85">
        <f>IF($A895="","",IF(OR($AB895&lt;&gt;"Yes",$AC895="",TODAY()-$AC895&gt;90),"At Risk","Not At Risk"))</f>
        <v/>
      </c>
      <c r="AE895" s="85" t="n"/>
    </row>
    <row r="896" ht="15" customHeight="1" s="39">
      <c r="A896" s="85" t="n"/>
      <c r="B896" s="85" t="n"/>
      <c r="C896" s="85" t="n"/>
      <c r="D896" s="85" t="n"/>
      <c r="E896" s="85" t="n"/>
      <c r="F896" s="85" t="n"/>
      <c r="G896" s="85" t="n"/>
      <c r="H896" s="85" t="n"/>
      <c r="I896" s="85" t="n"/>
      <c r="J896" s="85" t="n"/>
      <c r="K896" s="85" t="n"/>
      <c r="L896" s="85" t="n"/>
      <c r="M896" s="85" t="n"/>
      <c r="N896" s="85" t="n"/>
      <c r="O896" s="85" t="n"/>
      <c r="P896" s="85" t="n"/>
      <c r="Q896" s="85" t="n"/>
      <c r="R896" s="85" t="n"/>
      <c r="S896" s="85" t="n"/>
      <c r="T896" s="85" t="n"/>
      <c r="U896" s="85" t="n"/>
      <c r="V896" s="85" t="n"/>
      <c r="W896" s="85" t="n"/>
      <c r="X896" s="85" t="n"/>
      <c r="Y896" s="85" t="n"/>
      <c r="Z896" s="85" t="n"/>
      <c r="AA896" s="85" t="n"/>
      <c r="AB896" s="85" t="n"/>
      <c r="AC896" s="86" t="n"/>
      <c r="AD896" s="85">
        <f>IF($A896="","",IF(OR($AB896&lt;&gt;"Yes",$AC896="",TODAY()-$AC896&gt;90),"At Risk","Not At Risk"))</f>
        <v/>
      </c>
      <c r="AE896" s="85" t="n"/>
    </row>
    <row r="897" ht="15" customHeight="1" s="39">
      <c r="A897" s="85" t="n"/>
      <c r="B897" s="85" t="n"/>
      <c r="C897" s="85" t="n"/>
      <c r="D897" s="85" t="n"/>
      <c r="E897" s="85" t="n"/>
      <c r="F897" s="85" t="n"/>
      <c r="G897" s="85" t="n"/>
      <c r="H897" s="85" t="n"/>
      <c r="I897" s="85" t="n"/>
      <c r="J897" s="85" t="n"/>
      <c r="K897" s="85" t="n"/>
      <c r="L897" s="85" t="n"/>
      <c r="M897" s="85" t="n"/>
      <c r="N897" s="85" t="n"/>
      <c r="O897" s="85" t="n"/>
      <c r="P897" s="85" t="n"/>
      <c r="Q897" s="85" t="n"/>
      <c r="R897" s="85" t="n"/>
      <c r="S897" s="85" t="n"/>
      <c r="T897" s="85" t="n"/>
      <c r="U897" s="85" t="n"/>
      <c r="V897" s="85" t="n"/>
      <c r="W897" s="85" t="n"/>
      <c r="X897" s="85" t="n"/>
      <c r="Y897" s="85" t="n"/>
      <c r="Z897" s="85" t="n"/>
      <c r="AA897" s="85" t="n"/>
      <c r="AB897" s="85" t="n"/>
      <c r="AC897" s="86" t="n"/>
      <c r="AD897" s="85">
        <f>IF($A897="","",IF(OR($AB897&lt;&gt;"Yes",$AC897="",TODAY()-$AC897&gt;90),"At Risk","Not At Risk"))</f>
        <v/>
      </c>
      <c r="AE897" s="85" t="n"/>
    </row>
    <row r="898" ht="15" customHeight="1" s="39">
      <c r="A898" s="85" t="n"/>
      <c r="B898" s="85" t="n"/>
      <c r="C898" s="85" t="n"/>
      <c r="D898" s="85" t="n"/>
      <c r="E898" s="85" t="n"/>
      <c r="F898" s="85" t="n"/>
      <c r="G898" s="85" t="n"/>
      <c r="H898" s="85" t="n"/>
      <c r="I898" s="85" t="n"/>
      <c r="J898" s="85" t="n"/>
      <c r="K898" s="85" t="n"/>
      <c r="L898" s="85" t="n"/>
      <c r="M898" s="85" t="n"/>
      <c r="N898" s="85" t="n"/>
      <c r="O898" s="85" t="n"/>
      <c r="P898" s="85" t="n"/>
      <c r="Q898" s="85" t="n"/>
      <c r="R898" s="85" t="n"/>
      <c r="S898" s="85" t="n"/>
      <c r="T898" s="85" t="n"/>
      <c r="U898" s="85" t="n"/>
      <c r="V898" s="85" t="n"/>
      <c r="W898" s="85" t="n"/>
      <c r="X898" s="85" t="n"/>
      <c r="Y898" s="85" t="n"/>
      <c r="Z898" s="85" t="n"/>
      <c r="AA898" s="85" t="n"/>
      <c r="AB898" s="85" t="n"/>
      <c r="AC898" s="86" t="n"/>
      <c r="AD898" s="85">
        <f>IF($A898="","",IF(OR($AB898&lt;&gt;"Yes",$AC898="",TODAY()-$AC898&gt;90),"At Risk","Not At Risk"))</f>
        <v/>
      </c>
      <c r="AE898" s="85" t="n"/>
    </row>
    <row r="899" ht="15" customHeight="1" s="39">
      <c r="A899" s="85" t="n"/>
      <c r="B899" s="85" t="n"/>
      <c r="C899" s="85" t="n"/>
      <c r="D899" s="85" t="n"/>
      <c r="E899" s="85" t="n"/>
      <c r="F899" s="85" t="n"/>
      <c r="G899" s="85" t="n"/>
      <c r="H899" s="85" t="n"/>
      <c r="I899" s="85" t="n"/>
      <c r="J899" s="85" t="n"/>
      <c r="K899" s="85" t="n"/>
      <c r="L899" s="85" t="n"/>
      <c r="M899" s="85" t="n"/>
      <c r="N899" s="85" t="n"/>
      <c r="O899" s="85" t="n"/>
      <c r="P899" s="85" t="n"/>
      <c r="Q899" s="85" t="n"/>
      <c r="R899" s="85" t="n"/>
      <c r="S899" s="85" t="n"/>
      <c r="T899" s="85" t="n"/>
      <c r="U899" s="85" t="n"/>
      <c r="V899" s="85" t="n"/>
      <c r="W899" s="85" t="n"/>
      <c r="X899" s="85" t="n"/>
      <c r="Y899" s="85" t="n"/>
      <c r="Z899" s="85" t="n"/>
      <c r="AA899" s="85" t="n"/>
      <c r="AB899" s="85" t="n"/>
      <c r="AC899" s="86" t="n"/>
      <c r="AD899" s="85">
        <f>IF($A899="","",IF(OR($AB899&lt;&gt;"Yes",$AC899="",TODAY()-$AC899&gt;90),"At Risk","Not At Risk"))</f>
        <v/>
      </c>
      <c r="AE899" s="85" t="n"/>
    </row>
    <row r="900" ht="15" customHeight="1" s="39">
      <c r="A900" s="85" t="n"/>
      <c r="B900" s="85" t="n"/>
      <c r="C900" s="85" t="n"/>
      <c r="D900" s="85" t="n"/>
      <c r="E900" s="85" t="n"/>
      <c r="F900" s="85" t="n"/>
      <c r="G900" s="85" t="n"/>
      <c r="H900" s="85" t="n"/>
      <c r="I900" s="85" t="n"/>
      <c r="J900" s="85" t="n"/>
      <c r="K900" s="85" t="n"/>
      <c r="L900" s="85" t="n"/>
      <c r="M900" s="85" t="n"/>
      <c r="N900" s="85" t="n"/>
      <c r="O900" s="85" t="n"/>
      <c r="P900" s="85" t="n"/>
      <c r="Q900" s="85" t="n"/>
      <c r="R900" s="85" t="n"/>
      <c r="S900" s="85" t="n"/>
      <c r="T900" s="85" t="n"/>
      <c r="U900" s="85" t="n"/>
      <c r="V900" s="85" t="n"/>
      <c r="W900" s="85" t="n"/>
      <c r="X900" s="85" t="n"/>
      <c r="Y900" s="85" t="n"/>
      <c r="Z900" s="85" t="n"/>
      <c r="AA900" s="85" t="n"/>
      <c r="AB900" s="85" t="n"/>
      <c r="AC900" s="86" t="n"/>
      <c r="AD900" s="85">
        <f>IF($A900="","",IF(OR($AB900&lt;&gt;"Yes",$AC900="",TODAY()-$AC900&gt;90),"At Risk","Not At Risk"))</f>
        <v/>
      </c>
      <c r="AE900" s="85" t="n"/>
    </row>
    <row r="901" ht="15" customHeight="1" s="39">
      <c r="A901" s="85" t="n"/>
      <c r="B901" s="85" t="n"/>
      <c r="C901" s="85" t="n"/>
      <c r="D901" s="85" t="n"/>
      <c r="E901" s="85" t="n"/>
      <c r="F901" s="85" t="n"/>
      <c r="G901" s="85" t="n"/>
      <c r="H901" s="85" t="n"/>
      <c r="I901" s="85" t="n"/>
      <c r="J901" s="85" t="n"/>
      <c r="K901" s="85" t="n"/>
      <c r="L901" s="85" t="n"/>
      <c r="M901" s="85" t="n"/>
      <c r="N901" s="85" t="n"/>
      <c r="O901" s="85" t="n"/>
      <c r="P901" s="85" t="n"/>
      <c r="Q901" s="85" t="n"/>
      <c r="R901" s="85" t="n"/>
      <c r="S901" s="85" t="n"/>
      <c r="T901" s="85" t="n"/>
      <c r="U901" s="85" t="n"/>
      <c r="V901" s="85" t="n"/>
      <c r="W901" s="85" t="n"/>
      <c r="X901" s="85" t="n"/>
      <c r="Y901" s="85" t="n"/>
      <c r="Z901" s="85" t="n"/>
      <c r="AA901" s="85" t="n"/>
      <c r="AB901" s="85" t="n"/>
      <c r="AC901" s="86" t="n"/>
      <c r="AD901" s="85">
        <f>IF($A901="","",IF(OR($AB901&lt;&gt;"Yes",$AC901="",TODAY()-$AC901&gt;90),"At Risk","Not At Risk"))</f>
        <v/>
      </c>
      <c r="AE901" s="85" t="n"/>
    </row>
    <row r="902" ht="15" customHeight="1" s="39">
      <c r="A902" s="85" t="n"/>
      <c r="B902" s="85" t="n"/>
      <c r="C902" s="85" t="n"/>
      <c r="D902" s="85" t="n"/>
      <c r="E902" s="85" t="n"/>
      <c r="F902" s="85" t="n"/>
      <c r="G902" s="85" t="n"/>
      <c r="H902" s="85" t="n"/>
      <c r="I902" s="85" t="n"/>
      <c r="J902" s="85" t="n"/>
      <c r="K902" s="85" t="n"/>
      <c r="L902" s="85" t="n"/>
      <c r="M902" s="85" t="n"/>
      <c r="N902" s="85" t="n"/>
      <c r="O902" s="85" t="n"/>
      <c r="P902" s="85" t="n"/>
      <c r="Q902" s="85" t="n"/>
      <c r="R902" s="85" t="n"/>
      <c r="S902" s="85" t="n"/>
      <c r="T902" s="85" t="n"/>
      <c r="U902" s="85" t="n"/>
      <c r="V902" s="85" t="n"/>
      <c r="W902" s="85" t="n"/>
      <c r="X902" s="85" t="n"/>
      <c r="Y902" s="85" t="n"/>
      <c r="Z902" s="85" t="n"/>
      <c r="AA902" s="85" t="n"/>
      <c r="AB902" s="85" t="n"/>
      <c r="AC902" s="86" t="n"/>
      <c r="AD902" s="85">
        <f>IF($A902="","",IF(OR($AB902&lt;&gt;"Yes",$AC902="",TODAY()-$AC902&gt;90),"At Risk","Not At Risk"))</f>
        <v/>
      </c>
      <c r="AE902" s="85" t="n"/>
    </row>
    <row r="903" ht="15" customHeight="1" s="39">
      <c r="A903" s="85" t="n"/>
      <c r="B903" s="85" t="n"/>
      <c r="C903" s="85" t="n"/>
      <c r="D903" s="85" t="n"/>
      <c r="E903" s="85" t="n"/>
      <c r="F903" s="85" t="n"/>
      <c r="G903" s="85" t="n"/>
      <c r="H903" s="85" t="n"/>
      <c r="I903" s="85" t="n"/>
      <c r="J903" s="85" t="n"/>
      <c r="K903" s="85" t="n"/>
      <c r="L903" s="85" t="n"/>
      <c r="M903" s="85" t="n"/>
      <c r="N903" s="85" t="n"/>
      <c r="O903" s="85" t="n"/>
      <c r="P903" s="85" t="n"/>
      <c r="Q903" s="85" t="n"/>
      <c r="R903" s="85" t="n"/>
      <c r="S903" s="85" t="n"/>
      <c r="T903" s="85" t="n"/>
      <c r="U903" s="85" t="n"/>
      <c r="V903" s="85" t="n"/>
      <c r="W903" s="85" t="n"/>
      <c r="X903" s="85" t="n"/>
      <c r="Y903" s="85" t="n"/>
      <c r="Z903" s="85" t="n"/>
      <c r="AA903" s="85" t="n"/>
      <c r="AB903" s="85" t="n"/>
      <c r="AC903" s="86" t="n"/>
      <c r="AD903" s="85">
        <f>IF($A903="","",IF(OR($AB903&lt;&gt;"Yes",$AC903="",TODAY()-$AC903&gt;90),"At Risk","Not At Risk"))</f>
        <v/>
      </c>
      <c r="AE903" s="85" t="n"/>
    </row>
    <row r="904" ht="15" customHeight="1" s="39">
      <c r="A904" s="85" t="n"/>
      <c r="B904" s="85" t="n"/>
      <c r="C904" s="85" t="n"/>
      <c r="D904" s="85" t="n"/>
      <c r="E904" s="85" t="n"/>
      <c r="F904" s="85" t="n"/>
      <c r="G904" s="85" t="n"/>
      <c r="H904" s="85" t="n"/>
      <c r="I904" s="85" t="n"/>
      <c r="J904" s="85" t="n"/>
      <c r="K904" s="85" t="n"/>
      <c r="L904" s="85" t="n"/>
      <c r="M904" s="85" t="n"/>
      <c r="N904" s="85" t="n"/>
      <c r="O904" s="85" t="n"/>
      <c r="P904" s="85" t="n"/>
      <c r="Q904" s="85" t="n"/>
      <c r="R904" s="85" t="n"/>
      <c r="S904" s="85" t="n"/>
      <c r="T904" s="85" t="n"/>
      <c r="U904" s="85" t="n"/>
      <c r="V904" s="85" t="n"/>
      <c r="W904" s="85" t="n"/>
      <c r="X904" s="85" t="n"/>
      <c r="Y904" s="85" t="n"/>
      <c r="Z904" s="85" t="n"/>
      <c r="AA904" s="85" t="n"/>
      <c r="AB904" s="85" t="n"/>
      <c r="AC904" s="86" t="n"/>
      <c r="AD904" s="85">
        <f>IF($A904="","",IF(OR($AB904&lt;&gt;"Yes",$AC904="",TODAY()-$AC904&gt;90),"At Risk","Not At Risk"))</f>
        <v/>
      </c>
      <c r="AE904" s="85" t="n"/>
    </row>
    <row r="905" ht="15" customHeight="1" s="39">
      <c r="A905" s="85" t="n"/>
      <c r="B905" s="85" t="n"/>
      <c r="C905" s="85" t="n"/>
      <c r="D905" s="85" t="n"/>
      <c r="E905" s="85" t="n"/>
      <c r="F905" s="85" t="n"/>
      <c r="G905" s="85" t="n"/>
      <c r="H905" s="85" t="n"/>
      <c r="I905" s="85" t="n"/>
      <c r="J905" s="85" t="n"/>
      <c r="K905" s="85" t="n"/>
      <c r="L905" s="85" t="n"/>
      <c r="M905" s="85" t="n"/>
      <c r="N905" s="85" t="n"/>
      <c r="O905" s="85" t="n"/>
      <c r="P905" s="85" t="n"/>
      <c r="Q905" s="85" t="n"/>
      <c r="R905" s="85" t="n"/>
      <c r="S905" s="85" t="n"/>
      <c r="T905" s="85" t="n"/>
      <c r="U905" s="85" t="n"/>
      <c r="V905" s="85" t="n"/>
      <c r="W905" s="85" t="n"/>
      <c r="X905" s="85" t="n"/>
      <c r="Y905" s="85" t="n"/>
      <c r="Z905" s="85" t="n"/>
      <c r="AA905" s="85" t="n"/>
      <c r="AB905" s="85" t="n"/>
      <c r="AC905" s="86" t="n"/>
      <c r="AD905" s="85">
        <f>IF($A905="","",IF(OR($AB905&lt;&gt;"Yes",$AC905="",TODAY()-$AC905&gt;90),"At Risk","Not At Risk"))</f>
        <v/>
      </c>
      <c r="AE905" s="85" t="n"/>
    </row>
    <row r="906" ht="15" customHeight="1" s="39">
      <c r="A906" s="85" t="n"/>
      <c r="B906" s="85" t="n"/>
      <c r="C906" s="85" t="n"/>
      <c r="D906" s="85" t="n"/>
      <c r="E906" s="85" t="n"/>
      <c r="F906" s="85" t="n"/>
      <c r="G906" s="85" t="n"/>
      <c r="H906" s="85" t="n"/>
      <c r="I906" s="85" t="n"/>
      <c r="J906" s="85" t="n"/>
      <c r="K906" s="85" t="n"/>
      <c r="L906" s="85" t="n"/>
      <c r="M906" s="85" t="n"/>
      <c r="N906" s="85" t="n"/>
      <c r="O906" s="85" t="n"/>
      <c r="P906" s="85" t="n"/>
      <c r="Q906" s="85" t="n"/>
      <c r="R906" s="85" t="n"/>
      <c r="S906" s="85" t="n"/>
      <c r="T906" s="85" t="n"/>
      <c r="U906" s="85" t="n"/>
      <c r="V906" s="85" t="n"/>
      <c r="W906" s="85" t="n"/>
      <c r="X906" s="85" t="n"/>
      <c r="Y906" s="85" t="n"/>
      <c r="Z906" s="85" t="n"/>
      <c r="AA906" s="85" t="n"/>
      <c r="AB906" s="85" t="n"/>
      <c r="AC906" s="86" t="n"/>
      <c r="AD906" s="85">
        <f>IF($A906="","",IF(OR($AB906&lt;&gt;"Yes",$AC906="",TODAY()-$AC906&gt;90),"At Risk","Not At Risk"))</f>
        <v/>
      </c>
      <c r="AE906" s="85" t="n"/>
    </row>
    <row r="907" ht="15" customHeight="1" s="39">
      <c r="A907" s="85" t="n"/>
      <c r="B907" s="85" t="n"/>
      <c r="C907" s="85" t="n"/>
      <c r="D907" s="85" t="n"/>
      <c r="E907" s="85" t="n"/>
      <c r="F907" s="85" t="n"/>
      <c r="G907" s="85" t="n"/>
      <c r="H907" s="85" t="n"/>
      <c r="I907" s="85" t="n"/>
      <c r="J907" s="85" t="n"/>
      <c r="K907" s="85" t="n"/>
      <c r="L907" s="85" t="n"/>
      <c r="M907" s="85" t="n"/>
      <c r="N907" s="85" t="n"/>
      <c r="O907" s="85" t="n"/>
      <c r="P907" s="85" t="n"/>
      <c r="Q907" s="85" t="n"/>
      <c r="R907" s="85" t="n"/>
      <c r="S907" s="85" t="n"/>
      <c r="T907" s="85" t="n"/>
      <c r="U907" s="85" t="n"/>
      <c r="V907" s="85" t="n"/>
      <c r="W907" s="85" t="n"/>
      <c r="X907" s="85" t="n"/>
      <c r="Y907" s="85" t="n"/>
      <c r="Z907" s="85" t="n"/>
      <c r="AA907" s="85" t="n"/>
      <c r="AB907" s="85" t="n"/>
      <c r="AC907" s="86" t="n"/>
      <c r="AD907" s="85">
        <f>IF($A907="","",IF(OR($AB907&lt;&gt;"Yes",$AC907="",TODAY()-$AC907&gt;90),"At Risk","Not At Risk"))</f>
        <v/>
      </c>
      <c r="AE907" s="85" t="n"/>
    </row>
    <row r="908" ht="15" customHeight="1" s="39">
      <c r="A908" s="85" t="n"/>
      <c r="B908" s="85" t="n"/>
      <c r="C908" s="85" t="n"/>
      <c r="D908" s="85" t="n"/>
      <c r="E908" s="85" t="n"/>
      <c r="F908" s="85" t="n"/>
      <c r="G908" s="85" t="n"/>
      <c r="H908" s="85" t="n"/>
      <c r="I908" s="85" t="n"/>
      <c r="J908" s="85" t="n"/>
      <c r="K908" s="85" t="n"/>
      <c r="L908" s="85" t="n"/>
      <c r="M908" s="85" t="n"/>
      <c r="N908" s="85" t="n"/>
      <c r="O908" s="85" t="n"/>
      <c r="P908" s="85" t="n"/>
      <c r="Q908" s="85" t="n"/>
      <c r="R908" s="85" t="n"/>
      <c r="S908" s="85" t="n"/>
      <c r="T908" s="85" t="n"/>
      <c r="U908" s="85" t="n"/>
      <c r="V908" s="85" t="n"/>
      <c r="W908" s="85" t="n"/>
      <c r="X908" s="85" t="n"/>
      <c r="Y908" s="85" t="n"/>
      <c r="Z908" s="85" t="n"/>
      <c r="AA908" s="85" t="n"/>
      <c r="AB908" s="85" t="n"/>
      <c r="AC908" s="86" t="n"/>
      <c r="AD908" s="85">
        <f>IF($A908="","",IF(OR($AB908&lt;&gt;"Yes",$AC908="",TODAY()-$AC908&gt;90),"At Risk","Not At Risk"))</f>
        <v/>
      </c>
      <c r="AE908" s="85" t="n"/>
    </row>
    <row r="909" ht="15" customHeight="1" s="39">
      <c r="A909" s="85" t="n"/>
      <c r="B909" s="85" t="n"/>
      <c r="C909" s="85" t="n"/>
      <c r="D909" s="85" t="n"/>
      <c r="E909" s="85" t="n"/>
      <c r="F909" s="85" t="n"/>
      <c r="G909" s="85" t="n"/>
      <c r="H909" s="85" t="n"/>
      <c r="I909" s="85" t="n"/>
      <c r="J909" s="85" t="n"/>
      <c r="K909" s="85" t="n"/>
      <c r="L909" s="85" t="n"/>
      <c r="M909" s="85" t="n"/>
      <c r="N909" s="85" t="n"/>
      <c r="O909" s="85" t="n"/>
      <c r="P909" s="85" t="n"/>
      <c r="Q909" s="85" t="n"/>
      <c r="R909" s="85" t="n"/>
      <c r="S909" s="85" t="n"/>
      <c r="T909" s="85" t="n"/>
      <c r="U909" s="85" t="n"/>
      <c r="V909" s="85" t="n"/>
      <c r="W909" s="85" t="n"/>
      <c r="X909" s="85" t="n"/>
      <c r="Y909" s="85" t="n"/>
      <c r="Z909" s="85" t="n"/>
      <c r="AA909" s="85" t="n"/>
      <c r="AB909" s="85" t="n"/>
      <c r="AC909" s="86" t="n"/>
      <c r="AD909" s="85">
        <f>IF($A909="","",IF(OR($AB909&lt;&gt;"Yes",$AC909="",TODAY()-$AC909&gt;90),"At Risk","Not At Risk"))</f>
        <v/>
      </c>
      <c r="AE909" s="85" t="n"/>
    </row>
    <row r="910" ht="15" customHeight="1" s="39">
      <c r="A910" s="85" t="n"/>
      <c r="B910" s="85" t="n"/>
      <c r="C910" s="85" t="n"/>
      <c r="D910" s="85" t="n"/>
      <c r="E910" s="85" t="n"/>
      <c r="F910" s="85" t="n"/>
      <c r="G910" s="85" t="n"/>
      <c r="H910" s="85" t="n"/>
      <c r="I910" s="85" t="n"/>
      <c r="J910" s="85" t="n"/>
      <c r="K910" s="85" t="n"/>
      <c r="L910" s="85" t="n"/>
      <c r="M910" s="85" t="n"/>
      <c r="N910" s="85" t="n"/>
      <c r="O910" s="85" t="n"/>
      <c r="P910" s="85" t="n"/>
      <c r="Q910" s="85" t="n"/>
      <c r="R910" s="85" t="n"/>
      <c r="S910" s="85" t="n"/>
      <c r="T910" s="85" t="n"/>
      <c r="U910" s="85" t="n"/>
      <c r="V910" s="85" t="n"/>
      <c r="W910" s="85" t="n"/>
      <c r="X910" s="85" t="n"/>
      <c r="Y910" s="85" t="n"/>
      <c r="Z910" s="85" t="n"/>
      <c r="AA910" s="85" t="n"/>
      <c r="AB910" s="85" t="n"/>
      <c r="AC910" s="86" t="n"/>
      <c r="AD910" s="85">
        <f>IF($A910="","",IF(OR($AB910&lt;&gt;"Yes",$AC910="",TODAY()-$AC910&gt;90),"At Risk","Not At Risk"))</f>
        <v/>
      </c>
      <c r="AE910" s="85" t="n"/>
    </row>
    <row r="911" ht="15" customHeight="1" s="39">
      <c r="A911" s="85" t="n"/>
      <c r="B911" s="85" t="n"/>
      <c r="C911" s="85" t="n"/>
      <c r="D911" s="85" t="n"/>
      <c r="E911" s="85" t="n"/>
      <c r="F911" s="85" t="n"/>
      <c r="G911" s="85" t="n"/>
      <c r="H911" s="85" t="n"/>
      <c r="I911" s="85" t="n"/>
      <c r="J911" s="85" t="n"/>
      <c r="K911" s="85" t="n"/>
      <c r="L911" s="85" t="n"/>
      <c r="M911" s="85" t="n"/>
      <c r="N911" s="85" t="n"/>
      <c r="O911" s="85" t="n"/>
      <c r="P911" s="85" t="n"/>
      <c r="Q911" s="85" t="n"/>
      <c r="R911" s="85" t="n"/>
      <c r="S911" s="85" t="n"/>
      <c r="T911" s="85" t="n"/>
      <c r="U911" s="85" t="n"/>
      <c r="V911" s="85" t="n"/>
      <c r="W911" s="85" t="n"/>
      <c r="X911" s="85" t="n"/>
      <c r="Y911" s="85" t="n"/>
      <c r="Z911" s="85" t="n"/>
      <c r="AA911" s="85" t="n"/>
      <c r="AB911" s="85" t="n"/>
      <c r="AC911" s="86" t="n"/>
      <c r="AD911" s="85">
        <f>IF($A911="","",IF(OR($AB911&lt;&gt;"Yes",$AC911="",TODAY()-$AC911&gt;90),"At Risk","Not At Risk"))</f>
        <v/>
      </c>
      <c r="AE911" s="85" t="n"/>
    </row>
    <row r="912" ht="15" customHeight="1" s="39">
      <c r="A912" s="85" t="n"/>
      <c r="B912" s="85" t="n"/>
      <c r="C912" s="85" t="n"/>
      <c r="D912" s="85" t="n"/>
      <c r="E912" s="85" t="n"/>
      <c r="F912" s="85" t="n"/>
      <c r="G912" s="85" t="n"/>
      <c r="H912" s="85" t="n"/>
      <c r="I912" s="85" t="n"/>
      <c r="J912" s="85" t="n"/>
      <c r="K912" s="85" t="n"/>
      <c r="L912" s="85" t="n"/>
      <c r="M912" s="85" t="n"/>
      <c r="N912" s="85" t="n"/>
      <c r="O912" s="85" t="n"/>
      <c r="P912" s="85" t="n"/>
      <c r="Q912" s="85" t="n"/>
      <c r="R912" s="85" t="n"/>
      <c r="S912" s="85" t="n"/>
      <c r="T912" s="85" t="n"/>
      <c r="U912" s="85" t="n"/>
      <c r="V912" s="85" t="n"/>
      <c r="W912" s="85" t="n"/>
      <c r="X912" s="85" t="n"/>
      <c r="Y912" s="85" t="n"/>
      <c r="Z912" s="85" t="n"/>
      <c r="AA912" s="85" t="n"/>
      <c r="AB912" s="85" t="n"/>
      <c r="AC912" s="86" t="n"/>
      <c r="AD912" s="85">
        <f>IF($A912="","",IF(OR($AB912&lt;&gt;"Yes",$AC912="",TODAY()-$AC912&gt;90),"At Risk","Not At Risk"))</f>
        <v/>
      </c>
      <c r="AE912" s="85" t="n"/>
    </row>
    <row r="913" ht="15" customHeight="1" s="39">
      <c r="A913" s="85" t="n"/>
      <c r="B913" s="85" t="n"/>
      <c r="C913" s="85" t="n"/>
      <c r="D913" s="85" t="n"/>
      <c r="E913" s="85" t="n"/>
      <c r="F913" s="85" t="n"/>
      <c r="G913" s="85" t="n"/>
      <c r="H913" s="85" t="n"/>
      <c r="I913" s="85" t="n"/>
      <c r="J913" s="85" t="n"/>
      <c r="K913" s="85" t="n"/>
      <c r="L913" s="85" t="n"/>
      <c r="M913" s="85" t="n"/>
      <c r="N913" s="85" t="n"/>
      <c r="O913" s="85" t="n"/>
      <c r="P913" s="85" t="n"/>
      <c r="Q913" s="85" t="n"/>
      <c r="R913" s="85" t="n"/>
      <c r="S913" s="85" t="n"/>
      <c r="T913" s="85" t="n"/>
      <c r="U913" s="85" t="n"/>
      <c r="V913" s="85" t="n"/>
      <c r="W913" s="85" t="n"/>
      <c r="X913" s="85" t="n"/>
      <c r="Y913" s="85" t="n"/>
      <c r="Z913" s="85" t="n"/>
      <c r="AA913" s="85" t="n"/>
      <c r="AB913" s="85" t="n"/>
      <c r="AC913" s="86" t="n"/>
      <c r="AD913" s="85">
        <f>IF($A913="","",IF(OR($AB913&lt;&gt;"Yes",$AC913="",TODAY()-$AC913&gt;90),"At Risk","Not At Risk"))</f>
        <v/>
      </c>
      <c r="AE913" s="85" t="n"/>
    </row>
    <row r="914" ht="15" customHeight="1" s="39">
      <c r="A914" s="85" t="n"/>
      <c r="B914" s="85" t="n"/>
      <c r="C914" s="85" t="n"/>
      <c r="D914" s="85" t="n"/>
      <c r="E914" s="85" t="n"/>
      <c r="F914" s="85" t="n"/>
      <c r="G914" s="85" t="n"/>
      <c r="H914" s="85" t="n"/>
      <c r="I914" s="85" t="n"/>
      <c r="J914" s="85" t="n"/>
      <c r="K914" s="85" t="n"/>
      <c r="L914" s="85" t="n"/>
      <c r="M914" s="85" t="n"/>
      <c r="N914" s="85" t="n"/>
      <c r="O914" s="85" t="n"/>
      <c r="P914" s="85" t="n"/>
      <c r="Q914" s="85" t="n"/>
      <c r="R914" s="85" t="n"/>
      <c r="S914" s="85" t="n"/>
      <c r="T914" s="85" t="n"/>
      <c r="U914" s="85" t="n"/>
      <c r="V914" s="85" t="n"/>
      <c r="W914" s="85" t="n"/>
      <c r="X914" s="85" t="n"/>
      <c r="Y914" s="85" t="n"/>
      <c r="Z914" s="85" t="n"/>
      <c r="AA914" s="85" t="n"/>
      <c r="AB914" s="85" t="n"/>
      <c r="AC914" s="86" t="n"/>
      <c r="AD914" s="85">
        <f>IF($A914="","",IF(OR($AB914&lt;&gt;"Yes",$AC914="",TODAY()-$AC914&gt;90),"At Risk","Not At Risk"))</f>
        <v/>
      </c>
      <c r="AE914" s="85" t="n"/>
    </row>
    <row r="915" ht="15" customHeight="1" s="39">
      <c r="A915" s="85" t="n"/>
      <c r="B915" s="85" t="n"/>
      <c r="C915" s="85" t="n"/>
      <c r="D915" s="85" t="n"/>
      <c r="E915" s="85" t="n"/>
      <c r="F915" s="85" t="n"/>
      <c r="G915" s="85" t="n"/>
      <c r="H915" s="85" t="n"/>
      <c r="I915" s="85" t="n"/>
      <c r="J915" s="85" t="n"/>
      <c r="K915" s="85" t="n"/>
      <c r="L915" s="85" t="n"/>
      <c r="M915" s="85" t="n"/>
      <c r="N915" s="85" t="n"/>
      <c r="O915" s="85" t="n"/>
      <c r="P915" s="85" t="n"/>
      <c r="Q915" s="85" t="n"/>
      <c r="R915" s="85" t="n"/>
      <c r="S915" s="85" t="n"/>
      <c r="T915" s="85" t="n"/>
      <c r="U915" s="85" t="n"/>
      <c r="V915" s="85" t="n"/>
      <c r="W915" s="85" t="n"/>
      <c r="X915" s="85" t="n"/>
      <c r="Y915" s="85" t="n"/>
      <c r="Z915" s="85" t="n"/>
      <c r="AA915" s="85" t="n"/>
      <c r="AB915" s="85" t="n"/>
      <c r="AC915" s="86" t="n"/>
      <c r="AD915" s="85">
        <f>IF($A915="","",IF(OR($AB915&lt;&gt;"Yes",$AC915="",TODAY()-$AC915&gt;90),"At Risk","Not At Risk"))</f>
        <v/>
      </c>
      <c r="AE915" s="85" t="n"/>
    </row>
    <row r="916" ht="15" customHeight="1" s="39">
      <c r="A916" s="85" t="n"/>
      <c r="B916" s="85" t="n"/>
      <c r="C916" s="85" t="n"/>
      <c r="D916" s="85" t="n"/>
      <c r="E916" s="85" t="n"/>
      <c r="F916" s="85" t="n"/>
      <c r="G916" s="85" t="n"/>
      <c r="H916" s="85" t="n"/>
      <c r="I916" s="85" t="n"/>
      <c r="J916" s="85" t="n"/>
      <c r="K916" s="85" t="n"/>
      <c r="L916" s="85" t="n"/>
      <c r="M916" s="85" t="n"/>
      <c r="N916" s="85" t="n"/>
      <c r="O916" s="85" t="n"/>
      <c r="P916" s="85" t="n"/>
      <c r="Q916" s="85" t="n"/>
      <c r="R916" s="85" t="n"/>
      <c r="S916" s="85" t="n"/>
      <c r="T916" s="85" t="n"/>
      <c r="U916" s="85" t="n"/>
      <c r="V916" s="85" t="n"/>
      <c r="W916" s="85" t="n"/>
      <c r="X916" s="85" t="n"/>
      <c r="Y916" s="85" t="n"/>
      <c r="Z916" s="85" t="n"/>
      <c r="AA916" s="85" t="n"/>
      <c r="AB916" s="85" t="n"/>
      <c r="AC916" s="86" t="n"/>
      <c r="AD916" s="85">
        <f>IF($A916="","",IF(OR($AB916&lt;&gt;"Yes",$AC916="",TODAY()-$AC916&gt;90),"At Risk","Not At Risk"))</f>
        <v/>
      </c>
      <c r="AE916" s="85" t="n"/>
    </row>
    <row r="917" ht="15" customHeight="1" s="39">
      <c r="A917" s="85" t="n"/>
      <c r="B917" s="85" t="n"/>
      <c r="C917" s="85" t="n"/>
      <c r="D917" s="85" t="n"/>
      <c r="E917" s="85" t="n"/>
      <c r="F917" s="85" t="n"/>
      <c r="G917" s="85" t="n"/>
      <c r="H917" s="85" t="n"/>
      <c r="I917" s="85" t="n"/>
      <c r="J917" s="85" t="n"/>
      <c r="K917" s="85" t="n"/>
      <c r="L917" s="85" t="n"/>
      <c r="M917" s="85" t="n"/>
      <c r="N917" s="85" t="n"/>
      <c r="O917" s="85" t="n"/>
      <c r="P917" s="85" t="n"/>
      <c r="Q917" s="85" t="n"/>
      <c r="R917" s="85" t="n"/>
      <c r="S917" s="85" t="n"/>
      <c r="T917" s="85" t="n"/>
      <c r="U917" s="85" t="n"/>
      <c r="V917" s="85" t="n"/>
      <c r="W917" s="85" t="n"/>
      <c r="X917" s="85" t="n"/>
      <c r="Y917" s="85" t="n"/>
      <c r="Z917" s="85" t="n"/>
      <c r="AA917" s="85" t="n"/>
      <c r="AB917" s="85" t="n"/>
      <c r="AC917" s="86" t="n"/>
      <c r="AD917" s="85">
        <f>IF($A917="","",IF(OR($AB917&lt;&gt;"Yes",$AC917="",TODAY()-$AC917&gt;90),"At Risk","Not At Risk"))</f>
        <v/>
      </c>
      <c r="AE917" s="85" t="n"/>
    </row>
    <row r="918" ht="15" customHeight="1" s="39">
      <c r="A918" s="85" t="n"/>
      <c r="B918" s="85" t="n"/>
      <c r="C918" s="85" t="n"/>
      <c r="D918" s="85" t="n"/>
      <c r="E918" s="85" t="n"/>
      <c r="F918" s="85" t="n"/>
      <c r="G918" s="85" t="n"/>
      <c r="H918" s="85" t="n"/>
      <c r="I918" s="85" t="n"/>
      <c r="J918" s="85" t="n"/>
      <c r="K918" s="85" t="n"/>
      <c r="L918" s="85" t="n"/>
      <c r="M918" s="85" t="n"/>
      <c r="N918" s="85" t="n"/>
      <c r="O918" s="85" t="n"/>
      <c r="P918" s="85" t="n"/>
      <c r="Q918" s="85" t="n"/>
      <c r="R918" s="85" t="n"/>
      <c r="S918" s="85" t="n"/>
      <c r="T918" s="85" t="n"/>
      <c r="U918" s="85" t="n"/>
      <c r="V918" s="85" t="n"/>
      <c r="W918" s="85" t="n"/>
      <c r="X918" s="85" t="n"/>
      <c r="Y918" s="85" t="n"/>
      <c r="Z918" s="85" t="n"/>
      <c r="AA918" s="85" t="n"/>
      <c r="AB918" s="85" t="n"/>
      <c r="AC918" s="86" t="n"/>
      <c r="AD918" s="85">
        <f>IF($A918="","",IF(OR($AB918&lt;&gt;"Yes",$AC918="",TODAY()-$AC918&gt;90),"At Risk","Not At Risk"))</f>
        <v/>
      </c>
      <c r="AE918" s="85" t="n"/>
    </row>
    <row r="919" ht="15" customHeight="1" s="39">
      <c r="A919" s="85" t="n"/>
      <c r="B919" s="85" t="n"/>
      <c r="C919" s="85" t="n"/>
      <c r="D919" s="85" t="n"/>
      <c r="E919" s="85" t="n"/>
      <c r="F919" s="85" t="n"/>
      <c r="G919" s="85" t="n"/>
      <c r="H919" s="85" t="n"/>
      <c r="I919" s="85" t="n"/>
      <c r="J919" s="85" t="n"/>
      <c r="K919" s="85" t="n"/>
      <c r="L919" s="85" t="n"/>
      <c r="M919" s="85" t="n"/>
      <c r="N919" s="85" t="n"/>
      <c r="O919" s="85" t="n"/>
      <c r="P919" s="85" t="n"/>
      <c r="Q919" s="85" t="n"/>
      <c r="R919" s="85" t="n"/>
      <c r="S919" s="85" t="n"/>
      <c r="T919" s="85" t="n"/>
      <c r="U919" s="85" t="n"/>
      <c r="V919" s="85" t="n"/>
      <c r="W919" s="85" t="n"/>
      <c r="X919" s="85" t="n"/>
      <c r="Y919" s="85" t="n"/>
      <c r="Z919" s="85" t="n"/>
      <c r="AA919" s="85" t="n"/>
      <c r="AB919" s="85" t="n"/>
      <c r="AC919" s="86" t="n"/>
      <c r="AD919" s="85">
        <f>IF($A919="","",IF(OR($AB919&lt;&gt;"Yes",$AC919="",TODAY()-$AC919&gt;90),"At Risk","Not At Risk"))</f>
        <v/>
      </c>
      <c r="AE919" s="85" t="n"/>
    </row>
    <row r="920" ht="15" customHeight="1" s="39">
      <c r="A920" s="85" t="n"/>
      <c r="B920" s="85" t="n"/>
      <c r="C920" s="85" t="n"/>
      <c r="D920" s="85" t="n"/>
      <c r="E920" s="85" t="n"/>
      <c r="F920" s="85" t="n"/>
      <c r="G920" s="85" t="n"/>
      <c r="H920" s="85" t="n"/>
      <c r="I920" s="85" t="n"/>
      <c r="J920" s="85" t="n"/>
      <c r="K920" s="85" t="n"/>
      <c r="L920" s="85" t="n"/>
      <c r="M920" s="85" t="n"/>
      <c r="N920" s="85" t="n"/>
      <c r="O920" s="85" t="n"/>
      <c r="P920" s="85" t="n"/>
      <c r="Q920" s="85" t="n"/>
      <c r="R920" s="85" t="n"/>
      <c r="S920" s="85" t="n"/>
      <c r="T920" s="85" t="n"/>
      <c r="U920" s="85" t="n"/>
      <c r="V920" s="85" t="n"/>
      <c r="W920" s="85" t="n"/>
      <c r="X920" s="85" t="n"/>
      <c r="Y920" s="85" t="n"/>
      <c r="Z920" s="85" t="n"/>
      <c r="AA920" s="85" t="n"/>
      <c r="AB920" s="85" t="n"/>
      <c r="AC920" s="86" t="n"/>
      <c r="AD920" s="85">
        <f>IF($A920="","",IF(OR($AB920&lt;&gt;"Yes",$AC920="",TODAY()-$AC920&gt;90),"At Risk","Not At Risk"))</f>
        <v/>
      </c>
      <c r="AE920" s="85" t="n"/>
    </row>
    <row r="921" ht="15" customHeight="1" s="39">
      <c r="A921" s="85" t="n"/>
      <c r="B921" s="85" t="n"/>
      <c r="C921" s="85" t="n"/>
      <c r="D921" s="85" t="n"/>
      <c r="E921" s="85" t="n"/>
      <c r="F921" s="85" t="n"/>
      <c r="G921" s="85" t="n"/>
      <c r="H921" s="85" t="n"/>
      <c r="I921" s="85" t="n"/>
      <c r="J921" s="85" t="n"/>
      <c r="K921" s="85" t="n"/>
      <c r="L921" s="85" t="n"/>
      <c r="M921" s="85" t="n"/>
      <c r="N921" s="85" t="n"/>
      <c r="O921" s="85" t="n"/>
      <c r="P921" s="85" t="n"/>
      <c r="Q921" s="85" t="n"/>
      <c r="R921" s="85" t="n"/>
      <c r="S921" s="85" t="n"/>
      <c r="T921" s="85" t="n"/>
      <c r="U921" s="85" t="n"/>
      <c r="V921" s="85" t="n"/>
      <c r="W921" s="85" t="n"/>
      <c r="X921" s="85" t="n"/>
      <c r="Y921" s="85" t="n"/>
      <c r="Z921" s="85" t="n"/>
      <c r="AA921" s="85" t="n"/>
      <c r="AB921" s="85" t="n"/>
      <c r="AC921" s="86" t="n"/>
      <c r="AD921" s="85">
        <f>IF($A921="","",IF(OR($AB921&lt;&gt;"Yes",$AC921="",TODAY()-$AC921&gt;90),"At Risk","Not At Risk"))</f>
        <v/>
      </c>
      <c r="AE921" s="85" t="n"/>
    </row>
    <row r="922" ht="15" customHeight="1" s="39">
      <c r="A922" s="85" t="n"/>
      <c r="B922" s="85" t="n"/>
      <c r="C922" s="85" t="n"/>
      <c r="D922" s="85" t="n"/>
      <c r="E922" s="85" t="n"/>
      <c r="F922" s="85" t="n"/>
      <c r="G922" s="85" t="n"/>
      <c r="H922" s="85" t="n"/>
      <c r="I922" s="85" t="n"/>
      <c r="J922" s="85" t="n"/>
      <c r="K922" s="85" t="n"/>
      <c r="L922" s="85" t="n"/>
      <c r="M922" s="85" t="n"/>
      <c r="N922" s="85" t="n"/>
      <c r="O922" s="85" t="n"/>
      <c r="P922" s="85" t="n"/>
      <c r="Q922" s="85" t="n"/>
      <c r="R922" s="85" t="n"/>
      <c r="S922" s="85" t="n"/>
      <c r="T922" s="85" t="n"/>
      <c r="U922" s="85" t="n"/>
      <c r="V922" s="85" t="n"/>
      <c r="W922" s="85" t="n"/>
      <c r="X922" s="85" t="n"/>
      <c r="Y922" s="85" t="n"/>
      <c r="Z922" s="85" t="n"/>
      <c r="AA922" s="85" t="n"/>
      <c r="AB922" s="85" t="n"/>
      <c r="AC922" s="86" t="n"/>
      <c r="AD922" s="85">
        <f>IF($A922="","",IF(OR($AB922&lt;&gt;"Yes",$AC922="",TODAY()-$AC922&gt;90),"At Risk","Not At Risk"))</f>
        <v/>
      </c>
      <c r="AE922" s="85" t="n"/>
    </row>
    <row r="923" ht="15" customHeight="1" s="39">
      <c r="A923" s="85" t="n"/>
      <c r="B923" s="85" t="n"/>
      <c r="C923" s="85" t="n"/>
      <c r="D923" s="85" t="n"/>
      <c r="E923" s="85" t="n"/>
      <c r="F923" s="85" t="n"/>
      <c r="G923" s="85" t="n"/>
      <c r="H923" s="85" t="n"/>
      <c r="I923" s="85" t="n"/>
      <c r="J923" s="85" t="n"/>
      <c r="K923" s="85" t="n"/>
      <c r="L923" s="85" t="n"/>
      <c r="M923" s="85" t="n"/>
      <c r="N923" s="85" t="n"/>
      <c r="O923" s="85" t="n"/>
      <c r="P923" s="85" t="n"/>
      <c r="Q923" s="85" t="n"/>
      <c r="R923" s="85" t="n"/>
      <c r="S923" s="85" t="n"/>
      <c r="T923" s="85" t="n"/>
      <c r="U923" s="85" t="n"/>
      <c r="V923" s="85" t="n"/>
      <c r="W923" s="85" t="n"/>
      <c r="X923" s="85" t="n"/>
      <c r="Y923" s="85" t="n"/>
      <c r="Z923" s="85" t="n"/>
      <c r="AA923" s="85" t="n"/>
      <c r="AB923" s="85" t="n"/>
      <c r="AC923" s="86" t="n"/>
      <c r="AD923" s="85">
        <f>IF($A923="","",IF(OR($AB923&lt;&gt;"Yes",$AC923="",TODAY()-$AC923&gt;90),"At Risk","Not At Risk"))</f>
        <v/>
      </c>
      <c r="AE923" s="85" t="n"/>
    </row>
    <row r="924" ht="15" customHeight="1" s="39">
      <c r="A924" s="85" t="n"/>
      <c r="B924" s="85" t="n"/>
      <c r="C924" s="85" t="n"/>
      <c r="D924" s="85" t="n"/>
      <c r="E924" s="85" t="n"/>
      <c r="F924" s="85" t="n"/>
      <c r="G924" s="85" t="n"/>
      <c r="H924" s="85" t="n"/>
      <c r="I924" s="85" t="n"/>
      <c r="J924" s="85" t="n"/>
      <c r="K924" s="85" t="n"/>
      <c r="L924" s="85" t="n"/>
      <c r="M924" s="85" t="n"/>
      <c r="N924" s="85" t="n"/>
      <c r="O924" s="85" t="n"/>
      <c r="P924" s="85" t="n"/>
      <c r="Q924" s="85" t="n"/>
      <c r="R924" s="85" t="n"/>
      <c r="S924" s="85" t="n"/>
      <c r="T924" s="85" t="n"/>
      <c r="U924" s="85" t="n"/>
      <c r="V924" s="85" t="n"/>
      <c r="W924" s="85" t="n"/>
      <c r="X924" s="85" t="n"/>
      <c r="Y924" s="85" t="n"/>
      <c r="Z924" s="85" t="n"/>
      <c r="AA924" s="85" t="n"/>
      <c r="AB924" s="85" t="n"/>
      <c r="AC924" s="86" t="n"/>
      <c r="AD924" s="85">
        <f>IF($A924="","",IF(OR($AB924&lt;&gt;"Yes",$AC924="",TODAY()-$AC924&gt;90),"At Risk","Not At Risk"))</f>
        <v/>
      </c>
      <c r="AE924" s="85" t="n"/>
    </row>
    <row r="925" ht="15" customHeight="1" s="39">
      <c r="A925" s="85" t="n"/>
      <c r="B925" s="85" t="n"/>
      <c r="C925" s="85" t="n"/>
      <c r="D925" s="85" t="n"/>
      <c r="E925" s="85" t="n"/>
      <c r="F925" s="85" t="n"/>
      <c r="G925" s="85" t="n"/>
      <c r="H925" s="85" t="n"/>
      <c r="I925" s="85" t="n"/>
      <c r="J925" s="85" t="n"/>
      <c r="K925" s="85" t="n"/>
      <c r="L925" s="85" t="n"/>
      <c r="M925" s="85" t="n"/>
      <c r="N925" s="85" t="n"/>
      <c r="O925" s="85" t="n"/>
      <c r="P925" s="85" t="n"/>
      <c r="Q925" s="85" t="n"/>
      <c r="R925" s="85" t="n"/>
      <c r="S925" s="85" t="n"/>
      <c r="T925" s="85" t="n"/>
      <c r="U925" s="85" t="n"/>
      <c r="V925" s="85" t="n"/>
      <c r="W925" s="85" t="n"/>
      <c r="X925" s="85" t="n"/>
      <c r="Y925" s="85" t="n"/>
      <c r="Z925" s="85" t="n"/>
      <c r="AA925" s="85" t="n"/>
      <c r="AB925" s="85" t="n"/>
      <c r="AC925" s="86" t="n"/>
      <c r="AD925" s="85">
        <f>IF($A925="","",IF(OR($AB925&lt;&gt;"Yes",$AC925="",TODAY()-$AC925&gt;90),"At Risk","Not At Risk"))</f>
        <v/>
      </c>
      <c r="AE925" s="85" t="n"/>
    </row>
    <row r="926" ht="15" customHeight="1" s="39">
      <c r="A926" s="85" t="n"/>
      <c r="B926" s="85" t="n"/>
      <c r="C926" s="85" t="n"/>
      <c r="D926" s="85" t="n"/>
      <c r="E926" s="85" t="n"/>
      <c r="F926" s="85" t="n"/>
      <c r="G926" s="85" t="n"/>
      <c r="H926" s="85" t="n"/>
      <c r="I926" s="85" t="n"/>
      <c r="J926" s="85" t="n"/>
      <c r="K926" s="85" t="n"/>
      <c r="L926" s="85" t="n"/>
      <c r="M926" s="85" t="n"/>
      <c r="N926" s="85" t="n"/>
      <c r="O926" s="85" t="n"/>
      <c r="P926" s="85" t="n"/>
      <c r="Q926" s="85" t="n"/>
      <c r="R926" s="85" t="n"/>
      <c r="S926" s="85" t="n"/>
      <c r="T926" s="85" t="n"/>
      <c r="U926" s="85" t="n"/>
      <c r="V926" s="85" t="n"/>
      <c r="W926" s="85" t="n"/>
      <c r="X926" s="85" t="n"/>
      <c r="Y926" s="85" t="n"/>
      <c r="Z926" s="85" t="n"/>
      <c r="AA926" s="85" t="n"/>
      <c r="AB926" s="85" t="n"/>
      <c r="AC926" s="86" t="n"/>
      <c r="AD926" s="85">
        <f>IF($A926="","",IF(OR($AB926&lt;&gt;"Yes",$AC926="",TODAY()-$AC926&gt;90),"At Risk","Not At Risk"))</f>
        <v/>
      </c>
      <c r="AE926" s="85" t="n"/>
    </row>
    <row r="927" ht="15" customHeight="1" s="39">
      <c r="A927" s="85" t="n"/>
      <c r="B927" s="85" t="n"/>
      <c r="C927" s="85" t="n"/>
      <c r="D927" s="85" t="n"/>
      <c r="E927" s="85" t="n"/>
      <c r="F927" s="85" t="n"/>
      <c r="G927" s="85" t="n"/>
      <c r="H927" s="85" t="n"/>
      <c r="I927" s="85" t="n"/>
      <c r="J927" s="85" t="n"/>
      <c r="K927" s="85" t="n"/>
      <c r="L927" s="85" t="n"/>
      <c r="M927" s="85" t="n"/>
      <c r="N927" s="85" t="n"/>
      <c r="O927" s="85" t="n"/>
      <c r="P927" s="85" t="n"/>
      <c r="Q927" s="85" t="n"/>
      <c r="R927" s="85" t="n"/>
      <c r="S927" s="85" t="n"/>
      <c r="T927" s="85" t="n"/>
      <c r="U927" s="85" t="n"/>
      <c r="V927" s="85" t="n"/>
      <c r="W927" s="85" t="n"/>
      <c r="X927" s="85" t="n"/>
      <c r="Y927" s="85" t="n"/>
      <c r="Z927" s="85" t="n"/>
      <c r="AA927" s="85" t="n"/>
      <c r="AB927" s="85" t="n"/>
      <c r="AC927" s="86" t="n"/>
      <c r="AD927" s="85">
        <f>IF($A927="","",IF(OR($AB927&lt;&gt;"Yes",$AC927="",TODAY()-$AC927&gt;90),"At Risk","Not At Risk"))</f>
        <v/>
      </c>
      <c r="AE927" s="85" t="n"/>
    </row>
    <row r="928" ht="15" customHeight="1" s="39">
      <c r="A928" s="85" t="n"/>
      <c r="B928" s="85" t="n"/>
      <c r="C928" s="85" t="n"/>
      <c r="D928" s="85" t="n"/>
      <c r="E928" s="85" t="n"/>
      <c r="F928" s="85" t="n"/>
      <c r="G928" s="85" t="n"/>
      <c r="H928" s="85" t="n"/>
      <c r="I928" s="85" t="n"/>
      <c r="J928" s="85" t="n"/>
      <c r="K928" s="85" t="n"/>
      <c r="L928" s="85" t="n"/>
      <c r="M928" s="85" t="n"/>
      <c r="N928" s="85" t="n"/>
      <c r="O928" s="85" t="n"/>
      <c r="P928" s="85" t="n"/>
      <c r="Q928" s="85" t="n"/>
      <c r="R928" s="85" t="n"/>
      <c r="S928" s="85" t="n"/>
      <c r="T928" s="85" t="n"/>
      <c r="U928" s="85" t="n"/>
      <c r="V928" s="85" t="n"/>
      <c r="W928" s="85" t="n"/>
      <c r="X928" s="85" t="n"/>
      <c r="Y928" s="85" t="n"/>
      <c r="Z928" s="85" t="n"/>
      <c r="AA928" s="85" t="n"/>
      <c r="AB928" s="85" t="n"/>
      <c r="AC928" s="86" t="n"/>
      <c r="AD928" s="85">
        <f>IF($A928="","",IF(OR($AB928&lt;&gt;"Yes",$AC928="",TODAY()-$AC928&gt;90),"At Risk","Not At Risk"))</f>
        <v/>
      </c>
      <c r="AE928" s="85" t="n"/>
    </row>
    <row r="929" ht="15" customHeight="1" s="39">
      <c r="A929" s="85" t="n"/>
      <c r="B929" s="85" t="n"/>
      <c r="C929" s="85" t="n"/>
      <c r="D929" s="85" t="n"/>
      <c r="E929" s="85" t="n"/>
      <c r="F929" s="85" t="n"/>
      <c r="G929" s="85" t="n"/>
      <c r="H929" s="85" t="n"/>
      <c r="I929" s="85" t="n"/>
      <c r="J929" s="85" t="n"/>
      <c r="K929" s="85" t="n"/>
      <c r="L929" s="85" t="n"/>
      <c r="M929" s="85" t="n"/>
      <c r="N929" s="85" t="n"/>
      <c r="O929" s="85" t="n"/>
      <c r="P929" s="85" t="n"/>
      <c r="Q929" s="85" t="n"/>
      <c r="R929" s="85" t="n"/>
      <c r="S929" s="85" t="n"/>
      <c r="T929" s="85" t="n"/>
      <c r="U929" s="85" t="n"/>
      <c r="V929" s="85" t="n"/>
      <c r="W929" s="85" t="n"/>
      <c r="X929" s="85" t="n"/>
      <c r="Y929" s="85" t="n"/>
      <c r="Z929" s="85" t="n"/>
      <c r="AA929" s="85" t="n"/>
      <c r="AB929" s="85" t="n"/>
      <c r="AC929" s="86" t="n"/>
      <c r="AD929" s="85">
        <f>IF($A929="","",IF(OR($AB929&lt;&gt;"Yes",$AC929="",TODAY()-$AC929&gt;90),"At Risk","Not At Risk"))</f>
        <v/>
      </c>
      <c r="AE929" s="85" t="n"/>
    </row>
    <row r="930" ht="15" customHeight="1" s="39">
      <c r="A930" s="85" t="n"/>
      <c r="B930" s="85" t="n"/>
      <c r="C930" s="85" t="n"/>
      <c r="D930" s="85" t="n"/>
      <c r="E930" s="85" t="n"/>
      <c r="F930" s="85" t="n"/>
      <c r="G930" s="85" t="n"/>
      <c r="H930" s="85" t="n"/>
      <c r="I930" s="85" t="n"/>
      <c r="J930" s="85" t="n"/>
      <c r="K930" s="85" t="n"/>
      <c r="L930" s="85" t="n"/>
      <c r="M930" s="85" t="n"/>
      <c r="N930" s="85" t="n"/>
      <c r="O930" s="85" t="n"/>
      <c r="P930" s="85" t="n"/>
      <c r="Q930" s="85" t="n"/>
      <c r="R930" s="85" t="n"/>
      <c r="S930" s="85" t="n"/>
      <c r="T930" s="85" t="n"/>
      <c r="U930" s="85" t="n"/>
      <c r="V930" s="85" t="n"/>
      <c r="W930" s="85" t="n"/>
      <c r="X930" s="85" t="n"/>
      <c r="Y930" s="85" t="n"/>
      <c r="Z930" s="85" t="n"/>
      <c r="AA930" s="85" t="n"/>
      <c r="AB930" s="85" t="n"/>
      <c r="AC930" s="86" t="n"/>
      <c r="AD930" s="85">
        <f>IF($A930="","",IF(OR($AB930&lt;&gt;"Yes",$AC930="",TODAY()-$AC930&gt;90),"At Risk","Not At Risk"))</f>
        <v/>
      </c>
      <c r="AE930" s="85" t="n"/>
    </row>
    <row r="931" ht="15" customHeight="1" s="39">
      <c r="A931" s="85" t="n"/>
      <c r="B931" s="85" t="n"/>
      <c r="C931" s="85" t="n"/>
      <c r="D931" s="85" t="n"/>
      <c r="E931" s="85" t="n"/>
      <c r="F931" s="85" t="n"/>
      <c r="G931" s="85" t="n"/>
      <c r="H931" s="85" t="n"/>
      <c r="I931" s="85" t="n"/>
      <c r="J931" s="85" t="n"/>
      <c r="K931" s="85" t="n"/>
      <c r="L931" s="85" t="n"/>
      <c r="M931" s="85" t="n"/>
      <c r="N931" s="85" t="n"/>
      <c r="O931" s="85" t="n"/>
      <c r="P931" s="85" t="n"/>
      <c r="Q931" s="85" t="n"/>
      <c r="R931" s="85" t="n"/>
      <c r="S931" s="85" t="n"/>
      <c r="T931" s="85" t="n"/>
      <c r="U931" s="85" t="n"/>
      <c r="V931" s="85" t="n"/>
      <c r="W931" s="85" t="n"/>
      <c r="X931" s="85" t="n"/>
      <c r="Y931" s="85" t="n"/>
      <c r="Z931" s="85" t="n"/>
      <c r="AA931" s="85" t="n"/>
      <c r="AB931" s="85" t="n"/>
      <c r="AC931" s="86" t="n"/>
      <c r="AD931" s="85">
        <f>IF($A931="","",IF(OR($AB931&lt;&gt;"Yes",$AC931="",TODAY()-$AC931&gt;90),"At Risk","Not At Risk"))</f>
        <v/>
      </c>
      <c r="AE931" s="85" t="n"/>
    </row>
    <row r="932" ht="15" customHeight="1" s="39">
      <c r="A932" s="85" t="n"/>
      <c r="B932" s="85" t="n"/>
      <c r="C932" s="85" t="n"/>
      <c r="D932" s="85" t="n"/>
      <c r="E932" s="85" t="n"/>
      <c r="F932" s="85" t="n"/>
      <c r="G932" s="85" t="n"/>
      <c r="H932" s="85" t="n"/>
      <c r="I932" s="85" t="n"/>
      <c r="J932" s="85" t="n"/>
      <c r="K932" s="85" t="n"/>
      <c r="L932" s="85" t="n"/>
      <c r="M932" s="85" t="n"/>
      <c r="N932" s="85" t="n"/>
      <c r="O932" s="85" t="n"/>
      <c r="P932" s="85" t="n"/>
      <c r="Q932" s="85" t="n"/>
      <c r="R932" s="85" t="n"/>
      <c r="S932" s="85" t="n"/>
      <c r="T932" s="85" t="n"/>
      <c r="U932" s="85" t="n"/>
      <c r="V932" s="85" t="n"/>
      <c r="W932" s="85" t="n"/>
      <c r="X932" s="85" t="n"/>
      <c r="Y932" s="85" t="n"/>
      <c r="Z932" s="85" t="n"/>
      <c r="AA932" s="85" t="n"/>
      <c r="AB932" s="85" t="n"/>
      <c r="AC932" s="86" t="n"/>
      <c r="AD932" s="85">
        <f>IF($A932="","",IF(OR($AB932&lt;&gt;"Yes",$AC932="",TODAY()-$AC932&gt;90),"At Risk","Not At Risk"))</f>
        <v/>
      </c>
      <c r="AE932" s="85" t="n"/>
    </row>
    <row r="933" ht="15" customHeight="1" s="39">
      <c r="A933" s="85" t="n"/>
      <c r="B933" s="85" t="n"/>
      <c r="C933" s="85" t="n"/>
      <c r="D933" s="85" t="n"/>
      <c r="E933" s="85" t="n"/>
      <c r="F933" s="85" t="n"/>
      <c r="G933" s="85" t="n"/>
      <c r="H933" s="85" t="n"/>
      <c r="I933" s="85" t="n"/>
      <c r="J933" s="85" t="n"/>
      <c r="K933" s="85" t="n"/>
      <c r="L933" s="85" t="n"/>
      <c r="M933" s="85" t="n"/>
      <c r="N933" s="85" t="n"/>
      <c r="O933" s="85" t="n"/>
      <c r="P933" s="85" t="n"/>
      <c r="Q933" s="85" t="n"/>
      <c r="R933" s="85" t="n"/>
      <c r="S933" s="85" t="n"/>
      <c r="T933" s="85" t="n"/>
      <c r="U933" s="85" t="n"/>
      <c r="V933" s="85" t="n"/>
      <c r="W933" s="85" t="n"/>
      <c r="X933" s="85" t="n"/>
      <c r="Y933" s="85" t="n"/>
      <c r="Z933" s="85" t="n"/>
      <c r="AA933" s="85" t="n"/>
      <c r="AB933" s="85" t="n"/>
      <c r="AC933" s="86" t="n"/>
      <c r="AD933" s="85">
        <f>IF($A933="","",IF(OR($AB933&lt;&gt;"Yes",$AC933="",TODAY()-$AC933&gt;90),"At Risk","Not At Risk"))</f>
        <v/>
      </c>
      <c r="AE933" s="85" t="n"/>
    </row>
    <row r="934" ht="15" customHeight="1" s="39">
      <c r="A934" s="85" t="n"/>
      <c r="B934" s="85" t="n"/>
      <c r="C934" s="85" t="n"/>
      <c r="D934" s="85" t="n"/>
      <c r="E934" s="85" t="n"/>
      <c r="F934" s="85" t="n"/>
      <c r="G934" s="85" t="n"/>
      <c r="H934" s="85" t="n"/>
      <c r="I934" s="85" t="n"/>
      <c r="J934" s="85" t="n"/>
      <c r="K934" s="85" t="n"/>
      <c r="L934" s="85" t="n"/>
      <c r="M934" s="85" t="n"/>
      <c r="N934" s="85" t="n"/>
      <c r="O934" s="85" t="n"/>
      <c r="P934" s="85" t="n"/>
      <c r="Q934" s="85" t="n"/>
      <c r="R934" s="85" t="n"/>
      <c r="S934" s="85" t="n"/>
      <c r="T934" s="85" t="n"/>
      <c r="U934" s="85" t="n"/>
      <c r="V934" s="85" t="n"/>
      <c r="W934" s="85" t="n"/>
      <c r="X934" s="85" t="n"/>
      <c r="Y934" s="85" t="n"/>
      <c r="Z934" s="85" t="n"/>
      <c r="AA934" s="85" t="n"/>
      <c r="AB934" s="85" t="n"/>
      <c r="AC934" s="86" t="n"/>
      <c r="AD934" s="85">
        <f>IF($A934="","",IF(OR($AB934&lt;&gt;"Yes",$AC934="",TODAY()-$AC934&gt;90),"At Risk","Not At Risk"))</f>
        <v/>
      </c>
      <c r="AE934" s="85" t="n"/>
    </row>
    <row r="935" ht="15" customHeight="1" s="39">
      <c r="A935" s="85" t="n"/>
      <c r="B935" s="85" t="n"/>
      <c r="C935" s="85" t="n"/>
      <c r="D935" s="85" t="n"/>
      <c r="E935" s="85" t="n"/>
      <c r="F935" s="85" t="n"/>
      <c r="G935" s="85" t="n"/>
      <c r="H935" s="85" t="n"/>
      <c r="I935" s="85" t="n"/>
      <c r="J935" s="85" t="n"/>
      <c r="K935" s="85" t="n"/>
      <c r="L935" s="85" t="n"/>
      <c r="M935" s="85" t="n"/>
      <c r="N935" s="85" t="n"/>
      <c r="O935" s="85" t="n"/>
      <c r="P935" s="85" t="n"/>
      <c r="Q935" s="85" t="n"/>
      <c r="R935" s="85" t="n"/>
      <c r="S935" s="85" t="n"/>
      <c r="T935" s="85" t="n"/>
      <c r="U935" s="85" t="n"/>
      <c r="V935" s="85" t="n"/>
      <c r="W935" s="85" t="n"/>
      <c r="X935" s="85" t="n"/>
      <c r="Y935" s="85" t="n"/>
      <c r="Z935" s="85" t="n"/>
      <c r="AA935" s="85" t="n"/>
      <c r="AB935" s="85" t="n"/>
      <c r="AC935" s="86" t="n"/>
      <c r="AD935" s="85">
        <f>IF($A935="","",IF(OR($AB935&lt;&gt;"Yes",$AC935="",TODAY()-$AC935&gt;90),"At Risk","Not At Risk"))</f>
        <v/>
      </c>
      <c r="AE935" s="85" t="n"/>
    </row>
    <row r="936" ht="15" customHeight="1" s="39">
      <c r="A936" s="85" t="n"/>
      <c r="B936" s="85" t="n"/>
      <c r="C936" s="85" t="n"/>
      <c r="D936" s="85" t="n"/>
      <c r="E936" s="85" t="n"/>
      <c r="F936" s="85" t="n"/>
      <c r="G936" s="85" t="n"/>
      <c r="H936" s="85" t="n"/>
      <c r="I936" s="85" t="n"/>
      <c r="J936" s="85" t="n"/>
      <c r="K936" s="85" t="n"/>
      <c r="L936" s="85" t="n"/>
      <c r="M936" s="85" t="n"/>
      <c r="N936" s="85" t="n"/>
      <c r="O936" s="85" t="n"/>
      <c r="P936" s="85" t="n"/>
      <c r="Q936" s="85" t="n"/>
      <c r="R936" s="85" t="n"/>
      <c r="S936" s="85" t="n"/>
      <c r="T936" s="85" t="n"/>
      <c r="U936" s="85" t="n"/>
      <c r="V936" s="85" t="n"/>
      <c r="W936" s="85" t="n"/>
      <c r="X936" s="85" t="n"/>
      <c r="Y936" s="85" t="n"/>
      <c r="Z936" s="85" t="n"/>
      <c r="AA936" s="85" t="n"/>
      <c r="AB936" s="85" t="n"/>
      <c r="AC936" s="86" t="n"/>
      <c r="AD936" s="85">
        <f>IF($A936="","",IF(OR($AB936&lt;&gt;"Yes",$AC936="",TODAY()-$AC936&gt;90),"At Risk","Not At Risk"))</f>
        <v/>
      </c>
      <c r="AE936" s="85" t="n"/>
    </row>
    <row r="937" ht="15" customHeight="1" s="39">
      <c r="A937" s="85" t="n"/>
      <c r="B937" s="85" t="n"/>
      <c r="C937" s="85" t="n"/>
      <c r="D937" s="85" t="n"/>
      <c r="E937" s="85" t="n"/>
      <c r="F937" s="85" t="n"/>
      <c r="G937" s="85" t="n"/>
      <c r="H937" s="85" t="n"/>
      <c r="I937" s="85" t="n"/>
      <c r="J937" s="85" t="n"/>
      <c r="K937" s="85" t="n"/>
      <c r="L937" s="85" t="n"/>
      <c r="M937" s="85" t="n"/>
      <c r="N937" s="85" t="n"/>
      <c r="O937" s="85" t="n"/>
      <c r="P937" s="85" t="n"/>
      <c r="Q937" s="85" t="n"/>
      <c r="R937" s="85" t="n"/>
      <c r="S937" s="85" t="n"/>
      <c r="T937" s="85" t="n"/>
      <c r="U937" s="85" t="n"/>
      <c r="V937" s="85" t="n"/>
      <c r="W937" s="85" t="n"/>
      <c r="X937" s="85" t="n"/>
      <c r="Y937" s="85" t="n"/>
      <c r="Z937" s="85" t="n"/>
      <c r="AA937" s="85" t="n"/>
      <c r="AB937" s="85" t="n"/>
      <c r="AC937" s="86" t="n"/>
      <c r="AD937" s="85">
        <f>IF($A937="","",IF(OR($AB937&lt;&gt;"Yes",$AC937="",TODAY()-$AC937&gt;90),"At Risk","Not At Risk"))</f>
        <v/>
      </c>
      <c r="AE937" s="85" t="n"/>
    </row>
    <row r="938" ht="15" customHeight="1" s="39">
      <c r="A938" s="85" t="n"/>
      <c r="B938" s="85" t="n"/>
      <c r="C938" s="85" t="n"/>
      <c r="D938" s="85" t="n"/>
      <c r="E938" s="85" t="n"/>
      <c r="F938" s="85" t="n"/>
      <c r="G938" s="85" t="n"/>
      <c r="H938" s="85" t="n"/>
      <c r="I938" s="85" t="n"/>
      <c r="J938" s="85" t="n"/>
      <c r="K938" s="85" t="n"/>
      <c r="L938" s="85" t="n"/>
      <c r="M938" s="85" t="n"/>
      <c r="N938" s="85" t="n"/>
      <c r="O938" s="85" t="n"/>
      <c r="P938" s="85" t="n"/>
      <c r="Q938" s="85" t="n"/>
      <c r="R938" s="85" t="n"/>
      <c r="S938" s="85" t="n"/>
      <c r="T938" s="85" t="n"/>
      <c r="U938" s="85" t="n"/>
      <c r="V938" s="85" t="n"/>
      <c r="W938" s="85" t="n"/>
      <c r="X938" s="85" t="n"/>
      <c r="Y938" s="85" t="n"/>
      <c r="Z938" s="85" t="n"/>
      <c r="AA938" s="85" t="n"/>
      <c r="AB938" s="85" t="n"/>
      <c r="AC938" s="86" t="n"/>
      <c r="AD938" s="85">
        <f>IF($A938="","",IF(OR($AB938&lt;&gt;"Yes",$AC938="",TODAY()-$AC938&gt;90),"At Risk","Not At Risk"))</f>
        <v/>
      </c>
      <c r="AE938" s="85" t="n"/>
    </row>
    <row r="939" ht="15" customHeight="1" s="39">
      <c r="A939" s="85" t="n"/>
      <c r="B939" s="85" t="n"/>
      <c r="C939" s="85" t="n"/>
      <c r="D939" s="85" t="n"/>
      <c r="E939" s="85" t="n"/>
      <c r="F939" s="85" t="n"/>
      <c r="G939" s="85" t="n"/>
      <c r="H939" s="85" t="n"/>
      <c r="I939" s="85" t="n"/>
      <c r="J939" s="85" t="n"/>
      <c r="K939" s="85" t="n"/>
      <c r="L939" s="85" t="n"/>
      <c r="M939" s="85" t="n"/>
      <c r="N939" s="85" t="n"/>
      <c r="O939" s="85" t="n"/>
      <c r="P939" s="85" t="n"/>
      <c r="Q939" s="85" t="n"/>
      <c r="R939" s="85" t="n"/>
      <c r="S939" s="85" t="n"/>
      <c r="T939" s="85" t="n"/>
      <c r="U939" s="85" t="n"/>
      <c r="V939" s="85" t="n"/>
      <c r="W939" s="85" t="n"/>
      <c r="X939" s="85" t="n"/>
      <c r="Y939" s="85" t="n"/>
      <c r="Z939" s="85" t="n"/>
      <c r="AA939" s="85" t="n"/>
      <c r="AB939" s="85" t="n"/>
      <c r="AC939" s="86" t="n"/>
      <c r="AD939" s="85">
        <f>IF($A939="","",IF(OR($AB939&lt;&gt;"Yes",$AC939="",TODAY()-$AC939&gt;90),"At Risk","Not At Risk"))</f>
        <v/>
      </c>
      <c r="AE939" s="85" t="n"/>
    </row>
    <row r="940" ht="15" customHeight="1" s="39">
      <c r="A940" s="85" t="n"/>
      <c r="B940" s="85" t="n"/>
      <c r="C940" s="85" t="n"/>
      <c r="D940" s="85" t="n"/>
      <c r="E940" s="85" t="n"/>
      <c r="F940" s="85" t="n"/>
      <c r="G940" s="85" t="n"/>
      <c r="H940" s="85" t="n"/>
      <c r="I940" s="85" t="n"/>
      <c r="J940" s="85" t="n"/>
      <c r="K940" s="85" t="n"/>
      <c r="L940" s="85" t="n"/>
      <c r="M940" s="85" t="n"/>
      <c r="N940" s="85" t="n"/>
      <c r="O940" s="85" t="n"/>
      <c r="P940" s="85" t="n"/>
      <c r="Q940" s="85" t="n"/>
      <c r="R940" s="85" t="n"/>
      <c r="S940" s="85" t="n"/>
      <c r="T940" s="85" t="n"/>
      <c r="U940" s="85" t="n"/>
      <c r="V940" s="85" t="n"/>
      <c r="W940" s="85" t="n"/>
      <c r="X940" s="85" t="n"/>
      <c r="Y940" s="85" t="n"/>
      <c r="Z940" s="85" t="n"/>
      <c r="AA940" s="85" t="n"/>
      <c r="AB940" s="85" t="n"/>
      <c r="AC940" s="86" t="n"/>
      <c r="AD940" s="85">
        <f>IF($A940="","",IF(OR($AB940&lt;&gt;"Yes",$AC940="",TODAY()-$AC940&gt;90),"At Risk","Not At Risk"))</f>
        <v/>
      </c>
      <c r="AE940" s="85" t="n"/>
    </row>
    <row r="941" ht="15" customHeight="1" s="39">
      <c r="A941" s="85" t="n"/>
      <c r="B941" s="85" t="n"/>
      <c r="C941" s="85" t="n"/>
      <c r="D941" s="85" t="n"/>
      <c r="E941" s="85" t="n"/>
      <c r="F941" s="85" t="n"/>
      <c r="G941" s="85" t="n"/>
      <c r="H941" s="85" t="n"/>
      <c r="I941" s="85" t="n"/>
      <c r="J941" s="85" t="n"/>
      <c r="K941" s="85" t="n"/>
      <c r="L941" s="85" t="n"/>
      <c r="M941" s="85" t="n"/>
      <c r="N941" s="85" t="n"/>
      <c r="O941" s="85" t="n"/>
      <c r="P941" s="85" t="n"/>
      <c r="Q941" s="85" t="n"/>
      <c r="R941" s="85" t="n"/>
      <c r="S941" s="85" t="n"/>
      <c r="T941" s="85" t="n"/>
      <c r="U941" s="85" t="n"/>
      <c r="V941" s="85" t="n"/>
      <c r="W941" s="85" t="n"/>
      <c r="X941" s="85" t="n"/>
      <c r="Y941" s="85" t="n"/>
      <c r="Z941" s="85" t="n"/>
      <c r="AA941" s="85" t="n"/>
      <c r="AB941" s="85" t="n"/>
      <c r="AC941" s="86" t="n"/>
      <c r="AD941" s="85">
        <f>IF($A941="","",IF(OR($AB941&lt;&gt;"Yes",$AC941="",TODAY()-$AC941&gt;90),"At Risk","Not At Risk"))</f>
        <v/>
      </c>
      <c r="AE941" s="85" t="n"/>
    </row>
    <row r="942" ht="15" customHeight="1" s="39">
      <c r="A942" s="85" t="n"/>
      <c r="B942" s="85" t="n"/>
      <c r="C942" s="85" t="n"/>
      <c r="D942" s="85" t="n"/>
      <c r="E942" s="85" t="n"/>
      <c r="F942" s="85" t="n"/>
      <c r="G942" s="85" t="n"/>
      <c r="H942" s="85" t="n"/>
      <c r="I942" s="85" t="n"/>
      <c r="J942" s="85" t="n"/>
      <c r="K942" s="85" t="n"/>
      <c r="L942" s="85" t="n"/>
      <c r="M942" s="85" t="n"/>
      <c r="N942" s="85" t="n"/>
      <c r="O942" s="85" t="n"/>
      <c r="P942" s="85" t="n"/>
      <c r="Q942" s="85" t="n"/>
      <c r="R942" s="85" t="n"/>
      <c r="S942" s="85" t="n"/>
      <c r="T942" s="85" t="n"/>
      <c r="U942" s="85" t="n"/>
      <c r="V942" s="85" t="n"/>
      <c r="W942" s="85" t="n"/>
      <c r="X942" s="85" t="n"/>
      <c r="Y942" s="85" t="n"/>
      <c r="Z942" s="85" t="n"/>
      <c r="AA942" s="85" t="n"/>
      <c r="AB942" s="85" t="n"/>
      <c r="AC942" s="86" t="n"/>
      <c r="AD942" s="85">
        <f>IF($A942="","",IF(OR($AB942&lt;&gt;"Yes",$AC942="",TODAY()-$AC942&gt;90),"At Risk","Not At Risk"))</f>
        <v/>
      </c>
      <c r="AE942" s="85" t="n"/>
    </row>
    <row r="943" ht="15" customHeight="1" s="39">
      <c r="A943" s="85" t="n"/>
      <c r="B943" s="85" t="n"/>
      <c r="C943" s="85" t="n"/>
      <c r="D943" s="85" t="n"/>
      <c r="E943" s="85" t="n"/>
      <c r="F943" s="85" t="n"/>
      <c r="G943" s="85" t="n"/>
      <c r="H943" s="85" t="n"/>
      <c r="I943" s="85" t="n"/>
      <c r="J943" s="85" t="n"/>
      <c r="K943" s="85" t="n"/>
      <c r="L943" s="85" t="n"/>
      <c r="M943" s="85" t="n"/>
      <c r="N943" s="85" t="n"/>
      <c r="O943" s="85" t="n"/>
      <c r="P943" s="85" t="n"/>
      <c r="Q943" s="85" t="n"/>
      <c r="R943" s="85" t="n"/>
      <c r="S943" s="85" t="n"/>
      <c r="T943" s="85" t="n"/>
      <c r="U943" s="85" t="n"/>
      <c r="V943" s="85" t="n"/>
      <c r="W943" s="85" t="n"/>
      <c r="X943" s="85" t="n"/>
      <c r="Y943" s="85" t="n"/>
      <c r="Z943" s="85" t="n"/>
      <c r="AA943" s="85" t="n"/>
      <c r="AB943" s="85" t="n"/>
      <c r="AC943" s="86" t="n"/>
      <c r="AD943" s="85">
        <f>IF($A943="","",IF(OR($AB943&lt;&gt;"Yes",$AC943="",TODAY()-$AC943&gt;90),"At Risk","Not At Risk"))</f>
        <v/>
      </c>
      <c r="AE943" s="85" t="n"/>
    </row>
    <row r="944" ht="15" customHeight="1" s="39">
      <c r="A944" s="85" t="n"/>
      <c r="B944" s="85" t="n"/>
      <c r="C944" s="85" t="n"/>
      <c r="D944" s="85" t="n"/>
      <c r="E944" s="85" t="n"/>
      <c r="F944" s="85" t="n"/>
      <c r="G944" s="85" t="n"/>
      <c r="H944" s="85" t="n"/>
      <c r="I944" s="85" t="n"/>
      <c r="J944" s="85" t="n"/>
      <c r="K944" s="85" t="n"/>
      <c r="L944" s="85" t="n"/>
      <c r="M944" s="85" t="n"/>
      <c r="N944" s="85" t="n"/>
      <c r="O944" s="85" t="n"/>
      <c r="P944" s="85" t="n"/>
      <c r="Q944" s="85" t="n"/>
      <c r="R944" s="85" t="n"/>
      <c r="S944" s="85" t="n"/>
      <c r="T944" s="85" t="n"/>
      <c r="U944" s="85" t="n"/>
      <c r="V944" s="85" t="n"/>
      <c r="W944" s="85" t="n"/>
      <c r="X944" s="85" t="n"/>
      <c r="Y944" s="85" t="n"/>
      <c r="Z944" s="85" t="n"/>
      <c r="AA944" s="85" t="n"/>
      <c r="AB944" s="85" t="n"/>
      <c r="AC944" s="86" t="n"/>
      <c r="AD944" s="85">
        <f>IF($A944="","",IF(OR($AB944&lt;&gt;"Yes",$AC944="",TODAY()-$AC944&gt;90),"At Risk","Not At Risk"))</f>
        <v/>
      </c>
      <c r="AE944" s="85" t="n"/>
    </row>
    <row r="945" ht="15" customHeight="1" s="39">
      <c r="A945" s="85" t="n"/>
      <c r="B945" s="85" t="n"/>
      <c r="C945" s="85" t="n"/>
      <c r="D945" s="85" t="n"/>
      <c r="E945" s="85" t="n"/>
      <c r="F945" s="85" t="n"/>
      <c r="G945" s="85" t="n"/>
      <c r="H945" s="85" t="n"/>
      <c r="I945" s="85" t="n"/>
      <c r="J945" s="85" t="n"/>
      <c r="K945" s="85" t="n"/>
      <c r="L945" s="85" t="n"/>
      <c r="M945" s="85" t="n"/>
      <c r="N945" s="85" t="n"/>
      <c r="O945" s="85" t="n"/>
      <c r="P945" s="85" t="n"/>
      <c r="Q945" s="85" t="n"/>
      <c r="R945" s="85" t="n"/>
      <c r="S945" s="85" t="n"/>
      <c r="T945" s="85" t="n"/>
      <c r="U945" s="85" t="n"/>
      <c r="V945" s="85" t="n"/>
      <c r="W945" s="85" t="n"/>
      <c r="X945" s="85" t="n"/>
      <c r="Y945" s="85" t="n"/>
      <c r="Z945" s="85" t="n"/>
      <c r="AA945" s="85" t="n"/>
      <c r="AB945" s="85" t="n"/>
      <c r="AC945" s="86" t="n"/>
      <c r="AD945" s="85">
        <f>IF($A945="","",IF(OR($AB945&lt;&gt;"Yes",$AC945="",TODAY()-$AC945&gt;90),"At Risk","Not At Risk"))</f>
        <v/>
      </c>
      <c r="AE945" s="85" t="n"/>
    </row>
    <row r="946" ht="15" customHeight="1" s="39">
      <c r="A946" s="85" t="n"/>
      <c r="B946" s="85" t="n"/>
      <c r="C946" s="85" t="n"/>
      <c r="D946" s="85" t="n"/>
      <c r="E946" s="85" t="n"/>
      <c r="F946" s="85" t="n"/>
      <c r="G946" s="85" t="n"/>
      <c r="H946" s="85" t="n"/>
      <c r="I946" s="85" t="n"/>
      <c r="J946" s="85" t="n"/>
      <c r="K946" s="85" t="n"/>
      <c r="L946" s="85" t="n"/>
      <c r="M946" s="85" t="n"/>
      <c r="N946" s="85" t="n"/>
      <c r="O946" s="85" t="n"/>
      <c r="P946" s="85" t="n"/>
      <c r="Q946" s="85" t="n"/>
      <c r="R946" s="85" t="n"/>
      <c r="S946" s="85" t="n"/>
      <c r="T946" s="85" t="n"/>
      <c r="U946" s="85" t="n"/>
      <c r="V946" s="85" t="n"/>
      <c r="W946" s="85" t="n"/>
      <c r="X946" s="85" t="n"/>
      <c r="Y946" s="85" t="n"/>
      <c r="Z946" s="85" t="n"/>
      <c r="AA946" s="85" t="n"/>
      <c r="AB946" s="85" t="n"/>
      <c r="AC946" s="86" t="n"/>
      <c r="AD946" s="85">
        <f>IF($A946="","",IF(OR($AB946&lt;&gt;"Yes",$AC946="",TODAY()-$AC946&gt;90),"At Risk","Not At Risk"))</f>
        <v/>
      </c>
      <c r="AE946" s="85" t="n"/>
    </row>
    <row r="947" ht="15" customHeight="1" s="39">
      <c r="A947" s="85" t="n"/>
      <c r="B947" s="85" t="n"/>
      <c r="C947" s="85" t="n"/>
      <c r="D947" s="85" t="n"/>
      <c r="E947" s="85" t="n"/>
      <c r="F947" s="85" t="n"/>
      <c r="G947" s="85" t="n"/>
      <c r="H947" s="85" t="n"/>
      <c r="I947" s="85" t="n"/>
      <c r="J947" s="85" t="n"/>
      <c r="K947" s="85" t="n"/>
      <c r="L947" s="85" t="n"/>
      <c r="M947" s="85" t="n"/>
      <c r="N947" s="85" t="n"/>
      <c r="O947" s="85" t="n"/>
      <c r="P947" s="85" t="n"/>
      <c r="Q947" s="85" t="n"/>
      <c r="R947" s="85" t="n"/>
      <c r="S947" s="85" t="n"/>
      <c r="T947" s="85" t="n"/>
      <c r="U947" s="85" t="n"/>
      <c r="V947" s="85" t="n"/>
      <c r="W947" s="85" t="n"/>
      <c r="X947" s="85" t="n"/>
      <c r="Y947" s="85" t="n"/>
      <c r="Z947" s="85" t="n"/>
      <c r="AA947" s="85" t="n"/>
      <c r="AB947" s="85" t="n"/>
      <c r="AC947" s="86" t="n"/>
      <c r="AD947" s="85">
        <f>IF($A947="","",IF(OR($AB947&lt;&gt;"Yes",$AC947="",TODAY()-$AC947&gt;90),"At Risk","Not At Risk"))</f>
        <v/>
      </c>
      <c r="AE947" s="85" t="n"/>
    </row>
    <row r="948" ht="15" customHeight="1" s="39">
      <c r="A948" s="85" t="n"/>
      <c r="B948" s="85" t="n"/>
      <c r="C948" s="85" t="n"/>
      <c r="D948" s="85" t="n"/>
      <c r="E948" s="85" t="n"/>
      <c r="F948" s="85" t="n"/>
      <c r="G948" s="85" t="n"/>
      <c r="H948" s="85" t="n"/>
      <c r="I948" s="85" t="n"/>
      <c r="J948" s="85" t="n"/>
      <c r="K948" s="85" t="n"/>
      <c r="L948" s="85" t="n"/>
      <c r="M948" s="85" t="n"/>
      <c r="N948" s="85" t="n"/>
      <c r="O948" s="85" t="n"/>
      <c r="P948" s="85" t="n"/>
      <c r="Q948" s="85" t="n"/>
      <c r="R948" s="85" t="n"/>
      <c r="S948" s="85" t="n"/>
      <c r="T948" s="85" t="n"/>
      <c r="U948" s="85" t="n"/>
      <c r="V948" s="85" t="n"/>
      <c r="W948" s="85" t="n"/>
      <c r="X948" s="85" t="n"/>
      <c r="Y948" s="85" t="n"/>
      <c r="Z948" s="85" t="n"/>
      <c r="AA948" s="85" t="n"/>
      <c r="AB948" s="85" t="n"/>
      <c r="AC948" s="86" t="n"/>
      <c r="AD948" s="85">
        <f>IF($A948="","",IF(OR($AB948&lt;&gt;"Yes",$AC948="",TODAY()-$AC948&gt;90),"At Risk","Not At Risk"))</f>
        <v/>
      </c>
      <c r="AE948" s="85" t="n"/>
    </row>
    <row r="949" ht="15" customHeight="1" s="39">
      <c r="A949" s="85" t="n"/>
      <c r="B949" s="85" t="n"/>
      <c r="C949" s="85" t="n"/>
      <c r="D949" s="85" t="n"/>
      <c r="E949" s="85" t="n"/>
      <c r="F949" s="85" t="n"/>
      <c r="G949" s="85" t="n"/>
      <c r="H949" s="85" t="n"/>
      <c r="I949" s="85" t="n"/>
      <c r="J949" s="85" t="n"/>
      <c r="K949" s="85" t="n"/>
      <c r="L949" s="85" t="n"/>
      <c r="M949" s="85" t="n"/>
      <c r="N949" s="85" t="n"/>
      <c r="O949" s="85" t="n"/>
      <c r="P949" s="85" t="n"/>
      <c r="Q949" s="85" t="n"/>
      <c r="R949" s="85" t="n"/>
      <c r="S949" s="85" t="n"/>
      <c r="T949" s="85" t="n"/>
      <c r="U949" s="85" t="n"/>
      <c r="V949" s="85" t="n"/>
      <c r="W949" s="85" t="n"/>
      <c r="X949" s="85" t="n"/>
      <c r="Y949" s="85" t="n"/>
      <c r="Z949" s="85" t="n"/>
      <c r="AA949" s="85" t="n"/>
      <c r="AB949" s="85" t="n"/>
      <c r="AC949" s="86" t="n"/>
      <c r="AD949" s="85">
        <f>IF($A949="","",IF(OR($AB949&lt;&gt;"Yes",$AC949="",TODAY()-$AC949&gt;90),"At Risk","Not At Risk"))</f>
        <v/>
      </c>
      <c r="AE949" s="85" t="n"/>
    </row>
    <row r="950" ht="15" customHeight="1" s="39">
      <c r="A950" s="85" t="n"/>
      <c r="B950" s="85" t="n"/>
      <c r="C950" s="85" t="n"/>
      <c r="D950" s="85" t="n"/>
      <c r="E950" s="85" t="n"/>
      <c r="F950" s="85" t="n"/>
      <c r="G950" s="85" t="n"/>
      <c r="H950" s="85" t="n"/>
      <c r="I950" s="85" t="n"/>
      <c r="J950" s="85" t="n"/>
      <c r="K950" s="85" t="n"/>
      <c r="L950" s="85" t="n"/>
      <c r="M950" s="85" t="n"/>
      <c r="N950" s="85" t="n"/>
      <c r="O950" s="85" t="n"/>
      <c r="P950" s="85" t="n"/>
      <c r="Q950" s="85" t="n"/>
      <c r="R950" s="85" t="n"/>
      <c r="S950" s="85" t="n"/>
      <c r="T950" s="85" t="n"/>
      <c r="U950" s="85" t="n"/>
      <c r="V950" s="85" t="n"/>
      <c r="W950" s="85" t="n"/>
      <c r="X950" s="85" t="n"/>
      <c r="Y950" s="85" t="n"/>
      <c r="Z950" s="85" t="n"/>
      <c r="AA950" s="85" t="n"/>
      <c r="AB950" s="85" t="n"/>
      <c r="AC950" s="86" t="n"/>
      <c r="AD950" s="85">
        <f>IF($A950="","",IF(OR($AB950&lt;&gt;"Yes",$AC950="",TODAY()-$AC950&gt;90),"At Risk","Not At Risk"))</f>
        <v/>
      </c>
      <c r="AE950" s="85" t="n"/>
    </row>
    <row r="951" ht="15" customHeight="1" s="39">
      <c r="A951" s="85" t="n"/>
      <c r="B951" s="85" t="n"/>
      <c r="C951" s="85" t="n"/>
      <c r="D951" s="85" t="n"/>
      <c r="E951" s="85" t="n"/>
      <c r="F951" s="85" t="n"/>
      <c r="G951" s="85" t="n"/>
      <c r="H951" s="85" t="n"/>
      <c r="I951" s="85" t="n"/>
      <c r="J951" s="85" t="n"/>
      <c r="K951" s="85" t="n"/>
      <c r="L951" s="85" t="n"/>
      <c r="M951" s="85" t="n"/>
      <c r="N951" s="85" t="n"/>
      <c r="O951" s="85" t="n"/>
      <c r="P951" s="85" t="n"/>
      <c r="Q951" s="85" t="n"/>
      <c r="R951" s="85" t="n"/>
      <c r="S951" s="85" t="n"/>
      <c r="T951" s="85" t="n"/>
      <c r="U951" s="85" t="n"/>
      <c r="V951" s="85" t="n"/>
      <c r="W951" s="85" t="n"/>
      <c r="X951" s="85" t="n"/>
      <c r="Y951" s="85" t="n"/>
      <c r="Z951" s="85" t="n"/>
      <c r="AA951" s="85" t="n"/>
      <c r="AB951" s="85" t="n"/>
      <c r="AC951" s="86" t="n"/>
      <c r="AD951" s="85">
        <f>IF($A951="","",IF(OR($AB951&lt;&gt;"Yes",$AC951="",TODAY()-$AC951&gt;90),"At Risk","Not At Risk"))</f>
        <v/>
      </c>
      <c r="AE951" s="85" t="n"/>
    </row>
    <row r="952" ht="15" customHeight="1" s="39">
      <c r="A952" s="85" t="n"/>
      <c r="B952" s="85" t="n"/>
      <c r="C952" s="85" t="n"/>
      <c r="D952" s="85" t="n"/>
      <c r="E952" s="85" t="n"/>
      <c r="F952" s="85" t="n"/>
      <c r="G952" s="85" t="n"/>
      <c r="H952" s="85" t="n"/>
      <c r="I952" s="85" t="n"/>
      <c r="J952" s="85" t="n"/>
      <c r="K952" s="85" t="n"/>
      <c r="L952" s="85" t="n"/>
      <c r="M952" s="85" t="n"/>
      <c r="N952" s="85" t="n"/>
      <c r="O952" s="85" t="n"/>
      <c r="P952" s="85" t="n"/>
      <c r="Q952" s="85" t="n"/>
      <c r="R952" s="85" t="n"/>
      <c r="S952" s="85" t="n"/>
      <c r="T952" s="85" t="n"/>
      <c r="U952" s="85" t="n"/>
      <c r="V952" s="85" t="n"/>
      <c r="W952" s="85" t="n"/>
      <c r="X952" s="85" t="n"/>
      <c r="Y952" s="85" t="n"/>
      <c r="Z952" s="85" t="n"/>
      <c r="AA952" s="85" t="n"/>
      <c r="AB952" s="85" t="n"/>
      <c r="AC952" s="86" t="n"/>
      <c r="AD952" s="85">
        <f>IF($A952="","",IF(OR($AB952&lt;&gt;"Yes",$AC952="",TODAY()-$AC952&gt;90),"At Risk","Not At Risk"))</f>
        <v/>
      </c>
      <c r="AE952" s="85" t="n"/>
    </row>
    <row r="953" ht="15" customHeight="1" s="39">
      <c r="A953" s="85" t="n"/>
      <c r="B953" s="85" t="n"/>
      <c r="C953" s="85" t="n"/>
      <c r="D953" s="85" t="n"/>
      <c r="E953" s="85" t="n"/>
      <c r="F953" s="85" t="n"/>
      <c r="G953" s="85" t="n"/>
      <c r="H953" s="85" t="n"/>
      <c r="I953" s="85" t="n"/>
      <c r="J953" s="85" t="n"/>
      <c r="K953" s="85" t="n"/>
      <c r="L953" s="85" t="n"/>
      <c r="M953" s="85" t="n"/>
      <c r="N953" s="85" t="n"/>
      <c r="O953" s="85" t="n"/>
      <c r="P953" s="85" t="n"/>
      <c r="Q953" s="85" t="n"/>
      <c r="R953" s="85" t="n"/>
      <c r="S953" s="85" t="n"/>
      <c r="T953" s="85" t="n"/>
      <c r="U953" s="85" t="n"/>
      <c r="V953" s="85" t="n"/>
      <c r="W953" s="85" t="n"/>
      <c r="X953" s="85" t="n"/>
      <c r="Y953" s="85" t="n"/>
      <c r="Z953" s="85" t="n"/>
      <c r="AA953" s="85" t="n"/>
      <c r="AB953" s="85" t="n"/>
      <c r="AC953" s="86" t="n"/>
      <c r="AD953" s="85">
        <f>IF($A953="","",IF(OR($AB953&lt;&gt;"Yes",$AC953="",TODAY()-$AC953&gt;90),"At Risk","Not At Risk"))</f>
        <v/>
      </c>
      <c r="AE953" s="85" t="n"/>
    </row>
    <row r="954" ht="15" customHeight="1" s="39">
      <c r="A954" s="85" t="n"/>
      <c r="B954" s="85" t="n"/>
      <c r="C954" s="85" t="n"/>
      <c r="D954" s="85" t="n"/>
      <c r="E954" s="85" t="n"/>
      <c r="F954" s="85" t="n"/>
      <c r="G954" s="85" t="n"/>
      <c r="H954" s="85" t="n"/>
      <c r="I954" s="85" t="n"/>
      <c r="J954" s="85" t="n"/>
      <c r="K954" s="85" t="n"/>
      <c r="L954" s="85" t="n"/>
      <c r="M954" s="85" t="n"/>
      <c r="N954" s="85" t="n"/>
      <c r="O954" s="85" t="n"/>
      <c r="P954" s="85" t="n"/>
      <c r="Q954" s="85" t="n"/>
      <c r="R954" s="85" t="n"/>
      <c r="S954" s="85" t="n"/>
      <c r="T954" s="85" t="n"/>
      <c r="U954" s="85" t="n"/>
      <c r="V954" s="85" t="n"/>
      <c r="W954" s="85" t="n"/>
      <c r="X954" s="85" t="n"/>
      <c r="Y954" s="85" t="n"/>
      <c r="Z954" s="85" t="n"/>
      <c r="AA954" s="85" t="n"/>
      <c r="AB954" s="85" t="n"/>
      <c r="AC954" s="86" t="n"/>
      <c r="AD954" s="85">
        <f>IF($A954="","",IF(OR($AB954&lt;&gt;"Yes",$AC954="",TODAY()-$AC954&gt;90),"At Risk","Not At Risk"))</f>
        <v/>
      </c>
      <c r="AE954" s="85" t="n"/>
    </row>
    <row r="955" ht="15" customHeight="1" s="39">
      <c r="A955" s="85" t="n"/>
      <c r="B955" s="85" t="n"/>
      <c r="C955" s="85" t="n"/>
      <c r="D955" s="85" t="n"/>
      <c r="E955" s="85" t="n"/>
      <c r="F955" s="85" t="n"/>
      <c r="G955" s="85" t="n"/>
      <c r="H955" s="85" t="n"/>
      <c r="I955" s="85" t="n"/>
      <c r="J955" s="85" t="n"/>
      <c r="K955" s="85" t="n"/>
      <c r="L955" s="85" t="n"/>
      <c r="M955" s="85" t="n"/>
      <c r="N955" s="85" t="n"/>
      <c r="O955" s="85" t="n"/>
      <c r="P955" s="85" t="n"/>
      <c r="Q955" s="85" t="n"/>
      <c r="R955" s="85" t="n"/>
      <c r="S955" s="85" t="n"/>
      <c r="T955" s="85" t="n"/>
      <c r="U955" s="85" t="n"/>
      <c r="V955" s="85" t="n"/>
      <c r="W955" s="85" t="n"/>
      <c r="X955" s="85" t="n"/>
      <c r="Y955" s="85" t="n"/>
      <c r="Z955" s="85" t="n"/>
      <c r="AA955" s="85" t="n"/>
      <c r="AB955" s="85" t="n"/>
      <c r="AC955" s="86" t="n"/>
      <c r="AD955" s="85">
        <f>IF($A955="","",IF(OR($AB955&lt;&gt;"Yes",$AC955="",TODAY()-$AC955&gt;90),"At Risk","Not At Risk"))</f>
        <v/>
      </c>
      <c r="AE955" s="85" t="n"/>
    </row>
    <row r="956" ht="15" customHeight="1" s="39">
      <c r="A956" s="85" t="n"/>
      <c r="B956" s="85" t="n"/>
      <c r="C956" s="85" t="n"/>
      <c r="D956" s="85" t="n"/>
      <c r="E956" s="85" t="n"/>
      <c r="F956" s="85" t="n"/>
      <c r="G956" s="85" t="n"/>
      <c r="H956" s="85" t="n"/>
      <c r="I956" s="85" t="n"/>
      <c r="J956" s="85" t="n"/>
      <c r="K956" s="85" t="n"/>
      <c r="L956" s="85" t="n"/>
      <c r="M956" s="85" t="n"/>
      <c r="N956" s="85" t="n"/>
      <c r="O956" s="85" t="n"/>
      <c r="P956" s="85" t="n"/>
      <c r="Q956" s="85" t="n"/>
      <c r="R956" s="85" t="n"/>
      <c r="S956" s="85" t="n"/>
      <c r="T956" s="85" t="n"/>
      <c r="U956" s="85" t="n"/>
      <c r="V956" s="85" t="n"/>
      <c r="W956" s="85" t="n"/>
      <c r="X956" s="85" t="n"/>
      <c r="Y956" s="85" t="n"/>
      <c r="Z956" s="85" t="n"/>
      <c r="AA956" s="85" t="n"/>
      <c r="AB956" s="85" t="n"/>
      <c r="AC956" s="86" t="n"/>
      <c r="AD956" s="85">
        <f>IF($A956="","",IF(OR($AB956&lt;&gt;"Yes",$AC956="",TODAY()-$AC956&gt;90),"At Risk","Not At Risk"))</f>
        <v/>
      </c>
      <c r="AE956" s="85" t="n"/>
    </row>
    <row r="957" ht="15" customHeight="1" s="39">
      <c r="A957" s="85" t="n"/>
      <c r="B957" s="85" t="n"/>
      <c r="C957" s="85" t="n"/>
      <c r="D957" s="85" t="n"/>
      <c r="E957" s="85" t="n"/>
      <c r="F957" s="85" t="n"/>
      <c r="G957" s="85" t="n"/>
      <c r="H957" s="85" t="n"/>
      <c r="I957" s="85" t="n"/>
      <c r="J957" s="85" t="n"/>
      <c r="K957" s="85" t="n"/>
      <c r="L957" s="85" t="n"/>
      <c r="M957" s="85" t="n"/>
      <c r="N957" s="85" t="n"/>
      <c r="O957" s="85" t="n"/>
      <c r="P957" s="85" t="n"/>
      <c r="Q957" s="85" t="n"/>
      <c r="R957" s="85" t="n"/>
      <c r="S957" s="85" t="n"/>
      <c r="T957" s="85" t="n"/>
      <c r="U957" s="85" t="n"/>
      <c r="V957" s="85" t="n"/>
      <c r="W957" s="85" t="n"/>
      <c r="X957" s="85" t="n"/>
      <c r="Y957" s="85" t="n"/>
      <c r="Z957" s="85" t="n"/>
      <c r="AA957" s="85" t="n"/>
      <c r="AB957" s="85" t="n"/>
      <c r="AC957" s="86" t="n"/>
      <c r="AD957" s="85">
        <f>IF($A957="","",IF(OR($AB957&lt;&gt;"Yes",$AC957="",TODAY()-$AC957&gt;90),"At Risk","Not At Risk"))</f>
        <v/>
      </c>
      <c r="AE957" s="85" t="n"/>
    </row>
    <row r="958" ht="15" customHeight="1" s="39">
      <c r="A958" s="85" t="n"/>
      <c r="B958" s="85" t="n"/>
      <c r="C958" s="85" t="n"/>
      <c r="D958" s="85" t="n"/>
      <c r="E958" s="85" t="n"/>
      <c r="F958" s="85" t="n"/>
      <c r="G958" s="85" t="n"/>
      <c r="H958" s="85" t="n"/>
      <c r="I958" s="85" t="n"/>
      <c r="J958" s="85" t="n"/>
      <c r="K958" s="85" t="n"/>
      <c r="L958" s="85" t="n"/>
      <c r="M958" s="85" t="n"/>
      <c r="N958" s="85" t="n"/>
      <c r="O958" s="85" t="n"/>
      <c r="P958" s="85" t="n"/>
      <c r="Q958" s="85" t="n"/>
      <c r="R958" s="85" t="n"/>
      <c r="S958" s="85" t="n"/>
      <c r="T958" s="85" t="n"/>
      <c r="U958" s="85" t="n"/>
      <c r="V958" s="85" t="n"/>
      <c r="W958" s="85" t="n"/>
      <c r="X958" s="85" t="n"/>
      <c r="Y958" s="85" t="n"/>
      <c r="Z958" s="85" t="n"/>
      <c r="AA958" s="85" t="n"/>
      <c r="AB958" s="85" t="n"/>
      <c r="AC958" s="86" t="n"/>
      <c r="AD958" s="85">
        <f>IF($A958="","",IF(OR($AB958&lt;&gt;"Yes",$AC958="",TODAY()-$AC958&gt;90),"At Risk","Not At Risk"))</f>
        <v/>
      </c>
      <c r="AE958" s="85" t="n"/>
    </row>
    <row r="959" ht="15" customHeight="1" s="39">
      <c r="A959" s="85" t="n"/>
      <c r="B959" s="85" t="n"/>
      <c r="C959" s="85" t="n"/>
      <c r="D959" s="85" t="n"/>
      <c r="E959" s="85" t="n"/>
      <c r="F959" s="85" t="n"/>
      <c r="G959" s="85" t="n"/>
      <c r="H959" s="85" t="n"/>
      <c r="I959" s="85" t="n"/>
      <c r="J959" s="85" t="n"/>
      <c r="K959" s="85" t="n"/>
      <c r="L959" s="85" t="n"/>
      <c r="M959" s="85" t="n"/>
      <c r="N959" s="85" t="n"/>
      <c r="O959" s="85" t="n"/>
      <c r="P959" s="85" t="n"/>
      <c r="Q959" s="85" t="n"/>
      <c r="R959" s="85" t="n"/>
      <c r="S959" s="85" t="n"/>
      <c r="T959" s="85" t="n"/>
      <c r="U959" s="85" t="n"/>
      <c r="V959" s="85" t="n"/>
      <c r="W959" s="85" t="n"/>
      <c r="X959" s="85" t="n"/>
      <c r="Y959" s="85" t="n"/>
      <c r="Z959" s="85" t="n"/>
      <c r="AA959" s="85" t="n"/>
      <c r="AB959" s="85" t="n"/>
      <c r="AC959" s="86" t="n"/>
      <c r="AD959" s="85">
        <f>IF($A959="","",IF(OR($AB959&lt;&gt;"Yes",$AC959="",TODAY()-$AC959&gt;90),"At Risk","Not At Risk"))</f>
        <v/>
      </c>
      <c r="AE959" s="85" t="n"/>
    </row>
    <row r="960" ht="15" customHeight="1" s="39">
      <c r="A960" s="85" t="n"/>
      <c r="B960" s="85" t="n"/>
      <c r="C960" s="85" t="n"/>
      <c r="D960" s="85" t="n"/>
      <c r="E960" s="85" t="n"/>
      <c r="F960" s="85" t="n"/>
      <c r="G960" s="85" t="n"/>
      <c r="H960" s="85" t="n"/>
      <c r="I960" s="85" t="n"/>
      <c r="J960" s="85" t="n"/>
      <c r="K960" s="85" t="n"/>
      <c r="L960" s="85" t="n"/>
      <c r="M960" s="85" t="n"/>
      <c r="N960" s="85" t="n"/>
      <c r="O960" s="85" t="n"/>
      <c r="P960" s="85" t="n"/>
      <c r="Q960" s="85" t="n"/>
      <c r="R960" s="85" t="n"/>
      <c r="S960" s="85" t="n"/>
      <c r="T960" s="85" t="n"/>
      <c r="U960" s="85" t="n"/>
      <c r="V960" s="85" t="n"/>
      <c r="W960" s="85" t="n"/>
      <c r="X960" s="85" t="n"/>
      <c r="Y960" s="85" t="n"/>
      <c r="Z960" s="85" t="n"/>
      <c r="AA960" s="85" t="n"/>
      <c r="AB960" s="85" t="n"/>
      <c r="AC960" s="86" t="n"/>
      <c r="AD960" s="85">
        <f>IF($A960="","",IF(OR($AB960&lt;&gt;"Yes",$AC960="",TODAY()-$AC960&gt;90),"At Risk","Not At Risk"))</f>
        <v/>
      </c>
      <c r="AE960" s="85" t="n"/>
    </row>
    <row r="961" ht="15" customHeight="1" s="39">
      <c r="A961" s="85" t="n"/>
      <c r="B961" s="85" t="n"/>
      <c r="C961" s="85" t="n"/>
      <c r="D961" s="85" t="n"/>
      <c r="E961" s="85" t="n"/>
      <c r="F961" s="85" t="n"/>
      <c r="G961" s="85" t="n"/>
      <c r="H961" s="85" t="n"/>
      <c r="I961" s="85" t="n"/>
      <c r="J961" s="85" t="n"/>
      <c r="K961" s="85" t="n"/>
      <c r="L961" s="85" t="n"/>
      <c r="M961" s="85" t="n"/>
      <c r="N961" s="85" t="n"/>
      <c r="O961" s="85" t="n"/>
      <c r="P961" s="85" t="n"/>
      <c r="Q961" s="85" t="n"/>
      <c r="R961" s="85" t="n"/>
      <c r="S961" s="85" t="n"/>
      <c r="T961" s="85" t="n"/>
      <c r="U961" s="85" t="n"/>
      <c r="V961" s="85" t="n"/>
      <c r="W961" s="85" t="n"/>
      <c r="X961" s="85" t="n"/>
      <c r="Y961" s="85" t="n"/>
      <c r="Z961" s="85" t="n"/>
      <c r="AA961" s="85" t="n"/>
      <c r="AB961" s="85" t="n"/>
      <c r="AC961" s="86" t="n"/>
      <c r="AD961" s="85">
        <f>IF($A961="","",IF(OR($AB961&lt;&gt;"Yes",$AC961="",TODAY()-$AC961&gt;90),"At Risk","Not At Risk"))</f>
        <v/>
      </c>
      <c r="AE961" s="85" t="n"/>
    </row>
    <row r="962" ht="15" customHeight="1" s="39">
      <c r="A962" s="85" t="n"/>
      <c r="B962" s="85" t="n"/>
      <c r="C962" s="85" t="n"/>
      <c r="D962" s="85" t="n"/>
      <c r="E962" s="85" t="n"/>
      <c r="F962" s="85" t="n"/>
      <c r="G962" s="85" t="n"/>
      <c r="H962" s="85" t="n"/>
      <c r="I962" s="85" t="n"/>
      <c r="J962" s="85" t="n"/>
      <c r="K962" s="85" t="n"/>
      <c r="L962" s="85" t="n"/>
      <c r="M962" s="85" t="n"/>
      <c r="N962" s="85" t="n"/>
      <c r="O962" s="85" t="n"/>
      <c r="P962" s="85" t="n"/>
      <c r="Q962" s="85" t="n"/>
      <c r="R962" s="85" t="n"/>
      <c r="S962" s="85" t="n"/>
      <c r="T962" s="85" t="n"/>
      <c r="U962" s="85" t="n"/>
      <c r="V962" s="85" t="n"/>
      <c r="W962" s="85" t="n"/>
      <c r="X962" s="85" t="n"/>
      <c r="Y962" s="85" t="n"/>
      <c r="Z962" s="85" t="n"/>
      <c r="AA962" s="85" t="n"/>
      <c r="AB962" s="85" t="n"/>
      <c r="AC962" s="86" t="n"/>
      <c r="AD962" s="85">
        <f>IF($A962="","",IF(OR($AB962&lt;&gt;"Yes",$AC962="",TODAY()-$AC962&gt;90),"At Risk","Not At Risk"))</f>
        <v/>
      </c>
      <c r="AE962" s="85" t="n"/>
    </row>
    <row r="963" ht="15" customHeight="1" s="39">
      <c r="A963" s="85" t="n"/>
      <c r="B963" s="85" t="n"/>
      <c r="C963" s="85" t="n"/>
      <c r="D963" s="85" t="n"/>
      <c r="E963" s="85" t="n"/>
      <c r="F963" s="85" t="n"/>
      <c r="G963" s="85" t="n"/>
      <c r="H963" s="85" t="n"/>
      <c r="I963" s="85" t="n"/>
      <c r="J963" s="85" t="n"/>
      <c r="K963" s="85" t="n"/>
      <c r="L963" s="85" t="n"/>
      <c r="M963" s="85" t="n"/>
      <c r="N963" s="85" t="n"/>
      <c r="O963" s="85" t="n"/>
      <c r="P963" s="85" t="n"/>
      <c r="Q963" s="85" t="n"/>
      <c r="R963" s="85" t="n"/>
      <c r="S963" s="85" t="n"/>
      <c r="T963" s="85" t="n"/>
      <c r="U963" s="85" t="n"/>
      <c r="V963" s="85" t="n"/>
      <c r="W963" s="85" t="n"/>
      <c r="X963" s="85" t="n"/>
      <c r="Y963" s="85" t="n"/>
      <c r="Z963" s="85" t="n"/>
      <c r="AA963" s="85" t="n"/>
      <c r="AB963" s="85" t="n"/>
      <c r="AC963" s="86" t="n"/>
      <c r="AD963" s="85">
        <f>IF($A963="","",IF(OR($AB963&lt;&gt;"Yes",$AC963="",TODAY()-$AC963&gt;90),"At Risk","Not At Risk"))</f>
        <v/>
      </c>
      <c r="AE963" s="85" t="n"/>
    </row>
    <row r="964" ht="15" customHeight="1" s="39">
      <c r="A964" s="85" t="n"/>
      <c r="B964" s="85" t="n"/>
      <c r="C964" s="85" t="n"/>
      <c r="D964" s="85" t="n"/>
      <c r="E964" s="85" t="n"/>
      <c r="F964" s="85" t="n"/>
      <c r="G964" s="85" t="n"/>
      <c r="H964" s="85" t="n"/>
      <c r="I964" s="85" t="n"/>
      <c r="J964" s="85" t="n"/>
      <c r="K964" s="85" t="n"/>
      <c r="L964" s="85" t="n"/>
      <c r="M964" s="85" t="n"/>
      <c r="N964" s="85" t="n"/>
      <c r="O964" s="85" t="n"/>
      <c r="P964" s="85" t="n"/>
      <c r="Q964" s="85" t="n"/>
      <c r="R964" s="85" t="n"/>
      <c r="S964" s="85" t="n"/>
      <c r="T964" s="85" t="n"/>
      <c r="U964" s="85" t="n"/>
      <c r="V964" s="85" t="n"/>
      <c r="W964" s="85" t="n"/>
      <c r="X964" s="85" t="n"/>
      <c r="Y964" s="85" t="n"/>
      <c r="Z964" s="85" t="n"/>
      <c r="AA964" s="85" t="n"/>
      <c r="AB964" s="85" t="n"/>
      <c r="AC964" s="86" t="n"/>
      <c r="AD964" s="85">
        <f>IF($A964="","",IF(OR($AB964&lt;&gt;"Yes",$AC964="",TODAY()-$AC964&gt;90),"At Risk","Not At Risk"))</f>
        <v/>
      </c>
      <c r="AE964" s="85" t="n"/>
    </row>
    <row r="965" ht="15" customHeight="1" s="39">
      <c r="A965" s="85" t="n"/>
      <c r="B965" s="85" t="n"/>
      <c r="C965" s="85" t="n"/>
      <c r="D965" s="85" t="n"/>
      <c r="E965" s="85" t="n"/>
      <c r="F965" s="85" t="n"/>
      <c r="G965" s="85" t="n"/>
      <c r="H965" s="85" t="n"/>
      <c r="I965" s="85" t="n"/>
      <c r="J965" s="85" t="n"/>
      <c r="K965" s="85" t="n"/>
      <c r="L965" s="85" t="n"/>
      <c r="M965" s="85" t="n"/>
      <c r="N965" s="85" t="n"/>
      <c r="O965" s="85" t="n"/>
      <c r="P965" s="85" t="n"/>
      <c r="Q965" s="85" t="n"/>
      <c r="R965" s="85" t="n"/>
      <c r="S965" s="85" t="n"/>
      <c r="T965" s="85" t="n"/>
      <c r="U965" s="85" t="n"/>
      <c r="V965" s="85" t="n"/>
      <c r="W965" s="85" t="n"/>
      <c r="X965" s="85" t="n"/>
      <c r="Y965" s="85" t="n"/>
      <c r="Z965" s="85" t="n"/>
      <c r="AA965" s="85" t="n"/>
      <c r="AB965" s="85" t="n"/>
      <c r="AC965" s="86" t="n"/>
      <c r="AD965" s="85">
        <f>IF($A965="","",IF(OR($AB965&lt;&gt;"Yes",$AC965="",TODAY()-$AC965&gt;90),"At Risk","Not At Risk"))</f>
        <v/>
      </c>
      <c r="AE965" s="85" t="n"/>
    </row>
    <row r="966" ht="15" customHeight="1" s="39">
      <c r="A966" s="85" t="n"/>
      <c r="B966" s="85" t="n"/>
      <c r="C966" s="85" t="n"/>
      <c r="D966" s="85" t="n"/>
      <c r="E966" s="85" t="n"/>
      <c r="F966" s="85" t="n"/>
      <c r="G966" s="85" t="n"/>
      <c r="H966" s="85" t="n"/>
      <c r="I966" s="85" t="n"/>
      <c r="J966" s="85" t="n"/>
      <c r="K966" s="85" t="n"/>
      <c r="L966" s="85" t="n"/>
      <c r="M966" s="85" t="n"/>
      <c r="N966" s="85" t="n"/>
      <c r="O966" s="85" t="n"/>
      <c r="P966" s="85" t="n"/>
      <c r="Q966" s="85" t="n"/>
      <c r="R966" s="85" t="n"/>
      <c r="S966" s="85" t="n"/>
      <c r="T966" s="85" t="n"/>
      <c r="U966" s="85" t="n"/>
      <c r="V966" s="85" t="n"/>
      <c r="W966" s="85" t="n"/>
      <c r="X966" s="85" t="n"/>
      <c r="Y966" s="85" t="n"/>
      <c r="Z966" s="85" t="n"/>
      <c r="AA966" s="85" t="n"/>
      <c r="AB966" s="85" t="n"/>
      <c r="AC966" s="86" t="n"/>
      <c r="AD966" s="85">
        <f>IF($A966="","",IF(OR($AB966&lt;&gt;"Yes",$AC966="",TODAY()-$AC966&gt;90),"At Risk","Not At Risk"))</f>
        <v/>
      </c>
      <c r="AE966" s="85" t="n"/>
    </row>
    <row r="967" ht="15" customHeight="1" s="39">
      <c r="A967" s="85" t="n"/>
      <c r="B967" s="85" t="n"/>
      <c r="C967" s="85" t="n"/>
      <c r="D967" s="85" t="n"/>
      <c r="E967" s="85" t="n"/>
      <c r="F967" s="85" t="n"/>
      <c r="G967" s="85" t="n"/>
      <c r="H967" s="85" t="n"/>
      <c r="I967" s="85" t="n"/>
      <c r="J967" s="85" t="n"/>
      <c r="K967" s="85" t="n"/>
      <c r="L967" s="85" t="n"/>
      <c r="M967" s="85" t="n"/>
      <c r="N967" s="85" t="n"/>
      <c r="O967" s="85" t="n"/>
      <c r="P967" s="85" t="n"/>
      <c r="Q967" s="85" t="n"/>
      <c r="R967" s="85" t="n"/>
      <c r="S967" s="85" t="n"/>
      <c r="T967" s="85" t="n"/>
      <c r="U967" s="85" t="n"/>
      <c r="V967" s="85" t="n"/>
      <c r="W967" s="85" t="n"/>
      <c r="X967" s="85" t="n"/>
      <c r="Y967" s="85" t="n"/>
      <c r="Z967" s="85" t="n"/>
      <c r="AA967" s="85" t="n"/>
      <c r="AB967" s="85" t="n"/>
      <c r="AC967" s="86" t="n"/>
      <c r="AD967" s="85">
        <f>IF($A967="","",IF(OR($AB967&lt;&gt;"Yes",$AC967="",TODAY()-$AC967&gt;90),"At Risk","Not At Risk"))</f>
        <v/>
      </c>
      <c r="AE967" s="85" t="n"/>
    </row>
    <row r="968" ht="15" customHeight="1" s="39">
      <c r="A968" s="85" t="n"/>
      <c r="B968" s="85" t="n"/>
      <c r="C968" s="85" t="n"/>
      <c r="D968" s="85" t="n"/>
      <c r="E968" s="85" t="n"/>
      <c r="F968" s="85" t="n"/>
      <c r="G968" s="85" t="n"/>
      <c r="H968" s="85" t="n"/>
      <c r="I968" s="85" t="n"/>
      <c r="J968" s="85" t="n"/>
      <c r="K968" s="85" t="n"/>
      <c r="L968" s="85" t="n"/>
      <c r="M968" s="85" t="n"/>
      <c r="N968" s="85" t="n"/>
      <c r="O968" s="85" t="n"/>
      <c r="P968" s="85" t="n"/>
      <c r="Q968" s="85" t="n"/>
      <c r="R968" s="85" t="n"/>
      <c r="S968" s="85" t="n"/>
      <c r="T968" s="85" t="n"/>
      <c r="U968" s="85" t="n"/>
      <c r="V968" s="85" t="n"/>
      <c r="W968" s="85" t="n"/>
      <c r="X968" s="85" t="n"/>
      <c r="Y968" s="85" t="n"/>
      <c r="Z968" s="85" t="n"/>
      <c r="AA968" s="85" t="n"/>
      <c r="AB968" s="85" t="n"/>
      <c r="AC968" s="86" t="n"/>
      <c r="AD968" s="85">
        <f>IF($A968="","",IF(OR($AB968&lt;&gt;"Yes",$AC968="",TODAY()-$AC968&gt;90),"At Risk","Not At Risk"))</f>
        <v/>
      </c>
      <c r="AE968" s="85" t="n"/>
    </row>
    <row r="969" ht="15" customHeight="1" s="39">
      <c r="A969" s="85" t="n"/>
      <c r="B969" s="85" t="n"/>
      <c r="C969" s="85" t="n"/>
      <c r="D969" s="85" t="n"/>
      <c r="E969" s="85" t="n"/>
      <c r="F969" s="85" t="n"/>
      <c r="G969" s="85" t="n"/>
      <c r="H969" s="85" t="n"/>
      <c r="I969" s="85" t="n"/>
      <c r="J969" s="85" t="n"/>
      <c r="K969" s="85" t="n"/>
      <c r="L969" s="85" t="n"/>
      <c r="M969" s="85" t="n"/>
      <c r="N969" s="85" t="n"/>
      <c r="O969" s="85" t="n"/>
      <c r="P969" s="85" t="n"/>
      <c r="Q969" s="85" t="n"/>
      <c r="R969" s="85" t="n"/>
      <c r="S969" s="85" t="n"/>
      <c r="T969" s="85" t="n"/>
      <c r="U969" s="85" t="n"/>
      <c r="V969" s="85" t="n"/>
      <c r="W969" s="85" t="n"/>
      <c r="X969" s="85" t="n"/>
      <c r="Y969" s="85" t="n"/>
      <c r="Z969" s="85" t="n"/>
      <c r="AA969" s="85" t="n"/>
      <c r="AB969" s="85" t="n"/>
      <c r="AC969" s="86" t="n"/>
      <c r="AD969" s="85">
        <f>IF($A969="","",IF(OR($AB969&lt;&gt;"Yes",$AC969="",TODAY()-$AC969&gt;90),"At Risk","Not At Risk"))</f>
        <v/>
      </c>
      <c r="AE969" s="85" t="n"/>
    </row>
    <row r="970" ht="15" customHeight="1" s="39">
      <c r="A970" s="85" t="n"/>
      <c r="B970" s="85" t="n"/>
      <c r="C970" s="85" t="n"/>
      <c r="D970" s="85" t="n"/>
      <c r="E970" s="85" t="n"/>
      <c r="F970" s="85" t="n"/>
      <c r="G970" s="85" t="n"/>
      <c r="H970" s="85" t="n"/>
      <c r="I970" s="85" t="n"/>
      <c r="J970" s="85" t="n"/>
      <c r="K970" s="85" t="n"/>
      <c r="L970" s="85" t="n"/>
      <c r="M970" s="85" t="n"/>
      <c r="N970" s="85" t="n"/>
      <c r="O970" s="85" t="n"/>
      <c r="P970" s="85" t="n"/>
      <c r="Q970" s="85" t="n"/>
      <c r="R970" s="85" t="n"/>
      <c r="S970" s="85" t="n"/>
      <c r="T970" s="85" t="n"/>
      <c r="U970" s="85" t="n"/>
      <c r="V970" s="85" t="n"/>
      <c r="W970" s="85" t="n"/>
      <c r="X970" s="85" t="n"/>
      <c r="Y970" s="85" t="n"/>
      <c r="Z970" s="85" t="n"/>
      <c r="AA970" s="85" t="n"/>
      <c r="AB970" s="85" t="n"/>
      <c r="AC970" s="86" t="n"/>
      <c r="AD970" s="85">
        <f>IF($A970="","",IF(OR($AB970&lt;&gt;"Yes",$AC970="",TODAY()-$AC970&gt;90),"At Risk","Not At Risk"))</f>
        <v/>
      </c>
      <c r="AE970" s="85" t="n"/>
    </row>
    <row r="971" ht="15" customHeight="1" s="39">
      <c r="A971" s="85" t="n"/>
      <c r="B971" s="85" t="n"/>
      <c r="C971" s="85" t="n"/>
      <c r="D971" s="85" t="n"/>
      <c r="E971" s="85" t="n"/>
      <c r="F971" s="85" t="n"/>
      <c r="G971" s="85" t="n"/>
      <c r="H971" s="85" t="n"/>
      <c r="I971" s="85" t="n"/>
      <c r="J971" s="85" t="n"/>
      <c r="K971" s="85" t="n"/>
      <c r="L971" s="85" t="n"/>
      <c r="M971" s="85" t="n"/>
      <c r="N971" s="85" t="n"/>
      <c r="O971" s="85" t="n"/>
      <c r="P971" s="85" t="n"/>
      <c r="Q971" s="85" t="n"/>
      <c r="R971" s="85" t="n"/>
      <c r="S971" s="85" t="n"/>
      <c r="T971" s="85" t="n"/>
      <c r="U971" s="85" t="n"/>
      <c r="V971" s="85" t="n"/>
      <c r="W971" s="85" t="n"/>
      <c r="X971" s="85" t="n"/>
      <c r="Y971" s="85" t="n"/>
      <c r="Z971" s="85" t="n"/>
      <c r="AA971" s="85" t="n"/>
      <c r="AB971" s="85" t="n"/>
      <c r="AC971" s="86" t="n"/>
      <c r="AD971" s="85">
        <f>IF($A971="","",IF(OR($AB971&lt;&gt;"Yes",$AC971="",TODAY()-$AC971&gt;90),"At Risk","Not At Risk"))</f>
        <v/>
      </c>
      <c r="AE971" s="85" t="n"/>
    </row>
    <row r="972" ht="15" customHeight="1" s="39">
      <c r="A972" s="85" t="n"/>
      <c r="B972" s="85" t="n"/>
      <c r="C972" s="85" t="n"/>
      <c r="D972" s="85" t="n"/>
      <c r="E972" s="85" t="n"/>
      <c r="F972" s="85" t="n"/>
      <c r="G972" s="85" t="n"/>
      <c r="H972" s="85" t="n"/>
      <c r="I972" s="85" t="n"/>
      <c r="J972" s="85" t="n"/>
      <c r="K972" s="85" t="n"/>
      <c r="L972" s="85" t="n"/>
      <c r="M972" s="85" t="n"/>
      <c r="N972" s="85" t="n"/>
      <c r="O972" s="85" t="n"/>
      <c r="P972" s="85" t="n"/>
      <c r="Q972" s="85" t="n"/>
      <c r="R972" s="85" t="n"/>
      <c r="S972" s="85" t="n"/>
      <c r="T972" s="85" t="n"/>
      <c r="U972" s="85" t="n"/>
      <c r="V972" s="85" t="n"/>
      <c r="W972" s="85" t="n"/>
      <c r="X972" s="85" t="n"/>
      <c r="Y972" s="85" t="n"/>
      <c r="Z972" s="85" t="n"/>
      <c r="AA972" s="85" t="n"/>
      <c r="AB972" s="85" t="n"/>
      <c r="AC972" s="86" t="n"/>
      <c r="AD972" s="85">
        <f>IF($A972="","",IF(OR($AB972&lt;&gt;"Yes",$AC972="",TODAY()-$AC972&gt;90),"At Risk","Not At Risk"))</f>
        <v/>
      </c>
      <c r="AE972" s="85" t="n"/>
    </row>
    <row r="973" ht="15" customHeight="1" s="39">
      <c r="A973" s="85" t="n"/>
      <c r="B973" s="85" t="n"/>
      <c r="C973" s="85" t="n"/>
      <c r="D973" s="85" t="n"/>
      <c r="E973" s="85" t="n"/>
      <c r="F973" s="85" t="n"/>
      <c r="G973" s="85" t="n"/>
      <c r="H973" s="85" t="n"/>
      <c r="I973" s="85" t="n"/>
      <c r="J973" s="85" t="n"/>
      <c r="K973" s="85" t="n"/>
      <c r="L973" s="85" t="n"/>
      <c r="M973" s="85" t="n"/>
      <c r="N973" s="85" t="n"/>
      <c r="O973" s="85" t="n"/>
      <c r="P973" s="85" t="n"/>
      <c r="Q973" s="85" t="n"/>
      <c r="R973" s="85" t="n"/>
      <c r="S973" s="85" t="n"/>
      <c r="T973" s="85" t="n"/>
      <c r="U973" s="85" t="n"/>
      <c r="V973" s="85" t="n"/>
      <c r="W973" s="85" t="n"/>
      <c r="X973" s="85" t="n"/>
      <c r="Y973" s="85" t="n"/>
      <c r="Z973" s="85" t="n"/>
      <c r="AA973" s="85" t="n"/>
      <c r="AB973" s="85" t="n"/>
      <c r="AC973" s="86" t="n"/>
      <c r="AD973" s="85">
        <f>IF($A973="","",IF(OR($AB973&lt;&gt;"Yes",$AC973="",TODAY()-$AC973&gt;90),"At Risk","Not At Risk"))</f>
        <v/>
      </c>
      <c r="AE973" s="85" t="n"/>
    </row>
    <row r="974" ht="15" customHeight="1" s="39">
      <c r="A974" s="85" t="n"/>
      <c r="B974" s="85" t="n"/>
      <c r="C974" s="85" t="n"/>
      <c r="D974" s="85" t="n"/>
      <c r="E974" s="85" t="n"/>
      <c r="F974" s="85" t="n"/>
      <c r="G974" s="85" t="n"/>
      <c r="H974" s="85" t="n"/>
      <c r="I974" s="85" t="n"/>
      <c r="J974" s="85" t="n"/>
      <c r="K974" s="85" t="n"/>
      <c r="L974" s="85" t="n"/>
      <c r="M974" s="85" t="n"/>
      <c r="N974" s="85" t="n"/>
      <c r="O974" s="85" t="n"/>
      <c r="P974" s="85" t="n"/>
      <c r="Q974" s="85" t="n"/>
      <c r="R974" s="85" t="n"/>
      <c r="S974" s="85" t="n"/>
      <c r="T974" s="85" t="n"/>
      <c r="U974" s="85" t="n"/>
      <c r="V974" s="85" t="n"/>
      <c r="W974" s="85" t="n"/>
      <c r="X974" s="85" t="n"/>
      <c r="Y974" s="85" t="n"/>
      <c r="Z974" s="85" t="n"/>
      <c r="AA974" s="85" t="n"/>
      <c r="AB974" s="85" t="n"/>
      <c r="AC974" s="86" t="n"/>
      <c r="AD974" s="85">
        <f>IF($A974="","",IF(OR($AB974&lt;&gt;"Yes",$AC974="",TODAY()-$AC974&gt;90),"At Risk","Not At Risk"))</f>
        <v/>
      </c>
      <c r="AE974" s="85" t="n"/>
    </row>
    <row r="975" ht="15" customHeight="1" s="39">
      <c r="A975" s="85" t="n"/>
      <c r="B975" s="85" t="n"/>
      <c r="C975" s="85" t="n"/>
      <c r="D975" s="85" t="n"/>
      <c r="E975" s="85" t="n"/>
      <c r="F975" s="85" t="n"/>
      <c r="G975" s="85" t="n"/>
      <c r="H975" s="85" t="n"/>
      <c r="I975" s="85" t="n"/>
      <c r="J975" s="85" t="n"/>
      <c r="K975" s="85" t="n"/>
      <c r="L975" s="85" t="n"/>
      <c r="M975" s="85" t="n"/>
      <c r="N975" s="85" t="n"/>
      <c r="O975" s="85" t="n"/>
      <c r="P975" s="85" t="n"/>
      <c r="Q975" s="85" t="n"/>
      <c r="R975" s="85" t="n"/>
      <c r="S975" s="85" t="n"/>
      <c r="T975" s="85" t="n"/>
      <c r="U975" s="85" t="n"/>
      <c r="V975" s="85" t="n"/>
      <c r="W975" s="85" t="n"/>
      <c r="X975" s="85" t="n"/>
      <c r="Y975" s="85" t="n"/>
      <c r="Z975" s="85" t="n"/>
      <c r="AA975" s="85" t="n"/>
      <c r="AB975" s="85" t="n"/>
      <c r="AC975" s="86" t="n"/>
      <c r="AD975" s="85">
        <f>IF($A975="","",IF(OR($AB975&lt;&gt;"Yes",$AC975="",TODAY()-$AC975&gt;90),"At Risk","Not At Risk"))</f>
        <v/>
      </c>
      <c r="AE975" s="85" t="n"/>
    </row>
    <row r="976" ht="15" customHeight="1" s="39">
      <c r="A976" s="85" t="n"/>
      <c r="B976" s="85" t="n"/>
      <c r="C976" s="85" t="n"/>
      <c r="D976" s="85" t="n"/>
      <c r="E976" s="85" t="n"/>
      <c r="F976" s="85" t="n"/>
      <c r="G976" s="85" t="n"/>
      <c r="H976" s="85" t="n"/>
      <c r="I976" s="85" t="n"/>
      <c r="J976" s="85" t="n"/>
      <c r="K976" s="85" t="n"/>
      <c r="L976" s="85" t="n"/>
      <c r="M976" s="85" t="n"/>
      <c r="N976" s="85" t="n"/>
      <c r="O976" s="85" t="n"/>
      <c r="P976" s="85" t="n"/>
      <c r="Q976" s="85" t="n"/>
      <c r="R976" s="85" t="n"/>
      <c r="S976" s="85" t="n"/>
      <c r="T976" s="85" t="n"/>
      <c r="U976" s="85" t="n"/>
      <c r="V976" s="85" t="n"/>
      <c r="W976" s="85" t="n"/>
      <c r="X976" s="85" t="n"/>
      <c r="Y976" s="85" t="n"/>
      <c r="Z976" s="85" t="n"/>
      <c r="AA976" s="85" t="n"/>
      <c r="AB976" s="85" t="n"/>
      <c r="AC976" s="86" t="n"/>
      <c r="AD976" s="85">
        <f>IF($A976="","",IF(OR($AB976&lt;&gt;"Yes",$AC976="",TODAY()-$AC976&gt;90),"At Risk","Not At Risk"))</f>
        <v/>
      </c>
      <c r="AE976" s="85" t="n"/>
    </row>
    <row r="977" ht="15" customHeight="1" s="39">
      <c r="A977" s="85" t="n"/>
      <c r="B977" s="85" t="n"/>
      <c r="C977" s="85" t="n"/>
      <c r="D977" s="85" t="n"/>
      <c r="E977" s="85" t="n"/>
      <c r="F977" s="85" t="n"/>
      <c r="G977" s="85" t="n"/>
      <c r="H977" s="85" t="n"/>
      <c r="I977" s="85" t="n"/>
      <c r="J977" s="85" t="n"/>
      <c r="K977" s="85" t="n"/>
      <c r="L977" s="85" t="n"/>
      <c r="M977" s="85" t="n"/>
      <c r="N977" s="85" t="n"/>
      <c r="O977" s="85" t="n"/>
      <c r="P977" s="85" t="n"/>
      <c r="Q977" s="85" t="n"/>
      <c r="R977" s="85" t="n"/>
      <c r="S977" s="85" t="n"/>
      <c r="T977" s="85" t="n"/>
      <c r="U977" s="85" t="n"/>
      <c r="V977" s="85" t="n"/>
      <c r="W977" s="85" t="n"/>
      <c r="X977" s="85" t="n"/>
      <c r="Y977" s="85" t="n"/>
      <c r="Z977" s="85" t="n"/>
      <c r="AA977" s="85" t="n"/>
      <c r="AB977" s="85" t="n"/>
      <c r="AC977" s="86" t="n"/>
      <c r="AD977" s="85">
        <f>IF($A977="","",IF(OR($AB977&lt;&gt;"Yes",$AC977="",TODAY()-$AC977&gt;90),"At Risk","Not At Risk"))</f>
        <v/>
      </c>
      <c r="AE977" s="85" t="n"/>
    </row>
    <row r="978" ht="15" customHeight="1" s="39">
      <c r="A978" s="85" t="n"/>
      <c r="B978" s="85" t="n"/>
      <c r="C978" s="85" t="n"/>
      <c r="D978" s="85" t="n"/>
      <c r="E978" s="85" t="n"/>
      <c r="F978" s="85" t="n"/>
      <c r="G978" s="85" t="n"/>
      <c r="H978" s="85" t="n"/>
      <c r="I978" s="85" t="n"/>
      <c r="J978" s="85" t="n"/>
      <c r="K978" s="85" t="n"/>
      <c r="L978" s="85" t="n"/>
      <c r="M978" s="85" t="n"/>
      <c r="N978" s="85" t="n"/>
      <c r="O978" s="85" t="n"/>
      <c r="P978" s="85" t="n"/>
      <c r="Q978" s="85" t="n"/>
      <c r="R978" s="85" t="n"/>
      <c r="S978" s="85" t="n"/>
      <c r="T978" s="85" t="n"/>
      <c r="U978" s="85" t="n"/>
      <c r="V978" s="85" t="n"/>
      <c r="W978" s="85" t="n"/>
      <c r="X978" s="85" t="n"/>
      <c r="Y978" s="85" t="n"/>
      <c r="Z978" s="85" t="n"/>
      <c r="AA978" s="85" t="n"/>
      <c r="AB978" s="85" t="n"/>
      <c r="AC978" s="86" t="n"/>
      <c r="AD978" s="85">
        <f>IF($A978="","",IF(OR($AB978&lt;&gt;"Yes",$AC978="",TODAY()-$AC978&gt;90),"At Risk","Not At Risk"))</f>
        <v/>
      </c>
      <c r="AE978" s="85" t="n"/>
    </row>
    <row r="979" ht="15" customHeight="1" s="39">
      <c r="A979" s="85" t="n"/>
      <c r="B979" s="85" t="n"/>
      <c r="C979" s="85" t="n"/>
      <c r="D979" s="85" t="n"/>
      <c r="E979" s="85" t="n"/>
      <c r="F979" s="85" t="n"/>
      <c r="G979" s="85" t="n"/>
      <c r="H979" s="85" t="n"/>
      <c r="I979" s="85" t="n"/>
      <c r="J979" s="85" t="n"/>
      <c r="K979" s="85" t="n"/>
      <c r="L979" s="85" t="n"/>
      <c r="M979" s="85" t="n"/>
      <c r="N979" s="85" t="n"/>
      <c r="O979" s="85" t="n"/>
      <c r="P979" s="85" t="n"/>
      <c r="Q979" s="85" t="n"/>
      <c r="R979" s="85" t="n"/>
      <c r="S979" s="85" t="n"/>
      <c r="T979" s="85" t="n"/>
      <c r="U979" s="85" t="n"/>
      <c r="V979" s="85" t="n"/>
      <c r="W979" s="85" t="n"/>
      <c r="X979" s="85" t="n"/>
      <c r="Y979" s="85" t="n"/>
      <c r="Z979" s="85" t="n"/>
      <c r="AA979" s="85" t="n"/>
      <c r="AB979" s="85" t="n"/>
      <c r="AC979" s="86" t="n"/>
      <c r="AD979" s="85">
        <f>IF($A979="","",IF(OR($AB979&lt;&gt;"Yes",$AC979="",TODAY()-$AC979&gt;90),"At Risk","Not At Risk"))</f>
        <v/>
      </c>
      <c r="AE979" s="85" t="n"/>
    </row>
    <row r="980" ht="15" customHeight="1" s="39">
      <c r="A980" s="85" t="n"/>
      <c r="B980" s="85" t="n"/>
      <c r="C980" s="85" t="n"/>
      <c r="D980" s="85" t="n"/>
      <c r="E980" s="85" t="n"/>
      <c r="F980" s="85" t="n"/>
      <c r="G980" s="85" t="n"/>
      <c r="H980" s="85" t="n"/>
      <c r="I980" s="85" t="n"/>
      <c r="J980" s="85" t="n"/>
      <c r="K980" s="85" t="n"/>
      <c r="L980" s="85" t="n"/>
      <c r="M980" s="85" t="n"/>
      <c r="N980" s="85" t="n"/>
      <c r="O980" s="85" t="n"/>
      <c r="P980" s="85" t="n"/>
      <c r="Q980" s="85" t="n"/>
      <c r="R980" s="85" t="n"/>
      <c r="S980" s="85" t="n"/>
      <c r="T980" s="85" t="n"/>
      <c r="U980" s="85" t="n"/>
      <c r="V980" s="85" t="n"/>
      <c r="W980" s="85" t="n"/>
      <c r="X980" s="85" t="n"/>
      <c r="Y980" s="85" t="n"/>
      <c r="Z980" s="85" t="n"/>
      <c r="AA980" s="85" t="n"/>
      <c r="AB980" s="85" t="n"/>
      <c r="AC980" s="86" t="n"/>
      <c r="AD980" s="85">
        <f>IF($A980="","",IF(OR($AB980&lt;&gt;"Yes",$AC980="",TODAY()-$AC980&gt;90),"At Risk","Not At Risk"))</f>
        <v/>
      </c>
      <c r="AE980" s="85" t="n"/>
    </row>
    <row r="981" ht="15" customHeight="1" s="39">
      <c r="A981" s="85" t="n"/>
      <c r="B981" s="85" t="n"/>
      <c r="C981" s="85" t="n"/>
      <c r="D981" s="85" t="n"/>
      <c r="E981" s="85" t="n"/>
      <c r="F981" s="85" t="n"/>
      <c r="G981" s="85" t="n"/>
      <c r="H981" s="85" t="n"/>
      <c r="I981" s="85" t="n"/>
      <c r="J981" s="85" t="n"/>
      <c r="K981" s="85" t="n"/>
      <c r="L981" s="85" t="n"/>
      <c r="M981" s="85" t="n"/>
      <c r="N981" s="85" t="n"/>
      <c r="O981" s="85" t="n"/>
      <c r="P981" s="85" t="n"/>
      <c r="Q981" s="85" t="n"/>
      <c r="R981" s="85" t="n"/>
      <c r="S981" s="85" t="n"/>
      <c r="T981" s="85" t="n"/>
      <c r="U981" s="85" t="n"/>
      <c r="V981" s="85" t="n"/>
      <c r="W981" s="85" t="n"/>
      <c r="X981" s="85" t="n"/>
      <c r="Y981" s="85" t="n"/>
      <c r="Z981" s="85" t="n"/>
      <c r="AA981" s="85" t="n"/>
      <c r="AB981" s="85" t="n"/>
      <c r="AC981" s="86" t="n"/>
      <c r="AD981" s="85">
        <f>IF($A981="","",IF(OR($AB981&lt;&gt;"Yes",$AC981="",TODAY()-$AC981&gt;90),"At Risk","Not At Risk"))</f>
        <v/>
      </c>
      <c r="AE981" s="85" t="n"/>
    </row>
    <row r="982" ht="15" customHeight="1" s="39">
      <c r="A982" s="85" t="n"/>
      <c r="B982" s="85" t="n"/>
      <c r="C982" s="85" t="n"/>
      <c r="D982" s="85" t="n"/>
      <c r="E982" s="85" t="n"/>
      <c r="F982" s="85" t="n"/>
      <c r="G982" s="85" t="n"/>
      <c r="H982" s="85" t="n"/>
      <c r="I982" s="85" t="n"/>
      <c r="J982" s="85" t="n"/>
      <c r="K982" s="85" t="n"/>
      <c r="L982" s="85" t="n"/>
      <c r="M982" s="85" t="n"/>
      <c r="N982" s="85" t="n"/>
      <c r="O982" s="85" t="n"/>
      <c r="P982" s="85" t="n"/>
      <c r="Q982" s="85" t="n"/>
      <c r="R982" s="85" t="n"/>
      <c r="S982" s="85" t="n"/>
      <c r="T982" s="85" t="n"/>
      <c r="U982" s="85" t="n"/>
      <c r="V982" s="85" t="n"/>
      <c r="W982" s="85" t="n"/>
      <c r="X982" s="85" t="n"/>
      <c r="Y982" s="85" t="n"/>
      <c r="Z982" s="85" t="n"/>
      <c r="AA982" s="85" t="n"/>
      <c r="AB982" s="85" t="n"/>
      <c r="AC982" s="86" t="n"/>
      <c r="AD982" s="85">
        <f>IF($A982="","",IF(OR($AB982&lt;&gt;"Yes",$AC982="",TODAY()-$AC982&gt;90),"At Risk","Not At Risk"))</f>
        <v/>
      </c>
      <c r="AE982" s="85" t="n"/>
    </row>
    <row r="983" ht="15" customHeight="1" s="39">
      <c r="A983" s="85" t="n"/>
      <c r="B983" s="85" t="n"/>
      <c r="C983" s="85" t="n"/>
      <c r="D983" s="85" t="n"/>
      <c r="E983" s="85" t="n"/>
      <c r="F983" s="85" t="n"/>
      <c r="G983" s="85" t="n"/>
      <c r="H983" s="85" t="n"/>
      <c r="I983" s="85" t="n"/>
      <c r="J983" s="85" t="n"/>
      <c r="K983" s="85" t="n"/>
      <c r="L983" s="85" t="n"/>
      <c r="M983" s="85" t="n"/>
      <c r="N983" s="85" t="n"/>
      <c r="O983" s="85" t="n"/>
      <c r="P983" s="85" t="n"/>
      <c r="Q983" s="85" t="n"/>
      <c r="R983" s="85" t="n"/>
      <c r="S983" s="85" t="n"/>
      <c r="T983" s="85" t="n"/>
      <c r="U983" s="85" t="n"/>
      <c r="V983" s="85" t="n"/>
      <c r="W983" s="85" t="n"/>
      <c r="X983" s="85" t="n"/>
      <c r="Y983" s="85" t="n"/>
      <c r="Z983" s="85" t="n"/>
      <c r="AA983" s="85" t="n"/>
      <c r="AB983" s="85" t="n"/>
      <c r="AC983" s="86" t="n"/>
      <c r="AD983" s="85">
        <f>IF($A983="","",IF(OR($AB983&lt;&gt;"Yes",$AC983="",TODAY()-$AC983&gt;90),"At Risk","Not At Risk"))</f>
        <v/>
      </c>
      <c r="AE983" s="85" t="n"/>
    </row>
    <row r="984" ht="15" customHeight="1" s="39">
      <c r="A984" s="85" t="n"/>
      <c r="B984" s="85" t="n"/>
      <c r="C984" s="85" t="n"/>
      <c r="D984" s="85" t="n"/>
      <c r="E984" s="85" t="n"/>
      <c r="F984" s="85" t="n"/>
      <c r="G984" s="85" t="n"/>
      <c r="H984" s="85" t="n"/>
      <c r="I984" s="85" t="n"/>
      <c r="J984" s="85" t="n"/>
      <c r="K984" s="85" t="n"/>
      <c r="L984" s="85" t="n"/>
      <c r="M984" s="85" t="n"/>
      <c r="N984" s="85" t="n"/>
      <c r="O984" s="85" t="n"/>
      <c r="P984" s="85" t="n"/>
      <c r="Q984" s="85" t="n"/>
      <c r="R984" s="85" t="n"/>
      <c r="S984" s="85" t="n"/>
      <c r="T984" s="85" t="n"/>
      <c r="U984" s="85" t="n"/>
      <c r="V984" s="85" t="n"/>
      <c r="W984" s="85" t="n"/>
      <c r="X984" s="85" t="n"/>
      <c r="Y984" s="85" t="n"/>
      <c r="Z984" s="85" t="n"/>
      <c r="AA984" s="85" t="n"/>
      <c r="AB984" s="85" t="n"/>
      <c r="AC984" s="86" t="n"/>
      <c r="AD984" s="85">
        <f>IF($A984="","",IF(OR($AB984&lt;&gt;"Yes",$AC984="",TODAY()-$AC984&gt;90),"At Risk","Not At Risk"))</f>
        <v/>
      </c>
      <c r="AE984" s="85" t="n"/>
    </row>
    <row r="985" ht="15" customHeight="1" s="39">
      <c r="A985" s="85" t="n"/>
      <c r="B985" s="85" t="n"/>
      <c r="C985" s="85" t="n"/>
      <c r="D985" s="85" t="n"/>
      <c r="E985" s="85" t="n"/>
      <c r="F985" s="85" t="n"/>
      <c r="G985" s="85" t="n"/>
      <c r="H985" s="85" t="n"/>
      <c r="I985" s="85" t="n"/>
      <c r="J985" s="85" t="n"/>
      <c r="K985" s="85" t="n"/>
      <c r="L985" s="85" t="n"/>
      <c r="M985" s="85" t="n"/>
      <c r="N985" s="85" t="n"/>
      <c r="O985" s="85" t="n"/>
      <c r="P985" s="85" t="n"/>
      <c r="Q985" s="85" t="n"/>
      <c r="R985" s="85" t="n"/>
      <c r="S985" s="85" t="n"/>
      <c r="T985" s="85" t="n"/>
      <c r="U985" s="85" t="n"/>
      <c r="V985" s="85" t="n"/>
      <c r="W985" s="85" t="n"/>
      <c r="X985" s="85" t="n"/>
      <c r="Y985" s="85" t="n"/>
      <c r="Z985" s="85" t="n"/>
      <c r="AA985" s="85" t="n"/>
      <c r="AB985" s="85" t="n"/>
      <c r="AC985" s="86" t="n"/>
      <c r="AD985" s="85">
        <f>IF($A985="","",IF(OR($AB985&lt;&gt;"Yes",$AC985="",TODAY()-$AC985&gt;90),"At Risk","Not At Risk"))</f>
        <v/>
      </c>
      <c r="AE985" s="85" t="n"/>
    </row>
    <row r="986" ht="15" customHeight="1" s="39">
      <c r="A986" s="85" t="n"/>
      <c r="B986" s="85" t="n"/>
      <c r="C986" s="85" t="n"/>
      <c r="D986" s="85" t="n"/>
      <c r="E986" s="85" t="n"/>
      <c r="F986" s="85" t="n"/>
      <c r="G986" s="85" t="n"/>
      <c r="H986" s="85" t="n"/>
      <c r="I986" s="85" t="n"/>
      <c r="J986" s="85" t="n"/>
      <c r="K986" s="85" t="n"/>
      <c r="L986" s="85" t="n"/>
      <c r="M986" s="85" t="n"/>
      <c r="N986" s="85" t="n"/>
      <c r="O986" s="85" t="n"/>
      <c r="P986" s="85" t="n"/>
      <c r="Q986" s="85" t="n"/>
      <c r="R986" s="85" t="n"/>
      <c r="S986" s="85" t="n"/>
      <c r="T986" s="85" t="n"/>
      <c r="U986" s="85" t="n"/>
      <c r="V986" s="85" t="n"/>
      <c r="W986" s="85" t="n"/>
      <c r="X986" s="85" t="n"/>
      <c r="Y986" s="85" t="n"/>
      <c r="Z986" s="85" t="n"/>
      <c r="AA986" s="85" t="n"/>
      <c r="AB986" s="85" t="n"/>
      <c r="AC986" s="86" t="n"/>
      <c r="AD986" s="85">
        <f>IF($A986="","",IF(OR($AB986&lt;&gt;"Yes",$AC986="",TODAY()-$AC986&gt;90),"At Risk","Not At Risk"))</f>
        <v/>
      </c>
      <c r="AE986" s="85" t="n"/>
    </row>
    <row r="987" ht="15" customHeight="1" s="39">
      <c r="A987" s="85" t="n"/>
      <c r="B987" s="85" t="n"/>
      <c r="C987" s="85" t="n"/>
      <c r="D987" s="85" t="n"/>
      <c r="E987" s="85" t="n"/>
      <c r="F987" s="85" t="n"/>
      <c r="G987" s="85" t="n"/>
      <c r="H987" s="85" t="n"/>
      <c r="I987" s="85" t="n"/>
      <c r="J987" s="85" t="n"/>
      <c r="K987" s="85" t="n"/>
      <c r="L987" s="85" t="n"/>
      <c r="M987" s="85" t="n"/>
      <c r="N987" s="85" t="n"/>
      <c r="O987" s="85" t="n"/>
      <c r="P987" s="85" t="n"/>
      <c r="Q987" s="85" t="n"/>
      <c r="R987" s="85" t="n"/>
      <c r="S987" s="85" t="n"/>
      <c r="T987" s="85" t="n"/>
      <c r="U987" s="85" t="n"/>
      <c r="V987" s="85" t="n"/>
      <c r="W987" s="85" t="n"/>
      <c r="X987" s="85" t="n"/>
      <c r="Y987" s="85" t="n"/>
      <c r="Z987" s="85" t="n"/>
      <c r="AA987" s="85" t="n"/>
      <c r="AB987" s="85" t="n"/>
      <c r="AC987" s="86" t="n"/>
      <c r="AD987" s="85">
        <f>IF($A987="","",IF(OR($AB987&lt;&gt;"Yes",$AC987="",TODAY()-$AC987&gt;90),"At Risk","Not At Risk"))</f>
        <v/>
      </c>
      <c r="AE987" s="85" t="n"/>
    </row>
    <row r="988" ht="15" customHeight="1" s="39">
      <c r="A988" s="85" t="n"/>
      <c r="B988" s="85" t="n"/>
      <c r="C988" s="85" t="n"/>
      <c r="D988" s="85" t="n"/>
      <c r="E988" s="85" t="n"/>
      <c r="F988" s="85" t="n"/>
      <c r="G988" s="85" t="n"/>
      <c r="H988" s="85" t="n"/>
      <c r="I988" s="85" t="n"/>
      <c r="J988" s="85" t="n"/>
      <c r="K988" s="85" t="n"/>
      <c r="L988" s="85" t="n"/>
      <c r="M988" s="85" t="n"/>
      <c r="N988" s="85" t="n"/>
      <c r="O988" s="85" t="n"/>
      <c r="P988" s="85" t="n"/>
      <c r="Q988" s="85" t="n"/>
      <c r="R988" s="85" t="n"/>
      <c r="S988" s="85" t="n"/>
      <c r="T988" s="85" t="n"/>
      <c r="U988" s="85" t="n"/>
      <c r="V988" s="85" t="n"/>
      <c r="W988" s="85" t="n"/>
      <c r="X988" s="85" t="n"/>
      <c r="Y988" s="85" t="n"/>
      <c r="Z988" s="85" t="n"/>
      <c r="AA988" s="85" t="n"/>
      <c r="AB988" s="85" t="n"/>
      <c r="AC988" s="86" t="n"/>
      <c r="AD988" s="85">
        <f>IF($A988="","",IF(OR($AB988&lt;&gt;"Yes",$AC988="",TODAY()-$AC988&gt;90),"At Risk","Not At Risk"))</f>
        <v/>
      </c>
      <c r="AE988" s="85" t="n"/>
    </row>
    <row r="989" ht="15" customHeight="1" s="39">
      <c r="A989" s="85" t="n"/>
      <c r="B989" s="85" t="n"/>
      <c r="C989" s="85" t="n"/>
      <c r="D989" s="85" t="n"/>
      <c r="E989" s="85" t="n"/>
      <c r="F989" s="85" t="n"/>
      <c r="G989" s="85" t="n"/>
      <c r="H989" s="85" t="n"/>
      <c r="I989" s="85" t="n"/>
      <c r="J989" s="85" t="n"/>
      <c r="K989" s="85" t="n"/>
      <c r="L989" s="85" t="n"/>
      <c r="M989" s="85" t="n"/>
      <c r="N989" s="85" t="n"/>
      <c r="O989" s="85" t="n"/>
      <c r="P989" s="85" t="n"/>
      <c r="Q989" s="85" t="n"/>
      <c r="R989" s="85" t="n"/>
      <c r="S989" s="85" t="n"/>
      <c r="T989" s="85" t="n"/>
      <c r="U989" s="85" t="n"/>
      <c r="V989" s="85" t="n"/>
      <c r="W989" s="85" t="n"/>
      <c r="X989" s="85" t="n"/>
      <c r="Y989" s="85" t="n"/>
      <c r="Z989" s="85" t="n"/>
      <c r="AA989" s="85" t="n"/>
      <c r="AB989" s="85" t="n"/>
      <c r="AC989" s="86" t="n"/>
      <c r="AD989" s="85">
        <f>IF($A989="","",IF(OR($AB989&lt;&gt;"Yes",$AC989="",TODAY()-$AC989&gt;90),"At Risk","Not At Risk"))</f>
        <v/>
      </c>
      <c r="AE989" s="85" t="n"/>
    </row>
    <row r="990" ht="15" customHeight="1" s="39">
      <c r="A990" s="85" t="n"/>
      <c r="B990" s="85" t="n"/>
      <c r="C990" s="85" t="n"/>
      <c r="D990" s="85" t="n"/>
      <c r="E990" s="85" t="n"/>
      <c r="F990" s="85" t="n"/>
      <c r="G990" s="85" t="n"/>
      <c r="H990" s="85" t="n"/>
      <c r="I990" s="85" t="n"/>
      <c r="J990" s="85" t="n"/>
      <c r="K990" s="85" t="n"/>
      <c r="L990" s="85" t="n"/>
      <c r="M990" s="85" t="n"/>
      <c r="N990" s="85" t="n"/>
      <c r="O990" s="85" t="n"/>
      <c r="P990" s="85" t="n"/>
      <c r="Q990" s="85" t="n"/>
      <c r="R990" s="85" t="n"/>
      <c r="S990" s="85" t="n"/>
      <c r="T990" s="85" t="n"/>
      <c r="U990" s="85" t="n"/>
      <c r="V990" s="85" t="n"/>
      <c r="W990" s="85" t="n"/>
      <c r="X990" s="85" t="n"/>
      <c r="Y990" s="85" t="n"/>
      <c r="Z990" s="85" t="n"/>
      <c r="AA990" s="85" t="n"/>
      <c r="AB990" s="85" t="n"/>
      <c r="AC990" s="86" t="n"/>
      <c r="AD990" s="85">
        <f>IF($A990="","",IF(OR($AB990&lt;&gt;"Yes",$AC990="",TODAY()-$AC990&gt;90),"At Risk","Not At Risk"))</f>
        <v/>
      </c>
      <c r="AE990" s="85" t="n"/>
    </row>
    <row r="991" ht="15" customHeight="1" s="39">
      <c r="A991" s="85" t="n"/>
      <c r="B991" s="85" t="n"/>
      <c r="C991" s="85" t="n"/>
      <c r="D991" s="85" t="n"/>
      <c r="E991" s="85" t="n"/>
      <c r="F991" s="85" t="n"/>
      <c r="G991" s="85" t="n"/>
      <c r="H991" s="85" t="n"/>
      <c r="I991" s="85" t="n"/>
      <c r="J991" s="85" t="n"/>
      <c r="K991" s="85" t="n"/>
      <c r="L991" s="85" t="n"/>
      <c r="M991" s="85" t="n"/>
      <c r="N991" s="85" t="n"/>
      <c r="O991" s="85" t="n"/>
      <c r="P991" s="85" t="n"/>
      <c r="Q991" s="85" t="n"/>
      <c r="R991" s="85" t="n"/>
      <c r="S991" s="85" t="n"/>
      <c r="T991" s="85" t="n"/>
      <c r="U991" s="85" t="n"/>
      <c r="V991" s="85" t="n"/>
      <c r="W991" s="85" t="n"/>
      <c r="X991" s="85" t="n"/>
      <c r="Y991" s="85" t="n"/>
      <c r="Z991" s="85" t="n"/>
      <c r="AA991" s="85" t="n"/>
      <c r="AB991" s="85" t="n"/>
      <c r="AC991" s="86" t="n"/>
      <c r="AD991" s="85">
        <f>IF($A991="","",IF(OR($AB991&lt;&gt;"Yes",$AC991="",TODAY()-$AC991&gt;90),"At Risk","Not At Risk"))</f>
        <v/>
      </c>
      <c r="AE991" s="85" t="n"/>
    </row>
    <row r="992" ht="15" customHeight="1" s="39">
      <c r="A992" s="85" t="n"/>
      <c r="B992" s="85" t="n"/>
      <c r="C992" s="85" t="n"/>
      <c r="D992" s="85" t="n"/>
      <c r="E992" s="85" t="n"/>
      <c r="F992" s="85" t="n"/>
      <c r="G992" s="85" t="n"/>
      <c r="H992" s="85" t="n"/>
      <c r="I992" s="85" t="n"/>
      <c r="J992" s="85" t="n"/>
      <c r="K992" s="85" t="n"/>
      <c r="L992" s="85" t="n"/>
      <c r="M992" s="85" t="n"/>
      <c r="N992" s="85" t="n"/>
      <c r="O992" s="85" t="n"/>
      <c r="P992" s="85" t="n"/>
      <c r="Q992" s="85" t="n"/>
      <c r="R992" s="85" t="n"/>
      <c r="S992" s="85" t="n"/>
      <c r="T992" s="85" t="n"/>
      <c r="U992" s="85" t="n"/>
      <c r="V992" s="85" t="n"/>
      <c r="W992" s="85" t="n"/>
      <c r="X992" s="85" t="n"/>
      <c r="Y992" s="85" t="n"/>
      <c r="Z992" s="85" t="n"/>
      <c r="AA992" s="85" t="n"/>
      <c r="AB992" s="85" t="n"/>
      <c r="AC992" s="86" t="n"/>
      <c r="AD992" s="85">
        <f>IF($A992="","",IF(OR($AB992&lt;&gt;"Yes",$AC992="",TODAY()-$AC992&gt;90),"At Risk","Not At Risk"))</f>
        <v/>
      </c>
      <c r="AE992" s="85" t="n"/>
    </row>
    <row r="993" ht="15" customHeight="1" s="39">
      <c r="A993" s="85" t="n"/>
      <c r="B993" s="85" t="n"/>
      <c r="C993" s="85" t="n"/>
      <c r="D993" s="85" t="n"/>
      <c r="E993" s="85" t="n"/>
      <c r="F993" s="85" t="n"/>
      <c r="G993" s="85" t="n"/>
      <c r="H993" s="85" t="n"/>
      <c r="I993" s="85" t="n"/>
      <c r="J993" s="85" t="n"/>
      <c r="K993" s="85" t="n"/>
      <c r="L993" s="85" t="n"/>
      <c r="M993" s="85" t="n"/>
      <c r="N993" s="85" t="n"/>
      <c r="O993" s="85" t="n"/>
      <c r="P993" s="85" t="n"/>
      <c r="Q993" s="85" t="n"/>
      <c r="R993" s="85" t="n"/>
      <c r="S993" s="85" t="n"/>
      <c r="T993" s="85" t="n"/>
      <c r="U993" s="85" t="n"/>
      <c r="V993" s="85" t="n"/>
      <c r="W993" s="85" t="n"/>
      <c r="X993" s="85" t="n"/>
      <c r="Y993" s="85" t="n"/>
      <c r="Z993" s="85" t="n"/>
      <c r="AA993" s="85" t="n"/>
      <c r="AB993" s="85" t="n"/>
      <c r="AC993" s="86" t="n"/>
      <c r="AD993" s="85">
        <f>IF($A993="","",IF(OR($AB993&lt;&gt;"Yes",$AC993="",TODAY()-$AC993&gt;90),"At Risk","Not At Risk"))</f>
        <v/>
      </c>
      <c r="AE993" s="85" t="n"/>
    </row>
    <row r="994" ht="15" customHeight="1" s="39">
      <c r="A994" s="85" t="n"/>
      <c r="B994" s="85" t="n"/>
      <c r="C994" s="85" t="n"/>
      <c r="D994" s="85" t="n"/>
      <c r="E994" s="85" t="n"/>
      <c r="F994" s="85" t="n"/>
      <c r="G994" s="85" t="n"/>
      <c r="H994" s="85" t="n"/>
      <c r="I994" s="85" t="n"/>
      <c r="J994" s="85" t="n"/>
      <c r="K994" s="85" t="n"/>
      <c r="L994" s="85" t="n"/>
      <c r="M994" s="85" t="n"/>
      <c r="N994" s="85" t="n"/>
      <c r="O994" s="85" t="n"/>
      <c r="P994" s="85" t="n"/>
      <c r="Q994" s="85" t="n"/>
      <c r="R994" s="85" t="n"/>
      <c r="S994" s="85" t="n"/>
      <c r="T994" s="85" t="n"/>
      <c r="U994" s="85" t="n"/>
      <c r="V994" s="85" t="n"/>
      <c r="W994" s="85" t="n"/>
      <c r="X994" s="85" t="n"/>
      <c r="Y994" s="85" t="n"/>
      <c r="Z994" s="85" t="n"/>
      <c r="AA994" s="85" t="n"/>
      <c r="AB994" s="85" t="n"/>
      <c r="AC994" s="86" t="n"/>
      <c r="AD994" s="85">
        <f>IF($A994="","",IF(OR($AB994&lt;&gt;"Yes",$AC994="",TODAY()-$AC994&gt;90),"At Risk","Not At Risk"))</f>
        <v/>
      </c>
      <c r="AE994" s="85" t="n"/>
    </row>
    <row r="995" ht="15" customHeight="1" s="39">
      <c r="A995" s="85" t="n"/>
      <c r="B995" s="85" t="n"/>
      <c r="C995" s="85" t="n"/>
      <c r="D995" s="85" t="n"/>
      <c r="E995" s="85" t="n"/>
      <c r="F995" s="85" t="n"/>
      <c r="G995" s="85" t="n"/>
      <c r="H995" s="85" t="n"/>
      <c r="I995" s="85" t="n"/>
      <c r="J995" s="85" t="n"/>
      <c r="K995" s="85" t="n"/>
      <c r="L995" s="85" t="n"/>
      <c r="M995" s="85" t="n"/>
      <c r="N995" s="85" t="n"/>
      <c r="O995" s="85" t="n"/>
      <c r="P995" s="85" t="n"/>
      <c r="Q995" s="85" t="n"/>
      <c r="R995" s="85" t="n"/>
      <c r="S995" s="85" t="n"/>
      <c r="T995" s="85" t="n"/>
      <c r="U995" s="85" t="n"/>
      <c r="V995" s="85" t="n"/>
      <c r="W995" s="85" t="n"/>
      <c r="X995" s="85" t="n"/>
      <c r="Y995" s="85" t="n"/>
      <c r="Z995" s="85" t="n"/>
      <c r="AA995" s="85" t="n"/>
      <c r="AB995" s="85" t="n"/>
      <c r="AC995" s="86" t="n"/>
      <c r="AD995" s="85">
        <f>IF($A995="","",IF(OR($AB995&lt;&gt;"Yes",$AC995="",TODAY()-$AC995&gt;90),"At Risk","Not At Risk"))</f>
        <v/>
      </c>
      <c r="AE995" s="85" t="n"/>
    </row>
    <row r="996" ht="15" customHeight="1" s="39">
      <c r="A996" s="85" t="n"/>
      <c r="B996" s="85" t="n"/>
      <c r="C996" s="85" t="n"/>
      <c r="D996" s="85" t="n"/>
      <c r="E996" s="85" t="n"/>
      <c r="F996" s="85" t="n"/>
      <c r="G996" s="85" t="n"/>
      <c r="H996" s="85" t="n"/>
      <c r="I996" s="85" t="n"/>
      <c r="J996" s="85" t="n"/>
      <c r="K996" s="85" t="n"/>
      <c r="L996" s="85" t="n"/>
      <c r="M996" s="85" t="n"/>
      <c r="N996" s="85" t="n"/>
      <c r="O996" s="85" t="n"/>
      <c r="P996" s="85" t="n"/>
      <c r="Q996" s="85" t="n"/>
      <c r="R996" s="85" t="n"/>
      <c r="S996" s="85" t="n"/>
      <c r="T996" s="85" t="n"/>
      <c r="U996" s="85" t="n"/>
      <c r="V996" s="85" t="n"/>
      <c r="W996" s="85" t="n"/>
      <c r="X996" s="85" t="n"/>
      <c r="Y996" s="85" t="n"/>
      <c r="Z996" s="85" t="n"/>
      <c r="AA996" s="85" t="n"/>
      <c r="AB996" s="85" t="n"/>
      <c r="AC996" s="86" t="n"/>
      <c r="AD996" s="85">
        <f>IF($A996="","",IF(OR($AB996&lt;&gt;"Yes",$AC996="",TODAY()-$AC996&gt;90),"At Risk","Not At Risk"))</f>
        <v/>
      </c>
      <c r="AE996" s="85" t="n"/>
    </row>
    <row r="997" ht="15" customHeight="1" s="39">
      <c r="A997" s="85" t="n"/>
      <c r="B997" s="85" t="n"/>
      <c r="C997" s="85" t="n"/>
      <c r="D997" s="85" t="n"/>
      <c r="E997" s="85" t="n"/>
      <c r="F997" s="85" t="n"/>
      <c r="G997" s="85" t="n"/>
      <c r="H997" s="85" t="n"/>
      <c r="I997" s="85" t="n"/>
      <c r="J997" s="85" t="n"/>
      <c r="K997" s="85" t="n"/>
      <c r="L997" s="85" t="n"/>
      <c r="M997" s="85" t="n"/>
      <c r="N997" s="85" t="n"/>
      <c r="O997" s="85" t="n"/>
      <c r="P997" s="85" t="n"/>
      <c r="Q997" s="85" t="n"/>
      <c r="R997" s="85" t="n"/>
      <c r="S997" s="85" t="n"/>
      <c r="T997" s="85" t="n"/>
      <c r="U997" s="85" t="n"/>
      <c r="V997" s="85" t="n"/>
      <c r="W997" s="85" t="n"/>
      <c r="X997" s="85" t="n"/>
      <c r="Y997" s="85" t="n"/>
      <c r="Z997" s="85" t="n"/>
      <c r="AA997" s="85" t="n"/>
      <c r="AB997" s="85" t="n"/>
      <c r="AC997" s="86" t="n"/>
      <c r="AD997" s="85">
        <f>IF($A997="","",IF(OR($AB997&lt;&gt;"Yes",$AC997="",TODAY()-$AC997&gt;90),"At Risk","Not At Risk"))</f>
        <v/>
      </c>
      <c r="AE997" s="85" t="n"/>
    </row>
    <row r="998" ht="15" customHeight="1" s="39">
      <c r="A998" s="85" t="n"/>
      <c r="B998" s="85" t="n"/>
      <c r="C998" s="85" t="n"/>
      <c r="D998" s="85" t="n"/>
      <c r="E998" s="85" t="n"/>
      <c r="F998" s="85" t="n"/>
      <c r="G998" s="85" t="n"/>
      <c r="H998" s="85" t="n"/>
      <c r="I998" s="85" t="n"/>
      <c r="J998" s="85" t="n"/>
      <c r="K998" s="85" t="n"/>
      <c r="L998" s="85" t="n"/>
      <c r="M998" s="85" t="n"/>
      <c r="N998" s="85" t="n"/>
      <c r="O998" s="85" t="n"/>
      <c r="P998" s="85" t="n"/>
      <c r="Q998" s="85" t="n"/>
      <c r="R998" s="85" t="n"/>
      <c r="S998" s="85" t="n"/>
      <c r="T998" s="85" t="n"/>
      <c r="U998" s="85" t="n"/>
      <c r="V998" s="85" t="n"/>
      <c r="W998" s="85" t="n"/>
      <c r="X998" s="85" t="n"/>
      <c r="Y998" s="85" t="n"/>
      <c r="Z998" s="85" t="n"/>
      <c r="AA998" s="85" t="n"/>
      <c r="AB998" s="85" t="n"/>
      <c r="AC998" s="86" t="n"/>
      <c r="AD998" s="85">
        <f>IF($A998="","",IF(OR($AB998&lt;&gt;"Yes",$AC998="",TODAY()-$AC998&gt;90),"At Risk","Not At Risk"))</f>
        <v/>
      </c>
      <c r="AE998" s="85" t="n"/>
    </row>
    <row r="999" ht="15" customHeight="1" s="39">
      <c r="A999" s="85" t="n"/>
      <c r="B999" s="85" t="n"/>
      <c r="C999" s="85" t="n"/>
      <c r="D999" s="85" t="n"/>
      <c r="E999" s="85" t="n"/>
      <c r="F999" s="85" t="n"/>
      <c r="G999" s="85" t="n"/>
      <c r="H999" s="85" t="n"/>
      <c r="I999" s="85" t="n"/>
      <c r="J999" s="85" t="n"/>
      <c r="K999" s="85" t="n"/>
      <c r="L999" s="85" t="n"/>
      <c r="M999" s="85" t="n"/>
      <c r="N999" s="85" t="n"/>
      <c r="O999" s="85" t="n"/>
      <c r="P999" s="85" t="n"/>
      <c r="Q999" s="85" t="n"/>
      <c r="R999" s="85" t="n"/>
      <c r="S999" s="85" t="n"/>
      <c r="T999" s="85" t="n"/>
      <c r="U999" s="85" t="n"/>
      <c r="V999" s="85" t="n"/>
      <c r="W999" s="85" t="n"/>
      <c r="X999" s="85" t="n"/>
      <c r="Y999" s="85" t="n"/>
      <c r="Z999" s="85" t="n"/>
      <c r="AA999" s="85" t="n"/>
      <c r="AB999" s="85" t="n"/>
      <c r="AC999" s="86" t="n"/>
      <c r="AD999" s="85">
        <f>IF($A999="","",IF(OR($AB999&lt;&gt;"Yes",$AC999="",TODAY()-$AC999&gt;90),"At Risk","Not At Risk"))</f>
        <v/>
      </c>
      <c r="AE999" s="85" t="n"/>
    </row>
    <row r="1000" ht="15" customHeight="1" s="39">
      <c r="A1000" s="85" t="n"/>
      <c r="B1000" s="85" t="n"/>
      <c r="C1000" s="85" t="n"/>
      <c r="D1000" s="85" t="n"/>
      <c r="E1000" s="85" t="n"/>
      <c r="F1000" s="85" t="n"/>
      <c r="G1000" s="85" t="n"/>
      <c r="H1000" s="85" t="n"/>
      <c r="I1000" s="85" t="n"/>
      <c r="J1000" s="85" t="n"/>
      <c r="K1000" s="85" t="n"/>
      <c r="L1000" s="85" t="n"/>
      <c r="M1000" s="85" t="n"/>
      <c r="N1000" s="85" t="n"/>
      <c r="O1000" s="85" t="n"/>
      <c r="P1000" s="85" t="n"/>
      <c r="Q1000" s="85" t="n"/>
      <c r="R1000" s="85" t="n"/>
      <c r="S1000" s="85" t="n"/>
      <c r="T1000" s="85" t="n"/>
      <c r="U1000" s="85" t="n"/>
      <c r="V1000" s="85" t="n"/>
      <c r="W1000" s="85" t="n"/>
      <c r="X1000" s="85" t="n"/>
      <c r="Y1000" s="85" t="n"/>
      <c r="Z1000" s="85" t="n"/>
      <c r="AA1000" s="85" t="n"/>
      <c r="AB1000" s="85" t="n"/>
      <c r="AC1000" s="86" t="n"/>
      <c r="AD1000" s="85">
        <f>IF($A1000="","",IF(OR($AB1000&lt;&gt;"Yes",$AC1000="",TODAY()-$AC1000&gt;90),"At Risk","Not At Risk"))</f>
        <v/>
      </c>
      <c r="AE1000" s="85" t="n"/>
    </row>
    <row r="1001" ht="15" customHeight="1" s="39">
      <c r="A1001" s="85" t="n"/>
      <c r="B1001" s="85" t="n"/>
      <c r="C1001" s="85" t="n"/>
      <c r="D1001" s="85" t="n"/>
      <c r="E1001" s="85" t="n"/>
      <c r="F1001" s="85" t="n"/>
      <c r="G1001" s="85" t="n"/>
      <c r="H1001" s="85" t="n"/>
      <c r="I1001" s="85" t="n"/>
      <c r="J1001" s="85" t="n"/>
      <c r="K1001" s="85" t="n"/>
      <c r="L1001" s="85" t="n"/>
      <c r="M1001" s="85" t="n"/>
      <c r="N1001" s="85" t="n"/>
      <c r="O1001" s="85" t="n"/>
      <c r="P1001" s="85" t="n"/>
      <c r="Q1001" s="85" t="n"/>
      <c r="R1001" s="85" t="n"/>
      <c r="S1001" s="85" t="n"/>
      <c r="T1001" s="85" t="n"/>
      <c r="U1001" s="85" t="n"/>
      <c r="V1001" s="85" t="n"/>
      <c r="W1001" s="85" t="n"/>
      <c r="X1001" s="85" t="n"/>
      <c r="Y1001" s="85" t="n"/>
      <c r="Z1001" s="85" t="n"/>
      <c r="AA1001" s="85" t="n"/>
      <c r="AB1001" s="85" t="n"/>
      <c r="AC1001" s="86" t="n"/>
      <c r="AD1001" s="85">
        <f>IF($A1001="","",IF(OR($AB1001&lt;&gt;"Yes",$AC1001="",TODAY()-$AC1001&gt;90),"At Risk","Not At Risk"))</f>
        <v/>
      </c>
      <c r="AE1001" s="85" t="n"/>
    </row>
  </sheetData>
  <autoFilter ref="A1:AE1001"/>
  <conditionalFormatting sqref="P2:P1001">
    <cfRule type="expression" priority="1" dxfId="16">
      <formula>P2=0</formula>
    </cfRule>
    <cfRule type="expression" priority="2" dxfId="17">
      <formula>P2=1</formula>
    </cfRule>
  </conditionalFormatting>
  <conditionalFormatting sqref="O2:O1001">
    <cfRule type="expression" priority="3" dxfId="16">
      <formula>O2="YES"</formula>
    </cfRule>
  </conditionalFormatting>
  <conditionalFormatting sqref="Q2:Q1001">
    <cfRule type="expression" priority="4" dxfId="16">
      <formula>Q2="YES"</formula>
    </cfRule>
  </conditionalFormatting>
  <conditionalFormatting sqref="AD2:AD1001">
    <cfRule type="expression" priority="5" dxfId="16">
      <formula>AD2="At Risk"</formula>
    </cfRule>
    <cfRule type="expression" priority="6" dxfId="18">
      <formula>AD2="Not At Risk"</formula>
    </cfRule>
  </conditionalFormatting>
  <dataValidations count="1">
    <dataValidation sqref="AB2:AB1001" showDropDown="0" showInputMessage="0" showErrorMessage="0" allowBlank="1" type="list">
      <formula1>Reference!$A$2:$A$5</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1F4E79"/>
    <outlinePr summaryBelow="1" summaryRight="1"/>
    <pageSetUpPr/>
  </sheetPr>
  <dimension ref="A1:U10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34" customWidth="1" style="39" min="1" max="1"/>
    <col width="26" customWidth="1" style="39" min="2" max="2"/>
    <col width="36" customWidth="1" style="39" min="3" max="3"/>
    <col width="18" customWidth="1" style="39" min="4" max="4"/>
    <col width="11" customWidth="1" style="39" min="5" max="5"/>
    <col width="14" customWidth="1" style="39" min="6" max="6"/>
    <col width="14" customWidth="1" style="39" min="7" max="7"/>
    <col width="15" customWidth="1" style="39" min="8" max="8"/>
    <col width="15" customWidth="1" style="39" min="9" max="9"/>
    <col width="30" customWidth="1" style="39" min="10" max="10"/>
    <col width="30" customWidth="1" style="39" min="11" max="11"/>
    <col width="22" customWidth="1" style="39" min="12" max="12"/>
    <col width="11" customWidth="1" style="39" min="13" max="13"/>
    <col width="30" customWidth="1" style="39" min="14" max="14"/>
    <col width="15" customWidth="1" style="39" min="15" max="15"/>
    <col width="24" customWidth="1" style="39" min="16" max="16"/>
    <col width="22" customWidth="1" style="39" min="17" max="17"/>
    <col width="24" customWidth="1" style="39" min="18" max="18"/>
    <col width="14" customWidth="1" style="39" min="19" max="19"/>
    <col width="13" customWidth="1" style="39" min="20" max="20"/>
    <col width="34" customWidth="1" style="39" min="21" max="21"/>
  </cols>
  <sheetData>
    <row r="1" ht="49.5" customHeight="1" s="39">
      <c r="A1" s="87" t="inlineStr">
        <is>
          <t>Admin UPN</t>
        </is>
      </c>
      <c r="B1" s="87" t="inlineStr">
        <is>
          <t>Display Name</t>
        </is>
      </c>
      <c r="C1" s="87" t="inlineStr">
        <is>
          <t>Object ID</t>
        </is>
      </c>
      <c r="D1" s="87" t="inlineStr">
        <is>
          <t>Base Username</t>
        </is>
      </c>
      <c r="E1" s="87" t="inlineStr">
        <is>
          <t>Enabled</t>
        </is>
      </c>
      <c r="F1" s="87" t="inlineStr">
        <is>
          <t>Created</t>
        </is>
      </c>
      <c r="G1" s="87" t="inlineStr">
        <is>
          <t>Last Sign-In</t>
        </is>
      </c>
      <c r="H1" s="87" t="inlineStr">
        <is>
          <t>MFA Registered</t>
        </is>
      </c>
      <c r="I1" s="87" t="inlineStr">
        <is>
          <t>Phishing Resistant</t>
        </is>
      </c>
      <c r="J1" s="87" t="inlineStr">
        <is>
          <t>Auth Methods</t>
        </is>
      </c>
      <c r="K1" s="87" t="inlineStr">
        <is>
          <t>Highest Entra Role</t>
        </is>
      </c>
      <c r="L1" s="87" t="inlineStr">
        <is>
          <t>Highest Azure Role</t>
        </is>
      </c>
      <c r="M1" s="87" t="inlineStr">
        <is>
          <t>Overall Tier</t>
        </is>
      </c>
      <c r="N1" s="87" t="inlineStr">
        <is>
          <t>Standard Account UPN</t>
        </is>
      </c>
      <c r="O1" s="87" t="inlineStr">
        <is>
          <t>Standard Acct Enabled</t>
        </is>
      </c>
      <c r="P1" s="87" t="inlineStr">
        <is>
          <t>Person Display Name</t>
        </is>
      </c>
      <c r="Q1" s="87" t="inlineStr">
        <is>
          <t>Department</t>
        </is>
      </c>
      <c r="R1" s="87" t="inlineStr">
        <is>
          <t>Job Title</t>
        </is>
      </c>
      <c r="S1" s="87" t="inlineStr">
        <is>
          <t>Days Since Sign-In</t>
        </is>
      </c>
      <c r="T1" s="87" t="inlineStr">
        <is>
          <t>ORPHANED?</t>
        </is>
      </c>
      <c r="U1" s="87" t="inlineStr">
        <is>
          <t>Risk Flags</t>
        </is>
      </c>
    </row>
    <row r="2" ht="35.05" customHeight="1" s="39">
      <c r="A2" s="83" t="inlineStr">
        <is>
          <t>jsmith.azr@corp.onmicrosoft.com</t>
        </is>
      </c>
      <c r="B2" s="83" t="inlineStr">
        <is>
          <t>Jane Smith (Cloud Admin)</t>
        </is>
      </c>
      <c r="C2" s="83" t="inlineStr">
        <is>
          <t>4c8e1f2a-9b3d-4e6f-a1c5-7d2e8f3a9b4c</t>
        </is>
      </c>
      <c r="D2" s="83" t="inlineStr">
        <is>
          <t>jsmith</t>
        </is>
      </c>
      <c r="E2" s="83" t="inlineStr">
        <is>
          <t>Yes</t>
        </is>
      </c>
      <c r="F2" s="84" t="n">
        <v>45173</v>
      </c>
      <c r="G2" s="84" t="n">
        <v>46246</v>
      </c>
      <c r="H2" s="83" t="inlineStr">
        <is>
          <t>Yes</t>
        </is>
      </c>
      <c r="I2" s="83" t="inlineStr">
        <is>
          <t>No</t>
        </is>
      </c>
      <c r="J2" s="83" t="inlineStr">
        <is>
          <t>microsoftAuthenticatorPush; sms</t>
        </is>
      </c>
      <c r="K2" s="83" t="inlineStr">
        <is>
          <t>Global Administrator</t>
        </is>
      </c>
      <c r="L2" s="83" t="inlineStr">
        <is>
          <t>Owner</t>
        </is>
      </c>
      <c r="M2" s="83" t="n">
        <v>0</v>
      </c>
      <c r="N2" s="83" t="inlineStr">
        <is>
          <t>jsmith@corp.com.au</t>
        </is>
      </c>
      <c r="O2" s="83" t="inlineStr">
        <is>
          <t>Yes</t>
        </is>
      </c>
      <c r="P2" s="83" t="inlineStr">
        <is>
          <t>Jane Smith</t>
        </is>
      </c>
      <c r="Q2" s="83" t="inlineStr">
        <is>
          <t>Cloud Platform Engineering</t>
        </is>
      </c>
      <c r="R2" s="83" t="inlineStr">
        <is>
          <t>Principal Engineer</t>
        </is>
      </c>
      <c r="S2" s="83">
        <f>IF($G2="","",TODAY()-$G2)</f>
        <v/>
      </c>
      <c r="T2" s="83">
        <f>IF($A2="","",IF(AND($E2="Yes",OR($O2="No",$O2="NOT FOUND")),"YES",""))</f>
        <v/>
      </c>
      <c r="U2" s="83">
        <f>IF($A2="","",TRIM(IF(AND($M2=0,$I2&lt;&gt;"Yes"),"T0-NoPhishResistant ","")&amp;IF($H2="No","NoMFA ","")&amp;IF(AND($E2="Yes",$G2=""),"NeverSignedIn ","")))</f>
        <v/>
      </c>
    </row>
    <row r="3" ht="15" customHeight="1" s="39">
      <c r="A3" s="85" t="n"/>
      <c r="B3" s="85" t="n"/>
      <c r="C3" s="85" t="n"/>
      <c r="D3" s="85" t="n"/>
      <c r="E3" s="85" t="n"/>
      <c r="F3" s="86" t="n"/>
      <c r="G3" s="86" t="n"/>
      <c r="H3" s="85" t="n"/>
      <c r="I3" s="85" t="n"/>
      <c r="J3" s="85" t="n"/>
      <c r="K3" s="85" t="n"/>
      <c r="L3" s="85" t="n"/>
      <c r="M3" s="85" t="n"/>
      <c r="N3" s="85" t="n"/>
      <c r="O3" s="85" t="n"/>
      <c r="P3" s="85" t="n"/>
      <c r="Q3" s="85" t="n"/>
      <c r="R3" s="85" t="n"/>
      <c r="S3" s="85">
        <f>IF($G3="","",TODAY()-$G3)</f>
        <v/>
      </c>
      <c r="T3" s="85">
        <f>IF($A3="","",IF(AND($E3="Yes",OR($O3="No",$O3="NOT FOUND")),"YES",""))</f>
        <v/>
      </c>
      <c r="U3" s="85">
        <f>IF($A3="","",TRIM(IF(AND($M3=0,$I3&lt;&gt;"Yes"),"T0-NoPhishResistant ","")&amp;IF($H3="No","NoMFA ","")&amp;IF(AND($E3="Yes",$G3=""),"NeverSignedIn ","")))</f>
        <v/>
      </c>
    </row>
    <row r="4" ht="15" customHeight="1" s="39">
      <c r="A4" s="85" t="n"/>
      <c r="B4" s="85" t="n"/>
      <c r="C4" s="85" t="n"/>
      <c r="D4" s="85" t="n"/>
      <c r="E4" s="85" t="n"/>
      <c r="F4" s="86" t="n"/>
      <c r="G4" s="86" t="n"/>
      <c r="H4" s="85" t="n"/>
      <c r="I4" s="85" t="n"/>
      <c r="J4" s="85" t="n"/>
      <c r="K4" s="85" t="n"/>
      <c r="L4" s="85" t="n"/>
      <c r="M4" s="85" t="n"/>
      <c r="N4" s="85" t="n"/>
      <c r="O4" s="85" t="n"/>
      <c r="P4" s="85" t="n"/>
      <c r="Q4" s="85" t="n"/>
      <c r="R4" s="85" t="n"/>
      <c r="S4" s="85">
        <f>IF($G4="","",TODAY()-$G4)</f>
        <v/>
      </c>
      <c r="T4" s="85">
        <f>IF($A4="","",IF(AND($E4="Yes",OR($O4="No",$O4="NOT FOUND")),"YES",""))</f>
        <v/>
      </c>
      <c r="U4" s="85">
        <f>IF($A4="","",TRIM(IF(AND($M4=0,$I4&lt;&gt;"Yes"),"T0-NoPhishResistant ","")&amp;IF($H4="No","NoMFA ","")&amp;IF(AND($E4="Yes",$G4=""),"NeverSignedIn ","")))</f>
        <v/>
      </c>
    </row>
    <row r="5" ht="15" customHeight="1" s="39">
      <c r="A5" s="85" t="n"/>
      <c r="B5" s="85" t="n"/>
      <c r="C5" s="85" t="n"/>
      <c r="D5" s="85" t="n"/>
      <c r="E5" s="85" t="n"/>
      <c r="F5" s="86" t="n"/>
      <c r="G5" s="86" t="n"/>
      <c r="H5" s="85" t="n"/>
      <c r="I5" s="85" t="n"/>
      <c r="J5" s="85" t="n"/>
      <c r="K5" s="85" t="n"/>
      <c r="L5" s="85" t="n"/>
      <c r="M5" s="85" t="n"/>
      <c r="N5" s="85" t="n"/>
      <c r="O5" s="85" t="n"/>
      <c r="P5" s="85" t="n"/>
      <c r="Q5" s="85" t="n"/>
      <c r="R5" s="85" t="n"/>
      <c r="S5" s="85">
        <f>IF($G5="","",TODAY()-$G5)</f>
        <v/>
      </c>
      <c r="T5" s="85">
        <f>IF($A5="","",IF(AND($E5="Yes",OR($O5="No",$O5="NOT FOUND")),"YES",""))</f>
        <v/>
      </c>
      <c r="U5" s="85">
        <f>IF($A5="","",TRIM(IF(AND($M5=0,$I5&lt;&gt;"Yes"),"T0-NoPhishResistant ","")&amp;IF($H5="No","NoMFA ","")&amp;IF(AND($E5="Yes",$G5=""),"NeverSignedIn ","")))</f>
        <v/>
      </c>
    </row>
    <row r="6" ht="15" customHeight="1" s="39">
      <c r="A6" s="85" t="n"/>
      <c r="B6" s="85" t="n"/>
      <c r="C6" s="85" t="n"/>
      <c r="D6" s="85" t="n"/>
      <c r="E6" s="85" t="n"/>
      <c r="F6" s="86" t="n"/>
      <c r="G6" s="86" t="n"/>
      <c r="H6" s="85" t="n"/>
      <c r="I6" s="85" t="n"/>
      <c r="J6" s="85" t="n"/>
      <c r="K6" s="85" t="n"/>
      <c r="L6" s="85" t="n"/>
      <c r="M6" s="85" t="n"/>
      <c r="N6" s="85" t="n"/>
      <c r="O6" s="85" t="n"/>
      <c r="P6" s="85" t="n"/>
      <c r="Q6" s="85" t="n"/>
      <c r="R6" s="85" t="n"/>
      <c r="S6" s="85">
        <f>IF($G6="","",TODAY()-$G6)</f>
        <v/>
      </c>
      <c r="T6" s="85">
        <f>IF($A6="","",IF(AND($E6="Yes",OR($O6="No",$O6="NOT FOUND")),"YES",""))</f>
        <v/>
      </c>
      <c r="U6" s="85">
        <f>IF($A6="","",TRIM(IF(AND($M6=0,$I6&lt;&gt;"Yes"),"T0-NoPhishResistant ","")&amp;IF($H6="No","NoMFA ","")&amp;IF(AND($E6="Yes",$G6=""),"NeverSignedIn ","")))</f>
        <v/>
      </c>
    </row>
    <row r="7" ht="15" customHeight="1" s="39">
      <c r="A7" s="85" t="n"/>
      <c r="B7" s="85" t="n"/>
      <c r="C7" s="85" t="n"/>
      <c r="D7" s="85" t="n"/>
      <c r="E7" s="85" t="n"/>
      <c r="F7" s="86" t="n"/>
      <c r="G7" s="86" t="n"/>
      <c r="H7" s="85" t="n"/>
      <c r="I7" s="85" t="n"/>
      <c r="J7" s="85" t="n"/>
      <c r="K7" s="85" t="n"/>
      <c r="L7" s="85" t="n"/>
      <c r="M7" s="85" t="n"/>
      <c r="N7" s="85" t="n"/>
      <c r="O7" s="85" t="n"/>
      <c r="P7" s="85" t="n"/>
      <c r="Q7" s="85" t="n"/>
      <c r="R7" s="85" t="n"/>
      <c r="S7" s="85">
        <f>IF($G7="","",TODAY()-$G7)</f>
        <v/>
      </c>
      <c r="T7" s="85">
        <f>IF($A7="","",IF(AND($E7="Yes",OR($O7="No",$O7="NOT FOUND")),"YES",""))</f>
        <v/>
      </c>
      <c r="U7" s="85">
        <f>IF($A7="","",TRIM(IF(AND($M7=0,$I7&lt;&gt;"Yes"),"T0-NoPhishResistant ","")&amp;IF($H7="No","NoMFA ","")&amp;IF(AND($E7="Yes",$G7=""),"NeverSignedIn ","")))</f>
        <v/>
      </c>
    </row>
    <row r="8" ht="15" customHeight="1" s="39">
      <c r="A8" s="85" t="n"/>
      <c r="B8" s="85" t="n"/>
      <c r="C8" s="85" t="n"/>
      <c r="D8" s="85" t="n"/>
      <c r="E8" s="85" t="n"/>
      <c r="F8" s="86" t="n"/>
      <c r="G8" s="86" t="n"/>
      <c r="H8" s="85" t="n"/>
      <c r="I8" s="85" t="n"/>
      <c r="J8" s="85" t="n"/>
      <c r="K8" s="85" t="n"/>
      <c r="L8" s="85" t="n"/>
      <c r="M8" s="85" t="n"/>
      <c r="N8" s="85" t="n"/>
      <c r="O8" s="85" t="n"/>
      <c r="P8" s="85" t="n"/>
      <c r="Q8" s="85" t="n"/>
      <c r="R8" s="85" t="n"/>
      <c r="S8" s="85">
        <f>IF($G8="","",TODAY()-$G8)</f>
        <v/>
      </c>
      <c r="T8" s="85">
        <f>IF($A8="","",IF(AND($E8="Yes",OR($O8="No",$O8="NOT FOUND")),"YES",""))</f>
        <v/>
      </c>
      <c r="U8" s="85">
        <f>IF($A8="","",TRIM(IF(AND($M8=0,$I8&lt;&gt;"Yes"),"T0-NoPhishResistant ","")&amp;IF($H8="No","NoMFA ","")&amp;IF(AND($E8="Yes",$G8=""),"NeverSignedIn ","")))</f>
        <v/>
      </c>
    </row>
    <row r="9" ht="15" customHeight="1" s="39">
      <c r="A9" s="85" t="n"/>
      <c r="B9" s="85" t="n"/>
      <c r="C9" s="85" t="n"/>
      <c r="D9" s="85" t="n"/>
      <c r="E9" s="85" t="n"/>
      <c r="F9" s="86" t="n"/>
      <c r="G9" s="86" t="n"/>
      <c r="H9" s="85" t="n"/>
      <c r="I9" s="85" t="n"/>
      <c r="J9" s="85" t="n"/>
      <c r="K9" s="85" t="n"/>
      <c r="L9" s="85" t="n"/>
      <c r="M9" s="85" t="n"/>
      <c r="N9" s="85" t="n"/>
      <c r="O9" s="85" t="n"/>
      <c r="P9" s="85" t="n"/>
      <c r="Q9" s="85" t="n"/>
      <c r="R9" s="85" t="n"/>
      <c r="S9" s="85">
        <f>IF($G9="","",TODAY()-$G9)</f>
        <v/>
      </c>
      <c r="T9" s="85">
        <f>IF($A9="","",IF(AND($E9="Yes",OR($O9="No",$O9="NOT FOUND")),"YES",""))</f>
        <v/>
      </c>
      <c r="U9" s="85">
        <f>IF($A9="","",TRIM(IF(AND($M9=0,$I9&lt;&gt;"Yes"),"T0-NoPhishResistant ","")&amp;IF($H9="No","NoMFA ","")&amp;IF(AND($E9="Yes",$G9=""),"NeverSignedIn ","")))</f>
        <v/>
      </c>
    </row>
    <row r="10" ht="15" customHeight="1" s="39">
      <c r="A10" s="85" t="n"/>
      <c r="B10" s="85" t="n"/>
      <c r="C10" s="85" t="n"/>
      <c r="D10" s="85" t="n"/>
      <c r="E10" s="85" t="n"/>
      <c r="F10" s="86" t="n"/>
      <c r="G10" s="86" t="n"/>
      <c r="H10" s="85" t="n"/>
      <c r="I10" s="85" t="n"/>
      <c r="J10" s="85" t="n"/>
      <c r="K10" s="85" t="n"/>
      <c r="L10" s="85" t="n"/>
      <c r="M10" s="85" t="n"/>
      <c r="N10" s="85" t="n"/>
      <c r="O10" s="85" t="n"/>
      <c r="P10" s="85" t="n"/>
      <c r="Q10" s="85" t="n"/>
      <c r="R10" s="85" t="n"/>
      <c r="S10" s="85">
        <f>IF($G10="","",TODAY()-$G10)</f>
        <v/>
      </c>
      <c r="T10" s="85">
        <f>IF($A10="","",IF(AND($E10="Yes",OR($O10="No",$O10="NOT FOUND")),"YES",""))</f>
        <v/>
      </c>
      <c r="U10" s="85">
        <f>IF($A10="","",TRIM(IF(AND($M10=0,$I10&lt;&gt;"Yes"),"T0-NoPhishResistant ","")&amp;IF($H10="No","NoMFA ","")&amp;IF(AND($E10="Yes",$G10=""),"NeverSignedIn ","")))</f>
        <v/>
      </c>
    </row>
    <row r="11" ht="15" customHeight="1" s="39">
      <c r="A11" s="85" t="n"/>
      <c r="B11" s="85" t="n"/>
      <c r="C11" s="85" t="n"/>
      <c r="D11" s="85" t="n"/>
      <c r="E11" s="85" t="n"/>
      <c r="F11" s="86" t="n"/>
      <c r="G11" s="86" t="n"/>
      <c r="H11" s="85" t="n"/>
      <c r="I11" s="85" t="n"/>
      <c r="J11" s="85" t="n"/>
      <c r="K11" s="85" t="n"/>
      <c r="L11" s="85" t="n"/>
      <c r="M11" s="85" t="n"/>
      <c r="N11" s="85" t="n"/>
      <c r="O11" s="85" t="n"/>
      <c r="P11" s="85" t="n"/>
      <c r="Q11" s="85" t="n"/>
      <c r="R11" s="85" t="n"/>
      <c r="S11" s="85">
        <f>IF($G11="","",TODAY()-$G11)</f>
        <v/>
      </c>
      <c r="T11" s="85">
        <f>IF($A11="","",IF(AND($E11="Yes",OR($O11="No",$O11="NOT FOUND")),"YES",""))</f>
        <v/>
      </c>
      <c r="U11" s="85">
        <f>IF($A11="","",TRIM(IF(AND($M11=0,$I11&lt;&gt;"Yes"),"T0-NoPhishResistant ","")&amp;IF($H11="No","NoMFA ","")&amp;IF(AND($E11="Yes",$G11=""),"NeverSignedIn ","")))</f>
        <v/>
      </c>
    </row>
    <row r="12" ht="15" customHeight="1" s="39">
      <c r="A12" s="85" t="n"/>
      <c r="B12" s="85" t="n"/>
      <c r="C12" s="85" t="n"/>
      <c r="D12" s="85" t="n"/>
      <c r="E12" s="85" t="n"/>
      <c r="F12" s="86" t="n"/>
      <c r="G12" s="86" t="n"/>
      <c r="H12" s="85" t="n"/>
      <c r="I12" s="85" t="n"/>
      <c r="J12" s="85" t="n"/>
      <c r="K12" s="85" t="n"/>
      <c r="L12" s="85" t="n"/>
      <c r="M12" s="85" t="n"/>
      <c r="N12" s="85" t="n"/>
      <c r="O12" s="85" t="n"/>
      <c r="P12" s="85" t="n"/>
      <c r="Q12" s="85" t="n"/>
      <c r="R12" s="85" t="n"/>
      <c r="S12" s="85">
        <f>IF($G12="","",TODAY()-$G12)</f>
        <v/>
      </c>
      <c r="T12" s="85">
        <f>IF($A12="","",IF(AND($E12="Yes",OR($O12="No",$O12="NOT FOUND")),"YES",""))</f>
        <v/>
      </c>
      <c r="U12" s="85">
        <f>IF($A12="","",TRIM(IF(AND($M12=0,$I12&lt;&gt;"Yes"),"T0-NoPhishResistant ","")&amp;IF($H12="No","NoMFA ","")&amp;IF(AND($E12="Yes",$G12=""),"NeverSignedIn ","")))</f>
        <v/>
      </c>
    </row>
    <row r="13" ht="15" customHeight="1" s="39">
      <c r="A13" s="85" t="n"/>
      <c r="B13" s="85" t="n"/>
      <c r="C13" s="85" t="n"/>
      <c r="D13" s="85" t="n"/>
      <c r="E13" s="85" t="n"/>
      <c r="F13" s="86" t="n"/>
      <c r="G13" s="86" t="n"/>
      <c r="H13" s="85" t="n"/>
      <c r="I13" s="85" t="n"/>
      <c r="J13" s="85" t="n"/>
      <c r="K13" s="85" t="n"/>
      <c r="L13" s="85" t="n"/>
      <c r="M13" s="85" t="n"/>
      <c r="N13" s="85" t="n"/>
      <c r="O13" s="85" t="n"/>
      <c r="P13" s="85" t="n"/>
      <c r="Q13" s="85" t="n"/>
      <c r="R13" s="85" t="n"/>
      <c r="S13" s="85">
        <f>IF($G13="","",TODAY()-$G13)</f>
        <v/>
      </c>
      <c r="T13" s="85">
        <f>IF($A13="","",IF(AND($E13="Yes",OR($O13="No",$O13="NOT FOUND")),"YES",""))</f>
        <v/>
      </c>
      <c r="U13" s="85">
        <f>IF($A13="","",TRIM(IF(AND($M13=0,$I13&lt;&gt;"Yes"),"T0-NoPhishResistant ","")&amp;IF($H13="No","NoMFA ","")&amp;IF(AND($E13="Yes",$G13=""),"NeverSignedIn ","")))</f>
        <v/>
      </c>
    </row>
    <row r="14" ht="15" customHeight="1" s="39">
      <c r="A14" s="85" t="n"/>
      <c r="B14" s="85" t="n"/>
      <c r="C14" s="85" t="n"/>
      <c r="D14" s="85" t="n"/>
      <c r="E14" s="85" t="n"/>
      <c r="F14" s="86" t="n"/>
      <c r="G14" s="86" t="n"/>
      <c r="H14" s="85" t="n"/>
      <c r="I14" s="85" t="n"/>
      <c r="J14" s="85" t="n"/>
      <c r="K14" s="85" t="n"/>
      <c r="L14" s="85" t="n"/>
      <c r="M14" s="85" t="n"/>
      <c r="N14" s="85" t="n"/>
      <c r="O14" s="85" t="n"/>
      <c r="P14" s="85" t="n"/>
      <c r="Q14" s="85" t="n"/>
      <c r="R14" s="85" t="n"/>
      <c r="S14" s="85">
        <f>IF($G14="","",TODAY()-$G14)</f>
        <v/>
      </c>
      <c r="T14" s="85">
        <f>IF($A14="","",IF(AND($E14="Yes",OR($O14="No",$O14="NOT FOUND")),"YES",""))</f>
        <v/>
      </c>
      <c r="U14" s="85">
        <f>IF($A14="","",TRIM(IF(AND($M14=0,$I14&lt;&gt;"Yes"),"T0-NoPhishResistant ","")&amp;IF($H14="No","NoMFA ","")&amp;IF(AND($E14="Yes",$G14=""),"NeverSignedIn ","")))</f>
        <v/>
      </c>
    </row>
    <row r="15" ht="15" customHeight="1" s="39">
      <c r="A15" s="85" t="n"/>
      <c r="B15" s="85" t="n"/>
      <c r="C15" s="85" t="n"/>
      <c r="D15" s="85" t="n"/>
      <c r="E15" s="85" t="n"/>
      <c r="F15" s="86" t="n"/>
      <c r="G15" s="86" t="n"/>
      <c r="H15" s="85" t="n"/>
      <c r="I15" s="85" t="n"/>
      <c r="J15" s="85" t="n"/>
      <c r="K15" s="85" t="n"/>
      <c r="L15" s="85" t="n"/>
      <c r="M15" s="85" t="n"/>
      <c r="N15" s="85" t="n"/>
      <c r="O15" s="85" t="n"/>
      <c r="P15" s="85" t="n"/>
      <c r="Q15" s="85" t="n"/>
      <c r="R15" s="85" t="n"/>
      <c r="S15" s="85">
        <f>IF($G15="","",TODAY()-$G15)</f>
        <v/>
      </c>
      <c r="T15" s="85">
        <f>IF($A15="","",IF(AND($E15="Yes",OR($O15="No",$O15="NOT FOUND")),"YES",""))</f>
        <v/>
      </c>
      <c r="U15" s="85">
        <f>IF($A15="","",TRIM(IF(AND($M15=0,$I15&lt;&gt;"Yes"),"T0-NoPhishResistant ","")&amp;IF($H15="No","NoMFA ","")&amp;IF(AND($E15="Yes",$G15=""),"NeverSignedIn ","")))</f>
        <v/>
      </c>
    </row>
    <row r="16" ht="15" customHeight="1" s="39">
      <c r="A16" s="85" t="n"/>
      <c r="B16" s="85" t="n"/>
      <c r="C16" s="85" t="n"/>
      <c r="D16" s="85" t="n"/>
      <c r="E16" s="85" t="n"/>
      <c r="F16" s="86" t="n"/>
      <c r="G16" s="86" t="n"/>
      <c r="H16" s="85" t="n"/>
      <c r="I16" s="85" t="n"/>
      <c r="J16" s="85" t="n"/>
      <c r="K16" s="85" t="n"/>
      <c r="L16" s="85" t="n"/>
      <c r="M16" s="85" t="n"/>
      <c r="N16" s="85" t="n"/>
      <c r="O16" s="85" t="n"/>
      <c r="P16" s="85" t="n"/>
      <c r="Q16" s="85" t="n"/>
      <c r="R16" s="85" t="n"/>
      <c r="S16" s="85">
        <f>IF($G16="","",TODAY()-$G16)</f>
        <v/>
      </c>
      <c r="T16" s="85">
        <f>IF($A16="","",IF(AND($E16="Yes",OR($O16="No",$O16="NOT FOUND")),"YES",""))</f>
        <v/>
      </c>
      <c r="U16" s="85">
        <f>IF($A16="","",TRIM(IF(AND($M16=0,$I16&lt;&gt;"Yes"),"T0-NoPhishResistant ","")&amp;IF($H16="No","NoMFA ","")&amp;IF(AND($E16="Yes",$G16=""),"NeverSignedIn ","")))</f>
        <v/>
      </c>
    </row>
    <row r="17" ht="15" customHeight="1" s="39">
      <c r="A17" s="85" t="n"/>
      <c r="B17" s="85" t="n"/>
      <c r="C17" s="85" t="n"/>
      <c r="D17" s="85" t="n"/>
      <c r="E17" s="85" t="n"/>
      <c r="F17" s="86" t="n"/>
      <c r="G17" s="86" t="n"/>
      <c r="H17" s="85" t="n"/>
      <c r="I17" s="85" t="n"/>
      <c r="J17" s="85" t="n"/>
      <c r="K17" s="85" t="n"/>
      <c r="L17" s="85" t="n"/>
      <c r="M17" s="85" t="n"/>
      <c r="N17" s="85" t="n"/>
      <c r="O17" s="85" t="n"/>
      <c r="P17" s="85" t="n"/>
      <c r="Q17" s="85" t="n"/>
      <c r="R17" s="85" t="n"/>
      <c r="S17" s="85">
        <f>IF($G17="","",TODAY()-$G17)</f>
        <v/>
      </c>
      <c r="T17" s="85">
        <f>IF($A17="","",IF(AND($E17="Yes",OR($O17="No",$O17="NOT FOUND")),"YES",""))</f>
        <v/>
      </c>
      <c r="U17" s="85">
        <f>IF($A17="","",TRIM(IF(AND($M17=0,$I17&lt;&gt;"Yes"),"T0-NoPhishResistant ","")&amp;IF($H17="No","NoMFA ","")&amp;IF(AND($E17="Yes",$G17=""),"NeverSignedIn ","")))</f>
        <v/>
      </c>
    </row>
    <row r="18" ht="15" customHeight="1" s="39">
      <c r="A18" s="85" t="n"/>
      <c r="B18" s="85" t="n"/>
      <c r="C18" s="85" t="n"/>
      <c r="D18" s="85" t="n"/>
      <c r="E18" s="85" t="n"/>
      <c r="F18" s="86" t="n"/>
      <c r="G18" s="86" t="n"/>
      <c r="H18" s="85" t="n"/>
      <c r="I18" s="85" t="n"/>
      <c r="J18" s="85" t="n"/>
      <c r="K18" s="85" t="n"/>
      <c r="L18" s="85" t="n"/>
      <c r="M18" s="85" t="n"/>
      <c r="N18" s="85" t="n"/>
      <c r="O18" s="85" t="n"/>
      <c r="P18" s="85" t="n"/>
      <c r="Q18" s="85" t="n"/>
      <c r="R18" s="85" t="n"/>
      <c r="S18" s="85">
        <f>IF($G18="","",TODAY()-$G18)</f>
        <v/>
      </c>
      <c r="T18" s="85">
        <f>IF($A18="","",IF(AND($E18="Yes",OR($O18="No",$O18="NOT FOUND")),"YES",""))</f>
        <v/>
      </c>
      <c r="U18" s="85">
        <f>IF($A18="","",TRIM(IF(AND($M18=0,$I18&lt;&gt;"Yes"),"T0-NoPhishResistant ","")&amp;IF($H18="No","NoMFA ","")&amp;IF(AND($E18="Yes",$G18=""),"NeverSignedIn ","")))</f>
        <v/>
      </c>
    </row>
    <row r="19" ht="15" customHeight="1" s="39">
      <c r="A19" s="85" t="n"/>
      <c r="B19" s="85" t="n"/>
      <c r="C19" s="85" t="n"/>
      <c r="D19" s="85" t="n"/>
      <c r="E19" s="85" t="n"/>
      <c r="F19" s="86" t="n"/>
      <c r="G19" s="86" t="n"/>
      <c r="H19" s="85" t="n"/>
      <c r="I19" s="85" t="n"/>
      <c r="J19" s="85" t="n"/>
      <c r="K19" s="85" t="n"/>
      <c r="L19" s="85" t="n"/>
      <c r="M19" s="85" t="n"/>
      <c r="N19" s="85" t="n"/>
      <c r="O19" s="85" t="n"/>
      <c r="P19" s="85" t="n"/>
      <c r="Q19" s="85" t="n"/>
      <c r="R19" s="85" t="n"/>
      <c r="S19" s="85">
        <f>IF($G19="","",TODAY()-$G19)</f>
        <v/>
      </c>
      <c r="T19" s="85">
        <f>IF($A19="","",IF(AND($E19="Yes",OR($O19="No",$O19="NOT FOUND")),"YES",""))</f>
        <v/>
      </c>
      <c r="U19" s="85">
        <f>IF($A19="","",TRIM(IF(AND($M19=0,$I19&lt;&gt;"Yes"),"T0-NoPhishResistant ","")&amp;IF($H19="No","NoMFA ","")&amp;IF(AND($E19="Yes",$G19=""),"NeverSignedIn ","")))</f>
        <v/>
      </c>
    </row>
    <row r="20" ht="15" customHeight="1" s="39">
      <c r="A20" s="85" t="n"/>
      <c r="B20" s="85" t="n"/>
      <c r="C20" s="85" t="n"/>
      <c r="D20" s="85" t="n"/>
      <c r="E20" s="85" t="n"/>
      <c r="F20" s="86" t="n"/>
      <c r="G20" s="86" t="n"/>
      <c r="H20" s="85" t="n"/>
      <c r="I20" s="85" t="n"/>
      <c r="J20" s="85" t="n"/>
      <c r="K20" s="85" t="n"/>
      <c r="L20" s="85" t="n"/>
      <c r="M20" s="85" t="n"/>
      <c r="N20" s="85" t="n"/>
      <c r="O20" s="85" t="n"/>
      <c r="P20" s="85" t="n"/>
      <c r="Q20" s="85" t="n"/>
      <c r="R20" s="85" t="n"/>
      <c r="S20" s="85">
        <f>IF($G20="","",TODAY()-$G20)</f>
        <v/>
      </c>
      <c r="T20" s="85">
        <f>IF($A20="","",IF(AND($E20="Yes",OR($O20="No",$O20="NOT FOUND")),"YES",""))</f>
        <v/>
      </c>
      <c r="U20" s="85">
        <f>IF($A20="","",TRIM(IF(AND($M20=0,$I20&lt;&gt;"Yes"),"T0-NoPhishResistant ","")&amp;IF($H20="No","NoMFA ","")&amp;IF(AND($E20="Yes",$G20=""),"NeverSignedIn ","")))</f>
        <v/>
      </c>
    </row>
    <row r="21" ht="15" customHeight="1" s="39">
      <c r="A21" s="85" t="n"/>
      <c r="B21" s="85" t="n"/>
      <c r="C21" s="85" t="n"/>
      <c r="D21" s="85" t="n"/>
      <c r="E21" s="85" t="n"/>
      <c r="F21" s="86" t="n"/>
      <c r="G21" s="86" t="n"/>
      <c r="H21" s="85" t="n"/>
      <c r="I21" s="85" t="n"/>
      <c r="J21" s="85" t="n"/>
      <c r="K21" s="85" t="n"/>
      <c r="L21" s="85" t="n"/>
      <c r="M21" s="85" t="n"/>
      <c r="N21" s="85" t="n"/>
      <c r="O21" s="85" t="n"/>
      <c r="P21" s="85" t="n"/>
      <c r="Q21" s="85" t="n"/>
      <c r="R21" s="85" t="n"/>
      <c r="S21" s="85">
        <f>IF($G21="","",TODAY()-$G21)</f>
        <v/>
      </c>
      <c r="T21" s="85">
        <f>IF($A21="","",IF(AND($E21="Yes",OR($O21="No",$O21="NOT FOUND")),"YES",""))</f>
        <v/>
      </c>
      <c r="U21" s="85">
        <f>IF($A21="","",TRIM(IF(AND($M21=0,$I21&lt;&gt;"Yes"),"T0-NoPhishResistant ","")&amp;IF($H21="No","NoMFA ","")&amp;IF(AND($E21="Yes",$G21=""),"NeverSignedIn ","")))</f>
        <v/>
      </c>
    </row>
    <row r="22" ht="15" customHeight="1" s="39">
      <c r="A22" s="85" t="n"/>
      <c r="B22" s="85" t="n"/>
      <c r="C22" s="85" t="n"/>
      <c r="D22" s="85" t="n"/>
      <c r="E22" s="85" t="n"/>
      <c r="F22" s="86" t="n"/>
      <c r="G22" s="86" t="n"/>
      <c r="H22" s="85" t="n"/>
      <c r="I22" s="85" t="n"/>
      <c r="J22" s="85" t="n"/>
      <c r="K22" s="85" t="n"/>
      <c r="L22" s="85" t="n"/>
      <c r="M22" s="85" t="n"/>
      <c r="N22" s="85" t="n"/>
      <c r="O22" s="85" t="n"/>
      <c r="P22" s="85" t="n"/>
      <c r="Q22" s="85" t="n"/>
      <c r="R22" s="85" t="n"/>
      <c r="S22" s="85">
        <f>IF($G22="","",TODAY()-$G22)</f>
        <v/>
      </c>
      <c r="T22" s="85">
        <f>IF($A22="","",IF(AND($E22="Yes",OR($O22="No",$O22="NOT FOUND")),"YES",""))</f>
        <v/>
      </c>
      <c r="U22" s="85">
        <f>IF($A22="","",TRIM(IF(AND($M22=0,$I22&lt;&gt;"Yes"),"T0-NoPhishResistant ","")&amp;IF($H22="No","NoMFA ","")&amp;IF(AND($E22="Yes",$G22=""),"NeverSignedIn ","")))</f>
        <v/>
      </c>
    </row>
    <row r="23" ht="15" customHeight="1" s="39">
      <c r="A23" s="85" t="n"/>
      <c r="B23" s="85" t="n"/>
      <c r="C23" s="85" t="n"/>
      <c r="D23" s="85" t="n"/>
      <c r="E23" s="85" t="n"/>
      <c r="F23" s="86" t="n"/>
      <c r="G23" s="86" t="n"/>
      <c r="H23" s="85" t="n"/>
      <c r="I23" s="85" t="n"/>
      <c r="J23" s="85" t="n"/>
      <c r="K23" s="85" t="n"/>
      <c r="L23" s="85" t="n"/>
      <c r="M23" s="85" t="n"/>
      <c r="N23" s="85" t="n"/>
      <c r="O23" s="85" t="n"/>
      <c r="P23" s="85" t="n"/>
      <c r="Q23" s="85" t="n"/>
      <c r="R23" s="85" t="n"/>
      <c r="S23" s="85">
        <f>IF($G23="","",TODAY()-$G23)</f>
        <v/>
      </c>
      <c r="T23" s="85">
        <f>IF($A23="","",IF(AND($E23="Yes",OR($O23="No",$O23="NOT FOUND")),"YES",""))</f>
        <v/>
      </c>
      <c r="U23" s="85">
        <f>IF($A23="","",TRIM(IF(AND($M23=0,$I23&lt;&gt;"Yes"),"T0-NoPhishResistant ","")&amp;IF($H23="No","NoMFA ","")&amp;IF(AND($E23="Yes",$G23=""),"NeverSignedIn ","")))</f>
        <v/>
      </c>
    </row>
    <row r="24" ht="15" customHeight="1" s="39">
      <c r="A24" s="85" t="n"/>
      <c r="B24" s="85" t="n"/>
      <c r="C24" s="85" t="n"/>
      <c r="D24" s="85" t="n"/>
      <c r="E24" s="85" t="n"/>
      <c r="F24" s="86" t="n"/>
      <c r="G24" s="86" t="n"/>
      <c r="H24" s="85" t="n"/>
      <c r="I24" s="85" t="n"/>
      <c r="J24" s="85" t="n"/>
      <c r="K24" s="85" t="n"/>
      <c r="L24" s="85" t="n"/>
      <c r="M24" s="85" t="n"/>
      <c r="N24" s="85" t="n"/>
      <c r="O24" s="85" t="n"/>
      <c r="P24" s="85" t="n"/>
      <c r="Q24" s="85" t="n"/>
      <c r="R24" s="85" t="n"/>
      <c r="S24" s="85">
        <f>IF($G24="","",TODAY()-$G24)</f>
        <v/>
      </c>
      <c r="T24" s="85">
        <f>IF($A24="","",IF(AND($E24="Yes",OR($O24="No",$O24="NOT FOUND")),"YES",""))</f>
        <v/>
      </c>
      <c r="U24" s="85">
        <f>IF($A24="","",TRIM(IF(AND($M24=0,$I24&lt;&gt;"Yes"),"T0-NoPhishResistant ","")&amp;IF($H24="No","NoMFA ","")&amp;IF(AND($E24="Yes",$G24=""),"NeverSignedIn ","")))</f>
        <v/>
      </c>
    </row>
    <row r="25" ht="15" customHeight="1" s="39">
      <c r="A25" s="85" t="n"/>
      <c r="B25" s="85" t="n"/>
      <c r="C25" s="85" t="n"/>
      <c r="D25" s="85" t="n"/>
      <c r="E25" s="85" t="n"/>
      <c r="F25" s="86" t="n"/>
      <c r="G25" s="86" t="n"/>
      <c r="H25" s="85" t="n"/>
      <c r="I25" s="85" t="n"/>
      <c r="J25" s="85" t="n"/>
      <c r="K25" s="85" t="n"/>
      <c r="L25" s="85" t="n"/>
      <c r="M25" s="85" t="n"/>
      <c r="N25" s="85" t="n"/>
      <c r="O25" s="85" t="n"/>
      <c r="P25" s="85" t="n"/>
      <c r="Q25" s="85" t="n"/>
      <c r="R25" s="85" t="n"/>
      <c r="S25" s="85">
        <f>IF($G25="","",TODAY()-$G25)</f>
        <v/>
      </c>
      <c r="T25" s="85">
        <f>IF($A25="","",IF(AND($E25="Yes",OR($O25="No",$O25="NOT FOUND")),"YES",""))</f>
        <v/>
      </c>
      <c r="U25" s="85">
        <f>IF($A25="","",TRIM(IF(AND($M25=0,$I25&lt;&gt;"Yes"),"T0-NoPhishResistant ","")&amp;IF($H25="No","NoMFA ","")&amp;IF(AND($E25="Yes",$G25=""),"NeverSignedIn ","")))</f>
        <v/>
      </c>
    </row>
    <row r="26" ht="15" customHeight="1" s="39">
      <c r="A26" s="85" t="n"/>
      <c r="B26" s="85" t="n"/>
      <c r="C26" s="85" t="n"/>
      <c r="D26" s="85" t="n"/>
      <c r="E26" s="85" t="n"/>
      <c r="F26" s="86" t="n"/>
      <c r="G26" s="86" t="n"/>
      <c r="H26" s="85" t="n"/>
      <c r="I26" s="85" t="n"/>
      <c r="J26" s="85" t="n"/>
      <c r="K26" s="85" t="n"/>
      <c r="L26" s="85" t="n"/>
      <c r="M26" s="85" t="n"/>
      <c r="N26" s="85" t="n"/>
      <c r="O26" s="85" t="n"/>
      <c r="P26" s="85" t="n"/>
      <c r="Q26" s="85" t="n"/>
      <c r="R26" s="85" t="n"/>
      <c r="S26" s="85">
        <f>IF($G26="","",TODAY()-$G26)</f>
        <v/>
      </c>
      <c r="T26" s="85">
        <f>IF($A26="","",IF(AND($E26="Yes",OR($O26="No",$O26="NOT FOUND")),"YES",""))</f>
        <v/>
      </c>
      <c r="U26" s="85">
        <f>IF($A26="","",TRIM(IF(AND($M26=0,$I26&lt;&gt;"Yes"),"T0-NoPhishResistant ","")&amp;IF($H26="No","NoMFA ","")&amp;IF(AND($E26="Yes",$G26=""),"NeverSignedIn ","")))</f>
        <v/>
      </c>
    </row>
    <row r="27" ht="15" customHeight="1" s="39">
      <c r="A27" s="85" t="n"/>
      <c r="B27" s="85" t="n"/>
      <c r="C27" s="85" t="n"/>
      <c r="D27" s="85" t="n"/>
      <c r="E27" s="85" t="n"/>
      <c r="F27" s="86" t="n"/>
      <c r="G27" s="86" t="n"/>
      <c r="H27" s="85" t="n"/>
      <c r="I27" s="85" t="n"/>
      <c r="J27" s="85" t="n"/>
      <c r="K27" s="85" t="n"/>
      <c r="L27" s="85" t="n"/>
      <c r="M27" s="85" t="n"/>
      <c r="N27" s="85" t="n"/>
      <c r="O27" s="85" t="n"/>
      <c r="P27" s="85" t="n"/>
      <c r="Q27" s="85" t="n"/>
      <c r="R27" s="85" t="n"/>
      <c r="S27" s="85">
        <f>IF($G27="","",TODAY()-$G27)</f>
        <v/>
      </c>
      <c r="T27" s="85">
        <f>IF($A27="","",IF(AND($E27="Yes",OR($O27="No",$O27="NOT FOUND")),"YES",""))</f>
        <v/>
      </c>
      <c r="U27" s="85">
        <f>IF($A27="","",TRIM(IF(AND($M27=0,$I27&lt;&gt;"Yes"),"T0-NoPhishResistant ","")&amp;IF($H27="No","NoMFA ","")&amp;IF(AND($E27="Yes",$G27=""),"NeverSignedIn ","")))</f>
        <v/>
      </c>
    </row>
    <row r="28" ht="15" customHeight="1" s="39">
      <c r="A28" s="85" t="n"/>
      <c r="B28" s="85" t="n"/>
      <c r="C28" s="85" t="n"/>
      <c r="D28" s="85" t="n"/>
      <c r="E28" s="85" t="n"/>
      <c r="F28" s="86" t="n"/>
      <c r="G28" s="86" t="n"/>
      <c r="H28" s="85" t="n"/>
      <c r="I28" s="85" t="n"/>
      <c r="J28" s="85" t="n"/>
      <c r="K28" s="85" t="n"/>
      <c r="L28" s="85" t="n"/>
      <c r="M28" s="85" t="n"/>
      <c r="N28" s="85" t="n"/>
      <c r="O28" s="85" t="n"/>
      <c r="P28" s="85" t="n"/>
      <c r="Q28" s="85" t="n"/>
      <c r="R28" s="85" t="n"/>
      <c r="S28" s="85">
        <f>IF($G28="","",TODAY()-$G28)</f>
        <v/>
      </c>
      <c r="T28" s="85">
        <f>IF($A28="","",IF(AND($E28="Yes",OR($O28="No",$O28="NOT FOUND")),"YES",""))</f>
        <v/>
      </c>
      <c r="U28" s="85">
        <f>IF($A28="","",TRIM(IF(AND($M28=0,$I28&lt;&gt;"Yes"),"T0-NoPhishResistant ","")&amp;IF($H28="No","NoMFA ","")&amp;IF(AND($E28="Yes",$G28=""),"NeverSignedIn ","")))</f>
        <v/>
      </c>
    </row>
    <row r="29" ht="15" customHeight="1" s="39">
      <c r="A29" s="85" t="n"/>
      <c r="B29" s="85" t="n"/>
      <c r="C29" s="85" t="n"/>
      <c r="D29" s="85" t="n"/>
      <c r="E29" s="85" t="n"/>
      <c r="F29" s="86" t="n"/>
      <c r="G29" s="86" t="n"/>
      <c r="H29" s="85" t="n"/>
      <c r="I29" s="85" t="n"/>
      <c r="J29" s="85" t="n"/>
      <c r="K29" s="85" t="n"/>
      <c r="L29" s="85" t="n"/>
      <c r="M29" s="85" t="n"/>
      <c r="N29" s="85" t="n"/>
      <c r="O29" s="85" t="n"/>
      <c r="P29" s="85" t="n"/>
      <c r="Q29" s="85" t="n"/>
      <c r="R29" s="85" t="n"/>
      <c r="S29" s="85">
        <f>IF($G29="","",TODAY()-$G29)</f>
        <v/>
      </c>
      <c r="T29" s="85">
        <f>IF($A29="","",IF(AND($E29="Yes",OR($O29="No",$O29="NOT FOUND")),"YES",""))</f>
        <v/>
      </c>
      <c r="U29" s="85">
        <f>IF($A29="","",TRIM(IF(AND($M29=0,$I29&lt;&gt;"Yes"),"T0-NoPhishResistant ","")&amp;IF($H29="No","NoMFA ","")&amp;IF(AND($E29="Yes",$G29=""),"NeverSignedIn ","")))</f>
        <v/>
      </c>
    </row>
    <row r="30" ht="15" customHeight="1" s="39">
      <c r="A30" s="85" t="n"/>
      <c r="B30" s="85" t="n"/>
      <c r="C30" s="85" t="n"/>
      <c r="D30" s="85" t="n"/>
      <c r="E30" s="85" t="n"/>
      <c r="F30" s="86" t="n"/>
      <c r="G30" s="86" t="n"/>
      <c r="H30" s="85" t="n"/>
      <c r="I30" s="85" t="n"/>
      <c r="J30" s="85" t="n"/>
      <c r="K30" s="85" t="n"/>
      <c r="L30" s="85" t="n"/>
      <c r="M30" s="85" t="n"/>
      <c r="N30" s="85" t="n"/>
      <c r="O30" s="85" t="n"/>
      <c r="P30" s="85" t="n"/>
      <c r="Q30" s="85" t="n"/>
      <c r="R30" s="85" t="n"/>
      <c r="S30" s="85">
        <f>IF($G30="","",TODAY()-$G30)</f>
        <v/>
      </c>
      <c r="T30" s="85">
        <f>IF($A30="","",IF(AND($E30="Yes",OR($O30="No",$O30="NOT FOUND")),"YES",""))</f>
        <v/>
      </c>
      <c r="U30" s="85">
        <f>IF($A30="","",TRIM(IF(AND($M30=0,$I30&lt;&gt;"Yes"),"T0-NoPhishResistant ","")&amp;IF($H30="No","NoMFA ","")&amp;IF(AND($E30="Yes",$G30=""),"NeverSignedIn ","")))</f>
        <v/>
      </c>
    </row>
    <row r="31" ht="15" customHeight="1" s="39">
      <c r="A31" s="85" t="n"/>
      <c r="B31" s="85" t="n"/>
      <c r="C31" s="85" t="n"/>
      <c r="D31" s="85" t="n"/>
      <c r="E31" s="85" t="n"/>
      <c r="F31" s="86" t="n"/>
      <c r="G31" s="86" t="n"/>
      <c r="H31" s="85" t="n"/>
      <c r="I31" s="85" t="n"/>
      <c r="J31" s="85" t="n"/>
      <c r="K31" s="85" t="n"/>
      <c r="L31" s="85" t="n"/>
      <c r="M31" s="85" t="n"/>
      <c r="N31" s="85" t="n"/>
      <c r="O31" s="85" t="n"/>
      <c r="P31" s="85" t="n"/>
      <c r="Q31" s="85" t="n"/>
      <c r="R31" s="85" t="n"/>
      <c r="S31" s="85">
        <f>IF($G31="","",TODAY()-$G31)</f>
        <v/>
      </c>
      <c r="T31" s="85">
        <f>IF($A31="","",IF(AND($E31="Yes",OR($O31="No",$O31="NOT FOUND")),"YES",""))</f>
        <v/>
      </c>
      <c r="U31" s="85">
        <f>IF($A31="","",TRIM(IF(AND($M31=0,$I31&lt;&gt;"Yes"),"T0-NoPhishResistant ","")&amp;IF($H31="No","NoMFA ","")&amp;IF(AND($E31="Yes",$G31=""),"NeverSignedIn ","")))</f>
        <v/>
      </c>
    </row>
    <row r="32" ht="15" customHeight="1" s="39">
      <c r="A32" s="85" t="n"/>
      <c r="B32" s="85" t="n"/>
      <c r="C32" s="85" t="n"/>
      <c r="D32" s="85" t="n"/>
      <c r="E32" s="85" t="n"/>
      <c r="F32" s="86" t="n"/>
      <c r="G32" s="86" t="n"/>
      <c r="H32" s="85" t="n"/>
      <c r="I32" s="85" t="n"/>
      <c r="J32" s="85" t="n"/>
      <c r="K32" s="85" t="n"/>
      <c r="L32" s="85" t="n"/>
      <c r="M32" s="85" t="n"/>
      <c r="N32" s="85" t="n"/>
      <c r="O32" s="85" t="n"/>
      <c r="P32" s="85" t="n"/>
      <c r="Q32" s="85" t="n"/>
      <c r="R32" s="85" t="n"/>
      <c r="S32" s="85">
        <f>IF($G32="","",TODAY()-$G32)</f>
        <v/>
      </c>
      <c r="T32" s="85">
        <f>IF($A32="","",IF(AND($E32="Yes",OR($O32="No",$O32="NOT FOUND")),"YES",""))</f>
        <v/>
      </c>
      <c r="U32" s="85">
        <f>IF($A32="","",TRIM(IF(AND($M32=0,$I32&lt;&gt;"Yes"),"T0-NoPhishResistant ","")&amp;IF($H32="No","NoMFA ","")&amp;IF(AND($E32="Yes",$G32=""),"NeverSignedIn ","")))</f>
        <v/>
      </c>
    </row>
    <row r="33" ht="15" customHeight="1" s="39">
      <c r="A33" s="85" t="n"/>
      <c r="B33" s="85" t="n"/>
      <c r="C33" s="85" t="n"/>
      <c r="D33" s="85" t="n"/>
      <c r="E33" s="85" t="n"/>
      <c r="F33" s="86" t="n"/>
      <c r="G33" s="86" t="n"/>
      <c r="H33" s="85" t="n"/>
      <c r="I33" s="85" t="n"/>
      <c r="J33" s="85" t="n"/>
      <c r="K33" s="85" t="n"/>
      <c r="L33" s="85" t="n"/>
      <c r="M33" s="85" t="n"/>
      <c r="N33" s="85" t="n"/>
      <c r="O33" s="85" t="n"/>
      <c r="P33" s="85" t="n"/>
      <c r="Q33" s="85" t="n"/>
      <c r="R33" s="85" t="n"/>
      <c r="S33" s="85">
        <f>IF($G33="","",TODAY()-$G33)</f>
        <v/>
      </c>
      <c r="T33" s="85">
        <f>IF($A33="","",IF(AND($E33="Yes",OR($O33="No",$O33="NOT FOUND")),"YES",""))</f>
        <v/>
      </c>
      <c r="U33" s="85">
        <f>IF($A33="","",TRIM(IF(AND($M33=0,$I33&lt;&gt;"Yes"),"T0-NoPhishResistant ","")&amp;IF($H33="No","NoMFA ","")&amp;IF(AND($E33="Yes",$G33=""),"NeverSignedIn ","")))</f>
        <v/>
      </c>
    </row>
    <row r="34" ht="15" customHeight="1" s="39">
      <c r="A34" s="85" t="n"/>
      <c r="B34" s="85" t="n"/>
      <c r="C34" s="85" t="n"/>
      <c r="D34" s="85" t="n"/>
      <c r="E34" s="85" t="n"/>
      <c r="F34" s="86" t="n"/>
      <c r="G34" s="86" t="n"/>
      <c r="H34" s="85" t="n"/>
      <c r="I34" s="85" t="n"/>
      <c r="J34" s="85" t="n"/>
      <c r="K34" s="85" t="n"/>
      <c r="L34" s="85" t="n"/>
      <c r="M34" s="85" t="n"/>
      <c r="N34" s="85" t="n"/>
      <c r="O34" s="85" t="n"/>
      <c r="P34" s="85" t="n"/>
      <c r="Q34" s="85" t="n"/>
      <c r="R34" s="85" t="n"/>
      <c r="S34" s="85">
        <f>IF($G34="","",TODAY()-$G34)</f>
        <v/>
      </c>
      <c r="T34" s="85">
        <f>IF($A34="","",IF(AND($E34="Yes",OR($O34="No",$O34="NOT FOUND")),"YES",""))</f>
        <v/>
      </c>
      <c r="U34" s="85">
        <f>IF($A34="","",TRIM(IF(AND($M34=0,$I34&lt;&gt;"Yes"),"T0-NoPhishResistant ","")&amp;IF($H34="No","NoMFA ","")&amp;IF(AND($E34="Yes",$G34=""),"NeverSignedIn ","")))</f>
        <v/>
      </c>
    </row>
    <row r="35" ht="15" customHeight="1" s="39">
      <c r="A35" s="85" t="n"/>
      <c r="B35" s="85" t="n"/>
      <c r="C35" s="85" t="n"/>
      <c r="D35" s="85" t="n"/>
      <c r="E35" s="85" t="n"/>
      <c r="F35" s="86" t="n"/>
      <c r="G35" s="86" t="n"/>
      <c r="H35" s="85" t="n"/>
      <c r="I35" s="85" t="n"/>
      <c r="J35" s="85" t="n"/>
      <c r="K35" s="85" t="n"/>
      <c r="L35" s="85" t="n"/>
      <c r="M35" s="85" t="n"/>
      <c r="N35" s="85" t="n"/>
      <c r="O35" s="85" t="n"/>
      <c r="P35" s="85" t="n"/>
      <c r="Q35" s="85" t="n"/>
      <c r="R35" s="85" t="n"/>
      <c r="S35" s="85">
        <f>IF($G35="","",TODAY()-$G35)</f>
        <v/>
      </c>
      <c r="T35" s="85">
        <f>IF($A35="","",IF(AND($E35="Yes",OR($O35="No",$O35="NOT FOUND")),"YES",""))</f>
        <v/>
      </c>
      <c r="U35" s="85">
        <f>IF($A35="","",TRIM(IF(AND($M35=0,$I35&lt;&gt;"Yes"),"T0-NoPhishResistant ","")&amp;IF($H35="No","NoMFA ","")&amp;IF(AND($E35="Yes",$G35=""),"NeverSignedIn ","")))</f>
        <v/>
      </c>
    </row>
    <row r="36" ht="15" customHeight="1" s="39">
      <c r="A36" s="85" t="n"/>
      <c r="B36" s="85" t="n"/>
      <c r="C36" s="85" t="n"/>
      <c r="D36" s="85" t="n"/>
      <c r="E36" s="85" t="n"/>
      <c r="F36" s="86" t="n"/>
      <c r="G36" s="86" t="n"/>
      <c r="H36" s="85" t="n"/>
      <c r="I36" s="85" t="n"/>
      <c r="J36" s="85" t="n"/>
      <c r="K36" s="85" t="n"/>
      <c r="L36" s="85" t="n"/>
      <c r="M36" s="85" t="n"/>
      <c r="N36" s="85" t="n"/>
      <c r="O36" s="85" t="n"/>
      <c r="P36" s="85" t="n"/>
      <c r="Q36" s="85" t="n"/>
      <c r="R36" s="85" t="n"/>
      <c r="S36" s="85">
        <f>IF($G36="","",TODAY()-$G36)</f>
        <v/>
      </c>
      <c r="T36" s="85">
        <f>IF($A36="","",IF(AND($E36="Yes",OR($O36="No",$O36="NOT FOUND")),"YES",""))</f>
        <v/>
      </c>
      <c r="U36" s="85">
        <f>IF($A36="","",TRIM(IF(AND($M36=0,$I36&lt;&gt;"Yes"),"T0-NoPhishResistant ","")&amp;IF($H36="No","NoMFA ","")&amp;IF(AND($E36="Yes",$G36=""),"NeverSignedIn ","")))</f>
        <v/>
      </c>
    </row>
    <row r="37" ht="15" customHeight="1" s="39">
      <c r="A37" s="85" t="n"/>
      <c r="B37" s="85" t="n"/>
      <c r="C37" s="85" t="n"/>
      <c r="D37" s="85" t="n"/>
      <c r="E37" s="85" t="n"/>
      <c r="F37" s="86" t="n"/>
      <c r="G37" s="86" t="n"/>
      <c r="H37" s="85" t="n"/>
      <c r="I37" s="85" t="n"/>
      <c r="J37" s="85" t="n"/>
      <c r="K37" s="85" t="n"/>
      <c r="L37" s="85" t="n"/>
      <c r="M37" s="85" t="n"/>
      <c r="N37" s="85" t="n"/>
      <c r="O37" s="85" t="n"/>
      <c r="P37" s="85" t="n"/>
      <c r="Q37" s="85" t="n"/>
      <c r="R37" s="85" t="n"/>
      <c r="S37" s="85">
        <f>IF($G37="","",TODAY()-$G37)</f>
        <v/>
      </c>
      <c r="T37" s="85">
        <f>IF($A37="","",IF(AND($E37="Yes",OR($O37="No",$O37="NOT FOUND")),"YES",""))</f>
        <v/>
      </c>
      <c r="U37" s="85">
        <f>IF($A37="","",TRIM(IF(AND($M37=0,$I37&lt;&gt;"Yes"),"T0-NoPhishResistant ","")&amp;IF($H37="No","NoMFA ","")&amp;IF(AND($E37="Yes",$G37=""),"NeverSignedIn ","")))</f>
        <v/>
      </c>
    </row>
    <row r="38" ht="15" customHeight="1" s="39">
      <c r="A38" s="85" t="n"/>
      <c r="B38" s="85" t="n"/>
      <c r="C38" s="85" t="n"/>
      <c r="D38" s="85" t="n"/>
      <c r="E38" s="85" t="n"/>
      <c r="F38" s="86" t="n"/>
      <c r="G38" s="86" t="n"/>
      <c r="H38" s="85" t="n"/>
      <c r="I38" s="85" t="n"/>
      <c r="J38" s="85" t="n"/>
      <c r="K38" s="85" t="n"/>
      <c r="L38" s="85" t="n"/>
      <c r="M38" s="85" t="n"/>
      <c r="N38" s="85" t="n"/>
      <c r="O38" s="85" t="n"/>
      <c r="P38" s="85" t="n"/>
      <c r="Q38" s="85" t="n"/>
      <c r="R38" s="85" t="n"/>
      <c r="S38" s="85">
        <f>IF($G38="","",TODAY()-$G38)</f>
        <v/>
      </c>
      <c r="T38" s="85">
        <f>IF($A38="","",IF(AND($E38="Yes",OR($O38="No",$O38="NOT FOUND")),"YES",""))</f>
        <v/>
      </c>
      <c r="U38" s="85">
        <f>IF($A38="","",TRIM(IF(AND($M38=0,$I38&lt;&gt;"Yes"),"T0-NoPhishResistant ","")&amp;IF($H38="No","NoMFA ","")&amp;IF(AND($E38="Yes",$G38=""),"NeverSignedIn ","")))</f>
        <v/>
      </c>
    </row>
    <row r="39" ht="15" customHeight="1" s="39">
      <c r="A39" s="85" t="n"/>
      <c r="B39" s="85" t="n"/>
      <c r="C39" s="85" t="n"/>
      <c r="D39" s="85" t="n"/>
      <c r="E39" s="85" t="n"/>
      <c r="F39" s="86" t="n"/>
      <c r="G39" s="86" t="n"/>
      <c r="H39" s="85" t="n"/>
      <c r="I39" s="85" t="n"/>
      <c r="J39" s="85" t="n"/>
      <c r="K39" s="85" t="n"/>
      <c r="L39" s="85" t="n"/>
      <c r="M39" s="85" t="n"/>
      <c r="N39" s="85" t="n"/>
      <c r="O39" s="85" t="n"/>
      <c r="P39" s="85" t="n"/>
      <c r="Q39" s="85" t="n"/>
      <c r="R39" s="85" t="n"/>
      <c r="S39" s="85">
        <f>IF($G39="","",TODAY()-$G39)</f>
        <v/>
      </c>
      <c r="T39" s="85">
        <f>IF($A39="","",IF(AND($E39="Yes",OR($O39="No",$O39="NOT FOUND")),"YES",""))</f>
        <v/>
      </c>
      <c r="U39" s="85">
        <f>IF($A39="","",TRIM(IF(AND($M39=0,$I39&lt;&gt;"Yes"),"T0-NoPhishResistant ","")&amp;IF($H39="No","NoMFA ","")&amp;IF(AND($E39="Yes",$G39=""),"NeverSignedIn ","")))</f>
        <v/>
      </c>
    </row>
    <row r="40" ht="15" customHeight="1" s="39">
      <c r="A40" s="85" t="n"/>
      <c r="B40" s="85" t="n"/>
      <c r="C40" s="85" t="n"/>
      <c r="D40" s="85" t="n"/>
      <c r="E40" s="85" t="n"/>
      <c r="F40" s="86" t="n"/>
      <c r="G40" s="86" t="n"/>
      <c r="H40" s="85" t="n"/>
      <c r="I40" s="85" t="n"/>
      <c r="J40" s="85" t="n"/>
      <c r="K40" s="85" t="n"/>
      <c r="L40" s="85" t="n"/>
      <c r="M40" s="85" t="n"/>
      <c r="N40" s="85" t="n"/>
      <c r="O40" s="85" t="n"/>
      <c r="P40" s="85" t="n"/>
      <c r="Q40" s="85" t="n"/>
      <c r="R40" s="85" t="n"/>
      <c r="S40" s="85">
        <f>IF($G40="","",TODAY()-$G40)</f>
        <v/>
      </c>
      <c r="T40" s="85">
        <f>IF($A40="","",IF(AND($E40="Yes",OR($O40="No",$O40="NOT FOUND")),"YES",""))</f>
        <v/>
      </c>
      <c r="U40" s="85">
        <f>IF($A40="","",TRIM(IF(AND($M40=0,$I40&lt;&gt;"Yes"),"T0-NoPhishResistant ","")&amp;IF($H40="No","NoMFA ","")&amp;IF(AND($E40="Yes",$G40=""),"NeverSignedIn ","")))</f>
        <v/>
      </c>
    </row>
    <row r="41" ht="15" customHeight="1" s="39">
      <c r="A41" s="85" t="n"/>
      <c r="B41" s="85" t="n"/>
      <c r="C41" s="85" t="n"/>
      <c r="D41" s="85" t="n"/>
      <c r="E41" s="85" t="n"/>
      <c r="F41" s="86" t="n"/>
      <c r="G41" s="86" t="n"/>
      <c r="H41" s="85" t="n"/>
      <c r="I41" s="85" t="n"/>
      <c r="J41" s="85" t="n"/>
      <c r="K41" s="85" t="n"/>
      <c r="L41" s="85" t="n"/>
      <c r="M41" s="85" t="n"/>
      <c r="N41" s="85" t="n"/>
      <c r="O41" s="85" t="n"/>
      <c r="P41" s="85" t="n"/>
      <c r="Q41" s="85" t="n"/>
      <c r="R41" s="85" t="n"/>
      <c r="S41" s="85">
        <f>IF($G41="","",TODAY()-$G41)</f>
        <v/>
      </c>
      <c r="T41" s="85">
        <f>IF($A41="","",IF(AND($E41="Yes",OR($O41="No",$O41="NOT FOUND")),"YES",""))</f>
        <v/>
      </c>
      <c r="U41" s="85">
        <f>IF($A41="","",TRIM(IF(AND($M41=0,$I41&lt;&gt;"Yes"),"T0-NoPhishResistant ","")&amp;IF($H41="No","NoMFA ","")&amp;IF(AND($E41="Yes",$G41=""),"NeverSignedIn ","")))</f>
        <v/>
      </c>
    </row>
    <row r="42" ht="15" customHeight="1" s="39">
      <c r="A42" s="85" t="n"/>
      <c r="B42" s="85" t="n"/>
      <c r="C42" s="85" t="n"/>
      <c r="D42" s="85" t="n"/>
      <c r="E42" s="85" t="n"/>
      <c r="F42" s="86" t="n"/>
      <c r="G42" s="86" t="n"/>
      <c r="H42" s="85" t="n"/>
      <c r="I42" s="85" t="n"/>
      <c r="J42" s="85" t="n"/>
      <c r="K42" s="85" t="n"/>
      <c r="L42" s="85" t="n"/>
      <c r="M42" s="85" t="n"/>
      <c r="N42" s="85" t="n"/>
      <c r="O42" s="85" t="n"/>
      <c r="P42" s="85" t="n"/>
      <c r="Q42" s="85" t="n"/>
      <c r="R42" s="85" t="n"/>
      <c r="S42" s="85">
        <f>IF($G42="","",TODAY()-$G42)</f>
        <v/>
      </c>
      <c r="T42" s="85">
        <f>IF($A42="","",IF(AND($E42="Yes",OR($O42="No",$O42="NOT FOUND")),"YES",""))</f>
        <v/>
      </c>
      <c r="U42" s="85">
        <f>IF($A42="","",TRIM(IF(AND($M42=0,$I42&lt;&gt;"Yes"),"T0-NoPhishResistant ","")&amp;IF($H42="No","NoMFA ","")&amp;IF(AND($E42="Yes",$G42=""),"NeverSignedIn ","")))</f>
        <v/>
      </c>
    </row>
    <row r="43" ht="15" customHeight="1" s="39">
      <c r="A43" s="85" t="n"/>
      <c r="B43" s="85" t="n"/>
      <c r="C43" s="85" t="n"/>
      <c r="D43" s="85" t="n"/>
      <c r="E43" s="85" t="n"/>
      <c r="F43" s="86" t="n"/>
      <c r="G43" s="86" t="n"/>
      <c r="H43" s="85" t="n"/>
      <c r="I43" s="85" t="n"/>
      <c r="J43" s="85" t="n"/>
      <c r="K43" s="85" t="n"/>
      <c r="L43" s="85" t="n"/>
      <c r="M43" s="85" t="n"/>
      <c r="N43" s="85" t="n"/>
      <c r="O43" s="85" t="n"/>
      <c r="P43" s="85" t="n"/>
      <c r="Q43" s="85" t="n"/>
      <c r="R43" s="85" t="n"/>
      <c r="S43" s="85">
        <f>IF($G43="","",TODAY()-$G43)</f>
        <v/>
      </c>
      <c r="T43" s="85">
        <f>IF($A43="","",IF(AND($E43="Yes",OR($O43="No",$O43="NOT FOUND")),"YES",""))</f>
        <v/>
      </c>
      <c r="U43" s="85">
        <f>IF($A43="","",TRIM(IF(AND($M43=0,$I43&lt;&gt;"Yes"),"T0-NoPhishResistant ","")&amp;IF($H43="No","NoMFA ","")&amp;IF(AND($E43="Yes",$G43=""),"NeverSignedIn ","")))</f>
        <v/>
      </c>
    </row>
    <row r="44" ht="15" customHeight="1" s="39">
      <c r="A44" s="85" t="n"/>
      <c r="B44" s="85" t="n"/>
      <c r="C44" s="85" t="n"/>
      <c r="D44" s="85" t="n"/>
      <c r="E44" s="85" t="n"/>
      <c r="F44" s="86" t="n"/>
      <c r="G44" s="86" t="n"/>
      <c r="H44" s="85" t="n"/>
      <c r="I44" s="85" t="n"/>
      <c r="J44" s="85" t="n"/>
      <c r="K44" s="85" t="n"/>
      <c r="L44" s="85" t="n"/>
      <c r="M44" s="85" t="n"/>
      <c r="N44" s="85" t="n"/>
      <c r="O44" s="85" t="n"/>
      <c r="P44" s="85" t="n"/>
      <c r="Q44" s="85" t="n"/>
      <c r="R44" s="85" t="n"/>
      <c r="S44" s="85">
        <f>IF($G44="","",TODAY()-$G44)</f>
        <v/>
      </c>
      <c r="T44" s="85">
        <f>IF($A44="","",IF(AND($E44="Yes",OR($O44="No",$O44="NOT FOUND")),"YES",""))</f>
        <v/>
      </c>
      <c r="U44" s="85">
        <f>IF($A44="","",TRIM(IF(AND($M44=0,$I44&lt;&gt;"Yes"),"T0-NoPhishResistant ","")&amp;IF($H44="No","NoMFA ","")&amp;IF(AND($E44="Yes",$G44=""),"NeverSignedIn ","")))</f>
        <v/>
      </c>
    </row>
    <row r="45" ht="15" customHeight="1" s="39">
      <c r="A45" s="85" t="n"/>
      <c r="B45" s="85" t="n"/>
      <c r="C45" s="85" t="n"/>
      <c r="D45" s="85" t="n"/>
      <c r="E45" s="85" t="n"/>
      <c r="F45" s="86" t="n"/>
      <c r="G45" s="86" t="n"/>
      <c r="H45" s="85" t="n"/>
      <c r="I45" s="85" t="n"/>
      <c r="J45" s="85" t="n"/>
      <c r="K45" s="85" t="n"/>
      <c r="L45" s="85" t="n"/>
      <c r="M45" s="85" t="n"/>
      <c r="N45" s="85" t="n"/>
      <c r="O45" s="85" t="n"/>
      <c r="P45" s="85" t="n"/>
      <c r="Q45" s="85" t="n"/>
      <c r="R45" s="85" t="n"/>
      <c r="S45" s="85">
        <f>IF($G45="","",TODAY()-$G45)</f>
        <v/>
      </c>
      <c r="T45" s="85">
        <f>IF($A45="","",IF(AND($E45="Yes",OR($O45="No",$O45="NOT FOUND")),"YES",""))</f>
        <v/>
      </c>
      <c r="U45" s="85">
        <f>IF($A45="","",TRIM(IF(AND($M45=0,$I45&lt;&gt;"Yes"),"T0-NoPhishResistant ","")&amp;IF($H45="No","NoMFA ","")&amp;IF(AND($E45="Yes",$G45=""),"NeverSignedIn ","")))</f>
        <v/>
      </c>
    </row>
    <row r="46" ht="15" customHeight="1" s="39">
      <c r="A46" s="85" t="n"/>
      <c r="B46" s="85" t="n"/>
      <c r="C46" s="85" t="n"/>
      <c r="D46" s="85" t="n"/>
      <c r="E46" s="85" t="n"/>
      <c r="F46" s="86" t="n"/>
      <c r="G46" s="86" t="n"/>
      <c r="H46" s="85" t="n"/>
      <c r="I46" s="85" t="n"/>
      <c r="J46" s="85" t="n"/>
      <c r="K46" s="85" t="n"/>
      <c r="L46" s="85" t="n"/>
      <c r="M46" s="85" t="n"/>
      <c r="N46" s="85" t="n"/>
      <c r="O46" s="85" t="n"/>
      <c r="P46" s="85" t="n"/>
      <c r="Q46" s="85" t="n"/>
      <c r="R46" s="85" t="n"/>
      <c r="S46" s="85">
        <f>IF($G46="","",TODAY()-$G46)</f>
        <v/>
      </c>
      <c r="T46" s="85">
        <f>IF($A46="","",IF(AND($E46="Yes",OR($O46="No",$O46="NOT FOUND")),"YES",""))</f>
        <v/>
      </c>
      <c r="U46" s="85">
        <f>IF($A46="","",TRIM(IF(AND($M46=0,$I46&lt;&gt;"Yes"),"T0-NoPhishResistant ","")&amp;IF($H46="No","NoMFA ","")&amp;IF(AND($E46="Yes",$G46=""),"NeverSignedIn ","")))</f>
        <v/>
      </c>
    </row>
    <row r="47" ht="15" customHeight="1" s="39">
      <c r="A47" s="85" t="n"/>
      <c r="B47" s="85" t="n"/>
      <c r="C47" s="85" t="n"/>
      <c r="D47" s="85" t="n"/>
      <c r="E47" s="85" t="n"/>
      <c r="F47" s="86" t="n"/>
      <c r="G47" s="86" t="n"/>
      <c r="H47" s="85" t="n"/>
      <c r="I47" s="85" t="n"/>
      <c r="J47" s="85" t="n"/>
      <c r="K47" s="85" t="n"/>
      <c r="L47" s="85" t="n"/>
      <c r="M47" s="85" t="n"/>
      <c r="N47" s="85" t="n"/>
      <c r="O47" s="85" t="n"/>
      <c r="P47" s="85" t="n"/>
      <c r="Q47" s="85" t="n"/>
      <c r="R47" s="85" t="n"/>
      <c r="S47" s="85">
        <f>IF($G47="","",TODAY()-$G47)</f>
        <v/>
      </c>
      <c r="T47" s="85">
        <f>IF($A47="","",IF(AND($E47="Yes",OR($O47="No",$O47="NOT FOUND")),"YES",""))</f>
        <v/>
      </c>
      <c r="U47" s="85">
        <f>IF($A47="","",TRIM(IF(AND($M47=0,$I47&lt;&gt;"Yes"),"T0-NoPhishResistant ","")&amp;IF($H47="No","NoMFA ","")&amp;IF(AND($E47="Yes",$G47=""),"NeverSignedIn ","")))</f>
        <v/>
      </c>
    </row>
    <row r="48" ht="15" customHeight="1" s="39">
      <c r="A48" s="85" t="n"/>
      <c r="B48" s="85" t="n"/>
      <c r="C48" s="85" t="n"/>
      <c r="D48" s="85" t="n"/>
      <c r="E48" s="85" t="n"/>
      <c r="F48" s="86" t="n"/>
      <c r="G48" s="86" t="n"/>
      <c r="H48" s="85" t="n"/>
      <c r="I48" s="85" t="n"/>
      <c r="J48" s="85" t="n"/>
      <c r="K48" s="85" t="n"/>
      <c r="L48" s="85" t="n"/>
      <c r="M48" s="85" t="n"/>
      <c r="N48" s="85" t="n"/>
      <c r="O48" s="85" t="n"/>
      <c r="P48" s="85" t="n"/>
      <c r="Q48" s="85" t="n"/>
      <c r="R48" s="85" t="n"/>
      <c r="S48" s="85">
        <f>IF($G48="","",TODAY()-$G48)</f>
        <v/>
      </c>
      <c r="T48" s="85">
        <f>IF($A48="","",IF(AND($E48="Yes",OR($O48="No",$O48="NOT FOUND")),"YES",""))</f>
        <v/>
      </c>
      <c r="U48" s="85">
        <f>IF($A48="","",TRIM(IF(AND($M48=0,$I48&lt;&gt;"Yes"),"T0-NoPhishResistant ","")&amp;IF($H48="No","NoMFA ","")&amp;IF(AND($E48="Yes",$G48=""),"NeverSignedIn ","")))</f>
        <v/>
      </c>
    </row>
    <row r="49" ht="15" customHeight="1" s="39">
      <c r="A49" s="85" t="n"/>
      <c r="B49" s="85" t="n"/>
      <c r="C49" s="85" t="n"/>
      <c r="D49" s="85" t="n"/>
      <c r="E49" s="85" t="n"/>
      <c r="F49" s="86" t="n"/>
      <c r="G49" s="86" t="n"/>
      <c r="H49" s="85" t="n"/>
      <c r="I49" s="85" t="n"/>
      <c r="J49" s="85" t="n"/>
      <c r="K49" s="85" t="n"/>
      <c r="L49" s="85" t="n"/>
      <c r="M49" s="85" t="n"/>
      <c r="N49" s="85" t="n"/>
      <c r="O49" s="85" t="n"/>
      <c r="P49" s="85" t="n"/>
      <c r="Q49" s="85" t="n"/>
      <c r="R49" s="85" t="n"/>
      <c r="S49" s="85">
        <f>IF($G49="","",TODAY()-$G49)</f>
        <v/>
      </c>
      <c r="T49" s="85">
        <f>IF($A49="","",IF(AND($E49="Yes",OR($O49="No",$O49="NOT FOUND")),"YES",""))</f>
        <v/>
      </c>
      <c r="U49" s="85">
        <f>IF($A49="","",TRIM(IF(AND($M49=0,$I49&lt;&gt;"Yes"),"T0-NoPhishResistant ","")&amp;IF($H49="No","NoMFA ","")&amp;IF(AND($E49="Yes",$G49=""),"NeverSignedIn ","")))</f>
        <v/>
      </c>
    </row>
    <row r="50" ht="15" customHeight="1" s="39">
      <c r="A50" s="85" t="n"/>
      <c r="B50" s="85" t="n"/>
      <c r="C50" s="85" t="n"/>
      <c r="D50" s="85" t="n"/>
      <c r="E50" s="85" t="n"/>
      <c r="F50" s="86" t="n"/>
      <c r="G50" s="86" t="n"/>
      <c r="H50" s="85" t="n"/>
      <c r="I50" s="85" t="n"/>
      <c r="J50" s="85" t="n"/>
      <c r="K50" s="85" t="n"/>
      <c r="L50" s="85" t="n"/>
      <c r="M50" s="85" t="n"/>
      <c r="N50" s="85" t="n"/>
      <c r="O50" s="85" t="n"/>
      <c r="P50" s="85" t="n"/>
      <c r="Q50" s="85" t="n"/>
      <c r="R50" s="85" t="n"/>
      <c r="S50" s="85">
        <f>IF($G50="","",TODAY()-$G50)</f>
        <v/>
      </c>
      <c r="T50" s="85">
        <f>IF($A50="","",IF(AND($E50="Yes",OR($O50="No",$O50="NOT FOUND")),"YES",""))</f>
        <v/>
      </c>
      <c r="U50" s="85">
        <f>IF($A50="","",TRIM(IF(AND($M50=0,$I50&lt;&gt;"Yes"),"T0-NoPhishResistant ","")&amp;IF($H50="No","NoMFA ","")&amp;IF(AND($E50="Yes",$G50=""),"NeverSignedIn ","")))</f>
        <v/>
      </c>
    </row>
    <row r="51" ht="15" customHeight="1" s="39">
      <c r="A51" s="85" t="n"/>
      <c r="B51" s="85" t="n"/>
      <c r="C51" s="85" t="n"/>
      <c r="D51" s="85" t="n"/>
      <c r="E51" s="85" t="n"/>
      <c r="F51" s="86" t="n"/>
      <c r="G51" s="86" t="n"/>
      <c r="H51" s="85" t="n"/>
      <c r="I51" s="85" t="n"/>
      <c r="J51" s="85" t="n"/>
      <c r="K51" s="85" t="n"/>
      <c r="L51" s="85" t="n"/>
      <c r="M51" s="85" t="n"/>
      <c r="N51" s="85" t="n"/>
      <c r="O51" s="85" t="n"/>
      <c r="P51" s="85" t="n"/>
      <c r="Q51" s="85" t="n"/>
      <c r="R51" s="85" t="n"/>
      <c r="S51" s="85">
        <f>IF($G51="","",TODAY()-$G51)</f>
        <v/>
      </c>
      <c r="T51" s="85">
        <f>IF($A51="","",IF(AND($E51="Yes",OR($O51="No",$O51="NOT FOUND")),"YES",""))</f>
        <v/>
      </c>
      <c r="U51" s="85">
        <f>IF($A51="","",TRIM(IF(AND($M51=0,$I51&lt;&gt;"Yes"),"T0-NoPhishResistant ","")&amp;IF($H51="No","NoMFA ","")&amp;IF(AND($E51="Yes",$G51=""),"NeverSignedIn ","")))</f>
        <v/>
      </c>
    </row>
    <row r="52" ht="15" customHeight="1" s="39">
      <c r="A52" s="85" t="n"/>
      <c r="B52" s="85" t="n"/>
      <c r="C52" s="85" t="n"/>
      <c r="D52" s="85" t="n"/>
      <c r="E52" s="85" t="n"/>
      <c r="F52" s="86" t="n"/>
      <c r="G52" s="86" t="n"/>
      <c r="H52" s="85" t="n"/>
      <c r="I52" s="85" t="n"/>
      <c r="J52" s="85" t="n"/>
      <c r="K52" s="85" t="n"/>
      <c r="L52" s="85" t="n"/>
      <c r="M52" s="85" t="n"/>
      <c r="N52" s="85" t="n"/>
      <c r="O52" s="85" t="n"/>
      <c r="P52" s="85" t="n"/>
      <c r="Q52" s="85" t="n"/>
      <c r="R52" s="85" t="n"/>
      <c r="S52" s="85">
        <f>IF($G52="","",TODAY()-$G52)</f>
        <v/>
      </c>
      <c r="T52" s="85">
        <f>IF($A52="","",IF(AND($E52="Yes",OR($O52="No",$O52="NOT FOUND")),"YES",""))</f>
        <v/>
      </c>
      <c r="U52" s="85">
        <f>IF($A52="","",TRIM(IF(AND($M52=0,$I52&lt;&gt;"Yes"),"T0-NoPhishResistant ","")&amp;IF($H52="No","NoMFA ","")&amp;IF(AND($E52="Yes",$G52=""),"NeverSignedIn ","")))</f>
        <v/>
      </c>
    </row>
    <row r="53" ht="15" customHeight="1" s="39">
      <c r="A53" s="85" t="n"/>
      <c r="B53" s="85" t="n"/>
      <c r="C53" s="85" t="n"/>
      <c r="D53" s="85" t="n"/>
      <c r="E53" s="85" t="n"/>
      <c r="F53" s="86" t="n"/>
      <c r="G53" s="86" t="n"/>
      <c r="H53" s="85" t="n"/>
      <c r="I53" s="85" t="n"/>
      <c r="J53" s="85" t="n"/>
      <c r="K53" s="85" t="n"/>
      <c r="L53" s="85" t="n"/>
      <c r="M53" s="85" t="n"/>
      <c r="N53" s="85" t="n"/>
      <c r="O53" s="85" t="n"/>
      <c r="P53" s="85" t="n"/>
      <c r="Q53" s="85" t="n"/>
      <c r="R53" s="85" t="n"/>
      <c r="S53" s="85">
        <f>IF($G53="","",TODAY()-$G53)</f>
        <v/>
      </c>
      <c r="T53" s="85">
        <f>IF($A53="","",IF(AND($E53="Yes",OR($O53="No",$O53="NOT FOUND")),"YES",""))</f>
        <v/>
      </c>
      <c r="U53" s="85">
        <f>IF($A53="","",TRIM(IF(AND($M53=0,$I53&lt;&gt;"Yes"),"T0-NoPhishResistant ","")&amp;IF($H53="No","NoMFA ","")&amp;IF(AND($E53="Yes",$G53=""),"NeverSignedIn ","")))</f>
        <v/>
      </c>
    </row>
    <row r="54" ht="15" customHeight="1" s="39">
      <c r="A54" s="85" t="n"/>
      <c r="B54" s="85" t="n"/>
      <c r="C54" s="85" t="n"/>
      <c r="D54" s="85" t="n"/>
      <c r="E54" s="85" t="n"/>
      <c r="F54" s="86" t="n"/>
      <c r="G54" s="86" t="n"/>
      <c r="H54" s="85" t="n"/>
      <c r="I54" s="85" t="n"/>
      <c r="J54" s="85" t="n"/>
      <c r="K54" s="85" t="n"/>
      <c r="L54" s="85" t="n"/>
      <c r="M54" s="85" t="n"/>
      <c r="N54" s="85" t="n"/>
      <c r="O54" s="85" t="n"/>
      <c r="P54" s="85" t="n"/>
      <c r="Q54" s="85" t="n"/>
      <c r="R54" s="85" t="n"/>
      <c r="S54" s="85">
        <f>IF($G54="","",TODAY()-$G54)</f>
        <v/>
      </c>
      <c r="T54" s="85">
        <f>IF($A54="","",IF(AND($E54="Yes",OR($O54="No",$O54="NOT FOUND")),"YES",""))</f>
        <v/>
      </c>
      <c r="U54" s="85">
        <f>IF($A54="","",TRIM(IF(AND($M54=0,$I54&lt;&gt;"Yes"),"T0-NoPhishResistant ","")&amp;IF($H54="No","NoMFA ","")&amp;IF(AND($E54="Yes",$G54=""),"NeverSignedIn ","")))</f>
        <v/>
      </c>
    </row>
    <row r="55" ht="15" customHeight="1" s="39">
      <c r="A55" s="85" t="n"/>
      <c r="B55" s="85" t="n"/>
      <c r="C55" s="85" t="n"/>
      <c r="D55" s="85" t="n"/>
      <c r="E55" s="85" t="n"/>
      <c r="F55" s="86" t="n"/>
      <c r="G55" s="86" t="n"/>
      <c r="H55" s="85" t="n"/>
      <c r="I55" s="85" t="n"/>
      <c r="J55" s="85" t="n"/>
      <c r="K55" s="85" t="n"/>
      <c r="L55" s="85" t="n"/>
      <c r="M55" s="85" t="n"/>
      <c r="N55" s="85" t="n"/>
      <c r="O55" s="85" t="n"/>
      <c r="P55" s="85" t="n"/>
      <c r="Q55" s="85" t="n"/>
      <c r="R55" s="85" t="n"/>
      <c r="S55" s="85">
        <f>IF($G55="","",TODAY()-$G55)</f>
        <v/>
      </c>
      <c r="T55" s="85">
        <f>IF($A55="","",IF(AND($E55="Yes",OR($O55="No",$O55="NOT FOUND")),"YES",""))</f>
        <v/>
      </c>
      <c r="U55" s="85">
        <f>IF($A55="","",TRIM(IF(AND($M55=0,$I55&lt;&gt;"Yes"),"T0-NoPhishResistant ","")&amp;IF($H55="No","NoMFA ","")&amp;IF(AND($E55="Yes",$G55=""),"NeverSignedIn ","")))</f>
        <v/>
      </c>
    </row>
    <row r="56" ht="15" customHeight="1" s="39">
      <c r="A56" s="85" t="n"/>
      <c r="B56" s="85" t="n"/>
      <c r="C56" s="85" t="n"/>
      <c r="D56" s="85" t="n"/>
      <c r="E56" s="85" t="n"/>
      <c r="F56" s="86" t="n"/>
      <c r="G56" s="86" t="n"/>
      <c r="H56" s="85" t="n"/>
      <c r="I56" s="85" t="n"/>
      <c r="J56" s="85" t="n"/>
      <c r="K56" s="85" t="n"/>
      <c r="L56" s="85" t="n"/>
      <c r="M56" s="85" t="n"/>
      <c r="N56" s="85" t="n"/>
      <c r="O56" s="85" t="n"/>
      <c r="P56" s="85" t="n"/>
      <c r="Q56" s="85" t="n"/>
      <c r="R56" s="85" t="n"/>
      <c r="S56" s="85">
        <f>IF($G56="","",TODAY()-$G56)</f>
        <v/>
      </c>
      <c r="T56" s="85">
        <f>IF($A56="","",IF(AND($E56="Yes",OR($O56="No",$O56="NOT FOUND")),"YES",""))</f>
        <v/>
      </c>
      <c r="U56" s="85">
        <f>IF($A56="","",TRIM(IF(AND($M56=0,$I56&lt;&gt;"Yes"),"T0-NoPhishResistant ","")&amp;IF($H56="No","NoMFA ","")&amp;IF(AND($E56="Yes",$G56=""),"NeverSignedIn ","")))</f>
        <v/>
      </c>
    </row>
    <row r="57" ht="15" customHeight="1" s="39">
      <c r="A57" s="85" t="n"/>
      <c r="B57" s="85" t="n"/>
      <c r="C57" s="85" t="n"/>
      <c r="D57" s="85" t="n"/>
      <c r="E57" s="85" t="n"/>
      <c r="F57" s="86" t="n"/>
      <c r="G57" s="86" t="n"/>
      <c r="H57" s="85" t="n"/>
      <c r="I57" s="85" t="n"/>
      <c r="J57" s="85" t="n"/>
      <c r="K57" s="85" t="n"/>
      <c r="L57" s="85" t="n"/>
      <c r="M57" s="85" t="n"/>
      <c r="N57" s="85" t="n"/>
      <c r="O57" s="85" t="n"/>
      <c r="P57" s="85" t="n"/>
      <c r="Q57" s="85" t="n"/>
      <c r="R57" s="85" t="n"/>
      <c r="S57" s="85">
        <f>IF($G57="","",TODAY()-$G57)</f>
        <v/>
      </c>
      <c r="T57" s="85">
        <f>IF($A57="","",IF(AND($E57="Yes",OR($O57="No",$O57="NOT FOUND")),"YES",""))</f>
        <v/>
      </c>
      <c r="U57" s="85">
        <f>IF($A57="","",TRIM(IF(AND($M57=0,$I57&lt;&gt;"Yes"),"T0-NoPhishResistant ","")&amp;IF($H57="No","NoMFA ","")&amp;IF(AND($E57="Yes",$G57=""),"NeverSignedIn ","")))</f>
        <v/>
      </c>
    </row>
    <row r="58" ht="15" customHeight="1" s="39">
      <c r="A58" s="85" t="n"/>
      <c r="B58" s="85" t="n"/>
      <c r="C58" s="85" t="n"/>
      <c r="D58" s="85" t="n"/>
      <c r="E58" s="85" t="n"/>
      <c r="F58" s="86" t="n"/>
      <c r="G58" s="86" t="n"/>
      <c r="H58" s="85" t="n"/>
      <c r="I58" s="85" t="n"/>
      <c r="J58" s="85" t="n"/>
      <c r="K58" s="85" t="n"/>
      <c r="L58" s="85" t="n"/>
      <c r="M58" s="85" t="n"/>
      <c r="N58" s="85" t="n"/>
      <c r="O58" s="85" t="n"/>
      <c r="P58" s="85" t="n"/>
      <c r="Q58" s="85" t="n"/>
      <c r="R58" s="85" t="n"/>
      <c r="S58" s="85">
        <f>IF($G58="","",TODAY()-$G58)</f>
        <v/>
      </c>
      <c r="T58" s="85">
        <f>IF($A58="","",IF(AND($E58="Yes",OR($O58="No",$O58="NOT FOUND")),"YES",""))</f>
        <v/>
      </c>
      <c r="U58" s="85">
        <f>IF($A58="","",TRIM(IF(AND($M58=0,$I58&lt;&gt;"Yes"),"T0-NoPhishResistant ","")&amp;IF($H58="No","NoMFA ","")&amp;IF(AND($E58="Yes",$G58=""),"NeverSignedIn ","")))</f>
        <v/>
      </c>
    </row>
    <row r="59" ht="15" customHeight="1" s="39">
      <c r="A59" s="85" t="n"/>
      <c r="B59" s="85" t="n"/>
      <c r="C59" s="85" t="n"/>
      <c r="D59" s="85" t="n"/>
      <c r="E59" s="85" t="n"/>
      <c r="F59" s="86" t="n"/>
      <c r="G59" s="86" t="n"/>
      <c r="H59" s="85" t="n"/>
      <c r="I59" s="85" t="n"/>
      <c r="J59" s="85" t="n"/>
      <c r="K59" s="85" t="n"/>
      <c r="L59" s="85" t="n"/>
      <c r="M59" s="85" t="n"/>
      <c r="N59" s="85" t="n"/>
      <c r="O59" s="85" t="n"/>
      <c r="P59" s="85" t="n"/>
      <c r="Q59" s="85" t="n"/>
      <c r="R59" s="85" t="n"/>
      <c r="S59" s="85">
        <f>IF($G59="","",TODAY()-$G59)</f>
        <v/>
      </c>
      <c r="T59" s="85">
        <f>IF($A59="","",IF(AND($E59="Yes",OR($O59="No",$O59="NOT FOUND")),"YES",""))</f>
        <v/>
      </c>
      <c r="U59" s="85">
        <f>IF($A59="","",TRIM(IF(AND($M59=0,$I59&lt;&gt;"Yes"),"T0-NoPhishResistant ","")&amp;IF($H59="No","NoMFA ","")&amp;IF(AND($E59="Yes",$G59=""),"NeverSignedIn ","")))</f>
        <v/>
      </c>
    </row>
    <row r="60" ht="15" customHeight="1" s="39">
      <c r="A60" s="85" t="n"/>
      <c r="B60" s="85" t="n"/>
      <c r="C60" s="85" t="n"/>
      <c r="D60" s="85" t="n"/>
      <c r="E60" s="85" t="n"/>
      <c r="F60" s="86" t="n"/>
      <c r="G60" s="86" t="n"/>
      <c r="H60" s="85" t="n"/>
      <c r="I60" s="85" t="n"/>
      <c r="J60" s="85" t="n"/>
      <c r="K60" s="85" t="n"/>
      <c r="L60" s="85" t="n"/>
      <c r="M60" s="85" t="n"/>
      <c r="N60" s="85" t="n"/>
      <c r="O60" s="85" t="n"/>
      <c r="P60" s="85" t="n"/>
      <c r="Q60" s="85" t="n"/>
      <c r="R60" s="85" t="n"/>
      <c r="S60" s="85">
        <f>IF($G60="","",TODAY()-$G60)</f>
        <v/>
      </c>
      <c r="T60" s="85">
        <f>IF($A60="","",IF(AND($E60="Yes",OR($O60="No",$O60="NOT FOUND")),"YES",""))</f>
        <v/>
      </c>
      <c r="U60" s="85">
        <f>IF($A60="","",TRIM(IF(AND($M60=0,$I60&lt;&gt;"Yes"),"T0-NoPhishResistant ","")&amp;IF($H60="No","NoMFA ","")&amp;IF(AND($E60="Yes",$G60=""),"NeverSignedIn ","")))</f>
        <v/>
      </c>
    </row>
    <row r="61" ht="15" customHeight="1" s="39">
      <c r="A61" s="85" t="n"/>
      <c r="B61" s="85" t="n"/>
      <c r="C61" s="85" t="n"/>
      <c r="D61" s="85" t="n"/>
      <c r="E61" s="85" t="n"/>
      <c r="F61" s="86" t="n"/>
      <c r="G61" s="86" t="n"/>
      <c r="H61" s="85" t="n"/>
      <c r="I61" s="85" t="n"/>
      <c r="J61" s="85" t="n"/>
      <c r="K61" s="85" t="n"/>
      <c r="L61" s="85" t="n"/>
      <c r="M61" s="85" t="n"/>
      <c r="N61" s="85" t="n"/>
      <c r="O61" s="85" t="n"/>
      <c r="P61" s="85" t="n"/>
      <c r="Q61" s="85" t="n"/>
      <c r="R61" s="85" t="n"/>
      <c r="S61" s="85">
        <f>IF($G61="","",TODAY()-$G61)</f>
        <v/>
      </c>
      <c r="T61" s="85">
        <f>IF($A61="","",IF(AND($E61="Yes",OR($O61="No",$O61="NOT FOUND")),"YES",""))</f>
        <v/>
      </c>
      <c r="U61" s="85">
        <f>IF($A61="","",TRIM(IF(AND($M61=0,$I61&lt;&gt;"Yes"),"T0-NoPhishResistant ","")&amp;IF($H61="No","NoMFA ","")&amp;IF(AND($E61="Yes",$G61=""),"NeverSignedIn ","")))</f>
        <v/>
      </c>
    </row>
    <row r="62" ht="15" customHeight="1" s="39">
      <c r="A62" s="85" t="n"/>
      <c r="B62" s="85" t="n"/>
      <c r="C62" s="85" t="n"/>
      <c r="D62" s="85" t="n"/>
      <c r="E62" s="85" t="n"/>
      <c r="F62" s="86" t="n"/>
      <c r="G62" s="86" t="n"/>
      <c r="H62" s="85" t="n"/>
      <c r="I62" s="85" t="n"/>
      <c r="J62" s="85" t="n"/>
      <c r="K62" s="85" t="n"/>
      <c r="L62" s="85" t="n"/>
      <c r="M62" s="85" t="n"/>
      <c r="N62" s="85" t="n"/>
      <c r="O62" s="85" t="n"/>
      <c r="P62" s="85" t="n"/>
      <c r="Q62" s="85" t="n"/>
      <c r="R62" s="85" t="n"/>
      <c r="S62" s="85">
        <f>IF($G62="","",TODAY()-$G62)</f>
        <v/>
      </c>
      <c r="T62" s="85">
        <f>IF($A62="","",IF(AND($E62="Yes",OR($O62="No",$O62="NOT FOUND")),"YES",""))</f>
        <v/>
      </c>
      <c r="U62" s="85">
        <f>IF($A62="","",TRIM(IF(AND($M62=0,$I62&lt;&gt;"Yes"),"T0-NoPhishResistant ","")&amp;IF($H62="No","NoMFA ","")&amp;IF(AND($E62="Yes",$G62=""),"NeverSignedIn ","")))</f>
        <v/>
      </c>
    </row>
    <row r="63" ht="15" customHeight="1" s="39">
      <c r="A63" s="85" t="n"/>
      <c r="B63" s="85" t="n"/>
      <c r="C63" s="85" t="n"/>
      <c r="D63" s="85" t="n"/>
      <c r="E63" s="85" t="n"/>
      <c r="F63" s="86" t="n"/>
      <c r="G63" s="86" t="n"/>
      <c r="H63" s="85" t="n"/>
      <c r="I63" s="85" t="n"/>
      <c r="J63" s="85" t="n"/>
      <c r="K63" s="85" t="n"/>
      <c r="L63" s="85" t="n"/>
      <c r="M63" s="85" t="n"/>
      <c r="N63" s="85" t="n"/>
      <c r="O63" s="85" t="n"/>
      <c r="P63" s="85" t="n"/>
      <c r="Q63" s="85" t="n"/>
      <c r="R63" s="85" t="n"/>
      <c r="S63" s="85">
        <f>IF($G63="","",TODAY()-$G63)</f>
        <v/>
      </c>
      <c r="T63" s="85">
        <f>IF($A63="","",IF(AND($E63="Yes",OR($O63="No",$O63="NOT FOUND")),"YES",""))</f>
        <v/>
      </c>
      <c r="U63" s="85">
        <f>IF($A63="","",TRIM(IF(AND($M63=0,$I63&lt;&gt;"Yes"),"T0-NoPhishResistant ","")&amp;IF($H63="No","NoMFA ","")&amp;IF(AND($E63="Yes",$G63=""),"NeverSignedIn ","")))</f>
        <v/>
      </c>
    </row>
    <row r="64" ht="15" customHeight="1" s="39">
      <c r="A64" s="85" t="n"/>
      <c r="B64" s="85" t="n"/>
      <c r="C64" s="85" t="n"/>
      <c r="D64" s="85" t="n"/>
      <c r="E64" s="85" t="n"/>
      <c r="F64" s="86" t="n"/>
      <c r="G64" s="86" t="n"/>
      <c r="H64" s="85" t="n"/>
      <c r="I64" s="85" t="n"/>
      <c r="J64" s="85" t="n"/>
      <c r="K64" s="85" t="n"/>
      <c r="L64" s="85" t="n"/>
      <c r="M64" s="85" t="n"/>
      <c r="N64" s="85" t="n"/>
      <c r="O64" s="85" t="n"/>
      <c r="P64" s="85" t="n"/>
      <c r="Q64" s="85" t="n"/>
      <c r="R64" s="85" t="n"/>
      <c r="S64" s="85">
        <f>IF($G64="","",TODAY()-$G64)</f>
        <v/>
      </c>
      <c r="T64" s="85">
        <f>IF($A64="","",IF(AND($E64="Yes",OR($O64="No",$O64="NOT FOUND")),"YES",""))</f>
        <v/>
      </c>
      <c r="U64" s="85">
        <f>IF($A64="","",TRIM(IF(AND($M64=0,$I64&lt;&gt;"Yes"),"T0-NoPhishResistant ","")&amp;IF($H64="No","NoMFA ","")&amp;IF(AND($E64="Yes",$G64=""),"NeverSignedIn ","")))</f>
        <v/>
      </c>
    </row>
    <row r="65" ht="15" customHeight="1" s="39">
      <c r="A65" s="85" t="n"/>
      <c r="B65" s="85" t="n"/>
      <c r="C65" s="85" t="n"/>
      <c r="D65" s="85" t="n"/>
      <c r="E65" s="85" t="n"/>
      <c r="F65" s="86" t="n"/>
      <c r="G65" s="86" t="n"/>
      <c r="H65" s="85" t="n"/>
      <c r="I65" s="85" t="n"/>
      <c r="J65" s="85" t="n"/>
      <c r="K65" s="85" t="n"/>
      <c r="L65" s="85" t="n"/>
      <c r="M65" s="85" t="n"/>
      <c r="N65" s="85" t="n"/>
      <c r="O65" s="85" t="n"/>
      <c r="P65" s="85" t="n"/>
      <c r="Q65" s="85" t="n"/>
      <c r="R65" s="85" t="n"/>
      <c r="S65" s="85">
        <f>IF($G65="","",TODAY()-$G65)</f>
        <v/>
      </c>
      <c r="T65" s="85">
        <f>IF($A65="","",IF(AND($E65="Yes",OR($O65="No",$O65="NOT FOUND")),"YES",""))</f>
        <v/>
      </c>
      <c r="U65" s="85">
        <f>IF($A65="","",TRIM(IF(AND($M65=0,$I65&lt;&gt;"Yes"),"T0-NoPhishResistant ","")&amp;IF($H65="No","NoMFA ","")&amp;IF(AND($E65="Yes",$G65=""),"NeverSignedIn ","")))</f>
        <v/>
      </c>
    </row>
    <row r="66" ht="15" customHeight="1" s="39">
      <c r="A66" s="85" t="n"/>
      <c r="B66" s="85" t="n"/>
      <c r="C66" s="85" t="n"/>
      <c r="D66" s="85" t="n"/>
      <c r="E66" s="85" t="n"/>
      <c r="F66" s="86" t="n"/>
      <c r="G66" s="86" t="n"/>
      <c r="H66" s="85" t="n"/>
      <c r="I66" s="85" t="n"/>
      <c r="J66" s="85" t="n"/>
      <c r="K66" s="85" t="n"/>
      <c r="L66" s="85" t="n"/>
      <c r="M66" s="85" t="n"/>
      <c r="N66" s="85" t="n"/>
      <c r="O66" s="85" t="n"/>
      <c r="P66" s="85" t="n"/>
      <c r="Q66" s="85" t="n"/>
      <c r="R66" s="85" t="n"/>
      <c r="S66" s="85">
        <f>IF($G66="","",TODAY()-$G66)</f>
        <v/>
      </c>
      <c r="T66" s="85">
        <f>IF($A66="","",IF(AND($E66="Yes",OR($O66="No",$O66="NOT FOUND")),"YES",""))</f>
        <v/>
      </c>
      <c r="U66" s="85">
        <f>IF($A66="","",TRIM(IF(AND($M66=0,$I66&lt;&gt;"Yes"),"T0-NoPhishResistant ","")&amp;IF($H66="No","NoMFA ","")&amp;IF(AND($E66="Yes",$G66=""),"NeverSignedIn ","")))</f>
        <v/>
      </c>
    </row>
    <row r="67" ht="15" customHeight="1" s="39">
      <c r="A67" s="85" t="n"/>
      <c r="B67" s="85" t="n"/>
      <c r="C67" s="85" t="n"/>
      <c r="D67" s="85" t="n"/>
      <c r="E67" s="85" t="n"/>
      <c r="F67" s="86" t="n"/>
      <c r="G67" s="86" t="n"/>
      <c r="H67" s="85" t="n"/>
      <c r="I67" s="85" t="n"/>
      <c r="J67" s="85" t="n"/>
      <c r="K67" s="85" t="n"/>
      <c r="L67" s="85" t="n"/>
      <c r="M67" s="85" t="n"/>
      <c r="N67" s="85" t="n"/>
      <c r="O67" s="85" t="n"/>
      <c r="P67" s="85" t="n"/>
      <c r="Q67" s="85" t="n"/>
      <c r="R67" s="85" t="n"/>
      <c r="S67" s="85">
        <f>IF($G67="","",TODAY()-$G67)</f>
        <v/>
      </c>
      <c r="T67" s="85">
        <f>IF($A67="","",IF(AND($E67="Yes",OR($O67="No",$O67="NOT FOUND")),"YES",""))</f>
        <v/>
      </c>
      <c r="U67" s="85">
        <f>IF($A67="","",TRIM(IF(AND($M67=0,$I67&lt;&gt;"Yes"),"T0-NoPhishResistant ","")&amp;IF($H67="No","NoMFA ","")&amp;IF(AND($E67="Yes",$G67=""),"NeverSignedIn ","")))</f>
        <v/>
      </c>
    </row>
    <row r="68" ht="15" customHeight="1" s="39">
      <c r="A68" s="85" t="n"/>
      <c r="B68" s="85" t="n"/>
      <c r="C68" s="85" t="n"/>
      <c r="D68" s="85" t="n"/>
      <c r="E68" s="85" t="n"/>
      <c r="F68" s="86" t="n"/>
      <c r="G68" s="86" t="n"/>
      <c r="H68" s="85" t="n"/>
      <c r="I68" s="85" t="n"/>
      <c r="J68" s="85" t="n"/>
      <c r="K68" s="85" t="n"/>
      <c r="L68" s="85" t="n"/>
      <c r="M68" s="85" t="n"/>
      <c r="N68" s="85" t="n"/>
      <c r="O68" s="85" t="n"/>
      <c r="P68" s="85" t="n"/>
      <c r="Q68" s="85" t="n"/>
      <c r="R68" s="85" t="n"/>
      <c r="S68" s="85">
        <f>IF($G68="","",TODAY()-$G68)</f>
        <v/>
      </c>
      <c r="T68" s="85">
        <f>IF($A68="","",IF(AND($E68="Yes",OR($O68="No",$O68="NOT FOUND")),"YES",""))</f>
        <v/>
      </c>
      <c r="U68" s="85">
        <f>IF($A68="","",TRIM(IF(AND($M68=0,$I68&lt;&gt;"Yes"),"T0-NoPhishResistant ","")&amp;IF($H68="No","NoMFA ","")&amp;IF(AND($E68="Yes",$G68=""),"NeverSignedIn ","")))</f>
        <v/>
      </c>
    </row>
    <row r="69" ht="15" customHeight="1" s="39">
      <c r="A69" s="85" t="n"/>
      <c r="B69" s="85" t="n"/>
      <c r="C69" s="85" t="n"/>
      <c r="D69" s="85" t="n"/>
      <c r="E69" s="85" t="n"/>
      <c r="F69" s="86" t="n"/>
      <c r="G69" s="86" t="n"/>
      <c r="H69" s="85" t="n"/>
      <c r="I69" s="85" t="n"/>
      <c r="J69" s="85" t="n"/>
      <c r="K69" s="85" t="n"/>
      <c r="L69" s="85" t="n"/>
      <c r="M69" s="85" t="n"/>
      <c r="N69" s="85" t="n"/>
      <c r="O69" s="85" t="n"/>
      <c r="P69" s="85" t="n"/>
      <c r="Q69" s="85" t="n"/>
      <c r="R69" s="85" t="n"/>
      <c r="S69" s="85">
        <f>IF($G69="","",TODAY()-$G69)</f>
        <v/>
      </c>
      <c r="T69" s="85">
        <f>IF($A69="","",IF(AND($E69="Yes",OR($O69="No",$O69="NOT FOUND")),"YES",""))</f>
        <v/>
      </c>
      <c r="U69" s="85">
        <f>IF($A69="","",TRIM(IF(AND($M69=0,$I69&lt;&gt;"Yes"),"T0-NoPhishResistant ","")&amp;IF($H69="No","NoMFA ","")&amp;IF(AND($E69="Yes",$G69=""),"NeverSignedIn ","")))</f>
        <v/>
      </c>
    </row>
    <row r="70" ht="15" customHeight="1" s="39">
      <c r="A70" s="85" t="n"/>
      <c r="B70" s="85" t="n"/>
      <c r="C70" s="85" t="n"/>
      <c r="D70" s="85" t="n"/>
      <c r="E70" s="85" t="n"/>
      <c r="F70" s="86" t="n"/>
      <c r="G70" s="86" t="n"/>
      <c r="H70" s="85" t="n"/>
      <c r="I70" s="85" t="n"/>
      <c r="J70" s="85" t="n"/>
      <c r="K70" s="85" t="n"/>
      <c r="L70" s="85" t="n"/>
      <c r="M70" s="85" t="n"/>
      <c r="N70" s="85" t="n"/>
      <c r="O70" s="85" t="n"/>
      <c r="P70" s="85" t="n"/>
      <c r="Q70" s="85" t="n"/>
      <c r="R70" s="85" t="n"/>
      <c r="S70" s="85">
        <f>IF($G70="","",TODAY()-$G70)</f>
        <v/>
      </c>
      <c r="T70" s="85">
        <f>IF($A70="","",IF(AND($E70="Yes",OR($O70="No",$O70="NOT FOUND")),"YES",""))</f>
        <v/>
      </c>
      <c r="U70" s="85">
        <f>IF($A70="","",TRIM(IF(AND($M70=0,$I70&lt;&gt;"Yes"),"T0-NoPhishResistant ","")&amp;IF($H70="No","NoMFA ","")&amp;IF(AND($E70="Yes",$G70=""),"NeverSignedIn ","")))</f>
        <v/>
      </c>
    </row>
    <row r="71" ht="15" customHeight="1" s="39">
      <c r="A71" s="85" t="n"/>
      <c r="B71" s="85" t="n"/>
      <c r="C71" s="85" t="n"/>
      <c r="D71" s="85" t="n"/>
      <c r="E71" s="85" t="n"/>
      <c r="F71" s="86" t="n"/>
      <c r="G71" s="86" t="n"/>
      <c r="H71" s="85" t="n"/>
      <c r="I71" s="85" t="n"/>
      <c r="J71" s="85" t="n"/>
      <c r="K71" s="85" t="n"/>
      <c r="L71" s="85" t="n"/>
      <c r="M71" s="85" t="n"/>
      <c r="N71" s="85" t="n"/>
      <c r="O71" s="85" t="n"/>
      <c r="P71" s="85" t="n"/>
      <c r="Q71" s="85" t="n"/>
      <c r="R71" s="85" t="n"/>
      <c r="S71" s="85">
        <f>IF($G71="","",TODAY()-$G71)</f>
        <v/>
      </c>
      <c r="T71" s="85">
        <f>IF($A71="","",IF(AND($E71="Yes",OR($O71="No",$O71="NOT FOUND")),"YES",""))</f>
        <v/>
      </c>
      <c r="U71" s="85">
        <f>IF($A71="","",TRIM(IF(AND($M71=0,$I71&lt;&gt;"Yes"),"T0-NoPhishResistant ","")&amp;IF($H71="No","NoMFA ","")&amp;IF(AND($E71="Yes",$G71=""),"NeverSignedIn ","")))</f>
        <v/>
      </c>
    </row>
    <row r="72" ht="15" customHeight="1" s="39">
      <c r="A72" s="85" t="n"/>
      <c r="B72" s="85" t="n"/>
      <c r="C72" s="85" t="n"/>
      <c r="D72" s="85" t="n"/>
      <c r="E72" s="85" t="n"/>
      <c r="F72" s="86" t="n"/>
      <c r="G72" s="86" t="n"/>
      <c r="H72" s="85" t="n"/>
      <c r="I72" s="85" t="n"/>
      <c r="J72" s="85" t="n"/>
      <c r="K72" s="85" t="n"/>
      <c r="L72" s="85" t="n"/>
      <c r="M72" s="85" t="n"/>
      <c r="N72" s="85" t="n"/>
      <c r="O72" s="85" t="n"/>
      <c r="P72" s="85" t="n"/>
      <c r="Q72" s="85" t="n"/>
      <c r="R72" s="85" t="n"/>
      <c r="S72" s="85">
        <f>IF($G72="","",TODAY()-$G72)</f>
        <v/>
      </c>
      <c r="T72" s="85">
        <f>IF($A72="","",IF(AND($E72="Yes",OR($O72="No",$O72="NOT FOUND")),"YES",""))</f>
        <v/>
      </c>
      <c r="U72" s="85">
        <f>IF($A72="","",TRIM(IF(AND($M72=0,$I72&lt;&gt;"Yes"),"T0-NoPhishResistant ","")&amp;IF($H72="No","NoMFA ","")&amp;IF(AND($E72="Yes",$G72=""),"NeverSignedIn ","")))</f>
        <v/>
      </c>
    </row>
    <row r="73" ht="15" customHeight="1" s="39">
      <c r="A73" s="85" t="n"/>
      <c r="B73" s="85" t="n"/>
      <c r="C73" s="85" t="n"/>
      <c r="D73" s="85" t="n"/>
      <c r="E73" s="85" t="n"/>
      <c r="F73" s="86" t="n"/>
      <c r="G73" s="86" t="n"/>
      <c r="H73" s="85" t="n"/>
      <c r="I73" s="85" t="n"/>
      <c r="J73" s="85" t="n"/>
      <c r="K73" s="85" t="n"/>
      <c r="L73" s="85" t="n"/>
      <c r="M73" s="85" t="n"/>
      <c r="N73" s="85" t="n"/>
      <c r="O73" s="85" t="n"/>
      <c r="P73" s="85" t="n"/>
      <c r="Q73" s="85" t="n"/>
      <c r="R73" s="85" t="n"/>
      <c r="S73" s="85">
        <f>IF($G73="","",TODAY()-$G73)</f>
        <v/>
      </c>
      <c r="T73" s="85">
        <f>IF($A73="","",IF(AND($E73="Yes",OR($O73="No",$O73="NOT FOUND")),"YES",""))</f>
        <v/>
      </c>
      <c r="U73" s="85">
        <f>IF($A73="","",TRIM(IF(AND($M73=0,$I73&lt;&gt;"Yes"),"T0-NoPhishResistant ","")&amp;IF($H73="No","NoMFA ","")&amp;IF(AND($E73="Yes",$G73=""),"NeverSignedIn ","")))</f>
        <v/>
      </c>
    </row>
    <row r="74" ht="15" customHeight="1" s="39">
      <c r="A74" s="85" t="n"/>
      <c r="B74" s="85" t="n"/>
      <c r="C74" s="85" t="n"/>
      <c r="D74" s="85" t="n"/>
      <c r="E74" s="85" t="n"/>
      <c r="F74" s="86" t="n"/>
      <c r="G74" s="86" t="n"/>
      <c r="H74" s="85" t="n"/>
      <c r="I74" s="85" t="n"/>
      <c r="J74" s="85" t="n"/>
      <c r="K74" s="85" t="n"/>
      <c r="L74" s="85" t="n"/>
      <c r="M74" s="85" t="n"/>
      <c r="N74" s="85" t="n"/>
      <c r="O74" s="85" t="n"/>
      <c r="P74" s="85" t="n"/>
      <c r="Q74" s="85" t="n"/>
      <c r="R74" s="85" t="n"/>
      <c r="S74" s="85">
        <f>IF($G74="","",TODAY()-$G74)</f>
        <v/>
      </c>
      <c r="T74" s="85">
        <f>IF($A74="","",IF(AND($E74="Yes",OR($O74="No",$O74="NOT FOUND")),"YES",""))</f>
        <v/>
      </c>
      <c r="U74" s="85">
        <f>IF($A74="","",TRIM(IF(AND($M74=0,$I74&lt;&gt;"Yes"),"T0-NoPhishResistant ","")&amp;IF($H74="No","NoMFA ","")&amp;IF(AND($E74="Yes",$G74=""),"NeverSignedIn ","")))</f>
        <v/>
      </c>
    </row>
    <row r="75" ht="15" customHeight="1" s="39">
      <c r="A75" s="85" t="n"/>
      <c r="B75" s="85" t="n"/>
      <c r="C75" s="85" t="n"/>
      <c r="D75" s="85" t="n"/>
      <c r="E75" s="85" t="n"/>
      <c r="F75" s="86" t="n"/>
      <c r="G75" s="86" t="n"/>
      <c r="H75" s="85" t="n"/>
      <c r="I75" s="85" t="n"/>
      <c r="J75" s="85" t="n"/>
      <c r="K75" s="85" t="n"/>
      <c r="L75" s="85" t="n"/>
      <c r="M75" s="85" t="n"/>
      <c r="N75" s="85" t="n"/>
      <c r="O75" s="85" t="n"/>
      <c r="P75" s="85" t="n"/>
      <c r="Q75" s="85" t="n"/>
      <c r="R75" s="85" t="n"/>
      <c r="S75" s="85">
        <f>IF($G75="","",TODAY()-$G75)</f>
        <v/>
      </c>
      <c r="T75" s="85">
        <f>IF($A75="","",IF(AND($E75="Yes",OR($O75="No",$O75="NOT FOUND")),"YES",""))</f>
        <v/>
      </c>
      <c r="U75" s="85">
        <f>IF($A75="","",TRIM(IF(AND($M75=0,$I75&lt;&gt;"Yes"),"T0-NoPhishResistant ","")&amp;IF($H75="No","NoMFA ","")&amp;IF(AND($E75="Yes",$G75=""),"NeverSignedIn ","")))</f>
        <v/>
      </c>
    </row>
    <row r="76" ht="15" customHeight="1" s="39">
      <c r="A76" s="85" t="n"/>
      <c r="B76" s="85" t="n"/>
      <c r="C76" s="85" t="n"/>
      <c r="D76" s="85" t="n"/>
      <c r="E76" s="85" t="n"/>
      <c r="F76" s="86" t="n"/>
      <c r="G76" s="86" t="n"/>
      <c r="H76" s="85" t="n"/>
      <c r="I76" s="85" t="n"/>
      <c r="J76" s="85" t="n"/>
      <c r="K76" s="85" t="n"/>
      <c r="L76" s="85" t="n"/>
      <c r="M76" s="85" t="n"/>
      <c r="N76" s="85" t="n"/>
      <c r="O76" s="85" t="n"/>
      <c r="P76" s="85" t="n"/>
      <c r="Q76" s="85" t="n"/>
      <c r="R76" s="85" t="n"/>
      <c r="S76" s="85">
        <f>IF($G76="","",TODAY()-$G76)</f>
        <v/>
      </c>
      <c r="T76" s="85">
        <f>IF($A76="","",IF(AND($E76="Yes",OR($O76="No",$O76="NOT FOUND")),"YES",""))</f>
        <v/>
      </c>
      <c r="U76" s="85">
        <f>IF($A76="","",TRIM(IF(AND($M76=0,$I76&lt;&gt;"Yes"),"T0-NoPhishResistant ","")&amp;IF($H76="No","NoMFA ","")&amp;IF(AND($E76="Yes",$G76=""),"NeverSignedIn ","")))</f>
        <v/>
      </c>
    </row>
    <row r="77" ht="15" customHeight="1" s="39">
      <c r="A77" s="85" t="n"/>
      <c r="B77" s="85" t="n"/>
      <c r="C77" s="85" t="n"/>
      <c r="D77" s="85" t="n"/>
      <c r="E77" s="85" t="n"/>
      <c r="F77" s="86" t="n"/>
      <c r="G77" s="86" t="n"/>
      <c r="H77" s="85" t="n"/>
      <c r="I77" s="85" t="n"/>
      <c r="J77" s="85" t="n"/>
      <c r="K77" s="85" t="n"/>
      <c r="L77" s="85" t="n"/>
      <c r="M77" s="85" t="n"/>
      <c r="N77" s="85" t="n"/>
      <c r="O77" s="85" t="n"/>
      <c r="P77" s="85" t="n"/>
      <c r="Q77" s="85" t="n"/>
      <c r="R77" s="85" t="n"/>
      <c r="S77" s="85">
        <f>IF($G77="","",TODAY()-$G77)</f>
        <v/>
      </c>
      <c r="T77" s="85">
        <f>IF($A77="","",IF(AND($E77="Yes",OR($O77="No",$O77="NOT FOUND")),"YES",""))</f>
        <v/>
      </c>
      <c r="U77" s="85">
        <f>IF($A77="","",TRIM(IF(AND($M77=0,$I77&lt;&gt;"Yes"),"T0-NoPhishResistant ","")&amp;IF($H77="No","NoMFA ","")&amp;IF(AND($E77="Yes",$G77=""),"NeverSignedIn ","")))</f>
        <v/>
      </c>
    </row>
    <row r="78" ht="15" customHeight="1" s="39">
      <c r="A78" s="85" t="n"/>
      <c r="B78" s="85" t="n"/>
      <c r="C78" s="85" t="n"/>
      <c r="D78" s="85" t="n"/>
      <c r="E78" s="85" t="n"/>
      <c r="F78" s="86" t="n"/>
      <c r="G78" s="86" t="n"/>
      <c r="H78" s="85" t="n"/>
      <c r="I78" s="85" t="n"/>
      <c r="J78" s="85" t="n"/>
      <c r="K78" s="85" t="n"/>
      <c r="L78" s="85" t="n"/>
      <c r="M78" s="85" t="n"/>
      <c r="N78" s="85" t="n"/>
      <c r="O78" s="85" t="n"/>
      <c r="P78" s="85" t="n"/>
      <c r="Q78" s="85" t="n"/>
      <c r="R78" s="85" t="n"/>
      <c r="S78" s="85">
        <f>IF($G78="","",TODAY()-$G78)</f>
        <v/>
      </c>
      <c r="T78" s="85">
        <f>IF($A78="","",IF(AND($E78="Yes",OR($O78="No",$O78="NOT FOUND")),"YES",""))</f>
        <v/>
      </c>
      <c r="U78" s="85">
        <f>IF($A78="","",TRIM(IF(AND($M78=0,$I78&lt;&gt;"Yes"),"T0-NoPhishResistant ","")&amp;IF($H78="No","NoMFA ","")&amp;IF(AND($E78="Yes",$G78=""),"NeverSignedIn ","")))</f>
        <v/>
      </c>
    </row>
    <row r="79" ht="15" customHeight="1" s="39">
      <c r="A79" s="85" t="n"/>
      <c r="B79" s="85" t="n"/>
      <c r="C79" s="85" t="n"/>
      <c r="D79" s="85" t="n"/>
      <c r="E79" s="85" t="n"/>
      <c r="F79" s="86" t="n"/>
      <c r="G79" s="86" t="n"/>
      <c r="H79" s="85" t="n"/>
      <c r="I79" s="85" t="n"/>
      <c r="J79" s="85" t="n"/>
      <c r="K79" s="85" t="n"/>
      <c r="L79" s="85" t="n"/>
      <c r="M79" s="85" t="n"/>
      <c r="N79" s="85" t="n"/>
      <c r="O79" s="85" t="n"/>
      <c r="P79" s="85" t="n"/>
      <c r="Q79" s="85" t="n"/>
      <c r="R79" s="85" t="n"/>
      <c r="S79" s="85">
        <f>IF($G79="","",TODAY()-$G79)</f>
        <v/>
      </c>
      <c r="T79" s="85">
        <f>IF($A79="","",IF(AND($E79="Yes",OR($O79="No",$O79="NOT FOUND")),"YES",""))</f>
        <v/>
      </c>
      <c r="U79" s="85">
        <f>IF($A79="","",TRIM(IF(AND($M79=0,$I79&lt;&gt;"Yes"),"T0-NoPhishResistant ","")&amp;IF($H79="No","NoMFA ","")&amp;IF(AND($E79="Yes",$G79=""),"NeverSignedIn ","")))</f>
        <v/>
      </c>
    </row>
    <row r="80" ht="15" customHeight="1" s="39">
      <c r="A80" s="85" t="n"/>
      <c r="B80" s="85" t="n"/>
      <c r="C80" s="85" t="n"/>
      <c r="D80" s="85" t="n"/>
      <c r="E80" s="85" t="n"/>
      <c r="F80" s="86" t="n"/>
      <c r="G80" s="86" t="n"/>
      <c r="H80" s="85" t="n"/>
      <c r="I80" s="85" t="n"/>
      <c r="J80" s="85" t="n"/>
      <c r="K80" s="85" t="n"/>
      <c r="L80" s="85" t="n"/>
      <c r="M80" s="85" t="n"/>
      <c r="N80" s="85" t="n"/>
      <c r="O80" s="85" t="n"/>
      <c r="P80" s="85" t="n"/>
      <c r="Q80" s="85" t="n"/>
      <c r="R80" s="85" t="n"/>
      <c r="S80" s="85">
        <f>IF($G80="","",TODAY()-$G80)</f>
        <v/>
      </c>
      <c r="T80" s="85">
        <f>IF($A80="","",IF(AND($E80="Yes",OR($O80="No",$O80="NOT FOUND")),"YES",""))</f>
        <v/>
      </c>
      <c r="U80" s="85">
        <f>IF($A80="","",TRIM(IF(AND($M80=0,$I80&lt;&gt;"Yes"),"T0-NoPhishResistant ","")&amp;IF($H80="No","NoMFA ","")&amp;IF(AND($E80="Yes",$G80=""),"NeverSignedIn ","")))</f>
        <v/>
      </c>
    </row>
    <row r="81" ht="15" customHeight="1" s="39">
      <c r="A81" s="85" t="n"/>
      <c r="B81" s="85" t="n"/>
      <c r="C81" s="85" t="n"/>
      <c r="D81" s="85" t="n"/>
      <c r="E81" s="85" t="n"/>
      <c r="F81" s="86" t="n"/>
      <c r="G81" s="86" t="n"/>
      <c r="H81" s="85" t="n"/>
      <c r="I81" s="85" t="n"/>
      <c r="J81" s="85" t="n"/>
      <c r="K81" s="85" t="n"/>
      <c r="L81" s="85" t="n"/>
      <c r="M81" s="85" t="n"/>
      <c r="N81" s="85" t="n"/>
      <c r="O81" s="85" t="n"/>
      <c r="P81" s="85" t="n"/>
      <c r="Q81" s="85" t="n"/>
      <c r="R81" s="85" t="n"/>
      <c r="S81" s="85">
        <f>IF($G81="","",TODAY()-$G81)</f>
        <v/>
      </c>
      <c r="T81" s="85">
        <f>IF($A81="","",IF(AND($E81="Yes",OR($O81="No",$O81="NOT FOUND")),"YES",""))</f>
        <v/>
      </c>
      <c r="U81" s="85">
        <f>IF($A81="","",TRIM(IF(AND($M81=0,$I81&lt;&gt;"Yes"),"T0-NoPhishResistant ","")&amp;IF($H81="No","NoMFA ","")&amp;IF(AND($E81="Yes",$G81=""),"NeverSignedIn ","")))</f>
        <v/>
      </c>
    </row>
    <row r="82" ht="15" customHeight="1" s="39">
      <c r="A82" s="85" t="n"/>
      <c r="B82" s="85" t="n"/>
      <c r="C82" s="85" t="n"/>
      <c r="D82" s="85" t="n"/>
      <c r="E82" s="85" t="n"/>
      <c r="F82" s="86" t="n"/>
      <c r="G82" s="86" t="n"/>
      <c r="H82" s="85" t="n"/>
      <c r="I82" s="85" t="n"/>
      <c r="J82" s="85" t="n"/>
      <c r="K82" s="85" t="n"/>
      <c r="L82" s="85" t="n"/>
      <c r="M82" s="85" t="n"/>
      <c r="N82" s="85" t="n"/>
      <c r="O82" s="85" t="n"/>
      <c r="P82" s="85" t="n"/>
      <c r="Q82" s="85" t="n"/>
      <c r="R82" s="85" t="n"/>
      <c r="S82" s="85">
        <f>IF($G82="","",TODAY()-$G82)</f>
        <v/>
      </c>
      <c r="T82" s="85">
        <f>IF($A82="","",IF(AND($E82="Yes",OR($O82="No",$O82="NOT FOUND")),"YES",""))</f>
        <v/>
      </c>
      <c r="U82" s="85">
        <f>IF($A82="","",TRIM(IF(AND($M82=0,$I82&lt;&gt;"Yes"),"T0-NoPhishResistant ","")&amp;IF($H82="No","NoMFA ","")&amp;IF(AND($E82="Yes",$G82=""),"NeverSignedIn ","")))</f>
        <v/>
      </c>
    </row>
    <row r="83" ht="15" customHeight="1" s="39">
      <c r="A83" s="85" t="n"/>
      <c r="B83" s="85" t="n"/>
      <c r="C83" s="85" t="n"/>
      <c r="D83" s="85" t="n"/>
      <c r="E83" s="85" t="n"/>
      <c r="F83" s="86" t="n"/>
      <c r="G83" s="86" t="n"/>
      <c r="H83" s="85" t="n"/>
      <c r="I83" s="85" t="n"/>
      <c r="J83" s="85" t="n"/>
      <c r="K83" s="85" t="n"/>
      <c r="L83" s="85" t="n"/>
      <c r="M83" s="85" t="n"/>
      <c r="N83" s="85" t="n"/>
      <c r="O83" s="85" t="n"/>
      <c r="P83" s="85" t="n"/>
      <c r="Q83" s="85" t="n"/>
      <c r="R83" s="85" t="n"/>
      <c r="S83" s="85">
        <f>IF($G83="","",TODAY()-$G83)</f>
        <v/>
      </c>
      <c r="T83" s="85">
        <f>IF($A83="","",IF(AND($E83="Yes",OR($O83="No",$O83="NOT FOUND")),"YES",""))</f>
        <v/>
      </c>
      <c r="U83" s="85">
        <f>IF($A83="","",TRIM(IF(AND($M83=0,$I83&lt;&gt;"Yes"),"T0-NoPhishResistant ","")&amp;IF($H83="No","NoMFA ","")&amp;IF(AND($E83="Yes",$G83=""),"NeverSignedIn ","")))</f>
        <v/>
      </c>
    </row>
    <row r="84" ht="15" customHeight="1" s="39">
      <c r="A84" s="85" t="n"/>
      <c r="B84" s="85" t="n"/>
      <c r="C84" s="85" t="n"/>
      <c r="D84" s="85" t="n"/>
      <c r="E84" s="85" t="n"/>
      <c r="F84" s="86" t="n"/>
      <c r="G84" s="86" t="n"/>
      <c r="H84" s="85" t="n"/>
      <c r="I84" s="85" t="n"/>
      <c r="J84" s="85" t="n"/>
      <c r="K84" s="85" t="n"/>
      <c r="L84" s="85" t="n"/>
      <c r="M84" s="85" t="n"/>
      <c r="N84" s="85" t="n"/>
      <c r="O84" s="85" t="n"/>
      <c r="P84" s="85" t="n"/>
      <c r="Q84" s="85" t="n"/>
      <c r="R84" s="85" t="n"/>
      <c r="S84" s="85">
        <f>IF($G84="","",TODAY()-$G84)</f>
        <v/>
      </c>
      <c r="T84" s="85">
        <f>IF($A84="","",IF(AND($E84="Yes",OR($O84="No",$O84="NOT FOUND")),"YES",""))</f>
        <v/>
      </c>
      <c r="U84" s="85">
        <f>IF($A84="","",TRIM(IF(AND($M84=0,$I84&lt;&gt;"Yes"),"T0-NoPhishResistant ","")&amp;IF($H84="No","NoMFA ","")&amp;IF(AND($E84="Yes",$G84=""),"NeverSignedIn ","")))</f>
        <v/>
      </c>
    </row>
    <row r="85" ht="15" customHeight="1" s="39">
      <c r="A85" s="85" t="n"/>
      <c r="B85" s="85" t="n"/>
      <c r="C85" s="85" t="n"/>
      <c r="D85" s="85" t="n"/>
      <c r="E85" s="85" t="n"/>
      <c r="F85" s="86" t="n"/>
      <c r="G85" s="86" t="n"/>
      <c r="H85" s="85" t="n"/>
      <c r="I85" s="85" t="n"/>
      <c r="J85" s="85" t="n"/>
      <c r="K85" s="85" t="n"/>
      <c r="L85" s="85" t="n"/>
      <c r="M85" s="85" t="n"/>
      <c r="N85" s="85" t="n"/>
      <c r="O85" s="85" t="n"/>
      <c r="P85" s="85" t="n"/>
      <c r="Q85" s="85" t="n"/>
      <c r="R85" s="85" t="n"/>
      <c r="S85" s="85">
        <f>IF($G85="","",TODAY()-$G85)</f>
        <v/>
      </c>
      <c r="T85" s="85">
        <f>IF($A85="","",IF(AND($E85="Yes",OR($O85="No",$O85="NOT FOUND")),"YES",""))</f>
        <v/>
      </c>
      <c r="U85" s="85">
        <f>IF($A85="","",TRIM(IF(AND($M85=0,$I85&lt;&gt;"Yes"),"T0-NoPhishResistant ","")&amp;IF($H85="No","NoMFA ","")&amp;IF(AND($E85="Yes",$G85=""),"NeverSignedIn ","")))</f>
        <v/>
      </c>
    </row>
    <row r="86" ht="15" customHeight="1" s="39">
      <c r="A86" s="85" t="n"/>
      <c r="B86" s="85" t="n"/>
      <c r="C86" s="85" t="n"/>
      <c r="D86" s="85" t="n"/>
      <c r="E86" s="85" t="n"/>
      <c r="F86" s="86" t="n"/>
      <c r="G86" s="86" t="n"/>
      <c r="H86" s="85" t="n"/>
      <c r="I86" s="85" t="n"/>
      <c r="J86" s="85" t="n"/>
      <c r="K86" s="85" t="n"/>
      <c r="L86" s="85" t="n"/>
      <c r="M86" s="85" t="n"/>
      <c r="N86" s="85" t="n"/>
      <c r="O86" s="85" t="n"/>
      <c r="P86" s="85" t="n"/>
      <c r="Q86" s="85" t="n"/>
      <c r="R86" s="85" t="n"/>
      <c r="S86" s="85">
        <f>IF($G86="","",TODAY()-$G86)</f>
        <v/>
      </c>
      <c r="T86" s="85">
        <f>IF($A86="","",IF(AND($E86="Yes",OR($O86="No",$O86="NOT FOUND")),"YES",""))</f>
        <v/>
      </c>
      <c r="U86" s="85">
        <f>IF($A86="","",TRIM(IF(AND($M86=0,$I86&lt;&gt;"Yes"),"T0-NoPhishResistant ","")&amp;IF($H86="No","NoMFA ","")&amp;IF(AND($E86="Yes",$G86=""),"NeverSignedIn ","")))</f>
        <v/>
      </c>
    </row>
    <row r="87" ht="15" customHeight="1" s="39">
      <c r="A87" s="85" t="n"/>
      <c r="B87" s="85" t="n"/>
      <c r="C87" s="85" t="n"/>
      <c r="D87" s="85" t="n"/>
      <c r="E87" s="85" t="n"/>
      <c r="F87" s="86" t="n"/>
      <c r="G87" s="86" t="n"/>
      <c r="H87" s="85" t="n"/>
      <c r="I87" s="85" t="n"/>
      <c r="J87" s="85" t="n"/>
      <c r="K87" s="85" t="n"/>
      <c r="L87" s="85" t="n"/>
      <c r="M87" s="85" t="n"/>
      <c r="N87" s="85" t="n"/>
      <c r="O87" s="85" t="n"/>
      <c r="P87" s="85" t="n"/>
      <c r="Q87" s="85" t="n"/>
      <c r="R87" s="85" t="n"/>
      <c r="S87" s="85">
        <f>IF($G87="","",TODAY()-$G87)</f>
        <v/>
      </c>
      <c r="T87" s="85">
        <f>IF($A87="","",IF(AND($E87="Yes",OR($O87="No",$O87="NOT FOUND")),"YES",""))</f>
        <v/>
      </c>
      <c r="U87" s="85">
        <f>IF($A87="","",TRIM(IF(AND($M87=0,$I87&lt;&gt;"Yes"),"T0-NoPhishResistant ","")&amp;IF($H87="No","NoMFA ","")&amp;IF(AND($E87="Yes",$G87=""),"NeverSignedIn ","")))</f>
        <v/>
      </c>
    </row>
    <row r="88" ht="15" customHeight="1" s="39">
      <c r="A88" s="85" t="n"/>
      <c r="B88" s="85" t="n"/>
      <c r="C88" s="85" t="n"/>
      <c r="D88" s="85" t="n"/>
      <c r="E88" s="85" t="n"/>
      <c r="F88" s="86" t="n"/>
      <c r="G88" s="86" t="n"/>
      <c r="H88" s="85" t="n"/>
      <c r="I88" s="85" t="n"/>
      <c r="J88" s="85" t="n"/>
      <c r="K88" s="85" t="n"/>
      <c r="L88" s="85" t="n"/>
      <c r="M88" s="85" t="n"/>
      <c r="N88" s="85" t="n"/>
      <c r="O88" s="85" t="n"/>
      <c r="P88" s="85" t="n"/>
      <c r="Q88" s="85" t="n"/>
      <c r="R88" s="85" t="n"/>
      <c r="S88" s="85">
        <f>IF($G88="","",TODAY()-$G88)</f>
        <v/>
      </c>
      <c r="T88" s="85">
        <f>IF($A88="","",IF(AND($E88="Yes",OR($O88="No",$O88="NOT FOUND")),"YES",""))</f>
        <v/>
      </c>
      <c r="U88" s="85">
        <f>IF($A88="","",TRIM(IF(AND($M88=0,$I88&lt;&gt;"Yes"),"T0-NoPhishResistant ","")&amp;IF($H88="No","NoMFA ","")&amp;IF(AND($E88="Yes",$G88=""),"NeverSignedIn ","")))</f>
        <v/>
      </c>
    </row>
    <row r="89" ht="15" customHeight="1" s="39">
      <c r="A89" s="85" t="n"/>
      <c r="B89" s="85" t="n"/>
      <c r="C89" s="85" t="n"/>
      <c r="D89" s="85" t="n"/>
      <c r="E89" s="85" t="n"/>
      <c r="F89" s="86" t="n"/>
      <c r="G89" s="86" t="n"/>
      <c r="H89" s="85" t="n"/>
      <c r="I89" s="85" t="n"/>
      <c r="J89" s="85" t="n"/>
      <c r="K89" s="85" t="n"/>
      <c r="L89" s="85" t="n"/>
      <c r="M89" s="85" t="n"/>
      <c r="N89" s="85" t="n"/>
      <c r="O89" s="85" t="n"/>
      <c r="P89" s="85" t="n"/>
      <c r="Q89" s="85" t="n"/>
      <c r="R89" s="85" t="n"/>
      <c r="S89" s="85">
        <f>IF($G89="","",TODAY()-$G89)</f>
        <v/>
      </c>
      <c r="T89" s="85">
        <f>IF($A89="","",IF(AND($E89="Yes",OR($O89="No",$O89="NOT FOUND")),"YES",""))</f>
        <v/>
      </c>
      <c r="U89" s="85">
        <f>IF($A89="","",TRIM(IF(AND($M89=0,$I89&lt;&gt;"Yes"),"T0-NoPhishResistant ","")&amp;IF($H89="No","NoMFA ","")&amp;IF(AND($E89="Yes",$G89=""),"NeverSignedIn ","")))</f>
        <v/>
      </c>
    </row>
    <row r="90" ht="15" customHeight="1" s="39">
      <c r="A90" s="85" t="n"/>
      <c r="B90" s="85" t="n"/>
      <c r="C90" s="85" t="n"/>
      <c r="D90" s="85" t="n"/>
      <c r="E90" s="85" t="n"/>
      <c r="F90" s="86" t="n"/>
      <c r="G90" s="86" t="n"/>
      <c r="H90" s="85" t="n"/>
      <c r="I90" s="85" t="n"/>
      <c r="J90" s="85" t="n"/>
      <c r="K90" s="85" t="n"/>
      <c r="L90" s="85" t="n"/>
      <c r="M90" s="85" t="n"/>
      <c r="N90" s="85" t="n"/>
      <c r="O90" s="85" t="n"/>
      <c r="P90" s="85" t="n"/>
      <c r="Q90" s="85" t="n"/>
      <c r="R90" s="85" t="n"/>
      <c r="S90" s="85">
        <f>IF($G90="","",TODAY()-$G90)</f>
        <v/>
      </c>
      <c r="T90" s="85">
        <f>IF($A90="","",IF(AND($E90="Yes",OR($O90="No",$O90="NOT FOUND")),"YES",""))</f>
        <v/>
      </c>
      <c r="U90" s="85">
        <f>IF($A90="","",TRIM(IF(AND($M90=0,$I90&lt;&gt;"Yes"),"T0-NoPhishResistant ","")&amp;IF($H90="No","NoMFA ","")&amp;IF(AND($E90="Yes",$G90=""),"NeverSignedIn ","")))</f>
        <v/>
      </c>
    </row>
    <row r="91" ht="15" customHeight="1" s="39">
      <c r="A91" s="85" t="n"/>
      <c r="B91" s="85" t="n"/>
      <c r="C91" s="85" t="n"/>
      <c r="D91" s="85" t="n"/>
      <c r="E91" s="85" t="n"/>
      <c r="F91" s="86" t="n"/>
      <c r="G91" s="86" t="n"/>
      <c r="H91" s="85" t="n"/>
      <c r="I91" s="85" t="n"/>
      <c r="J91" s="85" t="n"/>
      <c r="K91" s="85" t="n"/>
      <c r="L91" s="85" t="n"/>
      <c r="M91" s="85" t="n"/>
      <c r="N91" s="85" t="n"/>
      <c r="O91" s="85" t="n"/>
      <c r="P91" s="85" t="n"/>
      <c r="Q91" s="85" t="n"/>
      <c r="R91" s="85" t="n"/>
      <c r="S91" s="85">
        <f>IF($G91="","",TODAY()-$G91)</f>
        <v/>
      </c>
      <c r="T91" s="85">
        <f>IF($A91="","",IF(AND($E91="Yes",OR($O91="No",$O91="NOT FOUND")),"YES",""))</f>
        <v/>
      </c>
      <c r="U91" s="85">
        <f>IF($A91="","",TRIM(IF(AND($M91=0,$I91&lt;&gt;"Yes"),"T0-NoPhishResistant ","")&amp;IF($H91="No","NoMFA ","")&amp;IF(AND($E91="Yes",$G91=""),"NeverSignedIn ","")))</f>
        <v/>
      </c>
    </row>
    <row r="92" ht="15" customHeight="1" s="39">
      <c r="A92" s="85" t="n"/>
      <c r="B92" s="85" t="n"/>
      <c r="C92" s="85" t="n"/>
      <c r="D92" s="85" t="n"/>
      <c r="E92" s="85" t="n"/>
      <c r="F92" s="86" t="n"/>
      <c r="G92" s="86" t="n"/>
      <c r="H92" s="85" t="n"/>
      <c r="I92" s="85" t="n"/>
      <c r="J92" s="85" t="n"/>
      <c r="K92" s="85" t="n"/>
      <c r="L92" s="85" t="n"/>
      <c r="M92" s="85" t="n"/>
      <c r="N92" s="85" t="n"/>
      <c r="O92" s="85" t="n"/>
      <c r="P92" s="85" t="n"/>
      <c r="Q92" s="85" t="n"/>
      <c r="R92" s="85" t="n"/>
      <c r="S92" s="85">
        <f>IF($G92="","",TODAY()-$G92)</f>
        <v/>
      </c>
      <c r="T92" s="85">
        <f>IF($A92="","",IF(AND($E92="Yes",OR($O92="No",$O92="NOT FOUND")),"YES",""))</f>
        <v/>
      </c>
      <c r="U92" s="85">
        <f>IF($A92="","",TRIM(IF(AND($M92=0,$I92&lt;&gt;"Yes"),"T0-NoPhishResistant ","")&amp;IF($H92="No","NoMFA ","")&amp;IF(AND($E92="Yes",$G92=""),"NeverSignedIn ","")))</f>
        <v/>
      </c>
    </row>
    <row r="93" ht="15" customHeight="1" s="39">
      <c r="A93" s="85" t="n"/>
      <c r="B93" s="85" t="n"/>
      <c r="C93" s="85" t="n"/>
      <c r="D93" s="85" t="n"/>
      <c r="E93" s="85" t="n"/>
      <c r="F93" s="86" t="n"/>
      <c r="G93" s="86" t="n"/>
      <c r="H93" s="85" t="n"/>
      <c r="I93" s="85" t="n"/>
      <c r="J93" s="85" t="n"/>
      <c r="K93" s="85" t="n"/>
      <c r="L93" s="85" t="n"/>
      <c r="M93" s="85" t="n"/>
      <c r="N93" s="85" t="n"/>
      <c r="O93" s="85" t="n"/>
      <c r="P93" s="85" t="n"/>
      <c r="Q93" s="85" t="n"/>
      <c r="R93" s="85" t="n"/>
      <c r="S93" s="85">
        <f>IF($G93="","",TODAY()-$G93)</f>
        <v/>
      </c>
      <c r="T93" s="85">
        <f>IF($A93="","",IF(AND($E93="Yes",OR($O93="No",$O93="NOT FOUND")),"YES",""))</f>
        <v/>
      </c>
      <c r="U93" s="85">
        <f>IF($A93="","",TRIM(IF(AND($M93=0,$I93&lt;&gt;"Yes"),"T0-NoPhishResistant ","")&amp;IF($H93="No","NoMFA ","")&amp;IF(AND($E93="Yes",$G93=""),"NeverSignedIn ","")))</f>
        <v/>
      </c>
    </row>
    <row r="94" ht="15" customHeight="1" s="39">
      <c r="A94" s="85" t="n"/>
      <c r="B94" s="85" t="n"/>
      <c r="C94" s="85" t="n"/>
      <c r="D94" s="85" t="n"/>
      <c r="E94" s="85" t="n"/>
      <c r="F94" s="86" t="n"/>
      <c r="G94" s="86" t="n"/>
      <c r="H94" s="85" t="n"/>
      <c r="I94" s="85" t="n"/>
      <c r="J94" s="85" t="n"/>
      <c r="K94" s="85" t="n"/>
      <c r="L94" s="85" t="n"/>
      <c r="M94" s="85" t="n"/>
      <c r="N94" s="85" t="n"/>
      <c r="O94" s="85" t="n"/>
      <c r="P94" s="85" t="n"/>
      <c r="Q94" s="85" t="n"/>
      <c r="R94" s="85" t="n"/>
      <c r="S94" s="85">
        <f>IF($G94="","",TODAY()-$G94)</f>
        <v/>
      </c>
      <c r="T94" s="85">
        <f>IF($A94="","",IF(AND($E94="Yes",OR($O94="No",$O94="NOT FOUND")),"YES",""))</f>
        <v/>
      </c>
      <c r="U94" s="85">
        <f>IF($A94="","",TRIM(IF(AND($M94=0,$I94&lt;&gt;"Yes"),"T0-NoPhishResistant ","")&amp;IF($H94="No","NoMFA ","")&amp;IF(AND($E94="Yes",$G94=""),"NeverSignedIn ","")))</f>
        <v/>
      </c>
    </row>
    <row r="95" ht="15" customHeight="1" s="39">
      <c r="A95" s="85" t="n"/>
      <c r="B95" s="85" t="n"/>
      <c r="C95" s="85" t="n"/>
      <c r="D95" s="85" t="n"/>
      <c r="E95" s="85" t="n"/>
      <c r="F95" s="86" t="n"/>
      <c r="G95" s="86" t="n"/>
      <c r="H95" s="85" t="n"/>
      <c r="I95" s="85" t="n"/>
      <c r="J95" s="85" t="n"/>
      <c r="K95" s="85" t="n"/>
      <c r="L95" s="85" t="n"/>
      <c r="M95" s="85" t="n"/>
      <c r="N95" s="85" t="n"/>
      <c r="O95" s="85" t="n"/>
      <c r="P95" s="85" t="n"/>
      <c r="Q95" s="85" t="n"/>
      <c r="R95" s="85" t="n"/>
      <c r="S95" s="85">
        <f>IF($G95="","",TODAY()-$G95)</f>
        <v/>
      </c>
      <c r="T95" s="85">
        <f>IF($A95="","",IF(AND($E95="Yes",OR($O95="No",$O95="NOT FOUND")),"YES",""))</f>
        <v/>
      </c>
      <c r="U95" s="85">
        <f>IF($A95="","",TRIM(IF(AND($M95=0,$I95&lt;&gt;"Yes"),"T0-NoPhishResistant ","")&amp;IF($H95="No","NoMFA ","")&amp;IF(AND($E95="Yes",$G95=""),"NeverSignedIn ","")))</f>
        <v/>
      </c>
    </row>
    <row r="96" ht="15" customHeight="1" s="39">
      <c r="A96" s="85" t="n"/>
      <c r="B96" s="85" t="n"/>
      <c r="C96" s="85" t="n"/>
      <c r="D96" s="85" t="n"/>
      <c r="E96" s="85" t="n"/>
      <c r="F96" s="86" t="n"/>
      <c r="G96" s="86" t="n"/>
      <c r="H96" s="85" t="n"/>
      <c r="I96" s="85" t="n"/>
      <c r="J96" s="85" t="n"/>
      <c r="K96" s="85" t="n"/>
      <c r="L96" s="85" t="n"/>
      <c r="M96" s="85" t="n"/>
      <c r="N96" s="85" t="n"/>
      <c r="O96" s="85" t="n"/>
      <c r="P96" s="85" t="n"/>
      <c r="Q96" s="85" t="n"/>
      <c r="R96" s="85" t="n"/>
      <c r="S96" s="85">
        <f>IF($G96="","",TODAY()-$G96)</f>
        <v/>
      </c>
      <c r="T96" s="85">
        <f>IF($A96="","",IF(AND($E96="Yes",OR($O96="No",$O96="NOT FOUND")),"YES",""))</f>
        <v/>
      </c>
      <c r="U96" s="85">
        <f>IF($A96="","",TRIM(IF(AND($M96=0,$I96&lt;&gt;"Yes"),"T0-NoPhishResistant ","")&amp;IF($H96="No","NoMFA ","")&amp;IF(AND($E96="Yes",$G96=""),"NeverSignedIn ","")))</f>
        <v/>
      </c>
    </row>
    <row r="97" ht="15" customHeight="1" s="39">
      <c r="A97" s="85" t="n"/>
      <c r="B97" s="85" t="n"/>
      <c r="C97" s="85" t="n"/>
      <c r="D97" s="85" t="n"/>
      <c r="E97" s="85" t="n"/>
      <c r="F97" s="86" t="n"/>
      <c r="G97" s="86" t="n"/>
      <c r="H97" s="85" t="n"/>
      <c r="I97" s="85" t="n"/>
      <c r="J97" s="85" t="n"/>
      <c r="K97" s="85" t="n"/>
      <c r="L97" s="85" t="n"/>
      <c r="M97" s="85" t="n"/>
      <c r="N97" s="85" t="n"/>
      <c r="O97" s="85" t="n"/>
      <c r="P97" s="85" t="n"/>
      <c r="Q97" s="85" t="n"/>
      <c r="R97" s="85" t="n"/>
      <c r="S97" s="85">
        <f>IF($G97="","",TODAY()-$G97)</f>
        <v/>
      </c>
      <c r="T97" s="85">
        <f>IF($A97="","",IF(AND($E97="Yes",OR($O97="No",$O97="NOT FOUND")),"YES",""))</f>
        <v/>
      </c>
      <c r="U97" s="85">
        <f>IF($A97="","",TRIM(IF(AND($M97=0,$I97&lt;&gt;"Yes"),"T0-NoPhishResistant ","")&amp;IF($H97="No","NoMFA ","")&amp;IF(AND($E97="Yes",$G97=""),"NeverSignedIn ","")))</f>
        <v/>
      </c>
    </row>
    <row r="98" ht="15" customHeight="1" s="39">
      <c r="A98" s="85" t="n"/>
      <c r="B98" s="85" t="n"/>
      <c r="C98" s="85" t="n"/>
      <c r="D98" s="85" t="n"/>
      <c r="E98" s="85" t="n"/>
      <c r="F98" s="86" t="n"/>
      <c r="G98" s="86" t="n"/>
      <c r="H98" s="85" t="n"/>
      <c r="I98" s="85" t="n"/>
      <c r="J98" s="85" t="n"/>
      <c r="K98" s="85" t="n"/>
      <c r="L98" s="85" t="n"/>
      <c r="M98" s="85" t="n"/>
      <c r="N98" s="85" t="n"/>
      <c r="O98" s="85" t="n"/>
      <c r="P98" s="85" t="n"/>
      <c r="Q98" s="85" t="n"/>
      <c r="R98" s="85" t="n"/>
      <c r="S98" s="85">
        <f>IF($G98="","",TODAY()-$G98)</f>
        <v/>
      </c>
      <c r="T98" s="85">
        <f>IF($A98="","",IF(AND($E98="Yes",OR($O98="No",$O98="NOT FOUND")),"YES",""))</f>
        <v/>
      </c>
      <c r="U98" s="85">
        <f>IF($A98="","",TRIM(IF(AND($M98=0,$I98&lt;&gt;"Yes"),"T0-NoPhishResistant ","")&amp;IF($H98="No","NoMFA ","")&amp;IF(AND($E98="Yes",$G98=""),"NeverSignedIn ","")))</f>
        <v/>
      </c>
    </row>
    <row r="99" ht="15" customHeight="1" s="39">
      <c r="A99" s="85" t="n"/>
      <c r="B99" s="85" t="n"/>
      <c r="C99" s="85" t="n"/>
      <c r="D99" s="85" t="n"/>
      <c r="E99" s="85" t="n"/>
      <c r="F99" s="86" t="n"/>
      <c r="G99" s="86" t="n"/>
      <c r="H99" s="85" t="n"/>
      <c r="I99" s="85" t="n"/>
      <c r="J99" s="85" t="n"/>
      <c r="K99" s="85" t="n"/>
      <c r="L99" s="85" t="n"/>
      <c r="M99" s="85" t="n"/>
      <c r="N99" s="85" t="n"/>
      <c r="O99" s="85" t="n"/>
      <c r="P99" s="85" t="n"/>
      <c r="Q99" s="85" t="n"/>
      <c r="R99" s="85" t="n"/>
      <c r="S99" s="85">
        <f>IF($G99="","",TODAY()-$G99)</f>
        <v/>
      </c>
      <c r="T99" s="85">
        <f>IF($A99="","",IF(AND($E99="Yes",OR($O99="No",$O99="NOT FOUND")),"YES",""))</f>
        <v/>
      </c>
      <c r="U99" s="85">
        <f>IF($A99="","",TRIM(IF(AND($M99=0,$I99&lt;&gt;"Yes"),"T0-NoPhishResistant ","")&amp;IF($H99="No","NoMFA ","")&amp;IF(AND($E99="Yes",$G99=""),"NeverSignedIn ","")))</f>
        <v/>
      </c>
    </row>
    <row r="100" ht="15" customHeight="1" s="39">
      <c r="A100" s="85" t="n"/>
      <c r="B100" s="85" t="n"/>
      <c r="C100" s="85" t="n"/>
      <c r="D100" s="85" t="n"/>
      <c r="E100" s="85" t="n"/>
      <c r="F100" s="86" t="n"/>
      <c r="G100" s="86" t="n"/>
      <c r="H100" s="85" t="n"/>
      <c r="I100" s="85" t="n"/>
      <c r="J100" s="85" t="n"/>
      <c r="K100" s="85" t="n"/>
      <c r="L100" s="85" t="n"/>
      <c r="M100" s="85" t="n"/>
      <c r="N100" s="85" t="n"/>
      <c r="O100" s="85" t="n"/>
      <c r="P100" s="85" t="n"/>
      <c r="Q100" s="85" t="n"/>
      <c r="R100" s="85" t="n"/>
      <c r="S100" s="85">
        <f>IF($G100="","",TODAY()-$G100)</f>
        <v/>
      </c>
      <c r="T100" s="85">
        <f>IF($A100="","",IF(AND($E100="Yes",OR($O100="No",$O100="NOT FOUND")),"YES",""))</f>
        <v/>
      </c>
      <c r="U100" s="85">
        <f>IF($A100="","",TRIM(IF(AND($M100=0,$I100&lt;&gt;"Yes"),"T0-NoPhishResistant ","")&amp;IF($H100="No","NoMFA ","")&amp;IF(AND($E100="Yes",$G100=""),"NeverSignedIn ","")))</f>
        <v/>
      </c>
    </row>
    <row r="101" ht="15" customHeight="1" s="39">
      <c r="A101" s="85" t="n"/>
      <c r="B101" s="85" t="n"/>
      <c r="C101" s="85" t="n"/>
      <c r="D101" s="85" t="n"/>
      <c r="E101" s="85" t="n"/>
      <c r="F101" s="86" t="n"/>
      <c r="G101" s="86" t="n"/>
      <c r="H101" s="85" t="n"/>
      <c r="I101" s="85" t="n"/>
      <c r="J101" s="85" t="n"/>
      <c r="K101" s="85" t="n"/>
      <c r="L101" s="85" t="n"/>
      <c r="M101" s="85" t="n"/>
      <c r="N101" s="85" t="n"/>
      <c r="O101" s="85" t="n"/>
      <c r="P101" s="85" t="n"/>
      <c r="Q101" s="85" t="n"/>
      <c r="R101" s="85" t="n"/>
      <c r="S101" s="85">
        <f>IF($G101="","",TODAY()-$G101)</f>
        <v/>
      </c>
      <c r="T101" s="85">
        <f>IF($A101="","",IF(AND($E101="Yes",OR($O101="No",$O101="NOT FOUND")),"YES",""))</f>
        <v/>
      </c>
      <c r="U101" s="85">
        <f>IF($A101="","",TRIM(IF(AND($M101=0,$I101&lt;&gt;"Yes"),"T0-NoPhishResistant ","")&amp;IF($H101="No","NoMFA ","")&amp;IF(AND($E101="Yes",$G101=""),"NeverSignedIn ","")))</f>
        <v/>
      </c>
    </row>
    <row r="102" ht="15" customHeight="1" s="39">
      <c r="A102" s="85" t="n"/>
      <c r="B102" s="85" t="n"/>
      <c r="C102" s="85" t="n"/>
      <c r="D102" s="85" t="n"/>
      <c r="E102" s="85" t="n"/>
      <c r="F102" s="86" t="n"/>
      <c r="G102" s="86" t="n"/>
      <c r="H102" s="85" t="n"/>
      <c r="I102" s="85" t="n"/>
      <c r="J102" s="85" t="n"/>
      <c r="K102" s="85" t="n"/>
      <c r="L102" s="85" t="n"/>
      <c r="M102" s="85" t="n"/>
      <c r="N102" s="85" t="n"/>
      <c r="O102" s="85" t="n"/>
      <c r="P102" s="85" t="n"/>
      <c r="Q102" s="85" t="n"/>
      <c r="R102" s="85" t="n"/>
      <c r="S102" s="85">
        <f>IF($G102="","",TODAY()-$G102)</f>
        <v/>
      </c>
      <c r="T102" s="85">
        <f>IF($A102="","",IF(AND($E102="Yes",OR($O102="No",$O102="NOT FOUND")),"YES",""))</f>
        <v/>
      </c>
      <c r="U102" s="85">
        <f>IF($A102="","",TRIM(IF(AND($M102=0,$I102&lt;&gt;"Yes"),"T0-NoPhishResistant ","")&amp;IF($H102="No","NoMFA ","")&amp;IF(AND($E102="Yes",$G102=""),"NeverSignedIn ","")))</f>
        <v/>
      </c>
    </row>
    <row r="103" ht="15" customHeight="1" s="39">
      <c r="A103" s="85" t="n"/>
      <c r="B103" s="85" t="n"/>
      <c r="C103" s="85" t="n"/>
      <c r="D103" s="85" t="n"/>
      <c r="E103" s="85" t="n"/>
      <c r="F103" s="86" t="n"/>
      <c r="G103" s="86" t="n"/>
      <c r="H103" s="85" t="n"/>
      <c r="I103" s="85" t="n"/>
      <c r="J103" s="85" t="n"/>
      <c r="K103" s="85" t="n"/>
      <c r="L103" s="85" t="n"/>
      <c r="M103" s="85" t="n"/>
      <c r="N103" s="85" t="n"/>
      <c r="O103" s="85" t="n"/>
      <c r="P103" s="85" t="n"/>
      <c r="Q103" s="85" t="n"/>
      <c r="R103" s="85" t="n"/>
      <c r="S103" s="85">
        <f>IF($G103="","",TODAY()-$G103)</f>
        <v/>
      </c>
      <c r="T103" s="85">
        <f>IF($A103="","",IF(AND($E103="Yes",OR($O103="No",$O103="NOT FOUND")),"YES",""))</f>
        <v/>
      </c>
      <c r="U103" s="85">
        <f>IF($A103="","",TRIM(IF(AND($M103=0,$I103&lt;&gt;"Yes"),"T0-NoPhishResistant ","")&amp;IF($H103="No","NoMFA ","")&amp;IF(AND($E103="Yes",$G103=""),"NeverSignedIn ","")))</f>
        <v/>
      </c>
    </row>
    <row r="104" ht="15" customHeight="1" s="39">
      <c r="A104" s="85" t="n"/>
      <c r="B104" s="85" t="n"/>
      <c r="C104" s="85" t="n"/>
      <c r="D104" s="85" t="n"/>
      <c r="E104" s="85" t="n"/>
      <c r="F104" s="86" t="n"/>
      <c r="G104" s="86" t="n"/>
      <c r="H104" s="85" t="n"/>
      <c r="I104" s="85" t="n"/>
      <c r="J104" s="85" t="n"/>
      <c r="K104" s="85" t="n"/>
      <c r="L104" s="85" t="n"/>
      <c r="M104" s="85" t="n"/>
      <c r="N104" s="85" t="n"/>
      <c r="O104" s="85" t="n"/>
      <c r="P104" s="85" t="n"/>
      <c r="Q104" s="85" t="n"/>
      <c r="R104" s="85" t="n"/>
      <c r="S104" s="85">
        <f>IF($G104="","",TODAY()-$G104)</f>
        <v/>
      </c>
      <c r="T104" s="85">
        <f>IF($A104="","",IF(AND($E104="Yes",OR($O104="No",$O104="NOT FOUND")),"YES",""))</f>
        <v/>
      </c>
      <c r="U104" s="85">
        <f>IF($A104="","",TRIM(IF(AND($M104=0,$I104&lt;&gt;"Yes"),"T0-NoPhishResistant ","")&amp;IF($H104="No","NoMFA ","")&amp;IF(AND($E104="Yes",$G104=""),"NeverSignedIn ","")))</f>
        <v/>
      </c>
    </row>
    <row r="105" ht="15" customHeight="1" s="39">
      <c r="A105" s="85" t="n"/>
      <c r="B105" s="85" t="n"/>
      <c r="C105" s="85" t="n"/>
      <c r="D105" s="85" t="n"/>
      <c r="E105" s="85" t="n"/>
      <c r="F105" s="86" t="n"/>
      <c r="G105" s="86" t="n"/>
      <c r="H105" s="85" t="n"/>
      <c r="I105" s="85" t="n"/>
      <c r="J105" s="85" t="n"/>
      <c r="K105" s="85" t="n"/>
      <c r="L105" s="85" t="n"/>
      <c r="M105" s="85" t="n"/>
      <c r="N105" s="85" t="n"/>
      <c r="O105" s="85" t="n"/>
      <c r="P105" s="85" t="n"/>
      <c r="Q105" s="85" t="n"/>
      <c r="R105" s="85" t="n"/>
      <c r="S105" s="85">
        <f>IF($G105="","",TODAY()-$G105)</f>
        <v/>
      </c>
      <c r="T105" s="85">
        <f>IF($A105="","",IF(AND($E105="Yes",OR($O105="No",$O105="NOT FOUND")),"YES",""))</f>
        <v/>
      </c>
      <c r="U105" s="85">
        <f>IF($A105="","",TRIM(IF(AND($M105=0,$I105&lt;&gt;"Yes"),"T0-NoPhishResistant ","")&amp;IF($H105="No","NoMFA ","")&amp;IF(AND($E105="Yes",$G105=""),"NeverSignedIn ","")))</f>
        <v/>
      </c>
    </row>
    <row r="106" ht="15" customHeight="1" s="39">
      <c r="A106" s="85" t="n"/>
      <c r="B106" s="85" t="n"/>
      <c r="C106" s="85" t="n"/>
      <c r="D106" s="85" t="n"/>
      <c r="E106" s="85" t="n"/>
      <c r="F106" s="86" t="n"/>
      <c r="G106" s="86" t="n"/>
      <c r="H106" s="85" t="n"/>
      <c r="I106" s="85" t="n"/>
      <c r="J106" s="85" t="n"/>
      <c r="K106" s="85" t="n"/>
      <c r="L106" s="85" t="n"/>
      <c r="M106" s="85" t="n"/>
      <c r="N106" s="85" t="n"/>
      <c r="O106" s="85" t="n"/>
      <c r="P106" s="85" t="n"/>
      <c r="Q106" s="85" t="n"/>
      <c r="R106" s="85" t="n"/>
      <c r="S106" s="85">
        <f>IF($G106="","",TODAY()-$G106)</f>
        <v/>
      </c>
      <c r="T106" s="85">
        <f>IF($A106="","",IF(AND($E106="Yes",OR($O106="No",$O106="NOT FOUND")),"YES",""))</f>
        <v/>
      </c>
      <c r="U106" s="85">
        <f>IF($A106="","",TRIM(IF(AND($M106=0,$I106&lt;&gt;"Yes"),"T0-NoPhishResistant ","")&amp;IF($H106="No","NoMFA ","")&amp;IF(AND($E106="Yes",$G106=""),"NeverSignedIn ","")))</f>
        <v/>
      </c>
    </row>
    <row r="107" ht="15" customHeight="1" s="39">
      <c r="A107" s="85" t="n"/>
      <c r="B107" s="85" t="n"/>
      <c r="C107" s="85" t="n"/>
      <c r="D107" s="85" t="n"/>
      <c r="E107" s="85" t="n"/>
      <c r="F107" s="86" t="n"/>
      <c r="G107" s="86" t="n"/>
      <c r="H107" s="85" t="n"/>
      <c r="I107" s="85" t="n"/>
      <c r="J107" s="85" t="n"/>
      <c r="K107" s="85" t="n"/>
      <c r="L107" s="85" t="n"/>
      <c r="M107" s="85" t="n"/>
      <c r="N107" s="85" t="n"/>
      <c r="O107" s="85" t="n"/>
      <c r="P107" s="85" t="n"/>
      <c r="Q107" s="85" t="n"/>
      <c r="R107" s="85" t="n"/>
      <c r="S107" s="85">
        <f>IF($G107="","",TODAY()-$G107)</f>
        <v/>
      </c>
      <c r="T107" s="85">
        <f>IF($A107="","",IF(AND($E107="Yes",OR($O107="No",$O107="NOT FOUND")),"YES",""))</f>
        <v/>
      </c>
      <c r="U107" s="85">
        <f>IF($A107="","",TRIM(IF(AND($M107=0,$I107&lt;&gt;"Yes"),"T0-NoPhishResistant ","")&amp;IF($H107="No","NoMFA ","")&amp;IF(AND($E107="Yes",$G107=""),"NeverSignedIn ","")))</f>
        <v/>
      </c>
    </row>
    <row r="108" ht="15" customHeight="1" s="39">
      <c r="A108" s="85" t="n"/>
      <c r="B108" s="85" t="n"/>
      <c r="C108" s="85" t="n"/>
      <c r="D108" s="85" t="n"/>
      <c r="E108" s="85" t="n"/>
      <c r="F108" s="86" t="n"/>
      <c r="G108" s="86" t="n"/>
      <c r="H108" s="85" t="n"/>
      <c r="I108" s="85" t="n"/>
      <c r="J108" s="85" t="n"/>
      <c r="K108" s="85" t="n"/>
      <c r="L108" s="85" t="n"/>
      <c r="M108" s="85" t="n"/>
      <c r="N108" s="85" t="n"/>
      <c r="O108" s="85" t="n"/>
      <c r="P108" s="85" t="n"/>
      <c r="Q108" s="85" t="n"/>
      <c r="R108" s="85" t="n"/>
      <c r="S108" s="85">
        <f>IF($G108="","",TODAY()-$G108)</f>
        <v/>
      </c>
      <c r="T108" s="85">
        <f>IF($A108="","",IF(AND($E108="Yes",OR($O108="No",$O108="NOT FOUND")),"YES",""))</f>
        <v/>
      </c>
      <c r="U108" s="85">
        <f>IF($A108="","",TRIM(IF(AND($M108=0,$I108&lt;&gt;"Yes"),"T0-NoPhishResistant ","")&amp;IF($H108="No","NoMFA ","")&amp;IF(AND($E108="Yes",$G108=""),"NeverSignedIn ","")))</f>
        <v/>
      </c>
    </row>
    <row r="109" ht="15" customHeight="1" s="39">
      <c r="A109" s="85" t="n"/>
      <c r="B109" s="85" t="n"/>
      <c r="C109" s="85" t="n"/>
      <c r="D109" s="85" t="n"/>
      <c r="E109" s="85" t="n"/>
      <c r="F109" s="86" t="n"/>
      <c r="G109" s="86" t="n"/>
      <c r="H109" s="85" t="n"/>
      <c r="I109" s="85" t="n"/>
      <c r="J109" s="85" t="n"/>
      <c r="K109" s="85" t="n"/>
      <c r="L109" s="85" t="n"/>
      <c r="M109" s="85" t="n"/>
      <c r="N109" s="85" t="n"/>
      <c r="O109" s="85" t="n"/>
      <c r="P109" s="85" t="n"/>
      <c r="Q109" s="85" t="n"/>
      <c r="R109" s="85" t="n"/>
      <c r="S109" s="85">
        <f>IF($G109="","",TODAY()-$G109)</f>
        <v/>
      </c>
      <c r="T109" s="85">
        <f>IF($A109="","",IF(AND($E109="Yes",OR($O109="No",$O109="NOT FOUND")),"YES",""))</f>
        <v/>
      </c>
      <c r="U109" s="85">
        <f>IF($A109="","",TRIM(IF(AND($M109=0,$I109&lt;&gt;"Yes"),"T0-NoPhishResistant ","")&amp;IF($H109="No","NoMFA ","")&amp;IF(AND($E109="Yes",$G109=""),"NeverSignedIn ","")))</f>
        <v/>
      </c>
    </row>
    <row r="110" ht="15" customHeight="1" s="39">
      <c r="A110" s="85" t="n"/>
      <c r="B110" s="85" t="n"/>
      <c r="C110" s="85" t="n"/>
      <c r="D110" s="85" t="n"/>
      <c r="E110" s="85" t="n"/>
      <c r="F110" s="86" t="n"/>
      <c r="G110" s="86" t="n"/>
      <c r="H110" s="85" t="n"/>
      <c r="I110" s="85" t="n"/>
      <c r="J110" s="85" t="n"/>
      <c r="K110" s="85" t="n"/>
      <c r="L110" s="85" t="n"/>
      <c r="M110" s="85" t="n"/>
      <c r="N110" s="85" t="n"/>
      <c r="O110" s="85" t="n"/>
      <c r="P110" s="85" t="n"/>
      <c r="Q110" s="85" t="n"/>
      <c r="R110" s="85" t="n"/>
      <c r="S110" s="85">
        <f>IF($G110="","",TODAY()-$G110)</f>
        <v/>
      </c>
      <c r="T110" s="85">
        <f>IF($A110="","",IF(AND($E110="Yes",OR($O110="No",$O110="NOT FOUND")),"YES",""))</f>
        <v/>
      </c>
      <c r="U110" s="85">
        <f>IF($A110="","",TRIM(IF(AND($M110=0,$I110&lt;&gt;"Yes"),"T0-NoPhishResistant ","")&amp;IF($H110="No","NoMFA ","")&amp;IF(AND($E110="Yes",$G110=""),"NeverSignedIn ","")))</f>
        <v/>
      </c>
    </row>
    <row r="111" ht="15" customHeight="1" s="39">
      <c r="A111" s="85" t="n"/>
      <c r="B111" s="85" t="n"/>
      <c r="C111" s="85" t="n"/>
      <c r="D111" s="85" t="n"/>
      <c r="E111" s="85" t="n"/>
      <c r="F111" s="86" t="n"/>
      <c r="G111" s="86" t="n"/>
      <c r="H111" s="85" t="n"/>
      <c r="I111" s="85" t="n"/>
      <c r="J111" s="85" t="n"/>
      <c r="K111" s="85" t="n"/>
      <c r="L111" s="85" t="n"/>
      <c r="M111" s="85" t="n"/>
      <c r="N111" s="85" t="n"/>
      <c r="O111" s="85" t="n"/>
      <c r="P111" s="85" t="n"/>
      <c r="Q111" s="85" t="n"/>
      <c r="R111" s="85" t="n"/>
      <c r="S111" s="85">
        <f>IF($G111="","",TODAY()-$G111)</f>
        <v/>
      </c>
      <c r="T111" s="85">
        <f>IF($A111="","",IF(AND($E111="Yes",OR($O111="No",$O111="NOT FOUND")),"YES",""))</f>
        <v/>
      </c>
      <c r="U111" s="85">
        <f>IF($A111="","",TRIM(IF(AND($M111=0,$I111&lt;&gt;"Yes"),"T0-NoPhishResistant ","")&amp;IF($H111="No","NoMFA ","")&amp;IF(AND($E111="Yes",$G111=""),"NeverSignedIn ","")))</f>
        <v/>
      </c>
    </row>
    <row r="112" ht="15" customHeight="1" s="39">
      <c r="A112" s="85" t="n"/>
      <c r="B112" s="85" t="n"/>
      <c r="C112" s="85" t="n"/>
      <c r="D112" s="85" t="n"/>
      <c r="E112" s="85" t="n"/>
      <c r="F112" s="86" t="n"/>
      <c r="G112" s="86" t="n"/>
      <c r="H112" s="85" t="n"/>
      <c r="I112" s="85" t="n"/>
      <c r="J112" s="85" t="n"/>
      <c r="K112" s="85" t="n"/>
      <c r="L112" s="85" t="n"/>
      <c r="M112" s="85" t="n"/>
      <c r="N112" s="85" t="n"/>
      <c r="O112" s="85" t="n"/>
      <c r="P112" s="85" t="n"/>
      <c r="Q112" s="85" t="n"/>
      <c r="R112" s="85" t="n"/>
      <c r="S112" s="85">
        <f>IF($G112="","",TODAY()-$G112)</f>
        <v/>
      </c>
      <c r="T112" s="85">
        <f>IF($A112="","",IF(AND($E112="Yes",OR($O112="No",$O112="NOT FOUND")),"YES",""))</f>
        <v/>
      </c>
      <c r="U112" s="85">
        <f>IF($A112="","",TRIM(IF(AND($M112=0,$I112&lt;&gt;"Yes"),"T0-NoPhishResistant ","")&amp;IF($H112="No","NoMFA ","")&amp;IF(AND($E112="Yes",$G112=""),"NeverSignedIn ","")))</f>
        <v/>
      </c>
    </row>
    <row r="113" ht="15" customHeight="1" s="39">
      <c r="A113" s="85" t="n"/>
      <c r="B113" s="85" t="n"/>
      <c r="C113" s="85" t="n"/>
      <c r="D113" s="85" t="n"/>
      <c r="E113" s="85" t="n"/>
      <c r="F113" s="86" t="n"/>
      <c r="G113" s="86" t="n"/>
      <c r="H113" s="85" t="n"/>
      <c r="I113" s="85" t="n"/>
      <c r="J113" s="85" t="n"/>
      <c r="K113" s="85" t="n"/>
      <c r="L113" s="85" t="n"/>
      <c r="M113" s="85" t="n"/>
      <c r="N113" s="85" t="n"/>
      <c r="O113" s="85" t="n"/>
      <c r="P113" s="85" t="n"/>
      <c r="Q113" s="85" t="n"/>
      <c r="R113" s="85" t="n"/>
      <c r="S113" s="85">
        <f>IF($G113="","",TODAY()-$G113)</f>
        <v/>
      </c>
      <c r="T113" s="85">
        <f>IF($A113="","",IF(AND($E113="Yes",OR($O113="No",$O113="NOT FOUND")),"YES",""))</f>
        <v/>
      </c>
      <c r="U113" s="85">
        <f>IF($A113="","",TRIM(IF(AND($M113=0,$I113&lt;&gt;"Yes"),"T0-NoPhishResistant ","")&amp;IF($H113="No","NoMFA ","")&amp;IF(AND($E113="Yes",$G113=""),"NeverSignedIn ","")))</f>
        <v/>
      </c>
    </row>
    <row r="114" ht="15" customHeight="1" s="39">
      <c r="A114" s="85" t="n"/>
      <c r="B114" s="85" t="n"/>
      <c r="C114" s="85" t="n"/>
      <c r="D114" s="85" t="n"/>
      <c r="E114" s="85" t="n"/>
      <c r="F114" s="86" t="n"/>
      <c r="G114" s="86" t="n"/>
      <c r="H114" s="85" t="n"/>
      <c r="I114" s="85" t="n"/>
      <c r="J114" s="85" t="n"/>
      <c r="K114" s="85" t="n"/>
      <c r="L114" s="85" t="n"/>
      <c r="M114" s="85" t="n"/>
      <c r="N114" s="85" t="n"/>
      <c r="O114" s="85" t="n"/>
      <c r="P114" s="85" t="n"/>
      <c r="Q114" s="85" t="n"/>
      <c r="R114" s="85" t="n"/>
      <c r="S114" s="85">
        <f>IF($G114="","",TODAY()-$G114)</f>
        <v/>
      </c>
      <c r="T114" s="85">
        <f>IF($A114="","",IF(AND($E114="Yes",OR($O114="No",$O114="NOT FOUND")),"YES",""))</f>
        <v/>
      </c>
      <c r="U114" s="85">
        <f>IF($A114="","",TRIM(IF(AND($M114=0,$I114&lt;&gt;"Yes"),"T0-NoPhishResistant ","")&amp;IF($H114="No","NoMFA ","")&amp;IF(AND($E114="Yes",$G114=""),"NeverSignedIn ","")))</f>
        <v/>
      </c>
    </row>
    <row r="115" ht="15" customHeight="1" s="39">
      <c r="A115" s="85" t="n"/>
      <c r="B115" s="85" t="n"/>
      <c r="C115" s="85" t="n"/>
      <c r="D115" s="85" t="n"/>
      <c r="E115" s="85" t="n"/>
      <c r="F115" s="86" t="n"/>
      <c r="G115" s="86" t="n"/>
      <c r="H115" s="85" t="n"/>
      <c r="I115" s="85" t="n"/>
      <c r="J115" s="85" t="n"/>
      <c r="K115" s="85" t="n"/>
      <c r="L115" s="85" t="n"/>
      <c r="M115" s="85" t="n"/>
      <c r="N115" s="85" t="n"/>
      <c r="O115" s="85" t="n"/>
      <c r="P115" s="85" t="n"/>
      <c r="Q115" s="85" t="n"/>
      <c r="R115" s="85" t="n"/>
      <c r="S115" s="85">
        <f>IF($G115="","",TODAY()-$G115)</f>
        <v/>
      </c>
      <c r="T115" s="85">
        <f>IF($A115="","",IF(AND($E115="Yes",OR($O115="No",$O115="NOT FOUND")),"YES",""))</f>
        <v/>
      </c>
      <c r="U115" s="85">
        <f>IF($A115="","",TRIM(IF(AND($M115=0,$I115&lt;&gt;"Yes"),"T0-NoPhishResistant ","")&amp;IF($H115="No","NoMFA ","")&amp;IF(AND($E115="Yes",$G115=""),"NeverSignedIn ","")))</f>
        <v/>
      </c>
    </row>
    <row r="116" ht="15" customHeight="1" s="39">
      <c r="A116" s="85" t="n"/>
      <c r="B116" s="85" t="n"/>
      <c r="C116" s="85" t="n"/>
      <c r="D116" s="85" t="n"/>
      <c r="E116" s="85" t="n"/>
      <c r="F116" s="86" t="n"/>
      <c r="G116" s="86" t="n"/>
      <c r="H116" s="85" t="n"/>
      <c r="I116" s="85" t="n"/>
      <c r="J116" s="85" t="n"/>
      <c r="K116" s="85" t="n"/>
      <c r="L116" s="85" t="n"/>
      <c r="M116" s="85" t="n"/>
      <c r="N116" s="85" t="n"/>
      <c r="O116" s="85" t="n"/>
      <c r="P116" s="85" t="n"/>
      <c r="Q116" s="85" t="n"/>
      <c r="R116" s="85" t="n"/>
      <c r="S116" s="85">
        <f>IF($G116="","",TODAY()-$G116)</f>
        <v/>
      </c>
      <c r="T116" s="85">
        <f>IF($A116="","",IF(AND($E116="Yes",OR($O116="No",$O116="NOT FOUND")),"YES",""))</f>
        <v/>
      </c>
      <c r="U116" s="85">
        <f>IF($A116="","",TRIM(IF(AND($M116=0,$I116&lt;&gt;"Yes"),"T0-NoPhishResistant ","")&amp;IF($H116="No","NoMFA ","")&amp;IF(AND($E116="Yes",$G116=""),"NeverSignedIn ","")))</f>
        <v/>
      </c>
    </row>
    <row r="117" ht="15" customHeight="1" s="39">
      <c r="A117" s="85" t="n"/>
      <c r="B117" s="85" t="n"/>
      <c r="C117" s="85" t="n"/>
      <c r="D117" s="85" t="n"/>
      <c r="E117" s="85" t="n"/>
      <c r="F117" s="86" t="n"/>
      <c r="G117" s="86" t="n"/>
      <c r="H117" s="85" t="n"/>
      <c r="I117" s="85" t="n"/>
      <c r="J117" s="85" t="n"/>
      <c r="K117" s="85" t="n"/>
      <c r="L117" s="85" t="n"/>
      <c r="M117" s="85" t="n"/>
      <c r="N117" s="85" t="n"/>
      <c r="O117" s="85" t="n"/>
      <c r="P117" s="85" t="n"/>
      <c r="Q117" s="85" t="n"/>
      <c r="R117" s="85" t="n"/>
      <c r="S117" s="85">
        <f>IF($G117="","",TODAY()-$G117)</f>
        <v/>
      </c>
      <c r="T117" s="85">
        <f>IF($A117="","",IF(AND($E117="Yes",OR($O117="No",$O117="NOT FOUND")),"YES",""))</f>
        <v/>
      </c>
      <c r="U117" s="85">
        <f>IF($A117="","",TRIM(IF(AND($M117=0,$I117&lt;&gt;"Yes"),"T0-NoPhishResistant ","")&amp;IF($H117="No","NoMFA ","")&amp;IF(AND($E117="Yes",$G117=""),"NeverSignedIn ","")))</f>
        <v/>
      </c>
    </row>
    <row r="118" ht="15" customHeight="1" s="39">
      <c r="A118" s="85" t="n"/>
      <c r="B118" s="85" t="n"/>
      <c r="C118" s="85" t="n"/>
      <c r="D118" s="85" t="n"/>
      <c r="E118" s="85" t="n"/>
      <c r="F118" s="86" t="n"/>
      <c r="G118" s="86" t="n"/>
      <c r="H118" s="85" t="n"/>
      <c r="I118" s="85" t="n"/>
      <c r="J118" s="85" t="n"/>
      <c r="K118" s="85" t="n"/>
      <c r="L118" s="85" t="n"/>
      <c r="M118" s="85" t="n"/>
      <c r="N118" s="85" t="n"/>
      <c r="O118" s="85" t="n"/>
      <c r="P118" s="85" t="n"/>
      <c r="Q118" s="85" t="n"/>
      <c r="R118" s="85" t="n"/>
      <c r="S118" s="85">
        <f>IF($G118="","",TODAY()-$G118)</f>
        <v/>
      </c>
      <c r="T118" s="85">
        <f>IF($A118="","",IF(AND($E118="Yes",OR($O118="No",$O118="NOT FOUND")),"YES",""))</f>
        <v/>
      </c>
      <c r="U118" s="85">
        <f>IF($A118="","",TRIM(IF(AND($M118=0,$I118&lt;&gt;"Yes"),"T0-NoPhishResistant ","")&amp;IF($H118="No","NoMFA ","")&amp;IF(AND($E118="Yes",$G118=""),"NeverSignedIn ","")))</f>
        <v/>
      </c>
    </row>
    <row r="119" ht="15" customHeight="1" s="39">
      <c r="A119" s="85" t="n"/>
      <c r="B119" s="85" t="n"/>
      <c r="C119" s="85" t="n"/>
      <c r="D119" s="85" t="n"/>
      <c r="E119" s="85" t="n"/>
      <c r="F119" s="86" t="n"/>
      <c r="G119" s="86" t="n"/>
      <c r="H119" s="85" t="n"/>
      <c r="I119" s="85" t="n"/>
      <c r="J119" s="85" t="n"/>
      <c r="K119" s="85" t="n"/>
      <c r="L119" s="85" t="n"/>
      <c r="M119" s="85" t="n"/>
      <c r="N119" s="85" t="n"/>
      <c r="O119" s="85" t="n"/>
      <c r="P119" s="85" t="n"/>
      <c r="Q119" s="85" t="n"/>
      <c r="R119" s="85" t="n"/>
      <c r="S119" s="85">
        <f>IF($G119="","",TODAY()-$G119)</f>
        <v/>
      </c>
      <c r="T119" s="85">
        <f>IF($A119="","",IF(AND($E119="Yes",OR($O119="No",$O119="NOT FOUND")),"YES",""))</f>
        <v/>
      </c>
      <c r="U119" s="85">
        <f>IF($A119="","",TRIM(IF(AND($M119=0,$I119&lt;&gt;"Yes"),"T0-NoPhishResistant ","")&amp;IF($H119="No","NoMFA ","")&amp;IF(AND($E119="Yes",$G119=""),"NeverSignedIn ","")))</f>
        <v/>
      </c>
    </row>
    <row r="120" ht="15" customHeight="1" s="39">
      <c r="A120" s="85" t="n"/>
      <c r="B120" s="85" t="n"/>
      <c r="C120" s="85" t="n"/>
      <c r="D120" s="85" t="n"/>
      <c r="E120" s="85" t="n"/>
      <c r="F120" s="86" t="n"/>
      <c r="G120" s="86" t="n"/>
      <c r="H120" s="85" t="n"/>
      <c r="I120" s="85" t="n"/>
      <c r="J120" s="85" t="n"/>
      <c r="K120" s="85" t="n"/>
      <c r="L120" s="85" t="n"/>
      <c r="M120" s="85" t="n"/>
      <c r="N120" s="85" t="n"/>
      <c r="O120" s="85" t="n"/>
      <c r="P120" s="85" t="n"/>
      <c r="Q120" s="85" t="n"/>
      <c r="R120" s="85" t="n"/>
      <c r="S120" s="85">
        <f>IF($G120="","",TODAY()-$G120)</f>
        <v/>
      </c>
      <c r="T120" s="85">
        <f>IF($A120="","",IF(AND($E120="Yes",OR($O120="No",$O120="NOT FOUND")),"YES",""))</f>
        <v/>
      </c>
      <c r="U120" s="85">
        <f>IF($A120="","",TRIM(IF(AND($M120=0,$I120&lt;&gt;"Yes"),"T0-NoPhishResistant ","")&amp;IF($H120="No","NoMFA ","")&amp;IF(AND($E120="Yes",$G120=""),"NeverSignedIn ","")))</f>
        <v/>
      </c>
    </row>
    <row r="121" ht="15" customHeight="1" s="39">
      <c r="A121" s="85" t="n"/>
      <c r="B121" s="85" t="n"/>
      <c r="C121" s="85" t="n"/>
      <c r="D121" s="85" t="n"/>
      <c r="E121" s="85" t="n"/>
      <c r="F121" s="86" t="n"/>
      <c r="G121" s="86" t="n"/>
      <c r="H121" s="85" t="n"/>
      <c r="I121" s="85" t="n"/>
      <c r="J121" s="85" t="n"/>
      <c r="K121" s="85" t="n"/>
      <c r="L121" s="85" t="n"/>
      <c r="M121" s="85" t="n"/>
      <c r="N121" s="85" t="n"/>
      <c r="O121" s="85" t="n"/>
      <c r="P121" s="85" t="n"/>
      <c r="Q121" s="85" t="n"/>
      <c r="R121" s="85" t="n"/>
      <c r="S121" s="85">
        <f>IF($G121="","",TODAY()-$G121)</f>
        <v/>
      </c>
      <c r="T121" s="85">
        <f>IF($A121="","",IF(AND($E121="Yes",OR($O121="No",$O121="NOT FOUND")),"YES",""))</f>
        <v/>
      </c>
      <c r="U121" s="85">
        <f>IF($A121="","",TRIM(IF(AND($M121=0,$I121&lt;&gt;"Yes"),"T0-NoPhishResistant ","")&amp;IF($H121="No","NoMFA ","")&amp;IF(AND($E121="Yes",$G121=""),"NeverSignedIn ","")))</f>
        <v/>
      </c>
    </row>
    <row r="122" ht="15" customHeight="1" s="39">
      <c r="A122" s="85" t="n"/>
      <c r="B122" s="85" t="n"/>
      <c r="C122" s="85" t="n"/>
      <c r="D122" s="85" t="n"/>
      <c r="E122" s="85" t="n"/>
      <c r="F122" s="86" t="n"/>
      <c r="G122" s="86" t="n"/>
      <c r="H122" s="85" t="n"/>
      <c r="I122" s="85" t="n"/>
      <c r="J122" s="85" t="n"/>
      <c r="K122" s="85" t="n"/>
      <c r="L122" s="85" t="n"/>
      <c r="M122" s="85" t="n"/>
      <c r="N122" s="85" t="n"/>
      <c r="O122" s="85" t="n"/>
      <c r="P122" s="85" t="n"/>
      <c r="Q122" s="85" t="n"/>
      <c r="R122" s="85" t="n"/>
      <c r="S122" s="85">
        <f>IF($G122="","",TODAY()-$G122)</f>
        <v/>
      </c>
      <c r="T122" s="85">
        <f>IF($A122="","",IF(AND($E122="Yes",OR($O122="No",$O122="NOT FOUND")),"YES",""))</f>
        <v/>
      </c>
      <c r="U122" s="85">
        <f>IF($A122="","",TRIM(IF(AND($M122=0,$I122&lt;&gt;"Yes"),"T0-NoPhishResistant ","")&amp;IF($H122="No","NoMFA ","")&amp;IF(AND($E122="Yes",$G122=""),"NeverSignedIn ","")))</f>
        <v/>
      </c>
    </row>
    <row r="123" ht="15" customHeight="1" s="39">
      <c r="A123" s="85" t="n"/>
      <c r="B123" s="85" t="n"/>
      <c r="C123" s="85" t="n"/>
      <c r="D123" s="85" t="n"/>
      <c r="E123" s="85" t="n"/>
      <c r="F123" s="86" t="n"/>
      <c r="G123" s="86" t="n"/>
      <c r="H123" s="85" t="n"/>
      <c r="I123" s="85" t="n"/>
      <c r="J123" s="85" t="n"/>
      <c r="K123" s="85" t="n"/>
      <c r="L123" s="85" t="n"/>
      <c r="M123" s="85" t="n"/>
      <c r="N123" s="85" t="n"/>
      <c r="O123" s="85" t="n"/>
      <c r="P123" s="85" t="n"/>
      <c r="Q123" s="85" t="n"/>
      <c r="R123" s="85" t="n"/>
      <c r="S123" s="85">
        <f>IF($G123="","",TODAY()-$G123)</f>
        <v/>
      </c>
      <c r="T123" s="85">
        <f>IF($A123="","",IF(AND($E123="Yes",OR($O123="No",$O123="NOT FOUND")),"YES",""))</f>
        <v/>
      </c>
      <c r="U123" s="85">
        <f>IF($A123="","",TRIM(IF(AND($M123=0,$I123&lt;&gt;"Yes"),"T0-NoPhishResistant ","")&amp;IF($H123="No","NoMFA ","")&amp;IF(AND($E123="Yes",$G123=""),"NeverSignedIn ","")))</f>
        <v/>
      </c>
    </row>
    <row r="124" ht="15" customHeight="1" s="39">
      <c r="A124" s="85" t="n"/>
      <c r="B124" s="85" t="n"/>
      <c r="C124" s="85" t="n"/>
      <c r="D124" s="85" t="n"/>
      <c r="E124" s="85" t="n"/>
      <c r="F124" s="86" t="n"/>
      <c r="G124" s="86" t="n"/>
      <c r="H124" s="85" t="n"/>
      <c r="I124" s="85" t="n"/>
      <c r="J124" s="85" t="n"/>
      <c r="K124" s="85" t="n"/>
      <c r="L124" s="85" t="n"/>
      <c r="M124" s="85" t="n"/>
      <c r="N124" s="85" t="n"/>
      <c r="O124" s="85" t="n"/>
      <c r="P124" s="85" t="n"/>
      <c r="Q124" s="85" t="n"/>
      <c r="R124" s="85" t="n"/>
      <c r="S124" s="85">
        <f>IF($G124="","",TODAY()-$G124)</f>
        <v/>
      </c>
      <c r="T124" s="85">
        <f>IF($A124="","",IF(AND($E124="Yes",OR($O124="No",$O124="NOT FOUND")),"YES",""))</f>
        <v/>
      </c>
      <c r="U124" s="85">
        <f>IF($A124="","",TRIM(IF(AND($M124=0,$I124&lt;&gt;"Yes"),"T0-NoPhishResistant ","")&amp;IF($H124="No","NoMFA ","")&amp;IF(AND($E124="Yes",$G124=""),"NeverSignedIn ","")))</f>
        <v/>
      </c>
    </row>
    <row r="125" ht="15" customHeight="1" s="39">
      <c r="A125" s="85" t="n"/>
      <c r="B125" s="85" t="n"/>
      <c r="C125" s="85" t="n"/>
      <c r="D125" s="85" t="n"/>
      <c r="E125" s="85" t="n"/>
      <c r="F125" s="86" t="n"/>
      <c r="G125" s="86" t="n"/>
      <c r="H125" s="85" t="n"/>
      <c r="I125" s="85" t="n"/>
      <c r="J125" s="85" t="n"/>
      <c r="K125" s="85" t="n"/>
      <c r="L125" s="85" t="n"/>
      <c r="M125" s="85" t="n"/>
      <c r="N125" s="85" t="n"/>
      <c r="O125" s="85" t="n"/>
      <c r="P125" s="85" t="n"/>
      <c r="Q125" s="85" t="n"/>
      <c r="R125" s="85" t="n"/>
      <c r="S125" s="85">
        <f>IF($G125="","",TODAY()-$G125)</f>
        <v/>
      </c>
      <c r="T125" s="85">
        <f>IF($A125="","",IF(AND($E125="Yes",OR($O125="No",$O125="NOT FOUND")),"YES",""))</f>
        <v/>
      </c>
      <c r="U125" s="85">
        <f>IF($A125="","",TRIM(IF(AND($M125=0,$I125&lt;&gt;"Yes"),"T0-NoPhishResistant ","")&amp;IF($H125="No","NoMFA ","")&amp;IF(AND($E125="Yes",$G125=""),"NeverSignedIn ","")))</f>
        <v/>
      </c>
    </row>
    <row r="126" ht="15" customHeight="1" s="39">
      <c r="A126" s="85" t="n"/>
      <c r="B126" s="85" t="n"/>
      <c r="C126" s="85" t="n"/>
      <c r="D126" s="85" t="n"/>
      <c r="E126" s="85" t="n"/>
      <c r="F126" s="86" t="n"/>
      <c r="G126" s="86" t="n"/>
      <c r="H126" s="85" t="n"/>
      <c r="I126" s="85" t="n"/>
      <c r="J126" s="85" t="n"/>
      <c r="K126" s="85" t="n"/>
      <c r="L126" s="85" t="n"/>
      <c r="M126" s="85" t="n"/>
      <c r="N126" s="85" t="n"/>
      <c r="O126" s="85" t="n"/>
      <c r="P126" s="85" t="n"/>
      <c r="Q126" s="85" t="n"/>
      <c r="R126" s="85" t="n"/>
      <c r="S126" s="85">
        <f>IF($G126="","",TODAY()-$G126)</f>
        <v/>
      </c>
      <c r="T126" s="85">
        <f>IF($A126="","",IF(AND($E126="Yes",OR($O126="No",$O126="NOT FOUND")),"YES",""))</f>
        <v/>
      </c>
      <c r="U126" s="85">
        <f>IF($A126="","",TRIM(IF(AND($M126=0,$I126&lt;&gt;"Yes"),"T0-NoPhishResistant ","")&amp;IF($H126="No","NoMFA ","")&amp;IF(AND($E126="Yes",$G126=""),"NeverSignedIn ","")))</f>
        <v/>
      </c>
    </row>
    <row r="127" ht="15" customHeight="1" s="39">
      <c r="A127" s="85" t="n"/>
      <c r="B127" s="85" t="n"/>
      <c r="C127" s="85" t="n"/>
      <c r="D127" s="85" t="n"/>
      <c r="E127" s="85" t="n"/>
      <c r="F127" s="86" t="n"/>
      <c r="G127" s="86" t="n"/>
      <c r="H127" s="85" t="n"/>
      <c r="I127" s="85" t="n"/>
      <c r="J127" s="85" t="n"/>
      <c r="K127" s="85" t="n"/>
      <c r="L127" s="85" t="n"/>
      <c r="M127" s="85" t="n"/>
      <c r="N127" s="85" t="n"/>
      <c r="O127" s="85" t="n"/>
      <c r="P127" s="85" t="n"/>
      <c r="Q127" s="85" t="n"/>
      <c r="R127" s="85" t="n"/>
      <c r="S127" s="85">
        <f>IF($G127="","",TODAY()-$G127)</f>
        <v/>
      </c>
      <c r="T127" s="85">
        <f>IF($A127="","",IF(AND($E127="Yes",OR($O127="No",$O127="NOT FOUND")),"YES",""))</f>
        <v/>
      </c>
      <c r="U127" s="85">
        <f>IF($A127="","",TRIM(IF(AND($M127=0,$I127&lt;&gt;"Yes"),"T0-NoPhishResistant ","")&amp;IF($H127="No","NoMFA ","")&amp;IF(AND($E127="Yes",$G127=""),"NeverSignedIn ","")))</f>
        <v/>
      </c>
    </row>
    <row r="128" ht="15" customHeight="1" s="39">
      <c r="A128" s="85" t="n"/>
      <c r="B128" s="85" t="n"/>
      <c r="C128" s="85" t="n"/>
      <c r="D128" s="85" t="n"/>
      <c r="E128" s="85" t="n"/>
      <c r="F128" s="86" t="n"/>
      <c r="G128" s="86" t="n"/>
      <c r="H128" s="85" t="n"/>
      <c r="I128" s="85" t="n"/>
      <c r="J128" s="85" t="n"/>
      <c r="K128" s="85" t="n"/>
      <c r="L128" s="85" t="n"/>
      <c r="M128" s="85" t="n"/>
      <c r="N128" s="85" t="n"/>
      <c r="O128" s="85" t="n"/>
      <c r="P128" s="85" t="n"/>
      <c r="Q128" s="85" t="n"/>
      <c r="R128" s="85" t="n"/>
      <c r="S128" s="85">
        <f>IF($G128="","",TODAY()-$G128)</f>
        <v/>
      </c>
      <c r="T128" s="85">
        <f>IF($A128="","",IF(AND($E128="Yes",OR($O128="No",$O128="NOT FOUND")),"YES",""))</f>
        <v/>
      </c>
      <c r="U128" s="85">
        <f>IF($A128="","",TRIM(IF(AND($M128=0,$I128&lt;&gt;"Yes"),"T0-NoPhishResistant ","")&amp;IF($H128="No","NoMFA ","")&amp;IF(AND($E128="Yes",$G128=""),"NeverSignedIn ","")))</f>
        <v/>
      </c>
    </row>
    <row r="129" ht="15" customHeight="1" s="39">
      <c r="A129" s="85" t="n"/>
      <c r="B129" s="85" t="n"/>
      <c r="C129" s="85" t="n"/>
      <c r="D129" s="85" t="n"/>
      <c r="E129" s="85" t="n"/>
      <c r="F129" s="86" t="n"/>
      <c r="G129" s="86" t="n"/>
      <c r="H129" s="85" t="n"/>
      <c r="I129" s="85" t="n"/>
      <c r="J129" s="85" t="n"/>
      <c r="K129" s="85" t="n"/>
      <c r="L129" s="85" t="n"/>
      <c r="M129" s="85" t="n"/>
      <c r="N129" s="85" t="n"/>
      <c r="O129" s="85" t="n"/>
      <c r="P129" s="85" t="n"/>
      <c r="Q129" s="85" t="n"/>
      <c r="R129" s="85" t="n"/>
      <c r="S129" s="85">
        <f>IF($G129="","",TODAY()-$G129)</f>
        <v/>
      </c>
      <c r="T129" s="85">
        <f>IF($A129="","",IF(AND($E129="Yes",OR($O129="No",$O129="NOT FOUND")),"YES",""))</f>
        <v/>
      </c>
      <c r="U129" s="85">
        <f>IF($A129="","",TRIM(IF(AND($M129=0,$I129&lt;&gt;"Yes"),"T0-NoPhishResistant ","")&amp;IF($H129="No","NoMFA ","")&amp;IF(AND($E129="Yes",$G129=""),"NeverSignedIn ","")))</f>
        <v/>
      </c>
    </row>
    <row r="130" ht="15" customHeight="1" s="39">
      <c r="A130" s="85" t="n"/>
      <c r="B130" s="85" t="n"/>
      <c r="C130" s="85" t="n"/>
      <c r="D130" s="85" t="n"/>
      <c r="E130" s="85" t="n"/>
      <c r="F130" s="86" t="n"/>
      <c r="G130" s="86" t="n"/>
      <c r="H130" s="85" t="n"/>
      <c r="I130" s="85" t="n"/>
      <c r="J130" s="85" t="n"/>
      <c r="K130" s="85" t="n"/>
      <c r="L130" s="85" t="n"/>
      <c r="M130" s="85" t="n"/>
      <c r="N130" s="85" t="n"/>
      <c r="O130" s="85" t="n"/>
      <c r="P130" s="85" t="n"/>
      <c r="Q130" s="85" t="n"/>
      <c r="R130" s="85" t="n"/>
      <c r="S130" s="85">
        <f>IF($G130="","",TODAY()-$G130)</f>
        <v/>
      </c>
      <c r="T130" s="85">
        <f>IF($A130="","",IF(AND($E130="Yes",OR($O130="No",$O130="NOT FOUND")),"YES",""))</f>
        <v/>
      </c>
      <c r="U130" s="85">
        <f>IF($A130="","",TRIM(IF(AND($M130=0,$I130&lt;&gt;"Yes"),"T0-NoPhishResistant ","")&amp;IF($H130="No","NoMFA ","")&amp;IF(AND($E130="Yes",$G130=""),"NeverSignedIn ","")))</f>
        <v/>
      </c>
    </row>
    <row r="131" ht="15" customHeight="1" s="39">
      <c r="A131" s="85" t="n"/>
      <c r="B131" s="85" t="n"/>
      <c r="C131" s="85" t="n"/>
      <c r="D131" s="85" t="n"/>
      <c r="E131" s="85" t="n"/>
      <c r="F131" s="86" t="n"/>
      <c r="G131" s="86" t="n"/>
      <c r="H131" s="85" t="n"/>
      <c r="I131" s="85" t="n"/>
      <c r="J131" s="85" t="n"/>
      <c r="K131" s="85" t="n"/>
      <c r="L131" s="85" t="n"/>
      <c r="M131" s="85" t="n"/>
      <c r="N131" s="85" t="n"/>
      <c r="O131" s="85" t="n"/>
      <c r="P131" s="85" t="n"/>
      <c r="Q131" s="85" t="n"/>
      <c r="R131" s="85" t="n"/>
      <c r="S131" s="85">
        <f>IF($G131="","",TODAY()-$G131)</f>
        <v/>
      </c>
      <c r="T131" s="85">
        <f>IF($A131="","",IF(AND($E131="Yes",OR($O131="No",$O131="NOT FOUND")),"YES",""))</f>
        <v/>
      </c>
      <c r="U131" s="85">
        <f>IF($A131="","",TRIM(IF(AND($M131=0,$I131&lt;&gt;"Yes"),"T0-NoPhishResistant ","")&amp;IF($H131="No","NoMFA ","")&amp;IF(AND($E131="Yes",$G131=""),"NeverSignedIn ","")))</f>
        <v/>
      </c>
    </row>
    <row r="132" ht="15" customHeight="1" s="39">
      <c r="A132" s="85" t="n"/>
      <c r="B132" s="85" t="n"/>
      <c r="C132" s="85" t="n"/>
      <c r="D132" s="85" t="n"/>
      <c r="E132" s="85" t="n"/>
      <c r="F132" s="86" t="n"/>
      <c r="G132" s="86" t="n"/>
      <c r="H132" s="85" t="n"/>
      <c r="I132" s="85" t="n"/>
      <c r="J132" s="85" t="n"/>
      <c r="K132" s="85" t="n"/>
      <c r="L132" s="85" t="n"/>
      <c r="M132" s="85" t="n"/>
      <c r="N132" s="85" t="n"/>
      <c r="O132" s="85" t="n"/>
      <c r="P132" s="85" t="n"/>
      <c r="Q132" s="85" t="n"/>
      <c r="R132" s="85" t="n"/>
      <c r="S132" s="85">
        <f>IF($G132="","",TODAY()-$G132)</f>
        <v/>
      </c>
      <c r="T132" s="85">
        <f>IF($A132="","",IF(AND($E132="Yes",OR($O132="No",$O132="NOT FOUND")),"YES",""))</f>
        <v/>
      </c>
      <c r="U132" s="85">
        <f>IF($A132="","",TRIM(IF(AND($M132=0,$I132&lt;&gt;"Yes"),"T0-NoPhishResistant ","")&amp;IF($H132="No","NoMFA ","")&amp;IF(AND($E132="Yes",$G132=""),"NeverSignedIn ","")))</f>
        <v/>
      </c>
    </row>
    <row r="133" ht="15" customHeight="1" s="39">
      <c r="A133" s="85" t="n"/>
      <c r="B133" s="85" t="n"/>
      <c r="C133" s="85" t="n"/>
      <c r="D133" s="85" t="n"/>
      <c r="E133" s="85" t="n"/>
      <c r="F133" s="86" t="n"/>
      <c r="G133" s="86" t="n"/>
      <c r="H133" s="85" t="n"/>
      <c r="I133" s="85" t="n"/>
      <c r="J133" s="85" t="n"/>
      <c r="K133" s="85" t="n"/>
      <c r="L133" s="85" t="n"/>
      <c r="M133" s="85" t="n"/>
      <c r="N133" s="85" t="n"/>
      <c r="O133" s="85" t="n"/>
      <c r="P133" s="85" t="n"/>
      <c r="Q133" s="85" t="n"/>
      <c r="R133" s="85" t="n"/>
      <c r="S133" s="85">
        <f>IF($G133="","",TODAY()-$G133)</f>
        <v/>
      </c>
      <c r="T133" s="85">
        <f>IF($A133="","",IF(AND($E133="Yes",OR($O133="No",$O133="NOT FOUND")),"YES",""))</f>
        <v/>
      </c>
      <c r="U133" s="85">
        <f>IF($A133="","",TRIM(IF(AND($M133=0,$I133&lt;&gt;"Yes"),"T0-NoPhishResistant ","")&amp;IF($H133="No","NoMFA ","")&amp;IF(AND($E133="Yes",$G133=""),"NeverSignedIn ","")))</f>
        <v/>
      </c>
    </row>
    <row r="134" ht="15" customHeight="1" s="39">
      <c r="A134" s="85" t="n"/>
      <c r="B134" s="85" t="n"/>
      <c r="C134" s="85" t="n"/>
      <c r="D134" s="85" t="n"/>
      <c r="E134" s="85" t="n"/>
      <c r="F134" s="86" t="n"/>
      <c r="G134" s="86" t="n"/>
      <c r="H134" s="85" t="n"/>
      <c r="I134" s="85" t="n"/>
      <c r="J134" s="85" t="n"/>
      <c r="K134" s="85" t="n"/>
      <c r="L134" s="85" t="n"/>
      <c r="M134" s="85" t="n"/>
      <c r="N134" s="85" t="n"/>
      <c r="O134" s="85" t="n"/>
      <c r="P134" s="85" t="n"/>
      <c r="Q134" s="85" t="n"/>
      <c r="R134" s="85" t="n"/>
      <c r="S134" s="85">
        <f>IF($G134="","",TODAY()-$G134)</f>
        <v/>
      </c>
      <c r="T134" s="85">
        <f>IF($A134="","",IF(AND($E134="Yes",OR($O134="No",$O134="NOT FOUND")),"YES",""))</f>
        <v/>
      </c>
      <c r="U134" s="85">
        <f>IF($A134="","",TRIM(IF(AND($M134=0,$I134&lt;&gt;"Yes"),"T0-NoPhishResistant ","")&amp;IF($H134="No","NoMFA ","")&amp;IF(AND($E134="Yes",$G134=""),"NeverSignedIn ","")))</f>
        <v/>
      </c>
    </row>
    <row r="135" ht="15" customHeight="1" s="39">
      <c r="A135" s="85" t="n"/>
      <c r="B135" s="85" t="n"/>
      <c r="C135" s="85" t="n"/>
      <c r="D135" s="85" t="n"/>
      <c r="E135" s="85" t="n"/>
      <c r="F135" s="86" t="n"/>
      <c r="G135" s="86" t="n"/>
      <c r="H135" s="85" t="n"/>
      <c r="I135" s="85" t="n"/>
      <c r="J135" s="85" t="n"/>
      <c r="K135" s="85" t="n"/>
      <c r="L135" s="85" t="n"/>
      <c r="M135" s="85" t="n"/>
      <c r="N135" s="85" t="n"/>
      <c r="O135" s="85" t="n"/>
      <c r="P135" s="85" t="n"/>
      <c r="Q135" s="85" t="n"/>
      <c r="R135" s="85" t="n"/>
      <c r="S135" s="85">
        <f>IF($G135="","",TODAY()-$G135)</f>
        <v/>
      </c>
      <c r="T135" s="85">
        <f>IF($A135="","",IF(AND($E135="Yes",OR($O135="No",$O135="NOT FOUND")),"YES",""))</f>
        <v/>
      </c>
      <c r="U135" s="85">
        <f>IF($A135="","",TRIM(IF(AND($M135=0,$I135&lt;&gt;"Yes"),"T0-NoPhishResistant ","")&amp;IF($H135="No","NoMFA ","")&amp;IF(AND($E135="Yes",$G135=""),"NeverSignedIn ","")))</f>
        <v/>
      </c>
    </row>
    <row r="136" ht="15" customHeight="1" s="39">
      <c r="A136" s="85" t="n"/>
      <c r="B136" s="85" t="n"/>
      <c r="C136" s="85" t="n"/>
      <c r="D136" s="85" t="n"/>
      <c r="E136" s="85" t="n"/>
      <c r="F136" s="86" t="n"/>
      <c r="G136" s="86" t="n"/>
      <c r="H136" s="85" t="n"/>
      <c r="I136" s="85" t="n"/>
      <c r="J136" s="85" t="n"/>
      <c r="K136" s="85" t="n"/>
      <c r="L136" s="85" t="n"/>
      <c r="M136" s="85" t="n"/>
      <c r="N136" s="85" t="n"/>
      <c r="O136" s="85" t="n"/>
      <c r="P136" s="85" t="n"/>
      <c r="Q136" s="85" t="n"/>
      <c r="R136" s="85" t="n"/>
      <c r="S136" s="85">
        <f>IF($G136="","",TODAY()-$G136)</f>
        <v/>
      </c>
      <c r="T136" s="85">
        <f>IF($A136="","",IF(AND($E136="Yes",OR($O136="No",$O136="NOT FOUND")),"YES",""))</f>
        <v/>
      </c>
      <c r="U136" s="85">
        <f>IF($A136="","",TRIM(IF(AND($M136=0,$I136&lt;&gt;"Yes"),"T0-NoPhishResistant ","")&amp;IF($H136="No","NoMFA ","")&amp;IF(AND($E136="Yes",$G136=""),"NeverSignedIn ","")))</f>
        <v/>
      </c>
    </row>
    <row r="137" ht="15" customHeight="1" s="39">
      <c r="A137" s="85" t="n"/>
      <c r="B137" s="85" t="n"/>
      <c r="C137" s="85" t="n"/>
      <c r="D137" s="85" t="n"/>
      <c r="E137" s="85" t="n"/>
      <c r="F137" s="86" t="n"/>
      <c r="G137" s="86" t="n"/>
      <c r="H137" s="85" t="n"/>
      <c r="I137" s="85" t="n"/>
      <c r="J137" s="85" t="n"/>
      <c r="K137" s="85" t="n"/>
      <c r="L137" s="85" t="n"/>
      <c r="M137" s="85" t="n"/>
      <c r="N137" s="85" t="n"/>
      <c r="O137" s="85" t="n"/>
      <c r="P137" s="85" t="n"/>
      <c r="Q137" s="85" t="n"/>
      <c r="R137" s="85" t="n"/>
      <c r="S137" s="85">
        <f>IF($G137="","",TODAY()-$G137)</f>
        <v/>
      </c>
      <c r="T137" s="85">
        <f>IF($A137="","",IF(AND($E137="Yes",OR($O137="No",$O137="NOT FOUND")),"YES",""))</f>
        <v/>
      </c>
      <c r="U137" s="85">
        <f>IF($A137="","",TRIM(IF(AND($M137=0,$I137&lt;&gt;"Yes"),"T0-NoPhishResistant ","")&amp;IF($H137="No","NoMFA ","")&amp;IF(AND($E137="Yes",$G137=""),"NeverSignedIn ","")))</f>
        <v/>
      </c>
    </row>
    <row r="138" ht="15" customHeight="1" s="39">
      <c r="A138" s="85" t="n"/>
      <c r="B138" s="85" t="n"/>
      <c r="C138" s="85" t="n"/>
      <c r="D138" s="85" t="n"/>
      <c r="E138" s="85" t="n"/>
      <c r="F138" s="86" t="n"/>
      <c r="G138" s="86" t="n"/>
      <c r="H138" s="85" t="n"/>
      <c r="I138" s="85" t="n"/>
      <c r="J138" s="85" t="n"/>
      <c r="K138" s="85" t="n"/>
      <c r="L138" s="85" t="n"/>
      <c r="M138" s="85" t="n"/>
      <c r="N138" s="85" t="n"/>
      <c r="O138" s="85" t="n"/>
      <c r="P138" s="85" t="n"/>
      <c r="Q138" s="85" t="n"/>
      <c r="R138" s="85" t="n"/>
      <c r="S138" s="85">
        <f>IF($G138="","",TODAY()-$G138)</f>
        <v/>
      </c>
      <c r="T138" s="85">
        <f>IF($A138="","",IF(AND($E138="Yes",OR($O138="No",$O138="NOT FOUND")),"YES",""))</f>
        <v/>
      </c>
      <c r="U138" s="85">
        <f>IF($A138="","",TRIM(IF(AND($M138=0,$I138&lt;&gt;"Yes"),"T0-NoPhishResistant ","")&amp;IF($H138="No","NoMFA ","")&amp;IF(AND($E138="Yes",$G138=""),"NeverSignedIn ","")))</f>
        <v/>
      </c>
    </row>
    <row r="139" ht="15" customHeight="1" s="39">
      <c r="A139" s="85" t="n"/>
      <c r="B139" s="85" t="n"/>
      <c r="C139" s="85" t="n"/>
      <c r="D139" s="85" t="n"/>
      <c r="E139" s="85" t="n"/>
      <c r="F139" s="86" t="n"/>
      <c r="G139" s="86" t="n"/>
      <c r="H139" s="85" t="n"/>
      <c r="I139" s="85" t="n"/>
      <c r="J139" s="85" t="n"/>
      <c r="K139" s="85" t="n"/>
      <c r="L139" s="85" t="n"/>
      <c r="M139" s="85" t="n"/>
      <c r="N139" s="85" t="n"/>
      <c r="O139" s="85" t="n"/>
      <c r="P139" s="85" t="n"/>
      <c r="Q139" s="85" t="n"/>
      <c r="R139" s="85" t="n"/>
      <c r="S139" s="85">
        <f>IF($G139="","",TODAY()-$G139)</f>
        <v/>
      </c>
      <c r="T139" s="85">
        <f>IF($A139="","",IF(AND($E139="Yes",OR($O139="No",$O139="NOT FOUND")),"YES",""))</f>
        <v/>
      </c>
      <c r="U139" s="85">
        <f>IF($A139="","",TRIM(IF(AND($M139=0,$I139&lt;&gt;"Yes"),"T0-NoPhishResistant ","")&amp;IF($H139="No","NoMFA ","")&amp;IF(AND($E139="Yes",$G139=""),"NeverSignedIn ","")))</f>
        <v/>
      </c>
    </row>
    <row r="140" ht="15" customHeight="1" s="39">
      <c r="A140" s="85" t="n"/>
      <c r="B140" s="85" t="n"/>
      <c r="C140" s="85" t="n"/>
      <c r="D140" s="85" t="n"/>
      <c r="E140" s="85" t="n"/>
      <c r="F140" s="86" t="n"/>
      <c r="G140" s="86" t="n"/>
      <c r="H140" s="85" t="n"/>
      <c r="I140" s="85" t="n"/>
      <c r="J140" s="85" t="n"/>
      <c r="K140" s="85" t="n"/>
      <c r="L140" s="85" t="n"/>
      <c r="M140" s="85" t="n"/>
      <c r="N140" s="85" t="n"/>
      <c r="O140" s="85" t="n"/>
      <c r="P140" s="85" t="n"/>
      <c r="Q140" s="85" t="n"/>
      <c r="R140" s="85" t="n"/>
      <c r="S140" s="85">
        <f>IF($G140="","",TODAY()-$G140)</f>
        <v/>
      </c>
      <c r="T140" s="85">
        <f>IF($A140="","",IF(AND($E140="Yes",OR($O140="No",$O140="NOT FOUND")),"YES",""))</f>
        <v/>
      </c>
      <c r="U140" s="85">
        <f>IF($A140="","",TRIM(IF(AND($M140=0,$I140&lt;&gt;"Yes"),"T0-NoPhishResistant ","")&amp;IF($H140="No","NoMFA ","")&amp;IF(AND($E140="Yes",$G140=""),"NeverSignedIn ","")))</f>
        <v/>
      </c>
    </row>
    <row r="141" ht="15" customHeight="1" s="39">
      <c r="A141" s="85" t="n"/>
      <c r="B141" s="85" t="n"/>
      <c r="C141" s="85" t="n"/>
      <c r="D141" s="85" t="n"/>
      <c r="E141" s="85" t="n"/>
      <c r="F141" s="86" t="n"/>
      <c r="G141" s="86" t="n"/>
      <c r="H141" s="85" t="n"/>
      <c r="I141" s="85" t="n"/>
      <c r="J141" s="85" t="n"/>
      <c r="K141" s="85" t="n"/>
      <c r="L141" s="85" t="n"/>
      <c r="M141" s="85" t="n"/>
      <c r="N141" s="85" t="n"/>
      <c r="O141" s="85" t="n"/>
      <c r="P141" s="85" t="n"/>
      <c r="Q141" s="85" t="n"/>
      <c r="R141" s="85" t="n"/>
      <c r="S141" s="85">
        <f>IF($G141="","",TODAY()-$G141)</f>
        <v/>
      </c>
      <c r="T141" s="85">
        <f>IF($A141="","",IF(AND($E141="Yes",OR($O141="No",$O141="NOT FOUND")),"YES",""))</f>
        <v/>
      </c>
      <c r="U141" s="85">
        <f>IF($A141="","",TRIM(IF(AND($M141=0,$I141&lt;&gt;"Yes"),"T0-NoPhishResistant ","")&amp;IF($H141="No","NoMFA ","")&amp;IF(AND($E141="Yes",$G141=""),"NeverSignedIn ","")))</f>
        <v/>
      </c>
    </row>
    <row r="142" ht="15" customHeight="1" s="39">
      <c r="A142" s="85" t="n"/>
      <c r="B142" s="85" t="n"/>
      <c r="C142" s="85" t="n"/>
      <c r="D142" s="85" t="n"/>
      <c r="E142" s="85" t="n"/>
      <c r="F142" s="86" t="n"/>
      <c r="G142" s="86" t="n"/>
      <c r="H142" s="85" t="n"/>
      <c r="I142" s="85" t="n"/>
      <c r="J142" s="85" t="n"/>
      <c r="K142" s="85" t="n"/>
      <c r="L142" s="85" t="n"/>
      <c r="M142" s="85" t="n"/>
      <c r="N142" s="85" t="n"/>
      <c r="O142" s="85" t="n"/>
      <c r="P142" s="85" t="n"/>
      <c r="Q142" s="85" t="n"/>
      <c r="R142" s="85" t="n"/>
      <c r="S142" s="85">
        <f>IF($G142="","",TODAY()-$G142)</f>
        <v/>
      </c>
      <c r="T142" s="85">
        <f>IF($A142="","",IF(AND($E142="Yes",OR($O142="No",$O142="NOT FOUND")),"YES",""))</f>
        <v/>
      </c>
      <c r="U142" s="85">
        <f>IF($A142="","",TRIM(IF(AND($M142=0,$I142&lt;&gt;"Yes"),"T0-NoPhishResistant ","")&amp;IF($H142="No","NoMFA ","")&amp;IF(AND($E142="Yes",$G142=""),"NeverSignedIn ","")))</f>
        <v/>
      </c>
    </row>
    <row r="143" ht="15" customHeight="1" s="39">
      <c r="A143" s="85" t="n"/>
      <c r="B143" s="85" t="n"/>
      <c r="C143" s="85" t="n"/>
      <c r="D143" s="85" t="n"/>
      <c r="E143" s="85" t="n"/>
      <c r="F143" s="86" t="n"/>
      <c r="G143" s="86" t="n"/>
      <c r="H143" s="85" t="n"/>
      <c r="I143" s="85" t="n"/>
      <c r="J143" s="85" t="n"/>
      <c r="K143" s="85" t="n"/>
      <c r="L143" s="85" t="n"/>
      <c r="M143" s="85" t="n"/>
      <c r="N143" s="85" t="n"/>
      <c r="O143" s="85" t="n"/>
      <c r="P143" s="85" t="n"/>
      <c r="Q143" s="85" t="n"/>
      <c r="R143" s="85" t="n"/>
      <c r="S143" s="85">
        <f>IF($G143="","",TODAY()-$G143)</f>
        <v/>
      </c>
      <c r="T143" s="85">
        <f>IF($A143="","",IF(AND($E143="Yes",OR($O143="No",$O143="NOT FOUND")),"YES",""))</f>
        <v/>
      </c>
      <c r="U143" s="85">
        <f>IF($A143="","",TRIM(IF(AND($M143=0,$I143&lt;&gt;"Yes"),"T0-NoPhishResistant ","")&amp;IF($H143="No","NoMFA ","")&amp;IF(AND($E143="Yes",$G143=""),"NeverSignedIn ","")))</f>
        <v/>
      </c>
    </row>
    <row r="144" ht="15" customHeight="1" s="39">
      <c r="A144" s="85" t="n"/>
      <c r="B144" s="85" t="n"/>
      <c r="C144" s="85" t="n"/>
      <c r="D144" s="85" t="n"/>
      <c r="E144" s="85" t="n"/>
      <c r="F144" s="86" t="n"/>
      <c r="G144" s="86" t="n"/>
      <c r="H144" s="85" t="n"/>
      <c r="I144" s="85" t="n"/>
      <c r="J144" s="85" t="n"/>
      <c r="K144" s="85" t="n"/>
      <c r="L144" s="85" t="n"/>
      <c r="M144" s="85" t="n"/>
      <c r="N144" s="85" t="n"/>
      <c r="O144" s="85" t="n"/>
      <c r="P144" s="85" t="n"/>
      <c r="Q144" s="85" t="n"/>
      <c r="R144" s="85" t="n"/>
      <c r="S144" s="85">
        <f>IF($G144="","",TODAY()-$G144)</f>
        <v/>
      </c>
      <c r="T144" s="85">
        <f>IF($A144="","",IF(AND($E144="Yes",OR($O144="No",$O144="NOT FOUND")),"YES",""))</f>
        <v/>
      </c>
      <c r="U144" s="85">
        <f>IF($A144="","",TRIM(IF(AND($M144=0,$I144&lt;&gt;"Yes"),"T0-NoPhishResistant ","")&amp;IF($H144="No","NoMFA ","")&amp;IF(AND($E144="Yes",$G144=""),"NeverSignedIn ","")))</f>
        <v/>
      </c>
    </row>
    <row r="145" ht="15" customHeight="1" s="39">
      <c r="A145" s="85" t="n"/>
      <c r="B145" s="85" t="n"/>
      <c r="C145" s="85" t="n"/>
      <c r="D145" s="85" t="n"/>
      <c r="E145" s="85" t="n"/>
      <c r="F145" s="86" t="n"/>
      <c r="G145" s="86" t="n"/>
      <c r="H145" s="85" t="n"/>
      <c r="I145" s="85" t="n"/>
      <c r="J145" s="85" t="n"/>
      <c r="K145" s="85" t="n"/>
      <c r="L145" s="85" t="n"/>
      <c r="M145" s="85" t="n"/>
      <c r="N145" s="85" t="n"/>
      <c r="O145" s="85" t="n"/>
      <c r="P145" s="85" t="n"/>
      <c r="Q145" s="85" t="n"/>
      <c r="R145" s="85" t="n"/>
      <c r="S145" s="85">
        <f>IF($G145="","",TODAY()-$G145)</f>
        <v/>
      </c>
      <c r="T145" s="85">
        <f>IF($A145="","",IF(AND($E145="Yes",OR($O145="No",$O145="NOT FOUND")),"YES",""))</f>
        <v/>
      </c>
      <c r="U145" s="85">
        <f>IF($A145="","",TRIM(IF(AND($M145=0,$I145&lt;&gt;"Yes"),"T0-NoPhishResistant ","")&amp;IF($H145="No","NoMFA ","")&amp;IF(AND($E145="Yes",$G145=""),"NeverSignedIn ","")))</f>
        <v/>
      </c>
    </row>
    <row r="146" ht="15" customHeight="1" s="39">
      <c r="A146" s="85" t="n"/>
      <c r="B146" s="85" t="n"/>
      <c r="C146" s="85" t="n"/>
      <c r="D146" s="85" t="n"/>
      <c r="E146" s="85" t="n"/>
      <c r="F146" s="86" t="n"/>
      <c r="G146" s="86" t="n"/>
      <c r="H146" s="85" t="n"/>
      <c r="I146" s="85" t="n"/>
      <c r="J146" s="85" t="n"/>
      <c r="K146" s="85" t="n"/>
      <c r="L146" s="85" t="n"/>
      <c r="M146" s="85" t="n"/>
      <c r="N146" s="85" t="n"/>
      <c r="O146" s="85" t="n"/>
      <c r="P146" s="85" t="n"/>
      <c r="Q146" s="85" t="n"/>
      <c r="R146" s="85" t="n"/>
      <c r="S146" s="85">
        <f>IF($G146="","",TODAY()-$G146)</f>
        <v/>
      </c>
      <c r="T146" s="85">
        <f>IF($A146="","",IF(AND($E146="Yes",OR($O146="No",$O146="NOT FOUND")),"YES",""))</f>
        <v/>
      </c>
      <c r="U146" s="85">
        <f>IF($A146="","",TRIM(IF(AND($M146=0,$I146&lt;&gt;"Yes"),"T0-NoPhishResistant ","")&amp;IF($H146="No","NoMFA ","")&amp;IF(AND($E146="Yes",$G146=""),"NeverSignedIn ","")))</f>
        <v/>
      </c>
    </row>
    <row r="147" ht="15" customHeight="1" s="39">
      <c r="A147" s="85" t="n"/>
      <c r="B147" s="85" t="n"/>
      <c r="C147" s="85" t="n"/>
      <c r="D147" s="85" t="n"/>
      <c r="E147" s="85" t="n"/>
      <c r="F147" s="86" t="n"/>
      <c r="G147" s="86" t="n"/>
      <c r="H147" s="85" t="n"/>
      <c r="I147" s="85" t="n"/>
      <c r="J147" s="85" t="n"/>
      <c r="K147" s="85" t="n"/>
      <c r="L147" s="85" t="n"/>
      <c r="M147" s="85" t="n"/>
      <c r="N147" s="85" t="n"/>
      <c r="O147" s="85" t="n"/>
      <c r="P147" s="85" t="n"/>
      <c r="Q147" s="85" t="n"/>
      <c r="R147" s="85" t="n"/>
      <c r="S147" s="85">
        <f>IF($G147="","",TODAY()-$G147)</f>
        <v/>
      </c>
      <c r="T147" s="85">
        <f>IF($A147="","",IF(AND($E147="Yes",OR($O147="No",$O147="NOT FOUND")),"YES",""))</f>
        <v/>
      </c>
      <c r="U147" s="85">
        <f>IF($A147="","",TRIM(IF(AND($M147=0,$I147&lt;&gt;"Yes"),"T0-NoPhishResistant ","")&amp;IF($H147="No","NoMFA ","")&amp;IF(AND($E147="Yes",$G147=""),"NeverSignedIn ","")))</f>
        <v/>
      </c>
    </row>
    <row r="148" ht="15" customHeight="1" s="39">
      <c r="A148" s="85" t="n"/>
      <c r="B148" s="85" t="n"/>
      <c r="C148" s="85" t="n"/>
      <c r="D148" s="85" t="n"/>
      <c r="E148" s="85" t="n"/>
      <c r="F148" s="86" t="n"/>
      <c r="G148" s="86" t="n"/>
      <c r="H148" s="85" t="n"/>
      <c r="I148" s="85" t="n"/>
      <c r="J148" s="85" t="n"/>
      <c r="K148" s="85" t="n"/>
      <c r="L148" s="85" t="n"/>
      <c r="M148" s="85" t="n"/>
      <c r="N148" s="85" t="n"/>
      <c r="O148" s="85" t="n"/>
      <c r="P148" s="85" t="n"/>
      <c r="Q148" s="85" t="n"/>
      <c r="R148" s="85" t="n"/>
      <c r="S148" s="85">
        <f>IF($G148="","",TODAY()-$G148)</f>
        <v/>
      </c>
      <c r="T148" s="85">
        <f>IF($A148="","",IF(AND($E148="Yes",OR($O148="No",$O148="NOT FOUND")),"YES",""))</f>
        <v/>
      </c>
      <c r="U148" s="85">
        <f>IF($A148="","",TRIM(IF(AND($M148=0,$I148&lt;&gt;"Yes"),"T0-NoPhishResistant ","")&amp;IF($H148="No","NoMFA ","")&amp;IF(AND($E148="Yes",$G148=""),"NeverSignedIn ","")))</f>
        <v/>
      </c>
    </row>
    <row r="149" ht="15" customHeight="1" s="39">
      <c r="A149" s="85" t="n"/>
      <c r="B149" s="85" t="n"/>
      <c r="C149" s="85" t="n"/>
      <c r="D149" s="85" t="n"/>
      <c r="E149" s="85" t="n"/>
      <c r="F149" s="86" t="n"/>
      <c r="G149" s="86" t="n"/>
      <c r="H149" s="85" t="n"/>
      <c r="I149" s="85" t="n"/>
      <c r="J149" s="85" t="n"/>
      <c r="K149" s="85" t="n"/>
      <c r="L149" s="85" t="n"/>
      <c r="M149" s="85" t="n"/>
      <c r="N149" s="85" t="n"/>
      <c r="O149" s="85" t="n"/>
      <c r="P149" s="85" t="n"/>
      <c r="Q149" s="85" t="n"/>
      <c r="R149" s="85" t="n"/>
      <c r="S149" s="85">
        <f>IF($G149="","",TODAY()-$G149)</f>
        <v/>
      </c>
      <c r="T149" s="85">
        <f>IF($A149="","",IF(AND($E149="Yes",OR($O149="No",$O149="NOT FOUND")),"YES",""))</f>
        <v/>
      </c>
      <c r="U149" s="85">
        <f>IF($A149="","",TRIM(IF(AND($M149=0,$I149&lt;&gt;"Yes"),"T0-NoPhishResistant ","")&amp;IF($H149="No","NoMFA ","")&amp;IF(AND($E149="Yes",$G149=""),"NeverSignedIn ","")))</f>
        <v/>
      </c>
    </row>
    <row r="150" ht="15" customHeight="1" s="39">
      <c r="A150" s="85" t="n"/>
      <c r="B150" s="85" t="n"/>
      <c r="C150" s="85" t="n"/>
      <c r="D150" s="85" t="n"/>
      <c r="E150" s="85" t="n"/>
      <c r="F150" s="86" t="n"/>
      <c r="G150" s="86" t="n"/>
      <c r="H150" s="85" t="n"/>
      <c r="I150" s="85" t="n"/>
      <c r="J150" s="85" t="n"/>
      <c r="K150" s="85" t="n"/>
      <c r="L150" s="85" t="n"/>
      <c r="M150" s="85" t="n"/>
      <c r="N150" s="85" t="n"/>
      <c r="O150" s="85" t="n"/>
      <c r="P150" s="85" t="n"/>
      <c r="Q150" s="85" t="n"/>
      <c r="R150" s="85" t="n"/>
      <c r="S150" s="85">
        <f>IF($G150="","",TODAY()-$G150)</f>
        <v/>
      </c>
      <c r="T150" s="85">
        <f>IF($A150="","",IF(AND($E150="Yes",OR($O150="No",$O150="NOT FOUND")),"YES",""))</f>
        <v/>
      </c>
      <c r="U150" s="85">
        <f>IF($A150="","",TRIM(IF(AND($M150=0,$I150&lt;&gt;"Yes"),"T0-NoPhishResistant ","")&amp;IF($H150="No","NoMFA ","")&amp;IF(AND($E150="Yes",$G150=""),"NeverSignedIn ","")))</f>
        <v/>
      </c>
    </row>
    <row r="151" ht="15" customHeight="1" s="39">
      <c r="A151" s="85" t="n"/>
      <c r="B151" s="85" t="n"/>
      <c r="C151" s="85" t="n"/>
      <c r="D151" s="85" t="n"/>
      <c r="E151" s="85" t="n"/>
      <c r="F151" s="86" t="n"/>
      <c r="G151" s="86" t="n"/>
      <c r="H151" s="85" t="n"/>
      <c r="I151" s="85" t="n"/>
      <c r="J151" s="85" t="n"/>
      <c r="K151" s="85" t="n"/>
      <c r="L151" s="85" t="n"/>
      <c r="M151" s="85" t="n"/>
      <c r="N151" s="85" t="n"/>
      <c r="O151" s="85" t="n"/>
      <c r="P151" s="85" t="n"/>
      <c r="Q151" s="85" t="n"/>
      <c r="R151" s="85" t="n"/>
      <c r="S151" s="85">
        <f>IF($G151="","",TODAY()-$G151)</f>
        <v/>
      </c>
      <c r="T151" s="85">
        <f>IF($A151="","",IF(AND($E151="Yes",OR($O151="No",$O151="NOT FOUND")),"YES",""))</f>
        <v/>
      </c>
      <c r="U151" s="85">
        <f>IF($A151="","",TRIM(IF(AND($M151=0,$I151&lt;&gt;"Yes"),"T0-NoPhishResistant ","")&amp;IF($H151="No","NoMFA ","")&amp;IF(AND($E151="Yes",$G151=""),"NeverSignedIn ","")))</f>
        <v/>
      </c>
    </row>
    <row r="152" ht="15" customHeight="1" s="39">
      <c r="A152" s="85" t="n"/>
      <c r="B152" s="85" t="n"/>
      <c r="C152" s="85" t="n"/>
      <c r="D152" s="85" t="n"/>
      <c r="E152" s="85" t="n"/>
      <c r="F152" s="86" t="n"/>
      <c r="G152" s="86" t="n"/>
      <c r="H152" s="85" t="n"/>
      <c r="I152" s="85" t="n"/>
      <c r="J152" s="85" t="n"/>
      <c r="K152" s="85" t="n"/>
      <c r="L152" s="85" t="n"/>
      <c r="M152" s="85" t="n"/>
      <c r="N152" s="85" t="n"/>
      <c r="O152" s="85" t="n"/>
      <c r="P152" s="85" t="n"/>
      <c r="Q152" s="85" t="n"/>
      <c r="R152" s="85" t="n"/>
      <c r="S152" s="85">
        <f>IF($G152="","",TODAY()-$G152)</f>
        <v/>
      </c>
      <c r="T152" s="85">
        <f>IF($A152="","",IF(AND($E152="Yes",OR($O152="No",$O152="NOT FOUND")),"YES",""))</f>
        <v/>
      </c>
      <c r="U152" s="85">
        <f>IF($A152="","",TRIM(IF(AND($M152=0,$I152&lt;&gt;"Yes"),"T0-NoPhishResistant ","")&amp;IF($H152="No","NoMFA ","")&amp;IF(AND($E152="Yes",$G152=""),"NeverSignedIn ","")))</f>
        <v/>
      </c>
    </row>
    <row r="153" ht="15" customHeight="1" s="39">
      <c r="A153" s="85" t="n"/>
      <c r="B153" s="85" t="n"/>
      <c r="C153" s="85" t="n"/>
      <c r="D153" s="85" t="n"/>
      <c r="E153" s="85" t="n"/>
      <c r="F153" s="86" t="n"/>
      <c r="G153" s="86" t="n"/>
      <c r="H153" s="85" t="n"/>
      <c r="I153" s="85" t="n"/>
      <c r="J153" s="85" t="n"/>
      <c r="K153" s="85" t="n"/>
      <c r="L153" s="85" t="n"/>
      <c r="M153" s="85" t="n"/>
      <c r="N153" s="85" t="n"/>
      <c r="O153" s="85" t="n"/>
      <c r="P153" s="85" t="n"/>
      <c r="Q153" s="85" t="n"/>
      <c r="R153" s="85" t="n"/>
      <c r="S153" s="85">
        <f>IF($G153="","",TODAY()-$G153)</f>
        <v/>
      </c>
      <c r="T153" s="85">
        <f>IF($A153="","",IF(AND($E153="Yes",OR($O153="No",$O153="NOT FOUND")),"YES",""))</f>
        <v/>
      </c>
      <c r="U153" s="85">
        <f>IF($A153="","",TRIM(IF(AND($M153=0,$I153&lt;&gt;"Yes"),"T0-NoPhishResistant ","")&amp;IF($H153="No","NoMFA ","")&amp;IF(AND($E153="Yes",$G153=""),"NeverSignedIn ","")))</f>
        <v/>
      </c>
    </row>
    <row r="154" ht="15" customHeight="1" s="39">
      <c r="A154" s="85" t="n"/>
      <c r="B154" s="85" t="n"/>
      <c r="C154" s="85" t="n"/>
      <c r="D154" s="85" t="n"/>
      <c r="E154" s="85" t="n"/>
      <c r="F154" s="86" t="n"/>
      <c r="G154" s="86" t="n"/>
      <c r="H154" s="85" t="n"/>
      <c r="I154" s="85" t="n"/>
      <c r="J154" s="85" t="n"/>
      <c r="K154" s="85" t="n"/>
      <c r="L154" s="85" t="n"/>
      <c r="M154" s="85" t="n"/>
      <c r="N154" s="85" t="n"/>
      <c r="O154" s="85" t="n"/>
      <c r="P154" s="85" t="n"/>
      <c r="Q154" s="85" t="n"/>
      <c r="R154" s="85" t="n"/>
      <c r="S154" s="85">
        <f>IF($G154="","",TODAY()-$G154)</f>
        <v/>
      </c>
      <c r="T154" s="85">
        <f>IF($A154="","",IF(AND($E154="Yes",OR($O154="No",$O154="NOT FOUND")),"YES",""))</f>
        <v/>
      </c>
      <c r="U154" s="85">
        <f>IF($A154="","",TRIM(IF(AND($M154=0,$I154&lt;&gt;"Yes"),"T0-NoPhishResistant ","")&amp;IF($H154="No","NoMFA ","")&amp;IF(AND($E154="Yes",$G154=""),"NeverSignedIn ","")))</f>
        <v/>
      </c>
    </row>
    <row r="155" ht="15" customHeight="1" s="39">
      <c r="A155" s="85" t="n"/>
      <c r="B155" s="85" t="n"/>
      <c r="C155" s="85" t="n"/>
      <c r="D155" s="85" t="n"/>
      <c r="E155" s="85" t="n"/>
      <c r="F155" s="86" t="n"/>
      <c r="G155" s="86" t="n"/>
      <c r="H155" s="85" t="n"/>
      <c r="I155" s="85" t="n"/>
      <c r="J155" s="85" t="n"/>
      <c r="K155" s="85" t="n"/>
      <c r="L155" s="85" t="n"/>
      <c r="M155" s="85" t="n"/>
      <c r="N155" s="85" t="n"/>
      <c r="O155" s="85" t="n"/>
      <c r="P155" s="85" t="n"/>
      <c r="Q155" s="85" t="n"/>
      <c r="R155" s="85" t="n"/>
      <c r="S155" s="85">
        <f>IF($G155="","",TODAY()-$G155)</f>
        <v/>
      </c>
      <c r="T155" s="85">
        <f>IF($A155="","",IF(AND($E155="Yes",OR($O155="No",$O155="NOT FOUND")),"YES",""))</f>
        <v/>
      </c>
      <c r="U155" s="85">
        <f>IF($A155="","",TRIM(IF(AND($M155=0,$I155&lt;&gt;"Yes"),"T0-NoPhishResistant ","")&amp;IF($H155="No","NoMFA ","")&amp;IF(AND($E155="Yes",$G155=""),"NeverSignedIn ","")))</f>
        <v/>
      </c>
    </row>
    <row r="156" ht="15" customHeight="1" s="39">
      <c r="A156" s="85" t="n"/>
      <c r="B156" s="85" t="n"/>
      <c r="C156" s="85" t="n"/>
      <c r="D156" s="85" t="n"/>
      <c r="E156" s="85" t="n"/>
      <c r="F156" s="86" t="n"/>
      <c r="G156" s="86" t="n"/>
      <c r="H156" s="85" t="n"/>
      <c r="I156" s="85" t="n"/>
      <c r="J156" s="85" t="n"/>
      <c r="K156" s="85" t="n"/>
      <c r="L156" s="85" t="n"/>
      <c r="M156" s="85" t="n"/>
      <c r="N156" s="85" t="n"/>
      <c r="O156" s="85" t="n"/>
      <c r="P156" s="85" t="n"/>
      <c r="Q156" s="85" t="n"/>
      <c r="R156" s="85" t="n"/>
      <c r="S156" s="85">
        <f>IF($G156="","",TODAY()-$G156)</f>
        <v/>
      </c>
      <c r="T156" s="85">
        <f>IF($A156="","",IF(AND($E156="Yes",OR($O156="No",$O156="NOT FOUND")),"YES",""))</f>
        <v/>
      </c>
      <c r="U156" s="85">
        <f>IF($A156="","",TRIM(IF(AND($M156=0,$I156&lt;&gt;"Yes"),"T0-NoPhishResistant ","")&amp;IF($H156="No","NoMFA ","")&amp;IF(AND($E156="Yes",$G156=""),"NeverSignedIn ","")))</f>
        <v/>
      </c>
    </row>
    <row r="157" ht="15" customHeight="1" s="39">
      <c r="A157" s="85" t="n"/>
      <c r="B157" s="85" t="n"/>
      <c r="C157" s="85" t="n"/>
      <c r="D157" s="85" t="n"/>
      <c r="E157" s="85" t="n"/>
      <c r="F157" s="86" t="n"/>
      <c r="G157" s="86" t="n"/>
      <c r="H157" s="85" t="n"/>
      <c r="I157" s="85" t="n"/>
      <c r="J157" s="85" t="n"/>
      <c r="K157" s="85" t="n"/>
      <c r="L157" s="85" t="n"/>
      <c r="M157" s="85" t="n"/>
      <c r="N157" s="85" t="n"/>
      <c r="O157" s="85" t="n"/>
      <c r="P157" s="85" t="n"/>
      <c r="Q157" s="85" t="n"/>
      <c r="R157" s="85" t="n"/>
      <c r="S157" s="85">
        <f>IF($G157="","",TODAY()-$G157)</f>
        <v/>
      </c>
      <c r="T157" s="85">
        <f>IF($A157="","",IF(AND($E157="Yes",OR($O157="No",$O157="NOT FOUND")),"YES",""))</f>
        <v/>
      </c>
      <c r="U157" s="85">
        <f>IF($A157="","",TRIM(IF(AND($M157=0,$I157&lt;&gt;"Yes"),"T0-NoPhishResistant ","")&amp;IF($H157="No","NoMFA ","")&amp;IF(AND($E157="Yes",$G157=""),"NeverSignedIn ","")))</f>
        <v/>
      </c>
    </row>
    <row r="158" ht="15" customHeight="1" s="39">
      <c r="A158" s="85" t="n"/>
      <c r="B158" s="85" t="n"/>
      <c r="C158" s="85" t="n"/>
      <c r="D158" s="85" t="n"/>
      <c r="E158" s="85" t="n"/>
      <c r="F158" s="86" t="n"/>
      <c r="G158" s="86" t="n"/>
      <c r="H158" s="85" t="n"/>
      <c r="I158" s="85" t="n"/>
      <c r="J158" s="85" t="n"/>
      <c r="K158" s="85" t="n"/>
      <c r="L158" s="85" t="n"/>
      <c r="M158" s="85" t="n"/>
      <c r="N158" s="85" t="n"/>
      <c r="O158" s="85" t="n"/>
      <c r="P158" s="85" t="n"/>
      <c r="Q158" s="85" t="n"/>
      <c r="R158" s="85" t="n"/>
      <c r="S158" s="85">
        <f>IF($G158="","",TODAY()-$G158)</f>
        <v/>
      </c>
      <c r="T158" s="85">
        <f>IF($A158="","",IF(AND($E158="Yes",OR($O158="No",$O158="NOT FOUND")),"YES",""))</f>
        <v/>
      </c>
      <c r="U158" s="85">
        <f>IF($A158="","",TRIM(IF(AND($M158=0,$I158&lt;&gt;"Yes"),"T0-NoPhishResistant ","")&amp;IF($H158="No","NoMFA ","")&amp;IF(AND($E158="Yes",$G158=""),"NeverSignedIn ","")))</f>
        <v/>
      </c>
    </row>
    <row r="159" ht="15" customHeight="1" s="39">
      <c r="A159" s="85" t="n"/>
      <c r="B159" s="85" t="n"/>
      <c r="C159" s="85" t="n"/>
      <c r="D159" s="85" t="n"/>
      <c r="E159" s="85" t="n"/>
      <c r="F159" s="86" t="n"/>
      <c r="G159" s="86" t="n"/>
      <c r="H159" s="85" t="n"/>
      <c r="I159" s="85" t="n"/>
      <c r="J159" s="85" t="n"/>
      <c r="K159" s="85" t="n"/>
      <c r="L159" s="85" t="n"/>
      <c r="M159" s="85" t="n"/>
      <c r="N159" s="85" t="n"/>
      <c r="O159" s="85" t="n"/>
      <c r="P159" s="85" t="n"/>
      <c r="Q159" s="85" t="n"/>
      <c r="R159" s="85" t="n"/>
      <c r="S159" s="85">
        <f>IF($G159="","",TODAY()-$G159)</f>
        <v/>
      </c>
      <c r="T159" s="85">
        <f>IF($A159="","",IF(AND($E159="Yes",OR($O159="No",$O159="NOT FOUND")),"YES",""))</f>
        <v/>
      </c>
      <c r="U159" s="85">
        <f>IF($A159="","",TRIM(IF(AND($M159=0,$I159&lt;&gt;"Yes"),"T0-NoPhishResistant ","")&amp;IF($H159="No","NoMFA ","")&amp;IF(AND($E159="Yes",$G159=""),"NeverSignedIn ","")))</f>
        <v/>
      </c>
    </row>
    <row r="160" ht="15" customHeight="1" s="39">
      <c r="A160" s="85" t="n"/>
      <c r="B160" s="85" t="n"/>
      <c r="C160" s="85" t="n"/>
      <c r="D160" s="85" t="n"/>
      <c r="E160" s="85" t="n"/>
      <c r="F160" s="86" t="n"/>
      <c r="G160" s="86" t="n"/>
      <c r="H160" s="85" t="n"/>
      <c r="I160" s="85" t="n"/>
      <c r="J160" s="85" t="n"/>
      <c r="K160" s="85" t="n"/>
      <c r="L160" s="85" t="n"/>
      <c r="M160" s="85" t="n"/>
      <c r="N160" s="85" t="n"/>
      <c r="O160" s="85" t="n"/>
      <c r="P160" s="85" t="n"/>
      <c r="Q160" s="85" t="n"/>
      <c r="R160" s="85" t="n"/>
      <c r="S160" s="85">
        <f>IF($G160="","",TODAY()-$G160)</f>
        <v/>
      </c>
      <c r="T160" s="85">
        <f>IF($A160="","",IF(AND($E160="Yes",OR($O160="No",$O160="NOT FOUND")),"YES",""))</f>
        <v/>
      </c>
      <c r="U160" s="85">
        <f>IF($A160="","",TRIM(IF(AND($M160=0,$I160&lt;&gt;"Yes"),"T0-NoPhishResistant ","")&amp;IF($H160="No","NoMFA ","")&amp;IF(AND($E160="Yes",$G160=""),"NeverSignedIn ","")))</f>
        <v/>
      </c>
    </row>
    <row r="161" ht="15" customHeight="1" s="39">
      <c r="A161" s="85" t="n"/>
      <c r="B161" s="85" t="n"/>
      <c r="C161" s="85" t="n"/>
      <c r="D161" s="85" t="n"/>
      <c r="E161" s="85" t="n"/>
      <c r="F161" s="86" t="n"/>
      <c r="G161" s="86" t="n"/>
      <c r="H161" s="85" t="n"/>
      <c r="I161" s="85" t="n"/>
      <c r="J161" s="85" t="n"/>
      <c r="K161" s="85" t="n"/>
      <c r="L161" s="85" t="n"/>
      <c r="M161" s="85" t="n"/>
      <c r="N161" s="85" t="n"/>
      <c r="O161" s="85" t="n"/>
      <c r="P161" s="85" t="n"/>
      <c r="Q161" s="85" t="n"/>
      <c r="R161" s="85" t="n"/>
      <c r="S161" s="85">
        <f>IF($G161="","",TODAY()-$G161)</f>
        <v/>
      </c>
      <c r="T161" s="85">
        <f>IF($A161="","",IF(AND($E161="Yes",OR($O161="No",$O161="NOT FOUND")),"YES",""))</f>
        <v/>
      </c>
      <c r="U161" s="85">
        <f>IF($A161="","",TRIM(IF(AND($M161=0,$I161&lt;&gt;"Yes"),"T0-NoPhishResistant ","")&amp;IF($H161="No","NoMFA ","")&amp;IF(AND($E161="Yes",$G161=""),"NeverSignedIn ","")))</f>
        <v/>
      </c>
    </row>
    <row r="162" ht="15" customHeight="1" s="39">
      <c r="A162" s="85" t="n"/>
      <c r="B162" s="85" t="n"/>
      <c r="C162" s="85" t="n"/>
      <c r="D162" s="85" t="n"/>
      <c r="E162" s="85" t="n"/>
      <c r="F162" s="86" t="n"/>
      <c r="G162" s="86" t="n"/>
      <c r="H162" s="85" t="n"/>
      <c r="I162" s="85" t="n"/>
      <c r="J162" s="85" t="n"/>
      <c r="K162" s="85" t="n"/>
      <c r="L162" s="85" t="n"/>
      <c r="M162" s="85" t="n"/>
      <c r="N162" s="85" t="n"/>
      <c r="O162" s="85" t="n"/>
      <c r="P162" s="85" t="n"/>
      <c r="Q162" s="85" t="n"/>
      <c r="R162" s="85" t="n"/>
      <c r="S162" s="85">
        <f>IF($G162="","",TODAY()-$G162)</f>
        <v/>
      </c>
      <c r="T162" s="85">
        <f>IF($A162="","",IF(AND($E162="Yes",OR($O162="No",$O162="NOT FOUND")),"YES",""))</f>
        <v/>
      </c>
      <c r="U162" s="85">
        <f>IF($A162="","",TRIM(IF(AND($M162=0,$I162&lt;&gt;"Yes"),"T0-NoPhishResistant ","")&amp;IF($H162="No","NoMFA ","")&amp;IF(AND($E162="Yes",$G162=""),"NeverSignedIn ","")))</f>
        <v/>
      </c>
    </row>
    <row r="163" ht="15" customHeight="1" s="39">
      <c r="A163" s="85" t="n"/>
      <c r="B163" s="85" t="n"/>
      <c r="C163" s="85" t="n"/>
      <c r="D163" s="85" t="n"/>
      <c r="E163" s="85" t="n"/>
      <c r="F163" s="86" t="n"/>
      <c r="G163" s="86" t="n"/>
      <c r="H163" s="85" t="n"/>
      <c r="I163" s="85" t="n"/>
      <c r="J163" s="85" t="n"/>
      <c r="K163" s="85" t="n"/>
      <c r="L163" s="85" t="n"/>
      <c r="M163" s="85" t="n"/>
      <c r="N163" s="85" t="n"/>
      <c r="O163" s="85" t="n"/>
      <c r="P163" s="85" t="n"/>
      <c r="Q163" s="85" t="n"/>
      <c r="R163" s="85" t="n"/>
      <c r="S163" s="85">
        <f>IF($G163="","",TODAY()-$G163)</f>
        <v/>
      </c>
      <c r="T163" s="85">
        <f>IF($A163="","",IF(AND($E163="Yes",OR($O163="No",$O163="NOT FOUND")),"YES",""))</f>
        <v/>
      </c>
      <c r="U163" s="85">
        <f>IF($A163="","",TRIM(IF(AND($M163=0,$I163&lt;&gt;"Yes"),"T0-NoPhishResistant ","")&amp;IF($H163="No","NoMFA ","")&amp;IF(AND($E163="Yes",$G163=""),"NeverSignedIn ","")))</f>
        <v/>
      </c>
    </row>
    <row r="164" ht="15" customHeight="1" s="39">
      <c r="A164" s="85" t="n"/>
      <c r="B164" s="85" t="n"/>
      <c r="C164" s="85" t="n"/>
      <c r="D164" s="85" t="n"/>
      <c r="E164" s="85" t="n"/>
      <c r="F164" s="86" t="n"/>
      <c r="G164" s="86" t="n"/>
      <c r="H164" s="85" t="n"/>
      <c r="I164" s="85" t="n"/>
      <c r="J164" s="85" t="n"/>
      <c r="K164" s="85" t="n"/>
      <c r="L164" s="85" t="n"/>
      <c r="M164" s="85" t="n"/>
      <c r="N164" s="85" t="n"/>
      <c r="O164" s="85" t="n"/>
      <c r="P164" s="85" t="n"/>
      <c r="Q164" s="85" t="n"/>
      <c r="R164" s="85" t="n"/>
      <c r="S164" s="85">
        <f>IF($G164="","",TODAY()-$G164)</f>
        <v/>
      </c>
      <c r="T164" s="85">
        <f>IF($A164="","",IF(AND($E164="Yes",OR($O164="No",$O164="NOT FOUND")),"YES",""))</f>
        <v/>
      </c>
      <c r="U164" s="85">
        <f>IF($A164="","",TRIM(IF(AND($M164=0,$I164&lt;&gt;"Yes"),"T0-NoPhishResistant ","")&amp;IF($H164="No","NoMFA ","")&amp;IF(AND($E164="Yes",$G164=""),"NeverSignedIn ","")))</f>
        <v/>
      </c>
    </row>
    <row r="165" ht="15" customHeight="1" s="39">
      <c r="A165" s="85" t="n"/>
      <c r="B165" s="85" t="n"/>
      <c r="C165" s="85" t="n"/>
      <c r="D165" s="85" t="n"/>
      <c r="E165" s="85" t="n"/>
      <c r="F165" s="86" t="n"/>
      <c r="G165" s="86" t="n"/>
      <c r="H165" s="85" t="n"/>
      <c r="I165" s="85" t="n"/>
      <c r="J165" s="85" t="n"/>
      <c r="K165" s="85" t="n"/>
      <c r="L165" s="85" t="n"/>
      <c r="M165" s="85" t="n"/>
      <c r="N165" s="85" t="n"/>
      <c r="O165" s="85" t="n"/>
      <c r="P165" s="85" t="n"/>
      <c r="Q165" s="85" t="n"/>
      <c r="R165" s="85" t="n"/>
      <c r="S165" s="85">
        <f>IF($G165="","",TODAY()-$G165)</f>
        <v/>
      </c>
      <c r="T165" s="85">
        <f>IF($A165="","",IF(AND($E165="Yes",OR($O165="No",$O165="NOT FOUND")),"YES",""))</f>
        <v/>
      </c>
      <c r="U165" s="85">
        <f>IF($A165="","",TRIM(IF(AND($M165=0,$I165&lt;&gt;"Yes"),"T0-NoPhishResistant ","")&amp;IF($H165="No","NoMFA ","")&amp;IF(AND($E165="Yes",$G165=""),"NeverSignedIn ","")))</f>
        <v/>
      </c>
    </row>
    <row r="166" ht="15" customHeight="1" s="39">
      <c r="A166" s="85" t="n"/>
      <c r="B166" s="85" t="n"/>
      <c r="C166" s="85" t="n"/>
      <c r="D166" s="85" t="n"/>
      <c r="E166" s="85" t="n"/>
      <c r="F166" s="86" t="n"/>
      <c r="G166" s="86" t="n"/>
      <c r="H166" s="85" t="n"/>
      <c r="I166" s="85" t="n"/>
      <c r="J166" s="85" t="n"/>
      <c r="K166" s="85" t="n"/>
      <c r="L166" s="85" t="n"/>
      <c r="M166" s="85" t="n"/>
      <c r="N166" s="85" t="n"/>
      <c r="O166" s="85" t="n"/>
      <c r="P166" s="85" t="n"/>
      <c r="Q166" s="85" t="n"/>
      <c r="R166" s="85" t="n"/>
      <c r="S166" s="85">
        <f>IF($G166="","",TODAY()-$G166)</f>
        <v/>
      </c>
      <c r="T166" s="85">
        <f>IF($A166="","",IF(AND($E166="Yes",OR($O166="No",$O166="NOT FOUND")),"YES",""))</f>
        <v/>
      </c>
      <c r="U166" s="85">
        <f>IF($A166="","",TRIM(IF(AND($M166=0,$I166&lt;&gt;"Yes"),"T0-NoPhishResistant ","")&amp;IF($H166="No","NoMFA ","")&amp;IF(AND($E166="Yes",$G166=""),"NeverSignedIn ","")))</f>
        <v/>
      </c>
    </row>
    <row r="167" ht="15" customHeight="1" s="39">
      <c r="A167" s="85" t="n"/>
      <c r="B167" s="85" t="n"/>
      <c r="C167" s="85" t="n"/>
      <c r="D167" s="85" t="n"/>
      <c r="E167" s="85" t="n"/>
      <c r="F167" s="86" t="n"/>
      <c r="G167" s="86" t="n"/>
      <c r="H167" s="85" t="n"/>
      <c r="I167" s="85" t="n"/>
      <c r="J167" s="85" t="n"/>
      <c r="K167" s="85" t="n"/>
      <c r="L167" s="85" t="n"/>
      <c r="M167" s="85" t="n"/>
      <c r="N167" s="85" t="n"/>
      <c r="O167" s="85" t="n"/>
      <c r="P167" s="85" t="n"/>
      <c r="Q167" s="85" t="n"/>
      <c r="R167" s="85" t="n"/>
      <c r="S167" s="85">
        <f>IF($G167="","",TODAY()-$G167)</f>
        <v/>
      </c>
      <c r="T167" s="85">
        <f>IF($A167="","",IF(AND($E167="Yes",OR($O167="No",$O167="NOT FOUND")),"YES",""))</f>
        <v/>
      </c>
      <c r="U167" s="85">
        <f>IF($A167="","",TRIM(IF(AND($M167=0,$I167&lt;&gt;"Yes"),"T0-NoPhishResistant ","")&amp;IF($H167="No","NoMFA ","")&amp;IF(AND($E167="Yes",$G167=""),"NeverSignedIn ","")))</f>
        <v/>
      </c>
    </row>
    <row r="168" ht="15" customHeight="1" s="39">
      <c r="A168" s="85" t="n"/>
      <c r="B168" s="85" t="n"/>
      <c r="C168" s="85" t="n"/>
      <c r="D168" s="85" t="n"/>
      <c r="E168" s="85" t="n"/>
      <c r="F168" s="86" t="n"/>
      <c r="G168" s="86" t="n"/>
      <c r="H168" s="85" t="n"/>
      <c r="I168" s="85" t="n"/>
      <c r="J168" s="85" t="n"/>
      <c r="K168" s="85" t="n"/>
      <c r="L168" s="85" t="n"/>
      <c r="M168" s="85" t="n"/>
      <c r="N168" s="85" t="n"/>
      <c r="O168" s="85" t="n"/>
      <c r="P168" s="85" t="n"/>
      <c r="Q168" s="85" t="n"/>
      <c r="R168" s="85" t="n"/>
      <c r="S168" s="85">
        <f>IF($G168="","",TODAY()-$G168)</f>
        <v/>
      </c>
      <c r="T168" s="85">
        <f>IF($A168="","",IF(AND($E168="Yes",OR($O168="No",$O168="NOT FOUND")),"YES",""))</f>
        <v/>
      </c>
      <c r="U168" s="85">
        <f>IF($A168="","",TRIM(IF(AND($M168=0,$I168&lt;&gt;"Yes"),"T0-NoPhishResistant ","")&amp;IF($H168="No","NoMFA ","")&amp;IF(AND($E168="Yes",$G168=""),"NeverSignedIn ","")))</f>
        <v/>
      </c>
    </row>
    <row r="169" ht="15" customHeight="1" s="39">
      <c r="A169" s="85" t="n"/>
      <c r="B169" s="85" t="n"/>
      <c r="C169" s="85" t="n"/>
      <c r="D169" s="85" t="n"/>
      <c r="E169" s="85" t="n"/>
      <c r="F169" s="86" t="n"/>
      <c r="G169" s="86" t="n"/>
      <c r="H169" s="85" t="n"/>
      <c r="I169" s="85" t="n"/>
      <c r="J169" s="85" t="n"/>
      <c r="K169" s="85" t="n"/>
      <c r="L169" s="85" t="n"/>
      <c r="M169" s="85" t="n"/>
      <c r="N169" s="85" t="n"/>
      <c r="O169" s="85" t="n"/>
      <c r="P169" s="85" t="n"/>
      <c r="Q169" s="85" t="n"/>
      <c r="R169" s="85" t="n"/>
      <c r="S169" s="85">
        <f>IF($G169="","",TODAY()-$G169)</f>
        <v/>
      </c>
      <c r="T169" s="85">
        <f>IF($A169="","",IF(AND($E169="Yes",OR($O169="No",$O169="NOT FOUND")),"YES",""))</f>
        <v/>
      </c>
      <c r="U169" s="85">
        <f>IF($A169="","",TRIM(IF(AND($M169=0,$I169&lt;&gt;"Yes"),"T0-NoPhishResistant ","")&amp;IF($H169="No","NoMFA ","")&amp;IF(AND($E169="Yes",$G169=""),"NeverSignedIn ","")))</f>
        <v/>
      </c>
    </row>
    <row r="170" ht="15" customHeight="1" s="39">
      <c r="A170" s="85" t="n"/>
      <c r="B170" s="85" t="n"/>
      <c r="C170" s="85" t="n"/>
      <c r="D170" s="85" t="n"/>
      <c r="E170" s="85" t="n"/>
      <c r="F170" s="86" t="n"/>
      <c r="G170" s="86" t="n"/>
      <c r="H170" s="85" t="n"/>
      <c r="I170" s="85" t="n"/>
      <c r="J170" s="85" t="n"/>
      <c r="K170" s="85" t="n"/>
      <c r="L170" s="85" t="n"/>
      <c r="M170" s="85" t="n"/>
      <c r="N170" s="85" t="n"/>
      <c r="O170" s="85" t="n"/>
      <c r="P170" s="85" t="n"/>
      <c r="Q170" s="85" t="n"/>
      <c r="R170" s="85" t="n"/>
      <c r="S170" s="85">
        <f>IF($G170="","",TODAY()-$G170)</f>
        <v/>
      </c>
      <c r="T170" s="85">
        <f>IF($A170="","",IF(AND($E170="Yes",OR($O170="No",$O170="NOT FOUND")),"YES",""))</f>
        <v/>
      </c>
      <c r="U170" s="85">
        <f>IF($A170="","",TRIM(IF(AND($M170=0,$I170&lt;&gt;"Yes"),"T0-NoPhishResistant ","")&amp;IF($H170="No","NoMFA ","")&amp;IF(AND($E170="Yes",$G170=""),"NeverSignedIn ","")))</f>
        <v/>
      </c>
    </row>
    <row r="171" ht="15" customHeight="1" s="39">
      <c r="A171" s="85" t="n"/>
      <c r="B171" s="85" t="n"/>
      <c r="C171" s="85" t="n"/>
      <c r="D171" s="85" t="n"/>
      <c r="E171" s="85" t="n"/>
      <c r="F171" s="86" t="n"/>
      <c r="G171" s="86" t="n"/>
      <c r="H171" s="85" t="n"/>
      <c r="I171" s="85" t="n"/>
      <c r="J171" s="85" t="n"/>
      <c r="K171" s="85" t="n"/>
      <c r="L171" s="85" t="n"/>
      <c r="M171" s="85" t="n"/>
      <c r="N171" s="85" t="n"/>
      <c r="O171" s="85" t="n"/>
      <c r="P171" s="85" t="n"/>
      <c r="Q171" s="85" t="n"/>
      <c r="R171" s="85" t="n"/>
      <c r="S171" s="85">
        <f>IF($G171="","",TODAY()-$G171)</f>
        <v/>
      </c>
      <c r="T171" s="85">
        <f>IF($A171="","",IF(AND($E171="Yes",OR($O171="No",$O171="NOT FOUND")),"YES",""))</f>
        <v/>
      </c>
      <c r="U171" s="85">
        <f>IF($A171="","",TRIM(IF(AND($M171=0,$I171&lt;&gt;"Yes"),"T0-NoPhishResistant ","")&amp;IF($H171="No","NoMFA ","")&amp;IF(AND($E171="Yes",$G171=""),"NeverSignedIn ","")))</f>
        <v/>
      </c>
    </row>
    <row r="172" ht="15" customHeight="1" s="39">
      <c r="A172" s="85" t="n"/>
      <c r="B172" s="85" t="n"/>
      <c r="C172" s="85" t="n"/>
      <c r="D172" s="85" t="n"/>
      <c r="E172" s="85" t="n"/>
      <c r="F172" s="86" t="n"/>
      <c r="G172" s="86" t="n"/>
      <c r="H172" s="85" t="n"/>
      <c r="I172" s="85" t="n"/>
      <c r="J172" s="85" t="n"/>
      <c r="K172" s="85" t="n"/>
      <c r="L172" s="85" t="n"/>
      <c r="M172" s="85" t="n"/>
      <c r="N172" s="85" t="n"/>
      <c r="O172" s="85" t="n"/>
      <c r="P172" s="85" t="n"/>
      <c r="Q172" s="85" t="n"/>
      <c r="R172" s="85" t="n"/>
      <c r="S172" s="85">
        <f>IF($G172="","",TODAY()-$G172)</f>
        <v/>
      </c>
      <c r="T172" s="85">
        <f>IF($A172="","",IF(AND($E172="Yes",OR($O172="No",$O172="NOT FOUND")),"YES",""))</f>
        <v/>
      </c>
      <c r="U172" s="85">
        <f>IF($A172="","",TRIM(IF(AND($M172=0,$I172&lt;&gt;"Yes"),"T0-NoPhishResistant ","")&amp;IF($H172="No","NoMFA ","")&amp;IF(AND($E172="Yes",$G172=""),"NeverSignedIn ","")))</f>
        <v/>
      </c>
    </row>
    <row r="173" ht="15" customHeight="1" s="39">
      <c r="A173" s="85" t="n"/>
      <c r="B173" s="85" t="n"/>
      <c r="C173" s="85" t="n"/>
      <c r="D173" s="85" t="n"/>
      <c r="E173" s="85" t="n"/>
      <c r="F173" s="86" t="n"/>
      <c r="G173" s="86" t="n"/>
      <c r="H173" s="85" t="n"/>
      <c r="I173" s="85" t="n"/>
      <c r="J173" s="85" t="n"/>
      <c r="K173" s="85" t="n"/>
      <c r="L173" s="85" t="n"/>
      <c r="M173" s="85" t="n"/>
      <c r="N173" s="85" t="n"/>
      <c r="O173" s="85" t="n"/>
      <c r="P173" s="85" t="n"/>
      <c r="Q173" s="85" t="n"/>
      <c r="R173" s="85" t="n"/>
      <c r="S173" s="85">
        <f>IF($G173="","",TODAY()-$G173)</f>
        <v/>
      </c>
      <c r="T173" s="85">
        <f>IF($A173="","",IF(AND($E173="Yes",OR($O173="No",$O173="NOT FOUND")),"YES",""))</f>
        <v/>
      </c>
      <c r="U173" s="85">
        <f>IF($A173="","",TRIM(IF(AND($M173=0,$I173&lt;&gt;"Yes"),"T0-NoPhishResistant ","")&amp;IF($H173="No","NoMFA ","")&amp;IF(AND($E173="Yes",$G173=""),"NeverSignedIn ","")))</f>
        <v/>
      </c>
    </row>
    <row r="174" ht="15" customHeight="1" s="39">
      <c r="A174" s="85" t="n"/>
      <c r="B174" s="85" t="n"/>
      <c r="C174" s="85" t="n"/>
      <c r="D174" s="85" t="n"/>
      <c r="E174" s="85" t="n"/>
      <c r="F174" s="86" t="n"/>
      <c r="G174" s="86" t="n"/>
      <c r="H174" s="85" t="n"/>
      <c r="I174" s="85" t="n"/>
      <c r="J174" s="85" t="n"/>
      <c r="K174" s="85" t="n"/>
      <c r="L174" s="85" t="n"/>
      <c r="M174" s="85" t="n"/>
      <c r="N174" s="85" t="n"/>
      <c r="O174" s="85" t="n"/>
      <c r="P174" s="85" t="n"/>
      <c r="Q174" s="85" t="n"/>
      <c r="R174" s="85" t="n"/>
      <c r="S174" s="85">
        <f>IF($G174="","",TODAY()-$G174)</f>
        <v/>
      </c>
      <c r="T174" s="85">
        <f>IF($A174="","",IF(AND($E174="Yes",OR($O174="No",$O174="NOT FOUND")),"YES",""))</f>
        <v/>
      </c>
      <c r="U174" s="85">
        <f>IF($A174="","",TRIM(IF(AND($M174=0,$I174&lt;&gt;"Yes"),"T0-NoPhishResistant ","")&amp;IF($H174="No","NoMFA ","")&amp;IF(AND($E174="Yes",$G174=""),"NeverSignedIn ","")))</f>
        <v/>
      </c>
    </row>
    <row r="175" ht="15" customHeight="1" s="39">
      <c r="A175" s="85" t="n"/>
      <c r="B175" s="85" t="n"/>
      <c r="C175" s="85" t="n"/>
      <c r="D175" s="85" t="n"/>
      <c r="E175" s="85" t="n"/>
      <c r="F175" s="86" t="n"/>
      <c r="G175" s="86" t="n"/>
      <c r="H175" s="85" t="n"/>
      <c r="I175" s="85" t="n"/>
      <c r="J175" s="85" t="n"/>
      <c r="K175" s="85" t="n"/>
      <c r="L175" s="85" t="n"/>
      <c r="M175" s="85" t="n"/>
      <c r="N175" s="85" t="n"/>
      <c r="O175" s="85" t="n"/>
      <c r="P175" s="85" t="n"/>
      <c r="Q175" s="85" t="n"/>
      <c r="R175" s="85" t="n"/>
      <c r="S175" s="85">
        <f>IF($G175="","",TODAY()-$G175)</f>
        <v/>
      </c>
      <c r="T175" s="85">
        <f>IF($A175="","",IF(AND($E175="Yes",OR($O175="No",$O175="NOT FOUND")),"YES",""))</f>
        <v/>
      </c>
      <c r="U175" s="85">
        <f>IF($A175="","",TRIM(IF(AND($M175=0,$I175&lt;&gt;"Yes"),"T0-NoPhishResistant ","")&amp;IF($H175="No","NoMFA ","")&amp;IF(AND($E175="Yes",$G175=""),"NeverSignedIn ","")))</f>
        <v/>
      </c>
    </row>
    <row r="176" ht="15" customHeight="1" s="39">
      <c r="A176" s="85" t="n"/>
      <c r="B176" s="85" t="n"/>
      <c r="C176" s="85" t="n"/>
      <c r="D176" s="85" t="n"/>
      <c r="E176" s="85" t="n"/>
      <c r="F176" s="86" t="n"/>
      <c r="G176" s="86" t="n"/>
      <c r="H176" s="85" t="n"/>
      <c r="I176" s="85" t="n"/>
      <c r="J176" s="85" t="n"/>
      <c r="K176" s="85" t="n"/>
      <c r="L176" s="85" t="n"/>
      <c r="M176" s="85" t="n"/>
      <c r="N176" s="85" t="n"/>
      <c r="O176" s="85" t="n"/>
      <c r="P176" s="85" t="n"/>
      <c r="Q176" s="85" t="n"/>
      <c r="R176" s="85" t="n"/>
      <c r="S176" s="85">
        <f>IF($G176="","",TODAY()-$G176)</f>
        <v/>
      </c>
      <c r="T176" s="85">
        <f>IF($A176="","",IF(AND($E176="Yes",OR($O176="No",$O176="NOT FOUND")),"YES",""))</f>
        <v/>
      </c>
      <c r="U176" s="85">
        <f>IF($A176="","",TRIM(IF(AND($M176=0,$I176&lt;&gt;"Yes"),"T0-NoPhishResistant ","")&amp;IF($H176="No","NoMFA ","")&amp;IF(AND($E176="Yes",$G176=""),"NeverSignedIn ","")))</f>
        <v/>
      </c>
    </row>
    <row r="177" ht="15" customHeight="1" s="39">
      <c r="A177" s="85" t="n"/>
      <c r="B177" s="85" t="n"/>
      <c r="C177" s="85" t="n"/>
      <c r="D177" s="85" t="n"/>
      <c r="E177" s="85" t="n"/>
      <c r="F177" s="86" t="n"/>
      <c r="G177" s="86" t="n"/>
      <c r="H177" s="85" t="n"/>
      <c r="I177" s="85" t="n"/>
      <c r="J177" s="85" t="n"/>
      <c r="K177" s="85" t="n"/>
      <c r="L177" s="85" t="n"/>
      <c r="M177" s="85" t="n"/>
      <c r="N177" s="85" t="n"/>
      <c r="O177" s="85" t="n"/>
      <c r="P177" s="85" t="n"/>
      <c r="Q177" s="85" t="n"/>
      <c r="R177" s="85" t="n"/>
      <c r="S177" s="85">
        <f>IF($G177="","",TODAY()-$G177)</f>
        <v/>
      </c>
      <c r="T177" s="85">
        <f>IF($A177="","",IF(AND($E177="Yes",OR($O177="No",$O177="NOT FOUND")),"YES",""))</f>
        <v/>
      </c>
      <c r="U177" s="85">
        <f>IF($A177="","",TRIM(IF(AND($M177=0,$I177&lt;&gt;"Yes"),"T0-NoPhishResistant ","")&amp;IF($H177="No","NoMFA ","")&amp;IF(AND($E177="Yes",$G177=""),"NeverSignedIn ","")))</f>
        <v/>
      </c>
    </row>
    <row r="178" ht="15" customHeight="1" s="39">
      <c r="A178" s="85" t="n"/>
      <c r="B178" s="85" t="n"/>
      <c r="C178" s="85" t="n"/>
      <c r="D178" s="85" t="n"/>
      <c r="E178" s="85" t="n"/>
      <c r="F178" s="86" t="n"/>
      <c r="G178" s="86" t="n"/>
      <c r="H178" s="85" t="n"/>
      <c r="I178" s="85" t="n"/>
      <c r="J178" s="85" t="n"/>
      <c r="K178" s="85" t="n"/>
      <c r="L178" s="85" t="n"/>
      <c r="M178" s="85" t="n"/>
      <c r="N178" s="85" t="n"/>
      <c r="O178" s="85" t="n"/>
      <c r="P178" s="85" t="n"/>
      <c r="Q178" s="85" t="n"/>
      <c r="R178" s="85" t="n"/>
      <c r="S178" s="85">
        <f>IF($G178="","",TODAY()-$G178)</f>
        <v/>
      </c>
      <c r="T178" s="85">
        <f>IF($A178="","",IF(AND($E178="Yes",OR($O178="No",$O178="NOT FOUND")),"YES",""))</f>
        <v/>
      </c>
      <c r="U178" s="85">
        <f>IF($A178="","",TRIM(IF(AND($M178=0,$I178&lt;&gt;"Yes"),"T0-NoPhishResistant ","")&amp;IF($H178="No","NoMFA ","")&amp;IF(AND($E178="Yes",$G178=""),"NeverSignedIn ","")))</f>
        <v/>
      </c>
    </row>
    <row r="179" ht="15" customHeight="1" s="39">
      <c r="A179" s="85" t="n"/>
      <c r="B179" s="85" t="n"/>
      <c r="C179" s="85" t="n"/>
      <c r="D179" s="85" t="n"/>
      <c r="E179" s="85" t="n"/>
      <c r="F179" s="86" t="n"/>
      <c r="G179" s="86" t="n"/>
      <c r="H179" s="85" t="n"/>
      <c r="I179" s="85" t="n"/>
      <c r="J179" s="85" t="n"/>
      <c r="K179" s="85" t="n"/>
      <c r="L179" s="85" t="n"/>
      <c r="M179" s="85" t="n"/>
      <c r="N179" s="85" t="n"/>
      <c r="O179" s="85" t="n"/>
      <c r="P179" s="85" t="n"/>
      <c r="Q179" s="85" t="n"/>
      <c r="R179" s="85" t="n"/>
      <c r="S179" s="85">
        <f>IF($G179="","",TODAY()-$G179)</f>
        <v/>
      </c>
      <c r="T179" s="85">
        <f>IF($A179="","",IF(AND($E179="Yes",OR($O179="No",$O179="NOT FOUND")),"YES",""))</f>
        <v/>
      </c>
      <c r="U179" s="85">
        <f>IF($A179="","",TRIM(IF(AND($M179=0,$I179&lt;&gt;"Yes"),"T0-NoPhishResistant ","")&amp;IF($H179="No","NoMFA ","")&amp;IF(AND($E179="Yes",$G179=""),"NeverSignedIn ","")))</f>
        <v/>
      </c>
    </row>
    <row r="180" ht="15" customHeight="1" s="39">
      <c r="A180" s="85" t="n"/>
      <c r="B180" s="85" t="n"/>
      <c r="C180" s="85" t="n"/>
      <c r="D180" s="85" t="n"/>
      <c r="E180" s="85" t="n"/>
      <c r="F180" s="86" t="n"/>
      <c r="G180" s="86" t="n"/>
      <c r="H180" s="85" t="n"/>
      <c r="I180" s="85" t="n"/>
      <c r="J180" s="85" t="n"/>
      <c r="K180" s="85" t="n"/>
      <c r="L180" s="85" t="n"/>
      <c r="M180" s="85" t="n"/>
      <c r="N180" s="85" t="n"/>
      <c r="O180" s="85" t="n"/>
      <c r="P180" s="85" t="n"/>
      <c r="Q180" s="85" t="n"/>
      <c r="R180" s="85" t="n"/>
      <c r="S180" s="85">
        <f>IF($G180="","",TODAY()-$G180)</f>
        <v/>
      </c>
      <c r="T180" s="85">
        <f>IF($A180="","",IF(AND($E180="Yes",OR($O180="No",$O180="NOT FOUND")),"YES",""))</f>
        <v/>
      </c>
      <c r="U180" s="85">
        <f>IF($A180="","",TRIM(IF(AND($M180=0,$I180&lt;&gt;"Yes"),"T0-NoPhishResistant ","")&amp;IF($H180="No","NoMFA ","")&amp;IF(AND($E180="Yes",$G180=""),"NeverSignedIn ","")))</f>
        <v/>
      </c>
    </row>
    <row r="181" ht="15" customHeight="1" s="39">
      <c r="A181" s="85" t="n"/>
      <c r="B181" s="85" t="n"/>
      <c r="C181" s="85" t="n"/>
      <c r="D181" s="85" t="n"/>
      <c r="E181" s="85" t="n"/>
      <c r="F181" s="86" t="n"/>
      <c r="G181" s="86" t="n"/>
      <c r="H181" s="85" t="n"/>
      <c r="I181" s="85" t="n"/>
      <c r="J181" s="85" t="n"/>
      <c r="K181" s="85" t="n"/>
      <c r="L181" s="85" t="n"/>
      <c r="M181" s="85" t="n"/>
      <c r="N181" s="85" t="n"/>
      <c r="O181" s="85" t="n"/>
      <c r="P181" s="85" t="n"/>
      <c r="Q181" s="85" t="n"/>
      <c r="R181" s="85" t="n"/>
      <c r="S181" s="85">
        <f>IF($G181="","",TODAY()-$G181)</f>
        <v/>
      </c>
      <c r="T181" s="85">
        <f>IF($A181="","",IF(AND($E181="Yes",OR($O181="No",$O181="NOT FOUND")),"YES",""))</f>
        <v/>
      </c>
      <c r="U181" s="85">
        <f>IF($A181="","",TRIM(IF(AND($M181=0,$I181&lt;&gt;"Yes"),"T0-NoPhishResistant ","")&amp;IF($H181="No","NoMFA ","")&amp;IF(AND($E181="Yes",$G181=""),"NeverSignedIn ","")))</f>
        <v/>
      </c>
    </row>
    <row r="182" ht="15" customHeight="1" s="39">
      <c r="A182" s="85" t="n"/>
      <c r="B182" s="85" t="n"/>
      <c r="C182" s="85" t="n"/>
      <c r="D182" s="85" t="n"/>
      <c r="E182" s="85" t="n"/>
      <c r="F182" s="86" t="n"/>
      <c r="G182" s="86" t="n"/>
      <c r="H182" s="85" t="n"/>
      <c r="I182" s="85" t="n"/>
      <c r="J182" s="85" t="n"/>
      <c r="K182" s="85" t="n"/>
      <c r="L182" s="85" t="n"/>
      <c r="M182" s="85" t="n"/>
      <c r="N182" s="85" t="n"/>
      <c r="O182" s="85" t="n"/>
      <c r="P182" s="85" t="n"/>
      <c r="Q182" s="85" t="n"/>
      <c r="R182" s="85" t="n"/>
      <c r="S182" s="85">
        <f>IF($G182="","",TODAY()-$G182)</f>
        <v/>
      </c>
      <c r="T182" s="85">
        <f>IF($A182="","",IF(AND($E182="Yes",OR($O182="No",$O182="NOT FOUND")),"YES",""))</f>
        <v/>
      </c>
      <c r="U182" s="85">
        <f>IF($A182="","",TRIM(IF(AND($M182=0,$I182&lt;&gt;"Yes"),"T0-NoPhishResistant ","")&amp;IF($H182="No","NoMFA ","")&amp;IF(AND($E182="Yes",$G182=""),"NeverSignedIn ","")))</f>
        <v/>
      </c>
    </row>
    <row r="183" ht="15" customHeight="1" s="39">
      <c r="A183" s="85" t="n"/>
      <c r="B183" s="85" t="n"/>
      <c r="C183" s="85" t="n"/>
      <c r="D183" s="85" t="n"/>
      <c r="E183" s="85" t="n"/>
      <c r="F183" s="86" t="n"/>
      <c r="G183" s="86" t="n"/>
      <c r="H183" s="85" t="n"/>
      <c r="I183" s="85" t="n"/>
      <c r="J183" s="85" t="n"/>
      <c r="K183" s="85" t="n"/>
      <c r="L183" s="85" t="n"/>
      <c r="M183" s="85" t="n"/>
      <c r="N183" s="85" t="n"/>
      <c r="O183" s="85" t="n"/>
      <c r="P183" s="85" t="n"/>
      <c r="Q183" s="85" t="n"/>
      <c r="R183" s="85" t="n"/>
      <c r="S183" s="85">
        <f>IF($G183="","",TODAY()-$G183)</f>
        <v/>
      </c>
      <c r="T183" s="85">
        <f>IF($A183="","",IF(AND($E183="Yes",OR($O183="No",$O183="NOT FOUND")),"YES",""))</f>
        <v/>
      </c>
      <c r="U183" s="85">
        <f>IF($A183="","",TRIM(IF(AND($M183=0,$I183&lt;&gt;"Yes"),"T0-NoPhishResistant ","")&amp;IF($H183="No","NoMFA ","")&amp;IF(AND($E183="Yes",$G183=""),"NeverSignedIn ","")))</f>
        <v/>
      </c>
    </row>
    <row r="184" ht="15" customHeight="1" s="39">
      <c r="A184" s="85" t="n"/>
      <c r="B184" s="85" t="n"/>
      <c r="C184" s="85" t="n"/>
      <c r="D184" s="85" t="n"/>
      <c r="E184" s="85" t="n"/>
      <c r="F184" s="86" t="n"/>
      <c r="G184" s="86" t="n"/>
      <c r="H184" s="85" t="n"/>
      <c r="I184" s="85" t="n"/>
      <c r="J184" s="85" t="n"/>
      <c r="K184" s="85" t="n"/>
      <c r="L184" s="85" t="n"/>
      <c r="M184" s="85" t="n"/>
      <c r="N184" s="85" t="n"/>
      <c r="O184" s="85" t="n"/>
      <c r="P184" s="85" t="n"/>
      <c r="Q184" s="85" t="n"/>
      <c r="R184" s="85" t="n"/>
      <c r="S184" s="85">
        <f>IF($G184="","",TODAY()-$G184)</f>
        <v/>
      </c>
      <c r="T184" s="85">
        <f>IF($A184="","",IF(AND($E184="Yes",OR($O184="No",$O184="NOT FOUND")),"YES",""))</f>
        <v/>
      </c>
      <c r="U184" s="85">
        <f>IF($A184="","",TRIM(IF(AND($M184=0,$I184&lt;&gt;"Yes"),"T0-NoPhishResistant ","")&amp;IF($H184="No","NoMFA ","")&amp;IF(AND($E184="Yes",$G184=""),"NeverSignedIn ","")))</f>
        <v/>
      </c>
    </row>
    <row r="185" ht="15" customHeight="1" s="39">
      <c r="A185" s="85" t="n"/>
      <c r="B185" s="85" t="n"/>
      <c r="C185" s="85" t="n"/>
      <c r="D185" s="85" t="n"/>
      <c r="E185" s="85" t="n"/>
      <c r="F185" s="86" t="n"/>
      <c r="G185" s="86" t="n"/>
      <c r="H185" s="85" t="n"/>
      <c r="I185" s="85" t="n"/>
      <c r="J185" s="85" t="n"/>
      <c r="K185" s="85" t="n"/>
      <c r="L185" s="85" t="n"/>
      <c r="M185" s="85" t="n"/>
      <c r="N185" s="85" t="n"/>
      <c r="O185" s="85" t="n"/>
      <c r="P185" s="85" t="n"/>
      <c r="Q185" s="85" t="n"/>
      <c r="R185" s="85" t="n"/>
      <c r="S185" s="85">
        <f>IF($G185="","",TODAY()-$G185)</f>
        <v/>
      </c>
      <c r="T185" s="85">
        <f>IF($A185="","",IF(AND($E185="Yes",OR($O185="No",$O185="NOT FOUND")),"YES",""))</f>
        <v/>
      </c>
      <c r="U185" s="85">
        <f>IF($A185="","",TRIM(IF(AND($M185=0,$I185&lt;&gt;"Yes"),"T0-NoPhishResistant ","")&amp;IF($H185="No","NoMFA ","")&amp;IF(AND($E185="Yes",$G185=""),"NeverSignedIn ","")))</f>
        <v/>
      </c>
    </row>
    <row r="186" ht="15" customHeight="1" s="39">
      <c r="A186" s="85" t="n"/>
      <c r="B186" s="85" t="n"/>
      <c r="C186" s="85" t="n"/>
      <c r="D186" s="85" t="n"/>
      <c r="E186" s="85" t="n"/>
      <c r="F186" s="86" t="n"/>
      <c r="G186" s="86" t="n"/>
      <c r="H186" s="85" t="n"/>
      <c r="I186" s="85" t="n"/>
      <c r="J186" s="85" t="n"/>
      <c r="K186" s="85" t="n"/>
      <c r="L186" s="85" t="n"/>
      <c r="M186" s="85" t="n"/>
      <c r="N186" s="85" t="n"/>
      <c r="O186" s="85" t="n"/>
      <c r="P186" s="85" t="n"/>
      <c r="Q186" s="85" t="n"/>
      <c r="R186" s="85" t="n"/>
      <c r="S186" s="85">
        <f>IF($G186="","",TODAY()-$G186)</f>
        <v/>
      </c>
      <c r="T186" s="85">
        <f>IF($A186="","",IF(AND($E186="Yes",OR($O186="No",$O186="NOT FOUND")),"YES",""))</f>
        <v/>
      </c>
      <c r="U186" s="85">
        <f>IF($A186="","",TRIM(IF(AND($M186=0,$I186&lt;&gt;"Yes"),"T0-NoPhishResistant ","")&amp;IF($H186="No","NoMFA ","")&amp;IF(AND($E186="Yes",$G186=""),"NeverSignedIn ","")))</f>
        <v/>
      </c>
    </row>
    <row r="187" ht="15" customHeight="1" s="39">
      <c r="A187" s="85" t="n"/>
      <c r="B187" s="85" t="n"/>
      <c r="C187" s="85" t="n"/>
      <c r="D187" s="85" t="n"/>
      <c r="E187" s="85" t="n"/>
      <c r="F187" s="86" t="n"/>
      <c r="G187" s="86" t="n"/>
      <c r="H187" s="85" t="n"/>
      <c r="I187" s="85" t="n"/>
      <c r="J187" s="85" t="n"/>
      <c r="K187" s="85" t="n"/>
      <c r="L187" s="85" t="n"/>
      <c r="M187" s="85" t="n"/>
      <c r="N187" s="85" t="n"/>
      <c r="O187" s="85" t="n"/>
      <c r="P187" s="85" t="n"/>
      <c r="Q187" s="85" t="n"/>
      <c r="R187" s="85" t="n"/>
      <c r="S187" s="85">
        <f>IF($G187="","",TODAY()-$G187)</f>
        <v/>
      </c>
      <c r="T187" s="85">
        <f>IF($A187="","",IF(AND($E187="Yes",OR($O187="No",$O187="NOT FOUND")),"YES",""))</f>
        <v/>
      </c>
      <c r="U187" s="85">
        <f>IF($A187="","",TRIM(IF(AND($M187=0,$I187&lt;&gt;"Yes"),"T0-NoPhishResistant ","")&amp;IF($H187="No","NoMFA ","")&amp;IF(AND($E187="Yes",$G187=""),"NeverSignedIn ","")))</f>
        <v/>
      </c>
    </row>
    <row r="188" ht="15" customHeight="1" s="39">
      <c r="A188" s="85" t="n"/>
      <c r="B188" s="85" t="n"/>
      <c r="C188" s="85" t="n"/>
      <c r="D188" s="85" t="n"/>
      <c r="E188" s="85" t="n"/>
      <c r="F188" s="86" t="n"/>
      <c r="G188" s="86" t="n"/>
      <c r="H188" s="85" t="n"/>
      <c r="I188" s="85" t="n"/>
      <c r="J188" s="85" t="n"/>
      <c r="K188" s="85" t="n"/>
      <c r="L188" s="85" t="n"/>
      <c r="M188" s="85" t="n"/>
      <c r="N188" s="85" t="n"/>
      <c r="O188" s="85" t="n"/>
      <c r="P188" s="85" t="n"/>
      <c r="Q188" s="85" t="n"/>
      <c r="R188" s="85" t="n"/>
      <c r="S188" s="85">
        <f>IF($G188="","",TODAY()-$G188)</f>
        <v/>
      </c>
      <c r="T188" s="85">
        <f>IF($A188="","",IF(AND($E188="Yes",OR($O188="No",$O188="NOT FOUND")),"YES",""))</f>
        <v/>
      </c>
      <c r="U188" s="85">
        <f>IF($A188="","",TRIM(IF(AND($M188=0,$I188&lt;&gt;"Yes"),"T0-NoPhishResistant ","")&amp;IF($H188="No","NoMFA ","")&amp;IF(AND($E188="Yes",$G188=""),"NeverSignedIn ","")))</f>
        <v/>
      </c>
    </row>
    <row r="189" ht="15" customHeight="1" s="39">
      <c r="A189" s="85" t="n"/>
      <c r="B189" s="85" t="n"/>
      <c r="C189" s="85" t="n"/>
      <c r="D189" s="85" t="n"/>
      <c r="E189" s="85" t="n"/>
      <c r="F189" s="86" t="n"/>
      <c r="G189" s="86" t="n"/>
      <c r="H189" s="85" t="n"/>
      <c r="I189" s="85" t="n"/>
      <c r="J189" s="85" t="n"/>
      <c r="K189" s="85" t="n"/>
      <c r="L189" s="85" t="n"/>
      <c r="M189" s="85" t="n"/>
      <c r="N189" s="85" t="n"/>
      <c r="O189" s="85" t="n"/>
      <c r="P189" s="85" t="n"/>
      <c r="Q189" s="85" t="n"/>
      <c r="R189" s="85" t="n"/>
      <c r="S189" s="85">
        <f>IF($G189="","",TODAY()-$G189)</f>
        <v/>
      </c>
      <c r="T189" s="85">
        <f>IF($A189="","",IF(AND($E189="Yes",OR($O189="No",$O189="NOT FOUND")),"YES",""))</f>
        <v/>
      </c>
      <c r="U189" s="85">
        <f>IF($A189="","",TRIM(IF(AND($M189=0,$I189&lt;&gt;"Yes"),"T0-NoPhishResistant ","")&amp;IF($H189="No","NoMFA ","")&amp;IF(AND($E189="Yes",$G189=""),"NeverSignedIn ","")))</f>
        <v/>
      </c>
    </row>
    <row r="190" ht="15" customHeight="1" s="39">
      <c r="A190" s="85" t="n"/>
      <c r="B190" s="85" t="n"/>
      <c r="C190" s="85" t="n"/>
      <c r="D190" s="85" t="n"/>
      <c r="E190" s="85" t="n"/>
      <c r="F190" s="86" t="n"/>
      <c r="G190" s="86" t="n"/>
      <c r="H190" s="85" t="n"/>
      <c r="I190" s="85" t="n"/>
      <c r="J190" s="85" t="n"/>
      <c r="K190" s="85" t="n"/>
      <c r="L190" s="85" t="n"/>
      <c r="M190" s="85" t="n"/>
      <c r="N190" s="85" t="n"/>
      <c r="O190" s="85" t="n"/>
      <c r="P190" s="85" t="n"/>
      <c r="Q190" s="85" t="n"/>
      <c r="R190" s="85" t="n"/>
      <c r="S190" s="85">
        <f>IF($G190="","",TODAY()-$G190)</f>
        <v/>
      </c>
      <c r="T190" s="85">
        <f>IF($A190="","",IF(AND($E190="Yes",OR($O190="No",$O190="NOT FOUND")),"YES",""))</f>
        <v/>
      </c>
      <c r="U190" s="85">
        <f>IF($A190="","",TRIM(IF(AND($M190=0,$I190&lt;&gt;"Yes"),"T0-NoPhishResistant ","")&amp;IF($H190="No","NoMFA ","")&amp;IF(AND($E190="Yes",$G190=""),"NeverSignedIn ","")))</f>
        <v/>
      </c>
    </row>
    <row r="191" ht="15" customHeight="1" s="39">
      <c r="A191" s="85" t="n"/>
      <c r="B191" s="85" t="n"/>
      <c r="C191" s="85" t="n"/>
      <c r="D191" s="85" t="n"/>
      <c r="E191" s="85" t="n"/>
      <c r="F191" s="86" t="n"/>
      <c r="G191" s="86" t="n"/>
      <c r="H191" s="85" t="n"/>
      <c r="I191" s="85" t="n"/>
      <c r="J191" s="85" t="n"/>
      <c r="K191" s="85" t="n"/>
      <c r="L191" s="85" t="n"/>
      <c r="M191" s="85" t="n"/>
      <c r="N191" s="85" t="n"/>
      <c r="O191" s="85" t="n"/>
      <c r="P191" s="85" t="n"/>
      <c r="Q191" s="85" t="n"/>
      <c r="R191" s="85" t="n"/>
      <c r="S191" s="85">
        <f>IF($G191="","",TODAY()-$G191)</f>
        <v/>
      </c>
      <c r="T191" s="85">
        <f>IF($A191="","",IF(AND($E191="Yes",OR($O191="No",$O191="NOT FOUND")),"YES",""))</f>
        <v/>
      </c>
      <c r="U191" s="85">
        <f>IF($A191="","",TRIM(IF(AND($M191=0,$I191&lt;&gt;"Yes"),"T0-NoPhishResistant ","")&amp;IF($H191="No","NoMFA ","")&amp;IF(AND($E191="Yes",$G191=""),"NeverSignedIn ","")))</f>
        <v/>
      </c>
    </row>
    <row r="192" ht="15" customHeight="1" s="39">
      <c r="A192" s="85" t="n"/>
      <c r="B192" s="85" t="n"/>
      <c r="C192" s="85" t="n"/>
      <c r="D192" s="85" t="n"/>
      <c r="E192" s="85" t="n"/>
      <c r="F192" s="86" t="n"/>
      <c r="G192" s="86" t="n"/>
      <c r="H192" s="85" t="n"/>
      <c r="I192" s="85" t="n"/>
      <c r="J192" s="85" t="n"/>
      <c r="K192" s="85" t="n"/>
      <c r="L192" s="85" t="n"/>
      <c r="M192" s="85" t="n"/>
      <c r="N192" s="85" t="n"/>
      <c r="O192" s="85" t="n"/>
      <c r="P192" s="85" t="n"/>
      <c r="Q192" s="85" t="n"/>
      <c r="R192" s="85" t="n"/>
      <c r="S192" s="85">
        <f>IF($G192="","",TODAY()-$G192)</f>
        <v/>
      </c>
      <c r="T192" s="85">
        <f>IF($A192="","",IF(AND($E192="Yes",OR($O192="No",$O192="NOT FOUND")),"YES",""))</f>
        <v/>
      </c>
      <c r="U192" s="85">
        <f>IF($A192="","",TRIM(IF(AND($M192=0,$I192&lt;&gt;"Yes"),"T0-NoPhishResistant ","")&amp;IF($H192="No","NoMFA ","")&amp;IF(AND($E192="Yes",$G192=""),"NeverSignedIn ","")))</f>
        <v/>
      </c>
    </row>
    <row r="193" ht="15" customHeight="1" s="39">
      <c r="A193" s="85" t="n"/>
      <c r="B193" s="85" t="n"/>
      <c r="C193" s="85" t="n"/>
      <c r="D193" s="85" t="n"/>
      <c r="E193" s="85" t="n"/>
      <c r="F193" s="86" t="n"/>
      <c r="G193" s="86" t="n"/>
      <c r="H193" s="85" t="n"/>
      <c r="I193" s="85" t="n"/>
      <c r="J193" s="85" t="n"/>
      <c r="K193" s="85" t="n"/>
      <c r="L193" s="85" t="n"/>
      <c r="M193" s="85" t="n"/>
      <c r="N193" s="85" t="n"/>
      <c r="O193" s="85" t="n"/>
      <c r="P193" s="85" t="n"/>
      <c r="Q193" s="85" t="n"/>
      <c r="R193" s="85" t="n"/>
      <c r="S193" s="85">
        <f>IF($G193="","",TODAY()-$G193)</f>
        <v/>
      </c>
      <c r="T193" s="85">
        <f>IF($A193="","",IF(AND($E193="Yes",OR($O193="No",$O193="NOT FOUND")),"YES",""))</f>
        <v/>
      </c>
      <c r="U193" s="85">
        <f>IF($A193="","",TRIM(IF(AND($M193=0,$I193&lt;&gt;"Yes"),"T0-NoPhishResistant ","")&amp;IF($H193="No","NoMFA ","")&amp;IF(AND($E193="Yes",$G193=""),"NeverSignedIn ","")))</f>
        <v/>
      </c>
    </row>
    <row r="194" ht="15" customHeight="1" s="39">
      <c r="A194" s="85" t="n"/>
      <c r="B194" s="85" t="n"/>
      <c r="C194" s="85" t="n"/>
      <c r="D194" s="85" t="n"/>
      <c r="E194" s="85" t="n"/>
      <c r="F194" s="86" t="n"/>
      <c r="G194" s="86" t="n"/>
      <c r="H194" s="85" t="n"/>
      <c r="I194" s="85" t="n"/>
      <c r="J194" s="85" t="n"/>
      <c r="K194" s="85" t="n"/>
      <c r="L194" s="85" t="n"/>
      <c r="M194" s="85" t="n"/>
      <c r="N194" s="85" t="n"/>
      <c r="O194" s="85" t="n"/>
      <c r="P194" s="85" t="n"/>
      <c r="Q194" s="85" t="n"/>
      <c r="R194" s="85" t="n"/>
      <c r="S194" s="85">
        <f>IF($G194="","",TODAY()-$G194)</f>
        <v/>
      </c>
      <c r="T194" s="85">
        <f>IF($A194="","",IF(AND($E194="Yes",OR($O194="No",$O194="NOT FOUND")),"YES",""))</f>
        <v/>
      </c>
      <c r="U194" s="85">
        <f>IF($A194="","",TRIM(IF(AND($M194=0,$I194&lt;&gt;"Yes"),"T0-NoPhishResistant ","")&amp;IF($H194="No","NoMFA ","")&amp;IF(AND($E194="Yes",$G194=""),"NeverSignedIn ","")))</f>
        <v/>
      </c>
    </row>
    <row r="195" ht="15" customHeight="1" s="39">
      <c r="A195" s="85" t="n"/>
      <c r="B195" s="85" t="n"/>
      <c r="C195" s="85" t="n"/>
      <c r="D195" s="85" t="n"/>
      <c r="E195" s="85" t="n"/>
      <c r="F195" s="86" t="n"/>
      <c r="G195" s="86" t="n"/>
      <c r="H195" s="85" t="n"/>
      <c r="I195" s="85" t="n"/>
      <c r="J195" s="85" t="n"/>
      <c r="K195" s="85" t="n"/>
      <c r="L195" s="85" t="n"/>
      <c r="M195" s="85" t="n"/>
      <c r="N195" s="85" t="n"/>
      <c r="O195" s="85" t="n"/>
      <c r="P195" s="85" t="n"/>
      <c r="Q195" s="85" t="n"/>
      <c r="R195" s="85" t="n"/>
      <c r="S195" s="85">
        <f>IF($G195="","",TODAY()-$G195)</f>
        <v/>
      </c>
      <c r="T195" s="85">
        <f>IF($A195="","",IF(AND($E195="Yes",OR($O195="No",$O195="NOT FOUND")),"YES",""))</f>
        <v/>
      </c>
      <c r="U195" s="85">
        <f>IF($A195="","",TRIM(IF(AND($M195=0,$I195&lt;&gt;"Yes"),"T0-NoPhishResistant ","")&amp;IF($H195="No","NoMFA ","")&amp;IF(AND($E195="Yes",$G195=""),"NeverSignedIn ","")))</f>
        <v/>
      </c>
    </row>
    <row r="196" ht="15" customHeight="1" s="39">
      <c r="A196" s="85" t="n"/>
      <c r="B196" s="85" t="n"/>
      <c r="C196" s="85" t="n"/>
      <c r="D196" s="85" t="n"/>
      <c r="E196" s="85" t="n"/>
      <c r="F196" s="86" t="n"/>
      <c r="G196" s="86" t="n"/>
      <c r="H196" s="85" t="n"/>
      <c r="I196" s="85" t="n"/>
      <c r="J196" s="85" t="n"/>
      <c r="K196" s="85" t="n"/>
      <c r="L196" s="85" t="n"/>
      <c r="M196" s="85" t="n"/>
      <c r="N196" s="85" t="n"/>
      <c r="O196" s="85" t="n"/>
      <c r="P196" s="85" t="n"/>
      <c r="Q196" s="85" t="n"/>
      <c r="R196" s="85" t="n"/>
      <c r="S196" s="85">
        <f>IF($G196="","",TODAY()-$G196)</f>
        <v/>
      </c>
      <c r="T196" s="85">
        <f>IF($A196="","",IF(AND($E196="Yes",OR($O196="No",$O196="NOT FOUND")),"YES",""))</f>
        <v/>
      </c>
      <c r="U196" s="85">
        <f>IF($A196="","",TRIM(IF(AND($M196=0,$I196&lt;&gt;"Yes"),"T0-NoPhishResistant ","")&amp;IF($H196="No","NoMFA ","")&amp;IF(AND($E196="Yes",$G196=""),"NeverSignedIn ","")))</f>
        <v/>
      </c>
    </row>
    <row r="197" ht="15" customHeight="1" s="39">
      <c r="A197" s="85" t="n"/>
      <c r="B197" s="85" t="n"/>
      <c r="C197" s="85" t="n"/>
      <c r="D197" s="85" t="n"/>
      <c r="E197" s="85" t="n"/>
      <c r="F197" s="86" t="n"/>
      <c r="G197" s="86" t="n"/>
      <c r="H197" s="85" t="n"/>
      <c r="I197" s="85" t="n"/>
      <c r="J197" s="85" t="n"/>
      <c r="K197" s="85" t="n"/>
      <c r="L197" s="85" t="n"/>
      <c r="M197" s="85" t="n"/>
      <c r="N197" s="85" t="n"/>
      <c r="O197" s="85" t="n"/>
      <c r="P197" s="85" t="n"/>
      <c r="Q197" s="85" t="n"/>
      <c r="R197" s="85" t="n"/>
      <c r="S197" s="85">
        <f>IF($G197="","",TODAY()-$G197)</f>
        <v/>
      </c>
      <c r="T197" s="85">
        <f>IF($A197="","",IF(AND($E197="Yes",OR($O197="No",$O197="NOT FOUND")),"YES",""))</f>
        <v/>
      </c>
      <c r="U197" s="85">
        <f>IF($A197="","",TRIM(IF(AND($M197=0,$I197&lt;&gt;"Yes"),"T0-NoPhishResistant ","")&amp;IF($H197="No","NoMFA ","")&amp;IF(AND($E197="Yes",$G197=""),"NeverSignedIn ","")))</f>
        <v/>
      </c>
    </row>
    <row r="198" ht="15" customHeight="1" s="39">
      <c r="A198" s="85" t="n"/>
      <c r="B198" s="85" t="n"/>
      <c r="C198" s="85" t="n"/>
      <c r="D198" s="85" t="n"/>
      <c r="E198" s="85" t="n"/>
      <c r="F198" s="86" t="n"/>
      <c r="G198" s="86" t="n"/>
      <c r="H198" s="85" t="n"/>
      <c r="I198" s="85" t="n"/>
      <c r="J198" s="85" t="n"/>
      <c r="K198" s="85" t="n"/>
      <c r="L198" s="85" t="n"/>
      <c r="M198" s="85" t="n"/>
      <c r="N198" s="85" t="n"/>
      <c r="O198" s="85" t="n"/>
      <c r="P198" s="85" t="n"/>
      <c r="Q198" s="85" t="n"/>
      <c r="R198" s="85" t="n"/>
      <c r="S198" s="85">
        <f>IF($G198="","",TODAY()-$G198)</f>
        <v/>
      </c>
      <c r="T198" s="85">
        <f>IF($A198="","",IF(AND($E198="Yes",OR($O198="No",$O198="NOT FOUND")),"YES",""))</f>
        <v/>
      </c>
      <c r="U198" s="85">
        <f>IF($A198="","",TRIM(IF(AND($M198=0,$I198&lt;&gt;"Yes"),"T0-NoPhishResistant ","")&amp;IF($H198="No","NoMFA ","")&amp;IF(AND($E198="Yes",$G198=""),"NeverSignedIn ","")))</f>
        <v/>
      </c>
    </row>
    <row r="199" ht="15" customHeight="1" s="39">
      <c r="A199" s="85" t="n"/>
      <c r="B199" s="85" t="n"/>
      <c r="C199" s="85" t="n"/>
      <c r="D199" s="85" t="n"/>
      <c r="E199" s="85" t="n"/>
      <c r="F199" s="86" t="n"/>
      <c r="G199" s="86" t="n"/>
      <c r="H199" s="85" t="n"/>
      <c r="I199" s="85" t="n"/>
      <c r="J199" s="85" t="n"/>
      <c r="K199" s="85" t="n"/>
      <c r="L199" s="85" t="n"/>
      <c r="M199" s="85" t="n"/>
      <c r="N199" s="85" t="n"/>
      <c r="O199" s="85" t="n"/>
      <c r="P199" s="85" t="n"/>
      <c r="Q199" s="85" t="n"/>
      <c r="R199" s="85" t="n"/>
      <c r="S199" s="85">
        <f>IF($G199="","",TODAY()-$G199)</f>
        <v/>
      </c>
      <c r="T199" s="85">
        <f>IF($A199="","",IF(AND($E199="Yes",OR($O199="No",$O199="NOT FOUND")),"YES",""))</f>
        <v/>
      </c>
      <c r="U199" s="85">
        <f>IF($A199="","",TRIM(IF(AND($M199=0,$I199&lt;&gt;"Yes"),"T0-NoPhishResistant ","")&amp;IF($H199="No","NoMFA ","")&amp;IF(AND($E199="Yes",$G199=""),"NeverSignedIn ","")))</f>
        <v/>
      </c>
    </row>
    <row r="200" ht="15" customHeight="1" s="39">
      <c r="A200" s="85" t="n"/>
      <c r="B200" s="85" t="n"/>
      <c r="C200" s="85" t="n"/>
      <c r="D200" s="85" t="n"/>
      <c r="E200" s="85" t="n"/>
      <c r="F200" s="86" t="n"/>
      <c r="G200" s="86" t="n"/>
      <c r="H200" s="85" t="n"/>
      <c r="I200" s="85" t="n"/>
      <c r="J200" s="85" t="n"/>
      <c r="K200" s="85" t="n"/>
      <c r="L200" s="85" t="n"/>
      <c r="M200" s="85" t="n"/>
      <c r="N200" s="85" t="n"/>
      <c r="O200" s="85" t="n"/>
      <c r="P200" s="85" t="n"/>
      <c r="Q200" s="85" t="n"/>
      <c r="R200" s="85" t="n"/>
      <c r="S200" s="85">
        <f>IF($G200="","",TODAY()-$G200)</f>
        <v/>
      </c>
      <c r="T200" s="85">
        <f>IF($A200="","",IF(AND($E200="Yes",OR($O200="No",$O200="NOT FOUND")),"YES",""))</f>
        <v/>
      </c>
      <c r="U200" s="85">
        <f>IF($A200="","",TRIM(IF(AND($M200=0,$I200&lt;&gt;"Yes"),"T0-NoPhishResistant ","")&amp;IF($H200="No","NoMFA ","")&amp;IF(AND($E200="Yes",$G200=""),"NeverSignedIn ","")))</f>
        <v/>
      </c>
    </row>
    <row r="201" ht="15" customHeight="1" s="39">
      <c r="A201" s="85" t="n"/>
      <c r="B201" s="85" t="n"/>
      <c r="C201" s="85" t="n"/>
      <c r="D201" s="85" t="n"/>
      <c r="E201" s="85" t="n"/>
      <c r="F201" s="86" t="n"/>
      <c r="G201" s="86" t="n"/>
      <c r="H201" s="85" t="n"/>
      <c r="I201" s="85" t="n"/>
      <c r="J201" s="85" t="n"/>
      <c r="K201" s="85" t="n"/>
      <c r="L201" s="85" t="n"/>
      <c r="M201" s="85" t="n"/>
      <c r="N201" s="85" t="n"/>
      <c r="O201" s="85" t="n"/>
      <c r="P201" s="85" t="n"/>
      <c r="Q201" s="85" t="n"/>
      <c r="R201" s="85" t="n"/>
      <c r="S201" s="85">
        <f>IF($G201="","",TODAY()-$G201)</f>
        <v/>
      </c>
      <c r="T201" s="85">
        <f>IF($A201="","",IF(AND($E201="Yes",OR($O201="No",$O201="NOT FOUND")),"YES",""))</f>
        <v/>
      </c>
      <c r="U201" s="85">
        <f>IF($A201="","",TRIM(IF(AND($M201=0,$I201&lt;&gt;"Yes"),"T0-NoPhishResistant ","")&amp;IF($H201="No","NoMFA ","")&amp;IF(AND($E201="Yes",$G201=""),"NeverSignedIn ","")))</f>
        <v/>
      </c>
    </row>
    <row r="202" ht="15" customHeight="1" s="39">
      <c r="A202" s="85" t="n"/>
      <c r="B202" s="85" t="n"/>
      <c r="C202" s="85" t="n"/>
      <c r="D202" s="85" t="n"/>
      <c r="E202" s="85" t="n"/>
      <c r="F202" s="86" t="n"/>
      <c r="G202" s="86" t="n"/>
      <c r="H202" s="85" t="n"/>
      <c r="I202" s="85" t="n"/>
      <c r="J202" s="85" t="n"/>
      <c r="K202" s="85" t="n"/>
      <c r="L202" s="85" t="n"/>
      <c r="M202" s="85" t="n"/>
      <c r="N202" s="85" t="n"/>
      <c r="O202" s="85" t="n"/>
      <c r="P202" s="85" t="n"/>
      <c r="Q202" s="85" t="n"/>
      <c r="R202" s="85" t="n"/>
      <c r="S202" s="85">
        <f>IF($G202="","",TODAY()-$G202)</f>
        <v/>
      </c>
      <c r="T202" s="85">
        <f>IF($A202="","",IF(AND($E202="Yes",OR($O202="No",$O202="NOT FOUND")),"YES",""))</f>
        <v/>
      </c>
      <c r="U202" s="85">
        <f>IF($A202="","",TRIM(IF(AND($M202=0,$I202&lt;&gt;"Yes"),"T0-NoPhishResistant ","")&amp;IF($H202="No","NoMFA ","")&amp;IF(AND($E202="Yes",$G202=""),"NeverSignedIn ","")))</f>
        <v/>
      </c>
    </row>
    <row r="203" ht="15" customHeight="1" s="39">
      <c r="A203" s="85" t="n"/>
      <c r="B203" s="85" t="n"/>
      <c r="C203" s="85" t="n"/>
      <c r="D203" s="85" t="n"/>
      <c r="E203" s="85" t="n"/>
      <c r="F203" s="86" t="n"/>
      <c r="G203" s="86" t="n"/>
      <c r="H203" s="85" t="n"/>
      <c r="I203" s="85" t="n"/>
      <c r="J203" s="85" t="n"/>
      <c r="K203" s="85" t="n"/>
      <c r="L203" s="85" t="n"/>
      <c r="M203" s="85" t="n"/>
      <c r="N203" s="85" t="n"/>
      <c r="O203" s="85" t="n"/>
      <c r="P203" s="85" t="n"/>
      <c r="Q203" s="85" t="n"/>
      <c r="R203" s="85" t="n"/>
      <c r="S203" s="85">
        <f>IF($G203="","",TODAY()-$G203)</f>
        <v/>
      </c>
      <c r="T203" s="85">
        <f>IF($A203="","",IF(AND($E203="Yes",OR($O203="No",$O203="NOT FOUND")),"YES",""))</f>
        <v/>
      </c>
      <c r="U203" s="85">
        <f>IF($A203="","",TRIM(IF(AND($M203=0,$I203&lt;&gt;"Yes"),"T0-NoPhishResistant ","")&amp;IF($H203="No","NoMFA ","")&amp;IF(AND($E203="Yes",$G203=""),"NeverSignedIn ","")))</f>
        <v/>
      </c>
    </row>
    <row r="204" ht="15" customHeight="1" s="39">
      <c r="A204" s="85" t="n"/>
      <c r="B204" s="85" t="n"/>
      <c r="C204" s="85" t="n"/>
      <c r="D204" s="85" t="n"/>
      <c r="E204" s="85" t="n"/>
      <c r="F204" s="86" t="n"/>
      <c r="G204" s="86" t="n"/>
      <c r="H204" s="85" t="n"/>
      <c r="I204" s="85" t="n"/>
      <c r="J204" s="85" t="n"/>
      <c r="K204" s="85" t="n"/>
      <c r="L204" s="85" t="n"/>
      <c r="M204" s="85" t="n"/>
      <c r="N204" s="85" t="n"/>
      <c r="O204" s="85" t="n"/>
      <c r="P204" s="85" t="n"/>
      <c r="Q204" s="85" t="n"/>
      <c r="R204" s="85" t="n"/>
      <c r="S204" s="85">
        <f>IF($G204="","",TODAY()-$G204)</f>
        <v/>
      </c>
      <c r="T204" s="85">
        <f>IF($A204="","",IF(AND($E204="Yes",OR($O204="No",$O204="NOT FOUND")),"YES",""))</f>
        <v/>
      </c>
      <c r="U204" s="85">
        <f>IF($A204="","",TRIM(IF(AND($M204=0,$I204&lt;&gt;"Yes"),"T0-NoPhishResistant ","")&amp;IF($H204="No","NoMFA ","")&amp;IF(AND($E204="Yes",$G204=""),"NeverSignedIn ","")))</f>
        <v/>
      </c>
    </row>
    <row r="205" ht="15" customHeight="1" s="39">
      <c r="A205" s="85" t="n"/>
      <c r="B205" s="85" t="n"/>
      <c r="C205" s="85" t="n"/>
      <c r="D205" s="85" t="n"/>
      <c r="E205" s="85" t="n"/>
      <c r="F205" s="86" t="n"/>
      <c r="G205" s="86" t="n"/>
      <c r="H205" s="85" t="n"/>
      <c r="I205" s="85" t="n"/>
      <c r="J205" s="85" t="n"/>
      <c r="K205" s="85" t="n"/>
      <c r="L205" s="85" t="n"/>
      <c r="M205" s="85" t="n"/>
      <c r="N205" s="85" t="n"/>
      <c r="O205" s="85" t="n"/>
      <c r="P205" s="85" t="n"/>
      <c r="Q205" s="85" t="n"/>
      <c r="R205" s="85" t="n"/>
      <c r="S205" s="85">
        <f>IF($G205="","",TODAY()-$G205)</f>
        <v/>
      </c>
      <c r="T205" s="85">
        <f>IF($A205="","",IF(AND($E205="Yes",OR($O205="No",$O205="NOT FOUND")),"YES",""))</f>
        <v/>
      </c>
      <c r="U205" s="85">
        <f>IF($A205="","",TRIM(IF(AND($M205=0,$I205&lt;&gt;"Yes"),"T0-NoPhishResistant ","")&amp;IF($H205="No","NoMFA ","")&amp;IF(AND($E205="Yes",$G205=""),"NeverSignedIn ","")))</f>
        <v/>
      </c>
    </row>
    <row r="206" ht="15" customHeight="1" s="39">
      <c r="A206" s="85" t="n"/>
      <c r="B206" s="85" t="n"/>
      <c r="C206" s="85" t="n"/>
      <c r="D206" s="85" t="n"/>
      <c r="E206" s="85" t="n"/>
      <c r="F206" s="86" t="n"/>
      <c r="G206" s="86" t="n"/>
      <c r="H206" s="85" t="n"/>
      <c r="I206" s="85" t="n"/>
      <c r="J206" s="85" t="n"/>
      <c r="K206" s="85" t="n"/>
      <c r="L206" s="85" t="n"/>
      <c r="M206" s="85" t="n"/>
      <c r="N206" s="85" t="n"/>
      <c r="O206" s="85" t="n"/>
      <c r="P206" s="85" t="n"/>
      <c r="Q206" s="85" t="n"/>
      <c r="R206" s="85" t="n"/>
      <c r="S206" s="85">
        <f>IF($G206="","",TODAY()-$G206)</f>
        <v/>
      </c>
      <c r="T206" s="85">
        <f>IF($A206="","",IF(AND($E206="Yes",OR($O206="No",$O206="NOT FOUND")),"YES",""))</f>
        <v/>
      </c>
      <c r="U206" s="85">
        <f>IF($A206="","",TRIM(IF(AND($M206=0,$I206&lt;&gt;"Yes"),"T0-NoPhishResistant ","")&amp;IF($H206="No","NoMFA ","")&amp;IF(AND($E206="Yes",$G206=""),"NeverSignedIn ","")))</f>
        <v/>
      </c>
    </row>
    <row r="207" ht="15" customHeight="1" s="39">
      <c r="A207" s="85" t="n"/>
      <c r="B207" s="85" t="n"/>
      <c r="C207" s="85" t="n"/>
      <c r="D207" s="85" t="n"/>
      <c r="E207" s="85" t="n"/>
      <c r="F207" s="86" t="n"/>
      <c r="G207" s="86" t="n"/>
      <c r="H207" s="85" t="n"/>
      <c r="I207" s="85" t="n"/>
      <c r="J207" s="85" t="n"/>
      <c r="K207" s="85" t="n"/>
      <c r="L207" s="85" t="n"/>
      <c r="M207" s="85" t="n"/>
      <c r="N207" s="85" t="n"/>
      <c r="O207" s="85" t="n"/>
      <c r="P207" s="85" t="n"/>
      <c r="Q207" s="85" t="n"/>
      <c r="R207" s="85" t="n"/>
      <c r="S207" s="85">
        <f>IF($G207="","",TODAY()-$G207)</f>
        <v/>
      </c>
      <c r="T207" s="85">
        <f>IF($A207="","",IF(AND($E207="Yes",OR($O207="No",$O207="NOT FOUND")),"YES",""))</f>
        <v/>
      </c>
      <c r="U207" s="85">
        <f>IF($A207="","",TRIM(IF(AND($M207=0,$I207&lt;&gt;"Yes"),"T0-NoPhishResistant ","")&amp;IF($H207="No","NoMFA ","")&amp;IF(AND($E207="Yes",$G207=""),"NeverSignedIn ","")))</f>
        <v/>
      </c>
    </row>
    <row r="208" ht="15" customHeight="1" s="39">
      <c r="A208" s="85" t="n"/>
      <c r="B208" s="85" t="n"/>
      <c r="C208" s="85" t="n"/>
      <c r="D208" s="85" t="n"/>
      <c r="E208" s="85" t="n"/>
      <c r="F208" s="86" t="n"/>
      <c r="G208" s="86" t="n"/>
      <c r="H208" s="85" t="n"/>
      <c r="I208" s="85" t="n"/>
      <c r="J208" s="85" t="n"/>
      <c r="K208" s="85" t="n"/>
      <c r="L208" s="85" t="n"/>
      <c r="M208" s="85" t="n"/>
      <c r="N208" s="85" t="n"/>
      <c r="O208" s="85" t="n"/>
      <c r="P208" s="85" t="n"/>
      <c r="Q208" s="85" t="n"/>
      <c r="R208" s="85" t="n"/>
      <c r="S208" s="85">
        <f>IF($G208="","",TODAY()-$G208)</f>
        <v/>
      </c>
      <c r="T208" s="85">
        <f>IF($A208="","",IF(AND($E208="Yes",OR($O208="No",$O208="NOT FOUND")),"YES",""))</f>
        <v/>
      </c>
      <c r="U208" s="85">
        <f>IF($A208="","",TRIM(IF(AND($M208=0,$I208&lt;&gt;"Yes"),"T0-NoPhishResistant ","")&amp;IF($H208="No","NoMFA ","")&amp;IF(AND($E208="Yes",$G208=""),"NeverSignedIn ","")))</f>
        <v/>
      </c>
    </row>
    <row r="209" ht="15" customHeight="1" s="39">
      <c r="A209" s="85" t="n"/>
      <c r="B209" s="85" t="n"/>
      <c r="C209" s="85" t="n"/>
      <c r="D209" s="85" t="n"/>
      <c r="E209" s="85" t="n"/>
      <c r="F209" s="86" t="n"/>
      <c r="G209" s="86" t="n"/>
      <c r="H209" s="85" t="n"/>
      <c r="I209" s="85" t="n"/>
      <c r="J209" s="85" t="n"/>
      <c r="K209" s="85" t="n"/>
      <c r="L209" s="85" t="n"/>
      <c r="M209" s="85" t="n"/>
      <c r="N209" s="85" t="n"/>
      <c r="O209" s="85" t="n"/>
      <c r="P209" s="85" t="n"/>
      <c r="Q209" s="85" t="n"/>
      <c r="R209" s="85" t="n"/>
      <c r="S209" s="85">
        <f>IF($G209="","",TODAY()-$G209)</f>
        <v/>
      </c>
      <c r="T209" s="85">
        <f>IF($A209="","",IF(AND($E209="Yes",OR($O209="No",$O209="NOT FOUND")),"YES",""))</f>
        <v/>
      </c>
      <c r="U209" s="85">
        <f>IF($A209="","",TRIM(IF(AND($M209=0,$I209&lt;&gt;"Yes"),"T0-NoPhishResistant ","")&amp;IF($H209="No","NoMFA ","")&amp;IF(AND($E209="Yes",$G209=""),"NeverSignedIn ","")))</f>
        <v/>
      </c>
    </row>
    <row r="210" ht="15" customHeight="1" s="39">
      <c r="A210" s="85" t="n"/>
      <c r="B210" s="85" t="n"/>
      <c r="C210" s="85" t="n"/>
      <c r="D210" s="85" t="n"/>
      <c r="E210" s="85" t="n"/>
      <c r="F210" s="86" t="n"/>
      <c r="G210" s="86" t="n"/>
      <c r="H210" s="85" t="n"/>
      <c r="I210" s="85" t="n"/>
      <c r="J210" s="85" t="n"/>
      <c r="K210" s="85" t="n"/>
      <c r="L210" s="85" t="n"/>
      <c r="M210" s="85" t="n"/>
      <c r="N210" s="85" t="n"/>
      <c r="O210" s="85" t="n"/>
      <c r="P210" s="85" t="n"/>
      <c r="Q210" s="85" t="n"/>
      <c r="R210" s="85" t="n"/>
      <c r="S210" s="85">
        <f>IF($G210="","",TODAY()-$G210)</f>
        <v/>
      </c>
      <c r="T210" s="85">
        <f>IF($A210="","",IF(AND($E210="Yes",OR($O210="No",$O210="NOT FOUND")),"YES",""))</f>
        <v/>
      </c>
      <c r="U210" s="85">
        <f>IF($A210="","",TRIM(IF(AND($M210=0,$I210&lt;&gt;"Yes"),"T0-NoPhishResistant ","")&amp;IF($H210="No","NoMFA ","")&amp;IF(AND($E210="Yes",$G210=""),"NeverSignedIn ","")))</f>
        <v/>
      </c>
    </row>
    <row r="211" ht="15" customHeight="1" s="39">
      <c r="A211" s="85" t="n"/>
      <c r="B211" s="85" t="n"/>
      <c r="C211" s="85" t="n"/>
      <c r="D211" s="85" t="n"/>
      <c r="E211" s="85" t="n"/>
      <c r="F211" s="86" t="n"/>
      <c r="G211" s="86" t="n"/>
      <c r="H211" s="85" t="n"/>
      <c r="I211" s="85" t="n"/>
      <c r="J211" s="85" t="n"/>
      <c r="K211" s="85" t="n"/>
      <c r="L211" s="85" t="n"/>
      <c r="M211" s="85" t="n"/>
      <c r="N211" s="85" t="n"/>
      <c r="O211" s="85" t="n"/>
      <c r="P211" s="85" t="n"/>
      <c r="Q211" s="85" t="n"/>
      <c r="R211" s="85" t="n"/>
      <c r="S211" s="85">
        <f>IF($G211="","",TODAY()-$G211)</f>
        <v/>
      </c>
      <c r="T211" s="85">
        <f>IF($A211="","",IF(AND($E211="Yes",OR($O211="No",$O211="NOT FOUND")),"YES",""))</f>
        <v/>
      </c>
      <c r="U211" s="85">
        <f>IF($A211="","",TRIM(IF(AND($M211=0,$I211&lt;&gt;"Yes"),"T0-NoPhishResistant ","")&amp;IF($H211="No","NoMFA ","")&amp;IF(AND($E211="Yes",$G211=""),"NeverSignedIn ","")))</f>
        <v/>
      </c>
    </row>
    <row r="212" ht="15" customHeight="1" s="39">
      <c r="A212" s="85" t="n"/>
      <c r="B212" s="85" t="n"/>
      <c r="C212" s="85" t="n"/>
      <c r="D212" s="85" t="n"/>
      <c r="E212" s="85" t="n"/>
      <c r="F212" s="86" t="n"/>
      <c r="G212" s="86" t="n"/>
      <c r="H212" s="85" t="n"/>
      <c r="I212" s="85" t="n"/>
      <c r="J212" s="85" t="n"/>
      <c r="K212" s="85" t="n"/>
      <c r="L212" s="85" t="n"/>
      <c r="M212" s="85" t="n"/>
      <c r="N212" s="85" t="n"/>
      <c r="O212" s="85" t="n"/>
      <c r="P212" s="85" t="n"/>
      <c r="Q212" s="85" t="n"/>
      <c r="R212" s="85" t="n"/>
      <c r="S212" s="85">
        <f>IF($G212="","",TODAY()-$G212)</f>
        <v/>
      </c>
      <c r="T212" s="85">
        <f>IF($A212="","",IF(AND($E212="Yes",OR($O212="No",$O212="NOT FOUND")),"YES",""))</f>
        <v/>
      </c>
      <c r="U212" s="85">
        <f>IF($A212="","",TRIM(IF(AND($M212=0,$I212&lt;&gt;"Yes"),"T0-NoPhishResistant ","")&amp;IF($H212="No","NoMFA ","")&amp;IF(AND($E212="Yes",$G212=""),"NeverSignedIn ","")))</f>
        <v/>
      </c>
    </row>
    <row r="213" ht="15" customHeight="1" s="39">
      <c r="A213" s="85" t="n"/>
      <c r="B213" s="85" t="n"/>
      <c r="C213" s="85" t="n"/>
      <c r="D213" s="85" t="n"/>
      <c r="E213" s="85" t="n"/>
      <c r="F213" s="86" t="n"/>
      <c r="G213" s="86" t="n"/>
      <c r="H213" s="85" t="n"/>
      <c r="I213" s="85" t="n"/>
      <c r="J213" s="85" t="n"/>
      <c r="K213" s="85" t="n"/>
      <c r="L213" s="85" t="n"/>
      <c r="M213" s="85" t="n"/>
      <c r="N213" s="85" t="n"/>
      <c r="O213" s="85" t="n"/>
      <c r="P213" s="85" t="n"/>
      <c r="Q213" s="85" t="n"/>
      <c r="R213" s="85" t="n"/>
      <c r="S213" s="85">
        <f>IF($G213="","",TODAY()-$G213)</f>
        <v/>
      </c>
      <c r="T213" s="85">
        <f>IF($A213="","",IF(AND($E213="Yes",OR($O213="No",$O213="NOT FOUND")),"YES",""))</f>
        <v/>
      </c>
      <c r="U213" s="85">
        <f>IF($A213="","",TRIM(IF(AND($M213=0,$I213&lt;&gt;"Yes"),"T0-NoPhishResistant ","")&amp;IF($H213="No","NoMFA ","")&amp;IF(AND($E213="Yes",$G213=""),"NeverSignedIn ","")))</f>
        <v/>
      </c>
    </row>
    <row r="214" ht="15" customHeight="1" s="39">
      <c r="A214" s="85" t="n"/>
      <c r="B214" s="85" t="n"/>
      <c r="C214" s="85" t="n"/>
      <c r="D214" s="85" t="n"/>
      <c r="E214" s="85" t="n"/>
      <c r="F214" s="86" t="n"/>
      <c r="G214" s="86" t="n"/>
      <c r="H214" s="85" t="n"/>
      <c r="I214" s="85" t="n"/>
      <c r="J214" s="85" t="n"/>
      <c r="K214" s="85" t="n"/>
      <c r="L214" s="85" t="n"/>
      <c r="M214" s="85" t="n"/>
      <c r="N214" s="85" t="n"/>
      <c r="O214" s="85" t="n"/>
      <c r="P214" s="85" t="n"/>
      <c r="Q214" s="85" t="n"/>
      <c r="R214" s="85" t="n"/>
      <c r="S214" s="85">
        <f>IF($G214="","",TODAY()-$G214)</f>
        <v/>
      </c>
      <c r="T214" s="85">
        <f>IF($A214="","",IF(AND($E214="Yes",OR($O214="No",$O214="NOT FOUND")),"YES",""))</f>
        <v/>
      </c>
      <c r="U214" s="85">
        <f>IF($A214="","",TRIM(IF(AND($M214=0,$I214&lt;&gt;"Yes"),"T0-NoPhishResistant ","")&amp;IF($H214="No","NoMFA ","")&amp;IF(AND($E214="Yes",$G214=""),"NeverSignedIn ","")))</f>
        <v/>
      </c>
    </row>
    <row r="215" ht="15" customHeight="1" s="39">
      <c r="A215" s="85" t="n"/>
      <c r="B215" s="85" t="n"/>
      <c r="C215" s="85" t="n"/>
      <c r="D215" s="85" t="n"/>
      <c r="E215" s="85" t="n"/>
      <c r="F215" s="86" t="n"/>
      <c r="G215" s="86" t="n"/>
      <c r="H215" s="85" t="n"/>
      <c r="I215" s="85" t="n"/>
      <c r="J215" s="85" t="n"/>
      <c r="K215" s="85" t="n"/>
      <c r="L215" s="85" t="n"/>
      <c r="M215" s="85" t="n"/>
      <c r="N215" s="85" t="n"/>
      <c r="O215" s="85" t="n"/>
      <c r="P215" s="85" t="n"/>
      <c r="Q215" s="85" t="n"/>
      <c r="R215" s="85" t="n"/>
      <c r="S215" s="85">
        <f>IF($G215="","",TODAY()-$G215)</f>
        <v/>
      </c>
      <c r="T215" s="85">
        <f>IF($A215="","",IF(AND($E215="Yes",OR($O215="No",$O215="NOT FOUND")),"YES",""))</f>
        <v/>
      </c>
      <c r="U215" s="85">
        <f>IF($A215="","",TRIM(IF(AND($M215=0,$I215&lt;&gt;"Yes"),"T0-NoPhishResistant ","")&amp;IF($H215="No","NoMFA ","")&amp;IF(AND($E215="Yes",$G215=""),"NeverSignedIn ","")))</f>
        <v/>
      </c>
    </row>
    <row r="216" ht="15" customHeight="1" s="39">
      <c r="A216" s="85" t="n"/>
      <c r="B216" s="85" t="n"/>
      <c r="C216" s="85" t="n"/>
      <c r="D216" s="85" t="n"/>
      <c r="E216" s="85" t="n"/>
      <c r="F216" s="86" t="n"/>
      <c r="G216" s="86" t="n"/>
      <c r="H216" s="85" t="n"/>
      <c r="I216" s="85" t="n"/>
      <c r="J216" s="85" t="n"/>
      <c r="K216" s="85" t="n"/>
      <c r="L216" s="85" t="n"/>
      <c r="M216" s="85" t="n"/>
      <c r="N216" s="85" t="n"/>
      <c r="O216" s="85" t="n"/>
      <c r="P216" s="85" t="n"/>
      <c r="Q216" s="85" t="n"/>
      <c r="R216" s="85" t="n"/>
      <c r="S216" s="85">
        <f>IF($G216="","",TODAY()-$G216)</f>
        <v/>
      </c>
      <c r="T216" s="85">
        <f>IF($A216="","",IF(AND($E216="Yes",OR($O216="No",$O216="NOT FOUND")),"YES",""))</f>
        <v/>
      </c>
      <c r="U216" s="85">
        <f>IF($A216="","",TRIM(IF(AND($M216=0,$I216&lt;&gt;"Yes"),"T0-NoPhishResistant ","")&amp;IF($H216="No","NoMFA ","")&amp;IF(AND($E216="Yes",$G216=""),"NeverSignedIn ","")))</f>
        <v/>
      </c>
    </row>
    <row r="217" ht="15" customHeight="1" s="39">
      <c r="A217" s="85" t="n"/>
      <c r="B217" s="85" t="n"/>
      <c r="C217" s="85" t="n"/>
      <c r="D217" s="85" t="n"/>
      <c r="E217" s="85" t="n"/>
      <c r="F217" s="86" t="n"/>
      <c r="G217" s="86" t="n"/>
      <c r="H217" s="85" t="n"/>
      <c r="I217" s="85" t="n"/>
      <c r="J217" s="85" t="n"/>
      <c r="K217" s="85" t="n"/>
      <c r="L217" s="85" t="n"/>
      <c r="M217" s="85" t="n"/>
      <c r="N217" s="85" t="n"/>
      <c r="O217" s="85" t="n"/>
      <c r="P217" s="85" t="n"/>
      <c r="Q217" s="85" t="n"/>
      <c r="R217" s="85" t="n"/>
      <c r="S217" s="85">
        <f>IF($G217="","",TODAY()-$G217)</f>
        <v/>
      </c>
      <c r="T217" s="85">
        <f>IF($A217="","",IF(AND($E217="Yes",OR($O217="No",$O217="NOT FOUND")),"YES",""))</f>
        <v/>
      </c>
      <c r="U217" s="85">
        <f>IF($A217="","",TRIM(IF(AND($M217=0,$I217&lt;&gt;"Yes"),"T0-NoPhishResistant ","")&amp;IF($H217="No","NoMFA ","")&amp;IF(AND($E217="Yes",$G217=""),"NeverSignedIn ","")))</f>
        <v/>
      </c>
    </row>
    <row r="218" ht="15" customHeight="1" s="39">
      <c r="A218" s="85" t="n"/>
      <c r="B218" s="85" t="n"/>
      <c r="C218" s="85" t="n"/>
      <c r="D218" s="85" t="n"/>
      <c r="E218" s="85" t="n"/>
      <c r="F218" s="86" t="n"/>
      <c r="G218" s="86" t="n"/>
      <c r="H218" s="85" t="n"/>
      <c r="I218" s="85" t="n"/>
      <c r="J218" s="85" t="n"/>
      <c r="K218" s="85" t="n"/>
      <c r="L218" s="85" t="n"/>
      <c r="M218" s="85" t="n"/>
      <c r="N218" s="85" t="n"/>
      <c r="O218" s="85" t="n"/>
      <c r="P218" s="85" t="n"/>
      <c r="Q218" s="85" t="n"/>
      <c r="R218" s="85" t="n"/>
      <c r="S218" s="85">
        <f>IF($G218="","",TODAY()-$G218)</f>
        <v/>
      </c>
      <c r="T218" s="85">
        <f>IF($A218="","",IF(AND($E218="Yes",OR($O218="No",$O218="NOT FOUND")),"YES",""))</f>
        <v/>
      </c>
      <c r="U218" s="85">
        <f>IF($A218="","",TRIM(IF(AND($M218=0,$I218&lt;&gt;"Yes"),"T0-NoPhishResistant ","")&amp;IF($H218="No","NoMFA ","")&amp;IF(AND($E218="Yes",$G218=""),"NeverSignedIn ","")))</f>
        <v/>
      </c>
    </row>
    <row r="219" ht="15" customHeight="1" s="39">
      <c r="A219" s="85" t="n"/>
      <c r="B219" s="85" t="n"/>
      <c r="C219" s="85" t="n"/>
      <c r="D219" s="85" t="n"/>
      <c r="E219" s="85" t="n"/>
      <c r="F219" s="86" t="n"/>
      <c r="G219" s="86" t="n"/>
      <c r="H219" s="85" t="n"/>
      <c r="I219" s="85" t="n"/>
      <c r="J219" s="85" t="n"/>
      <c r="K219" s="85" t="n"/>
      <c r="L219" s="85" t="n"/>
      <c r="M219" s="85" t="n"/>
      <c r="N219" s="85" t="n"/>
      <c r="O219" s="85" t="n"/>
      <c r="P219" s="85" t="n"/>
      <c r="Q219" s="85" t="n"/>
      <c r="R219" s="85" t="n"/>
      <c r="S219" s="85">
        <f>IF($G219="","",TODAY()-$G219)</f>
        <v/>
      </c>
      <c r="T219" s="85">
        <f>IF($A219="","",IF(AND($E219="Yes",OR($O219="No",$O219="NOT FOUND")),"YES",""))</f>
        <v/>
      </c>
      <c r="U219" s="85">
        <f>IF($A219="","",TRIM(IF(AND($M219=0,$I219&lt;&gt;"Yes"),"T0-NoPhishResistant ","")&amp;IF($H219="No","NoMFA ","")&amp;IF(AND($E219="Yes",$G219=""),"NeverSignedIn ","")))</f>
        <v/>
      </c>
    </row>
    <row r="220" ht="15" customHeight="1" s="39">
      <c r="A220" s="85" t="n"/>
      <c r="B220" s="85" t="n"/>
      <c r="C220" s="85" t="n"/>
      <c r="D220" s="85" t="n"/>
      <c r="E220" s="85" t="n"/>
      <c r="F220" s="86" t="n"/>
      <c r="G220" s="86" t="n"/>
      <c r="H220" s="85" t="n"/>
      <c r="I220" s="85" t="n"/>
      <c r="J220" s="85" t="n"/>
      <c r="K220" s="85" t="n"/>
      <c r="L220" s="85" t="n"/>
      <c r="M220" s="85" t="n"/>
      <c r="N220" s="85" t="n"/>
      <c r="O220" s="85" t="n"/>
      <c r="P220" s="85" t="n"/>
      <c r="Q220" s="85" t="n"/>
      <c r="R220" s="85" t="n"/>
      <c r="S220" s="85">
        <f>IF($G220="","",TODAY()-$G220)</f>
        <v/>
      </c>
      <c r="T220" s="85">
        <f>IF($A220="","",IF(AND($E220="Yes",OR($O220="No",$O220="NOT FOUND")),"YES",""))</f>
        <v/>
      </c>
      <c r="U220" s="85">
        <f>IF($A220="","",TRIM(IF(AND($M220=0,$I220&lt;&gt;"Yes"),"T0-NoPhishResistant ","")&amp;IF($H220="No","NoMFA ","")&amp;IF(AND($E220="Yes",$G220=""),"NeverSignedIn ","")))</f>
        <v/>
      </c>
    </row>
    <row r="221" ht="15" customHeight="1" s="39">
      <c r="A221" s="85" t="n"/>
      <c r="B221" s="85" t="n"/>
      <c r="C221" s="85" t="n"/>
      <c r="D221" s="85" t="n"/>
      <c r="E221" s="85" t="n"/>
      <c r="F221" s="86" t="n"/>
      <c r="G221" s="86" t="n"/>
      <c r="H221" s="85" t="n"/>
      <c r="I221" s="85" t="n"/>
      <c r="J221" s="85" t="n"/>
      <c r="K221" s="85" t="n"/>
      <c r="L221" s="85" t="n"/>
      <c r="M221" s="85" t="n"/>
      <c r="N221" s="85" t="n"/>
      <c r="O221" s="85" t="n"/>
      <c r="P221" s="85" t="n"/>
      <c r="Q221" s="85" t="n"/>
      <c r="R221" s="85" t="n"/>
      <c r="S221" s="85">
        <f>IF($G221="","",TODAY()-$G221)</f>
        <v/>
      </c>
      <c r="T221" s="85">
        <f>IF($A221="","",IF(AND($E221="Yes",OR($O221="No",$O221="NOT FOUND")),"YES",""))</f>
        <v/>
      </c>
      <c r="U221" s="85">
        <f>IF($A221="","",TRIM(IF(AND($M221=0,$I221&lt;&gt;"Yes"),"T0-NoPhishResistant ","")&amp;IF($H221="No","NoMFA ","")&amp;IF(AND($E221="Yes",$G221=""),"NeverSignedIn ","")))</f>
        <v/>
      </c>
    </row>
    <row r="222" ht="15" customHeight="1" s="39">
      <c r="A222" s="85" t="n"/>
      <c r="B222" s="85" t="n"/>
      <c r="C222" s="85" t="n"/>
      <c r="D222" s="85" t="n"/>
      <c r="E222" s="85" t="n"/>
      <c r="F222" s="86" t="n"/>
      <c r="G222" s="86" t="n"/>
      <c r="H222" s="85" t="n"/>
      <c r="I222" s="85" t="n"/>
      <c r="J222" s="85" t="n"/>
      <c r="K222" s="85" t="n"/>
      <c r="L222" s="85" t="n"/>
      <c r="M222" s="85" t="n"/>
      <c r="N222" s="85" t="n"/>
      <c r="O222" s="85" t="n"/>
      <c r="P222" s="85" t="n"/>
      <c r="Q222" s="85" t="n"/>
      <c r="R222" s="85" t="n"/>
      <c r="S222" s="85">
        <f>IF($G222="","",TODAY()-$G222)</f>
        <v/>
      </c>
      <c r="T222" s="85">
        <f>IF($A222="","",IF(AND($E222="Yes",OR($O222="No",$O222="NOT FOUND")),"YES",""))</f>
        <v/>
      </c>
      <c r="U222" s="85">
        <f>IF($A222="","",TRIM(IF(AND($M222=0,$I222&lt;&gt;"Yes"),"T0-NoPhishResistant ","")&amp;IF($H222="No","NoMFA ","")&amp;IF(AND($E222="Yes",$G222=""),"NeverSignedIn ","")))</f>
        <v/>
      </c>
    </row>
    <row r="223" ht="15" customHeight="1" s="39">
      <c r="A223" s="85" t="n"/>
      <c r="B223" s="85" t="n"/>
      <c r="C223" s="85" t="n"/>
      <c r="D223" s="85" t="n"/>
      <c r="E223" s="85" t="n"/>
      <c r="F223" s="86" t="n"/>
      <c r="G223" s="86" t="n"/>
      <c r="H223" s="85" t="n"/>
      <c r="I223" s="85" t="n"/>
      <c r="J223" s="85" t="n"/>
      <c r="K223" s="85" t="n"/>
      <c r="L223" s="85" t="n"/>
      <c r="M223" s="85" t="n"/>
      <c r="N223" s="85" t="n"/>
      <c r="O223" s="85" t="n"/>
      <c r="P223" s="85" t="n"/>
      <c r="Q223" s="85" t="n"/>
      <c r="R223" s="85" t="n"/>
      <c r="S223" s="85">
        <f>IF($G223="","",TODAY()-$G223)</f>
        <v/>
      </c>
      <c r="T223" s="85">
        <f>IF($A223="","",IF(AND($E223="Yes",OR($O223="No",$O223="NOT FOUND")),"YES",""))</f>
        <v/>
      </c>
      <c r="U223" s="85">
        <f>IF($A223="","",TRIM(IF(AND($M223=0,$I223&lt;&gt;"Yes"),"T0-NoPhishResistant ","")&amp;IF($H223="No","NoMFA ","")&amp;IF(AND($E223="Yes",$G223=""),"NeverSignedIn ","")))</f>
        <v/>
      </c>
    </row>
    <row r="224" ht="15" customHeight="1" s="39">
      <c r="A224" s="85" t="n"/>
      <c r="B224" s="85" t="n"/>
      <c r="C224" s="85" t="n"/>
      <c r="D224" s="85" t="n"/>
      <c r="E224" s="85" t="n"/>
      <c r="F224" s="86" t="n"/>
      <c r="G224" s="86" t="n"/>
      <c r="H224" s="85" t="n"/>
      <c r="I224" s="85" t="n"/>
      <c r="J224" s="85" t="n"/>
      <c r="K224" s="85" t="n"/>
      <c r="L224" s="85" t="n"/>
      <c r="M224" s="85" t="n"/>
      <c r="N224" s="85" t="n"/>
      <c r="O224" s="85" t="n"/>
      <c r="P224" s="85" t="n"/>
      <c r="Q224" s="85" t="n"/>
      <c r="R224" s="85" t="n"/>
      <c r="S224" s="85">
        <f>IF($G224="","",TODAY()-$G224)</f>
        <v/>
      </c>
      <c r="T224" s="85">
        <f>IF($A224="","",IF(AND($E224="Yes",OR($O224="No",$O224="NOT FOUND")),"YES",""))</f>
        <v/>
      </c>
      <c r="U224" s="85">
        <f>IF($A224="","",TRIM(IF(AND($M224=0,$I224&lt;&gt;"Yes"),"T0-NoPhishResistant ","")&amp;IF($H224="No","NoMFA ","")&amp;IF(AND($E224="Yes",$G224=""),"NeverSignedIn ","")))</f>
        <v/>
      </c>
    </row>
    <row r="225" ht="15" customHeight="1" s="39">
      <c r="A225" s="85" t="n"/>
      <c r="B225" s="85" t="n"/>
      <c r="C225" s="85" t="n"/>
      <c r="D225" s="85" t="n"/>
      <c r="E225" s="85" t="n"/>
      <c r="F225" s="86" t="n"/>
      <c r="G225" s="86" t="n"/>
      <c r="H225" s="85" t="n"/>
      <c r="I225" s="85" t="n"/>
      <c r="J225" s="85" t="n"/>
      <c r="K225" s="85" t="n"/>
      <c r="L225" s="85" t="n"/>
      <c r="M225" s="85" t="n"/>
      <c r="N225" s="85" t="n"/>
      <c r="O225" s="85" t="n"/>
      <c r="P225" s="85" t="n"/>
      <c r="Q225" s="85" t="n"/>
      <c r="R225" s="85" t="n"/>
      <c r="S225" s="85">
        <f>IF($G225="","",TODAY()-$G225)</f>
        <v/>
      </c>
      <c r="T225" s="85">
        <f>IF($A225="","",IF(AND($E225="Yes",OR($O225="No",$O225="NOT FOUND")),"YES",""))</f>
        <v/>
      </c>
      <c r="U225" s="85">
        <f>IF($A225="","",TRIM(IF(AND($M225=0,$I225&lt;&gt;"Yes"),"T0-NoPhishResistant ","")&amp;IF($H225="No","NoMFA ","")&amp;IF(AND($E225="Yes",$G225=""),"NeverSignedIn ","")))</f>
        <v/>
      </c>
    </row>
    <row r="226" ht="15" customHeight="1" s="39">
      <c r="A226" s="85" t="n"/>
      <c r="B226" s="85" t="n"/>
      <c r="C226" s="85" t="n"/>
      <c r="D226" s="85" t="n"/>
      <c r="E226" s="85" t="n"/>
      <c r="F226" s="86" t="n"/>
      <c r="G226" s="86" t="n"/>
      <c r="H226" s="85" t="n"/>
      <c r="I226" s="85" t="n"/>
      <c r="J226" s="85" t="n"/>
      <c r="K226" s="85" t="n"/>
      <c r="L226" s="85" t="n"/>
      <c r="M226" s="85" t="n"/>
      <c r="N226" s="85" t="n"/>
      <c r="O226" s="85" t="n"/>
      <c r="P226" s="85" t="n"/>
      <c r="Q226" s="85" t="n"/>
      <c r="R226" s="85" t="n"/>
      <c r="S226" s="85">
        <f>IF($G226="","",TODAY()-$G226)</f>
        <v/>
      </c>
      <c r="T226" s="85">
        <f>IF($A226="","",IF(AND($E226="Yes",OR($O226="No",$O226="NOT FOUND")),"YES",""))</f>
        <v/>
      </c>
      <c r="U226" s="85">
        <f>IF($A226="","",TRIM(IF(AND($M226=0,$I226&lt;&gt;"Yes"),"T0-NoPhishResistant ","")&amp;IF($H226="No","NoMFA ","")&amp;IF(AND($E226="Yes",$G226=""),"NeverSignedIn ","")))</f>
        <v/>
      </c>
    </row>
    <row r="227" ht="15" customHeight="1" s="39">
      <c r="A227" s="85" t="n"/>
      <c r="B227" s="85" t="n"/>
      <c r="C227" s="85" t="n"/>
      <c r="D227" s="85" t="n"/>
      <c r="E227" s="85" t="n"/>
      <c r="F227" s="86" t="n"/>
      <c r="G227" s="86" t="n"/>
      <c r="H227" s="85" t="n"/>
      <c r="I227" s="85" t="n"/>
      <c r="J227" s="85" t="n"/>
      <c r="K227" s="85" t="n"/>
      <c r="L227" s="85" t="n"/>
      <c r="M227" s="85" t="n"/>
      <c r="N227" s="85" t="n"/>
      <c r="O227" s="85" t="n"/>
      <c r="P227" s="85" t="n"/>
      <c r="Q227" s="85" t="n"/>
      <c r="R227" s="85" t="n"/>
      <c r="S227" s="85">
        <f>IF($G227="","",TODAY()-$G227)</f>
        <v/>
      </c>
      <c r="T227" s="85">
        <f>IF($A227="","",IF(AND($E227="Yes",OR($O227="No",$O227="NOT FOUND")),"YES",""))</f>
        <v/>
      </c>
      <c r="U227" s="85">
        <f>IF($A227="","",TRIM(IF(AND($M227=0,$I227&lt;&gt;"Yes"),"T0-NoPhishResistant ","")&amp;IF($H227="No","NoMFA ","")&amp;IF(AND($E227="Yes",$G227=""),"NeverSignedIn ","")))</f>
        <v/>
      </c>
    </row>
    <row r="228" ht="15" customHeight="1" s="39">
      <c r="A228" s="85" t="n"/>
      <c r="B228" s="85" t="n"/>
      <c r="C228" s="85" t="n"/>
      <c r="D228" s="85" t="n"/>
      <c r="E228" s="85" t="n"/>
      <c r="F228" s="86" t="n"/>
      <c r="G228" s="86" t="n"/>
      <c r="H228" s="85" t="n"/>
      <c r="I228" s="85" t="n"/>
      <c r="J228" s="85" t="n"/>
      <c r="K228" s="85" t="n"/>
      <c r="L228" s="85" t="n"/>
      <c r="M228" s="85" t="n"/>
      <c r="N228" s="85" t="n"/>
      <c r="O228" s="85" t="n"/>
      <c r="P228" s="85" t="n"/>
      <c r="Q228" s="85" t="n"/>
      <c r="R228" s="85" t="n"/>
      <c r="S228" s="85">
        <f>IF($G228="","",TODAY()-$G228)</f>
        <v/>
      </c>
      <c r="T228" s="85">
        <f>IF($A228="","",IF(AND($E228="Yes",OR($O228="No",$O228="NOT FOUND")),"YES",""))</f>
        <v/>
      </c>
      <c r="U228" s="85">
        <f>IF($A228="","",TRIM(IF(AND($M228=0,$I228&lt;&gt;"Yes"),"T0-NoPhishResistant ","")&amp;IF($H228="No","NoMFA ","")&amp;IF(AND($E228="Yes",$G228=""),"NeverSignedIn ","")))</f>
        <v/>
      </c>
    </row>
    <row r="229" ht="15" customHeight="1" s="39">
      <c r="A229" s="85" t="n"/>
      <c r="B229" s="85" t="n"/>
      <c r="C229" s="85" t="n"/>
      <c r="D229" s="85" t="n"/>
      <c r="E229" s="85" t="n"/>
      <c r="F229" s="86" t="n"/>
      <c r="G229" s="86" t="n"/>
      <c r="H229" s="85" t="n"/>
      <c r="I229" s="85" t="n"/>
      <c r="J229" s="85" t="n"/>
      <c r="K229" s="85" t="n"/>
      <c r="L229" s="85" t="n"/>
      <c r="M229" s="85" t="n"/>
      <c r="N229" s="85" t="n"/>
      <c r="O229" s="85" t="n"/>
      <c r="P229" s="85" t="n"/>
      <c r="Q229" s="85" t="n"/>
      <c r="R229" s="85" t="n"/>
      <c r="S229" s="85">
        <f>IF($G229="","",TODAY()-$G229)</f>
        <v/>
      </c>
      <c r="T229" s="85">
        <f>IF($A229="","",IF(AND($E229="Yes",OR($O229="No",$O229="NOT FOUND")),"YES",""))</f>
        <v/>
      </c>
      <c r="U229" s="85">
        <f>IF($A229="","",TRIM(IF(AND($M229=0,$I229&lt;&gt;"Yes"),"T0-NoPhishResistant ","")&amp;IF($H229="No","NoMFA ","")&amp;IF(AND($E229="Yes",$G229=""),"NeverSignedIn ","")))</f>
        <v/>
      </c>
    </row>
    <row r="230" ht="15" customHeight="1" s="39">
      <c r="A230" s="85" t="n"/>
      <c r="B230" s="85" t="n"/>
      <c r="C230" s="85" t="n"/>
      <c r="D230" s="85" t="n"/>
      <c r="E230" s="85" t="n"/>
      <c r="F230" s="86" t="n"/>
      <c r="G230" s="86" t="n"/>
      <c r="H230" s="85" t="n"/>
      <c r="I230" s="85" t="n"/>
      <c r="J230" s="85" t="n"/>
      <c r="K230" s="85" t="n"/>
      <c r="L230" s="85" t="n"/>
      <c r="M230" s="85" t="n"/>
      <c r="N230" s="85" t="n"/>
      <c r="O230" s="85" t="n"/>
      <c r="P230" s="85" t="n"/>
      <c r="Q230" s="85" t="n"/>
      <c r="R230" s="85" t="n"/>
      <c r="S230" s="85">
        <f>IF($G230="","",TODAY()-$G230)</f>
        <v/>
      </c>
      <c r="T230" s="85">
        <f>IF($A230="","",IF(AND($E230="Yes",OR($O230="No",$O230="NOT FOUND")),"YES",""))</f>
        <v/>
      </c>
      <c r="U230" s="85">
        <f>IF($A230="","",TRIM(IF(AND($M230=0,$I230&lt;&gt;"Yes"),"T0-NoPhishResistant ","")&amp;IF($H230="No","NoMFA ","")&amp;IF(AND($E230="Yes",$G230=""),"NeverSignedIn ","")))</f>
        <v/>
      </c>
    </row>
    <row r="231" ht="15" customHeight="1" s="39">
      <c r="A231" s="85" t="n"/>
      <c r="B231" s="85" t="n"/>
      <c r="C231" s="85" t="n"/>
      <c r="D231" s="85" t="n"/>
      <c r="E231" s="85" t="n"/>
      <c r="F231" s="86" t="n"/>
      <c r="G231" s="86" t="n"/>
      <c r="H231" s="85" t="n"/>
      <c r="I231" s="85" t="n"/>
      <c r="J231" s="85" t="n"/>
      <c r="K231" s="85" t="n"/>
      <c r="L231" s="85" t="n"/>
      <c r="M231" s="85" t="n"/>
      <c r="N231" s="85" t="n"/>
      <c r="O231" s="85" t="n"/>
      <c r="P231" s="85" t="n"/>
      <c r="Q231" s="85" t="n"/>
      <c r="R231" s="85" t="n"/>
      <c r="S231" s="85">
        <f>IF($G231="","",TODAY()-$G231)</f>
        <v/>
      </c>
      <c r="T231" s="85">
        <f>IF($A231="","",IF(AND($E231="Yes",OR($O231="No",$O231="NOT FOUND")),"YES",""))</f>
        <v/>
      </c>
      <c r="U231" s="85">
        <f>IF($A231="","",TRIM(IF(AND($M231=0,$I231&lt;&gt;"Yes"),"T0-NoPhishResistant ","")&amp;IF($H231="No","NoMFA ","")&amp;IF(AND($E231="Yes",$G231=""),"NeverSignedIn ","")))</f>
        <v/>
      </c>
    </row>
    <row r="232" ht="15" customHeight="1" s="39">
      <c r="A232" s="85" t="n"/>
      <c r="B232" s="85" t="n"/>
      <c r="C232" s="85" t="n"/>
      <c r="D232" s="85" t="n"/>
      <c r="E232" s="85" t="n"/>
      <c r="F232" s="86" t="n"/>
      <c r="G232" s="86" t="n"/>
      <c r="H232" s="85" t="n"/>
      <c r="I232" s="85" t="n"/>
      <c r="J232" s="85" t="n"/>
      <c r="K232" s="85" t="n"/>
      <c r="L232" s="85" t="n"/>
      <c r="M232" s="85" t="n"/>
      <c r="N232" s="85" t="n"/>
      <c r="O232" s="85" t="n"/>
      <c r="P232" s="85" t="n"/>
      <c r="Q232" s="85" t="n"/>
      <c r="R232" s="85" t="n"/>
      <c r="S232" s="85">
        <f>IF($G232="","",TODAY()-$G232)</f>
        <v/>
      </c>
      <c r="T232" s="85">
        <f>IF($A232="","",IF(AND($E232="Yes",OR($O232="No",$O232="NOT FOUND")),"YES",""))</f>
        <v/>
      </c>
      <c r="U232" s="85">
        <f>IF($A232="","",TRIM(IF(AND($M232=0,$I232&lt;&gt;"Yes"),"T0-NoPhishResistant ","")&amp;IF($H232="No","NoMFA ","")&amp;IF(AND($E232="Yes",$G232=""),"NeverSignedIn ","")))</f>
        <v/>
      </c>
    </row>
    <row r="233" ht="15" customHeight="1" s="39">
      <c r="A233" s="85" t="n"/>
      <c r="B233" s="85" t="n"/>
      <c r="C233" s="85" t="n"/>
      <c r="D233" s="85" t="n"/>
      <c r="E233" s="85" t="n"/>
      <c r="F233" s="86" t="n"/>
      <c r="G233" s="86" t="n"/>
      <c r="H233" s="85" t="n"/>
      <c r="I233" s="85" t="n"/>
      <c r="J233" s="85" t="n"/>
      <c r="K233" s="85" t="n"/>
      <c r="L233" s="85" t="n"/>
      <c r="M233" s="85" t="n"/>
      <c r="N233" s="85" t="n"/>
      <c r="O233" s="85" t="n"/>
      <c r="P233" s="85" t="n"/>
      <c r="Q233" s="85" t="n"/>
      <c r="R233" s="85" t="n"/>
      <c r="S233" s="85">
        <f>IF($G233="","",TODAY()-$G233)</f>
        <v/>
      </c>
      <c r="T233" s="85">
        <f>IF($A233="","",IF(AND($E233="Yes",OR($O233="No",$O233="NOT FOUND")),"YES",""))</f>
        <v/>
      </c>
      <c r="U233" s="85">
        <f>IF($A233="","",TRIM(IF(AND($M233=0,$I233&lt;&gt;"Yes"),"T0-NoPhishResistant ","")&amp;IF($H233="No","NoMFA ","")&amp;IF(AND($E233="Yes",$G233=""),"NeverSignedIn ","")))</f>
        <v/>
      </c>
    </row>
    <row r="234" ht="15" customHeight="1" s="39">
      <c r="A234" s="85" t="n"/>
      <c r="B234" s="85" t="n"/>
      <c r="C234" s="85" t="n"/>
      <c r="D234" s="85" t="n"/>
      <c r="E234" s="85" t="n"/>
      <c r="F234" s="86" t="n"/>
      <c r="G234" s="86" t="n"/>
      <c r="H234" s="85" t="n"/>
      <c r="I234" s="85" t="n"/>
      <c r="J234" s="85" t="n"/>
      <c r="K234" s="85" t="n"/>
      <c r="L234" s="85" t="n"/>
      <c r="M234" s="85" t="n"/>
      <c r="N234" s="85" t="n"/>
      <c r="O234" s="85" t="n"/>
      <c r="P234" s="85" t="n"/>
      <c r="Q234" s="85" t="n"/>
      <c r="R234" s="85" t="n"/>
      <c r="S234" s="85">
        <f>IF($G234="","",TODAY()-$G234)</f>
        <v/>
      </c>
      <c r="T234" s="85">
        <f>IF($A234="","",IF(AND($E234="Yes",OR($O234="No",$O234="NOT FOUND")),"YES",""))</f>
        <v/>
      </c>
      <c r="U234" s="85">
        <f>IF($A234="","",TRIM(IF(AND($M234=0,$I234&lt;&gt;"Yes"),"T0-NoPhishResistant ","")&amp;IF($H234="No","NoMFA ","")&amp;IF(AND($E234="Yes",$G234=""),"NeverSignedIn ","")))</f>
        <v/>
      </c>
    </row>
    <row r="235" ht="15" customHeight="1" s="39">
      <c r="A235" s="85" t="n"/>
      <c r="B235" s="85" t="n"/>
      <c r="C235" s="85" t="n"/>
      <c r="D235" s="85" t="n"/>
      <c r="E235" s="85" t="n"/>
      <c r="F235" s="86" t="n"/>
      <c r="G235" s="86" t="n"/>
      <c r="H235" s="85" t="n"/>
      <c r="I235" s="85" t="n"/>
      <c r="J235" s="85" t="n"/>
      <c r="K235" s="85" t="n"/>
      <c r="L235" s="85" t="n"/>
      <c r="M235" s="85" t="n"/>
      <c r="N235" s="85" t="n"/>
      <c r="O235" s="85" t="n"/>
      <c r="P235" s="85" t="n"/>
      <c r="Q235" s="85" t="n"/>
      <c r="R235" s="85" t="n"/>
      <c r="S235" s="85">
        <f>IF($G235="","",TODAY()-$G235)</f>
        <v/>
      </c>
      <c r="T235" s="85">
        <f>IF($A235="","",IF(AND($E235="Yes",OR($O235="No",$O235="NOT FOUND")),"YES",""))</f>
        <v/>
      </c>
      <c r="U235" s="85">
        <f>IF($A235="","",TRIM(IF(AND($M235=0,$I235&lt;&gt;"Yes"),"T0-NoPhishResistant ","")&amp;IF($H235="No","NoMFA ","")&amp;IF(AND($E235="Yes",$G235=""),"NeverSignedIn ","")))</f>
        <v/>
      </c>
    </row>
    <row r="236" ht="15" customHeight="1" s="39">
      <c r="A236" s="85" t="n"/>
      <c r="B236" s="85" t="n"/>
      <c r="C236" s="85" t="n"/>
      <c r="D236" s="85" t="n"/>
      <c r="E236" s="85" t="n"/>
      <c r="F236" s="86" t="n"/>
      <c r="G236" s="86" t="n"/>
      <c r="H236" s="85" t="n"/>
      <c r="I236" s="85" t="n"/>
      <c r="J236" s="85" t="n"/>
      <c r="K236" s="85" t="n"/>
      <c r="L236" s="85" t="n"/>
      <c r="M236" s="85" t="n"/>
      <c r="N236" s="85" t="n"/>
      <c r="O236" s="85" t="n"/>
      <c r="P236" s="85" t="n"/>
      <c r="Q236" s="85" t="n"/>
      <c r="R236" s="85" t="n"/>
      <c r="S236" s="85">
        <f>IF($G236="","",TODAY()-$G236)</f>
        <v/>
      </c>
      <c r="T236" s="85">
        <f>IF($A236="","",IF(AND($E236="Yes",OR($O236="No",$O236="NOT FOUND")),"YES",""))</f>
        <v/>
      </c>
      <c r="U236" s="85">
        <f>IF($A236="","",TRIM(IF(AND($M236=0,$I236&lt;&gt;"Yes"),"T0-NoPhishResistant ","")&amp;IF($H236="No","NoMFA ","")&amp;IF(AND($E236="Yes",$G236=""),"NeverSignedIn ","")))</f>
        <v/>
      </c>
    </row>
    <row r="237" ht="15" customHeight="1" s="39">
      <c r="A237" s="85" t="n"/>
      <c r="B237" s="85" t="n"/>
      <c r="C237" s="85" t="n"/>
      <c r="D237" s="85" t="n"/>
      <c r="E237" s="85" t="n"/>
      <c r="F237" s="86" t="n"/>
      <c r="G237" s="86" t="n"/>
      <c r="H237" s="85" t="n"/>
      <c r="I237" s="85" t="n"/>
      <c r="J237" s="85" t="n"/>
      <c r="K237" s="85" t="n"/>
      <c r="L237" s="85" t="n"/>
      <c r="M237" s="85" t="n"/>
      <c r="N237" s="85" t="n"/>
      <c r="O237" s="85" t="n"/>
      <c r="P237" s="85" t="n"/>
      <c r="Q237" s="85" t="n"/>
      <c r="R237" s="85" t="n"/>
      <c r="S237" s="85">
        <f>IF($G237="","",TODAY()-$G237)</f>
        <v/>
      </c>
      <c r="T237" s="85">
        <f>IF($A237="","",IF(AND($E237="Yes",OR($O237="No",$O237="NOT FOUND")),"YES",""))</f>
        <v/>
      </c>
      <c r="U237" s="85">
        <f>IF($A237="","",TRIM(IF(AND($M237=0,$I237&lt;&gt;"Yes"),"T0-NoPhishResistant ","")&amp;IF($H237="No","NoMFA ","")&amp;IF(AND($E237="Yes",$G237=""),"NeverSignedIn ","")))</f>
        <v/>
      </c>
    </row>
    <row r="238" ht="15" customHeight="1" s="39">
      <c r="A238" s="85" t="n"/>
      <c r="B238" s="85" t="n"/>
      <c r="C238" s="85" t="n"/>
      <c r="D238" s="85" t="n"/>
      <c r="E238" s="85" t="n"/>
      <c r="F238" s="86" t="n"/>
      <c r="G238" s="86" t="n"/>
      <c r="H238" s="85" t="n"/>
      <c r="I238" s="85" t="n"/>
      <c r="J238" s="85" t="n"/>
      <c r="K238" s="85" t="n"/>
      <c r="L238" s="85" t="n"/>
      <c r="M238" s="85" t="n"/>
      <c r="N238" s="85" t="n"/>
      <c r="O238" s="85" t="n"/>
      <c r="P238" s="85" t="n"/>
      <c r="Q238" s="85" t="n"/>
      <c r="R238" s="85" t="n"/>
      <c r="S238" s="85">
        <f>IF($G238="","",TODAY()-$G238)</f>
        <v/>
      </c>
      <c r="T238" s="85">
        <f>IF($A238="","",IF(AND($E238="Yes",OR($O238="No",$O238="NOT FOUND")),"YES",""))</f>
        <v/>
      </c>
      <c r="U238" s="85">
        <f>IF($A238="","",TRIM(IF(AND($M238=0,$I238&lt;&gt;"Yes"),"T0-NoPhishResistant ","")&amp;IF($H238="No","NoMFA ","")&amp;IF(AND($E238="Yes",$G238=""),"NeverSignedIn ","")))</f>
        <v/>
      </c>
    </row>
    <row r="239" ht="15" customHeight="1" s="39">
      <c r="A239" s="85" t="n"/>
      <c r="B239" s="85" t="n"/>
      <c r="C239" s="85" t="n"/>
      <c r="D239" s="85" t="n"/>
      <c r="E239" s="85" t="n"/>
      <c r="F239" s="86" t="n"/>
      <c r="G239" s="86" t="n"/>
      <c r="H239" s="85" t="n"/>
      <c r="I239" s="85" t="n"/>
      <c r="J239" s="85" t="n"/>
      <c r="K239" s="85" t="n"/>
      <c r="L239" s="85" t="n"/>
      <c r="M239" s="85" t="n"/>
      <c r="N239" s="85" t="n"/>
      <c r="O239" s="85" t="n"/>
      <c r="P239" s="85" t="n"/>
      <c r="Q239" s="85" t="n"/>
      <c r="R239" s="85" t="n"/>
      <c r="S239" s="85">
        <f>IF($G239="","",TODAY()-$G239)</f>
        <v/>
      </c>
      <c r="T239" s="85">
        <f>IF($A239="","",IF(AND($E239="Yes",OR($O239="No",$O239="NOT FOUND")),"YES",""))</f>
        <v/>
      </c>
      <c r="U239" s="85">
        <f>IF($A239="","",TRIM(IF(AND($M239=0,$I239&lt;&gt;"Yes"),"T0-NoPhishResistant ","")&amp;IF($H239="No","NoMFA ","")&amp;IF(AND($E239="Yes",$G239=""),"NeverSignedIn ","")))</f>
        <v/>
      </c>
    </row>
    <row r="240" ht="15" customHeight="1" s="39">
      <c r="A240" s="85" t="n"/>
      <c r="B240" s="85" t="n"/>
      <c r="C240" s="85" t="n"/>
      <c r="D240" s="85" t="n"/>
      <c r="E240" s="85" t="n"/>
      <c r="F240" s="86" t="n"/>
      <c r="G240" s="86" t="n"/>
      <c r="H240" s="85" t="n"/>
      <c r="I240" s="85" t="n"/>
      <c r="J240" s="85" t="n"/>
      <c r="K240" s="85" t="n"/>
      <c r="L240" s="85" t="n"/>
      <c r="M240" s="85" t="n"/>
      <c r="N240" s="85" t="n"/>
      <c r="O240" s="85" t="n"/>
      <c r="P240" s="85" t="n"/>
      <c r="Q240" s="85" t="n"/>
      <c r="R240" s="85" t="n"/>
      <c r="S240" s="85">
        <f>IF($G240="","",TODAY()-$G240)</f>
        <v/>
      </c>
      <c r="T240" s="85">
        <f>IF($A240="","",IF(AND($E240="Yes",OR($O240="No",$O240="NOT FOUND")),"YES",""))</f>
        <v/>
      </c>
      <c r="U240" s="85">
        <f>IF($A240="","",TRIM(IF(AND($M240=0,$I240&lt;&gt;"Yes"),"T0-NoPhishResistant ","")&amp;IF($H240="No","NoMFA ","")&amp;IF(AND($E240="Yes",$G240=""),"NeverSignedIn ","")))</f>
        <v/>
      </c>
    </row>
    <row r="241" ht="15" customHeight="1" s="39">
      <c r="A241" s="85" t="n"/>
      <c r="B241" s="85" t="n"/>
      <c r="C241" s="85" t="n"/>
      <c r="D241" s="85" t="n"/>
      <c r="E241" s="85" t="n"/>
      <c r="F241" s="86" t="n"/>
      <c r="G241" s="86" t="n"/>
      <c r="H241" s="85" t="n"/>
      <c r="I241" s="85" t="n"/>
      <c r="J241" s="85" t="n"/>
      <c r="K241" s="85" t="n"/>
      <c r="L241" s="85" t="n"/>
      <c r="M241" s="85" t="n"/>
      <c r="N241" s="85" t="n"/>
      <c r="O241" s="85" t="n"/>
      <c r="P241" s="85" t="n"/>
      <c r="Q241" s="85" t="n"/>
      <c r="R241" s="85" t="n"/>
      <c r="S241" s="85">
        <f>IF($G241="","",TODAY()-$G241)</f>
        <v/>
      </c>
      <c r="T241" s="85">
        <f>IF($A241="","",IF(AND($E241="Yes",OR($O241="No",$O241="NOT FOUND")),"YES",""))</f>
        <v/>
      </c>
      <c r="U241" s="85">
        <f>IF($A241="","",TRIM(IF(AND($M241=0,$I241&lt;&gt;"Yes"),"T0-NoPhishResistant ","")&amp;IF($H241="No","NoMFA ","")&amp;IF(AND($E241="Yes",$G241=""),"NeverSignedIn ","")))</f>
        <v/>
      </c>
    </row>
    <row r="242" ht="15" customHeight="1" s="39">
      <c r="A242" s="85" t="n"/>
      <c r="B242" s="85" t="n"/>
      <c r="C242" s="85" t="n"/>
      <c r="D242" s="85" t="n"/>
      <c r="E242" s="85" t="n"/>
      <c r="F242" s="86" t="n"/>
      <c r="G242" s="86" t="n"/>
      <c r="H242" s="85" t="n"/>
      <c r="I242" s="85" t="n"/>
      <c r="J242" s="85" t="n"/>
      <c r="K242" s="85" t="n"/>
      <c r="L242" s="85" t="n"/>
      <c r="M242" s="85" t="n"/>
      <c r="N242" s="85" t="n"/>
      <c r="O242" s="85" t="n"/>
      <c r="P242" s="85" t="n"/>
      <c r="Q242" s="85" t="n"/>
      <c r="R242" s="85" t="n"/>
      <c r="S242" s="85">
        <f>IF($G242="","",TODAY()-$G242)</f>
        <v/>
      </c>
      <c r="T242" s="85">
        <f>IF($A242="","",IF(AND($E242="Yes",OR($O242="No",$O242="NOT FOUND")),"YES",""))</f>
        <v/>
      </c>
      <c r="U242" s="85">
        <f>IF($A242="","",TRIM(IF(AND($M242=0,$I242&lt;&gt;"Yes"),"T0-NoPhishResistant ","")&amp;IF($H242="No","NoMFA ","")&amp;IF(AND($E242="Yes",$G242=""),"NeverSignedIn ","")))</f>
        <v/>
      </c>
    </row>
    <row r="243" ht="15" customHeight="1" s="39">
      <c r="A243" s="85" t="n"/>
      <c r="B243" s="85" t="n"/>
      <c r="C243" s="85" t="n"/>
      <c r="D243" s="85" t="n"/>
      <c r="E243" s="85" t="n"/>
      <c r="F243" s="86" t="n"/>
      <c r="G243" s="86" t="n"/>
      <c r="H243" s="85" t="n"/>
      <c r="I243" s="85" t="n"/>
      <c r="J243" s="85" t="n"/>
      <c r="K243" s="85" t="n"/>
      <c r="L243" s="85" t="n"/>
      <c r="M243" s="85" t="n"/>
      <c r="N243" s="85" t="n"/>
      <c r="O243" s="85" t="n"/>
      <c r="P243" s="85" t="n"/>
      <c r="Q243" s="85" t="n"/>
      <c r="R243" s="85" t="n"/>
      <c r="S243" s="85">
        <f>IF($G243="","",TODAY()-$G243)</f>
        <v/>
      </c>
      <c r="T243" s="85">
        <f>IF($A243="","",IF(AND($E243="Yes",OR($O243="No",$O243="NOT FOUND")),"YES",""))</f>
        <v/>
      </c>
      <c r="U243" s="85">
        <f>IF($A243="","",TRIM(IF(AND($M243=0,$I243&lt;&gt;"Yes"),"T0-NoPhishResistant ","")&amp;IF($H243="No","NoMFA ","")&amp;IF(AND($E243="Yes",$G243=""),"NeverSignedIn ","")))</f>
        <v/>
      </c>
    </row>
    <row r="244" ht="15" customHeight="1" s="39">
      <c r="A244" s="85" t="n"/>
      <c r="B244" s="85" t="n"/>
      <c r="C244" s="85" t="n"/>
      <c r="D244" s="85" t="n"/>
      <c r="E244" s="85" t="n"/>
      <c r="F244" s="86" t="n"/>
      <c r="G244" s="86" t="n"/>
      <c r="H244" s="85" t="n"/>
      <c r="I244" s="85" t="n"/>
      <c r="J244" s="85" t="n"/>
      <c r="K244" s="85" t="n"/>
      <c r="L244" s="85" t="n"/>
      <c r="M244" s="85" t="n"/>
      <c r="N244" s="85" t="n"/>
      <c r="O244" s="85" t="n"/>
      <c r="P244" s="85" t="n"/>
      <c r="Q244" s="85" t="n"/>
      <c r="R244" s="85" t="n"/>
      <c r="S244" s="85">
        <f>IF($G244="","",TODAY()-$G244)</f>
        <v/>
      </c>
      <c r="T244" s="85">
        <f>IF($A244="","",IF(AND($E244="Yes",OR($O244="No",$O244="NOT FOUND")),"YES",""))</f>
        <v/>
      </c>
      <c r="U244" s="85">
        <f>IF($A244="","",TRIM(IF(AND($M244=0,$I244&lt;&gt;"Yes"),"T0-NoPhishResistant ","")&amp;IF($H244="No","NoMFA ","")&amp;IF(AND($E244="Yes",$G244=""),"NeverSignedIn ","")))</f>
        <v/>
      </c>
    </row>
    <row r="245" ht="15" customHeight="1" s="39">
      <c r="A245" s="85" t="n"/>
      <c r="B245" s="85" t="n"/>
      <c r="C245" s="85" t="n"/>
      <c r="D245" s="85" t="n"/>
      <c r="E245" s="85" t="n"/>
      <c r="F245" s="86" t="n"/>
      <c r="G245" s="86" t="n"/>
      <c r="H245" s="85" t="n"/>
      <c r="I245" s="85" t="n"/>
      <c r="J245" s="85" t="n"/>
      <c r="K245" s="85" t="n"/>
      <c r="L245" s="85" t="n"/>
      <c r="M245" s="85" t="n"/>
      <c r="N245" s="85" t="n"/>
      <c r="O245" s="85" t="n"/>
      <c r="P245" s="85" t="n"/>
      <c r="Q245" s="85" t="n"/>
      <c r="R245" s="85" t="n"/>
      <c r="S245" s="85">
        <f>IF($G245="","",TODAY()-$G245)</f>
        <v/>
      </c>
      <c r="T245" s="85">
        <f>IF($A245="","",IF(AND($E245="Yes",OR($O245="No",$O245="NOT FOUND")),"YES",""))</f>
        <v/>
      </c>
      <c r="U245" s="85">
        <f>IF($A245="","",TRIM(IF(AND($M245=0,$I245&lt;&gt;"Yes"),"T0-NoPhishResistant ","")&amp;IF($H245="No","NoMFA ","")&amp;IF(AND($E245="Yes",$G245=""),"NeverSignedIn ","")))</f>
        <v/>
      </c>
    </row>
    <row r="246" ht="15" customHeight="1" s="39">
      <c r="A246" s="85" t="n"/>
      <c r="B246" s="85" t="n"/>
      <c r="C246" s="85" t="n"/>
      <c r="D246" s="85" t="n"/>
      <c r="E246" s="85" t="n"/>
      <c r="F246" s="86" t="n"/>
      <c r="G246" s="86" t="n"/>
      <c r="H246" s="85" t="n"/>
      <c r="I246" s="85" t="n"/>
      <c r="J246" s="85" t="n"/>
      <c r="K246" s="85" t="n"/>
      <c r="L246" s="85" t="n"/>
      <c r="M246" s="85" t="n"/>
      <c r="N246" s="85" t="n"/>
      <c r="O246" s="85" t="n"/>
      <c r="P246" s="85" t="n"/>
      <c r="Q246" s="85" t="n"/>
      <c r="R246" s="85" t="n"/>
      <c r="S246" s="85">
        <f>IF($G246="","",TODAY()-$G246)</f>
        <v/>
      </c>
      <c r="T246" s="85">
        <f>IF($A246="","",IF(AND($E246="Yes",OR($O246="No",$O246="NOT FOUND")),"YES",""))</f>
        <v/>
      </c>
      <c r="U246" s="85">
        <f>IF($A246="","",TRIM(IF(AND($M246=0,$I246&lt;&gt;"Yes"),"T0-NoPhishResistant ","")&amp;IF($H246="No","NoMFA ","")&amp;IF(AND($E246="Yes",$G246=""),"NeverSignedIn ","")))</f>
        <v/>
      </c>
    </row>
    <row r="247" ht="15" customHeight="1" s="39">
      <c r="A247" s="85" t="n"/>
      <c r="B247" s="85" t="n"/>
      <c r="C247" s="85" t="n"/>
      <c r="D247" s="85" t="n"/>
      <c r="E247" s="85" t="n"/>
      <c r="F247" s="86" t="n"/>
      <c r="G247" s="86" t="n"/>
      <c r="H247" s="85" t="n"/>
      <c r="I247" s="85" t="n"/>
      <c r="J247" s="85" t="n"/>
      <c r="K247" s="85" t="n"/>
      <c r="L247" s="85" t="n"/>
      <c r="M247" s="85" t="n"/>
      <c r="N247" s="85" t="n"/>
      <c r="O247" s="85" t="n"/>
      <c r="P247" s="85" t="n"/>
      <c r="Q247" s="85" t="n"/>
      <c r="R247" s="85" t="n"/>
      <c r="S247" s="85">
        <f>IF($G247="","",TODAY()-$G247)</f>
        <v/>
      </c>
      <c r="T247" s="85">
        <f>IF($A247="","",IF(AND($E247="Yes",OR($O247="No",$O247="NOT FOUND")),"YES",""))</f>
        <v/>
      </c>
      <c r="U247" s="85">
        <f>IF($A247="","",TRIM(IF(AND($M247=0,$I247&lt;&gt;"Yes"),"T0-NoPhishResistant ","")&amp;IF($H247="No","NoMFA ","")&amp;IF(AND($E247="Yes",$G247=""),"NeverSignedIn ","")))</f>
        <v/>
      </c>
    </row>
    <row r="248" ht="15" customHeight="1" s="39">
      <c r="A248" s="85" t="n"/>
      <c r="B248" s="85" t="n"/>
      <c r="C248" s="85" t="n"/>
      <c r="D248" s="85" t="n"/>
      <c r="E248" s="85" t="n"/>
      <c r="F248" s="86" t="n"/>
      <c r="G248" s="86" t="n"/>
      <c r="H248" s="85" t="n"/>
      <c r="I248" s="85" t="n"/>
      <c r="J248" s="85" t="n"/>
      <c r="K248" s="85" t="n"/>
      <c r="L248" s="85" t="n"/>
      <c r="M248" s="85" t="n"/>
      <c r="N248" s="85" t="n"/>
      <c r="O248" s="85" t="n"/>
      <c r="P248" s="85" t="n"/>
      <c r="Q248" s="85" t="n"/>
      <c r="R248" s="85" t="n"/>
      <c r="S248" s="85">
        <f>IF($G248="","",TODAY()-$G248)</f>
        <v/>
      </c>
      <c r="T248" s="85">
        <f>IF($A248="","",IF(AND($E248="Yes",OR($O248="No",$O248="NOT FOUND")),"YES",""))</f>
        <v/>
      </c>
      <c r="U248" s="85">
        <f>IF($A248="","",TRIM(IF(AND($M248=0,$I248&lt;&gt;"Yes"),"T0-NoPhishResistant ","")&amp;IF($H248="No","NoMFA ","")&amp;IF(AND($E248="Yes",$G248=""),"NeverSignedIn ","")))</f>
        <v/>
      </c>
    </row>
    <row r="249" ht="15" customHeight="1" s="39">
      <c r="A249" s="85" t="n"/>
      <c r="B249" s="85" t="n"/>
      <c r="C249" s="85" t="n"/>
      <c r="D249" s="85" t="n"/>
      <c r="E249" s="85" t="n"/>
      <c r="F249" s="86" t="n"/>
      <c r="G249" s="86" t="n"/>
      <c r="H249" s="85" t="n"/>
      <c r="I249" s="85" t="n"/>
      <c r="J249" s="85" t="n"/>
      <c r="K249" s="85" t="n"/>
      <c r="L249" s="85" t="n"/>
      <c r="M249" s="85" t="n"/>
      <c r="N249" s="85" t="n"/>
      <c r="O249" s="85" t="n"/>
      <c r="P249" s="85" t="n"/>
      <c r="Q249" s="85" t="n"/>
      <c r="R249" s="85" t="n"/>
      <c r="S249" s="85">
        <f>IF($G249="","",TODAY()-$G249)</f>
        <v/>
      </c>
      <c r="T249" s="85">
        <f>IF($A249="","",IF(AND($E249="Yes",OR($O249="No",$O249="NOT FOUND")),"YES",""))</f>
        <v/>
      </c>
      <c r="U249" s="85">
        <f>IF($A249="","",TRIM(IF(AND($M249=0,$I249&lt;&gt;"Yes"),"T0-NoPhishResistant ","")&amp;IF($H249="No","NoMFA ","")&amp;IF(AND($E249="Yes",$G249=""),"NeverSignedIn ","")))</f>
        <v/>
      </c>
    </row>
    <row r="250" ht="15" customHeight="1" s="39">
      <c r="A250" s="85" t="n"/>
      <c r="B250" s="85" t="n"/>
      <c r="C250" s="85" t="n"/>
      <c r="D250" s="85" t="n"/>
      <c r="E250" s="85" t="n"/>
      <c r="F250" s="86" t="n"/>
      <c r="G250" s="86" t="n"/>
      <c r="H250" s="85" t="n"/>
      <c r="I250" s="85" t="n"/>
      <c r="J250" s="85" t="n"/>
      <c r="K250" s="85" t="n"/>
      <c r="L250" s="85" t="n"/>
      <c r="M250" s="85" t="n"/>
      <c r="N250" s="85" t="n"/>
      <c r="O250" s="85" t="n"/>
      <c r="P250" s="85" t="n"/>
      <c r="Q250" s="85" t="n"/>
      <c r="R250" s="85" t="n"/>
      <c r="S250" s="85">
        <f>IF($G250="","",TODAY()-$G250)</f>
        <v/>
      </c>
      <c r="T250" s="85">
        <f>IF($A250="","",IF(AND($E250="Yes",OR($O250="No",$O250="NOT FOUND")),"YES",""))</f>
        <v/>
      </c>
      <c r="U250" s="85">
        <f>IF($A250="","",TRIM(IF(AND($M250=0,$I250&lt;&gt;"Yes"),"T0-NoPhishResistant ","")&amp;IF($H250="No","NoMFA ","")&amp;IF(AND($E250="Yes",$G250=""),"NeverSignedIn ","")))</f>
        <v/>
      </c>
    </row>
    <row r="251" ht="15" customHeight="1" s="39">
      <c r="A251" s="85" t="n"/>
      <c r="B251" s="85" t="n"/>
      <c r="C251" s="85" t="n"/>
      <c r="D251" s="85" t="n"/>
      <c r="E251" s="85" t="n"/>
      <c r="F251" s="86" t="n"/>
      <c r="G251" s="86" t="n"/>
      <c r="H251" s="85" t="n"/>
      <c r="I251" s="85" t="n"/>
      <c r="J251" s="85" t="n"/>
      <c r="K251" s="85" t="n"/>
      <c r="L251" s="85" t="n"/>
      <c r="M251" s="85" t="n"/>
      <c r="N251" s="85" t="n"/>
      <c r="O251" s="85" t="n"/>
      <c r="P251" s="85" t="n"/>
      <c r="Q251" s="85" t="n"/>
      <c r="R251" s="85" t="n"/>
      <c r="S251" s="85">
        <f>IF($G251="","",TODAY()-$G251)</f>
        <v/>
      </c>
      <c r="T251" s="85">
        <f>IF($A251="","",IF(AND($E251="Yes",OR($O251="No",$O251="NOT FOUND")),"YES",""))</f>
        <v/>
      </c>
      <c r="U251" s="85">
        <f>IF($A251="","",TRIM(IF(AND($M251=0,$I251&lt;&gt;"Yes"),"T0-NoPhishResistant ","")&amp;IF($H251="No","NoMFA ","")&amp;IF(AND($E251="Yes",$G251=""),"NeverSignedIn ","")))</f>
        <v/>
      </c>
    </row>
    <row r="252" ht="15" customHeight="1" s="39">
      <c r="A252" s="85" t="n"/>
      <c r="B252" s="85" t="n"/>
      <c r="C252" s="85" t="n"/>
      <c r="D252" s="85" t="n"/>
      <c r="E252" s="85" t="n"/>
      <c r="F252" s="86" t="n"/>
      <c r="G252" s="86" t="n"/>
      <c r="H252" s="85" t="n"/>
      <c r="I252" s="85" t="n"/>
      <c r="J252" s="85" t="n"/>
      <c r="K252" s="85" t="n"/>
      <c r="L252" s="85" t="n"/>
      <c r="M252" s="85" t="n"/>
      <c r="N252" s="85" t="n"/>
      <c r="O252" s="85" t="n"/>
      <c r="P252" s="85" t="n"/>
      <c r="Q252" s="85" t="n"/>
      <c r="R252" s="85" t="n"/>
      <c r="S252" s="85">
        <f>IF($G252="","",TODAY()-$G252)</f>
        <v/>
      </c>
      <c r="T252" s="85">
        <f>IF($A252="","",IF(AND($E252="Yes",OR($O252="No",$O252="NOT FOUND")),"YES",""))</f>
        <v/>
      </c>
      <c r="U252" s="85">
        <f>IF($A252="","",TRIM(IF(AND($M252=0,$I252&lt;&gt;"Yes"),"T0-NoPhishResistant ","")&amp;IF($H252="No","NoMFA ","")&amp;IF(AND($E252="Yes",$G252=""),"NeverSignedIn ","")))</f>
        <v/>
      </c>
    </row>
    <row r="253" ht="15" customHeight="1" s="39">
      <c r="A253" s="85" t="n"/>
      <c r="B253" s="85" t="n"/>
      <c r="C253" s="85" t="n"/>
      <c r="D253" s="85" t="n"/>
      <c r="E253" s="85" t="n"/>
      <c r="F253" s="86" t="n"/>
      <c r="G253" s="86" t="n"/>
      <c r="H253" s="85" t="n"/>
      <c r="I253" s="85" t="n"/>
      <c r="J253" s="85" t="n"/>
      <c r="K253" s="85" t="n"/>
      <c r="L253" s="85" t="n"/>
      <c r="M253" s="85" t="n"/>
      <c r="N253" s="85" t="n"/>
      <c r="O253" s="85" t="n"/>
      <c r="P253" s="85" t="n"/>
      <c r="Q253" s="85" t="n"/>
      <c r="R253" s="85" t="n"/>
      <c r="S253" s="85">
        <f>IF($G253="","",TODAY()-$G253)</f>
        <v/>
      </c>
      <c r="T253" s="85">
        <f>IF($A253="","",IF(AND($E253="Yes",OR($O253="No",$O253="NOT FOUND")),"YES",""))</f>
        <v/>
      </c>
      <c r="U253" s="85">
        <f>IF($A253="","",TRIM(IF(AND($M253=0,$I253&lt;&gt;"Yes"),"T0-NoPhishResistant ","")&amp;IF($H253="No","NoMFA ","")&amp;IF(AND($E253="Yes",$G253=""),"NeverSignedIn ","")))</f>
        <v/>
      </c>
    </row>
    <row r="254" ht="15" customHeight="1" s="39">
      <c r="A254" s="85" t="n"/>
      <c r="B254" s="85" t="n"/>
      <c r="C254" s="85" t="n"/>
      <c r="D254" s="85" t="n"/>
      <c r="E254" s="85" t="n"/>
      <c r="F254" s="86" t="n"/>
      <c r="G254" s="86" t="n"/>
      <c r="H254" s="85" t="n"/>
      <c r="I254" s="85" t="n"/>
      <c r="J254" s="85" t="n"/>
      <c r="K254" s="85" t="n"/>
      <c r="L254" s="85" t="n"/>
      <c r="M254" s="85" t="n"/>
      <c r="N254" s="85" t="n"/>
      <c r="O254" s="85" t="n"/>
      <c r="P254" s="85" t="n"/>
      <c r="Q254" s="85" t="n"/>
      <c r="R254" s="85" t="n"/>
      <c r="S254" s="85">
        <f>IF($G254="","",TODAY()-$G254)</f>
        <v/>
      </c>
      <c r="T254" s="85">
        <f>IF($A254="","",IF(AND($E254="Yes",OR($O254="No",$O254="NOT FOUND")),"YES",""))</f>
        <v/>
      </c>
      <c r="U254" s="85">
        <f>IF($A254="","",TRIM(IF(AND($M254=0,$I254&lt;&gt;"Yes"),"T0-NoPhishResistant ","")&amp;IF($H254="No","NoMFA ","")&amp;IF(AND($E254="Yes",$G254=""),"NeverSignedIn ","")))</f>
        <v/>
      </c>
    </row>
    <row r="255" ht="15" customHeight="1" s="39">
      <c r="A255" s="85" t="n"/>
      <c r="B255" s="85" t="n"/>
      <c r="C255" s="85" t="n"/>
      <c r="D255" s="85" t="n"/>
      <c r="E255" s="85" t="n"/>
      <c r="F255" s="86" t="n"/>
      <c r="G255" s="86" t="n"/>
      <c r="H255" s="85" t="n"/>
      <c r="I255" s="85" t="n"/>
      <c r="J255" s="85" t="n"/>
      <c r="K255" s="85" t="n"/>
      <c r="L255" s="85" t="n"/>
      <c r="M255" s="85" t="n"/>
      <c r="N255" s="85" t="n"/>
      <c r="O255" s="85" t="n"/>
      <c r="P255" s="85" t="n"/>
      <c r="Q255" s="85" t="n"/>
      <c r="R255" s="85" t="n"/>
      <c r="S255" s="85">
        <f>IF($G255="","",TODAY()-$G255)</f>
        <v/>
      </c>
      <c r="T255" s="85">
        <f>IF($A255="","",IF(AND($E255="Yes",OR($O255="No",$O255="NOT FOUND")),"YES",""))</f>
        <v/>
      </c>
      <c r="U255" s="85">
        <f>IF($A255="","",TRIM(IF(AND($M255=0,$I255&lt;&gt;"Yes"),"T0-NoPhishResistant ","")&amp;IF($H255="No","NoMFA ","")&amp;IF(AND($E255="Yes",$G255=""),"NeverSignedIn ","")))</f>
        <v/>
      </c>
    </row>
    <row r="256" ht="15" customHeight="1" s="39">
      <c r="A256" s="85" t="n"/>
      <c r="B256" s="85" t="n"/>
      <c r="C256" s="85" t="n"/>
      <c r="D256" s="85" t="n"/>
      <c r="E256" s="85" t="n"/>
      <c r="F256" s="86" t="n"/>
      <c r="G256" s="86" t="n"/>
      <c r="H256" s="85" t="n"/>
      <c r="I256" s="85" t="n"/>
      <c r="J256" s="85" t="n"/>
      <c r="K256" s="85" t="n"/>
      <c r="L256" s="85" t="n"/>
      <c r="M256" s="85" t="n"/>
      <c r="N256" s="85" t="n"/>
      <c r="O256" s="85" t="n"/>
      <c r="P256" s="85" t="n"/>
      <c r="Q256" s="85" t="n"/>
      <c r="R256" s="85" t="n"/>
      <c r="S256" s="85">
        <f>IF($G256="","",TODAY()-$G256)</f>
        <v/>
      </c>
      <c r="T256" s="85">
        <f>IF($A256="","",IF(AND($E256="Yes",OR($O256="No",$O256="NOT FOUND")),"YES",""))</f>
        <v/>
      </c>
      <c r="U256" s="85">
        <f>IF($A256="","",TRIM(IF(AND($M256=0,$I256&lt;&gt;"Yes"),"T0-NoPhishResistant ","")&amp;IF($H256="No","NoMFA ","")&amp;IF(AND($E256="Yes",$G256=""),"NeverSignedIn ","")))</f>
        <v/>
      </c>
    </row>
    <row r="257" ht="15" customHeight="1" s="39">
      <c r="A257" s="85" t="n"/>
      <c r="B257" s="85" t="n"/>
      <c r="C257" s="85" t="n"/>
      <c r="D257" s="85" t="n"/>
      <c r="E257" s="85" t="n"/>
      <c r="F257" s="86" t="n"/>
      <c r="G257" s="86" t="n"/>
      <c r="H257" s="85" t="n"/>
      <c r="I257" s="85" t="n"/>
      <c r="J257" s="85" t="n"/>
      <c r="K257" s="85" t="n"/>
      <c r="L257" s="85" t="n"/>
      <c r="M257" s="85" t="n"/>
      <c r="N257" s="85" t="n"/>
      <c r="O257" s="85" t="n"/>
      <c r="P257" s="85" t="n"/>
      <c r="Q257" s="85" t="n"/>
      <c r="R257" s="85" t="n"/>
      <c r="S257" s="85">
        <f>IF($G257="","",TODAY()-$G257)</f>
        <v/>
      </c>
      <c r="T257" s="85">
        <f>IF($A257="","",IF(AND($E257="Yes",OR($O257="No",$O257="NOT FOUND")),"YES",""))</f>
        <v/>
      </c>
      <c r="U257" s="85">
        <f>IF($A257="","",TRIM(IF(AND($M257=0,$I257&lt;&gt;"Yes"),"T0-NoPhishResistant ","")&amp;IF($H257="No","NoMFA ","")&amp;IF(AND($E257="Yes",$G257=""),"NeverSignedIn ","")))</f>
        <v/>
      </c>
    </row>
    <row r="258" ht="15" customHeight="1" s="39">
      <c r="A258" s="85" t="n"/>
      <c r="B258" s="85" t="n"/>
      <c r="C258" s="85" t="n"/>
      <c r="D258" s="85" t="n"/>
      <c r="E258" s="85" t="n"/>
      <c r="F258" s="86" t="n"/>
      <c r="G258" s="86" t="n"/>
      <c r="H258" s="85" t="n"/>
      <c r="I258" s="85" t="n"/>
      <c r="J258" s="85" t="n"/>
      <c r="K258" s="85" t="n"/>
      <c r="L258" s="85" t="n"/>
      <c r="M258" s="85" t="n"/>
      <c r="N258" s="85" t="n"/>
      <c r="O258" s="85" t="n"/>
      <c r="P258" s="85" t="n"/>
      <c r="Q258" s="85" t="n"/>
      <c r="R258" s="85" t="n"/>
      <c r="S258" s="85">
        <f>IF($G258="","",TODAY()-$G258)</f>
        <v/>
      </c>
      <c r="T258" s="85">
        <f>IF($A258="","",IF(AND($E258="Yes",OR($O258="No",$O258="NOT FOUND")),"YES",""))</f>
        <v/>
      </c>
      <c r="U258" s="85">
        <f>IF($A258="","",TRIM(IF(AND($M258=0,$I258&lt;&gt;"Yes"),"T0-NoPhishResistant ","")&amp;IF($H258="No","NoMFA ","")&amp;IF(AND($E258="Yes",$G258=""),"NeverSignedIn ","")))</f>
        <v/>
      </c>
    </row>
    <row r="259" ht="15" customHeight="1" s="39">
      <c r="A259" s="85" t="n"/>
      <c r="B259" s="85" t="n"/>
      <c r="C259" s="85" t="n"/>
      <c r="D259" s="85" t="n"/>
      <c r="E259" s="85" t="n"/>
      <c r="F259" s="86" t="n"/>
      <c r="G259" s="86" t="n"/>
      <c r="H259" s="85" t="n"/>
      <c r="I259" s="85" t="n"/>
      <c r="J259" s="85" t="n"/>
      <c r="K259" s="85" t="n"/>
      <c r="L259" s="85" t="n"/>
      <c r="M259" s="85" t="n"/>
      <c r="N259" s="85" t="n"/>
      <c r="O259" s="85" t="n"/>
      <c r="P259" s="85" t="n"/>
      <c r="Q259" s="85" t="n"/>
      <c r="R259" s="85" t="n"/>
      <c r="S259" s="85">
        <f>IF($G259="","",TODAY()-$G259)</f>
        <v/>
      </c>
      <c r="T259" s="85">
        <f>IF($A259="","",IF(AND($E259="Yes",OR($O259="No",$O259="NOT FOUND")),"YES",""))</f>
        <v/>
      </c>
      <c r="U259" s="85">
        <f>IF($A259="","",TRIM(IF(AND($M259=0,$I259&lt;&gt;"Yes"),"T0-NoPhishResistant ","")&amp;IF($H259="No","NoMFA ","")&amp;IF(AND($E259="Yes",$G259=""),"NeverSignedIn ","")))</f>
        <v/>
      </c>
    </row>
    <row r="260" ht="15" customHeight="1" s="39">
      <c r="A260" s="85" t="n"/>
      <c r="B260" s="85" t="n"/>
      <c r="C260" s="85" t="n"/>
      <c r="D260" s="85" t="n"/>
      <c r="E260" s="85" t="n"/>
      <c r="F260" s="86" t="n"/>
      <c r="G260" s="86" t="n"/>
      <c r="H260" s="85" t="n"/>
      <c r="I260" s="85" t="n"/>
      <c r="J260" s="85" t="n"/>
      <c r="K260" s="85" t="n"/>
      <c r="L260" s="85" t="n"/>
      <c r="M260" s="85" t="n"/>
      <c r="N260" s="85" t="n"/>
      <c r="O260" s="85" t="n"/>
      <c r="P260" s="85" t="n"/>
      <c r="Q260" s="85" t="n"/>
      <c r="R260" s="85" t="n"/>
      <c r="S260" s="85">
        <f>IF($G260="","",TODAY()-$G260)</f>
        <v/>
      </c>
      <c r="T260" s="85">
        <f>IF($A260="","",IF(AND($E260="Yes",OR($O260="No",$O260="NOT FOUND")),"YES",""))</f>
        <v/>
      </c>
      <c r="U260" s="85">
        <f>IF($A260="","",TRIM(IF(AND($M260=0,$I260&lt;&gt;"Yes"),"T0-NoPhishResistant ","")&amp;IF($H260="No","NoMFA ","")&amp;IF(AND($E260="Yes",$G260=""),"NeverSignedIn ","")))</f>
        <v/>
      </c>
    </row>
    <row r="261" ht="15" customHeight="1" s="39">
      <c r="A261" s="85" t="n"/>
      <c r="B261" s="85" t="n"/>
      <c r="C261" s="85" t="n"/>
      <c r="D261" s="85" t="n"/>
      <c r="E261" s="85" t="n"/>
      <c r="F261" s="86" t="n"/>
      <c r="G261" s="86" t="n"/>
      <c r="H261" s="85" t="n"/>
      <c r="I261" s="85" t="n"/>
      <c r="J261" s="85" t="n"/>
      <c r="K261" s="85" t="n"/>
      <c r="L261" s="85" t="n"/>
      <c r="M261" s="85" t="n"/>
      <c r="N261" s="85" t="n"/>
      <c r="O261" s="85" t="n"/>
      <c r="P261" s="85" t="n"/>
      <c r="Q261" s="85" t="n"/>
      <c r="R261" s="85" t="n"/>
      <c r="S261" s="85">
        <f>IF($G261="","",TODAY()-$G261)</f>
        <v/>
      </c>
      <c r="T261" s="85">
        <f>IF($A261="","",IF(AND($E261="Yes",OR($O261="No",$O261="NOT FOUND")),"YES",""))</f>
        <v/>
      </c>
      <c r="U261" s="85">
        <f>IF($A261="","",TRIM(IF(AND($M261=0,$I261&lt;&gt;"Yes"),"T0-NoPhishResistant ","")&amp;IF($H261="No","NoMFA ","")&amp;IF(AND($E261="Yes",$G261=""),"NeverSignedIn ","")))</f>
        <v/>
      </c>
    </row>
    <row r="262" ht="15" customHeight="1" s="39">
      <c r="A262" s="85" t="n"/>
      <c r="B262" s="85" t="n"/>
      <c r="C262" s="85" t="n"/>
      <c r="D262" s="85" t="n"/>
      <c r="E262" s="85" t="n"/>
      <c r="F262" s="86" t="n"/>
      <c r="G262" s="86" t="n"/>
      <c r="H262" s="85" t="n"/>
      <c r="I262" s="85" t="n"/>
      <c r="J262" s="85" t="n"/>
      <c r="K262" s="85" t="n"/>
      <c r="L262" s="85" t="n"/>
      <c r="M262" s="85" t="n"/>
      <c r="N262" s="85" t="n"/>
      <c r="O262" s="85" t="n"/>
      <c r="P262" s="85" t="n"/>
      <c r="Q262" s="85" t="n"/>
      <c r="R262" s="85" t="n"/>
      <c r="S262" s="85">
        <f>IF($G262="","",TODAY()-$G262)</f>
        <v/>
      </c>
      <c r="T262" s="85">
        <f>IF($A262="","",IF(AND($E262="Yes",OR($O262="No",$O262="NOT FOUND")),"YES",""))</f>
        <v/>
      </c>
      <c r="U262" s="85">
        <f>IF($A262="","",TRIM(IF(AND($M262=0,$I262&lt;&gt;"Yes"),"T0-NoPhishResistant ","")&amp;IF($H262="No","NoMFA ","")&amp;IF(AND($E262="Yes",$G262=""),"NeverSignedIn ","")))</f>
        <v/>
      </c>
    </row>
    <row r="263" ht="15" customHeight="1" s="39">
      <c r="A263" s="85" t="n"/>
      <c r="B263" s="85" t="n"/>
      <c r="C263" s="85" t="n"/>
      <c r="D263" s="85" t="n"/>
      <c r="E263" s="85" t="n"/>
      <c r="F263" s="86" t="n"/>
      <c r="G263" s="86" t="n"/>
      <c r="H263" s="85" t="n"/>
      <c r="I263" s="85" t="n"/>
      <c r="J263" s="85" t="n"/>
      <c r="K263" s="85" t="n"/>
      <c r="L263" s="85" t="n"/>
      <c r="M263" s="85" t="n"/>
      <c r="N263" s="85" t="n"/>
      <c r="O263" s="85" t="n"/>
      <c r="P263" s="85" t="n"/>
      <c r="Q263" s="85" t="n"/>
      <c r="R263" s="85" t="n"/>
      <c r="S263" s="85">
        <f>IF($G263="","",TODAY()-$G263)</f>
        <v/>
      </c>
      <c r="T263" s="85">
        <f>IF($A263="","",IF(AND($E263="Yes",OR($O263="No",$O263="NOT FOUND")),"YES",""))</f>
        <v/>
      </c>
      <c r="U263" s="85">
        <f>IF($A263="","",TRIM(IF(AND($M263=0,$I263&lt;&gt;"Yes"),"T0-NoPhishResistant ","")&amp;IF($H263="No","NoMFA ","")&amp;IF(AND($E263="Yes",$G263=""),"NeverSignedIn ","")))</f>
        <v/>
      </c>
    </row>
    <row r="264" ht="15" customHeight="1" s="39">
      <c r="A264" s="85" t="n"/>
      <c r="B264" s="85" t="n"/>
      <c r="C264" s="85" t="n"/>
      <c r="D264" s="85" t="n"/>
      <c r="E264" s="85" t="n"/>
      <c r="F264" s="86" t="n"/>
      <c r="G264" s="86" t="n"/>
      <c r="H264" s="85" t="n"/>
      <c r="I264" s="85" t="n"/>
      <c r="J264" s="85" t="n"/>
      <c r="K264" s="85" t="n"/>
      <c r="L264" s="85" t="n"/>
      <c r="M264" s="85" t="n"/>
      <c r="N264" s="85" t="n"/>
      <c r="O264" s="85" t="n"/>
      <c r="P264" s="85" t="n"/>
      <c r="Q264" s="85" t="n"/>
      <c r="R264" s="85" t="n"/>
      <c r="S264" s="85">
        <f>IF($G264="","",TODAY()-$G264)</f>
        <v/>
      </c>
      <c r="T264" s="85">
        <f>IF($A264="","",IF(AND($E264="Yes",OR($O264="No",$O264="NOT FOUND")),"YES",""))</f>
        <v/>
      </c>
      <c r="U264" s="85">
        <f>IF($A264="","",TRIM(IF(AND($M264=0,$I264&lt;&gt;"Yes"),"T0-NoPhishResistant ","")&amp;IF($H264="No","NoMFA ","")&amp;IF(AND($E264="Yes",$G264=""),"NeverSignedIn ","")))</f>
        <v/>
      </c>
    </row>
    <row r="265" ht="15" customHeight="1" s="39">
      <c r="A265" s="85" t="n"/>
      <c r="B265" s="85" t="n"/>
      <c r="C265" s="85" t="n"/>
      <c r="D265" s="85" t="n"/>
      <c r="E265" s="85" t="n"/>
      <c r="F265" s="86" t="n"/>
      <c r="G265" s="86" t="n"/>
      <c r="H265" s="85" t="n"/>
      <c r="I265" s="85" t="n"/>
      <c r="J265" s="85" t="n"/>
      <c r="K265" s="85" t="n"/>
      <c r="L265" s="85" t="n"/>
      <c r="M265" s="85" t="n"/>
      <c r="N265" s="85" t="n"/>
      <c r="O265" s="85" t="n"/>
      <c r="P265" s="85" t="n"/>
      <c r="Q265" s="85" t="n"/>
      <c r="R265" s="85" t="n"/>
      <c r="S265" s="85">
        <f>IF($G265="","",TODAY()-$G265)</f>
        <v/>
      </c>
      <c r="T265" s="85">
        <f>IF($A265="","",IF(AND($E265="Yes",OR($O265="No",$O265="NOT FOUND")),"YES",""))</f>
        <v/>
      </c>
      <c r="U265" s="85">
        <f>IF($A265="","",TRIM(IF(AND($M265=0,$I265&lt;&gt;"Yes"),"T0-NoPhishResistant ","")&amp;IF($H265="No","NoMFA ","")&amp;IF(AND($E265="Yes",$G265=""),"NeverSignedIn ","")))</f>
        <v/>
      </c>
    </row>
    <row r="266" ht="15" customHeight="1" s="39">
      <c r="A266" s="85" t="n"/>
      <c r="B266" s="85" t="n"/>
      <c r="C266" s="85" t="n"/>
      <c r="D266" s="85" t="n"/>
      <c r="E266" s="85" t="n"/>
      <c r="F266" s="86" t="n"/>
      <c r="G266" s="86" t="n"/>
      <c r="H266" s="85" t="n"/>
      <c r="I266" s="85" t="n"/>
      <c r="J266" s="85" t="n"/>
      <c r="K266" s="85" t="n"/>
      <c r="L266" s="85" t="n"/>
      <c r="M266" s="85" t="n"/>
      <c r="N266" s="85" t="n"/>
      <c r="O266" s="85" t="n"/>
      <c r="P266" s="85" t="n"/>
      <c r="Q266" s="85" t="n"/>
      <c r="R266" s="85" t="n"/>
      <c r="S266" s="85">
        <f>IF($G266="","",TODAY()-$G266)</f>
        <v/>
      </c>
      <c r="T266" s="85">
        <f>IF($A266="","",IF(AND($E266="Yes",OR($O266="No",$O266="NOT FOUND")),"YES",""))</f>
        <v/>
      </c>
      <c r="U266" s="85">
        <f>IF($A266="","",TRIM(IF(AND($M266=0,$I266&lt;&gt;"Yes"),"T0-NoPhishResistant ","")&amp;IF($H266="No","NoMFA ","")&amp;IF(AND($E266="Yes",$G266=""),"NeverSignedIn ","")))</f>
        <v/>
      </c>
    </row>
    <row r="267" ht="15" customHeight="1" s="39">
      <c r="A267" s="85" t="n"/>
      <c r="B267" s="85" t="n"/>
      <c r="C267" s="85" t="n"/>
      <c r="D267" s="85" t="n"/>
      <c r="E267" s="85" t="n"/>
      <c r="F267" s="86" t="n"/>
      <c r="G267" s="86" t="n"/>
      <c r="H267" s="85" t="n"/>
      <c r="I267" s="85" t="n"/>
      <c r="J267" s="85" t="n"/>
      <c r="K267" s="85" t="n"/>
      <c r="L267" s="85" t="n"/>
      <c r="M267" s="85" t="n"/>
      <c r="N267" s="85" t="n"/>
      <c r="O267" s="85" t="n"/>
      <c r="P267" s="85" t="n"/>
      <c r="Q267" s="85" t="n"/>
      <c r="R267" s="85" t="n"/>
      <c r="S267" s="85">
        <f>IF($G267="","",TODAY()-$G267)</f>
        <v/>
      </c>
      <c r="T267" s="85">
        <f>IF($A267="","",IF(AND($E267="Yes",OR($O267="No",$O267="NOT FOUND")),"YES",""))</f>
        <v/>
      </c>
      <c r="U267" s="85">
        <f>IF($A267="","",TRIM(IF(AND($M267=0,$I267&lt;&gt;"Yes"),"T0-NoPhishResistant ","")&amp;IF($H267="No","NoMFA ","")&amp;IF(AND($E267="Yes",$G267=""),"NeverSignedIn ","")))</f>
        <v/>
      </c>
    </row>
    <row r="268" ht="15" customHeight="1" s="39">
      <c r="A268" s="85" t="n"/>
      <c r="B268" s="85" t="n"/>
      <c r="C268" s="85" t="n"/>
      <c r="D268" s="85" t="n"/>
      <c r="E268" s="85" t="n"/>
      <c r="F268" s="86" t="n"/>
      <c r="G268" s="86" t="n"/>
      <c r="H268" s="85" t="n"/>
      <c r="I268" s="85" t="n"/>
      <c r="J268" s="85" t="n"/>
      <c r="K268" s="85" t="n"/>
      <c r="L268" s="85" t="n"/>
      <c r="M268" s="85" t="n"/>
      <c r="N268" s="85" t="n"/>
      <c r="O268" s="85" t="n"/>
      <c r="P268" s="85" t="n"/>
      <c r="Q268" s="85" t="n"/>
      <c r="R268" s="85" t="n"/>
      <c r="S268" s="85">
        <f>IF($G268="","",TODAY()-$G268)</f>
        <v/>
      </c>
      <c r="T268" s="85">
        <f>IF($A268="","",IF(AND($E268="Yes",OR($O268="No",$O268="NOT FOUND")),"YES",""))</f>
        <v/>
      </c>
      <c r="U268" s="85">
        <f>IF($A268="","",TRIM(IF(AND($M268=0,$I268&lt;&gt;"Yes"),"T0-NoPhishResistant ","")&amp;IF($H268="No","NoMFA ","")&amp;IF(AND($E268="Yes",$G268=""),"NeverSignedIn ","")))</f>
        <v/>
      </c>
    </row>
    <row r="269" ht="15" customHeight="1" s="39">
      <c r="A269" s="85" t="n"/>
      <c r="B269" s="85" t="n"/>
      <c r="C269" s="85" t="n"/>
      <c r="D269" s="85" t="n"/>
      <c r="E269" s="85" t="n"/>
      <c r="F269" s="86" t="n"/>
      <c r="G269" s="86" t="n"/>
      <c r="H269" s="85" t="n"/>
      <c r="I269" s="85" t="n"/>
      <c r="J269" s="85" t="n"/>
      <c r="K269" s="85" t="n"/>
      <c r="L269" s="85" t="n"/>
      <c r="M269" s="85" t="n"/>
      <c r="N269" s="85" t="n"/>
      <c r="O269" s="85" t="n"/>
      <c r="P269" s="85" t="n"/>
      <c r="Q269" s="85" t="n"/>
      <c r="R269" s="85" t="n"/>
      <c r="S269" s="85">
        <f>IF($G269="","",TODAY()-$G269)</f>
        <v/>
      </c>
      <c r="T269" s="85">
        <f>IF($A269="","",IF(AND($E269="Yes",OR($O269="No",$O269="NOT FOUND")),"YES",""))</f>
        <v/>
      </c>
      <c r="U269" s="85">
        <f>IF($A269="","",TRIM(IF(AND($M269=0,$I269&lt;&gt;"Yes"),"T0-NoPhishResistant ","")&amp;IF($H269="No","NoMFA ","")&amp;IF(AND($E269="Yes",$G269=""),"NeverSignedIn ","")))</f>
        <v/>
      </c>
    </row>
    <row r="270" ht="15" customHeight="1" s="39">
      <c r="A270" s="85" t="n"/>
      <c r="B270" s="85" t="n"/>
      <c r="C270" s="85" t="n"/>
      <c r="D270" s="85" t="n"/>
      <c r="E270" s="85" t="n"/>
      <c r="F270" s="86" t="n"/>
      <c r="G270" s="86" t="n"/>
      <c r="H270" s="85" t="n"/>
      <c r="I270" s="85" t="n"/>
      <c r="J270" s="85" t="n"/>
      <c r="K270" s="85" t="n"/>
      <c r="L270" s="85" t="n"/>
      <c r="M270" s="85" t="n"/>
      <c r="N270" s="85" t="n"/>
      <c r="O270" s="85" t="n"/>
      <c r="P270" s="85" t="n"/>
      <c r="Q270" s="85" t="n"/>
      <c r="R270" s="85" t="n"/>
      <c r="S270" s="85">
        <f>IF($G270="","",TODAY()-$G270)</f>
        <v/>
      </c>
      <c r="T270" s="85">
        <f>IF($A270="","",IF(AND($E270="Yes",OR($O270="No",$O270="NOT FOUND")),"YES",""))</f>
        <v/>
      </c>
      <c r="U270" s="85">
        <f>IF($A270="","",TRIM(IF(AND($M270=0,$I270&lt;&gt;"Yes"),"T0-NoPhishResistant ","")&amp;IF($H270="No","NoMFA ","")&amp;IF(AND($E270="Yes",$G270=""),"NeverSignedIn ","")))</f>
        <v/>
      </c>
    </row>
    <row r="271" ht="15" customHeight="1" s="39">
      <c r="A271" s="85" t="n"/>
      <c r="B271" s="85" t="n"/>
      <c r="C271" s="85" t="n"/>
      <c r="D271" s="85" t="n"/>
      <c r="E271" s="85" t="n"/>
      <c r="F271" s="86" t="n"/>
      <c r="G271" s="86" t="n"/>
      <c r="H271" s="85" t="n"/>
      <c r="I271" s="85" t="n"/>
      <c r="J271" s="85" t="n"/>
      <c r="K271" s="85" t="n"/>
      <c r="L271" s="85" t="n"/>
      <c r="M271" s="85" t="n"/>
      <c r="N271" s="85" t="n"/>
      <c r="O271" s="85" t="n"/>
      <c r="P271" s="85" t="n"/>
      <c r="Q271" s="85" t="n"/>
      <c r="R271" s="85" t="n"/>
      <c r="S271" s="85">
        <f>IF($G271="","",TODAY()-$G271)</f>
        <v/>
      </c>
      <c r="T271" s="85">
        <f>IF($A271="","",IF(AND($E271="Yes",OR($O271="No",$O271="NOT FOUND")),"YES",""))</f>
        <v/>
      </c>
      <c r="U271" s="85">
        <f>IF($A271="","",TRIM(IF(AND($M271=0,$I271&lt;&gt;"Yes"),"T0-NoPhishResistant ","")&amp;IF($H271="No","NoMFA ","")&amp;IF(AND($E271="Yes",$G271=""),"NeverSignedIn ","")))</f>
        <v/>
      </c>
    </row>
    <row r="272" ht="15" customHeight="1" s="39">
      <c r="A272" s="85" t="n"/>
      <c r="B272" s="85" t="n"/>
      <c r="C272" s="85" t="n"/>
      <c r="D272" s="85" t="n"/>
      <c r="E272" s="85" t="n"/>
      <c r="F272" s="86" t="n"/>
      <c r="G272" s="86" t="n"/>
      <c r="H272" s="85" t="n"/>
      <c r="I272" s="85" t="n"/>
      <c r="J272" s="85" t="n"/>
      <c r="K272" s="85" t="n"/>
      <c r="L272" s="85" t="n"/>
      <c r="M272" s="85" t="n"/>
      <c r="N272" s="85" t="n"/>
      <c r="O272" s="85" t="n"/>
      <c r="P272" s="85" t="n"/>
      <c r="Q272" s="85" t="n"/>
      <c r="R272" s="85" t="n"/>
      <c r="S272" s="85">
        <f>IF($G272="","",TODAY()-$G272)</f>
        <v/>
      </c>
      <c r="T272" s="85">
        <f>IF($A272="","",IF(AND($E272="Yes",OR($O272="No",$O272="NOT FOUND")),"YES",""))</f>
        <v/>
      </c>
      <c r="U272" s="85">
        <f>IF($A272="","",TRIM(IF(AND($M272=0,$I272&lt;&gt;"Yes"),"T0-NoPhishResistant ","")&amp;IF($H272="No","NoMFA ","")&amp;IF(AND($E272="Yes",$G272=""),"NeverSignedIn ","")))</f>
        <v/>
      </c>
    </row>
    <row r="273" ht="15" customHeight="1" s="39">
      <c r="A273" s="85" t="n"/>
      <c r="B273" s="85" t="n"/>
      <c r="C273" s="85" t="n"/>
      <c r="D273" s="85" t="n"/>
      <c r="E273" s="85" t="n"/>
      <c r="F273" s="86" t="n"/>
      <c r="G273" s="86" t="n"/>
      <c r="H273" s="85" t="n"/>
      <c r="I273" s="85" t="n"/>
      <c r="J273" s="85" t="n"/>
      <c r="K273" s="85" t="n"/>
      <c r="L273" s="85" t="n"/>
      <c r="M273" s="85" t="n"/>
      <c r="N273" s="85" t="n"/>
      <c r="O273" s="85" t="n"/>
      <c r="P273" s="85" t="n"/>
      <c r="Q273" s="85" t="n"/>
      <c r="R273" s="85" t="n"/>
      <c r="S273" s="85">
        <f>IF($G273="","",TODAY()-$G273)</f>
        <v/>
      </c>
      <c r="T273" s="85">
        <f>IF($A273="","",IF(AND($E273="Yes",OR($O273="No",$O273="NOT FOUND")),"YES",""))</f>
        <v/>
      </c>
      <c r="U273" s="85">
        <f>IF($A273="","",TRIM(IF(AND($M273=0,$I273&lt;&gt;"Yes"),"T0-NoPhishResistant ","")&amp;IF($H273="No","NoMFA ","")&amp;IF(AND($E273="Yes",$G273=""),"NeverSignedIn ","")))</f>
        <v/>
      </c>
    </row>
    <row r="274" ht="15" customHeight="1" s="39">
      <c r="A274" s="85" t="n"/>
      <c r="B274" s="85" t="n"/>
      <c r="C274" s="85" t="n"/>
      <c r="D274" s="85" t="n"/>
      <c r="E274" s="85" t="n"/>
      <c r="F274" s="86" t="n"/>
      <c r="G274" s="86" t="n"/>
      <c r="H274" s="85" t="n"/>
      <c r="I274" s="85" t="n"/>
      <c r="J274" s="85" t="n"/>
      <c r="K274" s="85" t="n"/>
      <c r="L274" s="85" t="n"/>
      <c r="M274" s="85" t="n"/>
      <c r="N274" s="85" t="n"/>
      <c r="O274" s="85" t="n"/>
      <c r="P274" s="85" t="n"/>
      <c r="Q274" s="85" t="n"/>
      <c r="R274" s="85" t="n"/>
      <c r="S274" s="85">
        <f>IF($G274="","",TODAY()-$G274)</f>
        <v/>
      </c>
      <c r="T274" s="85">
        <f>IF($A274="","",IF(AND($E274="Yes",OR($O274="No",$O274="NOT FOUND")),"YES",""))</f>
        <v/>
      </c>
      <c r="U274" s="85">
        <f>IF($A274="","",TRIM(IF(AND($M274=0,$I274&lt;&gt;"Yes"),"T0-NoPhishResistant ","")&amp;IF($H274="No","NoMFA ","")&amp;IF(AND($E274="Yes",$G274=""),"NeverSignedIn ","")))</f>
        <v/>
      </c>
    </row>
    <row r="275" ht="15" customHeight="1" s="39">
      <c r="A275" s="85" t="n"/>
      <c r="B275" s="85" t="n"/>
      <c r="C275" s="85" t="n"/>
      <c r="D275" s="85" t="n"/>
      <c r="E275" s="85" t="n"/>
      <c r="F275" s="86" t="n"/>
      <c r="G275" s="86" t="n"/>
      <c r="H275" s="85" t="n"/>
      <c r="I275" s="85" t="n"/>
      <c r="J275" s="85" t="n"/>
      <c r="K275" s="85" t="n"/>
      <c r="L275" s="85" t="n"/>
      <c r="M275" s="85" t="n"/>
      <c r="N275" s="85" t="n"/>
      <c r="O275" s="85" t="n"/>
      <c r="P275" s="85" t="n"/>
      <c r="Q275" s="85" t="n"/>
      <c r="R275" s="85" t="n"/>
      <c r="S275" s="85">
        <f>IF($G275="","",TODAY()-$G275)</f>
        <v/>
      </c>
      <c r="T275" s="85">
        <f>IF($A275="","",IF(AND($E275="Yes",OR($O275="No",$O275="NOT FOUND")),"YES",""))</f>
        <v/>
      </c>
      <c r="U275" s="85">
        <f>IF($A275="","",TRIM(IF(AND($M275=0,$I275&lt;&gt;"Yes"),"T0-NoPhishResistant ","")&amp;IF($H275="No","NoMFA ","")&amp;IF(AND($E275="Yes",$G275=""),"NeverSignedIn ","")))</f>
        <v/>
      </c>
    </row>
    <row r="276" ht="15" customHeight="1" s="39">
      <c r="A276" s="85" t="n"/>
      <c r="B276" s="85" t="n"/>
      <c r="C276" s="85" t="n"/>
      <c r="D276" s="85" t="n"/>
      <c r="E276" s="85" t="n"/>
      <c r="F276" s="86" t="n"/>
      <c r="G276" s="86" t="n"/>
      <c r="H276" s="85" t="n"/>
      <c r="I276" s="85" t="n"/>
      <c r="J276" s="85" t="n"/>
      <c r="K276" s="85" t="n"/>
      <c r="L276" s="85" t="n"/>
      <c r="M276" s="85" t="n"/>
      <c r="N276" s="85" t="n"/>
      <c r="O276" s="85" t="n"/>
      <c r="P276" s="85" t="n"/>
      <c r="Q276" s="85" t="n"/>
      <c r="R276" s="85" t="n"/>
      <c r="S276" s="85">
        <f>IF($G276="","",TODAY()-$G276)</f>
        <v/>
      </c>
      <c r="T276" s="85">
        <f>IF($A276="","",IF(AND($E276="Yes",OR($O276="No",$O276="NOT FOUND")),"YES",""))</f>
        <v/>
      </c>
      <c r="U276" s="85">
        <f>IF($A276="","",TRIM(IF(AND($M276=0,$I276&lt;&gt;"Yes"),"T0-NoPhishResistant ","")&amp;IF($H276="No","NoMFA ","")&amp;IF(AND($E276="Yes",$G276=""),"NeverSignedIn ","")))</f>
        <v/>
      </c>
    </row>
    <row r="277" ht="15" customHeight="1" s="39">
      <c r="A277" s="85" t="n"/>
      <c r="B277" s="85" t="n"/>
      <c r="C277" s="85" t="n"/>
      <c r="D277" s="85" t="n"/>
      <c r="E277" s="85" t="n"/>
      <c r="F277" s="86" t="n"/>
      <c r="G277" s="86" t="n"/>
      <c r="H277" s="85" t="n"/>
      <c r="I277" s="85" t="n"/>
      <c r="J277" s="85" t="n"/>
      <c r="K277" s="85" t="n"/>
      <c r="L277" s="85" t="n"/>
      <c r="M277" s="85" t="n"/>
      <c r="N277" s="85" t="n"/>
      <c r="O277" s="85" t="n"/>
      <c r="P277" s="85" t="n"/>
      <c r="Q277" s="85" t="n"/>
      <c r="R277" s="85" t="n"/>
      <c r="S277" s="85">
        <f>IF($G277="","",TODAY()-$G277)</f>
        <v/>
      </c>
      <c r="T277" s="85">
        <f>IF($A277="","",IF(AND($E277="Yes",OR($O277="No",$O277="NOT FOUND")),"YES",""))</f>
        <v/>
      </c>
      <c r="U277" s="85">
        <f>IF($A277="","",TRIM(IF(AND($M277=0,$I277&lt;&gt;"Yes"),"T0-NoPhishResistant ","")&amp;IF($H277="No","NoMFA ","")&amp;IF(AND($E277="Yes",$G277=""),"NeverSignedIn ","")))</f>
        <v/>
      </c>
    </row>
    <row r="278" ht="15" customHeight="1" s="39">
      <c r="A278" s="85" t="n"/>
      <c r="B278" s="85" t="n"/>
      <c r="C278" s="85" t="n"/>
      <c r="D278" s="85" t="n"/>
      <c r="E278" s="85" t="n"/>
      <c r="F278" s="86" t="n"/>
      <c r="G278" s="86" t="n"/>
      <c r="H278" s="85" t="n"/>
      <c r="I278" s="85" t="n"/>
      <c r="J278" s="85" t="n"/>
      <c r="K278" s="85" t="n"/>
      <c r="L278" s="85" t="n"/>
      <c r="M278" s="85" t="n"/>
      <c r="N278" s="85" t="n"/>
      <c r="O278" s="85" t="n"/>
      <c r="P278" s="85" t="n"/>
      <c r="Q278" s="85" t="n"/>
      <c r="R278" s="85" t="n"/>
      <c r="S278" s="85">
        <f>IF($G278="","",TODAY()-$G278)</f>
        <v/>
      </c>
      <c r="T278" s="85">
        <f>IF($A278="","",IF(AND($E278="Yes",OR($O278="No",$O278="NOT FOUND")),"YES",""))</f>
        <v/>
      </c>
      <c r="U278" s="85">
        <f>IF($A278="","",TRIM(IF(AND($M278=0,$I278&lt;&gt;"Yes"),"T0-NoPhishResistant ","")&amp;IF($H278="No","NoMFA ","")&amp;IF(AND($E278="Yes",$G278=""),"NeverSignedIn ","")))</f>
        <v/>
      </c>
    </row>
    <row r="279" ht="15" customHeight="1" s="39">
      <c r="A279" s="85" t="n"/>
      <c r="B279" s="85" t="n"/>
      <c r="C279" s="85" t="n"/>
      <c r="D279" s="85" t="n"/>
      <c r="E279" s="85" t="n"/>
      <c r="F279" s="86" t="n"/>
      <c r="G279" s="86" t="n"/>
      <c r="H279" s="85" t="n"/>
      <c r="I279" s="85" t="n"/>
      <c r="J279" s="85" t="n"/>
      <c r="K279" s="85" t="n"/>
      <c r="L279" s="85" t="n"/>
      <c r="M279" s="85" t="n"/>
      <c r="N279" s="85" t="n"/>
      <c r="O279" s="85" t="n"/>
      <c r="P279" s="85" t="n"/>
      <c r="Q279" s="85" t="n"/>
      <c r="R279" s="85" t="n"/>
      <c r="S279" s="85">
        <f>IF($G279="","",TODAY()-$G279)</f>
        <v/>
      </c>
      <c r="T279" s="85">
        <f>IF($A279="","",IF(AND($E279="Yes",OR($O279="No",$O279="NOT FOUND")),"YES",""))</f>
        <v/>
      </c>
      <c r="U279" s="85">
        <f>IF($A279="","",TRIM(IF(AND($M279=0,$I279&lt;&gt;"Yes"),"T0-NoPhishResistant ","")&amp;IF($H279="No","NoMFA ","")&amp;IF(AND($E279="Yes",$G279=""),"NeverSignedIn ","")))</f>
        <v/>
      </c>
    </row>
    <row r="280" ht="15" customHeight="1" s="39">
      <c r="A280" s="85" t="n"/>
      <c r="B280" s="85" t="n"/>
      <c r="C280" s="85" t="n"/>
      <c r="D280" s="85" t="n"/>
      <c r="E280" s="85" t="n"/>
      <c r="F280" s="86" t="n"/>
      <c r="G280" s="86" t="n"/>
      <c r="H280" s="85" t="n"/>
      <c r="I280" s="85" t="n"/>
      <c r="J280" s="85" t="n"/>
      <c r="K280" s="85" t="n"/>
      <c r="L280" s="85" t="n"/>
      <c r="M280" s="85" t="n"/>
      <c r="N280" s="85" t="n"/>
      <c r="O280" s="85" t="n"/>
      <c r="P280" s="85" t="n"/>
      <c r="Q280" s="85" t="n"/>
      <c r="R280" s="85" t="n"/>
      <c r="S280" s="85">
        <f>IF($G280="","",TODAY()-$G280)</f>
        <v/>
      </c>
      <c r="T280" s="85">
        <f>IF($A280="","",IF(AND($E280="Yes",OR($O280="No",$O280="NOT FOUND")),"YES",""))</f>
        <v/>
      </c>
      <c r="U280" s="85">
        <f>IF($A280="","",TRIM(IF(AND($M280=0,$I280&lt;&gt;"Yes"),"T0-NoPhishResistant ","")&amp;IF($H280="No","NoMFA ","")&amp;IF(AND($E280="Yes",$G280=""),"NeverSignedIn ","")))</f>
        <v/>
      </c>
    </row>
    <row r="281" ht="15" customHeight="1" s="39">
      <c r="A281" s="85" t="n"/>
      <c r="B281" s="85" t="n"/>
      <c r="C281" s="85" t="n"/>
      <c r="D281" s="85" t="n"/>
      <c r="E281" s="85" t="n"/>
      <c r="F281" s="86" t="n"/>
      <c r="G281" s="86" t="n"/>
      <c r="H281" s="85" t="n"/>
      <c r="I281" s="85" t="n"/>
      <c r="J281" s="85" t="n"/>
      <c r="K281" s="85" t="n"/>
      <c r="L281" s="85" t="n"/>
      <c r="M281" s="85" t="n"/>
      <c r="N281" s="85" t="n"/>
      <c r="O281" s="85" t="n"/>
      <c r="P281" s="85" t="n"/>
      <c r="Q281" s="85" t="n"/>
      <c r="R281" s="85" t="n"/>
      <c r="S281" s="85">
        <f>IF($G281="","",TODAY()-$G281)</f>
        <v/>
      </c>
      <c r="T281" s="85">
        <f>IF($A281="","",IF(AND($E281="Yes",OR($O281="No",$O281="NOT FOUND")),"YES",""))</f>
        <v/>
      </c>
      <c r="U281" s="85">
        <f>IF($A281="","",TRIM(IF(AND($M281=0,$I281&lt;&gt;"Yes"),"T0-NoPhishResistant ","")&amp;IF($H281="No","NoMFA ","")&amp;IF(AND($E281="Yes",$G281=""),"NeverSignedIn ","")))</f>
        <v/>
      </c>
    </row>
    <row r="282" ht="15" customHeight="1" s="39">
      <c r="A282" s="85" t="n"/>
      <c r="B282" s="85" t="n"/>
      <c r="C282" s="85" t="n"/>
      <c r="D282" s="85" t="n"/>
      <c r="E282" s="85" t="n"/>
      <c r="F282" s="86" t="n"/>
      <c r="G282" s="86" t="n"/>
      <c r="H282" s="85" t="n"/>
      <c r="I282" s="85" t="n"/>
      <c r="J282" s="85" t="n"/>
      <c r="K282" s="85" t="n"/>
      <c r="L282" s="85" t="n"/>
      <c r="M282" s="85" t="n"/>
      <c r="N282" s="85" t="n"/>
      <c r="O282" s="85" t="n"/>
      <c r="P282" s="85" t="n"/>
      <c r="Q282" s="85" t="n"/>
      <c r="R282" s="85" t="n"/>
      <c r="S282" s="85">
        <f>IF($G282="","",TODAY()-$G282)</f>
        <v/>
      </c>
      <c r="T282" s="85">
        <f>IF($A282="","",IF(AND($E282="Yes",OR($O282="No",$O282="NOT FOUND")),"YES",""))</f>
        <v/>
      </c>
      <c r="U282" s="85">
        <f>IF($A282="","",TRIM(IF(AND($M282=0,$I282&lt;&gt;"Yes"),"T0-NoPhishResistant ","")&amp;IF($H282="No","NoMFA ","")&amp;IF(AND($E282="Yes",$G282=""),"NeverSignedIn ","")))</f>
        <v/>
      </c>
    </row>
    <row r="283" ht="15" customHeight="1" s="39">
      <c r="A283" s="85" t="n"/>
      <c r="B283" s="85" t="n"/>
      <c r="C283" s="85" t="n"/>
      <c r="D283" s="85" t="n"/>
      <c r="E283" s="85" t="n"/>
      <c r="F283" s="86" t="n"/>
      <c r="G283" s="86" t="n"/>
      <c r="H283" s="85" t="n"/>
      <c r="I283" s="85" t="n"/>
      <c r="J283" s="85" t="n"/>
      <c r="K283" s="85" t="n"/>
      <c r="L283" s="85" t="n"/>
      <c r="M283" s="85" t="n"/>
      <c r="N283" s="85" t="n"/>
      <c r="O283" s="85" t="n"/>
      <c r="P283" s="85" t="n"/>
      <c r="Q283" s="85" t="n"/>
      <c r="R283" s="85" t="n"/>
      <c r="S283" s="85">
        <f>IF($G283="","",TODAY()-$G283)</f>
        <v/>
      </c>
      <c r="T283" s="85">
        <f>IF($A283="","",IF(AND($E283="Yes",OR($O283="No",$O283="NOT FOUND")),"YES",""))</f>
        <v/>
      </c>
      <c r="U283" s="85">
        <f>IF($A283="","",TRIM(IF(AND($M283=0,$I283&lt;&gt;"Yes"),"T0-NoPhishResistant ","")&amp;IF($H283="No","NoMFA ","")&amp;IF(AND($E283="Yes",$G283=""),"NeverSignedIn ","")))</f>
        <v/>
      </c>
    </row>
    <row r="284" ht="15" customHeight="1" s="39">
      <c r="A284" s="85" t="n"/>
      <c r="B284" s="85" t="n"/>
      <c r="C284" s="85" t="n"/>
      <c r="D284" s="85" t="n"/>
      <c r="E284" s="85" t="n"/>
      <c r="F284" s="86" t="n"/>
      <c r="G284" s="86" t="n"/>
      <c r="H284" s="85" t="n"/>
      <c r="I284" s="85" t="n"/>
      <c r="J284" s="85" t="n"/>
      <c r="K284" s="85" t="n"/>
      <c r="L284" s="85" t="n"/>
      <c r="M284" s="85" t="n"/>
      <c r="N284" s="85" t="n"/>
      <c r="O284" s="85" t="n"/>
      <c r="P284" s="85" t="n"/>
      <c r="Q284" s="85" t="n"/>
      <c r="R284" s="85" t="n"/>
      <c r="S284" s="85">
        <f>IF($G284="","",TODAY()-$G284)</f>
        <v/>
      </c>
      <c r="T284" s="85">
        <f>IF($A284="","",IF(AND($E284="Yes",OR($O284="No",$O284="NOT FOUND")),"YES",""))</f>
        <v/>
      </c>
      <c r="U284" s="85">
        <f>IF($A284="","",TRIM(IF(AND($M284=0,$I284&lt;&gt;"Yes"),"T0-NoPhishResistant ","")&amp;IF($H284="No","NoMFA ","")&amp;IF(AND($E284="Yes",$G284=""),"NeverSignedIn ","")))</f>
        <v/>
      </c>
    </row>
    <row r="285" ht="15" customHeight="1" s="39">
      <c r="A285" s="85" t="n"/>
      <c r="B285" s="85" t="n"/>
      <c r="C285" s="85" t="n"/>
      <c r="D285" s="85" t="n"/>
      <c r="E285" s="85" t="n"/>
      <c r="F285" s="86" t="n"/>
      <c r="G285" s="86" t="n"/>
      <c r="H285" s="85" t="n"/>
      <c r="I285" s="85" t="n"/>
      <c r="J285" s="85" t="n"/>
      <c r="K285" s="85" t="n"/>
      <c r="L285" s="85" t="n"/>
      <c r="M285" s="85" t="n"/>
      <c r="N285" s="85" t="n"/>
      <c r="O285" s="85" t="n"/>
      <c r="P285" s="85" t="n"/>
      <c r="Q285" s="85" t="n"/>
      <c r="R285" s="85" t="n"/>
      <c r="S285" s="85">
        <f>IF($G285="","",TODAY()-$G285)</f>
        <v/>
      </c>
      <c r="T285" s="85">
        <f>IF($A285="","",IF(AND($E285="Yes",OR($O285="No",$O285="NOT FOUND")),"YES",""))</f>
        <v/>
      </c>
      <c r="U285" s="85">
        <f>IF($A285="","",TRIM(IF(AND($M285=0,$I285&lt;&gt;"Yes"),"T0-NoPhishResistant ","")&amp;IF($H285="No","NoMFA ","")&amp;IF(AND($E285="Yes",$G285=""),"NeverSignedIn ","")))</f>
        <v/>
      </c>
    </row>
    <row r="286" ht="15" customHeight="1" s="39">
      <c r="A286" s="85" t="n"/>
      <c r="B286" s="85" t="n"/>
      <c r="C286" s="85" t="n"/>
      <c r="D286" s="85" t="n"/>
      <c r="E286" s="85" t="n"/>
      <c r="F286" s="86" t="n"/>
      <c r="G286" s="86" t="n"/>
      <c r="H286" s="85" t="n"/>
      <c r="I286" s="85" t="n"/>
      <c r="J286" s="85" t="n"/>
      <c r="K286" s="85" t="n"/>
      <c r="L286" s="85" t="n"/>
      <c r="M286" s="85" t="n"/>
      <c r="N286" s="85" t="n"/>
      <c r="O286" s="85" t="n"/>
      <c r="P286" s="85" t="n"/>
      <c r="Q286" s="85" t="n"/>
      <c r="R286" s="85" t="n"/>
      <c r="S286" s="85">
        <f>IF($G286="","",TODAY()-$G286)</f>
        <v/>
      </c>
      <c r="T286" s="85">
        <f>IF($A286="","",IF(AND($E286="Yes",OR($O286="No",$O286="NOT FOUND")),"YES",""))</f>
        <v/>
      </c>
      <c r="U286" s="85">
        <f>IF($A286="","",TRIM(IF(AND($M286=0,$I286&lt;&gt;"Yes"),"T0-NoPhishResistant ","")&amp;IF($H286="No","NoMFA ","")&amp;IF(AND($E286="Yes",$G286=""),"NeverSignedIn ","")))</f>
        <v/>
      </c>
    </row>
    <row r="287" ht="15" customHeight="1" s="39">
      <c r="A287" s="85" t="n"/>
      <c r="B287" s="85" t="n"/>
      <c r="C287" s="85" t="n"/>
      <c r="D287" s="85" t="n"/>
      <c r="E287" s="85" t="n"/>
      <c r="F287" s="86" t="n"/>
      <c r="G287" s="86" t="n"/>
      <c r="H287" s="85" t="n"/>
      <c r="I287" s="85" t="n"/>
      <c r="J287" s="85" t="n"/>
      <c r="K287" s="85" t="n"/>
      <c r="L287" s="85" t="n"/>
      <c r="M287" s="85" t="n"/>
      <c r="N287" s="85" t="n"/>
      <c r="O287" s="85" t="n"/>
      <c r="P287" s="85" t="n"/>
      <c r="Q287" s="85" t="n"/>
      <c r="R287" s="85" t="n"/>
      <c r="S287" s="85">
        <f>IF($G287="","",TODAY()-$G287)</f>
        <v/>
      </c>
      <c r="T287" s="85">
        <f>IF($A287="","",IF(AND($E287="Yes",OR($O287="No",$O287="NOT FOUND")),"YES",""))</f>
        <v/>
      </c>
      <c r="U287" s="85">
        <f>IF($A287="","",TRIM(IF(AND($M287=0,$I287&lt;&gt;"Yes"),"T0-NoPhishResistant ","")&amp;IF($H287="No","NoMFA ","")&amp;IF(AND($E287="Yes",$G287=""),"NeverSignedIn ","")))</f>
        <v/>
      </c>
    </row>
    <row r="288" ht="15" customHeight="1" s="39">
      <c r="A288" s="85" t="n"/>
      <c r="B288" s="85" t="n"/>
      <c r="C288" s="85" t="n"/>
      <c r="D288" s="85" t="n"/>
      <c r="E288" s="85" t="n"/>
      <c r="F288" s="86" t="n"/>
      <c r="G288" s="86" t="n"/>
      <c r="H288" s="85" t="n"/>
      <c r="I288" s="85" t="n"/>
      <c r="J288" s="85" t="n"/>
      <c r="K288" s="85" t="n"/>
      <c r="L288" s="85" t="n"/>
      <c r="M288" s="85" t="n"/>
      <c r="N288" s="85" t="n"/>
      <c r="O288" s="85" t="n"/>
      <c r="P288" s="85" t="n"/>
      <c r="Q288" s="85" t="n"/>
      <c r="R288" s="85" t="n"/>
      <c r="S288" s="85">
        <f>IF($G288="","",TODAY()-$G288)</f>
        <v/>
      </c>
      <c r="T288" s="85">
        <f>IF($A288="","",IF(AND($E288="Yes",OR($O288="No",$O288="NOT FOUND")),"YES",""))</f>
        <v/>
      </c>
      <c r="U288" s="85">
        <f>IF($A288="","",TRIM(IF(AND($M288=0,$I288&lt;&gt;"Yes"),"T0-NoPhishResistant ","")&amp;IF($H288="No","NoMFA ","")&amp;IF(AND($E288="Yes",$G288=""),"NeverSignedIn ","")))</f>
        <v/>
      </c>
    </row>
    <row r="289" ht="15" customHeight="1" s="39">
      <c r="A289" s="85" t="n"/>
      <c r="B289" s="85" t="n"/>
      <c r="C289" s="85" t="n"/>
      <c r="D289" s="85" t="n"/>
      <c r="E289" s="85" t="n"/>
      <c r="F289" s="86" t="n"/>
      <c r="G289" s="86" t="n"/>
      <c r="H289" s="85" t="n"/>
      <c r="I289" s="85" t="n"/>
      <c r="J289" s="85" t="n"/>
      <c r="K289" s="85" t="n"/>
      <c r="L289" s="85" t="n"/>
      <c r="M289" s="85" t="n"/>
      <c r="N289" s="85" t="n"/>
      <c r="O289" s="85" t="n"/>
      <c r="P289" s="85" t="n"/>
      <c r="Q289" s="85" t="n"/>
      <c r="R289" s="85" t="n"/>
      <c r="S289" s="85">
        <f>IF($G289="","",TODAY()-$G289)</f>
        <v/>
      </c>
      <c r="T289" s="85">
        <f>IF($A289="","",IF(AND($E289="Yes",OR($O289="No",$O289="NOT FOUND")),"YES",""))</f>
        <v/>
      </c>
      <c r="U289" s="85">
        <f>IF($A289="","",TRIM(IF(AND($M289=0,$I289&lt;&gt;"Yes"),"T0-NoPhishResistant ","")&amp;IF($H289="No","NoMFA ","")&amp;IF(AND($E289="Yes",$G289=""),"NeverSignedIn ","")))</f>
        <v/>
      </c>
    </row>
    <row r="290" ht="15" customHeight="1" s="39">
      <c r="A290" s="85" t="n"/>
      <c r="B290" s="85" t="n"/>
      <c r="C290" s="85" t="n"/>
      <c r="D290" s="85" t="n"/>
      <c r="E290" s="85" t="n"/>
      <c r="F290" s="86" t="n"/>
      <c r="G290" s="86" t="n"/>
      <c r="H290" s="85" t="n"/>
      <c r="I290" s="85" t="n"/>
      <c r="J290" s="85" t="n"/>
      <c r="K290" s="85" t="n"/>
      <c r="L290" s="85" t="n"/>
      <c r="M290" s="85" t="n"/>
      <c r="N290" s="85" t="n"/>
      <c r="O290" s="85" t="n"/>
      <c r="P290" s="85" t="n"/>
      <c r="Q290" s="85" t="n"/>
      <c r="R290" s="85" t="n"/>
      <c r="S290" s="85">
        <f>IF($G290="","",TODAY()-$G290)</f>
        <v/>
      </c>
      <c r="T290" s="85">
        <f>IF($A290="","",IF(AND($E290="Yes",OR($O290="No",$O290="NOT FOUND")),"YES",""))</f>
        <v/>
      </c>
      <c r="U290" s="85">
        <f>IF($A290="","",TRIM(IF(AND($M290=0,$I290&lt;&gt;"Yes"),"T0-NoPhishResistant ","")&amp;IF($H290="No","NoMFA ","")&amp;IF(AND($E290="Yes",$G290=""),"NeverSignedIn ","")))</f>
        <v/>
      </c>
    </row>
    <row r="291" ht="15" customHeight="1" s="39">
      <c r="A291" s="85" t="n"/>
      <c r="B291" s="85" t="n"/>
      <c r="C291" s="85" t="n"/>
      <c r="D291" s="85" t="n"/>
      <c r="E291" s="85" t="n"/>
      <c r="F291" s="86" t="n"/>
      <c r="G291" s="86" t="n"/>
      <c r="H291" s="85" t="n"/>
      <c r="I291" s="85" t="n"/>
      <c r="J291" s="85" t="n"/>
      <c r="K291" s="85" t="n"/>
      <c r="L291" s="85" t="n"/>
      <c r="M291" s="85" t="n"/>
      <c r="N291" s="85" t="n"/>
      <c r="O291" s="85" t="n"/>
      <c r="P291" s="85" t="n"/>
      <c r="Q291" s="85" t="n"/>
      <c r="R291" s="85" t="n"/>
      <c r="S291" s="85">
        <f>IF($G291="","",TODAY()-$G291)</f>
        <v/>
      </c>
      <c r="T291" s="85">
        <f>IF($A291="","",IF(AND($E291="Yes",OR($O291="No",$O291="NOT FOUND")),"YES",""))</f>
        <v/>
      </c>
      <c r="U291" s="85">
        <f>IF($A291="","",TRIM(IF(AND($M291=0,$I291&lt;&gt;"Yes"),"T0-NoPhishResistant ","")&amp;IF($H291="No","NoMFA ","")&amp;IF(AND($E291="Yes",$G291=""),"NeverSignedIn ","")))</f>
        <v/>
      </c>
    </row>
    <row r="292" ht="15" customHeight="1" s="39">
      <c r="A292" s="85" t="n"/>
      <c r="B292" s="85" t="n"/>
      <c r="C292" s="85" t="n"/>
      <c r="D292" s="85" t="n"/>
      <c r="E292" s="85" t="n"/>
      <c r="F292" s="86" t="n"/>
      <c r="G292" s="86" t="n"/>
      <c r="H292" s="85" t="n"/>
      <c r="I292" s="85" t="n"/>
      <c r="J292" s="85" t="n"/>
      <c r="K292" s="85" t="n"/>
      <c r="L292" s="85" t="n"/>
      <c r="M292" s="85" t="n"/>
      <c r="N292" s="85" t="n"/>
      <c r="O292" s="85" t="n"/>
      <c r="P292" s="85" t="n"/>
      <c r="Q292" s="85" t="n"/>
      <c r="R292" s="85" t="n"/>
      <c r="S292" s="85">
        <f>IF($G292="","",TODAY()-$G292)</f>
        <v/>
      </c>
      <c r="T292" s="85">
        <f>IF($A292="","",IF(AND($E292="Yes",OR($O292="No",$O292="NOT FOUND")),"YES",""))</f>
        <v/>
      </c>
      <c r="U292" s="85">
        <f>IF($A292="","",TRIM(IF(AND($M292=0,$I292&lt;&gt;"Yes"),"T0-NoPhishResistant ","")&amp;IF($H292="No","NoMFA ","")&amp;IF(AND($E292="Yes",$G292=""),"NeverSignedIn ","")))</f>
        <v/>
      </c>
    </row>
    <row r="293" ht="15" customHeight="1" s="39">
      <c r="A293" s="85" t="n"/>
      <c r="B293" s="85" t="n"/>
      <c r="C293" s="85" t="n"/>
      <c r="D293" s="85" t="n"/>
      <c r="E293" s="85" t="n"/>
      <c r="F293" s="86" t="n"/>
      <c r="G293" s="86" t="n"/>
      <c r="H293" s="85" t="n"/>
      <c r="I293" s="85" t="n"/>
      <c r="J293" s="85" t="n"/>
      <c r="K293" s="85" t="n"/>
      <c r="L293" s="85" t="n"/>
      <c r="M293" s="85" t="n"/>
      <c r="N293" s="85" t="n"/>
      <c r="O293" s="85" t="n"/>
      <c r="P293" s="85" t="n"/>
      <c r="Q293" s="85" t="n"/>
      <c r="R293" s="85" t="n"/>
      <c r="S293" s="85">
        <f>IF($G293="","",TODAY()-$G293)</f>
        <v/>
      </c>
      <c r="T293" s="85">
        <f>IF($A293="","",IF(AND($E293="Yes",OR($O293="No",$O293="NOT FOUND")),"YES",""))</f>
        <v/>
      </c>
      <c r="U293" s="85">
        <f>IF($A293="","",TRIM(IF(AND($M293=0,$I293&lt;&gt;"Yes"),"T0-NoPhishResistant ","")&amp;IF($H293="No","NoMFA ","")&amp;IF(AND($E293="Yes",$G293=""),"NeverSignedIn ","")))</f>
        <v/>
      </c>
    </row>
    <row r="294" ht="15" customHeight="1" s="39">
      <c r="A294" s="85" t="n"/>
      <c r="B294" s="85" t="n"/>
      <c r="C294" s="85" t="n"/>
      <c r="D294" s="85" t="n"/>
      <c r="E294" s="85" t="n"/>
      <c r="F294" s="86" t="n"/>
      <c r="G294" s="86" t="n"/>
      <c r="H294" s="85" t="n"/>
      <c r="I294" s="85" t="n"/>
      <c r="J294" s="85" t="n"/>
      <c r="K294" s="85" t="n"/>
      <c r="L294" s="85" t="n"/>
      <c r="M294" s="85" t="n"/>
      <c r="N294" s="85" t="n"/>
      <c r="O294" s="85" t="n"/>
      <c r="P294" s="85" t="n"/>
      <c r="Q294" s="85" t="n"/>
      <c r="R294" s="85" t="n"/>
      <c r="S294" s="85">
        <f>IF($G294="","",TODAY()-$G294)</f>
        <v/>
      </c>
      <c r="T294" s="85">
        <f>IF($A294="","",IF(AND($E294="Yes",OR($O294="No",$O294="NOT FOUND")),"YES",""))</f>
        <v/>
      </c>
      <c r="U294" s="85">
        <f>IF($A294="","",TRIM(IF(AND($M294=0,$I294&lt;&gt;"Yes"),"T0-NoPhishResistant ","")&amp;IF($H294="No","NoMFA ","")&amp;IF(AND($E294="Yes",$G294=""),"NeverSignedIn ","")))</f>
        <v/>
      </c>
    </row>
    <row r="295" ht="15" customHeight="1" s="39">
      <c r="A295" s="85" t="n"/>
      <c r="B295" s="85" t="n"/>
      <c r="C295" s="85" t="n"/>
      <c r="D295" s="85" t="n"/>
      <c r="E295" s="85" t="n"/>
      <c r="F295" s="86" t="n"/>
      <c r="G295" s="86" t="n"/>
      <c r="H295" s="85" t="n"/>
      <c r="I295" s="85" t="n"/>
      <c r="J295" s="85" t="n"/>
      <c r="K295" s="85" t="n"/>
      <c r="L295" s="85" t="n"/>
      <c r="M295" s="85" t="n"/>
      <c r="N295" s="85" t="n"/>
      <c r="O295" s="85" t="n"/>
      <c r="P295" s="85" t="n"/>
      <c r="Q295" s="85" t="n"/>
      <c r="R295" s="85" t="n"/>
      <c r="S295" s="85">
        <f>IF($G295="","",TODAY()-$G295)</f>
        <v/>
      </c>
      <c r="T295" s="85">
        <f>IF($A295="","",IF(AND($E295="Yes",OR($O295="No",$O295="NOT FOUND")),"YES",""))</f>
        <v/>
      </c>
      <c r="U295" s="85">
        <f>IF($A295="","",TRIM(IF(AND($M295=0,$I295&lt;&gt;"Yes"),"T0-NoPhishResistant ","")&amp;IF($H295="No","NoMFA ","")&amp;IF(AND($E295="Yes",$G295=""),"NeverSignedIn ","")))</f>
        <v/>
      </c>
    </row>
    <row r="296" ht="15" customHeight="1" s="39">
      <c r="A296" s="85" t="n"/>
      <c r="B296" s="85" t="n"/>
      <c r="C296" s="85" t="n"/>
      <c r="D296" s="85" t="n"/>
      <c r="E296" s="85" t="n"/>
      <c r="F296" s="86" t="n"/>
      <c r="G296" s="86" t="n"/>
      <c r="H296" s="85" t="n"/>
      <c r="I296" s="85" t="n"/>
      <c r="J296" s="85" t="n"/>
      <c r="K296" s="85" t="n"/>
      <c r="L296" s="85" t="n"/>
      <c r="M296" s="85" t="n"/>
      <c r="N296" s="85" t="n"/>
      <c r="O296" s="85" t="n"/>
      <c r="P296" s="85" t="n"/>
      <c r="Q296" s="85" t="n"/>
      <c r="R296" s="85" t="n"/>
      <c r="S296" s="85">
        <f>IF($G296="","",TODAY()-$G296)</f>
        <v/>
      </c>
      <c r="T296" s="85">
        <f>IF($A296="","",IF(AND($E296="Yes",OR($O296="No",$O296="NOT FOUND")),"YES",""))</f>
        <v/>
      </c>
      <c r="U296" s="85">
        <f>IF($A296="","",TRIM(IF(AND($M296=0,$I296&lt;&gt;"Yes"),"T0-NoPhishResistant ","")&amp;IF($H296="No","NoMFA ","")&amp;IF(AND($E296="Yes",$G296=""),"NeverSignedIn ","")))</f>
        <v/>
      </c>
    </row>
    <row r="297" ht="15" customHeight="1" s="39">
      <c r="A297" s="85" t="n"/>
      <c r="B297" s="85" t="n"/>
      <c r="C297" s="85" t="n"/>
      <c r="D297" s="85" t="n"/>
      <c r="E297" s="85" t="n"/>
      <c r="F297" s="86" t="n"/>
      <c r="G297" s="86" t="n"/>
      <c r="H297" s="85" t="n"/>
      <c r="I297" s="85" t="n"/>
      <c r="J297" s="85" t="n"/>
      <c r="K297" s="85" t="n"/>
      <c r="L297" s="85" t="n"/>
      <c r="M297" s="85" t="n"/>
      <c r="N297" s="85" t="n"/>
      <c r="O297" s="85" t="n"/>
      <c r="P297" s="85" t="n"/>
      <c r="Q297" s="85" t="n"/>
      <c r="R297" s="85" t="n"/>
      <c r="S297" s="85">
        <f>IF($G297="","",TODAY()-$G297)</f>
        <v/>
      </c>
      <c r="T297" s="85">
        <f>IF($A297="","",IF(AND($E297="Yes",OR($O297="No",$O297="NOT FOUND")),"YES",""))</f>
        <v/>
      </c>
      <c r="U297" s="85">
        <f>IF($A297="","",TRIM(IF(AND($M297=0,$I297&lt;&gt;"Yes"),"T0-NoPhishResistant ","")&amp;IF($H297="No","NoMFA ","")&amp;IF(AND($E297="Yes",$G297=""),"NeverSignedIn ","")))</f>
        <v/>
      </c>
    </row>
    <row r="298" ht="15" customHeight="1" s="39">
      <c r="A298" s="85" t="n"/>
      <c r="B298" s="85" t="n"/>
      <c r="C298" s="85" t="n"/>
      <c r="D298" s="85" t="n"/>
      <c r="E298" s="85" t="n"/>
      <c r="F298" s="86" t="n"/>
      <c r="G298" s="86" t="n"/>
      <c r="H298" s="85" t="n"/>
      <c r="I298" s="85" t="n"/>
      <c r="J298" s="85" t="n"/>
      <c r="K298" s="85" t="n"/>
      <c r="L298" s="85" t="n"/>
      <c r="M298" s="85" t="n"/>
      <c r="N298" s="85" t="n"/>
      <c r="O298" s="85" t="n"/>
      <c r="P298" s="85" t="n"/>
      <c r="Q298" s="85" t="n"/>
      <c r="R298" s="85" t="n"/>
      <c r="S298" s="85">
        <f>IF($G298="","",TODAY()-$G298)</f>
        <v/>
      </c>
      <c r="T298" s="85">
        <f>IF($A298="","",IF(AND($E298="Yes",OR($O298="No",$O298="NOT FOUND")),"YES",""))</f>
        <v/>
      </c>
      <c r="U298" s="85">
        <f>IF($A298="","",TRIM(IF(AND($M298=0,$I298&lt;&gt;"Yes"),"T0-NoPhishResistant ","")&amp;IF($H298="No","NoMFA ","")&amp;IF(AND($E298="Yes",$G298=""),"NeverSignedIn ","")))</f>
        <v/>
      </c>
    </row>
    <row r="299" ht="15" customHeight="1" s="39">
      <c r="A299" s="85" t="n"/>
      <c r="B299" s="85" t="n"/>
      <c r="C299" s="85" t="n"/>
      <c r="D299" s="85" t="n"/>
      <c r="E299" s="85" t="n"/>
      <c r="F299" s="86" t="n"/>
      <c r="G299" s="86" t="n"/>
      <c r="H299" s="85" t="n"/>
      <c r="I299" s="85" t="n"/>
      <c r="J299" s="85" t="n"/>
      <c r="K299" s="85" t="n"/>
      <c r="L299" s="85" t="n"/>
      <c r="M299" s="85" t="n"/>
      <c r="N299" s="85" t="n"/>
      <c r="O299" s="85" t="n"/>
      <c r="P299" s="85" t="n"/>
      <c r="Q299" s="85" t="n"/>
      <c r="R299" s="85" t="n"/>
      <c r="S299" s="85">
        <f>IF($G299="","",TODAY()-$G299)</f>
        <v/>
      </c>
      <c r="T299" s="85">
        <f>IF($A299="","",IF(AND($E299="Yes",OR($O299="No",$O299="NOT FOUND")),"YES",""))</f>
        <v/>
      </c>
      <c r="U299" s="85">
        <f>IF($A299="","",TRIM(IF(AND($M299=0,$I299&lt;&gt;"Yes"),"T0-NoPhishResistant ","")&amp;IF($H299="No","NoMFA ","")&amp;IF(AND($E299="Yes",$G299=""),"NeverSignedIn ","")))</f>
        <v/>
      </c>
    </row>
    <row r="300" ht="15" customHeight="1" s="39">
      <c r="A300" s="85" t="n"/>
      <c r="B300" s="85" t="n"/>
      <c r="C300" s="85" t="n"/>
      <c r="D300" s="85" t="n"/>
      <c r="E300" s="85" t="n"/>
      <c r="F300" s="86" t="n"/>
      <c r="G300" s="86" t="n"/>
      <c r="H300" s="85" t="n"/>
      <c r="I300" s="85" t="n"/>
      <c r="J300" s="85" t="n"/>
      <c r="K300" s="85" t="n"/>
      <c r="L300" s="85" t="n"/>
      <c r="M300" s="85" t="n"/>
      <c r="N300" s="85" t="n"/>
      <c r="O300" s="85" t="n"/>
      <c r="P300" s="85" t="n"/>
      <c r="Q300" s="85" t="n"/>
      <c r="R300" s="85" t="n"/>
      <c r="S300" s="85">
        <f>IF($G300="","",TODAY()-$G300)</f>
        <v/>
      </c>
      <c r="T300" s="85">
        <f>IF($A300="","",IF(AND($E300="Yes",OR($O300="No",$O300="NOT FOUND")),"YES",""))</f>
        <v/>
      </c>
      <c r="U300" s="85">
        <f>IF($A300="","",TRIM(IF(AND($M300=0,$I300&lt;&gt;"Yes"),"T0-NoPhishResistant ","")&amp;IF($H300="No","NoMFA ","")&amp;IF(AND($E300="Yes",$G300=""),"NeverSignedIn ","")))</f>
        <v/>
      </c>
    </row>
    <row r="301" ht="15" customHeight="1" s="39">
      <c r="A301" s="85" t="n"/>
      <c r="B301" s="85" t="n"/>
      <c r="C301" s="85" t="n"/>
      <c r="D301" s="85" t="n"/>
      <c r="E301" s="85" t="n"/>
      <c r="F301" s="86" t="n"/>
      <c r="G301" s="86" t="n"/>
      <c r="H301" s="85" t="n"/>
      <c r="I301" s="85" t="n"/>
      <c r="J301" s="85" t="n"/>
      <c r="K301" s="85" t="n"/>
      <c r="L301" s="85" t="n"/>
      <c r="M301" s="85" t="n"/>
      <c r="N301" s="85" t="n"/>
      <c r="O301" s="85" t="n"/>
      <c r="P301" s="85" t="n"/>
      <c r="Q301" s="85" t="n"/>
      <c r="R301" s="85" t="n"/>
      <c r="S301" s="85">
        <f>IF($G301="","",TODAY()-$G301)</f>
        <v/>
      </c>
      <c r="T301" s="85">
        <f>IF($A301="","",IF(AND($E301="Yes",OR($O301="No",$O301="NOT FOUND")),"YES",""))</f>
        <v/>
      </c>
      <c r="U301" s="85">
        <f>IF($A301="","",TRIM(IF(AND($M301=0,$I301&lt;&gt;"Yes"),"T0-NoPhishResistant ","")&amp;IF($H301="No","NoMFA ","")&amp;IF(AND($E301="Yes",$G301=""),"NeverSignedIn ","")))</f>
        <v/>
      </c>
    </row>
    <row r="302" ht="15" customHeight="1" s="39">
      <c r="A302" s="85" t="n"/>
      <c r="B302" s="85" t="n"/>
      <c r="C302" s="85" t="n"/>
      <c r="D302" s="85" t="n"/>
      <c r="E302" s="85" t="n"/>
      <c r="F302" s="86" t="n"/>
      <c r="G302" s="86" t="n"/>
      <c r="H302" s="85" t="n"/>
      <c r="I302" s="85" t="n"/>
      <c r="J302" s="85" t="n"/>
      <c r="K302" s="85" t="n"/>
      <c r="L302" s="85" t="n"/>
      <c r="M302" s="85" t="n"/>
      <c r="N302" s="85" t="n"/>
      <c r="O302" s="85" t="n"/>
      <c r="P302" s="85" t="n"/>
      <c r="Q302" s="85" t="n"/>
      <c r="R302" s="85" t="n"/>
      <c r="S302" s="85">
        <f>IF($G302="","",TODAY()-$G302)</f>
        <v/>
      </c>
      <c r="T302" s="85">
        <f>IF($A302="","",IF(AND($E302="Yes",OR($O302="No",$O302="NOT FOUND")),"YES",""))</f>
        <v/>
      </c>
      <c r="U302" s="85">
        <f>IF($A302="","",TRIM(IF(AND($M302=0,$I302&lt;&gt;"Yes"),"T0-NoPhishResistant ","")&amp;IF($H302="No","NoMFA ","")&amp;IF(AND($E302="Yes",$G302=""),"NeverSignedIn ","")))</f>
        <v/>
      </c>
    </row>
    <row r="303" ht="15" customHeight="1" s="39">
      <c r="A303" s="85" t="n"/>
      <c r="B303" s="85" t="n"/>
      <c r="C303" s="85" t="n"/>
      <c r="D303" s="85" t="n"/>
      <c r="E303" s="85" t="n"/>
      <c r="F303" s="86" t="n"/>
      <c r="G303" s="86" t="n"/>
      <c r="H303" s="85" t="n"/>
      <c r="I303" s="85" t="n"/>
      <c r="J303" s="85" t="n"/>
      <c r="K303" s="85" t="n"/>
      <c r="L303" s="85" t="n"/>
      <c r="M303" s="85" t="n"/>
      <c r="N303" s="85" t="n"/>
      <c r="O303" s="85" t="n"/>
      <c r="P303" s="85" t="n"/>
      <c r="Q303" s="85" t="n"/>
      <c r="R303" s="85" t="n"/>
      <c r="S303" s="85">
        <f>IF($G303="","",TODAY()-$G303)</f>
        <v/>
      </c>
      <c r="T303" s="85">
        <f>IF($A303="","",IF(AND($E303="Yes",OR($O303="No",$O303="NOT FOUND")),"YES",""))</f>
        <v/>
      </c>
      <c r="U303" s="85">
        <f>IF($A303="","",TRIM(IF(AND($M303=0,$I303&lt;&gt;"Yes"),"T0-NoPhishResistant ","")&amp;IF($H303="No","NoMFA ","")&amp;IF(AND($E303="Yes",$G303=""),"NeverSignedIn ","")))</f>
        <v/>
      </c>
    </row>
    <row r="304" ht="15" customHeight="1" s="39">
      <c r="A304" s="85" t="n"/>
      <c r="B304" s="85" t="n"/>
      <c r="C304" s="85" t="n"/>
      <c r="D304" s="85" t="n"/>
      <c r="E304" s="85" t="n"/>
      <c r="F304" s="86" t="n"/>
      <c r="G304" s="86" t="n"/>
      <c r="H304" s="85" t="n"/>
      <c r="I304" s="85" t="n"/>
      <c r="J304" s="85" t="n"/>
      <c r="K304" s="85" t="n"/>
      <c r="L304" s="85" t="n"/>
      <c r="M304" s="85" t="n"/>
      <c r="N304" s="85" t="n"/>
      <c r="O304" s="85" t="n"/>
      <c r="P304" s="85" t="n"/>
      <c r="Q304" s="85" t="n"/>
      <c r="R304" s="85" t="n"/>
      <c r="S304" s="85">
        <f>IF($G304="","",TODAY()-$G304)</f>
        <v/>
      </c>
      <c r="T304" s="85">
        <f>IF($A304="","",IF(AND($E304="Yes",OR($O304="No",$O304="NOT FOUND")),"YES",""))</f>
        <v/>
      </c>
      <c r="U304" s="85">
        <f>IF($A304="","",TRIM(IF(AND($M304=0,$I304&lt;&gt;"Yes"),"T0-NoPhishResistant ","")&amp;IF($H304="No","NoMFA ","")&amp;IF(AND($E304="Yes",$G304=""),"NeverSignedIn ","")))</f>
        <v/>
      </c>
    </row>
    <row r="305" ht="15" customHeight="1" s="39">
      <c r="A305" s="85" t="n"/>
      <c r="B305" s="85" t="n"/>
      <c r="C305" s="85" t="n"/>
      <c r="D305" s="85" t="n"/>
      <c r="E305" s="85" t="n"/>
      <c r="F305" s="86" t="n"/>
      <c r="G305" s="86" t="n"/>
      <c r="H305" s="85" t="n"/>
      <c r="I305" s="85" t="n"/>
      <c r="J305" s="85" t="n"/>
      <c r="K305" s="85" t="n"/>
      <c r="L305" s="85" t="n"/>
      <c r="M305" s="85" t="n"/>
      <c r="N305" s="85" t="n"/>
      <c r="O305" s="85" t="n"/>
      <c r="P305" s="85" t="n"/>
      <c r="Q305" s="85" t="n"/>
      <c r="R305" s="85" t="n"/>
      <c r="S305" s="85">
        <f>IF($G305="","",TODAY()-$G305)</f>
        <v/>
      </c>
      <c r="T305" s="85">
        <f>IF($A305="","",IF(AND($E305="Yes",OR($O305="No",$O305="NOT FOUND")),"YES",""))</f>
        <v/>
      </c>
      <c r="U305" s="85">
        <f>IF($A305="","",TRIM(IF(AND($M305=0,$I305&lt;&gt;"Yes"),"T0-NoPhishResistant ","")&amp;IF($H305="No","NoMFA ","")&amp;IF(AND($E305="Yes",$G305=""),"NeverSignedIn ","")))</f>
        <v/>
      </c>
    </row>
    <row r="306" ht="15" customHeight="1" s="39">
      <c r="A306" s="85" t="n"/>
      <c r="B306" s="85" t="n"/>
      <c r="C306" s="85" t="n"/>
      <c r="D306" s="85" t="n"/>
      <c r="E306" s="85" t="n"/>
      <c r="F306" s="86" t="n"/>
      <c r="G306" s="86" t="n"/>
      <c r="H306" s="85" t="n"/>
      <c r="I306" s="85" t="n"/>
      <c r="J306" s="85" t="n"/>
      <c r="K306" s="85" t="n"/>
      <c r="L306" s="85" t="n"/>
      <c r="M306" s="85" t="n"/>
      <c r="N306" s="85" t="n"/>
      <c r="O306" s="85" t="n"/>
      <c r="P306" s="85" t="n"/>
      <c r="Q306" s="85" t="n"/>
      <c r="R306" s="85" t="n"/>
      <c r="S306" s="85">
        <f>IF($G306="","",TODAY()-$G306)</f>
        <v/>
      </c>
      <c r="T306" s="85">
        <f>IF($A306="","",IF(AND($E306="Yes",OR($O306="No",$O306="NOT FOUND")),"YES",""))</f>
        <v/>
      </c>
      <c r="U306" s="85">
        <f>IF($A306="","",TRIM(IF(AND($M306=0,$I306&lt;&gt;"Yes"),"T0-NoPhishResistant ","")&amp;IF($H306="No","NoMFA ","")&amp;IF(AND($E306="Yes",$G306=""),"NeverSignedIn ","")))</f>
        <v/>
      </c>
    </row>
    <row r="307" ht="15" customHeight="1" s="39">
      <c r="A307" s="85" t="n"/>
      <c r="B307" s="85" t="n"/>
      <c r="C307" s="85" t="n"/>
      <c r="D307" s="85" t="n"/>
      <c r="E307" s="85" t="n"/>
      <c r="F307" s="86" t="n"/>
      <c r="G307" s="86" t="n"/>
      <c r="H307" s="85" t="n"/>
      <c r="I307" s="85" t="n"/>
      <c r="J307" s="85" t="n"/>
      <c r="K307" s="85" t="n"/>
      <c r="L307" s="85" t="n"/>
      <c r="M307" s="85" t="n"/>
      <c r="N307" s="85" t="n"/>
      <c r="O307" s="85" t="n"/>
      <c r="P307" s="85" t="n"/>
      <c r="Q307" s="85" t="n"/>
      <c r="R307" s="85" t="n"/>
      <c r="S307" s="85">
        <f>IF($G307="","",TODAY()-$G307)</f>
        <v/>
      </c>
      <c r="T307" s="85">
        <f>IF($A307="","",IF(AND($E307="Yes",OR($O307="No",$O307="NOT FOUND")),"YES",""))</f>
        <v/>
      </c>
      <c r="U307" s="85">
        <f>IF($A307="","",TRIM(IF(AND($M307=0,$I307&lt;&gt;"Yes"),"T0-NoPhishResistant ","")&amp;IF($H307="No","NoMFA ","")&amp;IF(AND($E307="Yes",$G307=""),"NeverSignedIn ","")))</f>
        <v/>
      </c>
    </row>
    <row r="308" ht="15" customHeight="1" s="39">
      <c r="A308" s="85" t="n"/>
      <c r="B308" s="85" t="n"/>
      <c r="C308" s="85" t="n"/>
      <c r="D308" s="85" t="n"/>
      <c r="E308" s="85" t="n"/>
      <c r="F308" s="86" t="n"/>
      <c r="G308" s="86" t="n"/>
      <c r="H308" s="85" t="n"/>
      <c r="I308" s="85" t="n"/>
      <c r="J308" s="85" t="n"/>
      <c r="K308" s="85" t="n"/>
      <c r="L308" s="85" t="n"/>
      <c r="M308" s="85" t="n"/>
      <c r="N308" s="85" t="n"/>
      <c r="O308" s="85" t="n"/>
      <c r="P308" s="85" t="n"/>
      <c r="Q308" s="85" t="n"/>
      <c r="R308" s="85" t="n"/>
      <c r="S308" s="85">
        <f>IF($G308="","",TODAY()-$G308)</f>
        <v/>
      </c>
      <c r="T308" s="85">
        <f>IF($A308="","",IF(AND($E308="Yes",OR($O308="No",$O308="NOT FOUND")),"YES",""))</f>
        <v/>
      </c>
      <c r="U308" s="85">
        <f>IF($A308="","",TRIM(IF(AND($M308=0,$I308&lt;&gt;"Yes"),"T0-NoPhishResistant ","")&amp;IF($H308="No","NoMFA ","")&amp;IF(AND($E308="Yes",$G308=""),"NeverSignedIn ","")))</f>
        <v/>
      </c>
    </row>
    <row r="309" ht="15" customHeight="1" s="39">
      <c r="A309" s="85" t="n"/>
      <c r="B309" s="85" t="n"/>
      <c r="C309" s="85" t="n"/>
      <c r="D309" s="85" t="n"/>
      <c r="E309" s="85" t="n"/>
      <c r="F309" s="86" t="n"/>
      <c r="G309" s="86" t="n"/>
      <c r="H309" s="85" t="n"/>
      <c r="I309" s="85" t="n"/>
      <c r="J309" s="85" t="n"/>
      <c r="K309" s="85" t="n"/>
      <c r="L309" s="85" t="n"/>
      <c r="M309" s="85" t="n"/>
      <c r="N309" s="85" t="n"/>
      <c r="O309" s="85" t="n"/>
      <c r="P309" s="85" t="n"/>
      <c r="Q309" s="85" t="n"/>
      <c r="R309" s="85" t="n"/>
      <c r="S309" s="85">
        <f>IF($G309="","",TODAY()-$G309)</f>
        <v/>
      </c>
      <c r="T309" s="85">
        <f>IF($A309="","",IF(AND($E309="Yes",OR($O309="No",$O309="NOT FOUND")),"YES",""))</f>
        <v/>
      </c>
      <c r="U309" s="85">
        <f>IF($A309="","",TRIM(IF(AND($M309=0,$I309&lt;&gt;"Yes"),"T0-NoPhishResistant ","")&amp;IF($H309="No","NoMFA ","")&amp;IF(AND($E309="Yes",$G309=""),"NeverSignedIn ","")))</f>
        <v/>
      </c>
    </row>
    <row r="310" ht="15" customHeight="1" s="39">
      <c r="A310" s="85" t="n"/>
      <c r="B310" s="85" t="n"/>
      <c r="C310" s="85" t="n"/>
      <c r="D310" s="85" t="n"/>
      <c r="E310" s="85" t="n"/>
      <c r="F310" s="86" t="n"/>
      <c r="G310" s="86" t="n"/>
      <c r="H310" s="85" t="n"/>
      <c r="I310" s="85" t="n"/>
      <c r="J310" s="85" t="n"/>
      <c r="K310" s="85" t="n"/>
      <c r="L310" s="85" t="n"/>
      <c r="M310" s="85" t="n"/>
      <c r="N310" s="85" t="n"/>
      <c r="O310" s="85" t="n"/>
      <c r="P310" s="85" t="n"/>
      <c r="Q310" s="85" t="n"/>
      <c r="R310" s="85" t="n"/>
      <c r="S310" s="85">
        <f>IF($G310="","",TODAY()-$G310)</f>
        <v/>
      </c>
      <c r="T310" s="85">
        <f>IF($A310="","",IF(AND($E310="Yes",OR($O310="No",$O310="NOT FOUND")),"YES",""))</f>
        <v/>
      </c>
      <c r="U310" s="85">
        <f>IF($A310="","",TRIM(IF(AND($M310=0,$I310&lt;&gt;"Yes"),"T0-NoPhishResistant ","")&amp;IF($H310="No","NoMFA ","")&amp;IF(AND($E310="Yes",$G310=""),"NeverSignedIn ","")))</f>
        <v/>
      </c>
    </row>
    <row r="311" ht="15" customHeight="1" s="39">
      <c r="A311" s="85" t="n"/>
      <c r="B311" s="85" t="n"/>
      <c r="C311" s="85" t="n"/>
      <c r="D311" s="85" t="n"/>
      <c r="E311" s="85" t="n"/>
      <c r="F311" s="86" t="n"/>
      <c r="G311" s="86" t="n"/>
      <c r="H311" s="85" t="n"/>
      <c r="I311" s="85" t="n"/>
      <c r="J311" s="85" t="n"/>
      <c r="K311" s="85" t="n"/>
      <c r="L311" s="85" t="n"/>
      <c r="M311" s="85" t="n"/>
      <c r="N311" s="85" t="n"/>
      <c r="O311" s="85" t="n"/>
      <c r="P311" s="85" t="n"/>
      <c r="Q311" s="85" t="n"/>
      <c r="R311" s="85" t="n"/>
      <c r="S311" s="85">
        <f>IF($G311="","",TODAY()-$G311)</f>
        <v/>
      </c>
      <c r="T311" s="85">
        <f>IF($A311="","",IF(AND($E311="Yes",OR($O311="No",$O311="NOT FOUND")),"YES",""))</f>
        <v/>
      </c>
      <c r="U311" s="85">
        <f>IF($A311="","",TRIM(IF(AND($M311=0,$I311&lt;&gt;"Yes"),"T0-NoPhishResistant ","")&amp;IF($H311="No","NoMFA ","")&amp;IF(AND($E311="Yes",$G311=""),"NeverSignedIn ","")))</f>
        <v/>
      </c>
    </row>
    <row r="312" ht="15" customHeight="1" s="39">
      <c r="A312" s="85" t="n"/>
      <c r="B312" s="85" t="n"/>
      <c r="C312" s="85" t="n"/>
      <c r="D312" s="85" t="n"/>
      <c r="E312" s="85" t="n"/>
      <c r="F312" s="86" t="n"/>
      <c r="G312" s="86" t="n"/>
      <c r="H312" s="85" t="n"/>
      <c r="I312" s="85" t="n"/>
      <c r="J312" s="85" t="n"/>
      <c r="K312" s="85" t="n"/>
      <c r="L312" s="85" t="n"/>
      <c r="M312" s="85" t="n"/>
      <c r="N312" s="85" t="n"/>
      <c r="O312" s="85" t="n"/>
      <c r="P312" s="85" t="n"/>
      <c r="Q312" s="85" t="n"/>
      <c r="R312" s="85" t="n"/>
      <c r="S312" s="85">
        <f>IF($G312="","",TODAY()-$G312)</f>
        <v/>
      </c>
      <c r="T312" s="85">
        <f>IF($A312="","",IF(AND($E312="Yes",OR($O312="No",$O312="NOT FOUND")),"YES",""))</f>
        <v/>
      </c>
      <c r="U312" s="85">
        <f>IF($A312="","",TRIM(IF(AND($M312=0,$I312&lt;&gt;"Yes"),"T0-NoPhishResistant ","")&amp;IF($H312="No","NoMFA ","")&amp;IF(AND($E312="Yes",$G312=""),"NeverSignedIn ","")))</f>
        <v/>
      </c>
    </row>
    <row r="313" ht="15" customHeight="1" s="39">
      <c r="A313" s="85" t="n"/>
      <c r="B313" s="85" t="n"/>
      <c r="C313" s="85" t="n"/>
      <c r="D313" s="85" t="n"/>
      <c r="E313" s="85" t="n"/>
      <c r="F313" s="86" t="n"/>
      <c r="G313" s="86" t="n"/>
      <c r="H313" s="85" t="n"/>
      <c r="I313" s="85" t="n"/>
      <c r="J313" s="85" t="n"/>
      <c r="K313" s="85" t="n"/>
      <c r="L313" s="85" t="n"/>
      <c r="M313" s="85" t="n"/>
      <c r="N313" s="85" t="n"/>
      <c r="O313" s="85" t="n"/>
      <c r="P313" s="85" t="n"/>
      <c r="Q313" s="85" t="n"/>
      <c r="R313" s="85" t="n"/>
      <c r="S313" s="85">
        <f>IF($G313="","",TODAY()-$G313)</f>
        <v/>
      </c>
      <c r="T313" s="85">
        <f>IF($A313="","",IF(AND($E313="Yes",OR($O313="No",$O313="NOT FOUND")),"YES",""))</f>
        <v/>
      </c>
      <c r="U313" s="85">
        <f>IF($A313="","",TRIM(IF(AND($M313=0,$I313&lt;&gt;"Yes"),"T0-NoPhishResistant ","")&amp;IF($H313="No","NoMFA ","")&amp;IF(AND($E313="Yes",$G313=""),"NeverSignedIn ","")))</f>
        <v/>
      </c>
    </row>
    <row r="314" ht="15" customHeight="1" s="39">
      <c r="A314" s="85" t="n"/>
      <c r="B314" s="85" t="n"/>
      <c r="C314" s="85" t="n"/>
      <c r="D314" s="85" t="n"/>
      <c r="E314" s="85" t="n"/>
      <c r="F314" s="86" t="n"/>
      <c r="G314" s="86" t="n"/>
      <c r="H314" s="85" t="n"/>
      <c r="I314" s="85" t="n"/>
      <c r="J314" s="85" t="n"/>
      <c r="K314" s="85" t="n"/>
      <c r="L314" s="85" t="n"/>
      <c r="M314" s="85" t="n"/>
      <c r="N314" s="85" t="n"/>
      <c r="O314" s="85" t="n"/>
      <c r="P314" s="85" t="n"/>
      <c r="Q314" s="85" t="n"/>
      <c r="R314" s="85" t="n"/>
      <c r="S314" s="85">
        <f>IF($G314="","",TODAY()-$G314)</f>
        <v/>
      </c>
      <c r="T314" s="85">
        <f>IF($A314="","",IF(AND($E314="Yes",OR($O314="No",$O314="NOT FOUND")),"YES",""))</f>
        <v/>
      </c>
      <c r="U314" s="85">
        <f>IF($A314="","",TRIM(IF(AND($M314=0,$I314&lt;&gt;"Yes"),"T0-NoPhishResistant ","")&amp;IF($H314="No","NoMFA ","")&amp;IF(AND($E314="Yes",$G314=""),"NeverSignedIn ","")))</f>
        <v/>
      </c>
    </row>
    <row r="315" ht="15" customHeight="1" s="39">
      <c r="A315" s="85" t="n"/>
      <c r="B315" s="85" t="n"/>
      <c r="C315" s="85" t="n"/>
      <c r="D315" s="85" t="n"/>
      <c r="E315" s="85" t="n"/>
      <c r="F315" s="86" t="n"/>
      <c r="G315" s="86" t="n"/>
      <c r="H315" s="85" t="n"/>
      <c r="I315" s="85" t="n"/>
      <c r="J315" s="85" t="n"/>
      <c r="K315" s="85" t="n"/>
      <c r="L315" s="85" t="n"/>
      <c r="M315" s="85" t="n"/>
      <c r="N315" s="85" t="n"/>
      <c r="O315" s="85" t="n"/>
      <c r="P315" s="85" t="n"/>
      <c r="Q315" s="85" t="n"/>
      <c r="R315" s="85" t="n"/>
      <c r="S315" s="85">
        <f>IF($G315="","",TODAY()-$G315)</f>
        <v/>
      </c>
      <c r="T315" s="85">
        <f>IF($A315="","",IF(AND($E315="Yes",OR($O315="No",$O315="NOT FOUND")),"YES",""))</f>
        <v/>
      </c>
      <c r="U315" s="85">
        <f>IF($A315="","",TRIM(IF(AND($M315=0,$I315&lt;&gt;"Yes"),"T0-NoPhishResistant ","")&amp;IF($H315="No","NoMFA ","")&amp;IF(AND($E315="Yes",$G315=""),"NeverSignedIn ","")))</f>
        <v/>
      </c>
    </row>
    <row r="316" ht="15" customHeight="1" s="39">
      <c r="A316" s="85" t="n"/>
      <c r="B316" s="85" t="n"/>
      <c r="C316" s="85" t="n"/>
      <c r="D316" s="85" t="n"/>
      <c r="E316" s="85" t="n"/>
      <c r="F316" s="86" t="n"/>
      <c r="G316" s="86" t="n"/>
      <c r="H316" s="85" t="n"/>
      <c r="I316" s="85" t="n"/>
      <c r="J316" s="85" t="n"/>
      <c r="K316" s="85" t="n"/>
      <c r="L316" s="85" t="n"/>
      <c r="M316" s="85" t="n"/>
      <c r="N316" s="85" t="n"/>
      <c r="O316" s="85" t="n"/>
      <c r="P316" s="85" t="n"/>
      <c r="Q316" s="85" t="n"/>
      <c r="R316" s="85" t="n"/>
      <c r="S316" s="85">
        <f>IF($G316="","",TODAY()-$G316)</f>
        <v/>
      </c>
      <c r="T316" s="85">
        <f>IF($A316="","",IF(AND($E316="Yes",OR($O316="No",$O316="NOT FOUND")),"YES",""))</f>
        <v/>
      </c>
      <c r="U316" s="85">
        <f>IF($A316="","",TRIM(IF(AND($M316=0,$I316&lt;&gt;"Yes"),"T0-NoPhishResistant ","")&amp;IF($H316="No","NoMFA ","")&amp;IF(AND($E316="Yes",$G316=""),"NeverSignedIn ","")))</f>
        <v/>
      </c>
    </row>
    <row r="317" ht="15" customHeight="1" s="39">
      <c r="A317" s="85" t="n"/>
      <c r="B317" s="85" t="n"/>
      <c r="C317" s="85" t="n"/>
      <c r="D317" s="85" t="n"/>
      <c r="E317" s="85" t="n"/>
      <c r="F317" s="86" t="n"/>
      <c r="G317" s="86" t="n"/>
      <c r="H317" s="85" t="n"/>
      <c r="I317" s="85" t="n"/>
      <c r="J317" s="85" t="n"/>
      <c r="K317" s="85" t="n"/>
      <c r="L317" s="85" t="n"/>
      <c r="M317" s="85" t="n"/>
      <c r="N317" s="85" t="n"/>
      <c r="O317" s="85" t="n"/>
      <c r="P317" s="85" t="n"/>
      <c r="Q317" s="85" t="n"/>
      <c r="R317" s="85" t="n"/>
      <c r="S317" s="85">
        <f>IF($G317="","",TODAY()-$G317)</f>
        <v/>
      </c>
      <c r="T317" s="85">
        <f>IF($A317="","",IF(AND($E317="Yes",OR($O317="No",$O317="NOT FOUND")),"YES",""))</f>
        <v/>
      </c>
      <c r="U317" s="85">
        <f>IF($A317="","",TRIM(IF(AND($M317=0,$I317&lt;&gt;"Yes"),"T0-NoPhishResistant ","")&amp;IF($H317="No","NoMFA ","")&amp;IF(AND($E317="Yes",$G317=""),"NeverSignedIn ","")))</f>
        <v/>
      </c>
    </row>
    <row r="318" ht="15" customHeight="1" s="39">
      <c r="A318" s="85" t="n"/>
      <c r="B318" s="85" t="n"/>
      <c r="C318" s="85" t="n"/>
      <c r="D318" s="85" t="n"/>
      <c r="E318" s="85" t="n"/>
      <c r="F318" s="86" t="n"/>
      <c r="G318" s="86" t="n"/>
      <c r="H318" s="85" t="n"/>
      <c r="I318" s="85" t="n"/>
      <c r="J318" s="85" t="n"/>
      <c r="K318" s="85" t="n"/>
      <c r="L318" s="85" t="n"/>
      <c r="M318" s="85" t="n"/>
      <c r="N318" s="85" t="n"/>
      <c r="O318" s="85" t="n"/>
      <c r="P318" s="85" t="n"/>
      <c r="Q318" s="85" t="n"/>
      <c r="R318" s="85" t="n"/>
      <c r="S318" s="85">
        <f>IF($G318="","",TODAY()-$G318)</f>
        <v/>
      </c>
      <c r="T318" s="85">
        <f>IF($A318="","",IF(AND($E318="Yes",OR($O318="No",$O318="NOT FOUND")),"YES",""))</f>
        <v/>
      </c>
      <c r="U318" s="85">
        <f>IF($A318="","",TRIM(IF(AND($M318=0,$I318&lt;&gt;"Yes"),"T0-NoPhishResistant ","")&amp;IF($H318="No","NoMFA ","")&amp;IF(AND($E318="Yes",$G318=""),"NeverSignedIn ","")))</f>
        <v/>
      </c>
    </row>
    <row r="319" ht="15" customHeight="1" s="39">
      <c r="A319" s="85" t="n"/>
      <c r="B319" s="85" t="n"/>
      <c r="C319" s="85" t="n"/>
      <c r="D319" s="85" t="n"/>
      <c r="E319" s="85" t="n"/>
      <c r="F319" s="86" t="n"/>
      <c r="G319" s="86" t="n"/>
      <c r="H319" s="85" t="n"/>
      <c r="I319" s="85" t="n"/>
      <c r="J319" s="85" t="n"/>
      <c r="K319" s="85" t="n"/>
      <c r="L319" s="85" t="n"/>
      <c r="M319" s="85" t="n"/>
      <c r="N319" s="85" t="n"/>
      <c r="O319" s="85" t="n"/>
      <c r="P319" s="85" t="n"/>
      <c r="Q319" s="85" t="n"/>
      <c r="R319" s="85" t="n"/>
      <c r="S319" s="85">
        <f>IF($G319="","",TODAY()-$G319)</f>
        <v/>
      </c>
      <c r="T319" s="85">
        <f>IF($A319="","",IF(AND($E319="Yes",OR($O319="No",$O319="NOT FOUND")),"YES",""))</f>
        <v/>
      </c>
      <c r="U319" s="85">
        <f>IF($A319="","",TRIM(IF(AND($M319=0,$I319&lt;&gt;"Yes"),"T0-NoPhishResistant ","")&amp;IF($H319="No","NoMFA ","")&amp;IF(AND($E319="Yes",$G319=""),"NeverSignedIn ","")))</f>
        <v/>
      </c>
    </row>
    <row r="320" ht="15" customHeight="1" s="39">
      <c r="A320" s="85" t="n"/>
      <c r="B320" s="85" t="n"/>
      <c r="C320" s="85" t="n"/>
      <c r="D320" s="85" t="n"/>
      <c r="E320" s="85" t="n"/>
      <c r="F320" s="86" t="n"/>
      <c r="G320" s="86" t="n"/>
      <c r="H320" s="85" t="n"/>
      <c r="I320" s="85" t="n"/>
      <c r="J320" s="85" t="n"/>
      <c r="K320" s="85" t="n"/>
      <c r="L320" s="85" t="n"/>
      <c r="M320" s="85" t="n"/>
      <c r="N320" s="85" t="n"/>
      <c r="O320" s="85" t="n"/>
      <c r="P320" s="85" t="n"/>
      <c r="Q320" s="85" t="n"/>
      <c r="R320" s="85" t="n"/>
      <c r="S320" s="85">
        <f>IF($G320="","",TODAY()-$G320)</f>
        <v/>
      </c>
      <c r="T320" s="85">
        <f>IF($A320="","",IF(AND($E320="Yes",OR($O320="No",$O320="NOT FOUND")),"YES",""))</f>
        <v/>
      </c>
      <c r="U320" s="85">
        <f>IF($A320="","",TRIM(IF(AND($M320=0,$I320&lt;&gt;"Yes"),"T0-NoPhishResistant ","")&amp;IF($H320="No","NoMFA ","")&amp;IF(AND($E320="Yes",$G320=""),"NeverSignedIn ","")))</f>
        <v/>
      </c>
    </row>
    <row r="321" ht="15" customHeight="1" s="39">
      <c r="A321" s="85" t="n"/>
      <c r="B321" s="85" t="n"/>
      <c r="C321" s="85" t="n"/>
      <c r="D321" s="85" t="n"/>
      <c r="E321" s="85" t="n"/>
      <c r="F321" s="86" t="n"/>
      <c r="G321" s="86" t="n"/>
      <c r="H321" s="85" t="n"/>
      <c r="I321" s="85" t="n"/>
      <c r="J321" s="85" t="n"/>
      <c r="K321" s="85" t="n"/>
      <c r="L321" s="85" t="n"/>
      <c r="M321" s="85" t="n"/>
      <c r="N321" s="85" t="n"/>
      <c r="O321" s="85" t="n"/>
      <c r="P321" s="85" t="n"/>
      <c r="Q321" s="85" t="n"/>
      <c r="R321" s="85" t="n"/>
      <c r="S321" s="85">
        <f>IF($G321="","",TODAY()-$G321)</f>
        <v/>
      </c>
      <c r="T321" s="85">
        <f>IF($A321="","",IF(AND($E321="Yes",OR($O321="No",$O321="NOT FOUND")),"YES",""))</f>
        <v/>
      </c>
      <c r="U321" s="85">
        <f>IF($A321="","",TRIM(IF(AND($M321=0,$I321&lt;&gt;"Yes"),"T0-NoPhishResistant ","")&amp;IF($H321="No","NoMFA ","")&amp;IF(AND($E321="Yes",$G321=""),"NeverSignedIn ","")))</f>
        <v/>
      </c>
    </row>
    <row r="322" ht="15" customHeight="1" s="39">
      <c r="A322" s="85" t="n"/>
      <c r="B322" s="85" t="n"/>
      <c r="C322" s="85" t="n"/>
      <c r="D322" s="85" t="n"/>
      <c r="E322" s="85" t="n"/>
      <c r="F322" s="86" t="n"/>
      <c r="G322" s="86" t="n"/>
      <c r="H322" s="85" t="n"/>
      <c r="I322" s="85" t="n"/>
      <c r="J322" s="85" t="n"/>
      <c r="K322" s="85" t="n"/>
      <c r="L322" s="85" t="n"/>
      <c r="M322" s="85" t="n"/>
      <c r="N322" s="85" t="n"/>
      <c r="O322" s="85" t="n"/>
      <c r="P322" s="85" t="n"/>
      <c r="Q322" s="85" t="n"/>
      <c r="R322" s="85" t="n"/>
      <c r="S322" s="85">
        <f>IF($G322="","",TODAY()-$G322)</f>
        <v/>
      </c>
      <c r="T322" s="85">
        <f>IF($A322="","",IF(AND($E322="Yes",OR($O322="No",$O322="NOT FOUND")),"YES",""))</f>
        <v/>
      </c>
      <c r="U322" s="85">
        <f>IF($A322="","",TRIM(IF(AND($M322=0,$I322&lt;&gt;"Yes"),"T0-NoPhishResistant ","")&amp;IF($H322="No","NoMFA ","")&amp;IF(AND($E322="Yes",$G322=""),"NeverSignedIn ","")))</f>
        <v/>
      </c>
    </row>
    <row r="323" ht="15" customHeight="1" s="39">
      <c r="A323" s="85" t="n"/>
      <c r="B323" s="85" t="n"/>
      <c r="C323" s="85" t="n"/>
      <c r="D323" s="85" t="n"/>
      <c r="E323" s="85" t="n"/>
      <c r="F323" s="86" t="n"/>
      <c r="G323" s="86" t="n"/>
      <c r="H323" s="85" t="n"/>
      <c r="I323" s="85" t="n"/>
      <c r="J323" s="85" t="n"/>
      <c r="K323" s="85" t="n"/>
      <c r="L323" s="85" t="n"/>
      <c r="M323" s="85" t="n"/>
      <c r="N323" s="85" t="n"/>
      <c r="O323" s="85" t="n"/>
      <c r="P323" s="85" t="n"/>
      <c r="Q323" s="85" t="n"/>
      <c r="R323" s="85" t="n"/>
      <c r="S323" s="85">
        <f>IF($G323="","",TODAY()-$G323)</f>
        <v/>
      </c>
      <c r="T323" s="85">
        <f>IF($A323="","",IF(AND($E323="Yes",OR($O323="No",$O323="NOT FOUND")),"YES",""))</f>
        <v/>
      </c>
      <c r="U323" s="85">
        <f>IF($A323="","",TRIM(IF(AND($M323=0,$I323&lt;&gt;"Yes"),"T0-NoPhishResistant ","")&amp;IF($H323="No","NoMFA ","")&amp;IF(AND($E323="Yes",$G323=""),"NeverSignedIn ","")))</f>
        <v/>
      </c>
    </row>
    <row r="324" ht="15" customHeight="1" s="39">
      <c r="A324" s="85" t="n"/>
      <c r="B324" s="85" t="n"/>
      <c r="C324" s="85" t="n"/>
      <c r="D324" s="85" t="n"/>
      <c r="E324" s="85" t="n"/>
      <c r="F324" s="86" t="n"/>
      <c r="G324" s="86" t="n"/>
      <c r="H324" s="85" t="n"/>
      <c r="I324" s="85" t="n"/>
      <c r="J324" s="85" t="n"/>
      <c r="K324" s="85" t="n"/>
      <c r="L324" s="85" t="n"/>
      <c r="M324" s="85" t="n"/>
      <c r="N324" s="85" t="n"/>
      <c r="O324" s="85" t="n"/>
      <c r="P324" s="85" t="n"/>
      <c r="Q324" s="85" t="n"/>
      <c r="R324" s="85" t="n"/>
      <c r="S324" s="85">
        <f>IF($G324="","",TODAY()-$G324)</f>
        <v/>
      </c>
      <c r="T324" s="85">
        <f>IF($A324="","",IF(AND($E324="Yes",OR($O324="No",$O324="NOT FOUND")),"YES",""))</f>
        <v/>
      </c>
      <c r="U324" s="85">
        <f>IF($A324="","",TRIM(IF(AND($M324=0,$I324&lt;&gt;"Yes"),"T0-NoPhishResistant ","")&amp;IF($H324="No","NoMFA ","")&amp;IF(AND($E324="Yes",$G324=""),"NeverSignedIn ","")))</f>
        <v/>
      </c>
    </row>
    <row r="325" ht="15" customHeight="1" s="39">
      <c r="A325" s="85" t="n"/>
      <c r="B325" s="85" t="n"/>
      <c r="C325" s="85" t="n"/>
      <c r="D325" s="85" t="n"/>
      <c r="E325" s="85" t="n"/>
      <c r="F325" s="86" t="n"/>
      <c r="G325" s="86" t="n"/>
      <c r="H325" s="85" t="n"/>
      <c r="I325" s="85" t="n"/>
      <c r="J325" s="85" t="n"/>
      <c r="K325" s="85" t="n"/>
      <c r="L325" s="85" t="n"/>
      <c r="M325" s="85" t="n"/>
      <c r="N325" s="85" t="n"/>
      <c r="O325" s="85" t="n"/>
      <c r="P325" s="85" t="n"/>
      <c r="Q325" s="85" t="n"/>
      <c r="R325" s="85" t="n"/>
      <c r="S325" s="85">
        <f>IF($G325="","",TODAY()-$G325)</f>
        <v/>
      </c>
      <c r="T325" s="85">
        <f>IF($A325="","",IF(AND($E325="Yes",OR($O325="No",$O325="NOT FOUND")),"YES",""))</f>
        <v/>
      </c>
      <c r="U325" s="85">
        <f>IF($A325="","",TRIM(IF(AND($M325=0,$I325&lt;&gt;"Yes"),"T0-NoPhishResistant ","")&amp;IF($H325="No","NoMFA ","")&amp;IF(AND($E325="Yes",$G325=""),"NeverSignedIn ","")))</f>
        <v/>
      </c>
    </row>
    <row r="326" ht="15" customHeight="1" s="39">
      <c r="A326" s="85" t="n"/>
      <c r="B326" s="85" t="n"/>
      <c r="C326" s="85" t="n"/>
      <c r="D326" s="85" t="n"/>
      <c r="E326" s="85" t="n"/>
      <c r="F326" s="86" t="n"/>
      <c r="G326" s="86" t="n"/>
      <c r="H326" s="85" t="n"/>
      <c r="I326" s="85" t="n"/>
      <c r="J326" s="85" t="n"/>
      <c r="K326" s="85" t="n"/>
      <c r="L326" s="85" t="n"/>
      <c r="M326" s="85" t="n"/>
      <c r="N326" s="85" t="n"/>
      <c r="O326" s="85" t="n"/>
      <c r="P326" s="85" t="n"/>
      <c r="Q326" s="85" t="n"/>
      <c r="R326" s="85" t="n"/>
      <c r="S326" s="85">
        <f>IF($G326="","",TODAY()-$G326)</f>
        <v/>
      </c>
      <c r="T326" s="85">
        <f>IF($A326="","",IF(AND($E326="Yes",OR($O326="No",$O326="NOT FOUND")),"YES",""))</f>
        <v/>
      </c>
      <c r="U326" s="85">
        <f>IF($A326="","",TRIM(IF(AND($M326=0,$I326&lt;&gt;"Yes"),"T0-NoPhishResistant ","")&amp;IF($H326="No","NoMFA ","")&amp;IF(AND($E326="Yes",$G326=""),"NeverSignedIn ","")))</f>
        <v/>
      </c>
    </row>
    <row r="327" ht="15" customHeight="1" s="39">
      <c r="A327" s="85" t="n"/>
      <c r="B327" s="85" t="n"/>
      <c r="C327" s="85" t="n"/>
      <c r="D327" s="85" t="n"/>
      <c r="E327" s="85" t="n"/>
      <c r="F327" s="86" t="n"/>
      <c r="G327" s="86" t="n"/>
      <c r="H327" s="85" t="n"/>
      <c r="I327" s="85" t="n"/>
      <c r="J327" s="85" t="n"/>
      <c r="K327" s="85" t="n"/>
      <c r="L327" s="85" t="n"/>
      <c r="M327" s="85" t="n"/>
      <c r="N327" s="85" t="n"/>
      <c r="O327" s="85" t="n"/>
      <c r="P327" s="85" t="n"/>
      <c r="Q327" s="85" t="n"/>
      <c r="R327" s="85" t="n"/>
      <c r="S327" s="85">
        <f>IF($G327="","",TODAY()-$G327)</f>
        <v/>
      </c>
      <c r="T327" s="85">
        <f>IF($A327="","",IF(AND($E327="Yes",OR($O327="No",$O327="NOT FOUND")),"YES",""))</f>
        <v/>
      </c>
      <c r="U327" s="85">
        <f>IF($A327="","",TRIM(IF(AND($M327=0,$I327&lt;&gt;"Yes"),"T0-NoPhishResistant ","")&amp;IF($H327="No","NoMFA ","")&amp;IF(AND($E327="Yes",$G327=""),"NeverSignedIn ","")))</f>
        <v/>
      </c>
    </row>
    <row r="328" ht="15" customHeight="1" s="39">
      <c r="A328" s="85" t="n"/>
      <c r="B328" s="85" t="n"/>
      <c r="C328" s="85" t="n"/>
      <c r="D328" s="85" t="n"/>
      <c r="E328" s="85" t="n"/>
      <c r="F328" s="86" t="n"/>
      <c r="G328" s="86" t="n"/>
      <c r="H328" s="85" t="n"/>
      <c r="I328" s="85" t="n"/>
      <c r="J328" s="85" t="n"/>
      <c r="K328" s="85" t="n"/>
      <c r="L328" s="85" t="n"/>
      <c r="M328" s="85" t="n"/>
      <c r="N328" s="85" t="n"/>
      <c r="O328" s="85" t="n"/>
      <c r="P328" s="85" t="n"/>
      <c r="Q328" s="85" t="n"/>
      <c r="R328" s="85" t="n"/>
      <c r="S328" s="85">
        <f>IF($G328="","",TODAY()-$G328)</f>
        <v/>
      </c>
      <c r="T328" s="85">
        <f>IF($A328="","",IF(AND($E328="Yes",OR($O328="No",$O328="NOT FOUND")),"YES",""))</f>
        <v/>
      </c>
      <c r="U328" s="85">
        <f>IF($A328="","",TRIM(IF(AND($M328=0,$I328&lt;&gt;"Yes"),"T0-NoPhishResistant ","")&amp;IF($H328="No","NoMFA ","")&amp;IF(AND($E328="Yes",$G328=""),"NeverSignedIn ","")))</f>
        <v/>
      </c>
    </row>
    <row r="329" ht="15" customHeight="1" s="39">
      <c r="A329" s="85" t="n"/>
      <c r="B329" s="85" t="n"/>
      <c r="C329" s="85" t="n"/>
      <c r="D329" s="85" t="n"/>
      <c r="E329" s="85" t="n"/>
      <c r="F329" s="86" t="n"/>
      <c r="G329" s="86" t="n"/>
      <c r="H329" s="85" t="n"/>
      <c r="I329" s="85" t="n"/>
      <c r="J329" s="85" t="n"/>
      <c r="K329" s="85" t="n"/>
      <c r="L329" s="85" t="n"/>
      <c r="M329" s="85" t="n"/>
      <c r="N329" s="85" t="n"/>
      <c r="O329" s="85" t="n"/>
      <c r="P329" s="85" t="n"/>
      <c r="Q329" s="85" t="n"/>
      <c r="R329" s="85" t="n"/>
      <c r="S329" s="85">
        <f>IF($G329="","",TODAY()-$G329)</f>
        <v/>
      </c>
      <c r="T329" s="85">
        <f>IF($A329="","",IF(AND($E329="Yes",OR($O329="No",$O329="NOT FOUND")),"YES",""))</f>
        <v/>
      </c>
      <c r="U329" s="85">
        <f>IF($A329="","",TRIM(IF(AND($M329=0,$I329&lt;&gt;"Yes"),"T0-NoPhishResistant ","")&amp;IF($H329="No","NoMFA ","")&amp;IF(AND($E329="Yes",$G329=""),"NeverSignedIn ","")))</f>
        <v/>
      </c>
    </row>
    <row r="330" ht="15" customHeight="1" s="39">
      <c r="A330" s="85" t="n"/>
      <c r="B330" s="85" t="n"/>
      <c r="C330" s="85" t="n"/>
      <c r="D330" s="85" t="n"/>
      <c r="E330" s="85" t="n"/>
      <c r="F330" s="86" t="n"/>
      <c r="G330" s="86" t="n"/>
      <c r="H330" s="85" t="n"/>
      <c r="I330" s="85" t="n"/>
      <c r="J330" s="85" t="n"/>
      <c r="K330" s="85" t="n"/>
      <c r="L330" s="85" t="n"/>
      <c r="M330" s="85" t="n"/>
      <c r="N330" s="85" t="n"/>
      <c r="O330" s="85" t="n"/>
      <c r="P330" s="85" t="n"/>
      <c r="Q330" s="85" t="n"/>
      <c r="R330" s="85" t="n"/>
      <c r="S330" s="85">
        <f>IF($G330="","",TODAY()-$G330)</f>
        <v/>
      </c>
      <c r="T330" s="85">
        <f>IF($A330="","",IF(AND($E330="Yes",OR($O330="No",$O330="NOT FOUND")),"YES",""))</f>
        <v/>
      </c>
      <c r="U330" s="85">
        <f>IF($A330="","",TRIM(IF(AND($M330=0,$I330&lt;&gt;"Yes"),"T0-NoPhishResistant ","")&amp;IF($H330="No","NoMFA ","")&amp;IF(AND($E330="Yes",$G330=""),"NeverSignedIn ","")))</f>
        <v/>
      </c>
    </row>
    <row r="331" ht="15" customHeight="1" s="39">
      <c r="A331" s="85" t="n"/>
      <c r="B331" s="85" t="n"/>
      <c r="C331" s="85" t="n"/>
      <c r="D331" s="85" t="n"/>
      <c r="E331" s="85" t="n"/>
      <c r="F331" s="86" t="n"/>
      <c r="G331" s="86" t="n"/>
      <c r="H331" s="85" t="n"/>
      <c r="I331" s="85" t="n"/>
      <c r="J331" s="85" t="n"/>
      <c r="K331" s="85" t="n"/>
      <c r="L331" s="85" t="n"/>
      <c r="M331" s="85" t="n"/>
      <c r="N331" s="85" t="n"/>
      <c r="O331" s="85" t="n"/>
      <c r="P331" s="85" t="n"/>
      <c r="Q331" s="85" t="n"/>
      <c r="R331" s="85" t="n"/>
      <c r="S331" s="85">
        <f>IF($G331="","",TODAY()-$G331)</f>
        <v/>
      </c>
      <c r="T331" s="85">
        <f>IF($A331="","",IF(AND($E331="Yes",OR($O331="No",$O331="NOT FOUND")),"YES",""))</f>
        <v/>
      </c>
      <c r="U331" s="85">
        <f>IF($A331="","",TRIM(IF(AND($M331=0,$I331&lt;&gt;"Yes"),"T0-NoPhishResistant ","")&amp;IF($H331="No","NoMFA ","")&amp;IF(AND($E331="Yes",$G331=""),"NeverSignedIn ","")))</f>
        <v/>
      </c>
    </row>
    <row r="332" ht="15" customHeight="1" s="39">
      <c r="A332" s="85" t="n"/>
      <c r="B332" s="85" t="n"/>
      <c r="C332" s="85" t="n"/>
      <c r="D332" s="85" t="n"/>
      <c r="E332" s="85" t="n"/>
      <c r="F332" s="86" t="n"/>
      <c r="G332" s="86" t="n"/>
      <c r="H332" s="85" t="n"/>
      <c r="I332" s="85" t="n"/>
      <c r="J332" s="85" t="n"/>
      <c r="K332" s="85" t="n"/>
      <c r="L332" s="85" t="n"/>
      <c r="M332" s="85" t="n"/>
      <c r="N332" s="85" t="n"/>
      <c r="O332" s="85" t="n"/>
      <c r="P332" s="85" t="n"/>
      <c r="Q332" s="85" t="n"/>
      <c r="R332" s="85" t="n"/>
      <c r="S332" s="85">
        <f>IF($G332="","",TODAY()-$G332)</f>
        <v/>
      </c>
      <c r="T332" s="85">
        <f>IF($A332="","",IF(AND($E332="Yes",OR($O332="No",$O332="NOT FOUND")),"YES",""))</f>
        <v/>
      </c>
      <c r="U332" s="85">
        <f>IF($A332="","",TRIM(IF(AND($M332=0,$I332&lt;&gt;"Yes"),"T0-NoPhishResistant ","")&amp;IF($H332="No","NoMFA ","")&amp;IF(AND($E332="Yes",$G332=""),"NeverSignedIn ","")))</f>
        <v/>
      </c>
    </row>
    <row r="333" ht="15" customHeight="1" s="39">
      <c r="A333" s="85" t="n"/>
      <c r="B333" s="85" t="n"/>
      <c r="C333" s="85" t="n"/>
      <c r="D333" s="85" t="n"/>
      <c r="E333" s="85" t="n"/>
      <c r="F333" s="86" t="n"/>
      <c r="G333" s="86" t="n"/>
      <c r="H333" s="85" t="n"/>
      <c r="I333" s="85" t="n"/>
      <c r="J333" s="85" t="n"/>
      <c r="K333" s="85" t="n"/>
      <c r="L333" s="85" t="n"/>
      <c r="M333" s="85" t="n"/>
      <c r="N333" s="85" t="n"/>
      <c r="O333" s="85" t="n"/>
      <c r="P333" s="85" t="n"/>
      <c r="Q333" s="85" t="n"/>
      <c r="R333" s="85" t="n"/>
      <c r="S333" s="85">
        <f>IF($G333="","",TODAY()-$G333)</f>
        <v/>
      </c>
      <c r="T333" s="85">
        <f>IF($A333="","",IF(AND($E333="Yes",OR($O333="No",$O333="NOT FOUND")),"YES",""))</f>
        <v/>
      </c>
      <c r="U333" s="85">
        <f>IF($A333="","",TRIM(IF(AND($M333=0,$I333&lt;&gt;"Yes"),"T0-NoPhishResistant ","")&amp;IF($H333="No","NoMFA ","")&amp;IF(AND($E333="Yes",$G333=""),"NeverSignedIn ","")))</f>
        <v/>
      </c>
    </row>
    <row r="334" ht="15" customHeight="1" s="39">
      <c r="A334" s="85" t="n"/>
      <c r="B334" s="85" t="n"/>
      <c r="C334" s="85" t="n"/>
      <c r="D334" s="85" t="n"/>
      <c r="E334" s="85" t="n"/>
      <c r="F334" s="86" t="n"/>
      <c r="G334" s="86" t="n"/>
      <c r="H334" s="85" t="n"/>
      <c r="I334" s="85" t="n"/>
      <c r="J334" s="85" t="n"/>
      <c r="K334" s="85" t="n"/>
      <c r="L334" s="85" t="n"/>
      <c r="M334" s="85" t="n"/>
      <c r="N334" s="85" t="n"/>
      <c r="O334" s="85" t="n"/>
      <c r="P334" s="85" t="n"/>
      <c r="Q334" s="85" t="n"/>
      <c r="R334" s="85" t="n"/>
      <c r="S334" s="85">
        <f>IF($G334="","",TODAY()-$G334)</f>
        <v/>
      </c>
      <c r="T334" s="85">
        <f>IF($A334="","",IF(AND($E334="Yes",OR($O334="No",$O334="NOT FOUND")),"YES",""))</f>
        <v/>
      </c>
      <c r="U334" s="85">
        <f>IF($A334="","",TRIM(IF(AND($M334=0,$I334&lt;&gt;"Yes"),"T0-NoPhishResistant ","")&amp;IF($H334="No","NoMFA ","")&amp;IF(AND($E334="Yes",$G334=""),"NeverSignedIn ","")))</f>
        <v/>
      </c>
    </row>
    <row r="335" ht="15" customHeight="1" s="39">
      <c r="A335" s="85" t="n"/>
      <c r="B335" s="85" t="n"/>
      <c r="C335" s="85" t="n"/>
      <c r="D335" s="85" t="n"/>
      <c r="E335" s="85" t="n"/>
      <c r="F335" s="86" t="n"/>
      <c r="G335" s="86" t="n"/>
      <c r="H335" s="85" t="n"/>
      <c r="I335" s="85" t="n"/>
      <c r="J335" s="85" t="n"/>
      <c r="K335" s="85" t="n"/>
      <c r="L335" s="85" t="n"/>
      <c r="M335" s="85" t="n"/>
      <c r="N335" s="85" t="n"/>
      <c r="O335" s="85" t="n"/>
      <c r="P335" s="85" t="n"/>
      <c r="Q335" s="85" t="n"/>
      <c r="R335" s="85" t="n"/>
      <c r="S335" s="85">
        <f>IF($G335="","",TODAY()-$G335)</f>
        <v/>
      </c>
      <c r="T335" s="85">
        <f>IF($A335="","",IF(AND($E335="Yes",OR($O335="No",$O335="NOT FOUND")),"YES",""))</f>
        <v/>
      </c>
      <c r="U335" s="85">
        <f>IF($A335="","",TRIM(IF(AND($M335=0,$I335&lt;&gt;"Yes"),"T0-NoPhishResistant ","")&amp;IF($H335="No","NoMFA ","")&amp;IF(AND($E335="Yes",$G335=""),"NeverSignedIn ","")))</f>
        <v/>
      </c>
    </row>
    <row r="336" ht="15" customHeight="1" s="39">
      <c r="A336" s="85" t="n"/>
      <c r="B336" s="85" t="n"/>
      <c r="C336" s="85" t="n"/>
      <c r="D336" s="85" t="n"/>
      <c r="E336" s="85" t="n"/>
      <c r="F336" s="86" t="n"/>
      <c r="G336" s="86" t="n"/>
      <c r="H336" s="85" t="n"/>
      <c r="I336" s="85" t="n"/>
      <c r="J336" s="85" t="n"/>
      <c r="K336" s="85" t="n"/>
      <c r="L336" s="85" t="n"/>
      <c r="M336" s="85" t="n"/>
      <c r="N336" s="85" t="n"/>
      <c r="O336" s="85" t="n"/>
      <c r="P336" s="85" t="n"/>
      <c r="Q336" s="85" t="n"/>
      <c r="R336" s="85" t="n"/>
      <c r="S336" s="85">
        <f>IF($G336="","",TODAY()-$G336)</f>
        <v/>
      </c>
      <c r="T336" s="85">
        <f>IF($A336="","",IF(AND($E336="Yes",OR($O336="No",$O336="NOT FOUND")),"YES",""))</f>
        <v/>
      </c>
      <c r="U336" s="85">
        <f>IF($A336="","",TRIM(IF(AND($M336=0,$I336&lt;&gt;"Yes"),"T0-NoPhishResistant ","")&amp;IF($H336="No","NoMFA ","")&amp;IF(AND($E336="Yes",$G336=""),"NeverSignedIn ","")))</f>
        <v/>
      </c>
    </row>
    <row r="337" ht="15" customHeight="1" s="39">
      <c r="A337" s="85" t="n"/>
      <c r="B337" s="85" t="n"/>
      <c r="C337" s="85" t="n"/>
      <c r="D337" s="85" t="n"/>
      <c r="E337" s="85" t="n"/>
      <c r="F337" s="86" t="n"/>
      <c r="G337" s="86" t="n"/>
      <c r="H337" s="85" t="n"/>
      <c r="I337" s="85" t="n"/>
      <c r="J337" s="85" t="n"/>
      <c r="K337" s="85" t="n"/>
      <c r="L337" s="85" t="n"/>
      <c r="M337" s="85" t="n"/>
      <c r="N337" s="85" t="n"/>
      <c r="O337" s="85" t="n"/>
      <c r="P337" s="85" t="n"/>
      <c r="Q337" s="85" t="n"/>
      <c r="R337" s="85" t="n"/>
      <c r="S337" s="85">
        <f>IF($G337="","",TODAY()-$G337)</f>
        <v/>
      </c>
      <c r="T337" s="85">
        <f>IF($A337="","",IF(AND($E337="Yes",OR($O337="No",$O337="NOT FOUND")),"YES",""))</f>
        <v/>
      </c>
      <c r="U337" s="85">
        <f>IF($A337="","",TRIM(IF(AND($M337=0,$I337&lt;&gt;"Yes"),"T0-NoPhishResistant ","")&amp;IF($H337="No","NoMFA ","")&amp;IF(AND($E337="Yes",$G337=""),"NeverSignedIn ","")))</f>
        <v/>
      </c>
    </row>
    <row r="338" ht="15" customHeight="1" s="39">
      <c r="A338" s="85" t="n"/>
      <c r="B338" s="85" t="n"/>
      <c r="C338" s="85" t="n"/>
      <c r="D338" s="85" t="n"/>
      <c r="E338" s="85" t="n"/>
      <c r="F338" s="86" t="n"/>
      <c r="G338" s="86" t="n"/>
      <c r="H338" s="85" t="n"/>
      <c r="I338" s="85" t="n"/>
      <c r="J338" s="85" t="n"/>
      <c r="K338" s="85" t="n"/>
      <c r="L338" s="85" t="n"/>
      <c r="M338" s="85" t="n"/>
      <c r="N338" s="85" t="n"/>
      <c r="O338" s="85" t="n"/>
      <c r="P338" s="85" t="n"/>
      <c r="Q338" s="85" t="n"/>
      <c r="R338" s="85" t="n"/>
      <c r="S338" s="85">
        <f>IF($G338="","",TODAY()-$G338)</f>
        <v/>
      </c>
      <c r="T338" s="85">
        <f>IF($A338="","",IF(AND($E338="Yes",OR($O338="No",$O338="NOT FOUND")),"YES",""))</f>
        <v/>
      </c>
      <c r="U338" s="85">
        <f>IF($A338="","",TRIM(IF(AND($M338=0,$I338&lt;&gt;"Yes"),"T0-NoPhishResistant ","")&amp;IF($H338="No","NoMFA ","")&amp;IF(AND($E338="Yes",$G338=""),"NeverSignedIn ","")))</f>
        <v/>
      </c>
    </row>
    <row r="339" ht="15" customHeight="1" s="39">
      <c r="A339" s="85" t="n"/>
      <c r="B339" s="85" t="n"/>
      <c r="C339" s="85" t="n"/>
      <c r="D339" s="85" t="n"/>
      <c r="E339" s="85" t="n"/>
      <c r="F339" s="86" t="n"/>
      <c r="G339" s="86" t="n"/>
      <c r="H339" s="85" t="n"/>
      <c r="I339" s="85" t="n"/>
      <c r="J339" s="85" t="n"/>
      <c r="K339" s="85" t="n"/>
      <c r="L339" s="85" t="n"/>
      <c r="M339" s="85" t="n"/>
      <c r="N339" s="85" t="n"/>
      <c r="O339" s="85" t="n"/>
      <c r="P339" s="85" t="n"/>
      <c r="Q339" s="85" t="n"/>
      <c r="R339" s="85" t="n"/>
      <c r="S339" s="85">
        <f>IF($G339="","",TODAY()-$G339)</f>
        <v/>
      </c>
      <c r="T339" s="85">
        <f>IF($A339="","",IF(AND($E339="Yes",OR($O339="No",$O339="NOT FOUND")),"YES",""))</f>
        <v/>
      </c>
      <c r="U339" s="85">
        <f>IF($A339="","",TRIM(IF(AND($M339=0,$I339&lt;&gt;"Yes"),"T0-NoPhishResistant ","")&amp;IF($H339="No","NoMFA ","")&amp;IF(AND($E339="Yes",$G339=""),"NeverSignedIn ","")))</f>
        <v/>
      </c>
    </row>
    <row r="340" ht="15" customHeight="1" s="39">
      <c r="A340" s="85" t="n"/>
      <c r="B340" s="85" t="n"/>
      <c r="C340" s="85" t="n"/>
      <c r="D340" s="85" t="n"/>
      <c r="E340" s="85" t="n"/>
      <c r="F340" s="86" t="n"/>
      <c r="G340" s="86" t="n"/>
      <c r="H340" s="85" t="n"/>
      <c r="I340" s="85" t="n"/>
      <c r="J340" s="85" t="n"/>
      <c r="K340" s="85" t="n"/>
      <c r="L340" s="85" t="n"/>
      <c r="M340" s="85" t="n"/>
      <c r="N340" s="85" t="n"/>
      <c r="O340" s="85" t="n"/>
      <c r="P340" s="85" t="n"/>
      <c r="Q340" s="85" t="n"/>
      <c r="R340" s="85" t="n"/>
      <c r="S340" s="85">
        <f>IF($G340="","",TODAY()-$G340)</f>
        <v/>
      </c>
      <c r="T340" s="85">
        <f>IF($A340="","",IF(AND($E340="Yes",OR($O340="No",$O340="NOT FOUND")),"YES",""))</f>
        <v/>
      </c>
      <c r="U340" s="85">
        <f>IF($A340="","",TRIM(IF(AND($M340=0,$I340&lt;&gt;"Yes"),"T0-NoPhishResistant ","")&amp;IF($H340="No","NoMFA ","")&amp;IF(AND($E340="Yes",$G340=""),"NeverSignedIn ","")))</f>
        <v/>
      </c>
    </row>
    <row r="341" ht="15" customHeight="1" s="39">
      <c r="A341" s="85" t="n"/>
      <c r="B341" s="85" t="n"/>
      <c r="C341" s="85" t="n"/>
      <c r="D341" s="85" t="n"/>
      <c r="E341" s="85" t="n"/>
      <c r="F341" s="86" t="n"/>
      <c r="G341" s="86" t="n"/>
      <c r="H341" s="85" t="n"/>
      <c r="I341" s="85" t="n"/>
      <c r="J341" s="85" t="n"/>
      <c r="K341" s="85" t="n"/>
      <c r="L341" s="85" t="n"/>
      <c r="M341" s="85" t="n"/>
      <c r="N341" s="85" t="n"/>
      <c r="O341" s="85" t="n"/>
      <c r="P341" s="85" t="n"/>
      <c r="Q341" s="85" t="n"/>
      <c r="R341" s="85" t="n"/>
      <c r="S341" s="85">
        <f>IF($G341="","",TODAY()-$G341)</f>
        <v/>
      </c>
      <c r="T341" s="85">
        <f>IF($A341="","",IF(AND($E341="Yes",OR($O341="No",$O341="NOT FOUND")),"YES",""))</f>
        <v/>
      </c>
      <c r="U341" s="85">
        <f>IF($A341="","",TRIM(IF(AND($M341=0,$I341&lt;&gt;"Yes"),"T0-NoPhishResistant ","")&amp;IF($H341="No","NoMFA ","")&amp;IF(AND($E341="Yes",$G341=""),"NeverSignedIn ","")))</f>
        <v/>
      </c>
    </row>
    <row r="342" ht="15" customHeight="1" s="39">
      <c r="A342" s="85" t="n"/>
      <c r="B342" s="85" t="n"/>
      <c r="C342" s="85" t="n"/>
      <c r="D342" s="85" t="n"/>
      <c r="E342" s="85" t="n"/>
      <c r="F342" s="86" t="n"/>
      <c r="G342" s="86" t="n"/>
      <c r="H342" s="85" t="n"/>
      <c r="I342" s="85" t="n"/>
      <c r="J342" s="85" t="n"/>
      <c r="K342" s="85" t="n"/>
      <c r="L342" s="85" t="n"/>
      <c r="M342" s="85" t="n"/>
      <c r="N342" s="85" t="n"/>
      <c r="O342" s="85" t="n"/>
      <c r="P342" s="85" t="n"/>
      <c r="Q342" s="85" t="n"/>
      <c r="R342" s="85" t="n"/>
      <c r="S342" s="85">
        <f>IF($G342="","",TODAY()-$G342)</f>
        <v/>
      </c>
      <c r="T342" s="85">
        <f>IF($A342="","",IF(AND($E342="Yes",OR($O342="No",$O342="NOT FOUND")),"YES",""))</f>
        <v/>
      </c>
      <c r="U342" s="85">
        <f>IF($A342="","",TRIM(IF(AND($M342=0,$I342&lt;&gt;"Yes"),"T0-NoPhishResistant ","")&amp;IF($H342="No","NoMFA ","")&amp;IF(AND($E342="Yes",$G342=""),"NeverSignedIn ","")))</f>
        <v/>
      </c>
    </row>
    <row r="343" ht="15" customHeight="1" s="39">
      <c r="A343" s="85" t="n"/>
      <c r="B343" s="85" t="n"/>
      <c r="C343" s="85" t="n"/>
      <c r="D343" s="85" t="n"/>
      <c r="E343" s="85" t="n"/>
      <c r="F343" s="86" t="n"/>
      <c r="G343" s="86" t="n"/>
      <c r="H343" s="85" t="n"/>
      <c r="I343" s="85" t="n"/>
      <c r="J343" s="85" t="n"/>
      <c r="K343" s="85" t="n"/>
      <c r="L343" s="85" t="n"/>
      <c r="M343" s="85" t="n"/>
      <c r="N343" s="85" t="n"/>
      <c r="O343" s="85" t="n"/>
      <c r="P343" s="85" t="n"/>
      <c r="Q343" s="85" t="n"/>
      <c r="R343" s="85" t="n"/>
      <c r="S343" s="85">
        <f>IF($G343="","",TODAY()-$G343)</f>
        <v/>
      </c>
      <c r="T343" s="85">
        <f>IF($A343="","",IF(AND($E343="Yes",OR($O343="No",$O343="NOT FOUND")),"YES",""))</f>
        <v/>
      </c>
      <c r="U343" s="85">
        <f>IF($A343="","",TRIM(IF(AND($M343=0,$I343&lt;&gt;"Yes"),"T0-NoPhishResistant ","")&amp;IF($H343="No","NoMFA ","")&amp;IF(AND($E343="Yes",$G343=""),"NeverSignedIn ","")))</f>
        <v/>
      </c>
    </row>
    <row r="344" ht="15" customHeight="1" s="39">
      <c r="A344" s="85" t="n"/>
      <c r="B344" s="85" t="n"/>
      <c r="C344" s="85" t="n"/>
      <c r="D344" s="85" t="n"/>
      <c r="E344" s="85" t="n"/>
      <c r="F344" s="86" t="n"/>
      <c r="G344" s="86" t="n"/>
      <c r="H344" s="85" t="n"/>
      <c r="I344" s="85" t="n"/>
      <c r="J344" s="85" t="n"/>
      <c r="K344" s="85" t="n"/>
      <c r="L344" s="85" t="n"/>
      <c r="M344" s="85" t="n"/>
      <c r="N344" s="85" t="n"/>
      <c r="O344" s="85" t="n"/>
      <c r="P344" s="85" t="n"/>
      <c r="Q344" s="85" t="n"/>
      <c r="R344" s="85" t="n"/>
      <c r="S344" s="85">
        <f>IF($G344="","",TODAY()-$G344)</f>
        <v/>
      </c>
      <c r="T344" s="85">
        <f>IF($A344="","",IF(AND($E344="Yes",OR($O344="No",$O344="NOT FOUND")),"YES",""))</f>
        <v/>
      </c>
      <c r="U344" s="85">
        <f>IF($A344="","",TRIM(IF(AND($M344=0,$I344&lt;&gt;"Yes"),"T0-NoPhishResistant ","")&amp;IF($H344="No","NoMFA ","")&amp;IF(AND($E344="Yes",$G344=""),"NeverSignedIn ","")))</f>
        <v/>
      </c>
    </row>
    <row r="345" ht="15" customHeight="1" s="39">
      <c r="A345" s="85" t="n"/>
      <c r="B345" s="85" t="n"/>
      <c r="C345" s="85" t="n"/>
      <c r="D345" s="85" t="n"/>
      <c r="E345" s="85" t="n"/>
      <c r="F345" s="86" t="n"/>
      <c r="G345" s="86" t="n"/>
      <c r="H345" s="85" t="n"/>
      <c r="I345" s="85" t="n"/>
      <c r="J345" s="85" t="n"/>
      <c r="K345" s="85" t="n"/>
      <c r="L345" s="85" t="n"/>
      <c r="M345" s="85" t="n"/>
      <c r="N345" s="85" t="n"/>
      <c r="O345" s="85" t="n"/>
      <c r="P345" s="85" t="n"/>
      <c r="Q345" s="85" t="n"/>
      <c r="R345" s="85" t="n"/>
      <c r="S345" s="85">
        <f>IF($G345="","",TODAY()-$G345)</f>
        <v/>
      </c>
      <c r="T345" s="85">
        <f>IF($A345="","",IF(AND($E345="Yes",OR($O345="No",$O345="NOT FOUND")),"YES",""))</f>
        <v/>
      </c>
      <c r="U345" s="85">
        <f>IF($A345="","",TRIM(IF(AND($M345=0,$I345&lt;&gt;"Yes"),"T0-NoPhishResistant ","")&amp;IF($H345="No","NoMFA ","")&amp;IF(AND($E345="Yes",$G345=""),"NeverSignedIn ","")))</f>
        <v/>
      </c>
    </row>
    <row r="346" ht="15" customHeight="1" s="39">
      <c r="A346" s="85" t="n"/>
      <c r="B346" s="85" t="n"/>
      <c r="C346" s="85" t="n"/>
      <c r="D346" s="85" t="n"/>
      <c r="E346" s="85" t="n"/>
      <c r="F346" s="86" t="n"/>
      <c r="G346" s="86" t="n"/>
      <c r="H346" s="85" t="n"/>
      <c r="I346" s="85" t="n"/>
      <c r="J346" s="85" t="n"/>
      <c r="K346" s="85" t="n"/>
      <c r="L346" s="85" t="n"/>
      <c r="M346" s="85" t="n"/>
      <c r="N346" s="85" t="n"/>
      <c r="O346" s="85" t="n"/>
      <c r="P346" s="85" t="n"/>
      <c r="Q346" s="85" t="n"/>
      <c r="R346" s="85" t="n"/>
      <c r="S346" s="85">
        <f>IF($G346="","",TODAY()-$G346)</f>
        <v/>
      </c>
      <c r="T346" s="85">
        <f>IF($A346="","",IF(AND($E346="Yes",OR($O346="No",$O346="NOT FOUND")),"YES",""))</f>
        <v/>
      </c>
      <c r="U346" s="85">
        <f>IF($A346="","",TRIM(IF(AND($M346=0,$I346&lt;&gt;"Yes"),"T0-NoPhishResistant ","")&amp;IF($H346="No","NoMFA ","")&amp;IF(AND($E346="Yes",$G346=""),"NeverSignedIn ","")))</f>
        <v/>
      </c>
    </row>
    <row r="347" ht="15" customHeight="1" s="39">
      <c r="A347" s="85" t="n"/>
      <c r="B347" s="85" t="n"/>
      <c r="C347" s="85" t="n"/>
      <c r="D347" s="85" t="n"/>
      <c r="E347" s="85" t="n"/>
      <c r="F347" s="86" t="n"/>
      <c r="G347" s="86" t="n"/>
      <c r="H347" s="85" t="n"/>
      <c r="I347" s="85" t="n"/>
      <c r="J347" s="85" t="n"/>
      <c r="K347" s="85" t="n"/>
      <c r="L347" s="85" t="n"/>
      <c r="M347" s="85" t="n"/>
      <c r="N347" s="85" t="n"/>
      <c r="O347" s="85" t="n"/>
      <c r="P347" s="85" t="n"/>
      <c r="Q347" s="85" t="n"/>
      <c r="R347" s="85" t="n"/>
      <c r="S347" s="85">
        <f>IF($G347="","",TODAY()-$G347)</f>
        <v/>
      </c>
      <c r="T347" s="85">
        <f>IF($A347="","",IF(AND($E347="Yes",OR($O347="No",$O347="NOT FOUND")),"YES",""))</f>
        <v/>
      </c>
      <c r="U347" s="85">
        <f>IF($A347="","",TRIM(IF(AND($M347=0,$I347&lt;&gt;"Yes"),"T0-NoPhishResistant ","")&amp;IF($H347="No","NoMFA ","")&amp;IF(AND($E347="Yes",$G347=""),"NeverSignedIn ","")))</f>
        <v/>
      </c>
    </row>
    <row r="348" ht="15" customHeight="1" s="39">
      <c r="A348" s="85" t="n"/>
      <c r="B348" s="85" t="n"/>
      <c r="C348" s="85" t="n"/>
      <c r="D348" s="85" t="n"/>
      <c r="E348" s="85" t="n"/>
      <c r="F348" s="86" t="n"/>
      <c r="G348" s="86" t="n"/>
      <c r="H348" s="85" t="n"/>
      <c r="I348" s="85" t="n"/>
      <c r="J348" s="85" t="n"/>
      <c r="K348" s="85" t="n"/>
      <c r="L348" s="85" t="n"/>
      <c r="M348" s="85" t="n"/>
      <c r="N348" s="85" t="n"/>
      <c r="O348" s="85" t="n"/>
      <c r="P348" s="85" t="n"/>
      <c r="Q348" s="85" t="n"/>
      <c r="R348" s="85" t="n"/>
      <c r="S348" s="85">
        <f>IF($G348="","",TODAY()-$G348)</f>
        <v/>
      </c>
      <c r="T348" s="85">
        <f>IF($A348="","",IF(AND($E348="Yes",OR($O348="No",$O348="NOT FOUND")),"YES",""))</f>
        <v/>
      </c>
      <c r="U348" s="85">
        <f>IF($A348="","",TRIM(IF(AND($M348=0,$I348&lt;&gt;"Yes"),"T0-NoPhishResistant ","")&amp;IF($H348="No","NoMFA ","")&amp;IF(AND($E348="Yes",$G348=""),"NeverSignedIn ","")))</f>
        <v/>
      </c>
    </row>
    <row r="349" ht="15" customHeight="1" s="39">
      <c r="A349" s="85" t="n"/>
      <c r="B349" s="85" t="n"/>
      <c r="C349" s="85" t="n"/>
      <c r="D349" s="85" t="n"/>
      <c r="E349" s="85" t="n"/>
      <c r="F349" s="86" t="n"/>
      <c r="G349" s="86" t="n"/>
      <c r="H349" s="85" t="n"/>
      <c r="I349" s="85" t="n"/>
      <c r="J349" s="85" t="n"/>
      <c r="K349" s="85" t="n"/>
      <c r="L349" s="85" t="n"/>
      <c r="M349" s="85" t="n"/>
      <c r="N349" s="85" t="n"/>
      <c r="O349" s="85" t="n"/>
      <c r="P349" s="85" t="n"/>
      <c r="Q349" s="85" t="n"/>
      <c r="R349" s="85" t="n"/>
      <c r="S349" s="85">
        <f>IF($G349="","",TODAY()-$G349)</f>
        <v/>
      </c>
      <c r="T349" s="85">
        <f>IF($A349="","",IF(AND($E349="Yes",OR($O349="No",$O349="NOT FOUND")),"YES",""))</f>
        <v/>
      </c>
      <c r="U349" s="85">
        <f>IF($A349="","",TRIM(IF(AND($M349=0,$I349&lt;&gt;"Yes"),"T0-NoPhishResistant ","")&amp;IF($H349="No","NoMFA ","")&amp;IF(AND($E349="Yes",$G349=""),"NeverSignedIn ","")))</f>
        <v/>
      </c>
    </row>
    <row r="350" ht="15" customHeight="1" s="39">
      <c r="A350" s="85" t="n"/>
      <c r="B350" s="85" t="n"/>
      <c r="C350" s="85" t="n"/>
      <c r="D350" s="85" t="n"/>
      <c r="E350" s="85" t="n"/>
      <c r="F350" s="86" t="n"/>
      <c r="G350" s="86" t="n"/>
      <c r="H350" s="85" t="n"/>
      <c r="I350" s="85" t="n"/>
      <c r="J350" s="85" t="n"/>
      <c r="K350" s="85" t="n"/>
      <c r="L350" s="85" t="n"/>
      <c r="M350" s="85" t="n"/>
      <c r="N350" s="85" t="n"/>
      <c r="O350" s="85" t="n"/>
      <c r="P350" s="85" t="n"/>
      <c r="Q350" s="85" t="n"/>
      <c r="R350" s="85" t="n"/>
      <c r="S350" s="85">
        <f>IF($G350="","",TODAY()-$G350)</f>
        <v/>
      </c>
      <c r="T350" s="85">
        <f>IF($A350="","",IF(AND($E350="Yes",OR($O350="No",$O350="NOT FOUND")),"YES",""))</f>
        <v/>
      </c>
      <c r="U350" s="85">
        <f>IF($A350="","",TRIM(IF(AND($M350=0,$I350&lt;&gt;"Yes"),"T0-NoPhishResistant ","")&amp;IF($H350="No","NoMFA ","")&amp;IF(AND($E350="Yes",$G350=""),"NeverSignedIn ","")))</f>
        <v/>
      </c>
    </row>
    <row r="351" ht="15" customHeight="1" s="39">
      <c r="A351" s="85" t="n"/>
      <c r="B351" s="85" t="n"/>
      <c r="C351" s="85" t="n"/>
      <c r="D351" s="85" t="n"/>
      <c r="E351" s="85" t="n"/>
      <c r="F351" s="86" t="n"/>
      <c r="G351" s="86" t="n"/>
      <c r="H351" s="85" t="n"/>
      <c r="I351" s="85" t="n"/>
      <c r="J351" s="85" t="n"/>
      <c r="K351" s="85" t="n"/>
      <c r="L351" s="85" t="n"/>
      <c r="M351" s="85" t="n"/>
      <c r="N351" s="85" t="n"/>
      <c r="O351" s="85" t="n"/>
      <c r="P351" s="85" t="n"/>
      <c r="Q351" s="85" t="n"/>
      <c r="R351" s="85" t="n"/>
      <c r="S351" s="85">
        <f>IF($G351="","",TODAY()-$G351)</f>
        <v/>
      </c>
      <c r="T351" s="85">
        <f>IF($A351="","",IF(AND($E351="Yes",OR($O351="No",$O351="NOT FOUND")),"YES",""))</f>
        <v/>
      </c>
      <c r="U351" s="85">
        <f>IF($A351="","",TRIM(IF(AND($M351=0,$I351&lt;&gt;"Yes"),"T0-NoPhishResistant ","")&amp;IF($H351="No","NoMFA ","")&amp;IF(AND($E351="Yes",$G351=""),"NeverSignedIn ","")))</f>
        <v/>
      </c>
    </row>
    <row r="352" ht="15" customHeight="1" s="39">
      <c r="A352" s="85" t="n"/>
      <c r="B352" s="85" t="n"/>
      <c r="C352" s="85" t="n"/>
      <c r="D352" s="85" t="n"/>
      <c r="E352" s="85" t="n"/>
      <c r="F352" s="86" t="n"/>
      <c r="G352" s="86" t="n"/>
      <c r="H352" s="85" t="n"/>
      <c r="I352" s="85" t="n"/>
      <c r="J352" s="85" t="n"/>
      <c r="K352" s="85" t="n"/>
      <c r="L352" s="85" t="n"/>
      <c r="M352" s="85" t="n"/>
      <c r="N352" s="85" t="n"/>
      <c r="O352" s="85" t="n"/>
      <c r="P352" s="85" t="n"/>
      <c r="Q352" s="85" t="n"/>
      <c r="R352" s="85" t="n"/>
      <c r="S352" s="85">
        <f>IF($G352="","",TODAY()-$G352)</f>
        <v/>
      </c>
      <c r="T352" s="85">
        <f>IF($A352="","",IF(AND($E352="Yes",OR($O352="No",$O352="NOT FOUND")),"YES",""))</f>
        <v/>
      </c>
      <c r="U352" s="85">
        <f>IF($A352="","",TRIM(IF(AND($M352=0,$I352&lt;&gt;"Yes"),"T0-NoPhishResistant ","")&amp;IF($H352="No","NoMFA ","")&amp;IF(AND($E352="Yes",$G352=""),"NeverSignedIn ","")))</f>
        <v/>
      </c>
    </row>
    <row r="353" ht="15" customHeight="1" s="39">
      <c r="A353" s="85" t="n"/>
      <c r="B353" s="85" t="n"/>
      <c r="C353" s="85" t="n"/>
      <c r="D353" s="85" t="n"/>
      <c r="E353" s="85" t="n"/>
      <c r="F353" s="86" t="n"/>
      <c r="G353" s="86" t="n"/>
      <c r="H353" s="85" t="n"/>
      <c r="I353" s="85" t="n"/>
      <c r="J353" s="85" t="n"/>
      <c r="K353" s="85" t="n"/>
      <c r="L353" s="85" t="n"/>
      <c r="M353" s="85" t="n"/>
      <c r="N353" s="85" t="n"/>
      <c r="O353" s="85" t="n"/>
      <c r="P353" s="85" t="n"/>
      <c r="Q353" s="85" t="n"/>
      <c r="R353" s="85" t="n"/>
      <c r="S353" s="85">
        <f>IF($G353="","",TODAY()-$G353)</f>
        <v/>
      </c>
      <c r="T353" s="85">
        <f>IF($A353="","",IF(AND($E353="Yes",OR($O353="No",$O353="NOT FOUND")),"YES",""))</f>
        <v/>
      </c>
      <c r="U353" s="85">
        <f>IF($A353="","",TRIM(IF(AND($M353=0,$I353&lt;&gt;"Yes"),"T0-NoPhishResistant ","")&amp;IF($H353="No","NoMFA ","")&amp;IF(AND($E353="Yes",$G353=""),"NeverSignedIn ","")))</f>
        <v/>
      </c>
    </row>
    <row r="354" ht="15" customHeight="1" s="39">
      <c r="A354" s="85" t="n"/>
      <c r="B354" s="85" t="n"/>
      <c r="C354" s="85" t="n"/>
      <c r="D354" s="85" t="n"/>
      <c r="E354" s="85" t="n"/>
      <c r="F354" s="86" t="n"/>
      <c r="G354" s="86" t="n"/>
      <c r="H354" s="85" t="n"/>
      <c r="I354" s="85" t="n"/>
      <c r="J354" s="85" t="n"/>
      <c r="K354" s="85" t="n"/>
      <c r="L354" s="85" t="n"/>
      <c r="M354" s="85" t="n"/>
      <c r="N354" s="85" t="n"/>
      <c r="O354" s="85" t="n"/>
      <c r="P354" s="85" t="n"/>
      <c r="Q354" s="85" t="n"/>
      <c r="R354" s="85" t="n"/>
      <c r="S354" s="85">
        <f>IF($G354="","",TODAY()-$G354)</f>
        <v/>
      </c>
      <c r="T354" s="85">
        <f>IF($A354="","",IF(AND($E354="Yes",OR($O354="No",$O354="NOT FOUND")),"YES",""))</f>
        <v/>
      </c>
      <c r="U354" s="85">
        <f>IF($A354="","",TRIM(IF(AND($M354=0,$I354&lt;&gt;"Yes"),"T0-NoPhishResistant ","")&amp;IF($H354="No","NoMFA ","")&amp;IF(AND($E354="Yes",$G354=""),"NeverSignedIn ","")))</f>
        <v/>
      </c>
    </row>
    <row r="355" ht="15" customHeight="1" s="39">
      <c r="A355" s="85" t="n"/>
      <c r="B355" s="85" t="n"/>
      <c r="C355" s="85" t="n"/>
      <c r="D355" s="85" t="n"/>
      <c r="E355" s="85" t="n"/>
      <c r="F355" s="86" t="n"/>
      <c r="G355" s="86" t="n"/>
      <c r="H355" s="85" t="n"/>
      <c r="I355" s="85" t="n"/>
      <c r="J355" s="85" t="n"/>
      <c r="K355" s="85" t="n"/>
      <c r="L355" s="85" t="n"/>
      <c r="M355" s="85" t="n"/>
      <c r="N355" s="85" t="n"/>
      <c r="O355" s="85" t="n"/>
      <c r="P355" s="85" t="n"/>
      <c r="Q355" s="85" t="n"/>
      <c r="R355" s="85" t="n"/>
      <c r="S355" s="85">
        <f>IF($G355="","",TODAY()-$G355)</f>
        <v/>
      </c>
      <c r="T355" s="85">
        <f>IF($A355="","",IF(AND($E355="Yes",OR($O355="No",$O355="NOT FOUND")),"YES",""))</f>
        <v/>
      </c>
      <c r="U355" s="85">
        <f>IF($A355="","",TRIM(IF(AND($M355=0,$I355&lt;&gt;"Yes"),"T0-NoPhishResistant ","")&amp;IF($H355="No","NoMFA ","")&amp;IF(AND($E355="Yes",$G355=""),"NeverSignedIn ","")))</f>
        <v/>
      </c>
    </row>
    <row r="356" ht="15" customHeight="1" s="39">
      <c r="A356" s="85" t="n"/>
      <c r="B356" s="85" t="n"/>
      <c r="C356" s="85" t="n"/>
      <c r="D356" s="85" t="n"/>
      <c r="E356" s="85" t="n"/>
      <c r="F356" s="86" t="n"/>
      <c r="G356" s="86" t="n"/>
      <c r="H356" s="85" t="n"/>
      <c r="I356" s="85" t="n"/>
      <c r="J356" s="85" t="n"/>
      <c r="K356" s="85" t="n"/>
      <c r="L356" s="85" t="n"/>
      <c r="M356" s="85" t="n"/>
      <c r="N356" s="85" t="n"/>
      <c r="O356" s="85" t="n"/>
      <c r="P356" s="85" t="n"/>
      <c r="Q356" s="85" t="n"/>
      <c r="R356" s="85" t="n"/>
      <c r="S356" s="85">
        <f>IF($G356="","",TODAY()-$G356)</f>
        <v/>
      </c>
      <c r="T356" s="85">
        <f>IF($A356="","",IF(AND($E356="Yes",OR($O356="No",$O356="NOT FOUND")),"YES",""))</f>
        <v/>
      </c>
      <c r="U356" s="85">
        <f>IF($A356="","",TRIM(IF(AND($M356=0,$I356&lt;&gt;"Yes"),"T0-NoPhishResistant ","")&amp;IF($H356="No","NoMFA ","")&amp;IF(AND($E356="Yes",$G356=""),"NeverSignedIn ","")))</f>
        <v/>
      </c>
    </row>
    <row r="357" ht="15" customHeight="1" s="39">
      <c r="A357" s="85" t="n"/>
      <c r="B357" s="85" t="n"/>
      <c r="C357" s="85" t="n"/>
      <c r="D357" s="85" t="n"/>
      <c r="E357" s="85" t="n"/>
      <c r="F357" s="86" t="n"/>
      <c r="G357" s="86" t="n"/>
      <c r="H357" s="85" t="n"/>
      <c r="I357" s="85" t="n"/>
      <c r="J357" s="85" t="n"/>
      <c r="K357" s="85" t="n"/>
      <c r="L357" s="85" t="n"/>
      <c r="M357" s="85" t="n"/>
      <c r="N357" s="85" t="n"/>
      <c r="O357" s="85" t="n"/>
      <c r="P357" s="85" t="n"/>
      <c r="Q357" s="85" t="n"/>
      <c r="R357" s="85" t="n"/>
      <c r="S357" s="85">
        <f>IF($G357="","",TODAY()-$G357)</f>
        <v/>
      </c>
      <c r="T357" s="85">
        <f>IF($A357="","",IF(AND($E357="Yes",OR($O357="No",$O357="NOT FOUND")),"YES",""))</f>
        <v/>
      </c>
      <c r="U357" s="85">
        <f>IF($A357="","",TRIM(IF(AND($M357=0,$I357&lt;&gt;"Yes"),"T0-NoPhishResistant ","")&amp;IF($H357="No","NoMFA ","")&amp;IF(AND($E357="Yes",$G357=""),"NeverSignedIn ","")))</f>
        <v/>
      </c>
    </row>
    <row r="358" ht="15" customHeight="1" s="39">
      <c r="A358" s="85" t="n"/>
      <c r="B358" s="85" t="n"/>
      <c r="C358" s="85" t="n"/>
      <c r="D358" s="85" t="n"/>
      <c r="E358" s="85" t="n"/>
      <c r="F358" s="86" t="n"/>
      <c r="G358" s="86" t="n"/>
      <c r="H358" s="85" t="n"/>
      <c r="I358" s="85" t="n"/>
      <c r="J358" s="85" t="n"/>
      <c r="K358" s="85" t="n"/>
      <c r="L358" s="85" t="n"/>
      <c r="M358" s="85" t="n"/>
      <c r="N358" s="85" t="n"/>
      <c r="O358" s="85" t="n"/>
      <c r="P358" s="85" t="n"/>
      <c r="Q358" s="85" t="n"/>
      <c r="R358" s="85" t="n"/>
      <c r="S358" s="85">
        <f>IF($G358="","",TODAY()-$G358)</f>
        <v/>
      </c>
      <c r="T358" s="85">
        <f>IF($A358="","",IF(AND($E358="Yes",OR($O358="No",$O358="NOT FOUND")),"YES",""))</f>
        <v/>
      </c>
      <c r="U358" s="85">
        <f>IF($A358="","",TRIM(IF(AND($M358=0,$I358&lt;&gt;"Yes"),"T0-NoPhishResistant ","")&amp;IF($H358="No","NoMFA ","")&amp;IF(AND($E358="Yes",$G358=""),"NeverSignedIn ","")))</f>
        <v/>
      </c>
    </row>
    <row r="359" ht="15" customHeight="1" s="39">
      <c r="A359" s="85" t="n"/>
      <c r="B359" s="85" t="n"/>
      <c r="C359" s="85" t="n"/>
      <c r="D359" s="85" t="n"/>
      <c r="E359" s="85" t="n"/>
      <c r="F359" s="86" t="n"/>
      <c r="G359" s="86" t="n"/>
      <c r="H359" s="85" t="n"/>
      <c r="I359" s="85" t="n"/>
      <c r="J359" s="85" t="n"/>
      <c r="K359" s="85" t="n"/>
      <c r="L359" s="85" t="n"/>
      <c r="M359" s="85" t="n"/>
      <c r="N359" s="85" t="n"/>
      <c r="O359" s="85" t="n"/>
      <c r="P359" s="85" t="n"/>
      <c r="Q359" s="85" t="n"/>
      <c r="R359" s="85" t="n"/>
      <c r="S359" s="85">
        <f>IF($G359="","",TODAY()-$G359)</f>
        <v/>
      </c>
      <c r="T359" s="85">
        <f>IF($A359="","",IF(AND($E359="Yes",OR($O359="No",$O359="NOT FOUND")),"YES",""))</f>
        <v/>
      </c>
      <c r="U359" s="85">
        <f>IF($A359="","",TRIM(IF(AND($M359=0,$I359&lt;&gt;"Yes"),"T0-NoPhishResistant ","")&amp;IF($H359="No","NoMFA ","")&amp;IF(AND($E359="Yes",$G359=""),"NeverSignedIn ","")))</f>
        <v/>
      </c>
    </row>
    <row r="360" ht="15" customHeight="1" s="39">
      <c r="A360" s="85" t="n"/>
      <c r="B360" s="85" t="n"/>
      <c r="C360" s="85" t="n"/>
      <c r="D360" s="85" t="n"/>
      <c r="E360" s="85" t="n"/>
      <c r="F360" s="86" t="n"/>
      <c r="G360" s="86" t="n"/>
      <c r="H360" s="85" t="n"/>
      <c r="I360" s="85" t="n"/>
      <c r="J360" s="85" t="n"/>
      <c r="K360" s="85" t="n"/>
      <c r="L360" s="85" t="n"/>
      <c r="M360" s="85" t="n"/>
      <c r="N360" s="85" t="n"/>
      <c r="O360" s="85" t="n"/>
      <c r="P360" s="85" t="n"/>
      <c r="Q360" s="85" t="n"/>
      <c r="R360" s="85" t="n"/>
      <c r="S360" s="85">
        <f>IF($G360="","",TODAY()-$G360)</f>
        <v/>
      </c>
      <c r="T360" s="85">
        <f>IF($A360="","",IF(AND($E360="Yes",OR($O360="No",$O360="NOT FOUND")),"YES",""))</f>
        <v/>
      </c>
      <c r="U360" s="85">
        <f>IF($A360="","",TRIM(IF(AND($M360=0,$I360&lt;&gt;"Yes"),"T0-NoPhishResistant ","")&amp;IF($H360="No","NoMFA ","")&amp;IF(AND($E360="Yes",$G360=""),"NeverSignedIn ","")))</f>
        <v/>
      </c>
    </row>
    <row r="361" ht="15" customHeight="1" s="39">
      <c r="A361" s="85" t="n"/>
      <c r="B361" s="85" t="n"/>
      <c r="C361" s="85" t="n"/>
      <c r="D361" s="85" t="n"/>
      <c r="E361" s="85" t="n"/>
      <c r="F361" s="86" t="n"/>
      <c r="G361" s="86" t="n"/>
      <c r="H361" s="85" t="n"/>
      <c r="I361" s="85" t="n"/>
      <c r="J361" s="85" t="n"/>
      <c r="K361" s="85" t="n"/>
      <c r="L361" s="85" t="n"/>
      <c r="M361" s="85" t="n"/>
      <c r="N361" s="85" t="n"/>
      <c r="O361" s="85" t="n"/>
      <c r="P361" s="85" t="n"/>
      <c r="Q361" s="85" t="n"/>
      <c r="R361" s="85" t="n"/>
      <c r="S361" s="85">
        <f>IF($G361="","",TODAY()-$G361)</f>
        <v/>
      </c>
      <c r="T361" s="85">
        <f>IF($A361="","",IF(AND($E361="Yes",OR($O361="No",$O361="NOT FOUND")),"YES",""))</f>
        <v/>
      </c>
      <c r="U361" s="85">
        <f>IF($A361="","",TRIM(IF(AND($M361=0,$I361&lt;&gt;"Yes"),"T0-NoPhishResistant ","")&amp;IF($H361="No","NoMFA ","")&amp;IF(AND($E361="Yes",$G361=""),"NeverSignedIn ","")))</f>
        <v/>
      </c>
    </row>
    <row r="362" ht="15" customHeight="1" s="39">
      <c r="A362" s="85" t="n"/>
      <c r="B362" s="85" t="n"/>
      <c r="C362" s="85" t="n"/>
      <c r="D362" s="85" t="n"/>
      <c r="E362" s="85" t="n"/>
      <c r="F362" s="86" t="n"/>
      <c r="G362" s="86" t="n"/>
      <c r="H362" s="85" t="n"/>
      <c r="I362" s="85" t="n"/>
      <c r="J362" s="85" t="n"/>
      <c r="K362" s="85" t="n"/>
      <c r="L362" s="85" t="n"/>
      <c r="M362" s="85" t="n"/>
      <c r="N362" s="85" t="n"/>
      <c r="O362" s="85" t="n"/>
      <c r="P362" s="85" t="n"/>
      <c r="Q362" s="85" t="n"/>
      <c r="R362" s="85" t="n"/>
      <c r="S362" s="85">
        <f>IF($G362="","",TODAY()-$G362)</f>
        <v/>
      </c>
      <c r="T362" s="85">
        <f>IF($A362="","",IF(AND($E362="Yes",OR($O362="No",$O362="NOT FOUND")),"YES",""))</f>
        <v/>
      </c>
      <c r="U362" s="85">
        <f>IF($A362="","",TRIM(IF(AND($M362=0,$I362&lt;&gt;"Yes"),"T0-NoPhishResistant ","")&amp;IF($H362="No","NoMFA ","")&amp;IF(AND($E362="Yes",$G362=""),"NeverSignedIn ","")))</f>
        <v/>
      </c>
    </row>
    <row r="363" ht="15" customHeight="1" s="39">
      <c r="A363" s="85" t="n"/>
      <c r="B363" s="85" t="n"/>
      <c r="C363" s="85" t="n"/>
      <c r="D363" s="85" t="n"/>
      <c r="E363" s="85" t="n"/>
      <c r="F363" s="86" t="n"/>
      <c r="G363" s="86" t="n"/>
      <c r="H363" s="85" t="n"/>
      <c r="I363" s="85" t="n"/>
      <c r="J363" s="85" t="n"/>
      <c r="K363" s="85" t="n"/>
      <c r="L363" s="85" t="n"/>
      <c r="M363" s="85" t="n"/>
      <c r="N363" s="85" t="n"/>
      <c r="O363" s="85" t="n"/>
      <c r="P363" s="85" t="n"/>
      <c r="Q363" s="85" t="n"/>
      <c r="R363" s="85" t="n"/>
      <c r="S363" s="85">
        <f>IF($G363="","",TODAY()-$G363)</f>
        <v/>
      </c>
      <c r="T363" s="85">
        <f>IF($A363="","",IF(AND($E363="Yes",OR($O363="No",$O363="NOT FOUND")),"YES",""))</f>
        <v/>
      </c>
      <c r="U363" s="85">
        <f>IF($A363="","",TRIM(IF(AND($M363=0,$I363&lt;&gt;"Yes"),"T0-NoPhishResistant ","")&amp;IF($H363="No","NoMFA ","")&amp;IF(AND($E363="Yes",$G363=""),"NeverSignedIn ","")))</f>
        <v/>
      </c>
    </row>
    <row r="364" ht="15" customHeight="1" s="39">
      <c r="A364" s="85" t="n"/>
      <c r="B364" s="85" t="n"/>
      <c r="C364" s="85" t="n"/>
      <c r="D364" s="85" t="n"/>
      <c r="E364" s="85" t="n"/>
      <c r="F364" s="86" t="n"/>
      <c r="G364" s="86" t="n"/>
      <c r="H364" s="85" t="n"/>
      <c r="I364" s="85" t="n"/>
      <c r="J364" s="85" t="n"/>
      <c r="K364" s="85" t="n"/>
      <c r="L364" s="85" t="n"/>
      <c r="M364" s="85" t="n"/>
      <c r="N364" s="85" t="n"/>
      <c r="O364" s="85" t="n"/>
      <c r="P364" s="85" t="n"/>
      <c r="Q364" s="85" t="n"/>
      <c r="R364" s="85" t="n"/>
      <c r="S364" s="85">
        <f>IF($G364="","",TODAY()-$G364)</f>
        <v/>
      </c>
      <c r="T364" s="85">
        <f>IF($A364="","",IF(AND($E364="Yes",OR($O364="No",$O364="NOT FOUND")),"YES",""))</f>
        <v/>
      </c>
      <c r="U364" s="85">
        <f>IF($A364="","",TRIM(IF(AND($M364=0,$I364&lt;&gt;"Yes"),"T0-NoPhishResistant ","")&amp;IF($H364="No","NoMFA ","")&amp;IF(AND($E364="Yes",$G364=""),"NeverSignedIn ","")))</f>
        <v/>
      </c>
    </row>
    <row r="365" ht="15" customHeight="1" s="39">
      <c r="A365" s="85" t="n"/>
      <c r="B365" s="85" t="n"/>
      <c r="C365" s="85" t="n"/>
      <c r="D365" s="85" t="n"/>
      <c r="E365" s="85" t="n"/>
      <c r="F365" s="86" t="n"/>
      <c r="G365" s="86" t="n"/>
      <c r="H365" s="85" t="n"/>
      <c r="I365" s="85" t="n"/>
      <c r="J365" s="85" t="n"/>
      <c r="K365" s="85" t="n"/>
      <c r="L365" s="85" t="n"/>
      <c r="M365" s="85" t="n"/>
      <c r="N365" s="85" t="n"/>
      <c r="O365" s="85" t="n"/>
      <c r="P365" s="85" t="n"/>
      <c r="Q365" s="85" t="n"/>
      <c r="R365" s="85" t="n"/>
      <c r="S365" s="85">
        <f>IF($G365="","",TODAY()-$G365)</f>
        <v/>
      </c>
      <c r="T365" s="85">
        <f>IF($A365="","",IF(AND($E365="Yes",OR($O365="No",$O365="NOT FOUND")),"YES",""))</f>
        <v/>
      </c>
      <c r="U365" s="85">
        <f>IF($A365="","",TRIM(IF(AND($M365=0,$I365&lt;&gt;"Yes"),"T0-NoPhishResistant ","")&amp;IF($H365="No","NoMFA ","")&amp;IF(AND($E365="Yes",$G365=""),"NeverSignedIn ","")))</f>
        <v/>
      </c>
    </row>
    <row r="366" ht="15" customHeight="1" s="39">
      <c r="A366" s="85" t="n"/>
      <c r="B366" s="85" t="n"/>
      <c r="C366" s="85" t="n"/>
      <c r="D366" s="85" t="n"/>
      <c r="E366" s="85" t="n"/>
      <c r="F366" s="86" t="n"/>
      <c r="G366" s="86" t="n"/>
      <c r="H366" s="85" t="n"/>
      <c r="I366" s="85" t="n"/>
      <c r="J366" s="85" t="n"/>
      <c r="K366" s="85" t="n"/>
      <c r="L366" s="85" t="n"/>
      <c r="M366" s="85" t="n"/>
      <c r="N366" s="85" t="n"/>
      <c r="O366" s="85" t="n"/>
      <c r="P366" s="85" t="n"/>
      <c r="Q366" s="85" t="n"/>
      <c r="R366" s="85" t="n"/>
      <c r="S366" s="85">
        <f>IF($G366="","",TODAY()-$G366)</f>
        <v/>
      </c>
      <c r="T366" s="85">
        <f>IF($A366="","",IF(AND($E366="Yes",OR($O366="No",$O366="NOT FOUND")),"YES",""))</f>
        <v/>
      </c>
      <c r="U366" s="85">
        <f>IF($A366="","",TRIM(IF(AND($M366=0,$I366&lt;&gt;"Yes"),"T0-NoPhishResistant ","")&amp;IF($H366="No","NoMFA ","")&amp;IF(AND($E366="Yes",$G366=""),"NeverSignedIn ","")))</f>
        <v/>
      </c>
    </row>
    <row r="367" ht="15" customHeight="1" s="39">
      <c r="A367" s="85" t="n"/>
      <c r="B367" s="85" t="n"/>
      <c r="C367" s="85" t="n"/>
      <c r="D367" s="85" t="n"/>
      <c r="E367" s="85" t="n"/>
      <c r="F367" s="86" t="n"/>
      <c r="G367" s="86" t="n"/>
      <c r="H367" s="85" t="n"/>
      <c r="I367" s="85" t="n"/>
      <c r="J367" s="85" t="n"/>
      <c r="K367" s="85" t="n"/>
      <c r="L367" s="85" t="n"/>
      <c r="M367" s="85" t="n"/>
      <c r="N367" s="85" t="n"/>
      <c r="O367" s="85" t="n"/>
      <c r="P367" s="85" t="n"/>
      <c r="Q367" s="85" t="n"/>
      <c r="R367" s="85" t="n"/>
      <c r="S367" s="85">
        <f>IF($G367="","",TODAY()-$G367)</f>
        <v/>
      </c>
      <c r="T367" s="85">
        <f>IF($A367="","",IF(AND($E367="Yes",OR($O367="No",$O367="NOT FOUND")),"YES",""))</f>
        <v/>
      </c>
      <c r="U367" s="85">
        <f>IF($A367="","",TRIM(IF(AND($M367=0,$I367&lt;&gt;"Yes"),"T0-NoPhishResistant ","")&amp;IF($H367="No","NoMFA ","")&amp;IF(AND($E367="Yes",$G367=""),"NeverSignedIn ","")))</f>
        <v/>
      </c>
    </row>
    <row r="368" ht="15" customHeight="1" s="39">
      <c r="A368" s="85" t="n"/>
      <c r="B368" s="85" t="n"/>
      <c r="C368" s="85" t="n"/>
      <c r="D368" s="85" t="n"/>
      <c r="E368" s="85" t="n"/>
      <c r="F368" s="86" t="n"/>
      <c r="G368" s="86" t="n"/>
      <c r="H368" s="85" t="n"/>
      <c r="I368" s="85" t="n"/>
      <c r="J368" s="85" t="n"/>
      <c r="K368" s="85" t="n"/>
      <c r="L368" s="85" t="n"/>
      <c r="M368" s="85" t="n"/>
      <c r="N368" s="85" t="n"/>
      <c r="O368" s="85" t="n"/>
      <c r="P368" s="85" t="n"/>
      <c r="Q368" s="85" t="n"/>
      <c r="R368" s="85" t="n"/>
      <c r="S368" s="85">
        <f>IF($G368="","",TODAY()-$G368)</f>
        <v/>
      </c>
      <c r="T368" s="85">
        <f>IF($A368="","",IF(AND($E368="Yes",OR($O368="No",$O368="NOT FOUND")),"YES",""))</f>
        <v/>
      </c>
      <c r="U368" s="85">
        <f>IF($A368="","",TRIM(IF(AND($M368=0,$I368&lt;&gt;"Yes"),"T0-NoPhishResistant ","")&amp;IF($H368="No","NoMFA ","")&amp;IF(AND($E368="Yes",$G368=""),"NeverSignedIn ","")))</f>
        <v/>
      </c>
    </row>
    <row r="369" ht="15" customHeight="1" s="39">
      <c r="A369" s="85" t="n"/>
      <c r="B369" s="85" t="n"/>
      <c r="C369" s="85" t="n"/>
      <c r="D369" s="85" t="n"/>
      <c r="E369" s="85" t="n"/>
      <c r="F369" s="86" t="n"/>
      <c r="G369" s="86" t="n"/>
      <c r="H369" s="85" t="n"/>
      <c r="I369" s="85" t="n"/>
      <c r="J369" s="85" t="n"/>
      <c r="K369" s="85" t="n"/>
      <c r="L369" s="85" t="n"/>
      <c r="M369" s="85" t="n"/>
      <c r="N369" s="85" t="n"/>
      <c r="O369" s="85" t="n"/>
      <c r="P369" s="85" t="n"/>
      <c r="Q369" s="85" t="n"/>
      <c r="R369" s="85" t="n"/>
      <c r="S369" s="85">
        <f>IF($G369="","",TODAY()-$G369)</f>
        <v/>
      </c>
      <c r="T369" s="85">
        <f>IF($A369="","",IF(AND($E369="Yes",OR($O369="No",$O369="NOT FOUND")),"YES",""))</f>
        <v/>
      </c>
      <c r="U369" s="85">
        <f>IF($A369="","",TRIM(IF(AND($M369=0,$I369&lt;&gt;"Yes"),"T0-NoPhishResistant ","")&amp;IF($H369="No","NoMFA ","")&amp;IF(AND($E369="Yes",$G369=""),"NeverSignedIn ","")))</f>
        <v/>
      </c>
    </row>
    <row r="370" ht="15" customHeight="1" s="39">
      <c r="A370" s="85" t="n"/>
      <c r="B370" s="85" t="n"/>
      <c r="C370" s="85" t="n"/>
      <c r="D370" s="85" t="n"/>
      <c r="E370" s="85" t="n"/>
      <c r="F370" s="86" t="n"/>
      <c r="G370" s="86" t="n"/>
      <c r="H370" s="85" t="n"/>
      <c r="I370" s="85" t="n"/>
      <c r="J370" s="85" t="n"/>
      <c r="K370" s="85" t="n"/>
      <c r="L370" s="85" t="n"/>
      <c r="M370" s="85" t="n"/>
      <c r="N370" s="85" t="n"/>
      <c r="O370" s="85" t="n"/>
      <c r="P370" s="85" t="n"/>
      <c r="Q370" s="85" t="n"/>
      <c r="R370" s="85" t="n"/>
      <c r="S370" s="85">
        <f>IF($G370="","",TODAY()-$G370)</f>
        <v/>
      </c>
      <c r="T370" s="85">
        <f>IF($A370="","",IF(AND($E370="Yes",OR($O370="No",$O370="NOT FOUND")),"YES",""))</f>
        <v/>
      </c>
      <c r="U370" s="85">
        <f>IF($A370="","",TRIM(IF(AND($M370=0,$I370&lt;&gt;"Yes"),"T0-NoPhishResistant ","")&amp;IF($H370="No","NoMFA ","")&amp;IF(AND($E370="Yes",$G370=""),"NeverSignedIn ","")))</f>
        <v/>
      </c>
    </row>
    <row r="371" ht="15" customHeight="1" s="39">
      <c r="A371" s="85" t="n"/>
      <c r="B371" s="85" t="n"/>
      <c r="C371" s="85" t="n"/>
      <c r="D371" s="85" t="n"/>
      <c r="E371" s="85" t="n"/>
      <c r="F371" s="86" t="n"/>
      <c r="G371" s="86" t="n"/>
      <c r="H371" s="85" t="n"/>
      <c r="I371" s="85" t="n"/>
      <c r="J371" s="85" t="n"/>
      <c r="K371" s="85" t="n"/>
      <c r="L371" s="85" t="n"/>
      <c r="M371" s="85" t="n"/>
      <c r="N371" s="85" t="n"/>
      <c r="O371" s="85" t="n"/>
      <c r="P371" s="85" t="n"/>
      <c r="Q371" s="85" t="n"/>
      <c r="R371" s="85" t="n"/>
      <c r="S371" s="85">
        <f>IF($G371="","",TODAY()-$G371)</f>
        <v/>
      </c>
      <c r="T371" s="85">
        <f>IF($A371="","",IF(AND($E371="Yes",OR($O371="No",$O371="NOT FOUND")),"YES",""))</f>
        <v/>
      </c>
      <c r="U371" s="85">
        <f>IF($A371="","",TRIM(IF(AND($M371=0,$I371&lt;&gt;"Yes"),"T0-NoPhishResistant ","")&amp;IF($H371="No","NoMFA ","")&amp;IF(AND($E371="Yes",$G371=""),"NeverSignedIn ","")))</f>
        <v/>
      </c>
    </row>
    <row r="372" ht="15" customHeight="1" s="39">
      <c r="A372" s="85" t="n"/>
      <c r="B372" s="85" t="n"/>
      <c r="C372" s="85" t="n"/>
      <c r="D372" s="85" t="n"/>
      <c r="E372" s="85" t="n"/>
      <c r="F372" s="86" t="n"/>
      <c r="G372" s="86" t="n"/>
      <c r="H372" s="85" t="n"/>
      <c r="I372" s="85" t="n"/>
      <c r="J372" s="85" t="n"/>
      <c r="K372" s="85" t="n"/>
      <c r="L372" s="85" t="n"/>
      <c r="M372" s="85" t="n"/>
      <c r="N372" s="85" t="n"/>
      <c r="O372" s="85" t="n"/>
      <c r="P372" s="85" t="n"/>
      <c r="Q372" s="85" t="n"/>
      <c r="R372" s="85" t="n"/>
      <c r="S372" s="85">
        <f>IF($G372="","",TODAY()-$G372)</f>
        <v/>
      </c>
      <c r="T372" s="85">
        <f>IF($A372="","",IF(AND($E372="Yes",OR($O372="No",$O372="NOT FOUND")),"YES",""))</f>
        <v/>
      </c>
      <c r="U372" s="85">
        <f>IF($A372="","",TRIM(IF(AND($M372=0,$I372&lt;&gt;"Yes"),"T0-NoPhishResistant ","")&amp;IF($H372="No","NoMFA ","")&amp;IF(AND($E372="Yes",$G372=""),"NeverSignedIn ","")))</f>
        <v/>
      </c>
    </row>
    <row r="373" ht="15" customHeight="1" s="39">
      <c r="A373" s="85" t="n"/>
      <c r="B373" s="85" t="n"/>
      <c r="C373" s="85" t="n"/>
      <c r="D373" s="85" t="n"/>
      <c r="E373" s="85" t="n"/>
      <c r="F373" s="86" t="n"/>
      <c r="G373" s="86" t="n"/>
      <c r="H373" s="85" t="n"/>
      <c r="I373" s="85" t="n"/>
      <c r="J373" s="85" t="n"/>
      <c r="K373" s="85" t="n"/>
      <c r="L373" s="85" t="n"/>
      <c r="M373" s="85" t="n"/>
      <c r="N373" s="85" t="n"/>
      <c r="O373" s="85" t="n"/>
      <c r="P373" s="85" t="n"/>
      <c r="Q373" s="85" t="n"/>
      <c r="R373" s="85" t="n"/>
      <c r="S373" s="85">
        <f>IF($G373="","",TODAY()-$G373)</f>
        <v/>
      </c>
      <c r="T373" s="85">
        <f>IF($A373="","",IF(AND($E373="Yes",OR($O373="No",$O373="NOT FOUND")),"YES",""))</f>
        <v/>
      </c>
      <c r="U373" s="85">
        <f>IF($A373="","",TRIM(IF(AND($M373=0,$I373&lt;&gt;"Yes"),"T0-NoPhishResistant ","")&amp;IF($H373="No","NoMFA ","")&amp;IF(AND($E373="Yes",$G373=""),"NeverSignedIn ","")))</f>
        <v/>
      </c>
    </row>
    <row r="374" ht="15" customHeight="1" s="39">
      <c r="A374" s="85" t="n"/>
      <c r="B374" s="85" t="n"/>
      <c r="C374" s="85" t="n"/>
      <c r="D374" s="85" t="n"/>
      <c r="E374" s="85" t="n"/>
      <c r="F374" s="86" t="n"/>
      <c r="G374" s="86" t="n"/>
      <c r="H374" s="85" t="n"/>
      <c r="I374" s="85" t="n"/>
      <c r="J374" s="85" t="n"/>
      <c r="K374" s="85" t="n"/>
      <c r="L374" s="85" t="n"/>
      <c r="M374" s="85" t="n"/>
      <c r="N374" s="85" t="n"/>
      <c r="O374" s="85" t="n"/>
      <c r="P374" s="85" t="n"/>
      <c r="Q374" s="85" t="n"/>
      <c r="R374" s="85" t="n"/>
      <c r="S374" s="85">
        <f>IF($G374="","",TODAY()-$G374)</f>
        <v/>
      </c>
      <c r="T374" s="85">
        <f>IF($A374="","",IF(AND($E374="Yes",OR($O374="No",$O374="NOT FOUND")),"YES",""))</f>
        <v/>
      </c>
      <c r="U374" s="85">
        <f>IF($A374="","",TRIM(IF(AND($M374=0,$I374&lt;&gt;"Yes"),"T0-NoPhishResistant ","")&amp;IF($H374="No","NoMFA ","")&amp;IF(AND($E374="Yes",$G374=""),"NeverSignedIn ","")))</f>
        <v/>
      </c>
    </row>
    <row r="375" ht="15" customHeight="1" s="39">
      <c r="A375" s="85" t="n"/>
      <c r="B375" s="85" t="n"/>
      <c r="C375" s="85" t="n"/>
      <c r="D375" s="85" t="n"/>
      <c r="E375" s="85" t="n"/>
      <c r="F375" s="86" t="n"/>
      <c r="G375" s="86" t="n"/>
      <c r="H375" s="85" t="n"/>
      <c r="I375" s="85" t="n"/>
      <c r="J375" s="85" t="n"/>
      <c r="K375" s="85" t="n"/>
      <c r="L375" s="85" t="n"/>
      <c r="M375" s="85" t="n"/>
      <c r="N375" s="85" t="n"/>
      <c r="O375" s="85" t="n"/>
      <c r="P375" s="85" t="n"/>
      <c r="Q375" s="85" t="n"/>
      <c r="R375" s="85" t="n"/>
      <c r="S375" s="85">
        <f>IF($G375="","",TODAY()-$G375)</f>
        <v/>
      </c>
      <c r="T375" s="85">
        <f>IF($A375="","",IF(AND($E375="Yes",OR($O375="No",$O375="NOT FOUND")),"YES",""))</f>
        <v/>
      </c>
      <c r="U375" s="85">
        <f>IF($A375="","",TRIM(IF(AND($M375=0,$I375&lt;&gt;"Yes"),"T0-NoPhishResistant ","")&amp;IF($H375="No","NoMFA ","")&amp;IF(AND($E375="Yes",$G375=""),"NeverSignedIn ","")))</f>
        <v/>
      </c>
    </row>
    <row r="376" ht="15" customHeight="1" s="39">
      <c r="A376" s="85" t="n"/>
      <c r="B376" s="85" t="n"/>
      <c r="C376" s="85" t="n"/>
      <c r="D376" s="85" t="n"/>
      <c r="E376" s="85" t="n"/>
      <c r="F376" s="86" t="n"/>
      <c r="G376" s="86" t="n"/>
      <c r="H376" s="85" t="n"/>
      <c r="I376" s="85" t="n"/>
      <c r="J376" s="85" t="n"/>
      <c r="K376" s="85" t="n"/>
      <c r="L376" s="85" t="n"/>
      <c r="M376" s="85" t="n"/>
      <c r="N376" s="85" t="n"/>
      <c r="O376" s="85" t="n"/>
      <c r="P376" s="85" t="n"/>
      <c r="Q376" s="85" t="n"/>
      <c r="R376" s="85" t="n"/>
      <c r="S376" s="85">
        <f>IF($G376="","",TODAY()-$G376)</f>
        <v/>
      </c>
      <c r="T376" s="85">
        <f>IF($A376="","",IF(AND($E376="Yes",OR($O376="No",$O376="NOT FOUND")),"YES",""))</f>
        <v/>
      </c>
      <c r="U376" s="85">
        <f>IF($A376="","",TRIM(IF(AND($M376=0,$I376&lt;&gt;"Yes"),"T0-NoPhishResistant ","")&amp;IF($H376="No","NoMFA ","")&amp;IF(AND($E376="Yes",$G376=""),"NeverSignedIn ","")))</f>
        <v/>
      </c>
    </row>
    <row r="377" ht="15" customHeight="1" s="39">
      <c r="A377" s="85" t="n"/>
      <c r="B377" s="85" t="n"/>
      <c r="C377" s="85" t="n"/>
      <c r="D377" s="85" t="n"/>
      <c r="E377" s="85" t="n"/>
      <c r="F377" s="86" t="n"/>
      <c r="G377" s="86" t="n"/>
      <c r="H377" s="85" t="n"/>
      <c r="I377" s="85" t="n"/>
      <c r="J377" s="85" t="n"/>
      <c r="K377" s="85" t="n"/>
      <c r="L377" s="85" t="n"/>
      <c r="M377" s="85" t="n"/>
      <c r="N377" s="85" t="n"/>
      <c r="O377" s="85" t="n"/>
      <c r="P377" s="85" t="n"/>
      <c r="Q377" s="85" t="n"/>
      <c r="R377" s="85" t="n"/>
      <c r="S377" s="85">
        <f>IF($G377="","",TODAY()-$G377)</f>
        <v/>
      </c>
      <c r="T377" s="85">
        <f>IF($A377="","",IF(AND($E377="Yes",OR($O377="No",$O377="NOT FOUND")),"YES",""))</f>
        <v/>
      </c>
      <c r="U377" s="85">
        <f>IF($A377="","",TRIM(IF(AND($M377=0,$I377&lt;&gt;"Yes"),"T0-NoPhishResistant ","")&amp;IF($H377="No","NoMFA ","")&amp;IF(AND($E377="Yes",$G377=""),"NeverSignedIn ","")))</f>
        <v/>
      </c>
    </row>
    <row r="378" ht="15" customHeight="1" s="39">
      <c r="A378" s="85" t="n"/>
      <c r="B378" s="85" t="n"/>
      <c r="C378" s="85" t="n"/>
      <c r="D378" s="85" t="n"/>
      <c r="E378" s="85" t="n"/>
      <c r="F378" s="86" t="n"/>
      <c r="G378" s="86" t="n"/>
      <c r="H378" s="85" t="n"/>
      <c r="I378" s="85" t="n"/>
      <c r="J378" s="85" t="n"/>
      <c r="K378" s="85" t="n"/>
      <c r="L378" s="85" t="n"/>
      <c r="M378" s="85" t="n"/>
      <c r="N378" s="85" t="n"/>
      <c r="O378" s="85" t="n"/>
      <c r="P378" s="85" t="n"/>
      <c r="Q378" s="85" t="n"/>
      <c r="R378" s="85" t="n"/>
      <c r="S378" s="85">
        <f>IF($G378="","",TODAY()-$G378)</f>
        <v/>
      </c>
      <c r="T378" s="85">
        <f>IF($A378="","",IF(AND($E378="Yes",OR($O378="No",$O378="NOT FOUND")),"YES",""))</f>
        <v/>
      </c>
      <c r="U378" s="85">
        <f>IF($A378="","",TRIM(IF(AND($M378=0,$I378&lt;&gt;"Yes"),"T0-NoPhishResistant ","")&amp;IF($H378="No","NoMFA ","")&amp;IF(AND($E378="Yes",$G378=""),"NeverSignedIn ","")))</f>
        <v/>
      </c>
    </row>
    <row r="379" ht="15" customHeight="1" s="39">
      <c r="A379" s="85" t="n"/>
      <c r="B379" s="85" t="n"/>
      <c r="C379" s="85" t="n"/>
      <c r="D379" s="85" t="n"/>
      <c r="E379" s="85" t="n"/>
      <c r="F379" s="86" t="n"/>
      <c r="G379" s="86" t="n"/>
      <c r="H379" s="85" t="n"/>
      <c r="I379" s="85" t="n"/>
      <c r="J379" s="85" t="n"/>
      <c r="K379" s="85" t="n"/>
      <c r="L379" s="85" t="n"/>
      <c r="M379" s="85" t="n"/>
      <c r="N379" s="85" t="n"/>
      <c r="O379" s="85" t="n"/>
      <c r="P379" s="85" t="n"/>
      <c r="Q379" s="85" t="n"/>
      <c r="R379" s="85" t="n"/>
      <c r="S379" s="85">
        <f>IF($G379="","",TODAY()-$G379)</f>
        <v/>
      </c>
      <c r="T379" s="85">
        <f>IF($A379="","",IF(AND($E379="Yes",OR($O379="No",$O379="NOT FOUND")),"YES",""))</f>
        <v/>
      </c>
      <c r="U379" s="85">
        <f>IF($A379="","",TRIM(IF(AND($M379=0,$I379&lt;&gt;"Yes"),"T0-NoPhishResistant ","")&amp;IF($H379="No","NoMFA ","")&amp;IF(AND($E379="Yes",$G379=""),"NeverSignedIn ","")))</f>
        <v/>
      </c>
    </row>
    <row r="380" ht="15" customHeight="1" s="39">
      <c r="A380" s="85" t="n"/>
      <c r="B380" s="85" t="n"/>
      <c r="C380" s="85" t="n"/>
      <c r="D380" s="85" t="n"/>
      <c r="E380" s="85" t="n"/>
      <c r="F380" s="86" t="n"/>
      <c r="G380" s="86" t="n"/>
      <c r="H380" s="85" t="n"/>
      <c r="I380" s="85" t="n"/>
      <c r="J380" s="85" t="n"/>
      <c r="K380" s="85" t="n"/>
      <c r="L380" s="85" t="n"/>
      <c r="M380" s="85" t="n"/>
      <c r="N380" s="85" t="n"/>
      <c r="O380" s="85" t="n"/>
      <c r="P380" s="85" t="n"/>
      <c r="Q380" s="85" t="n"/>
      <c r="R380" s="85" t="n"/>
      <c r="S380" s="85">
        <f>IF($G380="","",TODAY()-$G380)</f>
        <v/>
      </c>
      <c r="T380" s="85">
        <f>IF($A380="","",IF(AND($E380="Yes",OR($O380="No",$O380="NOT FOUND")),"YES",""))</f>
        <v/>
      </c>
      <c r="U380" s="85">
        <f>IF($A380="","",TRIM(IF(AND($M380=0,$I380&lt;&gt;"Yes"),"T0-NoPhishResistant ","")&amp;IF($H380="No","NoMFA ","")&amp;IF(AND($E380="Yes",$G380=""),"NeverSignedIn ","")))</f>
        <v/>
      </c>
    </row>
    <row r="381" ht="15" customHeight="1" s="39">
      <c r="A381" s="85" t="n"/>
      <c r="B381" s="85" t="n"/>
      <c r="C381" s="85" t="n"/>
      <c r="D381" s="85" t="n"/>
      <c r="E381" s="85" t="n"/>
      <c r="F381" s="86" t="n"/>
      <c r="G381" s="86" t="n"/>
      <c r="H381" s="85" t="n"/>
      <c r="I381" s="85" t="n"/>
      <c r="J381" s="85" t="n"/>
      <c r="K381" s="85" t="n"/>
      <c r="L381" s="85" t="n"/>
      <c r="M381" s="85" t="n"/>
      <c r="N381" s="85" t="n"/>
      <c r="O381" s="85" t="n"/>
      <c r="P381" s="85" t="n"/>
      <c r="Q381" s="85" t="n"/>
      <c r="R381" s="85" t="n"/>
      <c r="S381" s="85">
        <f>IF($G381="","",TODAY()-$G381)</f>
        <v/>
      </c>
      <c r="T381" s="85">
        <f>IF($A381="","",IF(AND($E381="Yes",OR($O381="No",$O381="NOT FOUND")),"YES",""))</f>
        <v/>
      </c>
      <c r="U381" s="85">
        <f>IF($A381="","",TRIM(IF(AND($M381=0,$I381&lt;&gt;"Yes"),"T0-NoPhishResistant ","")&amp;IF($H381="No","NoMFA ","")&amp;IF(AND($E381="Yes",$G381=""),"NeverSignedIn ","")))</f>
        <v/>
      </c>
    </row>
    <row r="382" ht="15" customHeight="1" s="39">
      <c r="A382" s="85" t="n"/>
      <c r="B382" s="85" t="n"/>
      <c r="C382" s="85" t="n"/>
      <c r="D382" s="85" t="n"/>
      <c r="E382" s="85" t="n"/>
      <c r="F382" s="86" t="n"/>
      <c r="G382" s="86" t="n"/>
      <c r="H382" s="85" t="n"/>
      <c r="I382" s="85" t="n"/>
      <c r="J382" s="85" t="n"/>
      <c r="K382" s="85" t="n"/>
      <c r="L382" s="85" t="n"/>
      <c r="M382" s="85" t="n"/>
      <c r="N382" s="85" t="n"/>
      <c r="O382" s="85" t="n"/>
      <c r="P382" s="85" t="n"/>
      <c r="Q382" s="85" t="n"/>
      <c r="R382" s="85" t="n"/>
      <c r="S382" s="85">
        <f>IF($G382="","",TODAY()-$G382)</f>
        <v/>
      </c>
      <c r="T382" s="85">
        <f>IF($A382="","",IF(AND($E382="Yes",OR($O382="No",$O382="NOT FOUND")),"YES",""))</f>
        <v/>
      </c>
      <c r="U382" s="85">
        <f>IF($A382="","",TRIM(IF(AND($M382=0,$I382&lt;&gt;"Yes"),"T0-NoPhishResistant ","")&amp;IF($H382="No","NoMFA ","")&amp;IF(AND($E382="Yes",$G382=""),"NeverSignedIn ","")))</f>
        <v/>
      </c>
    </row>
    <row r="383" ht="15" customHeight="1" s="39">
      <c r="A383" s="85" t="n"/>
      <c r="B383" s="85" t="n"/>
      <c r="C383" s="85" t="n"/>
      <c r="D383" s="85" t="n"/>
      <c r="E383" s="85" t="n"/>
      <c r="F383" s="86" t="n"/>
      <c r="G383" s="86" t="n"/>
      <c r="H383" s="85" t="n"/>
      <c r="I383" s="85" t="n"/>
      <c r="J383" s="85" t="n"/>
      <c r="K383" s="85" t="n"/>
      <c r="L383" s="85" t="n"/>
      <c r="M383" s="85" t="n"/>
      <c r="N383" s="85" t="n"/>
      <c r="O383" s="85" t="n"/>
      <c r="P383" s="85" t="n"/>
      <c r="Q383" s="85" t="n"/>
      <c r="R383" s="85" t="n"/>
      <c r="S383" s="85">
        <f>IF($G383="","",TODAY()-$G383)</f>
        <v/>
      </c>
      <c r="T383" s="85">
        <f>IF($A383="","",IF(AND($E383="Yes",OR($O383="No",$O383="NOT FOUND")),"YES",""))</f>
        <v/>
      </c>
      <c r="U383" s="85">
        <f>IF($A383="","",TRIM(IF(AND($M383=0,$I383&lt;&gt;"Yes"),"T0-NoPhishResistant ","")&amp;IF($H383="No","NoMFA ","")&amp;IF(AND($E383="Yes",$G383=""),"NeverSignedIn ","")))</f>
        <v/>
      </c>
    </row>
    <row r="384" ht="15" customHeight="1" s="39">
      <c r="A384" s="85" t="n"/>
      <c r="B384" s="85" t="n"/>
      <c r="C384" s="85" t="n"/>
      <c r="D384" s="85" t="n"/>
      <c r="E384" s="85" t="n"/>
      <c r="F384" s="86" t="n"/>
      <c r="G384" s="86" t="n"/>
      <c r="H384" s="85" t="n"/>
      <c r="I384" s="85" t="n"/>
      <c r="J384" s="85" t="n"/>
      <c r="K384" s="85" t="n"/>
      <c r="L384" s="85" t="n"/>
      <c r="M384" s="85" t="n"/>
      <c r="N384" s="85" t="n"/>
      <c r="O384" s="85" t="n"/>
      <c r="P384" s="85" t="n"/>
      <c r="Q384" s="85" t="n"/>
      <c r="R384" s="85" t="n"/>
      <c r="S384" s="85">
        <f>IF($G384="","",TODAY()-$G384)</f>
        <v/>
      </c>
      <c r="T384" s="85">
        <f>IF($A384="","",IF(AND($E384="Yes",OR($O384="No",$O384="NOT FOUND")),"YES",""))</f>
        <v/>
      </c>
      <c r="U384" s="85">
        <f>IF($A384="","",TRIM(IF(AND($M384=0,$I384&lt;&gt;"Yes"),"T0-NoPhishResistant ","")&amp;IF($H384="No","NoMFA ","")&amp;IF(AND($E384="Yes",$G384=""),"NeverSignedIn ","")))</f>
        <v/>
      </c>
    </row>
    <row r="385" ht="15" customHeight="1" s="39">
      <c r="A385" s="85" t="n"/>
      <c r="B385" s="85" t="n"/>
      <c r="C385" s="85" t="n"/>
      <c r="D385" s="85" t="n"/>
      <c r="E385" s="85" t="n"/>
      <c r="F385" s="86" t="n"/>
      <c r="G385" s="86" t="n"/>
      <c r="H385" s="85" t="n"/>
      <c r="I385" s="85" t="n"/>
      <c r="J385" s="85" t="n"/>
      <c r="K385" s="85" t="n"/>
      <c r="L385" s="85" t="n"/>
      <c r="M385" s="85" t="n"/>
      <c r="N385" s="85" t="n"/>
      <c r="O385" s="85" t="n"/>
      <c r="P385" s="85" t="n"/>
      <c r="Q385" s="85" t="n"/>
      <c r="R385" s="85" t="n"/>
      <c r="S385" s="85">
        <f>IF($G385="","",TODAY()-$G385)</f>
        <v/>
      </c>
      <c r="T385" s="85">
        <f>IF($A385="","",IF(AND($E385="Yes",OR($O385="No",$O385="NOT FOUND")),"YES",""))</f>
        <v/>
      </c>
      <c r="U385" s="85">
        <f>IF($A385="","",TRIM(IF(AND($M385=0,$I385&lt;&gt;"Yes"),"T0-NoPhishResistant ","")&amp;IF($H385="No","NoMFA ","")&amp;IF(AND($E385="Yes",$G385=""),"NeverSignedIn ","")))</f>
        <v/>
      </c>
    </row>
    <row r="386" ht="15" customHeight="1" s="39">
      <c r="A386" s="85" t="n"/>
      <c r="B386" s="85" t="n"/>
      <c r="C386" s="85" t="n"/>
      <c r="D386" s="85" t="n"/>
      <c r="E386" s="85" t="n"/>
      <c r="F386" s="86" t="n"/>
      <c r="G386" s="86" t="n"/>
      <c r="H386" s="85" t="n"/>
      <c r="I386" s="85" t="n"/>
      <c r="J386" s="85" t="n"/>
      <c r="K386" s="85" t="n"/>
      <c r="L386" s="85" t="n"/>
      <c r="M386" s="85" t="n"/>
      <c r="N386" s="85" t="n"/>
      <c r="O386" s="85" t="n"/>
      <c r="P386" s="85" t="n"/>
      <c r="Q386" s="85" t="n"/>
      <c r="R386" s="85" t="n"/>
      <c r="S386" s="85">
        <f>IF($G386="","",TODAY()-$G386)</f>
        <v/>
      </c>
      <c r="T386" s="85">
        <f>IF($A386="","",IF(AND($E386="Yes",OR($O386="No",$O386="NOT FOUND")),"YES",""))</f>
        <v/>
      </c>
      <c r="U386" s="85">
        <f>IF($A386="","",TRIM(IF(AND($M386=0,$I386&lt;&gt;"Yes"),"T0-NoPhishResistant ","")&amp;IF($H386="No","NoMFA ","")&amp;IF(AND($E386="Yes",$G386=""),"NeverSignedIn ","")))</f>
        <v/>
      </c>
    </row>
    <row r="387" ht="15" customHeight="1" s="39">
      <c r="A387" s="85" t="n"/>
      <c r="B387" s="85" t="n"/>
      <c r="C387" s="85" t="n"/>
      <c r="D387" s="85" t="n"/>
      <c r="E387" s="85" t="n"/>
      <c r="F387" s="86" t="n"/>
      <c r="G387" s="86" t="n"/>
      <c r="H387" s="85" t="n"/>
      <c r="I387" s="85" t="n"/>
      <c r="J387" s="85" t="n"/>
      <c r="K387" s="85" t="n"/>
      <c r="L387" s="85" t="n"/>
      <c r="M387" s="85" t="n"/>
      <c r="N387" s="85" t="n"/>
      <c r="O387" s="85" t="n"/>
      <c r="P387" s="85" t="n"/>
      <c r="Q387" s="85" t="n"/>
      <c r="R387" s="85" t="n"/>
      <c r="S387" s="85">
        <f>IF($G387="","",TODAY()-$G387)</f>
        <v/>
      </c>
      <c r="T387" s="85">
        <f>IF($A387="","",IF(AND($E387="Yes",OR($O387="No",$O387="NOT FOUND")),"YES",""))</f>
        <v/>
      </c>
      <c r="U387" s="85">
        <f>IF($A387="","",TRIM(IF(AND($M387=0,$I387&lt;&gt;"Yes"),"T0-NoPhishResistant ","")&amp;IF($H387="No","NoMFA ","")&amp;IF(AND($E387="Yes",$G387=""),"NeverSignedIn ","")))</f>
        <v/>
      </c>
    </row>
    <row r="388" ht="15" customHeight="1" s="39">
      <c r="A388" s="85" t="n"/>
      <c r="B388" s="85" t="n"/>
      <c r="C388" s="85" t="n"/>
      <c r="D388" s="85" t="n"/>
      <c r="E388" s="85" t="n"/>
      <c r="F388" s="86" t="n"/>
      <c r="G388" s="86" t="n"/>
      <c r="H388" s="85" t="n"/>
      <c r="I388" s="85" t="n"/>
      <c r="J388" s="85" t="n"/>
      <c r="K388" s="85" t="n"/>
      <c r="L388" s="85" t="n"/>
      <c r="M388" s="85" t="n"/>
      <c r="N388" s="85" t="n"/>
      <c r="O388" s="85" t="n"/>
      <c r="P388" s="85" t="n"/>
      <c r="Q388" s="85" t="n"/>
      <c r="R388" s="85" t="n"/>
      <c r="S388" s="85">
        <f>IF($G388="","",TODAY()-$G388)</f>
        <v/>
      </c>
      <c r="T388" s="85">
        <f>IF($A388="","",IF(AND($E388="Yes",OR($O388="No",$O388="NOT FOUND")),"YES",""))</f>
        <v/>
      </c>
      <c r="U388" s="85">
        <f>IF($A388="","",TRIM(IF(AND($M388=0,$I388&lt;&gt;"Yes"),"T0-NoPhishResistant ","")&amp;IF($H388="No","NoMFA ","")&amp;IF(AND($E388="Yes",$G388=""),"NeverSignedIn ","")))</f>
        <v/>
      </c>
    </row>
    <row r="389" ht="15" customHeight="1" s="39">
      <c r="A389" s="85" t="n"/>
      <c r="B389" s="85" t="n"/>
      <c r="C389" s="85" t="n"/>
      <c r="D389" s="85" t="n"/>
      <c r="E389" s="85" t="n"/>
      <c r="F389" s="86" t="n"/>
      <c r="G389" s="86" t="n"/>
      <c r="H389" s="85" t="n"/>
      <c r="I389" s="85" t="n"/>
      <c r="J389" s="85" t="n"/>
      <c r="K389" s="85" t="n"/>
      <c r="L389" s="85" t="n"/>
      <c r="M389" s="85" t="n"/>
      <c r="N389" s="85" t="n"/>
      <c r="O389" s="85" t="n"/>
      <c r="P389" s="85" t="n"/>
      <c r="Q389" s="85" t="n"/>
      <c r="R389" s="85" t="n"/>
      <c r="S389" s="85">
        <f>IF($G389="","",TODAY()-$G389)</f>
        <v/>
      </c>
      <c r="T389" s="85">
        <f>IF($A389="","",IF(AND($E389="Yes",OR($O389="No",$O389="NOT FOUND")),"YES",""))</f>
        <v/>
      </c>
      <c r="U389" s="85">
        <f>IF($A389="","",TRIM(IF(AND($M389=0,$I389&lt;&gt;"Yes"),"T0-NoPhishResistant ","")&amp;IF($H389="No","NoMFA ","")&amp;IF(AND($E389="Yes",$G389=""),"NeverSignedIn ","")))</f>
        <v/>
      </c>
    </row>
    <row r="390" ht="15" customHeight="1" s="39">
      <c r="A390" s="85" t="n"/>
      <c r="B390" s="85" t="n"/>
      <c r="C390" s="85" t="n"/>
      <c r="D390" s="85" t="n"/>
      <c r="E390" s="85" t="n"/>
      <c r="F390" s="86" t="n"/>
      <c r="G390" s="86" t="n"/>
      <c r="H390" s="85" t="n"/>
      <c r="I390" s="85" t="n"/>
      <c r="J390" s="85" t="n"/>
      <c r="K390" s="85" t="n"/>
      <c r="L390" s="85" t="n"/>
      <c r="M390" s="85" t="n"/>
      <c r="N390" s="85" t="n"/>
      <c r="O390" s="85" t="n"/>
      <c r="P390" s="85" t="n"/>
      <c r="Q390" s="85" t="n"/>
      <c r="R390" s="85" t="n"/>
      <c r="S390" s="85">
        <f>IF($G390="","",TODAY()-$G390)</f>
        <v/>
      </c>
      <c r="T390" s="85">
        <f>IF($A390="","",IF(AND($E390="Yes",OR($O390="No",$O390="NOT FOUND")),"YES",""))</f>
        <v/>
      </c>
      <c r="U390" s="85">
        <f>IF($A390="","",TRIM(IF(AND($M390=0,$I390&lt;&gt;"Yes"),"T0-NoPhishResistant ","")&amp;IF($H390="No","NoMFA ","")&amp;IF(AND($E390="Yes",$G390=""),"NeverSignedIn ","")))</f>
        <v/>
      </c>
    </row>
    <row r="391" ht="15" customHeight="1" s="39">
      <c r="A391" s="85" t="n"/>
      <c r="B391" s="85" t="n"/>
      <c r="C391" s="85" t="n"/>
      <c r="D391" s="85" t="n"/>
      <c r="E391" s="85" t="n"/>
      <c r="F391" s="86" t="n"/>
      <c r="G391" s="86" t="n"/>
      <c r="H391" s="85" t="n"/>
      <c r="I391" s="85" t="n"/>
      <c r="J391" s="85" t="n"/>
      <c r="K391" s="85" t="n"/>
      <c r="L391" s="85" t="n"/>
      <c r="M391" s="85" t="n"/>
      <c r="N391" s="85" t="n"/>
      <c r="O391" s="85" t="n"/>
      <c r="P391" s="85" t="n"/>
      <c r="Q391" s="85" t="n"/>
      <c r="R391" s="85" t="n"/>
      <c r="S391" s="85">
        <f>IF($G391="","",TODAY()-$G391)</f>
        <v/>
      </c>
      <c r="T391" s="85">
        <f>IF($A391="","",IF(AND($E391="Yes",OR($O391="No",$O391="NOT FOUND")),"YES",""))</f>
        <v/>
      </c>
      <c r="U391" s="85">
        <f>IF($A391="","",TRIM(IF(AND($M391=0,$I391&lt;&gt;"Yes"),"T0-NoPhishResistant ","")&amp;IF($H391="No","NoMFA ","")&amp;IF(AND($E391="Yes",$G391=""),"NeverSignedIn ","")))</f>
        <v/>
      </c>
    </row>
    <row r="392" ht="15" customHeight="1" s="39">
      <c r="A392" s="85" t="n"/>
      <c r="B392" s="85" t="n"/>
      <c r="C392" s="85" t="n"/>
      <c r="D392" s="85" t="n"/>
      <c r="E392" s="85" t="n"/>
      <c r="F392" s="86" t="n"/>
      <c r="G392" s="86" t="n"/>
      <c r="H392" s="85" t="n"/>
      <c r="I392" s="85" t="n"/>
      <c r="J392" s="85" t="n"/>
      <c r="K392" s="85" t="n"/>
      <c r="L392" s="85" t="n"/>
      <c r="M392" s="85" t="n"/>
      <c r="N392" s="85" t="n"/>
      <c r="O392" s="85" t="n"/>
      <c r="P392" s="85" t="n"/>
      <c r="Q392" s="85" t="n"/>
      <c r="R392" s="85" t="n"/>
      <c r="S392" s="85">
        <f>IF($G392="","",TODAY()-$G392)</f>
        <v/>
      </c>
      <c r="T392" s="85">
        <f>IF($A392="","",IF(AND($E392="Yes",OR($O392="No",$O392="NOT FOUND")),"YES",""))</f>
        <v/>
      </c>
      <c r="U392" s="85">
        <f>IF($A392="","",TRIM(IF(AND($M392=0,$I392&lt;&gt;"Yes"),"T0-NoPhishResistant ","")&amp;IF($H392="No","NoMFA ","")&amp;IF(AND($E392="Yes",$G392=""),"NeverSignedIn ","")))</f>
        <v/>
      </c>
    </row>
    <row r="393" ht="15" customHeight="1" s="39">
      <c r="A393" s="85" t="n"/>
      <c r="B393" s="85" t="n"/>
      <c r="C393" s="85" t="n"/>
      <c r="D393" s="85" t="n"/>
      <c r="E393" s="85" t="n"/>
      <c r="F393" s="86" t="n"/>
      <c r="G393" s="86" t="n"/>
      <c r="H393" s="85" t="n"/>
      <c r="I393" s="85" t="n"/>
      <c r="J393" s="85" t="n"/>
      <c r="K393" s="85" t="n"/>
      <c r="L393" s="85" t="n"/>
      <c r="M393" s="85" t="n"/>
      <c r="N393" s="85" t="n"/>
      <c r="O393" s="85" t="n"/>
      <c r="P393" s="85" t="n"/>
      <c r="Q393" s="85" t="n"/>
      <c r="R393" s="85" t="n"/>
      <c r="S393" s="85">
        <f>IF($G393="","",TODAY()-$G393)</f>
        <v/>
      </c>
      <c r="T393" s="85">
        <f>IF($A393="","",IF(AND($E393="Yes",OR($O393="No",$O393="NOT FOUND")),"YES",""))</f>
        <v/>
      </c>
      <c r="U393" s="85">
        <f>IF($A393="","",TRIM(IF(AND($M393=0,$I393&lt;&gt;"Yes"),"T0-NoPhishResistant ","")&amp;IF($H393="No","NoMFA ","")&amp;IF(AND($E393="Yes",$G393=""),"NeverSignedIn ","")))</f>
        <v/>
      </c>
    </row>
    <row r="394" ht="15" customHeight="1" s="39">
      <c r="A394" s="85" t="n"/>
      <c r="B394" s="85" t="n"/>
      <c r="C394" s="85" t="n"/>
      <c r="D394" s="85" t="n"/>
      <c r="E394" s="85" t="n"/>
      <c r="F394" s="86" t="n"/>
      <c r="G394" s="86" t="n"/>
      <c r="H394" s="85" t="n"/>
      <c r="I394" s="85" t="n"/>
      <c r="J394" s="85" t="n"/>
      <c r="K394" s="85" t="n"/>
      <c r="L394" s="85" t="n"/>
      <c r="M394" s="85" t="n"/>
      <c r="N394" s="85" t="n"/>
      <c r="O394" s="85" t="n"/>
      <c r="P394" s="85" t="n"/>
      <c r="Q394" s="85" t="n"/>
      <c r="R394" s="85" t="n"/>
      <c r="S394" s="85">
        <f>IF($G394="","",TODAY()-$G394)</f>
        <v/>
      </c>
      <c r="T394" s="85">
        <f>IF($A394="","",IF(AND($E394="Yes",OR($O394="No",$O394="NOT FOUND")),"YES",""))</f>
        <v/>
      </c>
      <c r="U394" s="85">
        <f>IF($A394="","",TRIM(IF(AND($M394=0,$I394&lt;&gt;"Yes"),"T0-NoPhishResistant ","")&amp;IF($H394="No","NoMFA ","")&amp;IF(AND($E394="Yes",$G394=""),"NeverSignedIn ","")))</f>
        <v/>
      </c>
    </row>
    <row r="395" ht="15" customHeight="1" s="39">
      <c r="A395" s="85" t="n"/>
      <c r="B395" s="85" t="n"/>
      <c r="C395" s="85" t="n"/>
      <c r="D395" s="85" t="n"/>
      <c r="E395" s="85" t="n"/>
      <c r="F395" s="86" t="n"/>
      <c r="G395" s="86" t="n"/>
      <c r="H395" s="85" t="n"/>
      <c r="I395" s="85" t="n"/>
      <c r="J395" s="85" t="n"/>
      <c r="K395" s="85" t="n"/>
      <c r="L395" s="85" t="n"/>
      <c r="M395" s="85" t="n"/>
      <c r="N395" s="85" t="n"/>
      <c r="O395" s="85" t="n"/>
      <c r="P395" s="85" t="n"/>
      <c r="Q395" s="85" t="n"/>
      <c r="R395" s="85" t="n"/>
      <c r="S395" s="85">
        <f>IF($G395="","",TODAY()-$G395)</f>
        <v/>
      </c>
      <c r="T395" s="85">
        <f>IF($A395="","",IF(AND($E395="Yes",OR($O395="No",$O395="NOT FOUND")),"YES",""))</f>
        <v/>
      </c>
      <c r="U395" s="85">
        <f>IF($A395="","",TRIM(IF(AND($M395=0,$I395&lt;&gt;"Yes"),"T0-NoPhishResistant ","")&amp;IF($H395="No","NoMFA ","")&amp;IF(AND($E395="Yes",$G395=""),"NeverSignedIn ","")))</f>
        <v/>
      </c>
    </row>
    <row r="396" ht="15" customHeight="1" s="39">
      <c r="A396" s="85" t="n"/>
      <c r="B396" s="85" t="n"/>
      <c r="C396" s="85" t="n"/>
      <c r="D396" s="85" t="n"/>
      <c r="E396" s="85" t="n"/>
      <c r="F396" s="86" t="n"/>
      <c r="G396" s="86" t="n"/>
      <c r="H396" s="85" t="n"/>
      <c r="I396" s="85" t="n"/>
      <c r="J396" s="85" t="n"/>
      <c r="K396" s="85" t="n"/>
      <c r="L396" s="85" t="n"/>
      <c r="M396" s="85" t="n"/>
      <c r="N396" s="85" t="n"/>
      <c r="O396" s="85" t="n"/>
      <c r="P396" s="85" t="n"/>
      <c r="Q396" s="85" t="n"/>
      <c r="R396" s="85" t="n"/>
      <c r="S396" s="85">
        <f>IF($G396="","",TODAY()-$G396)</f>
        <v/>
      </c>
      <c r="T396" s="85">
        <f>IF($A396="","",IF(AND($E396="Yes",OR($O396="No",$O396="NOT FOUND")),"YES",""))</f>
        <v/>
      </c>
      <c r="U396" s="85">
        <f>IF($A396="","",TRIM(IF(AND($M396=0,$I396&lt;&gt;"Yes"),"T0-NoPhishResistant ","")&amp;IF($H396="No","NoMFA ","")&amp;IF(AND($E396="Yes",$G396=""),"NeverSignedIn ","")))</f>
        <v/>
      </c>
    </row>
    <row r="397" ht="15" customHeight="1" s="39">
      <c r="A397" s="85" t="n"/>
      <c r="B397" s="85" t="n"/>
      <c r="C397" s="85" t="n"/>
      <c r="D397" s="85" t="n"/>
      <c r="E397" s="85" t="n"/>
      <c r="F397" s="86" t="n"/>
      <c r="G397" s="86" t="n"/>
      <c r="H397" s="85" t="n"/>
      <c r="I397" s="85" t="n"/>
      <c r="J397" s="85" t="n"/>
      <c r="K397" s="85" t="n"/>
      <c r="L397" s="85" t="n"/>
      <c r="M397" s="85" t="n"/>
      <c r="N397" s="85" t="n"/>
      <c r="O397" s="85" t="n"/>
      <c r="P397" s="85" t="n"/>
      <c r="Q397" s="85" t="n"/>
      <c r="R397" s="85" t="n"/>
      <c r="S397" s="85">
        <f>IF($G397="","",TODAY()-$G397)</f>
        <v/>
      </c>
      <c r="T397" s="85">
        <f>IF($A397="","",IF(AND($E397="Yes",OR($O397="No",$O397="NOT FOUND")),"YES",""))</f>
        <v/>
      </c>
      <c r="U397" s="85">
        <f>IF($A397="","",TRIM(IF(AND($M397=0,$I397&lt;&gt;"Yes"),"T0-NoPhishResistant ","")&amp;IF($H397="No","NoMFA ","")&amp;IF(AND($E397="Yes",$G397=""),"NeverSignedIn ","")))</f>
        <v/>
      </c>
    </row>
    <row r="398" ht="15" customHeight="1" s="39">
      <c r="A398" s="85" t="n"/>
      <c r="B398" s="85" t="n"/>
      <c r="C398" s="85" t="n"/>
      <c r="D398" s="85" t="n"/>
      <c r="E398" s="85" t="n"/>
      <c r="F398" s="86" t="n"/>
      <c r="G398" s="86" t="n"/>
      <c r="H398" s="85" t="n"/>
      <c r="I398" s="85" t="n"/>
      <c r="J398" s="85" t="n"/>
      <c r="K398" s="85" t="n"/>
      <c r="L398" s="85" t="n"/>
      <c r="M398" s="85" t="n"/>
      <c r="N398" s="85" t="n"/>
      <c r="O398" s="85" t="n"/>
      <c r="P398" s="85" t="n"/>
      <c r="Q398" s="85" t="n"/>
      <c r="R398" s="85" t="n"/>
      <c r="S398" s="85">
        <f>IF($G398="","",TODAY()-$G398)</f>
        <v/>
      </c>
      <c r="T398" s="85">
        <f>IF($A398="","",IF(AND($E398="Yes",OR($O398="No",$O398="NOT FOUND")),"YES",""))</f>
        <v/>
      </c>
      <c r="U398" s="85">
        <f>IF($A398="","",TRIM(IF(AND($M398=0,$I398&lt;&gt;"Yes"),"T0-NoPhishResistant ","")&amp;IF($H398="No","NoMFA ","")&amp;IF(AND($E398="Yes",$G398=""),"NeverSignedIn ","")))</f>
        <v/>
      </c>
    </row>
    <row r="399" ht="15" customHeight="1" s="39">
      <c r="A399" s="85" t="n"/>
      <c r="B399" s="85" t="n"/>
      <c r="C399" s="85" t="n"/>
      <c r="D399" s="85" t="n"/>
      <c r="E399" s="85" t="n"/>
      <c r="F399" s="86" t="n"/>
      <c r="G399" s="86" t="n"/>
      <c r="H399" s="85" t="n"/>
      <c r="I399" s="85" t="n"/>
      <c r="J399" s="85" t="n"/>
      <c r="K399" s="85" t="n"/>
      <c r="L399" s="85" t="n"/>
      <c r="M399" s="85" t="n"/>
      <c r="N399" s="85" t="n"/>
      <c r="O399" s="85" t="n"/>
      <c r="P399" s="85" t="n"/>
      <c r="Q399" s="85" t="n"/>
      <c r="R399" s="85" t="n"/>
      <c r="S399" s="85">
        <f>IF($G399="","",TODAY()-$G399)</f>
        <v/>
      </c>
      <c r="T399" s="85">
        <f>IF($A399="","",IF(AND($E399="Yes",OR($O399="No",$O399="NOT FOUND")),"YES",""))</f>
        <v/>
      </c>
      <c r="U399" s="85">
        <f>IF($A399="","",TRIM(IF(AND($M399=0,$I399&lt;&gt;"Yes"),"T0-NoPhishResistant ","")&amp;IF($H399="No","NoMFA ","")&amp;IF(AND($E399="Yes",$G399=""),"NeverSignedIn ","")))</f>
        <v/>
      </c>
    </row>
    <row r="400" ht="15" customHeight="1" s="39">
      <c r="A400" s="85" t="n"/>
      <c r="B400" s="85" t="n"/>
      <c r="C400" s="85" t="n"/>
      <c r="D400" s="85" t="n"/>
      <c r="E400" s="85" t="n"/>
      <c r="F400" s="86" t="n"/>
      <c r="G400" s="86" t="n"/>
      <c r="H400" s="85" t="n"/>
      <c r="I400" s="85" t="n"/>
      <c r="J400" s="85" t="n"/>
      <c r="K400" s="85" t="n"/>
      <c r="L400" s="85" t="n"/>
      <c r="M400" s="85" t="n"/>
      <c r="N400" s="85" t="n"/>
      <c r="O400" s="85" t="n"/>
      <c r="P400" s="85" t="n"/>
      <c r="Q400" s="85" t="n"/>
      <c r="R400" s="85" t="n"/>
      <c r="S400" s="85">
        <f>IF($G400="","",TODAY()-$G400)</f>
        <v/>
      </c>
      <c r="T400" s="85">
        <f>IF($A400="","",IF(AND($E400="Yes",OR($O400="No",$O400="NOT FOUND")),"YES",""))</f>
        <v/>
      </c>
      <c r="U400" s="85">
        <f>IF($A400="","",TRIM(IF(AND($M400=0,$I400&lt;&gt;"Yes"),"T0-NoPhishResistant ","")&amp;IF($H400="No","NoMFA ","")&amp;IF(AND($E400="Yes",$G400=""),"NeverSignedIn ","")))</f>
        <v/>
      </c>
    </row>
    <row r="401" ht="15" customHeight="1" s="39">
      <c r="A401" s="85" t="n"/>
      <c r="B401" s="85" t="n"/>
      <c r="C401" s="85" t="n"/>
      <c r="D401" s="85" t="n"/>
      <c r="E401" s="85" t="n"/>
      <c r="F401" s="86" t="n"/>
      <c r="G401" s="86" t="n"/>
      <c r="H401" s="85" t="n"/>
      <c r="I401" s="85" t="n"/>
      <c r="J401" s="85" t="n"/>
      <c r="K401" s="85" t="n"/>
      <c r="L401" s="85" t="n"/>
      <c r="M401" s="85" t="n"/>
      <c r="N401" s="85" t="n"/>
      <c r="O401" s="85" t="n"/>
      <c r="P401" s="85" t="n"/>
      <c r="Q401" s="85" t="n"/>
      <c r="R401" s="85" t="n"/>
      <c r="S401" s="85">
        <f>IF($G401="","",TODAY()-$G401)</f>
        <v/>
      </c>
      <c r="T401" s="85">
        <f>IF($A401="","",IF(AND($E401="Yes",OR($O401="No",$O401="NOT FOUND")),"YES",""))</f>
        <v/>
      </c>
      <c r="U401" s="85">
        <f>IF($A401="","",TRIM(IF(AND($M401=0,$I401&lt;&gt;"Yes"),"T0-NoPhishResistant ","")&amp;IF($H401="No","NoMFA ","")&amp;IF(AND($E401="Yes",$G401=""),"NeverSignedIn ","")))</f>
        <v/>
      </c>
    </row>
    <row r="402" ht="15" customHeight="1" s="39">
      <c r="A402" s="85" t="n"/>
      <c r="B402" s="85" t="n"/>
      <c r="C402" s="85" t="n"/>
      <c r="D402" s="85" t="n"/>
      <c r="E402" s="85" t="n"/>
      <c r="F402" s="86" t="n"/>
      <c r="G402" s="86" t="n"/>
      <c r="H402" s="85" t="n"/>
      <c r="I402" s="85" t="n"/>
      <c r="J402" s="85" t="n"/>
      <c r="K402" s="85" t="n"/>
      <c r="L402" s="85" t="n"/>
      <c r="M402" s="85" t="n"/>
      <c r="N402" s="85" t="n"/>
      <c r="O402" s="85" t="n"/>
      <c r="P402" s="85" t="n"/>
      <c r="Q402" s="85" t="n"/>
      <c r="R402" s="85" t="n"/>
      <c r="S402" s="85">
        <f>IF($G402="","",TODAY()-$G402)</f>
        <v/>
      </c>
      <c r="T402" s="85">
        <f>IF($A402="","",IF(AND($E402="Yes",OR($O402="No",$O402="NOT FOUND")),"YES",""))</f>
        <v/>
      </c>
      <c r="U402" s="85">
        <f>IF($A402="","",TRIM(IF(AND($M402=0,$I402&lt;&gt;"Yes"),"T0-NoPhishResistant ","")&amp;IF($H402="No","NoMFA ","")&amp;IF(AND($E402="Yes",$G402=""),"NeverSignedIn ","")))</f>
        <v/>
      </c>
    </row>
    <row r="403" ht="15" customHeight="1" s="39">
      <c r="A403" s="85" t="n"/>
      <c r="B403" s="85" t="n"/>
      <c r="C403" s="85" t="n"/>
      <c r="D403" s="85" t="n"/>
      <c r="E403" s="85" t="n"/>
      <c r="F403" s="86" t="n"/>
      <c r="G403" s="86" t="n"/>
      <c r="H403" s="85" t="n"/>
      <c r="I403" s="85" t="n"/>
      <c r="J403" s="85" t="n"/>
      <c r="K403" s="85" t="n"/>
      <c r="L403" s="85" t="n"/>
      <c r="M403" s="85" t="n"/>
      <c r="N403" s="85" t="n"/>
      <c r="O403" s="85" t="n"/>
      <c r="P403" s="85" t="n"/>
      <c r="Q403" s="85" t="n"/>
      <c r="R403" s="85" t="n"/>
      <c r="S403" s="85">
        <f>IF($G403="","",TODAY()-$G403)</f>
        <v/>
      </c>
      <c r="T403" s="85">
        <f>IF($A403="","",IF(AND($E403="Yes",OR($O403="No",$O403="NOT FOUND")),"YES",""))</f>
        <v/>
      </c>
      <c r="U403" s="85">
        <f>IF($A403="","",TRIM(IF(AND($M403=0,$I403&lt;&gt;"Yes"),"T0-NoPhishResistant ","")&amp;IF($H403="No","NoMFA ","")&amp;IF(AND($E403="Yes",$G403=""),"NeverSignedIn ","")))</f>
        <v/>
      </c>
    </row>
    <row r="404" ht="15" customHeight="1" s="39">
      <c r="A404" s="85" t="n"/>
      <c r="B404" s="85" t="n"/>
      <c r="C404" s="85" t="n"/>
      <c r="D404" s="85" t="n"/>
      <c r="E404" s="85" t="n"/>
      <c r="F404" s="86" t="n"/>
      <c r="G404" s="86" t="n"/>
      <c r="H404" s="85" t="n"/>
      <c r="I404" s="85" t="n"/>
      <c r="J404" s="85" t="n"/>
      <c r="K404" s="85" t="n"/>
      <c r="L404" s="85" t="n"/>
      <c r="M404" s="85" t="n"/>
      <c r="N404" s="85" t="n"/>
      <c r="O404" s="85" t="n"/>
      <c r="P404" s="85" t="n"/>
      <c r="Q404" s="85" t="n"/>
      <c r="R404" s="85" t="n"/>
      <c r="S404" s="85">
        <f>IF($G404="","",TODAY()-$G404)</f>
        <v/>
      </c>
      <c r="T404" s="85">
        <f>IF($A404="","",IF(AND($E404="Yes",OR($O404="No",$O404="NOT FOUND")),"YES",""))</f>
        <v/>
      </c>
      <c r="U404" s="85">
        <f>IF($A404="","",TRIM(IF(AND($M404=0,$I404&lt;&gt;"Yes"),"T0-NoPhishResistant ","")&amp;IF($H404="No","NoMFA ","")&amp;IF(AND($E404="Yes",$G404=""),"NeverSignedIn ","")))</f>
        <v/>
      </c>
    </row>
    <row r="405" ht="15" customHeight="1" s="39">
      <c r="A405" s="85" t="n"/>
      <c r="B405" s="85" t="n"/>
      <c r="C405" s="85" t="n"/>
      <c r="D405" s="85" t="n"/>
      <c r="E405" s="85" t="n"/>
      <c r="F405" s="86" t="n"/>
      <c r="G405" s="86" t="n"/>
      <c r="H405" s="85" t="n"/>
      <c r="I405" s="85" t="n"/>
      <c r="J405" s="85" t="n"/>
      <c r="K405" s="85" t="n"/>
      <c r="L405" s="85" t="n"/>
      <c r="M405" s="85" t="n"/>
      <c r="N405" s="85" t="n"/>
      <c r="O405" s="85" t="n"/>
      <c r="P405" s="85" t="n"/>
      <c r="Q405" s="85" t="n"/>
      <c r="R405" s="85" t="n"/>
      <c r="S405" s="85">
        <f>IF($G405="","",TODAY()-$G405)</f>
        <v/>
      </c>
      <c r="T405" s="85">
        <f>IF($A405="","",IF(AND($E405="Yes",OR($O405="No",$O405="NOT FOUND")),"YES",""))</f>
        <v/>
      </c>
      <c r="U405" s="85">
        <f>IF($A405="","",TRIM(IF(AND($M405=0,$I405&lt;&gt;"Yes"),"T0-NoPhishResistant ","")&amp;IF($H405="No","NoMFA ","")&amp;IF(AND($E405="Yes",$G405=""),"NeverSignedIn ","")))</f>
        <v/>
      </c>
    </row>
    <row r="406" ht="15" customHeight="1" s="39">
      <c r="A406" s="85" t="n"/>
      <c r="B406" s="85" t="n"/>
      <c r="C406" s="85" t="n"/>
      <c r="D406" s="85" t="n"/>
      <c r="E406" s="85" t="n"/>
      <c r="F406" s="86" t="n"/>
      <c r="G406" s="86" t="n"/>
      <c r="H406" s="85" t="n"/>
      <c r="I406" s="85" t="n"/>
      <c r="J406" s="85" t="n"/>
      <c r="K406" s="85" t="n"/>
      <c r="L406" s="85" t="n"/>
      <c r="M406" s="85" t="n"/>
      <c r="N406" s="85" t="n"/>
      <c r="O406" s="85" t="n"/>
      <c r="P406" s="85" t="n"/>
      <c r="Q406" s="85" t="n"/>
      <c r="R406" s="85" t="n"/>
      <c r="S406" s="85">
        <f>IF($G406="","",TODAY()-$G406)</f>
        <v/>
      </c>
      <c r="T406" s="85">
        <f>IF($A406="","",IF(AND($E406="Yes",OR($O406="No",$O406="NOT FOUND")),"YES",""))</f>
        <v/>
      </c>
      <c r="U406" s="85">
        <f>IF($A406="","",TRIM(IF(AND($M406=0,$I406&lt;&gt;"Yes"),"T0-NoPhishResistant ","")&amp;IF($H406="No","NoMFA ","")&amp;IF(AND($E406="Yes",$G406=""),"NeverSignedIn ","")))</f>
        <v/>
      </c>
    </row>
    <row r="407" ht="15" customHeight="1" s="39">
      <c r="A407" s="85" t="n"/>
      <c r="B407" s="85" t="n"/>
      <c r="C407" s="85" t="n"/>
      <c r="D407" s="85" t="n"/>
      <c r="E407" s="85" t="n"/>
      <c r="F407" s="86" t="n"/>
      <c r="G407" s="86" t="n"/>
      <c r="H407" s="85" t="n"/>
      <c r="I407" s="85" t="n"/>
      <c r="J407" s="85" t="n"/>
      <c r="K407" s="85" t="n"/>
      <c r="L407" s="85" t="n"/>
      <c r="M407" s="85" t="n"/>
      <c r="N407" s="85" t="n"/>
      <c r="O407" s="85" t="n"/>
      <c r="P407" s="85" t="n"/>
      <c r="Q407" s="85" t="n"/>
      <c r="R407" s="85" t="n"/>
      <c r="S407" s="85">
        <f>IF($G407="","",TODAY()-$G407)</f>
        <v/>
      </c>
      <c r="T407" s="85">
        <f>IF($A407="","",IF(AND($E407="Yes",OR($O407="No",$O407="NOT FOUND")),"YES",""))</f>
        <v/>
      </c>
      <c r="U407" s="85">
        <f>IF($A407="","",TRIM(IF(AND($M407=0,$I407&lt;&gt;"Yes"),"T0-NoPhishResistant ","")&amp;IF($H407="No","NoMFA ","")&amp;IF(AND($E407="Yes",$G407=""),"NeverSignedIn ","")))</f>
        <v/>
      </c>
    </row>
    <row r="408" ht="15" customHeight="1" s="39">
      <c r="A408" s="85" t="n"/>
      <c r="B408" s="85" t="n"/>
      <c r="C408" s="85" t="n"/>
      <c r="D408" s="85" t="n"/>
      <c r="E408" s="85" t="n"/>
      <c r="F408" s="86" t="n"/>
      <c r="G408" s="86" t="n"/>
      <c r="H408" s="85" t="n"/>
      <c r="I408" s="85" t="n"/>
      <c r="J408" s="85" t="n"/>
      <c r="K408" s="85" t="n"/>
      <c r="L408" s="85" t="n"/>
      <c r="M408" s="85" t="n"/>
      <c r="N408" s="85" t="n"/>
      <c r="O408" s="85" t="n"/>
      <c r="P408" s="85" t="n"/>
      <c r="Q408" s="85" t="n"/>
      <c r="R408" s="85" t="n"/>
      <c r="S408" s="85">
        <f>IF($G408="","",TODAY()-$G408)</f>
        <v/>
      </c>
      <c r="T408" s="85">
        <f>IF($A408="","",IF(AND($E408="Yes",OR($O408="No",$O408="NOT FOUND")),"YES",""))</f>
        <v/>
      </c>
      <c r="U408" s="85">
        <f>IF($A408="","",TRIM(IF(AND($M408=0,$I408&lt;&gt;"Yes"),"T0-NoPhishResistant ","")&amp;IF($H408="No","NoMFA ","")&amp;IF(AND($E408="Yes",$G408=""),"NeverSignedIn ","")))</f>
        <v/>
      </c>
    </row>
    <row r="409" ht="15" customHeight="1" s="39">
      <c r="A409" s="85" t="n"/>
      <c r="B409" s="85" t="n"/>
      <c r="C409" s="85" t="n"/>
      <c r="D409" s="85" t="n"/>
      <c r="E409" s="85" t="n"/>
      <c r="F409" s="86" t="n"/>
      <c r="G409" s="86" t="n"/>
      <c r="H409" s="85" t="n"/>
      <c r="I409" s="85" t="n"/>
      <c r="J409" s="85" t="n"/>
      <c r="K409" s="85" t="n"/>
      <c r="L409" s="85" t="n"/>
      <c r="M409" s="85" t="n"/>
      <c r="N409" s="85" t="n"/>
      <c r="O409" s="85" t="n"/>
      <c r="P409" s="85" t="n"/>
      <c r="Q409" s="85" t="n"/>
      <c r="R409" s="85" t="n"/>
      <c r="S409" s="85">
        <f>IF($G409="","",TODAY()-$G409)</f>
        <v/>
      </c>
      <c r="T409" s="85">
        <f>IF($A409="","",IF(AND($E409="Yes",OR($O409="No",$O409="NOT FOUND")),"YES",""))</f>
        <v/>
      </c>
      <c r="U409" s="85">
        <f>IF($A409="","",TRIM(IF(AND($M409=0,$I409&lt;&gt;"Yes"),"T0-NoPhishResistant ","")&amp;IF($H409="No","NoMFA ","")&amp;IF(AND($E409="Yes",$G409=""),"NeverSignedIn ","")))</f>
        <v/>
      </c>
    </row>
    <row r="410" ht="15" customHeight="1" s="39">
      <c r="A410" s="85" t="n"/>
      <c r="B410" s="85" t="n"/>
      <c r="C410" s="85" t="n"/>
      <c r="D410" s="85" t="n"/>
      <c r="E410" s="85" t="n"/>
      <c r="F410" s="86" t="n"/>
      <c r="G410" s="86" t="n"/>
      <c r="H410" s="85" t="n"/>
      <c r="I410" s="85" t="n"/>
      <c r="J410" s="85" t="n"/>
      <c r="K410" s="85" t="n"/>
      <c r="L410" s="85" t="n"/>
      <c r="M410" s="85" t="n"/>
      <c r="N410" s="85" t="n"/>
      <c r="O410" s="85" t="n"/>
      <c r="P410" s="85" t="n"/>
      <c r="Q410" s="85" t="n"/>
      <c r="R410" s="85" t="n"/>
      <c r="S410" s="85">
        <f>IF($G410="","",TODAY()-$G410)</f>
        <v/>
      </c>
      <c r="T410" s="85">
        <f>IF($A410="","",IF(AND($E410="Yes",OR($O410="No",$O410="NOT FOUND")),"YES",""))</f>
        <v/>
      </c>
      <c r="U410" s="85">
        <f>IF($A410="","",TRIM(IF(AND($M410=0,$I410&lt;&gt;"Yes"),"T0-NoPhishResistant ","")&amp;IF($H410="No","NoMFA ","")&amp;IF(AND($E410="Yes",$G410=""),"NeverSignedIn ","")))</f>
        <v/>
      </c>
    </row>
    <row r="411" ht="15" customHeight="1" s="39">
      <c r="A411" s="85" t="n"/>
      <c r="B411" s="85" t="n"/>
      <c r="C411" s="85" t="n"/>
      <c r="D411" s="85" t="n"/>
      <c r="E411" s="85" t="n"/>
      <c r="F411" s="86" t="n"/>
      <c r="G411" s="86" t="n"/>
      <c r="H411" s="85" t="n"/>
      <c r="I411" s="85" t="n"/>
      <c r="J411" s="85" t="n"/>
      <c r="K411" s="85" t="n"/>
      <c r="L411" s="85" t="n"/>
      <c r="M411" s="85" t="n"/>
      <c r="N411" s="85" t="n"/>
      <c r="O411" s="85" t="n"/>
      <c r="P411" s="85" t="n"/>
      <c r="Q411" s="85" t="n"/>
      <c r="R411" s="85" t="n"/>
      <c r="S411" s="85">
        <f>IF($G411="","",TODAY()-$G411)</f>
        <v/>
      </c>
      <c r="T411" s="85">
        <f>IF($A411="","",IF(AND($E411="Yes",OR($O411="No",$O411="NOT FOUND")),"YES",""))</f>
        <v/>
      </c>
      <c r="U411" s="85">
        <f>IF($A411="","",TRIM(IF(AND($M411=0,$I411&lt;&gt;"Yes"),"T0-NoPhishResistant ","")&amp;IF($H411="No","NoMFA ","")&amp;IF(AND($E411="Yes",$G411=""),"NeverSignedIn ","")))</f>
        <v/>
      </c>
    </row>
    <row r="412" ht="15" customHeight="1" s="39">
      <c r="A412" s="85" t="n"/>
      <c r="B412" s="85" t="n"/>
      <c r="C412" s="85" t="n"/>
      <c r="D412" s="85" t="n"/>
      <c r="E412" s="85" t="n"/>
      <c r="F412" s="86" t="n"/>
      <c r="G412" s="86" t="n"/>
      <c r="H412" s="85" t="n"/>
      <c r="I412" s="85" t="n"/>
      <c r="J412" s="85" t="n"/>
      <c r="K412" s="85" t="n"/>
      <c r="L412" s="85" t="n"/>
      <c r="M412" s="85" t="n"/>
      <c r="N412" s="85" t="n"/>
      <c r="O412" s="85" t="n"/>
      <c r="P412" s="85" t="n"/>
      <c r="Q412" s="85" t="n"/>
      <c r="R412" s="85" t="n"/>
      <c r="S412" s="85">
        <f>IF($G412="","",TODAY()-$G412)</f>
        <v/>
      </c>
      <c r="T412" s="85">
        <f>IF($A412="","",IF(AND($E412="Yes",OR($O412="No",$O412="NOT FOUND")),"YES",""))</f>
        <v/>
      </c>
      <c r="U412" s="85">
        <f>IF($A412="","",TRIM(IF(AND($M412=0,$I412&lt;&gt;"Yes"),"T0-NoPhishResistant ","")&amp;IF($H412="No","NoMFA ","")&amp;IF(AND($E412="Yes",$G412=""),"NeverSignedIn ","")))</f>
        <v/>
      </c>
    </row>
    <row r="413" ht="15" customHeight="1" s="39">
      <c r="A413" s="85" t="n"/>
      <c r="B413" s="85" t="n"/>
      <c r="C413" s="85" t="n"/>
      <c r="D413" s="85" t="n"/>
      <c r="E413" s="85" t="n"/>
      <c r="F413" s="86" t="n"/>
      <c r="G413" s="86" t="n"/>
      <c r="H413" s="85" t="n"/>
      <c r="I413" s="85" t="n"/>
      <c r="J413" s="85" t="n"/>
      <c r="K413" s="85" t="n"/>
      <c r="L413" s="85" t="n"/>
      <c r="M413" s="85" t="n"/>
      <c r="N413" s="85" t="n"/>
      <c r="O413" s="85" t="n"/>
      <c r="P413" s="85" t="n"/>
      <c r="Q413" s="85" t="n"/>
      <c r="R413" s="85" t="n"/>
      <c r="S413" s="85">
        <f>IF($G413="","",TODAY()-$G413)</f>
        <v/>
      </c>
      <c r="T413" s="85">
        <f>IF($A413="","",IF(AND($E413="Yes",OR($O413="No",$O413="NOT FOUND")),"YES",""))</f>
        <v/>
      </c>
      <c r="U413" s="85">
        <f>IF($A413="","",TRIM(IF(AND($M413=0,$I413&lt;&gt;"Yes"),"T0-NoPhishResistant ","")&amp;IF($H413="No","NoMFA ","")&amp;IF(AND($E413="Yes",$G413=""),"NeverSignedIn ","")))</f>
        <v/>
      </c>
    </row>
    <row r="414" ht="15" customHeight="1" s="39">
      <c r="A414" s="85" t="n"/>
      <c r="B414" s="85" t="n"/>
      <c r="C414" s="85" t="n"/>
      <c r="D414" s="85" t="n"/>
      <c r="E414" s="85" t="n"/>
      <c r="F414" s="86" t="n"/>
      <c r="G414" s="86" t="n"/>
      <c r="H414" s="85" t="n"/>
      <c r="I414" s="85" t="n"/>
      <c r="J414" s="85" t="n"/>
      <c r="K414" s="85" t="n"/>
      <c r="L414" s="85" t="n"/>
      <c r="M414" s="85" t="n"/>
      <c r="N414" s="85" t="n"/>
      <c r="O414" s="85" t="n"/>
      <c r="P414" s="85" t="n"/>
      <c r="Q414" s="85" t="n"/>
      <c r="R414" s="85" t="n"/>
      <c r="S414" s="85">
        <f>IF($G414="","",TODAY()-$G414)</f>
        <v/>
      </c>
      <c r="T414" s="85">
        <f>IF($A414="","",IF(AND($E414="Yes",OR($O414="No",$O414="NOT FOUND")),"YES",""))</f>
        <v/>
      </c>
      <c r="U414" s="85">
        <f>IF($A414="","",TRIM(IF(AND($M414=0,$I414&lt;&gt;"Yes"),"T0-NoPhishResistant ","")&amp;IF($H414="No","NoMFA ","")&amp;IF(AND($E414="Yes",$G414=""),"NeverSignedIn ","")))</f>
        <v/>
      </c>
    </row>
    <row r="415" ht="15" customHeight="1" s="39">
      <c r="A415" s="85" t="n"/>
      <c r="B415" s="85" t="n"/>
      <c r="C415" s="85" t="n"/>
      <c r="D415" s="85" t="n"/>
      <c r="E415" s="85" t="n"/>
      <c r="F415" s="86" t="n"/>
      <c r="G415" s="86" t="n"/>
      <c r="H415" s="85" t="n"/>
      <c r="I415" s="85" t="n"/>
      <c r="J415" s="85" t="n"/>
      <c r="K415" s="85" t="n"/>
      <c r="L415" s="85" t="n"/>
      <c r="M415" s="85" t="n"/>
      <c r="N415" s="85" t="n"/>
      <c r="O415" s="85" t="n"/>
      <c r="P415" s="85" t="n"/>
      <c r="Q415" s="85" t="n"/>
      <c r="R415" s="85" t="n"/>
      <c r="S415" s="85">
        <f>IF($G415="","",TODAY()-$G415)</f>
        <v/>
      </c>
      <c r="T415" s="85">
        <f>IF($A415="","",IF(AND($E415="Yes",OR($O415="No",$O415="NOT FOUND")),"YES",""))</f>
        <v/>
      </c>
      <c r="U415" s="85">
        <f>IF($A415="","",TRIM(IF(AND($M415=0,$I415&lt;&gt;"Yes"),"T0-NoPhishResistant ","")&amp;IF($H415="No","NoMFA ","")&amp;IF(AND($E415="Yes",$G415=""),"NeverSignedIn ","")))</f>
        <v/>
      </c>
    </row>
    <row r="416" ht="15" customHeight="1" s="39">
      <c r="A416" s="85" t="n"/>
      <c r="B416" s="85" t="n"/>
      <c r="C416" s="85" t="n"/>
      <c r="D416" s="85" t="n"/>
      <c r="E416" s="85" t="n"/>
      <c r="F416" s="86" t="n"/>
      <c r="G416" s="86" t="n"/>
      <c r="H416" s="85" t="n"/>
      <c r="I416" s="85" t="n"/>
      <c r="J416" s="85" t="n"/>
      <c r="K416" s="85" t="n"/>
      <c r="L416" s="85" t="n"/>
      <c r="M416" s="85" t="n"/>
      <c r="N416" s="85" t="n"/>
      <c r="O416" s="85" t="n"/>
      <c r="P416" s="85" t="n"/>
      <c r="Q416" s="85" t="n"/>
      <c r="R416" s="85" t="n"/>
      <c r="S416" s="85">
        <f>IF($G416="","",TODAY()-$G416)</f>
        <v/>
      </c>
      <c r="T416" s="85">
        <f>IF($A416="","",IF(AND($E416="Yes",OR($O416="No",$O416="NOT FOUND")),"YES",""))</f>
        <v/>
      </c>
      <c r="U416" s="85">
        <f>IF($A416="","",TRIM(IF(AND($M416=0,$I416&lt;&gt;"Yes"),"T0-NoPhishResistant ","")&amp;IF($H416="No","NoMFA ","")&amp;IF(AND($E416="Yes",$G416=""),"NeverSignedIn ","")))</f>
        <v/>
      </c>
    </row>
    <row r="417" ht="15" customHeight="1" s="39">
      <c r="A417" s="85" t="n"/>
      <c r="B417" s="85" t="n"/>
      <c r="C417" s="85" t="n"/>
      <c r="D417" s="85" t="n"/>
      <c r="E417" s="85" t="n"/>
      <c r="F417" s="86" t="n"/>
      <c r="G417" s="86" t="n"/>
      <c r="H417" s="85" t="n"/>
      <c r="I417" s="85" t="n"/>
      <c r="J417" s="85" t="n"/>
      <c r="K417" s="85" t="n"/>
      <c r="L417" s="85" t="n"/>
      <c r="M417" s="85" t="n"/>
      <c r="N417" s="85" t="n"/>
      <c r="O417" s="85" t="n"/>
      <c r="P417" s="85" t="n"/>
      <c r="Q417" s="85" t="n"/>
      <c r="R417" s="85" t="n"/>
      <c r="S417" s="85">
        <f>IF($G417="","",TODAY()-$G417)</f>
        <v/>
      </c>
      <c r="T417" s="85">
        <f>IF($A417="","",IF(AND($E417="Yes",OR($O417="No",$O417="NOT FOUND")),"YES",""))</f>
        <v/>
      </c>
      <c r="U417" s="85">
        <f>IF($A417="","",TRIM(IF(AND($M417=0,$I417&lt;&gt;"Yes"),"T0-NoPhishResistant ","")&amp;IF($H417="No","NoMFA ","")&amp;IF(AND($E417="Yes",$G417=""),"NeverSignedIn ","")))</f>
        <v/>
      </c>
    </row>
    <row r="418" ht="15" customHeight="1" s="39">
      <c r="A418" s="85" t="n"/>
      <c r="B418" s="85" t="n"/>
      <c r="C418" s="85" t="n"/>
      <c r="D418" s="85" t="n"/>
      <c r="E418" s="85" t="n"/>
      <c r="F418" s="86" t="n"/>
      <c r="G418" s="86" t="n"/>
      <c r="H418" s="85" t="n"/>
      <c r="I418" s="85" t="n"/>
      <c r="J418" s="85" t="n"/>
      <c r="K418" s="85" t="n"/>
      <c r="L418" s="85" t="n"/>
      <c r="M418" s="85" t="n"/>
      <c r="N418" s="85" t="n"/>
      <c r="O418" s="85" t="n"/>
      <c r="P418" s="85" t="n"/>
      <c r="Q418" s="85" t="n"/>
      <c r="R418" s="85" t="n"/>
      <c r="S418" s="85">
        <f>IF($G418="","",TODAY()-$G418)</f>
        <v/>
      </c>
      <c r="T418" s="85">
        <f>IF($A418="","",IF(AND($E418="Yes",OR($O418="No",$O418="NOT FOUND")),"YES",""))</f>
        <v/>
      </c>
      <c r="U418" s="85">
        <f>IF($A418="","",TRIM(IF(AND($M418=0,$I418&lt;&gt;"Yes"),"T0-NoPhishResistant ","")&amp;IF($H418="No","NoMFA ","")&amp;IF(AND($E418="Yes",$G418=""),"NeverSignedIn ","")))</f>
        <v/>
      </c>
    </row>
    <row r="419" ht="15" customHeight="1" s="39">
      <c r="A419" s="85" t="n"/>
      <c r="B419" s="85" t="n"/>
      <c r="C419" s="85" t="n"/>
      <c r="D419" s="85" t="n"/>
      <c r="E419" s="85" t="n"/>
      <c r="F419" s="86" t="n"/>
      <c r="G419" s="86" t="n"/>
      <c r="H419" s="85" t="n"/>
      <c r="I419" s="85" t="n"/>
      <c r="J419" s="85" t="n"/>
      <c r="K419" s="85" t="n"/>
      <c r="L419" s="85" t="n"/>
      <c r="M419" s="85" t="n"/>
      <c r="N419" s="85" t="n"/>
      <c r="O419" s="85" t="n"/>
      <c r="P419" s="85" t="n"/>
      <c r="Q419" s="85" t="n"/>
      <c r="R419" s="85" t="n"/>
      <c r="S419" s="85">
        <f>IF($G419="","",TODAY()-$G419)</f>
        <v/>
      </c>
      <c r="T419" s="85">
        <f>IF($A419="","",IF(AND($E419="Yes",OR($O419="No",$O419="NOT FOUND")),"YES",""))</f>
        <v/>
      </c>
      <c r="U419" s="85">
        <f>IF($A419="","",TRIM(IF(AND($M419=0,$I419&lt;&gt;"Yes"),"T0-NoPhishResistant ","")&amp;IF($H419="No","NoMFA ","")&amp;IF(AND($E419="Yes",$G419=""),"NeverSignedIn ","")))</f>
        <v/>
      </c>
    </row>
    <row r="420" ht="15" customHeight="1" s="39">
      <c r="A420" s="85" t="n"/>
      <c r="B420" s="85" t="n"/>
      <c r="C420" s="85" t="n"/>
      <c r="D420" s="85" t="n"/>
      <c r="E420" s="85" t="n"/>
      <c r="F420" s="86" t="n"/>
      <c r="G420" s="86" t="n"/>
      <c r="H420" s="85" t="n"/>
      <c r="I420" s="85" t="n"/>
      <c r="J420" s="85" t="n"/>
      <c r="K420" s="85" t="n"/>
      <c r="L420" s="85" t="n"/>
      <c r="M420" s="85" t="n"/>
      <c r="N420" s="85" t="n"/>
      <c r="O420" s="85" t="n"/>
      <c r="P420" s="85" t="n"/>
      <c r="Q420" s="85" t="n"/>
      <c r="R420" s="85" t="n"/>
      <c r="S420" s="85">
        <f>IF($G420="","",TODAY()-$G420)</f>
        <v/>
      </c>
      <c r="T420" s="85">
        <f>IF($A420="","",IF(AND($E420="Yes",OR($O420="No",$O420="NOT FOUND")),"YES",""))</f>
        <v/>
      </c>
      <c r="U420" s="85">
        <f>IF($A420="","",TRIM(IF(AND($M420=0,$I420&lt;&gt;"Yes"),"T0-NoPhishResistant ","")&amp;IF($H420="No","NoMFA ","")&amp;IF(AND($E420="Yes",$G420=""),"NeverSignedIn ","")))</f>
        <v/>
      </c>
    </row>
    <row r="421" ht="15" customHeight="1" s="39">
      <c r="A421" s="85" t="n"/>
      <c r="B421" s="85" t="n"/>
      <c r="C421" s="85" t="n"/>
      <c r="D421" s="85" t="n"/>
      <c r="E421" s="85" t="n"/>
      <c r="F421" s="86" t="n"/>
      <c r="G421" s="86" t="n"/>
      <c r="H421" s="85" t="n"/>
      <c r="I421" s="85" t="n"/>
      <c r="J421" s="85" t="n"/>
      <c r="K421" s="85" t="n"/>
      <c r="L421" s="85" t="n"/>
      <c r="M421" s="85" t="n"/>
      <c r="N421" s="85" t="n"/>
      <c r="O421" s="85" t="n"/>
      <c r="P421" s="85" t="n"/>
      <c r="Q421" s="85" t="n"/>
      <c r="R421" s="85" t="n"/>
      <c r="S421" s="85">
        <f>IF($G421="","",TODAY()-$G421)</f>
        <v/>
      </c>
      <c r="T421" s="85">
        <f>IF($A421="","",IF(AND($E421="Yes",OR($O421="No",$O421="NOT FOUND")),"YES",""))</f>
        <v/>
      </c>
      <c r="U421" s="85">
        <f>IF($A421="","",TRIM(IF(AND($M421=0,$I421&lt;&gt;"Yes"),"T0-NoPhishResistant ","")&amp;IF($H421="No","NoMFA ","")&amp;IF(AND($E421="Yes",$G421=""),"NeverSignedIn ","")))</f>
        <v/>
      </c>
    </row>
    <row r="422" ht="15" customHeight="1" s="39">
      <c r="A422" s="85" t="n"/>
      <c r="B422" s="85" t="n"/>
      <c r="C422" s="85" t="n"/>
      <c r="D422" s="85" t="n"/>
      <c r="E422" s="85" t="n"/>
      <c r="F422" s="86" t="n"/>
      <c r="G422" s="86" t="n"/>
      <c r="H422" s="85" t="n"/>
      <c r="I422" s="85" t="n"/>
      <c r="J422" s="85" t="n"/>
      <c r="K422" s="85" t="n"/>
      <c r="L422" s="85" t="n"/>
      <c r="M422" s="85" t="n"/>
      <c r="N422" s="85" t="n"/>
      <c r="O422" s="85" t="n"/>
      <c r="P422" s="85" t="n"/>
      <c r="Q422" s="85" t="n"/>
      <c r="R422" s="85" t="n"/>
      <c r="S422" s="85">
        <f>IF($G422="","",TODAY()-$G422)</f>
        <v/>
      </c>
      <c r="T422" s="85">
        <f>IF($A422="","",IF(AND($E422="Yes",OR($O422="No",$O422="NOT FOUND")),"YES",""))</f>
        <v/>
      </c>
      <c r="U422" s="85">
        <f>IF($A422="","",TRIM(IF(AND($M422=0,$I422&lt;&gt;"Yes"),"T0-NoPhishResistant ","")&amp;IF($H422="No","NoMFA ","")&amp;IF(AND($E422="Yes",$G422=""),"NeverSignedIn ","")))</f>
        <v/>
      </c>
    </row>
    <row r="423" ht="15" customHeight="1" s="39">
      <c r="A423" s="85" t="n"/>
      <c r="B423" s="85" t="n"/>
      <c r="C423" s="85" t="n"/>
      <c r="D423" s="85" t="n"/>
      <c r="E423" s="85" t="n"/>
      <c r="F423" s="86" t="n"/>
      <c r="G423" s="86" t="n"/>
      <c r="H423" s="85" t="n"/>
      <c r="I423" s="85" t="n"/>
      <c r="J423" s="85" t="n"/>
      <c r="K423" s="85" t="n"/>
      <c r="L423" s="85" t="n"/>
      <c r="M423" s="85" t="n"/>
      <c r="N423" s="85" t="n"/>
      <c r="O423" s="85" t="n"/>
      <c r="P423" s="85" t="n"/>
      <c r="Q423" s="85" t="n"/>
      <c r="R423" s="85" t="n"/>
      <c r="S423" s="85">
        <f>IF($G423="","",TODAY()-$G423)</f>
        <v/>
      </c>
      <c r="T423" s="85">
        <f>IF($A423="","",IF(AND($E423="Yes",OR($O423="No",$O423="NOT FOUND")),"YES",""))</f>
        <v/>
      </c>
      <c r="U423" s="85">
        <f>IF($A423="","",TRIM(IF(AND($M423=0,$I423&lt;&gt;"Yes"),"T0-NoPhishResistant ","")&amp;IF($H423="No","NoMFA ","")&amp;IF(AND($E423="Yes",$G423=""),"NeverSignedIn ","")))</f>
        <v/>
      </c>
    </row>
    <row r="424" ht="15" customHeight="1" s="39">
      <c r="A424" s="85" t="n"/>
      <c r="B424" s="85" t="n"/>
      <c r="C424" s="85" t="n"/>
      <c r="D424" s="85" t="n"/>
      <c r="E424" s="85" t="n"/>
      <c r="F424" s="86" t="n"/>
      <c r="G424" s="86" t="n"/>
      <c r="H424" s="85" t="n"/>
      <c r="I424" s="85" t="n"/>
      <c r="J424" s="85" t="n"/>
      <c r="K424" s="85" t="n"/>
      <c r="L424" s="85" t="n"/>
      <c r="M424" s="85" t="n"/>
      <c r="N424" s="85" t="n"/>
      <c r="O424" s="85" t="n"/>
      <c r="P424" s="85" t="n"/>
      <c r="Q424" s="85" t="n"/>
      <c r="R424" s="85" t="n"/>
      <c r="S424" s="85">
        <f>IF($G424="","",TODAY()-$G424)</f>
        <v/>
      </c>
      <c r="T424" s="85">
        <f>IF($A424="","",IF(AND($E424="Yes",OR($O424="No",$O424="NOT FOUND")),"YES",""))</f>
        <v/>
      </c>
      <c r="U424" s="85">
        <f>IF($A424="","",TRIM(IF(AND($M424=0,$I424&lt;&gt;"Yes"),"T0-NoPhishResistant ","")&amp;IF($H424="No","NoMFA ","")&amp;IF(AND($E424="Yes",$G424=""),"NeverSignedIn ","")))</f>
        <v/>
      </c>
    </row>
    <row r="425" ht="15" customHeight="1" s="39">
      <c r="A425" s="85" t="n"/>
      <c r="B425" s="85" t="n"/>
      <c r="C425" s="85" t="n"/>
      <c r="D425" s="85" t="n"/>
      <c r="E425" s="85" t="n"/>
      <c r="F425" s="86" t="n"/>
      <c r="G425" s="86" t="n"/>
      <c r="H425" s="85" t="n"/>
      <c r="I425" s="85" t="n"/>
      <c r="J425" s="85" t="n"/>
      <c r="K425" s="85" t="n"/>
      <c r="L425" s="85" t="n"/>
      <c r="M425" s="85" t="n"/>
      <c r="N425" s="85" t="n"/>
      <c r="O425" s="85" t="n"/>
      <c r="P425" s="85" t="n"/>
      <c r="Q425" s="85" t="n"/>
      <c r="R425" s="85" t="n"/>
      <c r="S425" s="85">
        <f>IF($G425="","",TODAY()-$G425)</f>
        <v/>
      </c>
      <c r="T425" s="85">
        <f>IF($A425="","",IF(AND($E425="Yes",OR($O425="No",$O425="NOT FOUND")),"YES",""))</f>
        <v/>
      </c>
      <c r="U425" s="85">
        <f>IF($A425="","",TRIM(IF(AND($M425=0,$I425&lt;&gt;"Yes"),"T0-NoPhishResistant ","")&amp;IF($H425="No","NoMFA ","")&amp;IF(AND($E425="Yes",$G425=""),"NeverSignedIn ","")))</f>
        <v/>
      </c>
    </row>
    <row r="426" ht="15" customHeight="1" s="39">
      <c r="A426" s="85" t="n"/>
      <c r="B426" s="85" t="n"/>
      <c r="C426" s="85" t="n"/>
      <c r="D426" s="85" t="n"/>
      <c r="E426" s="85" t="n"/>
      <c r="F426" s="86" t="n"/>
      <c r="G426" s="86" t="n"/>
      <c r="H426" s="85" t="n"/>
      <c r="I426" s="85" t="n"/>
      <c r="J426" s="85" t="n"/>
      <c r="K426" s="85" t="n"/>
      <c r="L426" s="85" t="n"/>
      <c r="M426" s="85" t="n"/>
      <c r="N426" s="85" t="n"/>
      <c r="O426" s="85" t="n"/>
      <c r="P426" s="85" t="n"/>
      <c r="Q426" s="85" t="n"/>
      <c r="R426" s="85" t="n"/>
      <c r="S426" s="85">
        <f>IF($G426="","",TODAY()-$G426)</f>
        <v/>
      </c>
      <c r="T426" s="85">
        <f>IF($A426="","",IF(AND($E426="Yes",OR($O426="No",$O426="NOT FOUND")),"YES",""))</f>
        <v/>
      </c>
      <c r="U426" s="85">
        <f>IF($A426="","",TRIM(IF(AND($M426=0,$I426&lt;&gt;"Yes"),"T0-NoPhishResistant ","")&amp;IF($H426="No","NoMFA ","")&amp;IF(AND($E426="Yes",$G426=""),"NeverSignedIn ","")))</f>
        <v/>
      </c>
    </row>
    <row r="427" ht="15" customHeight="1" s="39">
      <c r="A427" s="85" t="n"/>
      <c r="B427" s="85" t="n"/>
      <c r="C427" s="85" t="n"/>
      <c r="D427" s="85" t="n"/>
      <c r="E427" s="85" t="n"/>
      <c r="F427" s="86" t="n"/>
      <c r="G427" s="86" t="n"/>
      <c r="H427" s="85" t="n"/>
      <c r="I427" s="85" t="n"/>
      <c r="J427" s="85" t="n"/>
      <c r="K427" s="85" t="n"/>
      <c r="L427" s="85" t="n"/>
      <c r="M427" s="85" t="n"/>
      <c r="N427" s="85" t="n"/>
      <c r="O427" s="85" t="n"/>
      <c r="P427" s="85" t="n"/>
      <c r="Q427" s="85" t="n"/>
      <c r="R427" s="85" t="n"/>
      <c r="S427" s="85">
        <f>IF($G427="","",TODAY()-$G427)</f>
        <v/>
      </c>
      <c r="T427" s="85">
        <f>IF($A427="","",IF(AND($E427="Yes",OR($O427="No",$O427="NOT FOUND")),"YES",""))</f>
        <v/>
      </c>
      <c r="U427" s="85">
        <f>IF($A427="","",TRIM(IF(AND($M427=0,$I427&lt;&gt;"Yes"),"T0-NoPhishResistant ","")&amp;IF($H427="No","NoMFA ","")&amp;IF(AND($E427="Yes",$G427=""),"NeverSignedIn ","")))</f>
        <v/>
      </c>
    </row>
    <row r="428" ht="15" customHeight="1" s="39">
      <c r="A428" s="85" t="n"/>
      <c r="B428" s="85" t="n"/>
      <c r="C428" s="85" t="n"/>
      <c r="D428" s="85" t="n"/>
      <c r="E428" s="85" t="n"/>
      <c r="F428" s="86" t="n"/>
      <c r="G428" s="86" t="n"/>
      <c r="H428" s="85" t="n"/>
      <c r="I428" s="85" t="n"/>
      <c r="J428" s="85" t="n"/>
      <c r="K428" s="85" t="n"/>
      <c r="L428" s="85" t="n"/>
      <c r="M428" s="85" t="n"/>
      <c r="N428" s="85" t="n"/>
      <c r="O428" s="85" t="n"/>
      <c r="P428" s="85" t="n"/>
      <c r="Q428" s="85" t="n"/>
      <c r="R428" s="85" t="n"/>
      <c r="S428" s="85">
        <f>IF($G428="","",TODAY()-$G428)</f>
        <v/>
      </c>
      <c r="T428" s="85">
        <f>IF($A428="","",IF(AND($E428="Yes",OR($O428="No",$O428="NOT FOUND")),"YES",""))</f>
        <v/>
      </c>
      <c r="U428" s="85">
        <f>IF($A428="","",TRIM(IF(AND($M428=0,$I428&lt;&gt;"Yes"),"T0-NoPhishResistant ","")&amp;IF($H428="No","NoMFA ","")&amp;IF(AND($E428="Yes",$G428=""),"NeverSignedIn ","")))</f>
        <v/>
      </c>
    </row>
    <row r="429" ht="15" customHeight="1" s="39">
      <c r="A429" s="85" t="n"/>
      <c r="B429" s="85" t="n"/>
      <c r="C429" s="85" t="n"/>
      <c r="D429" s="85" t="n"/>
      <c r="E429" s="85" t="n"/>
      <c r="F429" s="86" t="n"/>
      <c r="G429" s="86" t="n"/>
      <c r="H429" s="85" t="n"/>
      <c r="I429" s="85" t="n"/>
      <c r="J429" s="85" t="n"/>
      <c r="K429" s="85" t="n"/>
      <c r="L429" s="85" t="n"/>
      <c r="M429" s="85" t="n"/>
      <c r="N429" s="85" t="n"/>
      <c r="O429" s="85" t="n"/>
      <c r="P429" s="85" t="n"/>
      <c r="Q429" s="85" t="n"/>
      <c r="R429" s="85" t="n"/>
      <c r="S429" s="85">
        <f>IF($G429="","",TODAY()-$G429)</f>
        <v/>
      </c>
      <c r="T429" s="85">
        <f>IF($A429="","",IF(AND($E429="Yes",OR($O429="No",$O429="NOT FOUND")),"YES",""))</f>
        <v/>
      </c>
      <c r="U429" s="85">
        <f>IF($A429="","",TRIM(IF(AND($M429=0,$I429&lt;&gt;"Yes"),"T0-NoPhishResistant ","")&amp;IF($H429="No","NoMFA ","")&amp;IF(AND($E429="Yes",$G429=""),"NeverSignedIn ","")))</f>
        <v/>
      </c>
    </row>
    <row r="430" ht="15" customHeight="1" s="39">
      <c r="A430" s="85" t="n"/>
      <c r="B430" s="85" t="n"/>
      <c r="C430" s="85" t="n"/>
      <c r="D430" s="85" t="n"/>
      <c r="E430" s="85" t="n"/>
      <c r="F430" s="86" t="n"/>
      <c r="G430" s="86" t="n"/>
      <c r="H430" s="85" t="n"/>
      <c r="I430" s="85" t="n"/>
      <c r="J430" s="85" t="n"/>
      <c r="K430" s="85" t="n"/>
      <c r="L430" s="85" t="n"/>
      <c r="M430" s="85" t="n"/>
      <c r="N430" s="85" t="n"/>
      <c r="O430" s="85" t="n"/>
      <c r="P430" s="85" t="n"/>
      <c r="Q430" s="85" t="n"/>
      <c r="R430" s="85" t="n"/>
      <c r="S430" s="85">
        <f>IF($G430="","",TODAY()-$G430)</f>
        <v/>
      </c>
      <c r="T430" s="85">
        <f>IF($A430="","",IF(AND($E430="Yes",OR($O430="No",$O430="NOT FOUND")),"YES",""))</f>
        <v/>
      </c>
      <c r="U430" s="85">
        <f>IF($A430="","",TRIM(IF(AND($M430=0,$I430&lt;&gt;"Yes"),"T0-NoPhishResistant ","")&amp;IF($H430="No","NoMFA ","")&amp;IF(AND($E430="Yes",$G430=""),"NeverSignedIn ","")))</f>
        <v/>
      </c>
    </row>
    <row r="431" ht="15" customHeight="1" s="39">
      <c r="A431" s="85" t="n"/>
      <c r="B431" s="85" t="n"/>
      <c r="C431" s="85" t="n"/>
      <c r="D431" s="85" t="n"/>
      <c r="E431" s="85" t="n"/>
      <c r="F431" s="86" t="n"/>
      <c r="G431" s="86" t="n"/>
      <c r="H431" s="85" t="n"/>
      <c r="I431" s="85" t="n"/>
      <c r="J431" s="85" t="n"/>
      <c r="K431" s="85" t="n"/>
      <c r="L431" s="85" t="n"/>
      <c r="M431" s="85" t="n"/>
      <c r="N431" s="85" t="n"/>
      <c r="O431" s="85" t="n"/>
      <c r="P431" s="85" t="n"/>
      <c r="Q431" s="85" t="n"/>
      <c r="R431" s="85" t="n"/>
      <c r="S431" s="85">
        <f>IF($G431="","",TODAY()-$G431)</f>
        <v/>
      </c>
      <c r="T431" s="85">
        <f>IF($A431="","",IF(AND($E431="Yes",OR($O431="No",$O431="NOT FOUND")),"YES",""))</f>
        <v/>
      </c>
      <c r="U431" s="85">
        <f>IF($A431="","",TRIM(IF(AND($M431=0,$I431&lt;&gt;"Yes"),"T0-NoPhishResistant ","")&amp;IF($H431="No","NoMFA ","")&amp;IF(AND($E431="Yes",$G431=""),"NeverSignedIn ","")))</f>
        <v/>
      </c>
    </row>
    <row r="432" ht="15" customHeight="1" s="39">
      <c r="A432" s="85" t="n"/>
      <c r="B432" s="85" t="n"/>
      <c r="C432" s="85" t="n"/>
      <c r="D432" s="85" t="n"/>
      <c r="E432" s="85" t="n"/>
      <c r="F432" s="86" t="n"/>
      <c r="G432" s="86" t="n"/>
      <c r="H432" s="85" t="n"/>
      <c r="I432" s="85" t="n"/>
      <c r="J432" s="85" t="n"/>
      <c r="K432" s="85" t="n"/>
      <c r="L432" s="85" t="n"/>
      <c r="M432" s="85" t="n"/>
      <c r="N432" s="85" t="n"/>
      <c r="O432" s="85" t="n"/>
      <c r="P432" s="85" t="n"/>
      <c r="Q432" s="85" t="n"/>
      <c r="R432" s="85" t="n"/>
      <c r="S432" s="85">
        <f>IF($G432="","",TODAY()-$G432)</f>
        <v/>
      </c>
      <c r="T432" s="85">
        <f>IF($A432="","",IF(AND($E432="Yes",OR($O432="No",$O432="NOT FOUND")),"YES",""))</f>
        <v/>
      </c>
      <c r="U432" s="85">
        <f>IF($A432="","",TRIM(IF(AND($M432=0,$I432&lt;&gt;"Yes"),"T0-NoPhishResistant ","")&amp;IF($H432="No","NoMFA ","")&amp;IF(AND($E432="Yes",$G432=""),"NeverSignedIn ","")))</f>
        <v/>
      </c>
    </row>
    <row r="433" ht="15" customHeight="1" s="39">
      <c r="A433" s="85" t="n"/>
      <c r="B433" s="85" t="n"/>
      <c r="C433" s="85" t="n"/>
      <c r="D433" s="85" t="n"/>
      <c r="E433" s="85" t="n"/>
      <c r="F433" s="86" t="n"/>
      <c r="G433" s="86" t="n"/>
      <c r="H433" s="85" t="n"/>
      <c r="I433" s="85" t="n"/>
      <c r="J433" s="85" t="n"/>
      <c r="K433" s="85" t="n"/>
      <c r="L433" s="85" t="n"/>
      <c r="M433" s="85" t="n"/>
      <c r="N433" s="85" t="n"/>
      <c r="O433" s="85" t="n"/>
      <c r="P433" s="85" t="n"/>
      <c r="Q433" s="85" t="n"/>
      <c r="R433" s="85" t="n"/>
      <c r="S433" s="85">
        <f>IF($G433="","",TODAY()-$G433)</f>
        <v/>
      </c>
      <c r="T433" s="85">
        <f>IF($A433="","",IF(AND($E433="Yes",OR($O433="No",$O433="NOT FOUND")),"YES",""))</f>
        <v/>
      </c>
      <c r="U433" s="85">
        <f>IF($A433="","",TRIM(IF(AND($M433=0,$I433&lt;&gt;"Yes"),"T0-NoPhishResistant ","")&amp;IF($H433="No","NoMFA ","")&amp;IF(AND($E433="Yes",$G433=""),"NeverSignedIn ","")))</f>
        <v/>
      </c>
    </row>
    <row r="434" ht="15" customHeight="1" s="39">
      <c r="A434" s="85" t="n"/>
      <c r="B434" s="85" t="n"/>
      <c r="C434" s="85" t="n"/>
      <c r="D434" s="85" t="n"/>
      <c r="E434" s="85" t="n"/>
      <c r="F434" s="86" t="n"/>
      <c r="G434" s="86" t="n"/>
      <c r="H434" s="85" t="n"/>
      <c r="I434" s="85" t="n"/>
      <c r="J434" s="85" t="n"/>
      <c r="K434" s="85" t="n"/>
      <c r="L434" s="85" t="n"/>
      <c r="M434" s="85" t="n"/>
      <c r="N434" s="85" t="n"/>
      <c r="O434" s="85" t="n"/>
      <c r="P434" s="85" t="n"/>
      <c r="Q434" s="85" t="n"/>
      <c r="R434" s="85" t="n"/>
      <c r="S434" s="85">
        <f>IF($G434="","",TODAY()-$G434)</f>
        <v/>
      </c>
      <c r="T434" s="85">
        <f>IF($A434="","",IF(AND($E434="Yes",OR($O434="No",$O434="NOT FOUND")),"YES",""))</f>
        <v/>
      </c>
      <c r="U434" s="85">
        <f>IF($A434="","",TRIM(IF(AND($M434=0,$I434&lt;&gt;"Yes"),"T0-NoPhishResistant ","")&amp;IF($H434="No","NoMFA ","")&amp;IF(AND($E434="Yes",$G434=""),"NeverSignedIn ","")))</f>
        <v/>
      </c>
    </row>
    <row r="435" ht="15" customHeight="1" s="39">
      <c r="A435" s="85" t="n"/>
      <c r="B435" s="85" t="n"/>
      <c r="C435" s="85" t="n"/>
      <c r="D435" s="85" t="n"/>
      <c r="E435" s="85" t="n"/>
      <c r="F435" s="86" t="n"/>
      <c r="G435" s="86" t="n"/>
      <c r="H435" s="85" t="n"/>
      <c r="I435" s="85" t="n"/>
      <c r="J435" s="85" t="n"/>
      <c r="K435" s="85" t="n"/>
      <c r="L435" s="85" t="n"/>
      <c r="M435" s="85" t="n"/>
      <c r="N435" s="85" t="n"/>
      <c r="O435" s="85" t="n"/>
      <c r="P435" s="85" t="n"/>
      <c r="Q435" s="85" t="n"/>
      <c r="R435" s="85" t="n"/>
      <c r="S435" s="85">
        <f>IF($G435="","",TODAY()-$G435)</f>
        <v/>
      </c>
      <c r="T435" s="85">
        <f>IF($A435="","",IF(AND($E435="Yes",OR($O435="No",$O435="NOT FOUND")),"YES",""))</f>
        <v/>
      </c>
      <c r="U435" s="85">
        <f>IF($A435="","",TRIM(IF(AND($M435=0,$I435&lt;&gt;"Yes"),"T0-NoPhishResistant ","")&amp;IF($H435="No","NoMFA ","")&amp;IF(AND($E435="Yes",$G435=""),"NeverSignedIn ","")))</f>
        <v/>
      </c>
    </row>
    <row r="436" ht="15" customHeight="1" s="39">
      <c r="A436" s="85" t="n"/>
      <c r="B436" s="85" t="n"/>
      <c r="C436" s="85" t="n"/>
      <c r="D436" s="85" t="n"/>
      <c r="E436" s="85" t="n"/>
      <c r="F436" s="86" t="n"/>
      <c r="G436" s="86" t="n"/>
      <c r="H436" s="85" t="n"/>
      <c r="I436" s="85" t="n"/>
      <c r="J436" s="85" t="n"/>
      <c r="K436" s="85" t="n"/>
      <c r="L436" s="85" t="n"/>
      <c r="M436" s="85" t="n"/>
      <c r="N436" s="85" t="n"/>
      <c r="O436" s="85" t="n"/>
      <c r="P436" s="85" t="n"/>
      <c r="Q436" s="85" t="n"/>
      <c r="R436" s="85" t="n"/>
      <c r="S436" s="85">
        <f>IF($G436="","",TODAY()-$G436)</f>
        <v/>
      </c>
      <c r="T436" s="85">
        <f>IF($A436="","",IF(AND($E436="Yes",OR($O436="No",$O436="NOT FOUND")),"YES",""))</f>
        <v/>
      </c>
      <c r="U436" s="85">
        <f>IF($A436="","",TRIM(IF(AND($M436=0,$I436&lt;&gt;"Yes"),"T0-NoPhishResistant ","")&amp;IF($H436="No","NoMFA ","")&amp;IF(AND($E436="Yes",$G436=""),"NeverSignedIn ","")))</f>
        <v/>
      </c>
    </row>
    <row r="437" ht="15" customHeight="1" s="39">
      <c r="A437" s="85" t="n"/>
      <c r="B437" s="85" t="n"/>
      <c r="C437" s="85" t="n"/>
      <c r="D437" s="85" t="n"/>
      <c r="E437" s="85" t="n"/>
      <c r="F437" s="86" t="n"/>
      <c r="G437" s="86" t="n"/>
      <c r="H437" s="85" t="n"/>
      <c r="I437" s="85" t="n"/>
      <c r="J437" s="85" t="n"/>
      <c r="K437" s="85" t="n"/>
      <c r="L437" s="85" t="n"/>
      <c r="M437" s="85" t="n"/>
      <c r="N437" s="85" t="n"/>
      <c r="O437" s="85" t="n"/>
      <c r="P437" s="85" t="n"/>
      <c r="Q437" s="85" t="n"/>
      <c r="R437" s="85" t="n"/>
      <c r="S437" s="85">
        <f>IF($G437="","",TODAY()-$G437)</f>
        <v/>
      </c>
      <c r="T437" s="85">
        <f>IF($A437="","",IF(AND($E437="Yes",OR($O437="No",$O437="NOT FOUND")),"YES",""))</f>
        <v/>
      </c>
      <c r="U437" s="85">
        <f>IF($A437="","",TRIM(IF(AND($M437=0,$I437&lt;&gt;"Yes"),"T0-NoPhishResistant ","")&amp;IF($H437="No","NoMFA ","")&amp;IF(AND($E437="Yes",$G437=""),"NeverSignedIn ","")))</f>
        <v/>
      </c>
    </row>
    <row r="438" ht="15" customHeight="1" s="39">
      <c r="A438" s="85" t="n"/>
      <c r="B438" s="85" t="n"/>
      <c r="C438" s="85" t="n"/>
      <c r="D438" s="85" t="n"/>
      <c r="E438" s="85" t="n"/>
      <c r="F438" s="86" t="n"/>
      <c r="G438" s="86" t="n"/>
      <c r="H438" s="85" t="n"/>
      <c r="I438" s="85" t="n"/>
      <c r="J438" s="85" t="n"/>
      <c r="K438" s="85" t="n"/>
      <c r="L438" s="85" t="n"/>
      <c r="M438" s="85" t="n"/>
      <c r="N438" s="85" t="n"/>
      <c r="O438" s="85" t="n"/>
      <c r="P438" s="85" t="n"/>
      <c r="Q438" s="85" t="n"/>
      <c r="R438" s="85" t="n"/>
      <c r="S438" s="85">
        <f>IF($G438="","",TODAY()-$G438)</f>
        <v/>
      </c>
      <c r="T438" s="85">
        <f>IF($A438="","",IF(AND($E438="Yes",OR($O438="No",$O438="NOT FOUND")),"YES",""))</f>
        <v/>
      </c>
      <c r="U438" s="85">
        <f>IF($A438="","",TRIM(IF(AND($M438=0,$I438&lt;&gt;"Yes"),"T0-NoPhishResistant ","")&amp;IF($H438="No","NoMFA ","")&amp;IF(AND($E438="Yes",$G438=""),"NeverSignedIn ","")))</f>
        <v/>
      </c>
    </row>
    <row r="439" ht="15" customHeight="1" s="39">
      <c r="A439" s="85" t="n"/>
      <c r="B439" s="85" t="n"/>
      <c r="C439" s="85" t="n"/>
      <c r="D439" s="85" t="n"/>
      <c r="E439" s="85" t="n"/>
      <c r="F439" s="86" t="n"/>
      <c r="G439" s="86" t="n"/>
      <c r="H439" s="85" t="n"/>
      <c r="I439" s="85" t="n"/>
      <c r="J439" s="85" t="n"/>
      <c r="K439" s="85" t="n"/>
      <c r="L439" s="85" t="n"/>
      <c r="M439" s="85" t="n"/>
      <c r="N439" s="85" t="n"/>
      <c r="O439" s="85" t="n"/>
      <c r="P439" s="85" t="n"/>
      <c r="Q439" s="85" t="n"/>
      <c r="R439" s="85" t="n"/>
      <c r="S439" s="85">
        <f>IF($G439="","",TODAY()-$G439)</f>
        <v/>
      </c>
      <c r="T439" s="85">
        <f>IF($A439="","",IF(AND($E439="Yes",OR($O439="No",$O439="NOT FOUND")),"YES",""))</f>
        <v/>
      </c>
      <c r="U439" s="85">
        <f>IF($A439="","",TRIM(IF(AND($M439=0,$I439&lt;&gt;"Yes"),"T0-NoPhishResistant ","")&amp;IF($H439="No","NoMFA ","")&amp;IF(AND($E439="Yes",$G439=""),"NeverSignedIn ","")))</f>
        <v/>
      </c>
    </row>
    <row r="440" ht="15" customHeight="1" s="39">
      <c r="A440" s="85" t="n"/>
      <c r="B440" s="85" t="n"/>
      <c r="C440" s="85" t="n"/>
      <c r="D440" s="85" t="n"/>
      <c r="E440" s="85" t="n"/>
      <c r="F440" s="86" t="n"/>
      <c r="G440" s="86" t="n"/>
      <c r="H440" s="85" t="n"/>
      <c r="I440" s="85" t="n"/>
      <c r="J440" s="85" t="n"/>
      <c r="K440" s="85" t="n"/>
      <c r="L440" s="85" t="n"/>
      <c r="M440" s="85" t="n"/>
      <c r="N440" s="85" t="n"/>
      <c r="O440" s="85" t="n"/>
      <c r="P440" s="85" t="n"/>
      <c r="Q440" s="85" t="n"/>
      <c r="R440" s="85" t="n"/>
      <c r="S440" s="85">
        <f>IF($G440="","",TODAY()-$G440)</f>
        <v/>
      </c>
      <c r="T440" s="85">
        <f>IF($A440="","",IF(AND($E440="Yes",OR($O440="No",$O440="NOT FOUND")),"YES",""))</f>
        <v/>
      </c>
      <c r="U440" s="85">
        <f>IF($A440="","",TRIM(IF(AND($M440=0,$I440&lt;&gt;"Yes"),"T0-NoPhishResistant ","")&amp;IF($H440="No","NoMFA ","")&amp;IF(AND($E440="Yes",$G440=""),"NeverSignedIn ","")))</f>
        <v/>
      </c>
    </row>
    <row r="441" ht="15" customHeight="1" s="39">
      <c r="A441" s="85" t="n"/>
      <c r="B441" s="85" t="n"/>
      <c r="C441" s="85" t="n"/>
      <c r="D441" s="85" t="n"/>
      <c r="E441" s="85" t="n"/>
      <c r="F441" s="86" t="n"/>
      <c r="G441" s="86" t="n"/>
      <c r="H441" s="85" t="n"/>
      <c r="I441" s="85" t="n"/>
      <c r="J441" s="85" t="n"/>
      <c r="K441" s="85" t="n"/>
      <c r="L441" s="85" t="n"/>
      <c r="M441" s="85" t="n"/>
      <c r="N441" s="85" t="n"/>
      <c r="O441" s="85" t="n"/>
      <c r="P441" s="85" t="n"/>
      <c r="Q441" s="85" t="n"/>
      <c r="R441" s="85" t="n"/>
      <c r="S441" s="85">
        <f>IF($G441="","",TODAY()-$G441)</f>
        <v/>
      </c>
      <c r="T441" s="85">
        <f>IF($A441="","",IF(AND($E441="Yes",OR($O441="No",$O441="NOT FOUND")),"YES",""))</f>
        <v/>
      </c>
      <c r="U441" s="85">
        <f>IF($A441="","",TRIM(IF(AND($M441=0,$I441&lt;&gt;"Yes"),"T0-NoPhishResistant ","")&amp;IF($H441="No","NoMFA ","")&amp;IF(AND($E441="Yes",$G441=""),"NeverSignedIn ","")))</f>
        <v/>
      </c>
    </row>
    <row r="442" ht="15" customHeight="1" s="39">
      <c r="A442" s="85" t="n"/>
      <c r="B442" s="85" t="n"/>
      <c r="C442" s="85" t="n"/>
      <c r="D442" s="85" t="n"/>
      <c r="E442" s="85" t="n"/>
      <c r="F442" s="86" t="n"/>
      <c r="G442" s="86" t="n"/>
      <c r="H442" s="85" t="n"/>
      <c r="I442" s="85" t="n"/>
      <c r="J442" s="85" t="n"/>
      <c r="K442" s="85" t="n"/>
      <c r="L442" s="85" t="n"/>
      <c r="M442" s="85" t="n"/>
      <c r="N442" s="85" t="n"/>
      <c r="O442" s="85" t="n"/>
      <c r="P442" s="85" t="n"/>
      <c r="Q442" s="85" t="n"/>
      <c r="R442" s="85" t="n"/>
      <c r="S442" s="85">
        <f>IF($G442="","",TODAY()-$G442)</f>
        <v/>
      </c>
      <c r="T442" s="85">
        <f>IF($A442="","",IF(AND($E442="Yes",OR($O442="No",$O442="NOT FOUND")),"YES",""))</f>
        <v/>
      </c>
      <c r="U442" s="85">
        <f>IF($A442="","",TRIM(IF(AND($M442=0,$I442&lt;&gt;"Yes"),"T0-NoPhishResistant ","")&amp;IF($H442="No","NoMFA ","")&amp;IF(AND($E442="Yes",$G442=""),"NeverSignedIn ","")))</f>
        <v/>
      </c>
    </row>
    <row r="443" ht="15" customHeight="1" s="39">
      <c r="A443" s="85" t="n"/>
      <c r="B443" s="85" t="n"/>
      <c r="C443" s="85" t="n"/>
      <c r="D443" s="85" t="n"/>
      <c r="E443" s="85" t="n"/>
      <c r="F443" s="86" t="n"/>
      <c r="G443" s="86" t="n"/>
      <c r="H443" s="85" t="n"/>
      <c r="I443" s="85" t="n"/>
      <c r="J443" s="85" t="n"/>
      <c r="K443" s="85" t="n"/>
      <c r="L443" s="85" t="n"/>
      <c r="M443" s="85" t="n"/>
      <c r="N443" s="85" t="n"/>
      <c r="O443" s="85" t="n"/>
      <c r="P443" s="85" t="n"/>
      <c r="Q443" s="85" t="n"/>
      <c r="R443" s="85" t="n"/>
      <c r="S443" s="85">
        <f>IF($G443="","",TODAY()-$G443)</f>
        <v/>
      </c>
      <c r="T443" s="85">
        <f>IF($A443="","",IF(AND($E443="Yes",OR($O443="No",$O443="NOT FOUND")),"YES",""))</f>
        <v/>
      </c>
      <c r="U443" s="85">
        <f>IF($A443="","",TRIM(IF(AND($M443=0,$I443&lt;&gt;"Yes"),"T0-NoPhishResistant ","")&amp;IF($H443="No","NoMFA ","")&amp;IF(AND($E443="Yes",$G443=""),"NeverSignedIn ","")))</f>
        <v/>
      </c>
    </row>
    <row r="444" ht="15" customHeight="1" s="39">
      <c r="A444" s="85" t="n"/>
      <c r="B444" s="85" t="n"/>
      <c r="C444" s="85" t="n"/>
      <c r="D444" s="85" t="n"/>
      <c r="E444" s="85" t="n"/>
      <c r="F444" s="86" t="n"/>
      <c r="G444" s="86" t="n"/>
      <c r="H444" s="85" t="n"/>
      <c r="I444" s="85" t="n"/>
      <c r="J444" s="85" t="n"/>
      <c r="K444" s="85" t="n"/>
      <c r="L444" s="85" t="n"/>
      <c r="M444" s="85" t="n"/>
      <c r="N444" s="85" t="n"/>
      <c r="O444" s="85" t="n"/>
      <c r="P444" s="85" t="n"/>
      <c r="Q444" s="85" t="n"/>
      <c r="R444" s="85" t="n"/>
      <c r="S444" s="85">
        <f>IF($G444="","",TODAY()-$G444)</f>
        <v/>
      </c>
      <c r="T444" s="85">
        <f>IF($A444="","",IF(AND($E444="Yes",OR($O444="No",$O444="NOT FOUND")),"YES",""))</f>
        <v/>
      </c>
      <c r="U444" s="85">
        <f>IF($A444="","",TRIM(IF(AND($M444=0,$I444&lt;&gt;"Yes"),"T0-NoPhishResistant ","")&amp;IF($H444="No","NoMFA ","")&amp;IF(AND($E444="Yes",$G444=""),"NeverSignedIn ","")))</f>
        <v/>
      </c>
    </row>
    <row r="445" ht="15" customHeight="1" s="39">
      <c r="A445" s="85" t="n"/>
      <c r="B445" s="85" t="n"/>
      <c r="C445" s="85" t="n"/>
      <c r="D445" s="85" t="n"/>
      <c r="E445" s="85" t="n"/>
      <c r="F445" s="86" t="n"/>
      <c r="G445" s="86" t="n"/>
      <c r="H445" s="85" t="n"/>
      <c r="I445" s="85" t="n"/>
      <c r="J445" s="85" t="n"/>
      <c r="K445" s="85" t="n"/>
      <c r="L445" s="85" t="n"/>
      <c r="M445" s="85" t="n"/>
      <c r="N445" s="85" t="n"/>
      <c r="O445" s="85" t="n"/>
      <c r="P445" s="85" t="n"/>
      <c r="Q445" s="85" t="n"/>
      <c r="R445" s="85" t="n"/>
      <c r="S445" s="85">
        <f>IF($G445="","",TODAY()-$G445)</f>
        <v/>
      </c>
      <c r="T445" s="85">
        <f>IF($A445="","",IF(AND($E445="Yes",OR($O445="No",$O445="NOT FOUND")),"YES",""))</f>
        <v/>
      </c>
      <c r="U445" s="85">
        <f>IF($A445="","",TRIM(IF(AND($M445=0,$I445&lt;&gt;"Yes"),"T0-NoPhishResistant ","")&amp;IF($H445="No","NoMFA ","")&amp;IF(AND($E445="Yes",$G445=""),"NeverSignedIn ","")))</f>
        <v/>
      </c>
    </row>
    <row r="446" ht="15" customHeight="1" s="39">
      <c r="A446" s="85" t="n"/>
      <c r="B446" s="85" t="n"/>
      <c r="C446" s="85" t="n"/>
      <c r="D446" s="85" t="n"/>
      <c r="E446" s="85" t="n"/>
      <c r="F446" s="86" t="n"/>
      <c r="G446" s="86" t="n"/>
      <c r="H446" s="85" t="n"/>
      <c r="I446" s="85" t="n"/>
      <c r="J446" s="85" t="n"/>
      <c r="K446" s="85" t="n"/>
      <c r="L446" s="85" t="n"/>
      <c r="M446" s="85" t="n"/>
      <c r="N446" s="85" t="n"/>
      <c r="O446" s="85" t="n"/>
      <c r="P446" s="85" t="n"/>
      <c r="Q446" s="85" t="n"/>
      <c r="R446" s="85" t="n"/>
      <c r="S446" s="85">
        <f>IF($G446="","",TODAY()-$G446)</f>
        <v/>
      </c>
      <c r="T446" s="85">
        <f>IF($A446="","",IF(AND($E446="Yes",OR($O446="No",$O446="NOT FOUND")),"YES",""))</f>
        <v/>
      </c>
      <c r="U446" s="85">
        <f>IF($A446="","",TRIM(IF(AND($M446=0,$I446&lt;&gt;"Yes"),"T0-NoPhishResistant ","")&amp;IF($H446="No","NoMFA ","")&amp;IF(AND($E446="Yes",$G446=""),"NeverSignedIn ","")))</f>
        <v/>
      </c>
    </row>
    <row r="447" ht="15" customHeight="1" s="39">
      <c r="A447" s="85" t="n"/>
      <c r="B447" s="85" t="n"/>
      <c r="C447" s="85" t="n"/>
      <c r="D447" s="85" t="n"/>
      <c r="E447" s="85" t="n"/>
      <c r="F447" s="86" t="n"/>
      <c r="G447" s="86" t="n"/>
      <c r="H447" s="85" t="n"/>
      <c r="I447" s="85" t="n"/>
      <c r="J447" s="85" t="n"/>
      <c r="K447" s="85" t="n"/>
      <c r="L447" s="85" t="n"/>
      <c r="M447" s="85" t="n"/>
      <c r="N447" s="85" t="n"/>
      <c r="O447" s="85" t="n"/>
      <c r="P447" s="85" t="n"/>
      <c r="Q447" s="85" t="n"/>
      <c r="R447" s="85" t="n"/>
      <c r="S447" s="85">
        <f>IF($G447="","",TODAY()-$G447)</f>
        <v/>
      </c>
      <c r="T447" s="85">
        <f>IF($A447="","",IF(AND($E447="Yes",OR($O447="No",$O447="NOT FOUND")),"YES",""))</f>
        <v/>
      </c>
      <c r="U447" s="85">
        <f>IF($A447="","",TRIM(IF(AND($M447=0,$I447&lt;&gt;"Yes"),"T0-NoPhishResistant ","")&amp;IF($H447="No","NoMFA ","")&amp;IF(AND($E447="Yes",$G447=""),"NeverSignedIn ","")))</f>
        <v/>
      </c>
    </row>
    <row r="448" ht="15" customHeight="1" s="39">
      <c r="A448" s="85" t="n"/>
      <c r="B448" s="85" t="n"/>
      <c r="C448" s="85" t="n"/>
      <c r="D448" s="85" t="n"/>
      <c r="E448" s="85" t="n"/>
      <c r="F448" s="86" t="n"/>
      <c r="G448" s="86" t="n"/>
      <c r="H448" s="85" t="n"/>
      <c r="I448" s="85" t="n"/>
      <c r="J448" s="85" t="n"/>
      <c r="K448" s="85" t="n"/>
      <c r="L448" s="85" t="n"/>
      <c r="M448" s="85" t="n"/>
      <c r="N448" s="85" t="n"/>
      <c r="O448" s="85" t="n"/>
      <c r="P448" s="85" t="n"/>
      <c r="Q448" s="85" t="n"/>
      <c r="R448" s="85" t="n"/>
      <c r="S448" s="85">
        <f>IF($G448="","",TODAY()-$G448)</f>
        <v/>
      </c>
      <c r="T448" s="85">
        <f>IF($A448="","",IF(AND($E448="Yes",OR($O448="No",$O448="NOT FOUND")),"YES",""))</f>
        <v/>
      </c>
      <c r="U448" s="85">
        <f>IF($A448="","",TRIM(IF(AND($M448=0,$I448&lt;&gt;"Yes"),"T0-NoPhishResistant ","")&amp;IF($H448="No","NoMFA ","")&amp;IF(AND($E448="Yes",$G448=""),"NeverSignedIn ","")))</f>
        <v/>
      </c>
    </row>
    <row r="449" ht="15" customHeight="1" s="39">
      <c r="A449" s="85" t="n"/>
      <c r="B449" s="85" t="n"/>
      <c r="C449" s="85" t="n"/>
      <c r="D449" s="85" t="n"/>
      <c r="E449" s="85" t="n"/>
      <c r="F449" s="86" t="n"/>
      <c r="G449" s="86" t="n"/>
      <c r="H449" s="85" t="n"/>
      <c r="I449" s="85" t="n"/>
      <c r="J449" s="85" t="n"/>
      <c r="K449" s="85" t="n"/>
      <c r="L449" s="85" t="n"/>
      <c r="M449" s="85" t="n"/>
      <c r="N449" s="85" t="n"/>
      <c r="O449" s="85" t="n"/>
      <c r="P449" s="85" t="n"/>
      <c r="Q449" s="85" t="n"/>
      <c r="R449" s="85" t="n"/>
      <c r="S449" s="85">
        <f>IF($G449="","",TODAY()-$G449)</f>
        <v/>
      </c>
      <c r="T449" s="85">
        <f>IF($A449="","",IF(AND($E449="Yes",OR($O449="No",$O449="NOT FOUND")),"YES",""))</f>
        <v/>
      </c>
      <c r="U449" s="85">
        <f>IF($A449="","",TRIM(IF(AND($M449=0,$I449&lt;&gt;"Yes"),"T0-NoPhishResistant ","")&amp;IF($H449="No","NoMFA ","")&amp;IF(AND($E449="Yes",$G449=""),"NeverSignedIn ","")))</f>
        <v/>
      </c>
    </row>
    <row r="450" ht="15" customHeight="1" s="39">
      <c r="A450" s="85" t="n"/>
      <c r="B450" s="85" t="n"/>
      <c r="C450" s="85" t="n"/>
      <c r="D450" s="85" t="n"/>
      <c r="E450" s="85" t="n"/>
      <c r="F450" s="86" t="n"/>
      <c r="G450" s="86" t="n"/>
      <c r="H450" s="85" t="n"/>
      <c r="I450" s="85" t="n"/>
      <c r="J450" s="85" t="n"/>
      <c r="K450" s="85" t="n"/>
      <c r="L450" s="85" t="n"/>
      <c r="M450" s="85" t="n"/>
      <c r="N450" s="85" t="n"/>
      <c r="O450" s="85" t="n"/>
      <c r="P450" s="85" t="n"/>
      <c r="Q450" s="85" t="n"/>
      <c r="R450" s="85" t="n"/>
      <c r="S450" s="85">
        <f>IF($G450="","",TODAY()-$G450)</f>
        <v/>
      </c>
      <c r="T450" s="85">
        <f>IF($A450="","",IF(AND($E450="Yes",OR($O450="No",$O450="NOT FOUND")),"YES",""))</f>
        <v/>
      </c>
      <c r="U450" s="85">
        <f>IF($A450="","",TRIM(IF(AND($M450=0,$I450&lt;&gt;"Yes"),"T0-NoPhishResistant ","")&amp;IF($H450="No","NoMFA ","")&amp;IF(AND($E450="Yes",$G450=""),"NeverSignedIn ","")))</f>
        <v/>
      </c>
    </row>
    <row r="451" ht="15" customHeight="1" s="39">
      <c r="A451" s="85" t="n"/>
      <c r="B451" s="85" t="n"/>
      <c r="C451" s="85" t="n"/>
      <c r="D451" s="85" t="n"/>
      <c r="E451" s="85" t="n"/>
      <c r="F451" s="86" t="n"/>
      <c r="G451" s="86" t="n"/>
      <c r="H451" s="85" t="n"/>
      <c r="I451" s="85" t="n"/>
      <c r="J451" s="85" t="n"/>
      <c r="K451" s="85" t="n"/>
      <c r="L451" s="85" t="n"/>
      <c r="M451" s="85" t="n"/>
      <c r="N451" s="85" t="n"/>
      <c r="O451" s="85" t="n"/>
      <c r="P451" s="85" t="n"/>
      <c r="Q451" s="85" t="n"/>
      <c r="R451" s="85" t="n"/>
      <c r="S451" s="85">
        <f>IF($G451="","",TODAY()-$G451)</f>
        <v/>
      </c>
      <c r="T451" s="85">
        <f>IF($A451="","",IF(AND($E451="Yes",OR($O451="No",$O451="NOT FOUND")),"YES",""))</f>
        <v/>
      </c>
      <c r="U451" s="85">
        <f>IF($A451="","",TRIM(IF(AND($M451=0,$I451&lt;&gt;"Yes"),"T0-NoPhishResistant ","")&amp;IF($H451="No","NoMFA ","")&amp;IF(AND($E451="Yes",$G451=""),"NeverSignedIn ","")))</f>
        <v/>
      </c>
    </row>
    <row r="452" ht="15" customHeight="1" s="39">
      <c r="A452" s="85" t="n"/>
      <c r="B452" s="85" t="n"/>
      <c r="C452" s="85" t="n"/>
      <c r="D452" s="85" t="n"/>
      <c r="E452" s="85" t="n"/>
      <c r="F452" s="86" t="n"/>
      <c r="G452" s="86" t="n"/>
      <c r="H452" s="85" t="n"/>
      <c r="I452" s="85" t="n"/>
      <c r="J452" s="85" t="n"/>
      <c r="K452" s="85" t="n"/>
      <c r="L452" s="85" t="n"/>
      <c r="M452" s="85" t="n"/>
      <c r="N452" s="85" t="n"/>
      <c r="O452" s="85" t="n"/>
      <c r="P452" s="85" t="n"/>
      <c r="Q452" s="85" t="n"/>
      <c r="R452" s="85" t="n"/>
      <c r="S452" s="85">
        <f>IF($G452="","",TODAY()-$G452)</f>
        <v/>
      </c>
      <c r="T452" s="85">
        <f>IF($A452="","",IF(AND($E452="Yes",OR($O452="No",$O452="NOT FOUND")),"YES",""))</f>
        <v/>
      </c>
      <c r="U452" s="85">
        <f>IF($A452="","",TRIM(IF(AND($M452=0,$I452&lt;&gt;"Yes"),"T0-NoPhishResistant ","")&amp;IF($H452="No","NoMFA ","")&amp;IF(AND($E452="Yes",$G452=""),"NeverSignedIn ","")))</f>
        <v/>
      </c>
    </row>
    <row r="453" ht="15" customHeight="1" s="39">
      <c r="A453" s="85" t="n"/>
      <c r="B453" s="85" t="n"/>
      <c r="C453" s="85" t="n"/>
      <c r="D453" s="85" t="n"/>
      <c r="E453" s="85" t="n"/>
      <c r="F453" s="86" t="n"/>
      <c r="G453" s="86" t="n"/>
      <c r="H453" s="85" t="n"/>
      <c r="I453" s="85" t="n"/>
      <c r="J453" s="85" t="n"/>
      <c r="K453" s="85" t="n"/>
      <c r="L453" s="85" t="n"/>
      <c r="M453" s="85" t="n"/>
      <c r="N453" s="85" t="n"/>
      <c r="O453" s="85" t="n"/>
      <c r="P453" s="85" t="n"/>
      <c r="Q453" s="85" t="n"/>
      <c r="R453" s="85" t="n"/>
      <c r="S453" s="85">
        <f>IF($G453="","",TODAY()-$G453)</f>
        <v/>
      </c>
      <c r="T453" s="85">
        <f>IF($A453="","",IF(AND($E453="Yes",OR($O453="No",$O453="NOT FOUND")),"YES",""))</f>
        <v/>
      </c>
      <c r="U453" s="85">
        <f>IF($A453="","",TRIM(IF(AND($M453=0,$I453&lt;&gt;"Yes"),"T0-NoPhishResistant ","")&amp;IF($H453="No","NoMFA ","")&amp;IF(AND($E453="Yes",$G453=""),"NeverSignedIn ","")))</f>
        <v/>
      </c>
    </row>
    <row r="454" ht="15" customHeight="1" s="39">
      <c r="A454" s="85" t="n"/>
      <c r="B454" s="85" t="n"/>
      <c r="C454" s="85" t="n"/>
      <c r="D454" s="85" t="n"/>
      <c r="E454" s="85" t="n"/>
      <c r="F454" s="86" t="n"/>
      <c r="G454" s="86" t="n"/>
      <c r="H454" s="85" t="n"/>
      <c r="I454" s="85" t="n"/>
      <c r="J454" s="85" t="n"/>
      <c r="K454" s="85" t="n"/>
      <c r="L454" s="85" t="n"/>
      <c r="M454" s="85" t="n"/>
      <c r="N454" s="85" t="n"/>
      <c r="O454" s="85" t="n"/>
      <c r="P454" s="85" t="n"/>
      <c r="Q454" s="85" t="n"/>
      <c r="R454" s="85" t="n"/>
      <c r="S454" s="85">
        <f>IF($G454="","",TODAY()-$G454)</f>
        <v/>
      </c>
      <c r="T454" s="85">
        <f>IF($A454="","",IF(AND($E454="Yes",OR($O454="No",$O454="NOT FOUND")),"YES",""))</f>
        <v/>
      </c>
      <c r="U454" s="85">
        <f>IF($A454="","",TRIM(IF(AND($M454=0,$I454&lt;&gt;"Yes"),"T0-NoPhishResistant ","")&amp;IF($H454="No","NoMFA ","")&amp;IF(AND($E454="Yes",$G454=""),"NeverSignedIn ","")))</f>
        <v/>
      </c>
    </row>
    <row r="455" ht="15" customHeight="1" s="39">
      <c r="A455" s="85" t="n"/>
      <c r="B455" s="85" t="n"/>
      <c r="C455" s="85" t="n"/>
      <c r="D455" s="85" t="n"/>
      <c r="E455" s="85" t="n"/>
      <c r="F455" s="86" t="n"/>
      <c r="G455" s="86" t="n"/>
      <c r="H455" s="85" t="n"/>
      <c r="I455" s="85" t="n"/>
      <c r="J455" s="85" t="n"/>
      <c r="K455" s="85" t="n"/>
      <c r="L455" s="85" t="n"/>
      <c r="M455" s="85" t="n"/>
      <c r="N455" s="85" t="n"/>
      <c r="O455" s="85" t="n"/>
      <c r="P455" s="85" t="n"/>
      <c r="Q455" s="85" t="n"/>
      <c r="R455" s="85" t="n"/>
      <c r="S455" s="85">
        <f>IF($G455="","",TODAY()-$G455)</f>
        <v/>
      </c>
      <c r="T455" s="85">
        <f>IF($A455="","",IF(AND($E455="Yes",OR($O455="No",$O455="NOT FOUND")),"YES",""))</f>
        <v/>
      </c>
      <c r="U455" s="85">
        <f>IF($A455="","",TRIM(IF(AND($M455=0,$I455&lt;&gt;"Yes"),"T0-NoPhishResistant ","")&amp;IF($H455="No","NoMFA ","")&amp;IF(AND($E455="Yes",$G455=""),"NeverSignedIn ","")))</f>
        <v/>
      </c>
    </row>
    <row r="456" ht="15" customHeight="1" s="39">
      <c r="A456" s="85" t="n"/>
      <c r="B456" s="85" t="n"/>
      <c r="C456" s="85" t="n"/>
      <c r="D456" s="85" t="n"/>
      <c r="E456" s="85" t="n"/>
      <c r="F456" s="86" t="n"/>
      <c r="G456" s="86" t="n"/>
      <c r="H456" s="85" t="n"/>
      <c r="I456" s="85" t="n"/>
      <c r="J456" s="85" t="n"/>
      <c r="K456" s="85" t="n"/>
      <c r="L456" s="85" t="n"/>
      <c r="M456" s="85" t="n"/>
      <c r="N456" s="85" t="n"/>
      <c r="O456" s="85" t="n"/>
      <c r="P456" s="85" t="n"/>
      <c r="Q456" s="85" t="n"/>
      <c r="R456" s="85" t="n"/>
      <c r="S456" s="85">
        <f>IF($G456="","",TODAY()-$G456)</f>
        <v/>
      </c>
      <c r="T456" s="85">
        <f>IF($A456="","",IF(AND($E456="Yes",OR($O456="No",$O456="NOT FOUND")),"YES",""))</f>
        <v/>
      </c>
      <c r="U456" s="85">
        <f>IF($A456="","",TRIM(IF(AND($M456=0,$I456&lt;&gt;"Yes"),"T0-NoPhishResistant ","")&amp;IF($H456="No","NoMFA ","")&amp;IF(AND($E456="Yes",$G456=""),"NeverSignedIn ","")))</f>
        <v/>
      </c>
    </row>
    <row r="457" ht="15" customHeight="1" s="39">
      <c r="A457" s="85" t="n"/>
      <c r="B457" s="85" t="n"/>
      <c r="C457" s="85" t="n"/>
      <c r="D457" s="85" t="n"/>
      <c r="E457" s="85" t="n"/>
      <c r="F457" s="86" t="n"/>
      <c r="G457" s="86" t="n"/>
      <c r="H457" s="85" t="n"/>
      <c r="I457" s="85" t="n"/>
      <c r="J457" s="85" t="n"/>
      <c r="K457" s="85" t="n"/>
      <c r="L457" s="85" t="n"/>
      <c r="M457" s="85" t="n"/>
      <c r="N457" s="85" t="n"/>
      <c r="O457" s="85" t="n"/>
      <c r="P457" s="85" t="n"/>
      <c r="Q457" s="85" t="n"/>
      <c r="R457" s="85" t="n"/>
      <c r="S457" s="85">
        <f>IF($G457="","",TODAY()-$G457)</f>
        <v/>
      </c>
      <c r="T457" s="85">
        <f>IF($A457="","",IF(AND($E457="Yes",OR($O457="No",$O457="NOT FOUND")),"YES",""))</f>
        <v/>
      </c>
      <c r="U457" s="85">
        <f>IF($A457="","",TRIM(IF(AND($M457=0,$I457&lt;&gt;"Yes"),"T0-NoPhishResistant ","")&amp;IF($H457="No","NoMFA ","")&amp;IF(AND($E457="Yes",$G457=""),"NeverSignedIn ","")))</f>
        <v/>
      </c>
    </row>
    <row r="458" ht="15" customHeight="1" s="39">
      <c r="A458" s="85" t="n"/>
      <c r="B458" s="85" t="n"/>
      <c r="C458" s="85" t="n"/>
      <c r="D458" s="85" t="n"/>
      <c r="E458" s="85" t="n"/>
      <c r="F458" s="86" t="n"/>
      <c r="G458" s="86" t="n"/>
      <c r="H458" s="85" t="n"/>
      <c r="I458" s="85" t="n"/>
      <c r="J458" s="85" t="n"/>
      <c r="K458" s="85" t="n"/>
      <c r="L458" s="85" t="n"/>
      <c r="M458" s="85" t="n"/>
      <c r="N458" s="85" t="n"/>
      <c r="O458" s="85" t="n"/>
      <c r="P458" s="85" t="n"/>
      <c r="Q458" s="85" t="n"/>
      <c r="R458" s="85" t="n"/>
      <c r="S458" s="85">
        <f>IF($G458="","",TODAY()-$G458)</f>
        <v/>
      </c>
      <c r="T458" s="85">
        <f>IF($A458="","",IF(AND($E458="Yes",OR($O458="No",$O458="NOT FOUND")),"YES",""))</f>
        <v/>
      </c>
      <c r="U458" s="85">
        <f>IF($A458="","",TRIM(IF(AND($M458=0,$I458&lt;&gt;"Yes"),"T0-NoPhishResistant ","")&amp;IF($H458="No","NoMFA ","")&amp;IF(AND($E458="Yes",$G458=""),"NeverSignedIn ","")))</f>
        <v/>
      </c>
    </row>
    <row r="459" ht="15" customHeight="1" s="39">
      <c r="A459" s="85" t="n"/>
      <c r="B459" s="85" t="n"/>
      <c r="C459" s="85" t="n"/>
      <c r="D459" s="85" t="n"/>
      <c r="E459" s="85" t="n"/>
      <c r="F459" s="86" t="n"/>
      <c r="G459" s="86" t="n"/>
      <c r="H459" s="85" t="n"/>
      <c r="I459" s="85" t="n"/>
      <c r="J459" s="85" t="n"/>
      <c r="K459" s="85" t="n"/>
      <c r="L459" s="85" t="n"/>
      <c r="M459" s="85" t="n"/>
      <c r="N459" s="85" t="n"/>
      <c r="O459" s="85" t="n"/>
      <c r="P459" s="85" t="n"/>
      <c r="Q459" s="85" t="n"/>
      <c r="R459" s="85" t="n"/>
      <c r="S459" s="85">
        <f>IF($G459="","",TODAY()-$G459)</f>
        <v/>
      </c>
      <c r="T459" s="85">
        <f>IF($A459="","",IF(AND($E459="Yes",OR($O459="No",$O459="NOT FOUND")),"YES",""))</f>
        <v/>
      </c>
      <c r="U459" s="85">
        <f>IF($A459="","",TRIM(IF(AND($M459=0,$I459&lt;&gt;"Yes"),"T0-NoPhishResistant ","")&amp;IF($H459="No","NoMFA ","")&amp;IF(AND($E459="Yes",$G459=""),"NeverSignedIn ","")))</f>
        <v/>
      </c>
    </row>
    <row r="460" ht="15" customHeight="1" s="39">
      <c r="A460" s="85" t="n"/>
      <c r="B460" s="85" t="n"/>
      <c r="C460" s="85" t="n"/>
      <c r="D460" s="85" t="n"/>
      <c r="E460" s="85" t="n"/>
      <c r="F460" s="86" t="n"/>
      <c r="G460" s="86" t="n"/>
      <c r="H460" s="85" t="n"/>
      <c r="I460" s="85" t="n"/>
      <c r="J460" s="85" t="n"/>
      <c r="K460" s="85" t="n"/>
      <c r="L460" s="85" t="n"/>
      <c r="M460" s="85" t="n"/>
      <c r="N460" s="85" t="n"/>
      <c r="O460" s="85" t="n"/>
      <c r="P460" s="85" t="n"/>
      <c r="Q460" s="85" t="n"/>
      <c r="R460" s="85" t="n"/>
      <c r="S460" s="85">
        <f>IF($G460="","",TODAY()-$G460)</f>
        <v/>
      </c>
      <c r="T460" s="85">
        <f>IF($A460="","",IF(AND($E460="Yes",OR($O460="No",$O460="NOT FOUND")),"YES",""))</f>
        <v/>
      </c>
      <c r="U460" s="85">
        <f>IF($A460="","",TRIM(IF(AND($M460=0,$I460&lt;&gt;"Yes"),"T0-NoPhishResistant ","")&amp;IF($H460="No","NoMFA ","")&amp;IF(AND($E460="Yes",$G460=""),"NeverSignedIn ","")))</f>
        <v/>
      </c>
    </row>
    <row r="461" ht="15" customHeight="1" s="39">
      <c r="A461" s="85" t="n"/>
      <c r="B461" s="85" t="n"/>
      <c r="C461" s="85" t="n"/>
      <c r="D461" s="85" t="n"/>
      <c r="E461" s="85" t="n"/>
      <c r="F461" s="86" t="n"/>
      <c r="G461" s="86" t="n"/>
      <c r="H461" s="85" t="n"/>
      <c r="I461" s="85" t="n"/>
      <c r="J461" s="85" t="n"/>
      <c r="K461" s="85" t="n"/>
      <c r="L461" s="85" t="n"/>
      <c r="M461" s="85" t="n"/>
      <c r="N461" s="85" t="n"/>
      <c r="O461" s="85" t="n"/>
      <c r="P461" s="85" t="n"/>
      <c r="Q461" s="85" t="n"/>
      <c r="R461" s="85" t="n"/>
      <c r="S461" s="85">
        <f>IF($G461="","",TODAY()-$G461)</f>
        <v/>
      </c>
      <c r="T461" s="85">
        <f>IF($A461="","",IF(AND($E461="Yes",OR($O461="No",$O461="NOT FOUND")),"YES",""))</f>
        <v/>
      </c>
      <c r="U461" s="85">
        <f>IF($A461="","",TRIM(IF(AND($M461=0,$I461&lt;&gt;"Yes"),"T0-NoPhishResistant ","")&amp;IF($H461="No","NoMFA ","")&amp;IF(AND($E461="Yes",$G461=""),"NeverSignedIn ","")))</f>
        <v/>
      </c>
    </row>
    <row r="462" ht="15" customHeight="1" s="39">
      <c r="A462" s="85" t="n"/>
      <c r="B462" s="85" t="n"/>
      <c r="C462" s="85" t="n"/>
      <c r="D462" s="85" t="n"/>
      <c r="E462" s="85" t="n"/>
      <c r="F462" s="86" t="n"/>
      <c r="G462" s="86" t="n"/>
      <c r="H462" s="85" t="n"/>
      <c r="I462" s="85" t="n"/>
      <c r="J462" s="85" t="n"/>
      <c r="K462" s="85" t="n"/>
      <c r="L462" s="85" t="n"/>
      <c r="M462" s="85" t="n"/>
      <c r="N462" s="85" t="n"/>
      <c r="O462" s="85" t="n"/>
      <c r="P462" s="85" t="n"/>
      <c r="Q462" s="85" t="n"/>
      <c r="R462" s="85" t="n"/>
      <c r="S462" s="85">
        <f>IF($G462="","",TODAY()-$G462)</f>
        <v/>
      </c>
      <c r="T462" s="85">
        <f>IF($A462="","",IF(AND($E462="Yes",OR($O462="No",$O462="NOT FOUND")),"YES",""))</f>
        <v/>
      </c>
      <c r="U462" s="85">
        <f>IF($A462="","",TRIM(IF(AND($M462=0,$I462&lt;&gt;"Yes"),"T0-NoPhishResistant ","")&amp;IF($H462="No","NoMFA ","")&amp;IF(AND($E462="Yes",$G462=""),"NeverSignedIn ","")))</f>
        <v/>
      </c>
    </row>
    <row r="463" ht="15" customHeight="1" s="39">
      <c r="A463" s="85" t="n"/>
      <c r="B463" s="85" t="n"/>
      <c r="C463" s="85" t="n"/>
      <c r="D463" s="85" t="n"/>
      <c r="E463" s="85" t="n"/>
      <c r="F463" s="86" t="n"/>
      <c r="G463" s="86" t="n"/>
      <c r="H463" s="85" t="n"/>
      <c r="I463" s="85" t="n"/>
      <c r="J463" s="85" t="n"/>
      <c r="K463" s="85" t="n"/>
      <c r="L463" s="85" t="n"/>
      <c r="M463" s="85" t="n"/>
      <c r="N463" s="85" t="n"/>
      <c r="O463" s="85" t="n"/>
      <c r="P463" s="85" t="n"/>
      <c r="Q463" s="85" t="n"/>
      <c r="R463" s="85" t="n"/>
      <c r="S463" s="85">
        <f>IF($G463="","",TODAY()-$G463)</f>
        <v/>
      </c>
      <c r="T463" s="85">
        <f>IF($A463="","",IF(AND($E463="Yes",OR($O463="No",$O463="NOT FOUND")),"YES",""))</f>
        <v/>
      </c>
      <c r="U463" s="85">
        <f>IF($A463="","",TRIM(IF(AND($M463=0,$I463&lt;&gt;"Yes"),"T0-NoPhishResistant ","")&amp;IF($H463="No","NoMFA ","")&amp;IF(AND($E463="Yes",$G463=""),"NeverSignedIn ","")))</f>
        <v/>
      </c>
    </row>
    <row r="464" ht="15" customHeight="1" s="39">
      <c r="A464" s="85" t="n"/>
      <c r="B464" s="85" t="n"/>
      <c r="C464" s="85" t="n"/>
      <c r="D464" s="85" t="n"/>
      <c r="E464" s="85" t="n"/>
      <c r="F464" s="86" t="n"/>
      <c r="G464" s="86" t="n"/>
      <c r="H464" s="85" t="n"/>
      <c r="I464" s="85" t="n"/>
      <c r="J464" s="85" t="n"/>
      <c r="K464" s="85" t="n"/>
      <c r="L464" s="85" t="n"/>
      <c r="M464" s="85" t="n"/>
      <c r="N464" s="85" t="n"/>
      <c r="O464" s="85" t="n"/>
      <c r="P464" s="85" t="n"/>
      <c r="Q464" s="85" t="n"/>
      <c r="R464" s="85" t="n"/>
      <c r="S464" s="85">
        <f>IF($G464="","",TODAY()-$G464)</f>
        <v/>
      </c>
      <c r="T464" s="85">
        <f>IF($A464="","",IF(AND($E464="Yes",OR($O464="No",$O464="NOT FOUND")),"YES",""))</f>
        <v/>
      </c>
      <c r="U464" s="85">
        <f>IF($A464="","",TRIM(IF(AND($M464=0,$I464&lt;&gt;"Yes"),"T0-NoPhishResistant ","")&amp;IF($H464="No","NoMFA ","")&amp;IF(AND($E464="Yes",$G464=""),"NeverSignedIn ","")))</f>
        <v/>
      </c>
    </row>
    <row r="465" ht="15" customHeight="1" s="39">
      <c r="A465" s="85" t="n"/>
      <c r="B465" s="85" t="n"/>
      <c r="C465" s="85" t="n"/>
      <c r="D465" s="85" t="n"/>
      <c r="E465" s="85" t="n"/>
      <c r="F465" s="86" t="n"/>
      <c r="G465" s="86" t="n"/>
      <c r="H465" s="85" t="n"/>
      <c r="I465" s="85" t="n"/>
      <c r="J465" s="85" t="n"/>
      <c r="K465" s="85" t="n"/>
      <c r="L465" s="85" t="n"/>
      <c r="M465" s="85" t="n"/>
      <c r="N465" s="85" t="n"/>
      <c r="O465" s="85" t="n"/>
      <c r="P465" s="85" t="n"/>
      <c r="Q465" s="85" t="n"/>
      <c r="R465" s="85" t="n"/>
      <c r="S465" s="85">
        <f>IF($G465="","",TODAY()-$G465)</f>
        <v/>
      </c>
      <c r="T465" s="85">
        <f>IF($A465="","",IF(AND($E465="Yes",OR($O465="No",$O465="NOT FOUND")),"YES",""))</f>
        <v/>
      </c>
      <c r="U465" s="85">
        <f>IF($A465="","",TRIM(IF(AND($M465=0,$I465&lt;&gt;"Yes"),"T0-NoPhishResistant ","")&amp;IF($H465="No","NoMFA ","")&amp;IF(AND($E465="Yes",$G465=""),"NeverSignedIn ","")))</f>
        <v/>
      </c>
    </row>
    <row r="466" ht="15" customHeight="1" s="39">
      <c r="A466" s="85" t="n"/>
      <c r="B466" s="85" t="n"/>
      <c r="C466" s="85" t="n"/>
      <c r="D466" s="85" t="n"/>
      <c r="E466" s="85" t="n"/>
      <c r="F466" s="86" t="n"/>
      <c r="G466" s="86" t="n"/>
      <c r="H466" s="85" t="n"/>
      <c r="I466" s="85" t="n"/>
      <c r="J466" s="85" t="n"/>
      <c r="K466" s="85" t="n"/>
      <c r="L466" s="85" t="n"/>
      <c r="M466" s="85" t="n"/>
      <c r="N466" s="85" t="n"/>
      <c r="O466" s="85" t="n"/>
      <c r="P466" s="85" t="n"/>
      <c r="Q466" s="85" t="n"/>
      <c r="R466" s="85" t="n"/>
      <c r="S466" s="85">
        <f>IF($G466="","",TODAY()-$G466)</f>
        <v/>
      </c>
      <c r="T466" s="85">
        <f>IF($A466="","",IF(AND($E466="Yes",OR($O466="No",$O466="NOT FOUND")),"YES",""))</f>
        <v/>
      </c>
      <c r="U466" s="85">
        <f>IF($A466="","",TRIM(IF(AND($M466=0,$I466&lt;&gt;"Yes"),"T0-NoPhishResistant ","")&amp;IF($H466="No","NoMFA ","")&amp;IF(AND($E466="Yes",$G466=""),"NeverSignedIn ","")))</f>
        <v/>
      </c>
    </row>
    <row r="467" ht="15" customHeight="1" s="39">
      <c r="A467" s="85" t="n"/>
      <c r="B467" s="85" t="n"/>
      <c r="C467" s="85" t="n"/>
      <c r="D467" s="85" t="n"/>
      <c r="E467" s="85" t="n"/>
      <c r="F467" s="86" t="n"/>
      <c r="G467" s="86" t="n"/>
      <c r="H467" s="85" t="n"/>
      <c r="I467" s="85" t="n"/>
      <c r="J467" s="85" t="n"/>
      <c r="K467" s="85" t="n"/>
      <c r="L467" s="85" t="n"/>
      <c r="M467" s="85" t="n"/>
      <c r="N467" s="85" t="n"/>
      <c r="O467" s="85" t="n"/>
      <c r="P467" s="85" t="n"/>
      <c r="Q467" s="85" t="n"/>
      <c r="R467" s="85" t="n"/>
      <c r="S467" s="85">
        <f>IF($G467="","",TODAY()-$G467)</f>
        <v/>
      </c>
      <c r="T467" s="85">
        <f>IF($A467="","",IF(AND($E467="Yes",OR($O467="No",$O467="NOT FOUND")),"YES",""))</f>
        <v/>
      </c>
      <c r="U467" s="85">
        <f>IF($A467="","",TRIM(IF(AND($M467=0,$I467&lt;&gt;"Yes"),"T0-NoPhishResistant ","")&amp;IF($H467="No","NoMFA ","")&amp;IF(AND($E467="Yes",$G467=""),"NeverSignedIn ","")))</f>
        <v/>
      </c>
    </row>
    <row r="468" ht="15" customHeight="1" s="39">
      <c r="A468" s="85" t="n"/>
      <c r="B468" s="85" t="n"/>
      <c r="C468" s="85" t="n"/>
      <c r="D468" s="85" t="n"/>
      <c r="E468" s="85" t="n"/>
      <c r="F468" s="86" t="n"/>
      <c r="G468" s="86" t="n"/>
      <c r="H468" s="85" t="n"/>
      <c r="I468" s="85" t="n"/>
      <c r="J468" s="85" t="n"/>
      <c r="K468" s="85" t="n"/>
      <c r="L468" s="85" t="n"/>
      <c r="M468" s="85" t="n"/>
      <c r="N468" s="85" t="n"/>
      <c r="O468" s="85" t="n"/>
      <c r="P468" s="85" t="n"/>
      <c r="Q468" s="85" t="n"/>
      <c r="R468" s="85" t="n"/>
      <c r="S468" s="85">
        <f>IF($G468="","",TODAY()-$G468)</f>
        <v/>
      </c>
      <c r="T468" s="85">
        <f>IF($A468="","",IF(AND($E468="Yes",OR($O468="No",$O468="NOT FOUND")),"YES",""))</f>
        <v/>
      </c>
      <c r="U468" s="85">
        <f>IF($A468="","",TRIM(IF(AND($M468=0,$I468&lt;&gt;"Yes"),"T0-NoPhishResistant ","")&amp;IF($H468="No","NoMFA ","")&amp;IF(AND($E468="Yes",$G468=""),"NeverSignedIn ","")))</f>
        <v/>
      </c>
    </row>
    <row r="469" ht="15" customHeight="1" s="39">
      <c r="A469" s="85" t="n"/>
      <c r="B469" s="85" t="n"/>
      <c r="C469" s="85" t="n"/>
      <c r="D469" s="85" t="n"/>
      <c r="E469" s="85" t="n"/>
      <c r="F469" s="86" t="n"/>
      <c r="G469" s="86" t="n"/>
      <c r="H469" s="85" t="n"/>
      <c r="I469" s="85" t="n"/>
      <c r="J469" s="85" t="n"/>
      <c r="K469" s="85" t="n"/>
      <c r="L469" s="85" t="n"/>
      <c r="M469" s="85" t="n"/>
      <c r="N469" s="85" t="n"/>
      <c r="O469" s="85" t="n"/>
      <c r="P469" s="85" t="n"/>
      <c r="Q469" s="85" t="n"/>
      <c r="R469" s="85" t="n"/>
      <c r="S469" s="85">
        <f>IF($G469="","",TODAY()-$G469)</f>
        <v/>
      </c>
      <c r="T469" s="85">
        <f>IF($A469="","",IF(AND($E469="Yes",OR($O469="No",$O469="NOT FOUND")),"YES",""))</f>
        <v/>
      </c>
      <c r="U469" s="85">
        <f>IF($A469="","",TRIM(IF(AND($M469=0,$I469&lt;&gt;"Yes"),"T0-NoPhishResistant ","")&amp;IF($H469="No","NoMFA ","")&amp;IF(AND($E469="Yes",$G469=""),"NeverSignedIn ","")))</f>
        <v/>
      </c>
    </row>
    <row r="470" ht="15" customHeight="1" s="39">
      <c r="A470" s="85" t="n"/>
      <c r="B470" s="85" t="n"/>
      <c r="C470" s="85" t="n"/>
      <c r="D470" s="85" t="n"/>
      <c r="E470" s="85" t="n"/>
      <c r="F470" s="86" t="n"/>
      <c r="G470" s="86" t="n"/>
      <c r="H470" s="85" t="n"/>
      <c r="I470" s="85" t="n"/>
      <c r="J470" s="85" t="n"/>
      <c r="K470" s="85" t="n"/>
      <c r="L470" s="85" t="n"/>
      <c r="M470" s="85" t="n"/>
      <c r="N470" s="85" t="n"/>
      <c r="O470" s="85" t="n"/>
      <c r="P470" s="85" t="n"/>
      <c r="Q470" s="85" t="n"/>
      <c r="R470" s="85" t="n"/>
      <c r="S470" s="85">
        <f>IF($G470="","",TODAY()-$G470)</f>
        <v/>
      </c>
      <c r="T470" s="85">
        <f>IF($A470="","",IF(AND($E470="Yes",OR($O470="No",$O470="NOT FOUND")),"YES",""))</f>
        <v/>
      </c>
      <c r="U470" s="85">
        <f>IF($A470="","",TRIM(IF(AND($M470=0,$I470&lt;&gt;"Yes"),"T0-NoPhishResistant ","")&amp;IF($H470="No","NoMFA ","")&amp;IF(AND($E470="Yes",$G470=""),"NeverSignedIn ","")))</f>
        <v/>
      </c>
    </row>
    <row r="471" ht="15" customHeight="1" s="39">
      <c r="A471" s="85" t="n"/>
      <c r="B471" s="85" t="n"/>
      <c r="C471" s="85" t="n"/>
      <c r="D471" s="85" t="n"/>
      <c r="E471" s="85" t="n"/>
      <c r="F471" s="86" t="n"/>
      <c r="G471" s="86" t="n"/>
      <c r="H471" s="85" t="n"/>
      <c r="I471" s="85" t="n"/>
      <c r="J471" s="85" t="n"/>
      <c r="K471" s="85" t="n"/>
      <c r="L471" s="85" t="n"/>
      <c r="M471" s="85" t="n"/>
      <c r="N471" s="85" t="n"/>
      <c r="O471" s="85" t="n"/>
      <c r="P471" s="85" t="n"/>
      <c r="Q471" s="85" t="n"/>
      <c r="R471" s="85" t="n"/>
      <c r="S471" s="85">
        <f>IF($G471="","",TODAY()-$G471)</f>
        <v/>
      </c>
      <c r="T471" s="85">
        <f>IF($A471="","",IF(AND($E471="Yes",OR($O471="No",$O471="NOT FOUND")),"YES",""))</f>
        <v/>
      </c>
      <c r="U471" s="85">
        <f>IF($A471="","",TRIM(IF(AND($M471=0,$I471&lt;&gt;"Yes"),"T0-NoPhishResistant ","")&amp;IF($H471="No","NoMFA ","")&amp;IF(AND($E471="Yes",$G471=""),"NeverSignedIn ","")))</f>
        <v/>
      </c>
    </row>
    <row r="472" ht="15" customHeight="1" s="39">
      <c r="A472" s="85" t="n"/>
      <c r="B472" s="85" t="n"/>
      <c r="C472" s="85" t="n"/>
      <c r="D472" s="85" t="n"/>
      <c r="E472" s="85" t="n"/>
      <c r="F472" s="86" t="n"/>
      <c r="G472" s="86" t="n"/>
      <c r="H472" s="85" t="n"/>
      <c r="I472" s="85" t="n"/>
      <c r="J472" s="85" t="n"/>
      <c r="K472" s="85" t="n"/>
      <c r="L472" s="85" t="n"/>
      <c r="M472" s="85" t="n"/>
      <c r="N472" s="85" t="n"/>
      <c r="O472" s="85" t="n"/>
      <c r="P472" s="85" t="n"/>
      <c r="Q472" s="85" t="n"/>
      <c r="R472" s="85" t="n"/>
      <c r="S472" s="85">
        <f>IF($G472="","",TODAY()-$G472)</f>
        <v/>
      </c>
      <c r="T472" s="85">
        <f>IF($A472="","",IF(AND($E472="Yes",OR($O472="No",$O472="NOT FOUND")),"YES",""))</f>
        <v/>
      </c>
      <c r="U472" s="85">
        <f>IF($A472="","",TRIM(IF(AND($M472=0,$I472&lt;&gt;"Yes"),"T0-NoPhishResistant ","")&amp;IF($H472="No","NoMFA ","")&amp;IF(AND($E472="Yes",$G472=""),"NeverSignedIn ","")))</f>
        <v/>
      </c>
    </row>
    <row r="473" ht="15" customHeight="1" s="39">
      <c r="A473" s="85" t="n"/>
      <c r="B473" s="85" t="n"/>
      <c r="C473" s="85" t="n"/>
      <c r="D473" s="85" t="n"/>
      <c r="E473" s="85" t="n"/>
      <c r="F473" s="86" t="n"/>
      <c r="G473" s="86" t="n"/>
      <c r="H473" s="85" t="n"/>
      <c r="I473" s="85" t="n"/>
      <c r="J473" s="85" t="n"/>
      <c r="K473" s="85" t="n"/>
      <c r="L473" s="85" t="n"/>
      <c r="M473" s="85" t="n"/>
      <c r="N473" s="85" t="n"/>
      <c r="O473" s="85" t="n"/>
      <c r="P473" s="85" t="n"/>
      <c r="Q473" s="85" t="n"/>
      <c r="R473" s="85" t="n"/>
      <c r="S473" s="85">
        <f>IF($G473="","",TODAY()-$G473)</f>
        <v/>
      </c>
      <c r="T473" s="85">
        <f>IF($A473="","",IF(AND($E473="Yes",OR($O473="No",$O473="NOT FOUND")),"YES",""))</f>
        <v/>
      </c>
      <c r="U473" s="85">
        <f>IF($A473="","",TRIM(IF(AND($M473=0,$I473&lt;&gt;"Yes"),"T0-NoPhishResistant ","")&amp;IF($H473="No","NoMFA ","")&amp;IF(AND($E473="Yes",$G473=""),"NeverSignedIn ","")))</f>
        <v/>
      </c>
    </row>
    <row r="474" ht="15" customHeight="1" s="39">
      <c r="A474" s="85" t="n"/>
      <c r="B474" s="85" t="n"/>
      <c r="C474" s="85" t="n"/>
      <c r="D474" s="85" t="n"/>
      <c r="E474" s="85" t="n"/>
      <c r="F474" s="86" t="n"/>
      <c r="G474" s="86" t="n"/>
      <c r="H474" s="85" t="n"/>
      <c r="I474" s="85" t="n"/>
      <c r="J474" s="85" t="n"/>
      <c r="K474" s="85" t="n"/>
      <c r="L474" s="85" t="n"/>
      <c r="M474" s="85" t="n"/>
      <c r="N474" s="85" t="n"/>
      <c r="O474" s="85" t="n"/>
      <c r="P474" s="85" t="n"/>
      <c r="Q474" s="85" t="n"/>
      <c r="R474" s="85" t="n"/>
      <c r="S474" s="85">
        <f>IF($G474="","",TODAY()-$G474)</f>
        <v/>
      </c>
      <c r="T474" s="85">
        <f>IF($A474="","",IF(AND($E474="Yes",OR($O474="No",$O474="NOT FOUND")),"YES",""))</f>
        <v/>
      </c>
      <c r="U474" s="85">
        <f>IF($A474="","",TRIM(IF(AND($M474=0,$I474&lt;&gt;"Yes"),"T0-NoPhishResistant ","")&amp;IF($H474="No","NoMFA ","")&amp;IF(AND($E474="Yes",$G474=""),"NeverSignedIn ","")))</f>
        <v/>
      </c>
    </row>
    <row r="475" ht="15" customHeight="1" s="39">
      <c r="A475" s="85" t="n"/>
      <c r="B475" s="85" t="n"/>
      <c r="C475" s="85" t="n"/>
      <c r="D475" s="85" t="n"/>
      <c r="E475" s="85" t="n"/>
      <c r="F475" s="86" t="n"/>
      <c r="G475" s="86" t="n"/>
      <c r="H475" s="85" t="n"/>
      <c r="I475" s="85" t="n"/>
      <c r="J475" s="85" t="n"/>
      <c r="K475" s="85" t="n"/>
      <c r="L475" s="85" t="n"/>
      <c r="M475" s="85" t="n"/>
      <c r="N475" s="85" t="n"/>
      <c r="O475" s="85" t="n"/>
      <c r="P475" s="85" t="n"/>
      <c r="Q475" s="85" t="n"/>
      <c r="R475" s="85" t="n"/>
      <c r="S475" s="85">
        <f>IF($G475="","",TODAY()-$G475)</f>
        <v/>
      </c>
      <c r="T475" s="85">
        <f>IF($A475="","",IF(AND($E475="Yes",OR($O475="No",$O475="NOT FOUND")),"YES",""))</f>
        <v/>
      </c>
      <c r="U475" s="85">
        <f>IF($A475="","",TRIM(IF(AND($M475=0,$I475&lt;&gt;"Yes"),"T0-NoPhishResistant ","")&amp;IF($H475="No","NoMFA ","")&amp;IF(AND($E475="Yes",$G475=""),"NeverSignedIn ","")))</f>
        <v/>
      </c>
    </row>
    <row r="476" ht="15" customHeight="1" s="39">
      <c r="A476" s="85" t="n"/>
      <c r="B476" s="85" t="n"/>
      <c r="C476" s="85" t="n"/>
      <c r="D476" s="85" t="n"/>
      <c r="E476" s="85" t="n"/>
      <c r="F476" s="86" t="n"/>
      <c r="G476" s="86" t="n"/>
      <c r="H476" s="85" t="n"/>
      <c r="I476" s="85" t="n"/>
      <c r="J476" s="85" t="n"/>
      <c r="K476" s="85" t="n"/>
      <c r="L476" s="85" t="n"/>
      <c r="M476" s="85" t="n"/>
      <c r="N476" s="85" t="n"/>
      <c r="O476" s="85" t="n"/>
      <c r="P476" s="85" t="n"/>
      <c r="Q476" s="85" t="n"/>
      <c r="R476" s="85" t="n"/>
      <c r="S476" s="85">
        <f>IF($G476="","",TODAY()-$G476)</f>
        <v/>
      </c>
      <c r="T476" s="85">
        <f>IF($A476="","",IF(AND($E476="Yes",OR($O476="No",$O476="NOT FOUND")),"YES",""))</f>
        <v/>
      </c>
      <c r="U476" s="85">
        <f>IF($A476="","",TRIM(IF(AND($M476=0,$I476&lt;&gt;"Yes"),"T0-NoPhishResistant ","")&amp;IF($H476="No","NoMFA ","")&amp;IF(AND($E476="Yes",$G476=""),"NeverSignedIn ","")))</f>
        <v/>
      </c>
    </row>
    <row r="477" ht="15" customHeight="1" s="39">
      <c r="A477" s="85" t="n"/>
      <c r="B477" s="85" t="n"/>
      <c r="C477" s="85" t="n"/>
      <c r="D477" s="85" t="n"/>
      <c r="E477" s="85" t="n"/>
      <c r="F477" s="86" t="n"/>
      <c r="G477" s="86" t="n"/>
      <c r="H477" s="85" t="n"/>
      <c r="I477" s="85" t="n"/>
      <c r="J477" s="85" t="n"/>
      <c r="K477" s="85" t="n"/>
      <c r="L477" s="85" t="n"/>
      <c r="M477" s="85" t="n"/>
      <c r="N477" s="85" t="n"/>
      <c r="O477" s="85" t="n"/>
      <c r="P477" s="85" t="n"/>
      <c r="Q477" s="85" t="n"/>
      <c r="R477" s="85" t="n"/>
      <c r="S477" s="85">
        <f>IF($G477="","",TODAY()-$G477)</f>
        <v/>
      </c>
      <c r="T477" s="85">
        <f>IF($A477="","",IF(AND($E477="Yes",OR($O477="No",$O477="NOT FOUND")),"YES",""))</f>
        <v/>
      </c>
      <c r="U477" s="85">
        <f>IF($A477="","",TRIM(IF(AND($M477=0,$I477&lt;&gt;"Yes"),"T0-NoPhishResistant ","")&amp;IF($H477="No","NoMFA ","")&amp;IF(AND($E477="Yes",$G477=""),"NeverSignedIn ","")))</f>
        <v/>
      </c>
    </row>
    <row r="478" ht="15" customHeight="1" s="39">
      <c r="A478" s="85" t="n"/>
      <c r="B478" s="85" t="n"/>
      <c r="C478" s="85" t="n"/>
      <c r="D478" s="85" t="n"/>
      <c r="E478" s="85" t="n"/>
      <c r="F478" s="86" t="n"/>
      <c r="G478" s="86" t="n"/>
      <c r="H478" s="85" t="n"/>
      <c r="I478" s="85" t="n"/>
      <c r="J478" s="85" t="n"/>
      <c r="K478" s="85" t="n"/>
      <c r="L478" s="85" t="n"/>
      <c r="M478" s="85" t="n"/>
      <c r="N478" s="85" t="n"/>
      <c r="O478" s="85" t="n"/>
      <c r="P478" s="85" t="n"/>
      <c r="Q478" s="85" t="n"/>
      <c r="R478" s="85" t="n"/>
      <c r="S478" s="85">
        <f>IF($G478="","",TODAY()-$G478)</f>
        <v/>
      </c>
      <c r="T478" s="85">
        <f>IF($A478="","",IF(AND($E478="Yes",OR($O478="No",$O478="NOT FOUND")),"YES",""))</f>
        <v/>
      </c>
      <c r="U478" s="85">
        <f>IF($A478="","",TRIM(IF(AND($M478=0,$I478&lt;&gt;"Yes"),"T0-NoPhishResistant ","")&amp;IF($H478="No","NoMFA ","")&amp;IF(AND($E478="Yes",$G478=""),"NeverSignedIn ","")))</f>
        <v/>
      </c>
    </row>
    <row r="479" ht="15" customHeight="1" s="39">
      <c r="A479" s="85" t="n"/>
      <c r="B479" s="85" t="n"/>
      <c r="C479" s="85" t="n"/>
      <c r="D479" s="85" t="n"/>
      <c r="E479" s="85" t="n"/>
      <c r="F479" s="86" t="n"/>
      <c r="G479" s="86" t="n"/>
      <c r="H479" s="85" t="n"/>
      <c r="I479" s="85" t="n"/>
      <c r="J479" s="85" t="n"/>
      <c r="K479" s="85" t="n"/>
      <c r="L479" s="85" t="n"/>
      <c r="M479" s="85" t="n"/>
      <c r="N479" s="85" t="n"/>
      <c r="O479" s="85" t="n"/>
      <c r="P479" s="85" t="n"/>
      <c r="Q479" s="85" t="n"/>
      <c r="R479" s="85" t="n"/>
      <c r="S479" s="85">
        <f>IF($G479="","",TODAY()-$G479)</f>
        <v/>
      </c>
      <c r="T479" s="85">
        <f>IF($A479="","",IF(AND($E479="Yes",OR($O479="No",$O479="NOT FOUND")),"YES",""))</f>
        <v/>
      </c>
      <c r="U479" s="85">
        <f>IF($A479="","",TRIM(IF(AND($M479=0,$I479&lt;&gt;"Yes"),"T0-NoPhishResistant ","")&amp;IF($H479="No","NoMFA ","")&amp;IF(AND($E479="Yes",$G479=""),"NeverSignedIn ","")))</f>
        <v/>
      </c>
    </row>
    <row r="480" ht="15" customHeight="1" s="39">
      <c r="A480" s="85" t="n"/>
      <c r="B480" s="85" t="n"/>
      <c r="C480" s="85" t="n"/>
      <c r="D480" s="85" t="n"/>
      <c r="E480" s="85" t="n"/>
      <c r="F480" s="86" t="n"/>
      <c r="G480" s="86" t="n"/>
      <c r="H480" s="85" t="n"/>
      <c r="I480" s="85" t="n"/>
      <c r="J480" s="85" t="n"/>
      <c r="K480" s="85" t="n"/>
      <c r="L480" s="85" t="n"/>
      <c r="M480" s="85" t="n"/>
      <c r="N480" s="85" t="n"/>
      <c r="O480" s="85" t="n"/>
      <c r="P480" s="85" t="n"/>
      <c r="Q480" s="85" t="n"/>
      <c r="R480" s="85" t="n"/>
      <c r="S480" s="85">
        <f>IF($G480="","",TODAY()-$G480)</f>
        <v/>
      </c>
      <c r="T480" s="85">
        <f>IF($A480="","",IF(AND($E480="Yes",OR($O480="No",$O480="NOT FOUND")),"YES",""))</f>
        <v/>
      </c>
      <c r="U480" s="85">
        <f>IF($A480="","",TRIM(IF(AND($M480=0,$I480&lt;&gt;"Yes"),"T0-NoPhishResistant ","")&amp;IF($H480="No","NoMFA ","")&amp;IF(AND($E480="Yes",$G480=""),"NeverSignedIn ","")))</f>
        <v/>
      </c>
    </row>
    <row r="481" ht="15" customHeight="1" s="39">
      <c r="A481" s="85" t="n"/>
      <c r="B481" s="85" t="n"/>
      <c r="C481" s="85" t="n"/>
      <c r="D481" s="85" t="n"/>
      <c r="E481" s="85" t="n"/>
      <c r="F481" s="86" t="n"/>
      <c r="G481" s="86" t="n"/>
      <c r="H481" s="85" t="n"/>
      <c r="I481" s="85" t="n"/>
      <c r="J481" s="85" t="n"/>
      <c r="K481" s="85" t="n"/>
      <c r="L481" s="85" t="n"/>
      <c r="M481" s="85" t="n"/>
      <c r="N481" s="85" t="n"/>
      <c r="O481" s="85" t="n"/>
      <c r="P481" s="85" t="n"/>
      <c r="Q481" s="85" t="n"/>
      <c r="R481" s="85" t="n"/>
      <c r="S481" s="85">
        <f>IF($G481="","",TODAY()-$G481)</f>
        <v/>
      </c>
      <c r="T481" s="85">
        <f>IF($A481="","",IF(AND($E481="Yes",OR($O481="No",$O481="NOT FOUND")),"YES",""))</f>
        <v/>
      </c>
      <c r="U481" s="85">
        <f>IF($A481="","",TRIM(IF(AND($M481=0,$I481&lt;&gt;"Yes"),"T0-NoPhishResistant ","")&amp;IF($H481="No","NoMFA ","")&amp;IF(AND($E481="Yes",$G481=""),"NeverSignedIn ","")))</f>
        <v/>
      </c>
    </row>
    <row r="482" ht="15" customHeight="1" s="39">
      <c r="A482" s="85" t="n"/>
      <c r="B482" s="85" t="n"/>
      <c r="C482" s="85" t="n"/>
      <c r="D482" s="85" t="n"/>
      <c r="E482" s="85" t="n"/>
      <c r="F482" s="86" t="n"/>
      <c r="G482" s="86" t="n"/>
      <c r="H482" s="85" t="n"/>
      <c r="I482" s="85" t="n"/>
      <c r="J482" s="85" t="n"/>
      <c r="K482" s="85" t="n"/>
      <c r="L482" s="85" t="n"/>
      <c r="M482" s="85" t="n"/>
      <c r="N482" s="85" t="n"/>
      <c r="O482" s="85" t="n"/>
      <c r="P482" s="85" t="n"/>
      <c r="Q482" s="85" t="n"/>
      <c r="R482" s="85" t="n"/>
      <c r="S482" s="85">
        <f>IF($G482="","",TODAY()-$G482)</f>
        <v/>
      </c>
      <c r="T482" s="85">
        <f>IF($A482="","",IF(AND($E482="Yes",OR($O482="No",$O482="NOT FOUND")),"YES",""))</f>
        <v/>
      </c>
      <c r="U482" s="85">
        <f>IF($A482="","",TRIM(IF(AND($M482=0,$I482&lt;&gt;"Yes"),"T0-NoPhishResistant ","")&amp;IF($H482="No","NoMFA ","")&amp;IF(AND($E482="Yes",$G482=""),"NeverSignedIn ","")))</f>
        <v/>
      </c>
    </row>
    <row r="483" ht="15" customHeight="1" s="39">
      <c r="A483" s="85" t="n"/>
      <c r="B483" s="85" t="n"/>
      <c r="C483" s="85" t="n"/>
      <c r="D483" s="85" t="n"/>
      <c r="E483" s="85" t="n"/>
      <c r="F483" s="86" t="n"/>
      <c r="G483" s="86" t="n"/>
      <c r="H483" s="85" t="n"/>
      <c r="I483" s="85" t="n"/>
      <c r="J483" s="85" t="n"/>
      <c r="K483" s="85" t="n"/>
      <c r="L483" s="85" t="n"/>
      <c r="M483" s="85" t="n"/>
      <c r="N483" s="85" t="n"/>
      <c r="O483" s="85" t="n"/>
      <c r="P483" s="85" t="n"/>
      <c r="Q483" s="85" t="n"/>
      <c r="R483" s="85" t="n"/>
      <c r="S483" s="85">
        <f>IF($G483="","",TODAY()-$G483)</f>
        <v/>
      </c>
      <c r="T483" s="85">
        <f>IF($A483="","",IF(AND($E483="Yes",OR($O483="No",$O483="NOT FOUND")),"YES",""))</f>
        <v/>
      </c>
      <c r="U483" s="85">
        <f>IF($A483="","",TRIM(IF(AND($M483=0,$I483&lt;&gt;"Yes"),"T0-NoPhishResistant ","")&amp;IF($H483="No","NoMFA ","")&amp;IF(AND($E483="Yes",$G483=""),"NeverSignedIn ","")))</f>
        <v/>
      </c>
    </row>
    <row r="484" ht="15" customHeight="1" s="39">
      <c r="A484" s="85" t="n"/>
      <c r="B484" s="85" t="n"/>
      <c r="C484" s="85" t="n"/>
      <c r="D484" s="85" t="n"/>
      <c r="E484" s="85" t="n"/>
      <c r="F484" s="86" t="n"/>
      <c r="G484" s="86" t="n"/>
      <c r="H484" s="85" t="n"/>
      <c r="I484" s="85" t="n"/>
      <c r="J484" s="85" t="n"/>
      <c r="K484" s="85" t="n"/>
      <c r="L484" s="85" t="n"/>
      <c r="M484" s="85" t="n"/>
      <c r="N484" s="85" t="n"/>
      <c r="O484" s="85" t="n"/>
      <c r="P484" s="85" t="n"/>
      <c r="Q484" s="85" t="n"/>
      <c r="R484" s="85" t="n"/>
      <c r="S484" s="85">
        <f>IF($G484="","",TODAY()-$G484)</f>
        <v/>
      </c>
      <c r="T484" s="85">
        <f>IF($A484="","",IF(AND($E484="Yes",OR($O484="No",$O484="NOT FOUND")),"YES",""))</f>
        <v/>
      </c>
      <c r="U484" s="85">
        <f>IF($A484="","",TRIM(IF(AND($M484=0,$I484&lt;&gt;"Yes"),"T0-NoPhishResistant ","")&amp;IF($H484="No","NoMFA ","")&amp;IF(AND($E484="Yes",$G484=""),"NeverSignedIn ","")))</f>
        <v/>
      </c>
    </row>
    <row r="485" ht="15" customHeight="1" s="39">
      <c r="A485" s="85" t="n"/>
      <c r="B485" s="85" t="n"/>
      <c r="C485" s="85" t="n"/>
      <c r="D485" s="85" t="n"/>
      <c r="E485" s="85" t="n"/>
      <c r="F485" s="86" t="n"/>
      <c r="G485" s="86" t="n"/>
      <c r="H485" s="85" t="n"/>
      <c r="I485" s="85" t="n"/>
      <c r="J485" s="85" t="n"/>
      <c r="K485" s="85" t="n"/>
      <c r="L485" s="85" t="n"/>
      <c r="M485" s="85" t="n"/>
      <c r="N485" s="85" t="n"/>
      <c r="O485" s="85" t="n"/>
      <c r="P485" s="85" t="n"/>
      <c r="Q485" s="85" t="n"/>
      <c r="R485" s="85" t="n"/>
      <c r="S485" s="85">
        <f>IF($G485="","",TODAY()-$G485)</f>
        <v/>
      </c>
      <c r="T485" s="85">
        <f>IF($A485="","",IF(AND($E485="Yes",OR($O485="No",$O485="NOT FOUND")),"YES",""))</f>
        <v/>
      </c>
      <c r="U485" s="85">
        <f>IF($A485="","",TRIM(IF(AND($M485=0,$I485&lt;&gt;"Yes"),"T0-NoPhishResistant ","")&amp;IF($H485="No","NoMFA ","")&amp;IF(AND($E485="Yes",$G485=""),"NeverSignedIn ","")))</f>
        <v/>
      </c>
    </row>
    <row r="486" ht="15" customHeight="1" s="39">
      <c r="A486" s="85" t="n"/>
      <c r="B486" s="85" t="n"/>
      <c r="C486" s="85" t="n"/>
      <c r="D486" s="85" t="n"/>
      <c r="E486" s="85" t="n"/>
      <c r="F486" s="86" t="n"/>
      <c r="G486" s="86" t="n"/>
      <c r="H486" s="85" t="n"/>
      <c r="I486" s="85" t="n"/>
      <c r="J486" s="85" t="n"/>
      <c r="K486" s="85" t="n"/>
      <c r="L486" s="85" t="n"/>
      <c r="M486" s="85" t="n"/>
      <c r="N486" s="85" t="n"/>
      <c r="O486" s="85" t="n"/>
      <c r="P486" s="85" t="n"/>
      <c r="Q486" s="85" t="n"/>
      <c r="R486" s="85" t="n"/>
      <c r="S486" s="85">
        <f>IF($G486="","",TODAY()-$G486)</f>
        <v/>
      </c>
      <c r="T486" s="85">
        <f>IF($A486="","",IF(AND($E486="Yes",OR($O486="No",$O486="NOT FOUND")),"YES",""))</f>
        <v/>
      </c>
      <c r="U486" s="85">
        <f>IF($A486="","",TRIM(IF(AND($M486=0,$I486&lt;&gt;"Yes"),"T0-NoPhishResistant ","")&amp;IF($H486="No","NoMFA ","")&amp;IF(AND($E486="Yes",$G486=""),"NeverSignedIn ","")))</f>
        <v/>
      </c>
    </row>
    <row r="487" ht="15" customHeight="1" s="39">
      <c r="A487" s="85" t="n"/>
      <c r="B487" s="85" t="n"/>
      <c r="C487" s="85" t="n"/>
      <c r="D487" s="85" t="n"/>
      <c r="E487" s="85" t="n"/>
      <c r="F487" s="86" t="n"/>
      <c r="G487" s="86" t="n"/>
      <c r="H487" s="85" t="n"/>
      <c r="I487" s="85" t="n"/>
      <c r="J487" s="85" t="n"/>
      <c r="K487" s="85" t="n"/>
      <c r="L487" s="85" t="n"/>
      <c r="M487" s="85" t="n"/>
      <c r="N487" s="85" t="n"/>
      <c r="O487" s="85" t="n"/>
      <c r="P487" s="85" t="n"/>
      <c r="Q487" s="85" t="n"/>
      <c r="R487" s="85" t="n"/>
      <c r="S487" s="85">
        <f>IF($G487="","",TODAY()-$G487)</f>
        <v/>
      </c>
      <c r="T487" s="85">
        <f>IF($A487="","",IF(AND($E487="Yes",OR($O487="No",$O487="NOT FOUND")),"YES",""))</f>
        <v/>
      </c>
      <c r="U487" s="85">
        <f>IF($A487="","",TRIM(IF(AND($M487=0,$I487&lt;&gt;"Yes"),"T0-NoPhishResistant ","")&amp;IF($H487="No","NoMFA ","")&amp;IF(AND($E487="Yes",$G487=""),"NeverSignedIn ","")))</f>
        <v/>
      </c>
    </row>
    <row r="488" ht="15" customHeight="1" s="39">
      <c r="A488" s="85" t="n"/>
      <c r="B488" s="85" t="n"/>
      <c r="C488" s="85" t="n"/>
      <c r="D488" s="85" t="n"/>
      <c r="E488" s="85" t="n"/>
      <c r="F488" s="86" t="n"/>
      <c r="G488" s="86" t="n"/>
      <c r="H488" s="85" t="n"/>
      <c r="I488" s="85" t="n"/>
      <c r="J488" s="85" t="n"/>
      <c r="K488" s="85" t="n"/>
      <c r="L488" s="85" t="n"/>
      <c r="M488" s="85" t="n"/>
      <c r="N488" s="85" t="n"/>
      <c r="O488" s="85" t="n"/>
      <c r="P488" s="85" t="n"/>
      <c r="Q488" s="85" t="n"/>
      <c r="R488" s="85" t="n"/>
      <c r="S488" s="85">
        <f>IF($G488="","",TODAY()-$G488)</f>
        <v/>
      </c>
      <c r="T488" s="85">
        <f>IF($A488="","",IF(AND($E488="Yes",OR($O488="No",$O488="NOT FOUND")),"YES",""))</f>
        <v/>
      </c>
      <c r="U488" s="85">
        <f>IF($A488="","",TRIM(IF(AND($M488=0,$I488&lt;&gt;"Yes"),"T0-NoPhishResistant ","")&amp;IF($H488="No","NoMFA ","")&amp;IF(AND($E488="Yes",$G488=""),"NeverSignedIn ","")))</f>
        <v/>
      </c>
    </row>
    <row r="489" ht="15" customHeight="1" s="39">
      <c r="A489" s="85" t="n"/>
      <c r="B489" s="85" t="n"/>
      <c r="C489" s="85" t="n"/>
      <c r="D489" s="85" t="n"/>
      <c r="E489" s="85" t="n"/>
      <c r="F489" s="86" t="n"/>
      <c r="G489" s="86" t="n"/>
      <c r="H489" s="85" t="n"/>
      <c r="I489" s="85" t="n"/>
      <c r="J489" s="85" t="n"/>
      <c r="K489" s="85" t="n"/>
      <c r="L489" s="85" t="n"/>
      <c r="M489" s="85" t="n"/>
      <c r="N489" s="85" t="n"/>
      <c r="O489" s="85" t="n"/>
      <c r="P489" s="85" t="n"/>
      <c r="Q489" s="85" t="n"/>
      <c r="R489" s="85" t="n"/>
      <c r="S489" s="85">
        <f>IF($G489="","",TODAY()-$G489)</f>
        <v/>
      </c>
      <c r="T489" s="85">
        <f>IF($A489="","",IF(AND($E489="Yes",OR($O489="No",$O489="NOT FOUND")),"YES",""))</f>
        <v/>
      </c>
      <c r="U489" s="85">
        <f>IF($A489="","",TRIM(IF(AND($M489=0,$I489&lt;&gt;"Yes"),"T0-NoPhishResistant ","")&amp;IF($H489="No","NoMFA ","")&amp;IF(AND($E489="Yes",$G489=""),"NeverSignedIn ","")))</f>
        <v/>
      </c>
    </row>
    <row r="490" ht="15" customHeight="1" s="39">
      <c r="A490" s="85" t="n"/>
      <c r="B490" s="85" t="n"/>
      <c r="C490" s="85" t="n"/>
      <c r="D490" s="85" t="n"/>
      <c r="E490" s="85" t="n"/>
      <c r="F490" s="86" t="n"/>
      <c r="G490" s="86" t="n"/>
      <c r="H490" s="85" t="n"/>
      <c r="I490" s="85" t="n"/>
      <c r="J490" s="85" t="n"/>
      <c r="K490" s="85" t="n"/>
      <c r="L490" s="85" t="n"/>
      <c r="M490" s="85" t="n"/>
      <c r="N490" s="85" t="n"/>
      <c r="O490" s="85" t="n"/>
      <c r="P490" s="85" t="n"/>
      <c r="Q490" s="85" t="n"/>
      <c r="R490" s="85" t="n"/>
      <c r="S490" s="85">
        <f>IF($G490="","",TODAY()-$G490)</f>
        <v/>
      </c>
      <c r="T490" s="85">
        <f>IF($A490="","",IF(AND($E490="Yes",OR($O490="No",$O490="NOT FOUND")),"YES",""))</f>
        <v/>
      </c>
      <c r="U490" s="85">
        <f>IF($A490="","",TRIM(IF(AND($M490=0,$I490&lt;&gt;"Yes"),"T0-NoPhishResistant ","")&amp;IF($H490="No","NoMFA ","")&amp;IF(AND($E490="Yes",$G490=""),"NeverSignedIn ","")))</f>
        <v/>
      </c>
    </row>
    <row r="491" ht="15" customHeight="1" s="39">
      <c r="A491" s="85" t="n"/>
      <c r="B491" s="85" t="n"/>
      <c r="C491" s="85" t="n"/>
      <c r="D491" s="85" t="n"/>
      <c r="E491" s="85" t="n"/>
      <c r="F491" s="86" t="n"/>
      <c r="G491" s="86" t="n"/>
      <c r="H491" s="85" t="n"/>
      <c r="I491" s="85" t="n"/>
      <c r="J491" s="85" t="n"/>
      <c r="K491" s="85" t="n"/>
      <c r="L491" s="85" t="n"/>
      <c r="M491" s="85" t="n"/>
      <c r="N491" s="85" t="n"/>
      <c r="O491" s="85" t="n"/>
      <c r="P491" s="85" t="n"/>
      <c r="Q491" s="85" t="n"/>
      <c r="R491" s="85" t="n"/>
      <c r="S491" s="85">
        <f>IF($G491="","",TODAY()-$G491)</f>
        <v/>
      </c>
      <c r="T491" s="85">
        <f>IF($A491="","",IF(AND($E491="Yes",OR($O491="No",$O491="NOT FOUND")),"YES",""))</f>
        <v/>
      </c>
      <c r="U491" s="85">
        <f>IF($A491="","",TRIM(IF(AND($M491=0,$I491&lt;&gt;"Yes"),"T0-NoPhishResistant ","")&amp;IF($H491="No","NoMFA ","")&amp;IF(AND($E491="Yes",$G491=""),"NeverSignedIn ","")))</f>
        <v/>
      </c>
    </row>
    <row r="492" ht="15" customHeight="1" s="39">
      <c r="A492" s="85" t="n"/>
      <c r="B492" s="85" t="n"/>
      <c r="C492" s="85" t="n"/>
      <c r="D492" s="85" t="n"/>
      <c r="E492" s="85" t="n"/>
      <c r="F492" s="86" t="n"/>
      <c r="G492" s="86" t="n"/>
      <c r="H492" s="85" t="n"/>
      <c r="I492" s="85" t="n"/>
      <c r="J492" s="85" t="n"/>
      <c r="K492" s="85" t="n"/>
      <c r="L492" s="85" t="n"/>
      <c r="M492" s="85" t="n"/>
      <c r="N492" s="85" t="n"/>
      <c r="O492" s="85" t="n"/>
      <c r="P492" s="85" t="n"/>
      <c r="Q492" s="85" t="n"/>
      <c r="R492" s="85" t="n"/>
      <c r="S492" s="85">
        <f>IF($G492="","",TODAY()-$G492)</f>
        <v/>
      </c>
      <c r="T492" s="85">
        <f>IF($A492="","",IF(AND($E492="Yes",OR($O492="No",$O492="NOT FOUND")),"YES",""))</f>
        <v/>
      </c>
      <c r="U492" s="85">
        <f>IF($A492="","",TRIM(IF(AND($M492=0,$I492&lt;&gt;"Yes"),"T0-NoPhishResistant ","")&amp;IF($H492="No","NoMFA ","")&amp;IF(AND($E492="Yes",$G492=""),"NeverSignedIn ","")))</f>
        <v/>
      </c>
    </row>
    <row r="493" ht="15" customHeight="1" s="39">
      <c r="A493" s="85" t="n"/>
      <c r="B493" s="85" t="n"/>
      <c r="C493" s="85" t="n"/>
      <c r="D493" s="85" t="n"/>
      <c r="E493" s="85" t="n"/>
      <c r="F493" s="86" t="n"/>
      <c r="G493" s="86" t="n"/>
      <c r="H493" s="85" t="n"/>
      <c r="I493" s="85" t="n"/>
      <c r="J493" s="85" t="n"/>
      <c r="K493" s="85" t="n"/>
      <c r="L493" s="85" t="n"/>
      <c r="M493" s="85" t="n"/>
      <c r="N493" s="85" t="n"/>
      <c r="O493" s="85" t="n"/>
      <c r="P493" s="85" t="n"/>
      <c r="Q493" s="85" t="n"/>
      <c r="R493" s="85" t="n"/>
      <c r="S493" s="85">
        <f>IF($G493="","",TODAY()-$G493)</f>
        <v/>
      </c>
      <c r="T493" s="85">
        <f>IF($A493="","",IF(AND($E493="Yes",OR($O493="No",$O493="NOT FOUND")),"YES",""))</f>
        <v/>
      </c>
      <c r="U493" s="85">
        <f>IF($A493="","",TRIM(IF(AND($M493=0,$I493&lt;&gt;"Yes"),"T0-NoPhishResistant ","")&amp;IF($H493="No","NoMFA ","")&amp;IF(AND($E493="Yes",$G493=""),"NeverSignedIn ","")))</f>
        <v/>
      </c>
    </row>
    <row r="494" ht="15" customHeight="1" s="39">
      <c r="A494" s="85" t="n"/>
      <c r="B494" s="85" t="n"/>
      <c r="C494" s="85" t="n"/>
      <c r="D494" s="85" t="n"/>
      <c r="E494" s="85" t="n"/>
      <c r="F494" s="86" t="n"/>
      <c r="G494" s="86" t="n"/>
      <c r="H494" s="85" t="n"/>
      <c r="I494" s="85" t="n"/>
      <c r="J494" s="85" t="n"/>
      <c r="K494" s="85" t="n"/>
      <c r="L494" s="85" t="n"/>
      <c r="M494" s="85" t="n"/>
      <c r="N494" s="85" t="n"/>
      <c r="O494" s="85" t="n"/>
      <c r="P494" s="85" t="n"/>
      <c r="Q494" s="85" t="n"/>
      <c r="R494" s="85" t="n"/>
      <c r="S494" s="85">
        <f>IF($G494="","",TODAY()-$G494)</f>
        <v/>
      </c>
      <c r="T494" s="85">
        <f>IF($A494="","",IF(AND($E494="Yes",OR($O494="No",$O494="NOT FOUND")),"YES",""))</f>
        <v/>
      </c>
      <c r="U494" s="85">
        <f>IF($A494="","",TRIM(IF(AND($M494=0,$I494&lt;&gt;"Yes"),"T0-NoPhishResistant ","")&amp;IF($H494="No","NoMFA ","")&amp;IF(AND($E494="Yes",$G494=""),"NeverSignedIn ","")))</f>
        <v/>
      </c>
    </row>
    <row r="495" ht="15" customHeight="1" s="39">
      <c r="A495" s="85" t="n"/>
      <c r="B495" s="85" t="n"/>
      <c r="C495" s="85" t="n"/>
      <c r="D495" s="85" t="n"/>
      <c r="E495" s="85" t="n"/>
      <c r="F495" s="86" t="n"/>
      <c r="G495" s="86" t="n"/>
      <c r="H495" s="85" t="n"/>
      <c r="I495" s="85" t="n"/>
      <c r="J495" s="85" t="n"/>
      <c r="K495" s="85" t="n"/>
      <c r="L495" s="85" t="n"/>
      <c r="M495" s="85" t="n"/>
      <c r="N495" s="85" t="n"/>
      <c r="O495" s="85" t="n"/>
      <c r="P495" s="85" t="n"/>
      <c r="Q495" s="85" t="n"/>
      <c r="R495" s="85" t="n"/>
      <c r="S495" s="85">
        <f>IF($G495="","",TODAY()-$G495)</f>
        <v/>
      </c>
      <c r="T495" s="85">
        <f>IF($A495="","",IF(AND($E495="Yes",OR($O495="No",$O495="NOT FOUND")),"YES",""))</f>
        <v/>
      </c>
      <c r="U495" s="85">
        <f>IF($A495="","",TRIM(IF(AND($M495=0,$I495&lt;&gt;"Yes"),"T0-NoPhishResistant ","")&amp;IF($H495="No","NoMFA ","")&amp;IF(AND($E495="Yes",$G495=""),"NeverSignedIn ","")))</f>
        <v/>
      </c>
    </row>
    <row r="496" ht="15" customHeight="1" s="39">
      <c r="A496" s="85" t="n"/>
      <c r="B496" s="85" t="n"/>
      <c r="C496" s="85" t="n"/>
      <c r="D496" s="85" t="n"/>
      <c r="E496" s="85" t="n"/>
      <c r="F496" s="86" t="n"/>
      <c r="G496" s="86" t="n"/>
      <c r="H496" s="85" t="n"/>
      <c r="I496" s="85" t="n"/>
      <c r="J496" s="85" t="n"/>
      <c r="K496" s="85" t="n"/>
      <c r="L496" s="85" t="n"/>
      <c r="M496" s="85" t="n"/>
      <c r="N496" s="85" t="n"/>
      <c r="O496" s="85" t="n"/>
      <c r="P496" s="85" t="n"/>
      <c r="Q496" s="85" t="n"/>
      <c r="R496" s="85" t="n"/>
      <c r="S496" s="85">
        <f>IF($G496="","",TODAY()-$G496)</f>
        <v/>
      </c>
      <c r="T496" s="85">
        <f>IF($A496="","",IF(AND($E496="Yes",OR($O496="No",$O496="NOT FOUND")),"YES",""))</f>
        <v/>
      </c>
      <c r="U496" s="85">
        <f>IF($A496="","",TRIM(IF(AND($M496=0,$I496&lt;&gt;"Yes"),"T0-NoPhishResistant ","")&amp;IF($H496="No","NoMFA ","")&amp;IF(AND($E496="Yes",$G496=""),"NeverSignedIn ","")))</f>
        <v/>
      </c>
    </row>
    <row r="497" ht="15" customHeight="1" s="39">
      <c r="A497" s="85" t="n"/>
      <c r="B497" s="85" t="n"/>
      <c r="C497" s="85" t="n"/>
      <c r="D497" s="85" t="n"/>
      <c r="E497" s="85" t="n"/>
      <c r="F497" s="86" t="n"/>
      <c r="G497" s="86" t="n"/>
      <c r="H497" s="85" t="n"/>
      <c r="I497" s="85" t="n"/>
      <c r="J497" s="85" t="n"/>
      <c r="K497" s="85" t="n"/>
      <c r="L497" s="85" t="n"/>
      <c r="M497" s="85" t="n"/>
      <c r="N497" s="85" t="n"/>
      <c r="O497" s="85" t="n"/>
      <c r="P497" s="85" t="n"/>
      <c r="Q497" s="85" t="n"/>
      <c r="R497" s="85" t="n"/>
      <c r="S497" s="85">
        <f>IF($G497="","",TODAY()-$G497)</f>
        <v/>
      </c>
      <c r="T497" s="85">
        <f>IF($A497="","",IF(AND($E497="Yes",OR($O497="No",$O497="NOT FOUND")),"YES",""))</f>
        <v/>
      </c>
      <c r="U497" s="85">
        <f>IF($A497="","",TRIM(IF(AND($M497=0,$I497&lt;&gt;"Yes"),"T0-NoPhishResistant ","")&amp;IF($H497="No","NoMFA ","")&amp;IF(AND($E497="Yes",$G497=""),"NeverSignedIn ","")))</f>
        <v/>
      </c>
    </row>
    <row r="498" ht="15" customHeight="1" s="39">
      <c r="A498" s="85" t="n"/>
      <c r="B498" s="85" t="n"/>
      <c r="C498" s="85" t="n"/>
      <c r="D498" s="85" t="n"/>
      <c r="E498" s="85" t="n"/>
      <c r="F498" s="86" t="n"/>
      <c r="G498" s="86" t="n"/>
      <c r="H498" s="85" t="n"/>
      <c r="I498" s="85" t="n"/>
      <c r="J498" s="85" t="n"/>
      <c r="K498" s="85" t="n"/>
      <c r="L498" s="85" t="n"/>
      <c r="M498" s="85" t="n"/>
      <c r="N498" s="85" t="n"/>
      <c r="O498" s="85" t="n"/>
      <c r="P498" s="85" t="n"/>
      <c r="Q498" s="85" t="n"/>
      <c r="R498" s="85" t="n"/>
      <c r="S498" s="85">
        <f>IF($G498="","",TODAY()-$G498)</f>
        <v/>
      </c>
      <c r="T498" s="85">
        <f>IF($A498="","",IF(AND($E498="Yes",OR($O498="No",$O498="NOT FOUND")),"YES",""))</f>
        <v/>
      </c>
      <c r="U498" s="85">
        <f>IF($A498="","",TRIM(IF(AND($M498=0,$I498&lt;&gt;"Yes"),"T0-NoPhishResistant ","")&amp;IF($H498="No","NoMFA ","")&amp;IF(AND($E498="Yes",$G498=""),"NeverSignedIn ","")))</f>
        <v/>
      </c>
    </row>
    <row r="499" ht="15" customHeight="1" s="39">
      <c r="A499" s="85" t="n"/>
      <c r="B499" s="85" t="n"/>
      <c r="C499" s="85" t="n"/>
      <c r="D499" s="85" t="n"/>
      <c r="E499" s="85" t="n"/>
      <c r="F499" s="86" t="n"/>
      <c r="G499" s="86" t="n"/>
      <c r="H499" s="85" t="n"/>
      <c r="I499" s="85" t="n"/>
      <c r="J499" s="85" t="n"/>
      <c r="K499" s="85" t="n"/>
      <c r="L499" s="85" t="n"/>
      <c r="M499" s="85" t="n"/>
      <c r="N499" s="85" t="n"/>
      <c r="O499" s="85" t="n"/>
      <c r="P499" s="85" t="n"/>
      <c r="Q499" s="85" t="n"/>
      <c r="R499" s="85" t="n"/>
      <c r="S499" s="85">
        <f>IF($G499="","",TODAY()-$G499)</f>
        <v/>
      </c>
      <c r="T499" s="85">
        <f>IF($A499="","",IF(AND($E499="Yes",OR($O499="No",$O499="NOT FOUND")),"YES",""))</f>
        <v/>
      </c>
      <c r="U499" s="85">
        <f>IF($A499="","",TRIM(IF(AND($M499=0,$I499&lt;&gt;"Yes"),"T0-NoPhishResistant ","")&amp;IF($H499="No","NoMFA ","")&amp;IF(AND($E499="Yes",$G499=""),"NeverSignedIn ","")))</f>
        <v/>
      </c>
    </row>
    <row r="500" ht="15" customHeight="1" s="39">
      <c r="A500" s="85" t="n"/>
      <c r="B500" s="85" t="n"/>
      <c r="C500" s="85" t="n"/>
      <c r="D500" s="85" t="n"/>
      <c r="E500" s="85" t="n"/>
      <c r="F500" s="86" t="n"/>
      <c r="G500" s="86" t="n"/>
      <c r="H500" s="85" t="n"/>
      <c r="I500" s="85" t="n"/>
      <c r="J500" s="85" t="n"/>
      <c r="K500" s="85" t="n"/>
      <c r="L500" s="85" t="n"/>
      <c r="M500" s="85" t="n"/>
      <c r="N500" s="85" t="n"/>
      <c r="O500" s="85" t="n"/>
      <c r="P500" s="85" t="n"/>
      <c r="Q500" s="85" t="n"/>
      <c r="R500" s="85" t="n"/>
      <c r="S500" s="85">
        <f>IF($G500="","",TODAY()-$G500)</f>
        <v/>
      </c>
      <c r="T500" s="85">
        <f>IF($A500="","",IF(AND($E500="Yes",OR($O500="No",$O500="NOT FOUND")),"YES",""))</f>
        <v/>
      </c>
      <c r="U500" s="85">
        <f>IF($A500="","",TRIM(IF(AND($M500=0,$I500&lt;&gt;"Yes"),"T0-NoPhishResistant ","")&amp;IF($H500="No","NoMFA ","")&amp;IF(AND($E500="Yes",$G500=""),"NeverSignedIn ","")))</f>
        <v/>
      </c>
    </row>
    <row r="501" ht="15" customHeight="1" s="39">
      <c r="A501" s="85" t="n"/>
      <c r="B501" s="85" t="n"/>
      <c r="C501" s="85" t="n"/>
      <c r="D501" s="85" t="n"/>
      <c r="E501" s="85" t="n"/>
      <c r="F501" s="86" t="n"/>
      <c r="G501" s="86" t="n"/>
      <c r="H501" s="85" t="n"/>
      <c r="I501" s="85" t="n"/>
      <c r="J501" s="85" t="n"/>
      <c r="K501" s="85" t="n"/>
      <c r="L501" s="85" t="n"/>
      <c r="M501" s="85" t="n"/>
      <c r="N501" s="85" t="n"/>
      <c r="O501" s="85" t="n"/>
      <c r="P501" s="85" t="n"/>
      <c r="Q501" s="85" t="n"/>
      <c r="R501" s="85" t="n"/>
      <c r="S501" s="85">
        <f>IF($G501="","",TODAY()-$G501)</f>
        <v/>
      </c>
      <c r="T501" s="85">
        <f>IF($A501="","",IF(AND($E501="Yes",OR($O501="No",$O501="NOT FOUND")),"YES",""))</f>
        <v/>
      </c>
      <c r="U501" s="85">
        <f>IF($A501="","",TRIM(IF(AND($M501=0,$I501&lt;&gt;"Yes"),"T0-NoPhishResistant ","")&amp;IF($H501="No","NoMFA ","")&amp;IF(AND($E501="Yes",$G501=""),"NeverSignedIn ","")))</f>
        <v/>
      </c>
    </row>
    <row r="502" ht="15" customHeight="1" s="39">
      <c r="A502" s="85" t="n"/>
      <c r="B502" s="85" t="n"/>
      <c r="C502" s="85" t="n"/>
      <c r="D502" s="85" t="n"/>
      <c r="E502" s="85" t="n"/>
      <c r="F502" s="86" t="n"/>
      <c r="G502" s="86" t="n"/>
      <c r="H502" s="85" t="n"/>
      <c r="I502" s="85" t="n"/>
      <c r="J502" s="85" t="n"/>
      <c r="K502" s="85" t="n"/>
      <c r="L502" s="85" t="n"/>
      <c r="M502" s="85" t="n"/>
      <c r="N502" s="85" t="n"/>
      <c r="O502" s="85" t="n"/>
      <c r="P502" s="85" t="n"/>
      <c r="Q502" s="85" t="n"/>
      <c r="R502" s="85" t="n"/>
      <c r="S502" s="85">
        <f>IF($G502="","",TODAY()-$G502)</f>
        <v/>
      </c>
      <c r="T502" s="85">
        <f>IF($A502="","",IF(AND($E502="Yes",OR($O502="No",$O502="NOT FOUND")),"YES",""))</f>
        <v/>
      </c>
      <c r="U502" s="85">
        <f>IF($A502="","",TRIM(IF(AND($M502=0,$I502&lt;&gt;"Yes"),"T0-NoPhishResistant ","")&amp;IF($H502="No","NoMFA ","")&amp;IF(AND($E502="Yes",$G502=""),"NeverSignedIn ","")))</f>
        <v/>
      </c>
    </row>
    <row r="503" ht="15" customHeight="1" s="39">
      <c r="A503" s="85" t="n"/>
      <c r="B503" s="85" t="n"/>
      <c r="C503" s="85" t="n"/>
      <c r="D503" s="85" t="n"/>
      <c r="E503" s="85" t="n"/>
      <c r="F503" s="86" t="n"/>
      <c r="G503" s="86" t="n"/>
      <c r="H503" s="85" t="n"/>
      <c r="I503" s="85" t="n"/>
      <c r="J503" s="85" t="n"/>
      <c r="K503" s="85" t="n"/>
      <c r="L503" s="85" t="n"/>
      <c r="M503" s="85" t="n"/>
      <c r="N503" s="85" t="n"/>
      <c r="O503" s="85" t="n"/>
      <c r="P503" s="85" t="n"/>
      <c r="Q503" s="85" t="n"/>
      <c r="R503" s="85" t="n"/>
      <c r="S503" s="85">
        <f>IF($G503="","",TODAY()-$G503)</f>
        <v/>
      </c>
      <c r="T503" s="85">
        <f>IF($A503="","",IF(AND($E503="Yes",OR($O503="No",$O503="NOT FOUND")),"YES",""))</f>
        <v/>
      </c>
      <c r="U503" s="85">
        <f>IF($A503="","",TRIM(IF(AND($M503=0,$I503&lt;&gt;"Yes"),"T0-NoPhishResistant ","")&amp;IF($H503="No","NoMFA ","")&amp;IF(AND($E503="Yes",$G503=""),"NeverSignedIn ","")))</f>
        <v/>
      </c>
    </row>
    <row r="504" ht="15" customHeight="1" s="39">
      <c r="A504" s="85" t="n"/>
      <c r="B504" s="85" t="n"/>
      <c r="C504" s="85" t="n"/>
      <c r="D504" s="85" t="n"/>
      <c r="E504" s="85" t="n"/>
      <c r="F504" s="86" t="n"/>
      <c r="G504" s="86" t="n"/>
      <c r="H504" s="85" t="n"/>
      <c r="I504" s="85" t="n"/>
      <c r="J504" s="85" t="n"/>
      <c r="K504" s="85" t="n"/>
      <c r="L504" s="85" t="n"/>
      <c r="M504" s="85" t="n"/>
      <c r="N504" s="85" t="n"/>
      <c r="O504" s="85" t="n"/>
      <c r="P504" s="85" t="n"/>
      <c r="Q504" s="85" t="n"/>
      <c r="R504" s="85" t="n"/>
      <c r="S504" s="85">
        <f>IF($G504="","",TODAY()-$G504)</f>
        <v/>
      </c>
      <c r="T504" s="85">
        <f>IF($A504="","",IF(AND($E504="Yes",OR($O504="No",$O504="NOT FOUND")),"YES",""))</f>
        <v/>
      </c>
      <c r="U504" s="85">
        <f>IF($A504="","",TRIM(IF(AND($M504=0,$I504&lt;&gt;"Yes"),"T0-NoPhishResistant ","")&amp;IF($H504="No","NoMFA ","")&amp;IF(AND($E504="Yes",$G504=""),"NeverSignedIn ","")))</f>
        <v/>
      </c>
    </row>
    <row r="505" ht="15" customHeight="1" s="39">
      <c r="A505" s="85" t="n"/>
      <c r="B505" s="85" t="n"/>
      <c r="C505" s="85" t="n"/>
      <c r="D505" s="85" t="n"/>
      <c r="E505" s="85" t="n"/>
      <c r="F505" s="86" t="n"/>
      <c r="G505" s="86" t="n"/>
      <c r="H505" s="85" t="n"/>
      <c r="I505" s="85" t="n"/>
      <c r="J505" s="85" t="n"/>
      <c r="K505" s="85" t="n"/>
      <c r="L505" s="85" t="n"/>
      <c r="M505" s="85" t="n"/>
      <c r="N505" s="85" t="n"/>
      <c r="O505" s="85" t="n"/>
      <c r="P505" s="85" t="n"/>
      <c r="Q505" s="85" t="n"/>
      <c r="R505" s="85" t="n"/>
      <c r="S505" s="85">
        <f>IF($G505="","",TODAY()-$G505)</f>
        <v/>
      </c>
      <c r="T505" s="85">
        <f>IF($A505="","",IF(AND($E505="Yes",OR($O505="No",$O505="NOT FOUND")),"YES",""))</f>
        <v/>
      </c>
      <c r="U505" s="85">
        <f>IF($A505="","",TRIM(IF(AND($M505=0,$I505&lt;&gt;"Yes"),"T0-NoPhishResistant ","")&amp;IF($H505="No","NoMFA ","")&amp;IF(AND($E505="Yes",$G505=""),"NeverSignedIn ","")))</f>
        <v/>
      </c>
    </row>
    <row r="506" ht="15" customHeight="1" s="39">
      <c r="A506" s="85" t="n"/>
      <c r="B506" s="85" t="n"/>
      <c r="C506" s="85" t="n"/>
      <c r="D506" s="85" t="n"/>
      <c r="E506" s="85" t="n"/>
      <c r="F506" s="86" t="n"/>
      <c r="G506" s="86" t="n"/>
      <c r="H506" s="85" t="n"/>
      <c r="I506" s="85" t="n"/>
      <c r="J506" s="85" t="n"/>
      <c r="K506" s="85" t="n"/>
      <c r="L506" s="85" t="n"/>
      <c r="M506" s="85" t="n"/>
      <c r="N506" s="85" t="n"/>
      <c r="O506" s="85" t="n"/>
      <c r="P506" s="85" t="n"/>
      <c r="Q506" s="85" t="n"/>
      <c r="R506" s="85" t="n"/>
      <c r="S506" s="85">
        <f>IF($G506="","",TODAY()-$G506)</f>
        <v/>
      </c>
      <c r="T506" s="85">
        <f>IF($A506="","",IF(AND($E506="Yes",OR($O506="No",$O506="NOT FOUND")),"YES",""))</f>
        <v/>
      </c>
      <c r="U506" s="85">
        <f>IF($A506="","",TRIM(IF(AND($M506=0,$I506&lt;&gt;"Yes"),"T0-NoPhishResistant ","")&amp;IF($H506="No","NoMFA ","")&amp;IF(AND($E506="Yes",$G506=""),"NeverSignedIn ","")))</f>
        <v/>
      </c>
    </row>
    <row r="507" ht="15" customHeight="1" s="39">
      <c r="A507" s="85" t="n"/>
      <c r="B507" s="85" t="n"/>
      <c r="C507" s="85" t="n"/>
      <c r="D507" s="85" t="n"/>
      <c r="E507" s="85" t="n"/>
      <c r="F507" s="86" t="n"/>
      <c r="G507" s="86" t="n"/>
      <c r="H507" s="85" t="n"/>
      <c r="I507" s="85" t="n"/>
      <c r="J507" s="85" t="n"/>
      <c r="K507" s="85" t="n"/>
      <c r="L507" s="85" t="n"/>
      <c r="M507" s="85" t="n"/>
      <c r="N507" s="85" t="n"/>
      <c r="O507" s="85" t="n"/>
      <c r="P507" s="85" t="n"/>
      <c r="Q507" s="85" t="n"/>
      <c r="R507" s="85" t="n"/>
      <c r="S507" s="85">
        <f>IF($G507="","",TODAY()-$G507)</f>
        <v/>
      </c>
      <c r="T507" s="85">
        <f>IF($A507="","",IF(AND($E507="Yes",OR($O507="No",$O507="NOT FOUND")),"YES",""))</f>
        <v/>
      </c>
      <c r="U507" s="85">
        <f>IF($A507="","",TRIM(IF(AND($M507=0,$I507&lt;&gt;"Yes"),"T0-NoPhishResistant ","")&amp;IF($H507="No","NoMFA ","")&amp;IF(AND($E507="Yes",$G507=""),"NeverSignedIn ","")))</f>
        <v/>
      </c>
    </row>
    <row r="508" ht="15" customHeight="1" s="39">
      <c r="A508" s="85" t="n"/>
      <c r="B508" s="85" t="n"/>
      <c r="C508" s="85" t="n"/>
      <c r="D508" s="85" t="n"/>
      <c r="E508" s="85" t="n"/>
      <c r="F508" s="86" t="n"/>
      <c r="G508" s="86" t="n"/>
      <c r="H508" s="85" t="n"/>
      <c r="I508" s="85" t="n"/>
      <c r="J508" s="85" t="n"/>
      <c r="K508" s="85" t="n"/>
      <c r="L508" s="85" t="n"/>
      <c r="M508" s="85" t="n"/>
      <c r="N508" s="85" t="n"/>
      <c r="O508" s="85" t="n"/>
      <c r="P508" s="85" t="n"/>
      <c r="Q508" s="85" t="n"/>
      <c r="R508" s="85" t="n"/>
      <c r="S508" s="85">
        <f>IF($G508="","",TODAY()-$G508)</f>
        <v/>
      </c>
      <c r="T508" s="85">
        <f>IF($A508="","",IF(AND($E508="Yes",OR($O508="No",$O508="NOT FOUND")),"YES",""))</f>
        <v/>
      </c>
      <c r="U508" s="85">
        <f>IF($A508="","",TRIM(IF(AND($M508=0,$I508&lt;&gt;"Yes"),"T0-NoPhishResistant ","")&amp;IF($H508="No","NoMFA ","")&amp;IF(AND($E508="Yes",$G508=""),"NeverSignedIn ","")))</f>
        <v/>
      </c>
    </row>
    <row r="509" ht="15" customHeight="1" s="39">
      <c r="A509" s="85" t="n"/>
      <c r="B509" s="85" t="n"/>
      <c r="C509" s="85" t="n"/>
      <c r="D509" s="85" t="n"/>
      <c r="E509" s="85" t="n"/>
      <c r="F509" s="86" t="n"/>
      <c r="G509" s="86" t="n"/>
      <c r="H509" s="85" t="n"/>
      <c r="I509" s="85" t="n"/>
      <c r="J509" s="85" t="n"/>
      <c r="K509" s="85" t="n"/>
      <c r="L509" s="85" t="n"/>
      <c r="M509" s="85" t="n"/>
      <c r="N509" s="85" t="n"/>
      <c r="O509" s="85" t="n"/>
      <c r="P509" s="85" t="n"/>
      <c r="Q509" s="85" t="n"/>
      <c r="R509" s="85" t="n"/>
      <c r="S509" s="85">
        <f>IF($G509="","",TODAY()-$G509)</f>
        <v/>
      </c>
      <c r="T509" s="85">
        <f>IF($A509="","",IF(AND($E509="Yes",OR($O509="No",$O509="NOT FOUND")),"YES",""))</f>
        <v/>
      </c>
      <c r="U509" s="85">
        <f>IF($A509="","",TRIM(IF(AND($M509=0,$I509&lt;&gt;"Yes"),"T0-NoPhishResistant ","")&amp;IF($H509="No","NoMFA ","")&amp;IF(AND($E509="Yes",$G509=""),"NeverSignedIn ","")))</f>
        <v/>
      </c>
    </row>
    <row r="510" ht="15" customHeight="1" s="39">
      <c r="A510" s="85" t="n"/>
      <c r="B510" s="85" t="n"/>
      <c r="C510" s="85" t="n"/>
      <c r="D510" s="85" t="n"/>
      <c r="E510" s="85" t="n"/>
      <c r="F510" s="86" t="n"/>
      <c r="G510" s="86" t="n"/>
      <c r="H510" s="85" t="n"/>
      <c r="I510" s="85" t="n"/>
      <c r="J510" s="85" t="n"/>
      <c r="K510" s="85" t="n"/>
      <c r="L510" s="85" t="n"/>
      <c r="M510" s="85" t="n"/>
      <c r="N510" s="85" t="n"/>
      <c r="O510" s="85" t="n"/>
      <c r="P510" s="85" t="n"/>
      <c r="Q510" s="85" t="n"/>
      <c r="R510" s="85" t="n"/>
      <c r="S510" s="85">
        <f>IF($G510="","",TODAY()-$G510)</f>
        <v/>
      </c>
      <c r="T510" s="85">
        <f>IF($A510="","",IF(AND($E510="Yes",OR($O510="No",$O510="NOT FOUND")),"YES",""))</f>
        <v/>
      </c>
      <c r="U510" s="85">
        <f>IF($A510="","",TRIM(IF(AND($M510=0,$I510&lt;&gt;"Yes"),"T0-NoPhishResistant ","")&amp;IF($H510="No","NoMFA ","")&amp;IF(AND($E510="Yes",$G510=""),"NeverSignedIn ","")))</f>
        <v/>
      </c>
    </row>
    <row r="511" ht="15" customHeight="1" s="39">
      <c r="A511" s="85" t="n"/>
      <c r="B511" s="85" t="n"/>
      <c r="C511" s="85" t="n"/>
      <c r="D511" s="85" t="n"/>
      <c r="E511" s="85" t="n"/>
      <c r="F511" s="86" t="n"/>
      <c r="G511" s="86" t="n"/>
      <c r="H511" s="85" t="n"/>
      <c r="I511" s="85" t="n"/>
      <c r="J511" s="85" t="n"/>
      <c r="K511" s="85" t="n"/>
      <c r="L511" s="85" t="n"/>
      <c r="M511" s="85" t="n"/>
      <c r="N511" s="85" t="n"/>
      <c r="O511" s="85" t="n"/>
      <c r="P511" s="85" t="n"/>
      <c r="Q511" s="85" t="n"/>
      <c r="R511" s="85" t="n"/>
      <c r="S511" s="85">
        <f>IF($G511="","",TODAY()-$G511)</f>
        <v/>
      </c>
      <c r="T511" s="85">
        <f>IF($A511="","",IF(AND($E511="Yes",OR($O511="No",$O511="NOT FOUND")),"YES",""))</f>
        <v/>
      </c>
      <c r="U511" s="85">
        <f>IF($A511="","",TRIM(IF(AND($M511=0,$I511&lt;&gt;"Yes"),"T0-NoPhishResistant ","")&amp;IF($H511="No","NoMFA ","")&amp;IF(AND($E511="Yes",$G511=""),"NeverSignedIn ","")))</f>
        <v/>
      </c>
    </row>
    <row r="512" ht="15" customHeight="1" s="39">
      <c r="A512" s="85" t="n"/>
      <c r="B512" s="85" t="n"/>
      <c r="C512" s="85" t="n"/>
      <c r="D512" s="85" t="n"/>
      <c r="E512" s="85" t="n"/>
      <c r="F512" s="86" t="n"/>
      <c r="G512" s="86" t="n"/>
      <c r="H512" s="85" t="n"/>
      <c r="I512" s="85" t="n"/>
      <c r="J512" s="85" t="n"/>
      <c r="K512" s="85" t="n"/>
      <c r="L512" s="85" t="n"/>
      <c r="M512" s="85" t="n"/>
      <c r="N512" s="85" t="n"/>
      <c r="O512" s="85" t="n"/>
      <c r="P512" s="85" t="n"/>
      <c r="Q512" s="85" t="n"/>
      <c r="R512" s="85" t="n"/>
      <c r="S512" s="85">
        <f>IF($G512="","",TODAY()-$G512)</f>
        <v/>
      </c>
      <c r="T512" s="85">
        <f>IF($A512="","",IF(AND($E512="Yes",OR($O512="No",$O512="NOT FOUND")),"YES",""))</f>
        <v/>
      </c>
      <c r="U512" s="85">
        <f>IF($A512="","",TRIM(IF(AND($M512=0,$I512&lt;&gt;"Yes"),"T0-NoPhishResistant ","")&amp;IF($H512="No","NoMFA ","")&amp;IF(AND($E512="Yes",$G512=""),"NeverSignedIn ","")))</f>
        <v/>
      </c>
    </row>
    <row r="513" ht="15" customHeight="1" s="39">
      <c r="A513" s="85" t="n"/>
      <c r="B513" s="85" t="n"/>
      <c r="C513" s="85" t="n"/>
      <c r="D513" s="85" t="n"/>
      <c r="E513" s="85" t="n"/>
      <c r="F513" s="86" t="n"/>
      <c r="G513" s="86" t="n"/>
      <c r="H513" s="85" t="n"/>
      <c r="I513" s="85" t="n"/>
      <c r="J513" s="85" t="n"/>
      <c r="K513" s="85" t="n"/>
      <c r="L513" s="85" t="n"/>
      <c r="M513" s="85" t="n"/>
      <c r="N513" s="85" t="n"/>
      <c r="O513" s="85" t="n"/>
      <c r="P513" s="85" t="n"/>
      <c r="Q513" s="85" t="n"/>
      <c r="R513" s="85" t="n"/>
      <c r="S513" s="85">
        <f>IF($G513="","",TODAY()-$G513)</f>
        <v/>
      </c>
      <c r="T513" s="85">
        <f>IF($A513="","",IF(AND($E513="Yes",OR($O513="No",$O513="NOT FOUND")),"YES",""))</f>
        <v/>
      </c>
      <c r="U513" s="85">
        <f>IF($A513="","",TRIM(IF(AND($M513=0,$I513&lt;&gt;"Yes"),"T0-NoPhishResistant ","")&amp;IF($H513="No","NoMFA ","")&amp;IF(AND($E513="Yes",$G513=""),"NeverSignedIn ","")))</f>
        <v/>
      </c>
    </row>
    <row r="514" ht="15" customHeight="1" s="39">
      <c r="A514" s="85" t="n"/>
      <c r="B514" s="85" t="n"/>
      <c r="C514" s="85" t="n"/>
      <c r="D514" s="85" t="n"/>
      <c r="E514" s="85" t="n"/>
      <c r="F514" s="86" t="n"/>
      <c r="G514" s="86" t="n"/>
      <c r="H514" s="85" t="n"/>
      <c r="I514" s="85" t="n"/>
      <c r="J514" s="85" t="n"/>
      <c r="K514" s="85" t="n"/>
      <c r="L514" s="85" t="n"/>
      <c r="M514" s="85" t="n"/>
      <c r="N514" s="85" t="n"/>
      <c r="O514" s="85" t="n"/>
      <c r="P514" s="85" t="n"/>
      <c r="Q514" s="85" t="n"/>
      <c r="R514" s="85" t="n"/>
      <c r="S514" s="85">
        <f>IF($G514="","",TODAY()-$G514)</f>
        <v/>
      </c>
      <c r="T514" s="85">
        <f>IF($A514="","",IF(AND($E514="Yes",OR($O514="No",$O514="NOT FOUND")),"YES",""))</f>
        <v/>
      </c>
      <c r="U514" s="85">
        <f>IF($A514="","",TRIM(IF(AND($M514=0,$I514&lt;&gt;"Yes"),"T0-NoPhishResistant ","")&amp;IF($H514="No","NoMFA ","")&amp;IF(AND($E514="Yes",$G514=""),"NeverSignedIn ","")))</f>
        <v/>
      </c>
    </row>
    <row r="515" ht="15" customHeight="1" s="39">
      <c r="A515" s="85" t="n"/>
      <c r="B515" s="85" t="n"/>
      <c r="C515" s="85" t="n"/>
      <c r="D515" s="85" t="n"/>
      <c r="E515" s="85" t="n"/>
      <c r="F515" s="86" t="n"/>
      <c r="G515" s="86" t="n"/>
      <c r="H515" s="85" t="n"/>
      <c r="I515" s="85" t="n"/>
      <c r="J515" s="85" t="n"/>
      <c r="K515" s="85" t="n"/>
      <c r="L515" s="85" t="n"/>
      <c r="M515" s="85" t="n"/>
      <c r="N515" s="85" t="n"/>
      <c r="O515" s="85" t="n"/>
      <c r="P515" s="85" t="n"/>
      <c r="Q515" s="85" t="n"/>
      <c r="R515" s="85" t="n"/>
      <c r="S515" s="85">
        <f>IF($G515="","",TODAY()-$G515)</f>
        <v/>
      </c>
      <c r="T515" s="85">
        <f>IF($A515="","",IF(AND($E515="Yes",OR($O515="No",$O515="NOT FOUND")),"YES",""))</f>
        <v/>
      </c>
      <c r="U515" s="85">
        <f>IF($A515="","",TRIM(IF(AND($M515=0,$I515&lt;&gt;"Yes"),"T0-NoPhishResistant ","")&amp;IF($H515="No","NoMFA ","")&amp;IF(AND($E515="Yes",$G515=""),"NeverSignedIn ","")))</f>
        <v/>
      </c>
    </row>
    <row r="516" ht="15" customHeight="1" s="39">
      <c r="A516" s="85" t="n"/>
      <c r="B516" s="85" t="n"/>
      <c r="C516" s="85" t="n"/>
      <c r="D516" s="85" t="n"/>
      <c r="E516" s="85" t="n"/>
      <c r="F516" s="86" t="n"/>
      <c r="G516" s="86" t="n"/>
      <c r="H516" s="85" t="n"/>
      <c r="I516" s="85" t="n"/>
      <c r="J516" s="85" t="n"/>
      <c r="K516" s="85" t="n"/>
      <c r="L516" s="85" t="n"/>
      <c r="M516" s="85" t="n"/>
      <c r="N516" s="85" t="n"/>
      <c r="O516" s="85" t="n"/>
      <c r="P516" s="85" t="n"/>
      <c r="Q516" s="85" t="n"/>
      <c r="R516" s="85" t="n"/>
      <c r="S516" s="85">
        <f>IF($G516="","",TODAY()-$G516)</f>
        <v/>
      </c>
      <c r="T516" s="85">
        <f>IF($A516="","",IF(AND($E516="Yes",OR($O516="No",$O516="NOT FOUND")),"YES",""))</f>
        <v/>
      </c>
      <c r="U516" s="85">
        <f>IF($A516="","",TRIM(IF(AND($M516=0,$I516&lt;&gt;"Yes"),"T0-NoPhishResistant ","")&amp;IF($H516="No","NoMFA ","")&amp;IF(AND($E516="Yes",$G516=""),"NeverSignedIn ","")))</f>
        <v/>
      </c>
    </row>
    <row r="517" ht="15" customHeight="1" s="39">
      <c r="A517" s="85" t="n"/>
      <c r="B517" s="85" t="n"/>
      <c r="C517" s="85" t="n"/>
      <c r="D517" s="85" t="n"/>
      <c r="E517" s="85" t="n"/>
      <c r="F517" s="86" t="n"/>
      <c r="G517" s="86" t="n"/>
      <c r="H517" s="85" t="n"/>
      <c r="I517" s="85" t="n"/>
      <c r="J517" s="85" t="n"/>
      <c r="K517" s="85" t="n"/>
      <c r="L517" s="85" t="n"/>
      <c r="M517" s="85" t="n"/>
      <c r="N517" s="85" t="n"/>
      <c r="O517" s="85" t="n"/>
      <c r="P517" s="85" t="n"/>
      <c r="Q517" s="85" t="n"/>
      <c r="R517" s="85" t="n"/>
      <c r="S517" s="85">
        <f>IF($G517="","",TODAY()-$G517)</f>
        <v/>
      </c>
      <c r="T517" s="85">
        <f>IF($A517="","",IF(AND($E517="Yes",OR($O517="No",$O517="NOT FOUND")),"YES",""))</f>
        <v/>
      </c>
      <c r="U517" s="85">
        <f>IF($A517="","",TRIM(IF(AND($M517=0,$I517&lt;&gt;"Yes"),"T0-NoPhishResistant ","")&amp;IF($H517="No","NoMFA ","")&amp;IF(AND($E517="Yes",$G517=""),"NeverSignedIn ","")))</f>
        <v/>
      </c>
    </row>
    <row r="518" ht="15" customHeight="1" s="39">
      <c r="A518" s="85" t="n"/>
      <c r="B518" s="85" t="n"/>
      <c r="C518" s="85" t="n"/>
      <c r="D518" s="85" t="n"/>
      <c r="E518" s="85" t="n"/>
      <c r="F518" s="86" t="n"/>
      <c r="G518" s="86" t="n"/>
      <c r="H518" s="85" t="n"/>
      <c r="I518" s="85" t="n"/>
      <c r="J518" s="85" t="n"/>
      <c r="K518" s="85" t="n"/>
      <c r="L518" s="85" t="n"/>
      <c r="M518" s="85" t="n"/>
      <c r="N518" s="85" t="n"/>
      <c r="O518" s="85" t="n"/>
      <c r="P518" s="85" t="n"/>
      <c r="Q518" s="85" t="n"/>
      <c r="R518" s="85" t="n"/>
      <c r="S518" s="85">
        <f>IF($G518="","",TODAY()-$G518)</f>
        <v/>
      </c>
      <c r="T518" s="85">
        <f>IF($A518="","",IF(AND($E518="Yes",OR($O518="No",$O518="NOT FOUND")),"YES",""))</f>
        <v/>
      </c>
      <c r="U518" s="85">
        <f>IF($A518="","",TRIM(IF(AND($M518=0,$I518&lt;&gt;"Yes"),"T0-NoPhishResistant ","")&amp;IF($H518="No","NoMFA ","")&amp;IF(AND($E518="Yes",$G518=""),"NeverSignedIn ","")))</f>
        <v/>
      </c>
    </row>
    <row r="519" ht="15" customHeight="1" s="39">
      <c r="A519" s="85" t="n"/>
      <c r="B519" s="85" t="n"/>
      <c r="C519" s="85" t="n"/>
      <c r="D519" s="85" t="n"/>
      <c r="E519" s="85" t="n"/>
      <c r="F519" s="86" t="n"/>
      <c r="G519" s="86" t="n"/>
      <c r="H519" s="85" t="n"/>
      <c r="I519" s="85" t="n"/>
      <c r="J519" s="85" t="n"/>
      <c r="K519" s="85" t="n"/>
      <c r="L519" s="85" t="n"/>
      <c r="M519" s="85" t="n"/>
      <c r="N519" s="85" t="n"/>
      <c r="O519" s="85" t="n"/>
      <c r="P519" s="85" t="n"/>
      <c r="Q519" s="85" t="n"/>
      <c r="R519" s="85" t="n"/>
      <c r="S519" s="85">
        <f>IF($G519="","",TODAY()-$G519)</f>
        <v/>
      </c>
      <c r="T519" s="85">
        <f>IF($A519="","",IF(AND($E519="Yes",OR($O519="No",$O519="NOT FOUND")),"YES",""))</f>
        <v/>
      </c>
      <c r="U519" s="85">
        <f>IF($A519="","",TRIM(IF(AND($M519=0,$I519&lt;&gt;"Yes"),"T0-NoPhishResistant ","")&amp;IF($H519="No","NoMFA ","")&amp;IF(AND($E519="Yes",$G519=""),"NeverSignedIn ","")))</f>
        <v/>
      </c>
    </row>
    <row r="520" ht="15" customHeight="1" s="39">
      <c r="A520" s="85" t="n"/>
      <c r="B520" s="85" t="n"/>
      <c r="C520" s="85" t="n"/>
      <c r="D520" s="85" t="n"/>
      <c r="E520" s="85" t="n"/>
      <c r="F520" s="86" t="n"/>
      <c r="G520" s="86" t="n"/>
      <c r="H520" s="85" t="n"/>
      <c r="I520" s="85" t="n"/>
      <c r="J520" s="85" t="n"/>
      <c r="K520" s="85" t="n"/>
      <c r="L520" s="85" t="n"/>
      <c r="M520" s="85" t="n"/>
      <c r="N520" s="85" t="n"/>
      <c r="O520" s="85" t="n"/>
      <c r="P520" s="85" t="n"/>
      <c r="Q520" s="85" t="n"/>
      <c r="R520" s="85" t="n"/>
      <c r="S520" s="85">
        <f>IF($G520="","",TODAY()-$G520)</f>
        <v/>
      </c>
      <c r="T520" s="85">
        <f>IF($A520="","",IF(AND($E520="Yes",OR($O520="No",$O520="NOT FOUND")),"YES",""))</f>
        <v/>
      </c>
      <c r="U520" s="85">
        <f>IF($A520="","",TRIM(IF(AND($M520=0,$I520&lt;&gt;"Yes"),"T0-NoPhishResistant ","")&amp;IF($H520="No","NoMFA ","")&amp;IF(AND($E520="Yes",$G520=""),"NeverSignedIn ","")))</f>
        <v/>
      </c>
    </row>
    <row r="521" ht="15" customHeight="1" s="39">
      <c r="A521" s="85" t="n"/>
      <c r="B521" s="85" t="n"/>
      <c r="C521" s="85" t="n"/>
      <c r="D521" s="85" t="n"/>
      <c r="E521" s="85" t="n"/>
      <c r="F521" s="86" t="n"/>
      <c r="G521" s="86" t="n"/>
      <c r="H521" s="85" t="n"/>
      <c r="I521" s="85" t="n"/>
      <c r="J521" s="85" t="n"/>
      <c r="K521" s="85" t="n"/>
      <c r="L521" s="85" t="n"/>
      <c r="M521" s="85" t="n"/>
      <c r="N521" s="85" t="n"/>
      <c r="O521" s="85" t="n"/>
      <c r="P521" s="85" t="n"/>
      <c r="Q521" s="85" t="n"/>
      <c r="R521" s="85" t="n"/>
      <c r="S521" s="85">
        <f>IF($G521="","",TODAY()-$G521)</f>
        <v/>
      </c>
      <c r="T521" s="85">
        <f>IF($A521="","",IF(AND($E521="Yes",OR($O521="No",$O521="NOT FOUND")),"YES",""))</f>
        <v/>
      </c>
      <c r="U521" s="85">
        <f>IF($A521="","",TRIM(IF(AND($M521=0,$I521&lt;&gt;"Yes"),"T0-NoPhishResistant ","")&amp;IF($H521="No","NoMFA ","")&amp;IF(AND($E521="Yes",$G521=""),"NeverSignedIn ","")))</f>
        <v/>
      </c>
    </row>
    <row r="522" ht="15" customHeight="1" s="39">
      <c r="A522" s="85" t="n"/>
      <c r="B522" s="85" t="n"/>
      <c r="C522" s="85" t="n"/>
      <c r="D522" s="85" t="n"/>
      <c r="E522" s="85" t="n"/>
      <c r="F522" s="86" t="n"/>
      <c r="G522" s="86" t="n"/>
      <c r="H522" s="85" t="n"/>
      <c r="I522" s="85" t="n"/>
      <c r="J522" s="85" t="n"/>
      <c r="K522" s="85" t="n"/>
      <c r="L522" s="85" t="n"/>
      <c r="M522" s="85" t="n"/>
      <c r="N522" s="85" t="n"/>
      <c r="O522" s="85" t="n"/>
      <c r="P522" s="85" t="n"/>
      <c r="Q522" s="85" t="n"/>
      <c r="R522" s="85" t="n"/>
      <c r="S522" s="85">
        <f>IF($G522="","",TODAY()-$G522)</f>
        <v/>
      </c>
      <c r="T522" s="85">
        <f>IF($A522="","",IF(AND($E522="Yes",OR($O522="No",$O522="NOT FOUND")),"YES",""))</f>
        <v/>
      </c>
      <c r="U522" s="85">
        <f>IF($A522="","",TRIM(IF(AND($M522=0,$I522&lt;&gt;"Yes"),"T0-NoPhishResistant ","")&amp;IF($H522="No","NoMFA ","")&amp;IF(AND($E522="Yes",$G522=""),"NeverSignedIn ","")))</f>
        <v/>
      </c>
    </row>
    <row r="523" ht="15" customHeight="1" s="39">
      <c r="A523" s="85" t="n"/>
      <c r="B523" s="85" t="n"/>
      <c r="C523" s="85" t="n"/>
      <c r="D523" s="85" t="n"/>
      <c r="E523" s="85" t="n"/>
      <c r="F523" s="86" t="n"/>
      <c r="G523" s="86" t="n"/>
      <c r="H523" s="85" t="n"/>
      <c r="I523" s="85" t="n"/>
      <c r="J523" s="85" t="n"/>
      <c r="K523" s="85" t="n"/>
      <c r="L523" s="85" t="n"/>
      <c r="M523" s="85" t="n"/>
      <c r="N523" s="85" t="n"/>
      <c r="O523" s="85" t="n"/>
      <c r="P523" s="85" t="n"/>
      <c r="Q523" s="85" t="n"/>
      <c r="R523" s="85" t="n"/>
      <c r="S523" s="85">
        <f>IF($G523="","",TODAY()-$G523)</f>
        <v/>
      </c>
      <c r="T523" s="85">
        <f>IF($A523="","",IF(AND($E523="Yes",OR($O523="No",$O523="NOT FOUND")),"YES",""))</f>
        <v/>
      </c>
      <c r="U523" s="85">
        <f>IF($A523="","",TRIM(IF(AND($M523=0,$I523&lt;&gt;"Yes"),"T0-NoPhishResistant ","")&amp;IF($H523="No","NoMFA ","")&amp;IF(AND($E523="Yes",$G523=""),"NeverSignedIn ","")))</f>
        <v/>
      </c>
    </row>
    <row r="524" ht="15" customHeight="1" s="39">
      <c r="A524" s="85" t="n"/>
      <c r="B524" s="85" t="n"/>
      <c r="C524" s="85" t="n"/>
      <c r="D524" s="85" t="n"/>
      <c r="E524" s="85" t="n"/>
      <c r="F524" s="86" t="n"/>
      <c r="G524" s="86" t="n"/>
      <c r="H524" s="85" t="n"/>
      <c r="I524" s="85" t="n"/>
      <c r="J524" s="85" t="n"/>
      <c r="K524" s="85" t="n"/>
      <c r="L524" s="85" t="n"/>
      <c r="M524" s="85" t="n"/>
      <c r="N524" s="85" t="n"/>
      <c r="O524" s="85" t="n"/>
      <c r="P524" s="85" t="n"/>
      <c r="Q524" s="85" t="n"/>
      <c r="R524" s="85" t="n"/>
      <c r="S524" s="85">
        <f>IF($G524="","",TODAY()-$G524)</f>
        <v/>
      </c>
      <c r="T524" s="85">
        <f>IF($A524="","",IF(AND($E524="Yes",OR($O524="No",$O524="NOT FOUND")),"YES",""))</f>
        <v/>
      </c>
      <c r="U524" s="85">
        <f>IF($A524="","",TRIM(IF(AND($M524=0,$I524&lt;&gt;"Yes"),"T0-NoPhishResistant ","")&amp;IF($H524="No","NoMFA ","")&amp;IF(AND($E524="Yes",$G524=""),"NeverSignedIn ","")))</f>
        <v/>
      </c>
    </row>
    <row r="525" ht="15" customHeight="1" s="39">
      <c r="A525" s="85" t="n"/>
      <c r="B525" s="85" t="n"/>
      <c r="C525" s="85" t="n"/>
      <c r="D525" s="85" t="n"/>
      <c r="E525" s="85" t="n"/>
      <c r="F525" s="86" t="n"/>
      <c r="G525" s="86" t="n"/>
      <c r="H525" s="85" t="n"/>
      <c r="I525" s="85" t="n"/>
      <c r="J525" s="85" t="n"/>
      <c r="K525" s="85" t="n"/>
      <c r="L525" s="85" t="n"/>
      <c r="M525" s="85" t="n"/>
      <c r="N525" s="85" t="n"/>
      <c r="O525" s="85" t="n"/>
      <c r="P525" s="85" t="n"/>
      <c r="Q525" s="85" t="n"/>
      <c r="R525" s="85" t="n"/>
      <c r="S525" s="85">
        <f>IF($G525="","",TODAY()-$G525)</f>
        <v/>
      </c>
      <c r="T525" s="85">
        <f>IF($A525="","",IF(AND($E525="Yes",OR($O525="No",$O525="NOT FOUND")),"YES",""))</f>
        <v/>
      </c>
      <c r="U525" s="85">
        <f>IF($A525="","",TRIM(IF(AND($M525=0,$I525&lt;&gt;"Yes"),"T0-NoPhishResistant ","")&amp;IF($H525="No","NoMFA ","")&amp;IF(AND($E525="Yes",$G525=""),"NeverSignedIn ","")))</f>
        <v/>
      </c>
    </row>
    <row r="526" ht="15" customHeight="1" s="39">
      <c r="A526" s="85" t="n"/>
      <c r="B526" s="85" t="n"/>
      <c r="C526" s="85" t="n"/>
      <c r="D526" s="85" t="n"/>
      <c r="E526" s="85" t="n"/>
      <c r="F526" s="86" t="n"/>
      <c r="G526" s="86" t="n"/>
      <c r="H526" s="85" t="n"/>
      <c r="I526" s="85" t="n"/>
      <c r="J526" s="85" t="n"/>
      <c r="K526" s="85" t="n"/>
      <c r="L526" s="85" t="n"/>
      <c r="M526" s="85" t="n"/>
      <c r="N526" s="85" t="n"/>
      <c r="O526" s="85" t="n"/>
      <c r="P526" s="85" t="n"/>
      <c r="Q526" s="85" t="n"/>
      <c r="R526" s="85" t="n"/>
      <c r="S526" s="85">
        <f>IF($G526="","",TODAY()-$G526)</f>
        <v/>
      </c>
      <c r="T526" s="85">
        <f>IF($A526="","",IF(AND($E526="Yes",OR($O526="No",$O526="NOT FOUND")),"YES",""))</f>
        <v/>
      </c>
      <c r="U526" s="85">
        <f>IF($A526="","",TRIM(IF(AND($M526=0,$I526&lt;&gt;"Yes"),"T0-NoPhishResistant ","")&amp;IF($H526="No","NoMFA ","")&amp;IF(AND($E526="Yes",$G526=""),"NeverSignedIn ","")))</f>
        <v/>
      </c>
    </row>
    <row r="527" ht="15" customHeight="1" s="39">
      <c r="A527" s="85" t="n"/>
      <c r="B527" s="85" t="n"/>
      <c r="C527" s="85" t="n"/>
      <c r="D527" s="85" t="n"/>
      <c r="E527" s="85" t="n"/>
      <c r="F527" s="86" t="n"/>
      <c r="G527" s="86" t="n"/>
      <c r="H527" s="85" t="n"/>
      <c r="I527" s="85" t="n"/>
      <c r="J527" s="85" t="n"/>
      <c r="K527" s="85" t="n"/>
      <c r="L527" s="85" t="n"/>
      <c r="M527" s="85" t="n"/>
      <c r="N527" s="85" t="n"/>
      <c r="O527" s="85" t="n"/>
      <c r="P527" s="85" t="n"/>
      <c r="Q527" s="85" t="n"/>
      <c r="R527" s="85" t="n"/>
      <c r="S527" s="85">
        <f>IF($G527="","",TODAY()-$G527)</f>
        <v/>
      </c>
      <c r="T527" s="85">
        <f>IF($A527="","",IF(AND($E527="Yes",OR($O527="No",$O527="NOT FOUND")),"YES",""))</f>
        <v/>
      </c>
      <c r="U527" s="85">
        <f>IF($A527="","",TRIM(IF(AND($M527=0,$I527&lt;&gt;"Yes"),"T0-NoPhishResistant ","")&amp;IF($H527="No","NoMFA ","")&amp;IF(AND($E527="Yes",$G527=""),"NeverSignedIn ","")))</f>
        <v/>
      </c>
    </row>
    <row r="528" ht="15" customHeight="1" s="39">
      <c r="A528" s="85" t="n"/>
      <c r="B528" s="85" t="n"/>
      <c r="C528" s="85" t="n"/>
      <c r="D528" s="85" t="n"/>
      <c r="E528" s="85" t="n"/>
      <c r="F528" s="86" t="n"/>
      <c r="G528" s="86" t="n"/>
      <c r="H528" s="85" t="n"/>
      <c r="I528" s="85" t="n"/>
      <c r="J528" s="85" t="n"/>
      <c r="K528" s="85" t="n"/>
      <c r="L528" s="85" t="n"/>
      <c r="M528" s="85" t="n"/>
      <c r="N528" s="85" t="n"/>
      <c r="O528" s="85" t="n"/>
      <c r="P528" s="85" t="n"/>
      <c r="Q528" s="85" t="n"/>
      <c r="R528" s="85" t="n"/>
      <c r="S528" s="85">
        <f>IF($G528="","",TODAY()-$G528)</f>
        <v/>
      </c>
      <c r="T528" s="85">
        <f>IF($A528="","",IF(AND($E528="Yes",OR($O528="No",$O528="NOT FOUND")),"YES",""))</f>
        <v/>
      </c>
      <c r="U528" s="85">
        <f>IF($A528="","",TRIM(IF(AND($M528=0,$I528&lt;&gt;"Yes"),"T0-NoPhishResistant ","")&amp;IF($H528="No","NoMFA ","")&amp;IF(AND($E528="Yes",$G528=""),"NeverSignedIn ","")))</f>
        <v/>
      </c>
    </row>
    <row r="529" ht="15" customHeight="1" s="39">
      <c r="A529" s="85" t="n"/>
      <c r="B529" s="85" t="n"/>
      <c r="C529" s="85" t="n"/>
      <c r="D529" s="85" t="n"/>
      <c r="E529" s="85" t="n"/>
      <c r="F529" s="86" t="n"/>
      <c r="G529" s="86" t="n"/>
      <c r="H529" s="85" t="n"/>
      <c r="I529" s="85" t="n"/>
      <c r="J529" s="85" t="n"/>
      <c r="K529" s="85" t="n"/>
      <c r="L529" s="85" t="n"/>
      <c r="M529" s="85" t="n"/>
      <c r="N529" s="85" t="n"/>
      <c r="O529" s="85" t="n"/>
      <c r="P529" s="85" t="n"/>
      <c r="Q529" s="85" t="n"/>
      <c r="R529" s="85" t="n"/>
      <c r="S529" s="85">
        <f>IF($G529="","",TODAY()-$G529)</f>
        <v/>
      </c>
      <c r="T529" s="85">
        <f>IF($A529="","",IF(AND($E529="Yes",OR($O529="No",$O529="NOT FOUND")),"YES",""))</f>
        <v/>
      </c>
      <c r="U529" s="85">
        <f>IF($A529="","",TRIM(IF(AND($M529=0,$I529&lt;&gt;"Yes"),"T0-NoPhishResistant ","")&amp;IF($H529="No","NoMFA ","")&amp;IF(AND($E529="Yes",$G529=""),"NeverSignedIn ","")))</f>
        <v/>
      </c>
    </row>
    <row r="530" ht="15" customHeight="1" s="39">
      <c r="A530" s="85" t="n"/>
      <c r="B530" s="85" t="n"/>
      <c r="C530" s="85" t="n"/>
      <c r="D530" s="85" t="n"/>
      <c r="E530" s="85" t="n"/>
      <c r="F530" s="86" t="n"/>
      <c r="G530" s="86" t="n"/>
      <c r="H530" s="85" t="n"/>
      <c r="I530" s="85" t="n"/>
      <c r="J530" s="85" t="n"/>
      <c r="K530" s="85" t="n"/>
      <c r="L530" s="85" t="n"/>
      <c r="M530" s="85" t="n"/>
      <c r="N530" s="85" t="n"/>
      <c r="O530" s="85" t="n"/>
      <c r="P530" s="85" t="n"/>
      <c r="Q530" s="85" t="n"/>
      <c r="R530" s="85" t="n"/>
      <c r="S530" s="85">
        <f>IF($G530="","",TODAY()-$G530)</f>
        <v/>
      </c>
      <c r="T530" s="85">
        <f>IF($A530="","",IF(AND($E530="Yes",OR($O530="No",$O530="NOT FOUND")),"YES",""))</f>
        <v/>
      </c>
      <c r="U530" s="85">
        <f>IF($A530="","",TRIM(IF(AND($M530=0,$I530&lt;&gt;"Yes"),"T0-NoPhishResistant ","")&amp;IF($H530="No","NoMFA ","")&amp;IF(AND($E530="Yes",$G530=""),"NeverSignedIn ","")))</f>
        <v/>
      </c>
    </row>
    <row r="531" ht="15" customHeight="1" s="39">
      <c r="A531" s="85" t="n"/>
      <c r="B531" s="85" t="n"/>
      <c r="C531" s="85" t="n"/>
      <c r="D531" s="85" t="n"/>
      <c r="E531" s="85" t="n"/>
      <c r="F531" s="86" t="n"/>
      <c r="G531" s="86" t="n"/>
      <c r="H531" s="85" t="n"/>
      <c r="I531" s="85" t="n"/>
      <c r="J531" s="85" t="n"/>
      <c r="K531" s="85" t="n"/>
      <c r="L531" s="85" t="n"/>
      <c r="M531" s="85" t="n"/>
      <c r="N531" s="85" t="n"/>
      <c r="O531" s="85" t="n"/>
      <c r="P531" s="85" t="n"/>
      <c r="Q531" s="85" t="n"/>
      <c r="R531" s="85" t="n"/>
      <c r="S531" s="85">
        <f>IF($G531="","",TODAY()-$G531)</f>
        <v/>
      </c>
      <c r="T531" s="85">
        <f>IF($A531="","",IF(AND($E531="Yes",OR($O531="No",$O531="NOT FOUND")),"YES",""))</f>
        <v/>
      </c>
      <c r="U531" s="85">
        <f>IF($A531="","",TRIM(IF(AND($M531=0,$I531&lt;&gt;"Yes"),"T0-NoPhishResistant ","")&amp;IF($H531="No","NoMFA ","")&amp;IF(AND($E531="Yes",$G531=""),"NeverSignedIn ","")))</f>
        <v/>
      </c>
    </row>
    <row r="532" ht="15" customHeight="1" s="39">
      <c r="A532" s="85" t="n"/>
      <c r="B532" s="85" t="n"/>
      <c r="C532" s="85" t="n"/>
      <c r="D532" s="85" t="n"/>
      <c r="E532" s="85" t="n"/>
      <c r="F532" s="86" t="n"/>
      <c r="G532" s="86" t="n"/>
      <c r="H532" s="85" t="n"/>
      <c r="I532" s="85" t="n"/>
      <c r="J532" s="85" t="n"/>
      <c r="K532" s="85" t="n"/>
      <c r="L532" s="85" t="n"/>
      <c r="M532" s="85" t="n"/>
      <c r="N532" s="85" t="n"/>
      <c r="O532" s="85" t="n"/>
      <c r="P532" s="85" t="n"/>
      <c r="Q532" s="85" t="n"/>
      <c r="R532" s="85" t="n"/>
      <c r="S532" s="85">
        <f>IF($G532="","",TODAY()-$G532)</f>
        <v/>
      </c>
      <c r="T532" s="85">
        <f>IF($A532="","",IF(AND($E532="Yes",OR($O532="No",$O532="NOT FOUND")),"YES",""))</f>
        <v/>
      </c>
      <c r="U532" s="85">
        <f>IF($A532="","",TRIM(IF(AND($M532=0,$I532&lt;&gt;"Yes"),"T0-NoPhishResistant ","")&amp;IF($H532="No","NoMFA ","")&amp;IF(AND($E532="Yes",$G532=""),"NeverSignedIn ","")))</f>
        <v/>
      </c>
    </row>
    <row r="533" ht="15" customHeight="1" s="39">
      <c r="A533" s="85" t="n"/>
      <c r="B533" s="85" t="n"/>
      <c r="C533" s="85" t="n"/>
      <c r="D533" s="85" t="n"/>
      <c r="E533" s="85" t="n"/>
      <c r="F533" s="86" t="n"/>
      <c r="G533" s="86" t="n"/>
      <c r="H533" s="85" t="n"/>
      <c r="I533" s="85" t="n"/>
      <c r="J533" s="85" t="n"/>
      <c r="K533" s="85" t="n"/>
      <c r="L533" s="85" t="n"/>
      <c r="M533" s="85" t="n"/>
      <c r="N533" s="85" t="n"/>
      <c r="O533" s="85" t="n"/>
      <c r="P533" s="85" t="n"/>
      <c r="Q533" s="85" t="n"/>
      <c r="R533" s="85" t="n"/>
      <c r="S533" s="85">
        <f>IF($G533="","",TODAY()-$G533)</f>
        <v/>
      </c>
      <c r="T533" s="85">
        <f>IF($A533="","",IF(AND($E533="Yes",OR($O533="No",$O533="NOT FOUND")),"YES",""))</f>
        <v/>
      </c>
      <c r="U533" s="85">
        <f>IF($A533="","",TRIM(IF(AND($M533=0,$I533&lt;&gt;"Yes"),"T0-NoPhishResistant ","")&amp;IF($H533="No","NoMFA ","")&amp;IF(AND($E533="Yes",$G533=""),"NeverSignedIn ","")))</f>
        <v/>
      </c>
    </row>
    <row r="534" ht="15" customHeight="1" s="39">
      <c r="A534" s="85" t="n"/>
      <c r="B534" s="85" t="n"/>
      <c r="C534" s="85" t="n"/>
      <c r="D534" s="85" t="n"/>
      <c r="E534" s="85" t="n"/>
      <c r="F534" s="86" t="n"/>
      <c r="G534" s="86" t="n"/>
      <c r="H534" s="85" t="n"/>
      <c r="I534" s="85" t="n"/>
      <c r="J534" s="85" t="n"/>
      <c r="K534" s="85" t="n"/>
      <c r="L534" s="85" t="n"/>
      <c r="M534" s="85" t="n"/>
      <c r="N534" s="85" t="n"/>
      <c r="O534" s="85" t="n"/>
      <c r="P534" s="85" t="n"/>
      <c r="Q534" s="85" t="n"/>
      <c r="R534" s="85" t="n"/>
      <c r="S534" s="85">
        <f>IF($G534="","",TODAY()-$G534)</f>
        <v/>
      </c>
      <c r="T534" s="85">
        <f>IF($A534="","",IF(AND($E534="Yes",OR($O534="No",$O534="NOT FOUND")),"YES",""))</f>
        <v/>
      </c>
      <c r="U534" s="85">
        <f>IF($A534="","",TRIM(IF(AND($M534=0,$I534&lt;&gt;"Yes"),"T0-NoPhishResistant ","")&amp;IF($H534="No","NoMFA ","")&amp;IF(AND($E534="Yes",$G534=""),"NeverSignedIn ","")))</f>
        <v/>
      </c>
    </row>
    <row r="535" ht="15" customHeight="1" s="39">
      <c r="A535" s="85" t="n"/>
      <c r="B535" s="85" t="n"/>
      <c r="C535" s="85" t="n"/>
      <c r="D535" s="85" t="n"/>
      <c r="E535" s="85" t="n"/>
      <c r="F535" s="86" t="n"/>
      <c r="G535" s="86" t="n"/>
      <c r="H535" s="85" t="n"/>
      <c r="I535" s="85" t="n"/>
      <c r="J535" s="85" t="n"/>
      <c r="K535" s="85" t="n"/>
      <c r="L535" s="85" t="n"/>
      <c r="M535" s="85" t="n"/>
      <c r="N535" s="85" t="n"/>
      <c r="O535" s="85" t="n"/>
      <c r="P535" s="85" t="n"/>
      <c r="Q535" s="85" t="n"/>
      <c r="R535" s="85" t="n"/>
      <c r="S535" s="85">
        <f>IF($G535="","",TODAY()-$G535)</f>
        <v/>
      </c>
      <c r="T535" s="85">
        <f>IF($A535="","",IF(AND($E535="Yes",OR($O535="No",$O535="NOT FOUND")),"YES",""))</f>
        <v/>
      </c>
      <c r="U535" s="85">
        <f>IF($A535="","",TRIM(IF(AND($M535=0,$I535&lt;&gt;"Yes"),"T0-NoPhishResistant ","")&amp;IF($H535="No","NoMFA ","")&amp;IF(AND($E535="Yes",$G535=""),"NeverSignedIn ","")))</f>
        <v/>
      </c>
    </row>
    <row r="536" ht="15" customHeight="1" s="39">
      <c r="A536" s="85" t="n"/>
      <c r="B536" s="85" t="n"/>
      <c r="C536" s="85" t="n"/>
      <c r="D536" s="85" t="n"/>
      <c r="E536" s="85" t="n"/>
      <c r="F536" s="86" t="n"/>
      <c r="G536" s="86" t="n"/>
      <c r="H536" s="85" t="n"/>
      <c r="I536" s="85" t="n"/>
      <c r="J536" s="85" t="n"/>
      <c r="K536" s="85" t="n"/>
      <c r="L536" s="85" t="n"/>
      <c r="M536" s="85" t="n"/>
      <c r="N536" s="85" t="n"/>
      <c r="O536" s="85" t="n"/>
      <c r="P536" s="85" t="n"/>
      <c r="Q536" s="85" t="n"/>
      <c r="R536" s="85" t="n"/>
      <c r="S536" s="85">
        <f>IF($G536="","",TODAY()-$G536)</f>
        <v/>
      </c>
      <c r="T536" s="85">
        <f>IF($A536="","",IF(AND($E536="Yes",OR($O536="No",$O536="NOT FOUND")),"YES",""))</f>
        <v/>
      </c>
      <c r="U536" s="85">
        <f>IF($A536="","",TRIM(IF(AND($M536=0,$I536&lt;&gt;"Yes"),"T0-NoPhishResistant ","")&amp;IF($H536="No","NoMFA ","")&amp;IF(AND($E536="Yes",$G536=""),"NeverSignedIn ","")))</f>
        <v/>
      </c>
    </row>
    <row r="537" ht="15" customHeight="1" s="39">
      <c r="A537" s="85" t="n"/>
      <c r="B537" s="85" t="n"/>
      <c r="C537" s="85" t="n"/>
      <c r="D537" s="85" t="n"/>
      <c r="E537" s="85" t="n"/>
      <c r="F537" s="86" t="n"/>
      <c r="G537" s="86" t="n"/>
      <c r="H537" s="85" t="n"/>
      <c r="I537" s="85" t="n"/>
      <c r="J537" s="85" t="n"/>
      <c r="K537" s="85" t="n"/>
      <c r="L537" s="85" t="n"/>
      <c r="M537" s="85" t="n"/>
      <c r="N537" s="85" t="n"/>
      <c r="O537" s="85" t="n"/>
      <c r="P537" s="85" t="n"/>
      <c r="Q537" s="85" t="n"/>
      <c r="R537" s="85" t="n"/>
      <c r="S537" s="85">
        <f>IF($G537="","",TODAY()-$G537)</f>
        <v/>
      </c>
      <c r="T537" s="85">
        <f>IF($A537="","",IF(AND($E537="Yes",OR($O537="No",$O537="NOT FOUND")),"YES",""))</f>
        <v/>
      </c>
      <c r="U537" s="85">
        <f>IF($A537="","",TRIM(IF(AND($M537=0,$I537&lt;&gt;"Yes"),"T0-NoPhishResistant ","")&amp;IF($H537="No","NoMFA ","")&amp;IF(AND($E537="Yes",$G537=""),"NeverSignedIn ","")))</f>
        <v/>
      </c>
    </row>
    <row r="538" ht="15" customHeight="1" s="39">
      <c r="A538" s="85" t="n"/>
      <c r="B538" s="85" t="n"/>
      <c r="C538" s="85" t="n"/>
      <c r="D538" s="85" t="n"/>
      <c r="E538" s="85" t="n"/>
      <c r="F538" s="86" t="n"/>
      <c r="G538" s="86" t="n"/>
      <c r="H538" s="85" t="n"/>
      <c r="I538" s="85" t="n"/>
      <c r="J538" s="85" t="n"/>
      <c r="K538" s="85" t="n"/>
      <c r="L538" s="85" t="n"/>
      <c r="M538" s="85" t="n"/>
      <c r="N538" s="85" t="n"/>
      <c r="O538" s="85" t="n"/>
      <c r="P538" s="85" t="n"/>
      <c r="Q538" s="85" t="n"/>
      <c r="R538" s="85" t="n"/>
      <c r="S538" s="85">
        <f>IF($G538="","",TODAY()-$G538)</f>
        <v/>
      </c>
      <c r="T538" s="85">
        <f>IF($A538="","",IF(AND($E538="Yes",OR($O538="No",$O538="NOT FOUND")),"YES",""))</f>
        <v/>
      </c>
      <c r="U538" s="85">
        <f>IF($A538="","",TRIM(IF(AND($M538=0,$I538&lt;&gt;"Yes"),"T0-NoPhishResistant ","")&amp;IF($H538="No","NoMFA ","")&amp;IF(AND($E538="Yes",$G538=""),"NeverSignedIn ","")))</f>
        <v/>
      </c>
    </row>
    <row r="539" ht="15" customHeight="1" s="39">
      <c r="A539" s="85" t="n"/>
      <c r="B539" s="85" t="n"/>
      <c r="C539" s="85" t="n"/>
      <c r="D539" s="85" t="n"/>
      <c r="E539" s="85" t="n"/>
      <c r="F539" s="86" t="n"/>
      <c r="G539" s="86" t="n"/>
      <c r="H539" s="85" t="n"/>
      <c r="I539" s="85" t="n"/>
      <c r="J539" s="85" t="n"/>
      <c r="K539" s="85" t="n"/>
      <c r="L539" s="85" t="n"/>
      <c r="M539" s="85" t="n"/>
      <c r="N539" s="85" t="n"/>
      <c r="O539" s="85" t="n"/>
      <c r="P539" s="85" t="n"/>
      <c r="Q539" s="85" t="n"/>
      <c r="R539" s="85" t="n"/>
      <c r="S539" s="85">
        <f>IF($G539="","",TODAY()-$G539)</f>
        <v/>
      </c>
      <c r="T539" s="85">
        <f>IF($A539="","",IF(AND($E539="Yes",OR($O539="No",$O539="NOT FOUND")),"YES",""))</f>
        <v/>
      </c>
      <c r="U539" s="85">
        <f>IF($A539="","",TRIM(IF(AND($M539=0,$I539&lt;&gt;"Yes"),"T0-NoPhishResistant ","")&amp;IF($H539="No","NoMFA ","")&amp;IF(AND($E539="Yes",$G539=""),"NeverSignedIn ","")))</f>
        <v/>
      </c>
    </row>
    <row r="540" ht="15" customHeight="1" s="39">
      <c r="A540" s="85" t="n"/>
      <c r="B540" s="85" t="n"/>
      <c r="C540" s="85" t="n"/>
      <c r="D540" s="85" t="n"/>
      <c r="E540" s="85" t="n"/>
      <c r="F540" s="86" t="n"/>
      <c r="G540" s="86" t="n"/>
      <c r="H540" s="85" t="n"/>
      <c r="I540" s="85" t="n"/>
      <c r="J540" s="85" t="n"/>
      <c r="K540" s="85" t="n"/>
      <c r="L540" s="85" t="n"/>
      <c r="M540" s="85" t="n"/>
      <c r="N540" s="85" t="n"/>
      <c r="O540" s="85" t="n"/>
      <c r="P540" s="85" t="n"/>
      <c r="Q540" s="85" t="n"/>
      <c r="R540" s="85" t="n"/>
      <c r="S540" s="85">
        <f>IF($G540="","",TODAY()-$G540)</f>
        <v/>
      </c>
      <c r="T540" s="85">
        <f>IF($A540="","",IF(AND($E540="Yes",OR($O540="No",$O540="NOT FOUND")),"YES",""))</f>
        <v/>
      </c>
      <c r="U540" s="85">
        <f>IF($A540="","",TRIM(IF(AND($M540=0,$I540&lt;&gt;"Yes"),"T0-NoPhishResistant ","")&amp;IF($H540="No","NoMFA ","")&amp;IF(AND($E540="Yes",$G540=""),"NeverSignedIn ","")))</f>
        <v/>
      </c>
    </row>
    <row r="541" ht="15" customHeight="1" s="39">
      <c r="A541" s="85" t="n"/>
      <c r="B541" s="85" t="n"/>
      <c r="C541" s="85" t="n"/>
      <c r="D541" s="85" t="n"/>
      <c r="E541" s="85" t="n"/>
      <c r="F541" s="86" t="n"/>
      <c r="G541" s="86" t="n"/>
      <c r="H541" s="85" t="n"/>
      <c r="I541" s="85" t="n"/>
      <c r="J541" s="85" t="n"/>
      <c r="K541" s="85" t="n"/>
      <c r="L541" s="85" t="n"/>
      <c r="M541" s="85" t="n"/>
      <c r="N541" s="85" t="n"/>
      <c r="O541" s="85" t="n"/>
      <c r="P541" s="85" t="n"/>
      <c r="Q541" s="85" t="n"/>
      <c r="R541" s="85" t="n"/>
      <c r="S541" s="85">
        <f>IF($G541="","",TODAY()-$G541)</f>
        <v/>
      </c>
      <c r="T541" s="85">
        <f>IF($A541="","",IF(AND($E541="Yes",OR($O541="No",$O541="NOT FOUND")),"YES",""))</f>
        <v/>
      </c>
      <c r="U541" s="85">
        <f>IF($A541="","",TRIM(IF(AND($M541=0,$I541&lt;&gt;"Yes"),"T0-NoPhishResistant ","")&amp;IF($H541="No","NoMFA ","")&amp;IF(AND($E541="Yes",$G541=""),"NeverSignedIn ","")))</f>
        <v/>
      </c>
    </row>
    <row r="542" ht="15" customHeight="1" s="39">
      <c r="A542" s="85" t="n"/>
      <c r="B542" s="85" t="n"/>
      <c r="C542" s="85" t="n"/>
      <c r="D542" s="85" t="n"/>
      <c r="E542" s="85" t="n"/>
      <c r="F542" s="86" t="n"/>
      <c r="G542" s="86" t="n"/>
      <c r="H542" s="85" t="n"/>
      <c r="I542" s="85" t="n"/>
      <c r="J542" s="85" t="n"/>
      <c r="K542" s="85" t="n"/>
      <c r="L542" s="85" t="n"/>
      <c r="M542" s="85" t="n"/>
      <c r="N542" s="85" t="n"/>
      <c r="O542" s="85" t="n"/>
      <c r="P542" s="85" t="n"/>
      <c r="Q542" s="85" t="n"/>
      <c r="R542" s="85" t="n"/>
      <c r="S542" s="85">
        <f>IF($G542="","",TODAY()-$G542)</f>
        <v/>
      </c>
      <c r="T542" s="85">
        <f>IF($A542="","",IF(AND($E542="Yes",OR($O542="No",$O542="NOT FOUND")),"YES",""))</f>
        <v/>
      </c>
      <c r="U542" s="85">
        <f>IF($A542="","",TRIM(IF(AND($M542=0,$I542&lt;&gt;"Yes"),"T0-NoPhishResistant ","")&amp;IF($H542="No","NoMFA ","")&amp;IF(AND($E542="Yes",$G542=""),"NeverSignedIn ","")))</f>
        <v/>
      </c>
    </row>
    <row r="543" ht="15" customHeight="1" s="39">
      <c r="A543" s="85" t="n"/>
      <c r="B543" s="85" t="n"/>
      <c r="C543" s="85" t="n"/>
      <c r="D543" s="85" t="n"/>
      <c r="E543" s="85" t="n"/>
      <c r="F543" s="86" t="n"/>
      <c r="G543" s="86" t="n"/>
      <c r="H543" s="85" t="n"/>
      <c r="I543" s="85" t="n"/>
      <c r="J543" s="85" t="n"/>
      <c r="K543" s="85" t="n"/>
      <c r="L543" s="85" t="n"/>
      <c r="M543" s="85" t="n"/>
      <c r="N543" s="85" t="n"/>
      <c r="O543" s="85" t="n"/>
      <c r="P543" s="85" t="n"/>
      <c r="Q543" s="85" t="n"/>
      <c r="R543" s="85" t="n"/>
      <c r="S543" s="85">
        <f>IF($G543="","",TODAY()-$G543)</f>
        <v/>
      </c>
      <c r="T543" s="85">
        <f>IF($A543="","",IF(AND($E543="Yes",OR($O543="No",$O543="NOT FOUND")),"YES",""))</f>
        <v/>
      </c>
      <c r="U543" s="85">
        <f>IF($A543="","",TRIM(IF(AND($M543=0,$I543&lt;&gt;"Yes"),"T0-NoPhishResistant ","")&amp;IF($H543="No","NoMFA ","")&amp;IF(AND($E543="Yes",$G543=""),"NeverSignedIn ","")))</f>
        <v/>
      </c>
    </row>
    <row r="544" ht="15" customHeight="1" s="39">
      <c r="A544" s="85" t="n"/>
      <c r="B544" s="85" t="n"/>
      <c r="C544" s="85" t="n"/>
      <c r="D544" s="85" t="n"/>
      <c r="E544" s="85" t="n"/>
      <c r="F544" s="86" t="n"/>
      <c r="G544" s="86" t="n"/>
      <c r="H544" s="85" t="n"/>
      <c r="I544" s="85" t="n"/>
      <c r="J544" s="85" t="n"/>
      <c r="K544" s="85" t="n"/>
      <c r="L544" s="85" t="n"/>
      <c r="M544" s="85" t="n"/>
      <c r="N544" s="85" t="n"/>
      <c r="O544" s="85" t="n"/>
      <c r="P544" s="85" t="n"/>
      <c r="Q544" s="85" t="n"/>
      <c r="R544" s="85" t="n"/>
      <c r="S544" s="85">
        <f>IF($G544="","",TODAY()-$G544)</f>
        <v/>
      </c>
      <c r="T544" s="85">
        <f>IF($A544="","",IF(AND($E544="Yes",OR($O544="No",$O544="NOT FOUND")),"YES",""))</f>
        <v/>
      </c>
      <c r="U544" s="85">
        <f>IF($A544="","",TRIM(IF(AND($M544=0,$I544&lt;&gt;"Yes"),"T0-NoPhishResistant ","")&amp;IF($H544="No","NoMFA ","")&amp;IF(AND($E544="Yes",$G544=""),"NeverSignedIn ","")))</f>
        <v/>
      </c>
    </row>
    <row r="545" ht="15" customHeight="1" s="39">
      <c r="A545" s="85" t="n"/>
      <c r="B545" s="85" t="n"/>
      <c r="C545" s="85" t="n"/>
      <c r="D545" s="85" t="n"/>
      <c r="E545" s="85" t="n"/>
      <c r="F545" s="86" t="n"/>
      <c r="G545" s="86" t="n"/>
      <c r="H545" s="85" t="n"/>
      <c r="I545" s="85" t="n"/>
      <c r="J545" s="85" t="n"/>
      <c r="K545" s="85" t="n"/>
      <c r="L545" s="85" t="n"/>
      <c r="M545" s="85" t="n"/>
      <c r="N545" s="85" t="n"/>
      <c r="O545" s="85" t="n"/>
      <c r="P545" s="85" t="n"/>
      <c r="Q545" s="85" t="n"/>
      <c r="R545" s="85" t="n"/>
      <c r="S545" s="85">
        <f>IF($G545="","",TODAY()-$G545)</f>
        <v/>
      </c>
      <c r="T545" s="85">
        <f>IF($A545="","",IF(AND($E545="Yes",OR($O545="No",$O545="NOT FOUND")),"YES",""))</f>
        <v/>
      </c>
      <c r="U545" s="85">
        <f>IF($A545="","",TRIM(IF(AND($M545=0,$I545&lt;&gt;"Yes"),"T0-NoPhishResistant ","")&amp;IF($H545="No","NoMFA ","")&amp;IF(AND($E545="Yes",$G545=""),"NeverSignedIn ","")))</f>
        <v/>
      </c>
    </row>
    <row r="546" ht="15" customHeight="1" s="39">
      <c r="A546" s="85" t="n"/>
      <c r="B546" s="85" t="n"/>
      <c r="C546" s="85" t="n"/>
      <c r="D546" s="85" t="n"/>
      <c r="E546" s="85" t="n"/>
      <c r="F546" s="86" t="n"/>
      <c r="G546" s="86" t="n"/>
      <c r="H546" s="85" t="n"/>
      <c r="I546" s="85" t="n"/>
      <c r="J546" s="85" t="n"/>
      <c r="K546" s="85" t="n"/>
      <c r="L546" s="85" t="n"/>
      <c r="M546" s="85" t="n"/>
      <c r="N546" s="85" t="n"/>
      <c r="O546" s="85" t="n"/>
      <c r="P546" s="85" t="n"/>
      <c r="Q546" s="85" t="n"/>
      <c r="R546" s="85" t="n"/>
      <c r="S546" s="85">
        <f>IF($G546="","",TODAY()-$G546)</f>
        <v/>
      </c>
      <c r="T546" s="85">
        <f>IF($A546="","",IF(AND($E546="Yes",OR($O546="No",$O546="NOT FOUND")),"YES",""))</f>
        <v/>
      </c>
      <c r="U546" s="85">
        <f>IF($A546="","",TRIM(IF(AND($M546=0,$I546&lt;&gt;"Yes"),"T0-NoPhishResistant ","")&amp;IF($H546="No","NoMFA ","")&amp;IF(AND($E546="Yes",$G546=""),"NeverSignedIn ","")))</f>
        <v/>
      </c>
    </row>
    <row r="547" ht="15" customHeight="1" s="39">
      <c r="A547" s="85" t="n"/>
      <c r="B547" s="85" t="n"/>
      <c r="C547" s="85" t="n"/>
      <c r="D547" s="85" t="n"/>
      <c r="E547" s="85" t="n"/>
      <c r="F547" s="86" t="n"/>
      <c r="G547" s="86" t="n"/>
      <c r="H547" s="85" t="n"/>
      <c r="I547" s="85" t="n"/>
      <c r="J547" s="85" t="n"/>
      <c r="K547" s="85" t="n"/>
      <c r="L547" s="85" t="n"/>
      <c r="M547" s="85" t="n"/>
      <c r="N547" s="85" t="n"/>
      <c r="O547" s="85" t="n"/>
      <c r="P547" s="85" t="n"/>
      <c r="Q547" s="85" t="n"/>
      <c r="R547" s="85" t="n"/>
      <c r="S547" s="85">
        <f>IF($G547="","",TODAY()-$G547)</f>
        <v/>
      </c>
      <c r="T547" s="85">
        <f>IF($A547="","",IF(AND($E547="Yes",OR($O547="No",$O547="NOT FOUND")),"YES",""))</f>
        <v/>
      </c>
      <c r="U547" s="85">
        <f>IF($A547="","",TRIM(IF(AND($M547=0,$I547&lt;&gt;"Yes"),"T0-NoPhishResistant ","")&amp;IF($H547="No","NoMFA ","")&amp;IF(AND($E547="Yes",$G547=""),"NeverSignedIn ","")))</f>
        <v/>
      </c>
    </row>
    <row r="548" ht="15" customHeight="1" s="39">
      <c r="A548" s="85" t="n"/>
      <c r="B548" s="85" t="n"/>
      <c r="C548" s="85" t="n"/>
      <c r="D548" s="85" t="n"/>
      <c r="E548" s="85" t="n"/>
      <c r="F548" s="86" t="n"/>
      <c r="G548" s="86" t="n"/>
      <c r="H548" s="85" t="n"/>
      <c r="I548" s="85" t="n"/>
      <c r="J548" s="85" t="n"/>
      <c r="K548" s="85" t="n"/>
      <c r="L548" s="85" t="n"/>
      <c r="M548" s="85" t="n"/>
      <c r="N548" s="85" t="n"/>
      <c r="O548" s="85" t="n"/>
      <c r="P548" s="85" t="n"/>
      <c r="Q548" s="85" t="n"/>
      <c r="R548" s="85" t="n"/>
      <c r="S548" s="85">
        <f>IF($G548="","",TODAY()-$G548)</f>
        <v/>
      </c>
      <c r="T548" s="85">
        <f>IF($A548="","",IF(AND($E548="Yes",OR($O548="No",$O548="NOT FOUND")),"YES",""))</f>
        <v/>
      </c>
      <c r="U548" s="85">
        <f>IF($A548="","",TRIM(IF(AND($M548=0,$I548&lt;&gt;"Yes"),"T0-NoPhishResistant ","")&amp;IF($H548="No","NoMFA ","")&amp;IF(AND($E548="Yes",$G548=""),"NeverSignedIn ","")))</f>
        <v/>
      </c>
    </row>
    <row r="549" ht="15" customHeight="1" s="39">
      <c r="A549" s="85" t="n"/>
      <c r="B549" s="85" t="n"/>
      <c r="C549" s="85" t="n"/>
      <c r="D549" s="85" t="n"/>
      <c r="E549" s="85" t="n"/>
      <c r="F549" s="86" t="n"/>
      <c r="G549" s="86" t="n"/>
      <c r="H549" s="85" t="n"/>
      <c r="I549" s="85" t="n"/>
      <c r="J549" s="85" t="n"/>
      <c r="K549" s="85" t="n"/>
      <c r="L549" s="85" t="n"/>
      <c r="M549" s="85" t="n"/>
      <c r="N549" s="85" t="n"/>
      <c r="O549" s="85" t="n"/>
      <c r="P549" s="85" t="n"/>
      <c r="Q549" s="85" t="n"/>
      <c r="R549" s="85" t="n"/>
      <c r="S549" s="85">
        <f>IF($G549="","",TODAY()-$G549)</f>
        <v/>
      </c>
      <c r="T549" s="85">
        <f>IF($A549="","",IF(AND($E549="Yes",OR($O549="No",$O549="NOT FOUND")),"YES",""))</f>
        <v/>
      </c>
      <c r="U549" s="85">
        <f>IF($A549="","",TRIM(IF(AND($M549=0,$I549&lt;&gt;"Yes"),"T0-NoPhishResistant ","")&amp;IF($H549="No","NoMFA ","")&amp;IF(AND($E549="Yes",$G549=""),"NeverSignedIn ","")))</f>
        <v/>
      </c>
    </row>
    <row r="550" ht="15" customHeight="1" s="39">
      <c r="A550" s="85" t="n"/>
      <c r="B550" s="85" t="n"/>
      <c r="C550" s="85" t="n"/>
      <c r="D550" s="85" t="n"/>
      <c r="E550" s="85" t="n"/>
      <c r="F550" s="86" t="n"/>
      <c r="G550" s="86" t="n"/>
      <c r="H550" s="85" t="n"/>
      <c r="I550" s="85" t="n"/>
      <c r="J550" s="85" t="n"/>
      <c r="K550" s="85" t="n"/>
      <c r="L550" s="85" t="n"/>
      <c r="M550" s="85" t="n"/>
      <c r="N550" s="85" t="n"/>
      <c r="O550" s="85" t="n"/>
      <c r="P550" s="85" t="n"/>
      <c r="Q550" s="85" t="n"/>
      <c r="R550" s="85" t="n"/>
      <c r="S550" s="85">
        <f>IF($G550="","",TODAY()-$G550)</f>
        <v/>
      </c>
      <c r="T550" s="85">
        <f>IF($A550="","",IF(AND($E550="Yes",OR($O550="No",$O550="NOT FOUND")),"YES",""))</f>
        <v/>
      </c>
      <c r="U550" s="85">
        <f>IF($A550="","",TRIM(IF(AND($M550=0,$I550&lt;&gt;"Yes"),"T0-NoPhishResistant ","")&amp;IF($H550="No","NoMFA ","")&amp;IF(AND($E550="Yes",$G550=""),"NeverSignedIn ","")))</f>
        <v/>
      </c>
    </row>
    <row r="551" ht="15" customHeight="1" s="39">
      <c r="A551" s="85" t="n"/>
      <c r="B551" s="85" t="n"/>
      <c r="C551" s="85" t="n"/>
      <c r="D551" s="85" t="n"/>
      <c r="E551" s="85" t="n"/>
      <c r="F551" s="86" t="n"/>
      <c r="G551" s="86" t="n"/>
      <c r="H551" s="85" t="n"/>
      <c r="I551" s="85" t="n"/>
      <c r="J551" s="85" t="n"/>
      <c r="K551" s="85" t="n"/>
      <c r="L551" s="85" t="n"/>
      <c r="M551" s="85" t="n"/>
      <c r="N551" s="85" t="n"/>
      <c r="O551" s="85" t="n"/>
      <c r="P551" s="85" t="n"/>
      <c r="Q551" s="85" t="n"/>
      <c r="R551" s="85" t="n"/>
      <c r="S551" s="85">
        <f>IF($G551="","",TODAY()-$G551)</f>
        <v/>
      </c>
      <c r="T551" s="85">
        <f>IF($A551="","",IF(AND($E551="Yes",OR($O551="No",$O551="NOT FOUND")),"YES",""))</f>
        <v/>
      </c>
      <c r="U551" s="85">
        <f>IF($A551="","",TRIM(IF(AND($M551=0,$I551&lt;&gt;"Yes"),"T0-NoPhishResistant ","")&amp;IF($H551="No","NoMFA ","")&amp;IF(AND($E551="Yes",$G551=""),"NeverSignedIn ","")))</f>
        <v/>
      </c>
    </row>
    <row r="552" ht="15" customHeight="1" s="39">
      <c r="A552" s="85" t="n"/>
      <c r="B552" s="85" t="n"/>
      <c r="C552" s="85" t="n"/>
      <c r="D552" s="85" t="n"/>
      <c r="E552" s="85" t="n"/>
      <c r="F552" s="86" t="n"/>
      <c r="G552" s="86" t="n"/>
      <c r="H552" s="85" t="n"/>
      <c r="I552" s="85" t="n"/>
      <c r="J552" s="85" t="n"/>
      <c r="K552" s="85" t="n"/>
      <c r="L552" s="85" t="n"/>
      <c r="M552" s="85" t="n"/>
      <c r="N552" s="85" t="n"/>
      <c r="O552" s="85" t="n"/>
      <c r="P552" s="85" t="n"/>
      <c r="Q552" s="85" t="n"/>
      <c r="R552" s="85" t="n"/>
      <c r="S552" s="85">
        <f>IF($G552="","",TODAY()-$G552)</f>
        <v/>
      </c>
      <c r="T552" s="85">
        <f>IF($A552="","",IF(AND($E552="Yes",OR($O552="No",$O552="NOT FOUND")),"YES",""))</f>
        <v/>
      </c>
      <c r="U552" s="85">
        <f>IF($A552="","",TRIM(IF(AND($M552=0,$I552&lt;&gt;"Yes"),"T0-NoPhishResistant ","")&amp;IF($H552="No","NoMFA ","")&amp;IF(AND($E552="Yes",$G552=""),"NeverSignedIn ","")))</f>
        <v/>
      </c>
    </row>
    <row r="553" ht="15" customHeight="1" s="39">
      <c r="A553" s="85" t="n"/>
      <c r="B553" s="85" t="n"/>
      <c r="C553" s="85" t="n"/>
      <c r="D553" s="85" t="n"/>
      <c r="E553" s="85" t="n"/>
      <c r="F553" s="86" t="n"/>
      <c r="G553" s="86" t="n"/>
      <c r="H553" s="85" t="n"/>
      <c r="I553" s="85" t="n"/>
      <c r="J553" s="85" t="n"/>
      <c r="K553" s="85" t="n"/>
      <c r="L553" s="85" t="n"/>
      <c r="M553" s="85" t="n"/>
      <c r="N553" s="85" t="n"/>
      <c r="O553" s="85" t="n"/>
      <c r="P553" s="85" t="n"/>
      <c r="Q553" s="85" t="n"/>
      <c r="R553" s="85" t="n"/>
      <c r="S553" s="85">
        <f>IF($G553="","",TODAY()-$G553)</f>
        <v/>
      </c>
      <c r="T553" s="85">
        <f>IF($A553="","",IF(AND($E553="Yes",OR($O553="No",$O553="NOT FOUND")),"YES",""))</f>
        <v/>
      </c>
      <c r="U553" s="85">
        <f>IF($A553="","",TRIM(IF(AND($M553=0,$I553&lt;&gt;"Yes"),"T0-NoPhishResistant ","")&amp;IF($H553="No","NoMFA ","")&amp;IF(AND($E553="Yes",$G553=""),"NeverSignedIn ","")))</f>
        <v/>
      </c>
    </row>
    <row r="554" ht="15" customHeight="1" s="39">
      <c r="A554" s="85" t="n"/>
      <c r="B554" s="85" t="n"/>
      <c r="C554" s="85" t="n"/>
      <c r="D554" s="85" t="n"/>
      <c r="E554" s="85" t="n"/>
      <c r="F554" s="86" t="n"/>
      <c r="G554" s="86" t="n"/>
      <c r="H554" s="85" t="n"/>
      <c r="I554" s="85" t="n"/>
      <c r="J554" s="85" t="n"/>
      <c r="K554" s="85" t="n"/>
      <c r="L554" s="85" t="n"/>
      <c r="M554" s="85" t="n"/>
      <c r="N554" s="85" t="n"/>
      <c r="O554" s="85" t="n"/>
      <c r="P554" s="85" t="n"/>
      <c r="Q554" s="85" t="n"/>
      <c r="R554" s="85" t="n"/>
      <c r="S554" s="85">
        <f>IF($G554="","",TODAY()-$G554)</f>
        <v/>
      </c>
      <c r="T554" s="85">
        <f>IF($A554="","",IF(AND($E554="Yes",OR($O554="No",$O554="NOT FOUND")),"YES",""))</f>
        <v/>
      </c>
      <c r="U554" s="85">
        <f>IF($A554="","",TRIM(IF(AND($M554=0,$I554&lt;&gt;"Yes"),"T0-NoPhishResistant ","")&amp;IF($H554="No","NoMFA ","")&amp;IF(AND($E554="Yes",$G554=""),"NeverSignedIn ","")))</f>
        <v/>
      </c>
    </row>
    <row r="555" ht="15" customHeight="1" s="39">
      <c r="A555" s="85" t="n"/>
      <c r="B555" s="85" t="n"/>
      <c r="C555" s="85" t="n"/>
      <c r="D555" s="85" t="n"/>
      <c r="E555" s="85" t="n"/>
      <c r="F555" s="86" t="n"/>
      <c r="G555" s="86" t="n"/>
      <c r="H555" s="85" t="n"/>
      <c r="I555" s="85" t="n"/>
      <c r="J555" s="85" t="n"/>
      <c r="K555" s="85" t="n"/>
      <c r="L555" s="85" t="n"/>
      <c r="M555" s="85" t="n"/>
      <c r="N555" s="85" t="n"/>
      <c r="O555" s="85" t="n"/>
      <c r="P555" s="85" t="n"/>
      <c r="Q555" s="85" t="n"/>
      <c r="R555" s="85" t="n"/>
      <c r="S555" s="85">
        <f>IF($G555="","",TODAY()-$G555)</f>
        <v/>
      </c>
      <c r="T555" s="85">
        <f>IF($A555="","",IF(AND($E555="Yes",OR($O555="No",$O555="NOT FOUND")),"YES",""))</f>
        <v/>
      </c>
      <c r="U555" s="85">
        <f>IF($A555="","",TRIM(IF(AND($M555=0,$I555&lt;&gt;"Yes"),"T0-NoPhishResistant ","")&amp;IF($H555="No","NoMFA ","")&amp;IF(AND($E555="Yes",$G555=""),"NeverSignedIn ","")))</f>
        <v/>
      </c>
    </row>
    <row r="556" ht="15" customHeight="1" s="39">
      <c r="A556" s="85" t="n"/>
      <c r="B556" s="85" t="n"/>
      <c r="C556" s="85" t="n"/>
      <c r="D556" s="85" t="n"/>
      <c r="E556" s="85" t="n"/>
      <c r="F556" s="86" t="n"/>
      <c r="G556" s="86" t="n"/>
      <c r="H556" s="85" t="n"/>
      <c r="I556" s="85" t="n"/>
      <c r="J556" s="85" t="n"/>
      <c r="K556" s="85" t="n"/>
      <c r="L556" s="85" t="n"/>
      <c r="M556" s="85" t="n"/>
      <c r="N556" s="85" t="n"/>
      <c r="O556" s="85" t="n"/>
      <c r="P556" s="85" t="n"/>
      <c r="Q556" s="85" t="n"/>
      <c r="R556" s="85" t="n"/>
      <c r="S556" s="85">
        <f>IF($G556="","",TODAY()-$G556)</f>
        <v/>
      </c>
      <c r="T556" s="85">
        <f>IF($A556="","",IF(AND($E556="Yes",OR($O556="No",$O556="NOT FOUND")),"YES",""))</f>
        <v/>
      </c>
      <c r="U556" s="85">
        <f>IF($A556="","",TRIM(IF(AND($M556=0,$I556&lt;&gt;"Yes"),"T0-NoPhishResistant ","")&amp;IF($H556="No","NoMFA ","")&amp;IF(AND($E556="Yes",$G556=""),"NeverSignedIn ","")))</f>
        <v/>
      </c>
    </row>
    <row r="557" ht="15" customHeight="1" s="39">
      <c r="A557" s="85" t="n"/>
      <c r="B557" s="85" t="n"/>
      <c r="C557" s="85" t="n"/>
      <c r="D557" s="85" t="n"/>
      <c r="E557" s="85" t="n"/>
      <c r="F557" s="86" t="n"/>
      <c r="G557" s="86" t="n"/>
      <c r="H557" s="85" t="n"/>
      <c r="I557" s="85" t="n"/>
      <c r="J557" s="85" t="n"/>
      <c r="K557" s="85" t="n"/>
      <c r="L557" s="85" t="n"/>
      <c r="M557" s="85" t="n"/>
      <c r="N557" s="85" t="n"/>
      <c r="O557" s="85" t="n"/>
      <c r="P557" s="85" t="n"/>
      <c r="Q557" s="85" t="n"/>
      <c r="R557" s="85" t="n"/>
      <c r="S557" s="85">
        <f>IF($G557="","",TODAY()-$G557)</f>
        <v/>
      </c>
      <c r="T557" s="85">
        <f>IF($A557="","",IF(AND($E557="Yes",OR($O557="No",$O557="NOT FOUND")),"YES",""))</f>
        <v/>
      </c>
      <c r="U557" s="85">
        <f>IF($A557="","",TRIM(IF(AND($M557=0,$I557&lt;&gt;"Yes"),"T0-NoPhishResistant ","")&amp;IF($H557="No","NoMFA ","")&amp;IF(AND($E557="Yes",$G557=""),"NeverSignedIn ","")))</f>
        <v/>
      </c>
    </row>
    <row r="558" ht="15" customHeight="1" s="39">
      <c r="A558" s="85" t="n"/>
      <c r="B558" s="85" t="n"/>
      <c r="C558" s="85" t="n"/>
      <c r="D558" s="85" t="n"/>
      <c r="E558" s="85" t="n"/>
      <c r="F558" s="86" t="n"/>
      <c r="G558" s="86" t="n"/>
      <c r="H558" s="85" t="n"/>
      <c r="I558" s="85" t="n"/>
      <c r="J558" s="85" t="n"/>
      <c r="K558" s="85" t="n"/>
      <c r="L558" s="85" t="n"/>
      <c r="M558" s="85" t="n"/>
      <c r="N558" s="85" t="n"/>
      <c r="O558" s="85" t="n"/>
      <c r="P558" s="85" t="n"/>
      <c r="Q558" s="85" t="n"/>
      <c r="R558" s="85" t="n"/>
      <c r="S558" s="85">
        <f>IF($G558="","",TODAY()-$G558)</f>
        <v/>
      </c>
      <c r="T558" s="85">
        <f>IF($A558="","",IF(AND($E558="Yes",OR($O558="No",$O558="NOT FOUND")),"YES",""))</f>
        <v/>
      </c>
      <c r="U558" s="85">
        <f>IF($A558="","",TRIM(IF(AND($M558=0,$I558&lt;&gt;"Yes"),"T0-NoPhishResistant ","")&amp;IF($H558="No","NoMFA ","")&amp;IF(AND($E558="Yes",$G558=""),"NeverSignedIn ","")))</f>
        <v/>
      </c>
    </row>
    <row r="559" ht="15" customHeight="1" s="39">
      <c r="A559" s="85" t="n"/>
      <c r="B559" s="85" t="n"/>
      <c r="C559" s="85" t="n"/>
      <c r="D559" s="85" t="n"/>
      <c r="E559" s="85" t="n"/>
      <c r="F559" s="86" t="n"/>
      <c r="G559" s="86" t="n"/>
      <c r="H559" s="85" t="n"/>
      <c r="I559" s="85" t="n"/>
      <c r="J559" s="85" t="n"/>
      <c r="K559" s="85" t="n"/>
      <c r="L559" s="85" t="n"/>
      <c r="M559" s="85" t="n"/>
      <c r="N559" s="85" t="n"/>
      <c r="O559" s="85" t="n"/>
      <c r="P559" s="85" t="n"/>
      <c r="Q559" s="85" t="n"/>
      <c r="R559" s="85" t="n"/>
      <c r="S559" s="85">
        <f>IF($G559="","",TODAY()-$G559)</f>
        <v/>
      </c>
      <c r="T559" s="85">
        <f>IF($A559="","",IF(AND($E559="Yes",OR($O559="No",$O559="NOT FOUND")),"YES",""))</f>
        <v/>
      </c>
      <c r="U559" s="85">
        <f>IF($A559="","",TRIM(IF(AND($M559=0,$I559&lt;&gt;"Yes"),"T0-NoPhishResistant ","")&amp;IF($H559="No","NoMFA ","")&amp;IF(AND($E559="Yes",$G559=""),"NeverSignedIn ","")))</f>
        <v/>
      </c>
    </row>
    <row r="560" ht="15" customHeight="1" s="39">
      <c r="A560" s="85" t="n"/>
      <c r="B560" s="85" t="n"/>
      <c r="C560" s="85" t="n"/>
      <c r="D560" s="85" t="n"/>
      <c r="E560" s="85" t="n"/>
      <c r="F560" s="86" t="n"/>
      <c r="G560" s="86" t="n"/>
      <c r="H560" s="85" t="n"/>
      <c r="I560" s="85" t="n"/>
      <c r="J560" s="85" t="n"/>
      <c r="K560" s="85" t="n"/>
      <c r="L560" s="85" t="n"/>
      <c r="M560" s="85" t="n"/>
      <c r="N560" s="85" t="n"/>
      <c r="O560" s="85" t="n"/>
      <c r="P560" s="85" t="n"/>
      <c r="Q560" s="85" t="n"/>
      <c r="R560" s="85" t="n"/>
      <c r="S560" s="85">
        <f>IF($G560="","",TODAY()-$G560)</f>
        <v/>
      </c>
      <c r="T560" s="85">
        <f>IF($A560="","",IF(AND($E560="Yes",OR($O560="No",$O560="NOT FOUND")),"YES",""))</f>
        <v/>
      </c>
      <c r="U560" s="85">
        <f>IF($A560="","",TRIM(IF(AND($M560=0,$I560&lt;&gt;"Yes"),"T0-NoPhishResistant ","")&amp;IF($H560="No","NoMFA ","")&amp;IF(AND($E560="Yes",$G560=""),"NeverSignedIn ","")))</f>
        <v/>
      </c>
    </row>
    <row r="561" ht="15" customHeight="1" s="39">
      <c r="A561" s="85" t="n"/>
      <c r="B561" s="85" t="n"/>
      <c r="C561" s="85" t="n"/>
      <c r="D561" s="85" t="n"/>
      <c r="E561" s="85" t="n"/>
      <c r="F561" s="86" t="n"/>
      <c r="G561" s="86" t="n"/>
      <c r="H561" s="85" t="n"/>
      <c r="I561" s="85" t="n"/>
      <c r="J561" s="85" t="n"/>
      <c r="K561" s="85" t="n"/>
      <c r="L561" s="85" t="n"/>
      <c r="M561" s="85" t="n"/>
      <c r="N561" s="85" t="n"/>
      <c r="O561" s="85" t="n"/>
      <c r="P561" s="85" t="n"/>
      <c r="Q561" s="85" t="n"/>
      <c r="R561" s="85" t="n"/>
      <c r="S561" s="85">
        <f>IF($G561="","",TODAY()-$G561)</f>
        <v/>
      </c>
      <c r="T561" s="85">
        <f>IF($A561="","",IF(AND($E561="Yes",OR($O561="No",$O561="NOT FOUND")),"YES",""))</f>
        <v/>
      </c>
      <c r="U561" s="85">
        <f>IF($A561="","",TRIM(IF(AND($M561=0,$I561&lt;&gt;"Yes"),"T0-NoPhishResistant ","")&amp;IF($H561="No","NoMFA ","")&amp;IF(AND($E561="Yes",$G561=""),"NeverSignedIn ","")))</f>
        <v/>
      </c>
    </row>
    <row r="562" ht="15" customHeight="1" s="39">
      <c r="A562" s="85" t="n"/>
      <c r="B562" s="85" t="n"/>
      <c r="C562" s="85" t="n"/>
      <c r="D562" s="85" t="n"/>
      <c r="E562" s="85" t="n"/>
      <c r="F562" s="86" t="n"/>
      <c r="G562" s="86" t="n"/>
      <c r="H562" s="85" t="n"/>
      <c r="I562" s="85" t="n"/>
      <c r="J562" s="85" t="n"/>
      <c r="K562" s="85" t="n"/>
      <c r="L562" s="85" t="n"/>
      <c r="M562" s="85" t="n"/>
      <c r="N562" s="85" t="n"/>
      <c r="O562" s="85" t="n"/>
      <c r="P562" s="85" t="n"/>
      <c r="Q562" s="85" t="n"/>
      <c r="R562" s="85" t="n"/>
      <c r="S562" s="85">
        <f>IF($G562="","",TODAY()-$G562)</f>
        <v/>
      </c>
      <c r="T562" s="85">
        <f>IF($A562="","",IF(AND($E562="Yes",OR($O562="No",$O562="NOT FOUND")),"YES",""))</f>
        <v/>
      </c>
      <c r="U562" s="85">
        <f>IF($A562="","",TRIM(IF(AND($M562=0,$I562&lt;&gt;"Yes"),"T0-NoPhishResistant ","")&amp;IF($H562="No","NoMFA ","")&amp;IF(AND($E562="Yes",$G562=""),"NeverSignedIn ","")))</f>
        <v/>
      </c>
    </row>
    <row r="563" ht="15" customHeight="1" s="39">
      <c r="A563" s="85" t="n"/>
      <c r="B563" s="85" t="n"/>
      <c r="C563" s="85" t="n"/>
      <c r="D563" s="85" t="n"/>
      <c r="E563" s="85" t="n"/>
      <c r="F563" s="86" t="n"/>
      <c r="G563" s="86" t="n"/>
      <c r="H563" s="85" t="n"/>
      <c r="I563" s="85" t="n"/>
      <c r="J563" s="85" t="n"/>
      <c r="K563" s="85" t="n"/>
      <c r="L563" s="85" t="n"/>
      <c r="M563" s="85" t="n"/>
      <c r="N563" s="85" t="n"/>
      <c r="O563" s="85" t="n"/>
      <c r="P563" s="85" t="n"/>
      <c r="Q563" s="85" t="n"/>
      <c r="R563" s="85" t="n"/>
      <c r="S563" s="85">
        <f>IF($G563="","",TODAY()-$G563)</f>
        <v/>
      </c>
      <c r="T563" s="85">
        <f>IF($A563="","",IF(AND($E563="Yes",OR($O563="No",$O563="NOT FOUND")),"YES",""))</f>
        <v/>
      </c>
      <c r="U563" s="85">
        <f>IF($A563="","",TRIM(IF(AND($M563=0,$I563&lt;&gt;"Yes"),"T0-NoPhishResistant ","")&amp;IF($H563="No","NoMFA ","")&amp;IF(AND($E563="Yes",$G563=""),"NeverSignedIn ","")))</f>
        <v/>
      </c>
    </row>
    <row r="564" ht="15" customHeight="1" s="39">
      <c r="A564" s="85" t="n"/>
      <c r="B564" s="85" t="n"/>
      <c r="C564" s="85" t="n"/>
      <c r="D564" s="85" t="n"/>
      <c r="E564" s="85" t="n"/>
      <c r="F564" s="86" t="n"/>
      <c r="G564" s="86" t="n"/>
      <c r="H564" s="85" t="n"/>
      <c r="I564" s="85" t="n"/>
      <c r="J564" s="85" t="n"/>
      <c r="K564" s="85" t="n"/>
      <c r="L564" s="85" t="n"/>
      <c r="M564" s="85" t="n"/>
      <c r="N564" s="85" t="n"/>
      <c r="O564" s="85" t="n"/>
      <c r="P564" s="85" t="n"/>
      <c r="Q564" s="85" t="n"/>
      <c r="R564" s="85" t="n"/>
      <c r="S564" s="85">
        <f>IF($G564="","",TODAY()-$G564)</f>
        <v/>
      </c>
      <c r="T564" s="85">
        <f>IF($A564="","",IF(AND($E564="Yes",OR($O564="No",$O564="NOT FOUND")),"YES",""))</f>
        <v/>
      </c>
      <c r="U564" s="85">
        <f>IF($A564="","",TRIM(IF(AND($M564=0,$I564&lt;&gt;"Yes"),"T0-NoPhishResistant ","")&amp;IF($H564="No","NoMFA ","")&amp;IF(AND($E564="Yes",$G564=""),"NeverSignedIn ","")))</f>
        <v/>
      </c>
    </row>
    <row r="565" ht="15" customHeight="1" s="39">
      <c r="A565" s="85" t="n"/>
      <c r="B565" s="85" t="n"/>
      <c r="C565" s="85" t="n"/>
      <c r="D565" s="85" t="n"/>
      <c r="E565" s="85" t="n"/>
      <c r="F565" s="86" t="n"/>
      <c r="G565" s="86" t="n"/>
      <c r="H565" s="85" t="n"/>
      <c r="I565" s="85" t="n"/>
      <c r="J565" s="85" t="n"/>
      <c r="K565" s="85" t="n"/>
      <c r="L565" s="85" t="n"/>
      <c r="M565" s="85" t="n"/>
      <c r="N565" s="85" t="n"/>
      <c r="O565" s="85" t="n"/>
      <c r="P565" s="85" t="n"/>
      <c r="Q565" s="85" t="n"/>
      <c r="R565" s="85" t="n"/>
      <c r="S565" s="85">
        <f>IF($G565="","",TODAY()-$G565)</f>
        <v/>
      </c>
      <c r="T565" s="85">
        <f>IF($A565="","",IF(AND($E565="Yes",OR($O565="No",$O565="NOT FOUND")),"YES",""))</f>
        <v/>
      </c>
      <c r="U565" s="85">
        <f>IF($A565="","",TRIM(IF(AND($M565=0,$I565&lt;&gt;"Yes"),"T0-NoPhishResistant ","")&amp;IF($H565="No","NoMFA ","")&amp;IF(AND($E565="Yes",$G565=""),"NeverSignedIn ","")))</f>
        <v/>
      </c>
    </row>
    <row r="566" ht="15" customHeight="1" s="39">
      <c r="A566" s="85" t="n"/>
      <c r="B566" s="85" t="n"/>
      <c r="C566" s="85" t="n"/>
      <c r="D566" s="85" t="n"/>
      <c r="E566" s="85" t="n"/>
      <c r="F566" s="86" t="n"/>
      <c r="G566" s="86" t="n"/>
      <c r="H566" s="85" t="n"/>
      <c r="I566" s="85" t="n"/>
      <c r="J566" s="85" t="n"/>
      <c r="K566" s="85" t="n"/>
      <c r="L566" s="85" t="n"/>
      <c r="M566" s="85" t="n"/>
      <c r="N566" s="85" t="n"/>
      <c r="O566" s="85" t="n"/>
      <c r="P566" s="85" t="n"/>
      <c r="Q566" s="85" t="n"/>
      <c r="R566" s="85" t="n"/>
      <c r="S566" s="85">
        <f>IF($G566="","",TODAY()-$G566)</f>
        <v/>
      </c>
      <c r="T566" s="85">
        <f>IF($A566="","",IF(AND($E566="Yes",OR($O566="No",$O566="NOT FOUND")),"YES",""))</f>
        <v/>
      </c>
      <c r="U566" s="85">
        <f>IF($A566="","",TRIM(IF(AND($M566=0,$I566&lt;&gt;"Yes"),"T0-NoPhishResistant ","")&amp;IF($H566="No","NoMFA ","")&amp;IF(AND($E566="Yes",$G566=""),"NeverSignedIn ","")))</f>
        <v/>
      </c>
    </row>
    <row r="567" ht="15" customHeight="1" s="39">
      <c r="A567" s="85" t="n"/>
      <c r="B567" s="85" t="n"/>
      <c r="C567" s="85" t="n"/>
      <c r="D567" s="85" t="n"/>
      <c r="E567" s="85" t="n"/>
      <c r="F567" s="86" t="n"/>
      <c r="G567" s="86" t="n"/>
      <c r="H567" s="85" t="n"/>
      <c r="I567" s="85" t="n"/>
      <c r="J567" s="85" t="n"/>
      <c r="K567" s="85" t="n"/>
      <c r="L567" s="85" t="n"/>
      <c r="M567" s="85" t="n"/>
      <c r="N567" s="85" t="n"/>
      <c r="O567" s="85" t="n"/>
      <c r="P567" s="85" t="n"/>
      <c r="Q567" s="85" t="n"/>
      <c r="R567" s="85" t="n"/>
      <c r="S567" s="85">
        <f>IF($G567="","",TODAY()-$G567)</f>
        <v/>
      </c>
      <c r="T567" s="85">
        <f>IF($A567="","",IF(AND($E567="Yes",OR($O567="No",$O567="NOT FOUND")),"YES",""))</f>
        <v/>
      </c>
      <c r="U567" s="85">
        <f>IF($A567="","",TRIM(IF(AND($M567=0,$I567&lt;&gt;"Yes"),"T0-NoPhishResistant ","")&amp;IF($H567="No","NoMFA ","")&amp;IF(AND($E567="Yes",$G567=""),"NeverSignedIn ","")))</f>
        <v/>
      </c>
    </row>
    <row r="568" ht="15" customHeight="1" s="39">
      <c r="A568" s="85" t="n"/>
      <c r="B568" s="85" t="n"/>
      <c r="C568" s="85" t="n"/>
      <c r="D568" s="85" t="n"/>
      <c r="E568" s="85" t="n"/>
      <c r="F568" s="86" t="n"/>
      <c r="G568" s="86" t="n"/>
      <c r="H568" s="85" t="n"/>
      <c r="I568" s="85" t="n"/>
      <c r="J568" s="85" t="n"/>
      <c r="K568" s="85" t="n"/>
      <c r="L568" s="85" t="n"/>
      <c r="M568" s="85" t="n"/>
      <c r="N568" s="85" t="n"/>
      <c r="O568" s="85" t="n"/>
      <c r="P568" s="85" t="n"/>
      <c r="Q568" s="85" t="n"/>
      <c r="R568" s="85" t="n"/>
      <c r="S568" s="85">
        <f>IF($G568="","",TODAY()-$G568)</f>
        <v/>
      </c>
      <c r="T568" s="85">
        <f>IF($A568="","",IF(AND($E568="Yes",OR($O568="No",$O568="NOT FOUND")),"YES",""))</f>
        <v/>
      </c>
      <c r="U568" s="85">
        <f>IF($A568="","",TRIM(IF(AND($M568=0,$I568&lt;&gt;"Yes"),"T0-NoPhishResistant ","")&amp;IF($H568="No","NoMFA ","")&amp;IF(AND($E568="Yes",$G568=""),"NeverSignedIn ","")))</f>
        <v/>
      </c>
    </row>
    <row r="569" ht="15" customHeight="1" s="39">
      <c r="A569" s="85" t="n"/>
      <c r="B569" s="85" t="n"/>
      <c r="C569" s="85" t="n"/>
      <c r="D569" s="85" t="n"/>
      <c r="E569" s="85" t="n"/>
      <c r="F569" s="86" t="n"/>
      <c r="G569" s="86" t="n"/>
      <c r="H569" s="85" t="n"/>
      <c r="I569" s="85" t="n"/>
      <c r="J569" s="85" t="n"/>
      <c r="K569" s="85" t="n"/>
      <c r="L569" s="85" t="n"/>
      <c r="M569" s="85" t="n"/>
      <c r="N569" s="85" t="n"/>
      <c r="O569" s="85" t="n"/>
      <c r="P569" s="85" t="n"/>
      <c r="Q569" s="85" t="n"/>
      <c r="R569" s="85" t="n"/>
      <c r="S569" s="85">
        <f>IF($G569="","",TODAY()-$G569)</f>
        <v/>
      </c>
      <c r="T569" s="85">
        <f>IF($A569="","",IF(AND($E569="Yes",OR($O569="No",$O569="NOT FOUND")),"YES",""))</f>
        <v/>
      </c>
      <c r="U569" s="85">
        <f>IF($A569="","",TRIM(IF(AND($M569=0,$I569&lt;&gt;"Yes"),"T0-NoPhishResistant ","")&amp;IF($H569="No","NoMFA ","")&amp;IF(AND($E569="Yes",$G569=""),"NeverSignedIn ","")))</f>
        <v/>
      </c>
    </row>
    <row r="570" ht="15" customHeight="1" s="39">
      <c r="A570" s="85" t="n"/>
      <c r="B570" s="85" t="n"/>
      <c r="C570" s="85" t="n"/>
      <c r="D570" s="85" t="n"/>
      <c r="E570" s="85" t="n"/>
      <c r="F570" s="86" t="n"/>
      <c r="G570" s="86" t="n"/>
      <c r="H570" s="85" t="n"/>
      <c r="I570" s="85" t="n"/>
      <c r="J570" s="85" t="n"/>
      <c r="K570" s="85" t="n"/>
      <c r="L570" s="85" t="n"/>
      <c r="M570" s="85" t="n"/>
      <c r="N570" s="85" t="n"/>
      <c r="O570" s="85" t="n"/>
      <c r="P570" s="85" t="n"/>
      <c r="Q570" s="85" t="n"/>
      <c r="R570" s="85" t="n"/>
      <c r="S570" s="85">
        <f>IF($G570="","",TODAY()-$G570)</f>
        <v/>
      </c>
      <c r="T570" s="85">
        <f>IF($A570="","",IF(AND($E570="Yes",OR($O570="No",$O570="NOT FOUND")),"YES",""))</f>
        <v/>
      </c>
      <c r="U570" s="85">
        <f>IF($A570="","",TRIM(IF(AND($M570=0,$I570&lt;&gt;"Yes"),"T0-NoPhishResistant ","")&amp;IF($H570="No","NoMFA ","")&amp;IF(AND($E570="Yes",$G570=""),"NeverSignedIn ","")))</f>
        <v/>
      </c>
    </row>
    <row r="571" ht="15" customHeight="1" s="39">
      <c r="A571" s="85" t="n"/>
      <c r="B571" s="85" t="n"/>
      <c r="C571" s="85" t="n"/>
      <c r="D571" s="85" t="n"/>
      <c r="E571" s="85" t="n"/>
      <c r="F571" s="86" t="n"/>
      <c r="G571" s="86" t="n"/>
      <c r="H571" s="85" t="n"/>
      <c r="I571" s="85" t="n"/>
      <c r="J571" s="85" t="n"/>
      <c r="K571" s="85" t="n"/>
      <c r="L571" s="85" t="n"/>
      <c r="M571" s="85" t="n"/>
      <c r="N571" s="85" t="n"/>
      <c r="O571" s="85" t="n"/>
      <c r="P571" s="85" t="n"/>
      <c r="Q571" s="85" t="n"/>
      <c r="R571" s="85" t="n"/>
      <c r="S571" s="85">
        <f>IF($G571="","",TODAY()-$G571)</f>
        <v/>
      </c>
      <c r="T571" s="85">
        <f>IF($A571="","",IF(AND($E571="Yes",OR($O571="No",$O571="NOT FOUND")),"YES",""))</f>
        <v/>
      </c>
      <c r="U571" s="85">
        <f>IF($A571="","",TRIM(IF(AND($M571=0,$I571&lt;&gt;"Yes"),"T0-NoPhishResistant ","")&amp;IF($H571="No","NoMFA ","")&amp;IF(AND($E571="Yes",$G571=""),"NeverSignedIn ","")))</f>
        <v/>
      </c>
    </row>
    <row r="572" ht="15" customHeight="1" s="39">
      <c r="A572" s="85" t="n"/>
      <c r="B572" s="85" t="n"/>
      <c r="C572" s="85" t="n"/>
      <c r="D572" s="85" t="n"/>
      <c r="E572" s="85" t="n"/>
      <c r="F572" s="86" t="n"/>
      <c r="G572" s="86" t="n"/>
      <c r="H572" s="85" t="n"/>
      <c r="I572" s="85" t="n"/>
      <c r="J572" s="85" t="n"/>
      <c r="K572" s="85" t="n"/>
      <c r="L572" s="85" t="n"/>
      <c r="M572" s="85" t="n"/>
      <c r="N572" s="85" t="n"/>
      <c r="O572" s="85" t="n"/>
      <c r="P572" s="85" t="n"/>
      <c r="Q572" s="85" t="n"/>
      <c r="R572" s="85" t="n"/>
      <c r="S572" s="85">
        <f>IF($G572="","",TODAY()-$G572)</f>
        <v/>
      </c>
      <c r="T572" s="85">
        <f>IF($A572="","",IF(AND($E572="Yes",OR($O572="No",$O572="NOT FOUND")),"YES",""))</f>
        <v/>
      </c>
      <c r="U572" s="85">
        <f>IF($A572="","",TRIM(IF(AND($M572=0,$I572&lt;&gt;"Yes"),"T0-NoPhishResistant ","")&amp;IF($H572="No","NoMFA ","")&amp;IF(AND($E572="Yes",$G572=""),"NeverSignedIn ","")))</f>
        <v/>
      </c>
    </row>
    <row r="573" ht="15" customHeight="1" s="39">
      <c r="A573" s="85" t="n"/>
      <c r="B573" s="85" t="n"/>
      <c r="C573" s="85" t="n"/>
      <c r="D573" s="85" t="n"/>
      <c r="E573" s="85" t="n"/>
      <c r="F573" s="86" t="n"/>
      <c r="G573" s="86" t="n"/>
      <c r="H573" s="85" t="n"/>
      <c r="I573" s="85" t="n"/>
      <c r="J573" s="85" t="n"/>
      <c r="K573" s="85" t="n"/>
      <c r="L573" s="85" t="n"/>
      <c r="M573" s="85" t="n"/>
      <c r="N573" s="85" t="n"/>
      <c r="O573" s="85" t="n"/>
      <c r="P573" s="85" t="n"/>
      <c r="Q573" s="85" t="n"/>
      <c r="R573" s="85" t="n"/>
      <c r="S573" s="85">
        <f>IF($G573="","",TODAY()-$G573)</f>
        <v/>
      </c>
      <c r="T573" s="85">
        <f>IF($A573="","",IF(AND($E573="Yes",OR($O573="No",$O573="NOT FOUND")),"YES",""))</f>
        <v/>
      </c>
      <c r="U573" s="85">
        <f>IF($A573="","",TRIM(IF(AND($M573=0,$I573&lt;&gt;"Yes"),"T0-NoPhishResistant ","")&amp;IF($H573="No","NoMFA ","")&amp;IF(AND($E573="Yes",$G573=""),"NeverSignedIn ","")))</f>
        <v/>
      </c>
    </row>
    <row r="574" ht="15" customHeight="1" s="39">
      <c r="A574" s="85" t="n"/>
      <c r="B574" s="85" t="n"/>
      <c r="C574" s="85" t="n"/>
      <c r="D574" s="85" t="n"/>
      <c r="E574" s="85" t="n"/>
      <c r="F574" s="86" t="n"/>
      <c r="G574" s="86" t="n"/>
      <c r="H574" s="85" t="n"/>
      <c r="I574" s="85" t="n"/>
      <c r="J574" s="85" t="n"/>
      <c r="K574" s="85" t="n"/>
      <c r="L574" s="85" t="n"/>
      <c r="M574" s="85" t="n"/>
      <c r="N574" s="85" t="n"/>
      <c r="O574" s="85" t="n"/>
      <c r="P574" s="85" t="n"/>
      <c r="Q574" s="85" t="n"/>
      <c r="R574" s="85" t="n"/>
      <c r="S574" s="85">
        <f>IF($G574="","",TODAY()-$G574)</f>
        <v/>
      </c>
      <c r="T574" s="85">
        <f>IF($A574="","",IF(AND($E574="Yes",OR($O574="No",$O574="NOT FOUND")),"YES",""))</f>
        <v/>
      </c>
      <c r="U574" s="85">
        <f>IF($A574="","",TRIM(IF(AND($M574=0,$I574&lt;&gt;"Yes"),"T0-NoPhishResistant ","")&amp;IF($H574="No","NoMFA ","")&amp;IF(AND($E574="Yes",$G574=""),"NeverSignedIn ","")))</f>
        <v/>
      </c>
    </row>
    <row r="575" ht="15" customHeight="1" s="39">
      <c r="A575" s="85" t="n"/>
      <c r="B575" s="85" t="n"/>
      <c r="C575" s="85" t="n"/>
      <c r="D575" s="85" t="n"/>
      <c r="E575" s="85" t="n"/>
      <c r="F575" s="86" t="n"/>
      <c r="G575" s="86" t="n"/>
      <c r="H575" s="85" t="n"/>
      <c r="I575" s="85" t="n"/>
      <c r="J575" s="85" t="n"/>
      <c r="K575" s="85" t="n"/>
      <c r="L575" s="85" t="n"/>
      <c r="M575" s="85" t="n"/>
      <c r="N575" s="85" t="n"/>
      <c r="O575" s="85" t="n"/>
      <c r="P575" s="85" t="n"/>
      <c r="Q575" s="85" t="n"/>
      <c r="R575" s="85" t="n"/>
      <c r="S575" s="85">
        <f>IF($G575="","",TODAY()-$G575)</f>
        <v/>
      </c>
      <c r="T575" s="85">
        <f>IF($A575="","",IF(AND($E575="Yes",OR($O575="No",$O575="NOT FOUND")),"YES",""))</f>
        <v/>
      </c>
      <c r="U575" s="85">
        <f>IF($A575="","",TRIM(IF(AND($M575=0,$I575&lt;&gt;"Yes"),"T0-NoPhishResistant ","")&amp;IF($H575="No","NoMFA ","")&amp;IF(AND($E575="Yes",$G575=""),"NeverSignedIn ","")))</f>
        <v/>
      </c>
    </row>
    <row r="576" ht="15" customHeight="1" s="39">
      <c r="A576" s="85" t="n"/>
      <c r="B576" s="85" t="n"/>
      <c r="C576" s="85" t="n"/>
      <c r="D576" s="85" t="n"/>
      <c r="E576" s="85" t="n"/>
      <c r="F576" s="86" t="n"/>
      <c r="G576" s="86" t="n"/>
      <c r="H576" s="85" t="n"/>
      <c r="I576" s="85" t="n"/>
      <c r="J576" s="85" t="n"/>
      <c r="K576" s="85" t="n"/>
      <c r="L576" s="85" t="n"/>
      <c r="M576" s="85" t="n"/>
      <c r="N576" s="85" t="n"/>
      <c r="O576" s="85" t="n"/>
      <c r="P576" s="85" t="n"/>
      <c r="Q576" s="85" t="n"/>
      <c r="R576" s="85" t="n"/>
      <c r="S576" s="85">
        <f>IF($G576="","",TODAY()-$G576)</f>
        <v/>
      </c>
      <c r="T576" s="85">
        <f>IF($A576="","",IF(AND($E576="Yes",OR($O576="No",$O576="NOT FOUND")),"YES",""))</f>
        <v/>
      </c>
      <c r="U576" s="85">
        <f>IF($A576="","",TRIM(IF(AND($M576=0,$I576&lt;&gt;"Yes"),"T0-NoPhishResistant ","")&amp;IF($H576="No","NoMFA ","")&amp;IF(AND($E576="Yes",$G576=""),"NeverSignedIn ","")))</f>
        <v/>
      </c>
    </row>
    <row r="577" ht="15" customHeight="1" s="39">
      <c r="A577" s="85" t="n"/>
      <c r="B577" s="85" t="n"/>
      <c r="C577" s="85" t="n"/>
      <c r="D577" s="85" t="n"/>
      <c r="E577" s="85" t="n"/>
      <c r="F577" s="86" t="n"/>
      <c r="G577" s="86" t="n"/>
      <c r="H577" s="85" t="n"/>
      <c r="I577" s="85" t="n"/>
      <c r="J577" s="85" t="n"/>
      <c r="K577" s="85" t="n"/>
      <c r="L577" s="85" t="n"/>
      <c r="M577" s="85" t="n"/>
      <c r="N577" s="85" t="n"/>
      <c r="O577" s="85" t="n"/>
      <c r="P577" s="85" t="n"/>
      <c r="Q577" s="85" t="n"/>
      <c r="R577" s="85" t="n"/>
      <c r="S577" s="85">
        <f>IF($G577="","",TODAY()-$G577)</f>
        <v/>
      </c>
      <c r="T577" s="85">
        <f>IF($A577="","",IF(AND($E577="Yes",OR($O577="No",$O577="NOT FOUND")),"YES",""))</f>
        <v/>
      </c>
      <c r="U577" s="85">
        <f>IF($A577="","",TRIM(IF(AND($M577=0,$I577&lt;&gt;"Yes"),"T0-NoPhishResistant ","")&amp;IF($H577="No","NoMFA ","")&amp;IF(AND($E577="Yes",$G577=""),"NeverSignedIn ","")))</f>
        <v/>
      </c>
    </row>
    <row r="578" ht="15" customHeight="1" s="39">
      <c r="A578" s="85" t="n"/>
      <c r="B578" s="85" t="n"/>
      <c r="C578" s="85" t="n"/>
      <c r="D578" s="85" t="n"/>
      <c r="E578" s="85" t="n"/>
      <c r="F578" s="86" t="n"/>
      <c r="G578" s="86" t="n"/>
      <c r="H578" s="85" t="n"/>
      <c r="I578" s="85" t="n"/>
      <c r="J578" s="85" t="n"/>
      <c r="K578" s="85" t="n"/>
      <c r="L578" s="85" t="n"/>
      <c r="M578" s="85" t="n"/>
      <c r="N578" s="85" t="n"/>
      <c r="O578" s="85" t="n"/>
      <c r="P578" s="85" t="n"/>
      <c r="Q578" s="85" t="n"/>
      <c r="R578" s="85" t="n"/>
      <c r="S578" s="85">
        <f>IF($G578="","",TODAY()-$G578)</f>
        <v/>
      </c>
      <c r="T578" s="85">
        <f>IF($A578="","",IF(AND($E578="Yes",OR($O578="No",$O578="NOT FOUND")),"YES",""))</f>
        <v/>
      </c>
      <c r="U578" s="85">
        <f>IF($A578="","",TRIM(IF(AND($M578=0,$I578&lt;&gt;"Yes"),"T0-NoPhishResistant ","")&amp;IF($H578="No","NoMFA ","")&amp;IF(AND($E578="Yes",$G578=""),"NeverSignedIn ","")))</f>
        <v/>
      </c>
    </row>
    <row r="579" ht="15" customHeight="1" s="39">
      <c r="A579" s="85" t="n"/>
      <c r="B579" s="85" t="n"/>
      <c r="C579" s="85" t="n"/>
      <c r="D579" s="85" t="n"/>
      <c r="E579" s="85" t="n"/>
      <c r="F579" s="86" t="n"/>
      <c r="G579" s="86" t="n"/>
      <c r="H579" s="85" t="n"/>
      <c r="I579" s="85" t="n"/>
      <c r="J579" s="85" t="n"/>
      <c r="K579" s="85" t="n"/>
      <c r="L579" s="85" t="n"/>
      <c r="M579" s="85" t="n"/>
      <c r="N579" s="85" t="n"/>
      <c r="O579" s="85" t="n"/>
      <c r="P579" s="85" t="n"/>
      <c r="Q579" s="85" t="n"/>
      <c r="R579" s="85" t="n"/>
      <c r="S579" s="85">
        <f>IF($G579="","",TODAY()-$G579)</f>
        <v/>
      </c>
      <c r="T579" s="85">
        <f>IF($A579="","",IF(AND($E579="Yes",OR($O579="No",$O579="NOT FOUND")),"YES",""))</f>
        <v/>
      </c>
      <c r="U579" s="85">
        <f>IF($A579="","",TRIM(IF(AND($M579=0,$I579&lt;&gt;"Yes"),"T0-NoPhishResistant ","")&amp;IF($H579="No","NoMFA ","")&amp;IF(AND($E579="Yes",$G579=""),"NeverSignedIn ","")))</f>
        <v/>
      </c>
    </row>
    <row r="580" ht="15" customHeight="1" s="39">
      <c r="A580" s="85" t="n"/>
      <c r="B580" s="85" t="n"/>
      <c r="C580" s="85" t="n"/>
      <c r="D580" s="85" t="n"/>
      <c r="E580" s="85" t="n"/>
      <c r="F580" s="86" t="n"/>
      <c r="G580" s="86" t="n"/>
      <c r="H580" s="85" t="n"/>
      <c r="I580" s="85" t="n"/>
      <c r="J580" s="85" t="n"/>
      <c r="K580" s="85" t="n"/>
      <c r="L580" s="85" t="n"/>
      <c r="M580" s="85" t="n"/>
      <c r="N580" s="85" t="n"/>
      <c r="O580" s="85" t="n"/>
      <c r="P580" s="85" t="n"/>
      <c r="Q580" s="85" t="n"/>
      <c r="R580" s="85" t="n"/>
      <c r="S580" s="85">
        <f>IF($G580="","",TODAY()-$G580)</f>
        <v/>
      </c>
      <c r="T580" s="85">
        <f>IF($A580="","",IF(AND($E580="Yes",OR($O580="No",$O580="NOT FOUND")),"YES",""))</f>
        <v/>
      </c>
      <c r="U580" s="85">
        <f>IF($A580="","",TRIM(IF(AND($M580=0,$I580&lt;&gt;"Yes"),"T0-NoPhishResistant ","")&amp;IF($H580="No","NoMFA ","")&amp;IF(AND($E580="Yes",$G580=""),"NeverSignedIn ","")))</f>
        <v/>
      </c>
    </row>
    <row r="581" ht="15" customHeight="1" s="39">
      <c r="A581" s="85" t="n"/>
      <c r="B581" s="85" t="n"/>
      <c r="C581" s="85" t="n"/>
      <c r="D581" s="85" t="n"/>
      <c r="E581" s="85" t="n"/>
      <c r="F581" s="86" t="n"/>
      <c r="G581" s="86" t="n"/>
      <c r="H581" s="85" t="n"/>
      <c r="I581" s="85" t="n"/>
      <c r="J581" s="85" t="n"/>
      <c r="K581" s="85" t="n"/>
      <c r="L581" s="85" t="n"/>
      <c r="M581" s="85" t="n"/>
      <c r="N581" s="85" t="n"/>
      <c r="O581" s="85" t="n"/>
      <c r="P581" s="85" t="n"/>
      <c r="Q581" s="85" t="n"/>
      <c r="R581" s="85" t="n"/>
      <c r="S581" s="85">
        <f>IF($G581="","",TODAY()-$G581)</f>
        <v/>
      </c>
      <c r="T581" s="85">
        <f>IF($A581="","",IF(AND($E581="Yes",OR($O581="No",$O581="NOT FOUND")),"YES",""))</f>
        <v/>
      </c>
      <c r="U581" s="85">
        <f>IF($A581="","",TRIM(IF(AND($M581=0,$I581&lt;&gt;"Yes"),"T0-NoPhishResistant ","")&amp;IF($H581="No","NoMFA ","")&amp;IF(AND($E581="Yes",$G581=""),"NeverSignedIn ","")))</f>
        <v/>
      </c>
    </row>
    <row r="582" ht="15" customHeight="1" s="39">
      <c r="A582" s="85" t="n"/>
      <c r="B582" s="85" t="n"/>
      <c r="C582" s="85" t="n"/>
      <c r="D582" s="85" t="n"/>
      <c r="E582" s="85" t="n"/>
      <c r="F582" s="86" t="n"/>
      <c r="G582" s="86" t="n"/>
      <c r="H582" s="85" t="n"/>
      <c r="I582" s="85" t="n"/>
      <c r="J582" s="85" t="n"/>
      <c r="K582" s="85" t="n"/>
      <c r="L582" s="85" t="n"/>
      <c r="M582" s="85" t="n"/>
      <c r="N582" s="85" t="n"/>
      <c r="O582" s="85" t="n"/>
      <c r="P582" s="85" t="n"/>
      <c r="Q582" s="85" t="n"/>
      <c r="R582" s="85" t="n"/>
      <c r="S582" s="85">
        <f>IF($G582="","",TODAY()-$G582)</f>
        <v/>
      </c>
      <c r="T582" s="85">
        <f>IF($A582="","",IF(AND($E582="Yes",OR($O582="No",$O582="NOT FOUND")),"YES",""))</f>
        <v/>
      </c>
      <c r="U582" s="85">
        <f>IF($A582="","",TRIM(IF(AND($M582=0,$I582&lt;&gt;"Yes"),"T0-NoPhishResistant ","")&amp;IF($H582="No","NoMFA ","")&amp;IF(AND($E582="Yes",$G582=""),"NeverSignedIn ","")))</f>
        <v/>
      </c>
    </row>
    <row r="583" ht="15" customHeight="1" s="39">
      <c r="A583" s="85" t="n"/>
      <c r="B583" s="85" t="n"/>
      <c r="C583" s="85" t="n"/>
      <c r="D583" s="85" t="n"/>
      <c r="E583" s="85" t="n"/>
      <c r="F583" s="86" t="n"/>
      <c r="G583" s="86" t="n"/>
      <c r="H583" s="85" t="n"/>
      <c r="I583" s="85" t="n"/>
      <c r="J583" s="85" t="n"/>
      <c r="K583" s="85" t="n"/>
      <c r="L583" s="85" t="n"/>
      <c r="M583" s="85" t="n"/>
      <c r="N583" s="85" t="n"/>
      <c r="O583" s="85" t="n"/>
      <c r="P583" s="85" t="n"/>
      <c r="Q583" s="85" t="n"/>
      <c r="R583" s="85" t="n"/>
      <c r="S583" s="85">
        <f>IF($G583="","",TODAY()-$G583)</f>
        <v/>
      </c>
      <c r="T583" s="85">
        <f>IF($A583="","",IF(AND($E583="Yes",OR($O583="No",$O583="NOT FOUND")),"YES",""))</f>
        <v/>
      </c>
      <c r="U583" s="85">
        <f>IF($A583="","",TRIM(IF(AND($M583=0,$I583&lt;&gt;"Yes"),"T0-NoPhishResistant ","")&amp;IF($H583="No","NoMFA ","")&amp;IF(AND($E583="Yes",$G583=""),"NeverSignedIn ","")))</f>
        <v/>
      </c>
    </row>
    <row r="584" ht="15" customHeight="1" s="39">
      <c r="A584" s="85" t="n"/>
      <c r="B584" s="85" t="n"/>
      <c r="C584" s="85" t="n"/>
      <c r="D584" s="85" t="n"/>
      <c r="E584" s="85" t="n"/>
      <c r="F584" s="86" t="n"/>
      <c r="G584" s="86" t="n"/>
      <c r="H584" s="85" t="n"/>
      <c r="I584" s="85" t="n"/>
      <c r="J584" s="85" t="n"/>
      <c r="K584" s="85" t="n"/>
      <c r="L584" s="85" t="n"/>
      <c r="M584" s="85" t="n"/>
      <c r="N584" s="85" t="n"/>
      <c r="O584" s="85" t="n"/>
      <c r="P584" s="85" t="n"/>
      <c r="Q584" s="85" t="n"/>
      <c r="R584" s="85" t="n"/>
      <c r="S584" s="85">
        <f>IF($G584="","",TODAY()-$G584)</f>
        <v/>
      </c>
      <c r="T584" s="85">
        <f>IF($A584="","",IF(AND($E584="Yes",OR($O584="No",$O584="NOT FOUND")),"YES",""))</f>
        <v/>
      </c>
      <c r="U584" s="85">
        <f>IF($A584="","",TRIM(IF(AND($M584=0,$I584&lt;&gt;"Yes"),"T0-NoPhishResistant ","")&amp;IF($H584="No","NoMFA ","")&amp;IF(AND($E584="Yes",$G584=""),"NeverSignedIn ","")))</f>
        <v/>
      </c>
    </row>
    <row r="585" ht="15" customHeight="1" s="39">
      <c r="A585" s="85" t="n"/>
      <c r="B585" s="85" t="n"/>
      <c r="C585" s="85" t="n"/>
      <c r="D585" s="85" t="n"/>
      <c r="E585" s="85" t="n"/>
      <c r="F585" s="86" t="n"/>
      <c r="G585" s="86" t="n"/>
      <c r="H585" s="85" t="n"/>
      <c r="I585" s="85" t="n"/>
      <c r="J585" s="85" t="n"/>
      <c r="K585" s="85" t="n"/>
      <c r="L585" s="85" t="n"/>
      <c r="M585" s="85" t="n"/>
      <c r="N585" s="85" t="n"/>
      <c r="O585" s="85" t="n"/>
      <c r="P585" s="85" t="n"/>
      <c r="Q585" s="85" t="n"/>
      <c r="R585" s="85" t="n"/>
      <c r="S585" s="85">
        <f>IF($G585="","",TODAY()-$G585)</f>
        <v/>
      </c>
      <c r="T585" s="85">
        <f>IF($A585="","",IF(AND($E585="Yes",OR($O585="No",$O585="NOT FOUND")),"YES",""))</f>
        <v/>
      </c>
      <c r="U585" s="85">
        <f>IF($A585="","",TRIM(IF(AND($M585=0,$I585&lt;&gt;"Yes"),"T0-NoPhishResistant ","")&amp;IF($H585="No","NoMFA ","")&amp;IF(AND($E585="Yes",$G585=""),"NeverSignedIn ","")))</f>
        <v/>
      </c>
    </row>
    <row r="586" ht="15" customHeight="1" s="39">
      <c r="A586" s="85" t="n"/>
      <c r="B586" s="85" t="n"/>
      <c r="C586" s="85" t="n"/>
      <c r="D586" s="85" t="n"/>
      <c r="E586" s="85" t="n"/>
      <c r="F586" s="86" t="n"/>
      <c r="G586" s="86" t="n"/>
      <c r="H586" s="85" t="n"/>
      <c r="I586" s="85" t="n"/>
      <c r="J586" s="85" t="n"/>
      <c r="K586" s="85" t="n"/>
      <c r="L586" s="85" t="n"/>
      <c r="M586" s="85" t="n"/>
      <c r="N586" s="85" t="n"/>
      <c r="O586" s="85" t="n"/>
      <c r="P586" s="85" t="n"/>
      <c r="Q586" s="85" t="n"/>
      <c r="R586" s="85" t="n"/>
      <c r="S586" s="85">
        <f>IF($G586="","",TODAY()-$G586)</f>
        <v/>
      </c>
      <c r="T586" s="85">
        <f>IF($A586="","",IF(AND($E586="Yes",OR($O586="No",$O586="NOT FOUND")),"YES",""))</f>
        <v/>
      </c>
      <c r="U586" s="85">
        <f>IF($A586="","",TRIM(IF(AND($M586=0,$I586&lt;&gt;"Yes"),"T0-NoPhishResistant ","")&amp;IF($H586="No","NoMFA ","")&amp;IF(AND($E586="Yes",$G586=""),"NeverSignedIn ","")))</f>
        <v/>
      </c>
    </row>
    <row r="587" ht="15" customHeight="1" s="39">
      <c r="A587" s="85" t="n"/>
      <c r="B587" s="85" t="n"/>
      <c r="C587" s="85" t="n"/>
      <c r="D587" s="85" t="n"/>
      <c r="E587" s="85" t="n"/>
      <c r="F587" s="86" t="n"/>
      <c r="G587" s="86" t="n"/>
      <c r="H587" s="85" t="n"/>
      <c r="I587" s="85" t="n"/>
      <c r="J587" s="85" t="n"/>
      <c r="K587" s="85" t="n"/>
      <c r="L587" s="85" t="n"/>
      <c r="M587" s="85" t="n"/>
      <c r="N587" s="85" t="n"/>
      <c r="O587" s="85" t="n"/>
      <c r="P587" s="85" t="n"/>
      <c r="Q587" s="85" t="n"/>
      <c r="R587" s="85" t="n"/>
      <c r="S587" s="85">
        <f>IF($G587="","",TODAY()-$G587)</f>
        <v/>
      </c>
      <c r="T587" s="85">
        <f>IF($A587="","",IF(AND($E587="Yes",OR($O587="No",$O587="NOT FOUND")),"YES",""))</f>
        <v/>
      </c>
      <c r="U587" s="85">
        <f>IF($A587="","",TRIM(IF(AND($M587=0,$I587&lt;&gt;"Yes"),"T0-NoPhishResistant ","")&amp;IF($H587="No","NoMFA ","")&amp;IF(AND($E587="Yes",$G587=""),"NeverSignedIn ","")))</f>
        <v/>
      </c>
    </row>
    <row r="588" ht="15" customHeight="1" s="39">
      <c r="A588" s="85" t="n"/>
      <c r="B588" s="85" t="n"/>
      <c r="C588" s="85" t="n"/>
      <c r="D588" s="85" t="n"/>
      <c r="E588" s="85" t="n"/>
      <c r="F588" s="86" t="n"/>
      <c r="G588" s="86" t="n"/>
      <c r="H588" s="85" t="n"/>
      <c r="I588" s="85" t="n"/>
      <c r="J588" s="85" t="n"/>
      <c r="K588" s="85" t="n"/>
      <c r="L588" s="85" t="n"/>
      <c r="M588" s="85" t="n"/>
      <c r="N588" s="85" t="n"/>
      <c r="O588" s="85" t="n"/>
      <c r="P588" s="85" t="n"/>
      <c r="Q588" s="85" t="n"/>
      <c r="R588" s="85" t="n"/>
      <c r="S588" s="85">
        <f>IF($G588="","",TODAY()-$G588)</f>
        <v/>
      </c>
      <c r="T588" s="85">
        <f>IF($A588="","",IF(AND($E588="Yes",OR($O588="No",$O588="NOT FOUND")),"YES",""))</f>
        <v/>
      </c>
      <c r="U588" s="85">
        <f>IF($A588="","",TRIM(IF(AND($M588=0,$I588&lt;&gt;"Yes"),"T0-NoPhishResistant ","")&amp;IF($H588="No","NoMFA ","")&amp;IF(AND($E588="Yes",$G588=""),"NeverSignedIn ","")))</f>
        <v/>
      </c>
    </row>
    <row r="589" ht="15" customHeight="1" s="39">
      <c r="A589" s="85" t="n"/>
      <c r="B589" s="85" t="n"/>
      <c r="C589" s="85" t="n"/>
      <c r="D589" s="85" t="n"/>
      <c r="E589" s="85" t="n"/>
      <c r="F589" s="86" t="n"/>
      <c r="G589" s="86" t="n"/>
      <c r="H589" s="85" t="n"/>
      <c r="I589" s="85" t="n"/>
      <c r="J589" s="85" t="n"/>
      <c r="K589" s="85" t="n"/>
      <c r="L589" s="85" t="n"/>
      <c r="M589" s="85" t="n"/>
      <c r="N589" s="85" t="n"/>
      <c r="O589" s="85" t="n"/>
      <c r="P589" s="85" t="n"/>
      <c r="Q589" s="85" t="n"/>
      <c r="R589" s="85" t="n"/>
      <c r="S589" s="85">
        <f>IF($G589="","",TODAY()-$G589)</f>
        <v/>
      </c>
      <c r="T589" s="85">
        <f>IF($A589="","",IF(AND($E589="Yes",OR($O589="No",$O589="NOT FOUND")),"YES",""))</f>
        <v/>
      </c>
      <c r="U589" s="85">
        <f>IF($A589="","",TRIM(IF(AND($M589=0,$I589&lt;&gt;"Yes"),"T0-NoPhishResistant ","")&amp;IF($H589="No","NoMFA ","")&amp;IF(AND($E589="Yes",$G589=""),"NeverSignedIn ","")))</f>
        <v/>
      </c>
    </row>
    <row r="590" ht="15" customHeight="1" s="39">
      <c r="A590" s="85" t="n"/>
      <c r="B590" s="85" t="n"/>
      <c r="C590" s="85" t="n"/>
      <c r="D590" s="85" t="n"/>
      <c r="E590" s="85" t="n"/>
      <c r="F590" s="86" t="n"/>
      <c r="G590" s="86" t="n"/>
      <c r="H590" s="85" t="n"/>
      <c r="I590" s="85" t="n"/>
      <c r="J590" s="85" t="n"/>
      <c r="K590" s="85" t="n"/>
      <c r="L590" s="85" t="n"/>
      <c r="M590" s="85" t="n"/>
      <c r="N590" s="85" t="n"/>
      <c r="O590" s="85" t="n"/>
      <c r="P590" s="85" t="n"/>
      <c r="Q590" s="85" t="n"/>
      <c r="R590" s="85" t="n"/>
      <c r="S590" s="85">
        <f>IF($G590="","",TODAY()-$G590)</f>
        <v/>
      </c>
      <c r="T590" s="85">
        <f>IF($A590="","",IF(AND($E590="Yes",OR($O590="No",$O590="NOT FOUND")),"YES",""))</f>
        <v/>
      </c>
      <c r="U590" s="85">
        <f>IF($A590="","",TRIM(IF(AND($M590=0,$I590&lt;&gt;"Yes"),"T0-NoPhishResistant ","")&amp;IF($H590="No","NoMFA ","")&amp;IF(AND($E590="Yes",$G590=""),"NeverSignedIn ","")))</f>
        <v/>
      </c>
    </row>
    <row r="591" ht="15" customHeight="1" s="39">
      <c r="A591" s="85" t="n"/>
      <c r="B591" s="85" t="n"/>
      <c r="C591" s="85" t="n"/>
      <c r="D591" s="85" t="n"/>
      <c r="E591" s="85" t="n"/>
      <c r="F591" s="86" t="n"/>
      <c r="G591" s="86" t="n"/>
      <c r="H591" s="85" t="n"/>
      <c r="I591" s="85" t="n"/>
      <c r="J591" s="85" t="n"/>
      <c r="K591" s="85" t="n"/>
      <c r="L591" s="85" t="n"/>
      <c r="M591" s="85" t="n"/>
      <c r="N591" s="85" t="n"/>
      <c r="O591" s="85" t="n"/>
      <c r="P591" s="85" t="n"/>
      <c r="Q591" s="85" t="n"/>
      <c r="R591" s="85" t="n"/>
      <c r="S591" s="85">
        <f>IF($G591="","",TODAY()-$G591)</f>
        <v/>
      </c>
      <c r="T591" s="85">
        <f>IF($A591="","",IF(AND($E591="Yes",OR($O591="No",$O591="NOT FOUND")),"YES",""))</f>
        <v/>
      </c>
      <c r="U591" s="85">
        <f>IF($A591="","",TRIM(IF(AND($M591=0,$I591&lt;&gt;"Yes"),"T0-NoPhishResistant ","")&amp;IF($H591="No","NoMFA ","")&amp;IF(AND($E591="Yes",$G591=""),"NeverSignedIn ","")))</f>
        <v/>
      </c>
    </row>
    <row r="592" ht="15" customHeight="1" s="39">
      <c r="A592" s="85" t="n"/>
      <c r="B592" s="85" t="n"/>
      <c r="C592" s="85" t="n"/>
      <c r="D592" s="85" t="n"/>
      <c r="E592" s="85" t="n"/>
      <c r="F592" s="86" t="n"/>
      <c r="G592" s="86" t="n"/>
      <c r="H592" s="85" t="n"/>
      <c r="I592" s="85" t="n"/>
      <c r="J592" s="85" t="n"/>
      <c r="K592" s="85" t="n"/>
      <c r="L592" s="85" t="n"/>
      <c r="M592" s="85" t="n"/>
      <c r="N592" s="85" t="n"/>
      <c r="O592" s="85" t="n"/>
      <c r="P592" s="85" t="n"/>
      <c r="Q592" s="85" t="n"/>
      <c r="R592" s="85" t="n"/>
      <c r="S592" s="85">
        <f>IF($G592="","",TODAY()-$G592)</f>
        <v/>
      </c>
      <c r="T592" s="85">
        <f>IF($A592="","",IF(AND($E592="Yes",OR($O592="No",$O592="NOT FOUND")),"YES",""))</f>
        <v/>
      </c>
      <c r="U592" s="85">
        <f>IF($A592="","",TRIM(IF(AND($M592=0,$I592&lt;&gt;"Yes"),"T0-NoPhishResistant ","")&amp;IF($H592="No","NoMFA ","")&amp;IF(AND($E592="Yes",$G592=""),"NeverSignedIn ","")))</f>
        <v/>
      </c>
    </row>
    <row r="593" ht="15" customHeight="1" s="39">
      <c r="A593" s="85" t="n"/>
      <c r="B593" s="85" t="n"/>
      <c r="C593" s="85" t="n"/>
      <c r="D593" s="85" t="n"/>
      <c r="E593" s="85" t="n"/>
      <c r="F593" s="86" t="n"/>
      <c r="G593" s="86" t="n"/>
      <c r="H593" s="85" t="n"/>
      <c r="I593" s="85" t="n"/>
      <c r="J593" s="85" t="n"/>
      <c r="K593" s="85" t="n"/>
      <c r="L593" s="85" t="n"/>
      <c r="M593" s="85" t="n"/>
      <c r="N593" s="85" t="n"/>
      <c r="O593" s="85" t="n"/>
      <c r="P593" s="85" t="n"/>
      <c r="Q593" s="85" t="n"/>
      <c r="R593" s="85" t="n"/>
      <c r="S593" s="85">
        <f>IF($G593="","",TODAY()-$G593)</f>
        <v/>
      </c>
      <c r="T593" s="85">
        <f>IF($A593="","",IF(AND($E593="Yes",OR($O593="No",$O593="NOT FOUND")),"YES",""))</f>
        <v/>
      </c>
      <c r="U593" s="85">
        <f>IF($A593="","",TRIM(IF(AND($M593=0,$I593&lt;&gt;"Yes"),"T0-NoPhishResistant ","")&amp;IF($H593="No","NoMFA ","")&amp;IF(AND($E593="Yes",$G593=""),"NeverSignedIn ","")))</f>
        <v/>
      </c>
    </row>
    <row r="594" ht="15" customHeight="1" s="39">
      <c r="A594" s="85" t="n"/>
      <c r="B594" s="85" t="n"/>
      <c r="C594" s="85" t="n"/>
      <c r="D594" s="85" t="n"/>
      <c r="E594" s="85" t="n"/>
      <c r="F594" s="86" t="n"/>
      <c r="G594" s="86" t="n"/>
      <c r="H594" s="85" t="n"/>
      <c r="I594" s="85" t="n"/>
      <c r="J594" s="85" t="n"/>
      <c r="K594" s="85" t="n"/>
      <c r="L594" s="85" t="n"/>
      <c r="M594" s="85" t="n"/>
      <c r="N594" s="85" t="n"/>
      <c r="O594" s="85" t="n"/>
      <c r="P594" s="85" t="n"/>
      <c r="Q594" s="85" t="n"/>
      <c r="R594" s="85" t="n"/>
      <c r="S594" s="85">
        <f>IF($G594="","",TODAY()-$G594)</f>
        <v/>
      </c>
      <c r="T594" s="85">
        <f>IF($A594="","",IF(AND($E594="Yes",OR($O594="No",$O594="NOT FOUND")),"YES",""))</f>
        <v/>
      </c>
      <c r="U594" s="85">
        <f>IF($A594="","",TRIM(IF(AND($M594=0,$I594&lt;&gt;"Yes"),"T0-NoPhishResistant ","")&amp;IF($H594="No","NoMFA ","")&amp;IF(AND($E594="Yes",$G594=""),"NeverSignedIn ","")))</f>
        <v/>
      </c>
    </row>
    <row r="595" ht="15" customHeight="1" s="39">
      <c r="A595" s="85" t="n"/>
      <c r="B595" s="85" t="n"/>
      <c r="C595" s="85" t="n"/>
      <c r="D595" s="85" t="n"/>
      <c r="E595" s="85" t="n"/>
      <c r="F595" s="86" t="n"/>
      <c r="G595" s="86" t="n"/>
      <c r="H595" s="85" t="n"/>
      <c r="I595" s="85" t="n"/>
      <c r="J595" s="85" t="n"/>
      <c r="K595" s="85" t="n"/>
      <c r="L595" s="85" t="n"/>
      <c r="M595" s="85" t="n"/>
      <c r="N595" s="85" t="n"/>
      <c r="O595" s="85" t="n"/>
      <c r="P595" s="85" t="n"/>
      <c r="Q595" s="85" t="n"/>
      <c r="R595" s="85" t="n"/>
      <c r="S595" s="85">
        <f>IF($G595="","",TODAY()-$G595)</f>
        <v/>
      </c>
      <c r="T595" s="85">
        <f>IF($A595="","",IF(AND($E595="Yes",OR($O595="No",$O595="NOT FOUND")),"YES",""))</f>
        <v/>
      </c>
      <c r="U595" s="85">
        <f>IF($A595="","",TRIM(IF(AND($M595=0,$I595&lt;&gt;"Yes"),"T0-NoPhishResistant ","")&amp;IF($H595="No","NoMFA ","")&amp;IF(AND($E595="Yes",$G595=""),"NeverSignedIn ","")))</f>
        <v/>
      </c>
    </row>
    <row r="596" ht="15" customHeight="1" s="39">
      <c r="A596" s="85" t="n"/>
      <c r="B596" s="85" t="n"/>
      <c r="C596" s="85" t="n"/>
      <c r="D596" s="85" t="n"/>
      <c r="E596" s="85" t="n"/>
      <c r="F596" s="86" t="n"/>
      <c r="G596" s="86" t="n"/>
      <c r="H596" s="85" t="n"/>
      <c r="I596" s="85" t="n"/>
      <c r="J596" s="85" t="n"/>
      <c r="K596" s="85" t="n"/>
      <c r="L596" s="85" t="n"/>
      <c r="M596" s="85" t="n"/>
      <c r="N596" s="85" t="n"/>
      <c r="O596" s="85" t="n"/>
      <c r="P596" s="85" t="n"/>
      <c r="Q596" s="85" t="n"/>
      <c r="R596" s="85" t="n"/>
      <c r="S596" s="85">
        <f>IF($G596="","",TODAY()-$G596)</f>
        <v/>
      </c>
      <c r="T596" s="85">
        <f>IF($A596="","",IF(AND($E596="Yes",OR($O596="No",$O596="NOT FOUND")),"YES",""))</f>
        <v/>
      </c>
      <c r="U596" s="85">
        <f>IF($A596="","",TRIM(IF(AND($M596=0,$I596&lt;&gt;"Yes"),"T0-NoPhishResistant ","")&amp;IF($H596="No","NoMFA ","")&amp;IF(AND($E596="Yes",$G596=""),"NeverSignedIn ","")))</f>
        <v/>
      </c>
    </row>
    <row r="597" ht="15" customHeight="1" s="39">
      <c r="A597" s="85" t="n"/>
      <c r="B597" s="85" t="n"/>
      <c r="C597" s="85" t="n"/>
      <c r="D597" s="85" t="n"/>
      <c r="E597" s="85" t="n"/>
      <c r="F597" s="86" t="n"/>
      <c r="G597" s="86" t="n"/>
      <c r="H597" s="85" t="n"/>
      <c r="I597" s="85" t="n"/>
      <c r="J597" s="85" t="n"/>
      <c r="K597" s="85" t="n"/>
      <c r="L597" s="85" t="n"/>
      <c r="M597" s="85" t="n"/>
      <c r="N597" s="85" t="n"/>
      <c r="O597" s="85" t="n"/>
      <c r="P597" s="85" t="n"/>
      <c r="Q597" s="85" t="n"/>
      <c r="R597" s="85" t="n"/>
      <c r="S597" s="85">
        <f>IF($G597="","",TODAY()-$G597)</f>
        <v/>
      </c>
      <c r="T597" s="85">
        <f>IF($A597="","",IF(AND($E597="Yes",OR($O597="No",$O597="NOT FOUND")),"YES",""))</f>
        <v/>
      </c>
      <c r="U597" s="85">
        <f>IF($A597="","",TRIM(IF(AND($M597=0,$I597&lt;&gt;"Yes"),"T0-NoPhishResistant ","")&amp;IF($H597="No","NoMFA ","")&amp;IF(AND($E597="Yes",$G597=""),"NeverSignedIn ","")))</f>
        <v/>
      </c>
    </row>
    <row r="598" ht="15" customHeight="1" s="39">
      <c r="A598" s="85" t="n"/>
      <c r="B598" s="85" t="n"/>
      <c r="C598" s="85" t="n"/>
      <c r="D598" s="85" t="n"/>
      <c r="E598" s="85" t="n"/>
      <c r="F598" s="86" t="n"/>
      <c r="G598" s="86" t="n"/>
      <c r="H598" s="85" t="n"/>
      <c r="I598" s="85" t="n"/>
      <c r="J598" s="85" t="n"/>
      <c r="K598" s="85" t="n"/>
      <c r="L598" s="85" t="n"/>
      <c r="M598" s="85" t="n"/>
      <c r="N598" s="85" t="n"/>
      <c r="O598" s="85" t="n"/>
      <c r="P598" s="85" t="n"/>
      <c r="Q598" s="85" t="n"/>
      <c r="R598" s="85" t="n"/>
      <c r="S598" s="85">
        <f>IF($G598="","",TODAY()-$G598)</f>
        <v/>
      </c>
      <c r="T598" s="85">
        <f>IF($A598="","",IF(AND($E598="Yes",OR($O598="No",$O598="NOT FOUND")),"YES",""))</f>
        <v/>
      </c>
      <c r="U598" s="85">
        <f>IF($A598="","",TRIM(IF(AND($M598=0,$I598&lt;&gt;"Yes"),"T0-NoPhishResistant ","")&amp;IF($H598="No","NoMFA ","")&amp;IF(AND($E598="Yes",$G598=""),"NeverSignedIn ","")))</f>
        <v/>
      </c>
    </row>
    <row r="599" ht="15" customHeight="1" s="39">
      <c r="A599" s="85" t="n"/>
      <c r="B599" s="85" t="n"/>
      <c r="C599" s="85" t="n"/>
      <c r="D599" s="85" t="n"/>
      <c r="E599" s="85" t="n"/>
      <c r="F599" s="86" t="n"/>
      <c r="G599" s="86" t="n"/>
      <c r="H599" s="85" t="n"/>
      <c r="I599" s="85" t="n"/>
      <c r="J599" s="85" t="n"/>
      <c r="K599" s="85" t="n"/>
      <c r="L599" s="85" t="n"/>
      <c r="M599" s="85" t="n"/>
      <c r="N599" s="85" t="n"/>
      <c r="O599" s="85" t="n"/>
      <c r="P599" s="85" t="n"/>
      <c r="Q599" s="85" t="n"/>
      <c r="R599" s="85" t="n"/>
      <c r="S599" s="85">
        <f>IF($G599="","",TODAY()-$G599)</f>
        <v/>
      </c>
      <c r="T599" s="85">
        <f>IF($A599="","",IF(AND($E599="Yes",OR($O599="No",$O599="NOT FOUND")),"YES",""))</f>
        <v/>
      </c>
      <c r="U599" s="85">
        <f>IF($A599="","",TRIM(IF(AND($M599=0,$I599&lt;&gt;"Yes"),"T0-NoPhishResistant ","")&amp;IF($H599="No","NoMFA ","")&amp;IF(AND($E599="Yes",$G599=""),"NeverSignedIn ","")))</f>
        <v/>
      </c>
    </row>
    <row r="600" ht="15" customHeight="1" s="39">
      <c r="A600" s="85" t="n"/>
      <c r="B600" s="85" t="n"/>
      <c r="C600" s="85" t="n"/>
      <c r="D600" s="85" t="n"/>
      <c r="E600" s="85" t="n"/>
      <c r="F600" s="86" t="n"/>
      <c r="G600" s="86" t="n"/>
      <c r="H600" s="85" t="n"/>
      <c r="I600" s="85" t="n"/>
      <c r="J600" s="85" t="n"/>
      <c r="K600" s="85" t="n"/>
      <c r="L600" s="85" t="n"/>
      <c r="M600" s="85" t="n"/>
      <c r="N600" s="85" t="n"/>
      <c r="O600" s="85" t="n"/>
      <c r="P600" s="85" t="n"/>
      <c r="Q600" s="85" t="n"/>
      <c r="R600" s="85" t="n"/>
      <c r="S600" s="85">
        <f>IF($G600="","",TODAY()-$G600)</f>
        <v/>
      </c>
      <c r="T600" s="85">
        <f>IF($A600="","",IF(AND($E600="Yes",OR($O600="No",$O600="NOT FOUND")),"YES",""))</f>
        <v/>
      </c>
      <c r="U600" s="85">
        <f>IF($A600="","",TRIM(IF(AND($M600=0,$I600&lt;&gt;"Yes"),"T0-NoPhishResistant ","")&amp;IF($H600="No","NoMFA ","")&amp;IF(AND($E600="Yes",$G600=""),"NeverSignedIn ","")))</f>
        <v/>
      </c>
    </row>
    <row r="601" ht="15" customHeight="1" s="39">
      <c r="A601" s="85" t="n"/>
      <c r="B601" s="85" t="n"/>
      <c r="C601" s="85" t="n"/>
      <c r="D601" s="85" t="n"/>
      <c r="E601" s="85" t="n"/>
      <c r="F601" s="86" t="n"/>
      <c r="G601" s="86" t="n"/>
      <c r="H601" s="85" t="n"/>
      <c r="I601" s="85" t="n"/>
      <c r="J601" s="85" t="n"/>
      <c r="K601" s="85" t="n"/>
      <c r="L601" s="85" t="n"/>
      <c r="M601" s="85" t="n"/>
      <c r="N601" s="85" t="n"/>
      <c r="O601" s="85" t="n"/>
      <c r="P601" s="85" t="n"/>
      <c r="Q601" s="85" t="n"/>
      <c r="R601" s="85" t="n"/>
      <c r="S601" s="85">
        <f>IF($G601="","",TODAY()-$G601)</f>
        <v/>
      </c>
      <c r="T601" s="85">
        <f>IF($A601="","",IF(AND($E601="Yes",OR($O601="No",$O601="NOT FOUND")),"YES",""))</f>
        <v/>
      </c>
      <c r="U601" s="85">
        <f>IF($A601="","",TRIM(IF(AND($M601=0,$I601&lt;&gt;"Yes"),"T0-NoPhishResistant ","")&amp;IF($H601="No","NoMFA ","")&amp;IF(AND($E601="Yes",$G601=""),"NeverSignedIn ","")))</f>
        <v/>
      </c>
    </row>
    <row r="602" ht="15" customHeight="1" s="39">
      <c r="A602" s="85" t="n"/>
      <c r="B602" s="85" t="n"/>
      <c r="C602" s="85" t="n"/>
      <c r="D602" s="85" t="n"/>
      <c r="E602" s="85" t="n"/>
      <c r="F602" s="86" t="n"/>
      <c r="G602" s="86" t="n"/>
      <c r="H602" s="85" t="n"/>
      <c r="I602" s="85" t="n"/>
      <c r="J602" s="85" t="n"/>
      <c r="K602" s="85" t="n"/>
      <c r="L602" s="85" t="n"/>
      <c r="M602" s="85" t="n"/>
      <c r="N602" s="85" t="n"/>
      <c r="O602" s="85" t="n"/>
      <c r="P602" s="85" t="n"/>
      <c r="Q602" s="85" t="n"/>
      <c r="R602" s="85" t="n"/>
      <c r="S602" s="85">
        <f>IF($G602="","",TODAY()-$G602)</f>
        <v/>
      </c>
      <c r="T602" s="85">
        <f>IF($A602="","",IF(AND($E602="Yes",OR($O602="No",$O602="NOT FOUND")),"YES",""))</f>
        <v/>
      </c>
      <c r="U602" s="85">
        <f>IF($A602="","",TRIM(IF(AND($M602=0,$I602&lt;&gt;"Yes"),"T0-NoPhishResistant ","")&amp;IF($H602="No","NoMFA ","")&amp;IF(AND($E602="Yes",$G602=""),"NeverSignedIn ","")))</f>
        <v/>
      </c>
    </row>
    <row r="603" ht="15" customHeight="1" s="39">
      <c r="A603" s="85" t="n"/>
      <c r="B603" s="85" t="n"/>
      <c r="C603" s="85" t="n"/>
      <c r="D603" s="85" t="n"/>
      <c r="E603" s="85" t="n"/>
      <c r="F603" s="86" t="n"/>
      <c r="G603" s="86" t="n"/>
      <c r="H603" s="85" t="n"/>
      <c r="I603" s="85" t="n"/>
      <c r="J603" s="85" t="n"/>
      <c r="K603" s="85" t="n"/>
      <c r="L603" s="85" t="n"/>
      <c r="M603" s="85" t="n"/>
      <c r="N603" s="85" t="n"/>
      <c r="O603" s="85" t="n"/>
      <c r="P603" s="85" t="n"/>
      <c r="Q603" s="85" t="n"/>
      <c r="R603" s="85" t="n"/>
      <c r="S603" s="85">
        <f>IF($G603="","",TODAY()-$G603)</f>
        <v/>
      </c>
      <c r="T603" s="85">
        <f>IF($A603="","",IF(AND($E603="Yes",OR($O603="No",$O603="NOT FOUND")),"YES",""))</f>
        <v/>
      </c>
      <c r="U603" s="85">
        <f>IF($A603="","",TRIM(IF(AND($M603=0,$I603&lt;&gt;"Yes"),"T0-NoPhishResistant ","")&amp;IF($H603="No","NoMFA ","")&amp;IF(AND($E603="Yes",$G603=""),"NeverSignedIn ","")))</f>
        <v/>
      </c>
    </row>
    <row r="604" ht="15" customHeight="1" s="39">
      <c r="A604" s="85" t="n"/>
      <c r="B604" s="85" t="n"/>
      <c r="C604" s="85" t="n"/>
      <c r="D604" s="85" t="n"/>
      <c r="E604" s="85" t="n"/>
      <c r="F604" s="86" t="n"/>
      <c r="G604" s="86" t="n"/>
      <c r="H604" s="85" t="n"/>
      <c r="I604" s="85" t="n"/>
      <c r="J604" s="85" t="n"/>
      <c r="K604" s="85" t="n"/>
      <c r="L604" s="85" t="n"/>
      <c r="M604" s="85" t="n"/>
      <c r="N604" s="85" t="n"/>
      <c r="O604" s="85" t="n"/>
      <c r="P604" s="85" t="n"/>
      <c r="Q604" s="85" t="n"/>
      <c r="R604" s="85" t="n"/>
      <c r="S604" s="85">
        <f>IF($G604="","",TODAY()-$G604)</f>
        <v/>
      </c>
      <c r="T604" s="85">
        <f>IF($A604="","",IF(AND($E604="Yes",OR($O604="No",$O604="NOT FOUND")),"YES",""))</f>
        <v/>
      </c>
      <c r="U604" s="85">
        <f>IF($A604="","",TRIM(IF(AND($M604=0,$I604&lt;&gt;"Yes"),"T0-NoPhishResistant ","")&amp;IF($H604="No","NoMFA ","")&amp;IF(AND($E604="Yes",$G604=""),"NeverSignedIn ","")))</f>
        <v/>
      </c>
    </row>
    <row r="605" ht="15" customHeight="1" s="39">
      <c r="A605" s="85" t="n"/>
      <c r="B605" s="85" t="n"/>
      <c r="C605" s="85" t="n"/>
      <c r="D605" s="85" t="n"/>
      <c r="E605" s="85" t="n"/>
      <c r="F605" s="86" t="n"/>
      <c r="G605" s="86" t="n"/>
      <c r="H605" s="85" t="n"/>
      <c r="I605" s="85" t="n"/>
      <c r="J605" s="85" t="n"/>
      <c r="K605" s="85" t="n"/>
      <c r="L605" s="85" t="n"/>
      <c r="M605" s="85" t="n"/>
      <c r="N605" s="85" t="n"/>
      <c r="O605" s="85" t="n"/>
      <c r="P605" s="85" t="n"/>
      <c r="Q605" s="85" t="n"/>
      <c r="R605" s="85" t="n"/>
      <c r="S605" s="85">
        <f>IF($G605="","",TODAY()-$G605)</f>
        <v/>
      </c>
      <c r="T605" s="85">
        <f>IF($A605="","",IF(AND($E605="Yes",OR($O605="No",$O605="NOT FOUND")),"YES",""))</f>
        <v/>
      </c>
      <c r="U605" s="85">
        <f>IF($A605="","",TRIM(IF(AND($M605=0,$I605&lt;&gt;"Yes"),"T0-NoPhishResistant ","")&amp;IF($H605="No","NoMFA ","")&amp;IF(AND($E605="Yes",$G605=""),"NeverSignedIn ","")))</f>
        <v/>
      </c>
    </row>
    <row r="606" ht="15" customHeight="1" s="39">
      <c r="A606" s="85" t="n"/>
      <c r="B606" s="85" t="n"/>
      <c r="C606" s="85" t="n"/>
      <c r="D606" s="85" t="n"/>
      <c r="E606" s="85" t="n"/>
      <c r="F606" s="86" t="n"/>
      <c r="G606" s="86" t="n"/>
      <c r="H606" s="85" t="n"/>
      <c r="I606" s="85" t="n"/>
      <c r="J606" s="85" t="n"/>
      <c r="K606" s="85" t="n"/>
      <c r="L606" s="85" t="n"/>
      <c r="M606" s="85" t="n"/>
      <c r="N606" s="85" t="n"/>
      <c r="O606" s="85" t="n"/>
      <c r="P606" s="85" t="n"/>
      <c r="Q606" s="85" t="n"/>
      <c r="R606" s="85" t="n"/>
      <c r="S606" s="85">
        <f>IF($G606="","",TODAY()-$G606)</f>
        <v/>
      </c>
      <c r="T606" s="85">
        <f>IF($A606="","",IF(AND($E606="Yes",OR($O606="No",$O606="NOT FOUND")),"YES",""))</f>
        <v/>
      </c>
      <c r="U606" s="85">
        <f>IF($A606="","",TRIM(IF(AND($M606=0,$I606&lt;&gt;"Yes"),"T0-NoPhishResistant ","")&amp;IF($H606="No","NoMFA ","")&amp;IF(AND($E606="Yes",$G606=""),"NeverSignedIn ","")))</f>
        <v/>
      </c>
    </row>
    <row r="607" ht="15" customHeight="1" s="39">
      <c r="A607" s="85" t="n"/>
      <c r="B607" s="85" t="n"/>
      <c r="C607" s="85" t="n"/>
      <c r="D607" s="85" t="n"/>
      <c r="E607" s="85" t="n"/>
      <c r="F607" s="86" t="n"/>
      <c r="G607" s="86" t="n"/>
      <c r="H607" s="85" t="n"/>
      <c r="I607" s="85" t="n"/>
      <c r="J607" s="85" t="n"/>
      <c r="K607" s="85" t="n"/>
      <c r="L607" s="85" t="n"/>
      <c r="M607" s="85" t="n"/>
      <c r="N607" s="85" t="n"/>
      <c r="O607" s="85" t="n"/>
      <c r="P607" s="85" t="n"/>
      <c r="Q607" s="85" t="n"/>
      <c r="R607" s="85" t="n"/>
      <c r="S607" s="85">
        <f>IF($G607="","",TODAY()-$G607)</f>
        <v/>
      </c>
      <c r="T607" s="85">
        <f>IF($A607="","",IF(AND($E607="Yes",OR($O607="No",$O607="NOT FOUND")),"YES",""))</f>
        <v/>
      </c>
      <c r="U607" s="85">
        <f>IF($A607="","",TRIM(IF(AND($M607=0,$I607&lt;&gt;"Yes"),"T0-NoPhishResistant ","")&amp;IF($H607="No","NoMFA ","")&amp;IF(AND($E607="Yes",$G607=""),"NeverSignedIn ","")))</f>
        <v/>
      </c>
    </row>
    <row r="608" ht="15" customHeight="1" s="39">
      <c r="A608" s="85" t="n"/>
      <c r="B608" s="85" t="n"/>
      <c r="C608" s="85" t="n"/>
      <c r="D608" s="85" t="n"/>
      <c r="E608" s="85" t="n"/>
      <c r="F608" s="86" t="n"/>
      <c r="G608" s="86" t="n"/>
      <c r="H608" s="85" t="n"/>
      <c r="I608" s="85" t="n"/>
      <c r="J608" s="85" t="n"/>
      <c r="K608" s="85" t="n"/>
      <c r="L608" s="85" t="n"/>
      <c r="M608" s="85" t="n"/>
      <c r="N608" s="85" t="n"/>
      <c r="O608" s="85" t="n"/>
      <c r="P608" s="85" t="n"/>
      <c r="Q608" s="85" t="n"/>
      <c r="R608" s="85" t="n"/>
      <c r="S608" s="85">
        <f>IF($G608="","",TODAY()-$G608)</f>
        <v/>
      </c>
      <c r="T608" s="85">
        <f>IF($A608="","",IF(AND($E608="Yes",OR($O608="No",$O608="NOT FOUND")),"YES",""))</f>
        <v/>
      </c>
      <c r="U608" s="85">
        <f>IF($A608="","",TRIM(IF(AND($M608=0,$I608&lt;&gt;"Yes"),"T0-NoPhishResistant ","")&amp;IF($H608="No","NoMFA ","")&amp;IF(AND($E608="Yes",$G608=""),"NeverSignedIn ","")))</f>
        <v/>
      </c>
    </row>
    <row r="609" ht="15" customHeight="1" s="39">
      <c r="A609" s="85" t="n"/>
      <c r="B609" s="85" t="n"/>
      <c r="C609" s="85" t="n"/>
      <c r="D609" s="85" t="n"/>
      <c r="E609" s="85" t="n"/>
      <c r="F609" s="86" t="n"/>
      <c r="G609" s="86" t="n"/>
      <c r="H609" s="85" t="n"/>
      <c r="I609" s="85" t="n"/>
      <c r="J609" s="85" t="n"/>
      <c r="K609" s="85" t="n"/>
      <c r="L609" s="85" t="n"/>
      <c r="M609" s="85" t="n"/>
      <c r="N609" s="85" t="n"/>
      <c r="O609" s="85" t="n"/>
      <c r="P609" s="85" t="n"/>
      <c r="Q609" s="85" t="n"/>
      <c r="R609" s="85" t="n"/>
      <c r="S609" s="85">
        <f>IF($G609="","",TODAY()-$G609)</f>
        <v/>
      </c>
      <c r="T609" s="85">
        <f>IF($A609="","",IF(AND($E609="Yes",OR($O609="No",$O609="NOT FOUND")),"YES",""))</f>
        <v/>
      </c>
      <c r="U609" s="85">
        <f>IF($A609="","",TRIM(IF(AND($M609=0,$I609&lt;&gt;"Yes"),"T0-NoPhishResistant ","")&amp;IF($H609="No","NoMFA ","")&amp;IF(AND($E609="Yes",$G609=""),"NeverSignedIn ","")))</f>
        <v/>
      </c>
    </row>
    <row r="610" ht="15" customHeight="1" s="39">
      <c r="A610" s="85" t="n"/>
      <c r="B610" s="85" t="n"/>
      <c r="C610" s="85" t="n"/>
      <c r="D610" s="85" t="n"/>
      <c r="E610" s="85" t="n"/>
      <c r="F610" s="86" t="n"/>
      <c r="G610" s="86" t="n"/>
      <c r="H610" s="85" t="n"/>
      <c r="I610" s="85" t="n"/>
      <c r="J610" s="85" t="n"/>
      <c r="K610" s="85" t="n"/>
      <c r="L610" s="85" t="n"/>
      <c r="M610" s="85" t="n"/>
      <c r="N610" s="85" t="n"/>
      <c r="O610" s="85" t="n"/>
      <c r="P610" s="85" t="n"/>
      <c r="Q610" s="85" t="n"/>
      <c r="R610" s="85" t="n"/>
      <c r="S610" s="85">
        <f>IF($G610="","",TODAY()-$G610)</f>
        <v/>
      </c>
      <c r="T610" s="85">
        <f>IF($A610="","",IF(AND($E610="Yes",OR($O610="No",$O610="NOT FOUND")),"YES",""))</f>
        <v/>
      </c>
      <c r="U610" s="85">
        <f>IF($A610="","",TRIM(IF(AND($M610=0,$I610&lt;&gt;"Yes"),"T0-NoPhishResistant ","")&amp;IF($H610="No","NoMFA ","")&amp;IF(AND($E610="Yes",$G610=""),"NeverSignedIn ","")))</f>
        <v/>
      </c>
    </row>
    <row r="611" ht="15" customHeight="1" s="39">
      <c r="A611" s="85" t="n"/>
      <c r="B611" s="85" t="n"/>
      <c r="C611" s="85" t="n"/>
      <c r="D611" s="85" t="n"/>
      <c r="E611" s="85" t="n"/>
      <c r="F611" s="86" t="n"/>
      <c r="G611" s="86" t="n"/>
      <c r="H611" s="85" t="n"/>
      <c r="I611" s="85" t="n"/>
      <c r="J611" s="85" t="n"/>
      <c r="K611" s="85" t="n"/>
      <c r="L611" s="85" t="n"/>
      <c r="M611" s="85" t="n"/>
      <c r="N611" s="85" t="n"/>
      <c r="O611" s="85" t="n"/>
      <c r="P611" s="85" t="n"/>
      <c r="Q611" s="85" t="n"/>
      <c r="R611" s="85" t="n"/>
      <c r="S611" s="85">
        <f>IF($G611="","",TODAY()-$G611)</f>
        <v/>
      </c>
      <c r="T611" s="85">
        <f>IF($A611="","",IF(AND($E611="Yes",OR($O611="No",$O611="NOT FOUND")),"YES",""))</f>
        <v/>
      </c>
      <c r="U611" s="85">
        <f>IF($A611="","",TRIM(IF(AND($M611=0,$I611&lt;&gt;"Yes"),"T0-NoPhishResistant ","")&amp;IF($H611="No","NoMFA ","")&amp;IF(AND($E611="Yes",$G611=""),"NeverSignedIn ","")))</f>
        <v/>
      </c>
    </row>
    <row r="612" ht="15" customHeight="1" s="39">
      <c r="A612" s="85" t="n"/>
      <c r="B612" s="85" t="n"/>
      <c r="C612" s="85" t="n"/>
      <c r="D612" s="85" t="n"/>
      <c r="E612" s="85" t="n"/>
      <c r="F612" s="86" t="n"/>
      <c r="G612" s="86" t="n"/>
      <c r="H612" s="85" t="n"/>
      <c r="I612" s="85" t="n"/>
      <c r="J612" s="85" t="n"/>
      <c r="K612" s="85" t="n"/>
      <c r="L612" s="85" t="n"/>
      <c r="M612" s="85" t="n"/>
      <c r="N612" s="85" t="n"/>
      <c r="O612" s="85" t="n"/>
      <c r="P612" s="85" t="n"/>
      <c r="Q612" s="85" t="n"/>
      <c r="R612" s="85" t="n"/>
      <c r="S612" s="85">
        <f>IF($G612="","",TODAY()-$G612)</f>
        <v/>
      </c>
      <c r="T612" s="85">
        <f>IF($A612="","",IF(AND($E612="Yes",OR($O612="No",$O612="NOT FOUND")),"YES",""))</f>
        <v/>
      </c>
      <c r="U612" s="85">
        <f>IF($A612="","",TRIM(IF(AND($M612=0,$I612&lt;&gt;"Yes"),"T0-NoPhishResistant ","")&amp;IF($H612="No","NoMFA ","")&amp;IF(AND($E612="Yes",$G612=""),"NeverSignedIn ","")))</f>
        <v/>
      </c>
    </row>
    <row r="613" ht="15" customHeight="1" s="39">
      <c r="A613" s="85" t="n"/>
      <c r="B613" s="85" t="n"/>
      <c r="C613" s="85" t="n"/>
      <c r="D613" s="85" t="n"/>
      <c r="E613" s="85" t="n"/>
      <c r="F613" s="86" t="n"/>
      <c r="G613" s="86" t="n"/>
      <c r="H613" s="85" t="n"/>
      <c r="I613" s="85" t="n"/>
      <c r="J613" s="85" t="n"/>
      <c r="K613" s="85" t="n"/>
      <c r="L613" s="85" t="n"/>
      <c r="M613" s="85" t="n"/>
      <c r="N613" s="85" t="n"/>
      <c r="O613" s="85" t="n"/>
      <c r="P613" s="85" t="n"/>
      <c r="Q613" s="85" t="n"/>
      <c r="R613" s="85" t="n"/>
      <c r="S613" s="85">
        <f>IF($G613="","",TODAY()-$G613)</f>
        <v/>
      </c>
      <c r="T613" s="85">
        <f>IF($A613="","",IF(AND($E613="Yes",OR($O613="No",$O613="NOT FOUND")),"YES",""))</f>
        <v/>
      </c>
      <c r="U613" s="85">
        <f>IF($A613="","",TRIM(IF(AND($M613=0,$I613&lt;&gt;"Yes"),"T0-NoPhishResistant ","")&amp;IF($H613="No","NoMFA ","")&amp;IF(AND($E613="Yes",$G613=""),"NeverSignedIn ","")))</f>
        <v/>
      </c>
    </row>
    <row r="614" ht="15" customHeight="1" s="39">
      <c r="A614" s="85" t="n"/>
      <c r="B614" s="85" t="n"/>
      <c r="C614" s="85" t="n"/>
      <c r="D614" s="85" t="n"/>
      <c r="E614" s="85" t="n"/>
      <c r="F614" s="86" t="n"/>
      <c r="G614" s="86" t="n"/>
      <c r="H614" s="85" t="n"/>
      <c r="I614" s="85" t="n"/>
      <c r="J614" s="85" t="n"/>
      <c r="K614" s="85" t="n"/>
      <c r="L614" s="85" t="n"/>
      <c r="M614" s="85" t="n"/>
      <c r="N614" s="85" t="n"/>
      <c r="O614" s="85" t="n"/>
      <c r="P614" s="85" t="n"/>
      <c r="Q614" s="85" t="n"/>
      <c r="R614" s="85" t="n"/>
      <c r="S614" s="85">
        <f>IF($G614="","",TODAY()-$G614)</f>
        <v/>
      </c>
      <c r="T614" s="85">
        <f>IF($A614="","",IF(AND($E614="Yes",OR($O614="No",$O614="NOT FOUND")),"YES",""))</f>
        <v/>
      </c>
      <c r="U614" s="85">
        <f>IF($A614="","",TRIM(IF(AND($M614=0,$I614&lt;&gt;"Yes"),"T0-NoPhishResistant ","")&amp;IF($H614="No","NoMFA ","")&amp;IF(AND($E614="Yes",$G614=""),"NeverSignedIn ","")))</f>
        <v/>
      </c>
    </row>
    <row r="615" ht="15" customHeight="1" s="39">
      <c r="A615" s="85" t="n"/>
      <c r="B615" s="85" t="n"/>
      <c r="C615" s="85" t="n"/>
      <c r="D615" s="85" t="n"/>
      <c r="E615" s="85" t="n"/>
      <c r="F615" s="86" t="n"/>
      <c r="G615" s="86" t="n"/>
      <c r="H615" s="85" t="n"/>
      <c r="I615" s="85" t="n"/>
      <c r="J615" s="85" t="n"/>
      <c r="K615" s="85" t="n"/>
      <c r="L615" s="85" t="n"/>
      <c r="M615" s="85" t="n"/>
      <c r="N615" s="85" t="n"/>
      <c r="O615" s="85" t="n"/>
      <c r="P615" s="85" t="n"/>
      <c r="Q615" s="85" t="n"/>
      <c r="R615" s="85" t="n"/>
      <c r="S615" s="85">
        <f>IF($G615="","",TODAY()-$G615)</f>
        <v/>
      </c>
      <c r="T615" s="85">
        <f>IF($A615="","",IF(AND($E615="Yes",OR($O615="No",$O615="NOT FOUND")),"YES",""))</f>
        <v/>
      </c>
      <c r="U615" s="85">
        <f>IF($A615="","",TRIM(IF(AND($M615=0,$I615&lt;&gt;"Yes"),"T0-NoPhishResistant ","")&amp;IF($H615="No","NoMFA ","")&amp;IF(AND($E615="Yes",$G615=""),"NeverSignedIn ","")))</f>
        <v/>
      </c>
    </row>
    <row r="616" ht="15" customHeight="1" s="39">
      <c r="A616" s="85" t="n"/>
      <c r="B616" s="85" t="n"/>
      <c r="C616" s="85" t="n"/>
      <c r="D616" s="85" t="n"/>
      <c r="E616" s="85" t="n"/>
      <c r="F616" s="86" t="n"/>
      <c r="G616" s="86" t="n"/>
      <c r="H616" s="85" t="n"/>
      <c r="I616" s="85" t="n"/>
      <c r="J616" s="85" t="n"/>
      <c r="K616" s="85" t="n"/>
      <c r="L616" s="85" t="n"/>
      <c r="M616" s="85" t="n"/>
      <c r="N616" s="85" t="n"/>
      <c r="O616" s="85" t="n"/>
      <c r="P616" s="85" t="n"/>
      <c r="Q616" s="85" t="n"/>
      <c r="R616" s="85" t="n"/>
      <c r="S616" s="85">
        <f>IF($G616="","",TODAY()-$G616)</f>
        <v/>
      </c>
      <c r="T616" s="85">
        <f>IF($A616="","",IF(AND($E616="Yes",OR($O616="No",$O616="NOT FOUND")),"YES",""))</f>
        <v/>
      </c>
      <c r="U616" s="85">
        <f>IF($A616="","",TRIM(IF(AND($M616=0,$I616&lt;&gt;"Yes"),"T0-NoPhishResistant ","")&amp;IF($H616="No","NoMFA ","")&amp;IF(AND($E616="Yes",$G616=""),"NeverSignedIn ","")))</f>
        <v/>
      </c>
    </row>
    <row r="617" ht="15" customHeight="1" s="39">
      <c r="A617" s="85" t="n"/>
      <c r="B617" s="85" t="n"/>
      <c r="C617" s="85" t="n"/>
      <c r="D617" s="85" t="n"/>
      <c r="E617" s="85" t="n"/>
      <c r="F617" s="86" t="n"/>
      <c r="G617" s="86" t="n"/>
      <c r="H617" s="85" t="n"/>
      <c r="I617" s="85" t="n"/>
      <c r="J617" s="85" t="n"/>
      <c r="K617" s="85" t="n"/>
      <c r="L617" s="85" t="n"/>
      <c r="M617" s="85" t="n"/>
      <c r="N617" s="85" t="n"/>
      <c r="O617" s="85" t="n"/>
      <c r="P617" s="85" t="n"/>
      <c r="Q617" s="85" t="n"/>
      <c r="R617" s="85" t="n"/>
      <c r="S617" s="85">
        <f>IF($G617="","",TODAY()-$G617)</f>
        <v/>
      </c>
      <c r="T617" s="85">
        <f>IF($A617="","",IF(AND($E617="Yes",OR($O617="No",$O617="NOT FOUND")),"YES",""))</f>
        <v/>
      </c>
      <c r="U617" s="85">
        <f>IF($A617="","",TRIM(IF(AND($M617=0,$I617&lt;&gt;"Yes"),"T0-NoPhishResistant ","")&amp;IF($H617="No","NoMFA ","")&amp;IF(AND($E617="Yes",$G617=""),"NeverSignedIn ","")))</f>
        <v/>
      </c>
    </row>
    <row r="618" ht="15" customHeight="1" s="39">
      <c r="A618" s="85" t="n"/>
      <c r="B618" s="85" t="n"/>
      <c r="C618" s="85" t="n"/>
      <c r="D618" s="85" t="n"/>
      <c r="E618" s="85" t="n"/>
      <c r="F618" s="86" t="n"/>
      <c r="G618" s="86" t="n"/>
      <c r="H618" s="85" t="n"/>
      <c r="I618" s="85" t="n"/>
      <c r="J618" s="85" t="n"/>
      <c r="K618" s="85" t="n"/>
      <c r="L618" s="85" t="n"/>
      <c r="M618" s="85" t="n"/>
      <c r="N618" s="85" t="n"/>
      <c r="O618" s="85" t="n"/>
      <c r="P618" s="85" t="n"/>
      <c r="Q618" s="85" t="n"/>
      <c r="R618" s="85" t="n"/>
      <c r="S618" s="85">
        <f>IF($G618="","",TODAY()-$G618)</f>
        <v/>
      </c>
      <c r="T618" s="85">
        <f>IF($A618="","",IF(AND($E618="Yes",OR($O618="No",$O618="NOT FOUND")),"YES",""))</f>
        <v/>
      </c>
      <c r="U618" s="85">
        <f>IF($A618="","",TRIM(IF(AND($M618=0,$I618&lt;&gt;"Yes"),"T0-NoPhishResistant ","")&amp;IF($H618="No","NoMFA ","")&amp;IF(AND($E618="Yes",$G618=""),"NeverSignedIn ","")))</f>
        <v/>
      </c>
    </row>
    <row r="619" ht="15" customHeight="1" s="39">
      <c r="A619" s="85" t="n"/>
      <c r="B619" s="85" t="n"/>
      <c r="C619" s="85" t="n"/>
      <c r="D619" s="85" t="n"/>
      <c r="E619" s="85" t="n"/>
      <c r="F619" s="86" t="n"/>
      <c r="G619" s="86" t="n"/>
      <c r="H619" s="85" t="n"/>
      <c r="I619" s="85" t="n"/>
      <c r="J619" s="85" t="n"/>
      <c r="K619" s="85" t="n"/>
      <c r="L619" s="85" t="n"/>
      <c r="M619" s="85" t="n"/>
      <c r="N619" s="85" t="n"/>
      <c r="O619" s="85" t="n"/>
      <c r="P619" s="85" t="n"/>
      <c r="Q619" s="85" t="n"/>
      <c r="R619" s="85" t="n"/>
      <c r="S619" s="85">
        <f>IF($G619="","",TODAY()-$G619)</f>
        <v/>
      </c>
      <c r="T619" s="85">
        <f>IF($A619="","",IF(AND($E619="Yes",OR($O619="No",$O619="NOT FOUND")),"YES",""))</f>
        <v/>
      </c>
      <c r="U619" s="85">
        <f>IF($A619="","",TRIM(IF(AND($M619=0,$I619&lt;&gt;"Yes"),"T0-NoPhishResistant ","")&amp;IF($H619="No","NoMFA ","")&amp;IF(AND($E619="Yes",$G619=""),"NeverSignedIn ","")))</f>
        <v/>
      </c>
    </row>
    <row r="620" ht="15" customHeight="1" s="39">
      <c r="A620" s="85" t="n"/>
      <c r="B620" s="85" t="n"/>
      <c r="C620" s="85" t="n"/>
      <c r="D620" s="85" t="n"/>
      <c r="E620" s="85" t="n"/>
      <c r="F620" s="86" t="n"/>
      <c r="G620" s="86" t="n"/>
      <c r="H620" s="85" t="n"/>
      <c r="I620" s="85" t="n"/>
      <c r="J620" s="85" t="n"/>
      <c r="K620" s="85" t="n"/>
      <c r="L620" s="85" t="n"/>
      <c r="M620" s="85" t="n"/>
      <c r="N620" s="85" t="n"/>
      <c r="O620" s="85" t="n"/>
      <c r="P620" s="85" t="n"/>
      <c r="Q620" s="85" t="n"/>
      <c r="R620" s="85" t="n"/>
      <c r="S620" s="85">
        <f>IF($G620="","",TODAY()-$G620)</f>
        <v/>
      </c>
      <c r="T620" s="85">
        <f>IF($A620="","",IF(AND($E620="Yes",OR($O620="No",$O620="NOT FOUND")),"YES",""))</f>
        <v/>
      </c>
      <c r="U620" s="85">
        <f>IF($A620="","",TRIM(IF(AND($M620=0,$I620&lt;&gt;"Yes"),"T0-NoPhishResistant ","")&amp;IF($H620="No","NoMFA ","")&amp;IF(AND($E620="Yes",$G620=""),"NeverSignedIn ","")))</f>
        <v/>
      </c>
    </row>
    <row r="621" ht="15" customHeight="1" s="39">
      <c r="A621" s="85" t="n"/>
      <c r="B621" s="85" t="n"/>
      <c r="C621" s="85" t="n"/>
      <c r="D621" s="85" t="n"/>
      <c r="E621" s="85" t="n"/>
      <c r="F621" s="86" t="n"/>
      <c r="G621" s="86" t="n"/>
      <c r="H621" s="85" t="n"/>
      <c r="I621" s="85" t="n"/>
      <c r="J621" s="85" t="n"/>
      <c r="K621" s="85" t="n"/>
      <c r="L621" s="85" t="n"/>
      <c r="M621" s="85" t="n"/>
      <c r="N621" s="85" t="n"/>
      <c r="O621" s="85" t="n"/>
      <c r="P621" s="85" t="n"/>
      <c r="Q621" s="85" t="n"/>
      <c r="R621" s="85" t="n"/>
      <c r="S621" s="85">
        <f>IF($G621="","",TODAY()-$G621)</f>
        <v/>
      </c>
      <c r="T621" s="85">
        <f>IF($A621="","",IF(AND($E621="Yes",OR($O621="No",$O621="NOT FOUND")),"YES",""))</f>
        <v/>
      </c>
      <c r="U621" s="85">
        <f>IF($A621="","",TRIM(IF(AND($M621=0,$I621&lt;&gt;"Yes"),"T0-NoPhishResistant ","")&amp;IF($H621="No","NoMFA ","")&amp;IF(AND($E621="Yes",$G621=""),"NeverSignedIn ","")))</f>
        <v/>
      </c>
    </row>
    <row r="622" ht="15" customHeight="1" s="39">
      <c r="A622" s="85" t="n"/>
      <c r="B622" s="85" t="n"/>
      <c r="C622" s="85" t="n"/>
      <c r="D622" s="85" t="n"/>
      <c r="E622" s="85" t="n"/>
      <c r="F622" s="86" t="n"/>
      <c r="G622" s="86" t="n"/>
      <c r="H622" s="85" t="n"/>
      <c r="I622" s="85" t="n"/>
      <c r="J622" s="85" t="n"/>
      <c r="K622" s="85" t="n"/>
      <c r="L622" s="85" t="n"/>
      <c r="M622" s="85" t="n"/>
      <c r="N622" s="85" t="n"/>
      <c r="O622" s="85" t="n"/>
      <c r="P622" s="85" t="n"/>
      <c r="Q622" s="85" t="n"/>
      <c r="R622" s="85" t="n"/>
      <c r="S622" s="85">
        <f>IF($G622="","",TODAY()-$G622)</f>
        <v/>
      </c>
      <c r="T622" s="85">
        <f>IF($A622="","",IF(AND($E622="Yes",OR($O622="No",$O622="NOT FOUND")),"YES",""))</f>
        <v/>
      </c>
      <c r="U622" s="85">
        <f>IF($A622="","",TRIM(IF(AND($M622=0,$I622&lt;&gt;"Yes"),"T0-NoPhishResistant ","")&amp;IF($H622="No","NoMFA ","")&amp;IF(AND($E622="Yes",$G622=""),"NeverSignedIn ","")))</f>
        <v/>
      </c>
    </row>
    <row r="623" ht="15" customHeight="1" s="39">
      <c r="A623" s="85" t="n"/>
      <c r="B623" s="85" t="n"/>
      <c r="C623" s="85" t="n"/>
      <c r="D623" s="85" t="n"/>
      <c r="E623" s="85" t="n"/>
      <c r="F623" s="86" t="n"/>
      <c r="G623" s="86" t="n"/>
      <c r="H623" s="85" t="n"/>
      <c r="I623" s="85" t="n"/>
      <c r="J623" s="85" t="n"/>
      <c r="K623" s="85" t="n"/>
      <c r="L623" s="85" t="n"/>
      <c r="M623" s="85" t="n"/>
      <c r="N623" s="85" t="n"/>
      <c r="O623" s="85" t="n"/>
      <c r="P623" s="85" t="n"/>
      <c r="Q623" s="85" t="n"/>
      <c r="R623" s="85" t="n"/>
      <c r="S623" s="85">
        <f>IF($G623="","",TODAY()-$G623)</f>
        <v/>
      </c>
      <c r="T623" s="85">
        <f>IF($A623="","",IF(AND($E623="Yes",OR($O623="No",$O623="NOT FOUND")),"YES",""))</f>
        <v/>
      </c>
      <c r="U623" s="85">
        <f>IF($A623="","",TRIM(IF(AND($M623=0,$I623&lt;&gt;"Yes"),"T0-NoPhishResistant ","")&amp;IF($H623="No","NoMFA ","")&amp;IF(AND($E623="Yes",$G623=""),"NeverSignedIn ","")))</f>
        <v/>
      </c>
    </row>
    <row r="624" ht="15" customHeight="1" s="39">
      <c r="A624" s="85" t="n"/>
      <c r="B624" s="85" t="n"/>
      <c r="C624" s="85" t="n"/>
      <c r="D624" s="85" t="n"/>
      <c r="E624" s="85" t="n"/>
      <c r="F624" s="86" t="n"/>
      <c r="G624" s="86" t="n"/>
      <c r="H624" s="85" t="n"/>
      <c r="I624" s="85" t="n"/>
      <c r="J624" s="85" t="n"/>
      <c r="K624" s="85" t="n"/>
      <c r="L624" s="85" t="n"/>
      <c r="M624" s="85" t="n"/>
      <c r="N624" s="85" t="n"/>
      <c r="O624" s="85" t="n"/>
      <c r="P624" s="85" t="n"/>
      <c r="Q624" s="85" t="n"/>
      <c r="R624" s="85" t="n"/>
      <c r="S624" s="85">
        <f>IF($G624="","",TODAY()-$G624)</f>
        <v/>
      </c>
      <c r="T624" s="85">
        <f>IF($A624="","",IF(AND($E624="Yes",OR($O624="No",$O624="NOT FOUND")),"YES",""))</f>
        <v/>
      </c>
      <c r="U624" s="85">
        <f>IF($A624="","",TRIM(IF(AND($M624=0,$I624&lt;&gt;"Yes"),"T0-NoPhishResistant ","")&amp;IF($H624="No","NoMFA ","")&amp;IF(AND($E624="Yes",$G624=""),"NeverSignedIn ","")))</f>
        <v/>
      </c>
    </row>
    <row r="625" ht="15" customHeight="1" s="39">
      <c r="A625" s="85" t="n"/>
      <c r="B625" s="85" t="n"/>
      <c r="C625" s="85" t="n"/>
      <c r="D625" s="85" t="n"/>
      <c r="E625" s="85" t="n"/>
      <c r="F625" s="86" t="n"/>
      <c r="G625" s="86" t="n"/>
      <c r="H625" s="85" t="n"/>
      <c r="I625" s="85" t="n"/>
      <c r="J625" s="85" t="n"/>
      <c r="K625" s="85" t="n"/>
      <c r="L625" s="85" t="n"/>
      <c r="M625" s="85" t="n"/>
      <c r="N625" s="85" t="n"/>
      <c r="O625" s="85" t="n"/>
      <c r="P625" s="85" t="n"/>
      <c r="Q625" s="85" t="n"/>
      <c r="R625" s="85" t="n"/>
      <c r="S625" s="85">
        <f>IF($G625="","",TODAY()-$G625)</f>
        <v/>
      </c>
      <c r="T625" s="85">
        <f>IF($A625="","",IF(AND($E625="Yes",OR($O625="No",$O625="NOT FOUND")),"YES",""))</f>
        <v/>
      </c>
      <c r="U625" s="85">
        <f>IF($A625="","",TRIM(IF(AND($M625=0,$I625&lt;&gt;"Yes"),"T0-NoPhishResistant ","")&amp;IF($H625="No","NoMFA ","")&amp;IF(AND($E625="Yes",$G625=""),"NeverSignedIn ","")))</f>
        <v/>
      </c>
    </row>
    <row r="626" ht="15" customHeight="1" s="39">
      <c r="A626" s="85" t="n"/>
      <c r="B626" s="85" t="n"/>
      <c r="C626" s="85" t="n"/>
      <c r="D626" s="85" t="n"/>
      <c r="E626" s="85" t="n"/>
      <c r="F626" s="86" t="n"/>
      <c r="G626" s="86" t="n"/>
      <c r="H626" s="85" t="n"/>
      <c r="I626" s="85" t="n"/>
      <c r="J626" s="85" t="n"/>
      <c r="K626" s="85" t="n"/>
      <c r="L626" s="85" t="n"/>
      <c r="M626" s="85" t="n"/>
      <c r="N626" s="85" t="n"/>
      <c r="O626" s="85" t="n"/>
      <c r="P626" s="85" t="n"/>
      <c r="Q626" s="85" t="n"/>
      <c r="R626" s="85" t="n"/>
      <c r="S626" s="85">
        <f>IF($G626="","",TODAY()-$G626)</f>
        <v/>
      </c>
      <c r="T626" s="85">
        <f>IF($A626="","",IF(AND($E626="Yes",OR($O626="No",$O626="NOT FOUND")),"YES",""))</f>
        <v/>
      </c>
      <c r="U626" s="85">
        <f>IF($A626="","",TRIM(IF(AND($M626=0,$I626&lt;&gt;"Yes"),"T0-NoPhishResistant ","")&amp;IF($H626="No","NoMFA ","")&amp;IF(AND($E626="Yes",$G626=""),"NeverSignedIn ","")))</f>
        <v/>
      </c>
    </row>
    <row r="627" ht="15" customHeight="1" s="39">
      <c r="A627" s="85" t="n"/>
      <c r="B627" s="85" t="n"/>
      <c r="C627" s="85" t="n"/>
      <c r="D627" s="85" t="n"/>
      <c r="E627" s="85" t="n"/>
      <c r="F627" s="86" t="n"/>
      <c r="G627" s="86" t="n"/>
      <c r="H627" s="85" t="n"/>
      <c r="I627" s="85" t="n"/>
      <c r="J627" s="85" t="n"/>
      <c r="K627" s="85" t="n"/>
      <c r="L627" s="85" t="n"/>
      <c r="M627" s="85" t="n"/>
      <c r="N627" s="85" t="n"/>
      <c r="O627" s="85" t="n"/>
      <c r="P627" s="85" t="n"/>
      <c r="Q627" s="85" t="n"/>
      <c r="R627" s="85" t="n"/>
      <c r="S627" s="85">
        <f>IF($G627="","",TODAY()-$G627)</f>
        <v/>
      </c>
      <c r="T627" s="85">
        <f>IF($A627="","",IF(AND($E627="Yes",OR($O627="No",$O627="NOT FOUND")),"YES",""))</f>
        <v/>
      </c>
      <c r="U627" s="85">
        <f>IF($A627="","",TRIM(IF(AND($M627=0,$I627&lt;&gt;"Yes"),"T0-NoPhishResistant ","")&amp;IF($H627="No","NoMFA ","")&amp;IF(AND($E627="Yes",$G627=""),"NeverSignedIn ","")))</f>
        <v/>
      </c>
    </row>
    <row r="628" ht="15" customHeight="1" s="39">
      <c r="A628" s="85" t="n"/>
      <c r="B628" s="85" t="n"/>
      <c r="C628" s="85" t="n"/>
      <c r="D628" s="85" t="n"/>
      <c r="E628" s="85" t="n"/>
      <c r="F628" s="86" t="n"/>
      <c r="G628" s="86" t="n"/>
      <c r="H628" s="85" t="n"/>
      <c r="I628" s="85" t="n"/>
      <c r="J628" s="85" t="n"/>
      <c r="K628" s="85" t="n"/>
      <c r="L628" s="85" t="n"/>
      <c r="M628" s="85" t="n"/>
      <c r="N628" s="85" t="n"/>
      <c r="O628" s="85" t="n"/>
      <c r="P628" s="85" t="n"/>
      <c r="Q628" s="85" t="n"/>
      <c r="R628" s="85" t="n"/>
      <c r="S628" s="85">
        <f>IF($G628="","",TODAY()-$G628)</f>
        <v/>
      </c>
      <c r="T628" s="85">
        <f>IF($A628="","",IF(AND($E628="Yes",OR($O628="No",$O628="NOT FOUND")),"YES",""))</f>
        <v/>
      </c>
      <c r="U628" s="85">
        <f>IF($A628="","",TRIM(IF(AND($M628=0,$I628&lt;&gt;"Yes"),"T0-NoPhishResistant ","")&amp;IF($H628="No","NoMFA ","")&amp;IF(AND($E628="Yes",$G628=""),"NeverSignedIn ","")))</f>
        <v/>
      </c>
    </row>
    <row r="629" ht="15" customHeight="1" s="39">
      <c r="A629" s="85" t="n"/>
      <c r="B629" s="85" t="n"/>
      <c r="C629" s="85" t="n"/>
      <c r="D629" s="85" t="n"/>
      <c r="E629" s="85" t="n"/>
      <c r="F629" s="86" t="n"/>
      <c r="G629" s="86" t="n"/>
      <c r="H629" s="85" t="n"/>
      <c r="I629" s="85" t="n"/>
      <c r="J629" s="85" t="n"/>
      <c r="K629" s="85" t="n"/>
      <c r="L629" s="85" t="n"/>
      <c r="M629" s="85" t="n"/>
      <c r="N629" s="85" t="n"/>
      <c r="O629" s="85" t="n"/>
      <c r="P629" s="85" t="n"/>
      <c r="Q629" s="85" t="n"/>
      <c r="R629" s="85" t="n"/>
      <c r="S629" s="85">
        <f>IF($G629="","",TODAY()-$G629)</f>
        <v/>
      </c>
      <c r="T629" s="85">
        <f>IF($A629="","",IF(AND($E629="Yes",OR($O629="No",$O629="NOT FOUND")),"YES",""))</f>
        <v/>
      </c>
      <c r="U629" s="85">
        <f>IF($A629="","",TRIM(IF(AND($M629=0,$I629&lt;&gt;"Yes"),"T0-NoPhishResistant ","")&amp;IF($H629="No","NoMFA ","")&amp;IF(AND($E629="Yes",$G629=""),"NeverSignedIn ","")))</f>
        <v/>
      </c>
    </row>
    <row r="630" ht="15" customHeight="1" s="39">
      <c r="A630" s="85" t="n"/>
      <c r="B630" s="85" t="n"/>
      <c r="C630" s="85" t="n"/>
      <c r="D630" s="85" t="n"/>
      <c r="E630" s="85" t="n"/>
      <c r="F630" s="86" t="n"/>
      <c r="G630" s="86" t="n"/>
      <c r="H630" s="85" t="n"/>
      <c r="I630" s="85" t="n"/>
      <c r="J630" s="85" t="n"/>
      <c r="K630" s="85" t="n"/>
      <c r="L630" s="85" t="n"/>
      <c r="M630" s="85" t="n"/>
      <c r="N630" s="85" t="n"/>
      <c r="O630" s="85" t="n"/>
      <c r="P630" s="85" t="n"/>
      <c r="Q630" s="85" t="n"/>
      <c r="R630" s="85" t="n"/>
      <c r="S630" s="85">
        <f>IF($G630="","",TODAY()-$G630)</f>
        <v/>
      </c>
      <c r="T630" s="85">
        <f>IF($A630="","",IF(AND($E630="Yes",OR($O630="No",$O630="NOT FOUND")),"YES",""))</f>
        <v/>
      </c>
      <c r="U630" s="85">
        <f>IF($A630="","",TRIM(IF(AND($M630=0,$I630&lt;&gt;"Yes"),"T0-NoPhishResistant ","")&amp;IF($H630="No","NoMFA ","")&amp;IF(AND($E630="Yes",$G630=""),"NeverSignedIn ","")))</f>
        <v/>
      </c>
    </row>
    <row r="631" ht="15" customHeight="1" s="39">
      <c r="A631" s="85" t="n"/>
      <c r="B631" s="85" t="n"/>
      <c r="C631" s="85" t="n"/>
      <c r="D631" s="85" t="n"/>
      <c r="E631" s="85" t="n"/>
      <c r="F631" s="86" t="n"/>
      <c r="G631" s="86" t="n"/>
      <c r="H631" s="85" t="n"/>
      <c r="I631" s="85" t="n"/>
      <c r="J631" s="85" t="n"/>
      <c r="K631" s="85" t="n"/>
      <c r="L631" s="85" t="n"/>
      <c r="M631" s="85" t="n"/>
      <c r="N631" s="85" t="n"/>
      <c r="O631" s="85" t="n"/>
      <c r="P631" s="85" t="n"/>
      <c r="Q631" s="85" t="n"/>
      <c r="R631" s="85" t="n"/>
      <c r="S631" s="85">
        <f>IF($G631="","",TODAY()-$G631)</f>
        <v/>
      </c>
      <c r="T631" s="85">
        <f>IF($A631="","",IF(AND($E631="Yes",OR($O631="No",$O631="NOT FOUND")),"YES",""))</f>
        <v/>
      </c>
      <c r="U631" s="85">
        <f>IF($A631="","",TRIM(IF(AND($M631=0,$I631&lt;&gt;"Yes"),"T0-NoPhishResistant ","")&amp;IF($H631="No","NoMFA ","")&amp;IF(AND($E631="Yes",$G631=""),"NeverSignedIn ","")))</f>
        <v/>
      </c>
    </row>
    <row r="632" ht="15" customHeight="1" s="39">
      <c r="A632" s="85" t="n"/>
      <c r="B632" s="85" t="n"/>
      <c r="C632" s="85" t="n"/>
      <c r="D632" s="85" t="n"/>
      <c r="E632" s="85" t="n"/>
      <c r="F632" s="86" t="n"/>
      <c r="G632" s="86" t="n"/>
      <c r="H632" s="85" t="n"/>
      <c r="I632" s="85" t="n"/>
      <c r="J632" s="85" t="n"/>
      <c r="K632" s="85" t="n"/>
      <c r="L632" s="85" t="n"/>
      <c r="M632" s="85" t="n"/>
      <c r="N632" s="85" t="n"/>
      <c r="O632" s="85" t="n"/>
      <c r="P632" s="85" t="n"/>
      <c r="Q632" s="85" t="n"/>
      <c r="R632" s="85" t="n"/>
      <c r="S632" s="85">
        <f>IF($G632="","",TODAY()-$G632)</f>
        <v/>
      </c>
      <c r="T632" s="85">
        <f>IF($A632="","",IF(AND($E632="Yes",OR($O632="No",$O632="NOT FOUND")),"YES",""))</f>
        <v/>
      </c>
      <c r="U632" s="85">
        <f>IF($A632="","",TRIM(IF(AND($M632=0,$I632&lt;&gt;"Yes"),"T0-NoPhishResistant ","")&amp;IF($H632="No","NoMFA ","")&amp;IF(AND($E632="Yes",$G632=""),"NeverSignedIn ","")))</f>
        <v/>
      </c>
    </row>
    <row r="633" ht="15" customHeight="1" s="39">
      <c r="A633" s="85" t="n"/>
      <c r="B633" s="85" t="n"/>
      <c r="C633" s="85" t="n"/>
      <c r="D633" s="85" t="n"/>
      <c r="E633" s="85" t="n"/>
      <c r="F633" s="86" t="n"/>
      <c r="G633" s="86" t="n"/>
      <c r="H633" s="85" t="n"/>
      <c r="I633" s="85" t="n"/>
      <c r="J633" s="85" t="n"/>
      <c r="K633" s="85" t="n"/>
      <c r="L633" s="85" t="n"/>
      <c r="M633" s="85" t="n"/>
      <c r="N633" s="85" t="n"/>
      <c r="O633" s="85" t="n"/>
      <c r="P633" s="85" t="n"/>
      <c r="Q633" s="85" t="n"/>
      <c r="R633" s="85" t="n"/>
      <c r="S633" s="85">
        <f>IF($G633="","",TODAY()-$G633)</f>
        <v/>
      </c>
      <c r="T633" s="85">
        <f>IF($A633="","",IF(AND($E633="Yes",OR($O633="No",$O633="NOT FOUND")),"YES",""))</f>
        <v/>
      </c>
      <c r="U633" s="85">
        <f>IF($A633="","",TRIM(IF(AND($M633=0,$I633&lt;&gt;"Yes"),"T0-NoPhishResistant ","")&amp;IF($H633="No","NoMFA ","")&amp;IF(AND($E633="Yes",$G633=""),"NeverSignedIn ","")))</f>
        <v/>
      </c>
    </row>
    <row r="634" ht="15" customHeight="1" s="39">
      <c r="A634" s="85" t="n"/>
      <c r="B634" s="85" t="n"/>
      <c r="C634" s="85" t="n"/>
      <c r="D634" s="85" t="n"/>
      <c r="E634" s="85" t="n"/>
      <c r="F634" s="86" t="n"/>
      <c r="G634" s="86" t="n"/>
      <c r="H634" s="85" t="n"/>
      <c r="I634" s="85" t="n"/>
      <c r="J634" s="85" t="n"/>
      <c r="K634" s="85" t="n"/>
      <c r="L634" s="85" t="n"/>
      <c r="M634" s="85" t="n"/>
      <c r="N634" s="85" t="n"/>
      <c r="O634" s="85" t="n"/>
      <c r="P634" s="85" t="n"/>
      <c r="Q634" s="85" t="n"/>
      <c r="R634" s="85" t="n"/>
      <c r="S634" s="85">
        <f>IF($G634="","",TODAY()-$G634)</f>
        <v/>
      </c>
      <c r="T634" s="85">
        <f>IF($A634="","",IF(AND($E634="Yes",OR($O634="No",$O634="NOT FOUND")),"YES",""))</f>
        <v/>
      </c>
      <c r="U634" s="85">
        <f>IF($A634="","",TRIM(IF(AND($M634=0,$I634&lt;&gt;"Yes"),"T0-NoPhishResistant ","")&amp;IF($H634="No","NoMFA ","")&amp;IF(AND($E634="Yes",$G634=""),"NeverSignedIn ","")))</f>
        <v/>
      </c>
    </row>
    <row r="635" ht="15" customHeight="1" s="39">
      <c r="A635" s="85" t="n"/>
      <c r="B635" s="85" t="n"/>
      <c r="C635" s="85" t="n"/>
      <c r="D635" s="85" t="n"/>
      <c r="E635" s="85" t="n"/>
      <c r="F635" s="86" t="n"/>
      <c r="G635" s="86" t="n"/>
      <c r="H635" s="85" t="n"/>
      <c r="I635" s="85" t="n"/>
      <c r="J635" s="85" t="n"/>
      <c r="K635" s="85" t="n"/>
      <c r="L635" s="85" t="n"/>
      <c r="M635" s="85" t="n"/>
      <c r="N635" s="85" t="n"/>
      <c r="O635" s="85" t="n"/>
      <c r="P635" s="85" t="n"/>
      <c r="Q635" s="85" t="n"/>
      <c r="R635" s="85" t="n"/>
      <c r="S635" s="85">
        <f>IF($G635="","",TODAY()-$G635)</f>
        <v/>
      </c>
      <c r="T635" s="85">
        <f>IF($A635="","",IF(AND($E635="Yes",OR($O635="No",$O635="NOT FOUND")),"YES",""))</f>
        <v/>
      </c>
      <c r="U635" s="85">
        <f>IF($A635="","",TRIM(IF(AND($M635=0,$I635&lt;&gt;"Yes"),"T0-NoPhishResistant ","")&amp;IF($H635="No","NoMFA ","")&amp;IF(AND($E635="Yes",$G635=""),"NeverSignedIn ","")))</f>
        <v/>
      </c>
    </row>
    <row r="636" ht="15" customHeight="1" s="39">
      <c r="A636" s="85" t="n"/>
      <c r="B636" s="85" t="n"/>
      <c r="C636" s="85" t="n"/>
      <c r="D636" s="85" t="n"/>
      <c r="E636" s="85" t="n"/>
      <c r="F636" s="86" t="n"/>
      <c r="G636" s="86" t="n"/>
      <c r="H636" s="85" t="n"/>
      <c r="I636" s="85" t="n"/>
      <c r="J636" s="85" t="n"/>
      <c r="K636" s="85" t="n"/>
      <c r="L636" s="85" t="n"/>
      <c r="M636" s="85" t="n"/>
      <c r="N636" s="85" t="n"/>
      <c r="O636" s="85" t="n"/>
      <c r="P636" s="85" t="n"/>
      <c r="Q636" s="85" t="n"/>
      <c r="R636" s="85" t="n"/>
      <c r="S636" s="85">
        <f>IF($G636="","",TODAY()-$G636)</f>
        <v/>
      </c>
      <c r="T636" s="85">
        <f>IF($A636="","",IF(AND($E636="Yes",OR($O636="No",$O636="NOT FOUND")),"YES",""))</f>
        <v/>
      </c>
      <c r="U636" s="85">
        <f>IF($A636="","",TRIM(IF(AND($M636=0,$I636&lt;&gt;"Yes"),"T0-NoPhishResistant ","")&amp;IF($H636="No","NoMFA ","")&amp;IF(AND($E636="Yes",$G636=""),"NeverSignedIn ","")))</f>
        <v/>
      </c>
    </row>
    <row r="637" ht="15" customHeight="1" s="39">
      <c r="A637" s="85" t="n"/>
      <c r="B637" s="85" t="n"/>
      <c r="C637" s="85" t="n"/>
      <c r="D637" s="85" t="n"/>
      <c r="E637" s="85" t="n"/>
      <c r="F637" s="86" t="n"/>
      <c r="G637" s="86" t="n"/>
      <c r="H637" s="85" t="n"/>
      <c r="I637" s="85" t="n"/>
      <c r="J637" s="85" t="n"/>
      <c r="K637" s="85" t="n"/>
      <c r="L637" s="85" t="n"/>
      <c r="M637" s="85" t="n"/>
      <c r="N637" s="85" t="n"/>
      <c r="O637" s="85" t="n"/>
      <c r="P637" s="85" t="n"/>
      <c r="Q637" s="85" t="n"/>
      <c r="R637" s="85" t="n"/>
      <c r="S637" s="85">
        <f>IF($G637="","",TODAY()-$G637)</f>
        <v/>
      </c>
      <c r="T637" s="85">
        <f>IF($A637="","",IF(AND($E637="Yes",OR($O637="No",$O637="NOT FOUND")),"YES",""))</f>
        <v/>
      </c>
      <c r="U637" s="85">
        <f>IF($A637="","",TRIM(IF(AND($M637=0,$I637&lt;&gt;"Yes"),"T0-NoPhishResistant ","")&amp;IF($H637="No","NoMFA ","")&amp;IF(AND($E637="Yes",$G637=""),"NeverSignedIn ","")))</f>
        <v/>
      </c>
    </row>
    <row r="638" ht="15" customHeight="1" s="39">
      <c r="A638" s="85" t="n"/>
      <c r="B638" s="85" t="n"/>
      <c r="C638" s="85" t="n"/>
      <c r="D638" s="85" t="n"/>
      <c r="E638" s="85" t="n"/>
      <c r="F638" s="86" t="n"/>
      <c r="G638" s="86" t="n"/>
      <c r="H638" s="85" t="n"/>
      <c r="I638" s="85" t="n"/>
      <c r="J638" s="85" t="n"/>
      <c r="K638" s="85" t="n"/>
      <c r="L638" s="85" t="n"/>
      <c r="M638" s="85" t="n"/>
      <c r="N638" s="85" t="n"/>
      <c r="O638" s="85" t="n"/>
      <c r="P638" s="85" t="n"/>
      <c r="Q638" s="85" t="n"/>
      <c r="R638" s="85" t="n"/>
      <c r="S638" s="85">
        <f>IF($G638="","",TODAY()-$G638)</f>
        <v/>
      </c>
      <c r="T638" s="85">
        <f>IF($A638="","",IF(AND($E638="Yes",OR($O638="No",$O638="NOT FOUND")),"YES",""))</f>
        <v/>
      </c>
      <c r="U638" s="85">
        <f>IF($A638="","",TRIM(IF(AND($M638=0,$I638&lt;&gt;"Yes"),"T0-NoPhishResistant ","")&amp;IF($H638="No","NoMFA ","")&amp;IF(AND($E638="Yes",$G638=""),"NeverSignedIn ","")))</f>
        <v/>
      </c>
    </row>
    <row r="639" ht="15" customHeight="1" s="39">
      <c r="A639" s="85" t="n"/>
      <c r="B639" s="85" t="n"/>
      <c r="C639" s="85" t="n"/>
      <c r="D639" s="85" t="n"/>
      <c r="E639" s="85" t="n"/>
      <c r="F639" s="86" t="n"/>
      <c r="G639" s="86" t="n"/>
      <c r="H639" s="85" t="n"/>
      <c r="I639" s="85" t="n"/>
      <c r="J639" s="85" t="n"/>
      <c r="K639" s="85" t="n"/>
      <c r="L639" s="85" t="n"/>
      <c r="M639" s="85" t="n"/>
      <c r="N639" s="85" t="n"/>
      <c r="O639" s="85" t="n"/>
      <c r="P639" s="85" t="n"/>
      <c r="Q639" s="85" t="n"/>
      <c r="R639" s="85" t="n"/>
      <c r="S639" s="85">
        <f>IF($G639="","",TODAY()-$G639)</f>
        <v/>
      </c>
      <c r="T639" s="85">
        <f>IF($A639="","",IF(AND($E639="Yes",OR($O639="No",$O639="NOT FOUND")),"YES",""))</f>
        <v/>
      </c>
      <c r="U639" s="85">
        <f>IF($A639="","",TRIM(IF(AND($M639=0,$I639&lt;&gt;"Yes"),"T0-NoPhishResistant ","")&amp;IF($H639="No","NoMFA ","")&amp;IF(AND($E639="Yes",$G639=""),"NeverSignedIn ","")))</f>
        <v/>
      </c>
    </row>
    <row r="640" ht="15" customHeight="1" s="39">
      <c r="A640" s="85" t="n"/>
      <c r="B640" s="85" t="n"/>
      <c r="C640" s="85" t="n"/>
      <c r="D640" s="85" t="n"/>
      <c r="E640" s="85" t="n"/>
      <c r="F640" s="86" t="n"/>
      <c r="G640" s="86" t="n"/>
      <c r="H640" s="85" t="n"/>
      <c r="I640" s="85" t="n"/>
      <c r="J640" s="85" t="n"/>
      <c r="K640" s="85" t="n"/>
      <c r="L640" s="85" t="n"/>
      <c r="M640" s="85" t="n"/>
      <c r="N640" s="85" t="n"/>
      <c r="O640" s="85" t="n"/>
      <c r="P640" s="85" t="n"/>
      <c r="Q640" s="85" t="n"/>
      <c r="R640" s="85" t="n"/>
      <c r="S640" s="85">
        <f>IF($G640="","",TODAY()-$G640)</f>
        <v/>
      </c>
      <c r="T640" s="85">
        <f>IF($A640="","",IF(AND($E640="Yes",OR($O640="No",$O640="NOT FOUND")),"YES",""))</f>
        <v/>
      </c>
      <c r="U640" s="85">
        <f>IF($A640="","",TRIM(IF(AND($M640=0,$I640&lt;&gt;"Yes"),"T0-NoPhishResistant ","")&amp;IF($H640="No","NoMFA ","")&amp;IF(AND($E640="Yes",$G640=""),"NeverSignedIn ","")))</f>
        <v/>
      </c>
    </row>
    <row r="641" ht="15" customHeight="1" s="39">
      <c r="A641" s="85" t="n"/>
      <c r="B641" s="85" t="n"/>
      <c r="C641" s="85" t="n"/>
      <c r="D641" s="85" t="n"/>
      <c r="E641" s="85" t="n"/>
      <c r="F641" s="86" t="n"/>
      <c r="G641" s="86" t="n"/>
      <c r="H641" s="85" t="n"/>
      <c r="I641" s="85" t="n"/>
      <c r="J641" s="85" t="n"/>
      <c r="K641" s="85" t="n"/>
      <c r="L641" s="85" t="n"/>
      <c r="M641" s="85" t="n"/>
      <c r="N641" s="85" t="n"/>
      <c r="O641" s="85" t="n"/>
      <c r="P641" s="85" t="n"/>
      <c r="Q641" s="85" t="n"/>
      <c r="R641" s="85" t="n"/>
      <c r="S641" s="85">
        <f>IF($G641="","",TODAY()-$G641)</f>
        <v/>
      </c>
      <c r="T641" s="85">
        <f>IF($A641="","",IF(AND($E641="Yes",OR($O641="No",$O641="NOT FOUND")),"YES",""))</f>
        <v/>
      </c>
      <c r="U641" s="85">
        <f>IF($A641="","",TRIM(IF(AND($M641=0,$I641&lt;&gt;"Yes"),"T0-NoPhishResistant ","")&amp;IF($H641="No","NoMFA ","")&amp;IF(AND($E641="Yes",$G641=""),"NeverSignedIn ","")))</f>
        <v/>
      </c>
    </row>
    <row r="642" ht="15" customHeight="1" s="39">
      <c r="A642" s="85" t="n"/>
      <c r="B642" s="85" t="n"/>
      <c r="C642" s="85" t="n"/>
      <c r="D642" s="85" t="n"/>
      <c r="E642" s="85" t="n"/>
      <c r="F642" s="86" t="n"/>
      <c r="G642" s="86" t="n"/>
      <c r="H642" s="85" t="n"/>
      <c r="I642" s="85" t="n"/>
      <c r="J642" s="85" t="n"/>
      <c r="K642" s="85" t="n"/>
      <c r="L642" s="85" t="n"/>
      <c r="M642" s="85" t="n"/>
      <c r="N642" s="85" t="n"/>
      <c r="O642" s="85" t="n"/>
      <c r="P642" s="85" t="n"/>
      <c r="Q642" s="85" t="n"/>
      <c r="R642" s="85" t="n"/>
      <c r="S642" s="85">
        <f>IF($G642="","",TODAY()-$G642)</f>
        <v/>
      </c>
      <c r="T642" s="85">
        <f>IF($A642="","",IF(AND($E642="Yes",OR($O642="No",$O642="NOT FOUND")),"YES",""))</f>
        <v/>
      </c>
      <c r="U642" s="85">
        <f>IF($A642="","",TRIM(IF(AND($M642=0,$I642&lt;&gt;"Yes"),"T0-NoPhishResistant ","")&amp;IF($H642="No","NoMFA ","")&amp;IF(AND($E642="Yes",$G642=""),"NeverSignedIn ","")))</f>
        <v/>
      </c>
    </row>
    <row r="643" ht="15" customHeight="1" s="39">
      <c r="A643" s="85" t="n"/>
      <c r="B643" s="85" t="n"/>
      <c r="C643" s="85" t="n"/>
      <c r="D643" s="85" t="n"/>
      <c r="E643" s="85" t="n"/>
      <c r="F643" s="86" t="n"/>
      <c r="G643" s="86" t="n"/>
      <c r="H643" s="85" t="n"/>
      <c r="I643" s="85" t="n"/>
      <c r="J643" s="85" t="n"/>
      <c r="K643" s="85" t="n"/>
      <c r="L643" s="85" t="n"/>
      <c r="M643" s="85" t="n"/>
      <c r="N643" s="85" t="n"/>
      <c r="O643" s="85" t="n"/>
      <c r="P643" s="85" t="n"/>
      <c r="Q643" s="85" t="n"/>
      <c r="R643" s="85" t="n"/>
      <c r="S643" s="85">
        <f>IF($G643="","",TODAY()-$G643)</f>
        <v/>
      </c>
      <c r="T643" s="85">
        <f>IF($A643="","",IF(AND($E643="Yes",OR($O643="No",$O643="NOT FOUND")),"YES",""))</f>
        <v/>
      </c>
      <c r="U643" s="85">
        <f>IF($A643="","",TRIM(IF(AND($M643=0,$I643&lt;&gt;"Yes"),"T0-NoPhishResistant ","")&amp;IF($H643="No","NoMFA ","")&amp;IF(AND($E643="Yes",$G643=""),"NeverSignedIn ","")))</f>
        <v/>
      </c>
    </row>
    <row r="644" ht="15" customHeight="1" s="39">
      <c r="A644" s="85" t="n"/>
      <c r="B644" s="85" t="n"/>
      <c r="C644" s="85" t="n"/>
      <c r="D644" s="85" t="n"/>
      <c r="E644" s="85" t="n"/>
      <c r="F644" s="86" t="n"/>
      <c r="G644" s="86" t="n"/>
      <c r="H644" s="85" t="n"/>
      <c r="I644" s="85" t="n"/>
      <c r="J644" s="85" t="n"/>
      <c r="K644" s="85" t="n"/>
      <c r="L644" s="85" t="n"/>
      <c r="M644" s="85" t="n"/>
      <c r="N644" s="85" t="n"/>
      <c r="O644" s="85" t="n"/>
      <c r="P644" s="85" t="n"/>
      <c r="Q644" s="85" t="n"/>
      <c r="R644" s="85" t="n"/>
      <c r="S644" s="85">
        <f>IF($G644="","",TODAY()-$G644)</f>
        <v/>
      </c>
      <c r="T644" s="85">
        <f>IF($A644="","",IF(AND($E644="Yes",OR($O644="No",$O644="NOT FOUND")),"YES",""))</f>
        <v/>
      </c>
      <c r="U644" s="85">
        <f>IF($A644="","",TRIM(IF(AND($M644=0,$I644&lt;&gt;"Yes"),"T0-NoPhishResistant ","")&amp;IF($H644="No","NoMFA ","")&amp;IF(AND($E644="Yes",$G644=""),"NeverSignedIn ","")))</f>
        <v/>
      </c>
    </row>
    <row r="645" ht="15" customHeight="1" s="39">
      <c r="A645" s="85" t="n"/>
      <c r="B645" s="85" t="n"/>
      <c r="C645" s="85" t="n"/>
      <c r="D645" s="85" t="n"/>
      <c r="E645" s="85" t="n"/>
      <c r="F645" s="86" t="n"/>
      <c r="G645" s="86" t="n"/>
      <c r="H645" s="85" t="n"/>
      <c r="I645" s="85" t="n"/>
      <c r="J645" s="85" t="n"/>
      <c r="K645" s="85" t="n"/>
      <c r="L645" s="85" t="n"/>
      <c r="M645" s="85" t="n"/>
      <c r="N645" s="85" t="n"/>
      <c r="O645" s="85" t="n"/>
      <c r="P645" s="85" t="n"/>
      <c r="Q645" s="85" t="n"/>
      <c r="R645" s="85" t="n"/>
      <c r="S645" s="85">
        <f>IF($G645="","",TODAY()-$G645)</f>
        <v/>
      </c>
      <c r="T645" s="85">
        <f>IF($A645="","",IF(AND($E645="Yes",OR($O645="No",$O645="NOT FOUND")),"YES",""))</f>
        <v/>
      </c>
      <c r="U645" s="85">
        <f>IF($A645="","",TRIM(IF(AND($M645=0,$I645&lt;&gt;"Yes"),"T0-NoPhishResistant ","")&amp;IF($H645="No","NoMFA ","")&amp;IF(AND($E645="Yes",$G645=""),"NeverSignedIn ","")))</f>
        <v/>
      </c>
    </row>
    <row r="646" ht="15" customHeight="1" s="39">
      <c r="A646" s="85" t="n"/>
      <c r="B646" s="85" t="n"/>
      <c r="C646" s="85" t="n"/>
      <c r="D646" s="85" t="n"/>
      <c r="E646" s="85" t="n"/>
      <c r="F646" s="86" t="n"/>
      <c r="G646" s="86" t="n"/>
      <c r="H646" s="85" t="n"/>
      <c r="I646" s="85" t="n"/>
      <c r="J646" s="85" t="n"/>
      <c r="K646" s="85" t="n"/>
      <c r="L646" s="85" t="n"/>
      <c r="M646" s="85" t="n"/>
      <c r="N646" s="85" t="n"/>
      <c r="O646" s="85" t="n"/>
      <c r="P646" s="85" t="n"/>
      <c r="Q646" s="85" t="n"/>
      <c r="R646" s="85" t="n"/>
      <c r="S646" s="85">
        <f>IF($G646="","",TODAY()-$G646)</f>
        <v/>
      </c>
      <c r="T646" s="85">
        <f>IF($A646="","",IF(AND($E646="Yes",OR($O646="No",$O646="NOT FOUND")),"YES",""))</f>
        <v/>
      </c>
      <c r="U646" s="85">
        <f>IF($A646="","",TRIM(IF(AND($M646=0,$I646&lt;&gt;"Yes"),"T0-NoPhishResistant ","")&amp;IF($H646="No","NoMFA ","")&amp;IF(AND($E646="Yes",$G646=""),"NeverSignedIn ","")))</f>
        <v/>
      </c>
    </row>
    <row r="647" ht="15" customHeight="1" s="39">
      <c r="A647" s="85" t="n"/>
      <c r="B647" s="85" t="n"/>
      <c r="C647" s="85" t="n"/>
      <c r="D647" s="85" t="n"/>
      <c r="E647" s="85" t="n"/>
      <c r="F647" s="86" t="n"/>
      <c r="G647" s="86" t="n"/>
      <c r="H647" s="85" t="n"/>
      <c r="I647" s="85" t="n"/>
      <c r="J647" s="85" t="n"/>
      <c r="K647" s="85" t="n"/>
      <c r="L647" s="85" t="n"/>
      <c r="M647" s="85" t="n"/>
      <c r="N647" s="85" t="n"/>
      <c r="O647" s="85" t="n"/>
      <c r="P647" s="85" t="n"/>
      <c r="Q647" s="85" t="n"/>
      <c r="R647" s="85" t="n"/>
      <c r="S647" s="85">
        <f>IF($G647="","",TODAY()-$G647)</f>
        <v/>
      </c>
      <c r="T647" s="85">
        <f>IF($A647="","",IF(AND($E647="Yes",OR($O647="No",$O647="NOT FOUND")),"YES",""))</f>
        <v/>
      </c>
      <c r="U647" s="85">
        <f>IF($A647="","",TRIM(IF(AND($M647=0,$I647&lt;&gt;"Yes"),"T0-NoPhishResistant ","")&amp;IF($H647="No","NoMFA ","")&amp;IF(AND($E647="Yes",$G647=""),"NeverSignedIn ","")))</f>
        <v/>
      </c>
    </row>
    <row r="648" ht="15" customHeight="1" s="39">
      <c r="A648" s="85" t="n"/>
      <c r="B648" s="85" t="n"/>
      <c r="C648" s="85" t="n"/>
      <c r="D648" s="85" t="n"/>
      <c r="E648" s="85" t="n"/>
      <c r="F648" s="86" t="n"/>
      <c r="G648" s="86" t="n"/>
      <c r="H648" s="85" t="n"/>
      <c r="I648" s="85" t="n"/>
      <c r="J648" s="85" t="n"/>
      <c r="K648" s="85" t="n"/>
      <c r="L648" s="85" t="n"/>
      <c r="M648" s="85" t="n"/>
      <c r="N648" s="85" t="n"/>
      <c r="O648" s="85" t="n"/>
      <c r="P648" s="85" t="n"/>
      <c r="Q648" s="85" t="n"/>
      <c r="R648" s="85" t="n"/>
      <c r="S648" s="85">
        <f>IF($G648="","",TODAY()-$G648)</f>
        <v/>
      </c>
      <c r="T648" s="85">
        <f>IF($A648="","",IF(AND($E648="Yes",OR($O648="No",$O648="NOT FOUND")),"YES",""))</f>
        <v/>
      </c>
      <c r="U648" s="85">
        <f>IF($A648="","",TRIM(IF(AND($M648=0,$I648&lt;&gt;"Yes"),"T0-NoPhishResistant ","")&amp;IF($H648="No","NoMFA ","")&amp;IF(AND($E648="Yes",$G648=""),"NeverSignedIn ","")))</f>
        <v/>
      </c>
    </row>
    <row r="649" ht="15" customHeight="1" s="39">
      <c r="A649" s="85" t="n"/>
      <c r="B649" s="85" t="n"/>
      <c r="C649" s="85" t="n"/>
      <c r="D649" s="85" t="n"/>
      <c r="E649" s="85" t="n"/>
      <c r="F649" s="86" t="n"/>
      <c r="G649" s="86" t="n"/>
      <c r="H649" s="85" t="n"/>
      <c r="I649" s="85" t="n"/>
      <c r="J649" s="85" t="n"/>
      <c r="K649" s="85" t="n"/>
      <c r="L649" s="85" t="n"/>
      <c r="M649" s="85" t="n"/>
      <c r="N649" s="85" t="n"/>
      <c r="O649" s="85" t="n"/>
      <c r="P649" s="85" t="n"/>
      <c r="Q649" s="85" t="n"/>
      <c r="R649" s="85" t="n"/>
      <c r="S649" s="85">
        <f>IF($G649="","",TODAY()-$G649)</f>
        <v/>
      </c>
      <c r="T649" s="85">
        <f>IF($A649="","",IF(AND($E649="Yes",OR($O649="No",$O649="NOT FOUND")),"YES",""))</f>
        <v/>
      </c>
      <c r="U649" s="85">
        <f>IF($A649="","",TRIM(IF(AND($M649=0,$I649&lt;&gt;"Yes"),"T0-NoPhishResistant ","")&amp;IF($H649="No","NoMFA ","")&amp;IF(AND($E649="Yes",$G649=""),"NeverSignedIn ","")))</f>
        <v/>
      </c>
    </row>
    <row r="650" ht="15" customHeight="1" s="39">
      <c r="A650" s="85" t="n"/>
      <c r="B650" s="85" t="n"/>
      <c r="C650" s="85" t="n"/>
      <c r="D650" s="85" t="n"/>
      <c r="E650" s="85" t="n"/>
      <c r="F650" s="86" t="n"/>
      <c r="G650" s="86" t="n"/>
      <c r="H650" s="85" t="n"/>
      <c r="I650" s="85" t="n"/>
      <c r="J650" s="85" t="n"/>
      <c r="K650" s="85" t="n"/>
      <c r="L650" s="85" t="n"/>
      <c r="M650" s="85" t="n"/>
      <c r="N650" s="85" t="n"/>
      <c r="O650" s="85" t="n"/>
      <c r="P650" s="85" t="n"/>
      <c r="Q650" s="85" t="n"/>
      <c r="R650" s="85" t="n"/>
      <c r="S650" s="85">
        <f>IF($G650="","",TODAY()-$G650)</f>
        <v/>
      </c>
      <c r="T650" s="85">
        <f>IF($A650="","",IF(AND($E650="Yes",OR($O650="No",$O650="NOT FOUND")),"YES",""))</f>
        <v/>
      </c>
      <c r="U650" s="85">
        <f>IF($A650="","",TRIM(IF(AND($M650=0,$I650&lt;&gt;"Yes"),"T0-NoPhishResistant ","")&amp;IF($H650="No","NoMFA ","")&amp;IF(AND($E650="Yes",$G650=""),"NeverSignedIn ","")))</f>
        <v/>
      </c>
    </row>
    <row r="651" ht="15" customHeight="1" s="39">
      <c r="A651" s="85" t="n"/>
      <c r="B651" s="85" t="n"/>
      <c r="C651" s="85" t="n"/>
      <c r="D651" s="85" t="n"/>
      <c r="E651" s="85" t="n"/>
      <c r="F651" s="86" t="n"/>
      <c r="G651" s="86" t="n"/>
      <c r="H651" s="85" t="n"/>
      <c r="I651" s="85" t="n"/>
      <c r="J651" s="85" t="n"/>
      <c r="K651" s="85" t="n"/>
      <c r="L651" s="85" t="n"/>
      <c r="M651" s="85" t="n"/>
      <c r="N651" s="85" t="n"/>
      <c r="O651" s="85" t="n"/>
      <c r="P651" s="85" t="n"/>
      <c r="Q651" s="85" t="n"/>
      <c r="R651" s="85" t="n"/>
      <c r="S651" s="85">
        <f>IF($G651="","",TODAY()-$G651)</f>
        <v/>
      </c>
      <c r="T651" s="85">
        <f>IF($A651="","",IF(AND($E651="Yes",OR($O651="No",$O651="NOT FOUND")),"YES",""))</f>
        <v/>
      </c>
      <c r="U651" s="85">
        <f>IF($A651="","",TRIM(IF(AND($M651=0,$I651&lt;&gt;"Yes"),"T0-NoPhishResistant ","")&amp;IF($H651="No","NoMFA ","")&amp;IF(AND($E651="Yes",$G651=""),"NeverSignedIn ","")))</f>
        <v/>
      </c>
    </row>
    <row r="652" ht="15" customHeight="1" s="39">
      <c r="A652" s="85" t="n"/>
      <c r="B652" s="85" t="n"/>
      <c r="C652" s="85" t="n"/>
      <c r="D652" s="85" t="n"/>
      <c r="E652" s="85" t="n"/>
      <c r="F652" s="86" t="n"/>
      <c r="G652" s="86" t="n"/>
      <c r="H652" s="85" t="n"/>
      <c r="I652" s="85" t="n"/>
      <c r="J652" s="85" t="n"/>
      <c r="K652" s="85" t="n"/>
      <c r="L652" s="85" t="n"/>
      <c r="M652" s="85" t="n"/>
      <c r="N652" s="85" t="n"/>
      <c r="O652" s="85" t="n"/>
      <c r="P652" s="85" t="n"/>
      <c r="Q652" s="85" t="n"/>
      <c r="R652" s="85" t="n"/>
      <c r="S652" s="85">
        <f>IF($G652="","",TODAY()-$G652)</f>
        <v/>
      </c>
      <c r="T652" s="85">
        <f>IF($A652="","",IF(AND($E652="Yes",OR($O652="No",$O652="NOT FOUND")),"YES",""))</f>
        <v/>
      </c>
      <c r="U652" s="85">
        <f>IF($A652="","",TRIM(IF(AND($M652=0,$I652&lt;&gt;"Yes"),"T0-NoPhishResistant ","")&amp;IF($H652="No","NoMFA ","")&amp;IF(AND($E652="Yes",$G652=""),"NeverSignedIn ","")))</f>
        <v/>
      </c>
    </row>
    <row r="653" ht="15" customHeight="1" s="39">
      <c r="A653" s="85" t="n"/>
      <c r="B653" s="85" t="n"/>
      <c r="C653" s="85" t="n"/>
      <c r="D653" s="85" t="n"/>
      <c r="E653" s="85" t="n"/>
      <c r="F653" s="86" t="n"/>
      <c r="G653" s="86" t="n"/>
      <c r="H653" s="85" t="n"/>
      <c r="I653" s="85" t="n"/>
      <c r="J653" s="85" t="n"/>
      <c r="K653" s="85" t="n"/>
      <c r="L653" s="85" t="n"/>
      <c r="M653" s="85" t="n"/>
      <c r="N653" s="85" t="n"/>
      <c r="O653" s="85" t="n"/>
      <c r="P653" s="85" t="n"/>
      <c r="Q653" s="85" t="n"/>
      <c r="R653" s="85" t="n"/>
      <c r="S653" s="85">
        <f>IF($G653="","",TODAY()-$G653)</f>
        <v/>
      </c>
      <c r="T653" s="85">
        <f>IF($A653="","",IF(AND($E653="Yes",OR($O653="No",$O653="NOT FOUND")),"YES",""))</f>
        <v/>
      </c>
      <c r="U653" s="85">
        <f>IF($A653="","",TRIM(IF(AND($M653=0,$I653&lt;&gt;"Yes"),"T0-NoPhishResistant ","")&amp;IF($H653="No","NoMFA ","")&amp;IF(AND($E653="Yes",$G653=""),"NeverSignedIn ","")))</f>
        <v/>
      </c>
    </row>
    <row r="654" ht="15" customHeight="1" s="39">
      <c r="A654" s="85" t="n"/>
      <c r="B654" s="85" t="n"/>
      <c r="C654" s="85" t="n"/>
      <c r="D654" s="85" t="n"/>
      <c r="E654" s="85" t="n"/>
      <c r="F654" s="86" t="n"/>
      <c r="G654" s="86" t="n"/>
      <c r="H654" s="85" t="n"/>
      <c r="I654" s="85" t="n"/>
      <c r="J654" s="85" t="n"/>
      <c r="K654" s="85" t="n"/>
      <c r="L654" s="85" t="n"/>
      <c r="M654" s="85" t="n"/>
      <c r="N654" s="85" t="n"/>
      <c r="O654" s="85" t="n"/>
      <c r="P654" s="85" t="n"/>
      <c r="Q654" s="85" t="n"/>
      <c r="R654" s="85" t="n"/>
      <c r="S654" s="85">
        <f>IF($G654="","",TODAY()-$G654)</f>
        <v/>
      </c>
      <c r="T654" s="85">
        <f>IF($A654="","",IF(AND($E654="Yes",OR($O654="No",$O654="NOT FOUND")),"YES",""))</f>
        <v/>
      </c>
      <c r="U654" s="85">
        <f>IF($A654="","",TRIM(IF(AND($M654=0,$I654&lt;&gt;"Yes"),"T0-NoPhishResistant ","")&amp;IF($H654="No","NoMFA ","")&amp;IF(AND($E654="Yes",$G654=""),"NeverSignedIn ","")))</f>
        <v/>
      </c>
    </row>
    <row r="655" ht="15" customHeight="1" s="39">
      <c r="A655" s="85" t="n"/>
      <c r="B655" s="85" t="n"/>
      <c r="C655" s="85" t="n"/>
      <c r="D655" s="85" t="n"/>
      <c r="E655" s="85" t="n"/>
      <c r="F655" s="86" t="n"/>
      <c r="G655" s="86" t="n"/>
      <c r="H655" s="85" t="n"/>
      <c r="I655" s="85" t="n"/>
      <c r="J655" s="85" t="n"/>
      <c r="K655" s="85" t="n"/>
      <c r="L655" s="85" t="n"/>
      <c r="M655" s="85" t="n"/>
      <c r="N655" s="85" t="n"/>
      <c r="O655" s="85" t="n"/>
      <c r="P655" s="85" t="n"/>
      <c r="Q655" s="85" t="n"/>
      <c r="R655" s="85" t="n"/>
      <c r="S655" s="85">
        <f>IF($G655="","",TODAY()-$G655)</f>
        <v/>
      </c>
      <c r="T655" s="85">
        <f>IF($A655="","",IF(AND($E655="Yes",OR($O655="No",$O655="NOT FOUND")),"YES",""))</f>
        <v/>
      </c>
      <c r="U655" s="85">
        <f>IF($A655="","",TRIM(IF(AND($M655=0,$I655&lt;&gt;"Yes"),"T0-NoPhishResistant ","")&amp;IF($H655="No","NoMFA ","")&amp;IF(AND($E655="Yes",$G655=""),"NeverSignedIn ","")))</f>
        <v/>
      </c>
    </row>
    <row r="656" ht="15" customHeight="1" s="39">
      <c r="A656" s="85" t="n"/>
      <c r="B656" s="85" t="n"/>
      <c r="C656" s="85" t="n"/>
      <c r="D656" s="85" t="n"/>
      <c r="E656" s="85" t="n"/>
      <c r="F656" s="86" t="n"/>
      <c r="G656" s="86" t="n"/>
      <c r="H656" s="85" t="n"/>
      <c r="I656" s="85" t="n"/>
      <c r="J656" s="85" t="n"/>
      <c r="K656" s="85" t="n"/>
      <c r="L656" s="85" t="n"/>
      <c r="M656" s="85" t="n"/>
      <c r="N656" s="85" t="n"/>
      <c r="O656" s="85" t="n"/>
      <c r="P656" s="85" t="n"/>
      <c r="Q656" s="85" t="n"/>
      <c r="R656" s="85" t="n"/>
      <c r="S656" s="85">
        <f>IF($G656="","",TODAY()-$G656)</f>
        <v/>
      </c>
      <c r="T656" s="85">
        <f>IF($A656="","",IF(AND($E656="Yes",OR($O656="No",$O656="NOT FOUND")),"YES",""))</f>
        <v/>
      </c>
      <c r="U656" s="85">
        <f>IF($A656="","",TRIM(IF(AND($M656=0,$I656&lt;&gt;"Yes"),"T0-NoPhishResistant ","")&amp;IF($H656="No","NoMFA ","")&amp;IF(AND($E656="Yes",$G656=""),"NeverSignedIn ","")))</f>
        <v/>
      </c>
    </row>
    <row r="657" ht="15" customHeight="1" s="39">
      <c r="A657" s="85" t="n"/>
      <c r="B657" s="85" t="n"/>
      <c r="C657" s="85" t="n"/>
      <c r="D657" s="85" t="n"/>
      <c r="E657" s="85" t="n"/>
      <c r="F657" s="86" t="n"/>
      <c r="G657" s="86" t="n"/>
      <c r="H657" s="85" t="n"/>
      <c r="I657" s="85" t="n"/>
      <c r="J657" s="85" t="n"/>
      <c r="K657" s="85" t="n"/>
      <c r="L657" s="85" t="n"/>
      <c r="M657" s="85" t="n"/>
      <c r="N657" s="85" t="n"/>
      <c r="O657" s="85" t="n"/>
      <c r="P657" s="85" t="n"/>
      <c r="Q657" s="85" t="n"/>
      <c r="R657" s="85" t="n"/>
      <c r="S657" s="85">
        <f>IF($G657="","",TODAY()-$G657)</f>
        <v/>
      </c>
      <c r="T657" s="85">
        <f>IF($A657="","",IF(AND($E657="Yes",OR($O657="No",$O657="NOT FOUND")),"YES",""))</f>
        <v/>
      </c>
      <c r="U657" s="85">
        <f>IF($A657="","",TRIM(IF(AND($M657=0,$I657&lt;&gt;"Yes"),"T0-NoPhishResistant ","")&amp;IF($H657="No","NoMFA ","")&amp;IF(AND($E657="Yes",$G657=""),"NeverSignedIn ","")))</f>
        <v/>
      </c>
    </row>
    <row r="658" ht="15" customHeight="1" s="39">
      <c r="A658" s="85" t="n"/>
      <c r="B658" s="85" t="n"/>
      <c r="C658" s="85" t="n"/>
      <c r="D658" s="85" t="n"/>
      <c r="E658" s="85" t="n"/>
      <c r="F658" s="86" t="n"/>
      <c r="G658" s="86" t="n"/>
      <c r="H658" s="85" t="n"/>
      <c r="I658" s="85" t="n"/>
      <c r="J658" s="85" t="n"/>
      <c r="K658" s="85" t="n"/>
      <c r="L658" s="85" t="n"/>
      <c r="M658" s="85" t="n"/>
      <c r="N658" s="85" t="n"/>
      <c r="O658" s="85" t="n"/>
      <c r="P658" s="85" t="n"/>
      <c r="Q658" s="85" t="n"/>
      <c r="R658" s="85" t="n"/>
      <c r="S658" s="85">
        <f>IF($G658="","",TODAY()-$G658)</f>
        <v/>
      </c>
      <c r="T658" s="85">
        <f>IF($A658="","",IF(AND($E658="Yes",OR($O658="No",$O658="NOT FOUND")),"YES",""))</f>
        <v/>
      </c>
      <c r="U658" s="85">
        <f>IF($A658="","",TRIM(IF(AND($M658=0,$I658&lt;&gt;"Yes"),"T0-NoPhishResistant ","")&amp;IF($H658="No","NoMFA ","")&amp;IF(AND($E658="Yes",$G658=""),"NeverSignedIn ","")))</f>
        <v/>
      </c>
    </row>
    <row r="659" ht="15" customHeight="1" s="39">
      <c r="A659" s="85" t="n"/>
      <c r="B659" s="85" t="n"/>
      <c r="C659" s="85" t="n"/>
      <c r="D659" s="85" t="n"/>
      <c r="E659" s="85" t="n"/>
      <c r="F659" s="86" t="n"/>
      <c r="G659" s="86" t="n"/>
      <c r="H659" s="85" t="n"/>
      <c r="I659" s="85" t="n"/>
      <c r="J659" s="85" t="n"/>
      <c r="K659" s="85" t="n"/>
      <c r="L659" s="85" t="n"/>
      <c r="M659" s="85" t="n"/>
      <c r="N659" s="85" t="n"/>
      <c r="O659" s="85" t="n"/>
      <c r="P659" s="85" t="n"/>
      <c r="Q659" s="85" t="n"/>
      <c r="R659" s="85" t="n"/>
      <c r="S659" s="85">
        <f>IF($G659="","",TODAY()-$G659)</f>
        <v/>
      </c>
      <c r="T659" s="85">
        <f>IF($A659="","",IF(AND($E659="Yes",OR($O659="No",$O659="NOT FOUND")),"YES",""))</f>
        <v/>
      </c>
      <c r="U659" s="85">
        <f>IF($A659="","",TRIM(IF(AND($M659=0,$I659&lt;&gt;"Yes"),"T0-NoPhishResistant ","")&amp;IF($H659="No","NoMFA ","")&amp;IF(AND($E659="Yes",$G659=""),"NeverSignedIn ","")))</f>
        <v/>
      </c>
    </row>
    <row r="660" ht="15" customHeight="1" s="39">
      <c r="A660" s="85" t="n"/>
      <c r="B660" s="85" t="n"/>
      <c r="C660" s="85" t="n"/>
      <c r="D660" s="85" t="n"/>
      <c r="E660" s="85" t="n"/>
      <c r="F660" s="86" t="n"/>
      <c r="G660" s="86" t="n"/>
      <c r="H660" s="85" t="n"/>
      <c r="I660" s="85" t="n"/>
      <c r="J660" s="85" t="n"/>
      <c r="K660" s="85" t="n"/>
      <c r="L660" s="85" t="n"/>
      <c r="M660" s="85" t="n"/>
      <c r="N660" s="85" t="n"/>
      <c r="O660" s="85" t="n"/>
      <c r="P660" s="85" t="n"/>
      <c r="Q660" s="85" t="n"/>
      <c r="R660" s="85" t="n"/>
      <c r="S660" s="85">
        <f>IF($G660="","",TODAY()-$G660)</f>
        <v/>
      </c>
      <c r="T660" s="85">
        <f>IF($A660="","",IF(AND($E660="Yes",OR($O660="No",$O660="NOT FOUND")),"YES",""))</f>
        <v/>
      </c>
      <c r="U660" s="85">
        <f>IF($A660="","",TRIM(IF(AND($M660=0,$I660&lt;&gt;"Yes"),"T0-NoPhishResistant ","")&amp;IF($H660="No","NoMFA ","")&amp;IF(AND($E660="Yes",$G660=""),"NeverSignedIn ","")))</f>
        <v/>
      </c>
    </row>
    <row r="661" ht="15" customHeight="1" s="39">
      <c r="A661" s="85" t="n"/>
      <c r="B661" s="85" t="n"/>
      <c r="C661" s="85" t="n"/>
      <c r="D661" s="85" t="n"/>
      <c r="E661" s="85" t="n"/>
      <c r="F661" s="86" t="n"/>
      <c r="G661" s="86" t="n"/>
      <c r="H661" s="85" t="n"/>
      <c r="I661" s="85" t="n"/>
      <c r="J661" s="85" t="n"/>
      <c r="K661" s="85" t="n"/>
      <c r="L661" s="85" t="n"/>
      <c r="M661" s="85" t="n"/>
      <c r="N661" s="85" t="n"/>
      <c r="O661" s="85" t="n"/>
      <c r="P661" s="85" t="n"/>
      <c r="Q661" s="85" t="n"/>
      <c r="R661" s="85" t="n"/>
      <c r="S661" s="85">
        <f>IF($G661="","",TODAY()-$G661)</f>
        <v/>
      </c>
      <c r="T661" s="85">
        <f>IF($A661="","",IF(AND($E661="Yes",OR($O661="No",$O661="NOT FOUND")),"YES",""))</f>
        <v/>
      </c>
      <c r="U661" s="85">
        <f>IF($A661="","",TRIM(IF(AND($M661=0,$I661&lt;&gt;"Yes"),"T0-NoPhishResistant ","")&amp;IF($H661="No","NoMFA ","")&amp;IF(AND($E661="Yes",$G661=""),"NeverSignedIn ","")))</f>
        <v/>
      </c>
    </row>
    <row r="662" ht="15" customHeight="1" s="39">
      <c r="A662" s="85" t="n"/>
      <c r="B662" s="85" t="n"/>
      <c r="C662" s="85" t="n"/>
      <c r="D662" s="85" t="n"/>
      <c r="E662" s="85" t="n"/>
      <c r="F662" s="86" t="n"/>
      <c r="G662" s="86" t="n"/>
      <c r="H662" s="85" t="n"/>
      <c r="I662" s="85" t="n"/>
      <c r="J662" s="85" t="n"/>
      <c r="K662" s="85" t="n"/>
      <c r="L662" s="85" t="n"/>
      <c r="M662" s="85" t="n"/>
      <c r="N662" s="85" t="n"/>
      <c r="O662" s="85" t="n"/>
      <c r="P662" s="85" t="n"/>
      <c r="Q662" s="85" t="n"/>
      <c r="R662" s="85" t="n"/>
      <c r="S662" s="85">
        <f>IF($G662="","",TODAY()-$G662)</f>
        <v/>
      </c>
      <c r="T662" s="85">
        <f>IF($A662="","",IF(AND($E662="Yes",OR($O662="No",$O662="NOT FOUND")),"YES",""))</f>
        <v/>
      </c>
      <c r="U662" s="85">
        <f>IF($A662="","",TRIM(IF(AND($M662=0,$I662&lt;&gt;"Yes"),"T0-NoPhishResistant ","")&amp;IF($H662="No","NoMFA ","")&amp;IF(AND($E662="Yes",$G662=""),"NeverSignedIn ","")))</f>
        <v/>
      </c>
    </row>
    <row r="663" ht="15" customHeight="1" s="39">
      <c r="A663" s="85" t="n"/>
      <c r="B663" s="85" t="n"/>
      <c r="C663" s="85" t="n"/>
      <c r="D663" s="85" t="n"/>
      <c r="E663" s="85" t="n"/>
      <c r="F663" s="86" t="n"/>
      <c r="G663" s="86" t="n"/>
      <c r="H663" s="85" t="n"/>
      <c r="I663" s="85" t="n"/>
      <c r="J663" s="85" t="n"/>
      <c r="K663" s="85" t="n"/>
      <c r="L663" s="85" t="n"/>
      <c r="M663" s="85" t="n"/>
      <c r="N663" s="85" t="n"/>
      <c r="O663" s="85" t="n"/>
      <c r="P663" s="85" t="n"/>
      <c r="Q663" s="85" t="n"/>
      <c r="R663" s="85" t="n"/>
      <c r="S663" s="85">
        <f>IF($G663="","",TODAY()-$G663)</f>
        <v/>
      </c>
      <c r="T663" s="85">
        <f>IF($A663="","",IF(AND($E663="Yes",OR($O663="No",$O663="NOT FOUND")),"YES",""))</f>
        <v/>
      </c>
      <c r="U663" s="85">
        <f>IF($A663="","",TRIM(IF(AND($M663=0,$I663&lt;&gt;"Yes"),"T0-NoPhishResistant ","")&amp;IF($H663="No","NoMFA ","")&amp;IF(AND($E663="Yes",$G663=""),"NeverSignedIn ","")))</f>
        <v/>
      </c>
    </row>
    <row r="664" ht="15" customHeight="1" s="39">
      <c r="A664" s="85" t="n"/>
      <c r="B664" s="85" t="n"/>
      <c r="C664" s="85" t="n"/>
      <c r="D664" s="85" t="n"/>
      <c r="E664" s="85" t="n"/>
      <c r="F664" s="86" t="n"/>
      <c r="G664" s="86" t="n"/>
      <c r="H664" s="85" t="n"/>
      <c r="I664" s="85" t="n"/>
      <c r="J664" s="85" t="n"/>
      <c r="K664" s="85" t="n"/>
      <c r="L664" s="85" t="n"/>
      <c r="M664" s="85" t="n"/>
      <c r="N664" s="85" t="n"/>
      <c r="O664" s="85" t="n"/>
      <c r="P664" s="85" t="n"/>
      <c r="Q664" s="85" t="n"/>
      <c r="R664" s="85" t="n"/>
      <c r="S664" s="85">
        <f>IF($G664="","",TODAY()-$G664)</f>
        <v/>
      </c>
      <c r="T664" s="85">
        <f>IF($A664="","",IF(AND($E664="Yes",OR($O664="No",$O664="NOT FOUND")),"YES",""))</f>
        <v/>
      </c>
      <c r="U664" s="85">
        <f>IF($A664="","",TRIM(IF(AND($M664=0,$I664&lt;&gt;"Yes"),"T0-NoPhishResistant ","")&amp;IF($H664="No","NoMFA ","")&amp;IF(AND($E664="Yes",$G664=""),"NeverSignedIn ","")))</f>
        <v/>
      </c>
    </row>
    <row r="665" ht="15" customHeight="1" s="39">
      <c r="A665" s="85" t="n"/>
      <c r="B665" s="85" t="n"/>
      <c r="C665" s="85" t="n"/>
      <c r="D665" s="85" t="n"/>
      <c r="E665" s="85" t="n"/>
      <c r="F665" s="86" t="n"/>
      <c r="G665" s="86" t="n"/>
      <c r="H665" s="85" t="n"/>
      <c r="I665" s="85" t="n"/>
      <c r="J665" s="85" t="n"/>
      <c r="K665" s="85" t="n"/>
      <c r="L665" s="85" t="n"/>
      <c r="M665" s="85" t="n"/>
      <c r="N665" s="85" t="n"/>
      <c r="O665" s="85" t="n"/>
      <c r="P665" s="85" t="n"/>
      <c r="Q665" s="85" t="n"/>
      <c r="R665" s="85" t="n"/>
      <c r="S665" s="85">
        <f>IF($G665="","",TODAY()-$G665)</f>
        <v/>
      </c>
      <c r="T665" s="85">
        <f>IF($A665="","",IF(AND($E665="Yes",OR($O665="No",$O665="NOT FOUND")),"YES",""))</f>
        <v/>
      </c>
      <c r="U665" s="85">
        <f>IF($A665="","",TRIM(IF(AND($M665=0,$I665&lt;&gt;"Yes"),"T0-NoPhishResistant ","")&amp;IF($H665="No","NoMFA ","")&amp;IF(AND($E665="Yes",$G665=""),"NeverSignedIn ","")))</f>
        <v/>
      </c>
    </row>
    <row r="666" ht="15" customHeight="1" s="39">
      <c r="A666" s="85" t="n"/>
      <c r="B666" s="85" t="n"/>
      <c r="C666" s="85" t="n"/>
      <c r="D666" s="85" t="n"/>
      <c r="E666" s="85" t="n"/>
      <c r="F666" s="86" t="n"/>
      <c r="G666" s="86" t="n"/>
      <c r="H666" s="85" t="n"/>
      <c r="I666" s="85" t="n"/>
      <c r="J666" s="85" t="n"/>
      <c r="K666" s="85" t="n"/>
      <c r="L666" s="85" t="n"/>
      <c r="M666" s="85" t="n"/>
      <c r="N666" s="85" t="n"/>
      <c r="O666" s="85" t="n"/>
      <c r="P666" s="85" t="n"/>
      <c r="Q666" s="85" t="n"/>
      <c r="R666" s="85" t="n"/>
      <c r="S666" s="85">
        <f>IF($G666="","",TODAY()-$G666)</f>
        <v/>
      </c>
      <c r="T666" s="85">
        <f>IF($A666="","",IF(AND($E666="Yes",OR($O666="No",$O666="NOT FOUND")),"YES",""))</f>
        <v/>
      </c>
      <c r="U666" s="85">
        <f>IF($A666="","",TRIM(IF(AND($M666=0,$I666&lt;&gt;"Yes"),"T0-NoPhishResistant ","")&amp;IF($H666="No","NoMFA ","")&amp;IF(AND($E666="Yes",$G666=""),"NeverSignedIn ","")))</f>
        <v/>
      </c>
    </row>
    <row r="667" ht="15" customHeight="1" s="39">
      <c r="A667" s="85" t="n"/>
      <c r="B667" s="85" t="n"/>
      <c r="C667" s="85" t="n"/>
      <c r="D667" s="85" t="n"/>
      <c r="E667" s="85" t="n"/>
      <c r="F667" s="86" t="n"/>
      <c r="G667" s="86" t="n"/>
      <c r="H667" s="85" t="n"/>
      <c r="I667" s="85" t="n"/>
      <c r="J667" s="85" t="n"/>
      <c r="K667" s="85" t="n"/>
      <c r="L667" s="85" t="n"/>
      <c r="M667" s="85" t="n"/>
      <c r="N667" s="85" t="n"/>
      <c r="O667" s="85" t="n"/>
      <c r="P667" s="85" t="n"/>
      <c r="Q667" s="85" t="n"/>
      <c r="R667" s="85" t="n"/>
      <c r="S667" s="85">
        <f>IF($G667="","",TODAY()-$G667)</f>
        <v/>
      </c>
      <c r="T667" s="85">
        <f>IF($A667="","",IF(AND($E667="Yes",OR($O667="No",$O667="NOT FOUND")),"YES",""))</f>
        <v/>
      </c>
      <c r="U667" s="85">
        <f>IF($A667="","",TRIM(IF(AND($M667=0,$I667&lt;&gt;"Yes"),"T0-NoPhishResistant ","")&amp;IF($H667="No","NoMFA ","")&amp;IF(AND($E667="Yes",$G667=""),"NeverSignedIn ","")))</f>
        <v/>
      </c>
    </row>
    <row r="668" ht="15" customHeight="1" s="39">
      <c r="A668" s="85" t="n"/>
      <c r="B668" s="85" t="n"/>
      <c r="C668" s="85" t="n"/>
      <c r="D668" s="85" t="n"/>
      <c r="E668" s="85" t="n"/>
      <c r="F668" s="86" t="n"/>
      <c r="G668" s="86" t="n"/>
      <c r="H668" s="85" t="n"/>
      <c r="I668" s="85" t="n"/>
      <c r="J668" s="85" t="n"/>
      <c r="K668" s="85" t="n"/>
      <c r="L668" s="85" t="n"/>
      <c r="M668" s="85" t="n"/>
      <c r="N668" s="85" t="n"/>
      <c r="O668" s="85" t="n"/>
      <c r="P668" s="85" t="n"/>
      <c r="Q668" s="85" t="n"/>
      <c r="R668" s="85" t="n"/>
      <c r="S668" s="85">
        <f>IF($G668="","",TODAY()-$G668)</f>
        <v/>
      </c>
      <c r="T668" s="85">
        <f>IF($A668="","",IF(AND($E668="Yes",OR($O668="No",$O668="NOT FOUND")),"YES",""))</f>
        <v/>
      </c>
      <c r="U668" s="85">
        <f>IF($A668="","",TRIM(IF(AND($M668=0,$I668&lt;&gt;"Yes"),"T0-NoPhishResistant ","")&amp;IF($H668="No","NoMFA ","")&amp;IF(AND($E668="Yes",$G668=""),"NeverSignedIn ","")))</f>
        <v/>
      </c>
    </row>
    <row r="669" ht="15" customHeight="1" s="39">
      <c r="A669" s="85" t="n"/>
      <c r="B669" s="85" t="n"/>
      <c r="C669" s="85" t="n"/>
      <c r="D669" s="85" t="n"/>
      <c r="E669" s="85" t="n"/>
      <c r="F669" s="86" t="n"/>
      <c r="G669" s="86" t="n"/>
      <c r="H669" s="85" t="n"/>
      <c r="I669" s="85" t="n"/>
      <c r="J669" s="85" t="n"/>
      <c r="K669" s="85" t="n"/>
      <c r="L669" s="85" t="n"/>
      <c r="M669" s="85" t="n"/>
      <c r="N669" s="85" t="n"/>
      <c r="O669" s="85" t="n"/>
      <c r="P669" s="85" t="n"/>
      <c r="Q669" s="85" t="n"/>
      <c r="R669" s="85" t="n"/>
      <c r="S669" s="85">
        <f>IF($G669="","",TODAY()-$G669)</f>
        <v/>
      </c>
      <c r="T669" s="85">
        <f>IF($A669="","",IF(AND($E669="Yes",OR($O669="No",$O669="NOT FOUND")),"YES",""))</f>
        <v/>
      </c>
      <c r="U669" s="85">
        <f>IF($A669="","",TRIM(IF(AND($M669=0,$I669&lt;&gt;"Yes"),"T0-NoPhishResistant ","")&amp;IF($H669="No","NoMFA ","")&amp;IF(AND($E669="Yes",$G669=""),"NeverSignedIn ","")))</f>
        <v/>
      </c>
    </row>
    <row r="670" ht="15" customHeight="1" s="39">
      <c r="A670" s="85" t="n"/>
      <c r="B670" s="85" t="n"/>
      <c r="C670" s="85" t="n"/>
      <c r="D670" s="85" t="n"/>
      <c r="E670" s="85" t="n"/>
      <c r="F670" s="86" t="n"/>
      <c r="G670" s="86" t="n"/>
      <c r="H670" s="85" t="n"/>
      <c r="I670" s="85" t="n"/>
      <c r="J670" s="85" t="n"/>
      <c r="K670" s="85" t="n"/>
      <c r="L670" s="85" t="n"/>
      <c r="M670" s="85" t="n"/>
      <c r="N670" s="85" t="n"/>
      <c r="O670" s="85" t="n"/>
      <c r="P670" s="85" t="n"/>
      <c r="Q670" s="85" t="n"/>
      <c r="R670" s="85" t="n"/>
      <c r="S670" s="85">
        <f>IF($G670="","",TODAY()-$G670)</f>
        <v/>
      </c>
      <c r="T670" s="85">
        <f>IF($A670="","",IF(AND($E670="Yes",OR($O670="No",$O670="NOT FOUND")),"YES",""))</f>
        <v/>
      </c>
      <c r="U670" s="85">
        <f>IF($A670="","",TRIM(IF(AND($M670=0,$I670&lt;&gt;"Yes"),"T0-NoPhishResistant ","")&amp;IF($H670="No","NoMFA ","")&amp;IF(AND($E670="Yes",$G670=""),"NeverSignedIn ","")))</f>
        <v/>
      </c>
    </row>
    <row r="671" ht="15" customHeight="1" s="39">
      <c r="A671" s="85" t="n"/>
      <c r="B671" s="85" t="n"/>
      <c r="C671" s="85" t="n"/>
      <c r="D671" s="85" t="n"/>
      <c r="E671" s="85" t="n"/>
      <c r="F671" s="86" t="n"/>
      <c r="G671" s="86" t="n"/>
      <c r="H671" s="85" t="n"/>
      <c r="I671" s="85" t="n"/>
      <c r="J671" s="85" t="n"/>
      <c r="K671" s="85" t="n"/>
      <c r="L671" s="85" t="n"/>
      <c r="M671" s="85" t="n"/>
      <c r="N671" s="85" t="n"/>
      <c r="O671" s="85" t="n"/>
      <c r="P671" s="85" t="n"/>
      <c r="Q671" s="85" t="n"/>
      <c r="R671" s="85" t="n"/>
      <c r="S671" s="85">
        <f>IF($G671="","",TODAY()-$G671)</f>
        <v/>
      </c>
      <c r="T671" s="85">
        <f>IF($A671="","",IF(AND($E671="Yes",OR($O671="No",$O671="NOT FOUND")),"YES",""))</f>
        <v/>
      </c>
      <c r="U671" s="85">
        <f>IF($A671="","",TRIM(IF(AND($M671=0,$I671&lt;&gt;"Yes"),"T0-NoPhishResistant ","")&amp;IF($H671="No","NoMFA ","")&amp;IF(AND($E671="Yes",$G671=""),"NeverSignedIn ","")))</f>
        <v/>
      </c>
    </row>
    <row r="672" ht="15" customHeight="1" s="39">
      <c r="A672" s="85" t="n"/>
      <c r="B672" s="85" t="n"/>
      <c r="C672" s="85" t="n"/>
      <c r="D672" s="85" t="n"/>
      <c r="E672" s="85" t="n"/>
      <c r="F672" s="86" t="n"/>
      <c r="G672" s="86" t="n"/>
      <c r="H672" s="85" t="n"/>
      <c r="I672" s="85" t="n"/>
      <c r="J672" s="85" t="n"/>
      <c r="K672" s="85" t="n"/>
      <c r="L672" s="85" t="n"/>
      <c r="M672" s="85" t="n"/>
      <c r="N672" s="85" t="n"/>
      <c r="O672" s="85" t="n"/>
      <c r="P672" s="85" t="n"/>
      <c r="Q672" s="85" t="n"/>
      <c r="R672" s="85" t="n"/>
      <c r="S672" s="85">
        <f>IF($G672="","",TODAY()-$G672)</f>
        <v/>
      </c>
      <c r="T672" s="85">
        <f>IF($A672="","",IF(AND($E672="Yes",OR($O672="No",$O672="NOT FOUND")),"YES",""))</f>
        <v/>
      </c>
      <c r="U672" s="85">
        <f>IF($A672="","",TRIM(IF(AND($M672=0,$I672&lt;&gt;"Yes"),"T0-NoPhishResistant ","")&amp;IF($H672="No","NoMFA ","")&amp;IF(AND($E672="Yes",$G672=""),"NeverSignedIn ","")))</f>
        <v/>
      </c>
    </row>
    <row r="673" ht="15" customHeight="1" s="39">
      <c r="A673" s="85" t="n"/>
      <c r="B673" s="85" t="n"/>
      <c r="C673" s="85" t="n"/>
      <c r="D673" s="85" t="n"/>
      <c r="E673" s="85" t="n"/>
      <c r="F673" s="86" t="n"/>
      <c r="G673" s="86" t="n"/>
      <c r="H673" s="85" t="n"/>
      <c r="I673" s="85" t="n"/>
      <c r="J673" s="85" t="n"/>
      <c r="K673" s="85" t="n"/>
      <c r="L673" s="85" t="n"/>
      <c r="M673" s="85" t="n"/>
      <c r="N673" s="85" t="n"/>
      <c r="O673" s="85" t="n"/>
      <c r="P673" s="85" t="n"/>
      <c r="Q673" s="85" t="n"/>
      <c r="R673" s="85" t="n"/>
      <c r="S673" s="85">
        <f>IF($G673="","",TODAY()-$G673)</f>
        <v/>
      </c>
      <c r="T673" s="85">
        <f>IF($A673="","",IF(AND($E673="Yes",OR($O673="No",$O673="NOT FOUND")),"YES",""))</f>
        <v/>
      </c>
      <c r="U673" s="85">
        <f>IF($A673="","",TRIM(IF(AND($M673=0,$I673&lt;&gt;"Yes"),"T0-NoPhishResistant ","")&amp;IF($H673="No","NoMFA ","")&amp;IF(AND($E673="Yes",$G673=""),"NeverSignedIn ","")))</f>
        <v/>
      </c>
    </row>
    <row r="674" ht="15" customHeight="1" s="39">
      <c r="A674" s="85" t="n"/>
      <c r="B674" s="85" t="n"/>
      <c r="C674" s="85" t="n"/>
      <c r="D674" s="85" t="n"/>
      <c r="E674" s="85" t="n"/>
      <c r="F674" s="86" t="n"/>
      <c r="G674" s="86" t="n"/>
      <c r="H674" s="85" t="n"/>
      <c r="I674" s="85" t="n"/>
      <c r="J674" s="85" t="n"/>
      <c r="K674" s="85" t="n"/>
      <c r="L674" s="85" t="n"/>
      <c r="M674" s="85" t="n"/>
      <c r="N674" s="85" t="n"/>
      <c r="O674" s="85" t="n"/>
      <c r="P674" s="85" t="n"/>
      <c r="Q674" s="85" t="n"/>
      <c r="R674" s="85" t="n"/>
      <c r="S674" s="85">
        <f>IF($G674="","",TODAY()-$G674)</f>
        <v/>
      </c>
      <c r="T674" s="85">
        <f>IF($A674="","",IF(AND($E674="Yes",OR($O674="No",$O674="NOT FOUND")),"YES",""))</f>
        <v/>
      </c>
      <c r="U674" s="85">
        <f>IF($A674="","",TRIM(IF(AND($M674=0,$I674&lt;&gt;"Yes"),"T0-NoPhishResistant ","")&amp;IF($H674="No","NoMFA ","")&amp;IF(AND($E674="Yes",$G674=""),"NeverSignedIn ","")))</f>
        <v/>
      </c>
    </row>
    <row r="675" ht="15" customHeight="1" s="39">
      <c r="A675" s="85" t="n"/>
      <c r="B675" s="85" t="n"/>
      <c r="C675" s="85" t="n"/>
      <c r="D675" s="85" t="n"/>
      <c r="E675" s="85" t="n"/>
      <c r="F675" s="86" t="n"/>
      <c r="G675" s="86" t="n"/>
      <c r="H675" s="85" t="n"/>
      <c r="I675" s="85" t="n"/>
      <c r="J675" s="85" t="n"/>
      <c r="K675" s="85" t="n"/>
      <c r="L675" s="85" t="n"/>
      <c r="M675" s="85" t="n"/>
      <c r="N675" s="85" t="n"/>
      <c r="O675" s="85" t="n"/>
      <c r="P675" s="85" t="n"/>
      <c r="Q675" s="85" t="n"/>
      <c r="R675" s="85" t="n"/>
      <c r="S675" s="85">
        <f>IF($G675="","",TODAY()-$G675)</f>
        <v/>
      </c>
      <c r="T675" s="85">
        <f>IF($A675="","",IF(AND($E675="Yes",OR($O675="No",$O675="NOT FOUND")),"YES",""))</f>
        <v/>
      </c>
      <c r="U675" s="85">
        <f>IF($A675="","",TRIM(IF(AND($M675=0,$I675&lt;&gt;"Yes"),"T0-NoPhishResistant ","")&amp;IF($H675="No","NoMFA ","")&amp;IF(AND($E675="Yes",$G675=""),"NeverSignedIn ","")))</f>
        <v/>
      </c>
    </row>
    <row r="676" ht="15" customHeight="1" s="39">
      <c r="A676" s="85" t="n"/>
      <c r="B676" s="85" t="n"/>
      <c r="C676" s="85" t="n"/>
      <c r="D676" s="85" t="n"/>
      <c r="E676" s="85" t="n"/>
      <c r="F676" s="86" t="n"/>
      <c r="G676" s="86" t="n"/>
      <c r="H676" s="85" t="n"/>
      <c r="I676" s="85" t="n"/>
      <c r="J676" s="85" t="n"/>
      <c r="K676" s="85" t="n"/>
      <c r="L676" s="85" t="n"/>
      <c r="M676" s="85" t="n"/>
      <c r="N676" s="85" t="n"/>
      <c r="O676" s="85" t="n"/>
      <c r="P676" s="85" t="n"/>
      <c r="Q676" s="85" t="n"/>
      <c r="R676" s="85" t="n"/>
      <c r="S676" s="85">
        <f>IF($G676="","",TODAY()-$G676)</f>
        <v/>
      </c>
      <c r="T676" s="85">
        <f>IF($A676="","",IF(AND($E676="Yes",OR($O676="No",$O676="NOT FOUND")),"YES",""))</f>
        <v/>
      </c>
      <c r="U676" s="85">
        <f>IF($A676="","",TRIM(IF(AND($M676=0,$I676&lt;&gt;"Yes"),"T0-NoPhishResistant ","")&amp;IF($H676="No","NoMFA ","")&amp;IF(AND($E676="Yes",$G676=""),"NeverSignedIn ","")))</f>
        <v/>
      </c>
    </row>
    <row r="677" ht="15" customHeight="1" s="39">
      <c r="A677" s="85" t="n"/>
      <c r="B677" s="85" t="n"/>
      <c r="C677" s="85" t="n"/>
      <c r="D677" s="85" t="n"/>
      <c r="E677" s="85" t="n"/>
      <c r="F677" s="86" t="n"/>
      <c r="G677" s="86" t="n"/>
      <c r="H677" s="85" t="n"/>
      <c r="I677" s="85" t="n"/>
      <c r="J677" s="85" t="n"/>
      <c r="K677" s="85" t="n"/>
      <c r="L677" s="85" t="n"/>
      <c r="M677" s="85" t="n"/>
      <c r="N677" s="85" t="n"/>
      <c r="O677" s="85" t="n"/>
      <c r="P677" s="85" t="n"/>
      <c r="Q677" s="85" t="n"/>
      <c r="R677" s="85" t="n"/>
      <c r="S677" s="85">
        <f>IF($G677="","",TODAY()-$G677)</f>
        <v/>
      </c>
      <c r="T677" s="85">
        <f>IF($A677="","",IF(AND($E677="Yes",OR($O677="No",$O677="NOT FOUND")),"YES",""))</f>
        <v/>
      </c>
      <c r="U677" s="85">
        <f>IF($A677="","",TRIM(IF(AND($M677=0,$I677&lt;&gt;"Yes"),"T0-NoPhishResistant ","")&amp;IF($H677="No","NoMFA ","")&amp;IF(AND($E677="Yes",$G677=""),"NeverSignedIn ","")))</f>
        <v/>
      </c>
    </row>
    <row r="678" ht="15" customHeight="1" s="39">
      <c r="A678" s="85" t="n"/>
      <c r="B678" s="85" t="n"/>
      <c r="C678" s="85" t="n"/>
      <c r="D678" s="85" t="n"/>
      <c r="E678" s="85" t="n"/>
      <c r="F678" s="86" t="n"/>
      <c r="G678" s="86" t="n"/>
      <c r="H678" s="85" t="n"/>
      <c r="I678" s="85" t="n"/>
      <c r="J678" s="85" t="n"/>
      <c r="K678" s="85" t="n"/>
      <c r="L678" s="85" t="n"/>
      <c r="M678" s="85" t="n"/>
      <c r="N678" s="85" t="n"/>
      <c r="O678" s="85" t="n"/>
      <c r="P678" s="85" t="n"/>
      <c r="Q678" s="85" t="n"/>
      <c r="R678" s="85" t="n"/>
      <c r="S678" s="85">
        <f>IF($G678="","",TODAY()-$G678)</f>
        <v/>
      </c>
      <c r="T678" s="85">
        <f>IF($A678="","",IF(AND($E678="Yes",OR($O678="No",$O678="NOT FOUND")),"YES",""))</f>
        <v/>
      </c>
      <c r="U678" s="85">
        <f>IF($A678="","",TRIM(IF(AND($M678=0,$I678&lt;&gt;"Yes"),"T0-NoPhishResistant ","")&amp;IF($H678="No","NoMFA ","")&amp;IF(AND($E678="Yes",$G678=""),"NeverSignedIn ","")))</f>
        <v/>
      </c>
    </row>
    <row r="679" ht="15" customHeight="1" s="39">
      <c r="A679" s="85" t="n"/>
      <c r="B679" s="85" t="n"/>
      <c r="C679" s="85" t="n"/>
      <c r="D679" s="85" t="n"/>
      <c r="E679" s="85" t="n"/>
      <c r="F679" s="86" t="n"/>
      <c r="G679" s="86" t="n"/>
      <c r="H679" s="85" t="n"/>
      <c r="I679" s="85" t="n"/>
      <c r="J679" s="85" t="n"/>
      <c r="K679" s="85" t="n"/>
      <c r="L679" s="85" t="n"/>
      <c r="M679" s="85" t="n"/>
      <c r="N679" s="85" t="n"/>
      <c r="O679" s="85" t="n"/>
      <c r="P679" s="85" t="n"/>
      <c r="Q679" s="85" t="n"/>
      <c r="R679" s="85" t="n"/>
      <c r="S679" s="85">
        <f>IF($G679="","",TODAY()-$G679)</f>
        <v/>
      </c>
      <c r="T679" s="85">
        <f>IF($A679="","",IF(AND($E679="Yes",OR($O679="No",$O679="NOT FOUND")),"YES",""))</f>
        <v/>
      </c>
      <c r="U679" s="85">
        <f>IF($A679="","",TRIM(IF(AND($M679=0,$I679&lt;&gt;"Yes"),"T0-NoPhishResistant ","")&amp;IF($H679="No","NoMFA ","")&amp;IF(AND($E679="Yes",$G679=""),"NeverSignedIn ","")))</f>
        <v/>
      </c>
    </row>
    <row r="680" ht="15" customHeight="1" s="39">
      <c r="A680" s="85" t="n"/>
      <c r="B680" s="85" t="n"/>
      <c r="C680" s="85" t="n"/>
      <c r="D680" s="85" t="n"/>
      <c r="E680" s="85" t="n"/>
      <c r="F680" s="86" t="n"/>
      <c r="G680" s="86" t="n"/>
      <c r="H680" s="85" t="n"/>
      <c r="I680" s="85" t="n"/>
      <c r="J680" s="85" t="n"/>
      <c r="K680" s="85" t="n"/>
      <c r="L680" s="85" t="n"/>
      <c r="M680" s="85" t="n"/>
      <c r="N680" s="85" t="n"/>
      <c r="O680" s="85" t="n"/>
      <c r="P680" s="85" t="n"/>
      <c r="Q680" s="85" t="n"/>
      <c r="R680" s="85" t="n"/>
      <c r="S680" s="85">
        <f>IF($G680="","",TODAY()-$G680)</f>
        <v/>
      </c>
      <c r="T680" s="85">
        <f>IF($A680="","",IF(AND($E680="Yes",OR($O680="No",$O680="NOT FOUND")),"YES",""))</f>
        <v/>
      </c>
      <c r="U680" s="85">
        <f>IF($A680="","",TRIM(IF(AND($M680=0,$I680&lt;&gt;"Yes"),"T0-NoPhishResistant ","")&amp;IF($H680="No","NoMFA ","")&amp;IF(AND($E680="Yes",$G680=""),"NeverSignedIn ","")))</f>
        <v/>
      </c>
    </row>
    <row r="681" ht="15" customHeight="1" s="39">
      <c r="A681" s="85" t="n"/>
      <c r="B681" s="85" t="n"/>
      <c r="C681" s="85" t="n"/>
      <c r="D681" s="85" t="n"/>
      <c r="E681" s="85" t="n"/>
      <c r="F681" s="86" t="n"/>
      <c r="G681" s="86" t="n"/>
      <c r="H681" s="85" t="n"/>
      <c r="I681" s="85" t="n"/>
      <c r="J681" s="85" t="n"/>
      <c r="K681" s="85" t="n"/>
      <c r="L681" s="85" t="n"/>
      <c r="M681" s="85" t="n"/>
      <c r="N681" s="85" t="n"/>
      <c r="O681" s="85" t="n"/>
      <c r="P681" s="85" t="n"/>
      <c r="Q681" s="85" t="n"/>
      <c r="R681" s="85" t="n"/>
      <c r="S681" s="85">
        <f>IF($G681="","",TODAY()-$G681)</f>
        <v/>
      </c>
      <c r="T681" s="85">
        <f>IF($A681="","",IF(AND($E681="Yes",OR($O681="No",$O681="NOT FOUND")),"YES",""))</f>
        <v/>
      </c>
      <c r="U681" s="85">
        <f>IF($A681="","",TRIM(IF(AND($M681=0,$I681&lt;&gt;"Yes"),"T0-NoPhishResistant ","")&amp;IF($H681="No","NoMFA ","")&amp;IF(AND($E681="Yes",$G681=""),"NeverSignedIn ","")))</f>
        <v/>
      </c>
    </row>
    <row r="682" ht="15" customHeight="1" s="39">
      <c r="A682" s="85" t="n"/>
      <c r="B682" s="85" t="n"/>
      <c r="C682" s="85" t="n"/>
      <c r="D682" s="85" t="n"/>
      <c r="E682" s="85" t="n"/>
      <c r="F682" s="86" t="n"/>
      <c r="G682" s="86" t="n"/>
      <c r="H682" s="85" t="n"/>
      <c r="I682" s="85" t="n"/>
      <c r="J682" s="85" t="n"/>
      <c r="K682" s="85" t="n"/>
      <c r="L682" s="85" t="n"/>
      <c r="M682" s="85" t="n"/>
      <c r="N682" s="85" t="n"/>
      <c r="O682" s="85" t="n"/>
      <c r="P682" s="85" t="n"/>
      <c r="Q682" s="85" t="n"/>
      <c r="R682" s="85" t="n"/>
      <c r="S682" s="85">
        <f>IF($G682="","",TODAY()-$G682)</f>
        <v/>
      </c>
      <c r="T682" s="85">
        <f>IF($A682="","",IF(AND($E682="Yes",OR($O682="No",$O682="NOT FOUND")),"YES",""))</f>
        <v/>
      </c>
      <c r="U682" s="85">
        <f>IF($A682="","",TRIM(IF(AND($M682=0,$I682&lt;&gt;"Yes"),"T0-NoPhishResistant ","")&amp;IF($H682="No","NoMFA ","")&amp;IF(AND($E682="Yes",$G682=""),"NeverSignedIn ","")))</f>
        <v/>
      </c>
    </row>
    <row r="683" ht="15" customHeight="1" s="39">
      <c r="A683" s="85" t="n"/>
      <c r="B683" s="85" t="n"/>
      <c r="C683" s="85" t="n"/>
      <c r="D683" s="85" t="n"/>
      <c r="E683" s="85" t="n"/>
      <c r="F683" s="86" t="n"/>
      <c r="G683" s="86" t="n"/>
      <c r="H683" s="85" t="n"/>
      <c r="I683" s="85" t="n"/>
      <c r="J683" s="85" t="n"/>
      <c r="K683" s="85" t="n"/>
      <c r="L683" s="85" t="n"/>
      <c r="M683" s="85" t="n"/>
      <c r="N683" s="85" t="n"/>
      <c r="O683" s="85" t="n"/>
      <c r="P683" s="85" t="n"/>
      <c r="Q683" s="85" t="n"/>
      <c r="R683" s="85" t="n"/>
      <c r="S683" s="85">
        <f>IF($G683="","",TODAY()-$G683)</f>
        <v/>
      </c>
      <c r="T683" s="85">
        <f>IF($A683="","",IF(AND($E683="Yes",OR($O683="No",$O683="NOT FOUND")),"YES",""))</f>
        <v/>
      </c>
      <c r="U683" s="85">
        <f>IF($A683="","",TRIM(IF(AND($M683=0,$I683&lt;&gt;"Yes"),"T0-NoPhishResistant ","")&amp;IF($H683="No","NoMFA ","")&amp;IF(AND($E683="Yes",$G683=""),"NeverSignedIn ","")))</f>
        <v/>
      </c>
    </row>
    <row r="684" ht="15" customHeight="1" s="39">
      <c r="A684" s="85" t="n"/>
      <c r="B684" s="85" t="n"/>
      <c r="C684" s="85" t="n"/>
      <c r="D684" s="85" t="n"/>
      <c r="E684" s="85" t="n"/>
      <c r="F684" s="86" t="n"/>
      <c r="G684" s="86" t="n"/>
      <c r="H684" s="85" t="n"/>
      <c r="I684" s="85" t="n"/>
      <c r="J684" s="85" t="n"/>
      <c r="K684" s="85" t="n"/>
      <c r="L684" s="85" t="n"/>
      <c r="M684" s="85" t="n"/>
      <c r="N684" s="85" t="n"/>
      <c r="O684" s="85" t="n"/>
      <c r="P684" s="85" t="n"/>
      <c r="Q684" s="85" t="n"/>
      <c r="R684" s="85" t="n"/>
      <c r="S684" s="85">
        <f>IF($G684="","",TODAY()-$G684)</f>
        <v/>
      </c>
      <c r="T684" s="85">
        <f>IF($A684="","",IF(AND($E684="Yes",OR($O684="No",$O684="NOT FOUND")),"YES",""))</f>
        <v/>
      </c>
      <c r="U684" s="85">
        <f>IF($A684="","",TRIM(IF(AND($M684=0,$I684&lt;&gt;"Yes"),"T0-NoPhishResistant ","")&amp;IF($H684="No","NoMFA ","")&amp;IF(AND($E684="Yes",$G684=""),"NeverSignedIn ","")))</f>
        <v/>
      </c>
    </row>
    <row r="685" ht="15" customHeight="1" s="39">
      <c r="A685" s="85" t="n"/>
      <c r="B685" s="85" t="n"/>
      <c r="C685" s="85" t="n"/>
      <c r="D685" s="85" t="n"/>
      <c r="E685" s="85" t="n"/>
      <c r="F685" s="86" t="n"/>
      <c r="G685" s="86" t="n"/>
      <c r="H685" s="85" t="n"/>
      <c r="I685" s="85" t="n"/>
      <c r="J685" s="85" t="n"/>
      <c r="K685" s="85" t="n"/>
      <c r="L685" s="85" t="n"/>
      <c r="M685" s="85" t="n"/>
      <c r="N685" s="85" t="n"/>
      <c r="O685" s="85" t="n"/>
      <c r="P685" s="85" t="n"/>
      <c r="Q685" s="85" t="n"/>
      <c r="R685" s="85" t="n"/>
      <c r="S685" s="85">
        <f>IF($G685="","",TODAY()-$G685)</f>
        <v/>
      </c>
      <c r="T685" s="85">
        <f>IF($A685="","",IF(AND($E685="Yes",OR($O685="No",$O685="NOT FOUND")),"YES",""))</f>
        <v/>
      </c>
      <c r="U685" s="85">
        <f>IF($A685="","",TRIM(IF(AND($M685=0,$I685&lt;&gt;"Yes"),"T0-NoPhishResistant ","")&amp;IF($H685="No","NoMFA ","")&amp;IF(AND($E685="Yes",$G685=""),"NeverSignedIn ","")))</f>
        <v/>
      </c>
    </row>
    <row r="686" ht="15" customHeight="1" s="39">
      <c r="A686" s="85" t="n"/>
      <c r="B686" s="85" t="n"/>
      <c r="C686" s="85" t="n"/>
      <c r="D686" s="85" t="n"/>
      <c r="E686" s="85" t="n"/>
      <c r="F686" s="86" t="n"/>
      <c r="G686" s="86" t="n"/>
      <c r="H686" s="85" t="n"/>
      <c r="I686" s="85" t="n"/>
      <c r="J686" s="85" t="n"/>
      <c r="K686" s="85" t="n"/>
      <c r="L686" s="85" t="n"/>
      <c r="M686" s="85" t="n"/>
      <c r="N686" s="85" t="n"/>
      <c r="O686" s="85" t="n"/>
      <c r="P686" s="85" t="n"/>
      <c r="Q686" s="85" t="n"/>
      <c r="R686" s="85" t="n"/>
      <c r="S686" s="85">
        <f>IF($G686="","",TODAY()-$G686)</f>
        <v/>
      </c>
      <c r="T686" s="85">
        <f>IF($A686="","",IF(AND($E686="Yes",OR($O686="No",$O686="NOT FOUND")),"YES",""))</f>
        <v/>
      </c>
      <c r="U686" s="85">
        <f>IF($A686="","",TRIM(IF(AND($M686=0,$I686&lt;&gt;"Yes"),"T0-NoPhishResistant ","")&amp;IF($H686="No","NoMFA ","")&amp;IF(AND($E686="Yes",$G686=""),"NeverSignedIn ","")))</f>
        <v/>
      </c>
    </row>
    <row r="687" ht="15" customHeight="1" s="39">
      <c r="A687" s="85" t="n"/>
      <c r="B687" s="85" t="n"/>
      <c r="C687" s="85" t="n"/>
      <c r="D687" s="85" t="n"/>
      <c r="E687" s="85" t="n"/>
      <c r="F687" s="86" t="n"/>
      <c r="G687" s="86" t="n"/>
      <c r="H687" s="85" t="n"/>
      <c r="I687" s="85" t="n"/>
      <c r="J687" s="85" t="n"/>
      <c r="K687" s="85" t="n"/>
      <c r="L687" s="85" t="n"/>
      <c r="M687" s="85" t="n"/>
      <c r="N687" s="85" t="n"/>
      <c r="O687" s="85" t="n"/>
      <c r="P687" s="85" t="n"/>
      <c r="Q687" s="85" t="n"/>
      <c r="R687" s="85" t="n"/>
      <c r="S687" s="85">
        <f>IF($G687="","",TODAY()-$G687)</f>
        <v/>
      </c>
      <c r="T687" s="85">
        <f>IF($A687="","",IF(AND($E687="Yes",OR($O687="No",$O687="NOT FOUND")),"YES",""))</f>
        <v/>
      </c>
      <c r="U687" s="85">
        <f>IF($A687="","",TRIM(IF(AND($M687=0,$I687&lt;&gt;"Yes"),"T0-NoPhishResistant ","")&amp;IF($H687="No","NoMFA ","")&amp;IF(AND($E687="Yes",$G687=""),"NeverSignedIn ","")))</f>
        <v/>
      </c>
    </row>
    <row r="688" ht="15" customHeight="1" s="39">
      <c r="A688" s="85" t="n"/>
      <c r="B688" s="85" t="n"/>
      <c r="C688" s="85" t="n"/>
      <c r="D688" s="85" t="n"/>
      <c r="E688" s="85" t="n"/>
      <c r="F688" s="86" t="n"/>
      <c r="G688" s="86" t="n"/>
      <c r="H688" s="85" t="n"/>
      <c r="I688" s="85" t="n"/>
      <c r="J688" s="85" t="n"/>
      <c r="K688" s="85" t="n"/>
      <c r="L688" s="85" t="n"/>
      <c r="M688" s="85" t="n"/>
      <c r="N688" s="85" t="n"/>
      <c r="O688" s="85" t="n"/>
      <c r="P688" s="85" t="n"/>
      <c r="Q688" s="85" t="n"/>
      <c r="R688" s="85" t="n"/>
      <c r="S688" s="85">
        <f>IF($G688="","",TODAY()-$G688)</f>
        <v/>
      </c>
      <c r="T688" s="85">
        <f>IF($A688="","",IF(AND($E688="Yes",OR($O688="No",$O688="NOT FOUND")),"YES",""))</f>
        <v/>
      </c>
      <c r="U688" s="85">
        <f>IF($A688="","",TRIM(IF(AND($M688=0,$I688&lt;&gt;"Yes"),"T0-NoPhishResistant ","")&amp;IF($H688="No","NoMFA ","")&amp;IF(AND($E688="Yes",$G688=""),"NeverSignedIn ","")))</f>
        <v/>
      </c>
    </row>
    <row r="689" ht="15" customHeight="1" s="39">
      <c r="A689" s="85" t="n"/>
      <c r="B689" s="85" t="n"/>
      <c r="C689" s="85" t="n"/>
      <c r="D689" s="85" t="n"/>
      <c r="E689" s="85" t="n"/>
      <c r="F689" s="86" t="n"/>
      <c r="G689" s="86" t="n"/>
      <c r="H689" s="85" t="n"/>
      <c r="I689" s="85" t="n"/>
      <c r="J689" s="85" t="n"/>
      <c r="K689" s="85" t="n"/>
      <c r="L689" s="85" t="n"/>
      <c r="M689" s="85" t="n"/>
      <c r="N689" s="85" t="n"/>
      <c r="O689" s="85" t="n"/>
      <c r="P689" s="85" t="n"/>
      <c r="Q689" s="85" t="n"/>
      <c r="R689" s="85" t="n"/>
      <c r="S689" s="85">
        <f>IF($G689="","",TODAY()-$G689)</f>
        <v/>
      </c>
      <c r="T689" s="85">
        <f>IF($A689="","",IF(AND($E689="Yes",OR($O689="No",$O689="NOT FOUND")),"YES",""))</f>
        <v/>
      </c>
      <c r="U689" s="85">
        <f>IF($A689="","",TRIM(IF(AND($M689=0,$I689&lt;&gt;"Yes"),"T0-NoPhishResistant ","")&amp;IF($H689="No","NoMFA ","")&amp;IF(AND($E689="Yes",$G689=""),"NeverSignedIn ","")))</f>
        <v/>
      </c>
    </row>
    <row r="690" ht="15" customHeight="1" s="39">
      <c r="A690" s="85" t="n"/>
      <c r="B690" s="85" t="n"/>
      <c r="C690" s="85" t="n"/>
      <c r="D690" s="85" t="n"/>
      <c r="E690" s="85" t="n"/>
      <c r="F690" s="86" t="n"/>
      <c r="G690" s="86" t="n"/>
      <c r="H690" s="85" t="n"/>
      <c r="I690" s="85" t="n"/>
      <c r="J690" s="85" t="n"/>
      <c r="K690" s="85" t="n"/>
      <c r="L690" s="85" t="n"/>
      <c r="M690" s="85" t="n"/>
      <c r="N690" s="85" t="n"/>
      <c r="O690" s="85" t="n"/>
      <c r="P690" s="85" t="n"/>
      <c r="Q690" s="85" t="n"/>
      <c r="R690" s="85" t="n"/>
      <c r="S690" s="85">
        <f>IF($G690="","",TODAY()-$G690)</f>
        <v/>
      </c>
      <c r="T690" s="85">
        <f>IF($A690="","",IF(AND($E690="Yes",OR($O690="No",$O690="NOT FOUND")),"YES",""))</f>
        <v/>
      </c>
      <c r="U690" s="85">
        <f>IF($A690="","",TRIM(IF(AND($M690=0,$I690&lt;&gt;"Yes"),"T0-NoPhishResistant ","")&amp;IF($H690="No","NoMFA ","")&amp;IF(AND($E690="Yes",$G690=""),"NeverSignedIn ","")))</f>
        <v/>
      </c>
    </row>
    <row r="691" ht="15" customHeight="1" s="39">
      <c r="A691" s="85" t="n"/>
      <c r="B691" s="85" t="n"/>
      <c r="C691" s="85" t="n"/>
      <c r="D691" s="85" t="n"/>
      <c r="E691" s="85" t="n"/>
      <c r="F691" s="86" t="n"/>
      <c r="G691" s="86" t="n"/>
      <c r="H691" s="85" t="n"/>
      <c r="I691" s="85" t="n"/>
      <c r="J691" s="85" t="n"/>
      <c r="K691" s="85" t="n"/>
      <c r="L691" s="85" t="n"/>
      <c r="M691" s="85" t="n"/>
      <c r="N691" s="85" t="n"/>
      <c r="O691" s="85" t="n"/>
      <c r="P691" s="85" t="n"/>
      <c r="Q691" s="85" t="n"/>
      <c r="R691" s="85" t="n"/>
      <c r="S691" s="85">
        <f>IF($G691="","",TODAY()-$G691)</f>
        <v/>
      </c>
      <c r="T691" s="85">
        <f>IF($A691="","",IF(AND($E691="Yes",OR($O691="No",$O691="NOT FOUND")),"YES",""))</f>
        <v/>
      </c>
      <c r="U691" s="85">
        <f>IF($A691="","",TRIM(IF(AND($M691=0,$I691&lt;&gt;"Yes"),"T0-NoPhishResistant ","")&amp;IF($H691="No","NoMFA ","")&amp;IF(AND($E691="Yes",$G691=""),"NeverSignedIn ","")))</f>
        <v/>
      </c>
    </row>
    <row r="692" ht="15" customHeight="1" s="39">
      <c r="A692" s="85" t="n"/>
      <c r="B692" s="85" t="n"/>
      <c r="C692" s="85" t="n"/>
      <c r="D692" s="85" t="n"/>
      <c r="E692" s="85" t="n"/>
      <c r="F692" s="86" t="n"/>
      <c r="G692" s="86" t="n"/>
      <c r="H692" s="85" t="n"/>
      <c r="I692" s="85" t="n"/>
      <c r="J692" s="85" t="n"/>
      <c r="K692" s="85" t="n"/>
      <c r="L692" s="85" t="n"/>
      <c r="M692" s="85" t="n"/>
      <c r="N692" s="85" t="n"/>
      <c r="O692" s="85" t="n"/>
      <c r="P692" s="85" t="n"/>
      <c r="Q692" s="85" t="n"/>
      <c r="R692" s="85" t="n"/>
      <c r="S692" s="85">
        <f>IF($G692="","",TODAY()-$G692)</f>
        <v/>
      </c>
      <c r="T692" s="85">
        <f>IF($A692="","",IF(AND($E692="Yes",OR($O692="No",$O692="NOT FOUND")),"YES",""))</f>
        <v/>
      </c>
      <c r="U692" s="85">
        <f>IF($A692="","",TRIM(IF(AND($M692=0,$I692&lt;&gt;"Yes"),"T0-NoPhishResistant ","")&amp;IF($H692="No","NoMFA ","")&amp;IF(AND($E692="Yes",$G692=""),"NeverSignedIn ","")))</f>
        <v/>
      </c>
    </row>
    <row r="693" ht="15" customHeight="1" s="39">
      <c r="A693" s="85" t="n"/>
      <c r="B693" s="85" t="n"/>
      <c r="C693" s="85" t="n"/>
      <c r="D693" s="85" t="n"/>
      <c r="E693" s="85" t="n"/>
      <c r="F693" s="86" t="n"/>
      <c r="G693" s="86" t="n"/>
      <c r="H693" s="85" t="n"/>
      <c r="I693" s="85" t="n"/>
      <c r="J693" s="85" t="n"/>
      <c r="K693" s="85" t="n"/>
      <c r="L693" s="85" t="n"/>
      <c r="M693" s="85" t="n"/>
      <c r="N693" s="85" t="n"/>
      <c r="O693" s="85" t="n"/>
      <c r="P693" s="85" t="n"/>
      <c r="Q693" s="85" t="n"/>
      <c r="R693" s="85" t="n"/>
      <c r="S693" s="85">
        <f>IF($G693="","",TODAY()-$G693)</f>
        <v/>
      </c>
      <c r="T693" s="85">
        <f>IF($A693="","",IF(AND($E693="Yes",OR($O693="No",$O693="NOT FOUND")),"YES",""))</f>
        <v/>
      </c>
      <c r="U693" s="85">
        <f>IF($A693="","",TRIM(IF(AND($M693=0,$I693&lt;&gt;"Yes"),"T0-NoPhishResistant ","")&amp;IF($H693="No","NoMFA ","")&amp;IF(AND($E693="Yes",$G693=""),"NeverSignedIn ","")))</f>
        <v/>
      </c>
    </row>
    <row r="694" ht="15" customHeight="1" s="39">
      <c r="A694" s="85" t="n"/>
      <c r="B694" s="85" t="n"/>
      <c r="C694" s="85" t="n"/>
      <c r="D694" s="85" t="n"/>
      <c r="E694" s="85" t="n"/>
      <c r="F694" s="86" t="n"/>
      <c r="G694" s="86" t="n"/>
      <c r="H694" s="85" t="n"/>
      <c r="I694" s="85" t="n"/>
      <c r="J694" s="85" t="n"/>
      <c r="K694" s="85" t="n"/>
      <c r="L694" s="85" t="n"/>
      <c r="M694" s="85" t="n"/>
      <c r="N694" s="85" t="n"/>
      <c r="O694" s="85" t="n"/>
      <c r="P694" s="85" t="n"/>
      <c r="Q694" s="85" t="n"/>
      <c r="R694" s="85" t="n"/>
      <c r="S694" s="85">
        <f>IF($G694="","",TODAY()-$G694)</f>
        <v/>
      </c>
      <c r="T694" s="85">
        <f>IF($A694="","",IF(AND($E694="Yes",OR($O694="No",$O694="NOT FOUND")),"YES",""))</f>
        <v/>
      </c>
      <c r="U694" s="85">
        <f>IF($A694="","",TRIM(IF(AND($M694=0,$I694&lt;&gt;"Yes"),"T0-NoPhishResistant ","")&amp;IF($H694="No","NoMFA ","")&amp;IF(AND($E694="Yes",$G694=""),"NeverSignedIn ","")))</f>
        <v/>
      </c>
    </row>
    <row r="695" ht="15" customHeight="1" s="39">
      <c r="A695" s="85" t="n"/>
      <c r="B695" s="85" t="n"/>
      <c r="C695" s="85" t="n"/>
      <c r="D695" s="85" t="n"/>
      <c r="E695" s="85" t="n"/>
      <c r="F695" s="86" t="n"/>
      <c r="G695" s="86" t="n"/>
      <c r="H695" s="85" t="n"/>
      <c r="I695" s="85" t="n"/>
      <c r="J695" s="85" t="n"/>
      <c r="K695" s="85" t="n"/>
      <c r="L695" s="85" t="n"/>
      <c r="M695" s="85" t="n"/>
      <c r="N695" s="85" t="n"/>
      <c r="O695" s="85" t="n"/>
      <c r="P695" s="85" t="n"/>
      <c r="Q695" s="85" t="n"/>
      <c r="R695" s="85" t="n"/>
      <c r="S695" s="85">
        <f>IF($G695="","",TODAY()-$G695)</f>
        <v/>
      </c>
      <c r="T695" s="85">
        <f>IF($A695="","",IF(AND($E695="Yes",OR($O695="No",$O695="NOT FOUND")),"YES",""))</f>
        <v/>
      </c>
      <c r="U695" s="85">
        <f>IF($A695="","",TRIM(IF(AND($M695=0,$I695&lt;&gt;"Yes"),"T0-NoPhishResistant ","")&amp;IF($H695="No","NoMFA ","")&amp;IF(AND($E695="Yes",$G695=""),"NeverSignedIn ","")))</f>
        <v/>
      </c>
    </row>
    <row r="696" ht="15" customHeight="1" s="39">
      <c r="A696" s="85" t="n"/>
      <c r="B696" s="85" t="n"/>
      <c r="C696" s="85" t="n"/>
      <c r="D696" s="85" t="n"/>
      <c r="E696" s="85" t="n"/>
      <c r="F696" s="86" t="n"/>
      <c r="G696" s="86" t="n"/>
      <c r="H696" s="85" t="n"/>
      <c r="I696" s="85" t="n"/>
      <c r="J696" s="85" t="n"/>
      <c r="K696" s="85" t="n"/>
      <c r="L696" s="85" t="n"/>
      <c r="M696" s="85" t="n"/>
      <c r="N696" s="85" t="n"/>
      <c r="O696" s="85" t="n"/>
      <c r="P696" s="85" t="n"/>
      <c r="Q696" s="85" t="n"/>
      <c r="R696" s="85" t="n"/>
      <c r="S696" s="85">
        <f>IF($G696="","",TODAY()-$G696)</f>
        <v/>
      </c>
      <c r="T696" s="85">
        <f>IF($A696="","",IF(AND($E696="Yes",OR($O696="No",$O696="NOT FOUND")),"YES",""))</f>
        <v/>
      </c>
      <c r="U696" s="85">
        <f>IF($A696="","",TRIM(IF(AND($M696=0,$I696&lt;&gt;"Yes"),"T0-NoPhishResistant ","")&amp;IF($H696="No","NoMFA ","")&amp;IF(AND($E696="Yes",$G696=""),"NeverSignedIn ","")))</f>
        <v/>
      </c>
    </row>
    <row r="697" ht="15" customHeight="1" s="39">
      <c r="A697" s="85" t="n"/>
      <c r="B697" s="85" t="n"/>
      <c r="C697" s="85" t="n"/>
      <c r="D697" s="85" t="n"/>
      <c r="E697" s="85" t="n"/>
      <c r="F697" s="86" t="n"/>
      <c r="G697" s="86" t="n"/>
      <c r="H697" s="85" t="n"/>
      <c r="I697" s="85" t="n"/>
      <c r="J697" s="85" t="n"/>
      <c r="K697" s="85" t="n"/>
      <c r="L697" s="85" t="n"/>
      <c r="M697" s="85" t="n"/>
      <c r="N697" s="85" t="n"/>
      <c r="O697" s="85" t="n"/>
      <c r="P697" s="85" t="n"/>
      <c r="Q697" s="85" t="n"/>
      <c r="R697" s="85" t="n"/>
      <c r="S697" s="85">
        <f>IF($G697="","",TODAY()-$G697)</f>
        <v/>
      </c>
      <c r="T697" s="85">
        <f>IF($A697="","",IF(AND($E697="Yes",OR($O697="No",$O697="NOT FOUND")),"YES",""))</f>
        <v/>
      </c>
      <c r="U697" s="85">
        <f>IF($A697="","",TRIM(IF(AND($M697=0,$I697&lt;&gt;"Yes"),"T0-NoPhishResistant ","")&amp;IF($H697="No","NoMFA ","")&amp;IF(AND($E697="Yes",$G697=""),"NeverSignedIn ","")))</f>
        <v/>
      </c>
    </row>
    <row r="698" ht="15" customHeight="1" s="39">
      <c r="A698" s="85" t="n"/>
      <c r="B698" s="85" t="n"/>
      <c r="C698" s="85" t="n"/>
      <c r="D698" s="85" t="n"/>
      <c r="E698" s="85" t="n"/>
      <c r="F698" s="86" t="n"/>
      <c r="G698" s="86" t="n"/>
      <c r="H698" s="85" t="n"/>
      <c r="I698" s="85" t="n"/>
      <c r="J698" s="85" t="n"/>
      <c r="K698" s="85" t="n"/>
      <c r="L698" s="85" t="n"/>
      <c r="M698" s="85" t="n"/>
      <c r="N698" s="85" t="n"/>
      <c r="O698" s="85" t="n"/>
      <c r="P698" s="85" t="n"/>
      <c r="Q698" s="85" t="n"/>
      <c r="R698" s="85" t="n"/>
      <c r="S698" s="85">
        <f>IF($G698="","",TODAY()-$G698)</f>
        <v/>
      </c>
      <c r="T698" s="85">
        <f>IF($A698="","",IF(AND($E698="Yes",OR($O698="No",$O698="NOT FOUND")),"YES",""))</f>
        <v/>
      </c>
      <c r="U698" s="85">
        <f>IF($A698="","",TRIM(IF(AND($M698=0,$I698&lt;&gt;"Yes"),"T0-NoPhishResistant ","")&amp;IF($H698="No","NoMFA ","")&amp;IF(AND($E698="Yes",$G698=""),"NeverSignedIn ","")))</f>
        <v/>
      </c>
    </row>
    <row r="699" ht="15" customHeight="1" s="39">
      <c r="A699" s="85" t="n"/>
      <c r="B699" s="85" t="n"/>
      <c r="C699" s="85" t="n"/>
      <c r="D699" s="85" t="n"/>
      <c r="E699" s="85" t="n"/>
      <c r="F699" s="86" t="n"/>
      <c r="G699" s="86" t="n"/>
      <c r="H699" s="85" t="n"/>
      <c r="I699" s="85" t="n"/>
      <c r="J699" s="85" t="n"/>
      <c r="K699" s="85" t="n"/>
      <c r="L699" s="85" t="n"/>
      <c r="M699" s="85" t="n"/>
      <c r="N699" s="85" t="n"/>
      <c r="O699" s="85" t="n"/>
      <c r="P699" s="85" t="n"/>
      <c r="Q699" s="85" t="n"/>
      <c r="R699" s="85" t="n"/>
      <c r="S699" s="85">
        <f>IF($G699="","",TODAY()-$G699)</f>
        <v/>
      </c>
      <c r="T699" s="85">
        <f>IF($A699="","",IF(AND($E699="Yes",OR($O699="No",$O699="NOT FOUND")),"YES",""))</f>
        <v/>
      </c>
      <c r="U699" s="85">
        <f>IF($A699="","",TRIM(IF(AND($M699=0,$I699&lt;&gt;"Yes"),"T0-NoPhishResistant ","")&amp;IF($H699="No","NoMFA ","")&amp;IF(AND($E699="Yes",$G699=""),"NeverSignedIn ","")))</f>
        <v/>
      </c>
    </row>
    <row r="700" ht="15" customHeight="1" s="39">
      <c r="A700" s="85" t="n"/>
      <c r="B700" s="85" t="n"/>
      <c r="C700" s="85" t="n"/>
      <c r="D700" s="85" t="n"/>
      <c r="E700" s="85" t="n"/>
      <c r="F700" s="86" t="n"/>
      <c r="G700" s="86" t="n"/>
      <c r="H700" s="85" t="n"/>
      <c r="I700" s="85" t="n"/>
      <c r="J700" s="85" t="n"/>
      <c r="K700" s="85" t="n"/>
      <c r="L700" s="85" t="n"/>
      <c r="M700" s="85" t="n"/>
      <c r="N700" s="85" t="n"/>
      <c r="O700" s="85" t="n"/>
      <c r="P700" s="85" t="n"/>
      <c r="Q700" s="85" t="n"/>
      <c r="R700" s="85" t="n"/>
      <c r="S700" s="85">
        <f>IF($G700="","",TODAY()-$G700)</f>
        <v/>
      </c>
      <c r="T700" s="85">
        <f>IF($A700="","",IF(AND($E700="Yes",OR($O700="No",$O700="NOT FOUND")),"YES",""))</f>
        <v/>
      </c>
      <c r="U700" s="85">
        <f>IF($A700="","",TRIM(IF(AND($M700=0,$I700&lt;&gt;"Yes"),"T0-NoPhishResistant ","")&amp;IF($H700="No","NoMFA ","")&amp;IF(AND($E700="Yes",$G700=""),"NeverSignedIn ","")))</f>
        <v/>
      </c>
    </row>
    <row r="701" ht="15" customHeight="1" s="39">
      <c r="A701" s="85" t="n"/>
      <c r="B701" s="85" t="n"/>
      <c r="C701" s="85" t="n"/>
      <c r="D701" s="85" t="n"/>
      <c r="E701" s="85" t="n"/>
      <c r="F701" s="86" t="n"/>
      <c r="G701" s="86" t="n"/>
      <c r="H701" s="85" t="n"/>
      <c r="I701" s="85" t="n"/>
      <c r="J701" s="85" t="n"/>
      <c r="K701" s="85" t="n"/>
      <c r="L701" s="85" t="n"/>
      <c r="M701" s="85" t="n"/>
      <c r="N701" s="85" t="n"/>
      <c r="O701" s="85" t="n"/>
      <c r="P701" s="85" t="n"/>
      <c r="Q701" s="85" t="n"/>
      <c r="R701" s="85" t="n"/>
      <c r="S701" s="85">
        <f>IF($G701="","",TODAY()-$G701)</f>
        <v/>
      </c>
      <c r="T701" s="85">
        <f>IF($A701="","",IF(AND($E701="Yes",OR($O701="No",$O701="NOT FOUND")),"YES",""))</f>
        <v/>
      </c>
      <c r="U701" s="85">
        <f>IF($A701="","",TRIM(IF(AND($M701=0,$I701&lt;&gt;"Yes"),"T0-NoPhishResistant ","")&amp;IF($H701="No","NoMFA ","")&amp;IF(AND($E701="Yes",$G701=""),"NeverSignedIn ","")))</f>
        <v/>
      </c>
    </row>
    <row r="702" ht="15" customHeight="1" s="39">
      <c r="A702" s="85" t="n"/>
      <c r="B702" s="85" t="n"/>
      <c r="C702" s="85" t="n"/>
      <c r="D702" s="85" t="n"/>
      <c r="E702" s="85" t="n"/>
      <c r="F702" s="86" t="n"/>
      <c r="G702" s="86" t="n"/>
      <c r="H702" s="85" t="n"/>
      <c r="I702" s="85" t="n"/>
      <c r="J702" s="85" t="n"/>
      <c r="K702" s="85" t="n"/>
      <c r="L702" s="85" t="n"/>
      <c r="M702" s="85" t="n"/>
      <c r="N702" s="85" t="n"/>
      <c r="O702" s="85" t="n"/>
      <c r="P702" s="85" t="n"/>
      <c r="Q702" s="85" t="n"/>
      <c r="R702" s="85" t="n"/>
      <c r="S702" s="85">
        <f>IF($G702="","",TODAY()-$G702)</f>
        <v/>
      </c>
      <c r="T702" s="85">
        <f>IF($A702="","",IF(AND($E702="Yes",OR($O702="No",$O702="NOT FOUND")),"YES",""))</f>
        <v/>
      </c>
      <c r="U702" s="85">
        <f>IF($A702="","",TRIM(IF(AND($M702=0,$I702&lt;&gt;"Yes"),"T0-NoPhishResistant ","")&amp;IF($H702="No","NoMFA ","")&amp;IF(AND($E702="Yes",$G702=""),"NeverSignedIn ","")))</f>
        <v/>
      </c>
    </row>
    <row r="703" ht="15" customHeight="1" s="39">
      <c r="A703" s="85" t="n"/>
      <c r="B703" s="85" t="n"/>
      <c r="C703" s="85" t="n"/>
      <c r="D703" s="85" t="n"/>
      <c r="E703" s="85" t="n"/>
      <c r="F703" s="86" t="n"/>
      <c r="G703" s="86" t="n"/>
      <c r="H703" s="85" t="n"/>
      <c r="I703" s="85" t="n"/>
      <c r="J703" s="85" t="n"/>
      <c r="K703" s="85" t="n"/>
      <c r="L703" s="85" t="n"/>
      <c r="M703" s="85" t="n"/>
      <c r="N703" s="85" t="n"/>
      <c r="O703" s="85" t="n"/>
      <c r="P703" s="85" t="n"/>
      <c r="Q703" s="85" t="n"/>
      <c r="R703" s="85" t="n"/>
      <c r="S703" s="85">
        <f>IF($G703="","",TODAY()-$G703)</f>
        <v/>
      </c>
      <c r="T703" s="85">
        <f>IF($A703="","",IF(AND($E703="Yes",OR($O703="No",$O703="NOT FOUND")),"YES",""))</f>
        <v/>
      </c>
      <c r="U703" s="85">
        <f>IF($A703="","",TRIM(IF(AND($M703=0,$I703&lt;&gt;"Yes"),"T0-NoPhishResistant ","")&amp;IF($H703="No","NoMFA ","")&amp;IF(AND($E703="Yes",$G703=""),"NeverSignedIn ","")))</f>
        <v/>
      </c>
    </row>
    <row r="704" ht="15" customHeight="1" s="39">
      <c r="A704" s="85" t="n"/>
      <c r="B704" s="85" t="n"/>
      <c r="C704" s="85" t="n"/>
      <c r="D704" s="85" t="n"/>
      <c r="E704" s="85" t="n"/>
      <c r="F704" s="86" t="n"/>
      <c r="G704" s="86" t="n"/>
      <c r="H704" s="85" t="n"/>
      <c r="I704" s="85" t="n"/>
      <c r="J704" s="85" t="n"/>
      <c r="K704" s="85" t="n"/>
      <c r="L704" s="85" t="n"/>
      <c r="M704" s="85" t="n"/>
      <c r="N704" s="85" t="n"/>
      <c r="O704" s="85" t="n"/>
      <c r="P704" s="85" t="n"/>
      <c r="Q704" s="85" t="n"/>
      <c r="R704" s="85" t="n"/>
      <c r="S704" s="85">
        <f>IF($G704="","",TODAY()-$G704)</f>
        <v/>
      </c>
      <c r="T704" s="85">
        <f>IF($A704="","",IF(AND($E704="Yes",OR($O704="No",$O704="NOT FOUND")),"YES",""))</f>
        <v/>
      </c>
      <c r="U704" s="85">
        <f>IF($A704="","",TRIM(IF(AND($M704=0,$I704&lt;&gt;"Yes"),"T0-NoPhishResistant ","")&amp;IF($H704="No","NoMFA ","")&amp;IF(AND($E704="Yes",$G704=""),"NeverSignedIn ","")))</f>
        <v/>
      </c>
    </row>
    <row r="705" ht="15" customHeight="1" s="39">
      <c r="A705" s="85" t="n"/>
      <c r="B705" s="85" t="n"/>
      <c r="C705" s="85" t="n"/>
      <c r="D705" s="85" t="n"/>
      <c r="E705" s="85" t="n"/>
      <c r="F705" s="86" t="n"/>
      <c r="G705" s="86" t="n"/>
      <c r="H705" s="85" t="n"/>
      <c r="I705" s="85" t="n"/>
      <c r="J705" s="85" t="n"/>
      <c r="K705" s="85" t="n"/>
      <c r="L705" s="85" t="n"/>
      <c r="M705" s="85" t="n"/>
      <c r="N705" s="85" t="n"/>
      <c r="O705" s="85" t="n"/>
      <c r="P705" s="85" t="n"/>
      <c r="Q705" s="85" t="n"/>
      <c r="R705" s="85" t="n"/>
      <c r="S705" s="85">
        <f>IF($G705="","",TODAY()-$G705)</f>
        <v/>
      </c>
      <c r="T705" s="85">
        <f>IF($A705="","",IF(AND($E705="Yes",OR($O705="No",$O705="NOT FOUND")),"YES",""))</f>
        <v/>
      </c>
      <c r="U705" s="85">
        <f>IF($A705="","",TRIM(IF(AND($M705=0,$I705&lt;&gt;"Yes"),"T0-NoPhishResistant ","")&amp;IF($H705="No","NoMFA ","")&amp;IF(AND($E705="Yes",$G705=""),"NeverSignedIn ","")))</f>
        <v/>
      </c>
    </row>
    <row r="706" ht="15" customHeight="1" s="39">
      <c r="A706" s="85" t="n"/>
      <c r="B706" s="85" t="n"/>
      <c r="C706" s="85" t="n"/>
      <c r="D706" s="85" t="n"/>
      <c r="E706" s="85" t="n"/>
      <c r="F706" s="86" t="n"/>
      <c r="G706" s="86" t="n"/>
      <c r="H706" s="85" t="n"/>
      <c r="I706" s="85" t="n"/>
      <c r="J706" s="85" t="n"/>
      <c r="K706" s="85" t="n"/>
      <c r="L706" s="85" t="n"/>
      <c r="M706" s="85" t="n"/>
      <c r="N706" s="85" t="n"/>
      <c r="O706" s="85" t="n"/>
      <c r="P706" s="85" t="n"/>
      <c r="Q706" s="85" t="n"/>
      <c r="R706" s="85" t="n"/>
      <c r="S706" s="85">
        <f>IF($G706="","",TODAY()-$G706)</f>
        <v/>
      </c>
      <c r="T706" s="85">
        <f>IF($A706="","",IF(AND($E706="Yes",OR($O706="No",$O706="NOT FOUND")),"YES",""))</f>
        <v/>
      </c>
      <c r="U706" s="85">
        <f>IF($A706="","",TRIM(IF(AND($M706=0,$I706&lt;&gt;"Yes"),"T0-NoPhishResistant ","")&amp;IF($H706="No","NoMFA ","")&amp;IF(AND($E706="Yes",$G706=""),"NeverSignedIn ","")))</f>
        <v/>
      </c>
    </row>
    <row r="707" ht="15" customHeight="1" s="39">
      <c r="A707" s="85" t="n"/>
      <c r="B707" s="85" t="n"/>
      <c r="C707" s="85" t="n"/>
      <c r="D707" s="85" t="n"/>
      <c r="E707" s="85" t="n"/>
      <c r="F707" s="86" t="n"/>
      <c r="G707" s="86" t="n"/>
      <c r="H707" s="85" t="n"/>
      <c r="I707" s="85" t="n"/>
      <c r="J707" s="85" t="n"/>
      <c r="K707" s="85" t="n"/>
      <c r="L707" s="85" t="n"/>
      <c r="M707" s="85" t="n"/>
      <c r="N707" s="85" t="n"/>
      <c r="O707" s="85" t="n"/>
      <c r="P707" s="85" t="n"/>
      <c r="Q707" s="85" t="n"/>
      <c r="R707" s="85" t="n"/>
      <c r="S707" s="85">
        <f>IF($G707="","",TODAY()-$G707)</f>
        <v/>
      </c>
      <c r="T707" s="85">
        <f>IF($A707="","",IF(AND($E707="Yes",OR($O707="No",$O707="NOT FOUND")),"YES",""))</f>
        <v/>
      </c>
      <c r="U707" s="85">
        <f>IF($A707="","",TRIM(IF(AND($M707=0,$I707&lt;&gt;"Yes"),"T0-NoPhishResistant ","")&amp;IF($H707="No","NoMFA ","")&amp;IF(AND($E707="Yes",$G707=""),"NeverSignedIn ","")))</f>
        <v/>
      </c>
    </row>
    <row r="708" ht="15" customHeight="1" s="39">
      <c r="A708" s="85" t="n"/>
      <c r="B708" s="85" t="n"/>
      <c r="C708" s="85" t="n"/>
      <c r="D708" s="85" t="n"/>
      <c r="E708" s="85" t="n"/>
      <c r="F708" s="86" t="n"/>
      <c r="G708" s="86" t="n"/>
      <c r="H708" s="85" t="n"/>
      <c r="I708" s="85" t="n"/>
      <c r="J708" s="85" t="n"/>
      <c r="K708" s="85" t="n"/>
      <c r="L708" s="85" t="n"/>
      <c r="M708" s="85" t="n"/>
      <c r="N708" s="85" t="n"/>
      <c r="O708" s="85" t="n"/>
      <c r="P708" s="85" t="n"/>
      <c r="Q708" s="85" t="n"/>
      <c r="R708" s="85" t="n"/>
      <c r="S708" s="85">
        <f>IF($G708="","",TODAY()-$G708)</f>
        <v/>
      </c>
      <c r="T708" s="85">
        <f>IF($A708="","",IF(AND($E708="Yes",OR($O708="No",$O708="NOT FOUND")),"YES",""))</f>
        <v/>
      </c>
      <c r="U708" s="85">
        <f>IF($A708="","",TRIM(IF(AND($M708=0,$I708&lt;&gt;"Yes"),"T0-NoPhishResistant ","")&amp;IF($H708="No","NoMFA ","")&amp;IF(AND($E708="Yes",$G708=""),"NeverSignedIn ","")))</f>
        <v/>
      </c>
    </row>
    <row r="709" ht="15" customHeight="1" s="39">
      <c r="A709" s="85" t="n"/>
      <c r="B709" s="85" t="n"/>
      <c r="C709" s="85" t="n"/>
      <c r="D709" s="85" t="n"/>
      <c r="E709" s="85" t="n"/>
      <c r="F709" s="86" t="n"/>
      <c r="G709" s="86" t="n"/>
      <c r="H709" s="85" t="n"/>
      <c r="I709" s="85" t="n"/>
      <c r="J709" s="85" t="n"/>
      <c r="K709" s="85" t="n"/>
      <c r="L709" s="85" t="n"/>
      <c r="M709" s="85" t="n"/>
      <c r="N709" s="85" t="n"/>
      <c r="O709" s="85" t="n"/>
      <c r="P709" s="85" t="n"/>
      <c r="Q709" s="85" t="n"/>
      <c r="R709" s="85" t="n"/>
      <c r="S709" s="85">
        <f>IF($G709="","",TODAY()-$G709)</f>
        <v/>
      </c>
      <c r="T709" s="85">
        <f>IF($A709="","",IF(AND($E709="Yes",OR($O709="No",$O709="NOT FOUND")),"YES",""))</f>
        <v/>
      </c>
      <c r="U709" s="85">
        <f>IF($A709="","",TRIM(IF(AND($M709=0,$I709&lt;&gt;"Yes"),"T0-NoPhishResistant ","")&amp;IF($H709="No","NoMFA ","")&amp;IF(AND($E709="Yes",$G709=""),"NeverSignedIn ","")))</f>
        <v/>
      </c>
    </row>
    <row r="710" ht="15" customHeight="1" s="39">
      <c r="A710" s="85" t="n"/>
      <c r="B710" s="85" t="n"/>
      <c r="C710" s="85" t="n"/>
      <c r="D710" s="85" t="n"/>
      <c r="E710" s="85" t="n"/>
      <c r="F710" s="86" t="n"/>
      <c r="G710" s="86" t="n"/>
      <c r="H710" s="85" t="n"/>
      <c r="I710" s="85" t="n"/>
      <c r="J710" s="85" t="n"/>
      <c r="K710" s="85" t="n"/>
      <c r="L710" s="85" t="n"/>
      <c r="M710" s="85" t="n"/>
      <c r="N710" s="85" t="n"/>
      <c r="O710" s="85" t="n"/>
      <c r="P710" s="85" t="n"/>
      <c r="Q710" s="85" t="n"/>
      <c r="R710" s="85" t="n"/>
      <c r="S710" s="85">
        <f>IF($G710="","",TODAY()-$G710)</f>
        <v/>
      </c>
      <c r="T710" s="85">
        <f>IF($A710="","",IF(AND($E710="Yes",OR($O710="No",$O710="NOT FOUND")),"YES",""))</f>
        <v/>
      </c>
      <c r="U710" s="85">
        <f>IF($A710="","",TRIM(IF(AND($M710=0,$I710&lt;&gt;"Yes"),"T0-NoPhishResistant ","")&amp;IF($H710="No","NoMFA ","")&amp;IF(AND($E710="Yes",$G710=""),"NeverSignedIn ","")))</f>
        <v/>
      </c>
    </row>
    <row r="711" ht="15" customHeight="1" s="39">
      <c r="A711" s="85" t="n"/>
      <c r="B711" s="85" t="n"/>
      <c r="C711" s="85" t="n"/>
      <c r="D711" s="85" t="n"/>
      <c r="E711" s="85" t="n"/>
      <c r="F711" s="86" t="n"/>
      <c r="G711" s="86" t="n"/>
      <c r="H711" s="85" t="n"/>
      <c r="I711" s="85" t="n"/>
      <c r="J711" s="85" t="n"/>
      <c r="K711" s="85" t="n"/>
      <c r="L711" s="85" t="n"/>
      <c r="M711" s="85" t="n"/>
      <c r="N711" s="85" t="n"/>
      <c r="O711" s="85" t="n"/>
      <c r="P711" s="85" t="n"/>
      <c r="Q711" s="85" t="n"/>
      <c r="R711" s="85" t="n"/>
      <c r="S711" s="85">
        <f>IF($G711="","",TODAY()-$G711)</f>
        <v/>
      </c>
      <c r="T711" s="85">
        <f>IF($A711="","",IF(AND($E711="Yes",OR($O711="No",$O711="NOT FOUND")),"YES",""))</f>
        <v/>
      </c>
      <c r="U711" s="85">
        <f>IF($A711="","",TRIM(IF(AND($M711=0,$I711&lt;&gt;"Yes"),"T0-NoPhishResistant ","")&amp;IF($H711="No","NoMFA ","")&amp;IF(AND($E711="Yes",$G711=""),"NeverSignedIn ","")))</f>
        <v/>
      </c>
    </row>
    <row r="712" ht="15" customHeight="1" s="39">
      <c r="A712" s="85" t="n"/>
      <c r="B712" s="85" t="n"/>
      <c r="C712" s="85" t="n"/>
      <c r="D712" s="85" t="n"/>
      <c r="E712" s="85" t="n"/>
      <c r="F712" s="86" t="n"/>
      <c r="G712" s="86" t="n"/>
      <c r="H712" s="85" t="n"/>
      <c r="I712" s="85" t="n"/>
      <c r="J712" s="85" t="n"/>
      <c r="K712" s="85" t="n"/>
      <c r="L712" s="85" t="n"/>
      <c r="M712" s="85" t="n"/>
      <c r="N712" s="85" t="n"/>
      <c r="O712" s="85" t="n"/>
      <c r="P712" s="85" t="n"/>
      <c r="Q712" s="85" t="n"/>
      <c r="R712" s="85" t="n"/>
      <c r="S712" s="85">
        <f>IF($G712="","",TODAY()-$G712)</f>
        <v/>
      </c>
      <c r="T712" s="85">
        <f>IF($A712="","",IF(AND($E712="Yes",OR($O712="No",$O712="NOT FOUND")),"YES",""))</f>
        <v/>
      </c>
      <c r="U712" s="85">
        <f>IF($A712="","",TRIM(IF(AND($M712=0,$I712&lt;&gt;"Yes"),"T0-NoPhishResistant ","")&amp;IF($H712="No","NoMFA ","")&amp;IF(AND($E712="Yes",$G712=""),"NeverSignedIn ","")))</f>
        <v/>
      </c>
    </row>
    <row r="713" ht="15" customHeight="1" s="39">
      <c r="A713" s="85" t="n"/>
      <c r="B713" s="85" t="n"/>
      <c r="C713" s="85" t="n"/>
      <c r="D713" s="85" t="n"/>
      <c r="E713" s="85" t="n"/>
      <c r="F713" s="86" t="n"/>
      <c r="G713" s="86" t="n"/>
      <c r="H713" s="85" t="n"/>
      <c r="I713" s="85" t="n"/>
      <c r="J713" s="85" t="n"/>
      <c r="K713" s="85" t="n"/>
      <c r="L713" s="85" t="n"/>
      <c r="M713" s="85" t="n"/>
      <c r="N713" s="85" t="n"/>
      <c r="O713" s="85" t="n"/>
      <c r="P713" s="85" t="n"/>
      <c r="Q713" s="85" t="n"/>
      <c r="R713" s="85" t="n"/>
      <c r="S713" s="85">
        <f>IF($G713="","",TODAY()-$G713)</f>
        <v/>
      </c>
      <c r="T713" s="85">
        <f>IF($A713="","",IF(AND($E713="Yes",OR($O713="No",$O713="NOT FOUND")),"YES",""))</f>
        <v/>
      </c>
      <c r="U713" s="85">
        <f>IF($A713="","",TRIM(IF(AND($M713=0,$I713&lt;&gt;"Yes"),"T0-NoPhishResistant ","")&amp;IF($H713="No","NoMFA ","")&amp;IF(AND($E713="Yes",$G713=""),"NeverSignedIn ","")))</f>
        <v/>
      </c>
    </row>
    <row r="714" ht="15" customHeight="1" s="39">
      <c r="A714" s="85" t="n"/>
      <c r="B714" s="85" t="n"/>
      <c r="C714" s="85" t="n"/>
      <c r="D714" s="85" t="n"/>
      <c r="E714" s="85" t="n"/>
      <c r="F714" s="86" t="n"/>
      <c r="G714" s="86" t="n"/>
      <c r="H714" s="85" t="n"/>
      <c r="I714" s="85" t="n"/>
      <c r="J714" s="85" t="n"/>
      <c r="K714" s="85" t="n"/>
      <c r="L714" s="85" t="n"/>
      <c r="M714" s="85" t="n"/>
      <c r="N714" s="85" t="n"/>
      <c r="O714" s="85" t="n"/>
      <c r="P714" s="85" t="n"/>
      <c r="Q714" s="85" t="n"/>
      <c r="R714" s="85" t="n"/>
      <c r="S714" s="85">
        <f>IF($G714="","",TODAY()-$G714)</f>
        <v/>
      </c>
      <c r="T714" s="85">
        <f>IF($A714="","",IF(AND($E714="Yes",OR($O714="No",$O714="NOT FOUND")),"YES",""))</f>
        <v/>
      </c>
      <c r="U714" s="85">
        <f>IF($A714="","",TRIM(IF(AND($M714=0,$I714&lt;&gt;"Yes"),"T0-NoPhishResistant ","")&amp;IF($H714="No","NoMFA ","")&amp;IF(AND($E714="Yes",$G714=""),"NeverSignedIn ","")))</f>
        <v/>
      </c>
    </row>
    <row r="715" ht="15" customHeight="1" s="39">
      <c r="A715" s="85" t="n"/>
      <c r="B715" s="85" t="n"/>
      <c r="C715" s="85" t="n"/>
      <c r="D715" s="85" t="n"/>
      <c r="E715" s="85" t="n"/>
      <c r="F715" s="86" t="n"/>
      <c r="G715" s="86" t="n"/>
      <c r="H715" s="85" t="n"/>
      <c r="I715" s="85" t="n"/>
      <c r="J715" s="85" t="n"/>
      <c r="K715" s="85" t="n"/>
      <c r="L715" s="85" t="n"/>
      <c r="M715" s="85" t="n"/>
      <c r="N715" s="85" t="n"/>
      <c r="O715" s="85" t="n"/>
      <c r="P715" s="85" t="n"/>
      <c r="Q715" s="85" t="n"/>
      <c r="R715" s="85" t="n"/>
      <c r="S715" s="85">
        <f>IF($G715="","",TODAY()-$G715)</f>
        <v/>
      </c>
      <c r="T715" s="85">
        <f>IF($A715="","",IF(AND($E715="Yes",OR($O715="No",$O715="NOT FOUND")),"YES",""))</f>
        <v/>
      </c>
      <c r="U715" s="85">
        <f>IF($A715="","",TRIM(IF(AND($M715=0,$I715&lt;&gt;"Yes"),"T0-NoPhishResistant ","")&amp;IF($H715="No","NoMFA ","")&amp;IF(AND($E715="Yes",$G715=""),"NeverSignedIn ","")))</f>
        <v/>
      </c>
    </row>
    <row r="716" ht="15" customHeight="1" s="39">
      <c r="A716" s="85" t="n"/>
      <c r="B716" s="85" t="n"/>
      <c r="C716" s="85" t="n"/>
      <c r="D716" s="85" t="n"/>
      <c r="E716" s="85" t="n"/>
      <c r="F716" s="86" t="n"/>
      <c r="G716" s="86" t="n"/>
      <c r="H716" s="85" t="n"/>
      <c r="I716" s="85" t="n"/>
      <c r="J716" s="85" t="n"/>
      <c r="K716" s="85" t="n"/>
      <c r="L716" s="85" t="n"/>
      <c r="M716" s="85" t="n"/>
      <c r="N716" s="85" t="n"/>
      <c r="O716" s="85" t="n"/>
      <c r="P716" s="85" t="n"/>
      <c r="Q716" s="85" t="n"/>
      <c r="R716" s="85" t="n"/>
      <c r="S716" s="85">
        <f>IF($G716="","",TODAY()-$G716)</f>
        <v/>
      </c>
      <c r="T716" s="85">
        <f>IF($A716="","",IF(AND($E716="Yes",OR($O716="No",$O716="NOT FOUND")),"YES",""))</f>
        <v/>
      </c>
      <c r="U716" s="85">
        <f>IF($A716="","",TRIM(IF(AND($M716=0,$I716&lt;&gt;"Yes"),"T0-NoPhishResistant ","")&amp;IF($H716="No","NoMFA ","")&amp;IF(AND($E716="Yes",$G716=""),"NeverSignedIn ","")))</f>
        <v/>
      </c>
    </row>
    <row r="717" ht="15" customHeight="1" s="39">
      <c r="A717" s="85" t="n"/>
      <c r="B717" s="85" t="n"/>
      <c r="C717" s="85" t="n"/>
      <c r="D717" s="85" t="n"/>
      <c r="E717" s="85" t="n"/>
      <c r="F717" s="86" t="n"/>
      <c r="G717" s="86" t="n"/>
      <c r="H717" s="85" t="n"/>
      <c r="I717" s="85" t="n"/>
      <c r="J717" s="85" t="n"/>
      <c r="K717" s="85" t="n"/>
      <c r="L717" s="85" t="n"/>
      <c r="M717" s="85" t="n"/>
      <c r="N717" s="85" t="n"/>
      <c r="O717" s="85" t="n"/>
      <c r="P717" s="85" t="n"/>
      <c r="Q717" s="85" t="n"/>
      <c r="R717" s="85" t="n"/>
      <c r="S717" s="85">
        <f>IF($G717="","",TODAY()-$G717)</f>
        <v/>
      </c>
      <c r="T717" s="85">
        <f>IF($A717="","",IF(AND($E717="Yes",OR($O717="No",$O717="NOT FOUND")),"YES",""))</f>
        <v/>
      </c>
      <c r="U717" s="85">
        <f>IF($A717="","",TRIM(IF(AND($M717=0,$I717&lt;&gt;"Yes"),"T0-NoPhishResistant ","")&amp;IF($H717="No","NoMFA ","")&amp;IF(AND($E717="Yes",$G717=""),"NeverSignedIn ","")))</f>
        <v/>
      </c>
    </row>
    <row r="718" ht="15" customHeight="1" s="39">
      <c r="A718" s="85" t="n"/>
      <c r="B718" s="85" t="n"/>
      <c r="C718" s="85" t="n"/>
      <c r="D718" s="85" t="n"/>
      <c r="E718" s="85" t="n"/>
      <c r="F718" s="86" t="n"/>
      <c r="G718" s="86" t="n"/>
      <c r="H718" s="85" t="n"/>
      <c r="I718" s="85" t="n"/>
      <c r="J718" s="85" t="n"/>
      <c r="K718" s="85" t="n"/>
      <c r="L718" s="85" t="n"/>
      <c r="M718" s="85" t="n"/>
      <c r="N718" s="85" t="n"/>
      <c r="O718" s="85" t="n"/>
      <c r="P718" s="85" t="n"/>
      <c r="Q718" s="85" t="n"/>
      <c r="R718" s="85" t="n"/>
      <c r="S718" s="85">
        <f>IF($G718="","",TODAY()-$G718)</f>
        <v/>
      </c>
      <c r="T718" s="85">
        <f>IF($A718="","",IF(AND($E718="Yes",OR($O718="No",$O718="NOT FOUND")),"YES",""))</f>
        <v/>
      </c>
      <c r="U718" s="85">
        <f>IF($A718="","",TRIM(IF(AND($M718=0,$I718&lt;&gt;"Yes"),"T0-NoPhishResistant ","")&amp;IF($H718="No","NoMFA ","")&amp;IF(AND($E718="Yes",$G718=""),"NeverSignedIn ","")))</f>
        <v/>
      </c>
    </row>
    <row r="719" ht="15" customHeight="1" s="39">
      <c r="A719" s="85" t="n"/>
      <c r="B719" s="85" t="n"/>
      <c r="C719" s="85" t="n"/>
      <c r="D719" s="85" t="n"/>
      <c r="E719" s="85" t="n"/>
      <c r="F719" s="86" t="n"/>
      <c r="G719" s="86" t="n"/>
      <c r="H719" s="85" t="n"/>
      <c r="I719" s="85" t="n"/>
      <c r="J719" s="85" t="n"/>
      <c r="K719" s="85" t="n"/>
      <c r="L719" s="85" t="n"/>
      <c r="M719" s="85" t="n"/>
      <c r="N719" s="85" t="n"/>
      <c r="O719" s="85" t="n"/>
      <c r="P719" s="85" t="n"/>
      <c r="Q719" s="85" t="n"/>
      <c r="R719" s="85" t="n"/>
      <c r="S719" s="85">
        <f>IF($G719="","",TODAY()-$G719)</f>
        <v/>
      </c>
      <c r="T719" s="85">
        <f>IF($A719="","",IF(AND($E719="Yes",OR($O719="No",$O719="NOT FOUND")),"YES",""))</f>
        <v/>
      </c>
      <c r="U719" s="85">
        <f>IF($A719="","",TRIM(IF(AND($M719=0,$I719&lt;&gt;"Yes"),"T0-NoPhishResistant ","")&amp;IF($H719="No","NoMFA ","")&amp;IF(AND($E719="Yes",$G719=""),"NeverSignedIn ","")))</f>
        <v/>
      </c>
    </row>
    <row r="720" ht="15" customHeight="1" s="39">
      <c r="A720" s="85" t="n"/>
      <c r="B720" s="85" t="n"/>
      <c r="C720" s="85" t="n"/>
      <c r="D720" s="85" t="n"/>
      <c r="E720" s="85" t="n"/>
      <c r="F720" s="86" t="n"/>
      <c r="G720" s="86" t="n"/>
      <c r="H720" s="85" t="n"/>
      <c r="I720" s="85" t="n"/>
      <c r="J720" s="85" t="n"/>
      <c r="K720" s="85" t="n"/>
      <c r="L720" s="85" t="n"/>
      <c r="M720" s="85" t="n"/>
      <c r="N720" s="85" t="n"/>
      <c r="O720" s="85" t="n"/>
      <c r="P720" s="85" t="n"/>
      <c r="Q720" s="85" t="n"/>
      <c r="R720" s="85" t="n"/>
      <c r="S720" s="85">
        <f>IF($G720="","",TODAY()-$G720)</f>
        <v/>
      </c>
      <c r="T720" s="85">
        <f>IF($A720="","",IF(AND($E720="Yes",OR($O720="No",$O720="NOT FOUND")),"YES",""))</f>
        <v/>
      </c>
      <c r="U720" s="85">
        <f>IF($A720="","",TRIM(IF(AND($M720=0,$I720&lt;&gt;"Yes"),"T0-NoPhishResistant ","")&amp;IF($H720="No","NoMFA ","")&amp;IF(AND($E720="Yes",$G720=""),"NeverSignedIn ","")))</f>
        <v/>
      </c>
    </row>
    <row r="721" ht="15" customHeight="1" s="39">
      <c r="A721" s="85" t="n"/>
      <c r="B721" s="85" t="n"/>
      <c r="C721" s="85" t="n"/>
      <c r="D721" s="85" t="n"/>
      <c r="E721" s="85" t="n"/>
      <c r="F721" s="86" t="n"/>
      <c r="G721" s="86" t="n"/>
      <c r="H721" s="85" t="n"/>
      <c r="I721" s="85" t="n"/>
      <c r="J721" s="85" t="n"/>
      <c r="K721" s="85" t="n"/>
      <c r="L721" s="85" t="n"/>
      <c r="M721" s="85" t="n"/>
      <c r="N721" s="85" t="n"/>
      <c r="O721" s="85" t="n"/>
      <c r="P721" s="85" t="n"/>
      <c r="Q721" s="85" t="n"/>
      <c r="R721" s="85" t="n"/>
      <c r="S721" s="85">
        <f>IF($G721="","",TODAY()-$G721)</f>
        <v/>
      </c>
      <c r="T721" s="85">
        <f>IF($A721="","",IF(AND($E721="Yes",OR($O721="No",$O721="NOT FOUND")),"YES",""))</f>
        <v/>
      </c>
      <c r="U721" s="85">
        <f>IF($A721="","",TRIM(IF(AND($M721=0,$I721&lt;&gt;"Yes"),"T0-NoPhishResistant ","")&amp;IF($H721="No","NoMFA ","")&amp;IF(AND($E721="Yes",$G721=""),"NeverSignedIn ","")))</f>
        <v/>
      </c>
    </row>
    <row r="722" ht="15" customHeight="1" s="39">
      <c r="A722" s="85" t="n"/>
      <c r="B722" s="85" t="n"/>
      <c r="C722" s="85" t="n"/>
      <c r="D722" s="85" t="n"/>
      <c r="E722" s="85" t="n"/>
      <c r="F722" s="86" t="n"/>
      <c r="G722" s="86" t="n"/>
      <c r="H722" s="85" t="n"/>
      <c r="I722" s="85" t="n"/>
      <c r="J722" s="85" t="n"/>
      <c r="K722" s="85" t="n"/>
      <c r="L722" s="85" t="n"/>
      <c r="M722" s="85" t="n"/>
      <c r="N722" s="85" t="n"/>
      <c r="O722" s="85" t="n"/>
      <c r="P722" s="85" t="n"/>
      <c r="Q722" s="85" t="n"/>
      <c r="R722" s="85" t="n"/>
      <c r="S722" s="85">
        <f>IF($G722="","",TODAY()-$G722)</f>
        <v/>
      </c>
      <c r="T722" s="85">
        <f>IF($A722="","",IF(AND($E722="Yes",OR($O722="No",$O722="NOT FOUND")),"YES",""))</f>
        <v/>
      </c>
      <c r="U722" s="85">
        <f>IF($A722="","",TRIM(IF(AND($M722=0,$I722&lt;&gt;"Yes"),"T0-NoPhishResistant ","")&amp;IF($H722="No","NoMFA ","")&amp;IF(AND($E722="Yes",$G722=""),"NeverSignedIn ","")))</f>
        <v/>
      </c>
    </row>
    <row r="723" ht="15" customHeight="1" s="39">
      <c r="A723" s="85" t="n"/>
      <c r="B723" s="85" t="n"/>
      <c r="C723" s="85" t="n"/>
      <c r="D723" s="85" t="n"/>
      <c r="E723" s="85" t="n"/>
      <c r="F723" s="86" t="n"/>
      <c r="G723" s="86" t="n"/>
      <c r="H723" s="85" t="n"/>
      <c r="I723" s="85" t="n"/>
      <c r="J723" s="85" t="n"/>
      <c r="K723" s="85" t="n"/>
      <c r="L723" s="85" t="n"/>
      <c r="M723" s="85" t="n"/>
      <c r="N723" s="85" t="n"/>
      <c r="O723" s="85" t="n"/>
      <c r="P723" s="85" t="n"/>
      <c r="Q723" s="85" t="n"/>
      <c r="R723" s="85" t="n"/>
      <c r="S723" s="85">
        <f>IF($G723="","",TODAY()-$G723)</f>
        <v/>
      </c>
      <c r="T723" s="85">
        <f>IF($A723="","",IF(AND($E723="Yes",OR($O723="No",$O723="NOT FOUND")),"YES",""))</f>
        <v/>
      </c>
      <c r="U723" s="85">
        <f>IF($A723="","",TRIM(IF(AND($M723=0,$I723&lt;&gt;"Yes"),"T0-NoPhishResistant ","")&amp;IF($H723="No","NoMFA ","")&amp;IF(AND($E723="Yes",$G723=""),"NeverSignedIn ","")))</f>
        <v/>
      </c>
    </row>
    <row r="724" ht="15" customHeight="1" s="39">
      <c r="A724" s="85" t="n"/>
      <c r="B724" s="85" t="n"/>
      <c r="C724" s="85" t="n"/>
      <c r="D724" s="85" t="n"/>
      <c r="E724" s="85" t="n"/>
      <c r="F724" s="86" t="n"/>
      <c r="G724" s="86" t="n"/>
      <c r="H724" s="85" t="n"/>
      <c r="I724" s="85" t="n"/>
      <c r="J724" s="85" t="n"/>
      <c r="K724" s="85" t="n"/>
      <c r="L724" s="85" t="n"/>
      <c r="M724" s="85" t="n"/>
      <c r="N724" s="85" t="n"/>
      <c r="O724" s="85" t="n"/>
      <c r="P724" s="85" t="n"/>
      <c r="Q724" s="85" t="n"/>
      <c r="R724" s="85" t="n"/>
      <c r="S724" s="85">
        <f>IF($G724="","",TODAY()-$G724)</f>
        <v/>
      </c>
      <c r="T724" s="85">
        <f>IF($A724="","",IF(AND($E724="Yes",OR($O724="No",$O724="NOT FOUND")),"YES",""))</f>
        <v/>
      </c>
      <c r="U724" s="85">
        <f>IF($A724="","",TRIM(IF(AND($M724=0,$I724&lt;&gt;"Yes"),"T0-NoPhishResistant ","")&amp;IF($H724="No","NoMFA ","")&amp;IF(AND($E724="Yes",$G724=""),"NeverSignedIn ","")))</f>
        <v/>
      </c>
    </row>
    <row r="725" ht="15" customHeight="1" s="39">
      <c r="A725" s="85" t="n"/>
      <c r="B725" s="85" t="n"/>
      <c r="C725" s="85" t="n"/>
      <c r="D725" s="85" t="n"/>
      <c r="E725" s="85" t="n"/>
      <c r="F725" s="86" t="n"/>
      <c r="G725" s="86" t="n"/>
      <c r="H725" s="85" t="n"/>
      <c r="I725" s="85" t="n"/>
      <c r="J725" s="85" t="n"/>
      <c r="K725" s="85" t="n"/>
      <c r="L725" s="85" t="n"/>
      <c r="M725" s="85" t="n"/>
      <c r="N725" s="85" t="n"/>
      <c r="O725" s="85" t="n"/>
      <c r="P725" s="85" t="n"/>
      <c r="Q725" s="85" t="n"/>
      <c r="R725" s="85" t="n"/>
      <c r="S725" s="85">
        <f>IF($G725="","",TODAY()-$G725)</f>
        <v/>
      </c>
      <c r="T725" s="85">
        <f>IF($A725="","",IF(AND($E725="Yes",OR($O725="No",$O725="NOT FOUND")),"YES",""))</f>
        <v/>
      </c>
      <c r="U725" s="85">
        <f>IF($A725="","",TRIM(IF(AND($M725=0,$I725&lt;&gt;"Yes"),"T0-NoPhishResistant ","")&amp;IF($H725="No","NoMFA ","")&amp;IF(AND($E725="Yes",$G725=""),"NeverSignedIn ","")))</f>
        <v/>
      </c>
    </row>
    <row r="726" ht="15" customHeight="1" s="39">
      <c r="A726" s="85" t="n"/>
      <c r="B726" s="85" t="n"/>
      <c r="C726" s="85" t="n"/>
      <c r="D726" s="85" t="n"/>
      <c r="E726" s="85" t="n"/>
      <c r="F726" s="86" t="n"/>
      <c r="G726" s="86" t="n"/>
      <c r="H726" s="85" t="n"/>
      <c r="I726" s="85" t="n"/>
      <c r="J726" s="85" t="n"/>
      <c r="K726" s="85" t="n"/>
      <c r="L726" s="85" t="n"/>
      <c r="M726" s="85" t="n"/>
      <c r="N726" s="85" t="n"/>
      <c r="O726" s="85" t="n"/>
      <c r="P726" s="85" t="n"/>
      <c r="Q726" s="85" t="n"/>
      <c r="R726" s="85" t="n"/>
      <c r="S726" s="85">
        <f>IF($G726="","",TODAY()-$G726)</f>
        <v/>
      </c>
      <c r="T726" s="85">
        <f>IF($A726="","",IF(AND($E726="Yes",OR($O726="No",$O726="NOT FOUND")),"YES",""))</f>
        <v/>
      </c>
      <c r="U726" s="85">
        <f>IF($A726="","",TRIM(IF(AND($M726=0,$I726&lt;&gt;"Yes"),"T0-NoPhishResistant ","")&amp;IF($H726="No","NoMFA ","")&amp;IF(AND($E726="Yes",$G726=""),"NeverSignedIn ","")))</f>
        <v/>
      </c>
    </row>
    <row r="727" ht="15" customHeight="1" s="39">
      <c r="A727" s="85" t="n"/>
      <c r="B727" s="85" t="n"/>
      <c r="C727" s="85" t="n"/>
      <c r="D727" s="85" t="n"/>
      <c r="E727" s="85" t="n"/>
      <c r="F727" s="86" t="n"/>
      <c r="G727" s="86" t="n"/>
      <c r="H727" s="85" t="n"/>
      <c r="I727" s="85" t="n"/>
      <c r="J727" s="85" t="n"/>
      <c r="K727" s="85" t="n"/>
      <c r="L727" s="85" t="n"/>
      <c r="M727" s="85" t="n"/>
      <c r="N727" s="85" t="n"/>
      <c r="O727" s="85" t="n"/>
      <c r="P727" s="85" t="n"/>
      <c r="Q727" s="85" t="n"/>
      <c r="R727" s="85" t="n"/>
      <c r="S727" s="85">
        <f>IF($G727="","",TODAY()-$G727)</f>
        <v/>
      </c>
      <c r="T727" s="85">
        <f>IF($A727="","",IF(AND($E727="Yes",OR($O727="No",$O727="NOT FOUND")),"YES",""))</f>
        <v/>
      </c>
      <c r="U727" s="85">
        <f>IF($A727="","",TRIM(IF(AND($M727=0,$I727&lt;&gt;"Yes"),"T0-NoPhishResistant ","")&amp;IF($H727="No","NoMFA ","")&amp;IF(AND($E727="Yes",$G727=""),"NeverSignedIn ","")))</f>
        <v/>
      </c>
    </row>
    <row r="728" ht="15" customHeight="1" s="39">
      <c r="A728" s="85" t="n"/>
      <c r="B728" s="85" t="n"/>
      <c r="C728" s="85" t="n"/>
      <c r="D728" s="85" t="n"/>
      <c r="E728" s="85" t="n"/>
      <c r="F728" s="86" t="n"/>
      <c r="G728" s="86" t="n"/>
      <c r="H728" s="85" t="n"/>
      <c r="I728" s="85" t="n"/>
      <c r="J728" s="85" t="n"/>
      <c r="K728" s="85" t="n"/>
      <c r="L728" s="85" t="n"/>
      <c r="M728" s="85" t="n"/>
      <c r="N728" s="85" t="n"/>
      <c r="O728" s="85" t="n"/>
      <c r="P728" s="85" t="n"/>
      <c r="Q728" s="85" t="n"/>
      <c r="R728" s="85" t="n"/>
      <c r="S728" s="85">
        <f>IF($G728="","",TODAY()-$G728)</f>
        <v/>
      </c>
      <c r="T728" s="85">
        <f>IF($A728="","",IF(AND($E728="Yes",OR($O728="No",$O728="NOT FOUND")),"YES",""))</f>
        <v/>
      </c>
      <c r="U728" s="85">
        <f>IF($A728="","",TRIM(IF(AND($M728=0,$I728&lt;&gt;"Yes"),"T0-NoPhishResistant ","")&amp;IF($H728="No","NoMFA ","")&amp;IF(AND($E728="Yes",$G728=""),"NeverSignedIn ","")))</f>
        <v/>
      </c>
    </row>
    <row r="729" ht="15" customHeight="1" s="39">
      <c r="A729" s="85" t="n"/>
      <c r="B729" s="85" t="n"/>
      <c r="C729" s="85" t="n"/>
      <c r="D729" s="85" t="n"/>
      <c r="E729" s="85" t="n"/>
      <c r="F729" s="86" t="n"/>
      <c r="G729" s="86" t="n"/>
      <c r="H729" s="85" t="n"/>
      <c r="I729" s="85" t="n"/>
      <c r="J729" s="85" t="n"/>
      <c r="K729" s="85" t="n"/>
      <c r="L729" s="85" t="n"/>
      <c r="M729" s="85" t="n"/>
      <c r="N729" s="85" t="n"/>
      <c r="O729" s="85" t="n"/>
      <c r="P729" s="85" t="n"/>
      <c r="Q729" s="85" t="n"/>
      <c r="R729" s="85" t="n"/>
      <c r="S729" s="85">
        <f>IF($G729="","",TODAY()-$G729)</f>
        <v/>
      </c>
      <c r="T729" s="85">
        <f>IF($A729="","",IF(AND($E729="Yes",OR($O729="No",$O729="NOT FOUND")),"YES",""))</f>
        <v/>
      </c>
      <c r="U729" s="85">
        <f>IF($A729="","",TRIM(IF(AND($M729=0,$I729&lt;&gt;"Yes"),"T0-NoPhishResistant ","")&amp;IF($H729="No","NoMFA ","")&amp;IF(AND($E729="Yes",$G729=""),"NeverSignedIn ","")))</f>
        <v/>
      </c>
    </row>
    <row r="730" ht="15" customHeight="1" s="39">
      <c r="A730" s="85" t="n"/>
      <c r="B730" s="85" t="n"/>
      <c r="C730" s="85" t="n"/>
      <c r="D730" s="85" t="n"/>
      <c r="E730" s="85" t="n"/>
      <c r="F730" s="86" t="n"/>
      <c r="G730" s="86" t="n"/>
      <c r="H730" s="85" t="n"/>
      <c r="I730" s="85" t="n"/>
      <c r="J730" s="85" t="n"/>
      <c r="K730" s="85" t="n"/>
      <c r="L730" s="85" t="n"/>
      <c r="M730" s="85" t="n"/>
      <c r="N730" s="85" t="n"/>
      <c r="O730" s="85" t="n"/>
      <c r="P730" s="85" t="n"/>
      <c r="Q730" s="85" t="n"/>
      <c r="R730" s="85" t="n"/>
      <c r="S730" s="85">
        <f>IF($G730="","",TODAY()-$G730)</f>
        <v/>
      </c>
      <c r="T730" s="85">
        <f>IF($A730="","",IF(AND($E730="Yes",OR($O730="No",$O730="NOT FOUND")),"YES",""))</f>
        <v/>
      </c>
      <c r="U730" s="85">
        <f>IF($A730="","",TRIM(IF(AND($M730=0,$I730&lt;&gt;"Yes"),"T0-NoPhishResistant ","")&amp;IF($H730="No","NoMFA ","")&amp;IF(AND($E730="Yes",$G730=""),"NeverSignedIn ","")))</f>
        <v/>
      </c>
    </row>
    <row r="731" ht="15" customHeight="1" s="39">
      <c r="A731" s="85" t="n"/>
      <c r="B731" s="85" t="n"/>
      <c r="C731" s="85" t="n"/>
      <c r="D731" s="85" t="n"/>
      <c r="E731" s="85" t="n"/>
      <c r="F731" s="86" t="n"/>
      <c r="G731" s="86" t="n"/>
      <c r="H731" s="85" t="n"/>
      <c r="I731" s="85" t="n"/>
      <c r="J731" s="85" t="n"/>
      <c r="K731" s="85" t="n"/>
      <c r="L731" s="85" t="n"/>
      <c r="M731" s="85" t="n"/>
      <c r="N731" s="85" t="n"/>
      <c r="O731" s="85" t="n"/>
      <c r="P731" s="85" t="n"/>
      <c r="Q731" s="85" t="n"/>
      <c r="R731" s="85" t="n"/>
      <c r="S731" s="85">
        <f>IF($G731="","",TODAY()-$G731)</f>
        <v/>
      </c>
      <c r="T731" s="85">
        <f>IF($A731="","",IF(AND($E731="Yes",OR($O731="No",$O731="NOT FOUND")),"YES",""))</f>
        <v/>
      </c>
      <c r="U731" s="85">
        <f>IF($A731="","",TRIM(IF(AND($M731=0,$I731&lt;&gt;"Yes"),"T0-NoPhishResistant ","")&amp;IF($H731="No","NoMFA ","")&amp;IF(AND($E731="Yes",$G731=""),"NeverSignedIn ","")))</f>
        <v/>
      </c>
    </row>
    <row r="732" ht="15" customHeight="1" s="39">
      <c r="A732" s="85" t="n"/>
      <c r="B732" s="85" t="n"/>
      <c r="C732" s="85" t="n"/>
      <c r="D732" s="85" t="n"/>
      <c r="E732" s="85" t="n"/>
      <c r="F732" s="86" t="n"/>
      <c r="G732" s="86" t="n"/>
      <c r="H732" s="85" t="n"/>
      <c r="I732" s="85" t="n"/>
      <c r="J732" s="85" t="n"/>
      <c r="K732" s="85" t="n"/>
      <c r="L732" s="85" t="n"/>
      <c r="M732" s="85" t="n"/>
      <c r="N732" s="85" t="n"/>
      <c r="O732" s="85" t="n"/>
      <c r="P732" s="85" t="n"/>
      <c r="Q732" s="85" t="n"/>
      <c r="R732" s="85" t="n"/>
      <c r="S732" s="85">
        <f>IF($G732="","",TODAY()-$G732)</f>
        <v/>
      </c>
      <c r="T732" s="85">
        <f>IF($A732="","",IF(AND($E732="Yes",OR($O732="No",$O732="NOT FOUND")),"YES",""))</f>
        <v/>
      </c>
      <c r="U732" s="85">
        <f>IF($A732="","",TRIM(IF(AND($M732=0,$I732&lt;&gt;"Yes"),"T0-NoPhishResistant ","")&amp;IF($H732="No","NoMFA ","")&amp;IF(AND($E732="Yes",$G732=""),"NeverSignedIn ","")))</f>
        <v/>
      </c>
    </row>
    <row r="733" ht="15" customHeight="1" s="39">
      <c r="A733" s="85" t="n"/>
      <c r="B733" s="85" t="n"/>
      <c r="C733" s="85" t="n"/>
      <c r="D733" s="85" t="n"/>
      <c r="E733" s="85" t="n"/>
      <c r="F733" s="86" t="n"/>
      <c r="G733" s="86" t="n"/>
      <c r="H733" s="85" t="n"/>
      <c r="I733" s="85" t="n"/>
      <c r="J733" s="85" t="n"/>
      <c r="K733" s="85" t="n"/>
      <c r="L733" s="85" t="n"/>
      <c r="M733" s="85" t="n"/>
      <c r="N733" s="85" t="n"/>
      <c r="O733" s="85" t="n"/>
      <c r="P733" s="85" t="n"/>
      <c r="Q733" s="85" t="n"/>
      <c r="R733" s="85" t="n"/>
      <c r="S733" s="85">
        <f>IF($G733="","",TODAY()-$G733)</f>
        <v/>
      </c>
      <c r="T733" s="85">
        <f>IF($A733="","",IF(AND($E733="Yes",OR($O733="No",$O733="NOT FOUND")),"YES",""))</f>
        <v/>
      </c>
      <c r="U733" s="85">
        <f>IF($A733="","",TRIM(IF(AND($M733=0,$I733&lt;&gt;"Yes"),"T0-NoPhishResistant ","")&amp;IF($H733="No","NoMFA ","")&amp;IF(AND($E733="Yes",$G733=""),"NeverSignedIn ","")))</f>
        <v/>
      </c>
    </row>
    <row r="734" ht="15" customHeight="1" s="39">
      <c r="A734" s="85" t="n"/>
      <c r="B734" s="85" t="n"/>
      <c r="C734" s="85" t="n"/>
      <c r="D734" s="85" t="n"/>
      <c r="E734" s="85" t="n"/>
      <c r="F734" s="86" t="n"/>
      <c r="G734" s="86" t="n"/>
      <c r="H734" s="85" t="n"/>
      <c r="I734" s="85" t="n"/>
      <c r="J734" s="85" t="n"/>
      <c r="K734" s="85" t="n"/>
      <c r="L734" s="85" t="n"/>
      <c r="M734" s="85" t="n"/>
      <c r="N734" s="85" t="n"/>
      <c r="O734" s="85" t="n"/>
      <c r="P734" s="85" t="n"/>
      <c r="Q734" s="85" t="n"/>
      <c r="R734" s="85" t="n"/>
      <c r="S734" s="85">
        <f>IF($G734="","",TODAY()-$G734)</f>
        <v/>
      </c>
      <c r="T734" s="85">
        <f>IF($A734="","",IF(AND($E734="Yes",OR($O734="No",$O734="NOT FOUND")),"YES",""))</f>
        <v/>
      </c>
      <c r="U734" s="85">
        <f>IF($A734="","",TRIM(IF(AND($M734=0,$I734&lt;&gt;"Yes"),"T0-NoPhishResistant ","")&amp;IF($H734="No","NoMFA ","")&amp;IF(AND($E734="Yes",$G734=""),"NeverSignedIn ","")))</f>
        <v/>
      </c>
    </row>
    <row r="735" ht="15" customHeight="1" s="39">
      <c r="A735" s="85" t="n"/>
      <c r="B735" s="85" t="n"/>
      <c r="C735" s="85" t="n"/>
      <c r="D735" s="85" t="n"/>
      <c r="E735" s="85" t="n"/>
      <c r="F735" s="86" t="n"/>
      <c r="G735" s="86" t="n"/>
      <c r="H735" s="85" t="n"/>
      <c r="I735" s="85" t="n"/>
      <c r="J735" s="85" t="n"/>
      <c r="K735" s="85" t="n"/>
      <c r="L735" s="85" t="n"/>
      <c r="M735" s="85" t="n"/>
      <c r="N735" s="85" t="n"/>
      <c r="O735" s="85" t="n"/>
      <c r="P735" s="85" t="n"/>
      <c r="Q735" s="85" t="n"/>
      <c r="R735" s="85" t="n"/>
      <c r="S735" s="85">
        <f>IF($G735="","",TODAY()-$G735)</f>
        <v/>
      </c>
      <c r="T735" s="85">
        <f>IF($A735="","",IF(AND($E735="Yes",OR($O735="No",$O735="NOT FOUND")),"YES",""))</f>
        <v/>
      </c>
      <c r="U735" s="85">
        <f>IF($A735="","",TRIM(IF(AND($M735=0,$I735&lt;&gt;"Yes"),"T0-NoPhishResistant ","")&amp;IF($H735="No","NoMFA ","")&amp;IF(AND($E735="Yes",$G735=""),"NeverSignedIn ","")))</f>
        <v/>
      </c>
    </row>
    <row r="736" ht="15" customHeight="1" s="39">
      <c r="A736" s="85" t="n"/>
      <c r="B736" s="85" t="n"/>
      <c r="C736" s="85" t="n"/>
      <c r="D736" s="85" t="n"/>
      <c r="E736" s="85" t="n"/>
      <c r="F736" s="86" t="n"/>
      <c r="G736" s="86" t="n"/>
      <c r="H736" s="85" t="n"/>
      <c r="I736" s="85" t="n"/>
      <c r="J736" s="85" t="n"/>
      <c r="K736" s="85" t="n"/>
      <c r="L736" s="85" t="n"/>
      <c r="M736" s="85" t="n"/>
      <c r="N736" s="85" t="n"/>
      <c r="O736" s="85" t="n"/>
      <c r="P736" s="85" t="n"/>
      <c r="Q736" s="85" t="n"/>
      <c r="R736" s="85" t="n"/>
      <c r="S736" s="85">
        <f>IF($G736="","",TODAY()-$G736)</f>
        <v/>
      </c>
      <c r="T736" s="85">
        <f>IF($A736="","",IF(AND($E736="Yes",OR($O736="No",$O736="NOT FOUND")),"YES",""))</f>
        <v/>
      </c>
      <c r="U736" s="85">
        <f>IF($A736="","",TRIM(IF(AND($M736=0,$I736&lt;&gt;"Yes"),"T0-NoPhishResistant ","")&amp;IF($H736="No","NoMFA ","")&amp;IF(AND($E736="Yes",$G736=""),"NeverSignedIn ","")))</f>
        <v/>
      </c>
    </row>
    <row r="737" ht="15" customHeight="1" s="39">
      <c r="A737" s="85" t="n"/>
      <c r="B737" s="85" t="n"/>
      <c r="C737" s="85" t="n"/>
      <c r="D737" s="85" t="n"/>
      <c r="E737" s="85" t="n"/>
      <c r="F737" s="86" t="n"/>
      <c r="G737" s="86" t="n"/>
      <c r="H737" s="85" t="n"/>
      <c r="I737" s="85" t="n"/>
      <c r="J737" s="85" t="n"/>
      <c r="K737" s="85" t="n"/>
      <c r="L737" s="85" t="n"/>
      <c r="M737" s="85" t="n"/>
      <c r="N737" s="85" t="n"/>
      <c r="O737" s="85" t="n"/>
      <c r="P737" s="85" t="n"/>
      <c r="Q737" s="85" t="n"/>
      <c r="R737" s="85" t="n"/>
      <c r="S737" s="85">
        <f>IF($G737="","",TODAY()-$G737)</f>
        <v/>
      </c>
      <c r="T737" s="85">
        <f>IF($A737="","",IF(AND($E737="Yes",OR($O737="No",$O737="NOT FOUND")),"YES",""))</f>
        <v/>
      </c>
      <c r="U737" s="85">
        <f>IF($A737="","",TRIM(IF(AND($M737=0,$I737&lt;&gt;"Yes"),"T0-NoPhishResistant ","")&amp;IF($H737="No","NoMFA ","")&amp;IF(AND($E737="Yes",$G737=""),"NeverSignedIn ","")))</f>
        <v/>
      </c>
    </row>
    <row r="738" ht="15" customHeight="1" s="39">
      <c r="A738" s="85" t="n"/>
      <c r="B738" s="85" t="n"/>
      <c r="C738" s="85" t="n"/>
      <c r="D738" s="85" t="n"/>
      <c r="E738" s="85" t="n"/>
      <c r="F738" s="86" t="n"/>
      <c r="G738" s="86" t="n"/>
      <c r="H738" s="85" t="n"/>
      <c r="I738" s="85" t="n"/>
      <c r="J738" s="85" t="n"/>
      <c r="K738" s="85" t="n"/>
      <c r="L738" s="85" t="n"/>
      <c r="M738" s="85" t="n"/>
      <c r="N738" s="85" t="n"/>
      <c r="O738" s="85" t="n"/>
      <c r="P738" s="85" t="n"/>
      <c r="Q738" s="85" t="n"/>
      <c r="R738" s="85" t="n"/>
      <c r="S738" s="85">
        <f>IF($G738="","",TODAY()-$G738)</f>
        <v/>
      </c>
      <c r="T738" s="85">
        <f>IF($A738="","",IF(AND($E738="Yes",OR($O738="No",$O738="NOT FOUND")),"YES",""))</f>
        <v/>
      </c>
      <c r="U738" s="85">
        <f>IF($A738="","",TRIM(IF(AND($M738=0,$I738&lt;&gt;"Yes"),"T0-NoPhishResistant ","")&amp;IF($H738="No","NoMFA ","")&amp;IF(AND($E738="Yes",$G738=""),"NeverSignedIn ","")))</f>
        <v/>
      </c>
    </row>
    <row r="739" ht="15" customHeight="1" s="39">
      <c r="A739" s="85" t="n"/>
      <c r="B739" s="85" t="n"/>
      <c r="C739" s="85" t="n"/>
      <c r="D739" s="85" t="n"/>
      <c r="E739" s="85" t="n"/>
      <c r="F739" s="86" t="n"/>
      <c r="G739" s="86" t="n"/>
      <c r="H739" s="85" t="n"/>
      <c r="I739" s="85" t="n"/>
      <c r="J739" s="85" t="n"/>
      <c r="K739" s="85" t="n"/>
      <c r="L739" s="85" t="n"/>
      <c r="M739" s="85" t="n"/>
      <c r="N739" s="85" t="n"/>
      <c r="O739" s="85" t="n"/>
      <c r="P739" s="85" t="n"/>
      <c r="Q739" s="85" t="n"/>
      <c r="R739" s="85" t="n"/>
      <c r="S739" s="85">
        <f>IF($G739="","",TODAY()-$G739)</f>
        <v/>
      </c>
      <c r="T739" s="85">
        <f>IF($A739="","",IF(AND($E739="Yes",OR($O739="No",$O739="NOT FOUND")),"YES",""))</f>
        <v/>
      </c>
      <c r="U739" s="85">
        <f>IF($A739="","",TRIM(IF(AND($M739=0,$I739&lt;&gt;"Yes"),"T0-NoPhishResistant ","")&amp;IF($H739="No","NoMFA ","")&amp;IF(AND($E739="Yes",$G739=""),"NeverSignedIn ","")))</f>
        <v/>
      </c>
    </row>
    <row r="740" ht="15" customHeight="1" s="39">
      <c r="A740" s="85" t="n"/>
      <c r="B740" s="85" t="n"/>
      <c r="C740" s="85" t="n"/>
      <c r="D740" s="85" t="n"/>
      <c r="E740" s="85" t="n"/>
      <c r="F740" s="86" t="n"/>
      <c r="G740" s="86" t="n"/>
      <c r="H740" s="85" t="n"/>
      <c r="I740" s="85" t="n"/>
      <c r="J740" s="85" t="n"/>
      <c r="K740" s="85" t="n"/>
      <c r="L740" s="85" t="n"/>
      <c r="M740" s="85" t="n"/>
      <c r="N740" s="85" t="n"/>
      <c r="O740" s="85" t="n"/>
      <c r="P740" s="85" t="n"/>
      <c r="Q740" s="85" t="n"/>
      <c r="R740" s="85" t="n"/>
      <c r="S740" s="85">
        <f>IF($G740="","",TODAY()-$G740)</f>
        <v/>
      </c>
      <c r="T740" s="85">
        <f>IF($A740="","",IF(AND($E740="Yes",OR($O740="No",$O740="NOT FOUND")),"YES",""))</f>
        <v/>
      </c>
      <c r="U740" s="85">
        <f>IF($A740="","",TRIM(IF(AND($M740=0,$I740&lt;&gt;"Yes"),"T0-NoPhishResistant ","")&amp;IF($H740="No","NoMFA ","")&amp;IF(AND($E740="Yes",$G740=""),"NeverSignedIn ","")))</f>
        <v/>
      </c>
    </row>
    <row r="741" ht="15" customHeight="1" s="39">
      <c r="A741" s="85" t="n"/>
      <c r="B741" s="85" t="n"/>
      <c r="C741" s="85" t="n"/>
      <c r="D741" s="85" t="n"/>
      <c r="E741" s="85" t="n"/>
      <c r="F741" s="86" t="n"/>
      <c r="G741" s="86" t="n"/>
      <c r="H741" s="85" t="n"/>
      <c r="I741" s="85" t="n"/>
      <c r="J741" s="85" t="n"/>
      <c r="K741" s="85" t="n"/>
      <c r="L741" s="85" t="n"/>
      <c r="M741" s="85" t="n"/>
      <c r="N741" s="85" t="n"/>
      <c r="O741" s="85" t="n"/>
      <c r="P741" s="85" t="n"/>
      <c r="Q741" s="85" t="n"/>
      <c r="R741" s="85" t="n"/>
      <c r="S741" s="85">
        <f>IF($G741="","",TODAY()-$G741)</f>
        <v/>
      </c>
      <c r="T741" s="85">
        <f>IF($A741="","",IF(AND($E741="Yes",OR($O741="No",$O741="NOT FOUND")),"YES",""))</f>
        <v/>
      </c>
      <c r="U741" s="85">
        <f>IF($A741="","",TRIM(IF(AND($M741=0,$I741&lt;&gt;"Yes"),"T0-NoPhishResistant ","")&amp;IF($H741="No","NoMFA ","")&amp;IF(AND($E741="Yes",$G741=""),"NeverSignedIn ","")))</f>
        <v/>
      </c>
    </row>
    <row r="742" ht="15" customHeight="1" s="39">
      <c r="A742" s="85" t="n"/>
      <c r="B742" s="85" t="n"/>
      <c r="C742" s="85" t="n"/>
      <c r="D742" s="85" t="n"/>
      <c r="E742" s="85" t="n"/>
      <c r="F742" s="86" t="n"/>
      <c r="G742" s="86" t="n"/>
      <c r="H742" s="85" t="n"/>
      <c r="I742" s="85" t="n"/>
      <c r="J742" s="85" t="n"/>
      <c r="K742" s="85" t="n"/>
      <c r="L742" s="85" t="n"/>
      <c r="M742" s="85" t="n"/>
      <c r="N742" s="85" t="n"/>
      <c r="O742" s="85" t="n"/>
      <c r="P742" s="85" t="n"/>
      <c r="Q742" s="85" t="n"/>
      <c r="R742" s="85" t="n"/>
      <c r="S742" s="85">
        <f>IF($G742="","",TODAY()-$G742)</f>
        <v/>
      </c>
      <c r="T742" s="85">
        <f>IF($A742="","",IF(AND($E742="Yes",OR($O742="No",$O742="NOT FOUND")),"YES",""))</f>
        <v/>
      </c>
      <c r="U742" s="85">
        <f>IF($A742="","",TRIM(IF(AND($M742=0,$I742&lt;&gt;"Yes"),"T0-NoPhishResistant ","")&amp;IF($H742="No","NoMFA ","")&amp;IF(AND($E742="Yes",$G742=""),"NeverSignedIn ","")))</f>
        <v/>
      </c>
    </row>
    <row r="743" ht="15" customHeight="1" s="39">
      <c r="A743" s="85" t="n"/>
      <c r="B743" s="85" t="n"/>
      <c r="C743" s="85" t="n"/>
      <c r="D743" s="85" t="n"/>
      <c r="E743" s="85" t="n"/>
      <c r="F743" s="86" t="n"/>
      <c r="G743" s="86" t="n"/>
      <c r="H743" s="85" t="n"/>
      <c r="I743" s="85" t="n"/>
      <c r="J743" s="85" t="n"/>
      <c r="K743" s="85" t="n"/>
      <c r="L743" s="85" t="n"/>
      <c r="M743" s="85" t="n"/>
      <c r="N743" s="85" t="n"/>
      <c r="O743" s="85" t="n"/>
      <c r="P743" s="85" t="n"/>
      <c r="Q743" s="85" t="n"/>
      <c r="R743" s="85" t="n"/>
      <c r="S743" s="85">
        <f>IF($G743="","",TODAY()-$G743)</f>
        <v/>
      </c>
      <c r="T743" s="85">
        <f>IF($A743="","",IF(AND($E743="Yes",OR($O743="No",$O743="NOT FOUND")),"YES",""))</f>
        <v/>
      </c>
      <c r="U743" s="85">
        <f>IF($A743="","",TRIM(IF(AND($M743=0,$I743&lt;&gt;"Yes"),"T0-NoPhishResistant ","")&amp;IF($H743="No","NoMFA ","")&amp;IF(AND($E743="Yes",$G743=""),"NeverSignedIn ","")))</f>
        <v/>
      </c>
    </row>
    <row r="744" ht="15" customHeight="1" s="39">
      <c r="A744" s="85" t="n"/>
      <c r="B744" s="85" t="n"/>
      <c r="C744" s="85" t="n"/>
      <c r="D744" s="85" t="n"/>
      <c r="E744" s="85" t="n"/>
      <c r="F744" s="86" t="n"/>
      <c r="G744" s="86" t="n"/>
      <c r="H744" s="85" t="n"/>
      <c r="I744" s="85" t="n"/>
      <c r="J744" s="85" t="n"/>
      <c r="K744" s="85" t="n"/>
      <c r="L744" s="85" t="n"/>
      <c r="M744" s="85" t="n"/>
      <c r="N744" s="85" t="n"/>
      <c r="O744" s="85" t="n"/>
      <c r="P744" s="85" t="n"/>
      <c r="Q744" s="85" t="n"/>
      <c r="R744" s="85" t="n"/>
      <c r="S744" s="85">
        <f>IF($G744="","",TODAY()-$G744)</f>
        <v/>
      </c>
      <c r="T744" s="85">
        <f>IF($A744="","",IF(AND($E744="Yes",OR($O744="No",$O744="NOT FOUND")),"YES",""))</f>
        <v/>
      </c>
      <c r="U744" s="85">
        <f>IF($A744="","",TRIM(IF(AND($M744=0,$I744&lt;&gt;"Yes"),"T0-NoPhishResistant ","")&amp;IF($H744="No","NoMFA ","")&amp;IF(AND($E744="Yes",$G744=""),"NeverSignedIn ","")))</f>
        <v/>
      </c>
    </row>
    <row r="745" ht="15" customHeight="1" s="39">
      <c r="A745" s="85" t="n"/>
      <c r="B745" s="85" t="n"/>
      <c r="C745" s="85" t="n"/>
      <c r="D745" s="85" t="n"/>
      <c r="E745" s="85" t="n"/>
      <c r="F745" s="86" t="n"/>
      <c r="G745" s="86" t="n"/>
      <c r="H745" s="85" t="n"/>
      <c r="I745" s="85" t="n"/>
      <c r="J745" s="85" t="n"/>
      <c r="K745" s="85" t="n"/>
      <c r="L745" s="85" t="n"/>
      <c r="M745" s="85" t="n"/>
      <c r="N745" s="85" t="n"/>
      <c r="O745" s="85" t="n"/>
      <c r="P745" s="85" t="n"/>
      <c r="Q745" s="85" t="n"/>
      <c r="R745" s="85" t="n"/>
      <c r="S745" s="85">
        <f>IF($G745="","",TODAY()-$G745)</f>
        <v/>
      </c>
      <c r="T745" s="85">
        <f>IF($A745="","",IF(AND($E745="Yes",OR($O745="No",$O745="NOT FOUND")),"YES",""))</f>
        <v/>
      </c>
      <c r="U745" s="85">
        <f>IF($A745="","",TRIM(IF(AND($M745=0,$I745&lt;&gt;"Yes"),"T0-NoPhishResistant ","")&amp;IF($H745="No","NoMFA ","")&amp;IF(AND($E745="Yes",$G745=""),"NeverSignedIn ","")))</f>
        <v/>
      </c>
    </row>
    <row r="746" ht="15" customHeight="1" s="39">
      <c r="A746" s="85" t="n"/>
      <c r="B746" s="85" t="n"/>
      <c r="C746" s="85" t="n"/>
      <c r="D746" s="85" t="n"/>
      <c r="E746" s="85" t="n"/>
      <c r="F746" s="86" t="n"/>
      <c r="G746" s="86" t="n"/>
      <c r="H746" s="85" t="n"/>
      <c r="I746" s="85" t="n"/>
      <c r="J746" s="85" t="n"/>
      <c r="K746" s="85" t="n"/>
      <c r="L746" s="85" t="n"/>
      <c r="M746" s="85" t="n"/>
      <c r="N746" s="85" t="n"/>
      <c r="O746" s="85" t="n"/>
      <c r="P746" s="85" t="n"/>
      <c r="Q746" s="85" t="n"/>
      <c r="R746" s="85" t="n"/>
      <c r="S746" s="85">
        <f>IF($G746="","",TODAY()-$G746)</f>
        <v/>
      </c>
      <c r="T746" s="85">
        <f>IF($A746="","",IF(AND($E746="Yes",OR($O746="No",$O746="NOT FOUND")),"YES",""))</f>
        <v/>
      </c>
      <c r="U746" s="85">
        <f>IF($A746="","",TRIM(IF(AND($M746=0,$I746&lt;&gt;"Yes"),"T0-NoPhishResistant ","")&amp;IF($H746="No","NoMFA ","")&amp;IF(AND($E746="Yes",$G746=""),"NeverSignedIn ","")))</f>
        <v/>
      </c>
    </row>
    <row r="747" ht="15" customHeight="1" s="39">
      <c r="A747" s="85" t="n"/>
      <c r="B747" s="85" t="n"/>
      <c r="C747" s="85" t="n"/>
      <c r="D747" s="85" t="n"/>
      <c r="E747" s="85" t="n"/>
      <c r="F747" s="86" t="n"/>
      <c r="G747" s="86" t="n"/>
      <c r="H747" s="85" t="n"/>
      <c r="I747" s="85" t="n"/>
      <c r="J747" s="85" t="n"/>
      <c r="K747" s="85" t="n"/>
      <c r="L747" s="85" t="n"/>
      <c r="M747" s="85" t="n"/>
      <c r="N747" s="85" t="n"/>
      <c r="O747" s="85" t="n"/>
      <c r="P747" s="85" t="n"/>
      <c r="Q747" s="85" t="n"/>
      <c r="R747" s="85" t="n"/>
      <c r="S747" s="85">
        <f>IF($G747="","",TODAY()-$G747)</f>
        <v/>
      </c>
      <c r="T747" s="85">
        <f>IF($A747="","",IF(AND($E747="Yes",OR($O747="No",$O747="NOT FOUND")),"YES",""))</f>
        <v/>
      </c>
      <c r="U747" s="85">
        <f>IF($A747="","",TRIM(IF(AND($M747=0,$I747&lt;&gt;"Yes"),"T0-NoPhishResistant ","")&amp;IF($H747="No","NoMFA ","")&amp;IF(AND($E747="Yes",$G747=""),"NeverSignedIn ","")))</f>
        <v/>
      </c>
    </row>
    <row r="748" ht="15" customHeight="1" s="39">
      <c r="A748" s="85" t="n"/>
      <c r="B748" s="85" t="n"/>
      <c r="C748" s="85" t="n"/>
      <c r="D748" s="85" t="n"/>
      <c r="E748" s="85" t="n"/>
      <c r="F748" s="86" t="n"/>
      <c r="G748" s="86" t="n"/>
      <c r="H748" s="85" t="n"/>
      <c r="I748" s="85" t="n"/>
      <c r="J748" s="85" t="n"/>
      <c r="K748" s="85" t="n"/>
      <c r="L748" s="85" t="n"/>
      <c r="M748" s="85" t="n"/>
      <c r="N748" s="85" t="n"/>
      <c r="O748" s="85" t="n"/>
      <c r="P748" s="85" t="n"/>
      <c r="Q748" s="85" t="n"/>
      <c r="R748" s="85" t="n"/>
      <c r="S748" s="85">
        <f>IF($G748="","",TODAY()-$G748)</f>
        <v/>
      </c>
      <c r="T748" s="85">
        <f>IF($A748="","",IF(AND($E748="Yes",OR($O748="No",$O748="NOT FOUND")),"YES",""))</f>
        <v/>
      </c>
      <c r="U748" s="85">
        <f>IF($A748="","",TRIM(IF(AND($M748=0,$I748&lt;&gt;"Yes"),"T0-NoPhishResistant ","")&amp;IF($H748="No","NoMFA ","")&amp;IF(AND($E748="Yes",$G748=""),"NeverSignedIn ","")))</f>
        <v/>
      </c>
    </row>
    <row r="749" ht="15" customHeight="1" s="39">
      <c r="A749" s="85" t="n"/>
      <c r="B749" s="85" t="n"/>
      <c r="C749" s="85" t="n"/>
      <c r="D749" s="85" t="n"/>
      <c r="E749" s="85" t="n"/>
      <c r="F749" s="86" t="n"/>
      <c r="G749" s="86" t="n"/>
      <c r="H749" s="85" t="n"/>
      <c r="I749" s="85" t="n"/>
      <c r="J749" s="85" t="n"/>
      <c r="K749" s="85" t="n"/>
      <c r="L749" s="85" t="n"/>
      <c r="M749" s="85" t="n"/>
      <c r="N749" s="85" t="n"/>
      <c r="O749" s="85" t="n"/>
      <c r="P749" s="85" t="n"/>
      <c r="Q749" s="85" t="n"/>
      <c r="R749" s="85" t="n"/>
      <c r="S749" s="85">
        <f>IF($G749="","",TODAY()-$G749)</f>
        <v/>
      </c>
      <c r="T749" s="85">
        <f>IF($A749="","",IF(AND($E749="Yes",OR($O749="No",$O749="NOT FOUND")),"YES",""))</f>
        <v/>
      </c>
      <c r="U749" s="85">
        <f>IF($A749="","",TRIM(IF(AND($M749=0,$I749&lt;&gt;"Yes"),"T0-NoPhishResistant ","")&amp;IF($H749="No","NoMFA ","")&amp;IF(AND($E749="Yes",$G749=""),"NeverSignedIn ","")))</f>
        <v/>
      </c>
    </row>
    <row r="750" ht="15" customHeight="1" s="39">
      <c r="A750" s="85" t="n"/>
      <c r="B750" s="85" t="n"/>
      <c r="C750" s="85" t="n"/>
      <c r="D750" s="85" t="n"/>
      <c r="E750" s="85" t="n"/>
      <c r="F750" s="86" t="n"/>
      <c r="G750" s="86" t="n"/>
      <c r="H750" s="85" t="n"/>
      <c r="I750" s="85" t="n"/>
      <c r="J750" s="85" t="n"/>
      <c r="K750" s="85" t="n"/>
      <c r="L750" s="85" t="n"/>
      <c r="M750" s="85" t="n"/>
      <c r="N750" s="85" t="n"/>
      <c r="O750" s="85" t="n"/>
      <c r="P750" s="85" t="n"/>
      <c r="Q750" s="85" t="n"/>
      <c r="R750" s="85" t="n"/>
      <c r="S750" s="85">
        <f>IF($G750="","",TODAY()-$G750)</f>
        <v/>
      </c>
      <c r="T750" s="85">
        <f>IF($A750="","",IF(AND($E750="Yes",OR($O750="No",$O750="NOT FOUND")),"YES",""))</f>
        <v/>
      </c>
      <c r="U750" s="85">
        <f>IF($A750="","",TRIM(IF(AND($M750=0,$I750&lt;&gt;"Yes"),"T0-NoPhishResistant ","")&amp;IF($H750="No","NoMFA ","")&amp;IF(AND($E750="Yes",$G750=""),"NeverSignedIn ","")))</f>
        <v/>
      </c>
    </row>
    <row r="751" ht="15" customHeight="1" s="39">
      <c r="A751" s="85" t="n"/>
      <c r="B751" s="85" t="n"/>
      <c r="C751" s="85" t="n"/>
      <c r="D751" s="85" t="n"/>
      <c r="E751" s="85" t="n"/>
      <c r="F751" s="86" t="n"/>
      <c r="G751" s="86" t="n"/>
      <c r="H751" s="85" t="n"/>
      <c r="I751" s="85" t="n"/>
      <c r="J751" s="85" t="n"/>
      <c r="K751" s="85" t="n"/>
      <c r="L751" s="85" t="n"/>
      <c r="M751" s="85" t="n"/>
      <c r="N751" s="85" t="n"/>
      <c r="O751" s="85" t="n"/>
      <c r="P751" s="85" t="n"/>
      <c r="Q751" s="85" t="n"/>
      <c r="R751" s="85" t="n"/>
      <c r="S751" s="85">
        <f>IF($G751="","",TODAY()-$G751)</f>
        <v/>
      </c>
      <c r="T751" s="85">
        <f>IF($A751="","",IF(AND($E751="Yes",OR($O751="No",$O751="NOT FOUND")),"YES",""))</f>
        <v/>
      </c>
      <c r="U751" s="85">
        <f>IF($A751="","",TRIM(IF(AND($M751=0,$I751&lt;&gt;"Yes"),"T0-NoPhishResistant ","")&amp;IF($H751="No","NoMFA ","")&amp;IF(AND($E751="Yes",$G751=""),"NeverSignedIn ","")))</f>
        <v/>
      </c>
    </row>
    <row r="752" ht="15" customHeight="1" s="39">
      <c r="A752" s="85" t="n"/>
      <c r="B752" s="85" t="n"/>
      <c r="C752" s="85" t="n"/>
      <c r="D752" s="85" t="n"/>
      <c r="E752" s="85" t="n"/>
      <c r="F752" s="86" t="n"/>
      <c r="G752" s="86" t="n"/>
      <c r="H752" s="85" t="n"/>
      <c r="I752" s="85" t="n"/>
      <c r="J752" s="85" t="n"/>
      <c r="K752" s="85" t="n"/>
      <c r="L752" s="85" t="n"/>
      <c r="M752" s="85" t="n"/>
      <c r="N752" s="85" t="n"/>
      <c r="O752" s="85" t="n"/>
      <c r="P752" s="85" t="n"/>
      <c r="Q752" s="85" t="n"/>
      <c r="R752" s="85" t="n"/>
      <c r="S752" s="85">
        <f>IF($G752="","",TODAY()-$G752)</f>
        <v/>
      </c>
      <c r="T752" s="85">
        <f>IF($A752="","",IF(AND($E752="Yes",OR($O752="No",$O752="NOT FOUND")),"YES",""))</f>
        <v/>
      </c>
      <c r="U752" s="85">
        <f>IF($A752="","",TRIM(IF(AND($M752=0,$I752&lt;&gt;"Yes"),"T0-NoPhishResistant ","")&amp;IF($H752="No","NoMFA ","")&amp;IF(AND($E752="Yes",$G752=""),"NeverSignedIn ","")))</f>
        <v/>
      </c>
    </row>
    <row r="753" ht="15" customHeight="1" s="39">
      <c r="A753" s="85" t="n"/>
      <c r="B753" s="85" t="n"/>
      <c r="C753" s="85" t="n"/>
      <c r="D753" s="85" t="n"/>
      <c r="E753" s="85" t="n"/>
      <c r="F753" s="86" t="n"/>
      <c r="G753" s="86" t="n"/>
      <c r="H753" s="85" t="n"/>
      <c r="I753" s="85" t="n"/>
      <c r="J753" s="85" t="n"/>
      <c r="K753" s="85" t="n"/>
      <c r="L753" s="85" t="n"/>
      <c r="M753" s="85" t="n"/>
      <c r="N753" s="85" t="n"/>
      <c r="O753" s="85" t="n"/>
      <c r="P753" s="85" t="n"/>
      <c r="Q753" s="85" t="n"/>
      <c r="R753" s="85" t="n"/>
      <c r="S753" s="85">
        <f>IF($G753="","",TODAY()-$G753)</f>
        <v/>
      </c>
      <c r="T753" s="85">
        <f>IF($A753="","",IF(AND($E753="Yes",OR($O753="No",$O753="NOT FOUND")),"YES",""))</f>
        <v/>
      </c>
      <c r="U753" s="85">
        <f>IF($A753="","",TRIM(IF(AND($M753=0,$I753&lt;&gt;"Yes"),"T0-NoPhishResistant ","")&amp;IF($H753="No","NoMFA ","")&amp;IF(AND($E753="Yes",$G753=""),"NeverSignedIn ","")))</f>
        <v/>
      </c>
    </row>
    <row r="754" ht="15" customHeight="1" s="39">
      <c r="A754" s="85" t="n"/>
      <c r="B754" s="85" t="n"/>
      <c r="C754" s="85" t="n"/>
      <c r="D754" s="85" t="n"/>
      <c r="E754" s="85" t="n"/>
      <c r="F754" s="86" t="n"/>
      <c r="G754" s="86" t="n"/>
      <c r="H754" s="85" t="n"/>
      <c r="I754" s="85" t="n"/>
      <c r="J754" s="85" t="n"/>
      <c r="K754" s="85" t="n"/>
      <c r="L754" s="85" t="n"/>
      <c r="M754" s="85" t="n"/>
      <c r="N754" s="85" t="n"/>
      <c r="O754" s="85" t="n"/>
      <c r="P754" s="85" t="n"/>
      <c r="Q754" s="85" t="n"/>
      <c r="R754" s="85" t="n"/>
      <c r="S754" s="85">
        <f>IF($G754="","",TODAY()-$G754)</f>
        <v/>
      </c>
      <c r="T754" s="85">
        <f>IF($A754="","",IF(AND($E754="Yes",OR($O754="No",$O754="NOT FOUND")),"YES",""))</f>
        <v/>
      </c>
      <c r="U754" s="85">
        <f>IF($A754="","",TRIM(IF(AND($M754=0,$I754&lt;&gt;"Yes"),"T0-NoPhishResistant ","")&amp;IF($H754="No","NoMFA ","")&amp;IF(AND($E754="Yes",$G754=""),"NeverSignedIn ","")))</f>
        <v/>
      </c>
    </row>
    <row r="755" ht="15" customHeight="1" s="39">
      <c r="A755" s="85" t="n"/>
      <c r="B755" s="85" t="n"/>
      <c r="C755" s="85" t="n"/>
      <c r="D755" s="85" t="n"/>
      <c r="E755" s="85" t="n"/>
      <c r="F755" s="86" t="n"/>
      <c r="G755" s="86" t="n"/>
      <c r="H755" s="85" t="n"/>
      <c r="I755" s="85" t="n"/>
      <c r="J755" s="85" t="n"/>
      <c r="K755" s="85" t="n"/>
      <c r="L755" s="85" t="n"/>
      <c r="M755" s="85" t="n"/>
      <c r="N755" s="85" t="n"/>
      <c r="O755" s="85" t="n"/>
      <c r="P755" s="85" t="n"/>
      <c r="Q755" s="85" t="n"/>
      <c r="R755" s="85" t="n"/>
      <c r="S755" s="85">
        <f>IF($G755="","",TODAY()-$G755)</f>
        <v/>
      </c>
      <c r="T755" s="85">
        <f>IF($A755="","",IF(AND($E755="Yes",OR($O755="No",$O755="NOT FOUND")),"YES",""))</f>
        <v/>
      </c>
      <c r="U755" s="85">
        <f>IF($A755="","",TRIM(IF(AND($M755=0,$I755&lt;&gt;"Yes"),"T0-NoPhishResistant ","")&amp;IF($H755="No","NoMFA ","")&amp;IF(AND($E755="Yes",$G755=""),"NeverSignedIn ","")))</f>
        <v/>
      </c>
    </row>
    <row r="756" ht="15" customHeight="1" s="39">
      <c r="A756" s="85" t="n"/>
      <c r="B756" s="85" t="n"/>
      <c r="C756" s="85" t="n"/>
      <c r="D756" s="85" t="n"/>
      <c r="E756" s="85" t="n"/>
      <c r="F756" s="86" t="n"/>
      <c r="G756" s="86" t="n"/>
      <c r="H756" s="85" t="n"/>
      <c r="I756" s="85" t="n"/>
      <c r="J756" s="85" t="n"/>
      <c r="K756" s="85" t="n"/>
      <c r="L756" s="85" t="n"/>
      <c r="M756" s="85" t="n"/>
      <c r="N756" s="85" t="n"/>
      <c r="O756" s="85" t="n"/>
      <c r="P756" s="85" t="n"/>
      <c r="Q756" s="85" t="n"/>
      <c r="R756" s="85" t="n"/>
      <c r="S756" s="85">
        <f>IF($G756="","",TODAY()-$G756)</f>
        <v/>
      </c>
      <c r="T756" s="85">
        <f>IF($A756="","",IF(AND($E756="Yes",OR($O756="No",$O756="NOT FOUND")),"YES",""))</f>
        <v/>
      </c>
      <c r="U756" s="85">
        <f>IF($A756="","",TRIM(IF(AND($M756=0,$I756&lt;&gt;"Yes"),"T0-NoPhishResistant ","")&amp;IF($H756="No","NoMFA ","")&amp;IF(AND($E756="Yes",$G756=""),"NeverSignedIn ","")))</f>
        <v/>
      </c>
    </row>
    <row r="757" ht="15" customHeight="1" s="39">
      <c r="A757" s="85" t="n"/>
      <c r="B757" s="85" t="n"/>
      <c r="C757" s="85" t="n"/>
      <c r="D757" s="85" t="n"/>
      <c r="E757" s="85" t="n"/>
      <c r="F757" s="86" t="n"/>
      <c r="G757" s="86" t="n"/>
      <c r="H757" s="85" t="n"/>
      <c r="I757" s="85" t="n"/>
      <c r="J757" s="85" t="n"/>
      <c r="K757" s="85" t="n"/>
      <c r="L757" s="85" t="n"/>
      <c r="M757" s="85" t="n"/>
      <c r="N757" s="85" t="n"/>
      <c r="O757" s="85" t="n"/>
      <c r="P757" s="85" t="n"/>
      <c r="Q757" s="85" t="n"/>
      <c r="R757" s="85" t="n"/>
      <c r="S757" s="85">
        <f>IF($G757="","",TODAY()-$G757)</f>
        <v/>
      </c>
      <c r="T757" s="85">
        <f>IF($A757="","",IF(AND($E757="Yes",OR($O757="No",$O757="NOT FOUND")),"YES",""))</f>
        <v/>
      </c>
      <c r="U757" s="85">
        <f>IF($A757="","",TRIM(IF(AND($M757=0,$I757&lt;&gt;"Yes"),"T0-NoPhishResistant ","")&amp;IF($H757="No","NoMFA ","")&amp;IF(AND($E757="Yes",$G757=""),"NeverSignedIn ","")))</f>
        <v/>
      </c>
    </row>
    <row r="758" ht="15" customHeight="1" s="39">
      <c r="A758" s="85" t="n"/>
      <c r="B758" s="85" t="n"/>
      <c r="C758" s="85" t="n"/>
      <c r="D758" s="85" t="n"/>
      <c r="E758" s="85" t="n"/>
      <c r="F758" s="86" t="n"/>
      <c r="G758" s="86" t="n"/>
      <c r="H758" s="85" t="n"/>
      <c r="I758" s="85" t="n"/>
      <c r="J758" s="85" t="n"/>
      <c r="K758" s="85" t="n"/>
      <c r="L758" s="85" t="n"/>
      <c r="M758" s="85" t="n"/>
      <c r="N758" s="85" t="n"/>
      <c r="O758" s="85" t="n"/>
      <c r="P758" s="85" t="n"/>
      <c r="Q758" s="85" t="n"/>
      <c r="R758" s="85" t="n"/>
      <c r="S758" s="85">
        <f>IF($G758="","",TODAY()-$G758)</f>
        <v/>
      </c>
      <c r="T758" s="85">
        <f>IF($A758="","",IF(AND($E758="Yes",OR($O758="No",$O758="NOT FOUND")),"YES",""))</f>
        <v/>
      </c>
      <c r="U758" s="85">
        <f>IF($A758="","",TRIM(IF(AND($M758=0,$I758&lt;&gt;"Yes"),"T0-NoPhishResistant ","")&amp;IF($H758="No","NoMFA ","")&amp;IF(AND($E758="Yes",$G758=""),"NeverSignedIn ","")))</f>
        <v/>
      </c>
    </row>
    <row r="759" ht="15" customHeight="1" s="39">
      <c r="A759" s="85" t="n"/>
      <c r="B759" s="85" t="n"/>
      <c r="C759" s="85" t="n"/>
      <c r="D759" s="85" t="n"/>
      <c r="E759" s="85" t="n"/>
      <c r="F759" s="86" t="n"/>
      <c r="G759" s="86" t="n"/>
      <c r="H759" s="85" t="n"/>
      <c r="I759" s="85" t="n"/>
      <c r="J759" s="85" t="n"/>
      <c r="K759" s="85" t="n"/>
      <c r="L759" s="85" t="n"/>
      <c r="M759" s="85" t="n"/>
      <c r="N759" s="85" t="n"/>
      <c r="O759" s="85" t="n"/>
      <c r="P759" s="85" t="n"/>
      <c r="Q759" s="85" t="n"/>
      <c r="R759" s="85" t="n"/>
      <c r="S759" s="85">
        <f>IF($G759="","",TODAY()-$G759)</f>
        <v/>
      </c>
      <c r="T759" s="85">
        <f>IF($A759="","",IF(AND($E759="Yes",OR($O759="No",$O759="NOT FOUND")),"YES",""))</f>
        <v/>
      </c>
      <c r="U759" s="85">
        <f>IF($A759="","",TRIM(IF(AND($M759=0,$I759&lt;&gt;"Yes"),"T0-NoPhishResistant ","")&amp;IF($H759="No","NoMFA ","")&amp;IF(AND($E759="Yes",$G759=""),"NeverSignedIn ","")))</f>
        <v/>
      </c>
    </row>
    <row r="760" ht="15" customHeight="1" s="39">
      <c r="A760" s="85" t="n"/>
      <c r="B760" s="85" t="n"/>
      <c r="C760" s="85" t="n"/>
      <c r="D760" s="85" t="n"/>
      <c r="E760" s="85" t="n"/>
      <c r="F760" s="86" t="n"/>
      <c r="G760" s="86" t="n"/>
      <c r="H760" s="85" t="n"/>
      <c r="I760" s="85" t="n"/>
      <c r="J760" s="85" t="n"/>
      <c r="K760" s="85" t="n"/>
      <c r="L760" s="85" t="n"/>
      <c r="M760" s="85" t="n"/>
      <c r="N760" s="85" t="n"/>
      <c r="O760" s="85" t="n"/>
      <c r="P760" s="85" t="n"/>
      <c r="Q760" s="85" t="n"/>
      <c r="R760" s="85" t="n"/>
      <c r="S760" s="85">
        <f>IF($G760="","",TODAY()-$G760)</f>
        <v/>
      </c>
      <c r="T760" s="85">
        <f>IF($A760="","",IF(AND($E760="Yes",OR($O760="No",$O760="NOT FOUND")),"YES",""))</f>
        <v/>
      </c>
      <c r="U760" s="85">
        <f>IF($A760="","",TRIM(IF(AND($M760=0,$I760&lt;&gt;"Yes"),"T0-NoPhishResistant ","")&amp;IF($H760="No","NoMFA ","")&amp;IF(AND($E760="Yes",$G760=""),"NeverSignedIn ","")))</f>
        <v/>
      </c>
    </row>
    <row r="761" ht="15" customHeight="1" s="39">
      <c r="A761" s="85" t="n"/>
      <c r="B761" s="85" t="n"/>
      <c r="C761" s="85" t="n"/>
      <c r="D761" s="85" t="n"/>
      <c r="E761" s="85" t="n"/>
      <c r="F761" s="86" t="n"/>
      <c r="G761" s="86" t="n"/>
      <c r="H761" s="85" t="n"/>
      <c r="I761" s="85" t="n"/>
      <c r="J761" s="85" t="n"/>
      <c r="K761" s="85" t="n"/>
      <c r="L761" s="85" t="n"/>
      <c r="M761" s="85" t="n"/>
      <c r="N761" s="85" t="n"/>
      <c r="O761" s="85" t="n"/>
      <c r="P761" s="85" t="n"/>
      <c r="Q761" s="85" t="n"/>
      <c r="R761" s="85" t="n"/>
      <c r="S761" s="85">
        <f>IF($G761="","",TODAY()-$G761)</f>
        <v/>
      </c>
      <c r="T761" s="85">
        <f>IF($A761="","",IF(AND($E761="Yes",OR($O761="No",$O761="NOT FOUND")),"YES",""))</f>
        <v/>
      </c>
      <c r="U761" s="85">
        <f>IF($A761="","",TRIM(IF(AND($M761=0,$I761&lt;&gt;"Yes"),"T0-NoPhishResistant ","")&amp;IF($H761="No","NoMFA ","")&amp;IF(AND($E761="Yes",$G761=""),"NeverSignedIn ","")))</f>
        <v/>
      </c>
    </row>
    <row r="762" ht="15" customHeight="1" s="39">
      <c r="A762" s="85" t="n"/>
      <c r="B762" s="85" t="n"/>
      <c r="C762" s="85" t="n"/>
      <c r="D762" s="85" t="n"/>
      <c r="E762" s="85" t="n"/>
      <c r="F762" s="86" t="n"/>
      <c r="G762" s="86" t="n"/>
      <c r="H762" s="85" t="n"/>
      <c r="I762" s="85" t="n"/>
      <c r="J762" s="85" t="n"/>
      <c r="K762" s="85" t="n"/>
      <c r="L762" s="85" t="n"/>
      <c r="M762" s="85" t="n"/>
      <c r="N762" s="85" t="n"/>
      <c r="O762" s="85" t="n"/>
      <c r="P762" s="85" t="n"/>
      <c r="Q762" s="85" t="n"/>
      <c r="R762" s="85" t="n"/>
      <c r="S762" s="85">
        <f>IF($G762="","",TODAY()-$G762)</f>
        <v/>
      </c>
      <c r="T762" s="85">
        <f>IF($A762="","",IF(AND($E762="Yes",OR($O762="No",$O762="NOT FOUND")),"YES",""))</f>
        <v/>
      </c>
      <c r="U762" s="85">
        <f>IF($A762="","",TRIM(IF(AND($M762=0,$I762&lt;&gt;"Yes"),"T0-NoPhishResistant ","")&amp;IF($H762="No","NoMFA ","")&amp;IF(AND($E762="Yes",$G762=""),"NeverSignedIn ","")))</f>
        <v/>
      </c>
    </row>
    <row r="763" ht="15" customHeight="1" s="39">
      <c r="A763" s="85" t="n"/>
      <c r="B763" s="85" t="n"/>
      <c r="C763" s="85" t="n"/>
      <c r="D763" s="85" t="n"/>
      <c r="E763" s="85" t="n"/>
      <c r="F763" s="86" t="n"/>
      <c r="G763" s="86" t="n"/>
      <c r="H763" s="85" t="n"/>
      <c r="I763" s="85" t="n"/>
      <c r="J763" s="85" t="n"/>
      <c r="K763" s="85" t="n"/>
      <c r="L763" s="85" t="n"/>
      <c r="M763" s="85" t="n"/>
      <c r="N763" s="85" t="n"/>
      <c r="O763" s="85" t="n"/>
      <c r="P763" s="85" t="n"/>
      <c r="Q763" s="85" t="n"/>
      <c r="R763" s="85" t="n"/>
      <c r="S763" s="85">
        <f>IF($G763="","",TODAY()-$G763)</f>
        <v/>
      </c>
      <c r="T763" s="85">
        <f>IF($A763="","",IF(AND($E763="Yes",OR($O763="No",$O763="NOT FOUND")),"YES",""))</f>
        <v/>
      </c>
      <c r="U763" s="85">
        <f>IF($A763="","",TRIM(IF(AND($M763=0,$I763&lt;&gt;"Yes"),"T0-NoPhishResistant ","")&amp;IF($H763="No","NoMFA ","")&amp;IF(AND($E763="Yes",$G763=""),"NeverSignedIn ","")))</f>
        <v/>
      </c>
    </row>
    <row r="764" ht="15" customHeight="1" s="39">
      <c r="A764" s="85" t="n"/>
      <c r="B764" s="85" t="n"/>
      <c r="C764" s="85" t="n"/>
      <c r="D764" s="85" t="n"/>
      <c r="E764" s="85" t="n"/>
      <c r="F764" s="86" t="n"/>
      <c r="G764" s="86" t="n"/>
      <c r="H764" s="85" t="n"/>
      <c r="I764" s="85" t="n"/>
      <c r="J764" s="85" t="n"/>
      <c r="K764" s="85" t="n"/>
      <c r="L764" s="85" t="n"/>
      <c r="M764" s="85" t="n"/>
      <c r="N764" s="85" t="n"/>
      <c r="O764" s="85" t="n"/>
      <c r="P764" s="85" t="n"/>
      <c r="Q764" s="85" t="n"/>
      <c r="R764" s="85" t="n"/>
      <c r="S764" s="85">
        <f>IF($G764="","",TODAY()-$G764)</f>
        <v/>
      </c>
      <c r="T764" s="85">
        <f>IF($A764="","",IF(AND($E764="Yes",OR($O764="No",$O764="NOT FOUND")),"YES",""))</f>
        <v/>
      </c>
      <c r="U764" s="85">
        <f>IF($A764="","",TRIM(IF(AND($M764=0,$I764&lt;&gt;"Yes"),"T0-NoPhishResistant ","")&amp;IF($H764="No","NoMFA ","")&amp;IF(AND($E764="Yes",$G764=""),"NeverSignedIn ","")))</f>
        <v/>
      </c>
    </row>
    <row r="765" ht="15" customHeight="1" s="39">
      <c r="A765" s="85" t="n"/>
      <c r="B765" s="85" t="n"/>
      <c r="C765" s="85" t="n"/>
      <c r="D765" s="85" t="n"/>
      <c r="E765" s="85" t="n"/>
      <c r="F765" s="86" t="n"/>
      <c r="G765" s="86" t="n"/>
      <c r="H765" s="85" t="n"/>
      <c r="I765" s="85" t="n"/>
      <c r="J765" s="85" t="n"/>
      <c r="K765" s="85" t="n"/>
      <c r="L765" s="85" t="n"/>
      <c r="M765" s="85" t="n"/>
      <c r="N765" s="85" t="n"/>
      <c r="O765" s="85" t="n"/>
      <c r="P765" s="85" t="n"/>
      <c r="Q765" s="85" t="n"/>
      <c r="R765" s="85" t="n"/>
      <c r="S765" s="85">
        <f>IF($G765="","",TODAY()-$G765)</f>
        <v/>
      </c>
      <c r="T765" s="85">
        <f>IF($A765="","",IF(AND($E765="Yes",OR($O765="No",$O765="NOT FOUND")),"YES",""))</f>
        <v/>
      </c>
      <c r="U765" s="85">
        <f>IF($A765="","",TRIM(IF(AND($M765=0,$I765&lt;&gt;"Yes"),"T0-NoPhishResistant ","")&amp;IF($H765="No","NoMFA ","")&amp;IF(AND($E765="Yes",$G765=""),"NeverSignedIn ","")))</f>
        <v/>
      </c>
    </row>
    <row r="766" ht="15" customHeight="1" s="39">
      <c r="A766" s="85" t="n"/>
      <c r="B766" s="85" t="n"/>
      <c r="C766" s="85" t="n"/>
      <c r="D766" s="85" t="n"/>
      <c r="E766" s="85" t="n"/>
      <c r="F766" s="86" t="n"/>
      <c r="G766" s="86" t="n"/>
      <c r="H766" s="85" t="n"/>
      <c r="I766" s="85" t="n"/>
      <c r="J766" s="85" t="n"/>
      <c r="K766" s="85" t="n"/>
      <c r="L766" s="85" t="n"/>
      <c r="M766" s="85" t="n"/>
      <c r="N766" s="85" t="n"/>
      <c r="O766" s="85" t="n"/>
      <c r="P766" s="85" t="n"/>
      <c r="Q766" s="85" t="n"/>
      <c r="R766" s="85" t="n"/>
      <c r="S766" s="85">
        <f>IF($G766="","",TODAY()-$G766)</f>
        <v/>
      </c>
      <c r="T766" s="85">
        <f>IF($A766="","",IF(AND($E766="Yes",OR($O766="No",$O766="NOT FOUND")),"YES",""))</f>
        <v/>
      </c>
      <c r="U766" s="85">
        <f>IF($A766="","",TRIM(IF(AND($M766=0,$I766&lt;&gt;"Yes"),"T0-NoPhishResistant ","")&amp;IF($H766="No","NoMFA ","")&amp;IF(AND($E766="Yes",$G766=""),"NeverSignedIn ","")))</f>
        <v/>
      </c>
    </row>
    <row r="767" ht="15" customHeight="1" s="39">
      <c r="A767" s="85" t="n"/>
      <c r="B767" s="85" t="n"/>
      <c r="C767" s="85" t="n"/>
      <c r="D767" s="85" t="n"/>
      <c r="E767" s="85" t="n"/>
      <c r="F767" s="86" t="n"/>
      <c r="G767" s="86" t="n"/>
      <c r="H767" s="85" t="n"/>
      <c r="I767" s="85" t="n"/>
      <c r="J767" s="85" t="n"/>
      <c r="K767" s="85" t="n"/>
      <c r="L767" s="85" t="n"/>
      <c r="M767" s="85" t="n"/>
      <c r="N767" s="85" t="n"/>
      <c r="O767" s="85" t="n"/>
      <c r="P767" s="85" t="n"/>
      <c r="Q767" s="85" t="n"/>
      <c r="R767" s="85" t="n"/>
      <c r="S767" s="85">
        <f>IF($G767="","",TODAY()-$G767)</f>
        <v/>
      </c>
      <c r="T767" s="85">
        <f>IF($A767="","",IF(AND($E767="Yes",OR($O767="No",$O767="NOT FOUND")),"YES",""))</f>
        <v/>
      </c>
      <c r="U767" s="85">
        <f>IF($A767="","",TRIM(IF(AND($M767=0,$I767&lt;&gt;"Yes"),"T0-NoPhishResistant ","")&amp;IF($H767="No","NoMFA ","")&amp;IF(AND($E767="Yes",$G767=""),"NeverSignedIn ","")))</f>
        <v/>
      </c>
    </row>
    <row r="768" ht="15" customHeight="1" s="39">
      <c r="A768" s="85" t="n"/>
      <c r="B768" s="85" t="n"/>
      <c r="C768" s="85" t="n"/>
      <c r="D768" s="85" t="n"/>
      <c r="E768" s="85" t="n"/>
      <c r="F768" s="86" t="n"/>
      <c r="G768" s="86" t="n"/>
      <c r="H768" s="85" t="n"/>
      <c r="I768" s="85" t="n"/>
      <c r="J768" s="85" t="n"/>
      <c r="K768" s="85" t="n"/>
      <c r="L768" s="85" t="n"/>
      <c r="M768" s="85" t="n"/>
      <c r="N768" s="85" t="n"/>
      <c r="O768" s="85" t="n"/>
      <c r="P768" s="85" t="n"/>
      <c r="Q768" s="85" t="n"/>
      <c r="R768" s="85" t="n"/>
      <c r="S768" s="85">
        <f>IF($G768="","",TODAY()-$G768)</f>
        <v/>
      </c>
      <c r="T768" s="85">
        <f>IF($A768="","",IF(AND($E768="Yes",OR($O768="No",$O768="NOT FOUND")),"YES",""))</f>
        <v/>
      </c>
      <c r="U768" s="85">
        <f>IF($A768="","",TRIM(IF(AND($M768=0,$I768&lt;&gt;"Yes"),"T0-NoPhishResistant ","")&amp;IF($H768="No","NoMFA ","")&amp;IF(AND($E768="Yes",$G768=""),"NeverSignedIn ","")))</f>
        <v/>
      </c>
    </row>
    <row r="769" ht="15" customHeight="1" s="39">
      <c r="A769" s="85" t="n"/>
      <c r="B769" s="85" t="n"/>
      <c r="C769" s="85" t="n"/>
      <c r="D769" s="85" t="n"/>
      <c r="E769" s="85" t="n"/>
      <c r="F769" s="86" t="n"/>
      <c r="G769" s="86" t="n"/>
      <c r="H769" s="85" t="n"/>
      <c r="I769" s="85" t="n"/>
      <c r="J769" s="85" t="n"/>
      <c r="K769" s="85" t="n"/>
      <c r="L769" s="85" t="n"/>
      <c r="M769" s="85" t="n"/>
      <c r="N769" s="85" t="n"/>
      <c r="O769" s="85" t="n"/>
      <c r="P769" s="85" t="n"/>
      <c r="Q769" s="85" t="n"/>
      <c r="R769" s="85" t="n"/>
      <c r="S769" s="85">
        <f>IF($G769="","",TODAY()-$G769)</f>
        <v/>
      </c>
      <c r="T769" s="85">
        <f>IF($A769="","",IF(AND($E769="Yes",OR($O769="No",$O769="NOT FOUND")),"YES",""))</f>
        <v/>
      </c>
      <c r="U769" s="85">
        <f>IF($A769="","",TRIM(IF(AND($M769=0,$I769&lt;&gt;"Yes"),"T0-NoPhishResistant ","")&amp;IF($H769="No","NoMFA ","")&amp;IF(AND($E769="Yes",$G769=""),"NeverSignedIn ","")))</f>
        <v/>
      </c>
    </row>
    <row r="770" ht="15" customHeight="1" s="39">
      <c r="A770" s="85" t="n"/>
      <c r="B770" s="85" t="n"/>
      <c r="C770" s="85" t="n"/>
      <c r="D770" s="85" t="n"/>
      <c r="E770" s="85" t="n"/>
      <c r="F770" s="86" t="n"/>
      <c r="G770" s="86" t="n"/>
      <c r="H770" s="85" t="n"/>
      <c r="I770" s="85" t="n"/>
      <c r="J770" s="85" t="n"/>
      <c r="K770" s="85" t="n"/>
      <c r="L770" s="85" t="n"/>
      <c r="M770" s="85" t="n"/>
      <c r="N770" s="85" t="n"/>
      <c r="O770" s="85" t="n"/>
      <c r="P770" s="85" t="n"/>
      <c r="Q770" s="85" t="n"/>
      <c r="R770" s="85" t="n"/>
      <c r="S770" s="85">
        <f>IF($G770="","",TODAY()-$G770)</f>
        <v/>
      </c>
      <c r="T770" s="85">
        <f>IF($A770="","",IF(AND($E770="Yes",OR($O770="No",$O770="NOT FOUND")),"YES",""))</f>
        <v/>
      </c>
      <c r="U770" s="85">
        <f>IF($A770="","",TRIM(IF(AND($M770=0,$I770&lt;&gt;"Yes"),"T0-NoPhishResistant ","")&amp;IF($H770="No","NoMFA ","")&amp;IF(AND($E770="Yes",$G770=""),"NeverSignedIn ","")))</f>
        <v/>
      </c>
    </row>
    <row r="771" ht="15" customHeight="1" s="39">
      <c r="A771" s="85" t="n"/>
      <c r="B771" s="85" t="n"/>
      <c r="C771" s="85" t="n"/>
      <c r="D771" s="85" t="n"/>
      <c r="E771" s="85" t="n"/>
      <c r="F771" s="86" t="n"/>
      <c r="G771" s="86" t="n"/>
      <c r="H771" s="85" t="n"/>
      <c r="I771" s="85" t="n"/>
      <c r="J771" s="85" t="n"/>
      <c r="K771" s="85" t="n"/>
      <c r="L771" s="85" t="n"/>
      <c r="M771" s="85" t="n"/>
      <c r="N771" s="85" t="n"/>
      <c r="O771" s="85" t="n"/>
      <c r="P771" s="85" t="n"/>
      <c r="Q771" s="85" t="n"/>
      <c r="R771" s="85" t="n"/>
      <c r="S771" s="85">
        <f>IF($G771="","",TODAY()-$G771)</f>
        <v/>
      </c>
      <c r="T771" s="85">
        <f>IF($A771="","",IF(AND($E771="Yes",OR($O771="No",$O771="NOT FOUND")),"YES",""))</f>
        <v/>
      </c>
      <c r="U771" s="85">
        <f>IF($A771="","",TRIM(IF(AND($M771=0,$I771&lt;&gt;"Yes"),"T0-NoPhishResistant ","")&amp;IF($H771="No","NoMFA ","")&amp;IF(AND($E771="Yes",$G771=""),"NeverSignedIn ","")))</f>
        <v/>
      </c>
    </row>
    <row r="772" ht="15" customHeight="1" s="39">
      <c r="A772" s="85" t="n"/>
      <c r="B772" s="85" t="n"/>
      <c r="C772" s="85" t="n"/>
      <c r="D772" s="85" t="n"/>
      <c r="E772" s="85" t="n"/>
      <c r="F772" s="86" t="n"/>
      <c r="G772" s="86" t="n"/>
      <c r="H772" s="85" t="n"/>
      <c r="I772" s="85" t="n"/>
      <c r="J772" s="85" t="n"/>
      <c r="K772" s="85" t="n"/>
      <c r="L772" s="85" t="n"/>
      <c r="M772" s="85" t="n"/>
      <c r="N772" s="85" t="n"/>
      <c r="O772" s="85" t="n"/>
      <c r="P772" s="85" t="n"/>
      <c r="Q772" s="85" t="n"/>
      <c r="R772" s="85" t="n"/>
      <c r="S772" s="85">
        <f>IF($G772="","",TODAY()-$G772)</f>
        <v/>
      </c>
      <c r="T772" s="85">
        <f>IF($A772="","",IF(AND($E772="Yes",OR($O772="No",$O772="NOT FOUND")),"YES",""))</f>
        <v/>
      </c>
      <c r="U772" s="85">
        <f>IF($A772="","",TRIM(IF(AND($M772=0,$I772&lt;&gt;"Yes"),"T0-NoPhishResistant ","")&amp;IF($H772="No","NoMFA ","")&amp;IF(AND($E772="Yes",$G772=""),"NeverSignedIn ","")))</f>
        <v/>
      </c>
    </row>
    <row r="773" ht="15" customHeight="1" s="39">
      <c r="A773" s="85" t="n"/>
      <c r="B773" s="85" t="n"/>
      <c r="C773" s="85" t="n"/>
      <c r="D773" s="85" t="n"/>
      <c r="E773" s="85" t="n"/>
      <c r="F773" s="86" t="n"/>
      <c r="G773" s="86" t="n"/>
      <c r="H773" s="85" t="n"/>
      <c r="I773" s="85" t="n"/>
      <c r="J773" s="85" t="n"/>
      <c r="K773" s="85" t="n"/>
      <c r="L773" s="85" t="n"/>
      <c r="M773" s="85" t="n"/>
      <c r="N773" s="85" t="n"/>
      <c r="O773" s="85" t="n"/>
      <c r="P773" s="85" t="n"/>
      <c r="Q773" s="85" t="n"/>
      <c r="R773" s="85" t="n"/>
      <c r="S773" s="85">
        <f>IF($G773="","",TODAY()-$G773)</f>
        <v/>
      </c>
      <c r="T773" s="85">
        <f>IF($A773="","",IF(AND($E773="Yes",OR($O773="No",$O773="NOT FOUND")),"YES",""))</f>
        <v/>
      </c>
      <c r="U773" s="85">
        <f>IF($A773="","",TRIM(IF(AND($M773=0,$I773&lt;&gt;"Yes"),"T0-NoPhishResistant ","")&amp;IF($H773="No","NoMFA ","")&amp;IF(AND($E773="Yes",$G773=""),"NeverSignedIn ","")))</f>
        <v/>
      </c>
    </row>
    <row r="774" ht="15" customHeight="1" s="39">
      <c r="A774" s="85" t="n"/>
      <c r="B774" s="85" t="n"/>
      <c r="C774" s="85" t="n"/>
      <c r="D774" s="85" t="n"/>
      <c r="E774" s="85" t="n"/>
      <c r="F774" s="86" t="n"/>
      <c r="G774" s="86" t="n"/>
      <c r="H774" s="85" t="n"/>
      <c r="I774" s="85" t="n"/>
      <c r="J774" s="85" t="n"/>
      <c r="K774" s="85" t="n"/>
      <c r="L774" s="85" t="n"/>
      <c r="M774" s="85" t="n"/>
      <c r="N774" s="85" t="n"/>
      <c r="O774" s="85" t="n"/>
      <c r="P774" s="85" t="n"/>
      <c r="Q774" s="85" t="n"/>
      <c r="R774" s="85" t="n"/>
      <c r="S774" s="85">
        <f>IF($G774="","",TODAY()-$G774)</f>
        <v/>
      </c>
      <c r="T774" s="85">
        <f>IF($A774="","",IF(AND($E774="Yes",OR($O774="No",$O774="NOT FOUND")),"YES",""))</f>
        <v/>
      </c>
      <c r="U774" s="85">
        <f>IF($A774="","",TRIM(IF(AND($M774=0,$I774&lt;&gt;"Yes"),"T0-NoPhishResistant ","")&amp;IF($H774="No","NoMFA ","")&amp;IF(AND($E774="Yes",$G774=""),"NeverSignedIn ","")))</f>
        <v/>
      </c>
    </row>
    <row r="775" ht="15" customHeight="1" s="39">
      <c r="A775" s="85" t="n"/>
      <c r="B775" s="85" t="n"/>
      <c r="C775" s="85" t="n"/>
      <c r="D775" s="85" t="n"/>
      <c r="E775" s="85" t="n"/>
      <c r="F775" s="86" t="n"/>
      <c r="G775" s="86" t="n"/>
      <c r="H775" s="85" t="n"/>
      <c r="I775" s="85" t="n"/>
      <c r="J775" s="85" t="n"/>
      <c r="K775" s="85" t="n"/>
      <c r="L775" s="85" t="n"/>
      <c r="M775" s="85" t="n"/>
      <c r="N775" s="85" t="n"/>
      <c r="O775" s="85" t="n"/>
      <c r="P775" s="85" t="n"/>
      <c r="Q775" s="85" t="n"/>
      <c r="R775" s="85" t="n"/>
      <c r="S775" s="85">
        <f>IF($G775="","",TODAY()-$G775)</f>
        <v/>
      </c>
      <c r="T775" s="85">
        <f>IF($A775="","",IF(AND($E775="Yes",OR($O775="No",$O775="NOT FOUND")),"YES",""))</f>
        <v/>
      </c>
      <c r="U775" s="85">
        <f>IF($A775="","",TRIM(IF(AND($M775=0,$I775&lt;&gt;"Yes"),"T0-NoPhishResistant ","")&amp;IF($H775="No","NoMFA ","")&amp;IF(AND($E775="Yes",$G775=""),"NeverSignedIn ","")))</f>
        <v/>
      </c>
    </row>
    <row r="776" ht="15" customHeight="1" s="39">
      <c r="A776" s="85" t="n"/>
      <c r="B776" s="85" t="n"/>
      <c r="C776" s="85" t="n"/>
      <c r="D776" s="85" t="n"/>
      <c r="E776" s="85" t="n"/>
      <c r="F776" s="86" t="n"/>
      <c r="G776" s="86" t="n"/>
      <c r="H776" s="85" t="n"/>
      <c r="I776" s="85" t="n"/>
      <c r="J776" s="85" t="n"/>
      <c r="K776" s="85" t="n"/>
      <c r="L776" s="85" t="n"/>
      <c r="M776" s="85" t="n"/>
      <c r="N776" s="85" t="n"/>
      <c r="O776" s="85" t="n"/>
      <c r="P776" s="85" t="n"/>
      <c r="Q776" s="85" t="n"/>
      <c r="R776" s="85" t="n"/>
      <c r="S776" s="85">
        <f>IF($G776="","",TODAY()-$G776)</f>
        <v/>
      </c>
      <c r="T776" s="85">
        <f>IF($A776="","",IF(AND($E776="Yes",OR($O776="No",$O776="NOT FOUND")),"YES",""))</f>
        <v/>
      </c>
      <c r="U776" s="85">
        <f>IF($A776="","",TRIM(IF(AND($M776=0,$I776&lt;&gt;"Yes"),"T0-NoPhishResistant ","")&amp;IF($H776="No","NoMFA ","")&amp;IF(AND($E776="Yes",$G776=""),"NeverSignedIn ","")))</f>
        <v/>
      </c>
    </row>
    <row r="777" ht="15" customHeight="1" s="39">
      <c r="A777" s="85" t="n"/>
      <c r="B777" s="85" t="n"/>
      <c r="C777" s="85" t="n"/>
      <c r="D777" s="85" t="n"/>
      <c r="E777" s="85" t="n"/>
      <c r="F777" s="86" t="n"/>
      <c r="G777" s="86" t="n"/>
      <c r="H777" s="85" t="n"/>
      <c r="I777" s="85" t="n"/>
      <c r="J777" s="85" t="n"/>
      <c r="K777" s="85" t="n"/>
      <c r="L777" s="85" t="n"/>
      <c r="M777" s="85" t="n"/>
      <c r="N777" s="85" t="n"/>
      <c r="O777" s="85" t="n"/>
      <c r="P777" s="85" t="n"/>
      <c r="Q777" s="85" t="n"/>
      <c r="R777" s="85" t="n"/>
      <c r="S777" s="85">
        <f>IF($G777="","",TODAY()-$G777)</f>
        <v/>
      </c>
      <c r="T777" s="85">
        <f>IF($A777="","",IF(AND($E777="Yes",OR($O777="No",$O777="NOT FOUND")),"YES",""))</f>
        <v/>
      </c>
      <c r="U777" s="85">
        <f>IF($A777="","",TRIM(IF(AND($M777=0,$I777&lt;&gt;"Yes"),"T0-NoPhishResistant ","")&amp;IF($H777="No","NoMFA ","")&amp;IF(AND($E777="Yes",$G777=""),"NeverSignedIn ","")))</f>
        <v/>
      </c>
    </row>
    <row r="778" ht="15" customHeight="1" s="39">
      <c r="A778" s="85" t="n"/>
      <c r="B778" s="85" t="n"/>
      <c r="C778" s="85" t="n"/>
      <c r="D778" s="85" t="n"/>
      <c r="E778" s="85" t="n"/>
      <c r="F778" s="86" t="n"/>
      <c r="G778" s="86" t="n"/>
      <c r="H778" s="85" t="n"/>
      <c r="I778" s="85" t="n"/>
      <c r="J778" s="85" t="n"/>
      <c r="K778" s="85" t="n"/>
      <c r="L778" s="85" t="n"/>
      <c r="M778" s="85" t="n"/>
      <c r="N778" s="85" t="n"/>
      <c r="O778" s="85" t="n"/>
      <c r="P778" s="85" t="n"/>
      <c r="Q778" s="85" t="n"/>
      <c r="R778" s="85" t="n"/>
      <c r="S778" s="85">
        <f>IF($G778="","",TODAY()-$G778)</f>
        <v/>
      </c>
      <c r="T778" s="85">
        <f>IF($A778="","",IF(AND($E778="Yes",OR($O778="No",$O778="NOT FOUND")),"YES",""))</f>
        <v/>
      </c>
      <c r="U778" s="85">
        <f>IF($A778="","",TRIM(IF(AND($M778=0,$I778&lt;&gt;"Yes"),"T0-NoPhishResistant ","")&amp;IF($H778="No","NoMFA ","")&amp;IF(AND($E778="Yes",$G778=""),"NeverSignedIn ","")))</f>
        <v/>
      </c>
    </row>
    <row r="779" ht="15" customHeight="1" s="39">
      <c r="A779" s="85" t="n"/>
      <c r="B779" s="85" t="n"/>
      <c r="C779" s="85" t="n"/>
      <c r="D779" s="85" t="n"/>
      <c r="E779" s="85" t="n"/>
      <c r="F779" s="86" t="n"/>
      <c r="G779" s="86" t="n"/>
      <c r="H779" s="85" t="n"/>
      <c r="I779" s="85" t="n"/>
      <c r="J779" s="85" t="n"/>
      <c r="K779" s="85" t="n"/>
      <c r="L779" s="85" t="n"/>
      <c r="M779" s="85" t="n"/>
      <c r="N779" s="85" t="n"/>
      <c r="O779" s="85" t="n"/>
      <c r="P779" s="85" t="n"/>
      <c r="Q779" s="85" t="n"/>
      <c r="R779" s="85" t="n"/>
      <c r="S779" s="85">
        <f>IF($G779="","",TODAY()-$G779)</f>
        <v/>
      </c>
      <c r="T779" s="85">
        <f>IF($A779="","",IF(AND($E779="Yes",OR($O779="No",$O779="NOT FOUND")),"YES",""))</f>
        <v/>
      </c>
      <c r="U779" s="85">
        <f>IF($A779="","",TRIM(IF(AND($M779=0,$I779&lt;&gt;"Yes"),"T0-NoPhishResistant ","")&amp;IF($H779="No","NoMFA ","")&amp;IF(AND($E779="Yes",$G779=""),"NeverSignedIn ","")))</f>
        <v/>
      </c>
    </row>
    <row r="780" ht="15" customHeight="1" s="39">
      <c r="A780" s="85" t="n"/>
      <c r="B780" s="85" t="n"/>
      <c r="C780" s="85" t="n"/>
      <c r="D780" s="85" t="n"/>
      <c r="E780" s="85" t="n"/>
      <c r="F780" s="86" t="n"/>
      <c r="G780" s="86" t="n"/>
      <c r="H780" s="85" t="n"/>
      <c r="I780" s="85" t="n"/>
      <c r="J780" s="85" t="n"/>
      <c r="K780" s="85" t="n"/>
      <c r="L780" s="85" t="n"/>
      <c r="M780" s="85" t="n"/>
      <c r="N780" s="85" t="n"/>
      <c r="O780" s="85" t="n"/>
      <c r="P780" s="85" t="n"/>
      <c r="Q780" s="85" t="n"/>
      <c r="R780" s="85" t="n"/>
      <c r="S780" s="85">
        <f>IF($G780="","",TODAY()-$G780)</f>
        <v/>
      </c>
      <c r="T780" s="85">
        <f>IF($A780="","",IF(AND($E780="Yes",OR($O780="No",$O780="NOT FOUND")),"YES",""))</f>
        <v/>
      </c>
      <c r="U780" s="85">
        <f>IF($A780="","",TRIM(IF(AND($M780=0,$I780&lt;&gt;"Yes"),"T0-NoPhishResistant ","")&amp;IF($H780="No","NoMFA ","")&amp;IF(AND($E780="Yes",$G780=""),"NeverSignedIn ","")))</f>
        <v/>
      </c>
    </row>
    <row r="781" ht="15" customHeight="1" s="39">
      <c r="A781" s="85" t="n"/>
      <c r="B781" s="85" t="n"/>
      <c r="C781" s="85" t="n"/>
      <c r="D781" s="85" t="n"/>
      <c r="E781" s="85" t="n"/>
      <c r="F781" s="86" t="n"/>
      <c r="G781" s="86" t="n"/>
      <c r="H781" s="85" t="n"/>
      <c r="I781" s="85" t="n"/>
      <c r="J781" s="85" t="n"/>
      <c r="K781" s="85" t="n"/>
      <c r="L781" s="85" t="n"/>
      <c r="M781" s="85" t="n"/>
      <c r="N781" s="85" t="n"/>
      <c r="O781" s="85" t="n"/>
      <c r="P781" s="85" t="n"/>
      <c r="Q781" s="85" t="n"/>
      <c r="R781" s="85" t="n"/>
      <c r="S781" s="85">
        <f>IF($G781="","",TODAY()-$G781)</f>
        <v/>
      </c>
      <c r="T781" s="85">
        <f>IF($A781="","",IF(AND($E781="Yes",OR($O781="No",$O781="NOT FOUND")),"YES",""))</f>
        <v/>
      </c>
      <c r="U781" s="85">
        <f>IF($A781="","",TRIM(IF(AND($M781=0,$I781&lt;&gt;"Yes"),"T0-NoPhishResistant ","")&amp;IF($H781="No","NoMFA ","")&amp;IF(AND($E781="Yes",$G781=""),"NeverSignedIn ","")))</f>
        <v/>
      </c>
    </row>
    <row r="782" ht="15" customHeight="1" s="39">
      <c r="A782" s="85" t="n"/>
      <c r="B782" s="85" t="n"/>
      <c r="C782" s="85" t="n"/>
      <c r="D782" s="85" t="n"/>
      <c r="E782" s="85" t="n"/>
      <c r="F782" s="86" t="n"/>
      <c r="G782" s="86" t="n"/>
      <c r="H782" s="85" t="n"/>
      <c r="I782" s="85" t="n"/>
      <c r="J782" s="85" t="n"/>
      <c r="K782" s="85" t="n"/>
      <c r="L782" s="85" t="n"/>
      <c r="M782" s="85" t="n"/>
      <c r="N782" s="85" t="n"/>
      <c r="O782" s="85" t="n"/>
      <c r="P782" s="85" t="n"/>
      <c r="Q782" s="85" t="n"/>
      <c r="R782" s="85" t="n"/>
      <c r="S782" s="85">
        <f>IF($G782="","",TODAY()-$G782)</f>
        <v/>
      </c>
      <c r="T782" s="85">
        <f>IF($A782="","",IF(AND($E782="Yes",OR($O782="No",$O782="NOT FOUND")),"YES",""))</f>
        <v/>
      </c>
      <c r="U782" s="85">
        <f>IF($A782="","",TRIM(IF(AND($M782=0,$I782&lt;&gt;"Yes"),"T0-NoPhishResistant ","")&amp;IF($H782="No","NoMFA ","")&amp;IF(AND($E782="Yes",$G782=""),"NeverSignedIn ","")))</f>
        <v/>
      </c>
    </row>
    <row r="783" ht="15" customHeight="1" s="39">
      <c r="A783" s="85" t="n"/>
      <c r="B783" s="85" t="n"/>
      <c r="C783" s="85" t="n"/>
      <c r="D783" s="85" t="n"/>
      <c r="E783" s="85" t="n"/>
      <c r="F783" s="86" t="n"/>
      <c r="G783" s="86" t="n"/>
      <c r="H783" s="85" t="n"/>
      <c r="I783" s="85" t="n"/>
      <c r="J783" s="85" t="n"/>
      <c r="K783" s="85" t="n"/>
      <c r="L783" s="85" t="n"/>
      <c r="M783" s="85" t="n"/>
      <c r="N783" s="85" t="n"/>
      <c r="O783" s="85" t="n"/>
      <c r="P783" s="85" t="n"/>
      <c r="Q783" s="85" t="n"/>
      <c r="R783" s="85" t="n"/>
      <c r="S783" s="85">
        <f>IF($G783="","",TODAY()-$G783)</f>
        <v/>
      </c>
      <c r="T783" s="85">
        <f>IF($A783="","",IF(AND($E783="Yes",OR($O783="No",$O783="NOT FOUND")),"YES",""))</f>
        <v/>
      </c>
      <c r="U783" s="85">
        <f>IF($A783="","",TRIM(IF(AND($M783=0,$I783&lt;&gt;"Yes"),"T0-NoPhishResistant ","")&amp;IF($H783="No","NoMFA ","")&amp;IF(AND($E783="Yes",$G783=""),"NeverSignedIn ","")))</f>
        <v/>
      </c>
    </row>
    <row r="784" ht="15" customHeight="1" s="39">
      <c r="A784" s="85" t="n"/>
      <c r="B784" s="85" t="n"/>
      <c r="C784" s="85" t="n"/>
      <c r="D784" s="85" t="n"/>
      <c r="E784" s="85" t="n"/>
      <c r="F784" s="86" t="n"/>
      <c r="G784" s="86" t="n"/>
      <c r="H784" s="85" t="n"/>
      <c r="I784" s="85" t="n"/>
      <c r="J784" s="85" t="n"/>
      <c r="K784" s="85" t="n"/>
      <c r="L784" s="85" t="n"/>
      <c r="M784" s="85" t="n"/>
      <c r="N784" s="85" t="n"/>
      <c r="O784" s="85" t="n"/>
      <c r="P784" s="85" t="n"/>
      <c r="Q784" s="85" t="n"/>
      <c r="R784" s="85" t="n"/>
      <c r="S784" s="85">
        <f>IF($G784="","",TODAY()-$G784)</f>
        <v/>
      </c>
      <c r="T784" s="85">
        <f>IF($A784="","",IF(AND($E784="Yes",OR($O784="No",$O784="NOT FOUND")),"YES",""))</f>
        <v/>
      </c>
      <c r="U784" s="85">
        <f>IF($A784="","",TRIM(IF(AND($M784=0,$I784&lt;&gt;"Yes"),"T0-NoPhishResistant ","")&amp;IF($H784="No","NoMFA ","")&amp;IF(AND($E784="Yes",$G784=""),"NeverSignedIn ","")))</f>
        <v/>
      </c>
    </row>
    <row r="785" ht="15" customHeight="1" s="39">
      <c r="A785" s="85" t="n"/>
      <c r="B785" s="85" t="n"/>
      <c r="C785" s="85" t="n"/>
      <c r="D785" s="85" t="n"/>
      <c r="E785" s="85" t="n"/>
      <c r="F785" s="86" t="n"/>
      <c r="G785" s="86" t="n"/>
      <c r="H785" s="85" t="n"/>
      <c r="I785" s="85" t="n"/>
      <c r="J785" s="85" t="n"/>
      <c r="K785" s="85" t="n"/>
      <c r="L785" s="85" t="n"/>
      <c r="M785" s="85" t="n"/>
      <c r="N785" s="85" t="n"/>
      <c r="O785" s="85" t="n"/>
      <c r="P785" s="85" t="n"/>
      <c r="Q785" s="85" t="n"/>
      <c r="R785" s="85" t="n"/>
      <c r="S785" s="85">
        <f>IF($G785="","",TODAY()-$G785)</f>
        <v/>
      </c>
      <c r="T785" s="85">
        <f>IF($A785="","",IF(AND($E785="Yes",OR($O785="No",$O785="NOT FOUND")),"YES",""))</f>
        <v/>
      </c>
      <c r="U785" s="85">
        <f>IF($A785="","",TRIM(IF(AND($M785=0,$I785&lt;&gt;"Yes"),"T0-NoPhishResistant ","")&amp;IF($H785="No","NoMFA ","")&amp;IF(AND($E785="Yes",$G785=""),"NeverSignedIn ","")))</f>
        <v/>
      </c>
    </row>
    <row r="786" ht="15" customHeight="1" s="39">
      <c r="A786" s="85" t="n"/>
      <c r="B786" s="85" t="n"/>
      <c r="C786" s="85" t="n"/>
      <c r="D786" s="85" t="n"/>
      <c r="E786" s="85" t="n"/>
      <c r="F786" s="86" t="n"/>
      <c r="G786" s="86" t="n"/>
      <c r="H786" s="85" t="n"/>
      <c r="I786" s="85" t="n"/>
      <c r="J786" s="85" t="n"/>
      <c r="K786" s="85" t="n"/>
      <c r="L786" s="85" t="n"/>
      <c r="M786" s="85" t="n"/>
      <c r="N786" s="85" t="n"/>
      <c r="O786" s="85" t="n"/>
      <c r="P786" s="85" t="n"/>
      <c r="Q786" s="85" t="n"/>
      <c r="R786" s="85" t="n"/>
      <c r="S786" s="85">
        <f>IF($G786="","",TODAY()-$G786)</f>
        <v/>
      </c>
      <c r="T786" s="85">
        <f>IF($A786="","",IF(AND($E786="Yes",OR($O786="No",$O786="NOT FOUND")),"YES",""))</f>
        <v/>
      </c>
      <c r="U786" s="85">
        <f>IF($A786="","",TRIM(IF(AND($M786=0,$I786&lt;&gt;"Yes"),"T0-NoPhishResistant ","")&amp;IF($H786="No","NoMFA ","")&amp;IF(AND($E786="Yes",$G786=""),"NeverSignedIn ","")))</f>
        <v/>
      </c>
    </row>
    <row r="787" ht="15" customHeight="1" s="39">
      <c r="A787" s="85" t="n"/>
      <c r="B787" s="85" t="n"/>
      <c r="C787" s="85" t="n"/>
      <c r="D787" s="85" t="n"/>
      <c r="E787" s="85" t="n"/>
      <c r="F787" s="86" t="n"/>
      <c r="G787" s="86" t="n"/>
      <c r="H787" s="85" t="n"/>
      <c r="I787" s="85" t="n"/>
      <c r="J787" s="85" t="n"/>
      <c r="K787" s="85" t="n"/>
      <c r="L787" s="85" t="n"/>
      <c r="M787" s="85" t="n"/>
      <c r="N787" s="85" t="n"/>
      <c r="O787" s="85" t="n"/>
      <c r="P787" s="85" t="n"/>
      <c r="Q787" s="85" t="n"/>
      <c r="R787" s="85" t="n"/>
      <c r="S787" s="85">
        <f>IF($G787="","",TODAY()-$G787)</f>
        <v/>
      </c>
      <c r="T787" s="85">
        <f>IF($A787="","",IF(AND($E787="Yes",OR($O787="No",$O787="NOT FOUND")),"YES",""))</f>
        <v/>
      </c>
      <c r="U787" s="85">
        <f>IF($A787="","",TRIM(IF(AND($M787=0,$I787&lt;&gt;"Yes"),"T0-NoPhishResistant ","")&amp;IF($H787="No","NoMFA ","")&amp;IF(AND($E787="Yes",$G787=""),"NeverSignedIn ","")))</f>
        <v/>
      </c>
    </row>
    <row r="788" ht="15" customHeight="1" s="39">
      <c r="A788" s="85" t="n"/>
      <c r="B788" s="85" t="n"/>
      <c r="C788" s="85" t="n"/>
      <c r="D788" s="85" t="n"/>
      <c r="E788" s="85" t="n"/>
      <c r="F788" s="86" t="n"/>
      <c r="G788" s="86" t="n"/>
      <c r="H788" s="85" t="n"/>
      <c r="I788" s="85" t="n"/>
      <c r="J788" s="85" t="n"/>
      <c r="K788" s="85" t="n"/>
      <c r="L788" s="85" t="n"/>
      <c r="M788" s="85" t="n"/>
      <c r="N788" s="85" t="n"/>
      <c r="O788" s="85" t="n"/>
      <c r="P788" s="85" t="n"/>
      <c r="Q788" s="85" t="n"/>
      <c r="R788" s="85" t="n"/>
      <c r="S788" s="85">
        <f>IF($G788="","",TODAY()-$G788)</f>
        <v/>
      </c>
      <c r="T788" s="85">
        <f>IF($A788="","",IF(AND($E788="Yes",OR($O788="No",$O788="NOT FOUND")),"YES",""))</f>
        <v/>
      </c>
      <c r="U788" s="85">
        <f>IF($A788="","",TRIM(IF(AND($M788=0,$I788&lt;&gt;"Yes"),"T0-NoPhishResistant ","")&amp;IF($H788="No","NoMFA ","")&amp;IF(AND($E788="Yes",$G788=""),"NeverSignedIn ","")))</f>
        <v/>
      </c>
    </row>
    <row r="789" ht="15" customHeight="1" s="39">
      <c r="A789" s="85" t="n"/>
      <c r="B789" s="85" t="n"/>
      <c r="C789" s="85" t="n"/>
      <c r="D789" s="85" t="n"/>
      <c r="E789" s="85" t="n"/>
      <c r="F789" s="86" t="n"/>
      <c r="G789" s="86" t="n"/>
      <c r="H789" s="85" t="n"/>
      <c r="I789" s="85" t="n"/>
      <c r="J789" s="85" t="n"/>
      <c r="K789" s="85" t="n"/>
      <c r="L789" s="85" t="n"/>
      <c r="M789" s="85" t="n"/>
      <c r="N789" s="85" t="n"/>
      <c r="O789" s="85" t="n"/>
      <c r="P789" s="85" t="n"/>
      <c r="Q789" s="85" t="n"/>
      <c r="R789" s="85" t="n"/>
      <c r="S789" s="85">
        <f>IF($G789="","",TODAY()-$G789)</f>
        <v/>
      </c>
      <c r="T789" s="85">
        <f>IF($A789="","",IF(AND($E789="Yes",OR($O789="No",$O789="NOT FOUND")),"YES",""))</f>
        <v/>
      </c>
      <c r="U789" s="85">
        <f>IF($A789="","",TRIM(IF(AND($M789=0,$I789&lt;&gt;"Yes"),"T0-NoPhishResistant ","")&amp;IF($H789="No","NoMFA ","")&amp;IF(AND($E789="Yes",$G789=""),"NeverSignedIn ","")))</f>
        <v/>
      </c>
    </row>
    <row r="790" ht="15" customHeight="1" s="39">
      <c r="A790" s="85" t="n"/>
      <c r="B790" s="85" t="n"/>
      <c r="C790" s="85" t="n"/>
      <c r="D790" s="85" t="n"/>
      <c r="E790" s="85" t="n"/>
      <c r="F790" s="86" t="n"/>
      <c r="G790" s="86" t="n"/>
      <c r="H790" s="85" t="n"/>
      <c r="I790" s="85" t="n"/>
      <c r="J790" s="85" t="n"/>
      <c r="K790" s="85" t="n"/>
      <c r="L790" s="85" t="n"/>
      <c r="M790" s="85" t="n"/>
      <c r="N790" s="85" t="n"/>
      <c r="O790" s="85" t="n"/>
      <c r="P790" s="85" t="n"/>
      <c r="Q790" s="85" t="n"/>
      <c r="R790" s="85" t="n"/>
      <c r="S790" s="85">
        <f>IF($G790="","",TODAY()-$G790)</f>
        <v/>
      </c>
      <c r="T790" s="85">
        <f>IF($A790="","",IF(AND($E790="Yes",OR($O790="No",$O790="NOT FOUND")),"YES",""))</f>
        <v/>
      </c>
      <c r="U790" s="85">
        <f>IF($A790="","",TRIM(IF(AND($M790=0,$I790&lt;&gt;"Yes"),"T0-NoPhishResistant ","")&amp;IF($H790="No","NoMFA ","")&amp;IF(AND($E790="Yes",$G790=""),"NeverSignedIn ","")))</f>
        <v/>
      </c>
    </row>
    <row r="791" ht="15" customHeight="1" s="39">
      <c r="A791" s="85" t="n"/>
      <c r="B791" s="85" t="n"/>
      <c r="C791" s="85" t="n"/>
      <c r="D791" s="85" t="n"/>
      <c r="E791" s="85" t="n"/>
      <c r="F791" s="86" t="n"/>
      <c r="G791" s="86" t="n"/>
      <c r="H791" s="85" t="n"/>
      <c r="I791" s="85" t="n"/>
      <c r="J791" s="85" t="n"/>
      <c r="K791" s="85" t="n"/>
      <c r="L791" s="85" t="n"/>
      <c r="M791" s="85" t="n"/>
      <c r="N791" s="85" t="n"/>
      <c r="O791" s="85" t="n"/>
      <c r="P791" s="85" t="n"/>
      <c r="Q791" s="85" t="n"/>
      <c r="R791" s="85" t="n"/>
      <c r="S791" s="85">
        <f>IF($G791="","",TODAY()-$G791)</f>
        <v/>
      </c>
      <c r="T791" s="85">
        <f>IF($A791="","",IF(AND($E791="Yes",OR($O791="No",$O791="NOT FOUND")),"YES",""))</f>
        <v/>
      </c>
      <c r="U791" s="85">
        <f>IF($A791="","",TRIM(IF(AND($M791=0,$I791&lt;&gt;"Yes"),"T0-NoPhishResistant ","")&amp;IF($H791="No","NoMFA ","")&amp;IF(AND($E791="Yes",$G791=""),"NeverSignedIn ","")))</f>
        <v/>
      </c>
    </row>
    <row r="792" ht="15" customHeight="1" s="39">
      <c r="A792" s="85" t="n"/>
      <c r="B792" s="85" t="n"/>
      <c r="C792" s="85" t="n"/>
      <c r="D792" s="85" t="n"/>
      <c r="E792" s="85" t="n"/>
      <c r="F792" s="86" t="n"/>
      <c r="G792" s="86" t="n"/>
      <c r="H792" s="85" t="n"/>
      <c r="I792" s="85" t="n"/>
      <c r="J792" s="85" t="n"/>
      <c r="K792" s="85" t="n"/>
      <c r="L792" s="85" t="n"/>
      <c r="M792" s="85" t="n"/>
      <c r="N792" s="85" t="n"/>
      <c r="O792" s="85" t="n"/>
      <c r="P792" s="85" t="n"/>
      <c r="Q792" s="85" t="n"/>
      <c r="R792" s="85" t="n"/>
      <c r="S792" s="85">
        <f>IF($G792="","",TODAY()-$G792)</f>
        <v/>
      </c>
      <c r="T792" s="85">
        <f>IF($A792="","",IF(AND($E792="Yes",OR($O792="No",$O792="NOT FOUND")),"YES",""))</f>
        <v/>
      </c>
      <c r="U792" s="85">
        <f>IF($A792="","",TRIM(IF(AND($M792=0,$I792&lt;&gt;"Yes"),"T0-NoPhishResistant ","")&amp;IF($H792="No","NoMFA ","")&amp;IF(AND($E792="Yes",$G792=""),"NeverSignedIn ","")))</f>
        <v/>
      </c>
    </row>
    <row r="793" ht="15" customHeight="1" s="39">
      <c r="A793" s="85" t="n"/>
      <c r="B793" s="85" t="n"/>
      <c r="C793" s="85" t="n"/>
      <c r="D793" s="85" t="n"/>
      <c r="E793" s="85" t="n"/>
      <c r="F793" s="86" t="n"/>
      <c r="G793" s="86" t="n"/>
      <c r="H793" s="85" t="n"/>
      <c r="I793" s="85" t="n"/>
      <c r="J793" s="85" t="n"/>
      <c r="K793" s="85" t="n"/>
      <c r="L793" s="85" t="n"/>
      <c r="M793" s="85" t="n"/>
      <c r="N793" s="85" t="n"/>
      <c r="O793" s="85" t="n"/>
      <c r="P793" s="85" t="n"/>
      <c r="Q793" s="85" t="n"/>
      <c r="R793" s="85" t="n"/>
      <c r="S793" s="85">
        <f>IF($G793="","",TODAY()-$G793)</f>
        <v/>
      </c>
      <c r="T793" s="85">
        <f>IF($A793="","",IF(AND($E793="Yes",OR($O793="No",$O793="NOT FOUND")),"YES",""))</f>
        <v/>
      </c>
      <c r="U793" s="85">
        <f>IF($A793="","",TRIM(IF(AND($M793=0,$I793&lt;&gt;"Yes"),"T0-NoPhishResistant ","")&amp;IF($H793="No","NoMFA ","")&amp;IF(AND($E793="Yes",$G793=""),"NeverSignedIn ","")))</f>
        <v/>
      </c>
    </row>
    <row r="794" ht="15" customHeight="1" s="39">
      <c r="A794" s="85" t="n"/>
      <c r="B794" s="85" t="n"/>
      <c r="C794" s="85" t="n"/>
      <c r="D794" s="85" t="n"/>
      <c r="E794" s="85" t="n"/>
      <c r="F794" s="86" t="n"/>
      <c r="G794" s="86" t="n"/>
      <c r="H794" s="85" t="n"/>
      <c r="I794" s="85" t="n"/>
      <c r="J794" s="85" t="n"/>
      <c r="K794" s="85" t="n"/>
      <c r="L794" s="85" t="n"/>
      <c r="M794" s="85" t="n"/>
      <c r="N794" s="85" t="n"/>
      <c r="O794" s="85" t="n"/>
      <c r="P794" s="85" t="n"/>
      <c r="Q794" s="85" t="n"/>
      <c r="R794" s="85" t="n"/>
      <c r="S794" s="85">
        <f>IF($G794="","",TODAY()-$G794)</f>
        <v/>
      </c>
      <c r="T794" s="85">
        <f>IF($A794="","",IF(AND($E794="Yes",OR($O794="No",$O794="NOT FOUND")),"YES",""))</f>
        <v/>
      </c>
      <c r="U794" s="85">
        <f>IF($A794="","",TRIM(IF(AND($M794=0,$I794&lt;&gt;"Yes"),"T0-NoPhishResistant ","")&amp;IF($H794="No","NoMFA ","")&amp;IF(AND($E794="Yes",$G794=""),"NeverSignedIn ","")))</f>
        <v/>
      </c>
    </row>
    <row r="795" ht="15" customHeight="1" s="39">
      <c r="A795" s="85" t="n"/>
      <c r="B795" s="85" t="n"/>
      <c r="C795" s="85" t="n"/>
      <c r="D795" s="85" t="n"/>
      <c r="E795" s="85" t="n"/>
      <c r="F795" s="86" t="n"/>
      <c r="G795" s="86" t="n"/>
      <c r="H795" s="85" t="n"/>
      <c r="I795" s="85" t="n"/>
      <c r="J795" s="85" t="n"/>
      <c r="K795" s="85" t="n"/>
      <c r="L795" s="85" t="n"/>
      <c r="M795" s="85" t="n"/>
      <c r="N795" s="85" t="n"/>
      <c r="O795" s="85" t="n"/>
      <c r="P795" s="85" t="n"/>
      <c r="Q795" s="85" t="n"/>
      <c r="R795" s="85" t="n"/>
      <c r="S795" s="85">
        <f>IF($G795="","",TODAY()-$G795)</f>
        <v/>
      </c>
      <c r="T795" s="85">
        <f>IF($A795="","",IF(AND($E795="Yes",OR($O795="No",$O795="NOT FOUND")),"YES",""))</f>
        <v/>
      </c>
      <c r="U795" s="85">
        <f>IF($A795="","",TRIM(IF(AND($M795=0,$I795&lt;&gt;"Yes"),"T0-NoPhishResistant ","")&amp;IF($H795="No","NoMFA ","")&amp;IF(AND($E795="Yes",$G795=""),"NeverSignedIn ","")))</f>
        <v/>
      </c>
    </row>
    <row r="796" ht="15" customHeight="1" s="39">
      <c r="A796" s="85" t="n"/>
      <c r="B796" s="85" t="n"/>
      <c r="C796" s="85" t="n"/>
      <c r="D796" s="85" t="n"/>
      <c r="E796" s="85" t="n"/>
      <c r="F796" s="86" t="n"/>
      <c r="G796" s="86" t="n"/>
      <c r="H796" s="85" t="n"/>
      <c r="I796" s="85" t="n"/>
      <c r="J796" s="85" t="n"/>
      <c r="K796" s="85" t="n"/>
      <c r="L796" s="85" t="n"/>
      <c r="M796" s="85" t="n"/>
      <c r="N796" s="85" t="n"/>
      <c r="O796" s="85" t="n"/>
      <c r="P796" s="85" t="n"/>
      <c r="Q796" s="85" t="n"/>
      <c r="R796" s="85" t="n"/>
      <c r="S796" s="85">
        <f>IF($G796="","",TODAY()-$G796)</f>
        <v/>
      </c>
      <c r="T796" s="85">
        <f>IF($A796="","",IF(AND($E796="Yes",OR($O796="No",$O796="NOT FOUND")),"YES",""))</f>
        <v/>
      </c>
      <c r="U796" s="85">
        <f>IF($A796="","",TRIM(IF(AND($M796=0,$I796&lt;&gt;"Yes"),"T0-NoPhishResistant ","")&amp;IF($H796="No","NoMFA ","")&amp;IF(AND($E796="Yes",$G796=""),"NeverSignedIn ","")))</f>
        <v/>
      </c>
    </row>
    <row r="797" ht="15" customHeight="1" s="39">
      <c r="A797" s="85" t="n"/>
      <c r="B797" s="85" t="n"/>
      <c r="C797" s="85" t="n"/>
      <c r="D797" s="85" t="n"/>
      <c r="E797" s="85" t="n"/>
      <c r="F797" s="86" t="n"/>
      <c r="G797" s="86" t="n"/>
      <c r="H797" s="85" t="n"/>
      <c r="I797" s="85" t="n"/>
      <c r="J797" s="85" t="n"/>
      <c r="K797" s="85" t="n"/>
      <c r="L797" s="85" t="n"/>
      <c r="M797" s="85" t="n"/>
      <c r="N797" s="85" t="n"/>
      <c r="O797" s="85" t="n"/>
      <c r="P797" s="85" t="n"/>
      <c r="Q797" s="85" t="n"/>
      <c r="R797" s="85" t="n"/>
      <c r="S797" s="85">
        <f>IF($G797="","",TODAY()-$G797)</f>
        <v/>
      </c>
      <c r="T797" s="85">
        <f>IF($A797="","",IF(AND($E797="Yes",OR($O797="No",$O797="NOT FOUND")),"YES",""))</f>
        <v/>
      </c>
      <c r="U797" s="85">
        <f>IF($A797="","",TRIM(IF(AND($M797=0,$I797&lt;&gt;"Yes"),"T0-NoPhishResistant ","")&amp;IF($H797="No","NoMFA ","")&amp;IF(AND($E797="Yes",$G797=""),"NeverSignedIn ","")))</f>
        <v/>
      </c>
    </row>
    <row r="798" ht="15" customHeight="1" s="39">
      <c r="A798" s="85" t="n"/>
      <c r="B798" s="85" t="n"/>
      <c r="C798" s="85" t="n"/>
      <c r="D798" s="85" t="n"/>
      <c r="E798" s="85" t="n"/>
      <c r="F798" s="86" t="n"/>
      <c r="G798" s="86" t="n"/>
      <c r="H798" s="85" t="n"/>
      <c r="I798" s="85" t="n"/>
      <c r="J798" s="85" t="n"/>
      <c r="K798" s="85" t="n"/>
      <c r="L798" s="85" t="n"/>
      <c r="M798" s="85" t="n"/>
      <c r="N798" s="85" t="n"/>
      <c r="O798" s="85" t="n"/>
      <c r="P798" s="85" t="n"/>
      <c r="Q798" s="85" t="n"/>
      <c r="R798" s="85" t="n"/>
      <c r="S798" s="85">
        <f>IF($G798="","",TODAY()-$G798)</f>
        <v/>
      </c>
      <c r="T798" s="85">
        <f>IF($A798="","",IF(AND($E798="Yes",OR($O798="No",$O798="NOT FOUND")),"YES",""))</f>
        <v/>
      </c>
      <c r="U798" s="85">
        <f>IF($A798="","",TRIM(IF(AND($M798=0,$I798&lt;&gt;"Yes"),"T0-NoPhishResistant ","")&amp;IF($H798="No","NoMFA ","")&amp;IF(AND($E798="Yes",$G798=""),"NeverSignedIn ","")))</f>
        <v/>
      </c>
    </row>
    <row r="799" ht="15" customHeight="1" s="39">
      <c r="A799" s="85" t="n"/>
      <c r="B799" s="85" t="n"/>
      <c r="C799" s="85" t="n"/>
      <c r="D799" s="85" t="n"/>
      <c r="E799" s="85" t="n"/>
      <c r="F799" s="86" t="n"/>
      <c r="G799" s="86" t="n"/>
      <c r="H799" s="85" t="n"/>
      <c r="I799" s="85" t="n"/>
      <c r="J799" s="85" t="n"/>
      <c r="K799" s="85" t="n"/>
      <c r="L799" s="85" t="n"/>
      <c r="M799" s="85" t="n"/>
      <c r="N799" s="85" t="n"/>
      <c r="O799" s="85" t="n"/>
      <c r="P799" s="85" t="n"/>
      <c r="Q799" s="85" t="n"/>
      <c r="R799" s="85" t="n"/>
      <c r="S799" s="85">
        <f>IF($G799="","",TODAY()-$G799)</f>
        <v/>
      </c>
      <c r="T799" s="85">
        <f>IF($A799="","",IF(AND($E799="Yes",OR($O799="No",$O799="NOT FOUND")),"YES",""))</f>
        <v/>
      </c>
      <c r="U799" s="85">
        <f>IF($A799="","",TRIM(IF(AND($M799=0,$I799&lt;&gt;"Yes"),"T0-NoPhishResistant ","")&amp;IF($H799="No","NoMFA ","")&amp;IF(AND($E799="Yes",$G799=""),"NeverSignedIn ","")))</f>
        <v/>
      </c>
    </row>
    <row r="800" ht="15" customHeight="1" s="39">
      <c r="A800" s="85" t="n"/>
      <c r="B800" s="85" t="n"/>
      <c r="C800" s="85" t="n"/>
      <c r="D800" s="85" t="n"/>
      <c r="E800" s="85" t="n"/>
      <c r="F800" s="86" t="n"/>
      <c r="G800" s="86" t="n"/>
      <c r="H800" s="85" t="n"/>
      <c r="I800" s="85" t="n"/>
      <c r="J800" s="85" t="n"/>
      <c r="K800" s="85" t="n"/>
      <c r="L800" s="85" t="n"/>
      <c r="M800" s="85" t="n"/>
      <c r="N800" s="85" t="n"/>
      <c r="O800" s="85" t="n"/>
      <c r="P800" s="85" t="n"/>
      <c r="Q800" s="85" t="n"/>
      <c r="R800" s="85" t="n"/>
      <c r="S800" s="85">
        <f>IF($G800="","",TODAY()-$G800)</f>
        <v/>
      </c>
      <c r="T800" s="85">
        <f>IF($A800="","",IF(AND($E800="Yes",OR($O800="No",$O800="NOT FOUND")),"YES",""))</f>
        <v/>
      </c>
      <c r="U800" s="85">
        <f>IF($A800="","",TRIM(IF(AND($M800=0,$I800&lt;&gt;"Yes"),"T0-NoPhishResistant ","")&amp;IF($H800="No","NoMFA ","")&amp;IF(AND($E800="Yes",$G800=""),"NeverSignedIn ","")))</f>
        <v/>
      </c>
    </row>
    <row r="801" ht="15" customHeight="1" s="39">
      <c r="A801" s="85" t="n"/>
      <c r="B801" s="85" t="n"/>
      <c r="C801" s="85" t="n"/>
      <c r="D801" s="85" t="n"/>
      <c r="E801" s="85" t="n"/>
      <c r="F801" s="86" t="n"/>
      <c r="G801" s="86" t="n"/>
      <c r="H801" s="85" t="n"/>
      <c r="I801" s="85" t="n"/>
      <c r="J801" s="85" t="n"/>
      <c r="K801" s="85" t="n"/>
      <c r="L801" s="85" t="n"/>
      <c r="M801" s="85" t="n"/>
      <c r="N801" s="85" t="n"/>
      <c r="O801" s="85" t="n"/>
      <c r="P801" s="85" t="n"/>
      <c r="Q801" s="85" t="n"/>
      <c r="R801" s="85" t="n"/>
      <c r="S801" s="85">
        <f>IF($G801="","",TODAY()-$G801)</f>
        <v/>
      </c>
      <c r="T801" s="85">
        <f>IF($A801="","",IF(AND($E801="Yes",OR($O801="No",$O801="NOT FOUND")),"YES",""))</f>
        <v/>
      </c>
      <c r="U801" s="85">
        <f>IF($A801="","",TRIM(IF(AND($M801=0,$I801&lt;&gt;"Yes"),"T0-NoPhishResistant ","")&amp;IF($H801="No","NoMFA ","")&amp;IF(AND($E801="Yes",$G801=""),"NeverSignedIn ","")))</f>
        <v/>
      </c>
    </row>
    <row r="802" ht="15" customHeight="1" s="39">
      <c r="A802" s="85" t="n"/>
      <c r="B802" s="85" t="n"/>
      <c r="C802" s="85" t="n"/>
      <c r="D802" s="85" t="n"/>
      <c r="E802" s="85" t="n"/>
      <c r="F802" s="86" t="n"/>
      <c r="G802" s="86" t="n"/>
      <c r="H802" s="85" t="n"/>
      <c r="I802" s="85" t="n"/>
      <c r="J802" s="85" t="n"/>
      <c r="K802" s="85" t="n"/>
      <c r="L802" s="85" t="n"/>
      <c r="M802" s="85" t="n"/>
      <c r="N802" s="85" t="n"/>
      <c r="O802" s="85" t="n"/>
      <c r="P802" s="85" t="n"/>
      <c r="Q802" s="85" t="n"/>
      <c r="R802" s="85" t="n"/>
      <c r="S802" s="85">
        <f>IF($G802="","",TODAY()-$G802)</f>
        <v/>
      </c>
      <c r="T802" s="85">
        <f>IF($A802="","",IF(AND($E802="Yes",OR($O802="No",$O802="NOT FOUND")),"YES",""))</f>
        <v/>
      </c>
      <c r="U802" s="85">
        <f>IF($A802="","",TRIM(IF(AND($M802=0,$I802&lt;&gt;"Yes"),"T0-NoPhishResistant ","")&amp;IF($H802="No","NoMFA ","")&amp;IF(AND($E802="Yes",$G802=""),"NeverSignedIn ","")))</f>
        <v/>
      </c>
    </row>
    <row r="803" ht="15" customHeight="1" s="39">
      <c r="A803" s="85" t="n"/>
      <c r="B803" s="85" t="n"/>
      <c r="C803" s="85" t="n"/>
      <c r="D803" s="85" t="n"/>
      <c r="E803" s="85" t="n"/>
      <c r="F803" s="86" t="n"/>
      <c r="G803" s="86" t="n"/>
      <c r="H803" s="85" t="n"/>
      <c r="I803" s="85" t="n"/>
      <c r="J803" s="85" t="n"/>
      <c r="K803" s="85" t="n"/>
      <c r="L803" s="85" t="n"/>
      <c r="M803" s="85" t="n"/>
      <c r="N803" s="85" t="n"/>
      <c r="O803" s="85" t="n"/>
      <c r="P803" s="85" t="n"/>
      <c r="Q803" s="85" t="n"/>
      <c r="R803" s="85" t="n"/>
      <c r="S803" s="85">
        <f>IF($G803="","",TODAY()-$G803)</f>
        <v/>
      </c>
      <c r="T803" s="85">
        <f>IF($A803="","",IF(AND($E803="Yes",OR($O803="No",$O803="NOT FOUND")),"YES",""))</f>
        <v/>
      </c>
      <c r="U803" s="85">
        <f>IF($A803="","",TRIM(IF(AND($M803=0,$I803&lt;&gt;"Yes"),"T0-NoPhishResistant ","")&amp;IF($H803="No","NoMFA ","")&amp;IF(AND($E803="Yes",$G803=""),"NeverSignedIn ","")))</f>
        <v/>
      </c>
    </row>
    <row r="804" ht="15" customHeight="1" s="39">
      <c r="A804" s="85" t="n"/>
      <c r="B804" s="85" t="n"/>
      <c r="C804" s="85" t="n"/>
      <c r="D804" s="85" t="n"/>
      <c r="E804" s="85" t="n"/>
      <c r="F804" s="86" t="n"/>
      <c r="G804" s="86" t="n"/>
      <c r="H804" s="85" t="n"/>
      <c r="I804" s="85" t="n"/>
      <c r="J804" s="85" t="n"/>
      <c r="K804" s="85" t="n"/>
      <c r="L804" s="85" t="n"/>
      <c r="M804" s="85" t="n"/>
      <c r="N804" s="85" t="n"/>
      <c r="O804" s="85" t="n"/>
      <c r="P804" s="85" t="n"/>
      <c r="Q804" s="85" t="n"/>
      <c r="R804" s="85" t="n"/>
      <c r="S804" s="85">
        <f>IF($G804="","",TODAY()-$G804)</f>
        <v/>
      </c>
      <c r="T804" s="85">
        <f>IF($A804="","",IF(AND($E804="Yes",OR($O804="No",$O804="NOT FOUND")),"YES",""))</f>
        <v/>
      </c>
      <c r="U804" s="85">
        <f>IF($A804="","",TRIM(IF(AND($M804=0,$I804&lt;&gt;"Yes"),"T0-NoPhishResistant ","")&amp;IF($H804="No","NoMFA ","")&amp;IF(AND($E804="Yes",$G804=""),"NeverSignedIn ","")))</f>
        <v/>
      </c>
    </row>
    <row r="805" ht="15" customHeight="1" s="39">
      <c r="A805" s="85" t="n"/>
      <c r="B805" s="85" t="n"/>
      <c r="C805" s="85" t="n"/>
      <c r="D805" s="85" t="n"/>
      <c r="E805" s="85" t="n"/>
      <c r="F805" s="86" t="n"/>
      <c r="G805" s="86" t="n"/>
      <c r="H805" s="85" t="n"/>
      <c r="I805" s="85" t="n"/>
      <c r="J805" s="85" t="n"/>
      <c r="K805" s="85" t="n"/>
      <c r="L805" s="85" t="n"/>
      <c r="M805" s="85" t="n"/>
      <c r="N805" s="85" t="n"/>
      <c r="O805" s="85" t="n"/>
      <c r="P805" s="85" t="n"/>
      <c r="Q805" s="85" t="n"/>
      <c r="R805" s="85" t="n"/>
      <c r="S805" s="85">
        <f>IF($G805="","",TODAY()-$G805)</f>
        <v/>
      </c>
      <c r="T805" s="85">
        <f>IF($A805="","",IF(AND($E805="Yes",OR($O805="No",$O805="NOT FOUND")),"YES",""))</f>
        <v/>
      </c>
      <c r="U805" s="85">
        <f>IF($A805="","",TRIM(IF(AND($M805=0,$I805&lt;&gt;"Yes"),"T0-NoPhishResistant ","")&amp;IF($H805="No","NoMFA ","")&amp;IF(AND($E805="Yes",$G805=""),"NeverSignedIn ","")))</f>
        <v/>
      </c>
    </row>
    <row r="806" ht="15" customHeight="1" s="39">
      <c r="A806" s="85" t="n"/>
      <c r="B806" s="85" t="n"/>
      <c r="C806" s="85" t="n"/>
      <c r="D806" s="85" t="n"/>
      <c r="E806" s="85" t="n"/>
      <c r="F806" s="86" t="n"/>
      <c r="G806" s="86" t="n"/>
      <c r="H806" s="85" t="n"/>
      <c r="I806" s="85" t="n"/>
      <c r="J806" s="85" t="n"/>
      <c r="K806" s="85" t="n"/>
      <c r="L806" s="85" t="n"/>
      <c r="M806" s="85" t="n"/>
      <c r="N806" s="85" t="n"/>
      <c r="O806" s="85" t="n"/>
      <c r="P806" s="85" t="n"/>
      <c r="Q806" s="85" t="n"/>
      <c r="R806" s="85" t="n"/>
      <c r="S806" s="85">
        <f>IF($G806="","",TODAY()-$G806)</f>
        <v/>
      </c>
      <c r="T806" s="85">
        <f>IF($A806="","",IF(AND($E806="Yes",OR($O806="No",$O806="NOT FOUND")),"YES",""))</f>
        <v/>
      </c>
      <c r="U806" s="85">
        <f>IF($A806="","",TRIM(IF(AND($M806=0,$I806&lt;&gt;"Yes"),"T0-NoPhishResistant ","")&amp;IF($H806="No","NoMFA ","")&amp;IF(AND($E806="Yes",$G806=""),"NeverSignedIn ","")))</f>
        <v/>
      </c>
    </row>
    <row r="807" ht="15" customHeight="1" s="39">
      <c r="A807" s="85" t="n"/>
      <c r="B807" s="85" t="n"/>
      <c r="C807" s="85" t="n"/>
      <c r="D807" s="85" t="n"/>
      <c r="E807" s="85" t="n"/>
      <c r="F807" s="86" t="n"/>
      <c r="G807" s="86" t="n"/>
      <c r="H807" s="85" t="n"/>
      <c r="I807" s="85" t="n"/>
      <c r="J807" s="85" t="n"/>
      <c r="K807" s="85" t="n"/>
      <c r="L807" s="85" t="n"/>
      <c r="M807" s="85" t="n"/>
      <c r="N807" s="85" t="n"/>
      <c r="O807" s="85" t="n"/>
      <c r="P807" s="85" t="n"/>
      <c r="Q807" s="85" t="n"/>
      <c r="R807" s="85" t="n"/>
      <c r="S807" s="85">
        <f>IF($G807="","",TODAY()-$G807)</f>
        <v/>
      </c>
      <c r="T807" s="85">
        <f>IF($A807="","",IF(AND($E807="Yes",OR($O807="No",$O807="NOT FOUND")),"YES",""))</f>
        <v/>
      </c>
      <c r="U807" s="85">
        <f>IF($A807="","",TRIM(IF(AND($M807=0,$I807&lt;&gt;"Yes"),"T0-NoPhishResistant ","")&amp;IF($H807="No","NoMFA ","")&amp;IF(AND($E807="Yes",$G807=""),"NeverSignedIn ","")))</f>
        <v/>
      </c>
    </row>
    <row r="808" ht="15" customHeight="1" s="39">
      <c r="A808" s="85" t="n"/>
      <c r="B808" s="85" t="n"/>
      <c r="C808" s="85" t="n"/>
      <c r="D808" s="85" t="n"/>
      <c r="E808" s="85" t="n"/>
      <c r="F808" s="86" t="n"/>
      <c r="G808" s="86" t="n"/>
      <c r="H808" s="85" t="n"/>
      <c r="I808" s="85" t="n"/>
      <c r="J808" s="85" t="n"/>
      <c r="K808" s="85" t="n"/>
      <c r="L808" s="85" t="n"/>
      <c r="M808" s="85" t="n"/>
      <c r="N808" s="85" t="n"/>
      <c r="O808" s="85" t="n"/>
      <c r="P808" s="85" t="n"/>
      <c r="Q808" s="85" t="n"/>
      <c r="R808" s="85" t="n"/>
      <c r="S808" s="85">
        <f>IF($G808="","",TODAY()-$G808)</f>
        <v/>
      </c>
      <c r="T808" s="85">
        <f>IF($A808="","",IF(AND($E808="Yes",OR($O808="No",$O808="NOT FOUND")),"YES",""))</f>
        <v/>
      </c>
      <c r="U808" s="85">
        <f>IF($A808="","",TRIM(IF(AND($M808=0,$I808&lt;&gt;"Yes"),"T0-NoPhishResistant ","")&amp;IF($H808="No","NoMFA ","")&amp;IF(AND($E808="Yes",$G808=""),"NeverSignedIn ","")))</f>
        <v/>
      </c>
    </row>
    <row r="809" ht="15" customHeight="1" s="39">
      <c r="A809" s="85" t="n"/>
      <c r="B809" s="85" t="n"/>
      <c r="C809" s="85" t="n"/>
      <c r="D809" s="85" t="n"/>
      <c r="E809" s="85" t="n"/>
      <c r="F809" s="86" t="n"/>
      <c r="G809" s="86" t="n"/>
      <c r="H809" s="85" t="n"/>
      <c r="I809" s="85" t="n"/>
      <c r="J809" s="85" t="n"/>
      <c r="K809" s="85" t="n"/>
      <c r="L809" s="85" t="n"/>
      <c r="M809" s="85" t="n"/>
      <c r="N809" s="85" t="n"/>
      <c r="O809" s="85" t="n"/>
      <c r="P809" s="85" t="n"/>
      <c r="Q809" s="85" t="n"/>
      <c r="R809" s="85" t="n"/>
      <c r="S809" s="85">
        <f>IF($G809="","",TODAY()-$G809)</f>
        <v/>
      </c>
      <c r="T809" s="85">
        <f>IF($A809="","",IF(AND($E809="Yes",OR($O809="No",$O809="NOT FOUND")),"YES",""))</f>
        <v/>
      </c>
      <c r="U809" s="85">
        <f>IF($A809="","",TRIM(IF(AND($M809=0,$I809&lt;&gt;"Yes"),"T0-NoPhishResistant ","")&amp;IF($H809="No","NoMFA ","")&amp;IF(AND($E809="Yes",$G809=""),"NeverSignedIn ","")))</f>
        <v/>
      </c>
    </row>
    <row r="810" ht="15" customHeight="1" s="39">
      <c r="A810" s="85" t="n"/>
      <c r="B810" s="85" t="n"/>
      <c r="C810" s="85" t="n"/>
      <c r="D810" s="85" t="n"/>
      <c r="E810" s="85" t="n"/>
      <c r="F810" s="86" t="n"/>
      <c r="G810" s="86" t="n"/>
      <c r="H810" s="85" t="n"/>
      <c r="I810" s="85" t="n"/>
      <c r="J810" s="85" t="n"/>
      <c r="K810" s="85" t="n"/>
      <c r="L810" s="85" t="n"/>
      <c r="M810" s="85" t="n"/>
      <c r="N810" s="85" t="n"/>
      <c r="O810" s="85" t="n"/>
      <c r="P810" s="85" t="n"/>
      <c r="Q810" s="85" t="n"/>
      <c r="R810" s="85" t="n"/>
      <c r="S810" s="85">
        <f>IF($G810="","",TODAY()-$G810)</f>
        <v/>
      </c>
      <c r="T810" s="85">
        <f>IF($A810="","",IF(AND($E810="Yes",OR($O810="No",$O810="NOT FOUND")),"YES",""))</f>
        <v/>
      </c>
      <c r="U810" s="85">
        <f>IF($A810="","",TRIM(IF(AND($M810=0,$I810&lt;&gt;"Yes"),"T0-NoPhishResistant ","")&amp;IF($H810="No","NoMFA ","")&amp;IF(AND($E810="Yes",$G810=""),"NeverSignedIn ","")))</f>
        <v/>
      </c>
    </row>
    <row r="811" ht="15" customHeight="1" s="39">
      <c r="A811" s="85" t="n"/>
      <c r="B811" s="85" t="n"/>
      <c r="C811" s="85" t="n"/>
      <c r="D811" s="85" t="n"/>
      <c r="E811" s="85" t="n"/>
      <c r="F811" s="86" t="n"/>
      <c r="G811" s="86" t="n"/>
      <c r="H811" s="85" t="n"/>
      <c r="I811" s="85" t="n"/>
      <c r="J811" s="85" t="n"/>
      <c r="K811" s="85" t="n"/>
      <c r="L811" s="85" t="n"/>
      <c r="M811" s="85" t="n"/>
      <c r="N811" s="85" t="n"/>
      <c r="O811" s="85" t="n"/>
      <c r="P811" s="85" t="n"/>
      <c r="Q811" s="85" t="n"/>
      <c r="R811" s="85" t="n"/>
      <c r="S811" s="85">
        <f>IF($G811="","",TODAY()-$G811)</f>
        <v/>
      </c>
      <c r="T811" s="85">
        <f>IF($A811="","",IF(AND($E811="Yes",OR($O811="No",$O811="NOT FOUND")),"YES",""))</f>
        <v/>
      </c>
      <c r="U811" s="85">
        <f>IF($A811="","",TRIM(IF(AND($M811=0,$I811&lt;&gt;"Yes"),"T0-NoPhishResistant ","")&amp;IF($H811="No","NoMFA ","")&amp;IF(AND($E811="Yes",$G811=""),"NeverSignedIn ","")))</f>
        <v/>
      </c>
    </row>
    <row r="812" ht="15" customHeight="1" s="39">
      <c r="A812" s="85" t="n"/>
      <c r="B812" s="85" t="n"/>
      <c r="C812" s="85" t="n"/>
      <c r="D812" s="85" t="n"/>
      <c r="E812" s="85" t="n"/>
      <c r="F812" s="86" t="n"/>
      <c r="G812" s="86" t="n"/>
      <c r="H812" s="85" t="n"/>
      <c r="I812" s="85" t="n"/>
      <c r="J812" s="85" t="n"/>
      <c r="K812" s="85" t="n"/>
      <c r="L812" s="85" t="n"/>
      <c r="M812" s="85" t="n"/>
      <c r="N812" s="85" t="n"/>
      <c r="O812" s="85" t="n"/>
      <c r="P812" s="85" t="n"/>
      <c r="Q812" s="85" t="n"/>
      <c r="R812" s="85" t="n"/>
      <c r="S812" s="85">
        <f>IF($G812="","",TODAY()-$G812)</f>
        <v/>
      </c>
      <c r="T812" s="85">
        <f>IF($A812="","",IF(AND($E812="Yes",OR($O812="No",$O812="NOT FOUND")),"YES",""))</f>
        <v/>
      </c>
      <c r="U812" s="85">
        <f>IF($A812="","",TRIM(IF(AND($M812=0,$I812&lt;&gt;"Yes"),"T0-NoPhishResistant ","")&amp;IF($H812="No","NoMFA ","")&amp;IF(AND($E812="Yes",$G812=""),"NeverSignedIn ","")))</f>
        <v/>
      </c>
    </row>
    <row r="813" ht="15" customHeight="1" s="39">
      <c r="A813" s="85" t="n"/>
      <c r="B813" s="85" t="n"/>
      <c r="C813" s="85" t="n"/>
      <c r="D813" s="85" t="n"/>
      <c r="E813" s="85" t="n"/>
      <c r="F813" s="86" t="n"/>
      <c r="G813" s="86" t="n"/>
      <c r="H813" s="85" t="n"/>
      <c r="I813" s="85" t="n"/>
      <c r="J813" s="85" t="n"/>
      <c r="K813" s="85" t="n"/>
      <c r="L813" s="85" t="n"/>
      <c r="M813" s="85" t="n"/>
      <c r="N813" s="85" t="n"/>
      <c r="O813" s="85" t="n"/>
      <c r="P813" s="85" t="n"/>
      <c r="Q813" s="85" t="n"/>
      <c r="R813" s="85" t="n"/>
      <c r="S813" s="85">
        <f>IF($G813="","",TODAY()-$G813)</f>
        <v/>
      </c>
      <c r="T813" s="85">
        <f>IF($A813="","",IF(AND($E813="Yes",OR($O813="No",$O813="NOT FOUND")),"YES",""))</f>
        <v/>
      </c>
      <c r="U813" s="85">
        <f>IF($A813="","",TRIM(IF(AND($M813=0,$I813&lt;&gt;"Yes"),"T0-NoPhishResistant ","")&amp;IF($H813="No","NoMFA ","")&amp;IF(AND($E813="Yes",$G813=""),"NeverSignedIn ","")))</f>
        <v/>
      </c>
    </row>
    <row r="814" ht="15" customHeight="1" s="39">
      <c r="A814" s="85" t="n"/>
      <c r="B814" s="85" t="n"/>
      <c r="C814" s="85" t="n"/>
      <c r="D814" s="85" t="n"/>
      <c r="E814" s="85" t="n"/>
      <c r="F814" s="86" t="n"/>
      <c r="G814" s="86" t="n"/>
      <c r="H814" s="85" t="n"/>
      <c r="I814" s="85" t="n"/>
      <c r="J814" s="85" t="n"/>
      <c r="K814" s="85" t="n"/>
      <c r="L814" s="85" t="n"/>
      <c r="M814" s="85" t="n"/>
      <c r="N814" s="85" t="n"/>
      <c r="O814" s="85" t="n"/>
      <c r="P814" s="85" t="n"/>
      <c r="Q814" s="85" t="n"/>
      <c r="R814" s="85" t="n"/>
      <c r="S814" s="85">
        <f>IF($G814="","",TODAY()-$G814)</f>
        <v/>
      </c>
      <c r="T814" s="85">
        <f>IF($A814="","",IF(AND($E814="Yes",OR($O814="No",$O814="NOT FOUND")),"YES",""))</f>
        <v/>
      </c>
      <c r="U814" s="85">
        <f>IF($A814="","",TRIM(IF(AND($M814=0,$I814&lt;&gt;"Yes"),"T0-NoPhishResistant ","")&amp;IF($H814="No","NoMFA ","")&amp;IF(AND($E814="Yes",$G814=""),"NeverSignedIn ","")))</f>
        <v/>
      </c>
    </row>
    <row r="815" ht="15" customHeight="1" s="39">
      <c r="A815" s="85" t="n"/>
      <c r="B815" s="85" t="n"/>
      <c r="C815" s="85" t="n"/>
      <c r="D815" s="85" t="n"/>
      <c r="E815" s="85" t="n"/>
      <c r="F815" s="86" t="n"/>
      <c r="G815" s="86" t="n"/>
      <c r="H815" s="85" t="n"/>
      <c r="I815" s="85" t="n"/>
      <c r="J815" s="85" t="n"/>
      <c r="K815" s="85" t="n"/>
      <c r="L815" s="85" t="n"/>
      <c r="M815" s="85" t="n"/>
      <c r="N815" s="85" t="n"/>
      <c r="O815" s="85" t="n"/>
      <c r="P815" s="85" t="n"/>
      <c r="Q815" s="85" t="n"/>
      <c r="R815" s="85" t="n"/>
      <c r="S815" s="85">
        <f>IF($G815="","",TODAY()-$G815)</f>
        <v/>
      </c>
      <c r="T815" s="85">
        <f>IF($A815="","",IF(AND($E815="Yes",OR($O815="No",$O815="NOT FOUND")),"YES",""))</f>
        <v/>
      </c>
      <c r="U815" s="85">
        <f>IF($A815="","",TRIM(IF(AND($M815=0,$I815&lt;&gt;"Yes"),"T0-NoPhishResistant ","")&amp;IF($H815="No","NoMFA ","")&amp;IF(AND($E815="Yes",$G815=""),"NeverSignedIn ","")))</f>
        <v/>
      </c>
    </row>
    <row r="816" ht="15" customHeight="1" s="39">
      <c r="A816" s="85" t="n"/>
      <c r="B816" s="85" t="n"/>
      <c r="C816" s="85" t="n"/>
      <c r="D816" s="85" t="n"/>
      <c r="E816" s="85" t="n"/>
      <c r="F816" s="86" t="n"/>
      <c r="G816" s="86" t="n"/>
      <c r="H816" s="85" t="n"/>
      <c r="I816" s="85" t="n"/>
      <c r="J816" s="85" t="n"/>
      <c r="K816" s="85" t="n"/>
      <c r="L816" s="85" t="n"/>
      <c r="M816" s="85" t="n"/>
      <c r="N816" s="85" t="n"/>
      <c r="O816" s="85" t="n"/>
      <c r="P816" s="85" t="n"/>
      <c r="Q816" s="85" t="n"/>
      <c r="R816" s="85" t="n"/>
      <c r="S816" s="85">
        <f>IF($G816="","",TODAY()-$G816)</f>
        <v/>
      </c>
      <c r="T816" s="85">
        <f>IF($A816="","",IF(AND($E816="Yes",OR($O816="No",$O816="NOT FOUND")),"YES",""))</f>
        <v/>
      </c>
      <c r="U816" s="85">
        <f>IF($A816="","",TRIM(IF(AND($M816=0,$I816&lt;&gt;"Yes"),"T0-NoPhishResistant ","")&amp;IF($H816="No","NoMFA ","")&amp;IF(AND($E816="Yes",$G816=""),"NeverSignedIn ","")))</f>
        <v/>
      </c>
    </row>
    <row r="817" ht="15" customHeight="1" s="39">
      <c r="A817" s="85" t="n"/>
      <c r="B817" s="85" t="n"/>
      <c r="C817" s="85" t="n"/>
      <c r="D817" s="85" t="n"/>
      <c r="E817" s="85" t="n"/>
      <c r="F817" s="86" t="n"/>
      <c r="G817" s="86" t="n"/>
      <c r="H817" s="85" t="n"/>
      <c r="I817" s="85" t="n"/>
      <c r="J817" s="85" t="n"/>
      <c r="K817" s="85" t="n"/>
      <c r="L817" s="85" t="n"/>
      <c r="M817" s="85" t="n"/>
      <c r="N817" s="85" t="n"/>
      <c r="O817" s="85" t="n"/>
      <c r="P817" s="85" t="n"/>
      <c r="Q817" s="85" t="n"/>
      <c r="R817" s="85" t="n"/>
      <c r="S817" s="85">
        <f>IF($G817="","",TODAY()-$G817)</f>
        <v/>
      </c>
      <c r="T817" s="85">
        <f>IF($A817="","",IF(AND($E817="Yes",OR($O817="No",$O817="NOT FOUND")),"YES",""))</f>
        <v/>
      </c>
      <c r="U817" s="85">
        <f>IF($A817="","",TRIM(IF(AND($M817=0,$I817&lt;&gt;"Yes"),"T0-NoPhishResistant ","")&amp;IF($H817="No","NoMFA ","")&amp;IF(AND($E817="Yes",$G817=""),"NeverSignedIn ","")))</f>
        <v/>
      </c>
    </row>
    <row r="818" ht="15" customHeight="1" s="39">
      <c r="A818" s="85" t="n"/>
      <c r="B818" s="85" t="n"/>
      <c r="C818" s="85" t="n"/>
      <c r="D818" s="85" t="n"/>
      <c r="E818" s="85" t="n"/>
      <c r="F818" s="86" t="n"/>
      <c r="G818" s="86" t="n"/>
      <c r="H818" s="85" t="n"/>
      <c r="I818" s="85" t="n"/>
      <c r="J818" s="85" t="n"/>
      <c r="K818" s="85" t="n"/>
      <c r="L818" s="85" t="n"/>
      <c r="M818" s="85" t="n"/>
      <c r="N818" s="85" t="n"/>
      <c r="O818" s="85" t="n"/>
      <c r="P818" s="85" t="n"/>
      <c r="Q818" s="85" t="n"/>
      <c r="R818" s="85" t="n"/>
      <c r="S818" s="85">
        <f>IF($G818="","",TODAY()-$G818)</f>
        <v/>
      </c>
      <c r="T818" s="85">
        <f>IF($A818="","",IF(AND($E818="Yes",OR($O818="No",$O818="NOT FOUND")),"YES",""))</f>
        <v/>
      </c>
      <c r="U818" s="85">
        <f>IF($A818="","",TRIM(IF(AND($M818=0,$I818&lt;&gt;"Yes"),"T0-NoPhishResistant ","")&amp;IF($H818="No","NoMFA ","")&amp;IF(AND($E818="Yes",$G818=""),"NeverSignedIn ","")))</f>
        <v/>
      </c>
    </row>
    <row r="819" ht="15" customHeight="1" s="39">
      <c r="A819" s="85" t="n"/>
      <c r="B819" s="85" t="n"/>
      <c r="C819" s="85" t="n"/>
      <c r="D819" s="85" t="n"/>
      <c r="E819" s="85" t="n"/>
      <c r="F819" s="86" t="n"/>
      <c r="G819" s="86" t="n"/>
      <c r="H819" s="85" t="n"/>
      <c r="I819" s="85" t="n"/>
      <c r="J819" s="85" t="n"/>
      <c r="K819" s="85" t="n"/>
      <c r="L819" s="85" t="n"/>
      <c r="M819" s="85" t="n"/>
      <c r="N819" s="85" t="n"/>
      <c r="O819" s="85" t="n"/>
      <c r="P819" s="85" t="n"/>
      <c r="Q819" s="85" t="n"/>
      <c r="R819" s="85" t="n"/>
      <c r="S819" s="85">
        <f>IF($G819="","",TODAY()-$G819)</f>
        <v/>
      </c>
      <c r="T819" s="85">
        <f>IF($A819="","",IF(AND($E819="Yes",OR($O819="No",$O819="NOT FOUND")),"YES",""))</f>
        <v/>
      </c>
      <c r="U819" s="85">
        <f>IF($A819="","",TRIM(IF(AND($M819=0,$I819&lt;&gt;"Yes"),"T0-NoPhishResistant ","")&amp;IF($H819="No","NoMFA ","")&amp;IF(AND($E819="Yes",$G819=""),"NeverSignedIn ","")))</f>
        <v/>
      </c>
    </row>
    <row r="820" ht="15" customHeight="1" s="39">
      <c r="A820" s="85" t="n"/>
      <c r="B820" s="85" t="n"/>
      <c r="C820" s="85" t="n"/>
      <c r="D820" s="85" t="n"/>
      <c r="E820" s="85" t="n"/>
      <c r="F820" s="86" t="n"/>
      <c r="G820" s="86" t="n"/>
      <c r="H820" s="85" t="n"/>
      <c r="I820" s="85" t="n"/>
      <c r="J820" s="85" t="n"/>
      <c r="K820" s="85" t="n"/>
      <c r="L820" s="85" t="n"/>
      <c r="M820" s="85" t="n"/>
      <c r="N820" s="85" t="n"/>
      <c r="O820" s="85" t="n"/>
      <c r="P820" s="85" t="n"/>
      <c r="Q820" s="85" t="n"/>
      <c r="R820" s="85" t="n"/>
      <c r="S820" s="85">
        <f>IF($G820="","",TODAY()-$G820)</f>
        <v/>
      </c>
      <c r="T820" s="85">
        <f>IF($A820="","",IF(AND($E820="Yes",OR($O820="No",$O820="NOT FOUND")),"YES",""))</f>
        <v/>
      </c>
      <c r="U820" s="85">
        <f>IF($A820="","",TRIM(IF(AND($M820=0,$I820&lt;&gt;"Yes"),"T0-NoPhishResistant ","")&amp;IF($H820="No","NoMFA ","")&amp;IF(AND($E820="Yes",$G820=""),"NeverSignedIn ","")))</f>
        <v/>
      </c>
    </row>
    <row r="821" ht="15" customHeight="1" s="39">
      <c r="A821" s="85" t="n"/>
      <c r="B821" s="85" t="n"/>
      <c r="C821" s="85" t="n"/>
      <c r="D821" s="85" t="n"/>
      <c r="E821" s="85" t="n"/>
      <c r="F821" s="86" t="n"/>
      <c r="G821" s="86" t="n"/>
      <c r="H821" s="85" t="n"/>
      <c r="I821" s="85" t="n"/>
      <c r="J821" s="85" t="n"/>
      <c r="K821" s="85" t="n"/>
      <c r="L821" s="85" t="n"/>
      <c r="M821" s="85" t="n"/>
      <c r="N821" s="85" t="n"/>
      <c r="O821" s="85" t="n"/>
      <c r="P821" s="85" t="n"/>
      <c r="Q821" s="85" t="n"/>
      <c r="R821" s="85" t="n"/>
      <c r="S821" s="85">
        <f>IF($G821="","",TODAY()-$G821)</f>
        <v/>
      </c>
      <c r="T821" s="85">
        <f>IF($A821="","",IF(AND($E821="Yes",OR($O821="No",$O821="NOT FOUND")),"YES",""))</f>
        <v/>
      </c>
      <c r="U821" s="85">
        <f>IF($A821="","",TRIM(IF(AND($M821=0,$I821&lt;&gt;"Yes"),"T0-NoPhishResistant ","")&amp;IF($H821="No","NoMFA ","")&amp;IF(AND($E821="Yes",$G821=""),"NeverSignedIn ","")))</f>
        <v/>
      </c>
    </row>
    <row r="822" ht="15" customHeight="1" s="39">
      <c r="A822" s="85" t="n"/>
      <c r="B822" s="85" t="n"/>
      <c r="C822" s="85" t="n"/>
      <c r="D822" s="85" t="n"/>
      <c r="E822" s="85" t="n"/>
      <c r="F822" s="86" t="n"/>
      <c r="G822" s="86" t="n"/>
      <c r="H822" s="85" t="n"/>
      <c r="I822" s="85" t="n"/>
      <c r="J822" s="85" t="n"/>
      <c r="K822" s="85" t="n"/>
      <c r="L822" s="85" t="n"/>
      <c r="M822" s="85" t="n"/>
      <c r="N822" s="85" t="n"/>
      <c r="O822" s="85" t="n"/>
      <c r="P822" s="85" t="n"/>
      <c r="Q822" s="85" t="n"/>
      <c r="R822" s="85" t="n"/>
      <c r="S822" s="85">
        <f>IF($G822="","",TODAY()-$G822)</f>
        <v/>
      </c>
      <c r="T822" s="85">
        <f>IF($A822="","",IF(AND($E822="Yes",OR($O822="No",$O822="NOT FOUND")),"YES",""))</f>
        <v/>
      </c>
      <c r="U822" s="85">
        <f>IF($A822="","",TRIM(IF(AND($M822=0,$I822&lt;&gt;"Yes"),"T0-NoPhishResistant ","")&amp;IF($H822="No","NoMFA ","")&amp;IF(AND($E822="Yes",$G822=""),"NeverSignedIn ","")))</f>
        <v/>
      </c>
    </row>
    <row r="823" ht="15" customHeight="1" s="39">
      <c r="A823" s="85" t="n"/>
      <c r="B823" s="85" t="n"/>
      <c r="C823" s="85" t="n"/>
      <c r="D823" s="85" t="n"/>
      <c r="E823" s="85" t="n"/>
      <c r="F823" s="86" t="n"/>
      <c r="G823" s="86" t="n"/>
      <c r="H823" s="85" t="n"/>
      <c r="I823" s="85" t="n"/>
      <c r="J823" s="85" t="n"/>
      <c r="K823" s="85" t="n"/>
      <c r="L823" s="85" t="n"/>
      <c r="M823" s="85" t="n"/>
      <c r="N823" s="85" t="n"/>
      <c r="O823" s="85" t="n"/>
      <c r="P823" s="85" t="n"/>
      <c r="Q823" s="85" t="n"/>
      <c r="R823" s="85" t="n"/>
      <c r="S823" s="85">
        <f>IF($G823="","",TODAY()-$G823)</f>
        <v/>
      </c>
      <c r="T823" s="85">
        <f>IF($A823="","",IF(AND($E823="Yes",OR($O823="No",$O823="NOT FOUND")),"YES",""))</f>
        <v/>
      </c>
      <c r="U823" s="85">
        <f>IF($A823="","",TRIM(IF(AND($M823=0,$I823&lt;&gt;"Yes"),"T0-NoPhishResistant ","")&amp;IF($H823="No","NoMFA ","")&amp;IF(AND($E823="Yes",$G823=""),"NeverSignedIn ","")))</f>
        <v/>
      </c>
    </row>
    <row r="824" ht="15" customHeight="1" s="39">
      <c r="A824" s="85" t="n"/>
      <c r="B824" s="85" t="n"/>
      <c r="C824" s="85" t="n"/>
      <c r="D824" s="85" t="n"/>
      <c r="E824" s="85" t="n"/>
      <c r="F824" s="86" t="n"/>
      <c r="G824" s="86" t="n"/>
      <c r="H824" s="85" t="n"/>
      <c r="I824" s="85" t="n"/>
      <c r="J824" s="85" t="n"/>
      <c r="K824" s="85" t="n"/>
      <c r="L824" s="85" t="n"/>
      <c r="M824" s="85" t="n"/>
      <c r="N824" s="85" t="n"/>
      <c r="O824" s="85" t="n"/>
      <c r="P824" s="85" t="n"/>
      <c r="Q824" s="85" t="n"/>
      <c r="R824" s="85" t="n"/>
      <c r="S824" s="85">
        <f>IF($G824="","",TODAY()-$G824)</f>
        <v/>
      </c>
      <c r="T824" s="85">
        <f>IF($A824="","",IF(AND($E824="Yes",OR($O824="No",$O824="NOT FOUND")),"YES",""))</f>
        <v/>
      </c>
      <c r="U824" s="85">
        <f>IF($A824="","",TRIM(IF(AND($M824=0,$I824&lt;&gt;"Yes"),"T0-NoPhishResistant ","")&amp;IF($H824="No","NoMFA ","")&amp;IF(AND($E824="Yes",$G824=""),"NeverSignedIn ","")))</f>
        <v/>
      </c>
    </row>
    <row r="825" ht="15" customHeight="1" s="39">
      <c r="A825" s="85" t="n"/>
      <c r="B825" s="85" t="n"/>
      <c r="C825" s="85" t="n"/>
      <c r="D825" s="85" t="n"/>
      <c r="E825" s="85" t="n"/>
      <c r="F825" s="86" t="n"/>
      <c r="G825" s="86" t="n"/>
      <c r="H825" s="85" t="n"/>
      <c r="I825" s="85" t="n"/>
      <c r="J825" s="85" t="n"/>
      <c r="K825" s="85" t="n"/>
      <c r="L825" s="85" t="n"/>
      <c r="M825" s="85" t="n"/>
      <c r="N825" s="85" t="n"/>
      <c r="O825" s="85" t="n"/>
      <c r="P825" s="85" t="n"/>
      <c r="Q825" s="85" t="n"/>
      <c r="R825" s="85" t="n"/>
      <c r="S825" s="85">
        <f>IF($G825="","",TODAY()-$G825)</f>
        <v/>
      </c>
      <c r="T825" s="85">
        <f>IF($A825="","",IF(AND($E825="Yes",OR($O825="No",$O825="NOT FOUND")),"YES",""))</f>
        <v/>
      </c>
      <c r="U825" s="85">
        <f>IF($A825="","",TRIM(IF(AND($M825=0,$I825&lt;&gt;"Yes"),"T0-NoPhishResistant ","")&amp;IF($H825="No","NoMFA ","")&amp;IF(AND($E825="Yes",$G825=""),"NeverSignedIn ","")))</f>
        <v/>
      </c>
    </row>
    <row r="826" ht="15" customHeight="1" s="39">
      <c r="A826" s="85" t="n"/>
      <c r="B826" s="85" t="n"/>
      <c r="C826" s="85" t="n"/>
      <c r="D826" s="85" t="n"/>
      <c r="E826" s="85" t="n"/>
      <c r="F826" s="86" t="n"/>
      <c r="G826" s="86" t="n"/>
      <c r="H826" s="85" t="n"/>
      <c r="I826" s="85" t="n"/>
      <c r="J826" s="85" t="n"/>
      <c r="K826" s="85" t="n"/>
      <c r="L826" s="85" t="n"/>
      <c r="M826" s="85" t="n"/>
      <c r="N826" s="85" t="n"/>
      <c r="O826" s="85" t="n"/>
      <c r="P826" s="85" t="n"/>
      <c r="Q826" s="85" t="n"/>
      <c r="R826" s="85" t="n"/>
      <c r="S826" s="85">
        <f>IF($G826="","",TODAY()-$G826)</f>
        <v/>
      </c>
      <c r="T826" s="85">
        <f>IF($A826="","",IF(AND($E826="Yes",OR($O826="No",$O826="NOT FOUND")),"YES",""))</f>
        <v/>
      </c>
      <c r="U826" s="85">
        <f>IF($A826="","",TRIM(IF(AND($M826=0,$I826&lt;&gt;"Yes"),"T0-NoPhishResistant ","")&amp;IF($H826="No","NoMFA ","")&amp;IF(AND($E826="Yes",$G826=""),"NeverSignedIn ","")))</f>
        <v/>
      </c>
    </row>
    <row r="827" ht="15" customHeight="1" s="39">
      <c r="A827" s="85" t="n"/>
      <c r="B827" s="85" t="n"/>
      <c r="C827" s="85" t="n"/>
      <c r="D827" s="85" t="n"/>
      <c r="E827" s="85" t="n"/>
      <c r="F827" s="86" t="n"/>
      <c r="G827" s="86" t="n"/>
      <c r="H827" s="85" t="n"/>
      <c r="I827" s="85" t="n"/>
      <c r="J827" s="85" t="n"/>
      <c r="K827" s="85" t="n"/>
      <c r="L827" s="85" t="n"/>
      <c r="M827" s="85" t="n"/>
      <c r="N827" s="85" t="n"/>
      <c r="O827" s="85" t="n"/>
      <c r="P827" s="85" t="n"/>
      <c r="Q827" s="85" t="n"/>
      <c r="R827" s="85" t="n"/>
      <c r="S827" s="85">
        <f>IF($G827="","",TODAY()-$G827)</f>
        <v/>
      </c>
      <c r="T827" s="85">
        <f>IF($A827="","",IF(AND($E827="Yes",OR($O827="No",$O827="NOT FOUND")),"YES",""))</f>
        <v/>
      </c>
      <c r="U827" s="85">
        <f>IF($A827="","",TRIM(IF(AND($M827=0,$I827&lt;&gt;"Yes"),"T0-NoPhishResistant ","")&amp;IF($H827="No","NoMFA ","")&amp;IF(AND($E827="Yes",$G827=""),"NeverSignedIn ","")))</f>
        <v/>
      </c>
    </row>
    <row r="828" ht="15" customHeight="1" s="39">
      <c r="A828" s="85" t="n"/>
      <c r="B828" s="85" t="n"/>
      <c r="C828" s="85" t="n"/>
      <c r="D828" s="85" t="n"/>
      <c r="E828" s="85" t="n"/>
      <c r="F828" s="86" t="n"/>
      <c r="G828" s="86" t="n"/>
      <c r="H828" s="85" t="n"/>
      <c r="I828" s="85" t="n"/>
      <c r="J828" s="85" t="n"/>
      <c r="K828" s="85" t="n"/>
      <c r="L828" s="85" t="n"/>
      <c r="M828" s="85" t="n"/>
      <c r="N828" s="85" t="n"/>
      <c r="O828" s="85" t="n"/>
      <c r="P828" s="85" t="n"/>
      <c r="Q828" s="85" t="n"/>
      <c r="R828" s="85" t="n"/>
      <c r="S828" s="85">
        <f>IF($G828="","",TODAY()-$G828)</f>
        <v/>
      </c>
      <c r="T828" s="85">
        <f>IF($A828="","",IF(AND($E828="Yes",OR($O828="No",$O828="NOT FOUND")),"YES",""))</f>
        <v/>
      </c>
      <c r="U828" s="85">
        <f>IF($A828="","",TRIM(IF(AND($M828=0,$I828&lt;&gt;"Yes"),"T0-NoPhishResistant ","")&amp;IF($H828="No","NoMFA ","")&amp;IF(AND($E828="Yes",$G828=""),"NeverSignedIn ","")))</f>
        <v/>
      </c>
    </row>
    <row r="829" ht="15" customHeight="1" s="39">
      <c r="A829" s="85" t="n"/>
      <c r="B829" s="85" t="n"/>
      <c r="C829" s="85" t="n"/>
      <c r="D829" s="85" t="n"/>
      <c r="E829" s="85" t="n"/>
      <c r="F829" s="86" t="n"/>
      <c r="G829" s="86" t="n"/>
      <c r="H829" s="85" t="n"/>
      <c r="I829" s="85" t="n"/>
      <c r="J829" s="85" t="n"/>
      <c r="K829" s="85" t="n"/>
      <c r="L829" s="85" t="n"/>
      <c r="M829" s="85" t="n"/>
      <c r="N829" s="85" t="n"/>
      <c r="O829" s="85" t="n"/>
      <c r="P829" s="85" t="n"/>
      <c r="Q829" s="85" t="n"/>
      <c r="R829" s="85" t="n"/>
      <c r="S829" s="85">
        <f>IF($G829="","",TODAY()-$G829)</f>
        <v/>
      </c>
      <c r="T829" s="85">
        <f>IF($A829="","",IF(AND($E829="Yes",OR($O829="No",$O829="NOT FOUND")),"YES",""))</f>
        <v/>
      </c>
      <c r="U829" s="85">
        <f>IF($A829="","",TRIM(IF(AND($M829=0,$I829&lt;&gt;"Yes"),"T0-NoPhishResistant ","")&amp;IF($H829="No","NoMFA ","")&amp;IF(AND($E829="Yes",$G829=""),"NeverSignedIn ","")))</f>
        <v/>
      </c>
    </row>
    <row r="830" ht="15" customHeight="1" s="39">
      <c r="A830" s="85" t="n"/>
      <c r="B830" s="85" t="n"/>
      <c r="C830" s="85" t="n"/>
      <c r="D830" s="85" t="n"/>
      <c r="E830" s="85" t="n"/>
      <c r="F830" s="86" t="n"/>
      <c r="G830" s="86" t="n"/>
      <c r="H830" s="85" t="n"/>
      <c r="I830" s="85" t="n"/>
      <c r="J830" s="85" t="n"/>
      <c r="K830" s="85" t="n"/>
      <c r="L830" s="85" t="n"/>
      <c r="M830" s="85" t="n"/>
      <c r="N830" s="85" t="n"/>
      <c r="O830" s="85" t="n"/>
      <c r="P830" s="85" t="n"/>
      <c r="Q830" s="85" t="n"/>
      <c r="R830" s="85" t="n"/>
      <c r="S830" s="85">
        <f>IF($G830="","",TODAY()-$G830)</f>
        <v/>
      </c>
      <c r="T830" s="85">
        <f>IF($A830="","",IF(AND($E830="Yes",OR($O830="No",$O830="NOT FOUND")),"YES",""))</f>
        <v/>
      </c>
      <c r="U830" s="85">
        <f>IF($A830="","",TRIM(IF(AND($M830=0,$I830&lt;&gt;"Yes"),"T0-NoPhishResistant ","")&amp;IF($H830="No","NoMFA ","")&amp;IF(AND($E830="Yes",$G830=""),"NeverSignedIn ","")))</f>
        <v/>
      </c>
    </row>
    <row r="831" ht="15" customHeight="1" s="39">
      <c r="A831" s="85" t="n"/>
      <c r="B831" s="85" t="n"/>
      <c r="C831" s="85" t="n"/>
      <c r="D831" s="85" t="n"/>
      <c r="E831" s="85" t="n"/>
      <c r="F831" s="86" t="n"/>
      <c r="G831" s="86" t="n"/>
      <c r="H831" s="85" t="n"/>
      <c r="I831" s="85" t="n"/>
      <c r="J831" s="85" t="n"/>
      <c r="K831" s="85" t="n"/>
      <c r="L831" s="85" t="n"/>
      <c r="M831" s="85" t="n"/>
      <c r="N831" s="85" t="n"/>
      <c r="O831" s="85" t="n"/>
      <c r="P831" s="85" t="n"/>
      <c r="Q831" s="85" t="n"/>
      <c r="R831" s="85" t="n"/>
      <c r="S831" s="85">
        <f>IF($G831="","",TODAY()-$G831)</f>
        <v/>
      </c>
      <c r="T831" s="85">
        <f>IF($A831="","",IF(AND($E831="Yes",OR($O831="No",$O831="NOT FOUND")),"YES",""))</f>
        <v/>
      </c>
      <c r="U831" s="85">
        <f>IF($A831="","",TRIM(IF(AND($M831=0,$I831&lt;&gt;"Yes"),"T0-NoPhishResistant ","")&amp;IF($H831="No","NoMFA ","")&amp;IF(AND($E831="Yes",$G831=""),"NeverSignedIn ","")))</f>
        <v/>
      </c>
    </row>
    <row r="832" ht="15" customHeight="1" s="39">
      <c r="A832" s="85" t="n"/>
      <c r="B832" s="85" t="n"/>
      <c r="C832" s="85" t="n"/>
      <c r="D832" s="85" t="n"/>
      <c r="E832" s="85" t="n"/>
      <c r="F832" s="86" t="n"/>
      <c r="G832" s="86" t="n"/>
      <c r="H832" s="85" t="n"/>
      <c r="I832" s="85" t="n"/>
      <c r="J832" s="85" t="n"/>
      <c r="K832" s="85" t="n"/>
      <c r="L832" s="85" t="n"/>
      <c r="M832" s="85" t="n"/>
      <c r="N832" s="85" t="n"/>
      <c r="O832" s="85" t="n"/>
      <c r="P832" s="85" t="n"/>
      <c r="Q832" s="85" t="n"/>
      <c r="R832" s="85" t="n"/>
      <c r="S832" s="85">
        <f>IF($G832="","",TODAY()-$G832)</f>
        <v/>
      </c>
      <c r="T832" s="85">
        <f>IF($A832="","",IF(AND($E832="Yes",OR($O832="No",$O832="NOT FOUND")),"YES",""))</f>
        <v/>
      </c>
      <c r="U832" s="85">
        <f>IF($A832="","",TRIM(IF(AND($M832=0,$I832&lt;&gt;"Yes"),"T0-NoPhishResistant ","")&amp;IF($H832="No","NoMFA ","")&amp;IF(AND($E832="Yes",$G832=""),"NeverSignedIn ","")))</f>
        <v/>
      </c>
    </row>
    <row r="833" ht="15" customHeight="1" s="39">
      <c r="A833" s="85" t="n"/>
      <c r="B833" s="85" t="n"/>
      <c r="C833" s="85" t="n"/>
      <c r="D833" s="85" t="n"/>
      <c r="E833" s="85" t="n"/>
      <c r="F833" s="86" t="n"/>
      <c r="G833" s="86" t="n"/>
      <c r="H833" s="85" t="n"/>
      <c r="I833" s="85" t="n"/>
      <c r="J833" s="85" t="n"/>
      <c r="K833" s="85" t="n"/>
      <c r="L833" s="85" t="n"/>
      <c r="M833" s="85" t="n"/>
      <c r="N833" s="85" t="n"/>
      <c r="O833" s="85" t="n"/>
      <c r="P833" s="85" t="n"/>
      <c r="Q833" s="85" t="n"/>
      <c r="R833" s="85" t="n"/>
      <c r="S833" s="85">
        <f>IF($G833="","",TODAY()-$G833)</f>
        <v/>
      </c>
      <c r="T833" s="85">
        <f>IF($A833="","",IF(AND($E833="Yes",OR($O833="No",$O833="NOT FOUND")),"YES",""))</f>
        <v/>
      </c>
      <c r="U833" s="85">
        <f>IF($A833="","",TRIM(IF(AND($M833=0,$I833&lt;&gt;"Yes"),"T0-NoPhishResistant ","")&amp;IF($H833="No","NoMFA ","")&amp;IF(AND($E833="Yes",$G833=""),"NeverSignedIn ","")))</f>
        <v/>
      </c>
    </row>
    <row r="834" ht="15" customHeight="1" s="39">
      <c r="A834" s="85" t="n"/>
      <c r="B834" s="85" t="n"/>
      <c r="C834" s="85" t="n"/>
      <c r="D834" s="85" t="n"/>
      <c r="E834" s="85" t="n"/>
      <c r="F834" s="86" t="n"/>
      <c r="G834" s="86" t="n"/>
      <c r="H834" s="85" t="n"/>
      <c r="I834" s="85" t="n"/>
      <c r="J834" s="85" t="n"/>
      <c r="K834" s="85" t="n"/>
      <c r="L834" s="85" t="n"/>
      <c r="M834" s="85" t="n"/>
      <c r="N834" s="85" t="n"/>
      <c r="O834" s="85" t="n"/>
      <c r="P834" s="85" t="n"/>
      <c r="Q834" s="85" t="n"/>
      <c r="R834" s="85" t="n"/>
      <c r="S834" s="85">
        <f>IF($G834="","",TODAY()-$G834)</f>
        <v/>
      </c>
      <c r="T834" s="85">
        <f>IF($A834="","",IF(AND($E834="Yes",OR($O834="No",$O834="NOT FOUND")),"YES",""))</f>
        <v/>
      </c>
      <c r="U834" s="85">
        <f>IF($A834="","",TRIM(IF(AND($M834=0,$I834&lt;&gt;"Yes"),"T0-NoPhishResistant ","")&amp;IF($H834="No","NoMFA ","")&amp;IF(AND($E834="Yes",$G834=""),"NeverSignedIn ","")))</f>
        <v/>
      </c>
    </row>
    <row r="835" ht="15" customHeight="1" s="39">
      <c r="A835" s="85" t="n"/>
      <c r="B835" s="85" t="n"/>
      <c r="C835" s="85" t="n"/>
      <c r="D835" s="85" t="n"/>
      <c r="E835" s="85" t="n"/>
      <c r="F835" s="86" t="n"/>
      <c r="G835" s="86" t="n"/>
      <c r="H835" s="85" t="n"/>
      <c r="I835" s="85" t="n"/>
      <c r="J835" s="85" t="n"/>
      <c r="K835" s="85" t="n"/>
      <c r="L835" s="85" t="n"/>
      <c r="M835" s="85" t="n"/>
      <c r="N835" s="85" t="n"/>
      <c r="O835" s="85" t="n"/>
      <c r="P835" s="85" t="n"/>
      <c r="Q835" s="85" t="n"/>
      <c r="R835" s="85" t="n"/>
      <c r="S835" s="85">
        <f>IF($G835="","",TODAY()-$G835)</f>
        <v/>
      </c>
      <c r="T835" s="85">
        <f>IF($A835="","",IF(AND($E835="Yes",OR($O835="No",$O835="NOT FOUND")),"YES",""))</f>
        <v/>
      </c>
      <c r="U835" s="85">
        <f>IF($A835="","",TRIM(IF(AND($M835=0,$I835&lt;&gt;"Yes"),"T0-NoPhishResistant ","")&amp;IF($H835="No","NoMFA ","")&amp;IF(AND($E835="Yes",$G835=""),"NeverSignedIn ","")))</f>
        <v/>
      </c>
    </row>
    <row r="836" ht="15" customHeight="1" s="39">
      <c r="A836" s="85" t="n"/>
      <c r="B836" s="85" t="n"/>
      <c r="C836" s="85" t="n"/>
      <c r="D836" s="85" t="n"/>
      <c r="E836" s="85" t="n"/>
      <c r="F836" s="86" t="n"/>
      <c r="G836" s="86" t="n"/>
      <c r="H836" s="85" t="n"/>
      <c r="I836" s="85" t="n"/>
      <c r="J836" s="85" t="n"/>
      <c r="K836" s="85" t="n"/>
      <c r="L836" s="85" t="n"/>
      <c r="M836" s="85" t="n"/>
      <c r="N836" s="85" t="n"/>
      <c r="O836" s="85" t="n"/>
      <c r="P836" s="85" t="n"/>
      <c r="Q836" s="85" t="n"/>
      <c r="R836" s="85" t="n"/>
      <c r="S836" s="85">
        <f>IF($G836="","",TODAY()-$G836)</f>
        <v/>
      </c>
      <c r="T836" s="85">
        <f>IF($A836="","",IF(AND($E836="Yes",OR($O836="No",$O836="NOT FOUND")),"YES",""))</f>
        <v/>
      </c>
      <c r="U836" s="85">
        <f>IF($A836="","",TRIM(IF(AND($M836=0,$I836&lt;&gt;"Yes"),"T0-NoPhishResistant ","")&amp;IF($H836="No","NoMFA ","")&amp;IF(AND($E836="Yes",$G836=""),"NeverSignedIn ","")))</f>
        <v/>
      </c>
    </row>
    <row r="837" ht="15" customHeight="1" s="39">
      <c r="A837" s="85" t="n"/>
      <c r="B837" s="85" t="n"/>
      <c r="C837" s="85" t="n"/>
      <c r="D837" s="85" t="n"/>
      <c r="E837" s="85" t="n"/>
      <c r="F837" s="86" t="n"/>
      <c r="G837" s="86" t="n"/>
      <c r="H837" s="85" t="n"/>
      <c r="I837" s="85" t="n"/>
      <c r="J837" s="85" t="n"/>
      <c r="K837" s="85" t="n"/>
      <c r="L837" s="85" t="n"/>
      <c r="M837" s="85" t="n"/>
      <c r="N837" s="85" t="n"/>
      <c r="O837" s="85" t="n"/>
      <c r="P837" s="85" t="n"/>
      <c r="Q837" s="85" t="n"/>
      <c r="R837" s="85" t="n"/>
      <c r="S837" s="85">
        <f>IF($G837="","",TODAY()-$G837)</f>
        <v/>
      </c>
      <c r="T837" s="85">
        <f>IF($A837="","",IF(AND($E837="Yes",OR($O837="No",$O837="NOT FOUND")),"YES",""))</f>
        <v/>
      </c>
      <c r="U837" s="85">
        <f>IF($A837="","",TRIM(IF(AND($M837=0,$I837&lt;&gt;"Yes"),"T0-NoPhishResistant ","")&amp;IF($H837="No","NoMFA ","")&amp;IF(AND($E837="Yes",$G837=""),"NeverSignedIn ","")))</f>
        <v/>
      </c>
    </row>
    <row r="838" ht="15" customHeight="1" s="39">
      <c r="A838" s="85" t="n"/>
      <c r="B838" s="85" t="n"/>
      <c r="C838" s="85" t="n"/>
      <c r="D838" s="85" t="n"/>
      <c r="E838" s="85" t="n"/>
      <c r="F838" s="86" t="n"/>
      <c r="G838" s="86" t="n"/>
      <c r="H838" s="85" t="n"/>
      <c r="I838" s="85" t="n"/>
      <c r="J838" s="85" t="n"/>
      <c r="K838" s="85" t="n"/>
      <c r="L838" s="85" t="n"/>
      <c r="M838" s="85" t="n"/>
      <c r="N838" s="85" t="n"/>
      <c r="O838" s="85" t="n"/>
      <c r="P838" s="85" t="n"/>
      <c r="Q838" s="85" t="n"/>
      <c r="R838" s="85" t="n"/>
      <c r="S838" s="85">
        <f>IF($G838="","",TODAY()-$G838)</f>
        <v/>
      </c>
      <c r="T838" s="85">
        <f>IF($A838="","",IF(AND($E838="Yes",OR($O838="No",$O838="NOT FOUND")),"YES",""))</f>
        <v/>
      </c>
      <c r="U838" s="85">
        <f>IF($A838="","",TRIM(IF(AND($M838=0,$I838&lt;&gt;"Yes"),"T0-NoPhishResistant ","")&amp;IF($H838="No","NoMFA ","")&amp;IF(AND($E838="Yes",$G838=""),"NeverSignedIn ","")))</f>
        <v/>
      </c>
    </row>
    <row r="839" ht="15" customHeight="1" s="39">
      <c r="A839" s="85" t="n"/>
      <c r="B839" s="85" t="n"/>
      <c r="C839" s="85" t="n"/>
      <c r="D839" s="85" t="n"/>
      <c r="E839" s="85" t="n"/>
      <c r="F839" s="86" t="n"/>
      <c r="G839" s="86" t="n"/>
      <c r="H839" s="85" t="n"/>
      <c r="I839" s="85" t="n"/>
      <c r="J839" s="85" t="n"/>
      <c r="K839" s="85" t="n"/>
      <c r="L839" s="85" t="n"/>
      <c r="M839" s="85" t="n"/>
      <c r="N839" s="85" t="n"/>
      <c r="O839" s="85" t="n"/>
      <c r="P839" s="85" t="n"/>
      <c r="Q839" s="85" t="n"/>
      <c r="R839" s="85" t="n"/>
      <c r="S839" s="85">
        <f>IF($G839="","",TODAY()-$G839)</f>
        <v/>
      </c>
      <c r="T839" s="85">
        <f>IF($A839="","",IF(AND($E839="Yes",OR($O839="No",$O839="NOT FOUND")),"YES",""))</f>
        <v/>
      </c>
      <c r="U839" s="85">
        <f>IF($A839="","",TRIM(IF(AND($M839=0,$I839&lt;&gt;"Yes"),"T0-NoPhishResistant ","")&amp;IF($H839="No","NoMFA ","")&amp;IF(AND($E839="Yes",$G839=""),"NeverSignedIn ","")))</f>
        <v/>
      </c>
    </row>
    <row r="840" ht="15" customHeight="1" s="39">
      <c r="A840" s="85" t="n"/>
      <c r="B840" s="85" t="n"/>
      <c r="C840" s="85" t="n"/>
      <c r="D840" s="85" t="n"/>
      <c r="E840" s="85" t="n"/>
      <c r="F840" s="86" t="n"/>
      <c r="G840" s="86" t="n"/>
      <c r="H840" s="85" t="n"/>
      <c r="I840" s="85" t="n"/>
      <c r="J840" s="85" t="n"/>
      <c r="K840" s="85" t="n"/>
      <c r="L840" s="85" t="n"/>
      <c r="M840" s="85" t="n"/>
      <c r="N840" s="85" t="n"/>
      <c r="O840" s="85" t="n"/>
      <c r="P840" s="85" t="n"/>
      <c r="Q840" s="85" t="n"/>
      <c r="R840" s="85" t="n"/>
      <c r="S840" s="85">
        <f>IF($G840="","",TODAY()-$G840)</f>
        <v/>
      </c>
      <c r="T840" s="85">
        <f>IF($A840="","",IF(AND($E840="Yes",OR($O840="No",$O840="NOT FOUND")),"YES",""))</f>
        <v/>
      </c>
      <c r="U840" s="85">
        <f>IF($A840="","",TRIM(IF(AND($M840=0,$I840&lt;&gt;"Yes"),"T0-NoPhishResistant ","")&amp;IF($H840="No","NoMFA ","")&amp;IF(AND($E840="Yes",$G840=""),"NeverSignedIn ","")))</f>
        <v/>
      </c>
    </row>
    <row r="841" ht="15" customHeight="1" s="39">
      <c r="A841" s="85" t="n"/>
      <c r="B841" s="85" t="n"/>
      <c r="C841" s="85" t="n"/>
      <c r="D841" s="85" t="n"/>
      <c r="E841" s="85" t="n"/>
      <c r="F841" s="86" t="n"/>
      <c r="G841" s="86" t="n"/>
      <c r="H841" s="85" t="n"/>
      <c r="I841" s="85" t="n"/>
      <c r="J841" s="85" t="n"/>
      <c r="K841" s="85" t="n"/>
      <c r="L841" s="85" t="n"/>
      <c r="M841" s="85" t="n"/>
      <c r="N841" s="85" t="n"/>
      <c r="O841" s="85" t="n"/>
      <c r="P841" s="85" t="n"/>
      <c r="Q841" s="85" t="n"/>
      <c r="R841" s="85" t="n"/>
      <c r="S841" s="85">
        <f>IF($G841="","",TODAY()-$G841)</f>
        <v/>
      </c>
      <c r="T841" s="85">
        <f>IF($A841="","",IF(AND($E841="Yes",OR($O841="No",$O841="NOT FOUND")),"YES",""))</f>
        <v/>
      </c>
      <c r="U841" s="85">
        <f>IF($A841="","",TRIM(IF(AND($M841=0,$I841&lt;&gt;"Yes"),"T0-NoPhishResistant ","")&amp;IF($H841="No","NoMFA ","")&amp;IF(AND($E841="Yes",$G841=""),"NeverSignedIn ","")))</f>
        <v/>
      </c>
    </row>
    <row r="842" ht="15" customHeight="1" s="39">
      <c r="A842" s="85" t="n"/>
      <c r="B842" s="85" t="n"/>
      <c r="C842" s="85" t="n"/>
      <c r="D842" s="85" t="n"/>
      <c r="E842" s="85" t="n"/>
      <c r="F842" s="86" t="n"/>
      <c r="G842" s="86" t="n"/>
      <c r="H842" s="85" t="n"/>
      <c r="I842" s="85" t="n"/>
      <c r="J842" s="85" t="n"/>
      <c r="K842" s="85" t="n"/>
      <c r="L842" s="85" t="n"/>
      <c r="M842" s="85" t="n"/>
      <c r="N842" s="85" t="n"/>
      <c r="O842" s="85" t="n"/>
      <c r="P842" s="85" t="n"/>
      <c r="Q842" s="85" t="n"/>
      <c r="R842" s="85" t="n"/>
      <c r="S842" s="85">
        <f>IF($G842="","",TODAY()-$G842)</f>
        <v/>
      </c>
      <c r="T842" s="85">
        <f>IF($A842="","",IF(AND($E842="Yes",OR($O842="No",$O842="NOT FOUND")),"YES",""))</f>
        <v/>
      </c>
      <c r="U842" s="85">
        <f>IF($A842="","",TRIM(IF(AND($M842=0,$I842&lt;&gt;"Yes"),"T0-NoPhishResistant ","")&amp;IF($H842="No","NoMFA ","")&amp;IF(AND($E842="Yes",$G842=""),"NeverSignedIn ","")))</f>
        <v/>
      </c>
    </row>
    <row r="843" ht="15" customHeight="1" s="39">
      <c r="A843" s="85" t="n"/>
      <c r="B843" s="85" t="n"/>
      <c r="C843" s="85" t="n"/>
      <c r="D843" s="85" t="n"/>
      <c r="E843" s="85" t="n"/>
      <c r="F843" s="86" t="n"/>
      <c r="G843" s="86" t="n"/>
      <c r="H843" s="85" t="n"/>
      <c r="I843" s="85" t="n"/>
      <c r="J843" s="85" t="n"/>
      <c r="K843" s="85" t="n"/>
      <c r="L843" s="85" t="n"/>
      <c r="M843" s="85" t="n"/>
      <c r="N843" s="85" t="n"/>
      <c r="O843" s="85" t="n"/>
      <c r="P843" s="85" t="n"/>
      <c r="Q843" s="85" t="n"/>
      <c r="R843" s="85" t="n"/>
      <c r="S843" s="85">
        <f>IF($G843="","",TODAY()-$G843)</f>
        <v/>
      </c>
      <c r="T843" s="85">
        <f>IF($A843="","",IF(AND($E843="Yes",OR($O843="No",$O843="NOT FOUND")),"YES",""))</f>
        <v/>
      </c>
      <c r="U843" s="85">
        <f>IF($A843="","",TRIM(IF(AND($M843=0,$I843&lt;&gt;"Yes"),"T0-NoPhishResistant ","")&amp;IF($H843="No","NoMFA ","")&amp;IF(AND($E843="Yes",$G843=""),"NeverSignedIn ","")))</f>
        <v/>
      </c>
    </row>
    <row r="844" ht="15" customHeight="1" s="39">
      <c r="A844" s="85" t="n"/>
      <c r="B844" s="85" t="n"/>
      <c r="C844" s="85" t="n"/>
      <c r="D844" s="85" t="n"/>
      <c r="E844" s="85" t="n"/>
      <c r="F844" s="86" t="n"/>
      <c r="G844" s="86" t="n"/>
      <c r="H844" s="85" t="n"/>
      <c r="I844" s="85" t="n"/>
      <c r="J844" s="85" t="n"/>
      <c r="K844" s="85" t="n"/>
      <c r="L844" s="85" t="n"/>
      <c r="M844" s="85" t="n"/>
      <c r="N844" s="85" t="n"/>
      <c r="O844" s="85" t="n"/>
      <c r="P844" s="85" t="n"/>
      <c r="Q844" s="85" t="n"/>
      <c r="R844" s="85" t="n"/>
      <c r="S844" s="85">
        <f>IF($G844="","",TODAY()-$G844)</f>
        <v/>
      </c>
      <c r="T844" s="85">
        <f>IF($A844="","",IF(AND($E844="Yes",OR($O844="No",$O844="NOT FOUND")),"YES",""))</f>
        <v/>
      </c>
      <c r="U844" s="85">
        <f>IF($A844="","",TRIM(IF(AND($M844=0,$I844&lt;&gt;"Yes"),"T0-NoPhishResistant ","")&amp;IF($H844="No","NoMFA ","")&amp;IF(AND($E844="Yes",$G844=""),"NeverSignedIn ","")))</f>
        <v/>
      </c>
    </row>
    <row r="845" ht="15" customHeight="1" s="39">
      <c r="A845" s="85" t="n"/>
      <c r="B845" s="85" t="n"/>
      <c r="C845" s="85" t="n"/>
      <c r="D845" s="85" t="n"/>
      <c r="E845" s="85" t="n"/>
      <c r="F845" s="86" t="n"/>
      <c r="G845" s="86" t="n"/>
      <c r="H845" s="85" t="n"/>
      <c r="I845" s="85" t="n"/>
      <c r="J845" s="85" t="n"/>
      <c r="K845" s="85" t="n"/>
      <c r="L845" s="85" t="n"/>
      <c r="M845" s="85" t="n"/>
      <c r="N845" s="85" t="n"/>
      <c r="O845" s="85" t="n"/>
      <c r="P845" s="85" t="n"/>
      <c r="Q845" s="85" t="n"/>
      <c r="R845" s="85" t="n"/>
      <c r="S845" s="85">
        <f>IF($G845="","",TODAY()-$G845)</f>
        <v/>
      </c>
      <c r="T845" s="85">
        <f>IF($A845="","",IF(AND($E845="Yes",OR($O845="No",$O845="NOT FOUND")),"YES",""))</f>
        <v/>
      </c>
      <c r="U845" s="85">
        <f>IF($A845="","",TRIM(IF(AND($M845=0,$I845&lt;&gt;"Yes"),"T0-NoPhishResistant ","")&amp;IF($H845="No","NoMFA ","")&amp;IF(AND($E845="Yes",$G845=""),"NeverSignedIn ","")))</f>
        <v/>
      </c>
    </row>
    <row r="846" ht="15" customHeight="1" s="39">
      <c r="A846" s="85" t="n"/>
      <c r="B846" s="85" t="n"/>
      <c r="C846" s="85" t="n"/>
      <c r="D846" s="85" t="n"/>
      <c r="E846" s="85" t="n"/>
      <c r="F846" s="86" t="n"/>
      <c r="G846" s="86" t="n"/>
      <c r="H846" s="85" t="n"/>
      <c r="I846" s="85" t="n"/>
      <c r="J846" s="85" t="n"/>
      <c r="K846" s="85" t="n"/>
      <c r="L846" s="85" t="n"/>
      <c r="M846" s="85" t="n"/>
      <c r="N846" s="85" t="n"/>
      <c r="O846" s="85" t="n"/>
      <c r="P846" s="85" t="n"/>
      <c r="Q846" s="85" t="n"/>
      <c r="R846" s="85" t="n"/>
      <c r="S846" s="85">
        <f>IF($G846="","",TODAY()-$G846)</f>
        <v/>
      </c>
      <c r="T846" s="85">
        <f>IF($A846="","",IF(AND($E846="Yes",OR($O846="No",$O846="NOT FOUND")),"YES",""))</f>
        <v/>
      </c>
      <c r="U846" s="85">
        <f>IF($A846="","",TRIM(IF(AND($M846=0,$I846&lt;&gt;"Yes"),"T0-NoPhishResistant ","")&amp;IF($H846="No","NoMFA ","")&amp;IF(AND($E846="Yes",$G846=""),"NeverSignedIn ","")))</f>
        <v/>
      </c>
    </row>
    <row r="847" ht="15" customHeight="1" s="39">
      <c r="A847" s="85" t="n"/>
      <c r="B847" s="85" t="n"/>
      <c r="C847" s="85" t="n"/>
      <c r="D847" s="85" t="n"/>
      <c r="E847" s="85" t="n"/>
      <c r="F847" s="86" t="n"/>
      <c r="G847" s="86" t="n"/>
      <c r="H847" s="85" t="n"/>
      <c r="I847" s="85" t="n"/>
      <c r="J847" s="85" t="n"/>
      <c r="K847" s="85" t="n"/>
      <c r="L847" s="85" t="n"/>
      <c r="M847" s="85" t="n"/>
      <c r="N847" s="85" t="n"/>
      <c r="O847" s="85" t="n"/>
      <c r="P847" s="85" t="n"/>
      <c r="Q847" s="85" t="n"/>
      <c r="R847" s="85" t="n"/>
      <c r="S847" s="85">
        <f>IF($G847="","",TODAY()-$G847)</f>
        <v/>
      </c>
      <c r="T847" s="85">
        <f>IF($A847="","",IF(AND($E847="Yes",OR($O847="No",$O847="NOT FOUND")),"YES",""))</f>
        <v/>
      </c>
      <c r="U847" s="85">
        <f>IF($A847="","",TRIM(IF(AND($M847=0,$I847&lt;&gt;"Yes"),"T0-NoPhishResistant ","")&amp;IF($H847="No","NoMFA ","")&amp;IF(AND($E847="Yes",$G847=""),"NeverSignedIn ","")))</f>
        <v/>
      </c>
    </row>
    <row r="848" ht="15" customHeight="1" s="39">
      <c r="A848" s="85" t="n"/>
      <c r="B848" s="85" t="n"/>
      <c r="C848" s="85" t="n"/>
      <c r="D848" s="85" t="n"/>
      <c r="E848" s="85" t="n"/>
      <c r="F848" s="86" t="n"/>
      <c r="G848" s="86" t="n"/>
      <c r="H848" s="85" t="n"/>
      <c r="I848" s="85" t="n"/>
      <c r="J848" s="85" t="n"/>
      <c r="K848" s="85" t="n"/>
      <c r="L848" s="85" t="n"/>
      <c r="M848" s="85" t="n"/>
      <c r="N848" s="85" t="n"/>
      <c r="O848" s="85" t="n"/>
      <c r="P848" s="85" t="n"/>
      <c r="Q848" s="85" t="n"/>
      <c r="R848" s="85" t="n"/>
      <c r="S848" s="85">
        <f>IF($G848="","",TODAY()-$G848)</f>
        <v/>
      </c>
      <c r="T848" s="85">
        <f>IF($A848="","",IF(AND($E848="Yes",OR($O848="No",$O848="NOT FOUND")),"YES",""))</f>
        <v/>
      </c>
      <c r="U848" s="85">
        <f>IF($A848="","",TRIM(IF(AND($M848=0,$I848&lt;&gt;"Yes"),"T0-NoPhishResistant ","")&amp;IF($H848="No","NoMFA ","")&amp;IF(AND($E848="Yes",$G848=""),"NeverSignedIn ","")))</f>
        <v/>
      </c>
    </row>
    <row r="849" ht="15" customHeight="1" s="39">
      <c r="A849" s="85" t="n"/>
      <c r="B849" s="85" t="n"/>
      <c r="C849" s="85" t="n"/>
      <c r="D849" s="85" t="n"/>
      <c r="E849" s="85" t="n"/>
      <c r="F849" s="86" t="n"/>
      <c r="G849" s="86" t="n"/>
      <c r="H849" s="85" t="n"/>
      <c r="I849" s="85" t="n"/>
      <c r="J849" s="85" t="n"/>
      <c r="K849" s="85" t="n"/>
      <c r="L849" s="85" t="n"/>
      <c r="M849" s="85" t="n"/>
      <c r="N849" s="85" t="n"/>
      <c r="O849" s="85" t="n"/>
      <c r="P849" s="85" t="n"/>
      <c r="Q849" s="85" t="n"/>
      <c r="R849" s="85" t="n"/>
      <c r="S849" s="85">
        <f>IF($G849="","",TODAY()-$G849)</f>
        <v/>
      </c>
      <c r="T849" s="85">
        <f>IF($A849="","",IF(AND($E849="Yes",OR($O849="No",$O849="NOT FOUND")),"YES",""))</f>
        <v/>
      </c>
      <c r="U849" s="85">
        <f>IF($A849="","",TRIM(IF(AND($M849=0,$I849&lt;&gt;"Yes"),"T0-NoPhishResistant ","")&amp;IF($H849="No","NoMFA ","")&amp;IF(AND($E849="Yes",$G849=""),"NeverSignedIn ","")))</f>
        <v/>
      </c>
    </row>
    <row r="850" ht="15" customHeight="1" s="39">
      <c r="A850" s="85" t="n"/>
      <c r="B850" s="85" t="n"/>
      <c r="C850" s="85" t="n"/>
      <c r="D850" s="85" t="n"/>
      <c r="E850" s="85" t="n"/>
      <c r="F850" s="86" t="n"/>
      <c r="G850" s="86" t="n"/>
      <c r="H850" s="85" t="n"/>
      <c r="I850" s="85" t="n"/>
      <c r="J850" s="85" t="n"/>
      <c r="K850" s="85" t="n"/>
      <c r="L850" s="85" t="n"/>
      <c r="M850" s="85" t="n"/>
      <c r="N850" s="85" t="n"/>
      <c r="O850" s="85" t="n"/>
      <c r="P850" s="85" t="n"/>
      <c r="Q850" s="85" t="n"/>
      <c r="R850" s="85" t="n"/>
      <c r="S850" s="85">
        <f>IF($G850="","",TODAY()-$G850)</f>
        <v/>
      </c>
      <c r="T850" s="85">
        <f>IF($A850="","",IF(AND($E850="Yes",OR($O850="No",$O850="NOT FOUND")),"YES",""))</f>
        <v/>
      </c>
      <c r="U850" s="85">
        <f>IF($A850="","",TRIM(IF(AND($M850=0,$I850&lt;&gt;"Yes"),"T0-NoPhishResistant ","")&amp;IF($H850="No","NoMFA ","")&amp;IF(AND($E850="Yes",$G850=""),"NeverSignedIn ","")))</f>
        <v/>
      </c>
    </row>
    <row r="851" ht="15" customHeight="1" s="39">
      <c r="A851" s="85" t="n"/>
      <c r="B851" s="85" t="n"/>
      <c r="C851" s="85" t="n"/>
      <c r="D851" s="85" t="n"/>
      <c r="E851" s="85" t="n"/>
      <c r="F851" s="86" t="n"/>
      <c r="G851" s="86" t="n"/>
      <c r="H851" s="85" t="n"/>
      <c r="I851" s="85" t="n"/>
      <c r="J851" s="85" t="n"/>
      <c r="K851" s="85" t="n"/>
      <c r="L851" s="85" t="n"/>
      <c r="M851" s="85" t="n"/>
      <c r="N851" s="85" t="n"/>
      <c r="O851" s="85" t="n"/>
      <c r="P851" s="85" t="n"/>
      <c r="Q851" s="85" t="n"/>
      <c r="R851" s="85" t="n"/>
      <c r="S851" s="85">
        <f>IF($G851="","",TODAY()-$G851)</f>
        <v/>
      </c>
      <c r="T851" s="85">
        <f>IF($A851="","",IF(AND($E851="Yes",OR($O851="No",$O851="NOT FOUND")),"YES",""))</f>
        <v/>
      </c>
      <c r="U851" s="85">
        <f>IF($A851="","",TRIM(IF(AND($M851=0,$I851&lt;&gt;"Yes"),"T0-NoPhishResistant ","")&amp;IF($H851="No","NoMFA ","")&amp;IF(AND($E851="Yes",$G851=""),"NeverSignedIn ","")))</f>
        <v/>
      </c>
    </row>
    <row r="852" ht="15" customHeight="1" s="39">
      <c r="A852" s="85" t="n"/>
      <c r="B852" s="85" t="n"/>
      <c r="C852" s="85" t="n"/>
      <c r="D852" s="85" t="n"/>
      <c r="E852" s="85" t="n"/>
      <c r="F852" s="86" t="n"/>
      <c r="G852" s="86" t="n"/>
      <c r="H852" s="85" t="n"/>
      <c r="I852" s="85" t="n"/>
      <c r="J852" s="85" t="n"/>
      <c r="K852" s="85" t="n"/>
      <c r="L852" s="85" t="n"/>
      <c r="M852" s="85" t="n"/>
      <c r="N852" s="85" t="n"/>
      <c r="O852" s="85" t="n"/>
      <c r="P852" s="85" t="n"/>
      <c r="Q852" s="85" t="n"/>
      <c r="R852" s="85" t="n"/>
      <c r="S852" s="85">
        <f>IF($G852="","",TODAY()-$G852)</f>
        <v/>
      </c>
      <c r="T852" s="85">
        <f>IF($A852="","",IF(AND($E852="Yes",OR($O852="No",$O852="NOT FOUND")),"YES",""))</f>
        <v/>
      </c>
      <c r="U852" s="85">
        <f>IF($A852="","",TRIM(IF(AND($M852=0,$I852&lt;&gt;"Yes"),"T0-NoPhishResistant ","")&amp;IF($H852="No","NoMFA ","")&amp;IF(AND($E852="Yes",$G852=""),"NeverSignedIn ","")))</f>
        <v/>
      </c>
    </row>
    <row r="853" ht="15" customHeight="1" s="39">
      <c r="A853" s="85" t="n"/>
      <c r="B853" s="85" t="n"/>
      <c r="C853" s="85" t="n"/>
      <c r="D853" s="85" t="n"/>
      <c r="E853" s="85" t="n"/>
      <c r="F853" s="86" t="n"/>
      <c r="G853" s="86" t="n"/>
      <c r="H853" s="85" t="n"/>
      <c r="I853" s="85" t="n"/>
      <c r="J853" s="85" t="n"/>
      <c r="K853" s="85" t="n"/>
      <c r="L853" s="85" t="n"/>
      <c r="M853" s="85" t="n"/>
      <c r="N853" s="85" t="n"/>
      <c r="O853" s="85" t="n"/>
      <c r="P853" s="85" t="n"/>
      <c r="Q853" s="85" t="n"/>
      <c r="R853" s="85" t="n"/>
      <c r="S853" s="85">
        <f>IF($G853="","",TODAY()-$G853)</f>
        <v/>
      </c>
      <c r="T853" s="85">
        <f>IF($A853="","",IF(AND($E853="Yes",OR($O853="No",$O853="NOT FOUND")),"YES",""))</f>
        <v/>
      </c>
      <c r="U853" s="85">
        <f>IF($A853="","",TRIM(IF(AND($M853=0,$I853&lt;&gt;"Yes"),"T0-NoPhishResistant ","")&amp;IF($H853="No","NoMFA ","")&amp;IF(AND($E853="Yes",$G853=""),"NeverSignedIn ","")))</f>
        <v/>
      </c>
    </row>
    <row r="854" ht="15" customHeight="1" s="39">
      <c r="A854" s="85" t="n"/>
      <c r="B854" s="85" t="n"/>
      <c r="C854" s="85" t="n"/>
      <c r="D854" s="85" t="n"/>
      <c r="E854" s="85" t="n"/>
      <c r="F854" s="86" t="n"/>
      <c r="G854" s="86" t="n"/>
      <c r="H854" s="85" t="n"/>
      <c r="I854" s="85" t="n"/>
      <c r="J854" s="85" t="n"/>
      <c r="K854" s="85" t="n"/>
      <c r="L854" s="85" t="n"/>
      <c r="M854" s="85" t="n"/>
      <c r="N854" s="85" t="n"/>
      <c r="O854" s="85" t="n"/>
      <c r="P854" s="85" t="n"/>
      <c r="Q854" s="85" t="n"/>
      <c r="R854" s="85" t="n"/>
      <c r="S854" s="85">
        <f>IF($G854="","",TODAY()-$G854)</f>
        <v/>
      </c>
      <c r="T854" s="85">
        <f>IF($A854="","",IF(AND($E854="Yes",OR($O854="No",$O854="NOT FOUND")),"YES",""))</f>
        <v/>
      </c>
      <c r="U854" s="85">
        <f>IF($A854="","",TRIM(IF(AND($M854=0,$I854&lt;&gt;"Yes"),"T0-NoPhishResistant ","")&amp;IF($H854="No","NoMFA ","")&amp;IF(AND($E854="Yes",$G854=""),"NeverSignedIn ","")))</f>
        <v/>
      </c>
    </row>
    <row r="855" ht="15" customHeight="1" s="39">
      <c r="A855" s="85" t="n"/>
      <c r="B855" s="85" t="n"/>
      <c r="C855" s="85" t="n"/>
      <c r="D855" s="85" t="n"/>
      <c r="E855" s="85" t="n"/>
      <c r="F855" s="86" t="n"/>
      <c r="G855" s="86" t="n"/>
      <c r="H855" s="85" t="n"/>
      <c r="I855" s="85" t="n"/>
      <c r="J855" s="85" t="n"/>
      <c r="K855" s="85" t="n"/>
      <c r="L855" s="85" t="n"/>
      <c r="M855" s="85" t="n"/>
      <c r="N855" s="85" t="n"/>
      <c r="O855" s="85" t="n"/>
      <c r="P855" s="85" t="n"/>
      <c r="Q855" s="85" t="n"/>
      <c r="R855" s="85" t="n"/>
      <c r="S855" s="85">
        <f>IF($G855="","",TODAY()-$G855)</f>
        <v/>
      </c>
      <c r="T855" s="85">
        <f>IF($A855="","",IF(AND($E855="Yes",OR($O855="No",$O855="NOT FOUND")),"YES",""))</f>
        <v/>
      </c>
      <c r="U855" s="85">
        <f>IF($A855="","",TRIM(IF(AND($M855=0,$I855&lt;&gt;"Yes"),"T0-NoPhishResistant ","")&amp;IF($H855="No","NoMFA ","")&amp;IF(AND($E855="Yes",$G855=""),"NeverSignedIn ","")))</f>
        <v/>
      </c>
    </row>
    <row r="856" ht="15" customHeight="1" s="39">
      <c r="A856" s="85" t="n"/>
      <c r="B856" s="85" t="n"/>
      <c r="C856" s="85" t="n"/>
      <c r="D856" s="85" t="n"/>
      <c r="E856" s="85" t="n"/>
      <c r="F856" s="86" t="n"/>
      <c r="G856" s="86" t="n"/>
      <c r="H856" s="85" t="n"/>
      <c r="I856" s="85" t="n"/>
      <c r="J856" s="85" t="n"/>
      <c r="K856" s="85" t="n"/>
      <c r="L856" s="85" t="n"/>
      <c r="M856" s="85" t="n"/>
      <c r="N856" s="85" t="n"/>
      <c r="O856" s="85" t="n"/>
      <c r="P856" s="85" t="n"/>
      <c r="Q856" s="85" t="n"/>
      <c r="R856" s="85" t="n"/>
      <c r="S856" s="85">
        <f>IF($G856="","",TODAY()-$G856)</f>
        <v/>
      </c>
      <c r="T856" s="85">
        <f>IF($A856="","",IF(AND($E856="Yes",OR($O856="No",$O856="NOT FOUND")),"YES",""))</f>
        <v/>
      </c>
      <c r="U856" s="85">
        <f>IF($A856="","",TRIM(IF(AND($M856=0,$I856&lt;&gt;"Yes"),"T0-NoPhishResistant ","")&amp;IF($H856="No","NoMFA ","")&amp;IF(AND($E856="Yes",$G856=""),"NeverSignedIn ","")))</f>
        <v/>
      </c>
    </row>
    <row r="857" ht="15" customHeight="1" s="39">
      <c r="A857" s="85" t="n"/>
      <c r="B857" s="85" t="n"/>
      <c r="C857" s="85" t="n"/>
      <c r="D857" s="85" t="n"/>
      <c r="E857" s="85" t="n"/>
      <c r="F857" s="86" t="n"/>
      <c r="G857" s="86" t="n"/>
      <c r="H857" s="85" t="n"/>
      <c r="I857" s="85" t="n"/>
      <c r="J857" s="85" t="n"/>
      <c r="K857" s="85" t="n"/>
      <c r="L857" s="85" t="n"/>
      <c r="M857" s="85" t="n"/>
      <c r="N857" s="85" t="n"/>
      <c r="O857" s="85" t="n"/>
      <c r="P857" s="85" t="n"/>
      <c r="Q857" s="85" t="n"/>
      <c r="R857" s="85" t="n"/>
      <c r="S857" s="85">
        <f>IF($G857="","",TODAY()-$G857)</f>
        <v/>
      </c>
      <c r="T857" s="85">
        <f>IF($A857="","",IF(AND($E857="Yes",OR($O857="No",$O857="NOT FOUND")),"YES",""))</f>
        <v/>
      </c>
      <c r="U857" s="85">
        <f>IF($A857="","",TRIM(IF(AND($M857=0,$I857&lt;&gt;"Yes"),"T0-NoPhishResistant ","")&amp;IF($H857="No","NoMFA ","")&amp;IF(AND($E857="Yes",$G857=""),"NeverSignedIn ","")))</f>
        <v/>
      </c>
    </row>
    <row r="858" ht="15" customHeight="1" s="39">
      <c r="A858" s="85" t="n"/>
      <c r="B858" s="85" t="n"/>
      <c r="C858" s="85" t="n"/>
      <c r="D858" s="85" t="n"/>
      <c r="E858" s="85" t="n"/>
      <c r="F858" s="86" t="n"/>
      <c r="G858" s="86" t="n"/>
      <c r="H858" s="85" t="n"/>
      <c r="I858" s="85" t="n"/>
      <c r="J858" s="85" t="n"/>
      <c r="K858" s="85" t="n"/>
      <c r="L858" s="85" t="n"/>
      <c r="M858" s="85" t="n"/>
      <c r="N858" s="85" t="n"/>
      <c r="O858" s="85" t="n"/>
      <c r="P858" s="85" t="n"/>
      <c r="Q858" s="85" t="n"/>
      <c r="R858" s="85" t="n"/>
      <c r="S858" s="85">
        <f>IF($G858="","",TODAY()-$G858)</f>
        <v/>
      </c>
      <c r="T858" s="85">
        <f>IF($A858="","",IF(AND($E858="Yes",OR($O858="No",$O858="NOT FOUND")),"YES",""))</f>
        <v/>
      </c>
      <c r="U858" s="85">
        <f>IF($A858="","",TRIM(IF(AND($M858=0,$I858&lt;&gt;"Yes"),"T0-NoPhishResistant ","")&amp;IF($H858="No","NoMFA ","")&amp;IF(AND($E858="Yes",$G858=""),"NeverSignedIn ","")))</f>
        <v/>
      </c>
    </row>
    <row r="859" ht="15" customHeight="1" s="39">
      <c r="A859" s="85" t="n"/>
      <c r="B859" s="85" t="n"/>
      <c r="C859" s="85" t="n"/>
      <c r="D859" s="85" t="n"/>
      <c r="E859" s="85" t="n"/>
      <c r="F859" s="86" t="n"/>
      <c r="G859" s="86" t="n"/>
      <c r="H859" s="85" t="n"/>
      <c r="I859" s="85" t="n"/>
      <c r="J859" s="85" t="n"/>
      <c r="K859" s="85" t="n"/>
      <c r="L859" s="85" t="n"/>
      <c r="M859" s="85" t="n"/>
      <c r="N859" s="85" t="n"/>
      <c r="O859" s="85" t="n"/>
      <c r="P859" s="85" t="n"/>
      <c r="Q859" s="85" t="n"/>
      <c r="R859" s="85" t="n"/>
      <c r="S859" s="85">
        <f>IF($G859="","",TODAY()-$G859)</f>
        <v/>
      </c>
      <c r="T859" s="85">
        <f>IF($A859="","",IF(AND($E859="Yes",OR($O859="No",$O859="NOT FOUND")),"YES",""))</f>
        <v/>
      </c>
      <c r="U859" s="85">
        <f>IF($A859="","",TRIM(IF(AND($M859=0,$I859&lt;&gt;"Yes"),"T0-NoPhishResistant ","")&amp;IF($H859="No","NoMFA ","")&amp;IF(AND($E859="Yes",$G859=""),"NeverSignedIn ","")))</f>
        <v/>
      </c>
    </row>
    <row r="860" ht="15" customHeight="1" s="39">
      <c r="A860" s="85" t="n"/>
      <c r="B860" s="85" t="n"/>
      <c r="C860" s="85" t="n"/>
      <c r="D860" s="85" t="n"/>
      <c r="E860" s="85" t="n"/>
      <c r="F860" s="86" t="n"/>
      <c r="G860" s="86" t="n"/>
      <c r="H860" s="85" t="n"/>
      <c r="I860" s="85" t="n"/>
      <c r="J860" s="85" t="n"/>
      <c r="K860" s="85" t="n"/>
      <c r="L860" s="85" t="n"/>
      <c r="M860" s="85" t="n"/>
      <c r="N860" s="85" t="n"/>
      <c r="O860" s="85" t="n"/>
      <c r="P860" s="85" t="n"/>
      <c r="Q860" s="85" t="n"/>
      <c r="R860" s="85" t="n"/>
      <c r="S860" s="85">
        <f>IF($G860="","",TODAY()-$G860)</f>
        <v/>
      </c>
      <c r="T860" s="85">
        <f>IF($A860="","",IF(AND($E860="Yes",OR($O860="No",$O860="NOT FOUND")),"YES",""))</f>
        <v/>
      </c>
      <c r="U860" s="85">
        <f>IF($A860="","",TRIM(IF(AND($M860=0,$I860&lt;&gt;"Yes"),"T0-NoPhishResistant ","")&amp;IF($H860="No","NoMFA ","")&amp;IF(AND($E860="Yes",$G860=""),"NeverSignedIn ","")))</f>
        <v/>
      </c>
    </row>
    <row r="861" ht="15" customHeight="1" s="39">
      <c r="A861" s="85" t="n"/>
      <c r="B861" s="85" t="n"/>
      <c r="C861" s="85" t="n"/>
      <c r="D861" s="85" t="n"/>
      <c r="E861" s="85" t="n"/>
      <c r="F861" s="86" t="n"/>
      <c r="G861" s="86" t="n"/>
      <c r="H861" s="85" t="n"/>
      <c r="I861" s="85" t="n"/>
      <c r="J861" s="85" t="n"/>
      <c r="K861" s="85" t="n"/>
      <c r="L861" s="85" t="n"/>
      <c r="M861" s="85" t="n"/>
      <c r="N861" s="85" t="n"/>
      <c r="O861" s="85" t="n"/>
      <c r="P861" s="85" t="n"/>
      <c r="Q861" s="85" t="n"/>
      <c r="R861" s="85" t="n"/>
      <c r="S861" s="85">
        <f>IF($G861="","",TODAY()-$G861)</f>
        <v/>
      </c>
      <c r="T861" s="85">
        <f>IF($A861="","",IF(AND($E861="Yes",OR($O861="No",$O861="NOT FOUND")),"YES",""))</f>
        <v/>
      </c>
      <c r="U861" s="85">
        <f>IF($A861="","",TRIM(IF(AND($M861=0,$I861&lt;&gt;"Yes"),"T0-NoPhishResistant ","")&amp;IF($H861="No","NoMFA ","")&amp;IF(AND($E861="Yes",$G861=""),"NeverSignedIn ","")))</f>
        <v/>
      </c>
    </row>
    <row r="862" ht="15" customHeight="1" s="39">
      <c r="A862" s="85" t="n"/>
      <c r="B862" s="85" t="n"/>
      <c r="C862" s="85" t="n"/>
      <c r="D862" s="85" t="n"/>
      <c r="E862" s="85" t="n"/>
      <c r="F862" s="86" t="n"/>
      <c r="G862" s="86" t="n"/>
      <c r="H862" s="85" t="n"/>
      <c r="I862" s="85" t="n"/>
      <c r="J862" s="85" t="n"/>
      <c r="K862" s="85" t="n"/>
      <c r="L862" s="85" t="n"/>
      <c r="M862" s="85" t="n"/>
      <c r="N862" s="85" t="n"/>
      <c r="O862" s="85" t="n"/>
      <c r="P862" s="85" t="n"/>
      <c r="Q862" s="85" t="n"/>
      <c r="R862" s="85" t="n"/>
      <c r="S862" s="85">
        <f>IF($G862="","",TODAY()-$G862)</f>
        <v/>
      </c>
      <c r="T862" s="85">
        <f>IF($A862="","",IF(AND($E862="Yes",OR($O862="No",$O862="NOT FOUND")),"YES",""))</f>
        <v/>
      </c>
      <c r="U862" s="85">
        <f>IF($A862="","",TRIM(IF(AND($M862=0,$I862&lt;&gt;"Yes"),"T0-NoPhishResistant ","")&amp;IF($H862="No","NoMFA ","")&amp;IF(AND($E862="Yes",$G862=""),"NeverSignedIn ","")))</f>
        <v/>
      </c>
    </row>
    <row r="863" ht="15" customHeight="1" s="39">
      <c r="A863" s="85" t="n"/>
      <c r="B863" s="85" t="n"/>
      <c r="C863" s="85" t="n"/>
      <c r="D863" s="85" t="n"/>
      <c r="E863" s="85" t="n"/>
      <c r="F863" s="86" t="n"/>
      <c r="G863" s="86" t="n"/>
      <c r="H863" s="85" t="n"/>
      <c r="I863" s="85" t="n"/>
      <c r="J863" s="85" t="n"/>
      <c r="K863" s="85" t="n"/>
      <c r="L863" s="85" t="n"/>
      <c r="M863" s="85" t="n"/>
      <c r="N863" s="85" t="n"/>
      <c r="O863" s="85" t="n"/>
      <c r="P863" s="85" t="n"/>
      <c r="Q863" s="85" t="n"/>
      <c r="R863" s="85" t="n"/>
      <c r="S863" s="85">
        <f>IF($G863="","",TODAY()-$G863)</f>
        <v/>
      </c>
      <c r="T863" s="85">
        <f>IF($A863="","",IF(AND($E863="Yes",OR($O863="No",$O863="NOT FOUND")),"YES",""))</f>
        <v/>
      </c>
      <c r="U863" s="85">
        <f>IF($A863="","",TRIM(IF(AND($M863=0,$I863&lt;&gt;"Yes"),"T0-NoPhishResistant ","")&amp;IF($H863="No","NoMFA ","")&amp;IF(AND($E863="Yes",$G863=""),"NeverSignedIn ","")))</f>
        <v/>
      </c>
    </row>
    <row r="864" ht="15" customHeight="1" s="39">
      <c r="A864" s="85" t="n"/>
      <c r="B864" s="85" t="n"/>
      <c r="C864" s="85" t="n"/>
      <c r="D864" s="85" t="n"/>
      <c r="E864" s="85" t="n"/>
      <c r="F864" s="86" t="n"/>
      <c r="G864" s="86" t="n"/>
      <c r="H864" s="85" t="n"/>
      <c r="I864" s="85" t="n"/>
      <c r="J864" s="85" t="n"/>
      <c r="K864" s="85" t="n"/>
      <c r="L864" s="85" t="n"/>
      <c r="M864" s="85" t="n"/>
      <c r="N864" s="85" t="n"/>
      <c r="O864" s="85" t="n"/>
      <c r="P864" s="85" t="n"/>
      <c r="Q864" s="85" t="n"/>
      <c r="R864" s="85" t="n"/>
      <c r="S864" s="85">
        <f>IF($G864="","",TODAY()-$G864)</f>
        <v/>
      </c>
      <c r="T864" s="85">
        <f>IF($A864="","",IF(AND($E864="Yes",OR($O864="No",$O864="NOT FOUND")),"YES",""))</f>
        <v/>
      </c>
      <c r="U864" s="85">
        <f>IF($A864="","",TRIM(IF(AND($M864=0,$I864&lt;&gt;"Yes"),"T0-NoPhishResistant ","")&amp;IF($H864="No","NoMFA ","")&amp;IF(AND($E864="Yes",$G864=""),"NeverSignedIn ","")))</f>
        <v/>
      </c>
    </row>
    <row r="865" ht="15" customHeight="1" s="39">
      <c r="A865" s="85" t="n"/>
      <c r="B865" s="85" t="n"/>
      <c r="C865" s="85" t="n"/>
      <c r="D865" s="85" t="n"/>
      <c r="E865" s="85" t="n"/>
      <c r="F865" s="86" t="n"/>
      <c r="G865" s="86" t="n"/>
      <c r="H865" s="85" t="n"/>
      <c r="I865" s="85" t="n"/>
      <c r="J865" s="85" t="n"/>
      <c r="K865" s="85" t="n"/>
      <c r="L865" s="85" t="n"/>
      <c r="M865" s="85" t="n"/>
      <c r="N865" s="85" t="n"/>
      <c r="O865" s="85" t="n"/>
      <c r="P865" s="85" t="n"/>
      <c r="Q865" s="85" t="n"/>
      <c r="R865" s="85" t="n"/>
      <c r="S865" s="85">
        <f>IF($G865="","",TODAY()-$G865)</f>
        <v/>
      </c>
      <c r="T865" s="85">
        <f>IF($A865="","",IF(AND($E865="Yes",OR($O865="No",$O865="NOT FOUND")),"YES",""))</f>
        <v/>
      </c>
      <c r="U865" s="85">
        <f>IF($A865="","",TRIM(IF(AND($M865=0,$I865&lt;&gt;"Yes"),"T0-NoPhishResistant ","")&amp;IF($H865="No","NoMFA ","")&amp;IF(AND($E865="Yes",$G865=""),"NeverSignedIn ","")))</f>
        <v/>
      </c>
    </row>
    <row r="866" ht="15" customHeight="1" s="39">
      <c r="A866" s="85" t="n"/>
      <c r="B866" s="85" t="n"/>
      <c r="C866" s="85" t="n"/>
      <c r="D866" s="85" t="n"/>
      <c r="E866" s="85" t="n"/>
      <c r="F866" s="86" t="n"/>
      <c r="G866" s="86" t="n"/>
      <c r="H866" s="85" t="n"/>
      <c r="I866" s="85" t="n"/>
      <c r="J866" s="85" t="n"/>
      <c r="K866" s="85" t="n"/>
      <c r="L866" s="85" t="n"/>
      <c r="M866" s="85" t="n"/>
      <c r="N866" s="85" t="n"/>
      <c r="O866" s="85" t="n"/>
      <c r="P866" s="85" t="n"/>
      <c r="Q866" s="85" t="n"/>
      <c r="R866" s="85" t="n"/>
      <c r="S866" s="85">
        <f>IF($G866="","",TODAY()-$G866)</f>
        <v/>
      </c>
      <c r="T866" s="85">
        <f>IF($A866="","",IF(AND($E866="Yes",OR($O866="No",$O866="NOT FOUND")),"YES",""))</f>
        <v/>
      </c>
      <c r="U866" s="85">
        <f>IF($A866="","",TRIM(IF(AND($M866=0,$I866&lt;&gt;"Yes"),"T0-NoPhishResistant ","")&amp;IF($H866="No","NoMFA ","")&amp;IF(AND($E866="Yes",$G866=""),"NeverSignedIn ","")))</f>
        <v/>
      </c>
    </row>
    <row r="867" ht="15" customHeight="1" s="39">
      <c r="A867" s="85" t="n"/>
      <c r="B867" s="85" t="n"/>
      <c r="C867" s="85" t="n"/>
      <c r="D867" s="85" t="n"/>
      <c r="E867" s="85" t="n"/>
      <c r="F867" s="86" t="n"/>
      <c r="G867" s="86" t="n"/>
      <c r="H867" s="85" t="n"/>
      <c r="I867" s="85" t="n"/>
      <c r="J867" s="85" t="n"/>
      <c r="K867" s="85" t="n"/>
      <c r="L867" s="85" t="n"/>
      <c r="M867" s="85" t="n"/>
      <c r="N867" s="85" t="n"/>
      <c r="O867" s="85" t="n"/>
      <c r="P867" s="85" t="n"/>
      <c r="Q867" s="85" t="n"/>
      <c r="R867" s="85" t="n"/>
      <c r="S867" s="85">
        <f>IF($G867="","",TODAY()-$G867)</f>
        <v/>
      </c>
      <c r="T867" s="85">
        <f>IF($A867="","",IF(AND($E867="Yes",OR($O867="No",$O867="NOT FOUND")),"YES",""))</f>
        <v/>
      </c>
      <c r="U867" s="85">
        <f>IF($A867="","",TRIM(IF(AND($M867=0,$I867&lt;&gt;"Yes"),"T0-NoPhishResistant ","")&amp;IF($H867="No","NoMFA ","")&amp;IF(AND($E867="Yes",$G867=""),"NeverSignedIn ","")))</f>
        <v/>
      </c>
    </row>
    <row r="868" ht="15" customHeight="1" s="39">
      <c r="A868" s="85" t="n"/>
      <c r="B868" s="85" t="n"/>
      <c r="C868" s="85" t="n"/>
      <c r="D868" s="85" t="n"/>
      <c r="E868" s="85" t="n"/>
      <c r="F868" s="86" t="n"/>
      <c r="G868" s="86" t="n"/>
      <c r="H868" s="85" t="n"/>
      <c r="I868" s="85" t="n"/>
      <c r="J868" s="85" t="n"/>
      <c r="K868" s="85" t="n"/>
      <c r="L868" s="85" t="n"/>
      <c r="M868" s="85" t="n"/>
      <c r="N868" s="85" t="n"/>
      <c r="O868" s="85" t="n"/>
      <c r="P868" s="85" t="n"/>
      <c r="Q868" s="85" t="n"/>
      <c r="R868" s="85" t="n"/>
      <c r="S868" s="85">
        <f>IF($G868="","",TODAY()-$G868)</f>
        <v/>
      </c>
      <c r="T868" s="85">
        <f>IF($A868="","",IF(AND($E868="Yes",OR($O868="No",$O868="NOT FOUND")),"YES",""))</f>
        <v/>
      </c>
      <c r="U868" s="85">
        <f>IF($A868="","",TRIM(IF(AND($M868=0,$I868&lt;&gt;"Yes"),"T0-NoPhishResistant ","")&amp;IF($H868="No","NoMFA ","")&amp;IF(AND($E868="Yes",$G868=""),"NeverSignedIn ","")))</f>
        <v/>
      </c>
    </row>
    <row r="869" ht="15" customHeight="1" s="39">
      <c r="A869" s="85" t="n"/>
      <c r="B869" s="85" t="n"/>
      <c r="C869" s="85" t="n"/>
      <c r="D869" s="85" t="n"/>
      <c r="E869" s="85" t="n"/>
      <c r="F869" s="86" t="n"/>
      <c r="G869" s="86" t="n"/>
      <c r="H869" s="85" t="n"/>
      <c r="I869" s="85" t="n"/>
      <c r="J869" s="85" t="n"/>
      <c r="K869" s="85" t="n"/>
      <c r="L869" s="85" t="n"/>
      <c r="M869" s="85" t="n"/>
      <c r="N869" s="85" t="n"/>
      <c r="O869" s="85" t="n"/>
      <c r="P869" s="85" t="n"/>
      <c r="Q869" s="85" t="n"/>
      <c r="R869" s="85" t="n"/>
      <c r="S869" s="85">
        <f>IF($G869="","",TODAY()-$G869)</f>
        <v/>
      </c>
      <c r="T869" s="85">
        <f>IF($A869="","",IF(AND($E869="Yes",OR($O869="No",$O869="NOT FOUND")),"YES",""))</f>
        <v/>
      </c>
      <c r="U869" s="85">
        <f>IF($A869="","",TRIM(IF(AND($M869=0,$I869&lt;&gt;"Yes"),"T0-NoPhishResistant ","")&amp;IF($H869="No","NoMFA ","")&amp;IF(AND($E869="Yes",$G869=""),"NeverSignedIn ","")))</f>
        <v/>
      </c>
    </row>
    <row r="870" ht="15" customHeight="1" s="39">
      <c r="A870" s="85" t="n"/>
      <c r="B870" s="85" t="n"/>
      <c r="C870" s="85" t="n"/>
      <c r="D870" s="85" t="n"/>
      <c r="E870" s="85" t="n"/>
      <c r="F870" s="86" t="n"/>
      <c r="G870" s="86" t="n"/>
      <c r="H870" s="85" t="n"/>
      <c r="I870" s="85" t="n"/>
      <c r="J870" s="85" t="n"/>
      <c r="K870" s="85" t="n"/>
      <c r="L870" s="85" t="n"/>
      <c r="M870" s="85" t="n"/>
      <c r="N870" s="85" t="n"/>
      <c r="O870" s="85" t="n"/>
      <c r="P870" s="85" t="n"/>
      <c r="Q870" s="85" t="n"/>
      <c r="R870" s="85" t="n"/>
      <c r="S870" s="85">
        <f>IF($G870="","",TODAY()-$G870)</f>
        <v/>
      </c>
      <c r="T870" s="85">
        <f>IF($A870="","",IF(AND($E870="Yes",OR($O870="No",$O870="NOT FOUND")),"YES",""))</f>
        <v/>
      </c>
      <c r="U870" s="85">
        <f>IF($A870="","",TRIM(IF(AND($M870=0,$I870&lt;&gt;"Yes"),"T0-NoPhishResistant ","")&amp;IF($H870="No","NoMFA ","")&amp;IF(AND($E870="Yes",$G870=""),"NeverSignedIn ","")))</f>
        <v/>
      </c>
    </row>
    <row r="871" ht="15" customHeight="1" s="39">
      <c r="A871" s="85" t="n"/>
      <c r="B871" s="85" t="n"/>
      <c r="C871" s="85" t="n"/>
      <c r="D871" s="85" t="n"/>
      <c r="E871" s="85" t="n"/>
      <c r="F871" s="86" t="n"/>
      <c r="G871" s="86" t="n"/>
      <c r="H871" s="85" t="n"/>
      <c r="I871" s="85" t="n"/>
      <c r="J871" s="85" t="n"/>
      <c r="K871" s="85" t="n"/>
      <c r="L871" s="85" t="n"/>
      <c r="M871" s="85" t="n"/>
      <c r="N871" s="85" t="n"/>
      <c r="O871" s="85" t="n"/>
      <c r="P871" s="85" t="n"/>
      <c r="Q871" s="85" t="n"/>
      <c r="R871" s="85" t="n"/>
      <c r="S871" s="85">
        <f>IF($G871="","",TODAY()-$G871)</f>
        <v/>
      </c>
      <c r="T871" s="85">
        <f>IF($A871="","",IF(AND($E871="Yes",OR($O871="No",$O871="NOT FOUND")),"YES",""))</f>
        <v/>
      </c>
      <c r="U871" s="85">
        <f>IF($A871="","",TRIM(IF(AND($M871=0,$I871&lt;&gt;"Yes"),"T0-NoPhishResistant ","")&amp;IF($H871="No","NoMFA ","")&amp;IF(AND($E871="Yes",$G871=""),"NeverSignedIn ","")))</f>
        <v/>
      </c>
    </row>
    <row r="872" ht="15" customHeight="1" s="39">
      <c r="A872" s="85" t="n"/>
      <c r="B872" s="85" t="n"/>
      <c r="C872" s="85" t="n"/>
      <c r="D872" s="85" t="n"/>
      <c r="E872" s="85" t="n"/>
      <c r="F872" s="86" t="n"/>
      <c r="G872" s="86" t="n"/>
      <c r="H872" s="85" t="n"/>
      <c r="I872" s="85" t="n"/>
      <c r="J872" s="85" t="n"/>
      <c r="K872" s="85" t="n"/>
      <c r="L872" s="85" t="n"/>
      <c r="M872" s="85" t="n"/>
      <c r="N872" s="85" t="n"/>
      <c r="O872" s="85" t="n"/>
      <c r="P872" s="85" t="n"/>
      <c r="Q872" s="85" t="n"/>
      <c r="R872" s="85" t="n"/>
      <c r="S872" s="85">
        <f>IF($G872="","",TODAY()-$G872)</f>
        <v/>
      </c>
      <c r="T872" s="85">
        <f>IF($A872="","",IF(AND($E872="Yes",OR($O872="No",$O872="NOT FOUND")),"YES",""))</f>
        <v/>
      </c>
      <c r="U872" s="85">
        <f>IF($A872="","",TRIM(IF(AND($M872=0,$I872&lt;&gt;"Yes"),"T0-NoPhishResistant ","")&amp;IF($H872="No","NoMFA ","")&amp;IF(AND($E872="Yes",$G872=""),"NeverSignedIn ","")))</f>
        <v/>
      </c>
    </row>
    <row r="873" ht="15" customHeight="1" s="39">
      <c r="A873" s="85" t="n"/>
      <c r="B873" s="85" t="n"/>
      <c r="C873" s="85" t="n"/>
      <c r="D873" s="85" t="n"/>
      <c r="E873" s="85" t="n"/>
      <c r="F873" s="86" t="n"/>
      <c r="G873" s="86" t="n"/>
      <c r="H873" s="85" t="n"/>
      <c r="I873" s="85" t="n"/>
      <c r="J873" s="85" t="n"/>
      <c r="K873" s="85" t="n"/>
      <c r="L873" s="85" t="n"/>
      <c r="M873" s="85" t="n"/>
      <c r="N873" s="85" t="n"/>
      <c r="O873" s="85" t="n"/>
      <c r="P873" s="85" t="n"/>
      <c r="Q873" s="85" t="n"/>
      <c r="R873" s="85" t="n"/>
      <c r="S873" s="85">
        <f>IF($G873="","",TODAY()-$G873)</f>
        <v/>
      </c>
      <c r="T873" s="85">
        <f>IF($A873="","",IF(AND($E873="Yes",OR($O873="No",$O873="NOT FOUND")),"YES",""))</f>
        <v/>
      </c>
      <c r="U873" s="85">
        <f>IF($A873="","",TRIM(IF(AND($M873=0,$I873&lt;&gt;"Yes"),"T0-NoPhishResistant ","")&amp;IF($H873="No","NoMFA ","")&amp;IF(AND($E873="Yes",$G873=""),"NeverSignedIn ","")))</f>
        <v/>
      </c>
    </row>
    <row r="874" ht="15" customHeight="1" s="39">
      <c r="A874" s="85" t="n"/>
      <c r="B874" s="85" t="n"/>
      <c r="C874" s="85" t="n"/>
      <c r="D874" s="85" t="n"/>
      <c r="E874" s="85" t="n"/>
      <c r="F874" s="86" t="n"/>
      <c r="G874" s="86" t="n"/>
      <c r="H874" s="85" t="n"/>
      <c r="I874" s="85" t="n"/>
      <c r="J874" s="85" t="n"/>
      <c r="K874" s="85" t="n"/>
      <c r="L874" s="85" t="n"/>
      <c r="M874" s="85" t="n"/>
      <c r="N874" s="85" t="n"/>
      <c r="O874" s="85" t="n"/>
      <c r="P874" s="85" t="n"/>
      <c r="Q874" s="85" t="n"/>
      <c r="R874" s="85" t="n"/>
      <c r="S874" s="85">
        <f>IF($G874="","",TODAY()-$G874)</f>
        <v/>
      </c>
      <c r="T874" s="85">
        <f>IF($A874="","",IF(AND($E874="Yes",OR($O874="No",$O874="NOT FOUND")),"YES",""))</f>
        <v/>
      </c>
      <c r="U874" s="85">
        <f>IF($A874="","",TRIM(IF(AND($M874=0,$I874&lt;&gt;"Yes"),"T0-NoPhishResistant ","")&amp;IF($H874="No","NoMFA ","")&amp;IF(AND($E874="Yes",$G874=""),"NeverSignedIn ","")))</f>
        <v/>
      </c>
    </row>
    <row r="875" ht="15" customHeight="1" s="39">
      <c r="A875" s="85" t="n"/>
      <c r="B875" s="85" t="n"/>
      <c r="C875" s="85" t="n"/>
      <c r="D875" s="85" t="n"/>
      <c r="E875" s="85" t="n"/>
      <c r="F875" s="86" t="n"/>
      <c r="G875" s="86" t="n"/>
      <c r="H875" s="85" t="n"/>
      <c r="I875" s="85" t="n"/>
      <c r="J875" s="85" t="n"/>
      <c r="K875" s="85" t="n"/>
      <c r="L875" s="85" t="n"/>
      <c r="M875" s="85" t="n"/>
      <c r="N875" s="85" t="n"/>
      <c r="O875" s="85" t="n"/>
      <c r="P875" s="85" t="n"/>
      <c r="Q875" s="85" t="n"/>
      <c r="R875" s="85" t="n"/>
      <c r="S875" s="85">
        <f>IF($G875="","",TODAY()-$G875)</f>
        <v/>
      </c>
      <c r="T875" s="85">
        <f>IF($A875="","",IF(AND($E875="Yes",OR($O875="No",$O875="NOT FOUND")),"YES",""))</f>
        <v/>
      </c>
      <c r="U875" s="85">
        <f>IF($A875="","",TRIM(IF(AND($M875=0,$I875&lt;&gt;"Yes"),"T0-NoPhishResistant ","")&amp;IF($H875="No","NoMFA ","")&amp;IF(AND($E875="Yes",$G875=""),"NeverSignedIn ","")))</f>
        <v/>
      </c>
    </row>
    <row r="876" ht="15" customHeight="1" s="39">
      <c r="A876" s="85" t="n"/>
      <c r="B876" s="85" t="n"/>
      <c r="C876" s="85" t="n"/>
      <c r="D876" s="85" t="n"/>
      <c r="E876" s="85" t="n"/>
      <c r="F876" s="86" t="n"/>
      <c r="G876" s="86" t="n"/>
      <c r="H876" s="85" t="n"/>
      <c r="I876" s="85" t="n"/>
      <c r="J876" s="85" t="n"/>
      <c r="K876" s="85" t="n"/>
      <c r="L876" s="85" t="n"/>
      <c r="M876" s="85" t="n"/>
      <c r="N876" s="85" t="n"/>
      <c r="O876" s="85" t="n"/>
      <c r="P876" s="85" t="n"/>
      <c r="Q876" s="85" t="n"/>
      <c r="R876" s="85" t="n"/>
      <c r="S876" s="85">
        <f>IF($G876="","",TODAY()-$G876)</f>
        <v/>
      </c>
      <c r="T876" s="85">
        <f>IF($A876="","",IF(AND($E876="Yes",OR($O876="No",$O876="NOT FOUND")),"YES",""))</f>
        <v/>
      </c>
      <c r="U876" s="85">
        <f>IF($A876="","",TRIM(IF(AND($M876=0,$I876&lt;&gt;"Yes"),"T0-NoPhishResistant ","")&amp;IF($H876="No","NoMFA ","")&amp;IF(AND($E876="Yes",$G876=""),"NeverSignedIn ","")))</f>
        <v/>
      </c>
    </row>
    <row r="877" ht="15" customHeight="1" s="39">
      <c r="A877" s="85" t="n"/>
      <c r="B877" s="85" t="n"/>
      <c r="C877" s="85" t="n"/>
      <c r="D877" s="85" t="n"/>
      <c r="E877" s="85" t="n"/>
      <c r="F877" s="86" t="n"/>
      <c r="G877" s="86" t="n"/>
      <c r="H877" s="85" t="n"/>
      <c r="I877" s="85" t="n"/>
      <c r="J877" s="85" t="n"/>
      <c r="K877" s="85" t="n"/>
      <c r="L877" s="85" t="n"/>
      <c r="M877" s="85" t="n"/>
      <c r="N877" s="85" t="n"/>
      <c r="O877" s="85" t="n"/>
      <c r="P877" s="85" t="n"/>
      <c r="Q877" s="85" t="n"/>
      <c r="R877" s="85" t="n"/>
      <c r="S877" s="85">
        <f>IF($G877="","",TODAY()-$G877)</f>
        <v/>
      </c>
      <c r="T877" s="85">
        <f>IF($A877="","",IF(AND($E877="Yes",OR($O877="No",$O877="NOT FOUND")),"YES",""))</f>
        <v/>
      </c>
      <c r="U877" s="85">
        <f>IF($A877="","",TRIM(IF(AND($M877=0,$I877&lt;&gt;"Yes"),"T0-NoPhishResistant ","")&amp;IF($H877="No","NoMFA ","")&amp;IF(AND($E877="Yes",$G877=""),"NeverSignedIn ","")))</f>
        <v/>
      </c>
    </row>
    <row r="878" ht="15" customHeight="1" s="39">
      <c r="A878" s="85" t="n"/>
      <c r="B878" s="85" t="n"/>
      <c r="C878" s="85" t="n"/>
      <c r="D878" s="85" t="n"/>
      <c r="E878" s="85" t="n"/>
      <c r="F878" s="86" t="n"/>
      <c r="G878" s="86" t="n"/>
      <c r="H878" s="85" t="n"/>
      <c r="I878" s="85" t="n"/>
      <c r="J878" s="85" t="n"/>
      <c r="K878" s="85" t="n"/>
      <c r="L878" s="85" t="n"/>
      <c r="M878" s="85" t="n"/>
      <c r="N878" s="85" t="n"/>
      <c r="O878" s="85" t="n"/>
      <c r="P878" s="85" t="n"/>
      <c r="Q878" s="85" t="n"/>
      <c r="R878" s="85" t="n"/>
      <c r="S878" s="85">
        <f>IF($G878="","",TODAY()-$G878)</f>
        <v/>
      </c>
      <c r="T878" s="85">
        <f>IF($A878="","",IF(AND($E878="Yes",OR($O878="No",$O878="NOT FOUND")),"YES",""))</f>
        <v/>
      </c>
      <c r="U878" s="85">
        <f>IF($A878="","",TRIM(IF(AND($M878=0,$I878&lt;&gt;"Yes"),"T0-NoPhishResistant ","")&amp;IF($H878="No","NoMFA ","")&amp;IF(AND($E878="Yes",$G878=""),"NeverSignedIn ","")))</f>
        <v/>
      </c>
    </row>
    <row r="879" ht="15" customHeight="1" s="39">
      <c r="A879" s="85" t="n"/>
      <c r="B879" s="85" t="n"/>
      <c r="C879" s="85" t="n"/>
      <c r="D879" s="85" t="n"/>
      <c r="E879" s="85" t="n"/>
      <c r="F879" s="86" t="n"/>
      <c r="G879" s="86" t="n"/>
      <c r="H879" s="85" t="n"/>
      <c r="I879" s="85" t="n"/>
      <c r="J879" s="85" t="n"/>
      <c r="K879" s="85" t="n"/>
      <c r="L879" s="85" t="n"/>
      <c r="M879" s="85" t="n"/>
      <c r="N879" s="85" t="n"/>
      <c r="O879" s="85" t="n"/>
      <c r="P879" s="85" t="n"/>
      <c r="Q879" s="85" t="n"/>
      <c r="R879" s="85" t="n"/>
      <c r="S879" s="85">
        <f>IF($G879="","",TODAY()-$G879)</f>
        <v/>
      </c>
      <c r="T879" s="85">
        <f>IF($A879="","",IF(AND($E879="Yes",OR($O879="No",$O879="NOT FOUND")),"YES",""))</f>
        <v/>
      </c>
      <c r="U879" s="85">
        <f>IF($A879="","",TRIM(IF(AND($M879=0,$I879&lt;&gt;"Yes"),"T0-NoPhishResistant ","")&amp;IF($H879="No","NoMFA ","")&amp;IF(AND($E879="Yes",$G879=""),"NeverSignedIn ","")))</f>
        <v/>
      </c>
    </row>
    <row r="880" ht="15" customHeight="1" s="39">
      <c r="A880" s="85" t="n"/>
      <c r="B880" s="85" t="n"/>
      <c r="C880" s="85" t="n"/>
      <c r="D880" s="85" t="n"/>
      <c r="E880" s="85" t="n"/>
      <c r="F880" s="86" t="n"/>
      <c r="G880" s="86" t="n"/>
      <c r="H880" s="85" t="n"/>
      <c r="I880" s="85" t="n"/>
      <c r="J880" s="85" t="n"/>
      <c r="K880" s="85" t="n"/>
      <c r="L880" s="85" t="n"/>
      <c r="M880" s="85" t="n"/>
      <c r="N880" s="85" t="n"/>
      <c r="O880" s="85" t="n"/>
      <c r="P880" s="85" t="n"/>
      <c r="Q880" s="85" t="n"/>
      <c r="R880" s="85" t="n"/>
      <c r="S880" s="85">
        <f>IF($G880="","",TODAY()-$G880)</f>
        <v/>
      </c>
      <c r="T880" s="85">
        <f>IF($A880="","",IF(AND($E880="Yes",OR($O880="No",$O880="NOT FOUND")),"YES",""))</f>
        <v/>
      </c>
      <c r="U880" s="85">
        <f>IF($A880="","",TRIM(IF(AND($M880=0,$I880&lt;&gt;"Yes"),"T0-NoPhishResistant ","")&amp;IF($H880="No","NoMFA ","")&amp;IF(AND($E880="Yes",$G880=""),"NeverSignedIn ","")))</f>
        <v/>
      </c>
    </row>
    <row r="881" ht="15" customHeight="1" s="39">
      <c r="A881" s="85" t="n"/>
      <c r="B881" s="85" t="n"/>
      <c r="C881" s="85" t="n"/>
      <c r="D881" s="85" t="n"/>
      <c r="E881" s="85" t="n"/>
      <c r="F881" s="86" t="n"/>
      <c r="G881" s="86" t="n"/>
      <c r="H881" s="85" t="n"/>
      <c r="I881" s="85" t="n"/>
      <c r="J881" s="85" t="n"/>
      <c r="K881" s="85" t="n"/>
      <c r="L881" s="85" t="n"/>
      <c r="M881" s="85" t="n"/>
      <c r="N881" s="85" t="n"/>
      <c r="O881" s="85" t="n"/>
      <c r="P881" s="85" t="n"/>
      <c r="Q881" s="85" t="n"/>
      <c r="R881" s="85" t="n"/>
      <c r="S881" s="85">
        <f>IF($G881="","",TODAY()-$G881)</f>
        <v/>
      </c>
      <c r="T881" s="85">
        <f>IF($A881="","",IF(AND($E881="Yes",OR($O881="No",$O881="NOT FOUND")),"YES",""))</f>
        <v/>
      </c>
      <c r="U881" s="85">
        <f>IF($A881="","",TRIM(IF(AND($M881=0,$I881&lt;&gt;"Yes"),"T0-NoPhishResistant ","")&amp;IF($H881="No","NoMFA ","")&amp;IF(AND($E881="Yes",$G881=""),"NeverSignedIn ","")))</f>
        <v/>
      </c>
    </row>
    <row r="882" ht="15" customHeight="1" s="39">
      <c r="A882" s="85" t="n"/>
      <c r="B882" s="85" t="n"/>
      <c r="C882" s="85" t="n"/>
      <c r="D882" s="85" t="n"/>
      <c r="E882" s="85" t="n"/>
      <c r="F882" s="86" t="n"/>
      <c r="G882" s="86" t="n"/>
      <c r="H882" s="85" t="n"/>
      <c r="I882" s="85" t="n"/>
      <c r="J882" s="85" t="n"/>
      <c r="K882" s="85" t="n"/>
      <c r="L882" s="85" t="n"/>
      <c r="M882" s="85" t="n"/>
      <c r="N882" s="85" t="n"/>
      <c r="O882" s="85" t="n"/>
      <c r="P882" s="85" t="n"/>
      <c r="Q882" s="85" t="n"/>
      <c r="R882" s="85" t="n"/>
      <c r="S882" s="85">
        <f>IF($G882="","",TODAY()-$G882)</f>
        <v/>
      </c>
      <c r="T882" s="85">
        <f>IF($A882="","",IF(AND($E882="Yes",OR($O882="No",$O882="NOT FOUND")),"YES",""))</f>
        <v/>
      </c>
      <c r="U882" s="85">
        <f>IF($A882="","",TRIM(IF(AND($M882=0,$I882&lt;&gt;"Yes"),"T0-NoPhishResistant ","")&amp;IF($H882="No","NoMFA ","")&amp;IF(AND($E882="Yes",$G882=""),"NeverSignedIn ","")))</f>
        <v/>
      </c>
    </row>
    <row r="883" ht="15" customHeight="1" s="39">
      <c r="A883" s="85" t="n"/>
      <c r="B883" s="85" t="n"/>
      <c r="C883" s="85" t="n"/>
      <c r="D883" s="85" t="n"/>
      <c r="E883" s="85" t="n"/>
      <c r="F883" s="86" t="n"/>
      <c r="G883" s="86" t="n"/>
      <c r="H883" s="85" t="n"/>
      <c r="I883" s="85" t="n"/>
      <c r="J883" s="85" t="n"/>
      <c r="K883" s="85" t="n"/>
      <c r="L883" s="85" t="n"/>
      <c r="M883" s="85" t="n"/>
      <c r="N883" s="85" t="n"/>
      <c r="O883" s="85" t="n"/>
      <c r="P883" s="85" t="n"/>
      <c r="Q883" s="85" t="n"/>
      <c r="R883" s="85" t="n"/>
      <c r="S883" s="85">
        <f>IF($G883="","",TODAY()-$G883)</f>
        <v/>
      </c>
      <c r="T883" s="85">
        <f>IF($A883="","",IF(AND($E883="Yes",OR($O883="No",$O883="NOT FOUND")),"YES",""))</f>
        <v/>
      </c>
      <c r="U883" s="85">
        <f>IF($A883="","",TRIM(IF(AND($M883=0,$I883&lt;&gt;"Yes"),"T0-NoPhishResistant ","")&amp;IF($H883="No","NoMFA ","")&amp;IF(AND($E883="Yes",$G883=""),"NeverSignedIn ","")))</f>
        <v/>
      </c>
    </row>
    <row r="884" ht="15" customHeight="1" s="39">
      <c r="A884" s="85" t="n"/>
      <c r="B884" s="85" t="n"/>
      <c r="C884" s="85" t="n"/>
      <c r="D884" s="85" t="n"/>
      <c r="E884" s="85" t="n"/>
      <c r="F884" s="86" t="n"/>
      <c r="G884" s="86" t="n"/>
      <c r="H884" s="85" t="n"/>
      <c r="I884" s="85" t="n"/>
      <c r="J884" s="85" t="n"/>
      <c r="K884" s="85" t="n"/>
      <c r="L884" s="85" t="n"/>
      <c r="M884" s="85" t="n"/>
      <c r="N884" s="85" t="n"/>
      <c r="O884" s="85" t="n"/>
      <c r="P884" s="85" t="n"/>
      <c r="Q884" s="85" t="n"/>
      <c r="R884" s="85" t="n"/>
      <c r="S884" s="85">
        <f>IF($G884="","",TODAY()-$G884)</f>
        <v/>
      </c>
      <c r="T884" s="85">
        <f>IF($A884="","",IF(AND($E884="Yes",OR($O884="No",$O884="NOT FOUND")),"YES",""))</f>
        <v/>
      </c>
      <c r="U884" s="85">
        <f>IF($A884="","",TRIM(IF(AND($M884=0,$I884&lt;&gt;"Yes"),"T0-NoPhishResistant ","")&amp;IF($H884="No","NoMFA ","")&amp;IF(AND($E884="Yes",$G884=""),"NeverSignedIn ","")))</f>
        <v/>
      </c>
    </row>
    <row r="885" ht="15" customHeight="1" s="39">
      <c r="A885" s="85" t="n"/>
      <c r="B885" s="85" t="n"/>
      <c r="C885" s="85" t="n"/>
      <c r="D885" s="85" t="n"/>
      <c r="E885" s="85" t="n"/>
      <c r="F885" s="86" t="n"/>
      <c r="G885" s="86" t="n"/>
      <c r="H885" s="85" t="n"/>
      <c r="I885" s="85" t="n"/>
      <c r="J885" s="85" t="n"/>
      <c r="K885" s="85" t="n"/>
      <c r="L885" s="85" t="n"/>
      <c r="M885" s="85" t="n"/>
      <c r="N885" s="85" t="n"/>
      <c r="O885" s="85" t="n"/>
      <c r="P885" s="85" t="n"/>
      <c r="Q885" s="85" t="n"/>
      <c r="R885" s="85" t="n"/>
      <c r="S885" s="85">
        <f>IF($G885="","",TODAY()-$G885)</f>
        <v/>
      </c>
      <c r="T885" s="85">
        <f>IF($A885="","",IF(AND($E885="Yes",OR($O885="No",$O885="NOT FOUND")),"YES",""))</f>
        <v/>
      </c>
      <c r="U885" s="85">
        <f>IF($A885="","",TRIM(IF(AND($M885=0,$I885&lt;&gt;"Yes"),"T0-NoPhishResistant ","")&amp;IF($H885="No","NoMFA ","")&amp;IF(AND($E885="Yes",$G885=""),"NeverSignedIn ","")))</f>
        <v/>
      </c>
    </row>
    <row r="886" ht="15" customHeight="1" s="39">
      <c r="A886" s="85" t="n"/>
      <c r="B886" s="85" t="n"/>
      <c r="C886" s="85" t="n"/>
      <c r="D886" s="85" t="n"/>
      <c r="E886" s="85" t="n"/>
      <c r="F886" s="86" t="n"/>
      <c r="G886" s="86" t="n"/>
      <c r="H886" s="85" t="n"/>
      <c r="I886" s="85" t="n"/>
      <c r="J886" s="85" t="n"/>
      <c r="K886" s="85" t="n"/>
      <c r="L886" s="85" t="n"/>
      <c r="M886" s="85" t="n"/>
      <c r="N886" s="85" t="n"/>
      <c r="O886" s="85" t="n"/>
      <c r="P886" s="85" t="n"/>
      <c r="Q886" s="85" t="n"/>
      <c r="R886" s="85" t="n"/>
      <c r="S886" s="85">
        <f>IF($G886="","",TODAY()-$G886)</f>
        <v/>
      </c>
      <c r="T886" s="85">
        <f>IF($A886="","",IF(AND($E886="Yes",OR($O886="No",$O886="NOT FOUND")),"YES",""))</f>
        <v/>
      </c>
      <c r="U886" s="85">
        <f>IF($A886="","",TRIM(IF(AND($M886=0,$I886&lt;&gt;"Yes"),"T0-NoPhishResistant ","")&amp;IF($H886="No","NoMFA ","")&amp;IF(AND($E886="Yes",$G886=""),"NeverSignedIn ","")))</f>
        <v/>
      </c>
    </row>
    <row r="887" ht="15" customHeight="1" s="39">
      <c r="A887" s="85" t="n"/>
      <c r="B887" s="85" t="n"/>
      <c r="C887" s="85" t="n"/>
      <c r="D887" s="85" t="n"/>
      <c r="E887" s="85" t="n"/>
      <c r="F887" s="86" t="n"/>
      <c r="G887" s="86" t="n"/>
      <c r="H887" s="85" t="n"/>
      <c r="I887" s="85" t="n"/>
      <c r="J887" s="85" t="n"/>
      <c r="K887" s="85" t="n"/>
      <c r="L887" s="85" t="n"/>
      <c r="M887" s="85" t="n"/>
      <c r="N887" s="85" t="n"/>
      <c r="O887" s="85" t="n"/>
      <c r="P887" s="85" t="n"/>
      <c r="Q887" s="85" t="n"/>
      <c r="R887" s="85" t="n"/>
      <c r="S887" s="85">
        <f>IF($G887="","",TODAY()-$G887)</f>
        <v/>
      </c>
      <c r="T887" s="85">
        <f>IF($A887="","",IF(AND($E887="Yes",OR($O887="No",$O887="NOT FOUND")),"YES",""))</f>
        <v/>
      </c>
      <c r="U887" s="85">
        <f>IF($A887="","",TRIM(IF(AND($M887=0,$I887&lt;&gt;"Yes"),"T0-NoPhishResistant ","")&amp;IF($H887="No","NoMFA ","")&amp;IF(AND($E887="Yes",$G887=""),"NeverSignedIn ","")))</f>
        <v/>
      </c>
    </row>
    <row r="888" ht="15" customHeight="1" s="39">
      <c r="A888" s="85" t="n"/>
      <c r="B888" s="85" t="n"/>
      <c r="C888" s="85" t="n"/>
      <c r="D888" s="85" t="n"/>
      <c r="E888" s="85" t="n"/>
      <c r="F888" s="86" t="n"/>
      <c r="G888" s="86" t="n"/>
      <c r="H888" s="85" t="n"/>
      <c r="I888" s="85" t="n"/>
      <c r="J888" s="85" t="n"/>
      <c r="K888" s="85" t="n"/>
      <c r="L888" s="85" t="n"/>
      <c r="M888" s="85" t="n"/>
      <c r="N888" s="85" t="n"/>
      <c r="O888" s="85" t="n"/>
      <c r="P888" s="85" t="n"/>
      <c r="Q888" s="85" t="n"/>
      <c r="R888" s="85" t="n"/>
      <c r="S888" s="85">
        <f>IF($G888="","",TODAY()-$G888)</f>
        <v/>
      </c>
      <c r="T888" s="85">
        <f>IF($A888="","",IF(AND($E888="Yes",OR($O888="No",$O888="NOT FOUND")),"YES",""))</f>
        <v/>
      </c>
      <c r="U888" s="85">
        <f>IF($A888="","",TRIM(IF(AND($M888=0,$I888&lt;&gt;"Yes"),"T0-NoPhishResistant ","")&amp;IF($H888="No","NoMFA ","")&amp;IF(AND($E888="Yes",$G888=""),"NeverSignedIn ","")))</f>
        <v/>
      </c>
    </row>
    <row r="889" ht="15" customHeight="1" s="39">
      <c r="A889" s="85" t="n"/>
      <c r="B889" s="85" t="n"/>
      <c r="C889" s="85" t="n"/>
      <c r="D889" s="85" t="n"/>
      <c r="E889" s="85" t="n"/>
      <c r="F889" s="86" t="n"/>
      <c r="G889" s="86" t="n"/>
      <c r="H889" s="85" t="n"/>
      <c r="I889" s="85" t="n"/>
      <c r="J889" s="85" t="n"/>
      <c r="K889" s="85" t="n"/>
      <c r="L889" s="85" t="n"/>
      <c r="M889" s="85" t="n"/>
      <c r="N889" s="85" t="n"/>
      <c r="O889" s="85" t="n"/>
      <c r="P889" s="85" t="n"/>
      <c r="Q889" s="85" t="n"/>
      <c r="R889" s="85" t="n"/>
      <c r="S889" s="85">
        <f>IF($G889="","",TODAY()-$G889)</f>
        <v/>
      </c>
      <c r="T889" s="85">
        <f>IF($A889="","",IF(AND($E889="Yes",OR($O889="No",$O889="NOT FOUND")),"YES",""))</f>
        <v/>
      </c>
      <c r="U889" s="85">
        <f>IF($A889="","",TRIM(IF(AND($M889=0,$I889&lt;&gt;"Yes"),"T0-NoPhishResistant ","")&amp;IF($H889="No","NoMFA ","")&amp;IF(AND($E889="Yes",$G889=""),"NeverSignedIn ","")))</f>
        <v/>
      </c>
    </row>
    <row r="890" ht="15" customHeight="1" s="39">
      <c r="A890" s="85" t="n"/>
      <c r="B890" s="85" t="n"/>
      <c r="C890" s="85" t="n"/>
      <c r="D890" s="85" t="n"/>
      <c r="E890" s="85" t="n"/>
      <c r="F890" s="86" t="n"/>
      <c r="G890" s="86" t="n"/>
      <c r="H890" s="85" t="n"/>
      <c r="I890" s="85" t="n"/>
      <c r="J890" s="85" t="n"/>
      <c r="K890" s="85" t="n"/>
      <c r="L890" s="85" t="n"/>
      <c r="M890" s="85" t="n"/>
      <c r="N890" s="85" t="n"/>
      <c r="O890" s="85" t="n"/>
      <c r="P890" s="85" t="n"/>
      <c r="Q890" s="85" t="n"/>
      <c r="R890" s="85" t="n"/>
      <c r="S890" s="85">
        <f>IF($G890="","",TODAY()-$G890)</f>
        <v/>
      </c>
      <c r="T890" s="85">
        <f>IF($A890="","",IF(AND($E890="Yes",OR($O890="No",$O890="NOT FOUND")),"YES",""))</f>
        <v/>
      </c>
      <c r="U890" s="85">
        <f>IF($A890="","",TRIM(IF(AND($M890=0,$I890&lt;&gt;"Yes"),"T0-NoPhishResistant ","")&amp;IF($H890="No","NoMFA ","")&amp;IF(AND($E890="Yes",$G890=""),"NeverSignedIn ","")))</f>
        <v/>
      </c>
    </row>
    <row r="891" ht="15" customHeight="1" s="39">
      <c r="A891" s="85" t="n"/>
      <c r="B891" s="85" t="n"/>
      <c r="C891" s="85" t="n"/>
      <c r="D891" s="85" t="n"/>
      <c r="E891" s="85" t="n"/>
      <c r="F891" s="86" t="n"/>
      <c r="G891" s="86" t="n"/>
      <c r="H891" s="85" t="n"/>
      <c r="I891" s="85" t="n"/>
      <c r="J891" s="85" t="n"/>
      <c r="K891" s="85" t="n"/>
      <c r="L891" s="85" t="n"/>
      <c r="M891" s="85" t="n"/>
      <c r="N891" s="85" t="n"/>
      <c r="O891" s="85" t="n"/>
      <c r="P891" s="85" t="n"/>
      <c r="Q891" s="85" t="n"/>
      <c r="R891" s="85" t="n"/>
      <c r="S891" s="85">
        <f>IF($G891="","",TODAY()-$G891)</f>
        <v/>
      </c>
      <c r="T891" s="85">
        <f>IF($A891="","",IF(AND($E891="Yes",OR($O891="No",$O891="NOT FOUND")),"YES",""))</f>
        <v/>
      </c>
      <c r="U891" s="85">
        <f>IF($A891="","",TRIM(IF(AND($M891=0,$I891&lt;&gt;"Yes"),"T0-NoPhishResistant ","")&amp;IF($H891="No","NoMFA ","")&amp;IF(AND($E891="Yes",$G891=""),"NeverSignedIn ","")))</f>
        <v/>
      </c>
    </row>
    <row r="892" ht="15" customHeight="1" s="39">
      <c r="A892" s="85" t="n"/>
      <c r="B892" s="85" t="n"/>
      <c r="C892" s="85" t="n"/>
      <c r="D892" s="85" t="n"/>
      <c r="E892" s="85" t="n"/>
      <c r="F892" s="86" t="n"/>
      <c r="G892" s="86" t="n"/>
      <c r="H892" s="85" t="n"/>
      <c r="I892" s="85" t="n"/>
      <c r="J892" s="85" t="n"/>
      <c r="K892" s="85" t="n"/>
      <c r="L892" s="85" t="n"/>
      <c r="M892" s="85" t="n"/>
      <c r="N892" s="85" t="n"/>
      <c r="O892" s="85" t="n"/>
      <c r="P892" s="85" t="n"/>
      <c r="Q892" s="85" t="n"/>
      <c r="R892" s="85" t="n"/>
      <c r="S892" s="85">
        <f>IF($G892="","",TODAY()-$G892)</f>
        <v/>
      </c>
      <c r="T892" s="85">
        <f>IF($A892="","",IF(AND($E892="Yes",OR($O892="No",$O892="NOT FOUND")),"YES",""))</f>
        <v/>
      </c>
      <c r="U892" s="85">
        <f>IF($A892="","",TRIM(IF(AND($M892=0,$I892&lt;&gt;"Yes"),"T0-NoPhishResistant ","")&amp;IF($H892="No","NoMFA ","")&amp;IF(AND($E892="Yes",$G892=""),"NeverSignedIn ","")))</f>
        <v/>
      </c>
    </row>
    <row r="893" ht="15" customHeight="1" s="39">
      <c r="A893" s="85" t="n"/>
      <c r="B893" s="85" t="n"/>
      <c r="C893" s="85" t="n"/>
      <c r="D893" s="85" t="n"/>
      <c r="E893" s="85" t="n"/>
      <c r="F893" s="86" t="n"/>
      <c r="G893" s="86" t="n"/>
      <c r="H893" s="85" t="n"/>
      <c r="I893" s="85" t="n"/>
      <c r="J893" s="85" t="n"/>
      <c r="K893" s="85" t="n"/>
      <c r="L893" s="85" t="n"/>
      <c r="M893" s="85" t="n"/>
      <c r="N893" s="85" t="n"/>
      <c r="O893" s="85" t="n"/>
      <c r="P893" s="85" t="n"/>
      <c r="Q893" s="85" t="n"/>
      <c r="R893" s="85" t="n"/>
      <c r="S893" s="85">
        <f>IF($G893="","",TODAY()-$G893)</f>
        <v/>
      </c>
      <c r="T893" s="85">
        <f>IF($A893="","",IF(AND($E893="Yes",OR($O893="No",$O893="NOT FOUND")),"YES",""))</f>
        <v/>
      </c>
      <c r="U893" s="85">
        <f>IF($A893="","",TRIM(IF(AND($M893=0,$I893&lt;&gt;"Yes"),"T0-NoPhishResistant ","")&amp;IF($H893="No","NoMFA ","")&amp;IF(AND($E893="Yes",$G893=""),"NeverSignedIn ","")))</f>
        <v/>
      </c>
    </row>
    <row r="894" ht="15" customHeight="1" s="39">
      <c r="A894" s="85" t="n"/>
      <c r="B894" s="85" t="n"/>
      <c r="C894" s="85" t="n"/>
      <c r="D894" s="85" t="n"/>
      <c r="E894" s="85" t="n"/>
      <c r="F894" s="86" t="n"/>
      <c r="G894" s="86" t="n"/>
      <c r="H894" s="85" t="n"/>
      <c r="I894" s="85" t="n"/>
      <c r="J894" s="85" t="n"/>
      <c r="K894" s="85" t="n"/>
      <c r="L894" s="85" t="n"/>
      <c r="M894" s="85" t="n"/>
      <c r="N894" s="85" t="n"/>
      <c r="O894" s="85" t="n"/>
      <c r="P894" s="85" t="n"/>
      <c r="Q894" s="85" t="n"/>
      <c r="R894" s="85" t="n"/>
      <c r="S894" s="85">
        <f>IF($G894="","",TODAY()-$G894)</f>
        <v/>
      </c>
      <c r="T894" s="85">
        <f>IF($A894="","",IF(AND($E894="Yes",OR($O894="No",$O894="NOT FOUND")),"YES",""))</f>
        <v/>
      </c>
      <c r="U894" s="85">
        <f>IF($A894="","",TRIM(IF(AND($M894=0,$I894&lt;&gt;"Yes"),"T0-NoPhishResistant ","")&amp;IF($H894="No","NoMFA ","")&amp;IF(AND($E894="Yes",$G894=""),"NeverSignedIn ","")))</f>
        <v/>
      </c>
    </row>
    <row r="895" ht="15" customHeight="1" s="39">
      <c r="A895" s="85" t="n"/>
      <c r="B895" s="85" t="n"/>
      <c r="C895" s="85" t="n"/>
      <c r="D895" s="85" t="n"/>
      <c r="E895" s="85" t="n"/>
      <c r="F895" s="86" t="n"/>
      <c r="G895" s="86" t="n"/>
      <c r="H895" s="85" t="n"/>
      <c r="I895" s="85" t="n"/>
      <c r="J895" s="85" t="n"/>
      <c r="K895" s="85" t="n"/>
      <c r="L895" s="85" t="n"/>
      <c r="M895" s="85" t="n"/>
      <c r="N895" s="85" t="n"/>
      <c r="O895" s="85" t="n"/>
      <c r="P895" s="85" t="n"/>
      <c r="Q895" s="85" t="n"/>
      <c r="R895" s="85" t="n"/>
      <c r="S895" s="85">
        <f>IF($G895="","",TODAY()-$G895)</f>
        <v/>
      </c>
      <c r="T895" s="85">
        <f>IF($A895="","",IF(AND($E895="Yes",OR($O895="No",$O895="NOT FOUND")),"YES",""))</f>
        <v/>
      </c>
      <c r="U895" s="85">
        <f>IF($A895="","",TRIM(IF(AND($M895=0,$I895&lt;&gt;"Yes"),"T0-NoPhishResistant ","")&amp;IF($H895="No","NoMFA ","")&amp;IF(AND($E895="Yes",$G895=""),"NeverSignedIn ","")))</f>
        <v/>
      </c>
    </row>
    <row r="896" ht="15" customHeight="1" s="39">
      <c r="A896" s="85" t="n"/>
      <c r="B896" s="85" t="n"/>
      <c r="C896" s="85" t="n"/>
      <c r="D896" s="85" t="n"/>
      <c r="E896" s="85" t="n"/>
      <c r="F896" s="86" t="n"/>
      <c r="G896" s="86" t="n"/>
      <c r="H896" s="85" t="n"/>
      <c r="I896" s="85" t="n"/>
      <c r="J896" s="85" t="n"/>
      <c r="K896" s="85" t="n"/>
      <c r="L896" s="85" t="n"/>
      <c r="M896" s="85" t="n"/>
      <c r="N896" s="85" t="n"/>
      <c r="O896" s="85" t="n"/>
      <c r="P896" s="85" t="n"/>
      <c r="Q896" s="85" t="n"/>
      <c r="R896" s="85" t="n"/>
      <c r="S896" s="85">
        <f>IF($G896="","",TODAY()-$G896)</f>
        <v/>
      </c>
      <c r="T896" s="85">
        <f>IF($A896="","",IF(AND($E896="Yes",OR($O896="No",$O896="NOT FOUND")),"YES",""))</f>
        <v/>
      </c>
      <c r="U896" s="85">
        <f>IF($A896="","",TRIM(IF(AND($M896=0,$I896&lt;&gt;"Yes"),"T0-NoPhishResistant ","")&amp;IF($H896="No","NoMFA ","")&amp;IF(AND($E896="Yes",$G896=""),"NeverSignedIn ","")))</f>
        <v/>
      </c>
    </row>
    <row r="897" ht="15" customHeight="1" s="39">
      <c r="A897" s="85" t="n"/>
      <c r="B897" s="85" t="n"/>
      <c r="C897" s="85" t="n"/>
      <c r="D897" s="85" t="n"/>
      <c r="E897" s="85" t="n"/>
      <c r="F897" s="86" t="n"/>
      <c r="G897" s="86" t="n"/>
      <c r="H897" s="85" t="n"/>
      <c r="I897" s="85" t="n"/>
      <c r="J897" s="85" t="n"/>
      <c r="K897" s="85" t="n"/>
      <c r="L897" s="85" t="n"/>
      <c r="M897" s="85" t="n"/>
      <c r="N897" s="85" t="n"/>
      <c r="O897" s="85" t="n"/>
      <c r="P897" s="85" t="n"/>
      <c r="Q897" s="85" t="n"/>
      <c r="R897" s="85" t="n"/>
      <c r="S897" s="85">
        <f>IF($G897="","",TODAY()-$G897)</f>
        <v/>
      </c>
      <c r="T897" s="85">
        <f>IF($A897="","",IF(AND($E897="Yes",OR($O897="No",$O897="NOT FOUND")),"YES",""))</f>
        <v/>
      </c>
      <c r="U897" s="85">
        <f>IF($A897="","",TRIM(IF(AND($M897=0,$I897&lt;&gt;"Yes"),"T0-NoPhishResistant ","")&amp;IF($H897="No","NoMFA ","")&amp;IF(AND($E897="Yes",$G897=""),"NeverSignedIn ","")))</f>
        <v/>
      </c>
    </row>
    <row r="898" ht="15" customHeight="1" s="39">
      <c r="A898" s="85" t="n"/>
      <c r="B898" s="85" t="n"/>
      <c r="C898" s="85" t="n"/>
      <c r="D898" s="85" t="n"/>
      <c r="E898" s="85" t="n"/>
      <c r="F898" s="86" t="n"/>
      <c r="G898" s="86" t="n"/>
      <c r="H898" s="85" t="n"/>
      <c r="I898" s="85" t="n"/>
      <c r="J898" s="85" t="n"/>
      <c r="K898" s="85" t="n"/>
      <c r="L898" s="85" t="n"/>
      <c r="M898" s="85" t="n"/>
      <c r="N898" s="85" t="n"/>
      <c r="O898" s="85" t="n"/>
      <c r="P898" s="85" t="n"/>
      <c r="Q898" s="85" t="n"/>
      <c r="R898" s="85" t="n"/>
      <c r="S898" s="85">
        <f>IF($G898="","",TODAY()-$G898)</f>
        <v/>
      </c>
      <c r="T898" s="85">
        <f>IF($A898="","",IF(AND($E898="Yes",OR($O898="No",$O898="NOT FOUND")),"YES",""))</f>
        <v/>
      </c>
      <c r="U898" s="85">
        <f>IF($A898="","",TRIM(IF(AND($M898=0,$I898&lt;&gt;"Yes"),"T0-NoPhishResistant ","")&amp;IF($H898="No","NoMFA ","")&amp;IF(AND($E898="Yes",$G898=""),"NeverSignedIn ","")))</f>
        <v/>
      </c>
    </row>
    <row r="899" ht="15" customHeight="1" s="39">
      <c r="A899" s="85" t="n"/>
      <c r="B899" s="85" t="n"/>
      <c r="C899" s="85" t="n"/>
      <c r="D899" s="85" t="n"/>
      <c r="E899" s="85" t="n"/>
      <c r="F899" s="86" t="n"/>
      <c r="G899" s="86" t="n"/>
      <c r="H899" s="85" t="n"/>
      <c r="I899" s="85" t="n"/>
      <c r="J899" s="85" t="n"/>
      <c r="K899" s="85" t="n"/>
      <c r="L899" s="85" t="n"/>
      <c r="M899" s="85" t="n"/>
      <c r="N899" s="85" t="n"/>
      <c r="O899" s="85" t="n"/>
      <c r="P899" s="85" t="n"/>
      <c r="Q899" s="85" t="n"/>
      <c r="R899" s="85" t="n"/>
      <c r="S899" s="85">
        <f>IF($G899="","",TODAY()-$G899)</f>
        <v/>
      </c>
      <c r="T899" s="85">
        <f>IF($A899="","",IF(AND($E899="Yes",OR($O899="No",$O899="NOT FOUND")),"YES",""))</f>
        <v/>
      </c>
      <c r="U899" s="85">
        <f>IF($A899="","",TRIM(IF(AND($M899=0,$I899&lt;&gt;"Yes"),"T0-NoPhishResistant ","")&amp;IF($H899="No","NoMFA ","")&amp;IF(AND($E899="Yes",$G899=""),"NeverSignedIn ","")))</f>
        <v/>
      </c>
    </row>
    <row r="900" ht="15" customHeight="1" s="39">
      <c r="A900" s="85" t="n"/>
      <c r="B900" s="85" t="n"/>
      <c r="C900" s="85" t="n"/>
      <c r="D900" s="85" t="n"/>
      <c r="E900" s="85" t="n"/>
      <c r="F900" s="86" t="n"/>
      <c r="G900" s="86" t="n"/>
      <c r="H900" s="85" t="n"/>
      <c r="I900" s="85" t="n"/>
      <c r="J900" s="85" t="n"/>
      <c r="K900" s="85" t="n"/>
      <c r="L900" s="85" t="n"/>
      <c r="M900" s="85" t="n"/>
      <c r="N900" s="85" t="n"/>
      <c r="O900" s="85" t="n"/>
      <c r="P900" s="85" t="n"/>
      <c r="Q900" s="85" t="n"/>
      <c r="R900" s="85" t="n"/>
      <c r="S900" s="85">
        <f>IF($G900="","",TODAY()-$G900)</f>
        <v/>
      </c>
      <c r="T900" s="85">
        <f>IF($A900="","",IF(AND($E900="Yes",OR($O900="No",$O900="NOT FOUND")),"YES",""))</f>
        <v/>
      </c>
      <c r="U900" s="85">
        <f>IF($A900="","",TRIM(IF(AND($M900=0,$I900&lt;&gt;"Yes"),"T0-NoPhishResistant ","")&amp;IF($H900="No","NoMFA ","")&amp;IF(AND($E900="Yes",$G900=""),"NeverSignedIn ","")))</f>
        <v/>
      </c>
    </row>
    <row r="901" ht="15" customHeight="1" s="39">
      <c r="A901" s="85" t="n"/>
      <c r="B901" s="85" t="n"/>
      <c r="C901" s="85" t="n"/>
      <c r="D901" s="85" t="n"/>
      <c r="E901" s="85" t="n"/>
      <c r="F901" s="86" t="n"/>
      <c r="G901" s="86" t="n"/>
      <c r="H901" s="85" t="n"/>
      <c r="I901" s="85" t="n"/>
      <c r="J901" s="85" t="n"/>
      <c r="K901" s="85" t="n"/>
      <c r="L901" s="85" t="n"/>
      <c r="M901" s="85" t="n"/>
      <c r="N901" s="85" t="n"/>
      <c r="O901" s="85" t="n"/>
      <c r="P901" s="85" t="n"/>
      <c r="Q901" s="85" t="n"/>
      <c r="R901" s="85" t="n"/>
      <c r="S901" s="85">
        <f>IF($G901="","",TODAY()-$G901)</f>
        <v/>
      </c>
      <c r="T901" s="85">
        <f>IF($A901="","",IF(AND($E901="Yes",OR($O901="No",$O901="NOT FOUND")),"YES",""))</f>
        <v/>
      </c>
      <c r="U901" s="85">
        <f>IF($A901="","",TRIM(IF(AND($M901=0,$I901&lt;&gt;"Yes"),"T0-NoPhishResistant ","")&amp;IF($H901="No","NoMFA ","")&amp;IF(AND($E901="Yes",$G901=""),"NeverSignedIn ","")))</f>
        <v/>
      </c>
    </row>
    <row r="902" ht="15" customHeight="1" s="39">
      <c r="A902" s="85" t="n"/>
      <c r="B902" s="85" t="n"/>
      <c r="C902" s="85" t="n"/>
      <c r="D902" s="85" t="n"/>
      <c r="E902" s="85" t="n"/>
      <c r="F902" s="86" t="n"/>
      <c r="G902" s="86" t="n"/>
      <c r="H902" s="85" t="n"/>
      <c r="I902" s="85" t="n"/>
      <c r="J902" s="85" t="n"/>
      <c r="K902" s="85" t="n"/>
      <c r="L902" s="85" t="n"/>
      <c r="M902" s="85" t="n"/>
      <c r="N902" s="85" t="n"/>
      <c r="O902" s="85" t="n"/>
      <c r="P902" s="85" t="n"/>
      <c r="Q902" s="85" t="n"/>
      <c r="R902" s="85" t="n"/>
      <c r="S902" s="85">
        <f>IF($G902="","",TODAY()-$G902)</f>
        <v/>
      </c>
      <c r="T902" s="85">
        <f>IF($A902="","",IF(AND($E902="Yes",OR($O902="No",$O902="NOT FOUND")),"YES",""))</f>
        <v/>
      </c>
      <c r="U902" s="85">
        <f>IF($A902="","",TRIM(IF(AND($M902=0,$I902&lt;&gt;"Yes"),"T0-NoPhishResistant ","")&amp;IF($H902="No","NoMFA ","")&amp;IF(AND($E902="Yes",$G902=""),"NeverSignedIn ","")))</f>
        <v/>
      </c>
    </row>
    <row r="903" ht="15" customHeight="1" s="39">
      <c r="A903" s="85" t="n"/>
      <c r="B903" s="85" t="n"/>
      <c r="C903" s="85" t="n"/>
      <c r="D903" s="85" t="n"/>
      <c r="E903" s="85" t="n"/>
      <c r="F903" s="86" t="n"/>
      <c r="G903" s="86" t="n"/>
      <c r="H903" s="85" t="n"/>
      <c r="I903" s="85" t="n"/>
      <c r="J903" s="85" t="n"/>
      <c r="K903" s="85" t="n"/>
      <c r="L903" s="85" t="n"/>
      <c r="M903" s="85" t="n"/>
      <c r="N903" s="85" t="n"/>
      <c r="O903" s="85" t="n"/>
      <c r="P903" s="85" t="n"/>
      <c r="Q903" s="85" t="n"/>
      <c r="R903" s="85" t="n"/>
      <c r="S903" s="85">
        <f>IF($G903="","",TODAY()-$G903)</f>
        <v/>
      </c>
      <c r="T903" s="85">
        <f>IF($A903="","",IF(AND($E903="Yes",OR($O903="No",$O903="NOT FOUND")),"YES",""))</f>
        <v/>
      </c>
      <c r="U903" s="85">
        <f>IF($A903="","",TRIM(IF(AND($M903=0,$I903&lt;&gt;"Yes"),"T0-NoPhishResistant ","")&amp;IF($H903="No","NoMFA ","")&amp;IF(AND($E903="Yes",$G903=""),"NeverSignedIn ","")))</f>
        <v/>
      </c>
    </row>
    <row r="904" ht="15" customHeight="1" s="39">
      <c r="A904" s="85" t="n"/>
      <c r="B904" s="85" t="n"/>
      <c r="C904" s="85" t="n"/>
      <c r="D904" s="85" t="n"/>
      <c r="E904" s="85" t="n"/>
      <c r="F904" s="86" t="n"/>
      <c r="G904" s="86" t="n"/>
      <c r="H904" s="85" t="n"/>
      <c r="I904" s="85" t="n"/>
      <c r="J904" s="85" t="n"/>
      <c r="K904" s="85" t="n"/>
      <c r="L904" s="85" t="n"/>
      <c r="M904" s="85" t="n"/>
      <c r="N904" s="85" t="n"/>
      <c r="O904" s="85" t="n"/>
      <c r="P904" s="85" t="n"/>
      <c r="Q904" s="85" t="n"/>
      <c r="R904" s="85" t="n"/>
      <c r="S904" s="85">
        <f>IF($G904="","",TODAY()-$G904)</f>
        <v/>
      </c>
      <c r="T904" s="85">
        <f>IF($A904="","",IF(AND($E904="Yes",OR($O904="No",$O904="NOT FOUND")),"YES",""))</f>
        <v/>
      </c>
      <c r="U904" s="85">
        <f>IF($A904="","",TRIM(IF(AND($M904=0,$I904&lt;&gt;"Yes"),"T0-NoPhishResistant ","")&amp;IF($H904="No","NoMFA ","")&amp;IF(AND($E904="Yes",$G904=""),"NeverSignedIn ","")))</f>
        <v/>
      </c>
    </row>
    <row r="905" ht="15" customHeight="1" s="39">
      <c r="A905" s="85" t="n"/>
      <c r="B905" s="85" t="n"/>
      <c r="C905" s="85" t="n"/>
      <c r="D905" s="85" t="n"/>
      <c r="E905" s="85" t="n"/>
      <c r="F905" s="86" t="n"/>
      <c r="G905" s="86" t="n"/>
      <c r="H905" s="85" t="n"/>
      <c r="I905" s="85" t="n"/>
      <c r="J905" s="85" t="n"/>
      <c r="K905" s="85" t="n"/>
      <c r="L905" s="85" t="n"/>
      <c r="M905" s="85" t="n"/>
      <c r="N905" s="85" t="n"/>
      <c r="O905" s="85" t="n"/>
      <c r="P905" s="85" t="n"/>
      <c r="Q905" s="85" t="n"/>
      <c r="R905" s="85" t="n"/>
      <c r="S905" s="85">
        <f>IF($G905="","",TODAY()-$G905)</f>
        <v/>
      </c>
      <c r="T905" s="85">
        <f>IF($A905="","",IF(AND($E905="Yes",OR($O905="No",$O905="NOT FOUND")),"YES",""))</f>
        <v/>
      </c>
      <c r="U905" s="85">
        <f>IF($A905="","",TRIM(IF(AND($M905=0,$I905&lt;&gt;"Yes"),"T0-NoPhishResistant ","")&amp;IF($H905="No","NoMFA ","")&amp;IF(AND($E905="Yes",$G905=""),"NeverSignedIn ","")))</f>
        <v/>
      </c>
    </row>
    <row r="906" ht="15" customHeight="1" s="39">
      <c r="A906" s="85" t="n"/>
      <c r="B906" s="85" t="n"/>
      <c r="C906" s="85" t="n"/>
      <c r="D906" s="85" t="n"/>
      <c r="E906" s="85" t="n"/>
      <c r="F906" s="86" t="n"/>
      <c r="G906" s="86" t="n"/>
      <c r="H906" s="85" t="n"/>
      <c r="I906" s="85" t="n"/>
      <c r="J906" s="85" t="n"/>
      <c r="K906" s="85" t="n"/>
      <c r="L906" s="85" t="n"/>
      <c r="M906" s="85" t="n"/>
      <c r="N906" s="85" t="n"/>
      <c r="O906" s="85" t="n"/>
      <c r="P906" s="85" t="n"/>
      <c r="Q906" s="85" t="n"/>
      <c r="R906" s="85" t="n"/>
      <c r="S906" s="85">
        <f>IF($G906="","",TODAY()-$G906)</f>
        <v/>
      </c>
      <c r="T906" s="85">
        <f>IF($A906="","",IF(AND($E906="Yes",OR($O906="No",$O906="NOT FOUND")),"YES",""))</f>
        <v/>
      </c>
      <c r="U906" s="85">
        <f>IF($A906="","",TRIM(IF(AND($M906=0,$I906&lt;&gt;"Yes"),"T0-NoPhishResistant ","")&amp;IF($H906="No","NoMFA ","")&amp;IF(AND($E906="Yes",$G906=""),"NeverSignedIn ","")))</f>
        <v/>
      </c>
    </row>
    <row r="907" ht="15" customHeight="1" s="39">
      <c r="A907" s="85" t="n"/>
      <c r="B907" s="85" t="n"/>
      <c r="C907" s="85" t="n"/>
      <c r="D907" s="85" t="n"/>
      <c r="E907" s="85" t="n"/>
      <c r="F907" s="86" t="n"/>
      <c r="G907" s="86" t="n"/>
      <c r="H907" s="85" t="n"/>
      <c r="I907" s="85" t="n"/>
      <c r="J907" s="85" t="n"/>
      <c r="K907" s="85" t="n"/>
      <c r="L907" s="85" t="n"/>
      <c r="M907" s="85" t="n"/>
      <c r="N907" s="85" t="n"/>
      <c r="O907" s="85" t="n"/>
      <c r="P907" s="85" t="n"/>
      <c r="Q907" s="85" t="n"/>
      <c r="R907" s="85" t="n"/>
      <c r="S907" s="85">
        <f>IF($G907="","",TODAY()-$G907)</f>
        <v/>
      </c>
      <c r="T907" s="85">
        <f>IF($A907="","",IF(AND($E907="Yes",OR($O907="No",$O907="NOT FOUND")),"YES",""))</f>
        <v/>
      </c>
      <c r="U907" s="85">
        <f>IF($A907="","",TRIM(IF(AND($M907=0,$I907&lt;&gt;"Yes"),"T0-NoPhishResistant ","")&amp;IF($H907="No","NoMFA ","")&amp;IF(AND($E907="Yes",$G907=""),"NeverSignedIn ","")))</f>
        <v/>
      </c>
    </row>
    <row r="908" ht="15" customHeight="1" s="39">
      <c r="A908" s="85" t="n"/>
      <c r="B908" s="85" t="n"/>
      <c r="C908" s="85" t="n"/>
      <c r="D908" s="85" t="n"/>
      <c r="E908" s="85" t="n"/>
      <c r="F908" s="86" t="n"/>
      <c r="G908" s="86" t="n"/>
      <c r="H908" s="85" t="n"/>
      <c r="I908" s="85" t="n"/>
      <c r="J908" s="85" t="n"/>
      <c r="K908" s="85" t="n"/>
      <c r="L908" s="85" t="n"/>
      <c r="M908" s="85" t="n"/>
      <c r="N908" s="85" t="n"/>
      <c r="O908" s="85" t="n"/>
      <c r="P908" s="85" t="n"/>
      <c r="Q908" s="85" t="n"/>
      <c r="R908" s="85" t="n"/>
      <c r="S908" s="85">
        <f>IF($G908="","",TODAY()-$G908)</f>
        <v/>
      </c>
      <c r="T908" s="85">
        <f>IF($A908="","",IF(AND($E908="Yes",OR($O908="No",$O908="NOT FOUND")),"YES",""))</f>
        <v/>
      </c>
      <c r="U908" s="85">
        <f>IF($A908="","",TRIM(IF(AND($M908=0,$I908&lt;&gt;"Yes"),"T0-NoPhishResistant ","")&amp;IF($H908="No","NoMFA ","")&amp;IF(AND($E908="Yes",$G908=""),"NeverSignedIn ","")))</f>
        <v/>
      </c>
    </row>
    <row r="909" ht="15" customHeight="1" s="39">
      <c r="A909" s="85" t="n"/>
      <c r="B909" s="85" t="n"/>
      <c r="C909" s="85" t="n"/>
      <c r="D909" s="85" t="n"/>
      <c r="E909" s="85" t="n"/>
      <c r="F909" s="86" t="n"/>
      <c r="G909" s="86" t="n"/>
      <c r="H909" s="85" t="n"/>
      <c r="I909" s="85" t="n"/>
      <c r="J909" s="85" t="n"/>
      <c r="K909" s="85" t="n"/>
      <c r="L909" s="85" t="n"/>
      <c r="M909" s="85" t="n"/>
      <c r="N909" s="85" t="n"/>
      <c r="O909" s="85" t="n"/>
      <c r="P909" s="85" t="n"/>
      <c r="Q909" s="85" t="n"/>
      <c r="R909" s="85" t="n"/>
      <c r="S909" s="85">
        <f>IF($G909="","",TODAY()-$G909)</f>
        <v/>
      </c>
      <c r="T909" s="85">
        <f>IF($A909="","",IF(AND($E909="Yes",OR($O909="No",$O909="NOT FOUND")),"YES",""))</f>
        <v/>
      </c>
      <c r="U909" s="85">
        <f>IF($A909="","",TRIM(IF(AND($M909=0,$I909&lt;&gt;"Yes"),"T0-NoPhishResistant ","")&amp;IF($H909="No","NoMFA ","")&amp;IF(AND($E909="Yes",$G909=""),"NeverSignedIn ","")))</f>
        <v/>
      </c>
    </row>
    <row r="910" ht="15" customHeight="1" s="39">
      <c r="A910" s="85" t="n"/>
      <c r="B910" s="85" t="n"/>
      <c r="C910" s="85" t="n"/>
      <c r="D910" s="85" t="n"/>
      <c r="E910" s="85" t="n"/>
      <c r="F910" s="86" t="n"/>
      <c r="G910" s="86" t="n"/>
      <c r="H910" s="85" t="n"/>
      <c r="I910" s="85" t="n"/>
      <c r="J910" s="85" t="n"/>
      <c r="K910" s="85" t="n"/>
      <c r="L910" s="85" t="n"/>
      <c r="M910" s="85" t="n"/>
      <c r="N910" s="85" t="n"/>
      <c r="O910" s="85" t="n"/>
      <c r="P910" s="85" t="n"/>
      <c r="Q910" s="85" t="n"/>
      <c r="R910" s="85" t="n"/>
      <c r="S910" s="85">
        <f>IF($G910="","",TODAY()-$G910)</f>
        <v/>
      </c>
      <c r="T910" s="85">
        <f>IF($A910="","",IF(AND($E910="Yes",OR($O910="No",$O910="NOT FOUND")),"YES",""))</f>
        <v/>
      </c>
      <c r="U910" s="85">
        <f>IF($A910="","",TRIM(IF(AND($M910=0,$I910&lt;&gt;"Yes"),"T0-NoPhishResistant ","")&amp;IF($H910="No","NoMFA ","")&amp;IF(AND($E910="Yes",$G910=""),"NeverSignedIn ","")))</f>
        <v/>
      </c>
    </row>
    <row r="911" ht="15" customHeight="1" s="39">
      <c r="A911" s="85" t="n"/>
      <c r="B911" s="85" t="n"/>
      <c r="C911" s="85" t="n"/>
      <c r="D911" s="85" t="n"/>
      <c r="E911" s="85" t="n"/>
      <c r="F911" s="86" t="n"/>
      <c r="G911" s="86" t="n"/>
      <c r="H911" s="85" t="n"/>
      <c r="I911" s="85" t="n"/>
      <c r="J911" s="85" t="n"/>
      <c r="K911" s="85" t="n"/>
      <c r="L911" s="85" t="n"/>
      <c r="M911" s="85" t="n"/>
      <c r="N911" s="85" t="n"/>
      <c r="O911" s="85" t="n"/>
      <c r="P911" s="85" t="n"/>
      <c r="Q911" s="85" t="n"/>
      <c r="R911" s="85" t="n"/>
      <c r="S911" s="85">
        <f>IF($G911="","",TODAY()-$G911)</f>
        <v/>
      </c>
      <c r="T911" s="85">
        <f>IF($A911="","",IF(AND($E911="Yes",OR($O911="No",$O911="NOT FOUND")),"YES",""))</f>
        <v/>
      </c>
      <c r="U911" s="85">
        <f>IF($A911="","",TRIM(IF(AND($M911=0,$I911&lt;&gt;"Yes"),"T0-NoPhishResistant ","")&amp;IF($H911="No","NoMFA ","")&amp;IF(AND($E911="Yes",$G911=""),"NeverSignedIn ","")))</f>
        <v/>
      </c>
    </row>
    <row r="912" ht="15" customHeight="1" s="39">
      <c r="A912" s="85" t="n"/>
      <c r="B912" s="85" t="n"/>
      <c r="C912" s="85" t="n"/>
      <c r="D912" s="85" t="n"/>
      <c r="E912" s="85" t="n"/>
      <c r="F912" s="86" t="n"/>
      <c r="G912" s="86" t="n"/>
      <c r="H912" s="85" t="n"/>
      <c r="I912" s="85" t="n"/>
      <c r="J912" s="85" t="n"/>
      <c r="K912" s="85" t="n"/>
      <c r="L912" s="85" t="n"/>
      <c r="M912" s="85" t="n"/>
      <c r="N912" s="85" t="n"/>
      <c r="O912" s="85" t="n"/>
      <c r="P912" s="85" t="n"/>
      <c r="Q912" s="85" t="n"/>
      <c r="R912" s="85" t="n"/>
      <c r="S912" s="85">
        <f>IF($G912="","",TODAY()-$G912)</f>
        <v/>
      </c>
      <c r="T912" s="85">
        <f>IF($A912="","",IF(AND($E912="Yes",OR($O912="No",$O912="NOT FOUND")),"YES",""))</f>
        <v/>
      </c>
      <c r="U912" s="85">
        <f>IF($A912="","",TRIM(IF(AND($M912=0,$I912&lt;&gt;"Yes"),"T0-NoPhishResistant ","")&amp;IF($H912="No","NoMFA ","")&amp;IF(AND($E912="Yes",$G912=""),"NeverSignedIn ","")))</f>
        <v/>
      </c>
    </row>
    <row r="913" ht="15" customHeight="1" s="39">
      <c r="A913" s="85" t="n"/>
      <c r="B913" s="85" t="n"/>
      <c r="C913" s="85" t="n"/>
      <c r="D913" s="85" t="n"/>
      <c r="E913" s="85" t="n"/>
      <c r="F913" s="86" t="n"/>
      <c r="G913" s="86" t="n"/>
      <c r="H913" s="85" t="n"/>
      <c r="I913" s="85" t="n"/>
      <c r="J913" s="85" t="n"/>
      <c r="K913" s="85" t="n"/>
      <c r="L913" s="85" t="n"/>
      <c r="M913" s="85" t="n"/>
      <c r="N913" s="85" t="n"/>
      <c r="O913" s="85" t="n"/>
      <c r="P913" s="85" t="n"/>
      <c r="Q913" s="85" t="n"/>
      <c r="R913" s="85" t="n"/>
      <c r="S913" s="85">
        <f>IF($G913="","",TODAY()-$G913)</f>
        <v/>
      </c>
      <c r="T913" s="85">
        <f>IF($A913="","",IF(AND($E913="Yes",OR($O913="No",$O913="NOT FOUND")),"YES",""))</f>
        <v/>
      </c>
      <c r="U913" s="85">
        <f>IF($A913="","",TRIM(IF(AND($M913=0,$I913&lt;&gt;"Yes"),"T0-NoPhishResistant ","")&amp;IF($H913="No","NoMFA ","")&amp;IF(AND($E913="Yes",$G913=""),"NeverSignedIn ","")))</f>
        <v/>
      </c>
    </row>
    <row r="914" ht="15" customHeight="1" s="39">
      <c r="A914" s="85" t="n"/>
      <c r="B914" s="85" t="n"/>
      <c r="C914" s="85" t="n"/>
      <c r="D914" s="85" t="n"/>
      <c r="E914" s="85" t="n"/>
      <c r="F914" s="86" t="n"/>
      <c r="G914" s="86" t="n"/>
      <c r="H914" s="85" t="n"/>
      <c r="I914" s="85" t="n"/>
      <c r="J914" s="85" t="n"/>
      <c r="K914" s="85" t="n"/>
      <c r="L914" s="85" t="n"/>
      <c r="M914" s="85" t="n"/>
      <c r="N914" s="85" t="n"/>
      <c r="O914" s="85" t="n"/>
      <c r="P914" s="85" t="n"/>
      <c r="Q914" s="85" t="n"/>
      <c r="R914" s="85" t="n"/>
      <c r="S914" s="85">
        <f>IF($G914="","",TODAY()-$G914)</f>
        <v/>
      </c>
      <c r="T914" s="85">
        <f>IF($A914="","",IF(AND($E914="Yes",OR($O914="No",$O914="NOT FOUND")),"YES",""))</f>
        <v/>
      </c>
      <c r="U914" s="85">
        <f>IF($A914="","",TRIM(IF(AND($M914=0,$I914&lt;&gt;"Yes"),"T0-NoPhishResistant ","")&amp;IF($H914="No","NoMFA ","")&amp;IF(AND($E914="Yes",$G914=""),"NeverSignedIn ","")))</f>
        <v/>
      </c>
    </row>
    <row r="915" ht="15" customHeight="1" s="39">
      <c r="A915" s="85" t="n"/>
      <c r="B915" s="85" t="n"/>
      <c r="C915" s="85" t="n"/>
      <c r="D915" s="85" t="n"/>
      <c r="E915" s="85" t="n"/>
      <c r="F915" s="86" t="n"/>
      <c r="G915" s="86" t="n"/>
      <c r="H915" s="85" t="n"/>
      <c r="I915" s="85" t="n"/>
      <c r="J915" s="85" t="n"/>
      <c r="K915" s="85" t="n"/>
      <c r="L915" s="85" t="n"/>
      <c r="M915" s="85" t="n"/>
      <c r="N915" s="85" t="n"/>
      <c r="O915" s="85" t="n"/>
      <c r="P915" s="85" t="n"/>
      <c r="Q915" s="85" t="n"/>
      <c r="R915" s="85" t="n"/>
      <c r="S915" s="85">
        <f>IF($G915="","",TODAY()-$G915)</f>
        <v/>
      </c>
      <c r="T915" s="85">
        <f>IF($A915="","",IF(AND($E915="Yes",OR($O915="No",$O915="NOT FOUND")),"YES",""))</f>
        <v/>
      </c>
      <c r="U915" s="85">
        <f>IF($A915="","",TRIM(IF(AND($M915=0,$I915&lt;&gt;"Yes"),"T0-NoPhishResistant ","")&amp;IF($H915="No","NoMFA ","")&amp;IF(AND($E915="Yes",$G915=""),"NeverSignedIn ","")))</f>
        <v/>
      </c>
    </row>
    <row r="916" ht="15" customHeight="1" s="39">
      <c r="A916" s="85" t="n"/>
      <c r="B916" s="85" t="n"/>
      <c r="C916" s="85" t="n"/>
      <c r="D916" s="85" t="n"/>
      <c r="E916" s="85" t="n"/>
      <c r="F916" s="86" t="n"/>
      <c r="G916" s="86" t="n"/>
      <c r="H916" s="85" t="n"/>
      <c r="I916" s="85" t="n"/>
      <c r="J916" s="85" t="n"/>
      <c r="K916" s="85" t="n"/>
      <c r="L916" s="85" t="n"/>
      <c r="M916" s="85" t="n"/>
      <c r="N916" s="85" t="n"/>
      <c r="O916" s="85" t="n"/>
      <c r="P916" s="85" t="n"/>
      <c r="Q916" s="85" t="n"/>
      <c r="R916" s="85" t="n"/>
      <c r="S916" s="85">
        <f>IF($G916="","",TODAY()-$G916)</f>
        <v/>
      </c>
      <c r="T916" s="85">
        <f>IF($A916="","",IF(AND($E916="Yes",OR($O916="No",$O916="NOT FOUND")),"YES",""))</f>
        <v/>
      </c>
      <c r="U916" s="85">
        <f>IF($A916="","",TRIM(IF(AND($M916=0,$I916&lt;&gt;"Yes"),"T0-NoPhishResistant ","")&amp;IF($H916="No","NoMFA ","")&amp;IF(AND($E916="Yes",$G916=""),"NeverSignedIn ","")))</f>
        <v/>
      </c>
    </row>
    <row r="917" ht="15" customHeight="1" s="39">
      <c r="A917" s="85" t="n"/>
      <c r="B917" s="85" t="n"/>
      <c r="C917" s="85" t="n"/>
      <c r="D917" s="85" t="n"/>
      <c r="E917" s="85" t="n"/>
      <c r="F917" s="86" t="n"/>
      <c r="G917" s="86" t="n"/>
      <c r="H917" s="85" t="n"/>
      <c r="I917" s="85" t="n"/>
      <c r="J917" s="85" t="n"/>
      <c r="K917" s="85" t="n"/>
      <c r="L917" s="85" t="n"/>
      <c r="M917" s="85" t="n"/>
      <c r="N917" s="85" t="n"/>
      <c r="O917" s="85" t="n"/>
      <c r="P917" s="85" t="n"/>
      <c r="Q917" s="85" t="n"/>
      <c r="R917" s="85" t="n"/>
      <c r="S917" s="85">
        <f>IF($G917="","",TODAY()-$G917)</f>
        <v/>
      </c>
      <c r="T917" s="85">
        <f>IF($A917="","",IF(AND($E917="Yes",OR($O917="No",$O917="NOT FOUND")),"YES",""))</f>
        <v/>
      </c>
      <c r="U917" s="85">
        <f>IF($A917="","",TRIM(IF(AND($M917=0,$I917&lt;&gt;"Yes"),"T0-NoPhishResistant ","")&amp;IF($H917="No","NoMFA ","")&amp;IF(AND($E917="Yes",$G917=""),"NeverSignedIn ","")))</f>
        <v/>
      </c>
    </row>
    <row r="918" ht="15" customHeight="1" s="39">
      <c r="A918" s="85" t="n"/>
      <c r="B918" s="85" t="n"/>
      <c r="C918" s="85" t="n"/>
      <c r="D918" s="85" t="n"/>
      <c r="E918" s="85" t="n"/>
      <c r="F918" s="86" t="n"/>
      <c r="G918" s="86" t="n"/>
      <c r="H918" s="85" t="n"/>
      <c r="I918" s="85" t="n"/>
      <c r="J918" s="85" t="n"/>
      <c r="K918" s="85" t="n"/>
      <c r="L918" s="85" t="n"/>
      <c r="M918" s="85" t="n"/>
      <c r="N918" s="85" t="n"/>
      <c r="O918" s="85" t="n"/>
      <c r="P918" s="85" t="n"/>
      <c r="Q918" s="85" t="n"/>
      <c r="R918" s="85" t="n"/>
      <c r="S918" s="85">
        <f>IF($G918="","",TODAY()-$G918)</f>
        <v/>
      </c>
      <c r="T918" s="85">
        <f>IF($A918="","",IF(AND($E918="Yes",OR($O918="No",$O918="NOT FOUND")),"YES",""))</f>
        <v/>
      </c>
      <c r="U918" s="85">
        <f>IF($A918="","",TRIM(IF(AND($M918=0,$I918&lt;&gt;"Yes"),"T0-NoPhishResistant ","")&amp;IF($H918="No","NoMFA ","")&amp;IF(AND($E918="Yes",$G918=""),"NeverSignedIn ","")))</f>
        <v/>
      </c>
    </row>
    <row r="919" ht="15" customHeight="1" s="39">
      <c r="A919" s="85" t="n"/>
      <c r="B919" s="85" t="n"/>
      <c r="C919" s="85" t="n"/>
      <c r="D919" s="85" t="n"/>
      <c r="E919" s="85" t="n"/>
      <c r="F919" s="86" t="n"/>
      <c r="G919" s="86" t="n"/>
      <c r="H919" s="85" t="n"/>
      <c r="I919" s="85" t="n"/>
      <c r="J919" s="85" t="n"/>
      <c r="K919" s="85" t="n"/>
      <c r="L919" s="85" t="n"/>
      <c r="M919" s="85" t="n"/>
      <c r="N919" s="85" t="n"/>
      <c r="O919" s="85" t="n"/>
      <c r="P919" s="85" t="n"/>
      <c r="Q919" s="85" t="n"/>
      <c r="R919" s="85" t="n"/>
      <c r="S919" s="85">
        <f>IF($G919="","",TODAY()-$G919)</f>
        <v/>
      </c>
      <c r="T919" s="85">
        <f>IF($A919="","",IF(AND($E919="Yes",OR($O919="No",$O919="NOT FOUND")),"YES",""))</f>
        <v/>
      </c>
      <c r="U919" s="85">
        <f>IF($A919="","",TRIM(IF(AND($M919=0,$I919&lt;&gt;"Yes"),"T0-NoPhishResistant ","")&amp;IF($H919="No","NoMFA ","")&amp;IF(AND($E919="Yes",$G919=""),"NeverSignedIn ","")))</f>
        <v/>
      </c>
    </row>
    <row r="920" ht="15" customHeight="1" s="39">
      <c r="A920" s="85" t="n"/>
      <c r="B920" s="85" t="n"/>
      <c r="C920" s="85" t="n"/>
      <c r="D920" s="85" t="n"/>
      <c r="E920" s="85" t="n"/>
      <c r="F920" s="86" t="n"/>
      <c r="G920" s="86" t="n"/>
      <c r="H920" s="85" t="n"/>
      <c r="I920" s="85" t="n"/>
      <c r="J920" s="85" t="n"/>
      <c r="K920" s="85" t="n"/>
      <c r="L920" s="85" t="n"/>
      <c r="M920" s="85" t="n"/>
      <c r="N920" s="85" t="n"/>
      <c r="O920" s="85" t="n"/>
      <c r="P920" s="85" t="n"/>
      <c r="Q920" s="85" t="n"/>
      <c r="R920" s="85" t="n"/>
      <c r="S920" s="85">
        <f>IF($G920="","",TODAY()-$G920)</f>
        <v/>
      </c>
      <c r="T920" s="85">
        <f>IF($A920="","",IF(AND($E920="Yes",OR($O920="No",$O920="NOT FOUND")),"YES",""))</f>
        <v/>
      </c>
      <c r="U920" s="85">
        <f>IF($A920="","",TRIM(IF(AND($M920=0,$I920&lt;&gt;"Yes"),"T0-NoPhishResistant ","")&amp;IF($H920="No","NoMFA ","")&amp;IF(AND($E920="Yes",$G920=""),"NeverSignedIn ","")))</f>
        <v/>
      </c>
    </row>
    <row r="921" ht="15" customHeight="1" s="39">
      <c r="A921" s="85" t="n"/>
      <c r="B921" s="85" t="n"/>
      <c r="C921" s="85" t="n"/>
      <c r="D921" s="85" t="n"/>
      <c r="E921" s="85" t="n"/>
      <c r="F921" s="86" t="n"/>
      <c r="G921" s="86" t="n"/>
      <c r="H921" s="85" t="n"/>
      <c r="I921" s="85" t="n"/>
      <c r="J921" s="85" t="n"/>
      <c r="K921" s="85" t="n"/>
      <c r="L921" s="85" t="n"/>
      <c r="M921" s="85" t="n"/>
      <c r="N921" s="85" t="n"/>
      <c r="O921" s="85" t="n"/>
      <c r="P921" s="85" t="n"/>
      <c r="Q921" s="85" t="n"/>
      <c r="R921" s="85" t="n"/>
      <c r="S921" s="85">
        <f>IF($G921="","",TODAY()-$G921)</f>
        <v/>
      </c>
      <c r="T921" s="85">
        <f>IF($A921="","",IF(AND($E921="Yes",OR($O921="No",$O921="NOT FOUND")),"YES",""))</f>
        <v/>
      </c>
      <c r="U921" s="85">
        <f>IF($A921="","",TRIM(IF(AND($M921=0,$I921&lt;&gt;"Yes"),"T0-NoPhishResistant ","")&amp;IF($H921="No","NoMFA ","")&amp;IF(AND($E921="Yes",$G921=""),"NeverSignedIn ","")))</f>
        <v/>
      </c>
    </row>
    <row r="922" ht="15" customHeight="1" s="39">
      <c r="A922" s="85" t="n"/>
      <c r="B922" s="85" t="n"/>
      <c r="C922" s="85" t="n"/>
      <c r="D922" s="85" t="n"/>
      <c r="E922" s="85" t="n"/>
      <c r="F922" s="86" t="n"/>
      <c r="G922" s="86" t="n"/>
      <c r="H922" s="85" t="n"/>
      <c r="I922" s="85" t="n"/>
      <c r="J922" s="85" t="n"/>
      <c r="K922" s="85" t="n"/>
      <c r="L922" s="85" t="n"/>
      <c r="M922" s="85" t="n"/>
      <c r="N922" s="85" t="n"/>
      <c r="O922" s="85" t="n"/>
      <c r="P922" s="85" t="n"/>
      <c r="Q922" s="85" t="n"/>
      <c r="R922" s="85" t="n"/>
      <c r="S922" s="85">
        <f>IF($G922="","",TODAY()-$G922)</f>
        <v/>
      </c>
      <c r="T922" s="85">
        <f>IF($A922="","",IF(AND($E922="Yes",OR($O922="No",$O922="NOT FOUND")),"YES",""))</f>
        <v/>
      </c>
      <c r="U922" s="85">
        <f>IF($A922="","",TRIM(IF(AND($M922=0,$I922&lt;&gt;"Yes"),"T0-NoPhishResistant ","")&amp;IF($H922="No","NoMFA ","")&amp;IF(AND($E922="Yes",$G922=""),"NeverSignedIn ","")))</f>
        <v/>
      </c>
    </row>
    <row r="923" ht="15" customHeight="1" s="39">
      <c r="A923" s="85" t="n"/>
      <c r="B923" s="85" t="n"/>
      <c r="C923" s="85" t="n"/>
      <c r="D923" s="85" t="n"/>
      <c r="E923" s="85" t="n"/>
      <c r="F923" s="86" t="n"/>
      <c r="G923" s="86" t="n"/>
      <c r="H923" s="85" t="n"/>
      <c r="I923" s="85" t="n"/>
      <c r="J923" s="85" t="n"/>
      <c r="K923" s="85" t="n"/>
      <c r="L923" s="85" t="n"/>
      <c r="M923" s="85" t="n"/>
      <c r="N923" s="85" t="n"/>
      <c r="O923" s="85" t="n"/>
      <c r="P923" s="85" t="n"/>
      <c r="Q923" s="85" t="n"/>
      <c r="R923" s="85" t="n"/>
      <c r="S923" s="85">
        <f>IF($G923="","",TODAY()-$G923)</f>
        <v/>
      </c>
      <c r="T923" s="85">
        <f>IF($A923="","",IF(AND($E923="Yes",OR($O923="No",$O923="NOT FOUND")),"YES",""))</f>
        <v/>
      </c>
      <c r="U923" s="85">
        <f>IF($A923="","",TRIM(IF(AND($M923=0,$I923&lt;&gt;"Yes"),"T0-NoPhishResistant ","")&amp;IF($H923="No","NoMFA ","")&amp;IF(AND($E923="Yes",$G923=""),"NeverSignedIn ","")))</f>
        <v/>
      </c>
    </row>
    <row r="924" ht="15" customHeight="1" s="39">
      <c r="A924" s="85" t="n"/>
      <c r="B924" s="85" t="n"/>
      <c r="C924" s="85" t="n"/>
      <c r="D924" s="85" t="n"/>
      <c r="E924" s="85" t="n"/>
      <c r="F924" s="86" t="n"/>
      <c r="G924" s="86" t="n"/>
      <c r="H924" s="85" t="n"/>
      <c r="I924" s="85" t="n"/>
      <c r="J924" s="85" t="n"/>
      <c r="K924" s="85" t="n"/>
      <c r="L924" s="85" t="n"/>
      <c r="M924" s="85" t="n"/>
      <c r="N924" s="85" t="n"/>
      <c r="O924" s="85" t="n"/>
      <c r="P924" s="85" t="n"/>
      <c r="Q924" s="85" t="n"/>
      <c r="R924" s="85" t="n"/>
      <c r="S924" s="85">
        <f>IF($G924="","",TODAY()-$G924)</f>
        <v/>
      </c>
      <c r="T924" s="85">
        <f>IF($A924="","",IF(AND($E924="Yes",OR($O924="No",$O924="NOT FOUND")),"YES",""))</f>
        <v/>
      </c>
      <c r="U924" s="85">
        <f>IF($A924="","",TRIM(IF(AND($M924=0,$I924&lt;&gt;"Yes"),"T0-NoPhishResistant ","")&amp;IF($H924="No","NoMFA ","")&amp;IF(AND($E924="Yes",$G924=""),"NeverSignedIn ","")))</f>
        <v/>
      </c>
    </row>
    <row r="925" ht="15" customHeight="1" s="39">
      <c r="A925" s="85" t="n"/>
      <c r="B925" s="85" t="n"/>
      <c r="C925" s="85" t="n"/>
      <c r="D925" s="85" t="n"/>
      <c r="E925" s="85" t="n"/>
      <c r="F925" s="86" t="n"/>
      <c r="G925" s="86" t="n"/>
      <c r="H925" s="85" t="n"/>
      <c r="I925" s="85" t="n"/>
      <c r="J925" s="85" t="n"/>
      <c r="K925" s="85" t="n"/>
      <c r="L925" s="85" t="n"/>
      <c r="M925" s="85" t="n"/>
      <c r="N925" s="85" t="n"/>
      <c r="O925" s="85" t="n"/>
      <c r="P925" s="85" t="n"/>
      <c r="Q925" s="85" t="n"/>
      <c r="R925" s="85" t="n"/>
      <c r="S925" s="85">
        <f>IF($G925="","",TODAY()-$G925)</f>
        <v/>
      </c>
      <c r="T925" s="85">
        <f>IF($A925="","",IF(AND($E925="Yes",OR($O925="No",$O925="NOT FOUND")),"YES",""))</f>
        <v/>
      </c>
      <c r="U925" s="85">
        <f>IF($A925="","",TRIM(IF(AND($M925=0,$I925&lt;&gt;"Yes"),"T0-NoPhishResistant ","")&amp;IF($H925="No","NoMFA ","")&amp;IF(AND($E925="Yes",$G925=""),"NeverSignedIn ","")))</f>
        <v/>
      </c>
    </row>
    <row r="926" ht="15" customHeight="1" s="39">
      <c r="A926" s="85" t="n"/>
      <c r="B926" s="85" t="n"/>
      <c r="C926" s="85" t="n"/>
      <c r="D926" s="85" t="n"/>
      <c r="E926" s="85" t="n"/>
      <c r="F926" s="86" t="n"/>
      <c r="G926" s="86" t="n"/>
      <c r="H926" s="85" t="n"/>
      <c r="I926" s="85" t="n"/>
      <c r="J926" s="85" t="n"/>
      <c r="K926" s="85" t="n"/>
      <c r="L926" s="85" t="n"/>
      <c r="M926" s="85" t="n"/>
      <c r="N926" s="85" t="n"/>
      <c r="O926" s="85" t="n"/>
      <c r="P926" s="85" t="n"/>
      <c r="Q926" s="85" t="n"/>
      <c r="R926" s="85" t="n"/>
      <c r="S926" s="85">
        <f>IF($G926="","",TODAY()-$G926)</f>
        <v/>
      </c>
      <c r="T926" s="85">
        <f>IF($A926="","",IF(AND($E926="Yes",OR($O926="No",$O926="NOT FOUND")),"YES",""))</f>
        <v/>
      </c>
      <c r="U926" s="85">
        <f>IF($A926="","",TRIM(IF(AND($M926=0,$I926&lt;&gt;"Yes"),"T0-NoPhishResistant ","")&amp;IF($H926="No","NoMFA ","")&amp;IF(AND($E926="Yes",$G926=""),"NeverSignedIn ","")))</f>
        <v/>
      </c>
    </row>
    <row r="927" ht="15" customHeight="1" s="39">
      <c r="A927" s="85" t="n"/>
      <c r="B927" s="85" t="n"/>
      <c r="C927" s="85" t="n"/>
      <c r="D927" s="85" t="n"/>
      <c r="E927" s="85" t="n"/>
      <c r="F927" s="86" t="n"/>
      <c r="G927" s="86" t="n"/>
      <c r="H927" s="85" t="n"/>
      <c r="I927" s="85" t="n"/>
      <c r="J927" s="85" t="n"/>
      <c r="K927" s="85" t="n"/>
      <c r="L927" s="85" t="n"/>
      <c r="M927" s="85" t="n"/>
      <c r="N927" s="85" t="n"/>
      <c r="O927" s="85" t="n"/>
      <c r="P927" s="85" t="n"/>
      <c r="Q927" s="85" t="n"/>
      <c r="R927" s="85" t="n"/>
      <c r="S927" s="85">
        <f>IF($G927="","",TODAY()-$G927)</f>
        <v/>
      </c>
      <c r="T927" s="85">
        <f>IF($A927="","",IF(AND($E927="Yes",OR($O927="No",$O927="NOT FOUND")),"YES",""))</f>
        <v/>
      </c>
      <c r="U927" s="85">
        <f>IF($A927="","",TRIM(IF(AND($M927=0,$I927&lt;&gt;"Yes"),"T0-NoPhishResistant ","")&amp;IF($H927="No","NoMFA ","")&amp;IF(AND($E927="Yes",$G927=""),"NeverSignedIn ","")))</f>
        <v/>
      </c>
    </row>
    <row r="928" ht="15" customHeight="1" s="39">
      <c r="A928" s="85" t="n"/>
      <c r="B928" s="85" t="n"/>
      <c r="C928" s="85" t="n"/>
      <c r="D928" s="85" t="n"/>
      <c r="E928" s="85" t="n"/>
      <c r="F928" s="86" t="n"/>
      <c r="G928" s="86" t="n"/>
      <c r="H928" s="85" t="n"/>
      <c r="I928" s="85" t="n"/>
      <c r="J928" s="85" t="n"/>
      <c r="K928" s="85" t="n"/>
      <c r="L928" s="85" t="n"/>
      <c r="M928" s="85" t="n"/>
      <c r="N928" s="85" t="n"/>
      <c r="O928" s="85" t="n"/>
      <c r="P928" s="85" t="n"/>
      <c r="Q928" s="85" t="n"/>
      <c r="R928" s="85" t="n"/>
      <c r="S928" s="85">
        <f>IF($G928="","",TODAY()-$G928)</f>
        <v/>
      </c>
      <c r="T928" s="85">
        <f>IF($A928="","",IF(AND($E928="Yes",OR($O928="No",$O928="NOT FOUND")),"YES",""))</f>
        <v/>
      </c>
      <c r="U928" s="85">
        <f>IF($A928="","",TRIM(IF(AND($M928=0,$I928&lt;&gt;"Yes"),"T0-NoPhishResistant ","")&amp;IF($H928="No","NoMFA ","")&amp;IF(AND($E928="Yes",$G928=""),"NeverSignedIn ","")))</f>
        <v/>
      </c>
    </row>
    <row r="929" ht="15" customHeight="1" s="39">
      <c r="A929" s="85" t="n"/>
      <c r="B929" s="85" t="n"/>
      <c r="C929" s="85" t="n"/>
      <c r="D929" s="85" t="n"/>
      <c r="E929" s="85" t="n"/>
      <c r="F929" s="86" t="n"/>
      <c r="G929" s="86" t="n"/>
      <c r="H929" s="85" t="n"/>
      <c r="I929" s="85" t="n"/>
      <c r="J929" s="85" t="n"/>
      <c r="K929" s="85" t="n"/>
      <c r="L929" s="85" t="n"/>
      <c r="M929" s="85" t="n"/>
      <c r="N929" s="85" t="n"/>
      <c r="O929" s="85" t="n"/>
      <c r="P929" s="85" t="n"/>
      <c r="Q929" s="85" t="n"/>
      <c r="R929" s="85" t="n"/>
      <c r="S929" s="85">
        <f>IF($G929="","",TODAY()-$G929)</f>
        <v/>
      </c>
      <c r="T929" s="85">
        <f>IF($A929="","",IF(AND($E929="Yes",OR($O929="No",$O929="NOT FOUND")),"YES",""))</f>
        <v/>
      </c>
      <c r="U929" s="85">
        <f>IF($A929="","",TRIM(IF(AND($M929=0,$I929&lt;&gt;"Yes"),"T0-NoPhishResistant ","")&amp;IF($H929="No","NoMFA ","")&amp;IF(AND($E929="Yes",$G929=""),"NeverSignedIn ","")))</f>
        <v/>
      </c>
    </row>
    <row r="930" ht="15" customHeight="1" s="39">
      <c r="A930" s="85" t="n"/>
      <c r="B930" s="85" t="n"/>
      <c r="C930" s="85" t="n"/>
      <c r="D930" s="85" t="n"/>
      <c r="E930" s="85" t="n"/>
      <c r="F930" s="86" t="n"/>
      <c r="G930" s="86" t="n"/>
      <c r="H930" s="85" t="n"/>
      <c r="I930" s="85" t="n"/>
      <c r="J930" s="85" t="n"/>
      <c r="K930" s="85" t="n"/>
      <c r="L930" s="85" t="n"/>
      <c r="M930" s="85" t="n"/>
      <c r="N930" s="85" t="n"/>
      <c r="O930" s="85" t="n"/>
      <c r="P930" s="85" t="n"/>
      <c r="Q930" s="85" t="n"/>
      <c r="R930" s="85" t="n"/>
      <c r="S930" s="85">
        <f>IF($G930="","",TODAY()-$G930)</f>
        <v/>
      </c>
      <c r="T930" s="85">
        <f>IF($A930="","",IF(AND($E930="Yes",OR($O930="No",$O930="NOT FOUND")),"YES",""))</f>
        <v/>
      </c>
      <c r="U930" s="85">
        <f>IF($A930="","",TRIM(IF(AND($M930=0,$I930&lt;&gt;"Yes"),"T0-NoPhishResistant ","")&amp;IF($H930="No","NoMFA ","")&amp;IF(AND($E930="Yes",$G930=""),"NeverSignedIn ","")))</f>
        <v/>
      </c>
    </row>
    <row r="931" ht="15" customHeight="1" s="39">
      <c r="A931" s="85" t="n"/>
      <c r="B931" s="85" t="n"/>
      <c r="C931" s="85" t="n"/>
      <c r="D931" s="85" t="n"/>
      <c r="E931" s="85" t="n"/>
      <c r="F931" s="86" t="n"/>
      <c r="G931" s="86" t="n"/>
      <c r="H931" s="85" t="n"/>
      <c r="I931" s="85" t="n"/>
      <c r="J931" s="85" t="n"/>
      <c r="K931" s="85" t="n"/>
      <c r="L931" s="85" t="n"/>
      <c r="M931" s="85" t="n"/>
      <c r="N931" s="85" t="n"/>
      <c r="O931" s="85" t="n"/>
      <c r="P931" s="85" t="n"/>
      <c r="Q931" s="85" t="n"/>
      <c r="R931" s="85" t="n"/>
      <c r="S931" s="85">
        <f>IF($G931="","",TODAY()-$G931)</f>
        <v/>
      </c>
      <c r="T931" s="85">
        <f>IF($A931="","",IF(AND($E931="Yes",OR($O931="No",$O931="NOT FOUND")),"YES",""))</f>
        <v/>
      </c>
      <c r="U931" s="85">
        <f>IF($A931="","",TRIM(IF(AND($M931=0,$I931&lt;&gt;"Yes"),"T0-NoPhishResistant ","")&amp;IF($H931="No","NoMFA ","")&amp;IF(AND($E931="Yes",$G931=""),"NeverSignedIn ","")))</f>
        <v/>
      </c>
    </row>
    <row r="932" ht="15" customHeight="1" s="39">
      <c r="A932" s="85" t="n"/>
      <c r="B932" s="85" t="n"/>
      <c r="C932" s="85" t="n"/>
      <c r="D932" s="85" t="n"/>
      <c r="E932" s="85" t="n"/>
      <c r="F932" s="86" t="n"/>
      <c r="G932" s="86" t="n"/>
      <c r="H932" s="85" t="n"/>
      <c r="I932" s="85" t="n"/>
      <c r="J932" s="85" t="n"/>
      <c r="K932" s="85" t="n"/>
      <c r="L932" s="85" t="n"/>
      <c r="M932" s="85" t="n"/>
      <c r="N932" s="85" t="n"/>
      <c r="O932" s="85" t="n"/>
      <c r="P932" s="85" t="n"/>
      <c r="Q932" s="85" t="n"/>
      <c r="R932" s="85" t="n"/>
      <c r="S932" s="85">
        <f>IF($G932="","",TODAY()-$G932)</f>
        <v/>
      </c>
      <c r="T932" s="85">
        <f>IF($A932="","",IF(AND($E932="Yes",OR($O932="No",$O932="NOT FOUND")),"YES",""))</f>
        <v/>
      </c>
      <c r="U932" s="85">
        <f>IF($A932="","",TRIM(IF(AND($M932=0,$I932&lt;&gt;"Yes"),"T0-NoPhishResistant ","")&amp;IF($H932="No","NoMFA ","")&amp;IF(AND($E932="Yes",$G932=""),"NeverSignedIn ","")))</f>
        <v/>
      </c>
    </row>
    <row r="933" ht="15" customHeight="1" s="39">
      <c r="A933" s="85" t="n"/>
      <c r="B933" s="85" t="n"/>
      <c r="C933" s="85" t="n"/>
      <c r="D933" s="85" t="n"/>
      <c r="E933" s="85" t="n"/>
      <c r="F933" s="86" t="n"/>
      <c r="G933" s="86" t="n"/>
      <c r="H933" s="85" t="n"/>
      <c r="I933" s="85" t="n"/>
      <c r="J933" s="85" t="n"/>
      <c r="K933" s="85" t="n"/>
      <c r="L933" s="85" t="n"/>
      <c r="M933" s="85" t="n"/>
      <c r="N933" s="85" t="n"/>
      <c r="O933" s="85" t="n"/>
      <c r="P933" s="85" t="n"/>
      <c r="Q933" s="85" t="n"/>
      <c r="R933" s="85" t="n"/>
      <c r="S933" s="85">
        <f>IF($G933="","",TODAY()-$G933)</f>
        <v/>
      </c>
      <c r="T933" s="85">
        <f>IF($A933="","",IF(AND($E933="Yes",OR($O933="No",$O933="NOT FOUND")),"YES",""))</f>
        <v/>
      </c>
      <c r="U933" s="85">
        <f>IF($A933="","",TRIM(IF(AND($M933=0,$I933&lt;&gt;"Yes"),"T0-NoPhishResistant ","")&amp;IF($H933="No","NoMFA ","")&amp;IF(AND($E933="Yes",$G933=""),"NeverSignedIn ","")))</f>
        <v/>
      </c>
    </row>
    <row r="934" ht="15" customHeight="1" s="39">
      <c r="A934" s="85" t="n"/>
      <c r="B934" s="85" t="n"/>
      <c r="C934" s="85" t="n"/>
      <c r="D934" s="85" t="n"/>
      <c r="E934" s="85" t="n"/>
      <c r="F934" s="86" t="n"/>
      <c r="G934" s="86" t="n"/>
      <c r="H934" s="85" t="n"/>
      <c r="I934" s="85" t="n"/>
      <c r="J934" s="85" t="n"/>
      <c r="K934" s="85" t="n"/>
      <c r="L934" s="85" t="n"/>
      <c r="M934" s="85" t="n"/>
      <c r="N934" s="85" t="n"/>
      <c r="O934" s="85" t="n"/>
      <c r="P934" s="85" t="n"/>
      <c r="Q934" s="85" t="n"/>
      <c r="R934" s="85" t="n"/>
      <c r="S934" s="85">
        <f>IF($G934="","",TODAY()-$G934)</f>
        <v/>
      </c>
      <c r="T934" s="85">
        <f>IF($A934="","",IF(AND($E934="Yes",OR($O934="No",$O934="NOT FOUND")),"YES",""))</f>
        <v/>
      </c>
      <c r="U934" s="85">
        <f>IF($A934="","",TRIM(IF(AND($M934=0,$I934&lt;&gt;"Yes"),"T0-NoPhishResistant ","")&amp;IF($H934="No","NoMFA ","")&amp;IF(AND($E934="Yes",$G934=""),"NeverSignedIn ","")))</f>
        <v/>
      </c>
    </row>
    <row r="935" ht="15" customHeight="1" s="39">
      <c r="A935" s="85" t="n"/>
      <c r="B935" s="85" t="n"/>
      <c r="C935" s="85" t="n"/>
      <c r="D935" s="85" t="n"/>
      <c r="E935" s="85" t="n"/>
      <c r="F935" s="86" t="n"/>
      <c r="G935" s="86" t="n"/>
      <c r="H935" s="85" t="n"/>
      <c r="I935" s="85" t="n"/>
      <c r="J935" s="85" t="n"/>
      <c r="K935" s="85" t="n"/>
      <c r="L935" s="85" t="n"/>
      <c r="M935" s="85" t="n"/>
      <c r="N935" s="85" t="n"/>
      <c r="O935" s="85" t="n"/>
      <c r="P935" s="85" t="n"/>
      <c r="Q935" s="85" t="n"/>
      <c r="R935" s="85" t="n"/>
      <c r="S935" s="85">
        <f>IF($G935="","",TODAY()-$G935)</f>
        <v/>
      </c>
      <c r="T935" s="85">
        <f>IF($A935="","",IF(AND($E935="Yes",OR($O935="No",$O935="NOT FOUND")),"YES",""))</f>
        <v/>
      </c>
      <c r="U935" s="85">
        <f>IF($A935="","",TRIM(IF(AND($M935=0,$I935&lt;&gt;"Yes"),"T0-NoPhishResistant ","")&amp;IF($H935="No","NoMFA ","")&amp;IF(AND($E935="Yes",$G935=""),"NeverSignedIn ","")))</f>
        <v/>
      </c>
    </row>
    <row r="936" ht="15" customHeight="1" s="39">
      <c r="A936" s="85" t="n"/>
      <c r="B936" s="85" t="n"/>
      <c r="C936" s="85" t="n"/>
      <c r="D936" s="85" t="n"/>
      <c r="E936" s="85" t="n"/>
      <c r="F936" s="86" t="n"/>
      <c r="G936" s="86" t="n"/>
      <c r="H936" s="85" t="n"/>
      <c r="I936" s="85" t="n"/>
      <c r="J936" s="85" t="n"/>
      <c r="K936" s="85" t="n"/>
      <c r="L936" s="85" t="n"/>
      <c r="M936" s="85" t="n"/>
      <c r="N936" s="85" t="n"/>
      <c r="O936" s="85" t="n"/>
      <c r="P936" s="85" t="n"/>
      <c r="Q936" s="85" t="n"/>
      <c r="R936" s="85" t="n"/>
      <c r="S936" s="85">
        <f>IF($G936="","",TODAY()-$G936)</f>
        <v/>
      </c>
      <c r="T936" s="85">
        <f>IF($A936="","",IF(AND($E936="Yes",OR($O936="No",$O936="NOT FOUND")),"YES",""))</f>
        <v/>
      </c>
      <c r="U936" s="85">
        <f>IF($A936="","",TRIM(IF(AND($M936=0,$I936&lt;&gt;"Yes"),"T0-NoPhishResistant ","")&amp;IF($H936="No","NoMFA ","")&amp;IF(AND($E936="Yes",$G936=""),"NeverSignedIn ","")))</f>
        <v/>
      </c>
    </row>
    <row r="937" ht="15" customHeight="1" s="39">
      <c r="A937" s="85" t="n"/>
      <c r="B937" s="85" t="n"/>
      <c r="C937" s="85" t="n"/>
      <c r="D937" s="85" t="n"/>
      <c r="E937" s="85" t="n"/>
      <c r="F937" s="86" t="n"/>
      <c r="G937" s="86" t="n"/>
      <c r="H937" s="85" t="n"/>
      <c r="I937" s="85" t="n"/>
      <c r="J937" s="85" t="n"/>
      <c r="K937" s="85" t="n"/>
      <c r="L937" s="85" t="n"/>
      <c r="M937" s="85" t="n"/>
      <c r="N937" s="85" t="n"/>
      <c r="O937" s="85" t="n"/>
      <c r="P937" s="85" t="n"/>
      <c r="Q937" s="85" t="n"/>
      <c r="R937" s="85" t="n"/>
      <c r="S937" s="85">
        <f>IF($G937="","",TODAY()-$G937)</f>
        <v/>
      </c>
      <c r="T937" s="85">
        <f>IF($A937="","",IF(AND($E937="Yes",OR($O937="No",$O937="NOT FOUND")),"YES",""))</f>
        <v/>
      </c>
      <c r="U937" s="85">
        <f>IF($A937="","",TRIM(IF(AND($M937=0,$I937&lt;&gt;"Yes"),"T0-NoPhishResistant ","")&amp;IF($H937="No","NoMFA ","")&amp;IF(AND($E937="Yes",$G937=""),"NeverSignedIn ","")))</f>
        <v/>
      </c>
    </row>
    <row r="938" ht="15" customHeight="1" s="39">
      <c r="A938" s="85" t="n"/>
      <c r="B938" s="85" t="n"/>
      <c r="C938" s="85" t="n"/>
      <c r="D938" s="85" t="n"/>
      <c r="E938" s="85" t="n"/>
      <c r="F938" s="86" t="n"/>
      <c r="G938" s="86" t="n"/>
      <c r="H938" s="85" t="n"/>
      <c r="I938" s="85" t="n"/>
      <c r="J938" s="85" t="n"/>
      <c r="K938" s="85" t="n"/>
      <c r="L938" s="85" t="n"/>
      <c r="M938" s="85" t="n"/>
      <c r="N938" s="85" t="n"/>
      <c r="O938" s="85" t="n"/>
      <c r="P938" s="85" t="n"/>
      <c r="Q938" s="85" t="n"/>
      <c r="R938" s="85" t="n"/>
      <c r="S938" s="85">
        <f>IF($G938="","",TODAY()-$G938)</f>
        <v/>
      </c>
      <c r="T938" s="85">
        <f>IF($A938="","",IF(AND($E938="Yes",OR($O938="No",$O938="NOT FOUND")),"YES",""))</f>
        <v/>
      </c>
      <c r="U938" s="85">
        <f>IF($A938="","",TRIM(IF(AND($M938=0,$I938&lt;&gt;"Yes"),"T0-NoPhishResistant ","")&amp;IF($H938="No","NoMFA ","")&amp;IF(AND($E938="Yes",$G938=""),"NeverSignedIn ","")))</f>
        <v/>
      </c>
    </row>
    <row r="939" ht="15" customHeight="1" s="39">
      <c r="A939" s="85" t="n"/>
      <c r="B939" s="85" t="n"/>
      <c r="C939" s="85" t="n"/>
      <c r="D939" s="85" t="n"/>
      <c r="E939" s="85" t="n"/>
      <c r="F939" s="86" t="n"/>
      <c r="G939" s="86" t="n"/>
      <c r="H939" s="85" t="n"/>
      <c r="I939" s="85" t="n"/>
      <c r="J939" s="85" t="n"/>
      <c r="K939" s="85" t="n"/>
      <c r="L939" s="85" t="n"/>
      <c r="M939" s="85" t="n"/>
      <c r="N939" s="85" t="n"/>
      <c r="O939" s="85" t="n"/>
      <c r="P939" s="85" t="n"/>
      <c r="Q939" s="85" t="n"/>
      <c r="R939" s="85" t="n"/>
      <c r="S939" s="85">
        <f>IF($G939="","",TODAY()-$G939)</f>
        <v/>
      </c>
      <c r="T939" s="85">
        <f>IF($A939="","",IF(AND($E939="Yes",OR($O939="No",$O939="NOT FOUND")),"YES",""))</f>
        <v/>
      </c>
      <c r="U939" s="85">
        <f>IF($A939="","",TRIM(IF(AND($M939=0,$I939&lt;&gt;"Yes"),"T0-NoPhishResistant ","")&amp;IF($H939="No","NoMFA ","")&amp;IF(AND($E939="Yes",$G939=""),"NeverSignedIn ","")))</f>
        <v/>
      </c>
    </row>
    <row r="940" ht="15" customHeight="1" s="39">
      <c r="A940" s="85" t="n"/>
      <c r="B940" s="85" t="n"/>
      <c r="C940" s="85" t="n"/>
      <c r="D940" s="85" t="n"/>
      <c r="E940" s="85" t="n"/>
      <c r="F940" s="86" t="n"/>
      <c r="G940" s="86" t="n"/>
      <c r="H940" s="85" t="n"/>
      <c r="I940" s="85" t="n"/>
      <c r="J940" s="85" t="n"/>
      <c r="K940" s="85" t="n"/>
      <c r="L940" s="85" t="n"/>
      <c r="M940" s="85" t="n"/>
      <c r="N940" s="85" t="n"/>
      <c r="O940" s="85" t="n"/>
      <c r="P940" s="85" t="n"/>
      <c r="Q940" s="85" t="n"/>
      <c r="R940" s="85" t="n"/>
      <c r="S940" s="85">
        <f>IF($G940="","",TODAY()-$G940)</f>
        <v/>
      </c>
      <c r="T940" s="85">
        <f>IF($A940="","",IF(AND($E940="Yes",OR($O940="No",$O940="NOT FOUND")),"YES",""))</f>
        <v/>
      </c>
      <c r="U940" s="85">
        <f>IF($A940="","",TRIM(IF(AND($M940=0,$I940&lt;&gt;"Yes"),"T0-NoPhishResistant ","")&amp;IF($H940="No","NoMFA ","")&amp;IF(AND($E940="Yes",$G940=""),"NeverSignedIn ","")))</f>
        <v/>
      </c>
    </row>
    <row r="941" ht="15" customHeight="1" s="39">
      <c r="A941" s="85" t="n"/>
      <c r="B941" s="85" t="n"/>
      <c r="C941" s="85" t="n"/>
      <c r="D941" s="85" t="n"/>
      <c r="E941" s="85" t="n"/>
      <c r="F941" s="86" t="n"/>
      <c r="G941" s="86" t="n"/>
      <c r="H941" s="85" t="n"/>
      <c r="I941" s="85" t="n"/>
      <c r="J941" s="85" t="n"/>
      <c r="K941" s="85" t="n"/>
      <c r="L941" s="85" t="n"/>
      <c r="M941" s="85" t="n"/>
      <c r="N941" s="85" t="n"/>
      <c r="O941" s="85" t="n"/>
      <c r="P941" s="85" t="n"/>
      <c r="Q941" s="85" t="n"/>
      <c r="R941" s="85" t="n"/>
      <c r="S941" s="85">
        <f>IF($G941="","",TODAY()-$G941)</f>
        <v/>
      </c>
      <c r="T941" s="85">
        <f>IF($A941="","",IF(AND($E941="Yes",OR($O941="No",$O941="NOT FOUND")),"YES",""))</f>
        <v/>
      </c>
      <c r="U941" s="85">
        <f>IF($A941="","",TRIM(IF(AND($M941=0,$I941&lt;&gt;"Yes"),"T0-NoPhishResistant ","")&amp;IF($H941="No","NoMFA ","")&amp;IF(AND($E941="Yes",$G941=""),"NeverSignedIn ","")))</f>
        <v/>
      </c>
    </row>
    <row r="942" ht="15" customHeight="1" s="39">
      <c r="A942" s="85" t="n"/>
      <c r="B942" s="85" t="n"/>
      <c r="C942" s="85" t="n"/>
      <c r="D942" s="85" t="n"/>
      <c r="E942" s="85" t="n"/>
      <c r="F942" s="86" t="n"/>
      <c r="G942" s="86" t="n"/>
      <c r="H942" s="85" t="n"/>
      <c r="I942" s="85" t="n"/>
      <c r="J942" s="85" t="n"/>
      <c r="K942" s="85" t="n"/>
      <c r="L942" s="85" t="n"/>
      <c r="M942" s="85" t="n"/>
      <c r="N942" s="85" t="n"/>
      <c r="O942" s="85" t="n"/>
      <c r="P942" s="85" t="n"/>
      <c r="Q942" s="85" t="n"/>
      <c r="R942" s="85" t="n"/>
      <c r="S942" s="85">
        <f>IF($G942="","",TODAY()-$G942)</f>
        <v/>
      </c>
      <c r="T942" s="85">
        <f>IF($A942="","",IF(AND($E942="Yes",OR($O942="No",$O942="NOT FOUND")),"YES",""))</f>
        <v/>
      </c>
      <c r="U942" s="85">
        <f>IF($A942="","",TRIM(IF(AND($M942=0,$I942&lt;&gt;"Yes"),"T0-NoPhishResistant ","")&amp;IF($H942="No","NoMFA ","")&amp;IF(AND($E942="Yes",$G942=""),"NeverSignedIn ","")))</f>
        <v/>
      </c>
    </row>
    <row r="943" ht="15" customHeight="1" s="39">
      <c r="A943" s="85" t="n"/>
      <c r="B943" s="85" t="n"/>
      <c r="C943" s="85" t="n"/>
      <c r="D943" s="85" t="n"/>
      <c r="E943" s="85" t="n"/>
      <c r="F943" s="86" t="n"/>
      <c r="G943" s="86" t="n"/>
      <c r="H943" s="85" t="n"/>
      <c r="I943" s="85" t="n"/>
      <c r="J943" s="85" t="n"/>
      <c r="K943" s="85" t="n"/>
      <c r="L943" s="85" t="n"/>
      <c r="M943" s="85" t="n"/>
      <c r="N943" s="85" t="n"/>
      <c r="O943" s="85" t="n"/>
      <c r="P943" s="85" t="n"/>
      <c r="Q943" s="85" t="n"/>
      <c r="R943" s="85" t="n"/>
      <c r="S943" s="85">
        <f>IF($G943="","",TODAY()-$G943)</f>
        <v/>
      </c>
      <c r="T943" s="85">
        <f>IF($A943="","",IF(AND($E943="Yes",OR($O943="No",$O943="NOT FOUND")),"YES",""))</f>
        <v/>
      </c>
      <c r="U943" s="85">
        <f>IF($A943="","",TRIM(IF(AND($M943=0,$I943&lt;&gt;"Yes"),"T0-NoPhishResistant ","")&amp;IF($H943="No","NoMFA ","")&amp;IF(AND($E943="Yes",$G943=""),"NeverSignedIn ","")))</f>
        <v/>
      </c>
    </row>
    <row r="944" ht="15" customHeight="1" s="39">
      <c r="A944" s="85" t="n"/>
      <c r="B944" s="85" t="n"/>
      <c r="C944" s="85" t="n"/>
      <c r="D944" s="85" t="n"/>
      <c r="E944" s="85" t="n"/>
      <c r="F944" s="86" t="n"/>
      <c r="G944" s="86" t="n"/>
      <c r="H944" s="85" t="n"/>
      <c r="I944" s="85" t="n"/>
      <c r="J944" s="85" t="n"/>
      <c r="K944" s="85" t="n"/>
      <c r="L944" s="85" t="n"/>
      <c r="M944" s="85" t="n"/>
      <c r="N944" s="85" t="n"/>
      <c r="O944" s="85" t="n"/>
      <c r="P944" s="85" t="n"/>
      <c r="Q944" s="85" t="n"/>
      <c r="R944" s="85" t="n"/>
      <c r="S944" s="85">
        <f>IF($G944="","",TODAY()-$G944)</f>
        <v/>
      </c>
      <c r="T944" s="85">
        <f>IF($A944="","",IF(AND($E944="Yes",OR($O944="No",$O944="NOT FOUND")),"YES",""))</f>
        <v/>
      </c>
      <c r="U944" s="85">
        <f>IF($A944="","",TRIM(IF(AND($M944=0,$I944&lt;&gt;"Yes"),"T0-NoPhishResistant ","")&amp;IF($H944="No","NoMFA ","")&amp;IF(AND($E944="Yes",$G944=""),"NeverSignedIn ","")))</f>
        <v/>
      </c>
    </row>
    <row r="945" ht="15" customHeight="1" s="39">
      <c r="A945" s="85" t="n"/>
      <c r="B945" s="85" t="n"/>
      <c r="C945" s="85" t="n"/>
      <c r="D945" s="85" t="n"/>
      <c r="E945" s="85" t="n"/>
      <c r="F945" s="86" t="n"/>
      <c r="G945" s="86" t="n"/>
      <c r="H945" s="85" t="n"/>
      <c r="I945" s="85" t="n"/>
      <c r="J945" s="85" t="n"/>
      <c r="K945" s="85" t="n"/>
      <c r="L945" s="85" t="n"/>
      <c r="M945" s="85" t="n"/>
      <c r="N945" s="85" t="n"/>
      <c r="O945" s="85" t="n"/>
      <c r="P945" s="85" t="n"/>
      <c r="Q945" s="85" t="n"/>
      <c r="R945" s="85" t="n"/>
      <c r="S945" s="85">
        <f>IF($G945="","",TODAY()-$G945)</f>
        <v/>
      </c>
      <c r="T945" s="85">
        <f>IF($A945="","",IF(AND($E945="Yes",OR($O945="No",$O945="NOT FOUND")),"YES",""))</f>
        <v/>
      </c>
      <c r="U945" s="85">
        <f>IF($A945="","",TRIM(IF(AND($M945=0,$I945&lt;&gt;"Yes"),"T0-NoPhishResistant ","")&amp;IF($H945="No","NoMFA ","")&amp;IF(AND($E945="Yes",$G945=""),"NeverSignedIn ","")))</f>
        <v/>
      </c>
    </row>
    <row r="946" ht="15" customHeight="1" s="39">
      <c r="A946" s="85" t="n"/>
      <c r="B946" s="85" t="n"/>
      <c r="C946" s="85" t="n"/>
      <c r="D946" s="85" t="n"/>
      <c r="E946" s="85" t="n"/>
      <c r="F946" s="86" t="n"/>
      <c r="G946" s="86" t="n"/>
      <c r="H946" s="85" t="n"/>
      <c r="I946" s="85" t="n"/>
      <c r="J946" s="85" t="n"/>
      <c r="K946" s="85" t="n"/>
      <c r="L946" s="85" t="n"/>
      <c r="M946" s="85" t="n"/>
      <c r="N946" s="85" t="n"/>
      <c r="O946" s="85" t="n"/>
      <c r="P946" s="85" t="n"/>
      <c r="Q946" s="85" t="n"/>
      <c r="R946" s="85" t="n"/>
      <c r="S946" s="85">
        <f>IF($G946="","",TODAY()-$G946)</f>
        <v/>
      </c>
      <c r="T946" s="85">
        <f>IF($A946="","",IF(AND($E946="Yes",OR($O946="No",$O946="NOT FOUND")),"YES",""))</f>
        <v/>
      </c>
      <c r="U946" s="85">
        <f>IF($A946="","",TRIM(IF(AND($M946=0,$I946&lt;&gt;"Yes"),"T0-NoPhishResistant ","")&amp;IF($H946="No","NoMFA ","")&amp;IF(AND($E946="Yes",$G946=""),"NeverSignedIn ","")))</f>
        <v/>
      </c>
    </row>
    <row r="947" ht="15" customHeight="1" s="39">
      <c r="A947" s="85" t="n"/>
      <c r="B947" s="85" t="n"/>
      <c r="C947" s="85" t="n"/>
      <c r="D947" s="85" t="n"/>
      <c r="E947" s="85" t="n"/>
      <c r="F947" s="86" t="n"/>
      <c r="G947" s="86" t="n"/>
      <c r="H947" s="85" t="n"/>
      <c r="I947" s="85" t="n"/>
      <c r="J947" s="85" t="n"/>
      <c r="K947" s="85" t="n"/>
      <c r="L947" s="85" t="n"/>
      <c r="M947" s="85" t="n"/>
      <c r="N947" s="85" t="n"/>
      <c r="O947" s="85" t="n"/>
      <c r="P947" s="85" t="n"/>
      <c r="Q947" s="85" t="n"/>
      <c r="R947" s="85" t="n"/>
      <c r="S947" s="85">
        <f>IF($G947="","",TODAY()-$G947)</f>
        <v/>
      </c>
      <c r="T947" s="85">
        <f>IF($A947="","",IF(AND($E947="Yes",OR($O947="No",$O947="NOT FOUND")),"YES",""))</f>
        <v/>
      </c>
      <c r="U947" s="85">
        <f>IF($A947="","",TRIM(IF(AND($M947=0,$I947&lt;&gt;"Yes"),"T0-NoPhishResistant ","")&amp;IF($H947="No","NoMFA ","")&amp;IF(AND($E947="Yes",$G947=""),"NeverSignedIn ","")))</f>
        <v/>
      </c>
    </row>
    <row r="948" ht="15" customHeight="1" s="39">
      <c r="A948" s="85" t="n"/>
      <c r="B948" s="85" t="n"/>
      <c r="C948" s="85" t="n"/>
      <c r="D948" s="85" t="n"/>
      <c r="E948" s="85" t="n"/>
      <c r="F948" s="86" t="n"/>
      <c r="G948" s="86" t="n"/>
      <c r="H948" s="85" t="n"/>
      <c r="I948" s="85" t="n"/>
      <c r="J948" s="85" t="n"/>
      <c r="K948" s="85" t="n"/>
      <c r="L948" s="85" t="n"/>
      <c r="M948" s="85" t="n"/>
      <c r="N948" s="85" t="n"/>
      <c r="O948" s="85" t="n"/>
      <c r="P948" s="85" t="n"/>
      <c r="Q948" s="85" t="n"/>
      <c r="R948" s="85" t="n"/>
      <c r="S948" s="85">
        <f>IF($G948="","",TODAY()-$G948)</f>
        <v/>
      </c>
      <c r="T948" s="85">
        <f>IF($A948="","",IF(AND($E948="Yes",OR($O948="No",$O948="NOT FOUND")),"YES",""))</f>
        <v/>
      </c>
      <c r="U948" s="85">
        <f>IF($A948="","",TRIM(IF(AND($M948=0,$I948&lt;&gt;"Yes"),"T0-NoPhishResistant ","")&amp;IF($H948="No","NoMFA ","")&amp;IF(AND($E948="Yes",$G948=""),"NeverSignedIn ","")))</f>
        <v/>
      </c>
    </row>
    <row r="949" ht="15" customHeight="1" s="39">
      <c r="A949" s="85" t="n"/>
      <c r="B949" s="85" t="n"/>
      <c r="C949" s="85" t="n"/>
      <c r="D949" s="85" t="n"/>
      <c r="E949" s="85" t="n"/>
      <c r="F949" s="86" t="n"/>
      <c r="G949" s="86" t="n"/>
      <c r="H949" s="85" t="n"/>
      <c r="I949" s="85" t="n"/>
      <c r="J949" s="85" t="n"/>
      <c r="K949" s="85" t="n"/>
      <c r="L949" s="85" t="n"/>
      <c r="M949" s="85" t="n"/>
      <c r="N949" s="85" t="n"/>
      <c r="O949" s="85" t="n"/>
      <c r="P949" s="85" t="n"/>
      <c r="Q949" s="85" t="n"/>
      <c r="R949" s="85" t="n"/>
      <c r="S949" s="85">
        <f>IF($G949="","",TODAY()-$G949)</f>
        <v/>
      </c>
      <c r="T949" s="85">
        <f>IF($A949="","",IF(AND($E949="Yes",OR($O949="No",$O949="NOT FOUND")),"YES",""))</f>
        <v/>
      </c>
      <c r="U949" s="85">
        <f>IF($A949="","",TRIM(IF(AND($M949=0,$I949&lt;&gt;"Yes"),"T0-NoPhishResistant ","")&amp;IF($H949="No","NoMFA ","")&amp;IF(AND($E949="Yes",$G949=""),"NeverSignedIn ","")))</f>
        <v/>
      </c>
    </row>
    <row r="950" ht="15" customHeight="1" s="39">
      <c r="A950" s="85" t="n"/>
      <c r="B950" s="85" t="n"/>
      <c r="C950" s="85" t="n"/>
      <c r="D950" s="85" t="n"/>
      <c r="E950" s="85" t="n"/>
      <c r="F950" s="86" t="n"/>
      <c r="G950" s="86" t="n"/>
      <c r="H950" s="85" t="n"/>
      <c r="I950" s="85" t="n"/>
      <c r="J950" s="85" t="n"/>
      <c r="K950" s="85" t="n"/>
      <c r="L950" s="85" t="n"/>
      <c r="M950" s="85" t="n"/>
      <c r="N950" s="85" t="n"/>
      <c r="O950" s="85" t="n"/>
      <c r="P950" s="85" t="n"/>
      <c r="Q950" s="85" t="n"/>
      <c r="R950" s="85" t="n"/>
      <c r="S950" s="85">
        <f>IF($G950="","",TODAY()-$G950)</f>
        <v/>
      </c>
      <c r="T950" s="85">
        <f>IF($A950="","",IF(AND($E950="Yes",OR($O950="No",$O950="NOT FOUND")),"YES",""))</f>
        <v/>
      </c>
      <c r="U950" s="85">
        <f>IF($A950="","",TRIM(IF(AND($M950=0,$I950&lt;&gt;"Yes"),"T0-NoPhishResistant ","")&amp;IF($H950="No","NoMFA ","")&amp;IF(AND($E950="Yes",$G950=""),"NeverSignedIn ","")))</f>
        <v/>
      </c>
    </row>
    <row r="951" ht="15" customHeight="1" s="39">
      <c r="A951" s="85" t="n"/>
      <c r="B951" s="85" t="n"/>
      <c r="C951" s="85" t="n"/>
      <c r="D951" s="85" t="n"/>
      <c r="E951" s="85" t="n"/>
      <c r="F951" s="86" t="n"/>
      <c r="G951" s="86" t="n"/>
      <c r="H951" s="85" t="n"/>
      <c r="I951" s="85" t="n"/>
      <c r="J951" s="85" t="n"/>
      <c r="K951" s="85" t="n"/>
      <c r="L951" s="85" t="n"/>
      <c r="M951" s="85" t="n"/>
      <c r="N951" s="85" t="n"/>
      <c r="O951" s="85" t="n"/>
      <c r="P951" s="85" t="n"/>
      <c r="Q951" s="85" t="n"/>
      <c r="R951" s="85" t="n"/>
      <c r="S951" s="85">
        <f>IF($G951="","",TODAY()-$G951)</f>
        <v/>
      </c>
      <c r="T951" s="85">
        <f>IF($A951="","",IF(AND($E951="Yes",OR($O951="No",$O951="NOT FOUND")),"YES",""))</f>
        <v/>
      </c>
      <c r="U951" s="85">
        <f>IF($A951="","",TRIM(IF(AND($M951=0,$I951&lt;&gt;"Yes"),"T0-NoPhishResistant ","")&amp;IF($H951="No","NoMFA ","")&amp;IF(AND($E951="Yes",$G951=""),"NeverSignedIn ","")))</f>
        <v/>
      </c>
    </row>
    <row r="952" ht="15" customHeight="1" s="39">
      <c r="A952" s="85" t="n"/>
      <c r="B952" s="85" t="n"/>
      <c r="C952" s="85" t="n"/>
      <c r="D952" s="85" t="n"/>
      <c r="E952" s="85" t="n"/>
      <c r="F952" s="86" t="n"/>
      <c r="G952" s="86" t="n"/>
      <c r="H952" s="85" t="n"/>
      <c r="I952" s="85" t="n"/>
      <c r="J952" s="85" t="n"/>
      <c r="K952" s="85" t="n"/>
      <c r="L952" s="85" t="n"/>
      <c r="M952" s="85" t="n"/>
      <c r="N952" s="85" t="n"/>
      <c r="O952" s="85" t="n"/>
      <c r="P952" s="85" t="n"/>
      <c r="Q952" s="85" t="n"/>
      <c r="R952" s="85" t="n"/>
      <c r="S952" s="85">
        <f>IF($G952="","",TODAY()-$G952)</f>
        <v/>
      </c>
      <c r="T952" s="85">
        <f>IF($A952="","",IF(AND($E952="Yes",OR($O952="No",$O952="NOT FOUND")),"YES",""))</f>
        <v/>
      </c>
      <c r="U952" s="85">
        <f>IF($A952="","",TRIM(IF(AND($M952=0,$I952&lt;&gt;"Yes"),"T0-NoPhishResistant ","")&amp;IF($H952="No","NoMFA ","")&amp;IF(AND($E952="Yes",$G952=""),"NeverSignedIn ","")))</f>
        <v/>
      </c>
    </row>
    <row r="953" ht="15" customHeight="1" s="39">
      <c r="A953" s="85" t="n"/>
      <c r="B953" s="85" t="n"/>
      <c r="C953" s="85" t="n"/>
      <c r="D953" s="85" t="n"/>
      <c r="E953" s="85" t="n"/>
      <c r="F953" s="86" t="n"/>
      <c r="G953" s="86" t="n"/>
      <c r="H953" s="85" t="n"/>
      <c r="I953" s="85" t="n"/>
      <c r="J953" s="85" t="n"/>
      <c r="K953" s="85" t="n"/>
      <c r="L953" s="85" t="n"/>
      <c r="M953" s="85" t="n"/>
      <c r="N953" s="85" t="n"/>
      <c r="O953" s="85" t="n"/>
      <c r="P953" s="85" t="n"/>
      <c r="Q953" s="85" t="n"/>
      <c r="R953" s="85" t="n"/>
      <c r="S953" s="85">
        <f>IF($G953="","",TODAY()-$G953)</f>
        <v/>
      </c>
      <c r="T953" s="85">
        <f>IF($A953="","",IF(AND($E953="Yes",OR($O953="No",$O953="NOT FOUND")),"YES",""))</f>
        <v/>
      </c>
      <c r="U953" s="85">
        <f>IF($A953="","",TRIM(IF(AND($M953=0,$I953&lt;&gt;"Yes"),"T0-NoPhishResistant ","")&amp;IF($H953="No","NoMFA ","")&amp;IF(AND($E953="Yes",$G953=""),"NeverSignedIn ","")))</f>
        <v/>
      </c>
    </row>
    <row r="954" ht="15" customHeight="1" s="39">
      <c r="A954" s="85" t="n"/>
      <c r="B954" s="85" t="n"/>
      <c r="C954" s="85" t="n"/>
      <c r="D954" s="85" t="n"/>
      <c r="E954" s="85" t="n"/>
      <c r="F954" s="86" t="n"/>
      <c r="G954" s="86" t="n"/>
      <c r="H954" s="85" t="n"/>
      <c r="I954" s="85" t="n"/>
      <c r="J954" s="85" t="n"/>
      <c r="K954" s="85" t="n"/>
      <c r="L954" s="85" t="n"/>
      <c r="M954" s="85" t="n"/>
      <c r="N954" s="85" t="n"/>
      <c r="O954" s="85" t="n"/>
      <c r="P954" s="85" t="n"/>
      <c r="Q954" s="85" t="n"/>
      <c r="R954" s="85" t="n"/>
      <c r="S954" s="85">
        <f>IF($G954="","",TODAY()-$G954)</f>
        <v/>
      </c>
      <c r="T954" s="85">
        <f>IF($A954="","",IF(AND($E954="Yes",OR($O954="No",$O954="NOT FOUND")),"YES",""))</f>
        <v/>
      </c>
      <c r="U954" s="85">
        <f>IF($A954="","",TRIM(IF(AND($M954=0,$I954&lt;&gt;"Yes"),"T0-NoPhishResistant ","")&amp;IF($H954="No","NoMFA ","")&amp;IF(AND($E954="Yes",$G954=""),"NeverSignedIn ","")))</f>
        <v/>
      </c>
    </row>
    <row r="955" ht="15" customHeight="1" s="39">
      <c r="A955" s="85" t="n"/>
      <c r="B955" s="85" t="n"/>
      <c r="C955" s="85" t="n"/>
      <c r="D955" s="85" t="n"/>
      <c r="E955" s="85" t="n"/>
      <c r="F955" s="86" t="n"/>
      <c r="G955" s="86" t="n"/>
      <c r="H955" s="85" t="n"/>
      <c r="I955" s="85" t="n"/>
      <c r="J955" s="85" t="n"/>
      <c r="K955" s="85" t="n"/>
      <c r="L955" s="85" t="n"/>
      <c r="M955" s="85" t="n"/>
      <c r="N955" s="85" t="n"/>
      <c r="O955" s="85" t="n"/>
      <c r="P955" s="85" t="n"/>
      <c r="Q955" s="85" t="n"/>
      <c r="R955" s="85" t="n"/>
      <c r="S955" s="85">
        <f>IF($G955="","",TODAY()-$G955)</f>
        <v/>
      </c>
      <c r="T955" s="85">
        <f>IF($A955="","",IF(AND($E955="Yes",OR($O955="No",$O955="NOT FOUND")),"YES",""))</f>
        <v/>
      </c>
      <c r="U955" s="85">
        <f>IF($A955="","",TRIM(IF(AND($M955=0,$I955&lt;&gt;"Yes"),"T0-NoPhishResistant ","")&amp;IF($H955="No","NoMFA ","")&amp;IF(AND($E955="Yes",$G955=""),"NeverSignedIn ","")))</f>
        <v/>
      </c>
    </row>
    <row r="956" ht="15" customHeight="1" s="39">
      <c r="A956" s="85" t="n"/>
      <c r="B956" s="85" t="n"/>
      <c r="C956" s="85" t="n"/>
      <c r="D956" s="85" t="n"/>
      <c r="E956" s="85" t="n"/>
      <c r="F956" s="86" t="n"/>
      <c r="G956" s="86" t="n"/>
      <c r="H956" s="85" t="n"/>
      <c r="I956" s="85" t="n"/>
      <c r="J956" s="85" t="n"/>
      <c r="K956" s="85" t="n"/>
      <c r="L956" s="85" t="n"/>
      <c r="M956" s="85" t="n"/>
      <c r="N956" s="85" t="n"/>
      <c r="O956" s="85" t="n"/>
      <c r="P956" s="85" t="n"/>
      <c r="Q956" s="85" t="n"/>
      <c r="R956" s="85" t="n"/>
      <c r="S956" s="85">
        <f>IF($G956="","",TODAY()-$G956)</f>
        <v/>
      </c>
      <c r="T956" s="85">
        <f>IF($A956="","",IF(AND($E956="Yes",OR($O956="No",$O956="NOT FOUND")),"YES",""))</f>
        <v/>
      </c>
      <c r="U956" s="85">
        <f>IF($A956="","",TRIM(IF(AND($M956=0,$I956&lt;&gt;"Yes"),"T0-NoPhishResistant ","")&amp;IF($H956="No","NoMFA ","")&amp;IF(AND($E956="Yes",$G956=""),"NeverSignedIn ","")))</f>
        <v/>
      </c>
    </row>
    <row r="957" ht="15" customHeight="1" s="39">
      <c r="A957" s="85" t="n"/>
      <c r="B957" s="85" t="n"/>
      <c r="C957" s="85" t="n"/>
      <c r="D957" s="85" t="n"/>
      <c r="E957" s="85" t="n"/>
      <c r="F957" s="86" t="n"/>
      <c r="G957" s="86" t="n"/>
      <c r="H957" s="85" t="n"/>
      <c r="I957" s="85" t="n"/>
      <c r="J957" s="85" t="n"/>
      <c r="K957" s="85" t="n"/>
      <c r="L957" s="85" t="n"/>
      <c r="M957" s="85" t="n"/>
      <c r="N957" s="85" t="n"/>
      <c r="O957" s="85" t="n"/>
      <c r="P957" s="85" t="n"/>
      <c r="Q957" s="85" t="n"/>
      <c r="R957" s="85" t="n"/>
      <c r="S957" s="85">
        <f>IF($G957="","",TODAY()-$G957)</f>
        <v/>
      </c>
      <c r="T957" s="85">
        <f>IF($A957="","",IF(AND($E957="Yes",OR($O957="No",$O957="NOT FOUND")),"YES",""))</f>
        <v/>
      </c>
      <c r="U957" s="85">
        <f>IF($A957="","",TRIM(IF(AND($M957=0,$I957&lt;&gt;"Yes"),"T0-NoPhishResistant ","")&amp;IF($H957="No","NoMFA ","")&amp;IF(AND($E957="Yes",$G957=""),"NeverSignedIn ","")))</f>
        <v/>
      </c>
    </row>
    <row r="958" ht="15" customHeight="1" s="39">
      <c r="A958" s="85" t="n"/>
      <c r="B958" s="85" t="n"/>
      <c r="C958" s="85" t="n"/>
      <c r="D958" s="85" t="n"/>
      <c r="E958" s="85" t="n"/>
      <c r="F958" s="86" t="n"/>
      <c r="G958" s="86" t="n"/>
      <c r="H958" s="85" t="n"/>
      <c r="I958" s="85" t="n"/>
      <c r="J958" s="85" t="n"/>
      <c r="K958" s="85" t="n"/>
      <c r="L958" s="85" t="n"/>
      <c r="M958" s="85" t="n"/>
      <c r="N958" s="85" t="n"/>
      <c r="O958" s="85" t="n"/>
      <c r="P958" s="85" t="n"/>
      <c r="Q958" s="85" t="n"/>
      <c r="R958" s="85" t="n"/>
      <c r="S958" s="85">
        <f>IF($G958="","",TODAY()-$G958)</f>
        <v/>
      </c>
      <c r="T958" s="85">
        <f>IF($A958="","",IF(AND($E958="Yes",OR($O958="No",$O958="NOT FOUND")),"YES",""))</f>
        <v/>
      </c>
      <c r="U958" s="85">
        <f>IF($A958="","",TRIM(IF(AND($M958=0,$I958&lt;&gt;"Yes"),"T0-NoPhishResistant ","")&amp;IF($H958="No","NoMFA ","")&amp;IF(AND($E958="Yes",$G958=""),"NeverSignedIn ","")))</f>
        <v/>
      </c>
    </row>
    <row r="959" ht="15" customHeight="1" s="39">
      <c r="A959" s="85" t="n"/>
      <c r="B959" s="85" t="n"/>
      <c r="C959" s="85" t="n"/>
      <c r="D959" s="85" t="n"/>
      <c r="E959" s="85" t="n"/>
      <c r="F959" s="86" t="n"/>
      <c r="G959" s="86" t="n"/>
      <c r="H959" s="85" t="n"/>
      <c r="I959" s="85" t="n"/>
      <c r="J959" s="85" t="n"/>
      <c r="K959" s="85" t="n"/>
      <c r="L959" s="85" t="n"/>
      <c r="M959" s="85" t="n"/>
      <c r="N959" s="85" t="n"/>
      <c r="O959" s="85" t="n"/>
      <c r="P959" s="85" t="n"/>
      <c r="Q959" s="85" t="n"/>
      <c r="R959" s="85" t="n"/>
      <c r="S959" s="85">
        <f>IF($G959="","",TODAY()-$G959)</f>
        <v/>
      </c>
      <c r="T959" s="85">
        <f>IF($A959="","",IF(AND($E959="Yes",OR($O959="No",$O959="NOT FOUND")),"YES",""))</f>
        <v/>
      </c>
      <c r="U959" s="85">
        <f>IF($A959="","",TRIM(IF(AND($M959=0,$I959&lt;&gt;"Yes"),"T0-NoPhishResistant ","")&amp;IF($H959="No","NoMFA ","")&amp;IF(AND($E959="Yes",$G959=""),"NeverSignedIn ","")))</f>
        <v/>
      </c>
    </row>
    <row r="960" ht="15" customHeight="1" s="39">
      <c r="A960" s="85" t="n"/>
      <c r="B960" s="85" t="n"/>
      <c r="C960" s="85" t="n"/>
      <c r="D960" s="85" t="n"/>
      <c r="E960" s="85" t="n"/>
      <c r="F960" s="86" t="n"/>
      <c r="G960" s="86" t="n"/>
      <c r="H960" s="85" t="n"/>
      <c r="I960" s="85" t="n"/>
      <c r="J960" s="85" t="n"/>
      <c r="K960" s="85" t="n"/>
      <c r="L960" s="85" t="n"/>
      <c r="M960" s="85" t="n"/>
      <c r="N960" s="85" t="n"/>
      <c r="O960" s="85" t="n"/>
      <c r="P960" s="85" t="n"/>
      <c r="Q960" s="85" t="n"/>
      <c r="R960" s="85" t="n"/>
      <c r="S960" s="85">
        <f>IF($G960="","",TODAY()-$G960)</f>
        <v/>
      </c>
      <c r="T960" s="85">
        <f>IF($A960="","",IF(AND($E960="Yes",OR($O960="No",$O960="NOT FOUND")),"YES",""))</f>
        <v/>
      </c>
      <c r="U960" s="85">
        <f>IF($A960="","",TRIM(IF(AND($M960=0,$I960&lt;&gt;"Yes"),"T0-NoPhishResistant ","")&amp;IF($H960="No","NoMFA ","")&amp;IF(AND($E960="Yes",$G960=""),"NeverSignedIn ","")))</f>
        <v/>
      </c>
    </row>
    <row r="961" ht="15" customHeight="1" s="39">
      <c r="A961" s="85" t="n"/>
      <c r="B961" s="85" t="n"/>
      <c r="C961" s="85" t="n"/>
      <c r="D961" s="85" t="n"/>
      <c r="E961" s="85" t="n"/>
      <c r="F961" s="86" t="n"/>
      <c r="G961" s="86" t="n"/>
      <c r="H961" s="85" t="n"/>
      <c r="I961" s="85" t="n"/>
      <c r="J961" s="85" t="n"/>
      <c r="K961" s="85" t="n"/>
      <c r="L961" s="85" t="n"/>
      <c r="M961" s="85" t="n"/>
      <c r="N961" s="85" t="n"/>
      <c r="O961" s="85" t="n"/>
      <c r="P961" s="85" t="n"/>
      <c r="Q961" s="85" t="n"/>
      <c r="R961" s="85" t="n"/>
      <c r="S961" s="85">
        <f>IF($G961="","",TODAY()-$G961)</f>
        <v/>
      </c>
      <c r="T961" s="85">
        <f>IF($A961="","",IF(AND($E961="Yes",OR($O961="No",$O961="NOT FOUND")),"YES",""))</f>
        <v/>
      </c>
      <c r="U961" s="85">
        <f>IF($A961="","",TRIM(IF(AND($M961=0,$I961&lt;&gt;"Yes"),"T0-NoPhishResistant ","")&amp;IF($H961="No","NoMFA ","")&amp;IF(AND($E961="Yes",$G961=""),"NeverSignedIn ","")))</f>
        <v/>
      </c>
    </row>
    <row r="962" ht="15" customHeight="1" s="39">
      <c r="A962" s="85" t="n"/>
      <c r="B962" s="85" t="n"/>
      <c r="C962" s="85" t="n"/>
      <c r="D962" s="85" t="n"/>
      <c r="E962" s="85" t="n"/>
      <c r="F962" s="86" t="n"/>
      <c r="G962" s="86" t="n"/>
      <c r="H962" s="85" t="n"/>
      <c r="I962" s="85" t="n"/>
      <c r="J962" s="85" t="n"/>
      <c r="K962" s="85" t="n"/>
      <c r="L962" s="85" t="n"/>
      <c r="M962" s="85" t="n"/>
      <c r="N962" s="85" t="n"/>
      <c r="O962" s="85" t="n"/>
      <c r="P962" s="85" t="n"/>
      <c r="Q962" s="85" t="n"/>
      <c r="R962" s="85" t="n"/>
      <c r="S962" s="85">
        <f>IF($G962="","",TODAY()-$G962)</f>
        <v/>
      </c>
      <c r="T962" s="85">
        <f>IF($A962="","",IF(AND($E962="Yes",OR($O962="No",$O962="NOT FOUND")),"YES",""))</f>
        <v/>
      </c>
      <c r="U962" s="85">
        <f>IF($A962="","",TRIM(IF(AND($M962=0,$I962&lt;&gt;"Yes"),"T0-NoPhishResistant ","")&amp;IF($H962="No","NoMFA ","")&amp;IF(AND($E962="Yes",$G962=""),"NeverSignedIn ","")))</f>
        <v/>
      </c>
    </row>
    <row r="963" ht="15" customHeight="1" s="39">
      <c r="A963" s="85" t="n"/>
      <c r="B963" s="85" t="n"/>
      <c r="C963" s="85" t="n"/>
      <c r="D963" s="85" t="n"/>
      <c r="E963" s="85" t="n"/>
      <c r="F963" s="86" t="n"/>
      <c r="G963" s="86" t="n"/>
      <c r="H963" s="85" t="n"/>
      <c r="I963" s="85" t="n"/>
      <c r="J963" s="85" t="n"/>
      <c r="K963" s="85" t="n"/>
      <c r="L963" s="85" t="n"/>
      <c r="M963" s="85" t="n"/>
      <c r="N963" s="85" t="n"/>
      <c r="O963" s="85" t="n"/>
      <c r="P963" s="85" t="n"/>
      <c r="Q963" s="85" t="n"/>
      <c r="R963" s="85" t="n"/>
      <c r="S963" s="85">
        <f>IF($G963="","",TODAY()-$G963)</f>
        <v/>
      </c>
      <c r="T963" s="85">
        <f>IF($A963="","",IF(AND($E963="Yes",OR($O963="No",$O963="NOT FOUND")),"YES",""))</f>
        <v/>
      </c>
      <c r="U963" s="85">
        <f>IF($A963="","",TRIM(IF(AND($M963=0,$I963&lt;&gt;"Yes"),"T0-NoPhishResistant ","")&amp;IF($H963="No","NoMFA ","")&amp;IF(AND($E963="Yes",$G963=""),"NeverSignedIn ","")))</f>
        <v/>
      </c>
    </row>
    <row r="964" ht="15" customHeight="1" s="39">
      <c r="A964" s="85" t="n"/>
      <c r="B964" s="85" t="n"/>
      <c r="C964" s="85" t="n"/>
      <c r="D964" s="85" t="n"/>
      <c r="E964" s="85" t="n"/>
      <c r="F964" s="86" t="n"/>
      <c r="G964" s="86" t="n"/>
      <c r="H964" s="85" t="n"/>
      <c r="I964" s="85" t="n"/>
      <c r="J964" s="85" t="n"/>
      <c r="K964" s="85" t="n"/>
      <c r="L964" s="85" t="n"/>
      <c r="M964" s="85" t="n"/>
      <c r="N964" s="85" t="n"/>
      <c r="O964" s="85" t="n"/>
      <c r="P964" s="85" t="n"/>
      <c r="Q964" s="85" t="n"/>
      <c r="R964" s="85" t="n"/>
      <c r="S964" s="85">
        <f>IF($G964="","",TODAY()-$G964)</f>
        <v/>
      </c>
      <c r="T964" s="85">
        <f>IF($A964="","",IF(AND($E964="Yes",OR($O964="No",$O964="NOT FOUND")),"YES",""))</f>
        <v/>
      </c>
      <c r="U964" s="85">
        <f>IF($A964="","",TRIM(IF(AND($M964=0,$I964&lt;&gt;"Yes"),"T0-NoPhishResistant ","")&amp;IF($H964="No","NoMFA ","")&amp;IF(AND($E964="Yes",$G964=""),"NeverSignedIn ","")))</f>
        <v/>
      </c>
    </row>
    <row r="965" ht="15" customHeight="1" s="39">
      <c r="A965" s="85" t="n"/>
      <c r="B965" s="85" t="n"/>
      <c r="C965" s="85" t="n"/>
      <c r="D965" s="85" t="n"/>
      <c r="E965" s="85" t="n"/>
      <c r="F965" s="86" t="n"/>
      <c r="G965" s="86" t="n"/>
      <c r="H965" s="85" t="n"/>
      <c r="I965" s="85" t="n"/>
      <c r="J965" s="85" t="n"/>
      <c r="K965" s="85" t="n"/>
      <c r="L965" s="85" t="n"/>
      <c r="M965" s="85" t="n"/>
      <c r="N965" s="85" t="n"/>
      <c r="O965" s="85" t="n"/>
      <c r="P965" s="85" t="n"/>
      <c r="Q965" s="85" t="n"/>
      <c r="R965" s="85" t="n"/>
      <c r="S965" s="85">
        <f>IF($G965="","",TODAY()-$G965)</f>
        <v/>
      </c>
      <c r="T965" s="85">
        <f>IF($A965="","",IF(AND($E965="Yes",OR($O965="No",$O965="NOT FOUND")),"YES",""))</f>
        <v/>
      </c>
      <c r="U965" s="85">
        <f>IF($A965="","",TRIM(IF(AND($M965=0,$I965&lt;&gt;"Yes"),"T0-NoPhishResistant ","")&amp;IF($H965="No","NoMFA ","")&amp;IF(AND($E965="Yes",$G965=""),"NeverSignedIn ","")))</f>
        <v/>
      </c>
    </row>
    <row r="966" ht="15" customHeight="1" s="39">
      <c r="A966" s="85" t="n"/>
      <c r="B966" s="85" t="n"/>
      <c r="C966" s="85" t="n"/>
      <c r="D966" s="85" t="n"/>
      <c r="E966" s="85" t="n"/>
      <c r="F966" s="86" t="n"/>
      <c r="G966" s="86" t="n"/>
      <c r="H966" s="85" t="n"/>
      <c r="I966" s="85" t="n"/>
      <c r="J966" s="85" t="n"/>
      <c r="K966" s="85" t="n"/>
      <c r="L966" s="85" t="n"/>
      <c r="M966" s="85" t="n"/>
      <c r="N966" s="85" t="n"/>
      <c r="O966" s="85" t="n"/>
      <c r="P966" s="85" t="n"/>
      <c r="Q966" s="85" t="n"/>
      <c r="R966" s="85" t="n"/>
      <c r="S966" s="85">
        <f>IF($G966="","",TODAY()-$G966)</f>
        <v/>
      </c>
      <c r="T966" s="85">
        <f>IF($A966="","",IF(AND($E966="Yes",OR($O966="No",$O966="NOT FOUND")),"YES",""))</f>
        <v/>
      </c>
      <c r="U966" s="85">
        <f>IF($A966="","",TRIM(IF(AND($M966=0,$I966&lt;&gt;"Yes"),"T0-NoPhishResistant ","")&amp;IF($H966="No","NoMFA ","")&amp;IF(AND($E966="Yes",$G966=""),"NeverSignedIn ","")))</f>
        <v/>
      </c>
    </row>
    <row r="967" ht="15" customHeight="1" s="39">
      <c r="A967" s="85" t="n"/>
      <c r="B967" s="85" t="n"/>
      <c r="C967" s="85" t="n"/>
      <c r="D967" s="85" t="n"/>
      <c r="E967" s="85" t="n"/>
      <c r="F967" s="86" t="n"/>
      <c r="G967" s="86" t="n"/>
      <c r="H967" s="85" t="n"/>
      <c r="I967" s="85" t="n"/>
      <c r="J967" s="85" t="n"/>
      <c r="K967" s="85" t="n"/>
      <c r="L967" s="85" t="n"/>
      <c r="M967" s="85" t="n"/>
      <c r="N967" s="85" t="n"/>
      <c r="O967" s="85" t="n"/>
      <c r="P967" s="85" t="n"/>
      <c r="Q967" s="85" t="n"/>
      <c r="R967" s="85" t="n"/>
      <c r="S967" s="85">
        <f>IF($G967="","",TODAY()-$G967)</f>
        <v/>
      </c>
      <c r="T967" s="85">
        <f>IF($A967="","",IF(AND($E967="Yes",OR($O967="No",$O967="NOT FOUND")),"YES",""))</f>
        <v/>
      </c>
      <c r="U967" s="85">
        <f>IF($A967="","",TRIM(IF(AND($M967=0,$I967&lt;&gt;"Yes"),"T0-NoPhishResistant ","")&amp;IF($H967="No","NoMFA ","")&amp;IF(AND($E967="Yes",$G967=""),"NeverSignedIn ","")))</f>
        <v/>
      </c>
    </row>
    <row r="968" ht="15" customHeight="1" s="39">
      <c r="A968" s="85" t="n"/>
      <c r="B968" s="85" t="n"/>
      <c r="C968" s="85" t="n"/>
      <c r="D968" s="85" t="n"/>
      <c r="E968" s="85" t="n"/>
      <c r="F968" s="86" t="n"/>
      <c r="G968" s="86" t="n"/>
      <c r="H968" s="85" t="n"/>
      <c r="I968" s="85" t="n"/>
      <c r="J968" s="85" t="n"/>
      <c r="K968" s="85" t="n"/>
      <c r="L968" s="85" t="n"/>
      <c r="M968" s="85" t="n"/>
      <c r="N968" s="85" t="n"/>
      <c r="O968" s="85" t="n"/>
      <c r="P968" s="85" t="n"/>
      <c r="Q968" s="85" t="n"/>
      <c r="R968" s="85" t="n"/>
      <c r="S968" s="85">
        <f>IF($G968="","",TODAY()-$G968)</f>
        <v/>
      </c>
      <c r="T968" s="85">
        <f>IF($A968="","",IF(AND($E968="Yes",OR($O968="No",$O968="NOT FOUND")),"YES",""))</f>
        <v/>
      </c>
      <c r="U968" s="85">
        <f>IF($A968="","",TRIM(IF(AND($M968=0,$I968&lt;&gt;"Yes"),"T0-NoPhishResistant ","")&amp;IF($H968="No","NoMFA ","")&amp;IF(AND($E968="Yes",$G968=""),"NeverSignedIn ","")))</f>
        <v/>
      </c>
    </row>
    <row r="969" ht="15" customHeight="1" s="39">
      <c r="A969" s="85" t="n"/>
      <c r="B969" s="85" t="n"/>
      <c r="C969" s="85" t="n"/>
      <c r="D969" s="85" t="n"/>
      <c r="E969" s="85" t="n"/>
      <c r="F969" s="86" t="n"/>
      <c r="G969" s="86" t="n"/>
      <c r="H969" s="85" t="n"/>
      <c r="I969" s="85" t="n"/>
      <c r="J969" s="85" t="n"/>
      <c r="K969" s="85" t="n"/>
      <c r="L969" s="85" t="n"/>
      <c r="M969" s="85" t="n"/>
      <c r="N969" s="85" t="n"/>
      <c r="O969" s="85" t="n"/>
      <c r="P969" s="85" t="n"/>
      <c r="Q969" s="85" t="n"/>
      <c r="R969" s="85" t="n"/>
      <c r="S969" s="85">
        <f>IF($G969="","",TODAY()-$G969)</f>
        <v/>
      </c>
      <c r="T969" s="85">
        <f>IF($A969="","",IF(AND($E969="Yes",OR($O969="No",$O969="NOT FOUND")),"YES",""))</f>
        <v/>
      </c>
      <c r="U969" s="85">
        <f>IF($A969="","",TRIM(IF(AND($M969=0,$I969&lt;&gt;"Yes"),"T0-NoPhishResistant ","")&amp;IF($H969="No","NoMFA ","")&amp;IF(AND($E969="Yes",$G969=""),"NeverSignedIn ","")))</f>
        <v/>
      </c>
    </row>
    <row r="970" ht="15" customHeight="1" s="39">
      <c r="A970" s="85" t="n"/>
      <c r="B970" s="85" t="n"/>
      <c r="C970" s="85" t="n"/>
      <c r="D970" s="85" t="n"/>
      <c r="E970" s="85" t="n"/>
      <c r="F970" s="86" t="n"/>
      <c r="G970" s="86" t="n"/>
      <c r="H970" s="85" t="n"/>
      <c r="I970" s="85" t="n"/>
      <c r="J970" s="85" t="n"/>
      <c r="K970" s="85" t="n"/>
      <c r="L970" s="85" t="n"/>
      <c r="M970" s="85" t="n"/>
      <c r="N970" s="85" t="n"/>
      <c r="O970" s="85" t="n"/>
      <c r="P970" s="85" t="n"/>
      <c r="Q970" s="85" t="n"/>
      <c r="R970" s="85" t="n"/>
      <c r="S970" s="85">
        <f>IF($G970="","",TODAY()-$G970)</f>
        <v/>
      </c>
      <c r="T970" s="85">
        <f>IF($A970="","",IF(AND($E970="Yes",OR($O970="No",$O970="NOT FOUND")),"YES",""))</f>
        <v/>
      </c>
      <c r="U970" s="85">
        <f>IF($A970="","",TRIM(IF(AND($M970=0,$I970&lt;&gt;"Yes"),"T0-NoPhishResistant ","")&amp;IF($H970="No","NoMFA ","")&amp;IF(AND($E970="Yes",$G970=""),"NeverSignedIn ","")))</f>
        <v/>
      </c>
    </row>
    <row r="971" ht="15" customHeight="1" s="39">
      <c r="A971" s="85" t="n"/>
      <c r="B971" s="85" t="n"/>
      <c r="C971" s="85" t="n"/>
      <c r="D971" s="85" t="n"/>
      <c r="E971" s="85" t="n"/>
      <c r="F971" s="86" t="n"/>
      <c r="G971" s="86" t="n"/>
      <c r="H971" s="85" t="n"/>
      <c r="I971" s="85" t="n"/>
      <c r="J971" s="85" t="n"/>
      <c r="K971" s="85" t="n"/>
      <c r="L971" s="85" t="n"/>
      <c r="M971" s="85" t="n"/>
      <c r="N971" s="85" t="n"/>
      <c r="O971" s="85" t="n"/>
      <c r="P971" s="85" t="n"/>
      <c r="Q971" s="85" t="n"/>
      <c r="R971" s="85" t="n"/>
      <c r="S971" s="85">
        <f>IF($G971="","",TODAY()-$G971)</f>
        <v/>
      </c>
      <c r="T971" s="85">
        <f>IF($A971="","",IF(AND($E971="Yes",OR($O971="No",$O971="NOT FOUND")),"YES",""))</f>
        <v/>
      </c>
      <c r="U971" s="85">
        <f>IF($A971="","",TRIM(IF(AND($M971=0,$I971&lt;&gt;"Yes"),"T0-NoPhishResistant ","")&amp;IF($H971="No","NoMFA ","")&amp;IF(AND($E971="Yes",$G971=""),"NeverSignedIn ","")))</f>
        <v/>
      </c>
    </row>
    <row r="972" ht="15" customHeight="1" s="39">
      <c r="A972" s="85" t="n"/>
      <c r="B972" s="85" t="n"/>
      <c r="C972" s="85" t="n"/>
      <c r="D972" s="85" t="n"/>
      <c r="E972" s="85" t="n"/>
      <c r="F972" s="86" t="n"/>
      <c r="G972" s="86" t="n"/>
      <c r="H972" s="85" t="n"/>
      <c r="I972" s="85" t="n"/>
      <c r="J972" s="85" t="n"/>
      <c r="K972" s="85" t="n"/>
      <c r="L972" s="85" t="n"/>
      <c r="M972" s="85" t="n"/>
      <c r="N972" s="85" t="n"/>
      <c r="O972" s="85" t="n"/>
      <c r="P972" s="85" t="n"/>
      <c r="Q972" s="85" t="n"/>
      <c r="R972" s="85" t="n"/>
      <c r="S972" s="85">
        <f>IF($G972="","",TODAY()-$G972)</f>
        <v/>
      </c>
      <c r="T972" s="85">
        <f>IF($A972="","",IF(AND($E972="Yes",OR($O972="No",$O972="NOT FOUND")),"YES",""))</f>
        <v/>
      </c>
      <c r="U972" s="85">
        <f>IF($A972="","",TRIM(IF(AND($M972=0,$I972&lt;&gt;"Yes"),"T0-NoPhishResistant ","")&amp;IF($H972="No","NoMFA ","")&amp;IF(AND($E972="Yes",$G972=""),"NeverSignedIn ","")))</f>
        <v/>
      </c>
    </row>
    <row r="973" ht="15" customHeight="1" s="39">
      <c r="A973" s="85" t="n"/>
      <c r="B973" s="85" t="n"/>
      <c r="C973" s="85" t="n"/>
      <c r="D973" s="85" t="n"/>
      <c r="E973" s="85" t="n"/>
      <c r="F973" s="86" t="n"/>
      <c r="G973" s="86" t="n"/>
      <c r="H973" s="85" t="n"/>
      <c r="I973" s="85" t="n"/>
      <c r="J973" s="85" t="n"/>
      <c r="K973" s="85" t="n"/>
      <c r="L973" s="85" t="n"/>
      <c r="M973" s="85" t="n"/>
      <c r="N973" s="85" t="n"/>
      <c r="O973" s="85" t="n"/>
      <c r="P973" s="85" t="n"/>
      <c r="Q973" s="85" t="n"/>
      <c r="R973" s="85" t="n"/>
      <c r="S973" s="85">
        <f>IF($G973="","",TODAY()-$G973)</f>
        <v/>
      </c>
      <c r="T973" s="85">
        <f>IF($A973="","",IF(AND($E973="Yes",OR($O973="No",$O973="NOT FOUND")),"YES",""))</f>
        <v/>
      </c>
      <c r="U973" s="85">
        <f>IF($A973="","",TRIM(IF(AND($M973=0,$I973&lt;&gt;"Yes"),"T0-NoPhishResistant ","")&amp;IF($H973="No","NoMFA ","")&amp;IF(AND($E973="Yes",$G973=""),"NeverSignedIn ","")))</f>
        <v/>
      </c>
    </row>
    <row r="974" ht="15" customHeight="1" s="39">
      <c r="A974" s="85" t="n"/>
      <c r="B974" s="85" t="n"/>
      <c r="C974" s="85" t="n"/>
      <c r="D974" s="85" t="n"/>
      <c r="E974" s="85" t="n"/>
      <c r="F974" s="86" t="n"/>
      <c r="G974" s="86" t="n"/>
      <c r="H974" s="85" t="n"/>
      <c r="I974" s="85" t="n"/>
      <c r="J974" s="85" t="n"/>
      <c r="K974" s="85" t="n"/>
      <c r="L974" s="85" t="n"/>
      <c r="M974" s="85" t="n"/>
      <c r="N974" s="85" t="n"/>
      <c r="O974" s="85" t="n"/>
      <c r="P974" s="85" t="n"/>
      <c r="Q974" s="85" t="n"/>
      <c r="R974" s="85" t="n"/>
      <c r="S974" s="85">
        <f>IF($G974="","",TODAY()-$G974)</f>
        <v/>
      </c>
      <c r="T974" s="85">
        <f>IF($A974="","",IF(AND($E974="Yes",OR($O974="No",$O974="NOT FOUND")),"YES",""))</f>
        <v/>
      </c>
      <c r="U974" s="85">
        <f>IF($A974="","",TRIM(IF(AND($M974=0,$I974&lt;&gt;"Yes"),"T0-NoPhishResistant ","")&amp;IF($H974="No","NoMFA ","")&amp;IF(AND($E974="Yes",$G974=""),"NeverSignedIn ","")))</f>
        <v/>
      </c>
    </row>
    <row r="975" ht="15" customHeight="1" s="39">
      <c r="A975" s="85" t="n"/>
      <c r="B975" s="85" t="n"/>
      <c r="C975" s="85" t="n"/>
      <c r="D975" s="85" t="n"/>
      <c r="E975" s="85" t="n"/>
      <c r="F975" s="86" t="n"/>
      <c r="G975" s="86" t="n"/>
      <c r="H975" s="85" t="n"/>
      <c r="I975" s="85" t="n"/>
      <c r="J975" s="85" t="n"/>
      <c r="K975" s="85" t="n"/>
      <c r="L975" s="85" t="n"/>
      <c r="M975" s="85" t="n"/>
      <c r="N975" s="85" t="n"/>
      <c r="O975" s="85" t="n"/>
      <c r="P975" s="85" t="n"/>
      <c r="Q975" s="85" t="n"/>
      <c r="R975" s="85" t="n"/>
      <c r="S975" s="85">
        <f>IF($G975="","",TODAY()-$G975)</f>
        <v/>
      </c>
      <c r="T975" s="85">
        <f>IF($A975="","",IF(AND($E975="Yes",OR($O975="No",$O975="NOT FOUND")),"YES",""))</f>
        <v/>
      </c>
      <c r="U975" s="85">
        <f>IF($A975="","",TRIM(IF(AND($M975=0,$I975&lt;&gt;"Yes"),"T0-NoPhishResistant ","")&amp;IF($H975="No","NoMFA ","")&amp;IF(AND($E975="Yes",$G975=""),"NeverSignedIn ","")))</f>
        <v/>
      </c>
    </row>
    <row r="976" ht="15" customHeight="1" s="39">
      <c r="A976" s="85" t="n"/>
      <c r="B976" s="85" t="n"/>
      <c r="C976" s="85" t="n"/>
      <c r="D976" s="85" t="n"/>
      <c r="E976" s="85" t="n"/>
      <c r="F976" s="86" t="n"/>
      <c r="G976" s="86" t="n"/>
      <c r="H976" s="85" t="n"/>
      <c r="I976" s="85" t="n"/>
      <c r="J976" s="85" t="n"/>
      <c r="K976" s="85" t="n"/>
      <c r="L976" s="85" t="n"/>
      <c r="M976" s="85" t="n"/>
      <c r="N976" s="85" t="n"/>
      <c r="O976" s="85" t="n"/>
      <c r="P976" s="85" t="n"/>
      <c r="Q976" s="85" t="n"/>
      <c r="R976" s="85" t="n"/>
      <c r="S976" s="85">
        <f>IF($G976="","",TODAY()-$G976)</f>
        <v/>
      </c>
      <c r="T976" s="85">
        <f>IF($A976="","",IF(AND($E976="Yes",OR($O976="No",$O976="NOT FOUND")),"YES",""))</f>
        <v/>
      </c>
      <c r="U976" s="85">
        <f>IF($A976="","",TRIM(IF(AND($M976=0,$I976&lt;&gt;"Yes"),"T0-NoPhishResistant ","")&amp;IF($H976="No","NoMFA ","")&amp;IF(AND($E976="Yes",$G976=""),"NeverSignedIn ","")))</f>
        <v/>
      </c>
    </row>
    <row r="977" ht="15" customHeight="1" s="39">
      <c r="A977" s="85" t="n"/>
      <c r="B977" s="85" t="n"/>
      <c r="C977" s="85" t="n"/>
      <c r="D977" s="85" t="n"/>
      <c r="E977" s="85" t="n"/>
      <c r="F977" s="86" t="n"/>
      <c r="G977" s="86" t="n"/>
      <c r="H977" s="85" t="n"/>
      <c r="I977" s="85" t="n"/>
      <c r="J977" s="85" t="n"/>
      <c r="K977" s="85" t="n"/>
      <c r="L977" s="85" t="n"/>
      <c r="M977" s="85" t="n"/>
      <c r="N977" s="85" t="n"/>
      <c r="O977" s="85" t="n"/>
      <c r="P977" s="85" t="n"/>
      <c r="Q977" s="85" t="n"/>
      <c r="R977" s="85" t="n"/>
      <c r="S977" s="85">
        <f>IF($G977="","",TODAY()-$G977)</f>
        <v/>
      </c>
      <c r="T977" s="85">
        <f>IF($A977="","",IF(AND($E977="Yes",OR($O977="No",$O977="NOT FOUND")),"YES",""))</f>
        <v/>
      </c>
      <c r="U977" s="85">
        <f>IF($A977="","",TRIM(IF(AND($M977=0,$I977&lt;&gt;"Yes"),"T0-NoPhishResistant ","")&amp;IF($H977="No","NoMFA ","")&amp;IF(AND($E977="Yes",$G977=""),"NeverSignedIn ","")))</f>
        <v/>
      </c>
    </row>
    <row r="978" ht="15" customHeight="1" s="39">
      <c r="A978" s="85" t="n"/>
      <c r="B978" s="85" t="n"/>
      <c r="C978" s="85" t="n"/>
      <c r="D978" s="85" t="n"/>
      <c r="E978" s="85" t="n"/>
      <c r="F978" s="86" t="n"/>
      <c r="G978" s="86" t="n"/>
      <c r="H978" s="85" t="n"/>
      <c r="I978" s="85" t="n"/>
      <c r="J978" s="85" t="n"/>
      <c r="K978" s="85" t="n"/>
      <c r="L978" s="85" t="n"/>
      <c r="M978" s="85" t="n"/>
      <c r="N978" s="85" t="n"/>
      <c r="O978" s="85" t="n"/>
      <c r="P978" s="85" t="n"/>
      <c r="Q978" s="85" t="n"/>
      <c r="R978" s="85" t="n"/>
      <c r="S978" s="85">
        <f>IF($G978="","",TODAY()-$G978)</f>
        <v/>
      </c>
      <c r="T978" s="85">
        <f>IF($A978="","",IF(AND($E978="Yes",OR($O978="No",$O978="NOT FOUND")),"YES",""))</f>
        <v/>
      </c>
      <c r="U978" s="85">
        <f>IF($A978="","",TRIM(IF(AND($M978=0,$I978&lt;&gt;"Yes"),"T0-NoPhishResistant ","")&amp;IF($H978="No","NoMFA ","")&amp;IF(AND($E978="Yes",$G978=""),"NeverSignedIn ","")))</f>
        <v/>
      </c>
    </row>
    <row r="979" ht="15" customHeight="1" s="39">
      <c r="A979" s="85" t="n"/>
      <c r="B979" s="85" t="n"/>
      <c r="C979" s="85" t="n"/>
      <c r="D979" s="85" t="n"/>
      <c r="E979" s="85" t="n"/>
      <c r="F979" s="86" t="n"/>
      <c r="G979" s="86" t="n"/>
      <c r="H979" s="85" t="n"/>
      <c r="I979" s="85" t="n"/>
      <c r="J979" s="85" t="n"/>
      <c r="K979" s="85" t="n"/>
      <c r="L979" s="85" t="n"/>
      <c r="M979" s="85" t="n"/>
      <c r="N979" s="85" t="n"/>
      <c r="O979" s="85" t="n"/>
      <c r="P979" s="85" t="n"/>
      <c r="Q979" s="85" t="n"/>
      <c r="R979" s="85" t="n"/>
      <c r="S979" s="85">
        <f>IF($G979="","",TODAY()-$G979)</f>
        <v/>
      </c>
      <c r="T979" s="85">
        <f>IF($A979="","",IF(AND($E979="Yes",OR($O979="No",$O979="NOT FOUND")),"YES",""))</f>
        <v/>
      </c>
      <c r="U979" s="85">
        <f>IF($A979="","",TRIM(IF(AND($M979=0,$I979&lt;&gt;"Yes"),"T0-NoPhishResistant ","")&amp;IF($H979="No","NoMFA ","")&amp;IF(AND($E979="Yes",$G979=""),"NeverSignedIn ","")))</f>
        <v/>
      </c>
    </row>
    <row r="980" ht="15" customHeight="1" s="39">
      <c r="A980" s="85" t="n"/>
      <c r="B980" s="85" t="n"/>
      <c r="C980" s="85" t="n"/>
      <c r="D980" s="85" t="n"/>
      <c r="E980" s="85" t="n"/>
      <c r="F980" s="86" t="n"/>
      <c r="G980" s="86" t="n"/>
      <c r="H980" s="85" t="n"/>
      <c r="I980" s="85" t="n"/>
      <c r="J980" s="85" t="n"/>
      <c r="K980" s="85" t="n"/>
      <c r="L980" s="85" t="n"/>
      <c r="M980" s="85" t="n"/>
      <c r="N980" s="85" t="n"/>
      <c r="O980" s="85" t="n"/>
      <c r="P980" s="85" t="n"/>
      <c r="Q980" s="85" t="n"/>
      <c r="R980" s="85" t="n"/>
      <c r="S980" s="85">
        <f>IF($G980="","",TODAY()-$G980)</f>
        <v/>
      </c>
      <c r="T980" s="85">
        <f>IF($A980="","",IF(AND($E980="Yes",OR($O980="No",$O980="NOT FOUND")),"YES",""))</f>
        <v/>
      </c>
      <c r="U980" s="85">
        <f>IF($A980="","",TRIM(IF(AND($M980=0,$I980&lt;&gt;"Yes"),"T0-NoPhishResistant ","")&amp;IF($H980="No","NoMFA ","")&amp;IF(AND($E980="Yes",$G980=""),"NeverSignedIn ","")))</f>
        <v/>
      </c>
    </row>
    <row r="981" ht="15" customHeight="1" s="39">
      <c r="A981" s="85" t="n"/>
      <c r="B981" s="85" t="n"/>
      <c r="C981" s="85" t="n"/>
      <c r="D981" s="85" t="n"/>
      <c r="E981" s="85" t="n"/>
      <c r="F981" s="86" t="n"/>
      <c r="G981" s="86" t="n"/>
      <c r="H981" s="85" t="n"/>
      <c r="I981" s="85" t="n"/>
      <c r="J981" s="85" t="n"/>
      <c r="K981" s="85" t="n"/>
      <c r="L981" s="85" t="n"/>
      <c r="M981" s="85" t="n"/>
      <c r="N981" s="85" t="n"/>
      <c r="O981" s="85" t="n"/>
      <c r="P981" s="85" t="n"/>
      <c r="Q981" s="85" t="n"/>
      <c r="R981" s="85" t="n"/>
      <c r="S981" s="85">
        <f>IF($G981="","",TODAY()-$G981)</f>
        <v/>
      </c>
      <c r="T981" s="85">
        <f>IF($A981="","",IF(AND($E981="Yes",OR($O981="No",$O981="NOT FOUND")),"YES",""))</f>
        <v/>
      </c>
      <c r="U981" s="85">
        <f>IF($A981="","",TRIM(IF(AND($M981=0,$I981&lt;&gt;"Yes"),"T0-NoPhishResistant ","")&amp;IF($H981="No","NoMFA ","")&amp;IF(AND($E981="Yes",$G981=""),"NeverSignedIn ","")))</f>
        <v/>
      </c>
    </row>
    <row r="982" ht="15" customHeight="1" s="39">
      <c r="A982" s="85" t="n"/>
      <c r="B982" s="85" t="n"/>
      <c r="C982" s="85" t="n"/>
      <c r="D982" s="85" t="n"/>
      <c r="E982" s="85" t="n"/>
      <c r="F982" s="86" t="n"/>
      <c r="G982" s="86" t="n"/>
      <c r="H982" s="85" t="n"/>
      <c r="I982" s="85" t="n"/>
      <c r="J982" s="85" t="n"/>
      <c r="K982" s="85" t="n"/>
      <c r="L982" s="85" t="n"/>
      <c r="M982" s="85" t="n"/>
      <c r="N982" s="85" t="n"/>
      <c r="O982" s="85" t="n"/>
      <c r="P982" s="85" t="n"/>
      <c r="Q982" s="85" t="n"/>
      <c r="R982" s="85" t="n"/>
      <c r="S982" s="85">
        <f>IF($G982="","",TODAY()-$G982)</f>
        <v/>
      </c>
      <c r="T982" s="85">
        <f>IF($A982="","",IF(AND($E982="Yes",OR($O982="No",$O982="NOT FOUND")),"YES",""))</f>
        <v/>
      </c>
      <c r="U982" s="85">
        <f>IF($A982="","",TRIM(IF(AND($M982=0,$I982&lt;&gt;"Yes"),"T0-NoPhishResistant ","")&amp;IF($H982="No","NoMFA ","")&amp;IF(AND($E982="Yes",$G982=""),"NeverSignedIn ","")))</f>
        <v/>
      </c>
    </row>
    <row r="983" ht="15" customHeight="1" s="39">
      <c r="A983" s="85" t="n"/>
      <c r="B983" s="85" t="n"/>
      <c r="C983" s="85" t="n"/>
      <c r="D983" s="85" t="n"/>
      <c r="E983" s="85" t="n"/>
      <c r="F983" s="86" t="n"/>
      <c r="G983" s="86" t="n"/>
      <c r="H983" s="85" t="n"/>
      <c r="I983" s="85" t="n"/>
      <c r="J983" s="85" t="n"/>
      <c r="K983" s="85" t="n"/>
      <c r="L983" s="85" t="n"/>
      <c r="M983" s="85" t="n"/>
      <c r="N983" s="85" t="n"/>
      <c r="O983" s="85" t="n"/>
      <c r="P983" s="85" t="n"/>
      <c r="Q983" s="85" t="n"/>
      <c r="R983" s="85" t="n"/>
      <c r="S983" s="85">
        <f>IF($G983="","",TODAY()-$G983)</f>
        <v/>
      </c>
      <c r="T983" s="85">
        <f>IF($A983="","",IF(AND($E983="Yes",OR($O983="No",$O983="NOT FOUND")),"YES",""))</f>
        <v/>
      </c>
      <c r="U983" s="85">
        <f>IF($A983="","",TRIM(IF(AND($M983=0,$I983&lt;&gt;"Yes"),"T0-NoPhishResistant ","")&amp;IF($H983="No","NoMFA ","")&amp;IF(AND($E983="Yes",$G983=""),"NeverSignedIn ","")))</f>
        <v/>
      </c>
    </row>
    <row r="984" ht="15" customHeight="1" s="39">
      <c r="A984" s="85" t="n"/>
      <c r="B984" s="85" t="n"/>
      <c r="C984" s="85" t="n"/>
      <c r="D984" s="85" t="n"/>
      <c r="E984" s="85" t="n"/>
      <c r="F984" s="86" t="n"/>
      <c r="G984" s="86" t="n"/>
      <c r="H984" s="85" t="n"/>
      <c r="I984" s="85" t="n"/>
      <c r="J984" s="85" t="n"/>
      <c r="K984" s="85" t="n"/>
      <c r="L984" s="85" t="n"/>
      <c r="M984" s="85" t="n"/>
      <c r="N984" s="85" t="n"/>
      <c r="O984" s="85" t="n"/>
      <c r="P984" s="85" t="n"/>
      <c r="Q984" s="85" t="n"/>
      <c r="R984" s="85" t="n"/>
      <c r="S984" s="85">
        <f>IF($G984="","",TODAY()-$G984)</f>
        <v/>
      </c>
      <c r="T984" s="85">
        <f>IF($A984="","",IF(AND($E984="Yes",OR($O984="No",$O984="NOT FOUND")),"YES",""))</f>
        <v/>
      </c>
      <c r="U984" s="85">
        <f>IF($A984="","",TRIM(IF(AND($M984=0,$I984&lt;&gt;"Yes"),"T0-NoPhishResistant ","")&amp;IF($H984="No","NoMFA ","")&amp;IF(AND($E984="Yes",$G984=""),"NeverSignedIn ","")))</f>
        <v/>
      </c>
    </row>
    <row r="985" ht="15" customHeight="1" s="39">
      <c r="A985" s="85" t="n"/>
      <c r="B985" s="85" t="n"/>
      <c r="C985" s="85" t="n"/>
      <c r="D985" s="85" t="n"/>
      <c r="E985" s="85" t="n"/>
      <c r="F985" s="86" t="n"/>
      <c r="G985" s="86" t="n"/>
      <c r="H985" s="85" t="n"/>
      <c r="I985" s="85" t="n"/>
      <c r="J985" s="85" t="n"/>
      <c r="K985" s="85" t="n"/>
      <c r="L985" s="85" t="n"/>
      <c r="M985" s="85" t="n"/>
      <c r="N985" s="85" t="n"/>
      <c r="O985" s="85" t="n"/>
      <c r="P985" s="85" t="n"/>
      <c r="Q985" s="85" t="n"/>
      <c r="R985" s="85" t="n"/>
      <c r="S985" s="85">
        <f>IF($G985="","",TODAY()-$G985)</f>
        <v/>
      </c>
      <c r="T985" s="85">
        <f>IF($A985="","",IF(AND($E985="Yes",OR($O985="No",$O985="NOT FOUND")),"YES",""))</f>
        <v/>
      </c>
      <c r="U985" s="85">
        <f>IF($A985="","",TRIM(IF(AND($M985=0,$I985&lt;&gt;"Yes"),"T0-NoPhishResistant ","")&amp;IF($H985="No","NoMFA ","")&amp;IF(AND($E985="Yes",$G985=""),"NeverSignedIn ","")))</f>
        <v/>
      </c>
    </row>
    <row r="986" ht="15" customHeight="1" s="39">
      <c r="A986" s="85" t="n"/>
      <c r="B986" s="85" t="n"/>
      <c r="C986" s="85" t="n"/>
      <c r="D986" s="85" t="n"/>
      <c r="E986" s="85" t="n"/>
      <c r="F986" s="86" t="n"/>
      <c r="G986" s="86" t="n"/>
      <c r="H986" s="85" t="n"/>
      <c r="I986" s="85" t="n"/>
      <c r="J986" s="85" t="n"/>
      <c r="K986" s="85" t="n"/>
      <c r="L986" s="85" t="n"/>
      <c r="M986" s="85" t="n"/>
      <c r="N986" s="85" t="n"/>
      <c r="O986" s="85" t="n"/>
      <c r="P986" s="85" t="n"/>
      <c r="Q986" s="85" t="n"/>
      <c r="R986" s="85" t="n"/>
      <c r="S986" s="85">
        <f>IF($G986="","",TODAY()-$G986)</f>
        <v/>
      </c>
      <c r="T986" s="85">
        <f>IF($A986="","",IF(AND($E986="Yes",OR($O986="No",$O986="NOT FOUND")),"YES",""))</f>
        <v/>
      </c>
      <c r="U986" s="85">
        <f>IF($A986="","",TRIM(IF(AND($M986=0,$I986&lt;&gt;"Yes"),"T0-NoPhishResistant ","")&amp;IF($H986="No","NoMFA ","")&amp;IF(AND($E986="Yes",$G986=""),"NeverSignedIn ","")))</f>
        <v/>
      </c>
    </row>
    <row r="987" ht="15" customHeight="1" s="39">
      <c r="A987" s="85" t="n"/>
      <c r="B987" s="85" t="n"/>
      <c r="C987" s="85" t="n"/>
      <c r="D987" s="85" t="n"/>
      <c r="E987" s="85" t="n"/>
      <c r="F987" s="86" t="n"/>
      <c r="G987" s="86" t="n"/>
      <c r="H987" s="85" t="n"/>
      <c r="I987" s="85" t="n"/>
      <c r="J987" s="85" t="n"/>
      <c r="K987" s="85" t="n"/>
      <c r="L987" s="85" t="n"/>
      <c r="M987" s="85" t="n"/>
      <c r="N987" s="85" t="n"/>
      <c r="O987" s="85" t="n"/>
      <c r="P987" s="85" t="n"/>
      <c r="Q987" s="85" t="n"/>
      <c r="R987" s="85" t="n"/>
      <c r="S987" s="85">
        <f>IF($G987="","",TODAY()-$G987)</f>
        <v/>
      </c>
      <c r="T987" s="85">
        <f>IF($A987="","",IF(AND($E987="Yes",OR($O987="No",$O987="NOT FOUND")),"YES",""))</f>
        <v/>
      </c>
      <c r="U987" s="85">
        <f>IF($A987="","",TRIM(IF(AND($M987=0,$I987&lt;&gt;"Yes"),"T0-NoPhishResistant ","")&amp;IF($H987="No","NoMFA ","")&amp;IF(AND($E987="Yes",$G987=""),"NeverSignedIn ","")))</f>
        <v/>
      </c>
    </row>
    <row r="988" ht="15" customHeight="1" s="39">
      <c r="A988" s="85" t="n"/>
      <c r="B988" s="85" t="n"/>
      <c r="C988" s="85" t="n"/>
      <c r="D988" s="85" t="n"/>
      <c r="E988" s="85" t="n"/>
      <c r="F988" s="86" t="n"/>
      <c r="G988" s="86" t="n"/>
      <c r="H988" s="85" t="n"/>
      <c r="I988" s="85" t="n"/>
      <c r="J988" s="85" t="n"/>
      <c r="K988" s="85" t="n"/>
      <c r="L988" s="85" t="n"/>
      <c r="M988" s="85" t="n"/>
      <c r="N988" s="85" t="n"/>
      <c r="O988" s="85" t="n"/>
      <c r="P988" s="85" t="n"/>
      <c r="Q988" s="85" t="n"/>
      <c r="R988" s="85" t="n"/>
      <c r="S988" s="85">
        <f>IF($G988="","",TODAY()-$G988)</f>
        <v/>
      </c>
      <c r="T988" s="85">
        <f>IF($A988="","",IF(AND($E988="Yes",OR($O988="No",$O988="NOT FOUND")),"YES",""))</f>
        <v/>
      </c>
      <c r="U988" s="85">
        <f>IF($A988="","",TRIM(IF(AND($M988=0,$I988&lt;&gt;"Yes"),"T0-NoPhishResistant ","")&amp;IF($H988="No","NoMFA ","")&amp;IF(AND($E988="Yes",$G988=""),"NeverSignedIn ","")))</f>
        <v/>
      </c>
    </row>
    <row r="989" ht="15" customHeight="1" s="39">
      <c r="A989" s="85" t="n"/>
      <c r="B989" s="85" t="n"/>
      <c r="C989" s="85" t="n"/>
      <c r="D989" s="85" t="n"/>
      <c r="E989" s="85" t="n"/>
      <c r="F989" s="86" t="n"/>
      <c r="G989" s="86" t="n"/>
      <c r="H989" s="85" t="n"/>
      <c r="I989" s="85" t="n"/>
      <c r="J989" s="85" t="n"/>
      <c r="K989" s="85" t="n"/>
      <c r="L989" s="85" t="n"/>
      <c r="M989" s="85" t="n"/>
      <c r="N989" s="85" t="n"/>
      <c r="O989" s="85" t="n"/>
      <c r="P989" s="85" t="n"/>
      <c r="Q989" s="85" t="n"/>
      <c r="R989" s="85" t="n"/>
      <c r="S989" s="85">
        <f>IF($G989="","",TODAY()-$G989)</f>
        <v/>
      </c>
      <c r="T989" s="85">
        <f>IF($A989="","",IF(AND($E989="Yes",OR($O989="No",$O989="NOT FOUND")),"YES",""))</f>
        <v/>
      </c>
      <c r="U989" s="85">
        <f>IF($A989="","",TRIM(IF(AND($M989=0,$I989&lt;&gt;"Yes"),"T0-NoPhishResistant ","")&amp;IF($H989="No","NoMFA ","")&amp;IF(AND($E989="Yes",$G989=""),"NeverSignedIn ","")))</f>
        <v/>
      </c>
    </row>
    <row r="990" ht="15" customHeight="1" s="39">
      <c r="A990" s="85" t="n"/>
      <c r="B990" s="85" t="n"/>
      <c r="C990" s="85" t="n"/>
      <c r="D990" s="85" t="n"/>
      <c r="E990" s="85" t="n"/>
      <c r="F990" s="86" t="n"/>
      <c r="G990" s="86" t="n"/>
      <c r="H990" s="85" t="n"/>
      <c r="I990" s="85" t="n"/>
      <c r="J990" s="85" t="n"/>
      <c r="K990" s="85" t="n"/>
      <c r="L990" s="85" t="n"/>
      <c r="M990" s="85" t="n"/>
      <c r="N990" s="85" t="n"/>
      <c r="O990" s="85" t="n"/>
      <c r="P990" s="85" t="n"/>
      <c r="Q990" s="85" t="n"/>
      <c r="R990" s="85" t="n"/>
      <c r="S990" s="85">
        <f>IF($G990="","",TODAY()-$G990)</f>
        <v/>
      </c>
      <c r="T990" s="85">
        <f>IF($A990="","",IF(AND($E990="Yes",OR($O990="No",$O990="NOT FOUND")),"YES",""))</f>
        <v/>
      </c>
      <c r="U990" s="85">
        <f>IF($A990="","",TRIM(IF(AND($M990=0,$I990&lt;&gt;"Yes"),"T0-NoPhishResistant ","")&amp;IF($H990="No","NoMFA ","")&amp;IF(AND($E990="Yes",$G990=""),"NeverSignedIn ","")))</f>
        <v/>
      </c>
    </row>
    <row r="991" ht="15" customHeight="1" s="39">
      <c r="A991" s="85" t="n"/>
      <c r="B991" s="85" t="n"/>
      <c r="C991" s="85" t="n"/>
      <c r="D991" s="85" t="n"/>
      <c r="E991" s="85" t="n"/>
      <c r="F991" s="86" t="n"/>
      <c r="G991" s="86" t="n"/>
      <c r="H991" s="85" t="n"/>
      <c r="I991" s="85" t="n"/>
      <c r="J991" s="85" t="n"/>
      <c r="K991" s="85" t="n"/>
      <c r="L991" s="85" t="n"/>
      <c r="M991" s="85" t="n"/>
      <c r="N991" s="85" t="n"/>
      <c r="O991" s="85" t="n"/>
      <c r="P991" s="85" t="n"/>
      <c r="Q991" s="85" t="n"/>
      <c r="R991" s="85" t="n"/>
      <c r="S991" s="85">
        <f>IF($G991="","",TODAY()-$G991)</f>
        <v/>
      </c>
      <c r="T991" s="85">
        <f>IF($A991="","",IF(AND($E991="Yes",OR($O991="No",$O991="NOT FOUND")),"YES",""))</f>
        <v/>
      </c>
      <c r="U991" s="85">
        <f>IF($A991="","",TRIM(IF(AND($M991=0,$I991&lt;&gt;"Yes"),"T0-NoPhishResistant ","")&amp;IF($H991="No","NoMFA ","")&amp;IF(AND($E991="Yes",$G991=""),"NeverSignedIn ","")))</f>
        <v/>
      </c>
    </row>
    <row r="992" ht="15" customHeight="1" s="39">
      <c r="A992" s="85" t="n"/>
      <c r="B992" s="85" t="n"/>
      <c r="C992" s="85" t="n"/>
      <c r="D992" s="85" t="n"/>
      <c r="E992" s="85" t="n"/>
      <c r="F992" s="86" t="n"/>
      <c r="G992" s="86" t="n"/>
      <c r="H992" s="85" t="n"/>
      <c r="I992" s="85" t="n"/>
      <c r="J992" s="85" t="n"/>
      <c r="K992" s="85" t="n"/>
      <c r="L992" s="85" t="n"/>
      <c r="M992" s="85" t="n"/>
      <c r="N992" s="85" t="n"/>
      <c r="O992" s="85" t="n"/>
      <c r="P992" s="85" t="n"/>
      <c r="Q992" s="85" t="n"/>
      <c r="R992" s="85" t="n"/>
      <c r="S992" s="85">
        <f>IF($G992="","",TODAY()-$G992)</f>
        <v/>
      </c>
      <c r="T992" s="85">
        <f>IF($A992="","",IF(AND($E992="Yes",OR($O992="No",$O992="NOT FOUND")),"YES",""))</f>
        <v/>
      </c>
      <c r="U992" s="85">
        <f>IF($A992="","",TRIM(IF(AND($M992=0,$I992&lt;&gt;"Yes"),"T0-NoPhishResistant ","")&amp;IF($H992="No","NoMFA ","")&amp;IF(AND($E992="Yes",$G992=""),"NeverSignedIn ","")))</f>
        <v/>
      </c>
    </row>
    <row r="993" ht="15" customHeight="1" s="39">
      <c r="A993" s="85" t="n"/>
      <c r="B993" s="85" t="n"/>
      <c r="C993" s="85" t="n"/>
      <c r="D993" s="85" t="n"/>
      <c r="E993" s="85" t="n"/>
      <c r="F993" s="86" t="n"/>
      <c r="G993" s="86" t="n"/>
      <c r="H993" s="85" t="n"/>
      <c r="I993" s="85" t="n"/>
      <c r="J993" s="85" t="n"/>
      <c r="K993" s="85" t="n"/>
      <c r="L993" s="85" t="n"/>
      <c r="M993" s="85" t="n"/>
      <c r="N993" s="85" t="n"/>
      <c r="O993" s="85" t="n"/>
      <c r="P993" s="85" t="n"/>
      <c r="Q993" s="85" t="n"/>
      <c r="R993" s="85" t="n"/>
      <c r="S993" s="85">
        <f>IF($G993="","",TODAY()-$G993)</f>
        <v/>
      </c>
      <c r="T993" s="85">
        <f>IF($A993="","",IF(AND($E993="Yes",OR($O993="No",$O993="NOT FOUND")),"YES",""))</f>
        <v/>
      </c>
      <c r="U993" s="85">
        <f>IF($A993="","",TRIM(IF(AND($M993=0,$I993&lt;&gt;"Yes"),"T0-NoPhishResistant ","")&amp;IF($H993="No","NoMFA ","")&amp;IF(AND($E993="Yes",$G993=""),"NeverSignedIn ","")))</f>
        <v/>
      </c>
    </row>
    <row r="994" ht="15" customHeight="1" s="39">
      <c r="A994" s="85" t="n"/>
      <c r="B994" s="85" t="n"/>
      <c r="C994" s="85" t="n"/>
      <c r="D994" s="85" t="n"/>
      <c r="E994" s="85" t="n"/>
      <c r="F994" s="86" t="n"/>
      <c r="G994" s="86" t="n"/>
      <c r="H994" s="85" t="n"/>
      <c r="I994" s="85" t="n"/>
      <c r="J994" s="85" t="n"/>
      <c r="K994" s="85" t="n"/>
      <c r="L994" s="85" t="n"/>
      <c r="M994" s="85" t="n"/>
      <c r="N994" s="85" t="n"/>
      <c r="O994" s="85" t="n"/>
      <c r="P994" s="85" t="n"/>
      <c r="Q994" s="85" t="n"/>
      <c r="R994" s="85" t="n"/>
      <c r="S994" s="85">
        <f>IF($G994="","",TODAY()-$G994)</f>
        <v/>
      </c>
      <c r="T994" s="85">
        <f>IF($A994="","",IF(AND($E994="Yes",OR($O994="No",$O994="NOT FOUND")),"YES",""))</f>
        <v/>
      </c>
      <c r="U994" s="85">
        <f>IF($A994="","",TRIM(IF(AND($M994=0,$I994&lt;&gt;"Yes"),"T0-NoPhishResistant ","")&amp;IF($H994="No","NoMFA ","")&amp;IF(AND($E994="Yes",$G994=""),"NeverSignedIn ","")))</f>
        <v/>
      </c>
    </row>
    <row r="995" ht="15" customHeight="1" s="39">
      <c r="A995" s="85" t="n"/>
      <c r="B995" s="85" t="n"/>
      <c r="C995" s="85" t="n"/>
      <c r="D995" s="85" t="n"/>
      <c r="E995" s="85" t="n"/>
      <c r="F995" s="86" t="n"/>
      <c r="G995" s="86" t="n"/>
      <c r="H995" s="85" t="n"/>
      <c r="I995" s="85" t="n"/>
      <c r="J995" s="85" t="n"/>
      <c r="K995" s="85" t="n"/>
      <c r="L995" s="85" t="n"/>
      <c r="M995" s="85" t="n"/>
      <c r="N995" s="85" t="n"/>
      <c r="O995" s="85" t="n"/>
      <c r="P995" s="85" t="n"/>
      <c r="Q995" s="85" t="n"/>
      <c r="R995" s="85" t="n"/>
      <c r="S995" s="85">
        <f>IF($G995="","",TODAY()-$G995)</f>
        <v/>
      </c>
      <c r="T995" s="85">
        <f>IF($A995="","",IF(AND($E995="Yes",OR($O995="No",$O995="NOT FOUND")),"YES",""))</f>
        <v/>
      </c>
      <c r="U995" s="85">
        <f>IF($A995="","",TRIM(IF(AND($M995=0,$I995&lt;&gt;"Yes"),"T0-NoPhishResistant ","")&amp;IF($H995="No","NoMFA ","")&amp;IF(AND($E995="Yes",$G995=""),"NeverSignedIn ","")))</f>
        <v/>
      </c>
    </row>
    <row r="996" ht="15" customHeight="1" s="39">
      <c r="A996" s="85" t="n"/>
      <c r="B996" s="85" t="n"/>
      <c r="C996" s="85" t="n"/>
      <c r="D996" s="85" t="n"/>
      <c r="E996" s="85" t="n"/>
      <c r="F996" s="86" t="n"/>
      <c r="G996" s="86" t="n"/>
      <c r="H996" s="85" t="n"/>
      <c r="I996" s="85" t="n"/>
      <c r="J996" s="85" t="n"/>
      <c r="K996" s="85" t="n"/>
      <c r="L996" s="85" t="n"/>
      <c r="M996" s="85" t="n"/>
      <c r="N996" s="85" t="n"/>
      <c r="O996" s="85" t="n"/>
      <c r="P996" s="85" t="n"/>
      <c r="Q996" s="85" t="n"/>
      <c r="R996" s="85" t="n"/>
      <c r="S996" s="85">
        <f>IF($G996="","",TODAY()-$G996)</f>
        <v/>
      </c>
      <c r="T996" s="85">
        <f>IF($A996="","",IF(AND($E996="Yes",OR($O996="No",$O996="NOT FOUND")),"YES",""))</f>
        <v/>
      </c>
      <c r="U996" s="85">
        <f>IF($A996="","",TRIM(IF(AND($M996=0,$I996&lt;&gt;"Yes"),"T0-NoPhishResistant ","")&amp;IF($H996="No","NoMFA ","")&amp;IF(AND($E996="Yes",$G996=""),"NeverSignedIn ","")))</f>
        <v/>
      </c>
    </row>
    <row r="997" ht="15" customHeight="1" s="39">
      <c r="A997" s="85" t="n"/>
      <c r="B997" s="85" t="n"/>
      <c r="C997" s="85" t="n"/>
      <c r="D997" s="85" t="n"/>
      <c r="E997" s="85" t="n"/>
      <c r="F997" s="86" t="n"/>
      <c r="G997" s="86" t="n"/>
      <c r="H997" s="85" t="n"/>
      <c r="I997" s="85" t="n"/>
      <c r="J997" s="85" t="n"/>
      <c r="K997" s="85" t="n"/>
      <c r="L997" s="85" t="n"/>
      <c r="M997" s="85" t="n"/>
      <c r="N997" s="85" t="n"/>
      <c r="O997" s="85" t="n"/>
      <c r="P997" s="85" t="n"/>
      <c r="Q997" s="85" t="n"/>
      <c r="R997" s="85" t="n"/>
      <c r="S997" s="85">
        <f>IF($G997="","",TODAY()-$G997)</f>
        <v/>
      </c>
      <c r="T997" s="85">
        <f>IF($A997="","",IF(AND($E997="Yes",OR($O997="No",$O997="NOT FOUND")),"YES",""))</f>
        <v/>
      </c>
      <c r="U997" s="85">
        <f>IF($A997="","",TRIM(IF(AND($M997=0,$I997&lt;&gt;"Yes"),"T0-NoPhishResistant ","")&amp;IF($H997="No","NoMFA ","")&amp;IF(AND($E997="Yes",$G997=""),"NeverSignedIn ","")))</f>
        <v/>
      </c>
    </row>
    <row r="998" ht="15" customHeight="1" s="39">
      <c r="A998" s="85" t="n"/>
      <c r="B998" s="85" t="n"/>
      <c r="C998" s="85" t="n"/>
      <c r="D998" s="85" t="n"/>
      <c r="E998" s="85" t="n"/>
      <c r="F998" s="86" t="n"/>
      <c r="G998" s="86" t="n"/>
      <c r="H998" s="85" t="n"/>
      <c r="I998" s="85" t="n"/>
      <c r="J998" s="85" t="n"/>
      <c r="K998" s="85" t="n"/>
      <c r="L998" s="85" t="n"/>
      <c r="M998" s="85" t="n"/>
      <c r="N998" s="85" t="n"/>
      <c r="O998" s="85" t="n"/>
      <c r="P998" s="85" t="n"/>
      <c r="Q998" s="85" t="n"/>
      <c r="R998" s="85" t="n"/>
      <c r="S998" s="85">
        <f>IF($G998="","",TODAY()-$G998)</f>
        <v/>
      </c>
      <c r="T998" s="85">
        <f>IF($A998="","",IF(AND($E998="Yes",OR($O998="No",$O998="NOT FOUND")),"YES",""))</f>
        <v/>
      </c>
      <c r="U998" s="85">
        <f>IF($A998="","",TRIM(IF(AND($M998=0,$I998&lt;&gt;"Yes"),"T0-NoPhishResistant ","")&amp;IF($H998="No","NoMFA ","")&amp;IF(AND($E998="Yes",$G998=""),"NeverSignedIn ","")))</f>
        <v/>
      </c>
    </row>
    <row r="999" ht="15" customHeight="1" s="39">
      <c r="A999" s="85" t="n"/>
      <c r="B999" s="85" t="n"/>
      <c r="C999" s="85" t="n"/>
      <c r="D999" s="85" t="n"/>
      <c r="E999" s="85" t="n"/>
      <c r="F999" s="86" t="n"/>
      <c r="G999" s="86" t="n"/>
      <c r="H999" s="85" t="n"/>
      <c r="I999" s="85" t="n"/>
      <c r="J999" s="85" t="n"/>
      <c r="K999" s="85" t="n"/>
      <c r="L999" s="85" t="n"/>
      <c r="M999" s="85" t="n"/>
      <c r="N999" s="85" t="n"/>
      <c r="O999" s="85" t="n"/>
      <c r="P999" s="85" t="n"/>
      <c r="Q999" s="85" t="n"/>
      <c r="R999" s="85" t="n"/>
      <c r="S999" s="85">
        <f>IF($G999="","",TODAY()-$G999)</f>
        <v/>
      </c>
      <c r="T999" s="85">
        <f>IF($A999="","",IF(AND($E999="Yes",OR($O999="No",$O999="NOT FOUND")),"YES",""))</f>
        <v/>
      </c>
      <c r="U999" s="85">
        <f>IF($A999="","",TRIM(IF(AND($M999=0,$I999&lt;&gt;"Yes"),"T0-NoPhishResistant ","")&amp;IF($H999="No","NoMFA ","")&amp;IF(AND($E999="Yes",$G999=""),"NeverSignedIn ","")))</f>
        <v/>
      </c>
    </row>
    <row r="1000" ht="15" customHeight="1" s="39">
      <c r="A1000" s="85" t="n"/>
      <c r="B1000" s="85" t="n"/>
      <c r="C1000" s="85" t="n"/>
      <c r="D1000" s="85" t="n"/>
      <c r="E1000" s="85" t="n"/>
      <c r="F1000" s="86" t="n"/>
      <c r="G1000" s="86" t="n"/>
      <c r="H1000" s="85" t="n"/>
      <c r="I1000" s="85" t="n"/>
      <c r="J1000" s="85" t="n"/>
      <c r="K1000" s="85" t="n"/>
      <c r="L1000" s="85" t="n"/>
      <c r="M1000" s="85" t="n"/>
      <c r="N1000" s="85" t="n"/>
      <c r="O1000" s="85" t="n"/>
      <c r="P1000" s="85" t="n"/>
      <c r="Q1000" s="85" t="n"/>
      <c r="R1000" s="85" t="n"/>
      <c r="S1000" s="85">
        <f>IF($G1000="","",TODAY()-$G1000)</f>
        <v/>
      </c>
      <c r="T1000" s="85">
        <f>IF($A1000="","",IF(AND($E1000="Yes",OR($O1000="No",$O1000="NOT FOUND")),"YES",""))</f>
        <v/>
      </c>
      <c r="U1000" s="85">
        <f>IF($A1000="","",TRIM(IF(AND($M1000=0,$I1000&lt;&gt;"Yes"),"T0-NoPhishResistant ","")&amp;IF($H1000="No","NoMFA ","")&amp;IF(AND($E1000="Yes",$G1000=""),"NeverSignedIn ","")))</f>
        <v/>
      </c>
    </row>
    <row r="1001" ht="15" customHeight="1" s="39">
      <c r="A1001" s="85" t="n"/>
      <c r="B1001" s="85" t="n"/>
      <c r="C1001" s="85" t="n"/>
      <c r="D1001" s="85" t="n"/>
      <c r="E1001" s="85" t="n"/>
      <c r="F1001" s="86" t="n"/>
      <c r="G1001" s="86" t="n"/>
      <c r="H1001" s="85" t="n"/>
      <c r="I1001" s="85" t="n"/>
      <c r="J1001" s="85" t="n"/>
      <c r="K1001" s="85" t="n"/>
      <c r="L1001" s="85" t="n"/>
      <c r="M1001" s="85" t="n"/>
      <c r="N1001" s="85" t="n"/>
      <c r="O1001" s="85" t="n"/>
      <c r="P1001" s="85" t="n"/>
      <c r="Q1001" s="85" t="n"/>
      <c r="R1001" s="85" t="n"/>
      <c r="S1001" s="85">
        <f>IF($G1001="","",TODAY()-$G1001)</f>
        <v/>
      </c>
      <c r="T1001" s="85">
        <f>IF($A1001="","",IF(AND($E1001="Yes",OR($O1001="No",$O1001="NOT FOUND")),"YES",""))</f>
        <v/>
      </c>
      <c r="U1001" s="85">
        <f>IF($A1001="","",TRIM(IF(AND($M1001=0,$I1001&lt;&gt;"Yes"),"T0-NoPhishResistant ","")&amp;IF($H1001="No","NoMFA ","")&amp;IF(AND($E1001="Yes",$G1001=""),"NeverSignedIn ","")))</f>
        <v/>
      </c>
    </row>
  </sheetData>
  <autoFilter ref="A1:U1001"/>
  <conditionalFormatting sqref="M2:M1001">
    <cfRule type="expression" priority="1" dxfId="16">
      <formula>M2=0</formula>
    </cfRule>
    <cfRule type="expression" priority="2" dxfId="17">
      <formula>M2=1</formula>
    </cfRule>
  </conditionalFormatting>
  <conditionalFormatting sqref="I2:I1001">
    <cfRule type="expression" priority="3" dxfId="16">
      <formula>AND(I2="No",$M2&lt;=1)</formula>
    </cfRule>
  </conditionalFormatting>
  <conditionalFormatting sqref="T2:T1001">
    <cfRule type="expression" priority="4" dxfId="16">
      <formula>T2="YES"</formula>
    </cfRule>
  </conditionalFormatting>
  <conditionalFormatting sqref="U2:U1001">
    <cfRule type="expression" priority="5" dxfId="16">
      <formula>ISNUMBER(SEARCH("T0-",U2))</formula>
    </cfRule>
    <cfRule type="expression" priority="6" dxfId="17">
      <formula>AND(U2&lt;&gt;"",NOT(ISNUMBER(SEARCH("T0-",U2))))</formula>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264478"/>
    <outlinePr summaryBelow="1" summaryRight="1"/>
    <pageSetUpPr/>
  </sheetPr>
  <dimension ref="A1:AO10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34" customWidth="1" style="39" min="1" max="1"/>
    <col width="26" customWidth="1" style="39" min="2" max="2"/>
    <col width="36" customWidth="1" style="39" min="3" max="3"/>
    <col width="18" customWidth="1" style="39" min="4" max="4"/>
    <col width="11" customWidth="1" style="39" min="5" max="5"/>
    <col width="13" customWidth="1" style="39" min="6" max="6"/>
    <col width="14" customWidth="1" style="39" min="7" max="7"/>
    <col width="15" customWidth="1" style="39" min="8" max="8"/>
    <col width="15" customWidth="1" style="39" min="9" max="9"/>
    <col width="30" customWidth="1" style="39" min="10" max="10"/>
    <col width="34" customWidth="1" style="39" min="11" max="11"/>
    <col width="34" customWidth="1" style="39" min="12" max="12"/>
    <col width="13" customWidth="1" style="39" min="13" max="13"/>
    <col width="13" customWidth="1" style="39" min="14" max="14"/>
    <col width="24" customWidth="1" style="39" min="15" max="15"/>
    <col width="13" customWidth="1" style="39" min="16" max="16"/>
    <col width="15" customWidth="1" style="39" min="17" max="17"/>
    <col width="30" customWidth="1" style="39" min="18" max="18"/>
    <col width="34" customWidth="1" style="39" min="19" max="19"/>
    <col width="13" customWidth="1" style="39" min="20" max="20"/>
    <col width="13" customWidth="1" style="39" min="21" max="21"/>
    <col width="26" customWidth="1" style="39" min="22" max="22"/>
    <col width="20" customWidth="1" style="39" min="23" max="23"/>
    <col width="30" customWidth="1" style="39" min="24" max="24"/>
    <col width="15" customWidth="1" style="39" min="25" max="25"/>
    <col width="24" customWidth="1" style="39" min="26" max="26"/>
    <col width="22" customWidth="1" style="39" min="27" max="27"/>
    <col width="24" customWidth="1" style="39" min="28" max="28"/>
    <col width="22" customWidth="1" style="39" min="29" max="29"/>
    <col width="40" customWidth="1" style="39" min="30" max="30"/>
    <col width="20" customWidth="1" style="39" min="31" max="31"/>
    <col width="14" customWidth="1" style="39" min="32" max="32"/>
    <col width="14" customWidth="1" style="39" min="33" max="33"/>
    <col width="14" customWidth="1" style="39" min="34" max="34"/>
    <col width="26" customWidth="1" style="39" min="35" max="35"/>
    <col width="38" customWidth="1" style="39" min="36" max="36"/>
    <col width="16" customWidth="1" style="39" min="37" max="37"/>
    <col width="13" customWidth="1" style="39" min="38" max="38"/>
    <col width="34" customWidth="1" style="39" min="39" max="39"/>
    <col width="16" customWidth="1" style="39" min="40" max="40"/>
    <col width="15" customWidth="1" style="39" min="41" max="41"/>
  </cols>
  <sheetData>
    <row r="1" ht="49.5" customHeight="1" s="39">
      <c r="A1" s="88" t="inlineStr">
        <is>
          <t>Admin UPN</t>
        </is>
      </c>
      <c r="B1" s="88" t="inlineStr">
        <is>
          <t>Display Name</t>
        </is>
      </c>
      <c r="C1" s="88" t="inlineStr">
        <is>
          <t>Object ID</t>
        </is>
      </c>
      <c r="D1" s="88" t="inlineStr">
        <is>
          <t>Base Username</t>
        </is>
      </c>
      <c r="E1" s="88" t="inlineStr">
        <is>
          <t>Enabled</t>
        </is>
      </c>
      <c r="F1" s="88" t="inlineStr">
        <is>
          <t>Created</t>
        </is>
      </c>
      <c r="G1" s="88" t="inlineStr">
        <is>
          <t>Last Sign-In</t>
        </is>
      </c>
      <c r="H1" s="88" t="inlineStr">
        <is>
          <t>MFA Registered</t>
        </is>
      </c>
      <c r="I1" s="88" t="inlineStr">
        <is>
          <t>Phishing Resistant</t>
        </is>
      </c>
      <c r="J1" s="88" t="inlineStr">
        <is>
          <t>Auth Methods</t>
        </is>
      </c>
      <c r="K1" s="88" t="inlineStr">
        <is>
          <t>Entra Roles (Active)</t>
        </is>
      </c>
      <c r="L1" s="88" t="inlineStr">
        <is>
          <t>Entra Roles (Eligible)</t>
        </is>
      </c>
      <c r="M1" s="88" t="inlineStr">
        <is>
          <t>Active Role Count</t>
        </is>
      </c>
      <c r="N1" s="88" t="inlineStr">
        <is>
          <t>Eligible Role Count</t>
        </is>
      </c>
      <c r="O1" s="88" t="inlineStr">
        <is>
          <t>Highest Entra Role</t>
        </is>
      </c>
      <c r="P1" s="88" t="inlineStr">
        <is>
          <t>Entra Tier</t>
        </is>
      </c>
      <c r="Q1" s="88" t="inlineStr">
        <is>
          <t>Assignment Route</t>
        </is>
      </c>
      <c r="R1" s="88" t="inlineStr">
        <is>
          <t>Granting Groups</t>
        </is>
      </c>
      <c r="S1" s="88" t="inlineStr">
        <is>
          <t>Granting Group IDs</t>
        </is>
      </c>
      <c r="T1" s="88" t="inlineStr">
        <is>
          <t>Direct Assignments</t>
        </is>
      </c>
      <c r="U1" s="88" t="inlineStr">
        <is>
          <t>Group Assignments</t>
        </is>
      </c>
      <c r="V1" s="88" t="inlineStr">
        <is>
          <t>Directory Scopes</t>
        </is>
      </c>
      <c r="W1" s="88" t="inlineStr">
        <is>
          <t>Also Holds Azure RBAC</t>
        </is>
      </c>
      <c r="X1" s="88" t="inlineStr">
        <is>
          <t>Standard Account UPN</t>
        </is>
      </c>
      <c r="Y1" s="88" t="inlineStr">
        <is>
          <t>Standard Acct Enabled</t>
        </is>
      </c>
      <c r="Z1" s="88" t="inlineStr">
        <is>
          <t>Person Display Name</t>
        </is>
      </c>
      <c r="AA1" s="88" t="inlineStr">
        <is>
          <t>Department</t>
        </is>
      </c>
      <c r="AB1" s="88" t="inlineStr">
        <is>
          <t>Job Title</t>
        </is>
      </c>
      <c r="AC1" s="88" t="inlineStr">
        <is>
          <t>Access Type</t>
        </is>
      </c>
      <c r="AD1" s="88" t="inlineStr">
        <is>
          <t>Business Justification</t>
        </is>
      </c>
      <c r="AE1" s="88" t="inlineStr">
        <is>
          <t>Decided By</t>
        </is>
      </c>
      <c r="AF1" s="88" t="inlineStr">
        <is>
          <t>Review Decision Date</t>
        </is>
      </c>
      <c r="AG1" s="88" t="inlineStr">
        <is>
          <t>Next Review Due</t>
        </is>
      </c>
      <c r="AH1" s="88" t="inlineStr">
        <is>
          <t>Last Reviewed</t>
        </is>
      </c>
      <c r="AI1" s="88" t="inlineStr">
        <is>
          <t>Review Decision</t>
        </is>
      </c>
      <c r="AJ1" s="88" t="inlineStr">
        <is>
          <t>Notes</t>
        </is>
      </c>
      <c r="AK1" s="88" t="inlineStr">
        <is>
          <t>Standing Privilege?</t>
        </is>
      </c>
      <c r="AL1" s="88" t="inlineStr">
        <is>
          <t>ORPHANED?</t>
        </is>
      </c>
      <c r="AM1" s="88" t="inlineStr">
        <is>
          <t>Risk Flags</t>
        </is>
      </c>
      <c r="AN1" s="88" t="inlineStr">
        <is>
          <t>Access Status</t>
        </is>
      </c>
      <c r="AO1" s="88" t="inlineStr">
        <is>
          <t>Review Status</t>
        </is>
      </c>
    </row>
    <row r="2" ht="35.05" customHeight="1" s="39">
      <c r="A2" s="83" t="inlineStr">
        <is>
          <t>jsmith.azr@corp.onmicrosoft.com</t>
        </is>
      </c>
      <c r="B2" s="83" t="inlineStr">
        <is>
          <t>Jane Smith (Cloud Admin)</t>
        </is>
      </c>
      <c r="C2" s="83" t="inlineStr">
        <is>
          <t>4c8e1f2a-9b3d-4e6f-a1c5-7d2e8f3a9b4c</t>
        </is>
      </c>
      <c r="D2" s="83" t="inlineStr">
        <is>
          <t>jsmith</t>
        </is>
      </c>
      <c r="E2" s="83" t="inlineStr">
        <is>
          <t>Yes</t>
        </is>
      </c>
      <c r="F2" s="84" t="n">
        <v>45173</v>
      </c>
      <c r="G2" s="84" t="n">
        <v>46246</v>
      </c>
      <c r="H2" s="83" t="inlineStr">
        <is>
          <t>Yes</t>
        </is>
      </c>
      <c r="I2" s="83" t="inlineStr">
        <is>
          <t>No</t>
        </is>
      </c>
      <c r="J2" s="83" t="inlineStr">
        <is>
          <t>microsoftAuthenticatorPush; sms</t>
        </is>
      </c>
      <c r="K2" s="83" t="inlineStr">
        <is>
          <t>Global Administrator</t>
        </is>
      </c>
      <c r="L2" s="83" t="inlineStr">
        <is>
          <t>Security Administrator</t>
        </is>
      </c>
      <c r="M2" s="83" t="n">
        <v>1</v>
      </c>
      <c r="N2" s="83" t="n">
        <v>1</v>
      </c>
      <c r="O2" s="83" t="inlineStr">
        <is>
          <t>Global Administrator</t>
        </is>
      </c>
      <c r="P2" s="83" t="n">
        <v>0</v>
      </c>
      <c r="Q2" s="83" t="inlineStr">
        <is>
          <t>Direct + Group</t>
        </is>
      </c>
      <c r="R2" s="83" t="inlineStr">
        <is>
          <t>SG-Azure-Platform-Owners</t>
        </is>
      </c>
      <c r="S2" s="83" t="inlineStr">
        <is>
          <t>7e1d4b92-3a6c-4f8e-b1d5-2c9a8f4e6b3d</t>
        </is>
      </c>
      <c r="T2" s="83" t="n">
        <v>1</v>
      </c>
      <c r="U2" s="83" t="n">
        <v>1</v>
      </c>
      <c r="V2" s="83" t="inlineStr">
        <is>
          <t>Tenant-wide</t>
        </is>
      </c>
      <c r="W2" s="83" t="inlineStr">
        <is>
          <t>Yes</t>
        </is>
      </c>
      <c r="X2" s="83" t="inlineStr">
        <is>
          <t>jsmith@corp.com.au</t>
        </is>
      </c>
      <c r="Y2" s="83" t="inlineStr">
        <is>
          <t>Yes</t>
        </is>
      </c>
      <c r="Z2" s="83" t="inlineStr">
        <is>
          <t>Jane Smith</t>
        </is>
      </c>
      <c r="AA2" s="83" t="inlineStr">
        <is>
          <t>Cloud Platform Engineering</t>
        </is>
      </c>
      <c r="AB2" s="83" t="inlineStr">
        <is>
          <t>Principal Engineer</t>
        </is>
      </c>
      <c r="AC2" s="83" t="inlineStr">
        <is>
          <t>Permanent (BAU duty)</t>
        </is>
      </c>
      <c r="AD2" s="83" t="inlineStr">
        <is>
          <t>Tenant administration and break-glass escalation for the platform team.</t>
        </is>
      </c>
      <c r="AE2" s="83" t="inlineStr">
        <is>
          <t>CISO</t>
        </is>
      </c>
      <c r="AF2" s="84" t="n"/>
      <c r="AG2" s="84" t="n"/>
      <c r="AH2" s="84" t="n">
        <v>46152</v>
      </c>
      <c r="AI2" s="83" t="inlineStr">
        <is>
          <t>Convert to PIM eligible</t>
        </is>
      </c>
      <c r="AJ2" s="83" t="inlineStr">
        <is>
          <t>EXAMPLE ROW - delete before use. Standing Global Admin; also holds Azure Owner via group - coordinate with Azure RBAC Admins tab.</t>
        </is>
      </c>
      <c r="AK2" s="83">
        <f>IF($A2="","",IF($M2&gt;0,"Yes","No"))</f>
        <v/>
      </c>
      <c r="AL2" s="83">
        <f>IF($A2="","",IF(AND($E2="Yes",OR($Y2="No",$Y2="NOT FOUND")),"YES",""))</f>
        <v/>
      </c>
      <c r="AM2" s="83">
        <f>IF($A2="","",TRIM(IF(AND($P2=0,$I2&lt;&gt;"Yes"),"T0-NoPhishResistant ","")&amp;IF($H2="No","NoMFA ","")&amp;IF(AND($P2=0,$M2&gt;0),"T0-Standing ","")&amp;IF(AND($P2=0,$Q2="Group only"),"T0-ViaGroupOnly ","")&amp;IF($W2="Yes","AlsoAzureRBAC ","")))</f>
        <v/>
      </c>
      <c r="AN2" s="83">
        <f>IF($A2="","",IF(AG2="","Not Enrolled",IF(TODAY()&gt;AG2,"Review Overdue",IF(AG2-TODAY()&lt;=30,"Review Due Soon","Active"))))</f>
        <v/>
      </c>
      <c r="AO2" s="83">
        <f>IF($A2="","",IF(AH2="","NOT REVIEWED",IF(TODAY()-AH2&gt;90,"OVERDUE",IF(TODAY()-AH2&gt;76,"Due Soon","Current"))))</f>
        <v/>
      </c>
    </row>
    <row r="3" ht="15" customHeight="1" s="39">
      <c r="A3" s="85" t="n"/>
      <c r="B3" s="85" t="n"/>
      <c r="C3" s="85" t="n"/>
      <c r="D3" s="85" t="n"/>
      <c r="E3" s="85" t="n"/>
      <c r="F3" s="86" t="n"/>
      <c r="G3" s="86" t="n"/>
      <c r="H3" s="85" t="n"/>
      <c r="I3" s="85" t="n"/>
      <c r="J3" s="85" t="n"/>
      <c r="K3" s="85" t="n"/>
      <c r="L3" s="85" t="n"/>
      <c r="M3" s="85" t="n"/>
      <c r="N3" s="85" t="n"/>
      <c r="O3" s="85" t="n"/>
      <c r="P3" s="85" t="n"/>
      <c r="Q3" s="85" t="n"/>
      <c r="R3" s="85" t="n"/>
      <c r="S3" s="85" t="n"/>
      <c r="T3" s="85" t="n"/>
      <c r="U3" s="85" t="n"/>
      <c r="V3" s="85" t="n"/>
      <c r="W3" s="85" t="n"/>
      <c r="X3" s="85" t="n"/>
      <c r="Y3" s="85" t="n"/>
      <c r="Z3" s="85" t="n"/>
      <c r="AA3" s="85" t="n"/>
      <c r="AB3" s="85" t="n"/>
      <c r="AC3" s="85" t="n"/>
      <c r="AD3" s="85" t="n"/>
      <c r="AE3" s="85" t="n"/>
      <c r="AF3" s="86" t="n"/>
      <c r="AG3" s="86" t="n"/>
      <c r="AH3" s="86" t="n"/>
      <c r="AI3" s="85" t="n"/>
      <c r="AJ3" s="85" t="n"/>
      <c r="AK3" s="85">
        <f>IF($A3="","",IF($M3&gt;0,"Yes","No"))</f>
        <v/>
      </c>
      <c r="AL3" s="85">
        <f>IF($A3="","",IF(AND($E3="Yes",OR($Y3="No",$Y3="NOT FOUND")),"YES",""))</f>
        <v/>
      </c>
      <c r="AM3" s="85">
        <f>IF($A3="","",TRIM(IF(AND($P3=0,$I3&lt;&gt;"Yes"),"T0-NoPhishResistant ","")&amp;IF($H3="No","NoMFA ","")&amp;IF(AND($P3=0,$M3&gt;0),"T0-Standing ","")&amp;IF(AND($P3=0,$Q3="Group only"),"T0-ViaGroupOnly ","")&amp;IF($W3="Yes","AlsoAzureRBAC ","")))</f>
        <v/>
      </c>
      <c r="AN3" s="85">
        <f>IF($A3="","",IF(AG3="","Not Enrolled",IF(TODAY()&gt;AG3,"Review Overdue",IF(AG3-TODAY()&lt;=30,"Review Due Soon","Active"))))</f>
        <v/>
      </c>
      <c r="AO3" s="85">
        <f>IF($A3="","",IF(AH3="","NOT REVIEWED",IF(TODAY()-AH3&gt;90,"OVERDUE",IF(TODAY()-AH3&gt;76,"Due Soon","Current"))))</f>
        <v/>
      </c>
    </row>
    <row r="4" ht="15" customHeight="1" s="39">
      <c r="A4" s="85" t="n"/>
      <c r="B4" s="85" t="n"/>
      <c r="C4" s="85" t="n"/>
      <c r="D4" s="85" t="n"/>
      <c r="E4" s="85" t="n"/>
      <c r="F4" s="86" t="n"/>
      <c r="G4" s="86" t="n"/>
      <c r="H4" s="85" t="n"/>
      <c r="I4" s="85" t="n"/>
      <c r="J4" s="85" t="n"/>
      <c r="K4" s="85" t="n"/>
      <c r="L4" s="85" t="n"/>
      <c r="M4" s="85" t="n"/>
      <c r="N4" s="85" t="n"/>
      <c r="O4" s="85" t="n"/>
      <c r="P4" s="85" t="n"/>
      <c r="Q4" s="85" t="n"/>
      <c r="R4" s="85" t="n"/>
      <c r="S4" s="85" t="n"/>
      <c r="T4" s="85" t="n"/>
      <c r="U4" s="85" t="n"/>
      <c r="V4" s="85" t="n"/>
      <c r="W4" s="85" t="n"/>
      <c r="X4" s="85" t="n"/>
      <c r="Y4" s="85" t="n"/>
      <c r="Z4" s="85" t="n"/>
      <c r="AA4" s="85" t="n"/>
      <c r="AB4" s="85" t="n"/>
      <c r="AC4" s="85" t="n"/>
      <c r="AD4" s="85" t="n"/>
      <c r="AE4" s="85" t="n"/>
      <c r="AF4" s="86" t="n"/>
      <c r="AG4" s="86" t="n"/>
      <c r="AH4" s="86" t="n"/>
      <c r="AI4" s="85" t="n"/>
      <c r="AJ4" s="85" t="n"/>
      <c r="AK4" s="85">
        <f>IF($A4="","",IF($M4&gt;0,"Yes","No"))</f>
        <v/>
      </c>
      <c r="AL4" s="85">
        <f>IF($A4="","",IF(AND($E4="Yes",OR($Y4="No",$Y4="NOT FOUND")),"YES",""))</f>
        <v/>
      </c>
      <c r="AM4" s="85">
        <f>IF($A4="","",TRIM(IF(AND($P4=0,$I4&lt;&gt;"Yes"),"T0-NoPhishResistant ","")&amp;IF($H4="No","NoMFA ","")&amp;IF(AND($P4=0,$M4&gt;0),"T0-Standing ","")&amp;IF(AND($P4=0,$Q4="Group only"),"T0-ViaGroupOnly ","")&amp;IF($W4="Yes","AlsoAzureRBAC ","")))</f>
        <v/>
      </c>
      <c r="AN4" s="85">
        <f>IF($A4="","",IF(AG4="","Not Enrolled",IF(TODAY()&gt;AG4,"Review Overdue",IF(AG4-TODAY()&lt;=30,"Review Due Soon","Active"))))</f>
        <v/>
      </c>
      <c r="AO4" s="85">
        <f>IF($A4="","",IF(AH4="","NOT REVIEWED",IF(TODAY()-AH4&gt;90,"OVERDUE",IF(TODAY()-AH4&gt;76,"Due Soon","Current"))))</f>
        <v/>
      </c>
    </row>
    <row r="5" ht="15" customHeight="1" s="39">
      <c r="A5" s="85" t="n"/>
      <c r="B5" s="85" t="n"/>
      <c r="C5" s="85" t="n"/>
      <c r="D5" s="85" t="n"/>
      <c r="E5" s="85" t="n"/>
      <c r="F5" s="86" t="n"/>
      <c r="G5" s="86" t="n"/>
      <c r="H5" s="85" t="n"/>
      <c r="I5" s="85" t="n"/>
      <c r="J5" s="85" t="n"/>
      <c r="K5" s="85" t="n"/>
      <c r="L5" s="85" t="n"/>
      <c r="M5" s="85" t="n"/>
      <c r="N5" s="85" t="n"/>
      <c r="O5" s="85" t="n"/>
      <c r="P5" s="85" t="n"/>
      <c r="Q5" s="85" t="n"/>
      <c r="R5" s="85" t="n"/>
      <c r="S5" s="85" t="n"/>
      <c r="T5" s="85" t="n"/>
      <c r="U5" s="85" t="n"/>
      <c r="V5" s="85" t="n"/>
      <c r="W5" s="85" t="n"/>
      <c r="X5" s="85" t="n"/>
      <c r="Y5" s="85" t="n"/>
      <c r="Z5" s="85" t="n"/>
      <c r="AA5" s="85" t="n"/>
      <c r="AB5" s="85" t="n"/>
      <c r="AC5" s="85" t="n"/>
      <c r="AD5" s="85" t="n"/>
      <c r="AE5" s="85" t="n"/>
      <c r="AF5" s="86" t="n"/>
      <c r="AG5" s="86" t="n"/>
      <c r="AH5" s="86" t="n"/>
      <c r="AI5" s="85" t="n"/>
      <c r="AJ5" s="85" t="n"/>
      <c r="AK5" s="85">
        <f>IF($A5="","",IF($M5&gt;0,"Yes","No"))</f>
        <v/>
      </c>
      <c r="AL5" s="85">
        <f>IF($A5="","",IF(AND($E5="Yes",OR($Y5="No",$Y5="NOT FOUND")),"YES",""))</f>
        <v/>
      </c>
      <c r="AM5" s="85">
        <f>IF($A5="","",TRIM(IF(AND($P5=0,$I5&lt;&gt;"Yes"),"T0-NoPhishResistant ","")&amp;IF($H5="No","NoMFA ","")&amp;IF(AND($P5=0,$M5&gt;0),"T0-Standing ","")&amp;IF(AND($P5=0,$Q5="Group only"),"T0-ViaGroupOnly ","")&amp;IF($W5="Yes","AlsoAzureRBAC ","")))</f>
        <v/>
      </c>
      <c r="AN5" s="85">
        <f>IF($A5="","",IF(AG5="","Not Enrolled",IF(TODAY()&gt;AG5,"Review Overdue",IF(AG5-TODAY()&lt;=30,"Review Due Soon","Active"))))</f>
        <v/>
      </c>
      <c r="AO5" s="85">
        <f>IF($A5="","",IF(AH5="","NOT REVIEWED",IF(TODAY()-AH5&gt;90,"OVERDUE",IF(TODAY()-AH5&gt;76,"Due Soon","Current"))))</f>
        <v/>
      </c>
    </row>
    <row r="6" ht="15" customHeight="1" s="39">
      <c r="A6" s="85" t="n"/>
      <c r="B6" s="85" t="n"/>
      <c r="C6" s="85" t="n"/>
      <c r="D6" s="85" t="n"/>
      <c r="E6" s="85" t="n"/>
      <c r="F6" s="86" t="n"/>
      <c r="G6" s="86" t="n"/>
      <c r="H6" s="85" t="n"/>
      <c r="I6" s="85" t="n"/>
      <c r="J6" s="85" t="n"/>
      <c r="K6" s="85" t="n"/>
      <c r="L6" s="85" t="n"/>
      <c r="M6" s="85" t="n"/>
      <c r="N6" s="85" t="n"/>
      <c r="O6" s="85" t="n"/>
      <c r="P6" s="85" t="n"/>
      <c r="Q6" s="85" t="n"/>
      <c r="R6" s="85" t="n"/>
      <c r="S6" s="85" t="n"/>
      <c r="T6" s="85" t="n"/>
      <c r="U6" s="85" t="n"/>
      <c r="V6" s="85" t="n"/>
      <c r="W6" s="85" t="n"/>
      <c r="X6" s="85" t="n"/>
      <c r="Y6" s="85" t="n"/>
      <c r="Z6" s="85" t="n"/>
      <c r="AA6" s="85" t="n"/>
      <c r="AB6" s="85" t="n"/>
      <c r="AC6" s="85" t="n"/>
      <c r="AD6" s="85" t="n"/>
      <c r="AE6" s="85" t="n"/>
      <c r="AF6" s="86" t="n"/>
      <c r="AG6" s="86" t="n"/>
      <c r="AH6" s="86" t="n"/>
      <c r="AI6" s="85" t="n"/>
      <c r="AJ6" s="85" t="n"/>
      <c r="AK6" s="85">
        <f>IF($A6="","",IF($M6&gt;0,"Yes","No"))</f>
        <v/>
      </c>
      <c r="AL6" s="85">
        <f>IF($A6="","",IF(AND($E6="Yes",OR($Y6="No",$Y6="NOT FOUND")),"YES",""))</f>
        <v/>
      </c>
      <c r="AM6" s="85">
        <f>IF($A6="","",TRIM(IF(AND($P6=0,$I6&lt;&gt;"Yes"),"T0-NoPhishResistant ","")&amp;IF($H6="No","NoMFA ","")&amp;IF(AND($P6=0,$M6&gt;0),"T0-Standing ","")&amp;IF(AND($P6=0,$Q6="Group only"),"T0-ViaGroupOnly ","")&amp;IF($W6="Yes","AlsoAzureRBAC ","")))</f>
        <v/>
      </c>
      <c r="AN6" s="85">
        <f>IF($A6="","",IF(AG6="","Not Enrolled",IF(TODAY()&gt;AG6,"Review Overdue",IF(AG6-TODAY()&lt;=30,"Review Due Soon","Active"))))</f>
        <v/>
      </c>
      <c r="AO6" s="85">
        <f>IF($A6="","",IF(AH6="","NOT REVIEWED",IF(TODAY()-AH6&gt;90,"OVERDUE",IF(TODAY()-AH6&gt;76,"Due Soon","Current"))))</f>
        <v/>
      </c>
    </row>
    <row r="7" ht="15" customHeight="1" s="39">
      <c r="A7" s="85" t="n"/>
      <c r="B7" s="85" t="n"/>
      <c r="C7" s="85" t="n"/>
      <c r="D7" s="85" t="n"/>
      <c r="E7" s="85" t="n"/>
      <c r="F7" s="86" t="n"/>
      <c r="G7" s="86" t="n"/>
      <c r="H7" s="85" t="n"/>
      <c r="I7" s="85" t="n"/>
      <c r="J7" s="85" t="n"/>
      <c r="K7" s="85" t="n"/>
      <c r="L7" s="85" t="n"/>
      <c r="M7" s="85" t="n"/>
      <c r="N7" s="85" t="n"/>
      <c r="O7" s="85" t="n"/>
      <c r="P7" s="85" t="n"/>
      <c r="Q7" s="85" t="n"/>
      <c r="R7" s="85" t="n"/>
      <c r="S7" s="85" t="n"/>
      <c r="T7" s="85" t="n"/>
      <c r="U7" s="85" t="n"/>
      <c r="V7" s="85" t="n"/>
      <c r="W7" s="85" t="n"/>
      <c r="X7" s="85" t="n"/>
      <c r="Y7" s="85" t="n"/>
      <c r="Z7" s="85" t="n"/>
      <c r="AA7" s="85" t="n"/>
      <c r="AB7" s="85" t="n"/>
      <c r="AC7" s="85" t="n"/>
      <c r="AD7" s="85" t="n"/>
      <c r="AE7" s="85" t="n"/>
      <c r="AF7" s="86" t="n"/>
      <c r="AG7" s="86" t="n"/>
      <c r="AH7" s="86" t="n"/>
      <c r="AI7" s="85" t="n"/>
      <c r="AJ7" s="85" t="n"/>
      <c r="AK7" s="85">
        <f>IF($A7="","",IF($M7&gt;0,"Yes","No"))</f>
        <v/>
      </c>
      <c r="AL7" s="85">
        <f>IF($A7="","",IF(AND($E7="Yes",OR($Y7="No",$Y7="NOT FOUND")),"YES",""))</f>
        <v/>
      </c>
      <c r="AM7" s="85">
        <f>IF($A7="","",TRIM(IF(AND($P7=0,$I7&lt;&gt;"Yes"),"T0-NoPhishResistant ","")&amp;IF($H7="No","NoMFA ","")&amp;IF(AND($P7=0,$M7&gt;0),"T0-Standing ","")&amp;IF(AND($P7=0,$Q7="Group only"),"T0-ViaGroupOnly ","")&amp;IF($W7="Yes","AlsoAzureRBAC ","")))</f>
        <v/>
      </c>
      <c r="AN7" s="85">
        <f>IF($A7="","",IF(AG7="","Not Enrolled",IF(TODAY()&gt;AG7,"Review Overdue",IF(AG7-TODAY()&lt;=30,"Review Due Soon","Active"))))</f>
        <v/>
      </c>
      <c r="AO7" s="85">
        <f>IF($A7="","",IF(AH7="","NOT REVIEWED",IF(TODAY()-AH7&gt;90,"OVERDUE",IF(TODAY()-AH7&gt;76,"Due Soon","Current"))))</f>
        <v/>
      </c>
    </row>
    <row r="8" ht="15" customHeight="1" s="39">
      <c r="A8" s="85" t="n"/>
      <c r="B8" s="85" t="n"/>
      <c r="C8" s="85" t="n"/>
      <c r="D8" s="85" t="n"/>
      <c r="E8" s="85" t="n"/>
      <c r="F8" s="86" t="n"/>
      <c r="G8" s="86" t="n"/>
      <c r="H8" s="85" t="n"/>
      <c r="I8" s="85" t="n"/>
      <c r="J8" s="85" t="n"/>
      <c r="K8" s="85" t="n"/>
      <c r="L8" s="85" t="n"/>
      <c r="M8" s="85" t="n"/>
      <c r="N8" s="85" t="n"/>
      <c r="O8" s="85" t="n"/>
      <c r="P8" s="85" t="n"/>
      <c r="Q8" s="85" t="n"/>
      <c r="R8" s="85" t="n"/>
      <c r="S8" s="85" t="n"/>
      <c r="T8" s="85" t="n"/>
      <c r="U8" s="85" t="n"/>
      <c r="V8" s="85" t="n"/>
      <c r="W8" s="85" t="n"/>
      <c r="X8" s="85" t="n"/>
      <c r="Y8" s="85" t="n"/>
      <c r="Z8" s="85" t="n"/>
      <c r="AA8" s="85" t="n"/>
      <c r="AB8" s="85" t="n"/>
      <c r="AC8" s="85" t="n"/>
      <c r="AD8" s="85" t="n"/>
      <c r="AE8" s="85" t="n"/>
      <c r="AF8" s="86" t="n"/>
      <c r="AG8" s="86" t="n"/>
      <c r="AH8" s="86" t="n"/>
      <c r="AI8" s="85" t="n"/>
      <c r="AJ8" s="85" t="n"/>
      <c r="AK8" s="85">
        <f>IF($A8="","",IF($M8&gt;0,"Yes","No"))</f>
        <v/>
      </c>
      <c r="AL8" s="85">
        <f>IF($A8="","",IF(AND($E8="Yes",OR($Y8="No",$Y8="NOT FOUND")),"YES",""))</f>
        <v/>
      </c>
      <c r="AM8" s="85">
        <f>IF($A8="","",TRIM(IF(AND($P8=0,$I8&lt;&gt;"Yes"),"T0-NoPhishResistant ","")&amp;IF($H8="No","NoMFA ","")&amp;IF(AND($P8=0,$M8&gt;0),"T0-Standing ","")&amp;IF(AND($P8=0,$Q8="Group only"),"T0-ViaGroupOnly ","")&amp;IF($W8="Yes","AlsoAzureRBAC ","")))</f>
        <v/>
      </c>
      <c r="AN8" s="85">
        <f>IF($A8="","",IF(AG8="","Not Enrolled",IF(TODAY()&gt;AG8,"Review Overdue",IF(AG8-TODAY()&lt;=30,"Review Due Soon","Active"))))</f>
        <v/>
      </c>
      <c r="AO8" s="85">
        <f>IF($A8="","",IF(AH8="","NOT REVIEWED",IF(TODAY()-AH8&gt;90,"OVERDUE",IF(TODAY()-AH8&gt;76,"Due Soon","Current"))))</f>
        <v/>
      </c>
    </row>
    <row r="9" ht="15" customHeight="1" s="39">
      <c r="A9" s="85" t="n"/>
      <c r="B9" s="85" t="n"/>
      <c r="C9" s="85" t="n"/>
      <c r="D9" s="85" t="n"/>
      <c r="E9" s="85" t="n"/>
      <c r="F9" s="86" t="n"/>
      <c r="G9" s="86" t="n"/>
      <c r="H9" s="85" t="n"/>
      <c r="I9" s="85" t="n"/>
      <c r="J9" s="85" t="n"/>
      <c r="K9" s="85" t="n"/>
      <c r="L9" s="85" t="n"/>
      <c r="M9" s="85" t="n"/>
      <c r="N9" s="85" t="n"/>
      <c r="O9" s="85" t="n"/>
      <c r="P9" s="85" t="n"/>
      <c r="Q9" s="85" t="n"/>
      <c r="R9" s="85" t="n"/>
      <c r="S9" s="85" t="n"/>
      <c r="T9" s="85" t="n"/>
      <c r="U9" s="85" t="n"/>
      <c r="V9" s="85" t="n"/>
      <c r="W9" s="85" t="n"/>
      <c r="X9" s="85" t="n"/>
      <c r="Y9" s="85" t="n"/>
      <c r="Z9" s="85" t="n"/>
      <c r="AA9" s="85" t="n"/>
      <c r="AB9" s="85" t="n"/>
      <c r="AC9" s="85" t="n"/>
      <c r="AD9" s="85" t="n"/>
      <c r="AE9" s="85" t="n"/>
      <c r="AF9" s="86" t="n"/>
      <c r="AG9" s="86" t="n"/>
      <c r="AH9" s="86" t="n"/>
      <c r="AI9" s="85" t="n"/>
      <c r="AJ9" s="85" t="n"/>
      <c r="AK9" s="85">
        <f>IF($A9="","",IF($M9&gt;0,"Yes","No"))</f>
        <v/>
      </c>
      <c r="AL9" s="85">
        <f>IF($A9="","",IF(AND($E9="Yes",OR($Y9="No",$Y9="NOT FOUND")),"YES",""))</f>
        <v/>
      </c>
      <c r="AM9" s="85">
        <f>IF($A9="","",TRIM(IF(AND($P9=0,$I9&lt;&gt;"Yes"),"T0-NoPhishResistant ","")&amp;IF($H9="No","NoMFA ","")&amp;IF(AND($P9=0,$M9&gt;0),"T0-Standing ","")&amp;IF(AND($P9=0,$Q9="Group only"),"T0-ViaGroupOnly ","")&amp;IF($W9="Yes","AlsoAzureRBAC ","")))</f>
        <v/>
      </c>
      <c r="AN9" s="85">
        <f>IF($A9="","",IF(AG9="","Not Enrolled",IF(TODAY()&gt;AG9,"Review Overdue",IF(AG9-TODAY()&lt;=30,"Review Due Soon","Active"))))</f>
        <v/>
      </c>
      <c r="AO9" s="85">
        <f>IF($A9="","",IF(AH9="","NOT REVIEWED",IF(TODAY()-AH9&gt;90,"OVERDUE",IF(TODAY()-AH9&gt;76,"Due Soon","Current"))))</f>
        <v/>
      </c>
    </row>
    <row r="10" ht="15" customHeight="1" s="39">
      <c r="A10" s="85" t="n"/>
      <c r="B10" s="85" t="n"/>
      <c r="C10" s="85" t="n"/>
      <c r="D10" s="85" t="n"/>
      <c r="E10" s="85" t="n"/>
      <c r="F10" s="86" t="n"/>
      <c r="G10" s="86" t="n"/>
      <c r="H10" s="85" t="n"/>
      <c r="I10" s="85" t="n"/>
      <c r="J10" s="85" t="n"/>
      <c r="K10" s="85" t="n"/>
      <c r="L10" s="85" t="n"/>
      <c r="M10" s="85" t="n"/>
      <c r="N10" s="85" t="n"/>
      <c r="O10" s="85" t="n"/>
      <c r="P10" s="85" t="n"/>
      <c r="Q10" s="85" t="n"/>
      <c r="R10" s="85" t="n"/>
      <c r="S10" s="85" t="n"/>
      <c r="T10" s="85" t="n"/>
      <c r="U10" s="85" t="n"/>
      <c r="V10" s="85" t="n"/>
      <c r="W10" s="85" t="n"/>
      <c r="X10" s="85" t="n"/>
      <c r="Y10" s="85" t="n"/>
      <c r="Z10" s="85" t="n"/>
      <c r="AA10" s="85" t="n"/>
      <c r="AB10" s="85" t="n"/>
      <c r="AC10" s="85" t="n"/>
      <c r="AD10" s="85" t="n"/>
      <c r="AE10" s="85" t="n"/>
      <c r="AF10" s="86" t="n"/>
      <c r="AG10" s="86" t="n"/>
      <c r="AH10" s="86" t="n"/>
      <c r="AI10" s="85" t="n"/>
      <c r="AJ10" s="85" t="n"/>
      <c r="AK10" s="85">
        <f>IF($A10="","",IF($M10&gt;0,"Yes","No"))</f>
        <v/>
      </c>
      <c r="AL10" s="85">
        <f>IF($A10="","",IF(AND($E10="Yes",OR($Y10="No",$Y10="NOT FOUND")),"YES",""))</f>
        <v/>
      </c>
      <c r="AM10" s="85">
        <f>IF($A10="","",TRIM(IF(AND($P10=0,$I10&lt;&gt;"Yes"),"T0-NoPhishResistant ","")&amp;IF($H10="No","NoMFA ","")&amp;IF(AND($P10=0,$M10&gt;0),"T0-Standing ","")&amp;IF(AND($P10=0,$Q10="Group only"),"T0-ViaGroupOnly ","")&amp;IF($W10="Yes","AlsoAzureRBAC ","")))</f>
        <v/>
      </c>
      <c r="AN10" s="85">
        <f>IF($A10="","",IF(AG10="","Not Enrolled",IF(TODAY()&gt;AG10,"Review Overdue",IF(AG10-TODAY()&lt;=30,"Review Due Soon","Active"))))</f>
        <v/>
      </c>
      <c r="AO10" s="85">
        <f>IF($A10="","",IF(AH10="","NOT REVIEWED",IF(TODAY()-AH10&gt;90,"OVERDUE",IF(TODAY()-AH10&gt;76,"Due Soon","Current"))))</f>
        <v/>
      </c>
    </row>
    <row r="11" ht="15" customHeight="1" s="39">
      <c r="A11" s="85" t="n"/>
      <c r="B11" s="85" t="n"/>
      <c r="C11" s="85" t="n"/>
      <c r="D11" s="85" t="n"/>
      <c r="E11" s="85" t="n"/>
      <c r="F11" s="86" t="n"/>
      <c r="G11" s="86" t="n"/>
      <c r="H11" s="85" t="n"/>
      <c r="I11" s="85" t="n"/>
      <c r="J11" s="85" t="n"/>
      <c r="K11" s="85" t="n"/>
      <c r="L11" s="85" t="n"/>
      <c r="M11" s="85" t="n"/>
      <c r="N11" s="85" t="n"/>
      <c r="O11" s="85" t="n"/>
      <c r="P11" s="85" t="n"/>
      <c r="Q11" s="85" t="n"/>
      <c r="R11" s="85" t="n"/>
      <c r="S11" s="85" t="n"/>
      <c r="T11" s="85" t="n"/>
      <c r="U11" s="85" t="n"/>
      <c r="V11" s="85" t="n"/>
      <c r="W11" s="85" t="n"/>
      <c r="X11" s="85" t="n"/>
      <c r="Y11" s="85" t="n"/>
      <c r="Z11" s="85" t="n"/>
      <c r="AA11" s="85" t="n"/>
      <c r="AB11" s="85" t="n"/>
      <c r="AC11" s="85" t="n"/>
      <c r="AD11" s="85" t="n"/>
      <c r="AE11" s="85" t="n"/>
      <c r="AF11" s="86" t="n"/>
      <c r="AG11" s="86" t="n"/>
      <c r="AH11" s="86" t="n"/>
      <c r="AI11" s="85" t="n"/>
      <c r="AJ11" s="85" t="n"/>
      <c r="AK11" s="85">
        <f>IF($A11="","",IF($M11&gt;0,"Yes","No"))</f>
        <v/>
      </c>
      <c r="AL11" s="85">
        <f>IF($A11="","",IF(AND($E11="Yes",OR($Y11="No",$Y11="NOT FOUND")),"YES",""))</f>
        <v/>
      </c>
      <c r="AM11" s="85">
        <f>IF($A11="","",TRIM(IF(AND($P11=0,$I11&lt;&gt;"Yes"),"T0-NoPhishResistant ","")&amp;IF($H11="No","NoMFA ","")&amp;IF(AND($P11=0,$M11&gt;0),"T0-Standing ","")&amp;IF(AND($P11=0,$Q11="Group only"),"T0-ViaGroupOnly ","")&amp;IF($W11="Yes","AlsoAzureRBAC ","")))</f>
        <v/>
      </c>
      <c r="AN11" s="85">
        <f>IF($A11="","",IF(AG11="","Not Enrolled",IF(TODAY()&gt;AG11,"Review Overdue",IF(AG11-TODAY()&lt;=30,"Review Due Soon","Active"))))</f>
        <v/>
      </c>
      <c r="AO11" s="85">
        <f>IF($A11="","",IF(AH11="","NOT REVIEWED",IF(TODAY()-AH11&gt;90,"OVERDUE",IF(TODAY()-AH11&gt;76,"Due Soon","Current"))))</f>
        <v/>
      </c>
    </row>
    <row r="12" ht="15" customHeight="1" s="39">
      <c r="A12" s="85" t="n"/>
      <c r="B12" s="85" t="n"/>
      <c r="C12" s="85" t="n"/>
      <c r="D12" s="85" t="n"/>
      <c r="E12" s="85" t="n"/>
      <c r="F12" s="86" t="n"/>
      <c r="G12" s="86" t="n"/>
      <c r="H12" s="85" t="n"/>
      <c r="I12" s="85" t="n"/>
      <c r="J12" s="85" t="n"/>
      <c r="K12" s="85" t="n"/>
      <c r="L12" s="85" t="n"/>
      <c r="M12" s="85" t="n"/>
      <c r="N12" s="85" t="n"/>
      <c r="O12" s="85" t="n"/>
      <c r="P12" s="85" t="n"/>
      <c r="Q12" s="85" t="n"/>
      <c r="R12" s="85" t="n"/>
      <c r="S12" s="85" t="n"/>
      <c r="T12" s="85" t="n"/>
      <c r="U12" s="85" t="n"/>
      <c r="V12" s="85" t="n"/>
      <c r="W12" s="85" t="n"/>
      <c r="X12" s="85" t="n"/>
      <c r="Y12" s="85" t="n"/>
      <c r="Z12" s="85" t="n"/>
      <c r="AA12" s="85" t="n"/>
      <c r="AB12" s="85" t="n"/>
      <c r="AC12" s="85" t="n"/>
      <c r="AD12" s="85" t="n"/>
      <c r="AE12" s="85" t="n"/>
      <c r="AF12" s="86" t="n"/>
      <c r="AG12" s="86" t="n"/>
      <c r="AH12" s="86" t="n"/>
      <c r="AI12" s="85" t="n"/>
      <c r="AJ12" s="85" t="n"/>
      <c r="AK12" s="85">
        <f>IF($A12="","",IF($M12&gt;0,"Yes","No"))</f>
        <v/>
      </c>
      <c r="AL12" s="85">
        <f>IF($A12="","",IF(AND($E12="Yes",OR($Y12="No",$Y12="NOT FOUND")),"YES",""))</f>
        <v/>
      </c>
      <c r="AM12" s="85">
        <f>IF($A12="","",TRIM(IF(AND($P12=0,$I12&lt;&gt;"Yes"),"T0-NoPhishResistant ","")&amp;IF($H12="No","NoMFA ","")&amp;IF(AND($P12=0,$M12&gt;0),"T0-Standing ","")&amp;IF(AND($P12=0,$Q12="Group only"),"T0-ViaGroupOnly ","")&amp;IF($W12="Yes","AlsoAzureRBAC ","")))</f>
        <v/>
      </c>
      <c r="AN12" s="85">
        <f>IF($A12="","",IF(AG12="","Not Enrolled",IF(TODAY()&gt;AG12,"Review Overdue",IF(AG12-TODAY()&lt;=30,"Review Due Soon","Active"))))</f>
        <v/>
      </c>
      <c r="AO12" s="85">
        <f>IF($A12="","",IF(AH12="","NOT REVIEWED",IF(TODAY()-AH12&gt;90,"OVERDUE",IF(TODAY()-AH12&gt;76,"Due Soon","Current"))))</f>
        <v/>
      </c>
    </row>
    <row r="13" ht="15" customHeight="1" s="39">
      <c r="A13" s="85" t="n"/>
      <c r="B13" s="85" t="n"/>
      <c r="C13" s="85" t="n"/>
      <c r="D13" s="85" t="n"/>
      <c r="E13" s="85" t="n"/>
      <c r="F13" s="86" t="n"/>
      <c r="G13" s="86"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6" t="n"/>
      <c r="AG13" s="86" t="n"/>
      <c r="AH13" s="86" t="n"/>
      <c r="AI13" s="85" t="n"/>
      <c r="AJ13" s="85" t="n"/>
      <c r="AK13" s="85">
        <f>IF($A13="","",IF($M13&gt;0,"Yes","No"))</f>
        <v/>
      </c>
      <c r="AL13" s="85">
        <f>IF($A13="","",IF(AND($E13="Yes",OR($Y13="No",$Y13="NOT FOUND")),"YES",""))</f>
        <v/>
      </c>
      <c r="AM13" s="85">
        <f>IF($A13="","",TRIM(IF(AND($P13=0,$I13&lt;&gt;"Yes"),"T0-NoPhishResistant ","")&amp;IF($H13="No","NoMFA ","")&amp;IF(AND($P13=0,$M13&gt;0),"T0-Standing ","")&amp;IF(AND($P13=0,$Q13="Group only"),"T0-ViaGroupOnly ","")&amp;IF($W13="Yes","AlsoAzureRBAC ","")))</f>
        <v/>
      </c>
      <c r="AN13" s="85">
        <f>IF($A13="","",IF(AG13="","Not Enrolled",IF(TODAY()&gt;AG13,"Review Overdue",IF(AG13-TODAY()&lt;=30,"Review Due Soon","Active"))))</f>
        <v/>
      </c>
      <c r="AO13" s="85">
        <f>IF($A13="","",IF(AH13="","NOT REVIEWED",IF(TODAY()-AH13&gt;90,"OVERDUE",IF(TODAY()-AH13&gt;76,"Due Soon","Current"))))</f>
        <v/>
      </c>
    </row>
    <row r="14" ht="15" customHeight="1" s="39">
      <c r="A14" s="85" t="n"/>
      <c r="B14" s="85" t="n"/>
      <c r="C14" s="85" t="n"/>
      <c r="D14" s="85" t="n"/>
      <c r="E14" s="85" t="n"/>
      <c r="F14" s="86" t="n"/>
      <c r="G14" s="86" t="n"/>
      <c r="H14" s="85" t="n"/>
      <c r="I14" s="85" t="n"/>
      <c r="J14" s="85" t="n"/>
      <c r="K14" s="85" t="n"/>
      <c r="L14" s="85" t="n"/>
      <c r="M14" s="85" t="n"/>
      <c r="N14" s="85" t="n"/>
      <c r="O14" s="85" t="n"/>
      <c r="P14" s="85" t="n"/>
      <c r="Q14" s="85" t="n"/>
      <c r="R14" s="85" t="n"/>
      <c r="S14" s="85" t="n"/>
      <c r="T14" s="85" t="n"/>
      <c r="U14" s="85" t="n"/>
      <c r="V14" s="85" t="n"/>
      <c r="W14" s="85" t="n"/>
      <c r="X14" s="85" t="n"/>
      <c r="Y14" s="85" t="n"/>
      <c r="Z14" s="85" t="n"/>
      <c r="AA14" s="85" t="n"/>
      <c r="AB14" s="85" t="n"/>
      <c r="AC14" s="85" t="n"/>
      <c r="AD14" s="85" t="n"/>
      <c r="AE14" s="85" t="n"/>
      <c r="AF14" s="86" t="n"/>
      <c r="AG14" s="86" t="n"/>
      <c r="AH14" s="86" t="n"/>
      <c r="AI14" s="85" t="n"/>
      <c r="AJ14" s="85" t="n"/>
      <c r="AK14" s="85">
        <f>IF($A14="","",IF($M14&gt;0,"Yes","No"))</f>
        <v/>
      </c>
      <c r="AL14" s="85">
        <f>IF($A14="","",IF(AND($E14="Yes",OR($Y14="No",$Y14="NOT FOUND")),"YES",""))</f>
        <v/>
      </c>
      <c r="AM14" s="85">
        <f>IF($A14="","",TRIM(IF(AND($P14=0,$I14&lt;&gt;"Yes"),"T0-NoPhishResistant ","")&amp;IF($H14="No","NoMFA ","")&amp;IF(AND($P14=0,$M14&gt;0),"T0-Standing ","")&amp;IF(AND($P14=0,$Q14="Group only"),"T0-ViaGroupOnly ","")&amp;IF($W14="Yes","AlsoAzureRBAC ","")))</f>
        <v/>
      </c>
      <c r="AN14" s="85">
        <f>IF($A14="","",IF(AG14="","Not Enrolled",IF(TODAY()&gt;AG14,"Review Overdue",IF(AG14-TODAY()&lt;=30,"Review Due Soon","Active"))))</f>
        <v/>
      </c>
      <c r="AO14" s="85">
        <f>IF($A14="","",IF(AH14="","NOT REVIEWED",IF(TODAY()-AH14&gt;90,"OVERDUE",IF(TODAY()-AH14&gt;76,"Due Soon","Current"))))</f>
        <v/>
      </c>
    </row>
    <row r="15" ht="15" customHeight="1" s="39">
      <c r="A15" s="85" t="n"/>
      <c r="B15" s="85" t="n"/>
      <c r="C15" s="85" t="n"/>
      <c r="D15" s="85" t="n"/>
      <c r="E15" s="85" t="n"/>
      <c r="F15" s="86" t="n"/>
      <c r="G15" s="86" t="n"/>
      <c r="H15" s="85" t="n"/>
      <c r="I15" s="85" t="n"/>
      <c r="J15" s="85" t="n"/>
      <c r="K15" s="85" t="n"/>
      <c r="L15" s="85" t="n"/>
      <c r="M15" s="85" t="n"/>
      <c r="N15" s="85" t="n"/>
      <c r="O15" s="85" t="n"/>
      <c r="P15" s="85" t="n"/>
      <c r="Q15" s="85" t="n"/>
      <c r="R15" s="85" t="n"/>
      <c r="S15" s="85" t="n"/>
      <c r="T15" s="85" t="n"/>
      <c r="U15" s="85" t="n"/>
      <c r="V15" s="85" t="n"/>
      <c r="W15" s="85" t="n"/>
      <c r="X15" s="85" t="n"/>
      <c r="Y15" s="85" t="n"/>
      <c r="Z15" s="85" t="n"/>
      <c r="AA15" s="85" t="n"/>
      <c r="AB15" s="85" t="n"/>
      <c r="AC15" s="85" t="n"/>
      <c r="AD15" s="85" t="n"/>
      <c r="AE15" s="85" t="n"/>
      <c r="AF15" s="86" t="n"/>
      <c r="AG15" s="86" t="n"/>
      <c r="AH15" s="86" t="n"/>
      <c r="AI15" s="85" t="n"/>
      <c r="AJ15" s="85" t="n"/>
      <c r="AK15" s="85">
        <f>IF($A15="","",IF($M15&gt;0,"Yes","No"))</f>
        <v/>
      </c>
      <c r="AL15" s="85">
        <f>IF($A15="","",IF(AND($E15="Yes",OR($Y15="No",$Y15="NOT FOUND")),"YES",""))</f>
        <v/>
      </c>
      <c r="AM15" s="85">
        <f>IF($A15="","",TRIM(IF(AND($P15=0,$I15&lt;&gt;"Yes"),"T0-NoPhishResistant ","")&amp;IF($H15="No","NoMFA ","")&amp;IF(AND($P15=0,$M15&gt;0),"T0-Standing ","")&amp;IF(AND($P15=0,$Q15="Group only"),"T0-ViaGroupOnly ","")&amp;IF($W15="Yes","AlsoAzureRBAC ","")))</f>
        <v/>
      </c>
      <c r="AN15" s="85">
        <f>IF($A15="","",IF(AG15="","Not Enrolled",IF(TODAY()&gt;AG15,"Review Overdue",IF(AG15-TODAY()&lt;=30,"Review Due Soon","Active"))))</f>
        <v/>
      </c>
      <c r="AO15" s="85">
        <f>IF($A15="","",IF(AH15="","NOT REVIEWED",IF(TODAY()-AH15&gt;90,"OVERDUE",IF(TODAY()-AH15&gt;76,"Due Soon","Current"))))</f>
        <v/>
      </c>
    </row>
    <row r="16" ht="15" customHeight="1" s="39">
      <c r="A16" s="85" t="n"/>
      <c r="B16" s="85" t="n"/>
      <c r="C16" s="85" t="n"/>
      <c r="D16" s="85" t="n"/>
      <c r="E16" s="85" t="n"/>
      <c r="F16" s="86" t="n"/>
      <c r="G16" s="86" t="n"/>
      <c r="H16" s="85" t="n"/>
      <c r="I16" s="85" t="n"/>
      <c r="J16" s="85" t="n"/>
      <c r="K16" s="85" t="n"/>
      <c r="L16" s="85" t="n"/>
      <c r="M16" s="85" t="n"/>
      <c r="N16" s="85" t="n"/>
      <c r="O16" s="85" t="n"/>
      <c r="P16" s="85" t="n"/>
      <c r="Q16" s="85" t="n"/>
      <c r="R16" s="85" t="n"/>
      <c r="S16" s="85" t="n"/>
      <c r="T16" s="85" t="n"/>
      <c r="U16" s="85" t="n"/>
      <c r="V16" s="85" t="n"/>
      <c r="W16" s="85" t="n"/>
      <c r="X16" s="85" t="n"/>
      <c r="Y16" s="85" t="n"/>
      <c r="Z16" s="85" t="n"/>
      <c r="AA16" s="85" t="n"/>
      <c r="AB16" s="85" t="n"/>
      <c r="AC16" s="85" t="n"/>
      <c r="AD16" s="85" t="n"/>
      <c r="AE16" s="85" t="n"/>
      <c r="AF16" s="86" t="n"/>
      <c r="AG16" s="86" t="n"/>
      <c r="AH16" s="86" t="n"/>
      <c r="AI16" s="85" t="n"/>
      <c r="AJ16" s="85" t="n"/>
      <c r="AK16" s="85">
        <f>IF($A16="","",IF($M16&gt;0,"Yes","No"))</f>
        <v/>
      </c>
      <c r="AL16" s="85">
        <f>IF($A16="","",IF(AND($E16="Yes",OR($Y16="No",$Y16="NOT FOUND")),"YES",""))</f>
        <v/>
      </c>
      <c r="AM16" s="85">
        <f>IF($A16="","",TRIM(IF(AND($P16=0,$I16&lt;&gt;"Yes"),"T0-NoPhishResistant ","")&amp;IF($H16="No","NoMFA ","")&amp;IF(AND($P16=0,$M16&gt;0),"T0-Standing ","")&amp;IF(AND($P16=0,$Q16="Group only"),"T0-ViaGroupOnly ","")&amp;IF($W16="Yes","AlsoAzureRBAC ","")))</f>
        <v/>
      </c>
      <c r="AN16" s="85">
        <f>IF($A16="","",IF(AG16="","Not Enrolled",IF(TODAY()&gt;AG16,"Review Overdue",IF(AG16-TODAY()&lt;=30,"Review Due Soon","Active"))))</f>
        <v/>
      </c>
      <c r="AO16" s="85">
        <f>IF($A16="","",IF(AH16="","NOT REVIEWED",IF(TODAY()-AH16&gt;90,"OVERDUE",IF(TODAY()-AH16&gt;76,"Due Soon","Current"))))</f>
        <v/>
      </c>
    </row>
    <row r="17" ht="15" customHeight="1" s="39">
      <c r="A17" s="85" t="n"/>
      <c r="B17" s="85" t="n"/>
      <c r="C17" s="85" t="n"/>
      <c r="D17" s="85" t="n"/>
      <c r="E17" s="85" t="n"/>
      <c r="F17" s="86" t="n"/>
      <c r="G17" s="86" t="n"/>
      <c r="H17" s="85" t="n"/>
      <c r="I17" s="85" t="n"/>
      <c r="J17" s="85" t="n"/>
      <c r="K17" s="85" t="n"/>
      <c r="L17" s="85" t="n"/>
      <c r="M17" s="85" t="n"/>
      <c r="N17" s="85" t="n"/>
      <c r="O17" s="85" t="n"/>
      <c r="P17" s="85" t="n"/>
      <c r="Q17" s="85" t="n"/>
      <c r="R17" s="85" t="n"/>
      <c r="S17" s="85" t="n"/>
      <c r="T17" s="85" t="n"/>
      <c r="U17" s="85" t="n"/>
      <c r="V17" s="85" t="n"/>
      <c r="W17" s="85" t="n"/>
      <c r="X17" s="85" t="n"/>
      <c r="Y17" s="85" t="n"/>
      <c r="Z17" s="85" t="n"/>
      <c r="AA17" s="85" t="n"/>
      <c r="AB17" s="85" t="n"/>
      <c r="AC17" s="85" t="n"/>
      <c r="AD17" s="85" t="n"/>
      <c r="AE17" s="85" t="n"/>
      <c r="AF17" s="86" t="n"/>
      <c r="AG17" s="86" t="n"/>
      <c r="AH17" s="86" t="n"/>
      <c r="AI17" s="85" t="n"/>
      <c r="AJ17" s="85" t="n"/>
      <c r="AK17" s="85">
        <f>IF($A17="","",IF($M17&gt;0,"Yes","No"))</f>
        <v/>
      </c>
      <c r="AL17" s="85">
        <f>IF($A17="","",IF(AND($E17="Yes",OR($Y17="No",$Y17="NOT FOUND")),"YES",""))</f>
        <v/>
      </c>
      <c r="AM17" s="85">
        <f>IF($A17="","",TRIM(IF(AND($P17=0,$I17&lt;&gt;"Yes"),"T0-NoPhishResistant ","")&amp;IF($H17="No","NoMFA ","")&amp;IF(AND($P17=0,$M17&gt;0),"T0-Standing ","")&amp;IF(AND($P17=0,$Q17="Group only"),"T0-ViaGroupOnly ","")&amp;IF($W17="Yes","AlsoAzureRBAC ","")))</f>
        <v/>
      </c>
      <c r="AN17" s="85">
        <f>IF($A17="","",IF(AG17="","Not Enrolled",IF(TODAY()&gt;AG17,"Review Overdue",IF(AG17-TODAY()&lt;=30,"Review Due Soon","Active"))))</f>
        <v/>
      </c>
      <c r="AO17" s="85">
        <f>IF($A17="","",IF(AH17="","NOT REVIEWED",IF(TODAY()-AH17&gt;90,"OVERDUE",IF(TODAY()-AH17&gt;76,"Due Soon","Current"))))</f>
        <v/>
      </c>
    </row>
    <row r="18" ht="15" customHeight="1" s="39">
      <c r="A18" s="85" t="n"/>
      <c r="B18" s="85" t="n"/>
      <c r="C18" s="85" t="n"/>
      <c r="D18" s="85" t="n"/>
      <c r="E18" s="85" t="n"/>
      <c r="F18" s="86" t="n"/>
      <c r="G18" s="86" t="n"/>
      <c r="H18" s="85" t="n"/>
      <c r="I18" s="85" t="n"/>
      <c r="J18" s="85" t="n"/>
      <c r="K18" s="85" t="n"/>
      <c r="L18" s="85" t="n"/>
      <c r="M18" s="85" t="n"/>
      <c r="N18" s="85" t="n"/>
      <c r="O18" s="85" t="n"/>
      <c r="P18" s="85" t="n"/>
      <c r="Q18" s="85" t="n"/>
      <c r="R18" s="85" t="n"/>
      <c r="S18" s="85" t="n"/>
      <c r="T18" s="85" t="n"/>
      <c r="U18" s="85" t="n"/>
      <c r="V18" s="85" t="n"/>
      <c r="W18" s="85" t="n"/>
      <c r="X18" s="85" t="n"/>
      <c r="Y18" s="85" t="n"/>
      <c r="Z18" s="85" t="n"/>
      <c r="AA18" s="85" t="n"/>
      <c r="AB18" s="85" t="n"/>
      <c r="AC18" s="85" t="n"/>
      <c r="AD18" s="85" t="n"/>
      <c r="AE18" s="85" t="n"/>
      <c r="AF18" s="86" t="n"/>
      <c r="AG18" s="86" t="n"/>
      <c r="AH18" s="86" t="n"/>
      <c r="AI18" s="85" t="n"/>
      <c r="AJ18" s="85" t="n"/>
      <c r="AK18" s="85">
        <f>IF($A18="","",IF($M18&gt;0,"Yes","No"))</f>
        <v/>
      </c>
      <c r="AL18" s="85">
        <f>IF($A18="","",IF(AND($E18="Yes",OR($Y18="No",$Y18="NOT FOUND")),"YES",""))</f>
        <v/>
      </c>
      <c r="AM18" s="85">
        <f>IF($A18="","",TRIM(IF(AND($P18=0,$I18&lt;&gt;"Yes"),"T0-NoPhishResistant ","")&amp;IF($H18="No","NoMFA ","")&amp;IF(AND($P18=0,$M18&gt;0),"T0-Standing ","")&amp;IF(AND($P18=0,$Q18="Group only"),"T0-ViaGroupOnly ","")&amp;IF($W18="Yes","AlsoAzureRBAC ","")))</f>
        <v/>
      </c>
      <c r="AN18" s="85">
        <f>IF($A18="","",IF(AG18="","Not Enrolled",IF(TODAY()&gt;AG18,"Review Overdue",IF(AG18-TODAY()&lt;=30,"Review Due Soon","Active"))))</f>
        <v/>
      </c>
      <c r="AO18" s="85">
        <f>IF($A18="","",IF(AH18="","NOT REVIEWED",IF(TODAY()-AH18&gt;90,"OVERDUE",IF(TODAY()-AH18&gt;76,"Due Soon","Current"))))</f>
        <v/>
      </c>
    </row>
    <row r="19" ht="15" customHeight="1" s="39">
      <c r="A19" s="85" t="n"/>
      <c r="B19" s="85" t="n"/>
      <c r="C19" s="85" t="n"/>
      <c r="D19" s="85" t="n"/>
      <c r="E19" s="85" t="n"/>
      <c r="F19" s="86" t="n"/>
      <c r="G19" s="86" t="n"/>
      <c r="H19" s="85" t="n"/>
      <c r="I19" s="85" t="n"/>
      <c r="J19" s="85" t="n"/>
      <c r="K19" s="85" t="n"/>
      <c r="L19" s="85" t="n"/>
      <c r="M19" s="85" t="n"/>
      <c r="N19" s="85" t="n"/>
      <c r="O19" s="85" t="n"/>
      <c r="P19" s="85" t="n"/>
      <c r="Q19" s="85" t="n"/>
      <c r="R19" s="85" t="n"/>
      <c r="S19" s="85" t="n"/>
      <c r="T19" s="85" t="n"/>
      <c r="U19" s="85" t="n"/>
      <c r="V19" s="85" t="n"/>
      <c r="W19" s="85" t="n"/>
      <c r="X19" s="85" t="n"/>
      <c r="Y19" s="85" t="n"/>
      <c r="Z19" s="85" t="n"/>
      <c r="AA19" s="85" t="n"/>
      <c r="AB19" s="85" t="n"/>
      <c r="AC19" s="85" t="n"/>
      <c r="AD19" s="85" t="n"/>
      <c r="AE19" s="85" t="n"/>
      <c r="AF19" s="86" t="n"/>
      <c r="AG19" s="86" t="n"/>
      <c r="AH19" s="86" t="n"/>
      <c r="AI19" s="85" t="n"/>
      <c r="AJ19" s="85" t="n"/>
      <c r="AK19" s="85">
        <f>IF($A19="","",IF($M19&gt;0,"Yes","No"))</f>
        <v/>
      </c>
      <c r="AL19" s="85">
        <f>IF($A19="","",IF(AND($E19="Yes",OR($Y19="No",$Y19="NOT FOUND")),"YES",""))</f>
        <v/>
      </c>
      <c r="AM19" s="85">
        <f>IF($A19="","",TRIM(IF(AND($P19=0,$I19&lt;&gt;"Yes"),"T0-NoPhishResistant ","")&amp;IF($H19="No","NoMFA ","")&amp;IF(AND($P19=0,$M19&gt;0),"T0-Standing ","")&amp;IF(AND($P19=0,$Q19="Group only"),"T0-ViaGroupOnly ","")&amp;IF($W19="Yes","AlsoAzureRBAC ","")))</f>
        <v/>
      </c>
      <c r="AN19" s="85">
        <f>IF($A19="","",IF(AG19="","Not Enrolled",IF(TODAY()&gt;AG19,"Review Overdue",IF(AG19-TODAY()&lt;=30,"Review Due Soon","Active"))))</f>
        <v/>
      </c>
      <c r="AO19" s="85">
        <f>IF($A19="","",IF(AH19="","NOT REVIEWED",IF(TODAY()-AH19&gt;90,"OVERDUE",IF(TODAY()-AH19&gt;76,"Due Soon","Current"))))</f>
        <v/>
      </c>
    </row>
    <row r="20" ht="15" customHeight="1" s="39">
      <c r="A20" s="85" t="n"/>
      <c r="B20" s="85" t="n"/>
      <c r="C20" s="85" t="n"/>
      <c r="D20" s="85" t="n"/>
      <c r="E20" s="85" t="n"/>
      <c r="F20" s="86" t="n"/>
      <c r="G20" s="86" t="n"/>
      <c r="H20" s="85" t="n"/>
      <c r="I20" s="85" t="n"/>
      <c r="J20" s="85" t="n"/>
      <c r="K20" s="85" t="n"/>
      <c r="L20" s="85" t="n"/>
      <c r="M20" s="85" t="n"/>
      <c r="N20" s="85" t="n"/>
      <c r="O20" s="85" t="n"/>
      <c r="P20" s="85" t="n"/>
      <c r="Q20" s="85" t="n"/>
      <c r="R20" s="85" t="n"/>
      <c r="S20" s="85" t="n"/>
      <c r="T20" s="85" t="n"/>
      <c r="U20" s="85" t="n"/>
      <c r="V20" s="85" t="n"/>
      <c r="W20" s="85" t="n"/>
      <c r="X20" s="85" t="n"/>
      <c r="Y20" s="85" t="n"/>
      <c r="Z20" s="85" t="n"/>
      <c r="AA20" s="85" t="n"/>
      <c r="AB20" s="85" t="n"/>
      <c r="AC20" s="85" t="n"/>
      <c r="AD20" s="85" t="n"/>
      <c r="AE20" s="85" t="n"/>
      <c r="AF20" s="86" t="n"/>
      <c r="AG20" s="86" t="n"/>
      <c r="AH20" s="86" t="n"/>
      <c r="AI20" s="85" t="n"/>
      <c r="AJ20" s="85" t="n"/>
      <c r="AK20" s="85">
        <f>IF($A20="","",IF($M20&gt;0,"Yes","No"))</f>
        <v/>
      </c>
      <c r="AL20" s="85">
        <f>IF($A20="","",IF(AND($E20="Yes",OR($Y20="No",$Y20="NOT FOUND")),"YES",""))</f>
        <v/>
      </c>
      <c r="AM20" s="85">
        <f>IF($A20="","",TRIM(IF(AND($P20=0,$I20&lt;&gt;"Yes"),"T0-NoPhishResistant ","")&amp;IF($H20="No","NoMFA ","")&amp;IF(AND($P20=0,$M20&gt;0),"T0-Standing ","")&amp;IF(AND($P20=0,$Q20="Group only"),"T0-ViaGroupOnly ","")&amp;IF($W20="Yes","AlsoAzureRBAC ","")))</f>
        <v/>
      </c>
      <c r="AN20" s="85">
        <f>IF($A20="","",IF(AG20="","Not Enrolled",IF(TODAY()&gt;AG20,"Review Overdue",IF(AG20-TODAY()&lt;=30,"Review Due Soon","Active"))))</f>
        <v/>
      </c>
      <c r="AO20" s="85">
        <f>IF($A20="","",IF(AH20="","NOT REVIEWED",IF(TODAY()-AH20&gt;90,"OVERDUE",IF(TODAY()-AH20&gt;76,"Due Soon","Current"))))</f>
        <v/>
      </c>
    </row>
    <row r="21" ht="15" customHeight="1" s="39">
      <c r="A21" s="85" t="n"/>
      <c r="B21" s="85" t="n"/>
      <c r="C21" s="85" t="n"/>
      <c r="D21" s="85" t="n"/>
      <c r="E21" s="85" t="n"/>
      <c r="F21" s="86" t="n"/>
      <c r="G21" s="86" t="n"/>
      <c r="H21" s="85" t="n"/>
      <c r="I21" s="85" t="n"/>
      <c r="J21" s="85" t="n"/>
      <c r="K21" s="85" t="n"/>
      <c r="L21" s="85" t="n"/>
      <c r="M21" s="85" t="n"/>
      <c r="N21" s="85" t="n"/>
      <c r="O21" s="85" t="n"/>
      <c r="P21" s="85" t="n"/>
      <c r="Q21" s="85" t="n"/>
      <c r="R21" s="85" t="n"/>
      <c r="S21" s="85" t="n"/>
      <c r="T21" s="85" t="n"/>
      <c r="U21" s="85" t="n"/>
      <c r="V21" s="85" t="n"/>
      <c r="W21" s="85" t="n"/>
      <c r="X21" s="85" t="n"/>
      <c r="Y21" s="85" t="n"/>
      <c r="Z21" s="85" t="n"/>
      <c r="AA21" s="85" t="n"/>
      <c r="AB21" s="85" t="n"/>
      <c r="AC21" s="85" t="n"/>
      <c r="AD21" s="85" t="n"/>
      <c r="AE21" s="85" t="n"/>
      <c r="AF21" s="86" t="n"/>
      <c r="AG21" s="86" t="n"/>
      <c r="AH21" s="86" t="n"/>
      <c r="AI21" s="85" t="n"/>
      <c r="AJ21" s="85" t="n"/>
      <c r="AK21" s="85">
        <f>IF($A21="","",IF($M21&gt;0,"Yes","No"))</f>
        <v/>
      </c>
      <c r="AL21" s="85">
        <f>IF($A21="","",IF(AND($E21="Yes",OR($Y21="No",$Y21="NOT FOUND")),"YES",""))</f>
        <v/>
      </c>
      <c r="AM21" s="85">
        <f>IF($A21="","",TRIM(IF(AND($P21=0,$I21&lt;&gt;"Yes"),"T0-NoPhishResistant ","")&amp;IF($H21="No","NoMFA ","")&amp;IF(AND($P21=0,$M21&gt;0),"T0-Standing ","")&amp;IF(AND($P21=0,$Q21="Group only"),"T0-ViaGroupOnly ","")&amp;IF($W21="Yes","AlsoAzureRBAC ","")))</f>
        <v/>
      </c>
      <c r="AN21" s="85">
        <f>IF($A21="","",IF(AG21="","Not Enrolled",IF(TODAY()&gt;AG21,"Review Overdue",IF(AG21-TODAY()&lt;=30,"Review Due Soon","Active"))))</f>
        <v/>
      </c>
      <c r="AO21" s="85">
        <f>IF($A21="","",IF(AH21="","NOT REVIEWED",IF(TODAY()-AH21&gt;90,"OVERDUE",IF(TODAY()-AH21&gt;76,"Due Soon","Current"))))</f>
        <v/>
      </c>
    </row>
    <row r="22" ht="15" customHeight="1" s="39">
      <c r="A22" s="85" t="n"/>
      <c r="B22" s="85" t="n"/>
      <c r="C22" s="85" t="n"/>
      <c r="D22" s="85" t="n"/>
      <c r="E22" s="85" t="n"/>
      <c r="F22" s="86" t="n"/>
      <c r="G22" s="86" t="n"/>
      <c r="H22" s="85" t="n"/>
      <c r="I22" s="85" t="n"/>
      <c r="J22" s="85" t="n"/>
      <c r="K22" s="85" t="n"/>
      <c r="L22" s="85" t="n"/>
      <c r="M22" s="85" t="n"/>
      <c r="N22" s="85" t="n"/>
      <c r="O22" s="85" t="n"/>
      <c r="P22" s="85" t="n"/>
      <c r="Q22" s="85" t="n"/>
      <c r="R22" s="85" t="n"/>
      <c r="S22" s="85" t="n"/>
      <c r="T22" s="85" t="n"/>
      <c r="U22" s="85" t="n"/>
      <c r="V22" s="85" t="n"/>
      <c r="W22" s="85" t="n"/>
      <c r="X22" s="85" t="n"/>
      <c r="Y22" s="85" t="n"/>
      <c r="Z22" s="85" t="n"/>
      <c r="AA22" s="85" t="n"/>
      <c r="AB22" s="85" t="n"/>
      <c r="AC22" s="85" t="n"/>
      <c r="AD22" s="85" t="n"/>
      <c r="AE22" s="85" t="n"/>
      <c r="AF22" s="86" t="n"/>
      <c r="AG22" s="86" t="n"/>
      <c r="AH22" s="86" t="n"/>
      <c r="AI22" s="85" t="n"/>
      <c r="AJ22" s="85" t="n"/>
      <c r="AK22" s="85">
        <f>IF($A22="","",IF($M22&gt;0,"Yes","No"))</f>
        <v/>
      </c>
      <c r="AL22" s="85">
        <f>IF($A22="","",IF(AND($E22="Yes",OR($Y22="No",$Y22="NOT FOUND")),"YES",""))</f>
        <v/>
      </c>
      <c r="AM22" s="85">
        <f>IF($A22="","",TRIM(IF(AND($P22=0,$I22&lt;&gt;"Yes"),"T0-NoPhishResistant ","")&amp;IF($H22="No","NoMFA ","")&amp;IF(AND($P22=0,$M22&gt;0),"T0-Standing ","")&amp;IF(AND($P22=0,$Q22="Group only"),"T0-ViaGroupOnly ","")&amp;IF($W22="Yes","AlsoAzureRBAC ","")))</f>
        <v/>
      </c>
      <c r="AN22" s="85">
        <f>IF($A22="","",IF(AG22="","Not Enrolled",IF(TODAY()&gt;AG22,"Review Overdue",IF(AG22-TODAY()&lt;=30,"Review Due Soon","Active"))))</f>
        <v/>
      </c>
      <c r="AO22" s="85">
        <f>IF($A22="","",IF(AH22="","NOT REVIEWED",IF(TODAY()-AH22&gt;90,"OVERDUE",IF(TODAY()-AH22&gt;76,"Due Soon","Current"))))</f>
        <v/>
      </c>
    </row>
    <row r="23" ht="15" customHeight="1" s="39">
      <c r="A23" s="85" t="n"/>
      <c r="B23" s="85" t="n"/>
      <c r="C23" s="85" t="n"/>
      <c r="D23" s="85" t="n"/>
      <c r="E23" s="85" t="n"/>
      <c r="F23" s="86" t="n"/>
      <c r="G23" s="86" t="n"/>
      <c r="H23" s="85" t="n"/>
      <c r="I23" s="85" t="n"/>
      <c r="J23" s="85" t="n"/>
      <c r="K23" s="85" t="n"/>
      <c r="L23" s="85" t="n"/>
      <c r="M23" s="85" t="n"/>
      <c r="N23" s="85" t="n"/>
      <c r="O23" s="85" t="n"/>
      <c r="P23" s="85" t="n"/>
      <c r="Q23" s="85" t="n"/>
      <c r="R23" s="85" t="n"/>
      <c r="S23" s="85" t="n"/>
      <c r="T23" s="85" t="n"/>
      <c r="U23" s="85" t="n"/>
      <c r="V23" s="85" t="n"/>
      <c r="W23" s="85" t="n"/>
      <c r="X23" s="85" t="n"/>
      <c r="Y23" s="85" t="n"/>
      <c r="Z23" s="85" t="n"/>
      <c r="AA23" s="85" t="n"/>
      <c r="AB23" s="85" t="n"/>
      <c r="AC23" s="85" t="n"/>
      <c r="AD23" s="85" t="n"/>
      <c r="AE23" s="85" t="n"/>
      <c r="AF23" s="86" t="n"/>
      <c r="AG23" s="86" t="n"/>
      <c r="AH23" s="86" t="n"/>
      <c r="AI23" s="85" t="n"/>
      <c r="AJ23" s="85" t="n"/>
      <c r="AK23" s="85">
        <f>IF($A23="","",IF($M23&gt;0,"Yes","No"))</f>
        <v/>
      </c>
      <c r="AL23" s="85">
        <f>IF($A23="","",IF(AND($E23="Yes",OR($Y23="No",$Y23="NOT FOUND")),"YES",""))</f>
        <v/>
      </c>
      <c r="AM23" s="85">
        <f>IF($A23="","",TRIM(IF(AND($P23=0,$I23&lt;&gt;"Yes"),"T0-NoPhishResistant ","")&amp;IF($H23="No","NoMFA ","")&amp;IF(AND($P23=0,$M23&gt;0),"T0-Standing ","")&amp;IF(AND($P23=0,$Q23="Group only"),"T0-ViaGroupOnly ","")&amp;IF($W23="Yes","AlsoAzureRBAC ","")))</f>
        <v/>
      </c>
      <c r="AN23" s="85">
        <f>IF($A23="","",IF(AG23="","Not Enrolled",IF(TODAY()&gt;AG23,"Review Overdue",IF(AG23-TODAY()&lt;=30,"Review Due Soon","Active"))))</f>
        <v/>
      </c>
      <c r="AO23" s="85">
        <f>IF($A23="","",IF(AH23="","NOT REVIEWED",IF(TODAY()-AH23&gt;90,"OVERDUE",IF(TODAY()-AH23&gt;76,"Due Soon","Current"))))</f>
        <v/>
      </c>
    </row>
    <row r="24" ht="15" customHeight="1" s="39">
      <c r="A24" s="85" t="n"/>
      <c r="B24" s="85" t="n"/>
      <c r="C24" s="85" t="n"/>
      <c r="D24" s="85" t="n"/>
      <c r="E24" s="85" t="n"/>
      <c r="F24" s="86" t="n"/>
      <c r="G24" s="86" t="n"/>
      <c r="H24" s="85" t="n"/>
      <c r="I24" s="85" t="n"/>
      <c r="J24" s="85" t="n"/>
      <c r="K24" s="85" t="n"/>
      <c r="L24" s="85" t="n"/>
      <c r="M24" s="85" t="n"/>
      <c r="N24" s="85" t="n"/>
      <c r="O24" s="85" t="n"/>
      <c r="P24" s="85" t="n"/>
      <c r="Q24" s="85" t="n"/>
      <c r="R24" s="85" t="n"/>
      <c r="S24" s="85" t="n"/>
      <c r="T24" s="85" t="n"/>
      <c r="U24" s="85" t="n"/>
      <c r="V24" s="85" t="n"/>
      <c r="W24" s="85" t="n"/>
      <c r="X24" s="85" t="n"/>
      <c r="Y24" s="85" t="n"/>
      <c r="Z24" s="85" t="n"/>
      <c r="AA24" s="85" t="n"/>
      <c r="AB24" s="85" t="n"/>
      <c r="AC24" s="85" t="n"/>
      <c r="AD24" s="85" t="n"/>
      <c r="AE24" s="85" t="n"/>
      <c r="AF24" s="86" t="n"/>
      <c r="AG24" s="86" t="n"/>
      <c r="AH24" s="86" t="n"/>
      <c r="AI24" s="85" t="n"/>
      <c r="AJ24" s="85" t="n"/>
      <c r="AK24" s="85">
        <f>IF($A24="","",IF($M24&gt;0,"Yes","No"))</f>
        <v/>
      </c>
      <c r="AL24" s="85">
        <f>IF($A24="","",IF(AND($E24="Yes",OR($Y24="No",$Y24="NOT FOUND")),"YES",""))</f>
        <v/>
      </c>
      <c r="AM24" s="85">
        <f>IF($A24="","",TRIM(IF(AND($P24=0,$I24&lt;&gt;"Yes"),"T0-NoPhishResistant ","")&amp;IF($H24="No","NoMFA ","")&amp;IF(AND($P24=0,$M24&gt;0),"T0-Standing ","")&amp;IF(AND($P24=0,$Q24="Group only"),"T0-ViaGroupOnly ","")&amp;IF($W24="Yes","AlsoAzureRBAC ","")))</f>
        <v/>
      </c>
      <c r="AN24" s="85">
        <f>IF($A24="","",IF(AG24="","Not Enrolled",IF(TODAY()&gt;AG24,"Review Overdue",IF(AG24-TODAY()&lt;=30,"Review Due Soon","Active"))))</f>
        <v/>
      </c>
      <c r="AO24" s="85">
        <f>IF($A24="","",IF(AH24="","NOT REVIEWED",IF(TODAY()-AH24&gt;90,"OVERDUE",IF(TODAY()-AH24&gt;76,"Due Soon","Current"))))</f>
        <v/>
      </c>
    </row>
    <row r="25" ht="15" customHeight="1" s="39">
      <c r="A25" s="85" t="n"/>
      <c r="B25" s="85" t="n"/>
      <c r="C25" s="85" t="n"/>
      <c r="D25" s="85" t="n"/>
      <c r="E25" s="85" t="n"/>
      <c r="F25" s="86" t="n"/>
      <c r="G25" s="86" t="n"/>
      <c r="H25" s="85" t="n"/>
      <c r="I25" s="85" t="n"/>
      <c r="J25" s="85" t="n"/>
      <c r="K25" s="85" t="n"/>
      <c r="L25" s="85" t="n"/>
      <c r="M25" s="85" t="n"/>
      <c r="N25" s="85" t="n"/>
      <c r="O25" s="85" t="n"/>
      <c r="P25" s="85" t="n"/>
      <c r="Q25" s="85" t="n"/>
      <c r="R25" s="85" t="n"/>
      <c r="S25" s="85" t="n"/>
      <c r="T25" s="85" t="n"/>
      <c r="U25" s="85" t="n"/>
      <c r="V25" s="85" t="n"/>
      <c r="W25" s="85" t="n"/>
      <c r="X25" s="85" t="n"/>
      <c r="Y25" s="85" t="n"/>
      <c r="Z25" s="85" t="n"/>
      <c r="AA25" s="85" t="n"/>
      <c r="AB25" s="85" t="n"/>
      <c r="AC25" s="85" t="n"/>
      <c r="AD25" s="85" t="n"/>
      <c r="AE25" s="85" t="n"/>
      <c r="AF25" s="86" t="n"/>
      <c r="AG25" s="86" t="n"/>
      <c r="AH25" s="86" t="n"/>
      <c r="AI25" s="85" t="n"/>
      <c r="AJ25" s="85" t="n"/>
      <c r="AK25" s="85">
        <f>IF($A25="","",IF($M25&gt;0,"Yes","No"))</f>
        <v/>
      </c>
      <c r="AL25" s="85">
        <f>IF($A25="","",IF(AND($E25="Yes",OR($Y25="No",$Y25="NOT FOUND")),"YES",""))</f>
        <v/>
      </c>
      <c r="AM25" s="85">
        <f>IF($A25="","",TRIM(IF(AND($P25=0,$I25&lt;&gt;"Yes"),"T0-NoPhishResistant ","")&amp;IF($H25="No","NoMFA ","")&amp;IF(AND($P25=0,$M25&gt;0),"T0-Standing ","")&amp;IF(AND($P25=0,$Q25="Group only"),"T0-ViaGroupOnly ","")&amp;IF($W25="Yes","AlsoAzureRBAC ","")))</f>
        <v/>
      </c>
      <c r="AN25" s="85">
        <f>IF($A25="","",IF(AG25="","Not Enrolled",IF(TODAY()&gt;AG25,"Review Overdue",IF(AG25-TODAY()&lt;=30,"Review Due Soon","Active"))))</f>
        <v/>
      </c>
      <c r="AO25" s="85">
        <f>IF($A25="","",IF(AH25="","NOT REVIEWED",IF(TODAY()-AH25&gt;90,"OVERDUE",IF(TODAY()-AH25&gt;76,"Due Soon","Current"))))</f>
        <v/>
      </c>
    </row>
    <row r="26" ht="15" customHeight="1" s="39">
      <c r="A26" s="85" t="n"/>
      <c r="B26" s="85" t="n"/>
      <c r="C26" s="85" t="n"/>
      <c r="D26" s="85" t="n"/>
      <c r="E26" s="85" t="n"/>
      <c r="F26" s="86" t="n"/>
      <c r="G26" s="86" t="n"/>
      <c r="H26" s="85" t="n"/>
      <c r="I26" s="85" t="n"/>
      <c r="J26" s="85" t="n"/>
      <c r="K26" s="85" t="n"/>
      <c r="L26" s="85" t="n"/>
      <c r="M26" s="85" t="n"/>
      <c r="N26" s="85" t="n"/>
      <c r="O26" s="85" t="n"/>
      <c r="P26" s="85" t="n"/>
      <c r="Q26" s="85" t="n"/>
      <c r="R26" s="85" t="n"/>
      <c r="S26" s="85" t="n"/>
      <c r="T26" s="85" t="n"/>
      <c r="U26" s="85" t="n"/>
      <c r="V26" s="85" t="n"/>
      <c r="W26" s="85" t="n"/>
      <c r="X26" s="85" t="n"/>
      <c r="Y26" s="85" t="n"/>
      <c r="Z26" s="85" t="n"/>
      <c r="AA26" s="85" t="n"/>
      <c r="AB26" s="85" t="n"/>
      <c r="AC26" s="85" t="n"/>
      <c r="AD26" s="85" t="n"/>
      <c r="AE26" s="85" t="n"/>
      <c r="AF26" s="86" t="n"/>
      <c r="AG26" s="86" t="n"/>
      <c r="AH26" s="86" t="n"/>
      <c r="AI26" s="85" t="n"/>
      <c r="AJ26" s="85" t="n"/>
      <c r="AK26" s="85">
        <f>IF($A26="","",IF($M26&gt;0,"Yes","No"))</f>
        <v/>
      </c>
      <c r="AL26" s="85">
        <f>IF($A26="","",IF(AND($E26="Yes",OR($Y26="No",$Y26="NOT FOUND")),"YES",""))</f>
        <v/>
      </c>
      <c r="AM26" s="85">
        <f>IF($A26="","",TRIM(IF(AND($P26=0,$I26&lt;&gt;"Yes"),"T0-NoPhishResistant ","")&amp;IF($H26="No","NoMFA ","")&amp;IF(AND($P26=0,$M26&gt;0),"T0-Standing ","")&amp;IF(AND($P26=0,$Q26="Group only"),"T0-ViaGroupOnly ","")&amp;IF($W26="Yes","AlsoAzureRBAC ","")))</f>
        <v/>
      </c>
      <c r="AN26" s="85">
        <f>IF($A26="","",IF(AG26="","Not Enrolled",IF(TODAY()&gt;AG26,"Review Overdue",IF(AG26-TODAY()&lt;=30,"Review Due Soon","Active"))))</f>
        <v/>
      </c>
      <c r="AO26" s="85">
        <f>IF($A26="","",IF(AH26="","NOT REVIEWED",IF(TODAY()-AH26&gt;90,"OVERDUE",IF(TODAY()-AH26&gt;76,"Due Soon","Current"))))</f>
        <v/>
      </c>
    </row>
    <row r="27" ht="15" customHeight="1" s="39">
      <c r="A27" s="85" t="n"/>
      <c r="B27" s="85" t="n"/>
      <c r="C27" s="85" t="n"/>
      <c r="D27" s="85" t="n"/>
      <c r="E27" s="85" t="n"/>
      <c r="F27" s="86" t="n"/>
      <c r="G27" s="86" t="n"/>
      <c r="H27" s="85" t="n"/>
      <c r="I27" s="85" t="n"/>
      <c r="J27" s="85" t="n"/>
      <c r="K27" s="85" t="n"/>
      <c r="L27" s="85" t="n"/>
      <c r="M27" s="85" t="n"/>
      <c r="N27" s="85" t="n"/>
      <c r="O27" s="85" t="n"/>
      <c r="P27" s="85" t="n"/>
      <c r="Q27" s="85" t="n"/>
      <c r="R27" s="85" t="n"/>
      <c r="S27" s="85" t="n"/>
      <c r="T27" s="85" t="n"/>
      <c r="U27" s="85" t="n"/>
      <c r="V27" s="85" t="n"/>
      <c r="W27" s="85" t="n"/>
      <c r="X27" s="85" t="n"/>
      <c r="Y27" s="85" t="n"/>
      <c r="Z27" s="85" t="n"/>
      <c r="AA27" s="85" t="n"/>
      <c r="AB27" s="85" t="n"/>
      <c r="AC27" s="85" t="n"/>
      <c r="AD27" s="85" t="n"/>
      <c r="AE27" s="85" t="n"/>
      <c r="AF27" s="86" t="n"/>
      <c r="AG27" s="86" t="n"/>
      <c r="AH27" s="86" t="n"/>
      <c r="AI27" s="85" t="n"/>
      <c r="AJ27" s="85" t="n"/>
      <c r="AK27" s="85">
        <f>IF($A27="","",IF($M27&gt;0,"Yes","No"))</f>
        <v/>
      </c>
      <c r="AL27" s="85">
        <f>IF($A27="","",IF(AND($E27="Yes",OR($Y27="No",$Y27="NOT FOUND")),"YES",""))</f>
        <v/>
      </c>
      <c r="AM27" s="85">
        <f>IF($A27="","",TRIM(IF(AND($P27=0,$I27&lt;&gt;"Yes"),"T0-NoPhishResistant ","")&amp;IF($H27="No","NoMFA ","")&amp;IF(AND($P27=0,$M27&gt;0),"T0-Standing ","")&amp;IF(AND($P27=0,$Q27="Group only"),"T0-ViaGroupOnly ","")&amp;IF($W27="Yes","AlsoAzureRBAC ","")))</f>
        <v/>
      </c>
      <c r="AN27" s="85">
        <f>IF($A27="","",IF(AG27="","Not Enrolled",IF(TODAY()&gt;AG27,"Review Overdue",IF(AG27-TODAY()&lt;=30,"Review Due Soon","Active"))))</f>
        <v/>
      </c>
      <c r="AO27" s="85">
        <f>IF($A27="","",IF(AH27="","NOT REVIEWED",IF(TODAY()-AH27&gt;90,"OVERDUE",IF(TODAY()-AH27&gt;76,"Due Soon","Current"))))</f>
        <v/>
      </c>
    </row>
    <row r="28" ht="15" customHeight="1" s="39">
      <c r="A28" s="85" t="n"/>
      <c r="B28" s="85" t="n"/>
      <c r="C28" s="85" t="n"/>
      <c r="D28" s="85" t="n"/>
      <c r="E28" s="85" t="n"/>
      <c r="F28" s="86" t="n"/>
      <c r="G28" s="86" t="n"/>
      <c r="H28" s="85" t="n"/>
      <c r="I28" s="85" t="n"/>
      <c r="J28" s="85" t="n"/>
      <c r="K28" s="85" t="n"/>
      <c r="L28" s="85" t="n"/>
      <c r="M28" s="85" t="n"/>
      <c r="N28" s="85" t="n"/>
      <c r="O28" s="85" t="n"/>
      <c r="P28" s="85" t="n"/>
      <c r="Q28" s="85" t="n"/>
      <c r="R28" s="85" t="n"/>
      <c r="S28" s="85" t="n"/>
      <c r="T28" s="85" t="n"/>
      <c r="U28" s="85" t="n"/>
      <c r="V28" s="85" t="n"/>
      <c r="W28" s="85" t="n"/>
      <c r="X28" s="85" t="n"/>
      <c r="Y28" s="85" t="n"/>
      <c r="Z28" s="85" t="n"/>
      <c r="AA28" s="85" t="n"/>
      <c r="AB28" s="85" t="n"/>
      <c r="AC28" s="85" t="n"/>
      <c r="AD28" s="85" t="n"/>
      <c r="AE28" s="85" t="n"/>
      <c r="AF28" s="86" t="n"/>
      <c r="AG28" s="86" t="n"/>
      <c r="AH28" s="86" t="n"/>
      <c r="AI28" s="85" t="n"/>
      <c r="AJ28" s="85" t="n"/>
      <c r="AK28" s="85">
        <f>IF($A28="","",IF($M28&gt;0,"Yes","No"))</f>
        <v/>
      </c>
      <c r="AL28" s="85">
        <f>IF($A28="","",IF(AND($E28="Yes",OR($Y28="No",$Y28="NOT FOUND")),"YES",""))</f>
        <v/>
      </c>
      <c r="AM28" s="85">
        <f>IF($A28="","",TRIM(IF(AND($P28=0,$I28&lt;&gt;"Yes"),"T0-NoPhishResistant ","")&amp;IF($H28="No","NoMFA ","")&amp;IF(AND($P28=0,$M28&gt;0),"T0-Standing ","")&amp;IF(AND($P28=0,$Q28="Group only"),"T0-ViaGroupOnly ","")&amp;IF($W28="Yes","AlsoAzureRBAC ","")))</f>
        <v/>
      </c>
      <c r="AN28" s="85">
        <f>IF($A28="","",IF(AG28="","Not Enrolled",IF(TODAY()&gt;AG28,"Review Overdue",IF(AG28-TODAY()&lt;=30,"Review Due Soon","Active"))))</f>
        <v/>
      </c>
      <c r="AO28" s="85">
        <f>IF($A28="","",IF(AH28="","NOT REVIEWED",IF(TODAY()-AH28&gt;90,"OVERDUE",IF(TODAY()-AH28&gt;76,"Due Soon","Current"))))</f>
        <v/>
      </c>
    </row>
    <row r="29" ht="15" customHeight="1" s="39">
      <c r="A29" s="85" t="n"/>
      <c r="B29" s="85" t="n"/>
      <c r="C29" s="85" t="n"/>
      <c r="D29" s="85" t="n"/>
      <c r="E29" s="85" t="n"/>
      <c r="F29" s="86" t="n"/>
      <c r="G29" s="86" t="n"/>
      <c r="H29" s="85" t="n"/>
      <c r="I29" s="85" t="n"/>
      <c r="J29" s="85" t="n"/>
      <c r="K29" s="85" t="n"/>
      <c r="L29" s="85" t="n"/>
      <c r="M29" s="85" t="n"/>
      <c r="N29" s="85" t="n"/>
      <c r="O29" s="85" t="n"/>
      <c r="P29" s="85" t="n"/>
      <c r="Q29" s="85" t="n"/>
      <c r="R29" s="85" t="n"/>
      <c r="S29" s="85" t="n"/>
      <c r="T29" s="85" t="n"/>
      <c r="U29" s="85" t="n"/>
      <c r="V29" s="85" t="n"/>
      <c r="W29" s="85" t="n"/>
      <c r="X29" s="85" t="n"/>
      <c r="Y29" s="85" t="n"/>
      <c r="Z29" s="85" t="n"/>
      <c r="AA29" s="85" t="n"/>
      <c r="AB29" s="85" t="n"/>
      <c r="AC29" s="85" t="n"/>
      <c r="AD29" s="85" t="n"/>
      <c r="AE29" s="85" t="n"/>
      <c r="AF29" s="86" t="n"/>
      <c r="AG29" s="86" t="n"/>
      <c r="AH29" s="86" t="n"/>
      <c r="AI29" s="85" t="n"/>
      <c r="AJ29" s="85" t="n"/>
      <c r="AK29" s="85">
        <f>IF($A29="","",IF($M29&gt;0,"Yes","No"))</f>
        <v/>
      </c>
      <c r="AL29" s="85">
        <f>IF($A29="","",IF(AND($E29="Yes",OR($Y29="No",$Y29="NOT FOUND")),"YES",""))</f>
        <v/>
      </c>
      <c r="AM29" s="85">
        <f>IF($A29="","",TRIM(IF(AND($P29=0,$I29&lt;&gt;"Yes"),"T0-NoPhishResistant ","")&amp;IF($H29="No","NoMFA ","")&amp;IF(AND($P29=0,$M29&gt;0),"T0-Standing ","")&amp;IF(AND($P29=0,$Q29="Group only"),"T0-ViaGroupOnly ","")&amp;IF($W29="Yes","AlsoAzureRBAC ","")))</f>
        <v/>
      </c>
      <c r="AN29" s="85">
        <f>IF($A29="","",IF(AG29="","Not Enrolled",IF(TODAY()&gt;AG29,"Review Overdue",IF(AG29-TODAY()&lt;=30,"Review Due Soon","Active"))))</f>
        <v/>
      </c>
      <c r="AO29" s="85">
        <f>IF($A29="","",IF(AH29="","NOT REVIEWED",IF(TODAY()-AH29&gt;90,"OVERDUE",IF(TODAY()-AH29&gt;76,"Due Soon","Current"))))</f>
        <v/>
      </c>
    </row>
    <row r="30" ht="15" customHeight="1" s="39">
      <c r="A30" s="85" t="n"/>
      <c r="B30" s="85" t="n"/>
      <c r="C30" s="85" t="n"/>
      <c r="D30" s="85" t="n"/>
      <c r="E30" s="85" t="n"/>
      <c r="F30" s="86" t="n"/>
      <c r="G30" s="86" t="n"/>
      <c r="H30" s="85" t="n"/>
      <c r="I30" s="85" t="n"/>
      <c r="J30" s="85" t="n"/>
      <c r="K30" s="85" t="n"/>
      <c r="L30" s="85" t="n"/>
      <c r="M30" s="85" t="n"/>
      <c r="N30" s="85" t="n"/>
      <c r="O30" s="85" t="n"/>
      <c r="P30" s="85" t="n"/>
      <c r="Q30" s="85" t="n"/>
      <c r="R30" s="85" t="n"/>
      <c r="S30" s="85" t="n"/>
      <c r="T30" s="85" t="n"/>
      <c r="U30" s="85" t="n"/>
      <c r="V30" s="85" t="n"/>
      <c r="W30" s="85" t="n"/>
      <c r="X30" s="85" t="n"/>
      <c r="Y30" s="85" t="n"/>
      <c r="Z30" s="85" t="n"/>
      <c r="AA30" s="85" t="n"/>
      <c r="AB30" s="85" t="n"/>
      <c r="AC30" s="85" t="n"/>
      <c r="AD30" s="85" t="n"/>
      <c r="AE30" s="85" t="n"/>
      <c r="AF30" s="86" t="n"/>
      <c r="AG30" s="86" t="n"/>
      <c r="AH30" s="86" t="n"/>
      <c r="AI30" s="85" t="n"/>
      <c r="AJ30" s="85" t="n"/>
      <c r="AK30" s="85">
        <f>IF($A30="","",IF($M30&gt;0,"Yes","No"))</f>
        <v/>
      </c>
      <c r="AL30" s="85">
        <f>IF($A30="","",IF(AND($E30="Yes",OR($Y30="No",$Y30="NOT FOUND")),"YES",""))</f>
        <v/>
      </c>
      <c r="AM30" s="85">
        <f>IF($A30="","",TRIM(IF(AND($P30=0,$I30&lt;&gt;"Yes"),"T0-NoPhishResistant ","")&amp;IF($H30="No","NoMFA ","")&amp;IF(AND($P30=0,$M30&gt;0),"T0-Standing ","")&amp;IF(AND($P30=0,$Q30="Group only"),"T0-ViaGroupOnly ","")&amp;IF($W30="Yes","AlsoAzureRBAC ","")))</f>
        <v/>
      </c>
      <c r="AN30" s="85">
        <f>IF($A30="","",IF(AG30="","Not Enrolled",IF(TODAY()&gt;AG30,"Review Overdue",IF(AG30-TODAY()&lt;=30,"Review Due Soon","Active"))))</f>
        <v/>
      </c>
      <c r="AO30" s="85">
        <f>IF($A30="","",IF(AH30="","NOT REVIEWED",IF(TODAY()-AH30&gt;90,"OVERDUE",IF(TODAY()-AH30&gt;76,"Due Soon","Current"))))</f>
        <v/>
      </c>
    </row>
    <row r="31" ht="15" customHeight="1" s="39">
      <c r="A31" s="85" t="n"/>
      <c r="B31" s="85" t="n"/>
      <c r="C31" s="85" t="n"/>
      <c r="D31" s="85" t="n"/>
      <c r="E31" s="85" t="n"/>
      <c r="F31" s="86" t="n"/>
      <c r="G31" s="86" t="n"/>
      <c r="H31" s="85" t="n"/>
      <c r="I31" s="85" t="n"/>
      <c r="J31" s="85" t="n"/>
      <c r="K31" s="85" t="n"/>
      <c r="L31" s="85" t="n"/>
      <c r="M31" s="85" t="n"/>
      <c r="N31" s="85" t="n"/>
      <c r="O31" s="85" t="n"/>
      <c r="P31" s="85" t="n"/>
      <c r="Q31" s="85" t="n"/>
      <c r="R31" s="85" t="n"/>
      <c r="S31" s="85" t="n"/>
      <c r="T31" s="85" t="n"/>
      <c r="U31" s="85" t="n"/>
      <c r="V31" s="85" t="n"/>
      <c r="W31" s="85" t="n"/>
      <c r="X31" s="85" t="n"/>
      <c r="Y31" s="85" t="n"/>
      <c r="Z31" s="85" t="n"/>
      <c r="AA31" s="85" t="n"/>
      <c r="AB31" s="85" t="n"/>
      <c r="AC31" s="85" t="n"/>
      <c r="AD31" s="85" t="n"/>
      <c r="AE31" s="85" t="n"/>
      <c r="AF31" s="86" t="n"/>
      <c r="AG31" s="86" t="n"/>
      <c r="AH31" s="86" t="n"/>
      <c r="AI31" s="85" t="n"/>
      <c r="AJ31" s="85" t="n"/>
      <c r="AK31" s="85">
        <f>IF($A31="","",IF($M31&gt;0,"Yes","No"))</f>
        <v/>
      </c>
      <c r="AL31" s="85">
        <f>IF($A31="","",IF(AND($E31="Yes",OR($Y31="No",$Y31="NOT FOUND")),"YES",""))</f>
        <v/>
      </c>
      <c r="AM31" s="85">
        <f>IF($A31="","",TRIM(IF(AND($P31=0,$I31&lt;&gt;"Yes"),"T0-NoPhishResistant ","")&amp;IF($H31="No","NoMFA ","")&amp;IF(AND($P31=0,$M31&gt;0),"T0-Standing ","")&amp;IF(AND($P31=0,$Q31="Group only"),"T0-ViaGroupOnly ","")&amp;IF($W31="Yes","AlsoAzureRBAC ","")))</f>
        <v/>
      </c>
      <c r="AN31" s="85">
        <f>IF($A31="","",IF(AG31="","Not Enrolled",IF(TODAY()&gt;AG31,"Review Overdue",IF(AG31-TODAY()&lt;=30,"Review Due Soon","Active"))))</f>
        <v/>
      </c>
      <c r="AO31" s="85">
        <f>IF($A31="","",IF(AH31="","NOT REVIEWED",IF(TODAY()-AH31&gt;90,"OVERDUE",IF(TODAY()-AH31&gt;76,"Due Soon","Current"))))</f>
        <v/>
      </c>
    </row>
    <row r="32" ht="15" customHeight="1" s="39">
      <c r="A32" s="85" t="n"/>
      <c r="B32" s="85" t="n"/>
      <c r="C32" s="85" t="n"/>
      <c r="D32" s="85" t="n"/>
      <c r="E32" s="85" t="n"/>
      <c r="F32" s="86" t="n"/>
      <c r="G32" s="86" t="n"/>
      <c r="H32" s="85" t="n"/>
      <c r="I32" s="85" t="n"/>
      <c r="J32" s="85" t="n"/>
      <c r="K32" s="85" t="n"/>
      <c r="L32" s="85" t="n"/>
      <c r="M32" s="85" t="n"/>
      <c r="N32" s="85" t="n"/>
      <c r="O32" s="85" t="n"/>
      <c r="P32" s="85" t="n"/>
      <c r="Q32" s="85" t="n"/>
      <c r="R32" s="85" t="n"/>
      <c r="S32" s="85" t="n"/>
      <c r="T32" s="85" t="n"/>
      <c r="U32" s="85" t="n"/>
      <c r="V32" s="85" t="n"/>
      <c r="W32" s="85" t="n"/>
      <c r="X32" s="85" t="n"/>
      <c r="Y32" s="85" t="n"/>
      <c r="Z32" s="85" t="n"/>
      <c r="AA32" s="85" t="n"/>
      <c r="AB32" s="85" t="n"/>
      <c r="AC32" s="85" t="n"/>
      <c r="AD32" s="85" t="n"/>
      <c r="AE32" s="85" t="n"/>
      <c r="AF32" s="86" t="n"/>
      <c r="AG32" s="86" t="n"/>
      <c r="AH32" s="86" t="n"/>
      <c r="AI32" s="85" t="n"/>
      <c r="AJ32" s="85" t="n"/>
      <c r="AK32" s="85">
        <f>IF($A32="","",IF($M32&gt;0,"Yes","No"))</f>
        <v/>
      </c>
      <c r="AL32" s="85">
        <f>IF($A32="","",IF(AND($E32="Yes",OR($Y32="No",$Y32="NOT FOUND")),"YES",""))</f>
        <v/>
      </c>
      <c r="AM32" s="85">
        <f>IF($A32="","",TRIM(IF(AND($P32=0,$I32&lt;&gt;"Yes"),"T0-NoPhishResistant ","")&amp;IF($H32="No","NoMFA ","")&amp;IF(AND($P32=0,$M32&gt;0),"T0-Standing ","")&amp;IF(AND($P32=0,$Q32="Group only"),"T0-ViaGroupOnly ","")&amp;IF($W32="Yes","AlsoAzureRBAC ","")))</f>
        <v/>
      </c>
      <c r="AN32" s="85">
        <f>IF($A32="","",IF(AG32="","Not Enrolled",IF(TODAY()&gt;AG32,"Review Overdue",IF(AG32-TODAY()&lt;=30,"Review Due Soon","Active"))))</f>
        <v/>
      </c>
      <c r="AO32" s="85">
        <f>IF($A32="","",IF(AH32="","NOT REVIEWED",IF(TODAY()-AH32&gt;90,"OVERDUE",IF(TODAY()-AH32&gt;76,"Due Soon","Current"))))</f>
        <v/>
      </c>
    </row>
    <row r="33" ht="15" customHeight="1" s="39">
      <c r="A33" s="85" t="n"/>
      <c r="B33" s="85" t="n"/>
      <c r="C33" s="85" t="n"/>
      <c r="D33" s="85" t="n"/>
      <c r="E33" s="85" t="n"/>
      <c r="F33" s="86" t="n"/>
      <c r="G33" s="86" t="n"/>
      <c r="H33" s="85" t="n"/>
      <c r="I33" s="85" t="n"/>
      <c r="J33" s="85" t="n"/>
      <c r="K33" s="85" t="n"/>
      <c r="L33" s="85" t="n"/>
      <c r="M33" s="85" t="n"/>
      <c r="N33" s="85" t="n"/>
      <c r="O33" s="85" t="n"/>
      <c r="P33" s="85" t="n"/>
      <c r="Q33" s="85" t="n"/>
      <c r="R33" s="85" t="n"/>
      <c r="S33" s="85" t="n"/>
      <c r="T33" s="85" t="n"/>
      <c r="U33" s="85" t="n"/>
      <c r="V33" s="85" t="n"/>
      <c r="W33" s="85" t="n"/>
      <c r="X33" s="85" t="n"/>
      <c r="Y33" s="85" t="n"/>
      <c r="Z33" s="85" t="n"/>
      <c r="AA33" s="85" t="n"/>
      <c r="AB33" s="85" t="n"/>
      <c r="AC33" s="85" t="n"/>
      <c r="AD33" s="85" t="n"/>
      <c r="AE33" s="85" t="n"/>
      <c r="AF33" s="86" t="n"/>
      <c r="AG33" s="86" t="n"/>
      <c r="AH33" s="86" t="n"/>
      <c r="AI33" s="85" t="n"/>
      <c r="AJ33" s="85" t="n"/>
      <c r="AK33" s="85">
        <f>IF($A33="","",IF($M33&gt;0,"Yes","No"))</f>
        <v/>
      </c>
      <c r="AL33" s="85">
        <f>IF($A33="","",IF(AND($E33="Yes",OR($Y33="No",$Y33="NOT FOUND")),"YES",""))</f>
        <v/>
      </c>
      <c r="AM33" s="85">
        <f>IF($A33="","",TRIM(IF(AND($P33=0,$I33&lt;&gt;"Yes"),"T0-NoPhishResistant ","")&amp;IF($H33="No","NoMFA ","")&amp;IF(AND($P33=0,$M33&gt;0),"T0-Standing ","")&amp;IF(AND($P33=0,$Q33="Group only"),"T0-ViaGroupOnly ","")&amp;IF($W33="Yes","AlsoAzureRBAC ","")))</f>
        <v/>
      </c>
      <c r="AN33" s="85">
        <f>IF($A33="","",IF(AG33="","Not Enrolled",IF(TODAY()&gt;AG33,"Review Overdue",IF(AG33-TODAY()&lt;=30,"Review Due Soon","Active"))))</f>
        <v/>
      </c>
      <c r="AO33" s="85">
        <f>IF($A33="","",IF(AH33="","NOT REVIEWED",IF(TODAY()-AH33&gt;90,"OVERDUE",IF(TODAY()-AH33&gt;76,"Due Soon","Current"))))</f>
        <v/>
      </c>
    </row>
    <row r="34" ht="15" customHeight="1" s="39">
      <c r="A34" s="85" t="n"/>
      <c r="B34" s="85" t="n"/>
      <c r="C34" s="85" t="n"/>
      <c r="D34" s="85" t="n"/>
      <c r="E34" s="85" t="n"/>
      <c r="F34" s="86" t="n"/>
      <c r="G34" s="86" t="n"/>
      <c r="H34" s="85" t="n"/>
      <c r="I34" s="85" t="n"/>
      <c r="J34" s="85" t="n"/>
      <c r="K34" s="85" t="n"/>
      <c r="L34" s="85" t="n"/>
      <c r="M34" s="85" t="n"/>
      <c r="N34" s="85" t="n"/>
      <c r="O34" s="85" t="n"/>
      <c r="P34" s="85" t="n"/>
      <c r="Q34" s="85" t="n"/>
      <c r="R34" s="85" t="n"/>
      <c r="S34" s="85" t="n"/>
      <c r="T34" s="85" t="n"/>
      <c r="U34" s="85" t="n"/>
      <c r="V34" s="85" t="n"/>
      <c r="W34" s="85" t="n"/>
      <c r="X34" s="85" t="n"/>
      <c r="Y34" s="85" t="n"/>
      <c r="Z34" s="85" t="n"/>
      <c r="AA34" s="85" t="n"/>
      <c r="AB34" s="85" t="n"/>
      <c r="AC34" s="85" t="n"/>
      <c r="AD34" s="85" t="n"/>
      <c r="AE34" s="85" t="n"/>
      <c r="AF34" s="86" t="n"/>
      <c r="AG34" s="86" t="n"/>
      <c r="AH34" s="86" t="n"/>
      <c r="AI34" s="85" t="n"/>
      <c r="AJ34" s="85" t="n"/>
      <c r="AK34" s="85">
        <f>IF($A34="","",IF($M34&gt;0,"Yes","No"))</f>
        <v/>
      </c>
      <c r="AL34" s="85">
        <f>IF($A34="","",IF(AND($E34="Yes",OR($Y34="No",$Y34="NOT FOUND")),"YES",""))</f>
        <v/>
      </c>
      <c r="AM34" s="85">
        <f>IF($A34="","",TRIM(IF(AND($P34=0,$I34&lt;&gt;"Yes"),"T0-NoPhishResistant ","")&amp;IF($H34="No","NoMFA ","")&amp;IF(AND($P34=0,$M34&gt;0),"T0-Standing ","")&amp;IF(AND($P34=0,$Q34="Group only"),"T0-ViaGroupOnly ","")&amp;IF($W34="Yes","AlsoAzureRBAC ","")))</f>
        <v/>
      </c>
      <c r="AN34" s="85">
        <f>IF($A34="","",IF(AG34="","Not Enrolled",IF(TODAY()&gt;AG34,"Review Overdue",IF(AG34-TODAY()&lt;=30,"Review Due Soon","Active"))))</f>
        <v/>
      </c>
      <c r="AO34" s="85">
        <f>IF($A34="","",IF(AH34="","NOT REVIEWED",IF(TODAY()-AH34&gt;90,"OVERDUE",IF(TODAY()-AH34&gt;76,"Due Soon","Current"))))</f>
        <v/>
      </c>
    </row>
    <row r="35" ht="15" customHeight="1" s="39">
      <c r="A35" s="85" t="n"/>
      <c r="B35" s="85" t="n"/>
      <c r="C35" s="85" t="n"/>
      <c r="D35" s="85" t="n"/>
      <c r="E35" s="85" t="n"/>
      <c r="F35" s="86" t="n"/>
      <c r="G35" s="86" t="n"/>
      <c r="H35" s="85" t="n"/>
      <c r="I35" s="85" t="n"/>
      <c r="J35" s="85" t="n"/>
      <c r="K35" s="85" t="n"/>
      <c r="L35" s="85" t="n"/>
      <c r="M35" s="85" t="n"/>
      <c r="N35" s="85" t="n"/>
      <c r="O35" s="85" t="n"/>
      <c r="P35" s="85" t="n"/>
      <c r="Q35" s="85" t="n"/>
      <c r="R35" s="85" t="n"/>
      <c r="S35" s="85" t="n"/>
      <c r="T35" s="85" t="n"/>
      <c r="U35" s="85" t="n"/>
      <c r="V35" s="85" t="n"/>
      <c r="W35" s="85" t="n"/>
      <c r="X35" s="85" t="n"/>
      <c r="Y35" s="85" t="n"/>
      <c r="Z35" s="85" t="n"/>
      <c r="AA35" s="85" t="n"/>
      <c r="AB35" s="85" t="n"/>
      <c r="AC35" s="85" t="n"/>
      <c r="AD35" s="85" t="n"/>
      <c r="AE35" s="85" t="n"/>
      <c r="AF35" s="86" t="n"/>
      <c r="AG35" s="86" t="n"/>
      <c r="AH35" s="86" t="n"/>
      <c r="AI35" s="85" t="n"/>
      <c r="AJ35" s="85" t="n"/>
      <c r="AK35" s="85">
        <f>IF($A35="","",IF($M35&gt;0,"Yes","No"))</f>
        <v/>
      </c>
      <c r="AL35" s="85">
        <f>IF($A35="","",IF(AND($E35="Yes",OR($Y35="No",$Y35="NOT FOUND")),"YES",""))</f>
        <v/>
      </c>
      <c r="AM35" s="85">
        <f>IF($A35="","",TRIM(IF(AND($P35=0,$I35&lt;&gt;"Yes"),"T0-NoPhishResistant ","")&amp;IF($H35="No","NoMFA ","")&amp;IF(AND($P35=0,$M35&gt;0),"T0-Standing ","")&amp;IF(AND($P35=0,$Q35="Group only"),"T0-ViaGroupOnly ","")&amp;IF($W35="Yes","AlsoAzureRBAC ","")))</f>
        <v/>
      </c>
      <c r="AN35" s="85">
        <f>IF($A35="","",IF(AG35="","Not Enrolled",IF(TODAY()&gt;AG35,"Review Overdue",IF(AG35-TODAY()&lt;=30,"Review Due Soon","Active"))))</f>
        <v/>
      </c>
      <c r="AO35" s="85">
        <f>IF($A35="","",IF(AH35="","NOT REVIEWED",IF(TODAY()-AH35&gt;90,"OVERDUE",IF(TODAY()-AH35&gt;76,"Due Soon","Current"))))</f>
        <v/>
      </c>
    </row>
    <row r="36" ht="15" customHeight="1" s="39">
      <c r="A36" s="85" t="n"/>
      <c r="B36" s="85" t="n"/>
      <c r="C36" s="85" t="n"/>
      <c r="D36" s="85" t="n"/>
      <c r="E36" s="85" t="n"/>
      <c r="F36" s="86" t="n"/>
      <c r="G36" s="86" t="n"/>
      <c r="H36" s="85" t="n"/>
      <c r="I36" s="85" t="n"/>
      <c r="J36" s="85" t="n"/>
      <c r="K36" s="85" t="n"/>
      <c r="L36" s="85" t="n"/>
      <c r="M36" s="85" t="n"/>
      <c r="N36" s="85" t="n"/>
      <c r="O36" s="85" t="n"/>
      <c r="P36" s="85" t="n"/>
      <c r="Q36" s="85" t="n"/>
      <c r="R36" s="85" t="n"/>
      <c r="S36" s="85" t="n"/>
      <c r="T36" s="85" t="n"/>
      <c r="U36" s="85" t="n"/>
      <c r="V36" s="85" t="n"/>
      <c r="W36" s="85" t="n"/>
      <c r="X36" s="85" t="n"/>
      <c r="Y36" s="85" t="n"/>
      <c r="Z36" s="85" t="n"/>
      <c r="AA36" s="85" t="n"/>
      <c r="AB36" s="85" t="n"/>
      <c r="AC36" s="85" t="n"/>
      <c r="AD36" s="85" t="n"/>
      <c r="AE36" s="85" t="n"/>
      <c r="AF36" s="86" t="n"/>
      <c r="AG36" s="86" t="n"/>
      <c r="AH36" s="86" t="n"/>
      <c r="AI36" s="85" t="n"/>
      <c r="AJ36" s="85" t="n"/>
      <c r="AK36" s="85">
        <f>IF($A36="","",IF($M36&gt;0,"Yes","No"))</f>
        <v/>
      </c>
      <c r="AL36" s="85">
        <f>IF($A36="","",IF(AND($E36="Yes",OR($Y36="No",$Y36="NOT FOUND")),"YES",""))</f>
        <v/>
      </c>
      <c r="AM36" s="85">
        <f>IF($A36="","",TRIM(IF(AND($P36=0,$I36&lt;&gt;"Yes"),"T0-NoPhishResistant ","")&amp;IF($H36="No","NoMFA ","")&amp;IF(AND($P36=0,$M36&gt;0),"T0-Standing ","")&amp;IF(AND($P36=0,$Q36="Group only"),"T0-ViaGroupOnly ","")&amp;IF($W36="Yes","AlsoAzureRBAC ","")))</f>
        <v/>
      </c>
      <c r="AN36" s="85">
        <f>IF($A36="","",IF(AG36="","Not Enrolled",IF(TODAY()&gt;AG36,"Review Overdue",IF(AG36-TODAY()&lt;=30,"Review Due Soon","Active"))))</f>
        <v/>
      </c>
      <c r="AO36" s="85">
        <f>IF($A36="","",IF(AH36="","NOT REVIEWED",IF(TODAY()-AH36&gt;90,"OVERDUE",IF(TODAY()-AH36&gt;76,"Due Soon","Current"))))</f>
        <v/>
      </c>
    </row>
    <row r="37" ht="15" customHeight="1" s="39">
      <c r="A37" s="85" t="n"/>
      <c r="B37" s="85" t="n"/>
      <c r="C37" s="85" t="n"/>
      <c r="D37" s="85" t="n"/>
      <c r="E37" s="85" t="n"/>
      <c r="F37" s="86" t="n"/>
      <c r="G37" s="86" t="n"/>
      <c r="H37" s="85" t="n"/>
      <c r="I37" s="85" t="n"/>
      <c r="J37" s="85" t="n"/>
      <c r="K37" s="85" t="n"/>
      <c r="L37" s="85" t="n"/>
      <c r="M37" s="85" t="n"/>
      <c r="N37" s="85" t="n"/>
      <c r="O37" s="85" t="n"/>
      <c r="P37" s="85" t="n"/>
      <c r="Q37" s="85" t="n"/>
      <c r="R37" s="85" t="n"/>
      <c r="S37" s="85" t="n"/>
      <c r="T37" s="85" t="n"/>
      <c r="U37" s="85" t="n"/>
      <c r="V37" s="85" t="n"/>
      <c r="W37" s="85" t="n"/>
      <c r="X37" s="85" t="n"/>
      <c r="Y37" s="85" t="n"/>
      <c r="Z37" s="85" t="n"/>
      <c r="AA37" s="85" t="n"/>
      <c r="AB37" s="85" t="n"/>
      <c r="AC37" s="85" t="n"/>
      <c r="AD37" s="85" t="n"/>
      <c r="AE37" s="85" t="n"/>
      <c r="AF37" s="86" t="n"/>
      <c r="AG37" s="86" t="n"/>
      <c r="AH37" s="86" t="n"/>
      <c r="AI37" s="85" t="n"/>
      <c r="AJ37" s="85" t="n"/>
      <c r="AK37" s="85">
        <f>IF($A37="","",IF($M37&gt;0,"Yes","No"))</f>
        <v/>
      </c>
      <c r="AL37" s="85">
        <f>IF($A37="","",IF(AND($E37="Yes",OR($Y37="No",$Y37="NOT FOUND")),"YES",""))</f>
        <v/>
      </c>
      <c r="AM37" s="85">
        <f>IF($A37="","",TRIM(IF(AND($P37=0,$I37&lt;&gt;"Yes"),"T0-NoPhishResistant ","")&amp;IF($H37="No","NoMFA ","")&amp;IF(AND($P37=0,$M37&gt;0),"T0-Standing ","")&amp;IF(AND($P37=0,$Q37="Group only"),"T0-ViaGroupOnly ","")&amp;IF($W37="Yes","AlsoAzureRBAC ","")))</f>
        <v/>
      </c>
      <c r="AN37" s="85">
        <f>IF($A37="","",IF(AG37="","Not Enrolled",IF(TODAY()&gt;AG37,"Review Overdue",IF(AG37-TODAY()&lt;=30,"Review Due Soon","Active"))))</f>
        <v/>
      </c>
      <c r="AO37" s="85">
        <f>IF($A37="","",IF(AH37="","NOT REVIEWED",IF(TODAY()-AH37&gt;90,"OVERDUE",IF(TODAY()-AH37&gt;76,"Due Soon","Current"))))</f>
        <v/>
      </c>
    </row>
    <row r="38" ht="15" customHeight="1" s="39">
      <c r="A38" s="85" t="n"/>
      <c r="B38" s="85" t="n"/>
      <c r="C38" s="85" t="n"/>
      <c r="D38" s="85" t="n"/>
      <c r="E38" s="85" t="n"/>
      <c r="F38" s="86" t="n"/>
      <c r="G38" s="86" t="n"/>
      <c r="H38" s="85" t="n"/>
      <c r="I38" s="85" t="n"/>
      <c r="J38" s="85" t="n"/>
      <c r="K38" s="85" t="n"/>
      <c r="L38" s="85" t="n"/>
      <c r="M38" s="85" t="n"/>
      <c r="N38" s="85" t="n"/>
      <c r="O38" s="85" t="n"/>
      <c r="P38" s="85" t="n"/>
      <c r="Q38" s="85" t="n"/>
      <c r="R38" s="85" t="n"/>
      <c r="S38" s="85" t="n"/>
      <c r="T38" s="85" t="n"/>
      <c r="U38" s="85" t="n"/>
      <c r="V38" s="85" t="n"/>
      <c r="W38" s="85" t="n"/>
      <c r="X38" s="85" t="n"/>
      <c r="Y38" s="85" t="n"/>
      <c r="Z38" s="85" t="n"/>
      <c r="AA38" s="85" t="n"/>
      <c r="AB38" s="85" t="n"/>
      <c r="AC38" s="85" t="n"/>
      <c r="AD38" s="85" t="n"/>
      <c r="AE38" s="85" t="n"/>
      <c r="AF38" s="86" t="n"/>
      <c r="AG38" s="86" t="n"/>
      <c r="AH38" s="86" t="n"/>
      <c r="AI38" s="85" t="n"/>
      <c r="AJ38" s="85" t="n"/>
      <c r="AK38" s="85">
        <f>IF($A38="","",IF($M38&gt;0,"Yes","No"))</f>
        <v/>
      </c>
      <c r="AL38" s="85">
        <f>IF($A38="","",IF(AND($E38="Yes",OR($Y38="No",$Y38="NOT FOUND")),"YES",""))</f>
        <v/>
      </c>
      <c r="AM38" s="85">
        <f>IF($A38="","",TRIM(IF(AND($P38=0,$I38&lt;&gt;"Yes"),"T0-NoPhishResistant ","")&amp;IF($H38="No","NoMFA ","")&amp;IF(AND($P38=0,$M38&gt;0),"T0-Standing ","")&amp;IF(AND($P38=0,$Q38="Group only"),"T0-ViaGroupOnly ","")&amp;IF($W38="Yes","AlsoAzureRBAC ","")))</f>
        <v/>
      </c>
      <c r="AN38" s="85">
        <f>IF($A38="","",IF(AG38="","Not Enrolled",IF(TODAY()&gt;AG38,"Review Overdue",IF(AG38-TODAY()&lt;=30,"Review Due Soon","Active"))))</f>
        <v/>
      </c>
      <c r="AO38" s="85">
        <f>IF($A38="","",IF(AH38="","NOT REVIEWED",IF(TODAY()-AH38&gt;90,"OVERDUE",IF(TODAY()-AH38&gt;76,"Due Soon","Current"))))</f>
        <v/>
      </c>
    </row>
    <row r="39" ht="15" customHeight="1" s="39">
      <c r="A39" s="85" t="n"/>
      <c r="B39" s="85" t="n"/>
      <c r="C39" s="85" t="n"/>
      <c r="D39" s="85" t="n"/>
      <c r="E39" s="85" t="n"/>
      <c r="F39" s="86" t="n"/>
      <c r="G39" s="86" t="n"/>
      <c r="H39" s="85" t="n"/>
      <c r="I39" s="85" t="n"/>
      <c r="J39" s="85" t="n"/>
      <c r="K39" s="85" t="n"/>
      <c r="L39" s="85" t="n"/>
      <c r="M39" s="85" t="n"/>
      <c r="N39" s="85" t="n"/>
      <c r="O39" s="85" t="n"/>
      <c r="P39" s="85" t="n"/>
      <c r="Q39" s="85" t="n"/>
      <c r="R39" s="85" t="n"/>
      <c r="S39" s="85" t="n"/>
      <c r="T39" s="85" t="n"/>
      <c r="U39" s="85" t="n"/>
      <c r="V39" s="85" t="n"/>
      <c r="W39" s="85" t="n"/>
      <c r="X39" s="85" t="n"/>
      <c r="Y39" s="85" t="n"/>
      <c r="Z39" s="85" t="n"/>
      <c r="AA39" s="85" t="n"/>
      <c r="AB39" s="85" t="n"/>
      <c r="AC39" s="85" t="n"/>
      <c r="AD39" s="85" t="n"/>
      <c r="AE39" s="85" t="n"/>
      <c r="AF39" s="86" t="n"/>
      <c r="AG39" s="86" t="n"/>
      <c r="AH39" s="86" t="n"/>
      <c r="AI39" s="85" t="n"/>
      <c r="AJ39" s="85" t="n"/>
      <c r="AK39" s="85">
        <f>IF($A39="","",IF($M39&gt;0,"Yes","No"))</f>
        <v/>
      </c>
      <c r="AL39" s="85">
        <f>IF($A39="","",IF(AND($E39="Yes",OR($Y39="No",$Y39="NOT FOUND")),"YES",""))</f>
        <v/>
      </c>
      <c r="AM39" s="85">
        <f>IF($A39="","",TRIM(IF(AND($P39=0,$I39&lt;&gt;"Yes"),"T0-NoPhishResistant ","")&amp;IF($H39="No","NoMFA ","")&amp;IF(AND($P39=0,$M39&gt;0),"T0-Standing ","")&amp;IF(AND($P39=0,$Q39="Group only"),"T0-ViaGroupOnly ","")&amp;IF($W39="Yes","AlsoAzureRBAC ","")))</f>
        <v/>
      </c>
      <c r="AN39" s="85">
        <f>IF($A39="","",IF(AG39="","Not Enrolled",IF(TODAY()&gt;AG39,"Review Overdue",IF(AG39-TODAY()&lt;=30,"Review Due Soon","Active"))))</f>
        <v/>
      </c>
      <c r="AO39" s="85">
        <f>IF($A39="","",IF(AH39="","NOT REVIEWED",IF(TODAY()-AH39&gt;90,"OVERDUE",IF(TODAY()-AH39&gt;76,"Due Soon","Current"))))</f>
        <v/>
      </c>
    </row>
    <row r="40" ht="15" customHeight="1" s="39">
      <c r="A40" s="85" t="n"/>
      <c r="B40" s="85" t="n"/>
      <c r="C40" s="85" t="n"/>
      <c r="D40" s="85" t="n"/>
      <c r="E40" s="85" t="n"/>
      <c r="F40" s="86" t="n"/>
      <c r="G40" s="86" t="n"/>
      <c r="H40" s="85" t="n"/>
      <c r="I40" s="85" t="n"/>
      <c r="J40" s="85" t="n"/>
      <c r="K40" s="85" t="n"/>
      <c r="L40" s="85" t="n"/>
      <c r="M40" s="85" t="n"/>
      <c r="N40" s="85" t="n"/>
      <c r="O40" s="85" t="n"/>
      <c r="P40" s="85" t="n"/>
      <c r="Q40" s="85" t="n"/>
      <c r="R40" s="85" t="n"/>
      <c r="S40" s="85" t="n"/>
      <c r="T40" s="85" t="n"/>
      <c r="U40" s="85" t="n"/>
      <c r="V40" s="85" t="n"/>
      <c r="W40" s="85" t="n"/>
      <c r="X40" s="85" t="n"/>
      <c r="Y40" s="85" t="n"/>
      <c r="Z40" s="85" t="n"/>
      <c r="AA40" s="85" t="n"/>
      <c r="AB40" s="85" t="n"/>
      <c r="AC40" s="85" t="n"/>
      <c r="AD40" s="85" t="n"/>
      <c r="AE40" s="85" t="n"/>
      <c r="AF40" s="86" t="n"/>
      <c r="AG40" s="86" t="n"/>
      <c r="AH40" s="86" t="n"/>
      <c r="AI40" s="85" t="n"/>
      <c r="AJ40" s="85" t="n"/>
      <c r="AK40" s="85">
        <f>IF($A40="","",IF($M40&gt;0,"Yes","No"))</f>
        <v/>
      </c>
      <c r="AL40" s="85">
        <f>IF($A40="","",IF(AND($E40="Yes",OR($Y40="No",$Y40="NOT FOUND")),"YES",""))</f>
        <v/>
      </c>
      <c r="AM40" s="85">
        <f>IF($A40="","",TRIM(IF(AND($P40=0,$I40&lt;&gt;"Yes"),"T0-NoPhishResistant ","")&amp;IF($H40="No","NoMFA ","")&amp;IF(AND($P40=0,$M40&gt;0),"T0-Standing ","")&amp;IF(AND($P40=0,$Q40="Group only"),"T0-ViaGroupOnly ","")&amp;IF($W40="Yes","AlsoAzureRBAC ","")))</f>
        <v/>
      </c>
      <c r="AN40" s="85">
        <f>IF($A40="","",IF(AG40="","Not Enrolled",IF(TODAY()&gt;AG40,"Review Overdue",IF(AG40-TODAY()&lt;=30,"Review Due Soon","Active"))))</f>
        <v/>
      </c>
      <c r="AO40" s="85">
        <f>IF($A40="","",IF(AH40="","NOT REVIEWED",IF(TODAY()-AH40&gt;90,"OVERDUE",IF(TODAY()-AH40&gt;76,"Due Soon","Current"))))</f>
        <v/>
      </c>
    </row>
    <row r="41" ht="15" customHeight="1" s="39">
      <c r="A41" s="85" t="n"/>
      <c r="B41" s="85" t="n"/>
      <c r="C41" s="85" t="n"/>
      <c r="D41" s="85" t="n"/>
      <c r="E41" s="85" t="n"/>
      <c r="F41" s="86" t="n"/>
      <c r="G41" s="86" t="n"/>
      <c r="H41" s="85" t="n"/>
      <c r="I41" s="85" t="n"/>
      <c r="J41" s="85" t="n"/>
      <c r="K41" s="85" t="n"/>
      <c r="L41" s="85" t="n"/>
      <c r="M41" s="85" t="n"/>
      <c r="N41" s="85" t="n"/>
      <c r="O41" s="85" t="n"/>
      <c r="P41" s="85" t="n"/>
      <c r="Q41" s="85" t="n"/>
      <c r="R41" s="85" t="n"/>
      <c r="S41" s="85" t="n"/>
      <c r="T41" s="85" t="n"/>
      <c r="U41" s="85" t="n"/>
      <c r="V41" s="85" t="n"/>
      <c r="W41" s="85" t="n"/>
      <c r="X41" s="85" t="n"/>
      <c r="Y41" s="85" t="n"/>
      <c r="Z41" s="85" t="n"/>
      <c r="AA41" s="85" t="n"/>
      <c r="AB41" s="85" t="n"/>
      <c r="AC41" s="85" t="n"/>
      <c r="AD41" s="85" t="n"/>
      <c r="AE41" s="85" t="n"/>
      <c r="AF41" s="86" t="n"/>
      <c r="AG41" s="86" t="n"/>
      <c r="AH41" s="86" t="n"/>
      <c r="AI41" s="85" t="n"/>
      <c r="AJ41" s="85" t="n"/>
      <c r="AK41" s="85">
        <f>IF($A41="","",IF($M41&gt;0,"Yes","No"))</f>
        <v/>
      </c>
      <c r="AL41" s="85">
        <f>IF($A41="","",IF(AND($E41="Yes",OR($Y41="No",$Y41="NOT FOUND")),"YES",""))</f>
        <v/>
      </c>
      <c r="AM41" s="85">
        <f>IF($A41="","",TRIM(IF(AND($P41=0,$I41&lt;&gt;"Yes"),"T0-NoPhishResistant ","")&amp;IF($H41="No","NoMFA ","")&amp;IF(AND($P41=0,$M41&gt;0),"T0-Standing ","")&amp;IF(AND($P41=0,$Q41="Group only"),"T0-ViaGroupOnly ","")&amp;IF($W41="Yes","AlsoAzureRBAC ","")))</f>
        <v/>
      </c>
      <c r="AN41" s="85">
        <f>IF($A41="","",IF(AG41="","Not Enrolled",IF(TODAY()&gt;AG41,"Review Overdue",IF(AG41-TODAY()&lt;=30,"Review Due Soon","Active"))))</f>
        <v/>
      </c>
      <c r="AO41" s="85">
        <f>IF($A41="","",IF(AH41="","NOT REVIEWED",IF(TODAY()-AH41&gt;90,"OVERDUE",IF(TODAY()-AH41&gt;76,"Due Soon","Current"))))</f>
        <v/>
      </c>
    </row>
    <row r="42" ht="15" customHeight="1" s="39">
      <c r="A42" s="85" t="n"/>
      <c r="B42" s="85" t="n"/>
      <c r="C42" s="85" t="n"/>
      <c r="D42" s="85" t="n"/>
      <c r="E42" s="85" t="n"/>
      <c r="F42" s="86" t="n"/>
      <c r="G42" s="86" t="n"/>
      <c r="H42" s="85" t="n"/>
      <c r="I42" s="85" t="n"/>
      <c r="J42" s="85" t="n"/>
      <c r="K42" s="85" t="n"/>
      <c r="L42" s="85" t="n"/>
      <c r="M42" s="85" t="n"/>
      <c r="N42" s="85" t="n"/>
      <c r="O42" s="85" t="n"/>
      <c r="P42" s="85" t="n"/>
      <c r="Q42" s="85" t="n"/>
      <c r="R42" s="85" t="n"/>
      <c r="S42" s="85" t="n"/>
      <c r="T42" s="85" t="n"/>
      <c r="U42" s="85" t="n"/>
      <c r="V42" s="85" t="n"/>
      <c r="W42" s="85" t="n"/>
      <c r="X42" s="85" t="n"/>
      <c r="Y42" s="85" t="n"/>
      <c r="Z42" s="85" t="n"/>
      <c r="AA42" s="85" t="n"/>
      <c r="AB42" s="85" t="n"/>
      <c r="AC42" s="85" t="n"/>
      <c r="AD42" s="85" t="n"/>
      <c r="AE42" s="85" t="n"/>
      <c r="AF42" s="86" t="n"/>
      <c r="AG42" s="86" t="n"/>
      <c r="AH42" s="86" t="n"/>
      <c r="AI42" s="85" t="n"/>
      <c r="AJ42" s="85" t="n"/>
      <c r="AK42" s="85">
        <f>IF($A42="","",IF($M42&gt;0,"Yes","No"))</f>
        <v/>
      </c>
      <c r="AL42" s="85">
        <f>IF($A42="","",IF(AND($E42="Yes",OR($Y42="No",$Y42="NOT FOUND")),"YES",""))</f>
        <v/>
      </c>
      <c r="AM42" s="85">
        <f>IF($A42="","",TRIM(IF(AND($P42=0,$I42&lt;&gt;"Yes"),"T0-NoPhishResistant ","")&amp;IF($H42="No","NoMFA ","")&amp;IF(AND($P42=0,$M42&gt;0),"T0-Standing ","")&amp;IF(AND($P42=0,$Q42="Group only"),"T0-ViaGroupOnly ","")&amp;IF($W42="Yes","AlsoAzureRBAC ","")))</f>
        <v/>
      </c>
      <c r="AN42" s="85">
        <f>IF($A42="","",IF(AG42="","Not Enrolled",IF(TODAY()&gt;AG42,"Review Overdue",IF(AG42-TODAY()&lt;=30,"Review Due Soon","Active"))))</f>
        <v/>
      </c>
      <c r="AO42" s="85">
        <f>IF($A42="","",IF(AH42="","NOT REVIEWED",IF(TODAY()-AH42&gt;90,"OVERDUE",IF(TODAY()-AH42&gt;76,"Due Soon","Current"))))</f>
        <v/>
      </c>
    </row>
    <row r="43" ht="15" customHeight="1" s="39">
      <c r="A43" s="85" t="n"/>
      <c r="B43" s="85" t="n"/>
      <c r="C43" s="85" t="n"/>
      <c r="D43" s="85" t="n"/>
      <c r="E43" s="85" t="n"/>
      <c r="F43" s="86" t="n"/>
      <c r="G43" s="86" t="n"/>
      <c r="H43" s="85" t="n"/>
      <c r="I43" s="85" t="n"/>
      <c r="J43" s="85" t="n"/>
      <c r="K43" s="85" t="n"/>
      <c r="L43" s="85" t="n"/>
      <c r="M43" s="85" t="n"/>
      <c r="N43" s="85" t="n"/>
      <c r="O43" s="85" t="n"/>
      <c r="P43" s="85" t="n"/>
      <c r="Q43" s="85" t="n"/>
      <c r="R43" s="85" t="n"/>
      <c r="S43" s="85" t="n"/>
      <c r="T43" s="85" t="n"/>
      <c r="U43" s="85" t="n"/>
      <c r="V43" s="85" t="n"/>
      <c r="W43" s="85" t="n"/>
      <c r="X43" s="85" t="n"/>
      <c r="Y43" s="85" t="n"/>
      <c r="Z43" s="85" t="n"/>
      <c r="AA43" s="85" t="n"/>
      <c r="AB43" s="85" t="n"/>
      <c r="AC43" s="85" t="n"/>
      <c r="AD43" s="85" t="n"/>
      <c r="AE43" s="85" t="n"/>
      <c r="AF43" s="86" t="n"/>
      <c r="AG43" s="86" t="n"/>
      <c r="AH43" s="86" t="n"/>
      <c r="AI43" s="85" t="n"/>
      <c r="AJ43" s="85" t="n"/>
      <c r="AK43" s="85">
        <f>IF($A43="","",IF($M43&gt;0,"Yes","No"))</f>
        <v/>
      </c>
      <c r="AL43" s="85">
        <f>IF($A43="","",IF(AND($E43="Yes",OR($Y43="No",$Y43="NOT FOUND")),"YES",""))</f>
        <v/>
      </c>
      <c r="AM43" s="85">
        <f>IF($A43="","",TRIM(IF(AND($P43=0,$I43&lt;&gt;"Yes"),"T0-NoPhishResistant ","")&amp;IF($H43="No","NoMFA ","")&amp;IF(AND($P43=0,$M43&gt;0),"T0-Standing ","")&amp;IF(AND($P43=0,$Q43="Group only"),"T0-ViaGroupOnly ","")&amp;IF($W43="Yes","AlsoAzureRBAC ","")))</f>
        <v/>
      </c>
      <c r="AN43" s="85">
        <f>IF($A43="","",IF(AG43="","Not Enrolled",IF(TODAY()&gt;AG43,"Review Overdue",IF(AG43-TODAY()&lt;=30,"Review Due Soon","Active"))))</f>
        <v/>
      </c>
      <c r="AO43" s="85">
        <f>IF($A43="","",IF(AH43="","NOT REVIEWED",IF(TODAY()-AH43&gt;90,"OVERDUE",IF(TODAY()-AH43&gt;76,"Due Soon","Current"))))</f>
        <v/>
      </c>
    </row>
    <row r="44" ht="15" customHeight="1" s="39">
      <c r="A44" s="85" t="n"/>
      <c r="B44" s="85" t="n"/>
      <c r="C44" s="85" t="n"/>
      <c r="D44" s="85" t="n"/>
      <c r="E44" s="85" t="n"/>
      <c r="F44" s="86" t="n"/>
      <c r="G44" s="86" t="n"/>
      <c r="H44" s="85" t="n"/>
      <c r="I44" s="85" t="n"/>
      <c r="J44" s="85" t="n"/>
      <c r="K44" s="85" t="n"/>
      <c r="L44" s="85" t="n"/>
      <c r="M44" s="85" t="n"/>
      <c r="N44" s="85" t="n"/>
      <c r="O44" s="85" t="n"/>
      <c r="P44" s="85" t="n"/>
      <c r="Q44" s="85" t="n"/>
      <c r="R44" s="85" t="n"/>
      <c r="S44" s="85" t="n"/>
      <c r="T44" s="85" t="n"/>
      <c r="U44" s="85" t="n"/>
      <c r="V44" s="85" t="n"/>
      <c r="W44" s="85" t="n"/>
      <c r="X44" s="85" t="n"/>
      <c r="Y44" s="85" t="n"/>
      <c r="Z44" s="85" t="n"/>
      <c r="AA44" s="85" t="n"/>
      <c r="AB44" s="85" t="n"/>
      <c r="AC44" s="85" t="n"/>
      <c r="AD44" s="85" t="n"/>
      <c r="AE44" s="85" t="n"/>
      <c r="AF44" s="86" t="n"/>
      <c r="AG44" s="86" t="n"/>
      <c r="AH44" s="86" t="n"/>
      <c r="AI44" s="85" t="n"/>
      <c r="AJ44" s="85" t="n"/>
      <c r="AK44" s="85">
        <f>IF($A44="","",IF($M44&gt;0,"Yes","No"))</f>
        <v/>
      </c>
      <c r="AL44" s="85">
        <f>IF($A44="","",IF(AND($E44="Yes",OR($Y44="No",$Y44="NOT FOUND")),"YES",""))</f>
        <v/>
      </c>
      <c r="AM44" s="85">
        <f>IF($A44="","",TRIM(IF(AND($P44=0,$I44&lt;&gt;"Yes"),"T0-NoPhishResistant ","")&amp;IF($H44="No","NoMFA ","")&amp;IF(AND($P44=0,$M44&gt;0),"T0-Standing ","")&amp;IF(AND($P44=0,$Q44="Group only"),"T0-ViaGroupOnly ","")&amp;IF($W44="Yes","AlsoAzureRBAC ","")))</f>
        <v/>
      </c>
      <c r="AN44" s="85">
        <f>IF($A44="","",IF(AG44="","Not Enrolled",IF(TODAY()&gt;AG44,"Review Overdue",IF(AG44-TODAY()&lt;=30,"Review Due Soon","Active"))))</f>
        <v/>
      </c>
      <c r="AO44" s="85">
        <f>IF($A44="","",IF(AH44="","NOT REVIEWED",IF(TODAY()-AH44&gt;90,"OVERDUE",IF(TODAY()-AH44&gt;76,"Due Soon","Current"))))</f>
        <v/>
      </c>
    </row>
    <row r="45" ht="15" customHeight="1" s="39">
      <c r="A45" s="85" t="n"/>
      <c r="B45" s="85" t="n"/>
      <c r="C45" s="85" t="n"/>
      <c r="D45" s="85" t="n"/>
      <c r="E45" s="85" t="n"/>
      <c r="F45" s="86" t="n"/>
      <c r="G45" s="86" t="n"/>
      <c r="H45" s="85" t="n"/>
      <c r="I45" s="85" t="n"/>
      <c r="J45" s="85" t="n"/>
      <c r="K45" s="85" t="n"/>
      <c r="L45" s="85" t="n"/>
      <c r="M45" s="85" t="n"/>
      <c r="N45" s="85" t="n"/>
      <c r="O45" s="85" t="n"/>
      <c r="P45" s="85" t="n"/>
      <c r="Q45" s="85" t="n"/>
      <c r="R45" s="85" t="n"/>
      <c r="S45" s="85" t="n"/>
      <c r="T45" s="85" t="n"/>
      <c r="U45" s="85" t="n"/>
      <c r="V45" s="85" t="n"/>
      <c r="W45" s="85" t="n"/>
      <c r="X45" s="85" t="n"/>
      <c r="Y45" s="85" t="n"/>
      <c r="Z45" s="85" t="n"/>
      <c r="AA45" s="85" t="n"/>
      <c r="AB45" s="85" t="n"/>
      <c r="AC45" s="85" t="n"/>
      <c r="AD45" s="85" t="n"/>
      <c r="AE45" s="85" t="n"/>
      <c r="AF45" s="86" t="n"/>
      <c r="AG45" s="86" t="n"/>
      <c r="AH45" s="86" t="n"/>
      <c r="AI45" s="85" t="n"/>
      <c r="AJ45" s="85" t="n"/>
      <c r="AK45" s="85">
        <f>IF($A45="","",IF($M45&gt;0,"Yes","No"))</f>
        <v/>
      </c>
      <c r="AL45" s="85">
        <f>IF($A45="","",IF(AND($E45="Yes",OR($Y45="No",$Y45="NOT FOUND")),"YES",""))</f>
        <v/>
      </c>
      <c r="AM45" s="85">
        <f>IF($A45="","",TRIM(IF(AND($P45=0,$I45&lt;&gt;"Yes"),"T0-NoPhishResistant ","")&amp;IF($H45="No","NoMFA ","")&amp;IF(AND($P45=0,$M45&gt;0),"T0-Standing ","")&amp;IF(AND($P45=0,$Q45="Group only"),"T0-ViaGroupOnly ","")&amp;IF($W45="Yes","AlsoAzureRBAC ","")))</f>
        <v/>
      </c>
      <c r="AN45" s="85">
        <f>IF($A45="","",IF(AG45="","Not Enrolled",IF(TODAY()&gt;AG45,"Review Overdue",IF(AG45-TODAY()&lt;=30,"Review Due Soon","Active"))))</f>
        <v/>
      </c>
      <c r="AO45" s="85">
        <f>IF($A45="","",IF(AH45="","NOT REVIEWED",IF(TODAY()-AH45&gt;90,"OVERDUE",IF(TODAY()-AH45&gt;76,"Due Soon","Current"))))</f>
        <v/>
      </c>
    </row>
    <row r="46" ht="15" customHeight="1" s="39">
      <c r="A46" s="85" t="n"/>
      <c r="B46" s="85" t="n"/>
      <c r="C46" s="85" t="n"/>
      <c r="D46" s="85" t="n"/>
      <c r="E46" s="85" t="n"/>
      <c r="F46" s="86" t="n"/>
      <c r="G46" s="86" t="n"/>
      <c r="H46" s="85" t="n"/>
      <c r="I46" s="85" t="n"/>
      <c r="J46" s="85" t="n"/>
      <c r="K46" s="85" t="n"/>
      <c r="L46" s="85" t="n"/>
      <c r="M46" s="85" t="n"/>
      <c r="N46" s="85" t="n"/>
      <c r="O46" s="85" t="n"/>
      <c r="P46" s="85" t="n"/>
      <c r="Q46" s="85" t="n"/>
      <c r="R46" s="85" t="n"/>
      <c r="S46" s="85" t="n"/>
      <c r="T46" s="85" t="n"/>
      <c r="U46" s="85" t="n"/>
      <c r="V46" s="85" t="n"/>
      <c r="W46" s="85" t="n"/>
      <c r="X46" s="85" t="n"/>
      <c r="Y46" s="85" t="n"/>
      <c r="Z46" s="85" t="n"/>
      <c r="AA46" s="85" t="n"/>
      <c r="AB46" s="85" t="n"/>
      <c r="AC46" s="85" t="n"/>
      <c r="AD46" s="85" t="n"/>
      <c r="AE46" s="85" t="n"/>
      <c r="AF46" s="86" t="n"/>
      <c r="AG46" s="86" t="n"/>
      <c r="AH46" s="86" t="n"/>
      <c r="AI46" s="85" t="n"/>
      <c r="AJ46" s="85" t="n"/>
      <c r="AK46" s="85">
        <f>IF($A46="","",IF($M46&gt;0,"Yes","No"))</f>
        <v/>
      </c>
      <c r="AL46" s="85">
        <f>IF($A46="","",IF(AND($E46="Yes",OR($Y46="No",$Y46="NOT FOUND")),"YES",""))</f>
        <v/>
      </c>
      <c r="AM46" s="85">
        <f>IF($A46="","",TRIM(IF(AND($P46=0,$I46&lt;&gt;"Yes"),"T0-NoPhishResistant ","")&amp;IF($H46="No","NoMFA ","")&amp;IF(AND($P46=0,$M46&gt;0),"T0-Standing ","")&amp;IF(AND($P46=0,$Q46="Group only"),"T0-ViaGroupOnly ","")&amp;IF($W46="Yes","AlsoAzureRBAC ","")))</f>
        <v/>
      </c>
      <c r="AN46" s="85">
        <f>IF($A46="","",IF(AG46="","Not Enrolled",IF(TODAY()&gt;AG46,"Review Overdue",IF(AG46-TODAY()&lt;=30,"Review Due Soon","Active"))))</f>
        <v/>
      </c>
      <c r="AO46" s="85">
        <f>IF($A46="","",IF(AH46="","NOT REVIEWED",IF(TODAY()-AH46&gt;90,"OVERDUE",IF(TODAY()-AH46&gt;76,"Due Soon","Current"))))</f>
        <v/>
      </c>
    </row>
    <row r="47" ht="15" customHeight="1" s="39">
      <c r="A47" s="85" t="n"/>
      <c r="B47" s="85" t="n"/>
      <c r="C47" s="85" t="n"/>
      <c r="D47" s="85" t="n"/>
      <c r="E47" s="85" t="n"/>
      <c r="F47" s="86" t="n"/>
      <c r="G47" s="86" t="n"/>
      <c r="H47" s="85" t="n"/>
      <c r="I47" s="85" t="n"/>
      <c r="J47" s="85" t="n"/>
      <c r="K47" s="85" t="n"/>
      <c r="L47" s="85"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6" t="n"/>
      <c r="AG47" s="86" t="n"/>
      <c r="AH47" s="86" t="n"/>
      <c r="AI47" s="85" t="n"/>
      <c r="AJ47" s="85" t="n"/>
      <c r="AK47" s="85">
        <f>IF($A47="","",IF($M47&gt;0,"Yes","No"))</f>
        <v/>
      </c>
      <c r="AL47" s="85">
        <f>IF($A47="","",IF(AND($E47="Yes",OR($Y47="No",$Y47="NOT FOUND")),"YES",""))</f>
        <v/>
      </c>
      <c r="AM47" s="85">
        <f>IF($A47="","",TRIM(IF(AND($P47=0,$I47&lt;&gt;"Yes"),"T0-NoPhishResistant ","")&amp;IF($H47="No","NoMFA ","")&amp;IF(AND($P47=0,$M47&gt;0),"T0-Standing ","")&amp;IF(AND($P47=0,$Q47="Group only"),"T0-ViaGroupOnly ","")&amp;IF($W47="Yes","AlsoAzureRBAC ","")))</f>
        <v/>
      </c>
      <c r="AN47" s="85">
        <f>IF($A47="","",IF(AG47="","Not Enrolled",IF(TODAY()&gt;AG47,"Review Overdue",IF(AG47-TODAY()&lt;=30,"Review Due Soon","Active"))))</f>
        <v/>
      </c>
      <c r="AO47" s="85">
        <f>IF($A47="","",IF(AH47="","NOT REVIEWED",IF(TODAY()-AH47&gt;90,"OVERDUE",IF(TODAY()-AH47&gt;76,"Due Soon","Current"))))</f>
        <v/>
      </c>
    </row>
    <row r="48" ht="15" customHeight="1" s="39">
      <c r="A48" s="85" t="n"/>
      <c r="B48" s="85" t="n"/>
      <c r="C48" s="85" t="n"/>
      <c r="D48" s="85" t="n"/>
      <c r="E48" s="85" t="n"/>
      <c r="F48" s="86" t="n"/>
      <c r="G48" s="86" t="n"/>
      <c r="H48" s="85" t="n"/>
      <c r="I48" s="85" t="n"/>
      <c r="J48" s="85" t="n"/>
      <c r="K48" s="85" t="n"/>
      <c r="L48" s="85" t="n"/>
      <c r="M48" s="85" t="n"/>
      <c r="N48" s="85" t="n"/>
      <c r="O48" s="85" t="n"/>
      <c r="P48" s="85" t="n"/>
      <c r="Q48" s="85" t="n"/>
      <c r="R48" s="85" t="n"/>
      <c r="S48" s="85" t="n"/>
      <c r="T48" s="85" t="n"/>
      <c r="U48" s="85" t="n"/>
      <c r="V48" s="85" t="n"/>
      <c r="W48" s="85" t="n"/>
      <c r="X48" s="85" t="n"/>
      <c r="Y48" s="85" t="n"/>
      <c r="Z48" s="85" t="n"/>
      <c r="AA48" s="85" t="n"/>
      <c r="AB48" s="85" t="n"/>
      <c r="AC48" s="85" t="n"/>
      <c r="AD48" s="85" t="n"/>
      <c r="AE48" s="85" t="n"/>
      <c r="AF48" s="86" t="n"/>
      <c r="AG48" s="86" t="n"/>
      <c r="AH48" s="86" t="n"/>
      <c r="AI48" s="85" t="n"/>
      <c r="AJ48" s="85" t="n"/>
      <c r="AK48" s="85">
        <f>IF($A48="","",IF($M48&gt;0,"Yes","No"))</f>
        <v/>
      </c>
      <c r="AL48" s="85">
        <f>IF($A48="","",IF(AND($E48="Yes",OR($Y48="No",$Y48="NOT FOUND")),"YES",""))</f>
        <v/>
      </c>
      <c r="AM48" s="85">
        <f>IF($A48="","",TRIM(IF(AND($P48=0,$I48&lt;&gt;"Yes"),"T0-NoPhishResistant ","")&amp;IF($H48="No","NoMFA ","")&amp;IF(AND($P48=0,$M48&gt;0),"T0-Standing ","")&amp;IF(AND($P48=0,$Q48="Group only"),"T0-ViaGroupOnly ","")&amp;IF($W48="Yes","AlsoAzureRBAC ","")))</f>
        <v/>
      </c>
      <c r="AN48" s="85">
        <f>IF($A48="","",IF(AG48="","Not Enrolled",IF(TODAY()&gt;AG48,"Review Overdue",IF(AG48-TODAY()&lt;=30,"Review Due Soon","Active"))))</f>
        <v/>
      </c>
      <c r="AO48" s="85">
        <f>IF($A48="","",IF(AH48="","NOT REVIEWED",IF(TODAY()-AH48&gt;90,"OVERDUE",IF(TODAY()-AH48&gt;76,"Due Soon","Current"))))</f>
        <v/>
      </c>
    </row>
    <row r="49" ht="15" customHeight="1" s="39">
      <c r="A49" s="85" t="n"/>
      <c r="B49" s="85" t="n"/>
      <c r="C49" s="85" t="n"/>
      <c r="D49" s="85" t="n"/>
      <c r="E49" s="85" t="n"/>
      <c r="F49" s="86" t="n"/>
      <c r="G49" s="86" t="n"/>
      <c r="H49" s="85" t="n"/>
      <c r="I49" s="85" t="n"/>
      <c r="J49" s="85" t="n"/>
      <c r="K49" s="85" t="n"/>
      <c r="L49" s="85" t="n"/>
      <c r="M49" s="85" t="n"/>
      <c r="N49" s="85" t="n"/>
      <c r="O49" s="85" t="n"/>
      <c r="P49" s="85" t="n"/>
      <c r="Q49" s="85" t="n"/>
      <c r="R49" s="85" t="n"/>
      <c r="S49" s="85" t="n"/>
      <c r="T49" s="85" t="n"/>
      <c r="U49" s="85" t="n"/>
      <c r="V49" s="85" t="n"/>
      <c r="W49" s="85" t="n"/>
      <c r="X49" s="85" t="n"/>
      <c r="Y49" s="85" t="n"/>
      <c r="Z49" s="85" t="n"/>
      <c r="AA49" s="85" t="n"/>
      <c r="AB49" s="85" t="n"/>
      <c r="AC49" s="85" t="n"/>
      <c r="AD49" s="85" t="n"/>
      <c r="AE49" s="85" t="n"/>
      <c r="AF49" s="86" t="n"/>
      <c r="AG49" s="86" t="n"/>
      <c r="AH49" s="86" t="n"/>
      <c r="AI49" s="85" t="n"/>
      <c r="AJ49" s="85" t="n"/>
      <c r="AK49" s="85">
        <f>IF($A49="","",IF($M49&gt;0,"Yes","No"))</f>
        <v/>
      </c>
      <c r="AL49" s="85">
        <f>IF($A49="","",IF(AND($E49="Yes",OR($Y49="No",$Y49="NOT FOUND")),"YES",""))</f>
        <v/>
      </c>
      <c r="AM49" s="85">
        <f>IF($A49="","",TRIM(IF(AND($P49=0,$I49&lt;&gt;"Yes"),"T0-NoPhishResistant ","")&amp;IF($H49="No","NoMFA ","")&amp;IF(AND($P49=0,$M49&gt;0),"T0-Standing ","")&amp;IF(AND($P49=0,$Q49="Group only"),"T0-ViaGroupOnly ","")&amp;IF($W49="Yes","AlsoAzureRBAC ","")))</f>
        <v/>
      </c>
      <c r="AN49" s="85">
        <f>IF($A49="","",IF(AG49="","Not Enrolled",IF(TODAY()&gt;AG49,"Review Overdue",IF(AG49-TODAY()&lt;=30,"Review Due Soon","Active"))))</f>
        <v/>
      </c>
      <c r="AO49" s="85">
        <f>IF($A49="","",IF(AH49="","NOT REVIEWED",IF(TODAY()-AH49&gt;90,"OVERDUE",IF(TODAY()-AH49&gt;76,"Due Soon","Current"))))</f>
        <v/>
      </c>
    </row>
    <row r="50" ht="15" customHeight="1" s="39">
      <c r="A50" s="85" t="n"/>
      <c r="B50" s="85" t="n"/>
      <c r="C50" s="85" t="n"/>
      <c r="D50" s="85" t="n"/>
      <c r="E50" s="85" t="n"/>
      <c r="F50" s="86" t="n"/>
      <c r="G50" s="86" t="n"/>
      <c r="H50" s="85" t="n"/>
      <c r="I50" s="85" t="n"/>
      <c r="J50" s="85" t="n"/>
      <c r="K50" s="85" t="n"/>
      <c r="L50" s="85" t="n"/>
      <c r="M50" s="85" t="n"/>
      <c r="N50" s="85" t="n"/>
      <c r="O50" s="85" t="n"/>
      <c r="P50" s="85" t="n"/>
      <c r="Q50" s="85" t="n"/>
      <c r="R50" s="85" t="n"/>
      <c r="S50" s="85" t="n"/>
      <c r="T50" s="85" t="n"/>
      <c r="U50" s="85" t="n"/>
      <c r="V50" s="85" t="n"/>
      <c r="W50" s="85" t="n"/>
      <c r="X50" s="85" t="n"/>
      <c r="Y50" s="85" t="n"/>
      <c r="Z50" s="85" t="n"/>
      <c r="AA50" s="85" t="n"/>
      <c r="AB50" s="85" t="n"/>
      <c r="AC50" s="85" t="n"/>
      <c r="AD50" s="85" t="n"/>
      <c r="AE50" s="85" t="n"/>
      <c r="AF50" s="86" t="n"/>
      <c r="AG50" s="86" t="n"/>
      <c r="AH50" s="86" t="n"/>
      <c r="AI50" s="85" t="n"/>
      <c r="AJ50" s="85" t="n"/>
      <c r="AK50" s="85">
        <f>IF($A50="","",IF($M50&gt;0,"Yes","No"))</f>
        <v/>
      </c>
      <c r="AL50" s="85">
        <f>IF($A50="","",IF(AND($E50="Yes",OR($Y50="No",$Y50="NOT FOUND")),"YES",""))</f>
        <v/>
      </c>
      <c r="AM50" s="85">
        <f>IF($A50="","",TRIM(IF(AND($P50=0,$I50&lt;&gt;"Yes"),"T0-NoPhishResistant ","")&amp;IF($H50="No","NoMFA ","")&amp;IF(AND($P50=0,$M50&gt;0),"T0-Standing ","")&amp;IF(AND($P50=0,$Q50="Group only"),"T0-ViaGroupOnly ","")&amp;IF($W50="Yes","AlsoAzureRBAC ","")))</f>
        <v/>
      </c>
      <c r="AN50" s="85">
        <f>IF($A50="","",IF(AG50="","Not Enrolled",IF(TODAY()&gt;AG50,"Review Overdue",IF(AG50-TODAY()&lt;=30,"Review Due Soon","Active"))))</f>
        <v/>
      </c>
      <c r="AO50" s="85">
        <f>IF($A50="","",IF(AH50="","NOT REVIEWED",IF(TODAY()-AH50&gt;90,"OVERDUE",IF(TODAY()-AH50&gt;76,"Due Soon","Current"))))</f>
        <v/>
      </c>
    </row>
    <row r="51" ht="15" customHeight="1" s="39">
      <c r="A51" s="85" t="n"/>
      <c r="B51" s="85" t="n"/>
      <c r="C51" s="85" t="n"/>
      <c r="D51" s="85" t="n"/>
      <c r="E51" s="85" t="n"/>
      <c r="F51" s="86" t="n"/>
      <c r="G51" s="86" t="n"/>
      <c r="H51" s="85" t="n"/>
      <c r="I51" s="85" t="n"/>
      <c r="J51" s="85" t="n"/>
      <c r="K51" s="85" t="n"/>
      <c r="L51" s="85" t="n"/>
      <c r="M51" s="85" t="n"/>
      <c r="N51" s="85" t="n"/>
      <c r="O51" s="85" t="n"/>
      <c r="P51" s="85" t="n"/>
      <c r="Q51" s="85" t="n"/>
      <c r="R51" s="85" t="n"/>
      <c r="S51" s="85" t="n"/>
      <c r="T51" s="85" t="n"/>
      <c r="U51" s="85" t="n"/>
      <c r="V51" s="85" t="n"/>
      <c r="W51" s="85" t="n"/>
      <c r="X51" s="85" t="n"/>
      <c r="Y51" s="85" t="n"/>
      <c r="Z51" s="85" t="n"/>
      <c r="AA51" s="85" t="n"/>
      <c r="AB51" s="85" t="n"/>
      <c r="AC51" s="85" t="n"/>
      <c r="AD51" s="85" t="n"/>
      <c r="AE51" s="85" t="n"/>
      <c r="AF51" s="86" t="n"/>
      <c r="AG51" s="86" t="n"/>
      <c r="AH51" s="86" t="n"/>
      <c r="AI51" s="85" t="n"/>
      <c r="AJ51" s="85" t="n"/>
      <c r="AK51" s="85">
        <f>IF($A51="","",IF($M51&gt;0,"Yes","No"))</f>
        <v/>
      </c>
      <c r="AL51" s="85">
        <f>IF($A51="","",IF(AND($E51="Yes",OR($Y51="No",$Y51="NOT FOUND")),"YES",""))</f>
        <v/>
      </c>
      <c r="AM51" s="85">
        <f>IF($A51="","",TRIM(IF(AND($P51=0,$I51&lt;&gt;"Yes"),"T0-NoPhishResistant ","")&amp;IF($H51="No","NoMFA ","")&amp;IF(AND($P51=0,$M51&gt;0),"T0-Standing ","")&amp;IF(AND($P51=0,$Q51="Group only"),"T0-ViaGroupOnly ","")&amp;IF($W51="Yes","AlsoAzureRBAC ","")))</f>
        <v/>
      </c>
      <c r="AN51" s="85">
        <f>IF($A51="","",IF(AG51="","Not Enrolled",IF(TODAY()&gt;AG51,"Review Overdue",IF(AG51-TODAY()&lt;=30,"Review Due Soon","Active"))))</f>
        <v/>
      </c>
      <c r="AO51" s="85">
        <f>IF($A51="","",IF(AH51="","NOT REVIEWED",IF(TODAY()-AH51&gt;90,"OVERDUE",IF(TODAY()-AH51&gt;76,"Due Soon","Current"))))</f>
        <v/>
      </c>
    </row>
    <row r="52" ht="15" customHeight="1" s="39">
      <c r="A52" s="85" t="n"/>
      <c r="B52" s="85" t="n"/>
      <c r="C52" s="85" t="n"/>
      <c r="D52" s="85" t="n"/>
      <c r="E52" s="85" t="n"/>
      <c r="F52" s="86" t="n"/>
      <c r="G52" s="86" t="n"/>
      <c r="H52" s="85" t="n"/>
      <c r="I52" s="85" t="n"/>
      <c r="J52" s="85" t="n"/>
      <c r="K52" s="85" t="n"/>
      <c r="L52" s="85" t="n"/>
      <c r="M52" s="85" t="n"/>
      <c r="N52" s="85" t="n"/>
      <c r="O52" s="85" t="n"/>
      <c r="P52" s="85" t="n"/>
      <c r="Q52" s="85" t="n"/>
      <c r="R52" s="85" t="n"/>
      <c r="S52" s="85" t="n"/>
      <c r="T52" s="85" t="n"/>
      <c r="U52" s="85" t="n"/>
      <c r="V52" s="85" t="n"/>
      <c r="W52" s="85" t="n"/>
      <c r="X52" s="85" t="n"/>
      <c r="Y52" s="85" t="n"/>
      <c r="Z52" s="85" t="n"/>
      <c r="AA52" s="85" t="n"/>
      <c r="AB52" s="85" t="n"/>
      <c r="AC52" s="85" t="n"/>
      <c r="AD52" s="85" t="n"/>
      <c r="AE52" s="85" t="n"/>
      <c r="AF52" s="86" t="n"/>
      <c r="AG52" s="86" t="n"/>
      <c r="AH52" s="86" t="n"/>
      <c r="AI52" s="85" t="n"/>
      <c r="AJ52" s="85" t="n"/>
      <c r="AK52" s="85">
        <f>IF($A52="","",IF($M52&gt;0,"Yes","No"))</f>
        <v/>
      </c>
      <c r="AL52" s="85">
        <f>IF($A52="","",IF(AND($E52="Yes",OR($Y52="No",$Y52="NOT FOUND")),"YES",""))</f>
        <v/>
      </c>
      <c r="AM52" s="85">
        <f>IF($A52="","",TRIM(IF(AND($P52=0,$I52&lt;&gt;"Yes"),"T0-NoPhishResistant ","")&amp;IF($H52="No","NoMFA ","")&amp;IF(AND($P52=0,$M52&gt;0),"T0-Standing ","")&amp;IF(AND($P52=0,$Q52="Group only"),"T0-ViaGroupOnly ","")&amp;IF($W52="Yes","AlsoAzureRBAC ","")))</f>
        <v/>
      </c>
      <c r="AN52" s="85">
        <f>IF($A52="","",IF(AG52="","Not Enrolled",IF(TODAY()&gt;AG52,"Review Overdue",IF(AG52-TODAY()&lt;=30,"Review Due Soon","Active"))))</f>
        <v/>
      </c>
      <c r="AO52" s="85">
        <f>IF($A52="","",IF(AH52="","NOT REVIEWED",IF(TODAY()-AH52&gt;90,"OVERDUE",IF(TODAY()-AH52&gt;76,"Due Soon","Current"))))</f>
        <v/>
      </c>
    </row>
    <row r="53" ht="15" customHeight="1" s="39">
      <c r="A53" s="85" t="n"/>
      <c r="B53" s="85" t="n"/>
      <c r="C53" s="85" t="n"/>
      <c r="D53" s="85" t="n"/>
      <c r="E53" s="85" t="n"/>
      <c r="F53" s="86" t="n"/>
      <c r="G53" s="86" t="n"/>
      <c r="H53" s="85" t="n"/>
      <c r="I53" s="85" t="n"/>
      <c r="J53" s="85" t="n"/>
      <c r="K53" s="85" t="n"/>
      <c r="L53" s="85" t="n"/>
      <c r="M53" s="85" t="n"/>
      <c r="N53" s="85" t="n"/>
      <c r="O53" s="85" t="n"/>
      <c r="P53" s="85" t="n"/>
      <c r="Q53" s="85" t="n"/>
      <c r="R53" s="85" t="n"/>
      <c r="S53" s="85" t="n"/>
      <c r="T53" s="85" t="n"/>
      <c r="U53" s="85" t="n"/>
      <c r="V53" s="85" t="n"/>
      <c r="W53" s="85" t="n"/>
      <c r="X53" s="85" t="n"/>
      <c r="Y53" s="85" t="n"/>
      <c r="Z53" s="85" t="n"/>
      <c r="AA53" s="85" t="n"/>
      <c r="AB53" s="85" t="n"/>
      <c r="AC53" s="85" t="n"/>
      <c r="AD53" s="85" t="n"/>
      <c r="AE53" s="85" t="n"/>
      <c r="AF53" s="86" t="n"/>
      <c r="AG53" s="86" t="n"/>
      <c r="AH53" s="86" t="n"/>
      <c r="AI53" s="85" t="n"/>
      <c r="AJ53" s="85" t="n"/>
      <c r="AK53" s="85">
        <f>IF($A53="","",IF($M53&gt;0,"Yes","No"))</f>
        <v/>
      </c>
      <c r="AL53" s="85">
        <f>IF($A53="","",IF(AND($E53="Yes",OR($Y53="No",$Y53="NOT FOUND")),"YES",""))</f>
        <v/>
      </c>
      <c r="AM53" s="85">
        <f>IF($A53="","",TRIM(IF(AND($P53=0,$I53&lt;&gt;"Yes"),"T0-NoPhishResistant ","")&amp;IF($H53="No","NoMFA ","")&amp;IF(AND($P53=0,$M53&gt;0),"T0-Standing ","")&amp;IF(AND($P53=0,$Q53="Group only"),"T0-ViaGroupOnly ","")&amp;IF($W53="Yes","AlsoAzureRBAC ","")))</f>
        <v/>
      </c>
      <c r="AN53" s="85">
        <f>IF($A53="","",IF(AG53="","Not Enrolled",IF(TODAY()&gt;AG53,"Review Overdue",IF(AG53-TODAY()&lt;=30,"Review Due Soon","Active"))))</f>
        <v/>
      </c>
      <c r="AO53" s="85">
        <f>IF($A53="","",IF(AH53="","NOT REVIEWED",IF(TODAY()-AH53&gt;90,"OVERDUE",IF(TODAY()-AH53&gt;76,"Due Soon","Current"))))</f>
        <v/>
      </c>
    </row>
    <row r="54" ht="15" customHeight="1" s="39">
      <c r="A54" s="85" t="n"/>
      <c r="B54" s="85" t="n"/>
      <c r="C54" s="85" t="n"/>
      <c r="D54" s="85" t="n"/>
      <c r="E54" s="85" t="n"/>
      <c r="F54" s="86" t="n"/>
      <c r="G54" s="86" t="n"/>
      <c r="H54" s="85" t="n"/>
      <c r="I54" s="85" t="n"/>
      <c r="J54" s="85" t="n"/>
      <c r="K54" s="85" t="n"/>
      <c r="L54" s="85" t="n"/>
      <c r="M54" s="85" t="n"/>
      <c r="N54" s="85" t="n"/>
      <c r="O54" s="85" t="n"/>
      <c r="P54" s="85" t="n"/>
      <c r="Q54" s="85" t="n"/>
      <c r="R54" s="85" t="n"/>
      <c r="S54" s="85" t="n"/>
      <c r="T54" s="85" t="n"/>
      <c r="U54" s="85" t="n"/>
      <c r="V54" s="85" t="n"/>
      <c r="W54" s="85" t="n"/>
      <c r="X54" s="85" t="n"/>
      <c r="Y54" s="85" t="n"/>
      <c r="Z54" s="85" t="n"/>
      <c r="AA54" s="85" t="n"/>
      <c r="AB54" s="85" t="n"/>
      <c r="AC54" s="85" t="n"/>
      <c r="AD54" s="85" t="n"/>
      <c r="AE54" s="85" t="n"/>
      <c r="AF54" s="86" t="n"/>
      <c r="AG54" s="86" t="n"/>
      <c r="AH54" s="86" t="n"/>
      <c r="AI54" s="85" t="n"/>
      <c r="AJ54" s="85" t="n"/>
      <c r="AK54" s="85">
        <f>IF($A54="","",IF($M54&gt;0,"Yes","No"))</f>
        <v/>
      </c>
      <c r="AL54" s="85">
        <f>IF($A54="","",IF(AND($E54="Yes",OR($Y54="No",$Y54="NOT FOUND")),"YES",""))</f>
        <v/>
      </c>
      <c r="AM54" s="85">
        <f>IF($A54="","",TRIM(IF(AND($P54=0,$I54&lt;&gt;"Yes"),"T0-NoPhishResistant ","")&amp;IF($H54="No","NoMFA ","")&amp;IF(AND($P54=0,$M54&gt;0),"T0-Standing ","")&amp;IF(AND($P54=0,$Q54="Group only"),"T0-ViaGroupOnly ","")&amp;IF($W54="Yes","AlsoAzureRBAC ","")))</f>
        <v/>
      </c>
      <c r="AN54" s="85">
        <f>IF($A54="","",IF(AG54="","Not Enrolled",IF(TODAY()&gt;AG54,"Review Overdue",IF(AG54-TODAY()&lt;=30,"Review Due Soon","Active"))))</f>
        <v/>
      </c>
      <c r="AO54" s="85">
        <f>IF($A54="","",IF(AH54="","NOT REVIEWED",IF(TODAY()-AH54&gt;90,"OVERDUE",IF(TODAY()-AH54&gt;76,"Due Soon","Current"))))</f>
        <v/>
      </c>
    </row>
    <row r="55" ht="15" customHeight="1" s="39">
      <c r="A55" s="85" t="n"/>
      <c r="B55" s="85" t="n"/>
      <c r="C55" s="85" t="n"/>
      <c r="D55" s="85" t="n"/>
      <c r="E55" s="85" t="n"/>
      <c r="F55" s="86" t="n"/>
      <c r="G55" s="86" t="n"/>
      <c r="H55" s="85" t="n"/>
      <c r="I55" s="85" t="n"/>
      <c r="J55" s="85" t="n"/>
      <c r="K55" s="85" t="n"/>
      <c r="L55" s="85" t="n"/>
      <c r="M55" s="85" t="n"/>
      <c r="N55" s="85" t="n"/>
      <c r="O55" s="85" t="n"/>
      <c r="P55" s="85" t="n"/>
      <c r="Q55" s="85" t="n"/>
      <c r="R55" s="85" t="n"/>
      <c r="S55" s="85" t="n"/>
      <c r="T55" s="85" t="n"/>
      <c r="U55" s="85" t="n"/>
      <c r="V55" s="85" t="n"/>
      <c r="W55" s="85" t="n"/>
      <c r="X55" s="85" t="n"/>
      <c r="Y55" s="85" t="n"/>
      <c r="Z55" s="85" t="n"/>
      <c r="AA55" s="85" t="n"/>
      <c r="AB55" s="85" t="n"/>
      <c r="AC55" s="85" t="n"/>
      <c r="AD55" s="85" t="n"/>
      <c r="AE55" s="85" t="n"/>
      <c r="AF55" s="86" t="n"/>
      <c r="AG55" s="86" t="n"/>
      <c r="AH55" s="86" t="n"/>
      <c r="AI55" s="85" t="n"/>
      <c r="AJ55" s="85" t="n"/>
      <c r="AK55" s="85">
        <f>IF($A55="","",IF($M55&gt;0,"Yes","No"))</f>
        <v/>
      </c>
      <c r="AL55" s="85">
        <f>IF($A55="","",IF(AND($E55="Yes",OR($Y55="No",$Y55="NOT FOUND")),"YES",""))</f>
        <v/>
      </c>
      <c r="AM55" s="85">
        <f>IF($A55="","",TRIM(IF(AND($P55=0,$I55&lt;&gt;"Yes"),"T0-NoPhishResistant ","")&amp;IF($H55="No","NoMFA ","")&amp;IF(AND($P55=0,$M55&gt;0),"T0-Standing ","")&amp;IF(AND($P55=0,$Q55="Group only"),"T0-ViaGroupOnly ","")&amp;IF($W55="Yes","AlsoAzureRBAC ","")))</f>
        <v/>
      </c>
      <c r="AN55" s="85">
        <f>IF($A55="","",IF(AG55="","Not Enrolled",IF(TODAY()&gt;AG55,"Review Overdue",IF(AG55-TODAY()&lt;=30,"Review Due Soon","Active"))))</f>
        <v/>
      </c>
      <c r="AO55" s="85">
        <f>IF($A55="","",IF(AH55="","NOT REVIEWED",IF(TODAY()-AH55&gt;90,"OVERDUE",IF(TODAY()-AH55&gt;76,"Due Soon","Current"))))</f>
        <v/>
      </c>
    </row>
    <row r="56" ht="15" customHeight="1" s="39">
      <c r="A56" s="85" t="n"/>
      <c r="B56" s="85" t="n"/>
      <c r="C56" s="85" t="n"/>
      <c r="D56" s="85" t="n"/>
      <c r="E56" s="85" t="n"/>
      <c r="F56" s="86" t="n"/>
      <c r="G56" s="86" t="n"/>
      <c r="H56" s="85" t="n"/>
      <c r="I56" s="85" t="n"/>
      <c r="J56" s="85" t="n"/>
      <c r="K56" s="85" t="n"/>
      <c r="L56" s="85" t="n"/>
      <c r="M56" s="85" t="n"/>
      <c r="N56" s="85" t="n"/>
      <c r="O56" s="85" t="n"/>
      <c r="P56" s="85" t="n"/>
      <c r="Q56" s="85" t="n"/>
      <c r="R56" s="85" t="n"/>
      <c r="S56" s="85" t="n"/>
      <c r="T56" s="85" t="n"/>
      <c r="U56" s="85" t="n"/>
      <c r="V56" s="85" t="n"/>
      <c r="W56" s="85" t="n"/>
      <c r="X56" s="85" t="n"/>
      <c r="Y56" s="85" t="n"/>
      <c r="Z56" s="85" t="n"/>
      <c r="AA56" s="85" t="n"/>
      <c r="AB56" s="85" t="n"/>
      <c r="AC56" s="85" t="n"/>
      <c r="AD56" s="85" t="n"/>
      <c r="AE56" s="85" t="n"/>
      <c r="AF56" s="86" t="n"/>
      <c r="AG56" s="86" t="n"/>
      <c r="AH56" s="86" t="n"/>
      <c r="AI56" s="85" t="n"/>
      <c r="AJ56" s="85" t="n"/>
      <c r="AK56" s="85">
        <f>IF($A56="","",IF($M56&gt;0,"Yes","No"))</f>
        <v/>
      </c>
      <c r="AL56" s="85">
        <f>IF($A56="","",IF(AND($E56="Yes",OR($Y56="No",$Y56="NOT FOUND")),"YES",""))</f>
        <v/>
      </c>
      <c r="AM56" s="85">
        <f>IF($A56="","",TRIM(IF(AND($P56=0,$I56&lt;&gt;"Yes"),"T0-NoPhishResistant ","")&amp;IF($H56="No","NoMFA ","")&amp;IF(AND($P56=0,$M56&gt;0),"T0-Standing ","")&amp;IF(AND($P56=0,$Q56="Group only"),"T0-ViaGroupOnly ","")&amp;IF($W56="Yes","AlsoAzureRBAC ","")))</f>
        <v/>
      </c>
      <c r="AN56" s="85">
        <f>IF($A56="","",IF(AG56="","Not Enrolled",IF(TODAY()&gt;AG56,"Review Overdue",IF(AG56-TODAY()&lt;=30,"Review Due Soon","Active"))))</f>
        <v/>
      </c>
      <c r="AO56" s="85">
        <f>IF($A56="","",IF(AH56="","NOT REVIEWED",IF(TODAY()-AH56&gt;90,"OVERDUE",IF(TODAY()-AH56&gt;76,"Due Soon","Current"))))</f>
        <v/>
      </c>
    </row>
    <row r="57" ht="15" customHeight="1" s="39">
      <c r="A57" s="85" t="n"/>
      <c r="B57" s="85" t="n"/>
      <c r="C57" s="85" t="n"/>
      <c r="D57" s="85" t="n"/>
      <c r="E57" s="85" t="n"/>
      <c r="F57" s="86" t="n"/>
      <c r="G57" s="86" t="n"/>
      <c r="H57" s="85" t="n"/>
      <c r="I57" s="85" t="n"/>
      <c r="J57" s="85" t="n"/>
      <c r="K57" s="85" t="n"/>
      <c r="L57" s="85" t="n"/>
      <c r="M57" s="85" t="n"/>
      <c r="N57" s="85" t="n"/>
      <c r="O57" s="85" t="n"/>
      <c r="P57" s="85" t="n"/>
      <c r="Q57" s="85" t="n"/>
      <c r="R57" s="85" t="n"/>
      <c r="S57" s="85" t="n"/>
      <c r="T57" s="85" t="n"/>
      <c r="U57" s="85" t="n"/>
      <c r="V57" s="85" t="n"/>
      <c r="W57" s="85" t="n"/>
      <c r="X57" s="85" t="n"/>
      <c r="Y57" s="85" t="n"/>
      <c r="Z57" s="85" t="n"/>
      <c r="AA57" s="85" t="n"/>
      <c r="AB57" s="85" t="n"/>
      <c r="AC57" s="85" t="n"/>
      <c r="AD57" s="85" t="n"/>
      <c r="AE57" s="85" t="n"/>
      <c r="AF57" s="86" t="n"/>
      <c r="AG57" s="86" t="n"/>
      <c r="AH57" s="86" t="n"/>
      <c r="AI57" s="85" t="n"/>
      <c r="AJ57" s="85" t="n"/>
      <c r="AK57" s="85">
        <f>IF($A57="","",IF($M57&gt;0,"Yes","No"))</f>
        <v/>
      </c>
      <c r="AL57" s="85">
        <f>IF($A57="","",IF(AND($E57="Yes",OR($Y57="No",$Y57="NOT FOUND")),"YES",""))</f>
        <v/>
      </c>
      <c r="AM57" s="85">
        <f>IF($A57="","",TRIM(IF(AND($P57=0,$I57&lt;&gt;"Yes"),"T0-NoPhishResistant ","")&amp;IF($H57="No","NoMFA ","")&amp;IF(AND($P57=0,$M57&gt;0),"T0-Standing ","")&amp;IF(AND($P57=0,$Q57="Group only"),"T0-ViaGroupOnly ","")&amp;IF($W57="Yes","AlsoAzureRBAC ","")))</f>
        <v/>
      </c>
      <c r="AN57" s="85">
        <f>IF($A57="","",IF(AG57="","Not Enrolled",IF(TODAY()&gt;AG57,"Review Overdue",IF(AG57-TODAY()&lt;=30,"Review Due Soon","Active"))))</f>
        <v/>
      </c>
      <c r="AO57" s="85">
        <f>IF($A57="","",IF(AH57="","NOT REVIEWED",IF(TODAY()-AH57&gt;90,"OVERDUE",IF(TODAY()-AH57&gt;76,"Due Soon","Current"))))</f>
        <v/>
      </c>
    </row>
    <row r="58" ht="15" customHeight="1" s="39">
      <c r="A58" s="85" t="n"/>
      <c r="B58" s="85" t="n"/>
      <c r="C58" s="85" t="n"/>
      <c r="D58" s="85" t="n"/>
      <c r="E58" s="85" t="n"/>
      <c r="F58" s="86" t="n"/>
      <c r="G58" s="86" t="n"/>
      <c r="H58" s="85" t="n"/>
      <c r="I58" s="85" t="n"/>
      <c r="J58" s="85" t="n"/>
      <c r="K58" s="85" t="n"/>
      <c r="L58" s="85" t="n"/>
      <c r="M58" s="85" t="n"/>
      <c r="N58" s="85" t="n"/>
      <c r="O58" s="85" t="n"/>
      <c r="P58" s="85" t="n"/>
      <c r="Q58" s="85" t="n"/>
      <c r="R58" s="85" t="n"/>
      <c r="S58" s="85" t="n"/>
      <c r="T58" s="85" t="n"/>
      <c r="U58" s="85" t="n"/>
      <c r="V58" s="85" t="n"/>
      <c r="W58" s="85" t="n"/>
      <c r="X58" s="85" t="n"/>
      <c r="Y58" s="85" t="n"/>
      <c r="Z58" s="85" t="n"/>
      <c r="AA58" s="85" t="n"/>
      <c r="AB58" s="85" t="n"/>
      <c r="AC58" s="85" t="n"/>
      <c r="AD58" s="85" t="n"/>
      <c r="AE58" s="85" t="n"/>
      <c r="AF58" s="86" t="n"/>
      <c r="AG58" s="86" t="n"/>
      <c r="AH58" s="86" t="n"/>
      <c r="AI58" s="85" t="n"/>
      <c r="AJ58" s="85" t="n"/>
      <c r="AK58" s="85">
        <f>IF($A58="","",IF($M58&gt;0,"Yes","No"))</f>
        <v/>
      </c>
      <c r="AL58" s="85">
        <f>IF($A58="","",IF(AND($E58="Yes",OR($Y58="No",$Y58="NOT FOUND")),"YES",""))</f>
        <v/>
      </c>
      <c r="AM58" s="85">
        <f>IF($A58="","",TRIM(IF(AND($P58=0,$I58&lt;&gt;"Yes"),"T0-NoPhishResistant ","")&amp;IF($H58="No","NoMFA ","")&amp;IF(AND($P58=0,$M58&gt;0),"T0-Standing ","")&amp;IF(AND($P58=0,$Q58="Group only"),"T0-ViaGroupOnly ","")&amp;IF($W58="Yes","AlsoAzureRBAC ","")))</f>
        <v/>
      </c>
      <c r="AN58" s="85">
        <f>IF($A58="","",IF(AG58="","Not Enrolled",IF(TODAY()&gt;AG58,"Review Overdue",IF(AG58-TODAY()&lt;=30,"Review Due Soon","Active"))))</f>
        <v/>
      </c>
      <c r="AO58" s="85">
        <f>IF($A58="","",IF(AH58="","NOT REVIEWED",IF(TODAY()-AH58&gt;90,"OVERDUE",IF(TODAY()-AH58&gt;76,"Due Soon","Current"))))</f>
        <v/>
      </c>
    </row>
    <row r="59" ht="15" customHeight="1" s="39">
      <c r="A59" s="85" t="n"/>
      <c r="B59" s="85" t="n"/>
      <c r="C59" s="85" t="n"/>
      <c r="D59" s="85" t="n"/>
      <c r="E59" s="85" t="n"/>
      <c r="F59" s="86" t="n"/>
      <c r="G59" s="86" t="n"/>
      <c r="H59" s="85" t="n"/>
      <c r="I59" s="85" t="n"/>
      <c r="J59" s="85" t="n"/>
      <c r="K59" s="85" t="n"/>
      <c r="L59" s="85" t="n"/>
      <c r="M59" s="85" t="n"/>
      <c r="N59" s="85" t="n"/>
      <c r="O59" s="85" t="n"/>
      <c r="P59" s="85" t="n"/>
      <c r="Q59" s="85" t="n"/>
      <c r="R59" s="85" t="n"/>
      <c r="S59" s="85" t="n"/>
      <c r="T59" s="85" t="n"/>
      <c r="U59" s="85" t="n"/>
      <c r="V59" s="85" t="n"/>
      <c r="W59" s="85" t="n"/>
      <c r="X59" s="85" t="n"/>
      <c r="Y59" s="85" t="n"/>
      <c r="Z59" s="85" t="n"/>
      <c r="AA59" s="85" t="n"/>
      <c r="AB59" s="85" t="n"/>
      <c r="AC59" s="85" t="n"/>
      <c r="AD59" s="85" t="n"/>
      <c r="AE59" s="85" t="n"/>
      <c r="AF59" s="86" t="n"/>
      <c r="AG59" s="86" t="n"/>
      <c r="AH59" s="86" t="n"/>
      <c r="AI59" s="85" t="n"/>
      <c r="AJ59" s="85" t="n"/>
      <c r="AK59" s="85">
        <f>IF($A59="","",IF($M59&gt;0,"Yes","No"))</f>
        <v/>
      </c>
      <c r="AL59" s="85">
        <f>IF($A59="","",IF(AND($E59="Yes",OR($Y59="No",$Y59="NOT FOUND")),"YES",""))</f>
        <v/>
      </c>
      <c r="AM59" s="85">
        <f>IF($A59="","",TRIM(IF(AND($P59=0,$I59&lt;&gt;"Yes"),"T0-NoPhishResistant ","")&amp;IF($H59="No","NoMFA ","")&amp;IF(AND($P59=0,$M59&gt;0),"T0-Standing ","")&amp;IF(AND($P59=0,$Q59="Group only"),"T0-ViaGroupOnly ","")&amp;IF($W59="Yes","AlsoAzureRBAC ","")))</f>
        <v/>
      </c>
      <c r="AN59" s="85">
        <f>IF($A59="","",IF(AG59="","Not Enrolled",IF(TODAY()&gt;AG59,"Review Overdue",IF(AG59-TODAY()&lt;=30,"Review Due Soon","Active"))))</f>
        <v/>
      </c>
      <c r="AO59" s="85">
        <f>IF($A59="","",IF(AH59="","NOT REVIEWED",IF(TODAY()-AH59&gt;90,"OVERDUE",IF(TODAY()-AH59&gt;76,"Due Soon","Current"))))</f>
        <v/>
      </c>
    </row>
    <row r="60" ht="15" customHeight="1" s="39">
      <c r="A60" s="85" t="n"/>
      <c r="B60" s="85" t="n"/>
      <c r="C60" s="85" t="n"/>
      <c r="D60" s="85" t="n"/>
      <c r="E60" s="85" t="n"/>
      <c r="F60" s="86" t="n"/>
      <c r="G60" s="86" t="n"/>
      <c r="H60" s="85" t="n"/>
      <c r="I60" s="85" t="n"/>
      <c r="J60" s="85" t="n"/>
      <c r="K60" s="85" t="n"/>
      <c r="L60" s="85" t="n"/>
      <c r="M60" s="85" t="n"/>
      <c r="N60" s="85" t="n"/>
      <c r="O60" s="85" t="n"/>
      <c r="P60" s="85" t="n"/>
      <c r="Q60" s="85" t="n"/>
      <c r="R60" s="85" t="n"/>
      <c r="S60" s="85" t="n"/>
      <c r="T60" s="85" t="n"/>
      <c r="U60" s="85" t="n"/>
      <c r="V60" s="85" t="n"/>
      <c r="W60" s="85" t="n"/>
      <c r="X60" s="85" t="n"/>
      <c r="Y60" s="85" t="n"/>
      <c r="Z60" s="85" t="n"/>
      <c r="AA60" s="85" t="n"/>
      <c r="AB60" s="85" t="n"/>
      <c r="AC60" s="85" t="n"/>
      <c r="AD60" s="85" t="n"/>
      <c r="AE60" s="85" t="n"/>
      <c r="AF60" s="86" t="n"/>
      <c r="AG60" s="86" t="n"/>
      <c r="AH60" s="86" t="n"/>
      <c r="AI60" s="85" t="n"/>
      <c r="AJ60" s="85" t="n"/>
      <c r="AK60" s="85">
        <f>IF($A60="","",IF($M60&gt;0,"Yes","No"))</f>
        <v/>
      </c>
      <c r="AL60" s="85">
        <f>IF($A60="","",IF(AND($E60="Yes",OR($Y60="No",$Y60="NOT FOUND")),"YES",""))</f>
        <v/>
      </c>
      <c r="AM60" s="85">
        <f>IF($A60="","",TRIM(IF(AND($P60=0,$I60&lt;&gt;"Yes"),"T0-NoPhishResistant ","")&amp;IF($H60="No","NoMFA ","")&amp;IF(AND($P60=0,$M60&gt;0),"T0-Standing ","")&amp;IF(AND($P60=0,$Q60="Group only"),"T0-ViaGroupOnly ","")&amp;IF($W60="Yes","AlsoAzureRBAC ","")))</f>
        <v/>
      </c>
      <c r="AN60" s="85">
        <f>IF($A60="","",IF(AG60="","Not Enrolled",IF(TODAY()&gt;AG60,"Review Overdue",IF(AG60-TODAY()&lt;=30,"Review Due Soon","Active"))))</f>
        <v/>
      </c>
      <c r="AO60" s="85">
        <f>IF($A60="","",IF(AH60="","NOT REVIEWED",IF(TODAY()-AH60&gt;90,"OVERDUE",IF(TODAY()-AH60&gt;76,"Due Soon","Current"))))</f>
        <v/>
      </c>
    </row>
    <row r="61" ht="15" customHeight="1" s="39">
      <c r="A61" s="85" t="n"/>
      <c r="B61" s="85" t="n"/>
      <c r="C61" s="85" t="n"/>
      <c r="D61" s="85" t="n"/>
      <c r="E61" s="85" t="n"/>
      <c r="F61" s="86" t="n"/>
      <c r="G61" s="86" t="n"/>
      <c r="H61" s="85" t="n"/>
      <c r="I61" s="85" t="n"/>
      <c r="J61" s="85" t="n"/>
      <c r="K61" s="85" t="n"/>
      <c r="L61" s="85" t="n"/>
      <c r="M61" s="85" t="n"/>
      <c r="N61" s="85" t="n"/>
      <c r="O61" s="85" t="n"/>
      <c r="P61" s="85" t="n"/>
      <c r="Q61" s="85" t="n"/>
      <c r="R61" s="85" t="n"/>
      <c r="S61" s="85" t="n"/>
      <c r="T61" s="85" t="n"/>
      <c r="U61" s="85" t="n"/>
      <c r="V61" s="85" t="n"/>
      <c r="W61" s="85" t="n"/>
      <c r="X61" s="85" t="n"/>
      <c r="Y61" s="85" t="n"/>
      <c r="Z61" s="85" t="n"/>
      <c r="AA61" s="85" t="n"/>
      <c r="AB61" s="85" t="n"/>
      <c r="AC61" s="85" t="n"/>
      <c r="AD61" s="85" t="n"/>
      <c r="AE61" s="85" t="n"/>
      <c r="AF61" s="86" t="n"/>
      <c r="AG61" s="86" t="n"/>
      <c r="AH61" s="86" t="n"/>
      <c r="AI61" s="85" t="n"/>
      <c r="AJ61" s="85" t="n"/>
      <c r="AK61" s="85">
        <f>IF($A61="","",IF($M61&gt;0,"Yes","No"))</f>
        <v/>
      </c>
      <c r="AL61" s="85">
        <f>IF($A61="","",IF(AND($E61="Yes",OR($Y61="No",$Y61="NOT FOUND")),"YES",""))</f>
        <v/>
      </c>
      <c r="AM61" s="85">
        <f>IF($A61="","",TRIM(IF(AND($P61=0,$I61&lt;&gt;"Yes"),"T0-NoPhishResistant ","")&amp;IF($H61="No","NoMFA ","")&amp;IF(AND($P61=0,$M61&gt;0),"T0-Standing ","")&amp;IF(AND($P61=0,$Q61="Group only"),"T0-ViaGroupOnly ","")&amp;IF($W61="Yes","AlsoAzureRBAC ","")))</f>
        <v/>
      </c>
      <c r="AN61" s="85">
        <f>IF($A61="","",IF(AG61="","Not Enrolled",IF(TODAY()&gt;AG61,"Review Overdue",IF(AG61-TODAY()&lt;=30,"Review Due Soon","Active"))))</f>
        <v/>
      </c>
      <c r="AO61" s="85">
        <f>IF($A61="","",IF(AH61="","NOT REVIEWED",IF(TODAY()-AH61&gt;90,"OVERDUE",IF(TODAY()-AH61&gt;76,"Due Soon","Current"))))</f>
        <v/>
      </c>
    </row>
    <row r="62" ht="15" customHeight="1" s="39">
      <c r="A62" s="85" t="n"/>
      <c r="B62" s="85" t="n"/>
      <c r="C62" s="85" t="n"/>
      <c r="D62" s="85" t="n"/>
      <c r="E62" s="85" t="n"/>
      <c r="F62" s="86" t="n"/>
      <c r="G62" s="86" t="n"/>
      <c r="H62" s="85" t="n"/>
      <c r="I62" s="85" t="n"/>
      <c r="J62" s="85" t="n"/>
      <c r="K62" s="85" t="n"/>
      <c r="L62" s="85" t="n"/>
      <c r="M62" s="85" t="n"/>
      <c r="N62" s="85" t="n"/>
      <c r="O62" s="85" t="n"/>
      <c r="P62" s="85" t="n"/>
      <c r="Q62" s="85" t="n"/>
      <c r="R62" s="85" t="n"/>
      <c r="S62" s="85" t="n"/>
      <c r="T62" s="85" t="n"/>
      <c r="U62" s="85" t="n"/>
      <c r="V62" s="85" t="n"/>
      <c r="W62" s="85" t="n"/>
      <c r="X62" s="85" t="n"/>
      <c r="Y62" s="85" t="n"/>
      <c r="Z62" s="85" t="n"/>
      <c r="AA62" s="85" t="n"/>
      <c r="AB62" s="85" t="n"/>
      <c r="AC62" s="85" t="n"/>
      <c r="AD62" s="85" t="n"/>
      <c r="AE62" s="85" t="n"/>
      <c r="AF62" s="86" t="n"/>
      <c r="AG62" s="86" t="n"/>
      <c r="AH62" s="86" t="n"/>
      <c r="AI62" s="85" t="n"/>
      <c r="AJ62" s="85" t="n"/>
      <c r="AK62" s="85">
        <f>IF($A62="","",IF($M62&gt;0,"Yes","No"))</f>
        <v/>
      </c>
      <c r="AL62" s="85">
        <f>IF($A62="","",IF(AND($E62="Yes",OR($Y62="No",$Y62="NOT FOUND")),"YES",""))</f>
        <v/>
      </c>
      <c r="AM62" s="85">
        <f>IF($A62="","",TRIM(IF(AND($P62=0,$I62&lt;&gt;"Yes"),"T0-NoPhishResistant ","")&amp;IF($H62="No","NoMFA ","")&amp;IF(AND($P62=0,$M62&gt;0),"T0-Standing ","")&amp;IF(AND($P62=0,$Q62="Group only"),"T0-ViaGroupOnly ","")&amp;IF($W62="Yes","AlsoAzureRBAC ","")))</f>
        <v/>
      </c>
      <c r="AN62" s="85">
        <f>IF($A62="","",IF(AG62="","Not Enrolled",IF(TODAY()&gt;AG62,"Review Overdue",IF(AG62-TODAY()&lt;=30,"Review Due Soon","Active"))))</f>
        <v/>
      </c>
      <c r="AO62" s="85">
        <f>IF($A62="","",IF(AH62="","NOT REVIEWED",IF(TODAY()-AH62&gt;90,"OVERDUE",IF(TODAY()-AH62&gt;76,"Due Soon","Current"))))</f>
        <v/>
      </c>
    </row>
    <row r="63" ht="15" customHeight="1" s="39">
      <c r="A63" s="85" t="n"/>
      <c r="B63" s="85" t="n"/>
      <c r="C63" s="85" t="n"/>
      <c r="D63" s="85" t="n"/>
      <c r="E63" s="85" t="n"/>
      <c r="F63" s="86" t="n"/>
      <c r="G63" s="86" t="n"/>
      <c r="H63" s="85" t="n"/>
      <c r="I63" s="85" t="n"/>
      <c r="J63" s="85" t="n"/>
      <c r="K63" s="85" t="n"/>
      <c r="L63" s="85" t="n"/>
      <c r="M63" s="85" t="n"/>
      <c r="N63" s="85" t="n"/>
      <c r="O63" s="85" t="n"/>
      <c r="P63" s="85" t="n"/>
      <c r="Q63" s="85" t="n"/>
      <c r="R63" s="85" t="n"/>
      <c r="S63" s="85" t="n"/>
      <c r="T63" s="85" t="n"/>
      <c r="U63" s="85" t="n"/>
      <c r="V63" s="85" t="n"/>
      <c r="W63" s="85" t="n"/>
      <c r="X63" s="85" t="n"/>
      <c r="Y63" s="85" t="n"/>
      <c r="Z63" s="85" t="n"/>
      <c r="AA63" s="85" t="n"/>
      <c r="AB63" s="85" t="n"/>
      <c r="AC63" s="85" t="n"/>
      <c r="AD63" s="85" t="n"/>
      <c r="AE63" s="85" t="n"/>
      <c r="AF63" s="86" t="n"/>
      <c r="AG63" s="86" t="n"/>
      <c r="AH63" s="86" t="n"/>
      <c r="AI63" s="85" t="n"/>
      <c r="AJ63" s="85" t="n"/>
      <c r="AK63" s="85">
        <f>IF($A63="","",IF($M63&gt;0,"Yes","No"))</f>
        <v/>
      </c>
      <c r="AL63" s="85">
        <f>IF($A63="","",IF(AND($E63="Yes",OR($Y63="No",$Y63="NOT FOUND")),"YES",""))</f>
        <v/>
      </c>
      <c r="AM63" s="85">
        <f>IF($A63="","",TRIM(IF(AND($P63=0,$I63&lt;&gt;"Yes"),"T0-NoPhishResistant ","")&amp;IF($H63="No","NoMFA ","")&amp;IF(AND($P63=0,$M63&gt;0),"T0-Standing ","")&amp;IF(AND($P63=0,$Q63="Group only"),"T0-ViaGroupOnly ","")&amp;IF($W63="Yes","AlsoAzureRBAC ","")))</f>
        <v/>
      </c>
      <c r="AN63" s="85">
        <f>IF($A63="","",IF(AG63="","Not Enrolled",IF(TODAY()&gt;AG63,"Review Overdue",IF(AG63-TODAY()&lt;=30,"Review Due Soon","Active"))))</f>
        <v/>
      </c>
      <c r="AO63" s="85">
        <f>IF($A63="","",IF(AH63="","NOT REVIEWED",IF(TODAY()-AH63&gt;90,"OVERDUE",IF(TODAY()-AH63&gt;76,"Due Soon","Current"))))</f>
        <v/>
      </c>
    </row>
    <row r="64" ht="15" customHeight="1" s="39">
      <c r="A64" s="85" t="n"/>
      <c r="B64" s="85" t="n"/>
      <c r="C64" s="85" t="n"/>
      <c r="D64" s="85" t="n"/>
      <c r="E64" s="85" t="n"/>
      <c r="F64" s="86" t="n"/>
      <c r="G64" s="86" t="n"/>
      <c r="H64" s="85" t="n"/>
      <c r="I64" s="85" t="n"/>
      <c r="J64" s="85" t="n"/>
      <c r="K64" s="85" t="n"/>
      <c r="L64" s="85" t="n"/>
      <c r="M64" s="85" t="n"/>
      <c r="N64" s="85" t="n"/>
      <c r="O64" s="85" t="n"/>
      <c r="P64" s="85" t="n"/>
      <c r="Q64" s="85" t="n"/>
      <c r="R64" s="85" t="n"/>
      <c r="S64" s="85" t="n"/>
      <c r="T64" s="85" t="n"/>
      <c r="U64" s="85" t="n"/>
      <c r="V64" s="85" t="n"/>
      <c r="W64" s="85" t="n"/>
      <c r="X64" s="85" t="n"/>
      <c r="Y64" s="85" t="n"/>
      <c r="Z64" s="85" t="n"/>
      <c r="AA64" s="85" t="n"/>
      <c r="AB64" s="85" t="n"/>
      <c r="AC64" s="85" t="n"/>
      <c r="AD64" s="85" t="n"/>
      <c r="AE64" s="85" t="n"/>
      <c r="AF64" s="86" t="n"/>
      <c r="AG64" s="86" t="n"/>
      <c r="AH64" s="86" t="n"/>
      <c r="AI64" s="85" t="n"/>
      <c r="AJ64" s="85" t="n"/>
      <c r="AK64" s="85">
        <f>IF($A64="","",IF($M64&gt;0,"Yes","No"))</f>
        <v/>
      </c>
      <c r="AL64" s="85">
        <f>IF($A64="","",IF(AND($E64="Yes",OR($Y64="No",$Y64="NOT FOUND")),"YES",""))</f>
        <v/>
      </c>
      <c r="AM64" s="85">
        <f>IF($A64="","",TRIM(IF(AND($P64=0,$I64&lt;&gt;"Yes"),"T0-NoPhishResistant ","")&amp;IF($H64="No","NoMFA ","")&amp;IF(AND($P64=0,$M64&gt;0),"T0-Standing ","")&amp;IF(AND($P64=0,$Q64="Group only"),"T0-ViaGroupOnly ","")&amp;IF($W64="Yes","AlsoAzureRBAC ","")))</f>
        <v/>
      </c>
      <c r="AN64" s="85">
        <f>IF($A64="","",IF(AG64="","Not Enrolled",IF(TODAY()&gt;AG64,"Review Overdue",IF(AG64-TODAY()&lt;=30,"Review Due Soon","Active"))))</f>
        <v/>
      </c>
      <c r="AO64" s="85">
        <f>IF($A64="","",IF(AH64="","NOT REVIEWED",IF(TODAY()-AH64&gt;90,"OVERDUE",IF(TODAY()-AH64&gt;76,"Due Soon","Current"))))</f>
        <v/>
      </c>
    </row>
    <row r="65" ht="15" customHeight="1" s="39">
      <c r="A65" s="85" t="n"/>
      <c r="B65" s="85" t="n"/>
      <c r="C65" s="85" t="n"/>
      <c r="D65" s="85" t="n"/>
      <c r="E65" s="85" t="n"/>
      <c r="F65" s="86" t="n"/>
      <c r="G65" s="86" t="n"/>
      <c r="H65" s="85" t="n"/>
      <c r="I65" s="85" t="n"/>
      <c r="J65" s="85" t="n"/>
      <c r="K65" s="85" t="n"/>
      <c r="L65" s="85" t="n"/>
      <c r="M65" s="85" t="n"/>
      <c r="N65" s="85" t="n"/>
      <c r="O65" s="85" t="n"/>
      <c r="P65" s="85" t="n"/>
      <c r="Q65" s="85" t="n"/>
      <c r="R65" s="85" t="n"/>
      <c r="S65" s="85" t="n"/>
      <c r="T65" s="85" t="n"/>
      <c r="U65" s="85" t="n"/>
      <c r="V65" s="85" t="n"/>
      <c r="W65" s="85" t="n"/>
      <c r="X65" s="85" t="n"/>
      <c r="Y65" s="85" t="n"/>
      <c r="Z65" s="85" t="n"/>
      <c r="AA65" s="85" t="n"/>
      <c r="AB65" s="85" t="n"/>
      <c r="AC65" s="85" t="n"/>
      <c r="AD65" s="85" t="n"/>
      <c r="AE65" s="85" t="n"/>
      <c r="AF65" s="86" t="n"/>
      <c r="AG65" s="86" t="n"/>
      <c r="AH65" s="86" t="n"/>
      <c r="AI65" s="85" t="n"/>
      <c r="AJ65" s="85" t="n"/>
      <c r="AK65" s="85">
        <f>IF($A65="","",IF($M65&gt;0,"Yes","No"))</f>
        <v/>
      </c>
      <c r="AL65" s="85">
        <f>IF($A65="","",IF(AND($E65="Yes",OR($Y65="No",$Y65="NOT FOUND")),"YES",""))</f>
        <v/>
      </c>
      <c r="AM65" s="85">
        <f>IF($A65="","",TRIM(IF(AND($P65=0,$I65&lt;&gt;"Yes"),"T0-NoPhishResistant ","")&amp;IF($H65="No","NoMFA ","")&amp;IF(AND($P65=0,$M65&gt;0),"T0-Standing ","")&amp;IF(AND($P65=0,$Q65="Group only"),"T0-ViaGroupOnly ","")&amp;IF($W65="Yes","AlsoAzureRBAC ","")))</f>
        <v/>
      </c>
      <c r="AN65" s="85">
        <f>IF($A65="","",IF(AG65="","Not Enrolled",IF(TODAY()&gt;AG65,"Review Overdue",IF(AG65-TODAY()&lt;=30,"Review Due Soon","Active"))))</f>
        <v/>
      </c>
      <c r="AO65" s="85">
        <f>IF($A65="","",IF(AH65="","NOT REVIEWED",IF(TODAY()-AH65&gt;90,"OVERDUE",IF(TODAY()-AH65&gt;76,"Due Soon","Current"))))</f>
        <v/>
      </c>
    </row>
    <row r="66" ht="15" customHeight="1" s="39">
      <c r="A66" s="85" t="n"/>
      <c r="B66" s="85" t="n"/>
      <c r="C66" s="85" t="n"/>
      <c r="D66" s="85" t="n"/>
      <c r="E66" s="85" t="n"/>
      <c r="F66" s="86" t="n"/>
      <c r="G66" s="86" t="n"/>
      <c r="H66" s="85" t="n"/>
      <c r="I66" s="85" t="n"/>
      <c r="J66" s="85" t="n"/>
      <c r="K66" s="85" t="n"/>
      <c r="L66" s="85" t="n"/>
      <c r="M66" s="85" t="n"/>
      <c r="N66" s="85" t="n"/>
      <c r="O66" s="85" t="n"/>
      <c r="P66" s="85" t="n"/>
      <c r="Q66" s="85" t="n"/>
      <c r="R66" s="85" t="n"/>
      <c r="S66" s="85" t="n"/>
      <c r="T66" s="85" t="n"/>
      <c r="U66" s="85" t="n"/>
      <c r="V66" s="85" t="n"/>
      <c r="W66" s="85" t="n"/>
      <c r="X66" s="85" t="n"/>
      <c r="Y66" s="85" t="n"/>
      <c r="Z66" s="85" t="n"/>
      <c r="AA66" s="85" t="n"/>
      <c r="AB66" s="85" t="n"/>
      <c r="AC66" s="85" t="n"/>
      <c r="AD66" s="85" t="n"/>
      <c r="AE66" s="85" t="n"/>
      <c r="AF66" s="86" t="n"/>
      <c r="AG66" s="86" t="n"/>
      <c r="AH66" s="86" t="n"/>
      <c r="AI66" s="85" t="n"/>
      <c r="AJ66" s="85" t="n"/>
      <c r="AK66" s="85">
        <f>IF($A66="","",IF($M66&gt;0,"Yes","No"))</f>
        <v/>
      </c>
      <c r="AL66" s="85">
        <f>IF($A66="","",IF(AND($E66="Yes",OR($Y66="No",$Y66="NOT FOUND")),"YES",""))</f>
        <v/>
      </c>
      <c r="AM66" s="85">
        <f>IF($A66="","",TRIM(IF(AND($P66=0,$I66&lt;&gt;"Yes"),"T0-NoPhishResistant ","")&amp;IF($H66="No","NoMFA ","")&amp;IF(AND($P66=0,$M66&gt;0),"T0-Standing ","")&amp;IF(AND($P66=0,$Q66="Group only"),"T0-ViaGroupOnly ","")&amp;IF($W66="Yes","AlsoAzureRBAC ","")))</f>
        <v/>
      </c>
      <c r="AN66" s="85">
        <f>IF($A66="","",IF(AG66="","Not Enrolled",IF(TODAY()&gt;AG66,"Review Overdue",IF(AG66-TODAY()&lt;=30,"Review Due Soon","Active"))))</f>
        <v/>
      </c>
      <c r="AO66" s="85">
        <f>IF($A66="","",IF(AH66="","NOT REVIEWED",IF(TODAY()-AH66&gt;90,"OVERDUE",IF(TODAY()-AH66&gt;76,"Due Soon","Current"))))</f>
        <v/>
      </c>
    </row>
    <row r="67" ht="15" customHeight="1" s="39">
      <c r="A67" s="85" t="n"/>
      <c r="B67" s="85" t="n"/>
      <c r="C67" s="85" t="n"/>
      <c r="D67" s="85" t="n"/>
      <c r="E67" s="85" t="n"/>
      <c r="F67" s="86" t="n"/>
      <c r="G67" s="86" t="n"/>
      <c r="H67" s="85" t="n"/>
      <c r="I67" s="85" t="n"/>
      <c r="J67" s="85" t="n"/>
      <c r="K67" s="85" t="n"/>
      <c r="L67" s="85" t="n"/>
      <c r="M67" s="85" t="n"/>
      <c r="N67" s="85" t="n"/>
      <c r="O67" s="85" t="n"/>
      <c r="P67" s="85" t="n"/>
      <c r="Q67" s="85" t="n"/>
      <c r="R67" s="85" t="n"/>
      <c r="S67" s="85" t="n"/>
      <c r="T67" s="85" t="n"/>
      <c r="U67" s="85" t="n"/>
      <c r="V67" s="85" t="n"/>
      <c r="W67" s="85" t="n"/>
      <c r="X67" s="85" t="n"/>
      <c r="Y67" s="85" t="n"/>
      <c r="Z67" s="85" t="n"/>
      <c r="AA67" s="85" t="n"/>
      <c r="AB67" s="85" t="n"/>
      <c r="AC67" s="85" t="n"/>
      <c r="AD67" s="85" t="n"/>
      <c r="AE67" s="85" t="n"/>
      <c r="AF67" s="86" t="n"/>
      <c r="AG67" s="86" t="n"/>
      <c r="AH67" s="86" t="n"/>
      <c r="AI67" s="85" t="n"/>
      <c r="AJ67" s="85" t="n"/>
      <c r="AK67" s="85">
        <f>IF($A67="","",IF($M67&gt;0,"Yes","No"))</f>
        <v/>
      </c>
      <c r="AL67" s="85">
        <f>IF($A67="","",IF(AND($E67="Yes",OR($Y67="No",$Y67="NOT FOUND")),"YES",""))</f>
        <v/>
      </c>
      <c r="AM67" s="85">
        <f>IF($A67="","",TRIM(IF(AND($P67=0,$I67&lt;&gt;"Yes"),"T0-NoPhishResistant ","")&amp;IF($H67="No","NoMFA ","")&amp;IF(AND($P67=0,$M67&gt;0),"T0-Standing ","")&amp;IF(AND($P67=0,$Q67="Group only"),"T0-ViaGroupOnly ","")&amp;IF($W67="Yes","AlsoAzureRBAC ","")))</f>
        <v/>
      </c>
      <c r="AN67" s="85">
        <f>IF($A67="","",IF(AG67="","Not Enrolled",IF(TODAY()&gt;AG67,"Review Overdue",IF(AG67-TODAY()&lt;=30,"Review Due Soon","Active"))))</f>
        <v/>
      </c>
      <c r="AO67" s="85">
        <f>IF($A67="","",IF(AH67="","NOT REVIEWED",IF(TODAY()-AH67&gt;90,"OVERDUE",IF(TODAY()-AH67&gt;76,"Due Soon","Current"))))</f>
        <v/>
      </c>
    </row>
    <row r="68" ht="15" customHeight="1" s="39">
      <c r="A68" s="85" t="n"/>
      <c r="B68" s="85" t="n"/>
      <c r="C68" s="85" t="n"/>
      <c r="D68" s="85" t="n"/>
      <c r="E68" s="85" t="n"/>
      <c r="F68" s="86" t="n"/>
      <c r="G68" s="86" t="n"/>
      <c r="H68" s="85" t="n"/>
      <c r="I68" s="85" t="n"/>
      <c r="J68" s="85" t="n"/>
      <c r="K68" s="85" t="n"/>
      <c r="L68" s="85" t="n"/>
      <c r="M68" s="85" t="n"/>
      <c r="N68" s="85" t="n"/>
      <c r="O68" s="85" t="n"/>
      <c r="P68" s="85" t="n"/>
      <c r="Q68" s="85" t="n"/>
      <c r="R68" s="85" t="n"/>
      <c r="S68" s="85" t="n"/>
      <c r="T68" s="85" t="n"/>
      <c r="U68" s="85" t="n"/>
      <c r="V68" s="85" t="n"/>
      <c r="W68" s="85" t="n"/>
      <c r="X68" s="85" t="n"/>
      <c r="Y68" s="85" t="n"/>
      <c r="Z68" s="85" t="n"/>
      <c r="AA68" s="85" t="n"/>
      <c r="AB68" s="85" t="n"/>
      <c r="AC68" s="85" t="n"/>
      <c r="AD68" s="85" t="n"/>
      <c r="AE68" s="85" t="n"/>
      <c r="AF68" s="86" t="n"/>
      <c r="AG68" s="86" t="n"/>
      <c r="AH68" s="86" t="n"/>
      <c r="AI68" s="85" t="n"/>
      <c r="AJ68" s="85" t="n"/>
      <c r="AK68" s="85">
        <f>IF($A68="","",IF($M68&gt;0,"Yes","No"))</f>
        <v/>
      </c>
      <c r="AL68" s="85">
        <f>IF($A68="","",IF(AND($E68="Yes",OR($Y68="No",$Y68="NOT FOUND")),"YES",""))</f>
        <v/>
      </c>
      <c r="AM68" s="85">
        <f>IF($A68="","",TRIM(IF(AND($P68=0,$I68&lt;&gt;"Yes"),"T0-NoPhishResistant ","")&amp;IF($H68="No","NoMFA ","")&amp;IF(AND($P68=0,$M68&gt;0),"T0-Standing ","")&amp;IF(AND($P68=0,$Q68="Group only"),"T0-ViaGroupOnly ","")&amp;IF($W68="Yes","AlsoAzureRBAC ","")))</f>
        <v/>
      </c>
      <c r="AN68" s="85">
        <f>IF($A68="","",IF(AG68="","Not Enrolled",IF(TODAY()&gt;AG68,"Review Overdue",IF(AG68-TODAY()&lt;=30,"Review Due Soon","Active"))))</f>
        <v/>
      </c>
      <c r="AO68" s="85">
        <f>IF($A68="","",IF(AH68="","NOT REVIEWED",IF(TODAY()-AH68&gt;90,"OVERDUE",IF(TODAY()-AH68&gt;76,"Due Soon","Current"))))</f>
        <v/>
      </c>
    </row>
    <row r="69" ht="15" customHeight="1" s="39">
      <c r="A69" s="85" t="n"/>
      <c r="B69" s="85" t="n"/>
      <c r="C69" s="85" t="n"/>
      <c r="D69" s="85" t="n"/>
      <c r="E69" s="85" t="n"/>
      <c r="F69" s="86" t="n"/>
      <c r="G69" s="86" t="n"/>
      <c r="H69" s="85" t="n"/>
      <c r="I69" s="85" t="n"/>
      <c r="J69" s="85" t="n"/>
      <c r="K69" s="85" t="n"/>
      <c r="L69" s="85" t="n"/>
      <c r="M69" s="85" t="n"/>
      <c r="N69" s="85" t="n"/>
      <c r="O69" s="85" t="n"/>
      <c r="P69" s="85" t="n"/>
      <c r="Q69" s="85" t="n"/>
      <c r="R69" s="85" t="n"/>
      <c r="S69" s="85" t="n"/>
      <c r="T69" s="85" t="n"/>
      <c r="U69" s="85" t="n"/>
      <c r="V69" s="85" t="n"/>
      <c r="W69" s="85" t="n"/>
      <c r="X69" s="85" t="n"/>
      <c r="Y69" s="85" t="n"/>
      <c r="Z69" s="85" t="n"/>
      <c r="AA69" s="85" t="n"/>
      <c r="AB69" s="85" t="n"/>
      <c r="AC69" s="85" t="n"/>
      <c r="AD69" s="85" t="n"/>
      <c r="AE69" s="85" t="n"/>
      <c r="AF69" s="86" t="n"/>
      <c r="AG69" s="86" t="n"/>
      <c r="AH69" s="86" t="n"/>
      <c r="AI69" s="85" t="n"/>
      <c r="AJ69" s="85" t="n"/>
      <c r="AK69" s="85">
        <f>IF($A69="","",IF($M69&gt;0,"Yes","No"))</f>
        <v/>
      </c>
      <c r="AL69" s="85">
        <f>IF($A69="","",IF(AND($E69="Yes",OR($Y69="No",$Y69="NOT FOUND")),"YES",""))</f>
        <v/>
      </c>
      <c r="AM69" s="85">
        <f>IF($A69="","",TRIM(IF(AND($P69=0,$I69&lt;&gt;"Yes"),"T0-NoPhishResistant ","")&amp;IF($H69="No","NoMFA ","")&amp;IF(AND($P69=0,$M69&gt;0),"T0-Standing ","")&amp;IF(AND($P69=0,$Q69="Group only"),"T0-ViaGroupOnly ","")&amp;IF($W69="Yes","AlsoAzureRBAC ","")))</f>
        <v/>
      </c>
      <c r="AN69" s="85">
        <f>IF($A69="","",IF(AG69="","Not Enrolled",IF(TODAY()&gt;AG69,"Review Overdue",IF(AG69-TODAY()&lt;=30,"Review Due Soon","Active"))))</f>
        <v/>
      </c>
      <c r="AO69" s="85">
        <f>IF($A69="","",IF(AH69="","NOT REVIEWED",IF(TODAY()-AH69&gt;90,"OVERDUE",IF(TODAY()-AH69&gt;76,"Due Soon","Current"))))</f>
        <v/>
      </c>
    </row>
    <row r="70" ht="15" customHeight="1" s="39">
      <c r="A70" s="85" t="n"/>
      <c r="B70" s="85" t="n"/>
      <c r="C70" s="85" t="n"/>
      <c r="D70" s="85" t="n"/>
      <c r="E70" s="85" t="n"/>
      <c r="F70" s="86" t="n"/>
      <c r="G70" s="86" t="n"/>
      <c r="H70" s="85" t="n"/>
      <c r="I70" s="85" t="n"/>
      <c r="J70" s="85" t="n"/>
      <c r="K70" s="85" t="n"/>
      <c r="L70" s="85" t="n"/>
      <c r="M70" s="85" t="n"/>
      <c r="N70" s="85" t="n"/>
      <c r="O70" s="85" t="n"/>
      <c r="P70" s="85" t="n"/>
      <c r="Q70" s="85" t="n"/>
      <c r="R70" s="85" t="n"/>
      <c r="S70" s="85" t="n"/>
      <c r="T70" s="85" t="n"/>
      <c r="U70" s="85" t="n"/>
      <c r="V70" s="85" t="n"/>
      <c r="W70" s="85" t="n"/>
      <c r="X70" s="85" t="n"/>
      <c r="Y70" s="85" t="n"/>
      <c r="Z70" s="85" t="n"/>
      <c r="AA70" s="85" t="n"/>
      <c r="AB70" s="85" t="n"/>
      <c r="AC70" s="85" t="n"/>
      <c r="AD70" s="85" t="n"/>
      <c r="AE70" s="85" t="n"/>
      <c r="AF70" s="86" t="n"/>
      <c r="AG70" s="86" t="n"/>
      <c r="AH70" s="86" t="n"/>
      <c r="AI70" s="85" t="n"/>
      <c r="AJ70" s="85" t="n"/>
      <c r="AK70" s="85">
        <f>IF($A70="","",IF($M70&gt;0,"Yes","No"))</f>
        <v/>
      </c>
      <c r="AL70" s="85">
        <f>IF($A70="","",IF(AND($E70="Yes",OR($Y70="No",$Y70="NOT FOUND")),"YES",""))</f>
        <v/>
      </c>
      <c r="AM70" s="85">
        <f>IF($A70="","",TRIM(IF(AND($P70=0,$I70&lt;&gt;"Yes"),"T0-NoPhishResistant ","")&amp;IF($H70="No","NoMFA ","")&amp;IF(AND($P70=0,$M70&gt;0),"T0-Standing ","")&amp;IF(AND($P70=0,$Q70="Group only"),"T0-ViaGroupOnly ","")&amp;IF($W70="Yes","AlsoAzureRBAC ","")))</f>
        <v/>
      </c>
      <c r="AN70" s="85">
        <f>IF($A70="","",IF(AG70="","Not Enrolled",IF(TODAY()&gt;AG70,"Review Overdue",IF(AG70-TODAY()&lt;=30,"Review Due Soon","Active"))))</f>
        <v/>
      </c>
      <c r="AO70" s="85">
        <f>IF($A70="","",IF(AH70="","NOT REVIEWED",IF(TODAY()-AH70&gt;90,"OVERDUE",IF(TODAY()-AH70&gt;76,"Due Soon","Current"))))</f>
        <v/>
      </c>
    </row>
    <row r="71" ht="15" customHeight="1" s="39">
      <c r="A71" s="85" t="n"/>
      <c r="B71" s="85" t="n"/>
      <c r="C71" s="85" t="n"/>
      <c r="D71" s="85" t="n"/>
      <c r="E71" s="85" t="n"/>
      <c r="F71" s="86" t="n"/>
      <c r="G71" s="86" t="n"/>
      <c r="H71" s="85" t="n"/>
      <c r="I71" s="85" t="n"/>
      <c r="J71" s="85" t="n"/>
      <c r="K71" s="85" t="n"/>
      <c r="L71" s="85" t="n"/>
      <c r="M71" s="85" t="n"/>
      <c r="N71" s="85" t="n"/>
      <c r="O71" s="85" t="n"/>
      <c r="P71" s="85" t="n"/>
      <c r="Q71" s="85" t="n"/>
      <c r="R71" s="85" t="n"/>
      <c r="S71" s="85" t="n"/>
      <c r="T71" s="85" t="n"/>
      <c r="U71" s="85" t="n"/>
      <c r="V71" s="85" t="n"/>
      <c r="W71" s="85" t="n"/>
      <c r="X71" s="85" t="n"/>
      <c r="Y71" s="85" t="n"/>
      <c r="Z71" s="85" t="n"/>
      <c r="AA71" s="85" t="n"/>
      <c r="AB71" s="85" t="n"/>
      <c r="AC71" s="85" t="n"/>
      <c r="AD71" s="85" t="n"/>
      <c r="AE71" s="85" t="n"/>
      <c r="AF71" s="86" t="n"/>
      <c r="AG71" s="86" t="n"/>
      <c r="AH71" s="86" t="n"/>
      <c r="AI71" s="85" t="n"/>
      <c r="AJ71" s="85" t="n"/>
      <c r="AK71" s="85">
        <f>IF($A71="","",IF($M71&gt;0,"Yes","No"))</f>
        <v/>
      </c>
      <c r="AL71" s="85">
        <f>IF($A71="","",IF(AND($E71="Yes",OR($Y71="No",$Y71="NOT FOUND")),"YES",""))</f>
        <v/>
      </c>
      <c r="AM71" s="85">
        <f>IF($A71="","",TRIM(IF(AND($P71=0,$I71&lt;&gt;"Yes"),"T0-NoPhishResistant ","")&amp;IF($H71="No","NoMFA ","")&amp;IF(AND($P71=0,$M71&gt;0),"T0-Standing ","")&amp;IF(AND($P71=0,$Q71="Group only"),"T0-ViaGroupOnly ","")&amp;IF($W71="Yes","AlsoAzureRBAC ","")))</f>
        <v/>
      </c>
      <c r="AN71" s="85">
        <f>IF($A71="","",IF(AG71="","Not Enrolled",IF(TODAY()&gt;AG71,"Review Overdue",IF(AG71-TODAY()&lt;=30,"Review Due Soon","Active"))))</f>
        <v/>
      </c>
      <c r="AO71" s="85">
        <f>IF($A71="","",IF(AH71="","NOT REVIEWED",IF(TODAY()-AH71&gt;90,"OVERDUE",IF(TODAY()-AH71&gt;76,"Due Soon","Current"))))</f>
        <v/>
      </c>
    </row>
    <row r="72" ht="15" customHeight="1" s="39">
      <c r="A72" s="85" t="n"/>
      <c r="B72" s="85" t="n"/>
      <c r="C72" s="85" t="n"/>
      <c r="D72" s="85" t="n"/>
      <c r="E72" s="85" t="n"/>
      <c r="F72" s="86" t="n"/>
      <c r="G72" s="86" t="n"/>
      <c r="H72" s="85" t="n"/>
      <c r="I72" s="85" t="n"/>
      <c r="J72" s="85" t="n"/>
      <c r="K72" s="85" t="n"/>
      <c r="L72" s="85" t="n"/>
      <c r="M72" s="85" t="n"/>
      <c r="N72" s="85" t="n"/>
      <c r="O72" s="85" t="n"/>
      <c r="P72" s="85" t="n"/>
      <c r="Q72" s="85" t="n"/>
      <c r="R72" s="85" t="n"/>
      <c r="S72" s="85" t="n"/>
      <c r="T72" s="85" t="n"/>
      <c r="U72" s="85" t="n"/>
      <c r="V72" s="85" t="n"/>
      <c r="W72" s="85" t="n"/>
      <c r="X72" s="85" t="n"/>
      <c r="Y72" s="85" t="n"/>
      <c r="Z72" s="85" t="n"/>
      <c r="AA72" s="85" t="n"/>
      <c r="AB72" s="85" t="n"/>
      <c r="AC72" s="85" t="n"/>
      <c r="AD72" s="85" t="n"/>
      <c r="AE72" s="85" t="n"/>
      <c r="AF72" s="86" t="n"/>
      <c r="AG72" s="86" t="n"/>
      <c r="AH72" s="86" t="n"/>
      <c r="AI72" s="85" t="n"/>
      <c r="AJ72" s="85" t="n"/>
      <c r="AK72" s="85">
        <f>IF($A72="","",IF($M72&gt;0,"Yes","No"))</f>
        <v/>
      </c>
      <c r="AL72" s="85">
        <f>IF($A72="","",IF(AND($E72="Yes",OR($Y72="No",$Y72="NOT FOUND")),"YES",""))</f>
        <v/>
      </c>
      <c r="AM72" s="85">
        <f>IF($A72="","",TRIM(IF(AND($P72=0,$I72&lt;&gt;"Yes"),"T0-NoPhishResistant ","")&amp;IF($H72="No","NoMFA ","")&amp;IF(AND($P72=0,$M72&gt;0),"T0-Standing ","")&amp;IF(AND($P72=0,$Q72="Group only"),"T0-ViaGroupOnly ","")&amp;IF($W72="Yes","AlsoAzureRBAC ","")))</f>
        <v/>
      </c>
      <c r="AN72" s="85">
        <f>IF($A72="","",IF(AG72="","Not Enrolled",IF(TODAY()&gt;AG72,"Review Overdue",IF(AG72-TODAY()&lt;=30,"Review Due Soon","Active"))))</f>
        <v/>
      </c>
      <c r="AO72" s="85">
        <f>IF($A72="","",IF(AH72="","NOT REVIEWED",IF(TODAY()-AH72&gt;90,"OVERDUE",IF(TODAY()-AH72&gt;76,"Due Soon","Current"))))</f>
        <v/>
      </c>
    </row>
    <row r="73" ht="15" customHeight="1" s="39">
      <c r="A73" s="85" t="n"/>
      <c r="B73" s="85" t="n"/>
      <c r="C73" s="85" t="n"/>
      <c r="D73" s="85" t="n"/>
      <c r="E73" s="85" t="n"/>
      <c r="F73" s="86" t="n"/>
      <c r="G73" s="86" t="n"/>
      <c r="H73" s="85" t="n"/>
      <c r="I73" s="85" t="n"/>
      <c r="J73" s="85" t="n"/>
      <c r="K73" s="85" t="n"/>
      <c r="L73" s="85" t="n"/>
      <c r="M73" s="85" t="n"/>
      <c r="N73" s="85" t="n"/>
      <c r="O73" s="85" t="n"/>
      <c r="P73" s="85" t="n"/>
      <c r="Q73" s="85" t="n"/>
      <c r="R73" s="85" t="n"/>
      <c r="S73" s="85" t="n"/>
      <c r="T73" s="85" t="n"/>
      <c r="U73" s="85" t="n"/>
      <c r="V73" s="85" t="n"/>
      <c r="W73" s="85" t="n"/>
      <c r="X73" s="85" t="n"/>
      <c r="Y73" s="85" t="n"/>
      <c r="Z73" s="85" t="n"/>
      <c r="AA73" s="85" t="n"/>
      <c r="AB73" s="85" t="n"/>
      <c r="AC73" s="85" t="n"/>
      <c r="AD73" s="85" t="n"/>
      <c r="AE73" s="85" t="n"/>
      <c r="AF73" s="86" t="n"/>
      <c r="AG73" s="86" t="n"/>
      <c r="AH73" s="86" t="n"/>
      <c r="AI73" s="85" t="n"/>
      <c r="AJ73" s="85" t="n"/>
      <c r="AK73" s="85">
        <f>IF($A73="","",IF($M73&gt;0,"Yes","No"))</f>
        <v/>
      </c>
      <c r="AL73" s="85">
        <f>IF($A73="","",IF(AND($E73="Yes",OR($Y73="No",$Y73="NOT FOUND")),"YES",""))</f>
        <v/>
      </c>
      <c r="AM73" s="85">
        <f>IF($A73="","",TRIM(IF(AND($P73=0,$I73&lt;&gt;"Yes"),"T0-NoPhishResistant ","")&amp;IF($H73="No","NoMFA ","")&amp;IF(AND($P73=0,$M73&gt;0),"T0-Standing ","")&amp;IF(AND($P73=0,$Q73="Group only"),"T0-ViaGroupOnly ","")&amp;IF($W73="Yes","AlsoAzureRBAC ","")))</f>
        <v/>
      </c>
      <c r="AN73" s="85">
        <f>IF($A73="","",IF(AG73="","Not Enrolled",IF(TODAY()&gt;AG73,"Review Overdue",IF(AG73-TODAY()&lt;=30,"Review Due Soon","Active"))))</f>
        <v/>
      </c>
      <c r="AO73" s="85">
        <f>IF($A73="","",IF(AH73="","NOT REVIEWED",IF(TODAY()-AH73&gt;90,"OVERDUE",IF(TODAY()-AH73&gt;76,"Due Soon","Current"))))</f>
        <v/>
      </c>
    </row>
    <row r="74" ht="15" customHeight="1" s="39">
      <c r="A74" s="85" t="n"/>
      <c r="B74" s="85" t="n"/>
      <c r="C74" s="85" t="n"/>
      <c r="D74" s="85" t="n"/>
      <c r="E74" s="85" t="n"/>
      <c r="F74" s="86" t="n"/>
      <c r="G74" s="86" t="n"/>
      <c r="H74" s="85" t="n"/>
      <c r="I74" s="85" t="n"/>
      <c r="J74" s="85" t="n"/>
      <c r="K74" s="85" t="n"/>
      <c r="L74" s="85" t="n"/>
      <c r="M74" s="85" t="n"/>
      <c r="N74" s="85" t="n"/>
      <c r="O74" s="85" t="n"/>
      <c r="P74" s="85" t="n"/>
      <c r="Q74" s="85" t="n"/>
      <c r="R74" s="85" t="n"/>
      <c r="S74" s="85" t="n"/>
      <c r="T74" s="85" t="n"/>
      <c r="U74" s="85" t="n"/>
      <c r="V74" s="85" t="n"/>
      <c r="W74" s="85" t="n"/>
      <c r="X74" s="85" t="n"/>
      <c r="Y74" s="85" t="n"/>
      <c r="Z74" s="85" t="n"/>
      <c r="AA74" s="85" t="n"/>
      <c r="AB74" s="85" t="n"/>
      <c r="AC74" s="85" t="n"/>
      <c r="AD74" s="85" t="n"/>
      <c r="AE74" s="85" t="n"/>
      <c r="AF74" s="86" t="n"/>
      <c r="AG74" s="86" t="n"/>
      <c r="AH74" s="86" t="n"/>
      <c r="AI74" s="85" t="n"/>
      <c r="AJ74" s="85" t="n"/>
      <c r="AK74" s="85">
        <f>IF($A74="","",IF($M74&gt;0,"Yes","No"))</f>
        <v/>
      </c>
      <c r="AL74" s="85">
        <f>IF($A74="","",IF(AND($E74="Yes",OR($Y74="No",$Y74="NOT FOUND")),"YES",""))</f>
        <v/>
      </c>
      <c r="AM74" s="85">
        <f>IF($A74="","",TRIM(IF(AND($P74=0,$I74&lt;&gt;"Yes"),"T0-NoPhishResistant ","")&amp;IF($H74="No","NoMFA ","")&amp;IF(AND($P74=0,$M74&gt;0),"T0-Standing ","")&amp;IF(AND($P74=0,$Q74="Group only"),"T0-ViaGroupOnly ","")&amp;IF($W74="Yes","AlsoAzureRBAC ","")))</f>
        <v/>
      </c>
      <c r="AN74" s="85">
        <f>IF($A74="","",IF(AG74="","Not Enrolled",IF(TODAY()&gt;AG74,"Review Overdue",IF(AG74-TODAY()&lt;=30,"Review Due Soon","Active"))))</f>
        <v/>
      </c>
      <c r="AO74" s="85">
        <f>IF($A74="","",IF(AH74="","NOT REVIEWED",IF(TODAY()-AH74&gt;90,"OVERDUE",IF(TODAY()-AH74&gt;76,"Due Soon","Current"))))</f>
        <v/>
      </c>
    </row>
    <row r="75" ht="15" customHeight="1" s="39">
      <c r="A75" s="85" t="n"/>
      <c r="B75" s="85" t="n"/>
      <c r="C75" s="85" t="n"/>
      <c r="D75" s="85" t="n"/>
      <c r="E75" s="85" t="n"/>
      <c r="F75" s="86" t="n"/>
      <c r="G75" s="86" t="n"/>
      <c r="H75" s="85" t="n"/>
      <c r="I75" s="85" t="n"/>
      <c r="J75" s="85" t="n"/>
      <c r="K75" s="85" t="n"/>
      <c r="L75" s="85" t="n"/>
      <c r="M75" s="85" t="n"/>
      <c r="N75" s="85" t="n"/>
      <c r="O75" s="85" t="n"/>
      <c r="P75" s="85" t="n"/>
      <c r="Q75" s="85" t="n"/>
      <c r="R75" s="85" t="n"/>
      <c r="S75" s="85" t="n"/>
      <c r="T75" s="85" t="n"/>
      <c r="U75" s="85" t="n"/>
      <c r="V75" s="85" t="n"/>
      <c r="W75" s="85" t="n"/>
      <c r="X75" s="85" t="n"/>
      <c r="Y75" s="85" t="n"/>
      <c r="Z75" s="85" t="n"/>
      <c r="AA75" s="85" t="n"/>
      <c r="AB75" s="85" t="n"/>
      <c r="AC75" s="85" t="n"/>
      <c r="AD75" s="85" t="n"/>
      <c r="AE75" s="85" t="n"/>
      <c r="AF75" s="86" t="n"/>
      <c r="AG75" s="86" t="n"/>
      <c r="AH75" s="86" t="n"/>
      <c r="AI75" s="85" t="n"/>
      <c r="AJ75" s="85" t="n"/>
      <c r="AK75" s="85">
        <f>IF($A75="","",IF($M75&gt;0,"Yes","No"))</f>
        <v/>
      </c>
      <c r="AL75" s="85">
        <f>IF($A75="","",IF(AND($E75="Yes",OR($Y75="No",$Y75="NOT FOUND")),"YES",""))</f>
        <v/>
      </c>
      <c r="AM75" s="85">
        <f>IF($A75="","",TRIM(IF(AND($P75=0,$I75&lt;&gt;"Yes"),"T0-NoPhishResistant ","")&amp;IF($H75="No","NoMFA ","")&amp;IF(AND($P75=0,$M75&gt;0),"T0-Standing ","")&amp;IF(AND($P75=0,$Q75="Group only"),"T0-ViaGroupOnly ","")&amp;IF($W75="Yes","AlsoAzureRBAC ","")))</f>
        <v/>
      </c>
      <c r="AN75" s="85">
        <f>IF($A75="","",IF(AG75="","Not Enrolled",IF(TODAY()&gt;AG75,"Review Overdue",IF(AG75-TODAY()&lt;=30,"Review Due Soon","Active"))))</f>
        <v/>
      </c>
      <c r="AO75" s="85">
        <f>IF($A75="","",IF(AH75="","NOT REVIEWED",IF(TODAY()-AH75&gt;90,"OVERDUE",IF(TODAY()-AH75&gt;76,"Due Soon","Current"))))</f>
        <v/>
      </c>
    </row>
    <row r="76" ht="15" customHeight="1" s="39">
      <c r="A76" s="85" t="n"/>
      <c r="B76" s="85" t="n"/>
      <c r="C76" s="85" t="n"/>
      <c r="D76" s="85" t="n"/>
      <c r="E76" s="85" t="n"/>
      <c r="F76" s="86" t="n"/>
      <c r="G76" s="86" t="n"/>
      <c r="H76" s="85" t="n"/>
      <c r="I76" s="85" t="n"/>
      <c r="J76" s="85" t="n"/>
      <c r="K76" s="85" t="n"/>
      <c r="L76" s="85" t="n"/>
      <c r="M76" s="85" t="n"/>
      <c r="N76" s="85" t="n"/>
      <c r="O76" s="85" t="n"/>
      <c r="P76" s="85" t="n"/>
      <c r="Q76" s="85" t="n"/>
      <c r="R76" s="85" t="n"/>
      <c r="S76" s="85" t="n"/>
      <c r="T76" s="85" t="n"/>
      <c r="U76" s="85" t="n"/>
      <c r="V76" s="85" t="n"/>
      <c r="W76" s="85" t="n"/>
      <c r="X76" s="85" t="n"/>
      <c r="Y76" s="85" t="n"/>
      <c r="Z76" s="85" t="n"/>
      <c r="AA76" s="85" t="n"/>
      <c r="AB76" s="85" t="n"/>
      <c r="AC76" s="85" t="n"/>
      <c r="AD76" s="85" t="n"/>
      <c r="AE76" s="85" t="n"/>
      <c r="AF76" s="86" t="n"/>
      <c r="AG76" s="86" t="n"/>
      <c r="AH76" s="86" t="n"/>
      <c r="AI76" s="85" t="n"/>
      <c r="AJ76" s="85" t="n"/>
      <c r="AK76" s="85">
        <f>IF($A76="","",IF($M76&gt;0,"Yes","No"))</f>
        <v/>
      </c>
      <c r="AL76" s="85">
        <f>IF($A76="","",IF(AND($E76="Yes",OR($Y76="No",$Y76="NOT FOUND")),"YES",""))</f>
        <v/>
      </c>
      <c r="AM76" s="85">
        <f>IF($A76="","",TRIM(IF(AND($P76=0,$I76&lt;&gt;"Yes"),"T0-NoPhishResistant ","")&amp;IF($H76="No","NoMFA ","")&amp;IF(AND($P76=0,$M76&gt;0),"T0-Standing ","")&amp;IF(AND($P76=0,$Q76="Group only"),"T0-ViaGroupOnly ","")&amp;IF($W76="Yes","AlsoAzureRBAC ","")))</f>
        <v/>
      </c>
      <c r="AN76" s="85">
        <f>IF($A76="","",IF(AG76="","Not Enrolled",IF(TODAY()&gt;AG76,"Review Overdue",IF(AG76-TODAY()&lt;=30,"Review Due Soon","Active"))))</f>
        <v/>
      </c>
      <c r="AO76" s="85">
        <f>IF($A76="","",IF(AH76="","NOT REVIEWED",IF(TODAY()-AH76&gt;90,"OVERDUE",IF(TODAY()-AH76&gt;76,"Due Soon","Current"))))</f>
        <v/>
      </c>
    </row>
    <row r="77" ht="15" customHeight="1" s="39">
      <c r="A77" s="85" t="n"/>
      <c r="B77" s="85" t="n"/>
      <c r="C77" s="85" t="n"/>
      <c r="D77" s="85" t="n"/>
      <c r="E77" s="85" t="n"/>
      <c r="F77" s="86" t="n"/>
      <c r="G77" s="86" t="n"/>
      <c r="H77" s="85" t="n"/>
      <c r="I77" s="85" t="n"/>
      <c r="J77" s="85" t="n"/>
      <c r="K77" s="85" t="n"/>
      <c r="L77" s="85" t="n"/>
      <c r="M77" s="85" t="n"/>
      <c r="N77" s="85" t="n"/>
      <c r="O77" s="85" t="n"/>
      <c r="P77" s="85" t="n"/>
      <c r="Q77" s="85" t="n"/>
      <c r="R77" s="85" t="n"/>
      <c r="S77" s="85" t="n"/>
      <c r="T77" s="85" t="n"/>
      <c r="U77" s="85" t="n"/>
      <c r="V77" s="85" t="n"/>
      <c r="W77" s="85" t="n"/>
      <c r="X77" s="85" t="n"/>
      <c r="Y77" s="85" t="n"/>
      <c r="Z77" s="85" t="n"/>
      <c r="AA77" s="85" t="n"/>
      <c r="AB77" s="85" t="n"/>
      <c r="AC77" s="85" t="n"/>
      <c r="AD77" s="85" t="n"/>
      <c r="AE77" s="85" t="n"/>
      <c r="AF77" s="86" t="n"/>
      <c r="AG77" s="86" t="n"/>
      <c r="AH77" s="86" t="n"/>
      <c r="AI77" s="85" t="n"/>
      <c r="AJ77" s="85" t="n"/>
      <c r="AK77" s="85">
        <f>IF($A77="","",IF($M77&gt;0,"Yes","No"))</f>
        <v/>
      </c>
      <c r="AL77" s="85">
        <f>IF($A77="","",IF(AND($E77="Yes",OR($Y77="No",$Y77="NOT FOUND")),"YES",""))</f>
        <v/>
      </c>
      <c r="AM77" s="85">
        <f>IF($A77="","",TRIM(IF(AND($P77=0,$I77&lt;&gt;"Yes"),"T0-NoPhishResistant ","")&amp;IF($H77="No","NoMFA ","")&amp;IF(AND($P77=0,$M77&gt;0),"T0-Standing ","")&amp;IF(AND($P77=0,$Q77="Group only"),"T0-ViaGroupOnly ","")&amp;IF($W77="Yes","AlsoAzureRBAC ","")))</f>
        <v/>
      </c>
      <c r="AN77" s="85">
        <f>IF($A77="","",IF(AG77="","Not Enrolled",IF(TODAY()&gt;AG77,"Review Overdue",IF(AG77-TODAY()&lt;=30,"Review Due Soon","Active"))))</f>
        <v/>
      </c>
      <c r="AO77" s="85">
        <f>IF($A77="","",IF(AH77="","NOT REVIEWED",IF(TODAY()-AH77&gt;90,"OVERDUE",IF(TODAY()-AH77&gt;76,"Due Soon","Current"))))</f>
        <v/>
      </c>
    </row>
    <row r="78" ht="15" customHeight="1" s="39">
      <c r="A78" s="85" t="n"/>
      <c r="B78" s="85" t="n"/>
      <c r="C78" s="85" t="n"/>
      <c r="D78" s="85" t="n"/>
      <c r="E78" s="85" t="n"/>
      <c r="F78" s="86" t="n"/>
      <c r="G78" s="86" t="n"/>
      <c r="H78" s="85" t="n"/>
      <c r="I78" s="85" t="n"/>
      <c r="J78" s="85" t="n"/>
      <c r="K78" s="85" t="n"/>
      <c r="L78" s="85" t="n"/>
      <c r="M78" s="85" t="n"/>
      <c r="N78" s="85" t="n"/>
      <c r="O78" s="85" t="n"/>
      <c r="P78" s="85" t="n"/>
      <c r="Q78" s="85" t="n"/>
      <c r="R78" s="85" t="n"/>
      <c r="S78" s="85" t="n"/>
      <c r="T78" s="85" t="n"/>
      <c r="U78" s="85" t="n"/>
      <c r="V78" s="85" t="n"/>
      <c r="W78" s="85" t="n"/>
      <c r="X78" s="85" t="n"/>
      <c r="Y78" s="85" t="n"/>
      <c r="Z78" s="85" t="n"/>
      <c r="AA78" s="85" t="n"/>
      <c r="AB78" s="85" t="n"/>
      <c r="AC78" s="85" t="n"/>
      <c r="AD78" s="85" t="n"/>
      <c r="AE78" s="85" t="n"/>
      <c r="AF78" s="86" t="n"/>
      <c r="AG78" s="86" t="n"/>
      <c r="AH78" s="86" t="n"/>
      <c r="AI78" s="85" t="n"/>
      <c r="AJ78" s="85" t="n"/>
      <c r="AK78" s="85">
        <f>IF($A78="","",IF($M78&gt;0,"Yes","No"))</f>
        <v/>
      </c>
      <c r="AL78" s="85">
        <f>IF($A78="","",IF(AND($E78="Yes",OR($Y78="No",$Y78="NOT FOUND")),"YES",""))</f>
        <v/>
      </c>
      <c r="AM78" s="85">
        <f>IF($A78="","",TRIM(IF(AND($P78=0,$I78&lt;&gt;"Yes"),"T0-NoPhishResistant ","")&amp;IF($H78="No","NoMFA ","")&amp;IF(AND($P78=0,$M78&gt;0),"T0-Standing ","")&amp;IF(AND($P78=0,$Q78="Group only"),"T0-ViaGroupOnly ","")&amp;IF($W78="Yes","AlsoAzureRBAC ","")))</f>
        <v/>
      </c>
      <c r="AN78" s="85">
        <f>IF($A78="","",IF(AG78="","Not Enrolled",IF(TODAY()&gt;AG78,"Review Overdue",IF(AG78-TODAY()&lt;=30,"Review Due Soon","Active"))))</f>
        <v/>
      </c>
      <c r="AO78" s="85">
        <f>IF($A78="","",IF(AH78="","NOT REVIEWED",IF(TODAY()-AH78&gt;90,"OVERDUE",IF(TODAY()-AH78&gt;76,"Due Soon","Current"))))</f>
        <v/>
      </c>
    </row>
    <row r="79" ht="15" customHeight="1" s="39">
      <c r="A79" s="85" t="n"/>
      <c r="B79" s="85" t="n"/>
      <c r="C79" s="85" t="n"/>
      <c r="D79" s="85" t="n"/>
      <c r="E79" s="85" t="n"/>
      <c r="F79" s="86" t="n"/>
      <c r="G79" s="86" t="n"/>
      <c r="H79" s="85" t="n"/>
      <c r="I79" s="85" t="n"/>
      <c r="J79" s="85" t="n"/>
      <c r="K79" s="85" t="n"/>
      <c r="L79" s="85" t="n"/>
      <c r="M79" s="85" t="n"/>
      <c r="N79" s="85" t="n"/>
      <c r="O79" s="85" t="n"/>
      <c r="P79" s="85" t="n"/>
      <c r="Q79" s="85" t="n"/>
      <c r="R79" s="85" t="n"/>
      <c r="S79" s="85" t="n"/>
      <c r="T79" s="85" t="n"/>
      <c r="U79" s="85" t="n"/>
      <c r="V79" s="85" t="n"/>
      <c r="W79" s="85" t="n"/>
      <c r="X79" s="85" t="n"/>
      <c r="Y79" s="85" t="n"/>
      <c r="Z79" s="85" t="n"/>
      <c r="AA79" s="85" t="n"/>
      <c r="AB79" s="85" t="n"/>
      <c r="AC79" s="85" t="n"/>
      <c r="AD79" s="85" t="n"/>
      <c r="AE79" s="85" t="n"/>
      <c r="AF79" s="86" t="n"/>
      <c r="AG79" s="86" t="n"/>
      <c r="AH79" s="86" t="n"/>
      <c r="AI79" s="85" t="n"/>
      <c r="AJ79" s="85" t="n"/>
      <c r="AK79" s="85">
        <f>IF($A79="","",IF($M79&gt;0,"Yes","No"))</f>
        <v/>
      </c>
      <c r="AL79" s="85">
        <f>IF($A79="","",IF(AND($E79="Yes",OR($Y79="No",$Y79="NOT FOUND")),"YES",""))</f>
        <v/>
      </c>
      <c r="AM79" s="85">
        <f>IF($A79="","",TRIM(IF(AND($P79=0,$I79&lt;&gt;"Yes"),"T0-NoPhishResistant ","")&amp;IF($H79="No","NoMFA ","")&amp;IF(AND($P79=0,$M79&gt;0),"T0-Standing ","")&amp;IF(AND($P79=0,$Q79="Group only"),"T0-ViaGroupOnly ","")&amp;IF($W79="Yes","AlsoAzureRBAC ","")))</f>
        <v/>
      </c>
      <c r="AN79" s="85">
        <f>IF($A79="","",IF(AG79="","Not Enrolled",IF(TODAY()&gt;AG79,"Review Overdue",IF(AG79-TODAY()&lt;=30,"Review Due Soon","Active"))))</f>
        <v/>
      </c>
      <c r="AO79" s="85">
        <f>IF($A79="","",IF(AH79="","NOT REVIEWED",IF(TODAY()-AH79&gt;90,"OVERDUE",IF(TODAY()-AH79&gt;76,"Due Soon","Current"))))</f>
        <v/>
      </c>
    </row>
    <row r="80" ht="15" customHeight="1" s="39">
      <c r="A80" s="85" t="n"/>
      <c r="B80" s="85" t="n"/>
      <c r="C80" s="85" t="n"/>
      <c r="D80" s="85" t="n"/>
      <c r="E80" s="85" t="n"/>
      <c r="F80" s="86" t="n"/>
      <c r="G80" s="86" t="n"/>
      <c r="H80" s="85" t="n"/>
      <c r="I80" s="85" t="n"/>
      <c r="J80" s="85" t="n"/>
      <c r="K80" s="85" t="n"/>
      <c r="L80" s="85" t="n"/>
      <c r="M80" s="85" t="n"/>
      <c r="N80" s="85" t="n"/>
      <c r="O80" s="85" t="n"/>
      <c r="P80" s="85" t="n"/>
      <c r="Q80" s="85" t="n"/>
      <c r="R80" s="85" t="n"/>
      <c r="S80" s="85" t="n"/>
      <c r="T80" s="85" t="n"/>
      <c r="U80" s="85" t="n"/>
      <c r="V80" s="85" t="n"/>
      <c r="W80" s="85" t="n"/>
      <c r="X80" s="85" t="n"/>
      <c r="Y80" s="85" t="n"/>
      <c r="Z80" s="85" t="n"/>
      <c r="AA80" s="85" t="n"/>
      <c r="AB80" s="85" t="n"/>
      <c r="AC80" s="85" t="n"/>
      <c r="AD80" s="85" t="n"/>
      <c r="AE80" s="85" t="n"/>
      <c r="AF80" s="86" t="n"/>
      <c r="AG80" s="86" t="n"/>
      <c r="AH80" s="86" t="n"/>
      <c r="AI80" s="85" t="n"/>
      <c r="AJ80" s="85" t="n"/>
      <c r="AK80" s="85">
        <f>IF($A80="","",IF($M80&gt;0,"Yes","No"))</f>
        <v/>
      </c>
      <c r="AL80" s="85">
        <f>IF($A80="","",IF(AND($E80="Yes",OR($Y80="No",$Y80="NOT FOUND")),"YES",""))</f>
        <v/>
      </c>
      <c r="AM80" s="85">
        <f>IF($A80="","",TRIM(IF(AND($P80=0,$I80&lt;&gt;"Yes"),"T0-NoPhishResistant ","")&amp;IF($H80="No","NoMFA ","")&amp;IF(AND($P80=0,$M80&gt;0),"T0-Standing ","")&amp;IF(AND($P80=0,$Q80="Group only"),"T0-ViaGroupOnly ","")&amp;IF($W80="Yes","AlsoAzureRBAC ","")))</f>
        <v/>
      </c>
      <c r="AN80" s="85">
        <f>IF($A80="","",IF(AG80="","Not Enrolled",IF(TODAY()&gt;AG80,"Review Overdue",IF(AG80-TODAY()&lt;=30,"Review Due Soon","Active"))))</f>
        <v/>
      </c>
      <c r="AO80" s="85">
        <f>IF($A80="","",IF(AH80="","NOT REVIEWED",IF(TODAY()-AH80&gt;90,"OVERDUE",IF(TODAY()-AH80&gt;76,"Due Soon","Current"))))</f>
        <v/>
      </c>
    </row>
    <row r="81" ht="15" customHeight="1" s="39">
      <c r="A81" s="85" t="n"/>
      <c r="B81" s="85" t="n"/>
      <c r="C81" s="85" t="n"/>
      <c r="D81" s="85" t="n"/>
      <c r="E81" s="85" t="n"/>
      <c r="F81" s="86" t="n"/>
      <c r="G81" s="86" t="n"/>
      <c r="H81" s="85" t="n"/>
      <c r="I81" s="85" t="n"/>
      <c r="J81" s="85" t="n"/>
      <c r="K81" s="85" t="n"/>
      <c r="L81" s="85" t="n"/>
      <c r="M81" s="85" t="n"/>
      <c r="N81" s="85" t="n"/>
      <c r="O81" s="85" t="n"/>
      <c r="P81" s="85" t="n"/>
      <c r="Q81" s="85" t="n"/>
      <c r="R81" s="85" t="n"/>
      <c r="S81" s="85" t="n"/>
      <c r="T81" s="85" t="n"/>
      <c r="U81" s="85" t="n"/>
      <c r="V81" s="85" t="n"/>
      <c r="W81" s="85" t="n"/>
      <c r="X81" s="85" t="n"/>
      <c r="Y81" s="85" t="n"/>
      <c r="Z81" s="85" t="n"/>
      <c r="AA81" s="85" t="n"/>
      <c r="AB81" s="85" t="n"/>
      <c r="AC81" s="85" t="n"/>
      <c r="AD81" s="85" t="n"/>
      <c r="AE81" s="85" t="n"/>
      <c r="AF81" s="86" t="n"/>
      <c r="AG81" s="86" t="n"/>
      <c r="AH81" s="86" t="n"/>
      <c r="AI81" s="85" t="n"/>
      <c r="AJ81" s="85" t="n"/>
      <c r="AK81" s="85">
        <f>IF($A81="","",IF($M81&gt;0,"Yes","No"))</f>
        <v/>
      </c>
      <c r="AL81" s="85">
        <f>IF($A81="","",IF(AND($E81="Yes",OR($Y81="No",$Y81="NOT FOUND")),"YES",""))</f>
        <v/>
      </c>
      <c r="AM81" s="85">
        <f>IF($A81="","",TRIM(IF(AND($P81=0,$I81&lt;&gt;"Yes"),"T0-NoPhishResistant ","")&amp;IF($H81="No","NoMFA ","")&amp;IF(AND($P81=0,$M81&gt;0),"T0-Standing ","")&amp;IF(AND($P81=0,$Q81="Group only"),"T0-ViaGroupOnly ","")&amp;IF($W81="Yes","AlsoAzureRBAC ","")))</f>
        <v/>
      </c>
      <c r="AN81" s="85">
        <f>IF($A81="","",IF(AG81="","Not Enrolled",IF(TODAY()&gt;AG81,"Review Overdue",IF(AG81-TODAY()&lt;=30,"Review Due Soon","Active"))))</f>
        <v/>
      </c>
      <c r="AO81" s="85">
        <f>IF($A81="","",IF(AH81="","NOT REVIEWED",IF(TODAY()-AH81&gt;90,"OVERDUE",IF(TODAY()-AH81&gt;76,"Due Soon","Current"))))</f>
        <v/>
      </c>
    </row>
    <row r="82" ht="15" customHeight="1" s="39">
      <c r="A82" s="85" t="n"/>
      <c r="B82" s="85" t="n"/>
      <c r="C82" s="85" t="n"/>
      <c r="D82" s="85" t="n"/>
      <c r="E82" s="85" t="n"/>
      <c r="F82" s="86" t="n"/>
      <c r="G82" s="86" t="n"/>
      <c r="H82" s="85" t="n"/>
      <c r="I82" s="85" t="n"/>
      <c r="J82" s="85" t="n"/>
      <c r="K82" s="85" t="n"/>
      <c r="L82" s="85" t="n"/>
      <c r="M82" s="85" t="n"/>
      <c r="N82" s="85" t="n"/>
      <c r="O82" s="85" t="n"/>
      <c r="P82" s="85" t="n"/>
      <c r="Q82" s="85" t="n"/>
      <c r="R82" s="85" t="n"/>
      <c r="S82" s="85" t="n"/>
      <c r="T82" s="85" t="n"/>
      <c r="U82" s="85" t="n"/>
      <c r="V82" s="85" t="n"/>
      <c r="W82" s="85" t="n"/>
      <c r="X82" s="85" t="n"/>
      <c r="Y82" s="85" t="n"/>
      <c r="Z82" s="85" t="n"/>
      <c r="AA82" s="85" t="n"/>
      <c r="AB82" s="85" t="n"/>
      <c r="AC82" s="85" t="n"/>
      <c r="AD82" s="85" t="n"/>
      <c r="AE82" s="85" t="n"/>
      <c r="AF82" s="86" t="n"/>
      <c r="AG82" s="86" t="n"/>
      <c r="AH82" s="86" t="n"/>
      <c r="AI82" s="85" t="n"/>
      <c r="AJ82" s="85" t="n"/>
      <c r="AK82" s="85">
        <f>IF($A82="","",IF($M82&gt;0,"Yes","No"))</f>
        <v/>
      </c>
      <c r="AL82" s="85">
        <f>IF($A82="","",IF(AND($E82="Yes",OR($Y82="No",$Y82="NOT FOUND")),"YES",""))</f>
        <v/>
      </c>
      <c r="AM82" s="85">
        <f>IF($A82="","",TRIM(IF(AND($P82=0,$I82&lt;&gt;"Yes"),"T0-NoPhishResistant ","")&amp;IF($H82="No","NoMFA ","")&amp;IF(AND($P82=0,$M82&gt;0),"T0-Standing ","")&amp;IF(AND($P82=0,$Q82="Group only"),"T0-ViaGroupOnly ","")&amp;IF($W82="Yes","AlsoAzureRBAC ","")))</f>
        <v/>
      </c>
      <c r="AN82" s="85">
        <f>IF($A82="","",IF(AG82="","Not Enrolled",IF(TODAY()&gt;AG82,"Review Overdue",IF(AG82-TODAY()&lt;=30,"Review Due Soon","Active"))))</f>
        <v/>
      </c>
      <c r="AO82" s="85">
        <f>IF($A82="","",IF(AH82="","NOT REVIEWED",IF(TODAY()-AH82&gt;90,"OVERDUE",IF(TODAY()-AH82&gt;76,"Due Soon","Current"))))</f>
        <v/>
      </c>
    </row>
    <row r="83" ht="15" customHeight="1" s="39">
      <c r="A83" s="85" t="n"/>
      <c r="B83" s="85" t="n"/>
      <c r="C83" s="85" t="n"/>
      <c r="D83" s="85" t="n"/>
      <c r="E83" s="85" t="n"/>
      <c r="F83" s="86" t="n"/>
      <c r="G83" s="86" t="n"/>
      <c r="H83" s="85" t="n"/>
      <c r="I83" s="85" t="n"/>
      <c r="J83" s="85" t="n"/>
      <c r="K83" s="85" t="n"/>
      <c r="L83" s="85" t="n"/>
      <c r="M83" s="85" t="n"/>
      <c r="N83" s="85" t="n"/>
      <c r="O83" s="85" t="n"/>
      <c r="P83" s="85" t="n"/>
      <c r="Q83" s="85" t="n"/>
      <c r="R83" s="85" t="n"/>
      <c r="S83" s="85" t="n"/>
      <c r="T83" s="85" t="n"/>
      <c r="U83" s="85" t="n"/>
      <c r="V83" s="85" t="n"/>
      <c r="W83" s="85" t="n"/>
      <c r="X83" s="85" t="n"/>
      <c r="Y83" s="85" t="n"/>
      <c r="Z83" s="85" t="n"/>
      <c r="AA83" s="85" t="n"/>
      <c r="AB83" s="85" t="n"/>
      <c r="AC83" s="85" t="n"/>
      <c r="AD83" s="85" t="n"/>
      <c r="AE83" s="85" t="n"/>
      <c r="AF83" s="86" t="n"/>
      <c r="AG83" s="86" t="n"/>
      <c r="AH83" s="86" t="n"/>
      <c r="AI83" s="85" t="n"/>
      <c r="AJ83" s="85" t="n"/>
      <c r="AK83" s="85">
        <f>IF($A83="","",IF($M83&gt;0,"Yes","No"))</f>
        <v/>
      </c>
      <c r="AL83" s="85">
        <f>IF($A83="","",IF(AND($E83="Yes",OR($Y83="No",$Y83="NOT FOUND")),"YES",""))</f>
        <v/>
      </c>
      <c r="AM83" s="85">
        <f>IF($A83="","",TRIM(IF(AND($P83=0,$I83&lt;&gt;"Yes"),"T0-NoPhishResistant ","")&amp;IF($H83="No","NoMFA ","")&amp;IF(AND($P83=0,$M83&gt;0),"T0-Standing ","")&amp;IF(AND($P83=0,$Q83="Group only"),"T0-ViaGroupOnly ","")&amp;IF($W83="Yes","AlsoAzureRBAC ","")))</f>
        <v/>
      </c>
      <c r="AN83" s="85">
        <f>IF($A83="","",IF(AG83="","Not Enrolled",IF(TODAY()&gt;AG83,"Review Overdue",IF(AG83-TODAY()&lt;=30,"Review Due Soon","Active"))))</f>
        <v/>
      </c>
      <c r="AO83" s="85">
        <f>IF($A83="","",IF(AH83="","NOT REVIEWED",IF(TODAY()-AH83&gt;90,"OVERDUE",IF(TODAY()-AH83&gt;76,"Due Soon","Current"))))</f>
        <v/>
      </c>
    </row>
    <row r="84" ht="15" customHeight="1" s="39">
      <c r="A84" s="85" t="n"/>
      <c r="B84" s="85" t="n"/>
      <c r="C84" s="85" t="n"/>
      <c r="D84" s="85" t="n"/>
      <c r="E84" s="85" t="n"/>
      <c r="F84" s="86" t="n"/>
      <c r="G84" s="86" t="n"/>
      <c r="H84" s="85" t="n"/>
      <c r="I84" s="85" t="n"/>
      <c r="J84" s="85" t="n"/>
      <c r="K84" s="85" t="n"/>
      <c r="L84" s="85" t="n"/>
      <c r="M84" s="85" t="n"/>
      <c r="N84" s="85" t="n"/>
      <c r="O84" s="85" t="n"/>
      <c r="P84" s="85" t="n"/>
      <c r="Q84" s="85" t="n"/>
      <c r="R84" s="85" t="n"/>
      <c r="S84" s="85" t="n"/>
      <c r="T84" s="85" t="n"/>
      <c r="U84" s="85" t="n"/>
      <c r="V84" s="85" t="n"/>
      <c r="W84" s="85" t="n"/>
      <c r="X84" s="85" t="n"/>
      <c r="Y84" s="85" t="n"/>
      <c r="Z84" s="85" t="n"/>
      <c r="AA84" s="85" t="n"/>
      <c r="AB84" s="85" t="n"/>
      <c r="AC84" s="85" t="n"/>
      <c r="AD84" s="85" t="n"/>
      <c r="AE84" s="85" t="n"/>
      <c r="AF84" s="86" t="n"/>
      <c r="AG84" s="86" t="n"/>
      <c r="AH84" s="86" t="n"/>
      <c r="AI84" s="85" t="n"/>
      <c r="AJ84" s="85" t="n"/>
      <c r="AK84" s="85">
        <f>IF($A84="","",IF($M84&gt;0,"Yes","No"))</f>
        <v/>
      </c>
      <c r="AL84" s="85">
        <f>IF($A84="","",IF(AND($E84="Yes",OR($Y84="No",$Y84="NOT FOUND")),"YES",""))</f>
        <v/>
      </c>
      <c r="AM84" s="85">
        <f>IF($A84="","",TRIM(IF(AND($P84=0,$I84&lt;&gt;"Yes"),"T0-NoPhishResistant ","")&amp;IF($H84="No","NoMFA ","")&amp;IF(AND($P84=0,$M84&gt;0),"T0-Standing ","")&amp;IF(AND($P84=0,$Q84="Group only"),"T0-ViaGroupOnly ","")&amp;IF($W84="Yes","AlsoAzureRBAC ","")))</f>
        <v/>
      </c>
      <c r="AN84" s="85">
        <f>IF($A84="","",IF(AG84="","Not Enrolled",IF(TODAY()&gt;AG84,"Review Overdue",IF(AG84-TODAY()&lt;=30,"Review Due Soon","Active"))))</f>
        <v/>
      </c>
      <c r="AO84" s="85">
        <f>IF($A84="","",IF(AH84="","NOT REVIEWED",IF(TODAY()-AH84&gt;90,"OVERDUE",IF(TODAY()-AH84&gt;76,"Due Soon","Current"))))</f>
        <v/>
      </c>
    </row>
    <row r="85" ht="15" customHeight="1" s="39">
      <c r="A85" s="85" t="n"/>
      <c r="B85" s="85" t="n"/>
      <c r="C85" s="85" t="n"/>
      <c r="D85" s="85" t="n"/>
      <c r="E85" s="85" t="n"/>
      <c r="F85" s="86" t="n"/>
      <c r="G85" s="86" t="n"/>
      <c r="H85" s="85" t="n"/>
      <c r="I85" s="85" t="n"/>
      <c r="J85" s="85" t="n"/>
      <c r="K85" s="85" t="n"/>
      <c r="L85" s="85" t="n"/>
      <c r="M85" s="85" t="n"/>
      <c r="N85" s="85" t="n"/>
      <c r="O85" s="85" t="n"/>
      <c r="P85" s="85" t="n"/>
      <c r="Q85" s="85" t="n"/>
      <c r="R85" s="85" t="n"/>
      <c r="S85" s="85" t="n"/>
      <c r="T85" s="85" t="n"/>
      <c r="U85" s="85" t="n"/>
      <c r="V85" s="85" t="n"/>
      <c r="W85" s="85" t="n"/>
      <c r="X85" s="85" t="n"/>
      <c r="Y85" s="85" t="n"/>
      <c r="Z85" s="85" t="n"/>
      <c r="AA85" s="85" t="n"/>
      <c r="AB85" s="85" t="n"/>
      <c r="AC85" s="85" t="n"/>
      <c r="AD85" s="85" t="n"/>
      <c r="AE85" s="85" t="n"/>
      <c r="AF85" s="86" t="n"/>
      <c r="AG85" s="86" t="n"/>
      <c r="AH85" s="86" t="n"/>
      <c r="AI85" s="85" t="n"/>
      <c r="AJ85" s="85" t="n"/>
      <c r="AK85" s="85">
        <f>IF($A85="","",IF($M85&gt;0,"Yes","No"))</f>
        <v/>
      </c>
      <c r="AL85" s="85">
        <f>IF($A85="","",IF(AND($E85="Yes",OR($Y85="No",$Y85="NOT FOUND")),"YES",""))</f>
        <v/>
      </c>
      <c r="AM85" s="85">
        <f>IF($A85="","",TRIM(IF(AND($P85=0,$I85&lt;&gt;"Yes"),"T0-NoPhishResistant ","")&amp;IF($H85="No","NoMFA ","")&amp;IF(AND($P85=0,$M85&gt;0),"T0-Standing ","")&amp;IF(AND($P85=0,$Q85="Group only"),"T0-ViaGroupOnly ","")&amp;IF($W85="Yes","AlsoAzureRBAC ","")))</f>
        <v/>
      </c>
      <c r="AN85" s="85">
        <f>IF($A85="","",IF(AG85="","Not Enrolled",IF(TODAY()&gt;AG85,"Review Overdue",IF(AG85-TODAY()&lt;=30,"Review Due Soon","Active"))))</f>
        <v/>
      </c>
      <c r="AO85" s="85">
        <f>IF($A85="","",IF(AH85="","NOT REVIEWED",IF(TODAY()-AH85&gt;90,"OVERDUE",IF(TODAY()-AH85&gt;76,"Due Soon","Current"))))</f>
        <v/>
      </c>
    </row>
    <row r="86" ht="15" customHeight="1" s="39">
      <c r="A86" s="85" t="n"/>
      <c r="B86" s="85" t="n"/>
      <c r="C86" s="85" t="n"/>
      <c r="D86" s="85" t="n"/>
      <c r="E86" s="85" t="n"/>
      <c r="F86" s="86" t="n"/>
      <c r="G86" s="86" t="n"/>
      <c r="H86" s="85" t="n"/>
      <c r="I86" s="85" t="n"/>
      <c r="J86" s="85" t="n"/>
      <c r="K86" s="85" t="n"/>
      <c r="L86" s="85" t="n"/>
      <c r="M86" s="85" t="n"/>
      <c r="N86" s="85" t="n"/>
      <c r="O86" s="85" t="n"/>
      <c r="P86" s="85" t="n"/>
      <c r="Q86" s="85" t="n"/>
      <c r="R86" s="85" t="n"/>
      <c r="S86" s="85" t="n"/>
      <c r="T86" s="85" t="n"/>
      <c r="U86" s="85" t="n"/>
      <c r="V86" s="85" t="n"/>
      <c r="W86" s="85" t="n"/>
      <c r="X86" s="85" t="n"/>
      <c r="Y86" s="85" t="n"/>
      <c r="Z86" s="85" t="n"/>
      <c r="AA86" s="85" t="n"/>
      <c r="AB86" s="85" t="n"/>
      <c r="AC86" s="85" t="n"/>
      <c r="AD86" s="85" t="n"/>
      <c r="AE86" s="85" t="n"/>
      <c r="AF86" s="86" t="n"/>
      <c r="AG86" s="86" t="n"/>
      <c r="AH86" s="86" t="n"/>
      <c r="AI86" s="85" t="n"/>
      <c r="AJ86" s="85" t="n"/>
      <c r="AK86" s="85">
        <f>IF($A86="","",IF($M86&gt;0,"Yes","No"))</f>
        <v/>
      </c>
      <c r="AL86" s="85">
        <f>IF($A86="","",IF(AND($E86="Yes",OR($Y86="No",$Y86="NOT FOUND")),"YES",""))</f>
        <v/>
      </c>
      <c r="AM86" s="85">
        <f>IF($A86="","",TRIM(IF(AND($P86=0,$I86&lt;&gt;"Yes"),"T0-NoPhishResistant ","")&amp;IF($H86="No","NoMFA ","")&amp;IF(AND($P86=0,$M86&gt;0),"T0-Standing ","")&amp;IF(AND($P86=0,$Q86="Group only"),"T0-ViaGroupOnly ","")&amp;IF($W86="Yes","AlsoAzureRBAC ","")))</f>
        <v/>
      </c>
      <c r="AN86" s="85">
        <f>IF($A86="","",IF(AG86="","Not Enrolled",IF(TODAY()&gt;AG86,"Review Overdue",IF(AG86-TODAY()&lt;=30,"Review Due Soon","Active"))))</f>
        <v/>
      </c>
      <c r="AO86" s="85">
        <f>IF($A86="","",IF(AH86="","NOT REVIEWED",IF(TODAY()-AH86&gt;90,"OVERDUE",IF(TODAY()-AH86&gt;76,"Due Soon","Current"))))</f>
        <v/>
      </c>
    </row>
    <row r="87" ht="15" customHeight="1" s="39">
      <c r="A87" s="85" t="n"/>
      <c r="B87" s="85" t="n"/>
      <c r="C87" s="85" t="n"/>
      <c r="D87" s="85" t="n"/>
      <c r="E87" s="85" t="n"/>
      <c r="F87" s="86" t="n"/>
      <c r="G87" s="86" t="n"/>
      <c r="H87" s="85" t="n"/>
      <c r="I87" s="85" t="n"/>
      <c r="J87" s="85" t="n"/>
      <c r="K87" s="85" t="n"/>
      <c r="L87" s="85" t="n"/>
      <c r="M87" s="85" t="n"/>
      <c r="N87" s="85" t="n"/>
      <c r="O87" s="85" t="n"/>
      <c r="P87" s="85" t="n"/>
      <c r="Q87" s="85" t="n"/>
      <c r="R87" s="85" t="n"/>
      <c r="S87" s="85" t="n"/>
      <c r="T87" s="85" t="n"/>
      <c r="U87" s="85" t="n"/>
      <c r="V87" s="85" t="n"/>
      <c r="W87" s="85" t="n"/>
      <c r="X87" s="85" t="n"/>
      <c r="Y87" s="85" t="n"/>
      <c r="Z87" s="85" t="n"/>
      <c r="AA87" s="85" t="n"/>
      <c r="AB87" s="85" t="n"/>
      <c r="AC87" s="85" t="n"/>
      <c r="AD87" s="85" t="n"/>
      <c r="AE87" s="85" t="n"/>
      <c r="AF87" s="86" t="n"/>
      <c r="AG87" s="86" t="n"/>
      <c r="AH87" s="86" t="n"/>
      <c r="AI87" s="85" t="n"/>
      <c r="AJ87" s="85" t="n"/>
      <c r="AK87" s="85">
        <f>IF($A87="","",IF($M87&gt;0,"Yes","No"))</f>
        <v/>
      </c>
      <c r="AL87" s="85">
        <f>IF($A87="","",IF(AND($E87="Yes",OR($Y87="No",$Y87="NOT FOUND")),"YES",""))</f>
        <v/>
      </c>
      <c r="AM87" s="85">
        <f>IF($A87="","",TRIM(IF(AND($P87=0,$I87&lt;&gt;"Yes"),"T0-NoPhishResistant ","")&amp;IF($H87="No","NoMFA ","")&amp;IF(AND($P87=0,$M87&gt;0),"T0-Standing ","")&amp;IF(AND($P87=0,$Q87="Group only"),"T0-ViaGroupOnly ","")&amp;IF($W87="Yes","AlsoAzureRBAC ","")))</f>
        <v/>
      </c>
      <c r="AN87" s="85">
        <f>IF($A87="","",IF(AG87="","Not Enrolled",IF(TODAY()&gt;AG87,"Review Overdue",IF(AG87-TODAY()&lt;=30,"Review Due Soon","Active"))))</f>
        <v/>
      </c>
      <c r="AO87" s="85">
        <f>IF($A87="","",IF(AH87="","NOT REVIEWED",IF(TODAY()-AH87&gt;90,"OVERDUE",IF(TODAY()-AH87&gt;76,"Due Soon","Current"))))</f>
        <v/>
      </c>
    </row>
    <row r="88" ht="15" customHeight="1" s="39">
      <c r="A88" s="85" t="n"/>
      <c r="B88" s="85" t="n"/>
      <c r="C88" s="85" t="n"/>
      <c r="D88" s="85" t="n"/>
      <c r="E88" s="85" t="n"/>
      <c r="F88" s="86" t="n"/>
      <c r="G88" s="86" t="n"/>
      <c r="H88" s="85" t="n"/>
      <c r="I88" s="85" t="n"/>
      <c r="J88" s="85" t="n"/>
      <c r="K88" s="85" t="n"/>
      <c r="L88" s="85" t="n"/>
      <c r="M88" s="85" t="n"/>
      <c r="N88" s="85" t="n"/>
      <c r="O88" s="85" t="n"/>
      <c r="P88" s="85" t="n"/>
      <c r="Q88" s="85" t="n"/>
      <c r="R88" s="85" t="n"/>
      <c r="S88" s="85" t="n"/>
      <c r="T88" s="85" t="n"/>
      <c r="U88" s="85" t="n"/>
      <c r="V88" s="85" t="n"/>
      <c r="W88" s="85" t="n"/>
      <c r="X88" s="85" t="n"/>
      <c r="Y88" s="85" t="n"/>
      <c r="Z88" s="85" t="n"/>
      <c r="AA88" s="85" t="n"/>
      <c r="AB88" s="85" t="n"/>
      <c r="AC88" s="85" t="n"/>
      <c r="AD88" s="85" t="n"/>
      <c r="AE88" s="85" t="n"/>
      <c r="AF88" s="86" t="n"/>
      <c r="AG88" s="86" t="n"/>
      <c r="AH88" s="86" t="n"/>
      <c r="AI88" s="85" t="n"/>
      <c r="AJ88" s="85" t="n"/>
      <c r="AK88" s="85">
        <f>IF($A88="","",IF($M88&gt;0,"Yes","No"))</f>
        <v/>
      </c>
      <c r="AL88" s="85">
        <f>IF($A88="","",IF(AND($E88="Yes",OR($Y88="No",$Y88="NOT FOUND")),"YES",""))</f>
        <v/>
      </c>
      <c r="AM88" s="85">
        <f>IF($A88="","",TRIM(IF(AND($P88=0,$I88&lt;&gt;"Yes"),"T0-NoPhishResistant ","")&amp;IF($H88="No","NoMFA ","")&amp;IF(AND($P88=0,$M88&gt;0),"T0-Standing ","")&amp;IF(AND($P88=0,$Q88="Group only"),"T0-ViaGroupOnly ","")&amp;IF($W88="Yes","AlsoAzureRBAC ","")))</f>
        <v/>
      </c>
      <c r="AN88" s="85">
        <f>IF($A88="","",IF(AG88="","Not Enrolled",IF(TODAY()&gt;AG88,"Review Overdue",IF(AG88-TODAY()&lt;=30,"Review Due Soon","Active"))))</f>
        <v/>
      </c>
      <c r="AO88" s="85">
        <f>IF($A88="","",IF(AH88="","NOT REVIEWED",IF(TODAY()-AH88&gt;90,"OVERDUE",IF(TODAY()-AH88&gt;76,"Due Soon","Current"))))</f>
        <v/>
      </c>
    </row>
    <row r="89" ht="15" customHeight="1" s="39">
      <c r="A89" s="85" t="n"/>
      <c r="B89" s="85" t="n"/>
      <c r="C89" s="85" t="n"/>
      <c r="D89" s="85" t="n"/>
      <c r="E89" s="85" t="n"/>
      <c r="F89" s="86" t="n"/>
      <c r="G89" s="86" t="n"/>
      <c r="H89" s="85" t="n"/>
      <c r="I89" s="85" t="n"/>
      <c r="J89" s="85" t="n"/>
      <c r="K89" s="85" t="n"/>
      <c r="L89" s="85" t="n"/>
      <c r="M89" s="85" t="n"/>
      <c r="N89" s="85" t="n"/>
      <c r="O89" s="85" t="n"/>
      <c r="P89" s="85" t="n"/>
      <c r="Q89" s="85" t="n"/>
      <c r="R89" s="85" t="n"/>
      <c r="S89" s="85" t="n"/>
      <c r="T89" s="85" t="n"/>
      <c r="U89" s="85" t="n"/>
      <c r="V89" s="85" t="n"/>
      <c r="W89" s="85" t="n"/>
      <c r="X89" s="85" t="n"/>
      <c r="Y89" s="85" t="n"/>
      <c r="Z89" s="85" t="n"/>
      <c r="AA89" s="85" t="n"/>
      <c r="AB89" s="85" t="n"/>
      <c r="AC89" s="85" t="n"/>
      <c r="AD89" s="85" t="n"/>
      <c r="AE89" s="85" t="n"/>
      <c r="AF89" s="86" t="n"/>
      <c r="AG89" s="86" t="n"/>
      <c r="AH89" s="86" t="n"/>
      <c r="AI89" s="85" t="n"/>
      <c r="AJ89" s="85" t="n"/>
      <c r="AK89" s="85">
        <f>IF($A89="","",IF($M89&gt;0,"Yes","No"))</f>
        <v/>
      </c>
      <c r="AL89" s="85">
        <f>IF($A89="","",IF(AND($E89="Yes",OR($Y89="No",$Y89="NOT FOUND")),"YES",""))</f>
        <v/>
      </c>
      <c r="AM89" s="85">
        <f>IF($A89="","",TRIM(IF(AND($P89=0,$I89&lt;&gt;"Yes"),"T0-NoPhishResistant ","")&amp;IF($H89="No","NoMFA ","")&amp;IF(AND($P89=0,$M89&gt;0),"T0-Standing ","")&amp;IF(AND($P89=0,$Q89="Group only"),"T0-ViaGroupOnly ","")&amp;IF($W89="Yes","AlsoAzureRBAC ","")))</f>
        <v/>
      </c>
      <c r="AN89" s="85">
        <f>IF($A89="","",IF(AG89="","Not Enrolled",IF(TODAY()&gt;AG89,"Review Overdue",IF(AG89-TODAY()&lt;=30,"Review Due Soon","Active"))))</f>
        <v/>
      </c>
      <c r="AO89" s="85">
        <f>IF($A89="","",IF(AH89="","NOT REVIEWED",IF(TODAY()-AH89&gt;90,"OVERDUE",IF(TODAY()-AH89&gt;76,"Due Soon","Current"))))</f>
        <v/>
      </c>
    </row>
    <row r="90" ht="15" customHeight="1" s="39">
      <c r="A90" s="85" t="n"/>
      <c r="B90" s="85" t="n"/>
      <c r="C90" s="85" t="n"/>
      <c r="D90" s="85" t="n"/>
      <c r="E90" s="85" t="n"/>
      <c r="F90" s="86" t="n"/>
      <c r="G90" s="86" t="n"/>
      <c r="H90" s="85" t="n"/>
      <c r="I90" s="85" t="n"/>
      <c r="J90" s="85" t="n"/>
      <c r="K90" s="85" t="n"/>
      <c r="L90" s="85" t="n"/>
      <c r="M90" s="85" t="n"/>
      <c r="N90" s="85" t="n"/>
      <c r="O90" s="85" t="n"/>
      <c r="P90" s="85" t="n"/>
      <c r="Q90" s="85" t="n"/>
      <c r="R90" s="85" t="n"/>
      <c r="S90" s="85" t="n"/>
      <c r="T90" s="85" t="n"/>
      <c r="U90" s="85" t="n"/>
      <c r="V90" s="85" t="n"/>
      <c r="W90" s="85" t="n"/>
      <c r="X90" s="85" t="n"/>
      <c r="Y90" s="85" t="n"/>
      <c r="Z90" s="85" t="n"/>
      <c r="AA90" s="85" t="n"/>
      <c r="AB90" s="85" t="n"/>
      <c r="AC90" s="85" t="n"/>
      <c r="AD90" s="85" t="n"/>
      <c r="AE90" s="85" t="n"/>
      <c r="AF90" s="86" t="n"/>
      <c r="AG90" s="86" t="n"/>
      <c r="AH90" s="86" t="n"/>
      <c r="AI90" s="85" t="n"/>
      <c r="AJ90" s="85" t="n"/>
      <c r="AK90" s="85">
        <f>IF($A90="","",IF($M90&gt;0,"Yes","No"))</f>
        <v/>
      </c>
      <c r="AL90" s="85">
        <f>IF($A90="","",IF(AND($E90="Yes",OR($Y90="No",$Y90="NOT FOUND")),"YES",""))</f>
        <v/>
      </c>
      <c r="AM90" s="85">
        <f>IF($A90="","",TRIM(IF(AND($P90=0,$I90&lt;&gt;"Yes"),"T0-NoPhishResistant ","")&amp;IF($H90="No","NoMFA ","")&amp;IF(AND($P90=0,$M90&gt;0),"T0-Standing ","")&amp;IF(AND($P90=0,$Q90="Group only"),"T0-ViaGroupOnly ","")&amp;IF($W90="Yes","AlsoAzureRBAC ","")))</f>
        <v/>
      </c>
      <c r="AN90" s="85">
        <f>IF($A90="","",IF(AG90="","Not Enrolled",IF(TODAY()&gt;AG90,"Review Overdue",IF(AG90-TODAY()&lt;=30,"Review Due Soon","Active"))))</f>
        <v/>
      </c>
      <c r="AO90" s="85">
        <f>IF($A90="","",IF(AH90="","NOT REVIEWED",IF(TODAY()-AH90&gt;90,"OVERDUE",IF(TODAY()-AH90&gt;76,"Due Soon","Current"))))</f>
        <v/>
      </c>
    </row>
    <row r="91" ht="15" customHeight="1" s="39">
      <c r="A91" s="85" t="n"/>
      <c r="B91" s="85" t="n"/>
      <c r="C91" s="85" t="n"/>
      <c r="D91" s="85" t="n"/>
      <c r="E91" s="85" t="n"/>
      <c r="F91" s="86" t="n"/>
      <c r="G91" s="86" t="n"/>
      <c r="H91" s="85" t="n"/>
      <c r="I91" s="85" t="n"/>
      <c r="J91" s="85" t="n"/>
      <c r="K91" s="85" t="n"/>
      <c r="L91" s="85" t="n"/>
      <c r="M91" s="85" t="n"/>
      <c r="N91" s="85" t="n"/>
      <c r="O91" s="85" t="n"/>
      <c r="P91" s="85" t="n"/>
      <c r="Q91" s="85" t="n"/>
      <c r="R91" s="85" t="n"/>
      <c r="S91" s="85" t="n"/>
      <c r="T91" s="85" t="n"/>
      <c r="U91" s="85" t="n"/>
      <c r="V91" s="85" t="n"/>
      <c r="W91" s="85" t="n"/>
      <c r="X91" s="85" t="n"/>
      <c r="Y91" s="85" t="n"/>
      <c r="Z91" s="85" t="n"/>
      <c r="AA91" s="85" t="n"/>
      <c r="AB91" s="85" t="n"/>
      <c r="AC91" s="85" t="n"/>
      <c r="AD91" s="85" t="n"/>
      <c r="AE91" s="85" t="n"/>
      <c r="AF91" s="86" t="n"/>
      <c r="AG91" s="86" t="n"/>
      <c r="AH91" s="86" t="n"/>
      <c r="AI91" s="85" t="n"/>
      <c r="AJ91" s="85" t="n"/>
      <c r="AK91" s="85">
        <f>IF($A91="","",IF($M91&gt;0,"Yes","No"))</f>
        <v/>
      </c>
      <c r="AL91" s="85">
        <f>IF($A91="","",IF(AND($E91="Yes",OR($Y91="No",$Y91="NOT FOUND")),"YES",""))</f>
        <v/>
      </c>
      <c r="AM91" s="85">
        <f>IF($A91="","",TRIM(IF(AND($P91=0,$I91&lt;&gt;"Yes"),"T0-NoPhishResistant ","")&amp;IF($H91="No","NoMFA ","")&amp;IF(AND($P91=0,$M91&gt;0),"T0-Standing ","")&amp;IF(AND($P91=0,$Q91="Group only"),"T0-ViaGroupOnly ","")&amp;IF($W91="Yes","AlsoAzureRBAC ","")))</f>
        <v/>
      </c>
      <c r="AN91" s="85">
        <f>IF($A91="","",IF(AG91="","Not Enrolled",IF(TODAY()&gt;AG91,"Review Overdue",IF(AG91-TODAY()&lt;=30,"Review Due Soon","Active"))))</f>
        <v/>
      </c>
      <c r="AO91" s="85">
        <f>IF($A91="","",IF(AH91="","NOT REVIEWED",IF(TODAY()-AH91&gt;90,"OVERDUE",IF(TODAY()-AH91&gt;76,"Due Soon","Current"))))</f>
        <v/>
      </c>
    </row>
    <row r="92" ht="15" customHeight="1" s="39">
      <c r="A92" s="85" t="n"/>
      <c r="B92" s="85" t="n"/>
      <c r="C92" s="85" t="n"/>
      <c r="D92" s="85" t="n"/>
      <c r="E92" s="85" t="n"/>
      <c r="F92" s="86" t="n"/>
      <c r="G92" s="86" t="n"/>
      <c r="H92" s="85" t="n"/>
      <c r="I92" s="85" t="n"/>
      <c r="J92" s="85" t="n"/>
      <c r="K92" s="85" t="n"/>
      <c r="L92" s="85" t="n"/>
      <c r="M92" s="85" t="n"/>
      <c r="N92" s="85" t="n"/>
      <c r="O92" s="85" t="n"/>
      <c r="P92" s="85" t="n"/>
      <c r="Q92" s="85" t="n"/>
      <c r="R92" s="85" t="n"/>
      <c r="S92" s="85" t="n"/>
      <c r="T92" s="85" t="n"/>
      <c r="U92" s="85" t="n"/>
      <c r="V92" s="85" t="n"/>
      <c r="W92" s="85" t="n"/>
      <c r="X92" s="85" t="n"/>
      <c r="Y92" s="85" t="n"/>
      <c r="Z92" s="85" t="n"/>
      <c r="AA92" s="85" t="n"/>
      <c r="AB92" s="85" t="n"/>
      <c r="AC92" s="85" t="n"/>
      <c r="AD92" s="85" t="n"/>
      <c r="AE92" s="85" t="n"/>
      <c r="AF92" s="86" t="n"/>
      <c r="AG92" s="86" t="n"/>
      <c r="AH92" s="86" t="n"/>
      <c r="AI92" s="85" t="n"/>
      <c r="AJ92" s="85" t="n"/>
      <c r="AK92" s="85">
        <f>IF($A92="","",IF($M92&gt;0,"Yes","No"))</f>
        <v/>
      </c>
      <c r="AL92" s="85">
        <f>IF($A92="","",IF(AND($E92="Yes",OR($Y92="No",$Y92="NOT FOUND")),"YES",""))</f>
        <v/>
      </c>
      <c r="AM92" s="85">
        <f>IF($A92="","",TRIM(IF(AND($P92=0,$I92&lt;&gt;"Yes"),"T0-NoPhishResistant ","")&amp;IF($H92="No","NoMFA ","")&amp;IF(AND($P92=0,$M92&gt;0),"T0-Standing ","")&amp;IF(AND($P92=0,$Q92="Group only"),"T0-ViaGroupOnly ","")&amp;IF($W92="Yes","AlsoAzureRBAC ","")))</f>
        <v/>
      </c>
      <c r="AN92" s="85">
        <f>IF($A92="","",IF(AG92="","Not Enrolled",IF(TODAY()&gt;AG92,"Review Overdue",IF(AG92-TODAY()&lt;=30,"Review Due Soon","Active"))))</f>
        <v/>
      </c>
      <c r="AO92" s="85">
        <f>IF($A92="","",IF(AH92="","NOT REVIEWED",IF(TODAY()-AH92&gt;90,"OVERDUE",IF(TODAY()-AH92&gt;76,"Due Soon","Current"))))</f>
        <v/>
      </c>
    </row>
    <row r="93" ht="15" customHeight="1" s="39">
      <c r="A93" s="85" t="n"/>
      <c r="B93" s="85" t="n"/>
      <c r="C93" s="85" t="n"/>
      <c r="D93" s="85" t="n"/>
      <c r="E93" s="85" t="n"/>
      <c r="F93" s="86" t="n"/>
      <c r="G93" s="86" t="n"/>
      <c r="H93" s="85" t="n"/>
      <c r="I93" s="85" t="n"/>
      <c r="J93" s="85" t="n"/>
      <c r="K93" s="85" t="n"/>
      <c r="L93" s="85" t="n"/>
      <c r="M93" s="85" t="n"/>
      <c r="N93" s="85" t="n"/>
      <c r="O93" s="85" t="n"/>
      <c r="P93" s="85" t="n"/>
      <c r="Q93" s="85" t="n"/>
      <c r="R93" s="85" t="n"/>
      <c r="S93" s="85" t="n"/>
      <c r="T93" s="85" t="n"/>
      <c r="U93" s="85" t="n"/>
      <c r="V93" s="85" t="n"/>
      <c r="W93" s="85" t="n"/>
      <c r="X93" s="85" t="n"/>
      <c r="Y93" s="85" t="n"/>
      <c r="Z93" s="85" t="n"/>
      <c r="AA93" s="85" t="n"/>
      <c r="AB93" s="85" t="n"/>
      <c r="AC93" s="85" t="n"/>
      <c r="AD93" s="85" t="n"/>
      <c r="AE93" s="85" t="n"/>
      <c r="AF93" s="86" t="n"/>
      <c r="AG93" s="86" t="n"/>
      <c r="AH93" s="86" t="n"/>
      <c r="AI93" s="85" t="n"/>
      <c r="AJ93" s="85" t="n"/>
      <c r="AK93" s="85">
        <f>IF($A93="","",IF($M93&gt;0,"Yes","No"))</f>
        <v/>
      </c>
      <c r="AL93" s="85">
        <f>IF($A93="","",IF(AND($E93="Yes",OR($Y93="No",$Y93="NOT FOUND")),"YES",""))</f>
        <v/>
      </c>
      <c r="AM93" s="85">
        <f>IF($A93="","",TRIM(IF(AND($P93=0,$I93&lt;&gt;"Yes"),"T0-NoPhishResistant ","")&amp;IF($H93="No","NoMFA ","")&amp;IF(AND($P93=0,$M93&gt;0),"T0-Standing ","")&amp;IF(AND($P93=0,$Q93="Group only"),"T0-ViaGroupOnly ","")&amp;IF($W93="Yes","AlsoAzureRBAC ","")))</f>
        <v/>
      </c>
      <c r="AN93" s="85">
        <f>IF($A93="","",IF(AG93="","Not Enrolled",IF(TODAY()&gt;AG93,"Review Overdue",IF(AG93-TODAY()&lt;=30,"Review Due Soon","Active"))))</f>
        <v/>
      </c>
      <c r="AO93" s="85">
        <f>IF($A93="","",IF(AH93="","NOT REVIEWED",IF(TODAY()-AH93&gt;90,"OVERDUE",IF(TODAY()-AH93&gt;76,"Due Soon","Current"))))</f>
        <v/>
      </c>
    </row>
    <row r="94" ht="15" customHeight="1" s="39">
      <c r="A94" s="85" t="n"/>
      <c r="B94" s="85" t="n"/>
      <c r="C94" s="85" t="n"/>
      <c r="D94" s="85" t="n"/>
      <c r="E94" s="85" t="n"/>
      <c r="F94" s="86" t="n"/>
      <c r="G94" s="86" t="n"/>
      <c r="H94" s="85" t="n"/>
      <c r="I94" s="85" t="n"/>
      <c r="J94" s="85" t="n"/>
      <c r="K94" s="85" t="n"/>
      <c r="L94" s="85" t="n"/>
      <c r="M94" s="85" t="n"/>
      <c r="N94" s="85" t="n"/>
      <c r="O94" s="85" t="n"/>
      <c r="P94" s="85" t="n"/>
      <c r="Q94" s="85" t="n"/>
      <c r="R94" s="85" t="n"/>
      <c r="S94" s="85" t="n"/>
      <c r="T94" s="85" t="n"/>
      <c r="U94" s="85" t="n"/>
      <c r="V94" s="85" t="n"/>
      <c r="W94" s="85" t="n"/>
      <c r="X94" s="85" t="n"/>
      <c r="Y94" s="85" t="n"/>
      <c r="Z94" s="85" t="n"/>
      <c r="AA94" s="85" t="n"/>
      <c r="AB94" s="85" t="n"/>
      <c r="AC94" s="85" t="n"/>
      <c r="AD94" s="85" t="n"/>
      <c r="AE94" s="85" t="n"/>
      <c r="AF94" s="86" t="n"/>
      <c r="AG94" s="86" t="n"/>
      <c r="AH94" s="86" t="n"/>
      <c r="AI94" s="85" t="n"/>
      <c r="AJ94" s="85" t="n"/>
      <c r="AK94" s="85">
        <f>IF($A94="","",IF($M94&gt;0,"Yes","No"))</f>
        <v/>
      </c>
      <c r="AL94" s="85">
        <f>IF($A94="","",IF(AND($E94="Yes",OR($Y94="No",$Y94="NOT FOUND")),"YES",""))</f>
        <v/>
      </c>
      <c r="AM94" s="85">
        <f>IF($A94="","",TRIM(IF(AND($P94=0,$I94&lt;&gt;"Yes"),"T0-NoPhishResistant ","")&amp;IF($H94="No","NoMFA ","")&amp;IF(AND($P94=0,$M94&gt;0),"T0-Standing ","")&amp;IF(AND($P94=0,$Q94="Group only"),"T0-ViaGroupOnly ","")&amp;IF($W94="Yes","AlsoAzureRBAC ","")))</f>
        <v/>
      </c>
      <c r="AN94" s="85">
        <f>IF($A94="","",IF(AG94="","Not Enrolled",IF(TODAY()&gt;AG94,"Review Overdue",IF(AG94-TODAY()&lt;=30,"Review Due Soon","Active"))))</f>
        <v/>
      </c>
      <c r="AO94" s="85">
        <f>IF($A94="","",IF(AH94="","NOT REVIEWED",IF(TODAY()-AH94&gt;90,"OVERDUE",IF(TODAY()-AH94&gt;76,"Due Soon","Current"))))</f>
        <v/>
      </c>
    </row>
    <row r="95" ht="15" customHeight="1" s="39">
      <c r="A95" s="85" t="n"/>
      <c r="B95" s="85" t="n"/>
      <c r="C95" s="85" t="n"/>
      <c r="D95" s="85" t="n"/>
      <c r="E95" s="85" t="n"/>
      <c r="F95" s="86" t="n"/>
      <c r="G95" s="86" t="n"/>
      <c r="H95" s="85" t="n"/>
      <c r="I95" s="85" t="n"/>
      <c r="J95" s="85" t="n"/>
      <c r="K95" s="85" t="n"/>
      <c r="L95" s="85" t="n"/>
      <c r="M95" s="85" t="n"/>
      <c r="N95" s="85" t="n"/>
      <c r="O95" s="85" t="n"/>
      <c r="P95" s="85" t="n"/>
      <c r="Q95" s="85" t="n"/>
      <c r="R95" s="85" t="n"/>
      <c r="S95" s="85" t="n"/>
      <c r="T95" s="85" t="n"/>
      <c r="U95" s="85" t="n"/>
      <c r="V95" s="85" t="n"/>
      <c r="W95" s="85" t="n"/>
      <c r="X95" s="85" t="n"/>
      <c r="Y95" s="85" t="n"/>
      <c r="Z95" s="85" t="n"/>
      <c r="AA95" s="85" t="n"/>
      <c r="AB95" s="85" t="n"/>
      <c r="AC95" s="85" t="n"/>
      <c r="AD95" s="85" t="n"/>
      <c r="AE95" s="85" t="n"/>
      <c r="AF95" s="86" t="n"/>
      <c r="AG95" s="86" t="n"/>
      <c r="AH95" s="86" t="n"/>
      <c r="AI95" s="85" t="n"/>
      <c r="AJ95" s="85" t="n"/>
      <c r="AK95" s="85">
        <f>IF($A95="","",IF($M95&gt;0,"Yes","No"))</f>
        <v/>
      </c>
      <c r="AL95" s="85">
        <f>IF($A95="","",IF(AND($E95="Yes",OR($Y95="No",$Y95="NOT FOUND")),"YES",""))</f>
        <v/>
      </c>
      <c r="AM95" s="85">
        <f>IF($A95="","",TRIM(IF(AND($P95=0,$I95&lt;&gt;"Yes"),"T0-NoPhishResistant ","")&amp;IF($H95="No","NoMFA ","")&amp;IF(AND($P95=0,$M95&gt;0),"T0-Standing ","")&amp;IF(AND($P95=0,$Q95="Group only"),"T0-ViaGroupOnly ","")&amp;IF($W95="Yes","AlsoAzureRBAC ","")))</f>
        <v/>
      </c>
      <c r="AN95" s="85">
        <f>IF($A95="","",IF(AG95="","Not Enrolled",IF(TODAY()&gt;AG95,"Review Overdue",IF(AG95-TODAY()&lt;=30,"Review Due Soon","Active"))))</f>
        <v/>
      </c>
      <c r="AO95" s="85">
        <f>IF($A95="","",IF(AH95="","NOT REVIEWED",IF(TODAY()-AH95&gt;90,"OVERDUE",IF(TODAY()-AH95&gt;76,"Due Soon","Current"))))</f>
        <v/>
      </c>
    </row>
    <row r="96" ht="15" customHeight="1" s="39">
      <c r="A96" s="85" t="n"/>
      <c r="B96" s="85" t="n"/>
      <c r="C96" s="85" t="n"/>
      <c r="D96" s="85" t="n"/>
      <c r="E96" s="85" t="n"/>
      <c r="F96" s="86" t="n"/>
      <c r="G96" s="86" t="n"/>
      <c r="H96" s="85" t="n"/>
      <c r="I96" s="85" t="n"/>
      <c r="J96" s="85" t="n"/>
      <c r="K96" s="85" t="n"/>
      <c r="L96" s="85" t="n"/>
      <c r="M96" s="85" t="n"/>
      <c r="N96" s="85" t="n"/>
      <c r="O96" s="85" t="n"/>
      <c r="P96" s="85" t="n"/>
      <c r="Q96" s="85" t="n"/>
      <c r="R96" s="85" t="n"/>
      <c r="S96" s="85" t="n"/>
      <c r="T96" s="85" t="n"/>
      <c r="U96" s="85" t="n"/>
      <c r="V96" s="85" t="n"/>
      <c r="W96" s="85" t="n"/>
      <c r="X96" s="85" t="n"/>
      <c r="Y96" s="85" t="n"/>
      <c r="Z96" s="85" t="n"/>
      <c r="AA96" s="85" t="n"/>
      <c r="AB96" s="85" t="n"/>
      <c r="AC96" s="85" t="n"/>
      <c r="AD96" s="85" t="n"/>
      <c r="AE96" s="85" t="n"/>
      <c r="AF96" s="86" t="n"/>
      <c r="AG96" s="86" t="n"/>
      <c r="AH96" s="86" t="n"/>
      <c r="AI96" s="85" t="n"/>
      <c r="AJ96" s="85" t="n"/>
      <c r="AK96" s="85">
        <f>IF($A96="","",IF($M96&gt;0,"Yes","No"))</f>
        <v/>
      </c>
      <c r="AL96" s="85">
        <f>IF($A96="","",IF(AND($E96="Yes",OR($Y96="No",$Y96="NOT FOUND")),"YES",""))</f>
        <v/>
      </c>
      <c r="AM96" s="85">
        <f>IF($A96="","",TRIM(IF(AND($P96=0,$I96&lt;&gt;"Yes"),"T0-NoPhishResistant ","")&amp;IF($H96="No","NoMFA ","")&amp;IF(AND($P96=0,$M96&gt;0),"T0-Standing ","")&amp;IF(AND($P96=0,$Q96="Group only"),"T0-ViaGroupOnly ","")&amp;IF($W96="Yes","AlsoAzureRBAC ","")))</f>
        <v/>
      </c>
      <c r="AN96" s="85">
        <f>IF($A96="","",IF(AG96="","Not Enrolled",IF(TODAY()&gt;AG96,"Review Overdue",IF(AG96-TODAY()&lt;=30,"Review Due Soon","Active"))))</f>
        <v/>
      </c>
      <c r="AO96" s="85">
        <f>IF($A96="","",IF(AH96="","NOT REVIEWED",IF(TODAY()-AH96&gt;90,"OVERDUE",IF(TODAY()-AH96&gt;76,"Due Soon","Current"))))</f>
        <v/>
      </c>
    </row>
    <row r="97" ht="15" customHeight="1" s="39">
      <c r="A97" s="85" t="n"/>
      <c r="B97" s="85" t="n"/>
      <c r="C97" s="85" t="n"/>
      <c r="D97" s="85" t="n"/>
      <c r="E97" s="85" t="n"/>
      <c r="F97" s="86" t="n"/>
      <c r="G97" s="86" t="n"/>
      <c r="H97" s="85" t="n"/>
      <c r="I97" s="85" t="n"/>
      <c r="J97" s="85" t="n"/>
      <c r="K97" s="85" t="n"/>
      <c r="L97" s="85" t="n"/>
      <c r="M97" s="85" t="n"/>
      <c r="N97" s="85" t="n"/>
      <c r="O97" s="85" t="n"/>
      <c r="P97" s="85" t="n"/>
      <c r="Q97" s="85" t="n"/>
      <c r="R97" s="85" t="n"/>
      <c r="S97" s="85" t="n"/>
      <c r="T97" s="85" t="n"/>
      <c r="U97" s="85" t="n"/>
      <c r="V97" s="85" t="n"/>
      <c r="W97" s="85" t="n"/>
      <c r="X97" s="85" t="n"/>
      <c r="Y97" s="85" t="n"/>
      <c r="Z97" s="85" t="n"/>
      <c r="AA97" s="85" t="n"/>
      <c r="AB97" s="85" t="n"/>
      <c r="AC97" s="85" t="n"/>
      <c r="AD97" s="85" t="n"/>
      <c r="AE97" s="85" t="n"/>
      <c r="AF97" s="86" t="n"/>
      <c r="AG97" s="86" t="n"/>
      <c r="AH97" s="86" t="n"/>
      <c r="AI97" s="85" t="n"/>
      <c r="AJ97" s="85" t="n"/>
      <c r="AK97" s="85">
        <f>IF($A97="","",IF($M97&gt;0,"Yes","No"))</f>
        <v/>
      </c>
      <c r="AL97" s="85">
        <f>IF($A97="","",IF(AND($E97="Yes",OR($Y97="No",$Y97="NOT FOUND")),"YES",""))</f>
        <v/>
      </c>
      <c r="AM97" s="85">
        <f>IF($A97="","",TRIM(IF(AND($P97=0,$I97&lt;&gt;"Yes"),"T0-NoPhishResistant ","")&amp;IF($H97="No","NoMFA ","")&amp;IF(AND($P97=0,$M97&gt;0),"T0-Standing ","")&amp;IF(AND($P97=0,$Q97="Group only"),"T0-ViaGroupOnly ","")&amp;IF($W97="Yes","AlsoAzureRBAC ","")))</f>
        <v/>
      </c>
      <c r="AN97" s="85">
        <f>IF($A97="","",IF(AG97="","Not Enrolled",IF(TODAY()&gt;AG97,"Review Overdue",IF(AG97-TODAY()&lt;=30,"Review Due Soon","Active"))))</f>
        <v/>
      </c>
      <c r="AO97" s="85">
        <f>IF($A97="","",IF(AH97="","NOT REVIEWED",IF(TODAY()-AH97&gt;90,"OVERDUE",IF(TODAY()-AH97&gt;76,"Due Soon","Current"))))</f>
        <v/>
      </c>
    </row>
    <row r="98" ht="15" customHeight="1" s="39">
      <c r="A98" s="85" t="n"/>
      <c r="B98" s="85" t="n"/>
      <c r="C98" s="85" t="n"/>
      <c r="D98" s="85" t="n"/>
      <c r="E98" s="85" t="n"/>
      <c r="F98" s="86" t="n"/>
      <c r="G98" s="86" t="n"/>
      <c r="H98" s="85" t="n"/>
      <c r="I98" s="85" t="n"/>
      <c r="J98" s="85" t="n"/>
      <c r="K98" s="85" t="n"/>
      <c r="L98" s="85" t="n"/>
      <c r="M98" s="85" t="n"/>
      <c r="N98" s="85" t="n"/>
      <c r="O98" s="85" t="n"/>
      <c r="P98" s="85" t="n"/>
      <c r="Q98" s="85" t="n"/>
      <c r="R98" s="85" t="n"/>
      <c r="S98" s="85" t="n"/>
      <c r="T98" s="85" t="n"/>
      <c r="U98" s="85" t="n"/>
      <c r="V98" s="85" t="n"/>
      <c r="W98" s="85" t="n"/>
      <c r="X98" s="85" t="n"/>
      <c r="Y98" s="85" t="n"/>
      <c r="Z98" s="85" t="n"/>
      <c r="AA98" s="85" t="n"/>
      <c r="AB98" s="85" t="n"/>
      <c r="AC98" s="85" t="n"/>
      <c r="AD98" s="85" t="n"/>
      <c r="AE98" s="85" t="n"/>
      <c r="AF98" s="86" t="n"/>
      <c r="AG98" s="86" t="n"/>
      <c r="AH98" s="86" t="n"/>
      <c r="AI98" s="85" t="n"/>
      <c r="AJ98" s="85" t="n"/>
      <c r="AK98" s="85">
        <f>IF($A98="","",IF($M98&gt;0,"Yes","No"))</f>
        <v/>
      </c>
      <c r="AL98" s="85">
        <f>IF($A98="","",IF(AND($E98="Yes",OR($Y98="No",$Y98="NOT FOUND")),"YES",""))</f>
        <v/>
      </c>
      <c r="AM98" s="85">
        <f>IF($A98="","",TRIM(IF(AND($P98=0,$I98&lt;&gt;"Yes"),"T0-NoPhishResistant ","")&amp;IF($H98="No","NoMFA ","")&amp;IF(AND($P98=0,$M98&gt;0),"T0-Standing ","")&amp;IF(AND($P98=0,$Q98="Group only"),"T0-ViaGroupOnly ","")&amp;IF($W98="Yes","AlsoAzureRBAC ","")))</f>
        <v/>
      </c>
      <c r="AN98" s="85">
        <f>IF($A98="","",IF(AG98="","Not Enrolled",IF(TODAY()&gt;AG98,"Review Overdue",IF(AG98-TODAY()&lt;=30,"Review Due Soon","Active"))))</f>
        <v/>
      </c>
      <c r="AO98" s="85">
        <f>IF($A98="","",IF(AH98="","NOT REVIEWED",IF(TODAY()-AH98&gt;90,"OVERDUE",IF(TODAY()-AH98&gt;76,"Due Soon","Current"))))</f>
        <v/>
      </c>
    </row>
    <row r="99" ht="15" customHeight="1" s="39">
      <c r="A99" s="85" t="n"/>
      <c r="B99" s="85" t="n"/>
      <c r="C99" s="85" t="n"/>
      <c r="D99" s="85" t="n"/>
      <c r="E99" s="85" t="n"/>
      <c r="F99" s="86" t="n"/>
      <c r="G99" s="86" t="n"/>
      <c r="H99" s="85" t="n"/>
      <c r="I99" s="85" t="n"/>
      <c r="J99" s="85" t="n"/>
      <c r="K99" s="85" t="n"/>
      <c r="L99" s="85" t="n"/>
      <c r="M99" s="85" t="n"/>
      <c r="N99" s="85" t="n"/>
      <c r="O99" s="85" t="n"/>
      <c r="P99" s="85" t="n"/>
      <c r="Q99" s="85" t="n"/>
      <c r="R99" s="85" t="n"/>
      <c r="S99" s="85" t="n"/>
      <c r="T99" s="85" t="n"/>
      <c r="U99" s="85" t="n"/>
      <c r="V99" s="85" t="n"/>
      <c r="W99" s="85" t="n"/>
      <c r="X99" s="85" t="n"/>
      <c r="Y99" s="85" t="n"/>
      <c r="Z99" s="85" t="n"/>
      <c r="AA99" s="85" t="n"/>
      <c r="AB99" s="85" t="n"/>
      <c r="AC99" s="85" t="n"/>
      <c r="AD99" s="85" t="n"/>
      <c r="AE99" s="85" t="n"/>
      <c r="AF99" s="86" t="n"/>
      <c r="AG99" s="86" t="n"/>
      <c r="AH99" s="86" t="n"/>
      <c r="AI99" s="85" t="n"/>
      <c r="AJ99" s="85" t="n"/>
      <c r="AK99" s="85">
        <f>IF($A99="","",IF($M99&gt;0,"Yes","No"))</f>
        <v/>
      </c>
      <c r="AL99" s="85">
        <f>IF($A99="","",IF(AND($E99="Yes",OR($Y99="No",$Y99="NOT FOUND")),"YES",""))</f>
        <v/>
      </c>
      <c r="AM99" s="85">
        <f>IF($A99="","",TRIM(IF(AND($P99=0,$I99&lt;&gt;"Yes"),"T0-NoPhishResistant ","")&amp;IF($H99="No","NoMFA ","")&amp;IF(AND($P99=0,$M99&gt;0),"T0-Standing ","")&amp;IF(AND($P99=0,$Q99="Group only"),"T0-ViaGroupOnly ","")&amp;IF($W99="Yes","AlsoAzureRBAC ","")))</f>
        <v/>
      </c>
      <c r="AN99" s="85">
        <f>IF($A99="","",IF(AG99="","Not Enrolled",IF(TODAY()&gt;AG99,"Review Overdue",IF(AG99-TODAY()&lt;=30,"Review Due Soon","Active"))))</f>
        <v/>
      </c>
      <c r="AO99" s="85">
        <f>IF($A99="","",IF(AH99="","NOT REVIEWED",IF(TODAY()-AH99&gt;90,"OVERDUE",IF(TODAY()-AH99&gt;76,"Due Soon","Current"))))</f>
        <v/>
      </c>
    </row>
    <row r="100" ht="15" customHeight="1" s="39">
      <c r="A100" s="85" t="n"/>
      <c r="B100" s="85" t="n"/>
      <c r="C100" s="85" t="n"/>
      <c r="D100" s="85" t="n"/>
      <c r="E100" s="85" t="n"/>
      <c r="F100" s="86" t="n"/>
      <c r="G100" s="86" t="n"/>
      <c r="H100" s="85" t="n"/>
      <c r="I100" s="85" t="n"/>
      <c r="J100" s="85" t="n"/>
      <c r="K100" s="85" t="n"/>
      <c r="L100" s="85" t="n"/>
      <c r="M100" s="85" t="n"/>
      <c r="N100" s="85" t="n"/>
      <c r="O100" s="85" t="n"/>
      <c r="P100" s="85" t="n"/>
      <c r="Q100" s="85" t="n"/>
      <c r="R100" s="85" t="n"/>
      <c r="S100" s="85" t="n"/>
      <c r="T100" s="85" t="n"/>
      <c r="U100" s="85" t="n"/>
      <c r="V100" s="85" t="n"/>
      <c r="W100" s="85" t="n"/>
      <c r="X100" s="85" t="n"/>
      <c r="Y100" s="85" t="n"/>
      <c r="Z100" s="85" t="n"/>
      <c r="AA100" s="85" t="n"/>
      <c r="AB100" s="85" t="n"/>
      <c r="AC100" s="85" t="n"/>
      <c r="AD100" s="85" t="n"/>
      <c r="AE100" s="85" t="n"/>
      <c r="AF100" s="86" t="n"/>
      <c r="AG100" s="86" t="n"/>
      <c r="AH100" s="86" t="n"/>
      <c r="AI100" s="85" t="n"/>
      <c r="AJ100" s="85" t="n"/>
      <c r="AK100" s="85">
        <f>IF($A100="","",IF($M100&gt;0,"Yes","No"))</f>
        <v/>
      </c>
      <c r="AL100" s="85">
        <f>IF($A100="","",IF(AND($E100="Yes",OR($Y100="No",$Y100="NOT FOUND")),"YES",""))</f>
        <v/>
      </c>
      <c r="AM100" s="85">
        <f>IF($A100="","",TRIM(IF(AND($P100=0,$I100&lt;&gt;"Yes"),"T0-NoPhishResistant ","")&amp;IF($H100="No","NoMFA ","")&amp;IF(AND($P100=0,$M100&gt;0),"T0-Standing ","")&amp;IF(AND($P100=0,$Q100="Group only"),"T0-ViaGroupOnly ","")&amp;IF($W100="Yes","AlsoAzureRBAC ","")))</f>
        <v/>
      </c>
      <c r="AN100" s="85">
        <f>IF($A100="","",IF(AG100="","Not Enrolled",IF(TODAY()&gt;AG100,"Review Overdue",IF(AG100-TODAY()&lt;=30,"Review Due Soon","Active"))))</f>
        <v/>
      </c>
      <c r="AO100" s="85">
        <f>IF($A100="","",IF(AH100="","NOT REVIEWED",IF(TODAY()-AH100&gt;90,"OVERDUE",IF(TODAY()-AH100&gt;76,"Due Soon","Current"))))</f>
        <v/>
      </c>
    </row>
    <row r="101" ht="15" customHeight="1" s="39">
      <c r="A101" s="85" t="n"/>
      <c r="B101" s="85" t="n"/>
      <c r="C101" s="85" t="n"/>
      <c r="D101" s="85" t="n"/>
      <c r="E101" s="85" t="n"/>
      <c r="F101" s="86" t="n"/>
      <c r="G101" s="86" t="n"/>
      <c r="H101" s="85" t="n"/>
      <c r="I101" s="85" t="n"/>
      <c r="J101" s="85" t="n"/>
      <c r="K101" s="85" t="n"/>
      <c r="L101" s="85" t="n"/>
      <c r="M101" s="85" t="n"/>
      <c r="N101" s="85" t="n"/>
      <c r="O101" s="85" t="n"/>
      <c r="P101" s="85" t="n"/>
      <c r="Q101" s="85" t="n"/>
      <c r="R101" s="85" t="n"/>
      <c r="S101" s="85" t="n"/>
      <c r="T101" s="85" t="n"/>
      <c r="U101" s="85" t="n"/>
      <c r="V101" s="85" t="n"/>
      <c r="W101" s="85" t="n"/>
      <c r="X101" s="85" t="n"/>
      <c r="Y101" s="85" t="n"/>
      <c r="Z101" s="85" t="n"/>
      <c r="AA101" s="85" t="n"/>
      <c r="AB101" s="85" t="n"/>
      <c r="AC101" s="85" t="n"/>
      <c r="AD101" s="85" t="n"/>
      <c r="AE101" s="85" t="n"/>
      <c r="AF101" s="86" t="n"/>
      <c r="AG101" s="86" t="n"/>
      <c r="AH101" s="86" t="n"/>
      <c r="AI101" s="85" t="n"/>
      <c r="AJ101" s="85" t="n"/>
      <c r="AK101" s="85">
        <f>IF($A101="","",IF($M101&gt;0,"Yes","No"))</f>
        <v/>
      </c>
      <c r="AL101" s="85">
        <f>IF($A101="","",IF(AND($E101="Yes",OR($Y101="No",$Y101="NOT FOUND")),"YES",""))</f>
        <v/>
      </c>
      <c r="AM101" s="85">
        <f>IF($A101="","",TRIM(IF(AND($P101=0,$I101&lt;&gt;"Yes"),"T0-NoPhishResistant ","")&amp;IF($H101="No","NoMFA ","")&amp;IF(AND($P101=0,$M101&gt;0),"T0-Standing ","")&amp;IF(AND($P101=0,$Q101="Group only"),"T0-ViaGroupOnly ","")&amp;IF($W101="Yes","AlsoAzureRBAC ","")))</f>
        <v/>
      </c>
      <c r="AN101" s="85">
        <f>IF($A101="","",IF(AG101="","Not Enrolled",IF(TODAY()&gt;AG101,"Review Overdue",IF(AG101-TODAY()&lt;=30,"Review Due Soon","Active"))))</f>
        <v/>
      </c>
      <c r="AO101" s="85">
        <f>IF($A101="","",IF(AH101="","NOT REVIEWED",IF(TODAY()-AH101&gt;90,"OVERDUE",IF(TODAY()-AH101&gt;76,"Due Soon","Current"))))</f>
        <v/>
      </c>
    </row>
    <row r="102" ht="15" customHeight="1" s="39">
      <c r="A102" s="85" t="n"/>
      <c r="B102" s="85" t="n"/>
      <c r="C102" s="85" t="n"/>
      <c r="D102" s="85" t="n"/>
      <c r="E102" s="85" t="n"/>
      <c r="F102" s="86" t="n"/>
      <c r="G102" s="86" t="n"/>
      <c r="H102" s="85" t="n"/>
      <c r="I102" s="85" t="n"/>
      <c r="J102" s="85" t="n"/>
      <c r="K102" s="85" t="n"/>
      <c r="L102" s="85" t="n"/>
      <c r="M102" s="85" t="n"/>
      <c r="N102" s="85" t="n"/>
      <c r="O102" s="85" t="n"/>
      <c r="P102" s="85" t="n"/>
      <c r="Q102" s="85" t="n"/>
      <c r="R102" s="85" t="n"/>
      <c r="S102" s="85" t="n"/>
      <c r="T102" s="85" t="n"/>
      <c r="U102" s="85" t="n"/>
      <c r="V102" s="85" t="n"/>
      <c r="W102" s="85" t="n"/>
      <c r="X102" s="85" t="n"/>
      <c r="Y102" s="85" t="n"/>
      <c r="Z102" s="85" t="n"/>
      <c r="AA102" s="85" t="n"/>
      <c r="AB102" s="85" t="n"/>
      <c r="AC102" s="85" t="n"/>
      <c r="AD102" s="85" t="n"/>
      <c r="AE102" s="85" t="n"/>
      <c r="AF102" s="86" t="n"/>
      <c r="AG102" s="86" t="n"/>
      <c r="AH102" s="86" t="n"/>
      <c r="AI102" s="85" t="n"/>
      <c r="AJ102" s="85" t="n"/>
      <c r="AK102" s="85">
        <f>IF($A102="","",IF($M102&gt;0,"Yes","No"))</f>
        <v/>
      </c>
      <c r="AL102" s="85">
        <f>IF($A102="","",IF(AND($E102="Yes",OR($Y102="No",$Y102="NOT FOUND")),"YES",""))</f>
        <v/>
      </c>
      <c r="AM102" s="85">
        <f>IF($A102="","",TRIM(IF(AND($P102=0,$I102&lt;&gt;"Yes"),"T0-NoPhishResistant ","")&amp;IF($H102="No","NoMFA ","")&amp;IF(AND($P102=0,$M102&gt;0),"T0-Standing ","")&amp;IF(AND($P102=0,$Q102="Group only"),"T0-ViaGroupOnly ","")&amp;IF($W102="Yes","AlsoAzureRBAC ","")))</f>
        <v/>
      </c>
      <c r="AN102" s="85">
        <f>IF($A102="","",IF(AG102="","Not Enrolled",IF(TODAY()&gt;AG102,"Review Overdue",IF(AG102-TODAY()&lt;=30,"Review Due Soon","Active"))))</f>
        <v/>
      </c>
      <c r="AO102" s="85">
        <f>IF($A102="","",IF(AH102="","NOT REVIEWED",IF(TODAY()-AH102&gt;90,"OVERDUE",IF(TODAY()-AH102&gt;76,"Due Soon","Current"))))</f>
        <v/>
      </c>
    </row>
    <row r="103" ht="15" customHeight="1" s="39">
      <c r="A103" s="85" t="n"/>
      <c r="B103" s="85" t="n"/>
      <c r="C103" s="85" t="n"/>
      <c r="D103" s="85" t="n"/>
      <c r="E103" s="85" t="n"/>
      <c r="F103" s="86" t="n"/>
      <c r="G103" s="86" t="n"/>
      <c r="H103" s="85" t="n"/>
      <c r="I103" s="85" t="n"/>
      <c r="J103" s="85" t="n"/>
      <c r="K103" s="85" t="n"/>
      <c r="L103" s="85" t="n"/>
      <c r="M103" s="85" t="n"/>
      <c r="N103" s="85" t="n"/>
      <c r="O103" s="85" t="n"/>
      <c r="P103" s="85" t="n"/>
      <c r="Q103" s="85" t="n"/>
      <c r="R103" s="85" t="n"/>
      <c r="S103" s="85" t="n"/>
      <c r="T103" s="85" t="n"/>
      <c r="U103" s="85" t="n"/>
      <c r="V103" s="85" t="n"/>
      <c r="W103" s="85" t="n"/>
      <c r="X103" s="85" t="n"/>
      <c r="Y103" s="85" t="n"/>
      <c r="Z103" s="85" t="n"/>
      <c r="AA103" s="85" t="n"/>
      <c r="AB103" s="85" t="n"/>
      <c r="AC103" s="85" t="n"/>
      <c r="AD103" s="85" t="n"/>
      <c r="AE103" s="85" t="n"/>
      <c r="AF103" s="86" t="n"/>
      <c r="AG103" s="86" t="n"/>
      <c r="AH103" s="86" t="n"/>
      <c r="AI103" s="85" t="n"/>
      <c r="AJ103" s="85" t="n"/>
      <c r="AK103" s="85">
        <f>IF($A103="","",IF($M103&gt;0,"Yes","No"))</f>
        <v/>
      </c>
      <c r="AL103" s="85">
        <f>IF($A103="","",IF(AND($E103="Yes",OR($Y103="No",$Y103="NOT FOUND")),"YES",""))</f>
        <v/>
      </c>
      <c r="AM103" s="85">
        <f>IF($A103="","",TRIM(IF(AND($P103=0,$I103&lt;&gt;"Yes"),"T0-NoPhishResistant ","")&amp;IF($H103="No","NoMFA ","")&amp;IF(AND($P103=0,$M103&gt;0),"T0-Standing ","")&amp;IF(AND($P103=0,$Q103="Group only"),"T0-ViaGroupOnly ","")&amp;IF($W103="Yes","AlsoAzureRBAC ","")))</f>
        <v/>
      </c>
      <c r="AN103" s="85">
        <f>IF($A103="","",IF(AG103="","Not Enrolled",IF(TODAY()&gt;AG103,"Review Overdue",IF(AG103-TODAY()&lt;=30,"Review Due Soon","Active"))))</f>
        <v/>
      </c>
      <c r="AO103" s="85">
        <f>IF($A103="","",IF(AH103="","NOT REVIEWED",IF(TODAY()-AH103&gt;90,"OVERDUE",IF(TODAY()-AH103&gt;76,"Due Soon","Current"))))</f>
        <v/>
      </c>
    </row>
    <row r="104" ht="15" customHeight="1" s="39">
      <c r="A104" s="85" t="n"/>
      <c r="B104" s="85" t="n"/>
      <c r="C104" s="85" t="n"/>
      <c r="D104" s="85" t="n"/>
      <c r="E104" s="85" t="n"/>
      <c r="F104" s="86" t="n"/>
      <c r="G104" s="86" t="n"/>
      <c r="H104" s="85" t="n"/>
      <c r="I104" s="85" t="n"/>
      <c r="J104" s="85" t="n"/>
      <c r="K104" s="85" t="n"/>
      <c r="L104" s="85" t="n"/>
      <c r="M104" s="85" t="n"/>
      <c r="N104" s="85" t="n"/>
      <c r="O104" s="85" t="n"/>
      <c r="P104" s="85" t="n"/>
      <c r="Q104" s="85" t="n"/>
      <c r="R104" s="85" t="n"/>
      <c r="S104" s="85" t="n"/>
      <c r="T104" s="85" t="n"/>
      <c r="U104" s="85" t="n"/>
      <c r="V104" s="85" t="n"/>
      <c r="W104" s="85" t="n"/>
      <c r="X104" s="85" t="n"/>
      <c r="Y104" s="85" t="n"/>
      <c r="Z104" s="85" t="n"/>
      <c r="AA104" s="85" t="n"/>
      <c r="AB104" s="85" t="n"/>
      <c r="AC104" s="85" t="n"/>
      <c r="AD104" s="85" t="n"/>
      <c r="AE104" s="85" t="n"/>
      <c r="AF104" s="86" t="n"/>
      <c r="AG104" s="86" t="n"/>
      <c r="AH104" s="86" t="n"/>
      <c r="AI104" s="85" t="n"/>
      <c r="AJ104" s="85" t="n"/>
      <c r="AK104" s="85">
        <f>IF($A104="","",IF($M104&gt;0,"Yes","No"))</f>
        <v/>
      </c>
      <c r="AL104" s="85">
        <f>IF($A104="","",IF(AND($E104="Yes",OR($Y104="No",$Y104="NOT FOUND")),"YES",""))</f>
        <v/>
      </c>
      <c r="AM104" s="85">
        <f>IF($A104="","",TRIM(IF(AND($P104=0,$I104&lt;&gt;"Yes"),"T0-NoPhishResistant ","")&amp;IF($H104="No","NoMFA ","")&amp;IF(AND($P104=0,$M104&gt;0),"T0-Standing ","")&amp;IF(AND($P104=0,$Q104="Group only"),"T0-ViaGroupOnly ","")&amp;IF($W104="Yes","AlsoAzureRBAC ","")))</f>
        <v/>
      </c>
      <c r="AN104" s="85">
        <f>IF($A104="","",IF(AG104="","Not Enrolled",IF(TODAY()&gt;AG104,"Review Overdue",IF(AG104-TODAY()&lt;=30,"Review Due Soon","Active"))))</f>
        <v/>
      </c>
      <c r="AO104" s="85">
        <f>IF($A104="","",IF(AH104="","NOT REVIEWED",IF(TODAY()-AH104&gt;90,"OVERDUE",IF(TODAY()-AH104&gt;76,"Due Soon","Current"))))</f>
        <v/>
      </c>
    </row>
    <row r="105" ht="15" customHeight="1" s="39">
      <c r="A105" s="85" t="n"/>
      <c r="B105" s="85" t="n"/>
      <c r="C105" s="85" t="n"/>
      <c r="D105" s="85" t="n"/>
      <c r="E105" s="85" t="n"/>
      <c r="F105" s="86" t="n"/>
      <c r="G105" s="86" t="n"/>
      <c r="H105" s="85" t="n"/>
      <c r="I105" s="85" t="n"/>
      <c r="J105" s="85" t="n"/>
      <c r="K105" s="85" t="n"/>
      <c r="L105" s="85" t="n"/>
      <c r="M105" s="85" t="n"/>
      <c r="N105" s="85" t="n"/>
      <c r="O105" s="85" t="n"/>
      <c r="P105" s="85" t="n"/>
      <c r="Q105" s="85" t="n"/>
      <c r="R105" s="85" t="n"/>
      <c r="S105" s="85" t="n"/>
      <c r="T105" s="85" t="n"/>
      <c r="U105" s="85" t="n"/>
      <c r="V105" s="85" t="n"/>
      <c r="W105" s="85" t="n"/>
      <c r="X105" s="85" t="n"/>
      <c r="Y105" s="85" t="n"/>
      <c r="Z105" s="85" t="n"/>
      <c r="AA105" s="85" t="n"/>
      <c r="AB105" s="85" t="n"/>
      <c r="AC105" s="85" t="n"/>
      <c r="AD105" s="85" t="n"/>
      <c r="AE105" s="85" t="n"/>
      <c r="AF105" s="86" t="n"/>
      <c r="AG105" s="86" t="n"/>
      <c r="AH105" s="86" t="n"/>
      <c r="AI105" s="85" t="n"/>
      <c r="AJ105" s="85" t="n"/>
      <c r="AK105" s="85">
        <f>IF($A105="","",IF($M105&gt;0,"Yes","No"))</f>
        <v/>
      </c>
      <c r="AL105" s="85">
        <f>IF($A105="","",IF(AND($E105="Yes",OR($Y105="No",$Y105="NOT FOUND")),"YES",""))</f>
        <v/>
      </c>
      <c r="AM105" s="85">
        <f>IF($A105="","",TRIM(IF(AND($P105=0,$I105&lt;&gt;"Yes"),"T0-NoPhishResistant ","")&amp;IF($H105="No","NoMFA ","")&amp;IF(AND($P105=0,$M105&gt;0),"T0-Standing ","")&amp;IF(AND($P105=0,$Q105="Group only"),"T0-ViaGroupOnly ","")&amp;IF($W105="Yes","AlsoAzureRBAC ","")))</f>
        <v/>
      </c>
      <c r="AN105" s="85">
        <f>IF($A105="","",IF(AG105="","Not Enrolled",IF(TODAY()&gt;AG105,"Review Overdue",IF(AG105-TODAY()&lt;=30,"Review Due Soon","Active"))))</f>
        <v/>
      </c>
      <c r="AO105" s="85">
        <f>IF($A105="","",IF(AH105="","NOT REVIEWED",IF(TODAY()-AH105&gt;90,"OVERDUE",IF(TODAY()-AH105&gt;76,"Due Soon","Current"))))</f>
        <v/>
      </c>
    </row>
    <row r="106" ht="15" customHeight="1" s="39">
      <c r="A106" s="85" t="n"/>
      <c r="B106" s="85" t="n"/>
      <c r="C106" s="85" t="n"/>
      <c r="D106" s="85" t="n"/>
      <c r="E106" s="85" t="n"/>
      <c r="F106" s="86" t="n"/>
      <c r="G106" s="86" t="n"/>
      <c r="H106" s="85" t="n"/>
      <c r="I106" s="85" t="n"/>
      <c r="J106" s="85" t="n"/>
      <c r="K106" s="85" t="n"/>
      <c r="L106" s="85" t="n"/>
      <c r="M106" s="85" t="n"/>
      <c r="N106" s="85" t="n"/>
      <c r="O106" s="85" t="n"/>
      <c r="P106" s="85" t="n"/>
      <c r="Q106" s="85" t="n"/>
      <c r="R106" s="85" t="n"/>
      <c r="S106" s="85" t="n"/>
      <c r="T106" s="85" t="n"/>
      <c r="U106" s="85" t="n"/>
      <c r="V106" s="85" t="n"/>
      <c r="W106" s="85" t="n"/>
      <c r="X106" s="85" t="n"/>
      <c r="Y106" s="85" t="n"/>
      <c r="Z106" s="85" t="n"/>
      <c r="AA106" s="85" t="n"/>
      <c r="AB106" s="85" t="n"/>
      <c r="AC106" s="85" t="n"/>
      <c r="AD106" s="85" t="n"/>
      <c r="AE106" s="85" t="n"/>
      <c r="AF106" s="86" t="n"/>
      <c r="AG106" s="86" t="n"/>
      <c r="AH106" s="86" t="n"/>
      <c r="AI106" s="85" t="n"/>
      <c r="AJ106" s="85" t="n"/>
      <c r="AK106" s="85">
        <f>IF($A106="","",IF($M106&gt;0,"Yes","No"))</f>
        <v/>
      </c>
      <c r="AL106" s="85">
        <f>IF($A106="","",IF(AND($E106="Yes",OR($Y106="No",$Y106="NOT FOUND")),"YES",""))</f>
        <v/>
      </c>
      <c r="AM106" s="85">
        <f>IF($A106="","",TRIM(IF(AND($P106=0,$I106&lt;&gt;"Yes"),"T0-NoPhishResistant ","")&amp;IF($H106="No","NoMFA ","")&amp;IF(AND($P106=0,$M106&gt;0),"T0-Standing ","")&amp;IF(AND($P106=0,$Q106="Group only"),"T0-ViaGroupOnly ","")&amp;IF($W106="Yes","AlsoAzureRBAC ","")))</f>
        <v/>
      </c>
      <c r="AN106" s="85">
        <f>IF($A106="","",IF(AG106="","Not Enrolled",IF(TODAY()&gt;AG106,"Review Overdue",IF(AG106-TODAY()&lt;=30,"Review Due Soon","Active"))))</f>
        <v/>
      </c>
      <c r="AO106" s="85">
        <f>IF($A106="","",IF(AH106="","NOT REVIEWED",IF(TODAY()-AH106&gt;90,"OVERDUE",IF(TODAY()-AH106&gt;76,"Due Soon","Current"))))</f>
        <v/>
      </c>
    </row>
    <row r="107" ht="15" customHeight="1" s="39">
      <c r="A107" s="85" t="n"/>
      <c r="B107" s="85" t="n"/>
      <c r="C107" s="85" t="n"/>
      <c r="D107" s="85" t="n"/>
      <c r="E107" s="85" t="n"/>
      <c r="F107" s="86" t="n"/>
      <c r="G107" s="86" t="n"/>
      <c r="H107" s="85" t="n"/>
      <c r="I107" s="85" t="n"/>
      <c r="J107" s="85" t="n"/>
      <c r="K107" s="85" t="n"/>
      <c r="L107" s="85" t="n"/>
      <c r="M107" s="85" t="n"/>
      <c r="N107" s="85" t="n"/>
      <c r="O107" s="85" t="n"/>
      <c r="P107" s="85" t="n"/>
      <c r="Q107" s="85" t="n"/>
      <c r="R107" s="85" t="n"/>
      <c r="S107" s="85" t="n"/>
      <c r="T107" s="85" t="n"/>
      <c r="U107" s="85" t="n"/>
      <c r="V107" s="85" t="n"/>
      <c r="W107" s="85" t="n"/>
      <c r="X107" s="85" t="n"/>
      <c r="Y107" s="85" t="n"/>
      <c r="Z107" s="85" t="n"/>
      <c r="AA107" s="85" t="n"/>
      <c r="AB107" s="85" t="n"/>
      <c r="AC107" s="85" t="n"/>
      <c r="AD107" s="85" t="n"/>
      <c r="AE107" s="85" t="n"/>
      <c r="AF107" s="86" t="n"/>
      <c r="AG107" s="86" t="n"/>
      <c r="AH107" s="86" t="n"/>
      <c r="AI107" s="85" t="n"/>
      <c r="AJ107" s="85" t="n"/>
      <c r="AK107" s="85">
        <f>IF($A107="","",IF($M107&gt;0,"Yes","No"))</f>
        <v/>
      </c>
      <c r="AL107" s="85">
        <f>IF($A107="","",IF(AND($E107="Yes",OR($Y107="No",$Y107="NOT FOUND")),"YES",""))</f>
        <v/>
      </c>
      <c r="AM107" s="85">
        <f>IF($A107="","",TRIM(IF(AND($P107=0,$I107&lt;&gt;"Yes"),"T0-NoPhishResistant ","")&amp;IF($H107="No","NoMFA ","")&amp;IF(AND($P107=0,$M107&gt;0),"T0-Standing ","")&amp;IF(AND($P107=0,$Q107="Group only"),"T0-ViaGroupOnly ","")&amp;IF($W107="Yes","AlsoAzureRBAC ","")))</f>
        <v/>
      </c>
      <c r="AN107" s="85">
        <f>IF($A107="","",IF(AG107="","Not Enrolled",IF(TODAY()&gt;AG107,"Review Overdue",IF(AG107-TODAY()&lt;=30,"Review Due Soon","Active"))))</f>
        <v/>
      </c>
      <c r="AO107" s="85">
        <f>IF($A107="","",IF(AH107="","NOT REVIEWED",IF(TODAY()-AH107&gt;90,"OVERDUE",IF(TODAY()-AH107&gt;76,"Due Soon","Current"))))</f>
        <v/>
      </c>
    </row>
    <row r="108" ht="15" customHeight="1" s="39">
      <c r="A108" s="85" t="n"/>
      <c r="B108" s="85" t="n"/>
      <c r="C108" s="85" t="n"/>
      <c r="D108" s="85" t="n"/>
      <c r="E108" s="85" t="n"/>
      <c r="F108" s="86" t="n"/>
      <c r="G108" s="86" t="n"/>
      <c r="H108" s="85" t="n"/>
      <c r="I108" s="85" t="n"/>
      <c r="J108" s="85" t="n"/>
      <c r="K108" s="85" t="n"/>
      <c r="L108" s="85" t="n"/>
      <c r="M108" s="85" t="n"/>
      <c r="N108" s="85" t="n"/>
      <c r="O108" s="85" t="n"/>
      <c r="P108" s="85" t="n"/>
      <c r="Q108" s="85" t="n"/>
      <c r="R108" s="85" t="n"/>
      <c r="S108" s="85" t="n"/>
      <c r="T108" s="85" t="n"/>
      <c r="U108" s="85" t="n"/>
      <c r="V108" s="85" t="n"/>
      <c r="W108" s="85" t="n"/>
      <c r="X108" s="85" t="n"/>
      <c r="Y108" s="85" t="n"/>
      <c r="Z108" s="85" t="n"/>
      <c r="AA108" s="85" t="n"/>
      <c r="AB108" s="85" t="n"/>
      <c r="AC108" s="85" t="n"/>
      <c r="AD108" s="85" t="n"/>
      <c r="AE108" s="85" t="n"/>
      <c r="AF108" s="86" t="n"/>
      <c r="AG108" s="86" t="n"/>
      <c r="AH108" s="86" t="n"/>
      <c r="AI108" s="85" t="n"/>
      <c r="AJ108" s="85" t="n"/>
      <c r="AK108" s="85">
        <f>IF($A108="","",IF($M108&gt;0,"Yes","No"))</f>
        <v/>
      </c>
      <c r="AL108" s="85">
        <f>IF($A108="","",IF(AND($E108="Yes",OR($Y108="No",$Y108="NOT FOUND")),"YES",""))</f>
        <v/>
      </c>
      <c r="AM108" s="85">
        <f>IF($A108="","",TRIM(IF(AND($P108=0,$I108&lt;&gt;"Yes"),"T0-NoPhishResistant ","")&amp;IF($H108="No","NoMFA ","")&amp;IF(AND($P108=0,$M108&gt;0),"T0-Standing ","")&amp;IF(AND($P108=0,$Q108="Group only"),"T0-ViaGroupOnly ","")&amp;IF($W108="Yes","AlsoAzureRBAC ","")))</f>
        <v/>
      </c>
      <c r="AN108" s="85">
        <f>IF($A108="","",IF(AG108="","Not Enrolled",IF(TODAY()&gt;AG108,"Review Overdue",IF(AG108-TODAY()&lt;=30,"Review Due Soon","Active"))))</f>
        <v/>
      </c>
      <c r="AO108" s="85">
        <f>IF($A108="","",IF(AH108="","NOT REVIEWED",IF(TODAY()-AH108&gt;90,"OVERDUE",IF(TODAY()-AH108&gt;76,"Due Soon","Current"))))</f>
        <v/>
      </c>
    </row>
    <row r="109" ht="15" customHeight="1" s="39">
      <c r="A109" s="85" t="n"/>
      <c r="B109" s="85" t="n"/>
      <c r="C109" s="85" t="n"/>
      <c r="D109" s="85" t="n"/>
      <c r="E109" s="85" t="n"/>
      <c r="F109" s="86" t="n"/>
      <c r="G109" s="86" t="n"/>
      <c r="H109" s="85" t="n"/>
      <c r="I109" s="85" t="n"/>
      <c r="J109" s="85" t="n"/>
      <c r="K109" s="85" t="n"/>
      <c r="L109" s="85" t="n"/>
      <c r="M109" s="85" t="n"/>
      <c r="N109" s="85" t="n"/>
      <c r="O109" s="85" t="n"/>
      <c r="P109" s="85" t="n"/>
      <c r="Q109" s="85" t="n"/>
      <c r="R109" s="85" t="n"/>
      <c r="S109" s="85" t="n"/>
      <c r="T109" s="85" t="n"/>
      <c r="U109" s="85" t="n"/>
      <c r="V109" s="85" t="n"/>
      <c r="W109" s="85" t="n"/>
      <c r="X109" s="85" t="n"/>
      <c r="Y109" s="85" t="n"/>
      <c r="Z109" s="85" t="n"/>
      <c r="AA109" s="85" t="n"/>
      <c r="AB109" s="85" t="n"/>
      <c r="AC109" s="85" t="n"/>
      <c r="AD109" s="85" t="n"/>
      <c r="AE109" s="85" t="n"/>
      <c r="AF109" s="86" t="n"/>
      <c r="AG109" s="86" t="n"/>
      <c r="AH109" s="86" t="n"/>
      <c r="AI109" s="85" t="n"/>
      <c r="AJ109" s="85" t="n"/>
      <c r="AK109" s="85">
        <f>IF($A109="","",IF($M109&gt;0,"Yes","No"))</f>
        <v/>
      </c>
      <c r="AL109" s="85">
        <f>IF($A109="","",IF(AND($E109="Yes",OR($Y109="No",$Y109="NOT FOUND")),"YES",""))</f>
        <v/>
      </c>
      <c r="AM109" s="85">
        <f>IF($A109="","",TRIM(IF(AND($P109=0,$I109&lt;&gt;"Yes"),"T0-NoPhishResistant ","")&amp;IF($H109="No","NoMFA ","")&amp;IF(AND($P109=0,$M109&gt;0),"T0-Standing ","")&amp;IF(AND($P109=0,$Q109="Group only"),"T0-ViaGroupOnly ","")&amp;IF($W109="Yes","AlsoAzureRBAC ","")))</f>
        <v/>
      </c>
      <c r="AN109" s="85">
        <f>IF($A109="","",IF(AG109="","Not Enrolled",IF(TODAY()&gt;AG109,"Review Overdue",IF(AG109-TODAY()&lt;=30,"Review Due Soon","Active"))))</f>
        <v/>
      </c>
      <c r="AO109" s="85">
        <f>IF($A109="","",IF(AH109="","NOT REVIEWED",IF(TODAY()-AH109&gt;90,"OVERDUE",IF(TODAY()-AH109&gt;76,"Due Soon","Current"))))</f>
        <v/>
      </c>
    </row>
    <row r="110" ht="15" customHeight="1" s="39">
      <c r="A110" s="85" t="n"/>
      <c r="B110" s="85" t="n"/>
      <c r="C110" s="85" t="n"/>
      <c r="D110" s="85" t="n"/>
      <c r="E110" s="85" t="n"/>
      <c r="F110" s="86" t="n"/>
      <c r="G110" s="86" t="n"/>
      <c r="H110" s="85" t="n"/>
      <c r="I110" s="85" t="n"/>
      <c r="J110" s="85" t="n"/>
      <c r="K110" s="85" t="n"/>
      <c r="L110" s="85" t="n"/>
      <c r="M110" s="85" t="n"/>
      <c r="N110" s="85" t="n"/>
      <c r="O110" s="85" t="n"/>
      <c r="P110" s="85" t="n"/>
      <c r="Q110" s="85" t="n"/>
      <c r="R110" s="85" t="n"/>
      <c r="S110" s="85" t="n"/>
      <c r="T110" s="85" t="n"/>
      <c r="U110" s="85" t="n"/>
      <c r="V110" s="85" t="n"/>
      <c r="W110" s="85" t="n"/>
      <c r="X110" s="85" t="n"/>
      <c r="Y110" s="85" t="n"/>
      <c r="Z110" s="85" t="n"/>
      <c r="AA110" s="85" t="n"/>
      <c r="AB110" s="85" t="n"/>
      <c r="AC110" s="85" t="n"/>
      <c r="AD110" s="85" t="n"/>
      <c r="AE110" s="85" t="n"/>
      <c r="AF110" s="86" t="n"/>
      <c r="AG110" s="86" t="n"/>
      <c r="AH110" s="86" t="n"/>
      <c r="AI110" s="85" t="n"/>
      <c r="AJ110" s="85" t="n"/>
      <c r="AK110" s="85">
        <f>IF($A110="","",IF($M110&gt;0,"Yes","No"))</f>
        <v/>
      </c>
      <c r="AL110" s="85">
        <f>IF($A110="","",IF(AND($E110="Yes",OR($Y110="No",$Y110="NOT FOUND")),"YES",""))</f>
        <v/>
      </c>
      <c r="AM110" s="85">
        <f>IF($A110="","",TRIM(IF(AND($P110=0,$I110&lt;&gt;"Yes"),"T0-NoPhishResistant ","")&amp;IF($H110="No","NoMFA ","")&amp;IF(AND($P110=0,$M110&gt;0),"T0-Standing ","")&amp;IF(AND($P110=0,$Q110="Group only"),"T0-ViaGroupOnly ","")&amp;IF($W110="Yes","AlsoAzureRBAC ","")))</f>
        <v/>
      </c>
      <c r="AN110" s="85">
        <f>IF($A110="","",IF(AG110="","Not Enrolled",IF(TODAY()&gt;AG110,"Review Overdue",IF(AG110-TODAY()&lt;=30,"Review Due Soon","Active"))))</f>
        <v/>
      </c>
      <c r="AO110" s="85">
        <f>IF($A110="","",IF(AH110="","NOT REVIEWED",IF(TODAY()-AH110&gt;90,"OVERDUE",IF(TODAY()-AH110&gt;76,"Due Soon","Current"))))</f>
        <v/>
      </c>
    </row>
    <row r="111" ht="15" customHeight="1" s="39">
      <c r="A111" s="85" t="n"/>
      <c r="B111" s="85" t="n"/>
      <c r="C111" s="85" t="n"/>
      <c r="D111" s="85" t="n"/>
      <c r="E111" s="85" t="n"/>
      <c r="F111" s="86" t="n"/>
      <c r="G111" s="86" t="n"/>
      <c r="H111" s="85" t="n"/>
      <c r="I111" s="85" t="n"/>
      <c r="J111" s="85" t="n"/>
      <c r="K111" s="85" t="n"/>
      <c r="L111" s="85" t="n"/>
      <c r="M111" s="85" t="n"/>
      <c r="N111" s="85" t="n"/>
      <c r="O111" s="85" t="n"/>
      <c r="P111" s="85" t="n"/>
      <c r="Q111" s="85" t="n"/>
      <c r="R111" s="85" t="n"/>
      <c r="S111" s="85" t="n"/>
      <c r="T111" s="85" t="n"/>
      <c r="U111" s="85" t="n"/>
      <c r="V111" s="85" t="n"/>
      <c r="W111" s="85" t="n"/>
      <c r="X111" s="85" t="n"/>
      <c r="Y111" s="85" t="n"/>
      <c r="Z111" s="85" t="n"/>
      <c r="AA111" s="85" t="n"/>
      <c r="AB111" s="85" t="n"/>
      <c r="AC111" s="85" t="n"/>
      <c r="AD111" s="85" t="n"/>
      <c r="AE111" s="85" t="n"/>
      <c r="AF111" s="86" t="n"/>
      <c r="AG111" s="86" t="n"/>
      <c r="AH111" s="86" t="n"/>
      <c r="AI111" s="85" t="n"/>
      <c r="AJ111" s="85" t="n"/>
      <c r="AK111" s="85">
        <f>IF($A111="","",IF($M111&gt;0,"Yes","No"))</f>
        <v/>
      </c>
      <c r="AL111" s="85">
        <f>IF($A111="","",IF(AND($E111="Yes",OR($Y111="No",$Y111="NOT FOUND")),"YES",""))</f>
        <v/>
      </c>
      <c r="AM111" s="85">
        <f>IF($A111="","",TRIM(IF(AND($P111=0,$I111&lt;&gt;"Yes"),"T0-NoPhishResistant ","")&amp;IF($H111="No","NoMFA ","")&amp;IF(AND($P111=0,$M111&gt;0),"T0-Standing ","")&amp;IF(AND($P111=0,$Q111="Group only"),"T0-ViaGroupOnly ","")&amp;IF($W111="Yes","AlsoAzureRBAC ","")))</f>
        <v/>
      </c>
      <c r="AN111" s="85">
        <f>IF($A111="","",IF(AG111="","Not Enrolled",IF(TODAY()&gt;AG111,"Review Overdue",IF(AG111-TODAY()&lt;=30,"Review Due Soon","Active"))))</f>
        <v/>
      </c>
      <c r="AO111" s="85">
        <f>IF($A111="","",IF(AH111="","NOT REVIEWED",IF(TODAY()-AH111&gt;90,"OVERDUE",IF(TODAY()-AH111&gt;76,"Due Soon","Current"))))</f>
        <v/>
      </c>
    </row>
    <row r="112" ht="15" customHeight="1" s="39">
      <c r="A112" s="85" t="n"/>
      <c r="B112" s="85" t="n"/>
      <c r="C112" s="85" t="n"/>
      <c r="D112" s="85" t="n"/>
      <c r="E112" s="85" t="n"/>
      <c r="F112" s="86" t="n"/>
      <c r="G112" s="86" t="n"/>
      <c r="H112" s="85" t="n"/>
      <c r="I112" s="85" t="n"/>
      <c r="J112" s="85" t="n"/>
      <c r="K112" s="85" t="n"/>
      <c r="L112" s="85" t="n"/>
      <c r="M112" s="85" t="n"/>
      <c r="N112" s="85" t="n"/>
      <c r="O112" s="85" t="n"/>
      <c r="P112" s="85" t="n"/>
      <c r="Q112" s="85" t="n"/>
      <c r="R112" s="85" t="n"/>
      <c r="S112" s="85" t="n"/>
      <c r="T112" s="85" t="n"/>
      <c r="U112" s="85" t="n"/>
      <c r="V112" s="85" t="n"/>
      <c r="W112" s="85" t="n"/>
      <c r="X112" s="85" t="n"/>
      <c r="Y112" s="85" t="n"/>
      <c r="Z112" s="85" t="n"/>
      <c r="AA112" s="85" t="n"/>
      <c r="AB112" s="85" t="n"/>
      <c r="AC112" s="85" t="n"/>
      <c r="AD112" s="85" t="n"/>
      <c r="AE112" s="85" t="n"/>
      <c r="AF112" s="86" t="n"/>
      <c r="AG112" s="86" t="n"/>
      <c r="AH112" s="86" t="n"/>
      <c r="AI112" s="85" t="n"/>
      <c r="AJ112" s="85" t="n"/>
      <c r="AK112" s="85">
        <f>IF($A112="","",IF($M112&gt;0,"Yes","No"))</f>
        <v/>
      </c>
      <c r="AL112" s="85">
        <f>IF($A112="","",IF(AND($E112="Yes",OR($Y112="No",$Y112="NOT FOUND")),"YES",""))</f>
        <v/>
      </c>
      <c r="AM112" s="85">
        <f>IF($A112="","",TRIM(IF(AND($P112=0,$I112&lt;&gt;"Yes"),"T0-NoPhishResistant ","")&amp;IF($H112="No","NoMFA ","")&amp;IF(AND($P112=0,$M112&gt;0),"T0-Standing ","")&amp;IF(AND($P112=0,$Q112="Group only"),"T0-ViaGroupOnly ","")&amp;IF($W112="Yes","AlsoAzureRBAC ","")))</f>
        <v/>
      </c>
      <c r="AN112" s="85">
        <f>IF($A112="","",IF(AG112="","Not Enrolled",IF(TODAY()&gt;AG112,"Review Overdue",IF(AG112-TODAY()&lt;=30,"Review Due Soon","Active"))))</f>
        <v/>
      </c>
      <c r="AO112" s="85">
        <f>IF($A112="","",IF(AH112="","NOT REVIEWED",IF(TODAY()-AH112&gt;90,"OVERDUE",IF(TODAY()-AH112&gt;76,"Due Soon","Current"))))</f>
        <v/>
      </c>
    </row>
    <row r="113" ht="15" customHeight="1" s="39">
      <c r="A113" s="85" t="n"/>
      <c r="B113" s="85" t="n"/>
      <c r="C113" s="85" t="n"/>
      <c r="D113" s="85" t="n"/>
      <c r="E113" s="85" t="n"/>
      <c r="F113" s="86" t="n"/>
      <c r="G113" s="86" t="n"/>
      <c r="H113" s="85" t="n"/>
      <c r="I113" s="85" t="n"/>
      <c r="J113" s="85" t="n"/>
      <c r="K113" s="85" t="n"/>
      <c r="L113" s="85" t="n"/>
      <c r="M113" s="85" t="n"/>
      <c r="N113" s="85" t="n"/>
      <c r="O113" s="85" t="n"/>
      <c r="P113" s="85" t="n"/>
      <c r="Q113" s="85" t="n"/>
      <c r="R113" s="85" t="n"/>
      <c r="S113" s="85" t="n"/>
      <c r="T113" s="85" t="n"/>
      <c r="U113" s="85" t="n"/>
      <c r="V113" s="85" t="n"/>
      <c r="W113" s="85" t="n"/>
      <c r="X113" s="85" t="n"/>
      <c r="Y113" s="85" t="n"/>
      <c r="Z113" s="85" t="n"/>
      <c r="AA113" s="85" t="n"/>
      <c r="AB113" s="85" t="n"/>
      <c r="AC113" s="85" t="n"/>
      <c r="AD113" s="85" t="n"/>
      <c r="AE113" s="85" t="n"/>
      <c r="AF113" s="86" t="n"/>
      <c r="AG113" s="86" t="n"/>
      <c r="AH113" s="86" t="n"/>
      <c r="AI113" s="85" t="n"/>
      <c r="AJ113" s="85" t="n"/>
      <c r="AK113" s="85">
        <f>IF($A113="","",IF($M113&gt;0,"Yes","No"))</f>
        <v/>
      </c>
      <c r="AL113" s="85">
        <f>IF($A113="","",IF(AND($E113="Yes",OR($Y113="No",$Y113="NOT FOUND")),"YES",""))</f>
        <v/>
      </c>
      <c r="AM113" s="85">
        <f>IF($A113="","",TRIM(IF(AND($P113=0,$I113&lt;&gt;"Yes"),"T0-NoPhishResistant ","")&amp;IF($H113="No","NoMFA ","")&amp;IF(AND($P113=0,$M113&gt;0),"T0-Standing ","")&amp;IF(AND($P113=0,$Q113="Group only"),"T0-ViaGroupOnly ","")&amp;IF($W113="Yes","AlsoAzureRBAC ","")))</f>
        <v/>
      </c>
      <c r="AN113" s="85">
        <f>IF($A113="","",IF(AG113="","Not Enrolled",IF(TODAY()&gt;AG113,"Review Overdue",IF(AG113-TODAY()&lt;=30,"Review Due Soon","Active"))))</f>
        <v/>
      </c>
      <c r="AO113" s="85">
        <f>IF($A113="","",IF(AH113="","NOT REVIEWED",IF(TODAY()-AH113&gt;90,"OVERDUE",IF(TODAY()-AH113&gt;76,"Due Soon","Current"))))</f>
        <v/>
      </c>
    </row>
    <row r="114" ht="15" customHeight="1" s="39">
      <c r="A114" s="85" t="n"/>
      <c r="B114" s="85" t="n"/>
      <c r="C114" s="85" t="n"/>
      <c r="D114" s="85" t="n"/>
      <c r="E114" s="85" t="n"/>
      <c r="F114" s="86" t="n"/>
      <c r="G114" s="86" t="n"/>
      <c r="H114" s="85" t="n"/>
      <c r="I114" s="85" t="n"/>
      <c r="J114" s="85" t="n"/>
      <c r="K114" s="85" t="n"/>
      <c r="L114" s="85" t="n"/>
      <c r="M114" s="85" t="n"/>
      <c r="N114" s="85" t="n"/>
      <c r="O114" s="85" t="n"/>
      <c r="P114" s="85" t="n"/>
      <c r="Q114" s="85" t="n"/>
      <c r="R114" s="85" t="n"/>
      <c r="S114" s="85" t="n"/>
      <c r="T114" s="85" t="n"/>
      <c r="U114" s="85" t="n"/>
      <c r="V114" s="85" t="n"/>
      <c r="W114" s="85" t="n"/>
      <c r="X114" s="85" t="n"/>
      <c r="Y114" s="85" t="n"/>
      <c r="Z114" s="85" t="n"/>
      <c r="AA114" s="85" t="n"/>
      <c r="AB114" s="85" t="n"/>
      <c r="AC114" s="85" t="n"/>
      <c r="AD114" s="85" t="n"/>
      <c r="AE114" s="85" t="n"/>
      <c r="AF114" s="86" t="n"/>
      <c r="AG114" s="86" t="n"/>
      <c r="AH114" s="86" t="n"/>
      <c r="AI114" s="85" t="n"/>
      <c r="AJ114" s="85" t="n"/>
      <c r="AK114" s="85">
        <f>IF($A114="","",IF($M114&gt;0,"Yes","No"))</f>
        <v/>
      </c>
      <c r="AL114" s="85">
        <f>IF($A114="","",IF(AND($E114="Yes",OR($Y114="No",$Y114="NOT FOUND")),"YES",""))</f>
        <v/>
      </c>
      <c r="AM114" s="85">
        <f>IF($A114="","",TRIM(IF(AND($P114=0,$I114&lt;&gt;"Yes"),"T0-NoPhishResistant ","")&amp;IF($H114="No","NoMFA ","")&amp;IF(AND($P114=0,$M114&gt;0),"T0-Standing ","")&amp;IF(AND($P114=0,$Q114="Group only"),"T0-ViaGroupOnly ","")&amp;IF($W114="Yes","AlsoAzureRBAC ","")))</f>
        <v/>
      </c>
      <c r="AN114" s="85">
        <f>IF($A114="","",IF(AG114="","Not Enrolled",IF(TODAY()&gt;AG114,"Review Overdue",IF(AG114-TODAY()&lt;=30,"Review Due Soon","Active"))))</f>
        <v/>
      </c>
      <c r="AO114" s="85">
        <f>IF($A114="","",IF(AH114="","NOT REVIEWED",IF(TODAY()-AH114&gt;90,"OVERDUE",IF(TODAY()-AH114&gt;76,"Due Soon","Current"))))</f>
        <v/>
      </c>
    </row>
    <row r="115" ht="15" customHeight="1" s="39">
      <c r="A115" s="85" t="n"/>
      <c r="B115" s="85" t="n"/>
      <c r="C115" s="85" t="n"/>
      <c r="D115" s="85" t="n"/>
      <c r="E115" s="85" t="n"/>
      <c r="F115" s="86" t="n"/>
      <c r="G115" s="86" t="n"/>
      <c r="H115" s="85" t="n"/>
      <c r="I115" s="85" t="n"/>
      <c r="J115" s="85" t="n"/>
      <c r="K115" s="85" t="n"/>
      <c r="L115" s="85" t="n"/>
      <c r="M115" s="85" t="n"/>
      <c r="N115" s="85" t="n"/>
      <c r="O115" s="85" t="n"/>
      <c r="P115" s="85" t="n"/>
      <c r="Q115" s="85" t="n"/>
      <c r="R115" s="85" t="n"/>
      <c r="S115" s="85" t="n"/>
      <c r="T115" s="85" t="n"/>
      <c r="U115" s="85" t="n"/>
      <c r="V115" s="85" t="n"/>
      <c r="W115" s="85" t="n"/>
      <c r="X115" s="85" t="n"/>
      <c r="Y115" s="85" t="n"/>
      <c r="Z115" s="85" t="n"/>
      <c r="AA115" s="85" t="n"/>
      <c r="AB115" s="85" t="n"/>
      <c r="AC115" s="85" t="n"/>
      <c r="AD115" s="85" t="n"/>
      <c r="AE115" s="85" t="n"/>
      <c r="AF115" s="86" t="n"/>
      <c r="AG115" s="86" t="n"/>
      <c r="AH115" s="86" t="n"/>
      <c r="AI115" s="85" t="n"/>
      <c r="AJ115" s="85" t="n"/>
      <c r="AK115" s="85">
        <f>IF($A115="","",IF($M115&gt;0,"Yes","No"))</f>
        <v/>
      </c>
      <c r="AL115" s="85">
        <f>IF($A115="","",IF(AND($E115="Yes",OR($Y115="No",$Y115="NOT FOUND")),"YES",""))</f>
        <v/>
      </c>
      <c r="AM115" s="85">
        <f>IF($A115="","",TRIM(IF(AND($P115=0,$I115&lt;&gt;"Yes"),"T0-NoPhishResistant ","")&amp;IF($H115="No","NoMFA ","")&amp;IF(AND($P115=0,$M115&gt;0),"T0-Standing ","")&amp;IF(AND($P115=0,$Q115="Group only"),"T0-ViaGroupOnly ","")&amp;IF($W115="Yes","AlsoAzureRBAC ","")))</f>
        <v/>
      </c>
      <c r="AN115" s="85">
        <f>IF($A115="","",IF(AG115="","Not Enrolled",IF(TODAY()&gt;AG115,"Review Overdue",IF(AG115-TODAY()&lt;=30,"Review Due Soon","Active"))))</f>
        <v/>
      </c>
      <c r="AO115" s="85">
        <f>IF($A115="","",IF(AH115="","NOT REVIEWED",IF(TODAY()-AH115&gt;90,"OVERDUE",IF(TODAY()-AH115&gt;76,"Due Soon","Current"))))</f>
        <v/>
      </c>
    </row>
    <row r="116" ht="15" customHeight="1" s="39">
      <c r="A116" s="85" t="n"/>
      <c r="B116" s="85" t="n"/>
      <c r="C116" s="85" t="n"/>
      <c r="D116" s="85" t="n"/>
      <c r="E116" s="85" t="n"/>
      <c r="F116" s="86" t="n"/>
      <c r="G116" s="86" t="n"/>
      <c r="H116" s="85" t="n"/>
      <c r="I116" s="85" t="n"/>
      <c r="J116" s="85" t="n"/>
      <c r="K116" s="85" t="n"/>
      <c r="L116" s="85" t="n"/>
      <c r="M116" s="85" t="n"/>
      <c r="N116" s="85" t="n"/>
      <c r="O116" s="85" t="n"/>
      <c r="P116" s="85" t="n"/>
      <c r="Q116" s="85" t="n"/>
      <c r="R116" s="85" t="n"/>
      <c r="S116" s="85" t="n"/>
      <c r="T116" s="85" t="n"/>
      <c r="U116" s="85" t="n"/>
      <c r="V116" s="85" t="n"/>
      <c r="W116" s="85" t="n"/>
      <c r="X116" s="85" t="n"/>
      <c r="Y116" s="85" t="n"/>
      <c r="Z116" s="85" t="n"/>
      <c r="AA116" s="85" t="n"/>
      <c r="AB116" s="85" t="n"/>
      <c r="AC116" s="85" t="n"/>
      <c r="AD116" s="85" t="n"/>
      <c r="AE116" s="85" t="n"/>
      <c r="AF116" s="86" t="n"/>
      <c r="AG116" s="86" t="n"/>
      <c r="AH116" s="86" t="n"/>
      <c r="AI116" s="85" t="n"/>
      <c r="AJ116" s="85" t="n"/>
      <c r="AK116" s="85">
        <f>IF($A116="","",IF($M116&gt;0,"Yes","No"))</f>
        <v/>
      </c>
      <c r="AL116" s="85">
        <f>IF($A116="","",IF(AND($E116="Yes",OR($Y116="No",$Y116="NOT FOUND")),"YES",""))</f>
        <v/>
      </c>
      <c r="AM116" s="85">
        <f>IF($A116="","",TRIM(IF(AND($P116=0,$I116&lt;&gt;"Yes"),"T0-NoPhishResistant ","")&amp;IF($H116="No","NoMFA ","")&amp;IF(AND($P116=0,$M116&gt;0),"T0-Standing ","")&amp;IF(AND($P116=0,$Q116="Group only"),"T0-ViaGroupOnly ","")&amp;IF($W116="Yes","AlsoAzureRBAC ","")))</f>
        <v/>
      </c>
      <c r="AN116" s="85">
        <f>IF($A116="","",IF(AG116="","Not Enrolled",IF(TODAY()&gt;AG116,"Review Overdue",IF(AG116-TODAY()&lt;=30,"Review Due Soon","Active"))))</f>
        <v/>
      </c>
      <c r="AO116" s="85">
        <f>IF($A116="","",IF(AH116="","NOT REVIEWED",IF(TODAY()-AH116&gt;90,"OVERDUE",IF(TODAY()-AH116&gt;76,"Due Soon","Current"))))</f>
        <v/>
      </c>
    </row>
    <row r="117" ht="15" customHeight="1" s="39">
      <c r="A117" s="85" t="n"/>
      <c r="B117" s="85" t="n"/>
      <c r="C117" s="85" t="n"/>
      <c r="D117" s="85" t="n"/>
      <c r="E117" s="85" t="n"/>
      <c r="F117" s="86" t="n"/>
      <c r="G117" s="86" t="n"/>
      <c r="H117" s="85" t="n"/>
      <c r="I117" s="85" t="n"/>
      <c r="J117" s="85" t="n"/>
      <c r="K117" s="85" t="n"/>
      <c r="L117" s="85" t="n"/>
      <c r="M117" s="85" t="n"/>
      <c r="N117" s="85" t="n"/>
      <c r="O117" s="85" t="n"/>
      <c r="P117" s="85" t="n"/>
      <c r="Q117" s="85" t="n"/>
      <c r="R117" s="85" t="n"/>
      <c r="S117" s="85" t="n"/>
      <c r="T117" s="85" t="n"/>
      <c r="U117" s="85" t="n"/>
      <c r="V117" s="85" t="n"/>
      <c r="W117" s="85" t="n"/>
      <c r="X117" s="85" t="n"/>
      <c r="Y117" s="85" t="n"/>
      <c r="Z117" s="85" t="n"/>
      <c r="AA117" s="85" t="n"/>
      <c r="AB117" s="85" t="n"/>
      <c r="AC117" s="85" t="n"/>
      <c r="AD117" s="85" t="n"/>
      <c r="AE117" s="85" t="n"/>
      <c r="AF117" s="86" t="n"/>
      <c r="AG117" s="86" t="n"/>
      <c r="AH117" s="86" t="n"/>
      <c r="AI117" s="85" t="n"/>
      <c r="AJ117" s="85" t="n"/>
      <c r="AK117" s="85">
        <f>IF($A117="","",IF($M117&gt;0,"Yes","No"))</f>
        <v/>
      </c>
      <c r="AL117" s="85">
        <f>IF($A117="","",IF(AND($E117="Yes",OR($Y117="No",$Y117="NOT FOUND")),"YES",""))</f>
        <v/>
      </c>
      <c r="AM117" s="85">
        <f>IF($A117="","",TRIM(IF(AND($P117=0,$I117&lt;&gt;"Yes"),"T0-NoPhishResistant ","")&amp;IF($H117="No","NoMFA ","")&amp;IF(AND($P117=0,$M117&gt;0),"T0-Standing ","")&amp;IF(AND($P117=0,$Q117="Group only"),"T0-ViaGroupOnly ","")&amp;IF($W117="Yes","AlsoAzureRBAC ","")))</f>
        <v/>
      </c>
      <c r="AN117" s="85">
        <f>IF($A117="","",IF(AG117="","Not Enrolled",IF(TODAY()&gt;AG117,"Review Overdue",IF(AG117-TODAY()&lt;=30,"Review Due Soon","Active"))))</f>
        <v/>
      </c>
      <c r="AO117" s="85">
        <f>IF($A117="","",IF(AH117="","NOT REVIEWED",IF(TODAY()-AH117&gt;90,"OVERDUE",IF(TODAY()-AH117&gt;76,"Due Soon","Current"))))</f>
        <v/>
      </c>
    </row>
    <row r="118" ht="15" customHeight="1" s="39">
      <c r="A118" s="85" t="n"/>
      <c r="B118" s="85" t="n"/>
      <c r="C118" s="85" t="n"/>
      <c r="D118" s="85" t="n"/>
      <c r="E118" s="85" t="n"/>
      <c r="F118" s="86" t="n"/>
      <c r="G118" s="86" t="n"/>
      <c r="H118" s="85" t="n"/>
      <c r="I118" s="85" t="n"/>
      <c r="J118" s="85" t="n"/>
      <c r="K118" s="85" t="n"/>
      <c r="L118" s="85" t="n"/>
      <c r="M118" s="85" t="n"/>
      <c r="N118" s="85" t="n"/>
      <c r="O118" s="85" t="n"/>
      <c r="P118" s="85" t="n"/>
      <c r="Q118" s="85" t="n"/>
      <c r="R118" s="85" t="n"/>
      <c r="S118" s="85" t="n"/>
      <c r="T118" s="85" t="n"/>
      <c r="U118" s="85" t="n"/>
      <c r="V118" s="85" t="n"/>
      <c r="W118" s="85" t="n"/>
      <c r="X118" s="85" t="n"/>
      <c r="Y118" s="85" t="n"/>
      <c r="Z118" s="85" t="n"/>
      <c r="AA118" s="85" t="n"/>
      <c r="AB118" s="85" t="n"/>
      <c r="AC118" s="85" t="n"/>
      <c r="AD118" s="85" t="n"/>
      <c r="AE118" s="85" t="n"/>
      <c r="AF118" s="86" t="n"/>
      <c r="AG118" s="86" t="n"/>
      <c r="AH118" s="86" t="n"/>
      <c r="AI118" s="85" t="n"/>
      <c r="AJ118" s="85" t="n"/>
      <c r="AK118" s="85">
        <f>IF($A118="","",IF($M118&gt;0,"Yes","No"))</f>
        <v/>
      </c>
      <c r="AL118" s="85">
        <f>IF($A118="","",IF(AND($E118="Yes",OR($Y118="No",$Y118="NOT FOUND")),"YES",""))</f>
        <v/>
      </c>
      <c r="AM118" s="85">
        <f>IF($A118="","",TRIM(IF(AND($P118=0,$I118&lt;&gt;"Yes"),"T0-NoPhishResistant ","")&amp;IF($H118="No","NoMFA ","")&amp;IF(AND($P118=0,$M118&gt;0),"T0-Standing ","")&amp;IF(AND($P118=0,$Q118="Group only"),"T0-ViaGroupOnly ","")&amp;IF($W118="Yes","AlsoAzureRBAC ","")))</f>
        <v/>
      </c>
      <c r="AN118" s="85">
        <f>IF($A118="","",IF(AG118="","Not Enrolled",IF(TODAY()&gt;AG118,"Review Overdue",IF(AG118-TODAY()&lt;=30,"Review Due Soon","Active"))))</f>
        <v/>
      </c>
      <c r="AO118" s="85">
        <f>IF($A118="","",IF(AH118="","NOT REVIEWED",IF(TODAY()-AH118&gt;90,"OVERDUE",IF(TODAY()-AH118&gt;76,"Due Soon","Current"))))</f>
        <v/>
      </c>
    </row>
    <row r="119" ht="15" customHeight="1" s="39">
      <c r="A119" s="85" t="n"/>
      <c r="B119" s="85" t="n"/>
      <c r="C119" s="85" t="n"/>
      <c r="D119" s="85" t="n"/>
      <c r="E119" s="85" t="n"/>
      <c r="F119" s="86" t="n"/>
      <c r="G119" s="86" t="n"/>
      <c r="H119" s="85" t="n"/>
      <c r="I119" s="85" t="n"/>
      <c r="J119" s="85" t="n"/>
      <c r="K119" s="85" t="n"/>
      <c r="L119" s="85" t="n"/>
      <c r="M119" s="85" t="n"/>
      <c r="N119" s="85" t="n"/>
      <c r="O119" s="85" t="n"/>
      <c r="P119" s="85" t="n"/>
      <c r="Q119" s="85" t="n"/>
      <c r="R119" s="85" t="n"/>
      <c r="S119" s="85" t="n"/>
      <c r="T119" s="85" t="n"/>
      <c r="U119" s="85" t="n"/>
      <c r="V119" s="85" t="n"/>
      <c r="W119" s="85" t="n"/>
      <c r="X119" s="85" t="n"/>
      <c r="Y119" s="85" t="n"/>
      <c r="Z119" s="85" t="n"/>
      <c r="AA119" s="85" t="n"/>
      <c r="AB119" s="85" t="n"/>
      <c r="AC119" s="85" t="n"/>
      <c r="AD119" s="85" t="n"/>
      <c r="AE119" s="85" t="n"/>
      <c r="AF119" s="86" t="n"/>
      <c r="AG119" s="86" t="n"/>
      <c r="AH119" s="86" t="n"/>
      <c r="AI119" s="85" t="n"/>
      <c r="AJ119" s="85" t="n"/>
      <c r="AK119" s="85">
        <f>IF($A119="","",IF($M119&gt;0,"Yes","No"))</f>
        <v/>
      </c>
      <c r="AL119" s="85">
        <f>IF($A119="","",IF(AND($E119="Yes",OR($Y119="No",$Y119="NOT FOUND")),"YES",""))</f>
        <v/>
      </c>
      <c r="AM119" s="85">
        <f>IF($A119="","",TRIM(IF(AND($P119=0,$I119&lt;&gt;"Yes"),"T0-NoPhishResistant ","")&amp;IF($H119="No","NoMFA ","")&amp;IF(AND($P119=0,$M119&gt;0),"T0-Standing ","")&amp;IF(AND($P119=0,$Q119="Group only"),"T0-ViaGroupOnly ","")&amp;IF($W119="Yes","AlsoAzureRBAC ","")))</f>
        <v/>
      </c>
      <c r="AN119" s="85">
        <f>IF($A119="","",IF(AG119="","Not Enrolled",IF(TODAY()&gt;AG119,"Review Overdue",IF(AG119-TODAY()&lt;=30,"Review Due Soon","Active"))))</f>
        <v/>
      </c>
      <c r="AO119" s="85">
        <f>IF($A119="","",IF(AH119="","NOT REVIEWED",IF(TODAY()-AH119&gt;90,"OVERDUE",IF(TODAY()-AH119&gt;76,"Due Soon","Current"))))</f>
        <v/>
      </c>
    </row>
    <row r="120" ht="15" customHeight="1" s="39">
      <c r="A120" s="85" t="n"/>
      <c r="B120" s="85" t="n"/>
      <c r="C120" s="85" t="n"/>
      <c r="D120" s="85" t="n"/>
      <c r="E120" s="85" t="n"/>
      <c r="F120" s="86" t="n"/>
      <c r="G120" s="86" t="n"/>
      <c r="H120" s="85" t="n"/>
      <c r="I120" s="85" t="n"/>
      <c r="J120" s="85" t="n"/>
      <c r="K120" s="85" t="n"/>
      <c r="L120" s="85" t="n"/>
      <c r="M120" s="85" t="n"/>
      <c r="N120" s="85" t="n"/>
      <c r="O120" s="85" t="n"/>
      <c r="P120" s="85" t="n"/>
      <c r="Q120" s="85" t="n"/>
      <c r="R120" s="85" t="n"/>
      <c r="S120" s="85" t="n"/>
      <c r="T120" s="85" t="n"/>
      <c r="U120" s="85" t="n"/>
      <c r="V120" s="85" t="n"/>
      <c r="W120" s="85" t="n"/>
      <c r="X120" s="85" t="n"/>
      <c r="Y120" s="85" t="n"/>
      <c r="Z120" s="85" t="n"/>
      <c r="AA120" s="85" t="n"/>
      <c r="AB120" s="85" t="n"/>
      <c r="AC120" s="85" t="n"/>
      <c r="AD120" s="85" t="n"/>
      <c r="AE120" s="85" t="n"/>
      <c r="AF120" s="86" t="n"/>
      <c r="AG120" s="86" t="n"/>
      <c r="AH120" s="86" t="n"/>
      <c r="AI120" s="85" t="n"/>
      <c r="AJ120" s="85" t="n"/>
      <c r="AK120" s="85">
        <f>IF($A120="","",IF($M120&gt;0,"Yes","No"))</f>
        <v/>
      </c>
      <c r="AL120" s="85">
        <f>IF($A120="","",IF(AND($E120="Yes",OR($Y120="No",$Y120="NOT FOUND")),"YES",""))</f>
        <v/>
      </c>
      <c r="AM120" s="85">
        <f>IF($A120="","",TRIM(IF(AND($P120=0,$I120&lt;&gt;"Yes"),"T0-NoPhishResistant ","")&amp;IF($H120="No","NoMFA ","")&amp;IF(AND($P120=0,$M120&gt;0),"T0-Standing ","")&amp;IF(AND($P120=0,$Q120="Group only"),"T0-ViaGroupOnly ","")&amp;IF($W120="Yes","AlsoAzureRBAC ","")))</f>
        <v/>
      </c>
      <c r="AN120" s="85">
        <f>IF($A120="","",IF(AG120="","Not Enrolled",IF(TODAY()&gt;AG120,"Review Overdue",IF(AG120-TODAY()&lt;=30,"Review Due Soon","Active"))))</f>
        <v/>
      </c>
      <c r="AO120" s="85">
        <f>IF($A120="","",IF(AH120="","NOT REVIEWED",IF(TODAY()-AH120&gt;90,"OVERDUE",IF(TODAY()-AH120&gt;76,"Due Soon","Current"))))</f>
        <v/>
      </c>
    </row>
    <row r="121" ht="15" customHeight="1" s="39">
      <c r="A121" s="85" t="n"/>
      <c r="B121" s="85" t="n"/>
      <c r="C121" s="85" t="n"/>
      <c r="D121" s="85" t="n"/>
      <c r="E121" s="85" t="n"/>
      <c r="F121" s="86" t="n"/>
      <c r="G121" s="86" t="n"/>
      <c r="H121" s="85" t="n"/>
      <c r="I121" s="85" t="n"/>
      <c r="J121" s="85" t="n"/>
      <c r="K121" s="85" t="n"/>
      <c r="L121" s="85" t="n"/>
      <c r="M121" s="85" t="n"/>
      <c r="N121" s="85" t="n"/>
      <c r="O121" s="85" t="n"/>
      <c r="P121" s="85" t="n"/>
      <c r="Q121" s="85" t="n"/>
      <c r="R121" s="85" t="n"/>
      <c r="S121" s="85" t="n"/>
      <c r="T121" s="85" t="n"/>
      <c r="U121" s="85" t="n"/>
      <c r="V121" s="85" t="n"/>
      <c r="W121" s="85" t="n"/>
      <c r="X121" s="85" t="n"/>
      <c r="Y121" s="85" t="n"/>
      <c r="Z121" s="85" t="n"/>
      <c r="AA121" s="85" t="n"/>
      <c r="AB121" s="85" t="n"/>
      <c r="AC121" s="85" t="n"/>
      <c r="AD121" s="85" t="n"/>
      <c r="AE121" s="85" t="n"/>
      <c r="AF121" s="86" t="n"/>
      <c r="AG121" s="86" t="n"/>
      <c r="AH121" s="86" t="n"/>
      <c r="AI121" s="85" t="n"/>
      <c r="AJ121" s="85" t="n"/>
      <c r="AK121" s="85">
        <f>IF($A121="","",IF($M121&gt;0,"Yes","No"))</f>
        <v/>
      </c>
      <c r="AL121" s="85">
        <f>IF($A121="","",IF(AND($E121="Yes",OR($Y121="No",$Y121="NOT FOUND")),"YES",""))</f>
        <v/>
      </c>
      <c r="AM121" s="85">
        <f>IF($A121="","",TRIM(IF(AND($P121=0,$I121&lt;&gt;"Yes"),"T0-NoPhishResistant ","")&amp;IF($H121="No","NoMFA ","")&amp;IF(AND($P121=0,$M121&gt;0),"T0-Standing ","")&amp;IF(AND($P121=0,$Q121="Group only"),"T0-ViaGroupOnly ","")&amp;IF($W121="Yes","AlsoAzureRBAC ","")))</f>
        <v/>
      </c>
      <c r="AN121" s="85">
        <f>IF($A121="","",IF(AG121="","Not Enrolled",IF(TODAY()&gt;AG121,"Review Overdue",IF(AG121-TODAY()&lt;=30,"Review Due Soon","Active"))))</f>
        <v/>
      </c>
      <c r="AO121" s="85">
        <f>IF($A121="","",IF(AH121="","NOT REVIEWED",IF(TODAY()-AH121&gt;90,"OVERDUE",IF(TODAY()-AH121&gt;76,"Due Soon","Current"))))</f>
        <v/>
      </c>
    </row>
    <row r="122" ht="15" customHeight="1" s="39">
      <c r="A122" s="85" t="n"/>
      <c r="B122" s="85" t="n"/>
      <c r="C122" s="85" t="n"/>
      <c r="D122" s="85" t="n"/>
      <c r="E122" s="85" t="n"/>
      <c r="F122" s="86" t="n"/>
      <c r="G122" s="86" t="n"/>
      <c r="H122" s="85" t="n"/>
      <c r="I122" s="85" t="n"/>
      <c r="J122" s="85" t="n"/>
      <c r="K122" s="85" t="n"/>
      <c r="L122" s="85" t="n"/>
      <c r="M122" s="85" t="n"/>
      <c r="N122" s="85" t="n"/>
      <c r="O122" s="85" t="n"/>
      <c r="P122" s="85" t="n"/>
      <c r="Q122" s="85" t="n"/>
      <c r="R122" s="85" t="n"/>
      <c r="S122" s="85" t="n"/>
      <c r="T122" s="85" t="n"/>
      <c r="U122" s="85" t="n"/>
      <c r="V122" s="85" t="n"/>
      <c r="W122" s="85" t="n"/>
      <c r="X122" s="85" t="n"/>
      <c r="Y122" s="85" t="n"/>
      <c r="Z122" s="85" t="n"/>
      <c r="AA122" s="85" t="n"/>
      <c r="AB122" s="85" t="n"/>
      <c r="AC122" s="85" t="n"/>
      <c r="AD122" s="85" t="n"/>
      <c r="AE122" s="85" t="n"/>
      <c r="AF122" s="86" t="n"/>
      <c r="AG122" s="86" t="n"/>
      <c r="AH122" s="86" t="n"/>
      <c r="AI122" s="85" t="n"/>
      <c r="AJ122" s="85" t="n"/>
      <c r="AK122" s="85">
        <f>IF($A122="","",IF($M122&gt;0,"Yes","No"))</f>
        <v/>
      </c>
      <c r="AL122" s="85">
        <f>IF($A122="","",IF(AND($E122="Yes",OR($Y122="No",$Y122="NOT FOUND")),"YES",""))</f>
        <v/>
      </c>
      <c r="AM122" s="85">
        <f>IF($A122="","",TRIM(IF(AND($P122=0,$I122&lt;&gt;"Yes"),"T0-NoPhishResistant ","")&amp;IF($H122="No","NoMFA ","")&amp;IF(AND($P122=0,$M122&gt;0),"T0-Standing ","")&amp;IF(AND($P122=0,$Q122="Group only"),"T0-ViaGroupOnly ","")&amp;IF($W122="Yes","AlsoAzureRBAC ","")))</f>
        <v/>
      </c>
      <c r="AN122" s="85">
        <f>IF($A122="","",IF(AG122="","Not Enrolled",IF(TODAY()&gt;AG122,"Review Overdue",IF(AG122-TODAY()&lt;=30,"Review Due Soon","Active"))))</f>
        <v/>
      </c>
      <c r="AO122" s="85">
        <f>IF($A122="","",IF(AH122="","NOT REVIEWED",IF(TODAY()-AH122&gt;90,"OVERDUE",IF(TODAY()-AH122&gt;76,"Due Soon","Current"))))</f>
        <v/>
      </c>
    </row>
    <row r="123" ht="15" customHeight="1" s="39">
      <c r="A123" s="85" t="n"/>
      <c r="B123" s="85" t="n"/>
      <c r="C123" s="85" t="n"/>
      <c r="D123" s="85" t="n"/>
      <c r="E123" s="85" t="n"/>
      <c r="F123" s="86" t="n"/>
      <c r="G123" s="86" t="n"/>
      <c r="H123" s="85" t="n"/>
      <c r="I123" s="85" t="n"/>
      <c r="J123" s="85" t="n"/>
      <c r="K123" s="85" t="n"/>
      <c r="L123" s="85" t="n"/>
      <c r="M123" s="85" t="n"/>
      <c r="N123" s="85" t="n"/>
      <c r="O123" s="85" t="n"/>
      <c r="P123" s="85" t="n"/>
      <c r="Q123" s="85" t="n"/>
      <c r="R123" s="85" t="n"/>
      <c r="S123" s="85" t="n"/>
      <c r="T123" s="85" t="n"/>
      <c r="U123" s="85" t="n"/>
      <c r="V123" s="85" t="n"/>
      <c r="W123" s="85" t="n"/>
      <c r="X123" s="85" t="n"/>
      <c r="Y123" s="85" t="n"/>
      <c r="Z123" s="85" t="n"/>
      <c r="AA123" s="85" t="n"/>
      <c r="AB123" s="85" t="n"/>
      <c r="AC123" s="85" t="n"/>
      <c r="AD123" s="85" t="n"/>
      <c r="AE123" s="85" t="n"/>
      <c r="AF123" s="86" t="n"/>
      <c r="AG123" s="86" t="n"/>
      <c r="AH123" s="86" t="n"/>
      <c r="AI123" s="85" t="n"/>
      <c r="AJ123" s="85" t="n"/>
      <c r="AK123" s="85">
        <f>IF($A123="","",IF($M123&gt;0,"Yes","No"))</f>
        <v/>
      </c>
      <c r="AL123" s="85">
        <f>IF($A123="","",IF(AND($E123="Yes",OR($Y123="No",$Y123="NOT FOUND")),"YES",""))</f>
        <v/>
      </c>
      <c r="AM123" s="85">
        <f>IF($A123="","",TRIM(IF(AND($P123=0,$I123&lt;&gt;"Yes"),"T0-NoPhishResistant ","")&amp;IF($H123="No","NoMFA ","")&amp;IF(AND($P123=0,$M123&gt;0),"T0-Standing ","")&amp;IF(AND($P123=0,$Q123="Group only"),"T0-ViaGroupOnly ","")&amp;IF($W123="Yes","AlsoAzureRBAC ","")))</f>
        <v/>
      </c>
      <c r="AN123" s="85">
        <f>IF($A123="","",IF(AG123="","Not Enrolled",IF(TODAY()&gt;AG123,"Review Overdue",IF(AG123-TODAY()&lt;=30,"Review Due Soon","Active"))))</f>
        <v/>
      </c>
      <c r="AO123" s="85">
        <f>IF($A123="","",IF(AH123="","NOT REVIEWED",IF(TODAY()-AH123&gt;90,"OVERDUE",IF(TODAY()-AH123&gt;76,"Due Soon","Current"))))</f>
        <v/>
      </c>
    </row>
    <row r="124" ht="15" customHeight="1" s="39">
      <c r="A124" s="85" t="n"/>
      <c r="B124" s="85" t="n"/>
      <c r="C124" s="85" t="n"/>
      <c r="D124" s="85" t="n"/>
      <c r="E124" s="85" t="n"/>
      <c r="F124" s="86" t="n"/>
      <c r="G124" s="86" t="n"/>
      <c r="H124" s="85" t="n"/>
      <c r="I124" s="85" t="n"/>
      <c r="J124" s="85" t="n"/>
      <c r="K124" s="85" t="n"/>
      <c r="L124" s="85" t="n"/>
      <c r="M124" s="85" t="n"/>
      <c r="N124" s="85" t="n"/>
      <c r="O124" s="85" t="n"/>
      <c r="P124" s="85" t="n"/>
      <c r="Q124" s="85" t="n"/>
      <c r="R124" s="85" t="n"/>
      <c r="S124" s="85" t="n"/>
      <c r="T124" s="85" t="n"/>
      <c r="U124" s="85" t="n"/>
      <c r="V124" s="85" t="n"/>
      <c r="W124" s="85" t="n"/>
      <c r="X124" s="85" t="n"/>
      <c r="Y124" s="85" t="n"/>
      <c r="Z124" s="85" t="n"/>
      <c r="AA124" s="85" t="n"/>
      <c r="AB124" s="85" t="n"/>
      <c r="AC124" s="85" t="n"/>
      <c r="AD124" s="85" t="n"/>
      <c r="AE124" s="85" t="n"/>
      <c r="AF124" s="86" t="n"/>
      <c r="AG124" s="86" t="n"/>
      <c r="AH124" s="86" t="n"/>
      <c r="AI124" s="85" t="n"/>
      <c r="AJ124" s="85" t="n"/>
      <c r="AK124" s="85">
        <f>IF($A124="","",IF($M124&gt;0,"Yes","No"))</f>
        <v/>
      </c>
      <c r="AL124" s="85">
        <f>IF($A124="","",IF(AND($E124="Yes",OR($Y124="No",$Y124="NOT FOUND")),"YES",""))</f>
        <v/>
      </c>
      <c r="AM124" s="85">
        <f>IF($A124="","",TRIM(IF(AND($P124=0,$I124&lt;&gt;"Yes"),"T0-NoPhishResistant ","")&amp;IF($H124="No","NoMFA ","")&amp;IF(AND($P124=0,$M124&gt;0),"T0-Standing ","")&amp;IF(AND($P124=0,$Q124="Group only"),"T0-ViaGroupOnly ","")&amp;IF($W124="Yes","AlsoAzureRBAC ","")))</f>
        <v/>
      </c>
      <c r="AN124" s="85">
        <f>IF($A124="","",IF(AG124="","Not Enrolled",IF(TODAY()&gt;AG124,"Review Overdue",IF(AG124-TODAY()&lt;=30,"Review Due Soon","Active"))))</f>
        <v/>
      </c>
      <c r="AO124" s="85">
        <f>IF($A124="","",IF(AH124="","NOT REVIEWED",IF(TODAY()-AH124&gt;90,"OVERDUE",IF(TODAY()-AH124&gt;76,"Due Soon","Current"))))</f>
        <v/>
      </c>
    </row>
    <row r="125" ht="15" customHeight="1" s="39">
      <c r="A125" s="85" t="n"/>
      <c r="B125" s="85" t="n"/>
      <c r="C125" s="85" t="n"/>
      <c r="D125" s="85" t="n"/>
      <c r="E125" s="85" t="n"/>
      <c r="F125" s="86" t="n"/>
      <c r="G125" s="86" t="n"/>
      <c r="H125" s="85" t="n"/>
      <c r="I125" s="85" t="n"/>
      <c r="J125" s="85" t="n"/>
      <c r="K125" s="85" t="n"/>
      <c r="L125" s="85" t="n"/>
      <c r="M125" s="85" t="n"/>
      <c r="N125" s="85" t="n"/>
      <c r="O125" s="85" t="n"/>
      <c r="P125" s="85" t="n"/>
      <c r="Q125" s="85" t="n"/>
      <c r="R125" s="85" t="n"/>
      <c r="S125" s="85" t="n"/>
      <c r="T125" s="85" t="n"/>
      <c r="U125" s="85" t="n"/>
      <c r="V125" s="85" t="n"/>
      <c r="W125" s="85" t="n"/>
      <c r="X125" s="85" t="n"/>
      <c r="Y125" s="85" t="n"/>
      <c r="Z125" s="85" t="n"/>
      <c r="AA125" s="85" t="n"/>
      <c r="AB125" s="85" t="n"/>
      <c r="AC125" s="85" t="n"/>
      <c r="AD125" s="85" t="n"/>
      <c r="AE125" s="85" t="n"/>
      <c r="AF125" s="86" t="n"/>
      <c r="AG125" s="86" t="n"/>
      <c r="AH125" s="86" t="n"/>
      <c r="AI125" s="85" t="n"/>
      <c r="AJ125" s="85" t="n"/>
      <c r="AK125" s="85">
        <f>IF($A125="","",IF($M125&gt;0,"Yes","No"))</f>
        <v/>
      </c>
      <c r="AL125" s="85">
        <f>IF($A125="","",IF(AND($E125="Yes",OR($Y125="No",$Y125="NOT FOUND")),"YES",""))</f>
        <v/>
      </c>
      <c r="AM125" s="85">
        <f>IF($A125="","",TRIM(IF(AND($P125=0,$I125&lt;&gt;"Yes"),"T0-NoPhishResistant ","")&amp;IF($H125="No","NoMFA ","")&amp;IF(AND($P125=0,$M125&gt;0),"T0-Standing ","")&amp;IF(AND($P125=0,$Q125="Group only"),"T0-ViaGroupOnly ","")&amp;IF($W125="Yes","AlsoAzureRBAC ","")))</f>
        <v/>
      </c>
      <c r="AN125" s="85">
        <f>IF($A125="","",IF(AG125="","Not Enrolled",IF(TODAY()&gt;AG125,"Review Overdue",IF(AG125-TODAY()&lt;=30,"Review Due Soon","Active"))))</f>
        <v/>
      </c>
      <c r="AO125" s="85">
        <f>IF($A125="","",IF(AH125="","NOT REVIEWED",IF(TODAY()-AH125&gt;90,"OVERDUE",IF(TODAY()-AH125&gt;76,"Due Soon","Current"))))</f>
        <v/>
      </c>
    </row>
    <row r="126" ht="15" customHeight="1" s="39">
      <c r="A126" s="85" t="n"/>
      <c r="B126" s="85" t="n"/>
      <c r="C126" s="85" t="n"/>
      <c r="D126" s="85" t="n"/>
      <c r="E126" s="85" t="n"/>
      <c r="F126" s="86" t="n"/>
      <c r="G126" s="86" t="n"/>
      <c r="H126" s="85" t="n"/>
      <c r="I126" s="85" t="n"/>
      <c r="J126" s="85" t="n"/>
      <c r="K126" s="85" t="n"/>
      <c r="L126" s="85" t="n"/>
      <c r="M126" s="85" t="n"/>
      <c r="N126" s="85" t="n"/>
      <c r="O126" s="85" t="n"/>
      <c r="P126" s="85" t="n"/>
      <c r="Q126" s="85" t="n"/>
      <c r="R126" s="85" t="n"/>
      <c r="S126" s="85" t="n"/>
      <c r="T126" s="85" t="n"/>
      <c r="U126" s="85" t="n"/>
      <c r="V126" s="85" t="n"/>
      <c r="W126" s="85" t="n"/>
      <c r="X126" s="85" t="n"/>
      <c r="Y126" s="85" t="n"/>
      <c r="Z126" s="85" t="n"/>
      <c r="AA126" s="85" t="n"/>
      <c r="AB126" s="85" t="n"/>
      <c r="AC126" s="85" t="n"/>
      <c r="AD126" s="85" t="n"/>
      <c r="AE126" s="85" t="n"/>
      <c r="AF126" s="86" t="n"/>
      <c r="AG126" s="86" t="n"/>
      <c r="AH126" s="86" t="n"/>
      <c r="AI126" s="85" t="n"/>
      <c r="AJ126" s="85" t="n"/>
      <c r="AK126" s="85">
        <f>IF($A126="","",IF($M126&gt;0,"Yes","No"))</f>
        <v/>
      </c>
      <c r="AL126" s="85">
        <f>IF($A126="","",IF(AND($E126="Yes",OR($Y126="No",$Y126="NOT FOUND")),"YES",""))</f>
        <v/>
      </c>
      <c r="AM126" s="85">
        <f>IF($A126="","",TRIM(IF(AND($P126=0,$I126&lt;&gt;"Yes"),"T0-NoPhishResistant ","")&amp;IF($H126="No","NoMFA ","")&amp;IF(AND($P126=0,$M126&gt;0),"T0-Standing ","")&amp;IF(AND($P126=0,$Q126="Group only"),"T0-ViaGroupOnly ","")&amp;IF($W126="Yes","AlsoAzureRBAC ","")))</f>
        <v/>
      </c>
      <c r="AN126" s="85">
        <f>IF($A126="","",IF(AG126="","Not Enrolled",IF(TODAY()&gt;AG126,"Review Overdue",IF(AG126-TODAY()&lt;=30,"Review Due Soon","Active"))))</f>
        <v/>
      </c>
      <c r="AO126" s="85">
        <f>IF($A126="","",IF(AH126="","NOT REVIEWED",IF(TODAY()-AH126&gt;90,"OVERDUE",IF(TODAY()-AH126&gt;76,"Due Soon","Current"))))</f>
        <v/>
      </c>
    </row>
    <row r="127" ht="15" customHeight="1" s="39">
      <c r="A127" s="85" t="n"/>
      <c r="B127" s="85" t="n"/>
      <c r="C127" s="85" t="n"/>
      <c r="D127" s="85" t="n"/>
      <c r="E127" s="85" t="n"/>
      <c r="F127" s="86" t="n"/>
      <c r="G127" s="86" t="n"/>
      <c r="H127" s="85" t="n"/>
      <c r="I127" s="85" t="n"/>
      <c r="J127" s="85" t="n"/>
      <c r="K127" s="85" t="n"/>
      <c r="L127" s="85" t="n"/>
      <c r="M127" s="85" t="n"/>
      <c r="N127" s="85" t="n"/>
      <c r="O127" s="85" t="n"/>
      <c r="P127" s="85" t="n"/>
      <c r="Q127" s="85" t="n"/>
      <c r="R127" s="85" t="n"/>
      <c r="S127" s="85" t="n"/>
      <c r="T127" s="85" t="n"/>
      <c r="U127" s="85" t="n"/>
      <c r="V127" s="85" t="n"/>
      <c r="W127" s="85" t="n"/>
      <c r="X127" s="85" t="n"/>
      <c r="Y127" s="85" t="n"/>
      <c r="Z127" s="85" t="n"/>
      <c r="AA127" s="85" t="n"/>
      <c r="AB127" s="85" t="n"/>
      <c r="AC127" s="85" t="n"/>
      <c r="AD127" s="85" t="n"/>
      <c r="AE127" s="85" t="n"/>
      <c r="AF127" s="86" t="n"/>
      <c r="AG127" s="86" t="n"/>
      <c r="AH127" s="86" t="n"/>
      <c r="AI127" s="85" t="n"/>
      <c r="AJ127" s="85" t="n"/>
      <c r="AK127" s="85">
        <f>IF($A127="","",IF($M127&gt;0,"Yes","No"))</f>
        <v/>
      </c>
      <c r="AL127" s="85">
        <f>IF($A127="","",IF(AND($E127="Yes",OR($Y127="No",$Y127="NOT FOUND")),"YES",""))</f>
        <v/>
      </c>
      <c r="AM127" s="85">
        <f>IF($A127="","",TRIM(IF(AND($P127=0,$I127&lt;&gt;"Yes"),"T0-NoPhishResistant ","")&amp;IF($H127="No","NoMFA ","")&amp;IF(AND($P127=0,$M127&gt;0),"T0-Standing ","")&amp;IF(AND($P127=0,$Q127="Group only"),"T0-ViaGroupOnly ","")&amp;IF($W127="Yes","AlsoAzureRBAC ","")))</f>
        <v/>
      </c>
      <c r="AN127" s="85">
        <f>IF($A127="","",IF(AG127="","Not Enrolled",IF(TODAY()&gt;AG127,"Review Overdue",IF(AG127-TODAY()&lt;=30,"Review Due Soon","Active"))))</f>
        <v/>
      </c>
      <c r="AO127" s="85">
        <f>IF($A127="","",IF(AH127="","NOT REVIEWED",IF(TODAY()-AH127&gt;90,"OVERDUE",IF(TODAY()-AH127&gt;76,"Due Soon","Current"))))</f>
        <v/>
      </c>
    </row>
    <row r="128" ht="15" customHeight="1" s="39">
      <c r="A128" s="85" t="n"/>
      <c r="B128" s="85" t="n"/>
      <c r="C128" s="85" t="n"/>
      <c r="D128" s="85" t="n"/>
      <c r="E128" s="85" t="n"/>
      <c r="F128" s="86" t="n"/>
      <c r="G128" s="86" t="n"/>
      <c r="H128" s="85" t="n"/>
      <c r="I128" s="85" t="n"/>
      <c r="J128" s="85" t="n"/>
      <c r="K128" s="85" t="n"/>
      <c r="L128" s="85" t="n"/>
      <c r="M128" s="85" t="n"/>
      <c r="N128" s="85" t="n"/>
      <c r="O128" s="85" t="n"/>
      <c r="P128" s="85" t="n"/>
      <c r="Q128" s="85" t="n"/>
      <c r="R128" s="85" t="n"/>
      <c r="S128" s="85" t="n"/>
      <c r="T128" s="85" t="n"/>
      <c r="U128" s="85" t="n"/>
      <c r="V128" s="85" t="n"/>
      <c r="W128" s="85" t="n"/>
      <c r="X128" s="85" t="n"/>
      <c r="Y128" s="85" t="n"/>
      <c r="Z128" s="85" t="n"/>
      <c r="AA128" s="85" t="n"/>
      <c r="AB128" s="85" t="n"/>
      <c r="AC128" s="85" t="n"/>
      <c r="AD128" s="85" t="n"/>
      <c r="AE128" s="85" t="n"/>
      <c r="AF128" s="86" t="n"/>
      <c r="AG128" s="86" t="n"/>
      <c r="AH128" s="86" t="n"/>
      <c r="AI128" s="85" t="n"/>
      <c r="AJ128" s="85" t="n"/>
      <c r="AK128" s="85">
        <f>IF($A128="","",IF($M128&gt;0,"Yes","No"))</f>
        <v/>
      </c>
      <c r="AL128" s="85">
        <f>IF($A128="","",IF(AND($E128="Yes",OR($Y128="No",$Y128="NOT FOUND")),"YES",""))</f>
        <v/>
      </c>
      <c r="AM128" s="85">
        <f>IF($A128="","",TRIM(IF(AND($P128=0,$I128&lt;&gt;"Yes"),"T0-NoPhishResistant ","")&amp;IF($H128="No","NoMFA ","")&amp;IF(AND($P128=0,$M128&gt;0),"T0-Standing ","")&amp;IF(AND($P128=0,$Q128="Group only"),"T0-ViaGroupOnly ","")&amp;IF($W128="Yes","AlsoAzureRBAC ","")))</f>
        <v/>
      </c>
      <c r="AN128" s="85">
        <f>IF($A128="","",IF(AG128="","Not Enrolled",IF(TODAY()&gt;AG128,"Review Overdue",IF(AG128-TODAY()&lt;=30,"Review Due Soon","Active"))))</f>
        <v/>
      </c>
      <c r="AO128" s="85">
        <f>IF($A128="","",IF(AH128="","NOT REVIEWED",IF(TODAY()-AH128&gt;90,"OVERDUE",IF(TODAY()-AH128&gt;76,"Due Soon","Current"))))</f>
        <v/>
      </c>
    </row>
    <row r="129" ht="15" customHeight="1" s="39">
      <c r="A129" s="85" t="n"/>
      <c r="B129" s="85" t="n"/>
      <c r="C129" s="85" t="n"/>
      <c r="D129" s="85" t="n"/>
      <c r="E129" s="85" t="n"/>
      <c r="F129" s="86" t="n"/>
      <c r="G129" s="86" t="n"/>
      <c r="H129" s="85" t="n"/>
      <c r="I129" s="85" t="n"/>
      <c r="J129" s="85" t="n"/>
      <c r="K129" s="85" t="n"/>
      <c r="L129" s="85" t="n"/>
      <c r="M129" s="85" t="n"/>
      <c r="N129" s="85" t="n"/>
      <c r="O129" s="85" t="n"/>
      <c r="P129" s="85" t="n"/>
      <c r="Q129" s="85" t="n"/>
      <c r="R129" s="85" t="n"/>
      <c r="S129" s="85" t="n"/>
      <c r="T129" s="85" t="n"/>
      <c r="U129" s="85" t="n"/>
      <c r="V129" s="85" t="n"/>
      <c r="W129" s="85" t="n"/>
      <c r="X129" s="85" t="n"/>
      <c r="Y129" s="85" t="n"/>
      <c r="Z129" s="85" t="n"/>
      <c r="AA129" s="85" t="n"/>
      <c r="AB129" s="85" t="n"/>
      <c r="AC129" s="85" t="n"/>
      <c r="AD129" s="85" t="n"/>
      <c r="AE129" s="85" t="n"/>
      <c r="AF129" s="86" t="n"/>
      <c r="AG129" s="86" t="n"/>
      <c r="AH129" s="86" t="n"/>
      <c r="AI129" s="85" t="n"/>
      <c r="AJ129" s="85" t="n"/>
      <c r="AK129" s="85">
        <f>IF($A129="","",IF($M129&gt;0,"Yes","No"))</f>
        <v/>
      </c>
      <c r="AL129" s="85">
        <f>IF($A129="","",IF(AND($E129="Yes",OR($Y129="No",$Y129="NOT FOUND")),"YES",""))</f>
        <v/>
      </c>
      <c r="AM129" s="85">
        <f>IF($A129="","",TRIM(IF(AND($P129=0,$I129&lt;&gt;"Yes"),"T0-NoPhishResistant ","")&amp;IF($H129="No","NoMFA ","")&amp;IF(AND($P129=0,$M129&gt;0),"T0-Standing ","")&amp;IF(AND($P129=0,$Q129="Group only"),"T0-ViaGroupOnly ","")&amp;IF($W129="Yes","AlsoAzureRBAC ","")))</f>
        <v/>
      </c>
      <c r="AN129" s="85">
        <f>IF($A129="","",IF(AG129="","Not Enrolled",IF(TODAY()&gt;AG129,"Review Overdue",IF(AG129-TODAY()&lt;=30,"Review Due Soon","Active"))))</f>
        <v/>
      </c>
      <c r="AO129" s="85">
        <f>IF($A129="","",IF(AH129="","NOT REVIEWED",IF(TODAY()-AH129&gt;90,"OVERDUE",IF(TODAY()-AH129&gt;76,"Due Soon","Current"))))</f>
        <v/>
      </c>
    </row>
    <row r="130" ht="15" customHeight="1" s="39">
      <c r="A130" s="85" t="n"/>
      <c r="B130" s="85" t="n"/>
      <c r="C130" s="85" t="n"/>
      <c r="D130" s="85" t="n"/>
      <c r="E130" s="85" t="n"/>
      <c r="F130" s="86" t="n"/>
      <c r="G130" s="86" t="n"/>
      <c r="H130" s="85" t="n"/>
      <c r="I130" s="85" t="n"/>
      <c r="J130" s="85" t="n"/>
      <c r="K130" s="85" t="n"/>
      <c r="L130" s="85" t="n"/>
      <c r="M130" s="85" t="n"/>
      <c r="N130" s="85" t="n"/>
      <c r="O130" s="85" t="n"/>
      <c r="P130" s="85" t="n"/>
      <c r="Q130" s="85" t="n"/>
      <c r="R130" s="85" t="n"/>
      <c r="S130" s="85" t="n"/>
      <c r="T130" s="85" t="n"/>
      <c r="U130" s="85" t="n"/>
      <c r="V130" s="85" t="n"/>
      <c r="W130" s="85" t="n"/>
      <c r="X130" s="85" t="n"/>
      <c r="Y130" s="85" t="n"/>
      <c r="Z130" s="85" t="n"/>
      <c r="AA130" s="85" t="n"/>
      <c r="AB130" s="85" t="n"/>
      <c r="AC130" s="85" t="n"/>
      <c r="AD130" s="85" t="n"/>
      <c r="AE130" s="85" t="n"/>
      <c r="AF130" s="86" t="n"/>
      <c r="AG130" s="86" t="n"/>
      <c r="AH130" s="86" t="n"/>
      <c r="AI130" s="85" t="n"/>
      <c r="AJ130" s="85" t="n"/>
      <c r="AK130" s="85">
        <f>IF($A130="","",IF($M130&gt;0,"Yes","No"))</f>
        <v/>
      </c>
      <c r="AL130" s="85">
        <f>IF($A130="","",IF(AND($E130="Yes",OR($Y130="No",$Y130="NOT FOUND")),"YES",""))</f>
        <v/>
      </c>
      <c r="AM130" s="85">
        <f>IF($A130="","",TRIM(IF(AND($P130=0,$I130&lt;&gt;"Yes"),"T0-NoPhishResistant ","")&amp;IF($H130="No","NoMFA ","")&amp;IF(AND($P130=0,$M130&gt;0),"T0-Standing ","")&amp;IF(AND($P130=0,$Q130="Group only"),"T0-ViaGroupOnly ","")&amp;IF($W130="Yes","AlsoAzureRBAC ","")))</f>
        <v/>
      </c>
      <c r="AN130" s="85">
        <f>IF($A130="","",IF(AG130="","Not Enrolled",IF(TODAY()&gt;AG130,"Review Overdue",IF(AG130-TODAY()&lt;=30,"Review Due Soon","Active"))))</f>
        <v/>
      </c>
      <c r="AO130" s="85">
        <f>IF($A130="","",IF(AH130="","NOT REVIEWED",IF(TODAY()-AH130&gt;90,"OVERDUE",IF(TODAY()-AH130&gt;76,"Due Soon","Current"))))</f>
        <v/>
      </c>
    </row>
    <row r="131" ht="15" customHeight="1" s="39">
      <c r="A131" s="85" t="n"/>
      <c r="B131" s="85" t="n"/>
      <c r="C131" s="85" t="n"/>
      <c r="D131" s="85" t="n"/>
      <c r="E131" s="85" t="n"/>
      <c r="F131" s="86" t="n"/>
      <c r="G131" s="86" t="n"/>
      <c r="H131" s="85" t="n"/>
      <c r="I131" s="85" t="n"/>
      <c r="J131" s="85" t="n"/>
      <c r="K131" s="85" t="n"/>
      <c r="L131" s="85" t="n"/>
      <c r="M131" s="85" t="n"/>
      <c r="N131" s="85" t="n"/>
      <c r="O131" s="85" t="n"/>
      <c r="P131" s="85" t="n"/>
      <c r="Q131" s="85" t="n"/>
      <c r="R131" s="85" t="n"/>
      <c r="S131" s="85" t="n"/>
      <c r="T131" s="85" t="n"/>
      <c r="U131" s="85" t="n"/>
      <c r="V131" s="85" t="n"/>
      <c r="W131" s="85" t="n"/>
      <c r="X131" s="85" t="n"/>
      <c r="Y131" s="85" t="n"/>
      <c r="Z131" s="85" t="n"/>
      <c r="AA131" s="85" t="n"/>
      <c r="AB131" s="85" t="n"/>
      <c r="AC131" s="85" t="n"/>
      <c r="AD131" s="85" t="n"/>
      <c r="AE131" s="85" t="n"/>
      <c r="AF131" s="86" t="n"/>
      <c r="AG131" s="86" t="n"/>
      <c r="AH131" s="86" t="n"/>
      <c r="AI131" s="85" t="n"/>
      <c r="AJ131" s="85" t="n"/>
      <c r="AK131" s="85">
        <f>IF($A131="","",IF($M131&gt;0,"Yes","No"))</f>
        <v/>
      </c>
      <c r="AL131" s="85">
        <f>IF($A131="","",IF(AND($E131="Yes",OR($Y131="No",$Y131="NOT FOUND")),"YES",""))</f>
        <v/>
      </c>
      <c r="AM131" s="85">
        <f>IF($A131="","",TRIM(IF(AND($P131=0,$I131&lt;&gt;"Yes"),"T0-NoPhishResistant ","")&amp;IF($H131="No","NoMFA ","")&amp;IF(AND($P131=0,$M131&gt;0),"T0-Standing ","")&amp;IF(AND($P131=0,$Q131="Group only"),"T0-ViaGroupOnly ","")&amp;IF($W131="Yes","AlsoAzureRBAC ","")))</f>
        <v/>
      </c>
      <c r="AN131" s="85">
        <f>IF($A131="","",IF(AG131="","Not Enrolled",IF(TODAY()&gt;AG131,"Review Overdue",IF(AG131-TODAY()&lt;=30,"Review Due Soon","Active"))))</f>
        <v/>
      </c>
      <c r="AO131" s="85">
        <f>IF($A131="","",IF(AH131="","NOT REVIEWED",IF(TODAY()-AH131&gt;90,"OVERDUE",IF(TODAY()-AH131&gt;76,"Due Soon","Current"))))</f>
        <v/>
      </c>
    </row>
    <row r="132" ht="15" customHeight="1" s="39">
      <c r="A132" s="85" t="n"/>
      <c r="B132" s="85" t="n"/>
      <c r="C132" s="85" t="n"/>
      <c r="D132" s="85" t="n"/>
      <c r="E132" s="85" t="n"/>
      <c r="F132" s="86" t="n"/>
      <c r="G132" s="86" t="n"/>
      <c r="H132" s="85" t="n"/>
      <c r="I132" s="85" t="n"/>
      <c r="J132" s="85" t="n"/>
      <c r="K132" s="85" t="n"/>
      <c r="L132" s="85" t="n"/>
      <c r="M132" s="85" t="n"/>
      <c r="N132" s="85" t="n"/>
      <c r="O132" s="85" t="n"/>
      <c r="P132" s="85" t="n"/>
      <c r="Q132" s="85" t="n"/>
      <c r="R132" s="85" t="n"/>
      <c r="S132" s="85" t="n"/>
      <c r="T132" s="85" t="n"/>
      <c r="U132" s="85" t="n"/>
      <c r="V132" s="85" t="n"/>
      <c r="W132" s="85" t="n"/>
      <c r="X132" s="85" t="n"/>
      <c r="Y132" s="85" t="n"/>
      <c r="Z132" s="85" t="n"/>
      <c r="AA132" s="85" t="n"/>
      <c r="AB132" s="85" t="n"/>
      <c r="AC132" s="85" t="n"/>
      <c r="AD132" s="85" t="n"/>
      <c r="AE132" s="85" t="n"/>
      <c r="AF132" s="86" t="n"/>
      <c r="AG132" s="86" t="n"/>
      <c r="AH132" s="86" t="n"/>
      <c r="AI132" s="85" t="n"/>
      <c r="AJ132" s="85" t="n"/>
      <c r="AK132" s="85">
        <f>IF($A132="","",IF($M132&gt;0,"Yes","No"))</f>
        <v/>
      </c>
      <c r="AL132" s="85">
        <f>IF($A132="","",IF(AND($E132="Yes",OR($Y132="No",$Y132="NOT FOUND")),"YES",""))</f>
        <v/>
      </c>
      <c r="AM132" s="85">
        <f>IF($A132="","",TRIM(IF(AND($P132=0,$I132&lt;&gt;"Yes"),"T0-NoPhishResistant ","")&amp;IF($H132="No","NoMFA ","")&amp;IF(AND($P132=0,$M132&gt;0),"T0-Standing ","")&amp;IF(AND($P132=0,$Q132="Group only"),"T0-ViaGroupOnly ","")&amp;IF($W132="Yes","AlsoAzureRBAC ","")))</f>
        <v/>
      </c>
      <c r="AN132" s="85">
        <f>IF($A132="","",IF(AG132="","Not Enrolled",IF(TODAY()&gt;AG132,"Review Overdue",IF(AG132-TODAY()&lt;=30,"Review Due Soon","Active"))))</f>
        <v/>
      </c>
      <c r="AO132" s="85">
        <f>IF($A132="","",IF(AH132="","NOT REVIEWED",IF(TODAY()-AH132&gt;90,"OVERDUE",IF(TODAY()-AH132&gt;76,"Due Soon","Current"))))</f>
        <v/>
      </c>
    </row>
    <row r="133" ht="15" customHeight="1" s="39">
      <c r="A133" s="85" t="n"/>
      <c r="B133" s="85" t="n"/>
      <c r="C133" s="85" t="n"/>
      <c r="D133" s="85" t="n"/>
      <c r="E133" s="85" t="n"/>
      <c r="F133" s="86" t="n"/>
      <c r="G133" s="86" t="n"/>
      <c r="H133" s="85" t="n"/>
      <c r="I133" s="85" t="n"/>
      <c r="J133" s="85" t="n"/>
      <c r="K133" s="85" t="n"/>
      <c r="L133" s="85" t="n"/>
      <c r="M133" s="85" t="n"/>
      <c r="N133" s="85" t="n"/>
      <c r="O133" s="85" t="n"/>
      <c r="P133" s="85" t="n"/>
      <c r="Q133" s="85" t="n"/>
      <c r="R133" s="85" t="n"/>
      <c r="S133" s="85" t="n"/>
      <c r="T133" s="85" t="n"/>
      <c r="U133" s="85" t="n"/>
      <c r="V133" s="85" t="n"/>
      <c r="W133" s="85" t="n"/>
      <c r="X133" s="85" t="n"/>
      <c r="Y133" s="85" t="n"/>
      <c r="Z133" s="85" t="n"/>
      <c r="AA133" s="85" t="n"/>
      <c r="AB133" s="85" t="n"/>
      <c r="AC133" s="85" t="n"/>
      <c r="AD133" s="85" t="n"/>
      <c r="AE133" s="85" t="n"/>
      <c r="AF133" s="86" t="n"/>
      <c r="AG133" s="86" t="n"/>
      <c r="AH133" s="86" t="n"/>
      <c r="AI133" s="85" t="n"/>
      <c r="AJ133" s="85" t="n"/>
      <c r="AK133" s="85">
        <f>IF($A133="","",IF($M133&gt;0,"Yes","No"))</f>
        <v/>
      </c>
      <c r="AL133" s="85">
        <f>IF($A133="","",IF(AND($E133="Yes",OR($Y133="No",$Y133="NOT FOUND")),"YES",""))</f>
        <v/>
      </c>
      <c r="AM133" s="85">
        <f>IF($A133="","",TRIM(IF(AND($P133=0,$I133&lt;&gt;"Yes"),"T0-NoPhishResistant ","")&amp;IF($H133="No","NoMFA ","")&amp;IF(AND($P133=0,$M133&gt;0),"T0-Standing ","")&amp;IF(AND($P133=0,$Q133="Group only"),"T0-ViaGroupOnly ","")&amp;IF($W133="Yes","AlsoAzureRBAC ","")))</f>
        <v/>
      </c>
      <c r="AN133" s="85">
        <f>IF($A133="","",IF(AG133="","Not Enrolled",IF(TODAY()&gt;AG133,"Review Overdue",IF(AG133-TODAY()&lt;=30,"Review Due Soon","Active"))))</f>
        <v/>
      </c>
      <c r="AO133" s="85">
        <f>IF($A133="","",IF(AH133="","NOT REVIEWED",IF(TODAY()-AH133&gt;90,"OVERDUE",IF(TODAY()-AH133&gt;76,"Due Soon","Current"))))</f>
        <v/>
      </c>
    </row>
    <row r="134" ht="15" customHeight="1" s="39">
      <c r="A134" s="85" t="n"/>
      <c r="B134" s="85" t="n"/>
      <c r="C134" s="85" t="n"/>
      <c r="D134" s="85" t="n"/>
      <c r="E134" s="85" t="n"/>
      <c r="F134" s="86" t="n"/>
      <c r="G134" s="86" t="n"/>
      <c r="H134" s="85" t="n"/>
      <c r="I134" s="85" t="n"/>
      <c r="J134" s="85" t="n"/>
      <c r="K134" s="85" t="n"/>
      <c r="L134" s="85" t="n"/>
      <c r="M134" s="85" t="n"/>
      <c r="N134" s="85" t="n"/>
      <c r="O134" s="85" t="n"/>
      <c r="P134" s="85" t="n"/>
      <c r="Q134" s="85" t="n"/>
      <c r="R134" s="85" t="n"/>
      <c r="S134" s="85" t="n"/>
      <c r="T134" s="85" t="n"/>
      <c r="U134" s="85" t="n"/>
      <c r="V134" s="85" t="n"/>
      <c r="W134" s="85" t="n"/>
      <c r="X134" s="85" t="n"/>
      <c r="Y134" s="85" t="n"/>
      <c r="Z134" s="85" t="n"/>
      <c r="AA134" s="85" t="n"/>
      <c r="AB134" s="85" t="n"/>
      <c r="AC134" s="85" t="n"/>
      <c r="AD134" s="85" t="n"/>
      <c r="AE134" s="85" t="n"/>
      <c r="AF134" s="86" t="n"/>
      <c r="AG134" s="86" t="n"/>
      <c r="AH134" s="86" t="n"/>
      <c r="AI134" s="85" t="n"/>
      <c r="AJ134" s="85" t="n"/>
      <c r="AK134" s="85">
        <f>IF($A134="","",IF($M134&gt;0,"Yes","No"))</f>
        <v/>
      </c>
      <c r="AL134" s="85">
        <f>IF($A134="","",IF(AND($E134="Yes",OR($Y134="No",$Y134="NOT FOUND")),"YES",""))</f>
        <v/>
      </c>
      <c r="AM134" s="85">
        <f>IF($A134="","",TRIM(IF(AND($P134=0,$I134&lt;&gt;"Yes"),"T0-NoPhishResistant ","")&amp;IF($H134="No","NoMFA ","")&amp;IF(AND($P134=0,$M134&gt;0),"T0-Standing ","")&amp;IF(AND($P134=0,$Q134="Group only"),"T0-ViaGroupOnly ","")&amp;IF($W134="Yes","AlsoAzureRBAC ","")))</f>
        <v/>
      </c>
      <c r="AN134" s="85">
        <f>IF($A134="","",IF(AG134="","Not Enrolled",IF(TODAY()&gt;AG134,"Review Overdue",IF(AG134-TODAY()&lt;=30,"Review Due Soon","Active"))))</f>
        <v/>
      </c>
      <c r="AO134" s="85">
        <f>IF($A134="","",IF(AH134="","NOT REVIEWED",IF(TODAY()-AH134&gt;90,"OVERDUE",IF(TODAY()-AH134&gt;76,"Due Soon","Current"))))</f>
        <v/>
      </c>
    </row>
    <row r="135" ht="15" customHeight="1" s="39">
      <c r="A135" s="85" t="n"/>
      <c r="B135" s="85" t="n"/>
      <c r="C135" s="85" t="n"/>
      <c r="D135" s="85" t="n"/>
      <c r="E135" s="85" t="n"/>
      <c r="F135" s="86" t="n"/>
      <c r="G135" s="86"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6" t="n"/>
      <c r="AG135" s="86" t="n"/>
      <c r="AH135" s="86" t="n"/>
      <c r="AI135" s="85" t="n"/>
      <c r="AJ135" s="85" t="n"/>
      <c r="AK135" s="85">
        <f>IF($A135="","",IF($M135&gt;0,"Yes","No"))</f>
        <v/>
      </c>
      <c r="AL135" s="85">
        <f>IF($A135="","",IF(AND($E135="Yes",OR($Y135="No",$Y135="NOT FOUND")),"YES",""))</f>
        <v/>
      </c>
      <c r="AM135" s="85">
        <f>IF($A135="","",TRIM(IF(AND($P135=0,$I135&lt;&gt;"Yes"),"T0-NoPhishResistant ","")&amp;IF($H135="No","NoMFA ","")&amp;IF(AND($P135=0,$M135&gt;0),"T0-Standing ","")&amp;IF(AND($P135=0,$Q135="Group only"),"T0-ViaGroupOnly ","")&amp;IF($W135="Yes","AlsoAzureRBAC ","")))</f>
        <v/>
      </c>
      <c r="AN135" s="85">
        <f>IF($A135="","",IF(AG135="","Not Enrolled",IF(TODAY()&gt;AG135,"Review Overdue",IF(AG135-TODAY()&lt;=30,"Review Due Soon","Active"))))</f>
        <v/>
      </c>
      <c r="AO135" s="85">
        <f>IF($A135="","",IF(AH135="","NOT REVIEWED",IF(TODAY()-AH135&gt;90,"OVERDUE",IF(TODAY()-AH135&gt;76,"Due Soon","Current"))))</f>
        <v/>
      </c>
    </row>
    <row r="136" ht="15" customHeight="1" s="39">
      <c r="A136" s="85" t="n"/>
      <c r="B136" s="85" t="n"/>
      <c r="C136" s="85" t="n"/>
      <c r="D136" s="85" t="n"/>
      <c r="E136" s="85" t="n"/>
      <c r="F136" s="86" t="n"/>
      <c r="G136" s="86" t="n"/>
      <c r="H136" s="85" t="n"/>
      <c r="I136" s="85" t="n"/>
      <c r="J136" s="85" t="n"/>
      <c r="K136" s="85" t="n"/>
      <c r="L136" s="85" t="n"/>
      <c r="M136" s="85" t="n"/>
      <c r="N136" s="85" t="n"/>
      <c r="O136" s="85" t="n"/>
      <c r="P136" s="85" t="n"/>
      <c r="Q136" s="85" t="n"/>
      <c r="R136" s="85" t="n"/>
      <c r="S136" s="85" t="n"/>
      <c r="T136" s="85" t="n"/>
      <c r="U136" s="85" t="n"/>
      <c r="V136" s="85" t="n"/>
      <c r="W136" s="85" t="n"/>
      <c r="X136" s="85" t="n"/>
      <c r="Y136" s="85" t="n"/>
      <c r="Z136" s="85" t="n"/>
      <c r="AA136" s="85" t="n"/>
      <c r="AB136" s="85" t="n"/>
      <c r="AC136" s="85" t="n"/>
      <c r="AD136" s="85" t="n"/>
      <c r="AE136" s="85" t="n"/>
      <c r="AF136" s="86" t="n"/>
      <c r="AG136" s="86" t="n"/>
      <c r="AH136" s="86" t="n"/>
      <c r="AI136" s="85" t="n"/>
      <c r="AJ136" s="85" t="n"/>
      <c r="AK136" s="85">
        <f>IF($A136="","",IF($M136&gt;0,"Yes","No"))</f>
        <v/>
      </c>
      <c r="AL136" s="85">
        <f>IF($A136="","",IF(AND($E136="Yes",OR($Y136="No",$Y136="NOT FOUND")),"YES",""))</f>
        <v/>
      </c>
      <c r="AM136" s="85">
        <f>IF($A136="","",TRIM(IF(AND($P136=0,$I136&lt;&gt;"Yes"),"T0-NoPhishResistant ","")&amp;IF($H136="No","NoMFA ","")&amp;IF(AND($P136=0,$M136&gt;0),"T0-Standing ","")&amp;IF(AND($P136=0,$Q136="Group only"),"T0-ViaGroupOnly ","")&amp;IF($W136="Yes","AlsoAzureRBAC ","")))</f>
        <v/>
      </c>
      <c r="AN136" s="85">
        <f>IF($A136="","",IF(AG136="","Not Enrolled",IF(TODAY()&gt;AG136,"Review Overdue",IF(AG136-TODAY()&lt;=30,"Review Due Soon","Active"))))</f>
        <v/>
      </c>
      <c r="AO136" s="85">
        <f>IF($A136="","",IF(AH136="","NOT REVIEWED",IF(TODAY()-AH136&gt;90,"OVERDUE",IF(TODAY()-AH136&gt;76,"Due Soon","Current"))))</f>
        <v/>
      </c>
    </row>
    <row r="137" ht="15" customHeight="1" s="39">
      <c r="A137" s="85" t="n"/>
      <c r="B137" s="85" t="n"/>
      <c r="C137" s="85" t="n"/>
      <c r="D137" s="85" t="n"/>
      <c r="E137" s="85" t="n"/>
      <c r="F137" s="86" t="n"/>
      <c r="G137" s="86" t="n"/>
      <c r="H137" s="85" t="n"/>
      <c r="I137" s="85" t="n"/>
      <c r="J137" s="85" t="n"/>
      <c r="K137" s="85" t="n"/>
      <c r="L137" s="85" t="n"/>
      <c r="M137" s="85" t="n"/>
      <c r="N137" s="85" t="n"/>
      <c r="O137" s="85" t="n"/>
      <c r="P137" s="85" t="n"/>
      <c r="Q137" s="85" t="n"/>
      <c r="R137" s="85" t="n"/>
      <c r="S137" s="85" t="n"/>
      <c r="T137" s="85" t="n"/>
      <c r="U137" s="85" t="n"/>
      <c r="V137" s="85" t="n"/>
      <c r="W137" s="85" t="n"/>
      <c r="X137" s="85" t="n"/>
      <c r="Y137" s="85" t="n"/>
      <c r="Z137" s="85" t="n"/>
      <c r="AA137" s="85" t="n"/>
      <c r="AB137" s="85" t="n"/>
      <c r="AC137" s="85" t="n"/>
      <c r="AD137" s="85" t="n"/>
      <c r="AE137" s="85" t="n"/>
      <c r="AF137" s="86" t="n"/>
      <c r="AG137" s="86" t="n"/>
      <c r="AH137" s="86" t="n"/>
      <c r="AI137" s="85" t="n"/>
      <c r="AJ137" s="85" t="n"/>
      <c r="AK137" s="85">
        <f>IF($A137="","",IF($M137&gt;0,"Yes","No"))</f>
        <v/>
      </c>
      <c r="AL137" s="85">
        <f>IF($A137="","",IF(AND($E137="Yes",OR($Y137="No",$Y137="NOT FOUND")),"YES",""))</f>
        <v/>
      </c>
      <c r="AM137" s="85">
        <f>IF($A137="","",TRIM(IF(AND($P137=0,$I137&lt;&gt;"Yes"),"T0-NoPhishResistant ","")&amp;IF($H137="No","NoMFA ","")&amp;IF(AND($P137=0,$M137&gt;0),"T0-Standing ","")&amp;IF(AND($P137=0,$Q137="Group only"),"T0-ViaGroupOnly ","")&amp;IF($W137="Yes","AlsoAzureRBAC ","")))</f>
        <v/>
      </c>
      <c r="AN137" s="85">
        <f>IF($A137="","",IF(AG137="","Not Enrolled",IF(TODAY()&gt;AG137,"Review Overdue",IF(AG137-TODAY()&lt;=30,"Review Due Soon","Active"))))</f>
        <v/>
      </c>
      <c r="AO137" s="85">
        <f>IF($A137="","",IF(AH137="","NOT REVIEWED",IF(TODAY()-AH137&gt;90,"OVERDUE",IF(TODAY()-AH137&gt;76,"Due Soon","Current"))))</f>
        <v/>
      </c>
    </row>
    <row r="138" ht="15" customHeight="1" s="39">
      <c r="A138" s="85" t="n"/>
      <c r="B138" s="85" t="n"/>
      <c r="C138" s="85" t="n"/>
      <c r="D138" s="85" t="n"/>
      <c r="E138" s="85" t="n"/>
      <c r="F138" s="86" t="n"/>
      <c r="G138" s="86" t="n"/>
      <c r="H138" s="85" t="n"/>
      <c r="I138" s="85" t="n"/>
      <c r="J138" s="85" t="n"/>
      <c r="K138" s="85" t="n"/>
      <c r="L138" s="85" t="n"/>
      <c r="M138" s="85" t="n"/>
      <c r="N138" s="85" t="n"/>
      <c r="O138" s="85" t="n"/>
      <c r="P138" s="85" t="n"/>
      <c r="Q138" s="85" t="n"/>
      <c r="R138" s="85" t="n"/>
      <c r="S138" s="85" t="n"/>
      <c r="T138" s="85" t="n"/>
      <c r="U138" s="85" t="n"/>
      <c r="V138" s="85" t="n"/>
      <c r="W138" s="85" t="n"/>
      <c r="X138" s="85" t="n"/>
      <c r="Y138" s="85" t="n"/>
      <c r="Z138" s="85" t="n"/>
      <c r="AA138" s="85" t="n"/>
      <c r="AB138" s="85" t="n"/>
      <c r="AC138" s="85" t="n"/>
      <c r="AD138" s="85" t="n"/>
      <c r="AE138" s="85" t="n"/>
      <c r="AF138" s="86" t="n"/>
      <c r="AG138" s="86" t="n"/>
      <c r="AH138" s="86" t="n"/>
      <c r="AI138" s="85" t="n"/>
      <c r="AJ138" s="85" t="n"/>
      <c r="AK138" s="85">
        <f>IF($A138="","",IF($M138&gt;0,"Yes","No"))</f>
        <v/>
      </c>
      <c r="AL138" s="85">
        <f>IF($A138="","",IF(AND($E138="Yes",OR($Y138="No",$Y138="NOT FOUND")),"YES",""))</f>
        <v/>
      </c>
      <c r="AM138" s="85">
        <f>IF($A138="","",TRIM(IF(AND($P138=0,$I138&lt;&gt;"Yes"),"T0-NoPhishResistant ","")&amp;IF($H138="No","NoMFA ","")&amp;IF(AND($P138=0,$M138&gt;0),"T0-Standing ","")&amp;IF(AND($P138=0,$Q138="Group only"),"T0-ViaGroupOnly ","")&amp;IF($W138="Yes","AlsoAzureRBAC ","")))</f>
        <v/>
      </c>
      <c r="AN138" s="85">
        <f>IF($A138="","",IF(AG138="","Not Enrolled",IF(TODAY()&gt;AG138,"Review Overdue",IF(AG138-TODAY()&lt;=30,"Review Due Soon","Active"))))</f>
        <v/>
      </c>
      <c r="AO138" s="85">
        <f>IF($A138="","",IF(AH138="","NOT REVIEWED",IF(TODAY()-AH138&gt;90,"OVERDUE",IF(TODAY()-AH138&gt;76,"Due Soon","Current"))))</f>
        <v/>
      </c>
    </row>
    <row r="139" ht="15" customHeight="1" s="39">
      <c r="A139" s="85" t="n"/>
      <c r="B139" s="85" t="n"/>
      <c r="C139" s="85" t="n"/>
      <c r="D139" s="85" t="n"/>
      <c r="E139" s="85" t="n"/>
      <c r="F139" s="86" t="n"/>
      <c r="G139" s="86" t="n"/>
      <c r="H139" s="85" t="n"/>
      <c r="I139" s="85" t="n"/>
      <c r="J139" s="85" t="n"/>
      <c r="K139" s="85" t="n"/>
      <c r="L139" s="85" t="n"/>
      <c r="M139" s="85" t="n"/>
      <c r="N139" s="85" t="n"/>
      <c r="O139" s="85" t="n"/>
      <c r="P139" s="85" t="n"/>
      <c r="Q139" s="85" t="n"/>
      <c r="R139" s="85" t="n"/>
      <c r="S139" s="85" t="n"/>
      <c r="T139" s="85" t="n"/>
      <c r="U139" s="85" t="n"/>
      <c r="V139" s="85" t="n"/>
      <c r="W139" s="85" t="n"/>
      <c r="X139" s="85" t="n"/>
      <c r="Y139" s="85" t="n"/>
      <c r="Z139" s="85" t="n"/>
      <c r="AA139" s="85" t="n"/>
      <c r="AB139" s="85" t="n"/>
      <c r="AC139" s="85" t="n"/>
      <c r="AD139" s="85" t="n"/>
      <c r="AE139" s="85" t="n"/>
      <c r="AF139" s="86" t="n"/>
      <c r="AG139" s="86" t="n"/>
      <c r="AH139" s="86" t="n"/>
      <c r="AI139" s="85" t="n"/>
      <c r="AJ139" s="85" t="n"/>
      <c r="AK139" s="85">
        <f>IF($A139="","",IF($M139&gt;0,"Yes","No"))</f>
        <v/>
      </c>
      <c r="AL139" s="85">
        <f>IF($A139="","",IF(AND($E139="Yes",OR($Y139="No",$Y139="NOT FOUND")),"YES",""))</f>
        <v/>
      </c>
      <c r="AM139" s="85">
        <f>IF($A139="","",TRIM(IF(AND($P139=0,$I139&lt;&gt;"Yes"),"T0-NoPhishResistant ","")&amp;IF($H139="No","NoMFA ","")&amp;IF(AND($P139=0,$M139&gt;0),"T0-Standing ","")&amp;IF(AND($P139=0,$Q139="Group only"),"T0-ViaGroupOnly ","")&amp;IF($W139="Yes","AlsoAzureRBAC ","")))</f>
        <v/>
      </c>
      <c r="AN139" s="85">
        <f>IF($A139="","",IF(AG139="","Not Enrolled",IF(TODAY()&gt;AG139,"Review Overdue",IF(AG139-TODAY()&lt;=30,"Review Due Soon","Active"))))</f>
        <v/>
      </c>
      <c r="AO139" s="85">
        <f>IF($A139="","",IF(AH139="","NOT REVIEWED",IF(TODAY()-AH139&gt;90,"OVERDUE",IF(TODAY()-AH139&gt;76,"Due Soon","Current"))))</f>
        <v/>
      </c>
    </row>
    <row r="140" ht="15" customHeight="1" s="39">
      <c r="A140" s="85" t="n"/>
      <c r="B140" s="85" t="n"/>
      <c r="C140" s="85" t="n"/>
      <c r="D140" s="85" t="n"/>
      <c r="E140" s="85" t="n"/>
      <c r="F140" s="86" t="n"/>
      <c r="G140" s="86" t="n"/>
      <c r="H140" s="85" t="n"/>
      <c r="I140" s="85" t="n"/>
      <c r="J140" s="85" t="n"/>
      <c r="K140" s="85" t="n"/>
      <c r="L140" s="85" t="n"/>
      <c r="M140" s="85" t="n"/>
      <c r="N140" s="85" t="n"/>
      <c r="O140" s="85" t="n"/>
      <c r="P140" s="85" t="n"/>
      <c r="Q140" s="85" t="n"/>
      <c r="R140" s="85" t="n"/>
      <c r="S140" s="85" t="n"/>
      <c r="T140" s="85" t="n"/>
      <c r="U140" s="85" t="n"/>
      <c r="V140" s="85" t="n"/>
      <c r="W140" s="85" t="n"/>
      <c r="X140" s="85" t="n"/>
      <c r="Y140" s="85" t="n"/>
      <c r="Z140" s="85" t="n"/>
      <c r="AA140" s="85" t="n"/>
      <c r="AB140" s="85" t="n"/>
      <c r="AC140" s="85" t="n"/>
      <c r="AD140" s="85" t="n"/>
      <c r="AE140" s="85" t="n"/>
      <c r="AF140" s="86" t="n"/>
      <c r="AG140" s="86" t="n"/>
      <c r="AH140" s="86" t="n"/>
      <c r="AI140" s="85" t="n"/>
      <c r="AJ140" s="85" t="n"/>
      <c r="AK140" s="85">
        <f>IF($A140="","",IF($M140&gt;0,"Yes","No"))</f>
        <v/>
      </c>
      <c r="AL140" s="85">
        <f>IF($A140="","",IF(AND($E140="Yes",OR($Y140="No",$Y140="NOT FOUND")),"YES",""))</f>
        <v/>
      </c>
      <c r="AM140" s="85">
        <f>IF($A140="","",TRIM(IF(AND($P140=0,$I140&lt;&gt;"Yes"),"T0-NoPhishResistant ","")&amp;IF($H140="No","NoMFA ","")&amp;IF(AND($P140=0,$M140&gt;0),"T0-Standing ","")&amp;IF(AND($P140=0,$Q140="Group only"),"T0-ViaGroupOnly ","")&amp;IF($W140="Yes","AlsoAzureRBAC ","")))</f>
        <v/>
      </c>
      <c r="AN140" s="85">
        <f>IF($A140="","",IF(AG140="","Not Enrolled",IF(TODAY()&gt;AG140,"Review Overdue",IF(AG140-TODAY()&lt;=30,"Review Due Soon","Active"))))</f>
        <v/>
      </c>
      <c r="AO140" s="85">
        <f>IF($A140="","",IF(AH140="","NOT REVIEWED",IF(TODAY()-AH140&gt;90,"OVERDUE",IF(TODAY()-AH140&gt;76,"Due Soon","Current"))))</f>
        <v/>
      </c>
    </row>
    <row r="141" ht="15" customHeight="1" s="39">
      <c r="A141" s="85" t="n"/>
      <c r="B141" s="85" t="n"/>
      <c r="C141" s="85" t="n"/>
      <c r="D141" s="85" t="n"/>
      <c r="E141" s="85" t="n"/>
      <c r="F141" s="86" t="n"/>
      <c r="G141" s="86" t="n"/>
      <c r="H141" s="85" t="n"/>
      <c r="I141" s="85" t="n"/>
      <c r="J141" s="85" t="n"/>
      <c r="K141" s="85" t="n"/>
      <c r="L141" s="85" t="n"/>
      <c r="M141" s="85" t="n"/>
      <c r="N141" s="85" t="n"/>
      <c r="O141" s="85" t="n"/>
      <c r="P141" s="85" t="n"/>
      <c r="Q141" s="85" t="n"/>
      <c r="R141" s="85" t="n"/>
      <c r="S141" s="85" t="n"/>
      <c r="T141" s="85" t="n"/>
      <c r="U141" s="85" t="n"/>
      <c r="V141" s="85" t="n"/>
      <c r="W141" s="85" t="n"/>
      <c r="X141" s="85" t="n"/>
      <c r="Y141" s="85" t="n"/>
      <c r="Z141" s="85" t="n"/>
      <c r="AA141" s="85" t="n"/>
      <c r="AB141" s="85" t="n"/>
      <c r="AC141" s="85" t="n"/>
      <c r="AD141" s="85" t="n"/>
      <c r="AE141" s="85" t="n"/>
      <c r="AF141" s="86" t="n"/>
      <c r="AG141" s="86" t="n"/>
      <c r="AH141" s="86" t="n"/>
      <c r="AI141" s="85" t="n"/>
      <c r="AJ141" s="85" t="n"/>
      <c r="AK141" s="85">
        <f>IF($A141="","",IF($M141&gt;0,"Yes","No"))</f>
        <v/>
      </c>
      <c r="AL141" s="85">
        <f>IF($A141="","",IF(AND($E141="Yes",OR($Y141="No",$Y141="NOT FOUND")),"YES",""))</f>
        <v/>
      </c>
      <c r="AM141" s="85">
        <f>IF($A141="","",TRIM(IF(AND($P141=0,$I141&lt;&gt;"Yes"),"T0-NoPhishResistant ","")&amp;IF($H141="No","NoMFA ","")&amp;IF(AND($P141=0,$M141&gt;0),"T0-Standing ","")&amp;IF(AND($P141=0,$Q141="Group only"),"T0-ViaGroupOnly ","")&amp;IF($W141="Yes","AlsoAzureRBAC ","")))</f>
        <v/>
      </c>
      <c r="AN141" s="85">
        <f>IF($A141="","",IF(AG141="","Not Enrolled",IF(TODAY()&gt;AG141,"Review Overdue",IF(AG141-TODAY()&lt;=30,"Review Due Soon","Active"))))</f>
        <v/>
      </c>
      <c r="AO141" s="85">
        <f>IF($A141="","",IF(AH141="","NOT REVIEWED",IF(TODAY()-AH141&gt;90,"OVERDUE",IF(TODAY()-AH141&gt;76,"Due Soon","Current"))))</f>
        <v/>
      </c>
    </row>
    <row r="142" ht="15" customHeight="1" s="39">
      <c r="A142" s="85" t="n"/>
      <c r="B142" s="85" t="n"/>
      <c r="C142" s="85" t="n"/>
      <c r="D142" s="85" t="n"/>
      <c r="E142" s="85" t="n"/>
      <c r="F142" s="86" t="n"/>
      <c r="G142" s="86" t="n"/>
      <c r="H142" s="85" t="n"/>
      <c r="I142" s="85" t="n"/>
      <c r="J142" s="85" t="n"/>
      <c r="K142" s="85" t="n"/>
      <c r="L142" s="85" t="n"/>
      <c r="M142" s="85" t="n"/>
      <c r="N142" s="85" t="n"/>
      <c r="O142" s="85" t="n"/>
      <c r="P142" s="85" t="n"/>
      <c r="Q142" s="85" t="n"/>
      <c r="R142" s="85" t="n"/>
      <c r="S142" s="85" t="n"/>
      <c r="T142" s="85" t="n"/>
      <c r="U142" s="85" t="n"/>
      <c r="V142" s="85" t="n"/>
      <c r="W142" s="85" t="n"/>
      <c r="X142" s="85" t="n"/>
      <c r="Y142" s="85" t="n"/>
      <c r="Z142" s="85" t="n"/>
      <c r="AA142" s="85" t="n"/>
      <c r="AB142" s="85" t="n"/>
      <c r="AC142" s="85" t="n"/>
      <c r="AD142" s="85" t="n"/>
      <c r="AE142" s="85" t="n"/>
      <c r="AF142" s="86" t="n"/>
      <c r="AG142" s="86" t="n"/>
      <c r="AH142" s="86" t="n"/>
      <c r="AI142" s="85" t="n"/>
      <c r="AJ142" s="85" t="n"/>
      <c r="AK142" s="85">
        <f>IF($A142="","",IF($M142&gt;0,"Yes","No"))</f>
        <v/>
      </c>
      <c r="AL142" s="85">
        <f>IF($A142="","",IF(AND($E142="Yes",OR($Y142="No",$Y142="NOT FOUND")),"YES",""))</f>
        <v/>
      </c>
      <c r="AM142" s="85">
        <f>IF($A142="","",TRIM(IF(AND($P142=0,$I142&lt;&gt;"Yes"),"T0-NoPhishResistant ","")&amp;IF($H142="No","NoMFA ","")&amp;IF(AND($P142=0,$M142&gt;0),"T0-Standing ","")&amp;IF(AND($P142=0,$Q142="Group only"),"T0-ViaGroupOnly ","")&amp;IF($W142="Yes","AlsoAzureRBAC ","")))</f>
        <v/>
      </c>
      <c r="AN142" s="85">
        <f>IF($A142="","",IF(AG142="","Not Enrolled",IF(TODAY()&gt;AG142,"Review Overdue",IF(AG142-TODAY()&lt;=30,"Review Due Soon","Active"))))</f>
        <v/>
      </c>
      <c r="AO142" s="85">
        <f>IF($A142="","",IF(AH142="","NOT REVIEWED",IF(TODAY()-AH142&gt;90,"OVERDUE",IF(TODAY()-AH142&gt;76,"Due Soon","Current"))))</f>
        <v/>
      </c>
    </row>
    <row r="143" ht="15" customHeight="1" s="39">
      <c r="A143" s="85" t="n"/>
      <c r="B143" s="85" t="n"/>
      <c r="C143" s="85" t="n"/>
      <c r="D143" s="85" t="n"/>
      <c r="E143" s="85" t="n"/>
      <c r="F143" s="86" t="n"/>
      <c r="G143" s="86" t="n"/>
      <c r="H143" s="85" t="n"/>
      <c r="I143" s="85" t="n"/>
      <c r="J143" s="85" t="n"/>
      <c r="K143" s="85" t="n"/>
      <c r="L143" s="85" t="n"/>
      <c r="M143" s="85" t="n"/>
      <c r="N143" s="85" t="n"/>
      <c r="O143" s="85" t="n"/>
      <c r="P143" s="85" t="n"/>
      <c r="Q143" s="85" t="n"/>
      <c r="R143" s="85" t="n"/>
      <c r="S143" s="85" t="n"/>
      <c r="T143" s="85" t="n"/>
      <c r="U143" s="85" t="n"/>
      <c r="V143" s="85" t="n"/>
      <c r="W143" s="85" t="n"/>
      <c r="X143" s="85" t="n"/>
      <c r="Y143" s="85" t="n"/>
      <c r="Z143" s="85" t="n"/>
      <c r="AA143" s="85" t="n"/>
      <c r="AB143" s="85" t="n"/>
      <c r="AC143" s="85" t="n"/>
      <c r="AD143" s="85" t="n"/>
      <c r="AE143" s="85" t="n"/>
      <c r="AF143" s="86" t="n"/>
      <c r="AG143" s="86" t="n"/>
      <c r="AH143" s="86" t="n"/>
      <c r="AI143" s="85" t="n"/>
      <c r="AJ143" s="85" t="n"/>
      <c r="AK143" s="85">
        <f>IF($A143="","",IF($M143&gt;0,"Yes","No"))</f>
        <v/>
      </c>
      <c r="AL143" s="85">
        <f>IF($A143="","",IF(AND($E143="Yes",OR($Y143="No",$Y143="NOT FOUND")),"YES",""))</f>
        <v/>
      </c>
      <c r="AM143" s="85">
        <f>IF($A143="","",TRIM(IF(AND($P143=0,$I143&lt;&gt;"Yes"),"T0-NoPhishResistant ","")&amp;IF($H143="No","NoMFA ","")&amp;IF(AND($P143=0,$M143&gt;0),"T0-Standing ","")&amp;IF(AND($P143=0,$Q143="Group only"),"T0-ViaGroupOnly ","")&amp;IF($W143="Yes","AlsoAzureRBAC ","")))</f>
        <v/>
      </c>
      <c r="AN143" s="85">
        <f>IF($A143="","",IF(AG143="","Not Enrolled",IF(TODAY()&gt;AG143,"Review Overdue",IF(AG143-TODAY()&lt;=30,"Review Due Soon","Active"))))</f>
        <v/>
      </c>
      <c r="AO143" s="85">
        <f>IF($A143="","",IF(AH143="","NOT REVIEWED",IF(TODAY()-AH143&gt;90,"OVERDUE",IF(TODAY()-AH143&gt;76,"Due Soon","Current"))))</f>
        <v/>
      </c>
    </row>
    <row r="144" ht="15" customHeight="1" s="39">
      <c r="A144" s="85" t="n"/>
      <c r="B144" s="85" t="n"/>
      <c r="C144" s="85" t="n"/>
      <c r="D144" s="85" t="n"/>
      <c r="E144" s="85" t="n"/>
      <c r="F144" s="86" t="n"/>
      <c r="G144" s="86" t="n"/>
      <c r="H144" s="85" t="n"/>
      <c r="I144" s="85" t="n"/>
      <c r="J144" s="85" t="n"/>
      <c r="K144" s="85" t="n"/>
      <c r="L144" s="85" t="n"/>
      <c r="M144" s="85" t="n"/>
      <c r="N144" s="85" t="n"/>
      <c r="O144" s="85" t="n"/>
      <c r="P144" s="85" t="n"/>
      <c r="Q144" s="85" t="n"/>
      <c r="R144" s="85" t="n"/>
      <c r="S144" s="85" t="n"/>
      <c r="T144" s="85" t="n"/>
      <c r="U144" s="85" t="n"/>
      <c r="V144" s="85" t="n"/>
      <c r="W144" s="85" t="n"/>
      <c r="X144" s="85" t="n"/>
      <c r="Y144" s="85" t="n"/>
      <c r="Z144" s="85" t="n"/>
      <c r="AA144" s="85" t="n"/>
      <c r="AB144" s="85" t="n"/>
      <c r="AC144" s="85" t="n"/>
      <c r="AD144" s="85" t="n"/>
      <c r="AE144" s="85" t="n"/>
      <c r="AF144" s="86" t="n"/>
      <c r="AG144" s="86" t="n"/>
      <c r="AH144" s="86" t="n"/>
      <c r="AI144" s="85" t="n"/>
      <c r="AJ144" s="85" t="n"/>
      <c r="AK144" s="85">
        <f>IF($A144="","",IF($M144&gt;0,"Yes","No"))</f>
        <v/>
      </c>
      <c r="AL144" s="85">
        <f>IF($A144="","",IF(AND($E144="Yes",OR($Y144="No",$Y144="NOT FOUND")),"YES",""))</f>
        <v/>
      </c>
      <c r="AM144" s="85">
        <f>IF($A144="","",TRIM(IF(AND($P144=0,$I144&lt;&gt;"Yes"),"T0-NoPhishResistant ","")&amp;IF($H144="No","NoMFA ","")&amp;IF(AND($P144=0,$M144&gt;0),"T0-Standing ","")&amp;IF(AND($P144=0,$Q144="Group only"),"T0-ViaGroupOnly ","")&amp;IF($W144="Yes","AlsoAzureRBAC ","")))</f>
        <v/>
      </c>
      <c r="AN144" s="85">
        <f>IF($A144="","",IF(AG144="","Not Enrolled",IF(TODAY()&gt;AG144,"Review Overdue",IF(AG144-TODAY()&lt;=30,"Review Due Soon","Active"))))</f>
        <v/>
      </c>
      <c r="AO144" s="85">
        <f>IF($A144="","",IF(AH144="","NOT REVIEWED",IF(TODAY()-AH144&gt;90,"OVERDUE",IF(TODAY()-AH144&gt;76,"Due Soon","Current"))))</f>
        <v/>
      </c>
    </row>
    <row r="145" ht="15" customHeight="1" s="39">
      <c r="A145" s="85" t="n"/>
      <c r="B145" s="85" t="n"/>
      <c r="C145" s="85" t="n"/>
      <c r="D145" s="85" t="n"/>
      <c r="E145" s="85" t="n"/>
      <c r="F145" s="86" t="n"/>
      <c r="G145" s="86" t="n"/>
      <c r="H145" s="85" t="n"/>
      <c r="I145" s="85" t="n"/>
      <c r="J145" s="85" t="n"/>
      <c r="K145" s="85" t="n"/>
      <c r="L145" s="85" t="n"/>
      <c r="M145" s="85" t="n"/>
      <c r="N145" s="85" t="n"/>
      <c r="O145" s="85" t="n"/>
      <c r="P145" s="85" t="n"/>
      <c r="Q145" s="85" t="n"/>
      <c r="R145" s="85" t="n"/>
      <c r="S145" s="85" t="n"/>
      <c r="T145" s="85" t="n"/>
      <c r="U145" s="85" t="n"/>
      <c r="V145" s="85" t="n"/>
      <c r="W145" s="85" t="n"/>
      <c r="X145" s="85" t="n"/>
      <c r="Y145" s="85" t="n"/>
      <c r="Z145" s="85" t="n"/>
      <c r="AA145" s="85" t="n"/>
      <c r="AB145" s="85" t="n"/>
      <c r="AC145" s="85" t="n"/>
      <c r="AD145" s="85" t="n"/>
      <c r="AE145" s="85" t="n"/>
      <c r="AF145" s="86" t="n"/>
      <c r="AG145" s="86" t="n"/>
      <c r="AH145" s="86" t="n"/>
      <c r="AI145" s="85" t="n"/>
      <c r="AJ145" s="85" t="n"/>
      <c r="AK145" s="85">
        <f>IF($A145="","",IF($M145&gt;0,"Yes","No"))</f>
        <v/>
      </c>
      <c r="AL145" s="85">
        <f>IF($A145="","",IF(AND($E145="Yes",OR($Y145="No",$Y145="NOT FOUND")),"YES",""))</f>
        <v/>
      </c>
      <c r="AM145" s="85">
        <f>IF($A145="","",TRIM(IF(AND($P145=0,$I145&lt;&gt;"Yes"),"T0-NoPhishResistant ","")&amp;IF($H145="No","NoMFA ","")&amp;IF(AND($P145=0,$M145&gt;0),"T0-Standing ","")&amp;IF(AND($P145=0,$Q145="Group only"),"T0-ViaGroupOnly ","")&amp;IF($W145="Yes","AlsoAzureRBAC ","")))</f>
        <v/>
      </c>
      <c r="AN145" s="85">
        <f>IF($A145="","",IF(AG145="","Not Enrolled",IF(TODAY()&gt;AG145,"Review Overdue",IF(AG145-TODAY()&lt;=30,"Review Due Soon","Active"))))</f>
        <v/>
      </c>
      <c r="AO145" s="85">
        <f>IF($A145="","",IF(AH145="","NOT REVIEWED",IF(TODAY()-AH145&gt;90,"OVERDUE",IF(TODAY()-AH145&gt;76,"Due Soon","Current"))))</f>
        <v/>
      </c>
    </row>
    <row r="146" ht="15" customHeight="1" s="39">
      <c r="A146" s="85" t="n"/>
      <c r="B146" s="85" t="n"/>
      <c r="C146" s="85" t="n"/>
      <c r="D146" s="85" t="n"/>
      <c r="E146" s="85" t="n"/>
      <c r="F146" s="86" t="n"/>
      <c r="G146" s="86" t="n"/>
      <c r="H146" s="85" t="n"/>
      <c r="I146" s="85" t="n"/>
      <c r="J146" s="85" t="n"/>
      <c r="K146" s="85" t="n"/>
      <c r="L146" s="85" t="n"/>
      <c r="M146" s="85" t="n"/>
      <c r="N146" s="85" t="n"/>
      <c r="O146" s="85" t="n"/>
      <c r="P146" s="85" t="n"/>
      <c r="Q146" s="85" t="n"/>
      <c r="R146" s="85" t="n"/>
      <c r="S146" s="85" t="n"/>
      <c r="T146" s="85" t="n"/>
      <c r="U146" s="85" t="n"/>
      <c r="V146" s="85" t="n"/>
      <c r="W146" s="85" t="n"/>
      <c r="X146" s="85" t="n"/>
      <c r="Y146" s="85" t="n"/>
      <c r="Z146" s="85" t="n"/>
      <c r="AA146" s="85" t="n"/>
      <c r="AB146" s="85" t="n"/>
      <c r="AC146" s="85" t="n"/>
      <c r="AD146" s="85" t="n"/>
      <c r="AE146" s="85" t="n"/>
      <c r="AF146" s="86" t="n"/>
      <c r="AG146" s="86" t="n"/>
      <c r="AH146" s="86" t="n"/>
      <c r="AI146" s="85" t="n"/>
      <c r="AJ146" s="85" t="n"/>
      <c r="AK146" s="85">
        <f>IF($A146="","",IF($M146&gt;0,"Yes","No"))</f>
        <v/>
      </c>
      <c r="AL146" s="85">
        <f>IF($A146="","",IF(AND($E146="Yes",OR($Y146="No",$Y146="NOT FOUND")),"YES",""))</f>
        <v/>
      </c>
      <c r="AM146" s="85">
        <f>IF($A146="","",TRIM(IF(AND($P146=0,$I146&lt;&gt;"Yes"),"T0-NoPhishResistant ","")&amp;IF($H146="No","NoMFA ","")&amp;IF(AND($P146=0,$M146&gt;0),"T0-Standing ","")&amp;IF(AND($P146=0,$Q146="Group only"),"T0-ViaGroupOnly ","")&amp;IF($W146="Yes","AlsoAzureRBAC ","")))</f>
        <v/>
      </c>
      <c r="AN146" s="85">
        <f>IF($A146="","",IF(AG146="","Not Enrolled",IF(TODAY()&gt;AG146,"Review Overdue",IF(AG146-TODAY()&lt;=30,"Review Due Soon","Active"))))</f>
        <v/>
      </c>
      <c r="AO146" s="85">
        <f>IF($A146="","",IF(AH146="","NOT REVIEWED",IF(TODAY()-AH146&gt;90,"OVERDUE",IF(TODAY()-AH146&gt;76,"Due Soon","Current"))))</f>
        <v/>
      </c>
    </row>
    <row r="147" ht="15" customHeight="1" s="39">
      <c r="A147" s="85" t="n"/>
      <c r="B147" s="85" t="n"/>
      <c r="C147" s="85" t="n"/>
      <c r="D147" s="85" t="n"/>
      <c r="E147" s="85" t="n"/>
      <c r="F147" s="86" t="n"/>
      <c r="G147" s="86" t="n"/>
      <c r="H147" s="85" t="n"/>
      <c r="I147" s="85" t="n"/>
      <c r="J147" s="85" t="n"/>
      <c r="K147" s="85" t="n"/>
      <c r="L147" s="85" t="n"/>
      <c r="M147" s="85" t="n"/>
      <c r="N147" s="85" t="n"/>
      <c r="O147" s="85" t="n"/>
      <c r="P147" s="85" t="n"/>
      <c r="Q147" s="85" t="n"/>
      <c r="R147" s="85" t="n"/>
      <c r="S147" s="85" t="n"/>
      <c r="T147" s="85" t="n"/>
      <c r="U147" s="85" t="n"/>
      <c r="V147" s="85" t="n"/>
      <c r="W147" s="85" t="n"/>
      <c r="X147" s="85" t="n"/>
      <c r="Y147" s="85" t="n"/>
      <c r="Z147" s="85" t="n"/>
      <c r="AA147" s="85" t="n"/>
      <c r="AB147" s="85" t="n"/>
      <c r="AC147" s="85" t="n"/>
      <c r="AD147" s="85" t="n"/>
      <c r="AE147" s="85" t="n"/>
      <c r="AF147" s="86" t="n"/>
      <c r="AG147" s="86" t="n"/>
      <c r="AH147" s="86" t="n"/>
      <c r="AI147" s="85" t="n"/>
      <c r="AJ147" s="85" t="n"/>
      <c r="AK147" s="85">
        <f>IF($A147="","",IF($M147&gt;0,"Yes","No"))</f>
        <v/>
      </c>
      <c r="AL147" s="85">
        <f>IF($A147="","",IF(AND($E147="Yes",OR($Y147="No",$Y147="NOT FOUND")),"YES",""))</f>
        <v/>
      </c>
      <c r="AM147" s="85">
        <f>IF($A147="","",TRIM(IF(AND($P147=0,$I147&lt;&gt;"Yes"),"T0-NoPhishResistant ","")&amp;IF($H147="No","NoMFA ","")&amp;IF(AND($P147=0,$M147&gt;0),"T0-Standing ","")&amp;IF(AND($P147=0,$Q147="Group only"),"T0-ViaGroupOnly ","")&amp;IF($W147="Yes","AlsoAzureRBAC ","")))</f>
        <v/>
      </c>
      <c r="AN147" s="85">
        <f>IF($A147="","",IF(AG147="","Not Enrolled",IF(TODAY()&gt;AG147,"Review Overdue",IF(AG147-TODAY()&lt;=30,"Review Due Soon","Active"))))</f>
        <v/>
      </c>
      <c r="AO147" s="85">
        <f>IF($A147="","",IF(AH147="","NOT REVIEWED",IF(TODAY()-AH147&gt;90,"OVERDUE",IF(TODAY()-AH147&gt;76,"Due Soon","Current"))))</f>
        <v/>
      </c>
    </row>
    <row r="148" ht="15" customHeight="1" s="39">
      <c r="A148" s="85" t="n"/>
      <c r="B148" s="85" t="n"/>
      <c r="C148" s="85" t="n"/>
      <c r="D148" s="85" t="n"/>
      <c r="E148" s="85" t="n"/>
      <c r="F148" s="86" t="n"/>
      <c r="G148" s="86" t="n"/>
      <c r="H148" s="85" t="n"/>
      <c r="I148" s="85" t="n"/>
      <c r="J148" s="85" t="n"/>
      <c r="K148" s="85" t="n"/>
      <c r="L148" s="85" t="n"/>
      <c r="M148" s="85" t="n"/>
      <c r="N148" s="85" t="n"/>
      <c r="O148" s="85" t="n"/>
      <c r="P148" s="85" t="n"/>
      <c r="Q148" s="85" t="n"/>
      <c r="R148" s="85" t="n"/>
      <c r="S148" s="85" t="n"/>
      <c r="T148" s="85" t="n"/>
      <c r="U148" s="85" t="n"/>
      <c r="V148" s="85" t="n"/>
      <c r="W148" s="85" t="n"/>
      <c r="X148" s="85" t="n"/>
      <c r="Y148" s="85" t="n"/>
      <c r="Z148" s="85" t="n"/>
      <c r="AA148" s="85" t="n"/>
      <c r="AB148" s="85" t="n"/>
      <c r="AC148" s="85" t="n"/>
      <c r="AD148" s="85" t="n"/>
      <c r="AE148" s="85" t="n"/>
      <c r="AF148" s="86" t="n"/>
      <c r="AG148" s="86" t="n"/>
      <c r="AH148" s="86" t="n"/>
      <c r="AI148" s="85" t="n"/>
      <c r="AJ148" s="85" t="n"/>
      <c r="AK148" s="85">
        <f>IF($A148="","",IF($M148&gt;0,"Yes","No"))</f>
        <v/>
      </c>
      <c r="AL148" s="85">
        <f>IF($A148="","",IF(AND($E148="Yes",OR($Y148="No",$Y148="NOT FOUND")),"YES",""))</f>
        <v/>
      </c>
      <c r="AM148" s="85">
        <f>IF($A148="","",TRIM(IF(AND($P148=0,$I148&lt;&gt;"Yes"),"T0-NoPhishResistant ","")&amp;IF($H148="No","NoMFA ","")&amp;IF(AND($P148=0,$M148&gt;0),"T0-Standing ","")&amp;IF(AND($P148=0,$Q148="Group only"),"T0-ViaGroupOnly ","")&amp;IF($W148="Yes","AlsoAzureRBAC ","")))</f>
        <v/>
      </c>
      <c r="AN148" s="85">
        <f>IF($A148="","",IF(AG148="","Not Enrolled",IF(TODAY()&gt;AG148,"Review Overdue",IF(AG148-TODAY()&lt;=30,"Review Due Soon","Active"))))</f>
        <v/>
      </c>
      <c r="AO148" s="85">
        <f>IF($A148="","",IF(AH148="","NOT REVIEWED",IF(TODAY()-AH148&gt;90,"OVERDUE",IF(TODAY()-AH148&gt;76,"Due Soon","Current"))))</f>
        <v/>
      </c>
    </row>
    <row r="149" ht="15" customHeight="1" s="39">
      <c r="A149" s="85" t="n"/>
      <c r="B149" s="85" t="n"/>
      <c r="C149" s="85" t="n"/>
      <c r="D149" s="85" t="n"/>
      <c r="E149" s="85" t="n"/>
      <c r="F149" s="86" t="n"/>
      <c r="G149" s="86" t="n"/>
      <c r="H149" s="85" t="n"/>
      <c r="I149" s="85" t="n"/>
      <c r="J149" s="85" t="n"/>
      <c r="K149" s="85" t="n"/>
      <c r="L149" s="85" t="n"/>
      <c r="M149" s="85" t="n"/>
      <c r="N149" s="85" t="n"/>
      <c r="O149" s="85" t="n"/>
      <c r="P149" s="85" t="n"/>
      <c r="Q149" s="85" t="n"/>
      <c r="R149" s="85" t="n"/>
      <c r="S149" s="85" t="n"/>
      <c r="T149" s="85" t="n"/>
      <c r="U149" s="85" t="n"/>
      <c r="V149" s="85" t="n"/>
      <c r="W149" s="85" t="n"/>
      <c r="X149" s="85" t="n"/>
      <c r="Y149" s="85" t="n"/>
      <c r="Z149" s="85" t="n"/>
      <c r="AA149" s="85" t="n"/>
      <c r="AB149" s="85" t="n"/>
      <c r="AC149" s="85" t="n"/>
      <c r="AD149" s="85" t="n"/>
      <c r="AE149" s="85" t="n"/>
      <c r="AF149" s="86" t="n"/>
      <c r="AG149" s="86" t="n"/>
      <c r="AH149" s="86" t="n"/>
      <c r="AI149" s="85" t="n"/>
      <c r="AJ149" s="85" t="n"/>
      <c r="AK149" s="85">
        <f>IF($A149="","",IF($M149&gt;0,"Yes","No"))</f>
        <v/>
      </c>
      <c r="AL149" s="85">
        <f>IF($A149="","",IF(AND($E149="Yes",OR($Y149="No",$Y149="NOT FOUND")),"YES",""))</f>
        <v/>
      </c>
      <c r="AM149" s="85">
        <f>IF($A149="","",TRIM(IF(AND($P149=0,$I149&lt;&gt;"Yes"),"T0-NoPhishResistant ","")&amp;IF($H149="No","NoMFA ","")&amp;IF(AND($P149=0,$M149&gt;0),"T0-Standing ","")&amp;IF(AND($P149=0,$Q149="Group only"),"T0-ViaGroupOnly ","")&amp;IF($W149="Yes","AlsoAzureRBAC ","")))</f>
        <v/>
      </c>
      <c r="AN149" s="85">
        <f>IF($A149="","",IF(AG149="","Not Enrolled",IF(TODAY()&gt;AG149,"Review Overdue",IF(AG149-TODAY()&lt;=30,"Review Due Soon","Active"))))</f>
        <v/>
      </c>
      <c r="AO149" s="85">
        <f>IF($A149="","",IF(AH149="","NOT REVIEWED",IF(TODAY()-AH149&gt;90,"OVERDUE",IF(TODAY()-AH149&gt;76,"Due Soon","Current"))))</f>
        <v/>
      </c>
    </row>
    <row r="150" ht="15" customHeight="1" s="39">
      <c r="A150" s="85" t="n"/>
      <c r="B150" s="85" t="n"/>
      <c r="C150" s="85" t="n"/>
      <c r="D150" s="85" t="n"/>
      <c r="E150" s="85" t="n"/>
      <c r="F150" s="86" t="n"/>
      <c r="G150" s="86" t="n"/>
      <c r="H150" s="85" t="n"/>
      <c r="I150" s="85" t="n"/>
      <c r="J150" s="85" t="n"/>
      <c r="K150" s="85" t="n"/>
      <c r="L150" s="85" t="n"/>
      <c r="M150" s="85" t="n"/>
      <c r="N150" s="85" t="n"/>
      <c r="O150" s="85" t="n"/>
      <c r="P150" s="85" t="n"/>
      <c r="Q150" s="85" t="n"/>
      <c r="R150" s="85" t="n"/>
      <c r="S150" s="85" t="n"/>
      <c r="T150" s="85" t="n"/>
      <c r="U150" s="85" t="n"/>
      <c r="V150" s="85" t="n"/>
      <c r="W150" s="85" t="n"/>
      <c r="X150" s="85" t="n"/>
      <c r="Y150" s="85" t="n"/>
      <c r="Z150" s="85" t="n"/>
      <c r="AA150" s="85" t="n"/>
      <c r="AB150" s="85" t="n"/>
      <c r="AC150" s="85" t="n"/>
      <c r="AD150" s="85" t="n"/>
      <c r="AE150" s="85" t="n"/>
      <c r="AF150" s="86" t="n"/>
      <c r="AG150" s="86" t="n"/>
      <c r="AH150" s="86" t="n"/>
      <c r="AI150" s="85" t="n"/>
      <c r="AJ150" s="85" t="n"/>
      <c r="AK150" s="85">
        <f>IF($A150="","",IF($M150&gt;0,"Yes","No"))</f>
        <v/>
      </c>
      <c r="AL150" s="85">
        <f>IF($A150="","",IF(AND($E150="Yes",OR($Y150="No",$Y150="NOT FOUND")),"YES",""))</f>
        <v/>
      </c>
      <c r="AM150" s="85">
        <f>IF($A150="","",TRIM(IF(AND($P150=0,$I150&lt;&gt;"Yes"),"T0-NoPhishResistant ","")&amp;IF($H150="No","NoMFA ","")&amp;IF(AND($P150=0,$M150&gt;0),"T0-Standing ","")&amp;IF(AND($P150=0,$Q150="Group only"),"T0-ViaGroupOnly ","")&amp;IF($W150="Yes","AlsoAzureRBAC ","")))</f>
        <v/>
      </c>
      <c r="AN150" s="85">
        <f>IF($A150="","",IF(AG150="","Not Enrolled",IF(TODAY()&gt;AG150,"Review Overdue",IF(AG150-TODAY()&lt;=30,"Review Due Soon","Active"))))</f>
        <v/>
      </c>
      <c r="AO150" s="85">
        <f>IF($A150="","",IF(AH150="","NOT REVIEWED",IF(TODAY()-AH150&gt;90,"OVERDUE",IF(TODAY()-AH150&gt;76,"Due Soon","Current"))))</f>
        <v/>
      </c>
    </row>
    <row r="151" ht="15" customHeight="1" s="39">
      <c r="A151" s="85" t="n"/>
      <c r="B151" s="85" t="n"/>
      <c r="C151" s="85" t="n"/>
      <c r="D151" s="85" t="n"/>
      <c r="E151" s="85" t="n"/>
      <c r="F151" s="86" t="n"/>
      <c r="G151" s="86" t="n"/>
      <c r="H151" s="85" t="n"/>
      <c r="I151" s="85" t="n"/>
      <c r="J151" s="85" t="n"/>
      <c r="K151" s="85" t="n"/>
      <c r="L151" s="85" t="n"/>
      <c r="M151" s="85" t="n"/>
      <c r="N151" s="85" t="n"/>
      <c r="O151" s="85" t="n"/>
      <c r="P151" s="85" t="n"/>
      <c r="Q151" s="85" t="n"/>
      <c r="R151" s="85" t="n"/>
      <c r="S151" s="85" t="n"/>
      <c r="T151" s="85" t="n"/>
      <c r="U151" s="85" t="n"/>
      <c r="V151" s="85" t="n"/>
      <c r="W151" s="85" t="n"/>
      <c r="X151" s="85" t="n"/>
      <c r="Y151" s="85" t="n"/>
      <c r="Z151" s="85" t="n"/>
      <c r="AA151" s="85" t="n"/>
      <c r="AB151" s="85" t="n"/>
      <c r="AC151" s="85" t="n"/>
      <c r="AD151" s="85" t="n"/>
      <c r="AE151" s="85" t="n"/>
      <c r="AF151" s="86" t="n"/>
      <c r="AG151" s="86" t="n"/>
      <c r="AH151" s="86" t="n"/>
      <c r="AI151" s="85" t="n"/>
      <c r="AJ151" s="85" t="n"/>
      <c r="AK151" s="85">
        <f>IF($A151="","",IF($M151&gt;0,"Yes","No"))</f>
        <v/>
      </c>
      <c r="AL151" s="85">
        <f>IF($A151="","",IF(AND($E151="Yes",OR($Y151="No",$Y151="NOT FOUND")),"YES",""))</f>
        <v/>
      </c>
      <c r="AM151" s="85">
        <f>IF($A151="","",TRIM(IF(AND($P151=0,$I151&lt;&gt;"Yes"),"T0-NoPhishResistant ","")&amp;IF($H151="No","NoMFA ","")&amp;IF(AND($P151=0,$M151&gt;0),"T0-Standing ","")&amp;IF(AND($P151=0,$Q151="Group only"),"T0-ViaGroupOnly ","")&amp;IF($W151="Yes","AlsoAzureRBAC ","")))</f>
        <v/>
      </c>
      <c r="AN151" s="85">
        <f>IF($A151="","",IF(AG151="","Not Enrolled",IF(TODAY()&gt;AG151,"Review Overdue",IF(AG151-TODAY()&lt;=30,"Review Due Soon","Active"))))</f>
        <v/>
      </c>
      <c r="AO151" s="85">
        <f>IF($A151="","",IF(AH151="","NOT REVIEWED",IF(TODAY()-AH151&gt;90,"OVERDUE",IF(TODAY()-AH151&gt;76,"Due Soon","Current"))))</f>
        <v/>
      </c>
    </row>
    <row r="152" ht="15" customHeight="1" s="39">
      <c r="A152" s="85" t="n"/>
      <c r="B152" s="85" t="n"/>
      <c r="C152" s="85" t="n"/>
      <c r="D152" s="85" t="n"/>
      <c r="E152" s="85" t="n"/>
      <c r="F152" s="86" t="n"/>
      <c r="G152" s="86" t="n"/>
      <c r="H152" s="85" t="n"/>
      <c r="I152" s="85" t="n"/>
      <c r="J152" s="85" t="n"/>
      <c r="K152" s="85" t="n"/>
      <c r="L152" s="85" t="n"/>
      <c r="M152" s="85" t="n"/>
      <c r="N152" s="85" t="n"/>
      <c r="O152" s="85" t="n"/>
      <c r="P152" s="85" t="n"/>
      <c r="Q152" s="85" t="n"/>
      <c r="R152" s="85" t="n"/>
      <c r="S152" s="85" t="n"/>
      <c r="T152" s="85" t="n"/>
      <c r="U152" s="85" t="n"/>
      <c r="V152" s="85" t="n"/>
      <c r="W152" s="85" t="n"/>
      <c r="X152" s="85" t="n"/>
      <c r="Y152" s="85" t="n"/>
      <c r="Z152" s="85" t="n"/>
      <c r="AA152" s="85" t="n"/>
      <c r="AB152" s="85" t="n"/>
      <c r="AC152" s="85" t="n"/>
      <c r="AD152" s="85" t="n"/>
      <c r="AE152" s="85" t="n"/>
      <c r="AF152" s="86" t="n"/>
      <c r="AG152" s="86" t="n"/>
      <c r="AH152" s="86" t="n"/>
      <c r="AI152" s="85" t="n"/>
      <c r="AJ152" s="85" t="n"/>
      <c r="AK152" s="85">
        <f>IF($A152="","",IF($M152&gt;0,"Yes","No"))</f>
        <v/>
      </c>
      <c r="AL152" s="85">
        <f>IF($A152="","",IF(AND($E152="Yes",OR($Y152="No",$Y152="NOT FOUND")),"YES",""))</f>
        <v/>
      </c>
      <c r="AM152" s="85">
        <f>IF($A152="","",TRIM(IF(AND($P152=0,$I152&lt;&gt;"Yes"),"T0-NoPhishResistant ","")&amp;IF($H152="No","NoMFA ","")&amp;IF(AND($P152=0,$M152&gt;0),"T0-Standing ","")&amp;IF(AND($P152=0,$Q152="Group only"),"T0-ViaGroupOnly ","")&amp;IF($W152="Yes","AlsoAzureRBAC ","")))</f>
        <v/>
      </c>
      <c r="AN152" s="85">
        <f>IF($A152="","",IF(AG152="","Not Enrolled",IF(TODAY()&gt;AG152,"Review Overdue",IF(AG152-TODAY()&lt;=30,"Review Due Soon","Active"))))</f>
        <v/>
      </c>
      <c r="AO152" s="85">
        <f>IF($A152="","",IF(AH152="","NOT REVIEWED",IF(TODAY()-AH152&gt;90,"OVERDUE",IF(TODAY()-AH152&gt;76,"Due Soon","Current"))))</f>
        <v/>
      </c>
    </row>
    <row r="153" ht="15" customHeight="1" s="39">
      <c r="A153" s="85" t="n"/>
      <c r="B153" s="85" t="n"/>
      <c r="C153" s="85" t="n"/>
      <c r="D153" s="85" t="n"/>
      <c r="E153" s="85" t="n"/>
      <c r="F153" s="86" t="n"/>
      <c r="G153" s="86" t="n"/>
      <c r="H153" s="85" t="n"/>
      <c r="I153" s="85" t="n"/>
      <c r="J153" s="85" t="n"/>
      <c r="K153" s="85" t="n"/>
      <c r="L153" s="85" t="n"/>
      <c r="M153" s="85" t="n"/>
      <c r="N153" s="85" t="n"/>
      <c r="O153" s="85" t="n"/>
      <c r="P153" s="85" t="n"/>
      <c r="Q153" s="85" t="n"/>
      <c r="R153" s="85" t="n"/>
      <c r="S153" s="85" t="n"/>
      <c r="T153" s="85" t="n"/>
      <c r="U153" s="85" t="n"/>
      <c r="V153" s="85" t="n"/>
      <c r="W153" s="85" t="n"/>
      <c r="X153" s="85" t="n"/>
      <c r="Y153" s="85" t="n"/>
      <c r="Z153" s="85" t="n"/>
      <c r="AA153" s="85" t="n"/>
      <c r="AB153" s="85" t="n"/>
      <c r="AC153" s="85" t="n"/>
      <c r="AD153" s="85" t="n"/>
      <c r="AE153" s="85" t="n"/>
      <c r="AF153" s="86" t="n"/>
      <c r="AG153" s="86" t="n"/>
      <c r="AH153" s="86" t="n"/>
      <c r="AI153" s="85" t="n"/>
      <c r="AJ153" s="85" t="n"/>
      <c r="AK153" s="85">
        <f>IF($A153="","",IF($M153&gt;0,"Yes","No"))</f>
        <v/>
      </c>
      <c r="AL153" s="85">
        <f>IF($A153="","",IF(AND($E153="Yes",OR($Y153="No",$Y153="NOT FOUND")),"YES",""))</f>
        <v/>
      </c>
      <c r="AM153" s="85">
        <f>IF($A153="","",TRIM(IF(AND($P153=0,$I153&lt;&gt;"Yes"),"T0-NoPhishResistant ","")&amp;IF($H153="No","NoMFA ","")&amp;IF(AND($P153=0,$M153&gt;0),"T0-Standing ","")&amp;IF(AND($P153=0,$Q153="Group only"),"T0-ViaGroupOnly ","")&amp;IF($W153="Yes","AlsoAzureRBAC ","")))</f>
        <v/>
      </c>
      <c r="AN153" s="85">
        <f>IF($A153="","",IF(AG153="","Not Enrolled",IF(TODAY()&gt;AG153,"Review Overdue",IF(AG153-TODAY()&lt;=30,"Review Due Soon","Active"))))</f>
        <v/>
      </c>
      <c r="AO153" s="85">
        <f>IF($A153="","",IF(AH153="","NOT REVIEWED",IF(TODAY()-AH153&gt;90,"OVERDUE",IF(TODAY()-AH153&gt;76,"Due Soon","Current"))))</f>
        <v/>
      </c>
    </row>
    <row r="154" ht="15" customHeight="1" s="39">
      <c r="A154" s="85" t="n"/>
      <c r="B154" s="85" t="n"/>
      <c r="C154" s="85" t="n"/>
      <c r="D154" s="85" t="n"/>
      <c r="E154" s="85" t="n"/>
      <c r="F154" s="86" t="n"/>
      <c r="G154" s="86" t="n"/>
      <c r="H154" s="85" t="n"/>
      <c r="I154" s="85" t="n"/>
      <c r="J154" s="85" t="n"/>
      <c r="K154" s="85" t="n"/>
      <c r="L154" s="85" t="n"/>
      <c r="M154" s="85" t="n"/>
      <c r="N154" s="85" t="n"/>
      <c r="O154" s="85" t="n"/>
      <c r="P154" s="85" t="n"/>
      <c r="Q154" s="85" t="n"/>
      <c r="R154" s="85" t="n"/>
      <c r="S154" s="85" t="n"/>
      <c r="T154" s="85" t="n"/>
      <c r="U154" s="85" t="n"/>
      <c r="V154" s="85" t="n"/>
      <c r="W154" s="85" t="n"/>
      <c r="X154" s="85" t="n"/>
      <c r="Y154" s="85" t="n"/>
      <c r="Z154" s="85" t="n"/>
      <c r="AA154" s="85" t="n"/>
      <c r="AB154" s="85" t="n"/>
      <c r="AC154" s="85" t="n"/>
      <c r="AD154" s="85" t="n"/>
      <c r="AE154" s="85" t="n"/>
      <c r="AF154" s="86" t="n"/>
      <c r="AG154" s="86" t="n"/>
      <c r="AH154" s="86" t="n"/>
      <c r="AI154" s="85" t="n"/>
      <c r="AJ154" s="85" t="n"/>
      <c r="AK154" s="85">
        <f>IF($A154="","",IF($M154&gt;0,"Yes","No"))</f>
        <v/>
      </c>
      <c r="AL154" s="85">
        <f>IF($A154="","",IF(AND($E154="Yes",OR($Y154="No",$Y154="NOT FOUND")),"YES",""))</f>
        <v/>
      </c>
      <c r="AM154" s="85">
        <f>IF($A154="","",TRIM(IF(AND($P154=0,$I154&lt;&gt;"Yes"),"T0-NoPhishResistant ","")&amp;IF($H154="No","NoMFA ","")&amp;IF(AND($P154=0,$M154&gt;0),"T0-Standing ","")&amp;IF(AND($P154=0,$Q154="Group only"),"T0-ViaGroupOnly ","")&amp;IF($W154="Yes","AlsoAzureRBAC ","")))</f>
        <v/>
      </c>
      <c r="AN154" s="85">
        <f>IF($A154="","",IF(AG154="","Not Enrolled",IF(TODAY()&gt;AG154,"Review Overdue",IF(AG154-TODAY()&lt;=30,"Review Due Soon","Active"))))</f>
        <v/>
      </c>
      <c r="AO154" s="85">
        <f>IF($A154="","",IF(AH154="","NOT REVIEWED",IF(TODAY()-AH154&gt;90,"OVERDUE",IF(TODAY()-AH154&gt;76,"Due Soon","Current"))))</f>
        <v/>
      </c>
    </row>
    <row r="155" ht="15" customHeight="1" s="39">
      <c r="A155" s="85" t="n"/>
      <c r="B155" s="85" t="n"/>
      <c r="C155" s="85" t="n"/>
      <c r="D155" s="85" t="n"/>
      <c r="E155" s="85" t="n"/>
      <c r="F155" s="86" t="n"/>
      <c r="G155" s="86" t="n"/>
      <c r="H155" s="85" t="n"/>
      <c r="I155" s="85" t="n"/>
      <c r="J155" s="85" t="n"/>
      <c r="K155" s="85" t="n"/>
      <c r="L155" s="85" t="n"/>
      <c r="M155" s="85" t="n"/>
      <c r="N155" s="85" t="n"/>
      <c r="O155" s="85" t="n"/>
      <c r="P155" s="85" t="n"/>
      <c r="Q155" s="85" t="n"/>
      <c r="R155" s="85" t="n"/>
      <c r="S155" s="85" t="n"/>
      <c r="T155" s="85" t="n"/>
      <c r="U155" s="85" t="n"/>
      <c r="V155" s="85" t="n"/>
      <c r="W155" s="85" t="n"/>
      <c r="X155" s="85" t="n"/>
      <c r="Y155" s="85" t="n"/>
      <c r="Z155" s="85" t="n"/>
      <c r="AA155" s="85" t="n"/>
      <c r="AB155" s="85" t="n"/>
      <c r="AC155" s="85" t="n"/>
      <c r="AD155" s="85" t="n"/>
      <c r="AE155" s="85" t="n"/>
      <c r="AF155" s="86" t="n"/>
      <c r="AG155" s="86" t="n"/>
      <c r="AH155" s="86" t="n"/>
      <c r="AI155" s="85" t="n"/>
      <c r="AJ155" s="85" t="n"/>
      <c r="AK155" s="85">
        <f>IF($A155="","",IF($M155&gt;0,"Yes","No"))</f>
        <v/>
      </c>
      <c r="AL155" s="85">
        <f>IF($A155="","",IF(AND($E155="Yes",OR($Y155="No",$Y155="NOT FOUND")),"YES",""))</f>
        <v/>
      </c>
      <c r="AM155" s="85">
        <f>IF($A155="","",TRIM(IF(AND($P155=0,$I155&lt;&gt;"Yes"),"T0-NoPhishResistant ","")&amp;IF($H155="No","NoMFA ","")&amp;IF(AND($P155=0,$M155&gt;0),"T0-Standing ","")&amp;IF(AND($P155=0,$Q155="Group only"),"T0-ViaGroupOnly ","")&amp;IF($W155="Yes","AlsoAzureRBAC ","")))</f>
        <v/>
      </c>
      <c r="AN155" s="85">
        <f>IF($A155="","",IF(AG155="","Not Enrolled",IF(TODAY()&gt;AG155,"Review Overdue",IF(AG155-TODAY()&lt;=30,"Review Due Soon","Active"))))</f>
        <v/>
      </c>
      <c r="AO155" s="85">
        <f>IF($A155="","",IF(AH155="","NOT REVIEWED",IF(TODAY()-AH155&gt;90,"OVERDUE",IF(TODAY()-AH155&gt;76,"Due Soon","Current"))))</f>
        <v/>
      </c>
    </row>
    <row r="156" ht="15" customHeight="1" s="39">
      <c r="A156" s="85" t="n"/>
      <c r="B156" s="85" t="n"/>
      <c r="C156" s="85" t="n"/>
      <c r="D156" s="85" t="n"/>
      <c r="E156" s="85" t="n"/>
      <c r="F156" s="86" t="n"/>
      <c r="G156" s="86" t="n"/>
      <c r="H156" s="85" t="n"/>
      <c r="I156" s="85" t="n"/>
      <c r="J156" s="85" t="n"/>
      <c r="K156" s="85" t="n"/>
      <c r="L156" s="85" t="n"/>
      <c r="M156" s="85" t="n"/>
      <c r="N156" s="85" t="n"/>
      <c r="O156" s="85" t="n"/>
      <c r="P156" s="85" t="n"/>
      <c r="Q156" s="85" t="n"/>
      <c r="R156" s="85" t="n"/>
      <c r="S156" s="85" t="n"/>
      <c r="T156" s="85" t="n"/>
      <c r="U156" s="85" t="n"/>
      <c r="V156" s="85" t="n"/>
      <c r="W156" s="85" t="n"/>
      <c r="X156" s="85" t="n"/>
      <c r="Y156" s="85" t="n"/>
      <c r="Z156" s="85" t="n"/>
      <c r="AA156" s="85" t="n"/>
      <c r="AB156" s="85" t="n"/>
      <c r="AC156" s="85" t="n"/>
      <c r="AD156" s="85" t="n"/>
      <c r="AE156" s="85" t="n"/>
      <c r="AF156" s="86" t="n"/>
      <c r="AG156" s="86" t="n"/>
      <c r="AH156" s="86" t="n"/>
      <c r="AI156" s="85" t="n"/>
      <c r="AJ156" s="85" t="n"/>
      <c r="AK156" s="85">
        <f>IF($A156="","",IF($M156&gt;0,"Yes","No"))</f>
        <v/>
      </c>
      <c r="AL156" s="85">
        <f>IF($A156="","",IF(AND($E156="Yes",OR($Y156="No",$Y156="NOT FOUND")),"YES",""))</f>
        <v/>
      </c>
      <c r="AM156" s="85">
        <f>IF($A156="","",TRIM(IF(AND($P156=0,$I156&lt;&gt;"Yes"),"T0-NoPhishResistant ","")&amp;IF($H156="No","NoMFA ","")&amp;IF(AND($P156=0,$M156&gt;0),"T0-Standing ","")&amp;IF(AND($P156=0,$Q156="Group only"),"T0-ViaGroupOnly ","")&amp;IF($W156="Yes","AlsoAzureRBAC ","")))</f>
        <v/>
      </c>
      <c r="AN156" s="85">
        <f>IF($A156="","",IF(AG156="","Not Enrolled",IF(TODAY()&gt;AG156,"Review Overdue",IF(AG156-TODAY()&lt;=30,"Review Due Soon","Active"))))</f>
        <v/>
      </c>
      <c r="AO156" s="85">
        <f>IF($A156="","",IF(AH156="","NOT REVIEWED",IF(TODAY()-AH156&gt;90,"OVERDUE",IF(TODAY()-AH156&gt;76,"Due Soon","Current"))))</f>
        <v/>
      </c>
    </row>
    <row r="157" ht="15" customHeight="1" s="39">
      <c r="A157" s="85" t="n"/>
      <c r="B157" s="85" t="n"/>
      <c r="C157" s="85" t="n"/>
      <c r="D157" s="85" t="n"/>
      <c r="E157" s="85" t="n"/>
      <c r="F157" s="86" t="n"/>
      <c r="G157" s="86" t="n"/>
      <c r="H157" s="85" t="n"/>
      <c r="I157" s="85" t="n"/>
      <c r="J157" s="85" t="n"/>
      <c r="K157" s="85" t="n"/>
      <c r="L157" s="85" t="n"/>
      <c r="M157" s="85" t="n"/>
      <c r="N157" s="85" t="n"/>
      <c r="O157" s="85" t="n"/>
      <c r="P157" s="85" t="n"/>
      <c r="Q157" s="85" t="n"/>
      <c r="R157" s="85" t="n"/>
      <c r="S157" s="85" t="n"/>
      <c r="T157" s="85" t="n"/>
      <c r="U157" s="85" t="n"/>
      <c r="V157" s="85" t="n"/>
      <c r="W157" s="85" t="n"/>
      <c r="X157" s="85" t="n"/>
      <c r="Y157" s="85" t="n"/>
      <c r="Z157" s="85" t="n"/>
      <c r="AA157" s="85" t="n"/>
      <c r="AB157" s="85" t="n"/>
      <c r="AC157" s="85" t="n"/>
      <c r="AD157" s="85" t="n"/>
      <c r="AE157" s="85" t="n"/>
      <c r="AF157" s="86" t="n"/>
      <c r="AG157" s="86" t="n"/>
      <c r="AH157" s="86" t="n"/>
      <c r="AI157" s="85" t="n"/>
      <c r="AJ157" s="85" t="n"/>
      <c r="AK157" s="85">
        <f>IF($A157="","",IF($M157&gt;0,"Yes","No"))</f>
        <v/>
      </c>
      <c r="AL157" s="85">
        <f>IF($A157="","",IF(AND($E157="Yes",OR($Y157="No",$Y157="NOT FOUND")),"YES",""))</f>
        <v/>
      </c>
      <c r="AM157" s="85">
        <f>IF($A157="","",TRIM(IF(AND($P157=0,$I157&lt;&gt;"Yes"),"T0-NoPhishResistant ","")&amp;IF($H157="No","NoMFA ","")&amp;IF(AND($P157=0,$M157&gt;0),"T0-Standing ","")&amp;IF(AND($P157=0,$Q157="Group only"),"T0-ViaGroupOnly ","")&amp;IF($W157="Yes","AlsoAzureRBAC ","")))</f>
        <v/>
      </c>
      <c r="AN157" s="85">
        <f>IF($A157="","",IF(AG157="","Not Enrolled",IF(TODAY()&gt;AG157,"Review Overdue",IF(AG157-TODAY()&lt;=30,"Review Due Soon","Active"))))</f>
        <v/>
      </c>
      <c r="AO157" s="85">
        <f>IF($A157="","",IF(AH157="","NOT REVIEWED",IF(TODAY()-AH157&gt;90,"OVERDUE",IF(TODAY()-AH157&gt;76,"Due Soon","Current"))))</f>
        <v/>
      </c>
    </row>
    <row r="158" ht="15" customHeight="1" s="39">
      <c r="A158" s="85" t="n"/>
      <c r="B158" s="85" t="n"/>
      <c r="C158" s="85" t="n"/>
      <c r="D158" s="85" t="n"/>
      <c r="E158" s="85" t="n"/>
      <c r="F158" s="86" t="n"/>
      <c r="G158" s="86" t="n"/>
      <c r="H158" s="85" t="n"/>
      <c r="I158" s="85" t="n"/>
      <c r="J158" s="85" t="n"/>
      <c r="K158" s="85" t="n"/>
      <c r="L158" s="85" t="n"/>
      <c r="M158" s="85" t="n"/>
      <c r="N158" s="85" t="n"/>
      <c r="O158" s="85" t="n"/>
      <c r="P158" s="85" t="n"/>
      <c r="Q158" s="85" t="n"/>
      <c r="R158" s="85" t="n"/>
      <c r="S158" s="85" t="n"/>
      <c r="T158" s="85" t="n"/>
      <c r="U158" s="85" t="n"/>
      <c r="V158" s="85" t="n"/>
      <c r="W158" s="85" t="n"/>
      <c r="X158" s="85" t="n"/>
      <c r="Y158" s="85" t="n"/>
      <c r="Z158" s="85" t="n"/>
      <c r="AA158" s="85" t="n"/>
      <c r="AB158" s="85" t="n"/>
      <c r="AC158" s="85" t="n"/>
      <c r="AD158" s="85" t="n"/>
      <c r="AE158" s="85" t="n"/>
      <c r="AF158" s="86" t="n"/>
      <c r="AG158" s="86" t="n"/>
      <c r="AH158" s="86" t="n"/>
      <c r="AI158" s="85" t="n"/>
      <c r="AJ158" s="85" t="n"/>
      <c r="AK158" s="85">
        <f>IF($A158="","",IF($M158&gt;0,"Yes","No"))</f>
        <v/>
      </c>
      <c r="AL158" s="85">
        <f>IF($A158="","",IF(AND($E158="Yes",OR($Y158="No",$Y158="NOT FOUND")),"YES",""))</f>
        <v/>
      </c>
      <c r="AM158" s="85">
        <f>IF($A158="","",TRIM(IF(AND($P158=0,$I158&lt;&gt;"Yes"),"T0-NoPhishResistant ","")&amp;IF($H158="No","NoMFA ","")&amp;IF(AND($P158=0,$M158&gt;0),"T0-Standing ","")&amp;IF(AND($P158=0,$Q158="Group only"),"T0-ViaGroupOnly ","")&amp;IF($W158="Yes","AlsoAzureRBAC ","")))</f>
        <v/>
      </c>
      <c r="AN158" s="85">
        <f>IF($A158="","",IF(AG158="","Not Enrolled",IF(TODAY()&gt;AG158,"Review Overdue",IF(AG158-TODAY()&lt;=30,"Review Due Soon","Active"))))</f>
        <v/>
      </c>
      <c r="AO158" s="85">
        <f>IF($A158="","",IF(AH158="","NOT REVIEWED",IF(TODAY()-AH158&gt;90,"OVERDUE",IF(TODAY()-AH158&gt;76,"Due Soon","Current"))))</f>
        <v/>
      </c>
    </row>
    <row r="159" ht="15" customHeight="1" s="39">
      <c r="A159" s="85" t="n"/>
      <c r="B159" s="85" t="n"/>
      <c r="C159" s="85" t="n"/>
      <c r="D159" s="85" t="n"/>
      <c r="E159" s="85" t="n"/>
      <c r="F159" s="86" t="n"/>
      <c r="G159" s="86" t="n"/>
      <c r="H159" s="85" t="n"/>
      <c r="I159" s="85" t="n"/>
      <c r="J159" s="85" t="n"/>
      <c r="K159" s="85" t="n"/>
      <c r="L159" s="85" t="n"/>
      <c r="M159" s="85" t="n"/>
      <c r="N159" s="85" t="n"/>
      <c r="O159" s="85" t="n"/>
      <c r="P159" s="85" t="n"/>
      <c r="Q159" s="85" t="n"/>
      <c r="R159" s="85" t="n"/>
      <c r="S159" s="85" t="n"/>
      <c r="T159" s="85" t="n"/>
      <c r="U159" s="85" t="n"/>
      <c r="V159" s="85" t="n"/>
      <c r="W159" s="85" t="n"/>
      <c r="X159" s="85" t="n"/>
      <c r="Y159" s="85" t="n"/>
      <c r="Z159" s="85" t="n"/>
      <c r="AA159" s="85" t="n"/>
      <c r="AB159" s="85" t="n"/>
      <c r="AC159" s="85" t="n"/>
      <c r="AD159" s="85" t="n"/>
      <c r="AE159" s="85" t="n"/>
      <c r="AF159" s="86" t="n"/>
      <c r="AG159" s="86" t="n"/>
      <c r="AH159" s="86" t="n"/>
      <c r="AI159" s="85" t="n"/>
      <c r="AJ159" s="85" t="n"/>
      <c r="AK159" s="85">
        <f>IF($A159="","",IF($M159&gt;0,"Yes","No"))</f>
        <v/>
      </c>
      <c r="AL159" s="85">
        <f>IF($A159="","",IF(AND($E159="Yes",OR($Y159="No",$Y159="NOT FOUND")),"YES",""))</f>
        <v/>
      </c>
      <c r="AM159" s="85">
        <f>IF($A159="","",TRIM(IF(AND($P159=0,$I159&lt;&gt;"Yes"),"T0-NoPhishResistant ","")&amp;IF($H159="No","NoMFA ","")&amp;IF(AND($P159=0,$M159&gt;0),"T0-Standing ","")&amp;IF(AND($P159=0,$Q159="Group only"),"T0-ViaGroupOnly ","")&amp;IF($W159="Yes","AlsoAzureRBAC ","")))</f>
        <v/>
      </c>
      <c r="AN159" s="85">
        <f>IF($A159="","",IF(AG159="","Not Enrolled",IF(TODAY()&gt;AG159,"Review Overdue",IF(AG159-TODAY()&lt;=30,"Review Due Soon","Active"))))</f>
        <v/>
      </c>
      <c r="AO159" s="85">
        <f>IF($A159="","",IF(AH159="","NOT REVIEWED",IF(TODAY()-AH159&gt;90,"OVERDUE",IF(TODAY()-AH159&gt;76,"Due Soon","Current"))))</f>
        <v/>
      </c>
    </row>
    <row r="160" ht="15" customHeight="1" s="39">
      <c r="A160" s="85" t="n"/>
      <c r="B160" s="85" t="n"/>
      <c r="C160" s="85" t="n"/>
      <c r="D160" s="85" t="n"/>
      <c r="E160" s="85" t="n"/>
      <c r="F160" s="86" t="n"/>
      <c r="G160" s="86" t="n"/>
      <c r="H160" s="85" t="n"/>
      <c r="I160" s="85" t="n"/>
      <c r="J160" s="85" t="n"/>
      <c r="K160" s="85" t="n"/>
      <c r="L160" s="85" t="n"/>
      <c r="M160" s="85" t="n"/>
      <c r="N160" s="85" t="n"/>
      <c r="O160" s="85" t="n"/>
      <c r="P160" s="85" t="n"/>
      <c r="Q160" s="85" t="n"/>
      <c r="R160" s="85" t="n"/>
      <c r="S160" s="85" t="n"/>
      <c r="T160" s="85" t="n"/>
      <c r="U160" s="85" t="n"/>
      <c r="V160" s="85" t="n"/>
      <c r="W160" s="85" t="n"/>
      <c r="X160" s="85" t="n"/>
      <c r="Y160" s="85" t="n"/>
      <c r="Z160" s="85" t="n"/>
      <c r="AA160" s="85" t="n"/>
      <c r="AB160" s="85" t="n"/>
      <c r="AC160" s="85" t="n"/>
      <c r="AD160" s="85" t="n"/>
      <c r="AE160" s="85" t="n"/>
      <c r="AF160" s="86" t="n"/>
      <c r="AG160" s="86" t="n"/>
      <c r="AH160" s="86" t="n"/>
      <c r="AI160" s="85" t="n"/>
      <c r="AJ160" s="85" t="n"/>
      <c r="AK160" s="85">
        <f>IF($A160="","",IF($M160&gt;0,"Yes","No"))</f>
        <v/>
      </c>
      <c r="AL160" s="85">
        <f>IF($A160="","",IF(AND($E160="Yes",OR($Y160="No",$Y160="NOT FOUND")),"YES",""))</f>
        <v/>
      </c>
      <c r="AM160" s="85">
        <f>IF($A160="","",TRIM(IF(AND($P160=0,$I160&lt;&gt;"Yes"),"T0-NoPhishResistant ","")&amp;IF($H160="No","NoMFA ","")&amp;IF(AND($P160=0,$M160&gt;0),"T0-Standing ","")&amp;IF(AND($P160=0,$Q160="Group only"),"T0-ViaGroupOnly ","")&amp;IF($W160="Yes","AlsoAzureRBAC ","")))</f>
        <v/>
      </c>
      <c r="AN160" s="85">
        <f>IF($A160="","",IF(AG160="","Not Enrolled",IF(TODAY()&gt;AG160,"Review Overdue",IF(AG160-TODAY()&lt;=30,"Review Due Soon","Active"))))</f>
        <v/>
      </c>
      <c r="AO160" s="85">
        <f>IF($A160="","",IF(AH160="","NOT REVIEWED",IF(TODAY()-AH160&gt;90,"OVERDUE",IF(TODAY()-AH160&gt;76,"Due Soon","Current"))))</f>
        <v/>
      </c>
    </row>
    <row r="161" ht="15" customHeight="1" s="39">
      <c r="A161" s="85" t="n"/>
      <c r="B161" s="85" t="n"/>
      <c r="C161" s="85" t="n"/>
      <c r="D161" s="85" t="n"/>
      <c r="E161" s="85" t="n"/>
      <c r="F161" s="86" t="n"/>
      <c r="G161" s="86" t="n"/>
      <c r="H161" s="85" t="n"/>
      <c r="I161" s="85" t="n"/>
      <c r="J161" s="85" t="n"/>
      <c r="K161" s="85" t="n"/>
      <c r="L161" s="85" t="n"/>
      <c r="M161" s="85" t="n"/>
      <c r="N161" s="85" t="n"/>
      <c r="O161" s="85" t="n"/>
      <c r="P161" s="85" t="n"/>
      <c r="Q161" s="85" t="n"/>
      <c r="R161" s="85" t="n"/>
      <c r="S161" s="85" t="n"/>
      <c r="T161" s="85" t="n"/>
      <c r="U161" s="85" t="n"/>
      <c r="V161" s="85" t="n"/>
      <c r="W161" s="85" t="n"/>
      <c r="X161" s="85" t="n"/>
      <c r="Y161" s="85" t="n"/>
      <c r="Z161" s="85" t="n"/>
      <c r="AA161" s="85" t="n"/>
      <c r="AB161" s="85" t="n"/>
      <c r="AC161" s="85" t="n"/>
      <c r="AD161" s="85" t="n"/>
      <c r="AE161" s="85" t="n"/>
      <c r="AF161" s="86" t="n"/>
      <c r="AG161" s="86" t="n"/>
      <c r="AH161" s="86" t="n"/>
      <c r="AI161" s="85" t="n"/>
      <c r="AJ161" s="85" t="n"/>
      <c r="AK161" s="85">
        <f>IF($A161="","",IF($M161&gt;0,"Yes","No"))</f>
        <v/>
      </c>
      <c r="AL161" s="85">
        <f>IF($A161="","",IF(AND($E161="Yes",OR($Y161="No",$Y161="NOT FOUND")),"YES",""))</f>
        <v/>
      </c>
      <c r="AM161" s="85">
        <f>IF($A161="","",TRIM(IF(AND($P161=0,$I161&lt;&gt;"Yes"),"T0-NoPhishResistant ","")&amp;IF($H161="No","NoMFA ","")&amp;IF(AND($P161=0,$M161&gt;0),"T0-Standing ","")&amp;IF(AND($P161=0,$Q161="Group only"),"T0-ViaGroupOnly ","")&amp;IF($W161="Yes","AlsoAzureRBAC ","")))</f>
        <v/>
      </c>
      <c r="AN161" s="85">
        <f>IF($A161="","",IF(AG161="","Not Enrolled",IF(TODAY()&gt;AG161,"Review Overdue",IF(AG161-TODAY()&lt;=30,"Review Due Soon","Active"))))</f>
        <v/>
      </c>
      <c r="AO161" s="85">
        <f>IF($A161="","",IF(AH161="","NOT REVIEWED",IF(TODAY()-AH161&gt;90,"OVERDUE",IF(TODAY()-AH161&gt;76,"Due Soon","Current"))))</f>
        <v/>
      </c>
    </row>
    <row r="162" ht="15" customHeight="1" s="39">
      <c r="A162" s="85" t="n"/>
      <c r="B162" s="85" t="n"/>
      <c r="C162" s="85" t="n"/>
      <c r="D162" s="85" t="n"/>
      <c r="E162" s="85" t="n"/>
      <c r="F162" s="86" t="n"/>
      <c r="G162" s="86" t="n"/>
      <c r="H162" s="85" t="n"/>
      <c r="I162" s="85" t="n"/>
      <c r="J162" s="85" t="n"/>
      <c r="K162" s="85" t="n"/>
      <c r="L162" s="85" t="n"/>
      <c r="M162" s="85" t="n"/>
      <c r="N162" s="85" t="n"/>
      <c r="O162" s="85" t="n"/>
      <c r="P162" s="85" t="n"/>
      <c r="Q162" s="85" t="n"/>
      <c r="R162" s="85" t="n"/>
      <c r="S162" s="85" t="n"/>
      <c r="T162" s="85" t="n"/>
      <c r="U162" s="85" t="n"/>
      <c r="V162" s="85" t="n"/>
      <c r="W162" s="85" t="n"/>
      <c r="X162" s="85" t="n"/>
      <c r="Y162" s="85" t="n"/>
      <c r="Z162" s="85" t="n"/>
      <c r="AA162" s="85" t="n"/>
      <c r="AB162" s="85" t="n"/>
      <c r="AC162" s="85" t="n"/>
      <c r="AD162" s="85" t="n"/>
      <c r="AE162" s="85" t="n"/>
      <c r="AF162" s="86" t="n"/>
      <c r="AG162" s="86" t="n"/>
      <c r="AH162" s="86" t="n"/>
      <c r="AI162" s="85" t="n"/>
      <c r="AJ162" s="85" t="n"/>
      <c r="AK162" s="85">
        <f>IF($A162="","",IF($M162&gt;0,"Yes","No"))</f>
        <v/>
      </c>
      <c r="AL162" s="85">
        <f>IF($A162="","",IF(AND($E162="Yes",OR($Y162="No",$Y162="NOT FOUND")),"YES",""))</f>
        <v/>
      </c>
      <c r="AM162" s="85">
        <f>IF($A162="","",TRIM(IF(AND($P162=0,$I162&lt;&gt;"Yes"),"T0-NoPhishResistant ","")&amp;IF($H162="No","NoMFA ","")&amp;IF(AND($P162=0,$M162&gt;0),"T0-Standing ","")&amp;IF(AND($P162=0,$Q162="Group only"),"T0-ViaGroupOnly ","")&amp;IF($W162="Yes","AlsoAzureRBAC ","")))</f>
        <v/>
      </c>
      <c r="AN162" s="85">
        <f>IF($A162="","",IF(AG162="","Not Enrolled",IF(TODAY()&gt;AG162,"Review Overdue",IF(AG162-TODAY()&lt;=30,"Review Due Soon","Active"))))</f>
        <v/>
      </c>
      <c r="AO162" s="85">
        <f>IF($A162="","",IF(AH162="","NOT REVIEWED",IF(TODAY()-AH162&gt;90,"OVERDUE",IF(TODAY()-AH162&gt;76,"Due Soon","Current"))))</f>
        <v/>
      </c>
    </row>
    <row r="163" ht="15" customHeight="1" s="39">
      <c r="A163" s="85" t="n"/>
      <c r="B163" s="85" t="n"/>
      <c r="C163" s="85" t="n"/>
      <c r="D163" s="85" t="n"/>
      <c r="E163" s="85" t="n"/>
      <c r="F163" s="86" t="n"/>
      <c r="G163" s="86" t="n"/>
      <c r="H163" s="85" t="n"/>
      <c r="I163" s="85" t="n"/>
      <c r="J163" s="85" t="n"/>
      <c r="K163" s="85" t="n"/>
      <c r="L163" s="85" t="n"/>
      <c r="M163" s="85" t="n"/>
      <c r="N163" s="85" t="n"/>
      <c r="O163" s="85" t="n"/>
      <c r="P163" s="85" t="n"/>
      <c r="Q163" s="85" t="n"/>
      <c r="R163" s="85" t="n"/>
      <c r="S163" s="85" t="n"/>
      <c r="T163" s="85" t="n"/>
      <c r="U163" s="85" t="n"/>
      <c r="V163" s="85" t="n"/>
      <c r="W163" s="85" t="n"/>
      <c r="X163" s="85" t="n"/>
      <c r="Y163" s="85" t="n"/>
      <c r="Z163" s="85" t="n"/>
      <c r="AA163" s="85" t="n"/>
      <c r="AB163" s="85" t="n"/>
      <c r="AC163" s="85" t="n"/>
      <c r="AD163" s="85" t="n"/>
      <c r="AE163" s="85" t="n"/>
      <c r="AF163" s="86" t="n"/>
      <c r="AG163" s="86" t="n"/>
      <c r="AH163" s="86" t="n"/>
      <c r="AI163" s="85" t="n"/>
      <c r="AJ163" s="85" t="n"/>
      <c r="AK163" s="85">
        <f>IF($A163="","",IF($M163&gt;0,"Yes","No"))</f>
        <v/>
      </c>
      <c r="AL163" s="85">
        <f>IF($A163="","",IF(AND($E163="Yes",OR($Y163="No",$Y163="NOT FOUND")),"YES",""))</f>
        <v/>
      </c>
      <c r="AM163" s="85">
        <f>IF($A163="","",TRIM(IF(AND($P163=0,$I163&lt;&gt;"Yes"),"T0-NoPhishResistant ","")&amp;IF($H163="No","NoMFA ","")&amp;IF(AND($P163=0,$M163&gt;0),"T0-Standing ","")&amp;IF(AND($P163=0,$Q163="Group only"),"T0-ViaGroupOnly ","")&amp;IF($W163="Yes","AlsoAzureRBAC ","")))</f>
        <v/>
      </c>
      <c r="AN163" s="85">
        <f>IF($A163="","",IF(AG163="","Not Enrolled",IF(TODAY()&gt;AG163,"Review Overdue",IF(AG163-TODAY()&lt;=30,"Review Due Soon","Active"))))</f>
        <v/>
      </c>
      <c r="AO163" s="85">
        <f>IF($A163="","",IF(AH163="","NOT REVIEWED",IF(TODAY()-AH163&gt;90,"OVERDUE",IF(TODAY()-AH163&gt;76,"Due Soon","Current"))))</f>
        <v/>
      </c>
    </row>
    <row r="164" ht="15" customHeight="1" s="39">
      <c r="A164" s="85" t="n"/>
      <c r="B164" s="85" t="n"/>
      <c r="C164" s="85" t="n"/>
      <c r="D164" s="85" t="n"/>
      <c r="E164" s="85" t="n"/>
      <c r="F164" s="86" t="n"/>
      <c r="G164" s="86" t="n"/>
      <c r="H164" s="85" t="n"/>
      <c r="I164" s="85" t="n"/>
      <c r="J164" s="85" t="n"/>
      <c r="K164" s="85" t="n"/>
      <c r="L164" s="85" t="n"/>
      <c r="M164" s="85" t="n"/>
      <c r="N164" s="85" t="n"/>
      <c r="O164" s="85" t="n"/>
      <c r="P164" s="85" t="n"/>
      <c r="Q164" s="85" t="n"/>
      <c r="R164" s="85" t="n"/>
      <c r="S164" s="85" t="n"/>
      <c r="T164" s="85" t="n"/>
      <c r="U164" s="85" t="n"/>
      <c r="V164" s="85" t="n"/>
      <c r="W164" s="85" t="n"/>
      <c r="X164" s="85" t="n"/>
      <c r="Y164" s="85" t="n"/>
      <c r="Z164" s="85" t="n"/>
      <c r="AA164" s="85" t="n"/>
      <c r="AB164" s="85" t="n"/>
      <c r="AC164" s="85" t="n"/>
      <c r="AD164" s="85" t="n"/>
      <c r="AE164" s="85" t="n"/>
      <c r="AF164" s="86" t="n"/>
      <c r="AG164" s="86" t="n"/>
      <c r="AH164" s="86" t="n"/>
      <c r="AI164" s="85" t="n"/>
      <c r="AJ164" s="85" t="n"/>
      <c r="AK164" s="85">
        <f>IF($A164="","",IF($M164&gt;0,"Yes","No"))</f>
        <v/>
      </c>
      <c r="AL164" s="85">
        <f>IF($A164="","",IF(AND($E164="Yes",OR($Y164="No",$Y164="NOT FOUND")),"YES",""))</f>
        <v/>
      </c>
      <c r="AM164" s="85">
        <f>IF($A164="","",TRIM(IF(AND($P164=0,$I164&lt;&gt;"Yes"),"T0-NoPhishResistant ","")&amp;IF($H164="No","NoMFA ","")&amp;IF(AND($P164=0,$M164&gt;0),"T0-Standing ","")&amp;IF(AND($P164=0,$Q164="Group only"),"T0-ViaGroupOnly ","")&amp;IF($W164="Yes","AlsoAzureRBAC ","")))</f>
        <v/>
      </c>
      <c r="AN164" s="85">
        <f>IF($A164="","",IF(AG164="","Not Enrolled",IF(TODAY()&gt;AG164,"Review Overdue",IF(AG164-TODAY()&lt;=30,"Review Due Soon","Active"))))</f>
        <v/>
      </c>
      <c r="AO164" s="85">
        <f>IF($A164="","",IF(AH164="","NOT REVIEWED",IF(TODAY()-AH164&gt;90,"OVERDUE",IF(TODAY()-AH164&gt;76,"Due Soon","Current"))))</f>
        <v/>
      </c>
    </row>
    <row r="165" ht="15" customHeight="1" s="39">
      <c r="A165" s="85" t="n"/>
      <c r="B165" s="85" t="n"/>
      <c r="C165" s="85" t="n"/>
      <c r="D165" s="85" t="n"/>
      <c r="E165" s="85" t="n"/>
      <c r="F165" s="86" t="n"/>
      <c r="G165" s="86" t="n"/>
      <c r="H165" s="85" t="n"/>
      <c r="I165" s="85" t="n"/>
      <c r="J165" s="85" t="n"/>
      <c r="K165" s="85" t="n"/>
      <c r="L165" s="85" t="n"/>
      <c r="M165" s="85" t="n"/>
      <c r="N165" s="85" t="n"/>
      <c r="O165" s="85" t="n"/>
      <c r="P165" s="85" t="n"/>
      <c r="Q165" s="85" t="n"/>
      <c r="R165" s="85" t="n"/>
      <c r="S165" s="85" t="n"/>
      <c r="T165" s="85" t="n"/>
      <c r="U165" s="85" t="n"/>
      <c r="V165" s="85" t="n"/>
      <c r="W165" s="85" t="n"/>
      <c r="X165" s="85" t="n"/>
      <c r="Y165" s="85" t="n"/>
      <c r="Z165" s="85" t="n"/>
      <c r="AA165" s="85" t="n"/>
      <c r="AB165" s="85" t="n"/>
      <c r="AC165" s="85" t="n"/>
      <c r="AD165" s="85" t="n"/>
      <c r="AE165" s="85" t="n"/>
      <c r="AF165" s="86" t="n"/>
      <c r="AG165" s="86" t="n"/>
      <c r="AH165" s="86" t="n"/>
      <c r="AI165" s="85" t="n"/>
      <c r="AJ165" s="85" t="n"/>
      <c r="AK165" s="85">
        <f>IF($A165="","",IF($M165&gt;0,"Yes","No"))</f>
        <v/>
      </c>
      <c r="AL165" s="85">
        <f>IF($A165="","",IF(AND($E165="Yes",OR($Y165="No",$Y165="NOT FOUND")),"YES",""))</f>
        <v/>
      </c>
      <c r="AM165" s="85">
        <f>IF($A165="","",TRIM(IF(AND($P165=0,$I165&lt;&gt;"Yes"),"T0-NoPhishResistant ","")&amp;IF($H165="No","NoMFA ","")&amp;IF(AND($P165=0,$M165&gt;0),"T0-Standing ","")&amp;IF(AND($P165=0,$Q165="Group only"),"T0-ViaGroupOnly ","")&amp;IF($W165="Yes","AlsoAzureRBAC ","")))</f>
        <v/>
      </c>
      <c r="AN165" s="85">
        <f>IF($A165="","",IF(AG165="","Not Enrolled",IF(TODAY()&gt;AG165,"Review Overdue",IF(AG165-TODAY()&lt;=30,"Review Due Soon","Active"))))</f>
        <v/>
      </c>
      <c r="AO165" s="85">
        <f>IF($A165="","",IF(AH165="","NOT REVIEWED",IF(TODAY()-AH165&gt;90,"OVERDUE",IF(TODAY()-AH165&gt;76,"Due Soon","Current"))))</f>
        <v/>
      </c>
    </row>
    <row r="166" ht="15" customHeight="1" s="39">
      <c r="A166" s="85" t="n"/>
      <c r="B166" s="85" t="n"/>
      <c r="C166" s="85" t="n"/>
      <c r="D166" s="85" t="n"/>
      <c r="E166" s="85" t="n"/>
      <c r="F166" s="86" t="n"/>
      <c r="G166" s="86" t="n"/>
      <c r="H166" s="85" t="n"/>
      <c r="I166" s="85" t="n"/>
      <c r="J166" s="85" t="n"/>
      <c r="K166" s="85" t="n"/>
      <c r="L166" s="85" t="n"/>
      <c r="M166" s="85" t="n"/>
      <c r="N166" s="85" t="n"/>
      <c r="O166" s="85" t="n"/>
      <c r="P166" s="85" t="n"/>
      <c r="Q166" s="85" t="n"/>
      <c r="R166" s="85" t="n"/>
      <c r="S166" s="85" t="n"/>
      <c r="T166" s="85" t="n"/>
      <c r="U166" s="85" t="n"/>
      <c r="V166" s="85" t="n"/>
      <c r="W166" s="85" t="n"/>
      <c r="X166" s="85" t="n"/>
      <c r="Y166" s="85" t="n"/>
      <c r="Z166" s="85" t="n"/>
      <c r="AA166" s="85" t="n"/>
      <c r="AB166" s="85" t="n"/>
      <c r="AC166" s="85" t="n"/>
      <c r="AD166" s="85" t="n"/>
      <c r="AE166" s="85" t="n"/>
      <c r="AF166" s="86" t="n"/>
      <c r="AG166" s="86" t="n"/>
      <c r="AH166" s="86" t="n"/>
      <c r="AI166" s="85" t="n"/>
      <c r="AJ166" s="85" t="n"/>
      <c r="AK166" s="85">
        <f>IF($A166="","",IF($M166&gt;0,"Yes","No"))</f>
        <v/>
      </c>
      <c r="AL166" s="85">
        <f>IF($A166="","",IF(AND($E166="Yes",OR($Y166="No",$Y166="NOT FOUND")),"YES",""))</f>
        <v/>
      </c>
      <c r="AM166" s="85">
        <f>IF($A166="","",TRIM(IF(AND($P166=0,$I166&lt;&gt;"Yes"),"T0-NoPhishResistant ","")&amp;IF($H166="No","NoMFA ","")&amp;IF(AND($P166=0,$M166&gt;0),"T0-Standing ","")&amp;IF(AND($P166=0,$Q166="Group only"),"T0-ViaGroupOnly ","")&amp;IF($W166="Yes","AlsoAzureRBAC ","")))</f>
        <v/>
      </c>
      <c r="AN166" s="85">
        <f>IF($A166="","",IF(AG166="","Not Enrolled",IF(TODAY()&gt;AG166,"Review Overdue",IF(AG166-TODAY()&lt;=30,"Review Due Soon","Active"))))</f>
        <v/>
      </c>
      <c r="AO166" s="85">
        <f>IF($A166="","",IF(AH166="","NOT REVIEWED",IF(TODAY()-AH166&gt;90,"OVERDUE",IF(TODAY()-AH166&gt;76,"Due Soon","Current"))))</f>
        <v/>
      </c>
    </row>
    <row r="167" ht="15" customHeight="1" s="39">
      <c r="A167" s="85" t="n"/>
      <c r="B167" s="85" t="n"/>
      <c r="C167" s="85" t="n"/>
      <c r="D167" s="85" t="n"/>
      <c r="E167" s="85" t="n"/>
      <c r="F167" s="86" t="n"/>
      <c r="G167" s="86" t="n"/>
      <c r="H167" s="85" t="n"/>
      <c r="I167" s="85" t="n"/>
      <c r="J167" s="85" t="n"/>
      <c r="K167" s="85" t="n"/>
      <c r="L167" s="85" t="n"/>
      <c r="M167" s="85" t="n"/>
      <c r="N167" s="85" t="n"/>
      <c r="O167" s="85" t="n"/>
      <c r="P167" s="85" t="n"/>
      <c r="Q167" s="85" t="n"/>
      <c r="R167" s="85" t="n"/>
      <c r="S167" s="85" t="n"/>
      <c r="T167" s="85" t="n"/>
      <c r="U167" s="85" t="n"/>
      <c r="V167" s="85" t="n"/>
      <c r="W167" s="85" t="n"/>
      <c r="X167" s="85" t="n"/>
      <c r="Y167" s="85" t="n"/>
      <c r="Z167" s="85" t="n"/>
      <c r="AA167" s="85" t="n"/>
      <c r="AB167" s="85" t="n"/>
      <c r="AC167" s="85" t="n"/>
      <c r="AD167" s="85" t="n"/>
      <c r="AE167" s="85" t="n"/>
      <c r="AF167" s="86" t="n"/>
      <c r="AG167" s="86" t="n"/>
      <c r="AH167" s="86" t="n"/>
      <c r="AI167" s="85" t="n"/>
      <c r="AJ167" s="85" t="n"/>
      <c r="AK167" s="85">
        <f>IF($A167="","",IF($M167&gt;0,"Yes","No"))</f>
        <v/>
      </c>
      <c r="AL167" s="85">
        <f>IF($A167="","",IF(AND($E167="Yes",OR($Y167="No",$Y167="NOT FOUND")),"YES",""))</f>
        <v/>
      </c>
      <c r="AM167" s="85">
        <f>IF($A167="","",TRIM(IF(AND($P167=0,$I167&lt;&gt;"Yes"),"T0-NoPhishResistant ","")&amp;IF($H167="No","NoMFA ","")&amp;IF(AND($P167=0,$M167&gt;0),"T0-Standing ","")&amp;IF(AND($P167=0,$Q167="Group only"),"T0-ViaGroupOnly ","")&amp;IF($W167="Yes","AlsoAzureRBAC ","")))</f>
        <v/>
      </c>
      <c r="AN167" s="85">
        <f>IF($A167="","",IF(AG167="","Not Enrolled",IF(TODAY()&gt;AG167,"Review Overdue",IF(AG167-TODAY()&lt;=30,"Review Due Soon","Active"))))</f>
        <v/>
      </c>
      <c r="AO167" s="85">
        <f>IF($A167="","",IF(AH167="","NOT REVIEWED",IF(TODAY()-AH167&gt;90,"OVERDUE",IF(TODAY()-AH167&gt;76,"Due Soon","Current"))))</f>
        <v/>
      </c>
    </row>
    <row r="168" ht="15" customHeight="1" s="39">
      <c r="A168" s="85" t="n"/>
      <c r="B168" s="85" t="n"/>
      <c r="C168" s="85" t="n"/>
      <c r="D168" s="85" t="n"/>
      <c r="E168" s="85" t="n"/>
      <c r="F168" s="86" t="n"/>
      <c r="G168" s="86" t="n"/>
      <c r="H168" s="85" t="n"/>
      <c r="I168" s="85" t="n"/>
      <c r="J168" s="85" t="n"/>
      <c r="K168" s="85" t="n"/>
      <c r="L168" s="85" t="n"/>
      <c r="M168" s="85" t="n"/>
      <c r="N168" s="85" t="n"/>
      <c r="O168" s="85" t="n"/>
      <c r="P168" s="85" t="n"/>
      <c r="Q168" s="85" t="n"/>
      <c r="R168" s="85" t="n"/>
      <c r="S168" s="85" t="n"/>
      <c r="T168" s="85" t="n"/>
      <c r="U168" s="85" t="n"/>
      <c r="V168" s="85" t="n"/>
      <c r="W168" s="85" t="n"/>
      <c r="X168" s="85" t="n"/>
      <c r="Y168" s="85" t="n"/>
      <c r="Z168" s="85" t="n"/>
      <c r="AA168" s="85" t="n"/>
      <c r="AB168" s="85" t="n"/>
      <c r="AC168" s="85" t="n"/>
      <c r="AD168" s="85" t="n"/>
      <c r="AE168" s="85" t="n"/>
      <c r="AF168" s="86" t="n"/>
      <c r="AG168" s="86" t="n"/>
      <c r="AH168" s="86" t="n"/>
      <c r="AI168" s="85" t="n"/>
      <c r="AJ168" s="85" t="n"/>
      <c r="AK168" s="85">
        <f>IF($A168="","",IF($M168&gt;0,"Yes","No"))</f>
        <v/>
      </c>
      <c r="AL168" s="85">
        <f>IF($A168="","",IF(AND($E168="Yes",OR($Y168="No",$Y168="NOT FOUND")),"YES",""))</f>
        <v/>
      </c>
      <c r="AM168" s="85">
        <f>IF($A168="","",TRIM(IF(AND($P168=0,$I168&lt;&gt;"Yes"),"T0-NoPhishResistant ","")&amp;IF($H168="No","NoMFA ","")&amp;IF(AND($P168=0,$M168&gt;0),"T0-Standing ","")&amp;IF(AND($P168=0,$Q168="Group only"),"T0-ViaGroupOnly ","")&amp;IF($W168="Yes","AlsoAzureRBAC ","")))</f>
        <v/>
      </c>
      <c r="AN168" s="85">
        <f>IF($A168="","",IF(AG168="","Not Enrolled",IF(TODAY()&gt;AG168,"Review Overdue",IF(AG168-TODAY()&lt;=30,"Review Due Soon","Active"))))</f>
        <v/>
      </c>
      <c r="AO168" s="85">
        <f>IF($A168="","",IF(AH168="","NOT REVIEWED",IF(TODAY()-AH168&gt;90,"OVERDUE",IF(TODAY()-AH168&gt;76,"Due Soon","Current"))))</f>
        <v/>
      </c>
    </row>
    <row r="169" ht="15" customHeight="1" s="39">
      <c r="A169" s="85" t="n"/>
      <c r="B169" s="85" t="n"/>
      <c r="C169" s="85" t="n"/>
      <c r="D169" s="85" t="n"/>
      <c r="E169" s="85" t="n"/>
      <c r="F169" s="86" t="n"/>
      <c r="G169" s="86" t="n"/>
      <c r="H169" s="85" t="n"/>
      <c r="I169" s="85" t="n"/>
      <c r="J169" s="85" t="n"/>
      <c r="K169" s="85" t="n"/>
      <c r="L169" s="85" t="n"/>
      <c r="M169" s="85" t="n"/>
      <c r="N169" s="85" t="n"/>
      <c r="O169" s="85" t="n"/>
      <c r="P169" s="85" t="n"/>
      <c r="Q169" s="85" t="n"/>
      <c r="R169" s="85" t="n"/>
      <c r="S169" s="85" t="n"/>
      <c r="T169" s="85" t="n"/>
      <c r="U169" s="85" t="n"/>
      <c r="V169" s="85" t="n"/>
      <c r="W169" s="85" t="n"/>
      <c r="X169" s="85" t="n"/>
      <c r="Y169" s="85" t="n"/>
      <c r="Z169" s="85" t="n"/>
      <c r="AA169" s="85" t="n"/>
      <c r="AB169" s="85" t="n"/>
      <c r="AC169" s="85" t="n"/>
      <c r="AD169" s="85" t="n"/>
      <c r="AE169" s="85" t="n"/>
      <c r="AF169" s="86" t="n"/>
      <c r="AG169" s="86" t="n"/>
      <c r="AH169" s="86" t="n"/>
      <c r="AI169" s="85" t="n"/>
      <c r="AJ169" s="85" t="n"/>
      <c r="AK169" s="85">
        <f>IF($A169="","",IF($M169&gt;0,"Yes","No"))</f>
        <v/>
      </c>
      <c r="AL169" s="85">
        <f>IF($A169="","",IF(AND($E169="Yes",OR($Y169="No",$Y169="NOT FOUND")),"YES",""))</f>
        <v/>
      </c>
      <c r="AM169" s="85">
        <f>IF($A169="","",TRIM(IF(AND($P169=0,$I169&lt;&gt;"Yes"),"T0-NoPhishResistant ","")&amp;IF($H169="No","NoMFA ","")&amp;IF(AND($P169=0,$M169&gt;0),"T0-Standing ","")&amp;IF(AND($P169=0,$Q169="Group only"),"T0-ViaGroupOnly ","")&amp;IF($W169="Yes","AlsoAzureRBAC ","")))</f>
        <v/>
      </c>
      <c r="AN169" s="85">
        <f>IF($A169="","",IF(AG169="","Not Enrolled",IF(TODAY()&gt;AG169,"Review Overdue",IF(AG169-TODAY()&lt;=30,"Review Due Soon","Active"))))</f>
        <v/>
      </c>
      <c r="AO169" s="85">
        <f>IF($A169="","",IF(AH169="","NOT REVIEWED",IF(TODAY()-AH169&gt;90,"OVERDUE",IF(TODAY()-AH169&gt;76,"Due Soon","Current"))))</f>
        <v/>
      </c>
    </row>
    <row r="170" ht="15" customHeight="1" s="39">
      <c r="A170" s="85" t="n"/>
      <c r="B170" s="85" t="n"/>
      <c r="C170" s="85" t="n"/>
      <c r="D170" s="85" t="n"/>
      <c r="E170" s="85" t="n"/>
      <c r="F170" s="86" t="n"/>
      <c r="G170" s="86" t="n"/>
      <c r="H170" s="85" t="n"/>
      <c r="I170" s="85" t="n"/>
      <c r="J170" s="85" t="n"/>
      <c r="K170" s="85" t="n"/>
      <c r="L170" s="85" t="n"/>
      <c r="M170" s="85" t="n"/>
      <c r="N170" s="85" t="n"/>
      <c r="O170" s="85" t="n"/>
      <c r="P170" s="85" t="n"/>
      <c r="Q170" s="85" t="n"/>
      <c r="R170" s="85" t="n"/>
      <c r="S170" s="85" t="n"/>
      <c r="T170" s="85" t="n"/>
      <c r="U170" s="85" t="n"/>
      <c r="V170" s="85" t="n"/>
      <c r="W170" s="85" t="n"/>
      <c r="X170" s="85" t="n"/>
      <c r="Y170" s="85" t="n"/>
      <c r="Z170" s="85" t="n"/>
      <c r="AA170" s="85" t="n"/>
      <c r="AB170" s="85" t="n"/>
      <c r="AC170" s="85" t="n"/>
      <c r="AD170" s="85" t="n"/>
      <c r="AE170" s="85" t="n"/>
      <c r="AF170" s="86" t="n"/>
      <c r="AG170" s="86" t="n"/>
      <c r="AH170" s="86" t="n"/>
      <c r="AI170" s="85" t="n"/>
      <c r="AJ170" s="85" t="n"/>
      <c r="AK170" s="85">
        <f>IF($A170="","",IF($M170&gt;0,"Yes","No"))</f>
        <v/>
      </c>
      <c r="AL170" s="85">
        <f>IF($A170="","",IF(AND($E170="Yes",OR($Y170="No",$Y170="NOT FOUND")),"YES",""))</f>
        <v/>
      </c>
      <c r="AM170" s="85">
        <f>IF($A170="","",TRIM(IF(AND($P170=0,$I170&lt;&gt;"Yes"),"T0-NoPhishResistant ","")&amp;IF($H170="No","NoMFA ","")&amp;IF(AND($P170=0,$M170&gt;0),"T0-Standing ","")&amp;IF(AND($P170=0,$Q170="Group only"),"T0-ViaGroupOnly ","")&amp;IF($W170="Yes","AlsoAzureRBAC ","")))</f>
        <v/>
      </c>
      <c r="AN170" s="85">
        <f>IF($A170="","",IF(AG170="","Not Enrolled",IF(TODAY()&gt;AG170,"Review Overdue",IF(AG170-TODAY()&lt;=30,"Review Due Soon","Active"))))</f>
        <v/>
      </c>
      <c r="AO170" s="85">
        <f>IF($A170="","",IF(AH170="","NOT REVIEWED",IF(TODAY()-AH170&gt;90,"OVERDUE",IF(TODAY()-AH170&gt;76,"Due Soon","Current"))))</f>
        <v/>
      </c>
    </row>
    <row r="171" ht="15" customHeight="1" s="39">
      <c r="A171" s="85" t="n"/>
      <c r="B171" s="85" t="n"/>
      <c r="C171" s="85" t="n"/>
      <c r="D171" s="85" t="n"/>
      <c r="E171" s="85" t="n"/>
      <c r="F171" s="86" t="n"/>
      <c r="G171" s="86" t="n"/>
      <c r="H171" s="85" t="n"/>
      <c r="I171" s="85" t="n"/>
      <c r="J171" s="85" t="n"/>
      <c r="K171" s="85" t="n"/>
      <c r="L171" s="85" t="n"/>
      <c r="M171" s="85" t="n"/>
      <c r="N171" s="85" t="n"/>
      <c r="O171" s="85" t="n"/>
      <c r="P171" s="85" t="n"/>
      <c r="Q171" s="85" t="n"/>
      <c r="R171" s="85" t="n"/>
      <c r="S171" s="85" t="n"/>
      <c r="T171" s="85" t="n"/>
      <c r="U171" s="85" t="n"/>
      <c r="V171" s="85" t="n"/>
      <c r="W171" s="85" t="n"/>
      <c r="X171" s="85" t="n"/>
      <c r="Y171" s="85" t="n"/>
      <c r="Z171" s="85" t="n"/>
      <c r="AA171" s="85" t="n"/>
      <c r="AB171" s="85" t="n"/>
      <c r="AC171" s="85" t="n"/>
      <c r="AD171" s="85" t="n"/>
      <c r="AE171" s="85" t="n"/>
      <c r="AF171" s="86" t="n"/>
      <c r="AG171" s="86" t="n"/>
      <c r="AH171" s="86" t="n"/>
      <c r="AI171" s="85" t="n"/>
      <c r="AJ171" s="85" t="n"/>
      <c r="AK171" s="85">
        <f>IF($A171="","",IF($M171&gt;0,"Yes","No"))</f>
        <v/>
      </c>
      <c r="AL171" s="85">
        <f>IF($A171="","",IF(AND($E171="Yes",OR($Y171="No",$Y171="NOT FOUND")),"YES",""))</f>
        <v/>
      </c>
      <c r="AM171" s="85">
        <f>IF($A171="","",TRIM(IF(AND($P171=0,$I171&lt;&gt;"Yes"),"T0-NoPhishResistant ","")&amp;IF($H171="No","NoMFA ","")&amp;IF(AND($P171=0,$M171&gt;0),"T0-Standing ","")&amp;IF(AND($P171=0,$Q171="Group only"),"T0-ViaGroupOnly ","")&amp;IF($W171="Yes","AlsoAzureRBAC ","")))</f>
        <v/>
      </c>
      <c r="AN171" s="85">
        <f>IF($A171="","",IF(AG171="","Not Enrolled",IF(TODAY()&gt;AG171,"Review Overdue",IF(AG171-TODAY()&lt;=30,"Review Due Soon","Active"))))</f>
        <v/>
      </c>
      <c r="AO171" s="85">
        <f>IF($A171="","",IF(AH171="","NOT REVIEWED",IF(TODAY()-AH171&gt;90,"OVERDUE",IF(TODAY()-AH171&gt;76,"Due Soon","Current"))))</f>
        <v/>
      </c>
    </row>
    <row r="172" ht="15" customHeight="1" s="39">
      <c r="A172" s="85" t="n"/>
      <c r="B172" s="85" t="n"/>
      <c r="C172" s="85" t="n"/>
      <c r="D172" s="85" t="n"/>
      <c r="E172" s="85" t="n"/>
      <c r="F172" s="86" t="n"/>
      <c r="G172" s="86" t="n"/>
      <c r="H172" s="85" t="n"/>
      <c r="I172" s="85" t="n"/>
      <c r="J172" s="85" t="n"/>
      <c r="K172" s="85" t="n"/>
      <c r="L172" s="85" t="n"/>
      <c r="M172" s="85" t="n"/>
      <c r="N172" s="85" t="n"/>
      <c r="O172" s="85" t="n"/>
      <c r="P172" s="85" t="n"/>
      <c r="Q172" s="85" t="n"/>
      <c r="R172" s="85" t="n"/>
      <c r="S172" s="85" t="n"/>
      <c r="T172" s="85" t="n"/>
      <c r="U172" s="85" t="n"/>
      <c r="V172" s="85" t="n"/>
      <c r="W172" s="85" t="n"/>
      <c r="X172" s="85" t="n"/>
      <c r="Y172" s="85" t="n"/>
      <c r="Z172" s="85" t="n"/>
      <c r="AA172" s="85" t="n"/>
      <c r="AB172" s="85" t="n"/>
      <c r="AC172" s="85" t="n"/>
      <c r="AD172" s="85" t="n"/>
      <c r="AE172" s="85" t="n"/>
      <c r="AF172" s="86" t="n"/>
      <c r="AG172" s="86" t="n"/>
      <c r="AH172" s="86" t="n"/>
      <c r="AI172" s="85" t="n"/>
      <c r="AJ172" s="85" t="n"/>
      <c r="AK172" s="85">
        <f>IF($A172="","",IF($M172&gt;0,"Yes","No"))</f>
        <v/>
      </c>
      <c r="AL172" s="85">
        <f>IF($A172="","",IF(AND($E172="Yes",OR($Y172="No",$Y172="NOT FOUND")),"YES",""))</f>
        <v/>
      </c>
      <c r="AM172" s="85">
        <f>IF($A172="","",TRIM(IF(AND($P172=0,$I172&lt;&gt;"Yes"),"T0-NoPhishResistant ","")&amp;IF($H172="No","NoMFA ","")&amp;IF(AND($P172=0,$M172&gt;0),"T0-Standing ","")&amp;IF(AND($P172=0,$Q172="Group only"),"T0-ViaGroupOnly ","")&amp;IF($W172="Yes","AlsoAzureRBAC ","")))</f>
        <v/>
      </c>
      <c r="AN172" s="85">
        <f>IF($A172="","",IF(AG172="","Not Enrolled",IF(TODAY()&gt;AG172,"Review Overdue",IF(AG172-TODAY()&lt;=30,"Review Due Soon","Active"))))</f>
        <v/>
      </c>
      <c r="AO172" s="85">
        <f>IF($A172="","",IF(AH172="","NOT REVIEWED",IF(TODAY()-AH172&gt;90,"OVERDUE",IF(TODAY()-AH172&gt;76,"Due Soon","Current"))))</f>
        <v/>
      </c>
    </row>
    <row r="173" ht="15" customHeight="1" s="39">
      <c r="A173" s="85" t="n"/>
      <c r="B173" s="85" t="n"/>
      <c r="C173" s="85" t="n"/>
      <c r="D173" s="85" t="n"/>
      <c r="E173" s="85" t="n"/>
      <c r="F173" s="86" t="n"/>
      <c r="G173" s="86" t="n"/>
      <c r="H173" s="85" t="n"/>
      <c r="I173" s="85" t="n"/>
      <c r="J173" s="85" t="n"/>
      <c r="K173" s="85" t="n"/>
      <c r="L173" s="85" t="n"/>
      <c r="M173" s="85" t="n"/>
      <c r="N173" s="85" t="n"/>
      <c r="O173" s="85" t="n"/>
      <c r="P173" s="85" t="n"/>
      <c r="Q173" s="85" t="n"/>
      <c r="R173" s="85" t="n"/>
      <c r="S173" s="85" t="n"/>
      <c r="T173" s="85" t="n"/>
      <c r="U173" s="85" t="n"/>
      <c r="V173" s="85" t="n"/>
      <c r="W173" s="85" t="n"/>
      <c r="X173" s="85" t="n"/>
      <c r="Y173" s="85" t="n"/>
      <c r="Z173" s="85" t="n"/>
      <c r="AA173" s="85" t="n"/>
      <c r="AB173" s="85" t="n"/>
      <c r="AC173" s="85" t="n"/>
      <c r="AD173" s="85" t="n"/>
      <c r="AE173" s="85" t="n"/>
      <c r="AF173" s="86" t="n"/>
      <c r="AG173" s="86" t="n"/>
      <c r="AH173" s="86" t="n"/>
      <c r="AI173" s="85" t="n"/>
      <c r="AJ173" s="85" t="n"/>
      <c r="AK173" s="85">
        <f>IF($A173="","",IF($M173&gt;0,"Yes","No"))</f>
        <v/>
      </c>
      <c r="AL173" s="85">
        <f>IF($A173="","",IF(AND($E173="Yes",OR($Y173="No",$Y173="NOT FOUND")),"YES",""))</f>
        <v/>
      </c>
      <c r="AM173" s="85">
        <f>IF($A173="","",TRIM(IF(AND($P173=0,$I173&lt;&gt;"Yes"),"T0-NoPhishResistant ","")&amp;IF($H173="No","NoMFA ","")&amp;IF(AND($P173=0,$M173&gt;0),"T0-Standing ","")&amp;IF(AND($P173=0,$Q173="Group only"),"T0-ViaGroupOnly ","")&amp;IF($W173="Yes","AlsoAzureRBAC ","")))</f>
        <v/>
      </c>
      <c r="AN173" s="85">
        <f>IF($A173="","",IF(AG173="","Not Enrolled",IF(TODAY()&gt;AG173,"Review Overdue",IF(AG173-TODAY()&lt;=30,"Review Due Soon","Active"))))</f>
        <v/>
      </c>
      <c r="AO173" s="85">
        <f>IF($A173="","",IF(AH173="","NOT REVIEWED",IF(TODAY()-AH173&gt;90,"OVERDUE",IF(TODAY()-AH173&gt;76,"Due Soon","Current"))))</f>
        <v/>
      </c>
    </row>
    <row r="174" ht="15" customHeight="1" s="39">
      <c r="A174" s="85" t="n"/>
      <c r="B174" s="85" t="n"/>
      <c r="C174" s="85" t="n"/>
      <c r="D174" s="85" t="n"/>
      <c r="E174" s="85" t="n"/>
      <c r="F174" s="86" t="n"/>
      <c r="G174" s="86" t="n"/>
      <c r="H174" s="85" t="n"/>
      <c r="I174" s="85" t="n"/>
      <c r="J174" s="85" t="n"/>
      <c r="K174" s="85" t="n"/>
      <c r="L174" s="85" t="n"/>
      <c r="M174" s="85" t="n"/>
      <c r="N174" s="85" t="n"/>
      <c r="O174" s="85" t="n"/>
      <c r="P174" s="85" t="n"/>
      <c r="Q174" s="85" t="n"/>
      <c r="R174" s="85" t="n"/>
      <c r="S174" s="85" t="n"/>
      <c r="T174" s="85" t="n"/>
      <c r="U174" s="85" t="n"/>
      <c r="V174" s="85" t="n"/>
      <c r="W174" s="85" t="n"/>
      <c r="X174" s="85" t="n"/>
      <c r="Y174" s="85" t="n"/>
      <c r="Z174" s="85" t="n"/>
      <c r="AA174" s="85" t="n"/>
      <c r="AB174" s="85" t="n"/>
      <c r="AC174" s="85" t="n"/>
      <c r="AD174" s="85" t="n"/>
      <c r="AE174" s="85" t="n"/>
      <c r="AF174" s="86" t="n"/>
      <c r="AG174" s="86" t="n"/>
      <c r="AH174" s="86" t="n"/>
      <c r="AI174" s="85" t="n"/>
      <c r="AJ174" s="85" t="n"/>
      <c r="AK174" s="85">
        <f>IF($A174="","",IF($M174&gt;0,"Yes","No"))</f>
        <v/>
      </c>
      <c r="AL174" s="85">
        <f>IF($A174="","",IF(AND($E174="Yes",OR($Y174="No",$Y174="NOT FOUND")),"YES",""))</f>
        <v/>
      </c>
      <c r="AM174" s="85">
        <f>IF($A174="","",TRIM(IF(AND($P174=0,$I174&lt;&gt;"Yes"),"T0-NoPhishResistant ","")&amp;IF($H174="No","NoMFA ","")&amp;IF(AND($P174=0,$M174&gt;0),"T0-Standing ","")&amp;IF(AND($P174=0,$Q174="Group only"),"T0-ViaGroupOnly ","")&amp;IF($W174="Yes","AlsoAzureRBAC ","")))</f>
        <v/>
      </c>
      <c r="AN174" s="85">
        <f>IF($A174="","",IF(AG174="","Not Enrolled",IF(TODAY()&gt;AG174,"Review Overdue",IF(AG174-TODAY()&lt;=30,"Review Due Soon","Active"))))</f>
        <v/>
      </c>
      <c r="AO174" s="85">
        <f>IF($A174="","",IF(AH174="","NOT REVIEWED",IF(TODAY()-AH174&gt;90,"OVERDUE",IF(TODAY()-AH174&gt;76,"Due Soon","Current"))))</f>
        <v/>
      </c>
    </row>
    <row r="175" ht="15" customHeight="1" s="39">
      <c r="A175" s="85" t="n"/>
      <c r="B175" s="85" t="n"/>
      <c r="C175" s="85" t="n"/>
      <c r="D175" s="85" t="n"/>
      <c r="E175" s="85" t="n"/>
      <c r="F175" s="86" t="n"/>
      <c r="G175" s="86" t="n"/>
      <c r="H175" s="85" t="n"/>
      <c r="I175" s="85" t="n"/>
      <c r="J175" s="85" t="n"/>
      <c r="K175" s="85" t="n"/>
      <c r="L175" s="85" t="n"/>
      <c r="M175" s="85" t="n"/>
      <c r="N175" s="85" t="n"/>
      <c r="O175" s="85" t="n"/>
      <c r="P175" s="85" t="n"/>
      <c r="Q175" s="85" t="n"/>
      <c r="R175" s="85" t="n"/>
      <c r="S175" s="85" t="n"/>
      <c r="T175" s="85" t="n"/>
      <c r="U175" s="85" t="n"/>
      <c r="V175" s="85" t="n"/>
      <c r="W175" s="85" t="n"/>
      <c r="X175" s="85" t="n"/>
      <c r="Y175" s="85" t="n"/>
      <c r="Z175" s="85" t="n"/>
      <c r="AA175" s="85" t="n"/>
      <c r="AB175" s="85" t="n"/>
      <c r="AC175" s="85" t="n"/>
      <c r="AD175" s="85" t="n"/>
      <c r="AE175" s="85" t="n"/>
      <c r="AF175" s="86" t="n"/>
      <c r="AG175" s="86" t="n"/>
      <c r="AH175" s="86" t="n"/>
      <c r="AI175" s="85" t="n"/>
      <c r="AJ175" s="85" t="n"/>
      <c r="AK175" s="85">
        <f>IF($A175="","",IF($M175&gt;0,"Yes","No"))</f>
        <v/>
      </c>
      <c r="AL175" s="85">
        <f>IF($A175="","",IF(AND($E175="Yes",OR($Y175="No",$Y175="NOT FOUND")),"YES",""))</f>
        <v/>
      </c>
      <c r="AM175" s="85">
        <f>IF($A175="","",TRIM(IF(AND($P175=0,$I175&lt;&gt;"Yes"),"T0-NoPhishResistant ","")&amp;IF($H175="No","NoMFA ","")&amp;IF(AND($P175=0,$M175&gt;0),"T0-Standing ","")&amp;IF(AND($P175=0,$Q175="Group only"),"T0-ViaGroupOnly ","")&amp;IF($W175="Yes","AlsoAzureRBAC ","")))</f>
        <v/>
      </c>
      <c r="AN175" s="85">
        <f>IF($A175="","",IF(AG175="","Not Enrolled",IF(TODAY()&gt;AG175,"Review Overdue",IF(AG175-TODAY()&lt;=30,"Review Due Soon","Active"))))</f>
        <v/>
      </c>
      <c r="AO175" s="85">
        <f>IF($A175="","",IF(AH175="","NOT REVIEWED",IF(TODAY()-AH175&gt;90,"OVERDUE",IF(TODAY()-AH175&gt;76,"Due Soon","Current"))))</f>
        <v/>
      </c>
    </row>
    <row r="176" ht="15" customHeight="1" s="39">
      <c r="A176" s="85" t="n"/>
      <c r="B176" s="85" t="n"/>
      <c r="C176" s="85" t="n"/>
      <c r="D176" s="85" t="n"/>
      <c r="E176" s="85" t="n"/>
      <c r="F176" s="86" t="n"/>
      <c r="G176" s="86" t="n"/>
      <c r="H176" s="85" t="n"/>
      <c r="I176" s="85" t="n"/>
      <c r="J176" s="85" t="n"/>
      <c r="K176" s="85" t="n"/>
      <c r="L176" s="85" t="n"/>
      <c r="M176" s="85" t="n"/>
      <c r="N176" s="85" t="n"/>
      <c r="O176" s="85" t="n"/>
      <c r="P176" s="85" t="n"/>
      <c r="Q176" s="85" t="n"/>
      <c r="R176" s="85" t="n"/>
      <c r="S176" s="85" t="n"/>
      <c r="T176" s="85" t="n"/>
      <c r="U176" s="85" t="n"/>
      <c r="V176" s="85" t="n"/>
      <c r="W176" s="85" t="n"/>
      <c r="X176" s="85" t="n"/>
      <c r="Y176" s="85" t="n"/>
      <c r="Z176" s="85" t="n"/>
      <c r="AA176" s="85" t="n"/>
      <c r="AB176" s="85" t="n"/>
      <c r="AC176" s="85" t="n"/>
      <c r="AD176" s="85" t="n"/>
      <c r="AE176" s="85" t="n"/>
      <c r="AF176" s="86" t="n"/>
      <c r="AG176" s="86" t="n"/>
      <c r="AH176" s="86" t="n"/>
      <c r="AI176" s="85" t="n"/>
      <c r="AJ176" s="85" t="n"/>
      <c r="AK176" s="85">
        <f>IF($A176="","",IF($M176&gt;0,"Yes","No"))</f>
        <v/>
      </c>
      <c r="AL176" s="85">
        <f>IF($A176="","",IF(AND($E176="Yes",OR($Y176="No",$Y176="NOT FOUND")),"YES",""))</f>
        <v/>
      </c>
      <c r="AM176" s="85">
        <f>IF($A176="","",TRIM(IF(AND($P176=0,$I176&lt;&gt;"Yes"),"T0-NoPhishResistant ","")&amp;IF($H176="No","NoMFA ","")&amp;IF(AND($P176=0,$M176&gt;0),"T0-Standing ","")&amp;IF(AND($P176=0,$Q176="Group only"),"T0-ViaGroupOnly ","")&amp;IF($W176="Yes","AlsoAzureRBAC ","")))</f>
        <v/>
      </c>
      <c r="AN176" s="85">
        <f>IF($A176="","",IF(AG176="","Not Enrolled",IF(TODAY()&gt;AG176,"Review Overdue",IF(AG176-TODAY()&lt;=30,"Review Due Soon","Active"))))</f>
        <v/>
      </c>
      <c r="AO176" s="85">
        <f>IF($A176="","",IF(AH176="","NOT REVIEWED",IF(TODAY()-AH176&gt;90,"OVERDUE",IF(TODAY()-AH176&gt;76,"Due Soon","Current"))))</f>
        <v/>
      </c>
    </row>
    <row r="177" ht="15" customHeight="1" s="39">
      <c r="A177" s="85" t="n"/>
      <c r="B177" s="85" t="n"/>
      <c r="C177" s="85" t="n"/>
      <c r="D177" s="85" t="n"/>
      <c r="E177" s="85" t="n"/>
      <c r="F177" s="86" t="n"/>
      <c r="G177" s="86" t="n"/>
      <c r="H177" s="85" t="n"/>
      <c r="I177" s="85" t="n"/>
      <c r="J177" s="85" t="n"/>
      <c r="K177" s="85" t="n"/>
      <c r="L177" s="85" t="n"/>
      <c r="M177" s="85" t="n"/>
      <c r="N177" s="85" t="n"/>
      <c r="O177" s="85" t="n"/>
      <c r="P177" s="85" t="n"/>
      <c r="Q177" s="85" t="n"/>
      <c r="R177" s="85" t="n"/>
      <c r="S177" s="85" t="n"/>
      <c r="T177" s="85" t="n"/>
      <c r="U177" s="85" t="n"/>
      <c r="V177" s="85" t="n"/>
      <c r="W177" s="85" t="n"/>
      <c r="X177" s="85" t="n"/>
      <c r="Y177" s="85" t="n"/>
      <c r="Z177" s="85" t="n"/>
      <c r="AA177" s="85" t="n"/>
      <c r="AB177" s="85" t="n"/>
      <c r="AC177" s="85" t="n"/>
      <c r="AD177" s="85" t="n"/>
      <c r="AE177" s="85" t="n"/>
      <c r="AF177" s="86" t="n"/>
      <c r="AG177" s="86" t="n"/>
      <c r="AH177" s="86" t="n"/>
      <c r="AI177" s="85" t="n"/>
      <c r="AJ177" s="85" t="n"/>
      <c r="AK177" s="85">
        <f>IF($A177="","",IF($M177&gt;0,"Yes","No"))</f>
        <v/>
      </c>
      <c r="AL177" s="85">
        <f>IF($A177="","",IF(AND($E177="Yes",OR($Y177="No",$Y177="NOT FOUND")),"YES",""))</f>
        <v/>
      </c>
      <c r="AM177" s="85">
        <f>IF($A177="","",TRIM(IF(AND($P177=0,$I177&lt;&gt;"Yes"),"T0-NoPhishResistant ","")&amp;IF($H177="No","NoMFA ","")&amp;IF(AND($P177=0,$M177&gt;0),"T0-Standing ","")&amp;IF(AND($P177=0,$Q177="Group only"),"T0-ViaGroupOnly ","")&amp;IF($W177="Yes","AlsoAzureRBAC ","")))</f>
        <v/>
      </c>
      <c r="AN177" s="85">
        <f>IF($A177="","",IF(AG177="","Not Enrolled",IF(TODAY()&gt;AG177,"Review Overdue",IF(AG177-TODAY()&lt;=30,"Review Due Soon","Active"))))</f>
        <v/>
      </c>
      <c r="AO177" s="85">
        <f>IF($A177="","",IF(AH177="","NOT REVIEWED",IF(TODAY()-AH177&gt;90,"OVERDUE",IF(TODAY()-AH177&gt;76,"Due Soon","Current"))))</f>
        <v/>
      </c>
    </row>
    <row r="178" ht="15" customHeight="1" s="39">
      <c r="A178" s="85" t="n"/>
      <c r="B178" s="85" t="n"/>
      <c r="C178" s="85" t="n"/>
      <c r="D178" s="85" t="n"/>
      <c r="E178" s="85" t="n"/>
      <c r="F178" s="86" t="n"/>
      <c r="G178" s="86" t="n"/>
      <c r="H178" s="85" t="n"/>
      <c r="I178" s="85" t="n"/>
      <c r="J178" s="85" t="n"/>
      <c r="K178" s="85" t="n"/>
      <c r="L178" s="85" t="n"/>
      <c r="M178" s="85" t="n"/>
      <c r="N178" s="85" t="n"/>
      <c r="O178" s="85" t="n"/>
      <c r="P178" s="85" t="n"/>
      <c r="Q178" s="85" t="n"/>
      <c r="R178" s="85" t="n"/>
      <c r="S178" s="85" t="n"/>
      <c r="T178" s="85" t="n"/>
      <c r="U178" s="85" t="n"/>
      <c r="V178" s="85" t="n"/>
      <c r="W178" s="85" t="n"/>
      <c r="X178" s="85" t="n"/>
      <c r="Y178" s="85" t="n"/>
      <c r="Z178" s="85" t="n"/>
      <c r="AA178" s="85" t="n"/>
      <c r="AB178" s="85" t="n"/>
      <c r="AC178" s="85" t="n"/>
      <c r="AD178" s="85" t="n"/>
      <c r="AE178" s="85" t="n"/>
      <c r="AF178" s="86" t="n"/>
      <c r="AG178" s="86" t="n"/>
      <c r="AH178" s="86" t="n"/>
      <c r="AI178" s="85" t="n"/>
      <c r="AJ178" s="85" t="n"/>
      <c r="AK178" s="85">
        <f>IF($A178="","",IF($M178&gt;0,"Yes","No"))</f>
        <v/>
      </c>
      <c r="AL178" s="85">
        <f>IF($A178="","",IF(AND($E178="Yes",OR($Y178="No",$Y178="NOT FOUND")),"YES",""))</f>
        <v/>
      </c>
      <c r="AM178" s="85">
        <f>IF($A178="","",TRIM(IF(AND($P178=0,$I178&lt;&gt;"Yes"),"T0-NoPhishResistant ","")&amp;IF($H178="No","NoMFA ","")&amp;IF(AND($P178=0,$M178&gt;0),"T0-Standing ","")&amp;IF(AND($P178=0,$Q178="Group only"),"T0-ViaGroupOnly ","")&amp;IF($W178="Yes","AlsoAzureRBAC ","")))</f>
        <v/>
      </c>
      <c r="AN178" s="85">
        <f>IF($A178="","",IF(AG178="","Not Enrolled",IF(TODAY()&gt;AG178,"Review Overdue",IF(AG178-TODAY()&lt;=30,"Review Due Soon","Active"))))</f>
        <v/>
      </c>
      <c r="AO178" s="85">
        <f>IF($A178="","",IF(AH178="","NOT REVIEWED",IF(TODAY()-AH178&gt;90,"OVERDUE",IF(TODAY()-AH178&gt;76,"Due Soon","Current"))))</f>
        <v/>
      </c>
    </row>
    <row r="179" ht="15" customHeight="1" s="39">
      <c r="A179" s="85" t="n"/>
      <c r="B179" s="85" t="n"/>
      <c r="C179" s="85" t="n"/>
      <c r="D179" s="85" t="n"/>
      <c r="E179" s="85" t="n"/>
      <c r="F179" s="86" t="n"/>
      <c r="G179" s="86" t="n"/>
      <c r="H179" s="85" t="n"/>
      <c r="I179" s="85" t="n"/>
      <c r="J179" s="85" t="n"/>
      <c r="K179" s="85" t="n"/>
      <c r="L179" s="85" t="n"/>
      <c r="M179" s="85" t="n"/>
      <c r="N179" s="85" t="n"/>
      <c r="O179" s="85" t="n"/>
      <c r="P179" s="85" t="n"/>
      <c r="Q179" s="85" t="n"/>
      <c r="R179" s="85" t="n"/>
      <c r="S179" s="85" t="n"/>
      <c r="T179" s="85" t="n"/>
      <c r="U179" s="85" t="n"/>
      <c r="V179" s="85" t="n"/>
      <c r="W179" s="85" t="n"/>
      <c r="X179" s="85" t="n"/>
      <c r="Y179" s="85" t="n"/>
      <c r="Z179" s="85" t="n"/>
      <c r="AA179" s="85" t="n"/>
      <c r="AB179" s="85" t="n"/>
      <c r="AC179" s="85" t="n"/>
      <c r="AD179" s="85" t="n"/>
      <c r="AE179" s="85" t="n"/>
      <c r="AF179" s="86" t="n"/>
      <c r="AG179" s="86" t="n"/>
      <c r="AH179" s="86" t="n"/>
      <c r="AI179" s="85" t="n"/>
      <c r="AJ179" s="85" t="n"/>
      <c r="AK179" s="85">
        <f>IF($A179="","",IF($M179&gt;0,"Yes","No"))</f>
        <v/>
      </c>
      <c r="AL179" s="85">
        <f>IF($A179="","",IF(AND($E179="Yes",OR($Y179="No",$Y179="NOT FOUND")),"YES",""))</f>
        <v/>
      </c>
      <c r="AM179" s="85">
        <f>IF($A179="","",TRIM(IF(AND($P179=0,$I179&lt;&gt;"Yes"),"T0-NoPhishResistant ","")&amp;IF($H179="No","NoMFA ","")&amp;IF(AND($P179=0,$M179&gt;0),"T0-Standing ","")&amp;IF(AND($P179=0,$Q179="Group only"),"T0-ViaGroupOnly ","")&amp;IF($W179="Yes","AlsoAzureRBAC ","")))</f>
        <v/>
      </c>
      <c r="AN179" s="85">
        <f>IF($A179="","",IF(AG179="","Not Enrolled",IF(TODAY()&gt;AG179,"Review Overdue",IF(AG179-TODAY()&lt;=30,"Review Due Soon","Active"))))</f>
        <v/>
      </c>
      <c r="AO179" s="85">
        <f>IF($A179="","",IF(AH179="","NOT REVIEWED",IF(TODAY()-AH179&gt;90,"OVERDUE",IF(TODAY()-AH179&gt;76,"Due Soon","Current"))))</f>
        <v/>
      </c>
    </row>
    <row r="180" ht="15" customHeight="1" s="39">
      <c r="A180" s="85" t="n"/>
      <c r="B180" s="85" t="n"/>
      <c r="C180" s="85" t="n"/>
      <c r="D180" s="85" t="n"/>
      <c r="E180" s="85" t="n"/>
      <c r="F180" s="86" t="n"/>
      <c r="G180" s="86" t="n"/>
      <c r="H180" s="85" t="n"/>
      <c r="I180" s="85" t="n"/>
      <c r="J180" s="85" t="n"/>
      <c r="K180" s="85" t="n"/>
      <c r="L180" s="85" t="n"/>
      <c r="M180" s="85" t="n"/>
      <c r="N180" s="85" t="n"/>
      <c r="O180" s="85" t="n"/>
      <c r="P180" s="85" t="n"/>
      <c r="Q180" s="85" t="n"/>
      <c r="R180" s="85" t="n"/>
      <c r="S180" s="85" t="n"/>
      <c r="T180" s="85" t="n"/>
      <c r="U180" s="85" t="n"/>
      <c r="V180" s="85" t="n"/>
      <c r="W180" s="85" t="n"/>
      <c r="X180" s="85" t="n"/>
      <c r="Y180" s="85" t="n"/>
      <c r="Z180" s="85" t="n"/>
      <c r="AA180" s="85" t="n"/>
      <c r="AB180" s="85" t="n"/>
      <c r="AC180" s="85" t="n"/>
      <c r="AD180" s="85" t="n"/>
      <c r="AE180" s="85" t="n"/>
      <c r="AF180" s="86" t="n"/>
      <c r="AG180" s="86" t="n"/>
      <c r="AH180" s="86" t="n"/>
      <c r="AI180" s="85" t="n"/>
      <c r="AJ180" s="85" t="n"/>
      <c r="AK180" s="85">
        <f>IF($A180="","",IF($M180&gt;0,"Yes","No"))</f>
        <v/>
      </c>
      <c r="AL180" s="85">
        <f>IF($A180="","",IF(AND($E180="Yes",OR($Y180="No",$Y180="NOT FOUND")),"YES",""))</f>
        <v/>
      </c>
      <c r="AM180" s="85">
        <f>IF($A180="","",TRIM(IF(AND($P180=0,$I180&lt;&gt;"Yes"),"T0-NoPhishResistant ","")&amp;IF($H180="No","NoMFA ","")&amp;IF(AND($P180=0,$M180&gt;0),"T0-Standing ","")&amp;IF(AND($P180=0,$Q180="Group only"),"T0-ViaGroupOnly ","")&amp;IF($W180="Yes","AlsoAzureRBAC ","")))</f>
        <v/>
      </c>
      <c r="AN180" s="85">
        <f>IF($A180="","",IF(AG180="","Not Enrolled",IF(TODAY()&gt;AG180,"Review Overdue",IF(AG180-TODAY()&lt;=30,"Review Due Soon","Active"))))</f>
        <v/>
      </c>
      <c r="AO180" s="85">
        <f>IF($A180="","",IF(AH180="","NOT REVIEWED",IF(TODAY()-AH180&gt;90,"OVERDUE",IF(TODAY()-AH180&gt;76,"Due Soon","Current"))))</f>
        <v/>
      </c>
    </row>
    <row r="181" ht="15" customHeight="1" s="39">
      <c r="A181" s="85" t="n"/>
      <c r="B181" s="85" t="n"/>
      <c r="C181" s="85" t="n"/>
      <c r="D181" s="85" t="n"/>
      <c r="E181" s="85" t="n"/>
      <c r="F181" s="86" t="n"/>
      <c r="G181" s="86" t="n"/>
      <c r="H181" s="85" t="n"/>
      <c r="I181" s="85" t="n"/>
      <c r="J181" s="85" t="n"/>
      <c r="K181" s="85" t="n"/>
      <c r="L181" s="85" t="n"/>
      <c r="M181" s="85" t="n"/>
      <c r="N181" s="85" t="n"/>
      <c r="O181" s="85" t="n"/>
      <c r="P181" s="85" t="n"/>
      <c r="Q181" s="85" t="n"/>
      <c r="R181" s="85" t="n"/>
      <c r="S181" s="85" t="n"/>
      <c r="T181" s="85" t="n"/>
      <c r="U181" s="85" t="n"/>
      <c r="V181" s="85" t="n"/>
      <c r="W181" s="85" t="n"/>
      <c r="X181" s="85" t="n"/>
      <c r="Y181" s="85" t="n"/>
      <c r="Z181" s="85" t="n"/>
      <c r="AA181" s="85" t="n"/>
      <c r="AB181" s="85" t="n"/>
      <c r="AC181" s="85" t="n"/>
      <c r="AD181" s="85" t="n"/>
      <c r="AE181" s="85" t="n"/>
      <c r="AF181" s="86" t="n"/>
      <c r="AG181" s="86" t="n"/>
      <c r="AH181" s="86" t="n"/>
      <c r="AI181" s="85" t="n"/>
      <c r="AJ181" s="85" t="n"/>
      <c r="AK181" s="85">
        <f>IF($A181="","",IF($M181&gt;0,"Yes","No"))</f>
        <v/>
      </c>
      <c r="AL181" s="85">
        <f>IF($A181="","",IF(AND($E181="Yes",OR($Y181="No",$Y181="NOT FOUND")),"YES",""))</f>
        <v/>
      </c>
      <c r="AM181" s="85">
        <f>IF($A181="","",TRIM(IF(AND($P181=0,$I181&lt;&gt;"Yes"),"T0-NoPhishResistant ","")&amp;IF($H181="No","NoMFA ","")&amp;IF(AND($P181=0,$M181&gt;0),"T0-Standing ","")&amp;IF(AND($P181=0,$Q181="Group only"),"T0-ViaGroupOnly ","")&amp;IF($W181="Yes","AlsoAzureRBAC ","")))</f>
        <v/>
      </c>
      <c r="AN181" s="85">
        <f>IF($A181="","",IF(AG181="","Not Enrolled",IF(TODAY()&gt;AG181,"Review Overdue",IF(AG181-TODAY()&lt;=30,"Review Due Soon","Active"))))</f>
        <v/>
      </c>
      <c r="AO181" s="85">
        <f>IF($A181="","",IF(AH181="","NOT REVIEWED",IF(TODAY()-AH181&gt;90,"OVERDUE",IF(TODAY()-AH181&gt;76,"Due Soon","Current"))))</f>
        <v/>
      </c>
    </row>
    <row r="182" ht="15" customHeight="1" s="39">
      <c r="A182" s="85" t="n"/>
      <c r="B182" s="85" t="n"/>
      <c r="C182" s="85" t="n"/>
      <c r="D182" s="85" t="n"/>
      <c r="E182" s="85" t="n"/>
      <c r="F182" s="86" t="n"/>
      <c r="G182" s="86" t="n"/>
      <c r="H182" s="85" t="n"/>
      <c r="I182" s="85" t="n"/>
      <c r="J182" s="85" t="n"/>
      <c r="K182" s="85" t="n"/>
      <c r="L182" s="85" t="n"/>
      <c r="M182" s="85" t="n"/>
      <c r="N182" s="85" t="n"/>
      <c r="O182" s="85" t="n"/>
      <c r="P182" s="85" t="n"/>
      <c r="Q182" s="85" t="n"/>
      <c r="R182" s="85" t="n"/>
      <c r="S182" s="85" t="n"/>
      <c r="T182" s="85" t="n"/>
      <c r="U182" s="85" t="n"/>
      <c r="V182" s="85" t="n"/>
      <c r="W182" s="85" t="n"/>
      <c r="X182" s="85" t="n"/>
      <c r="Y182" s="85" t="n"/>
      <c r="Z182" s="85" t="n"/>
      <c r="AA182" s="85" t="n"/>
      <c r="AB182" s="85" t="n"/>
      <c r="AC182" s="85" t="n"/>
      <c r="AD182" s="85" t="n"/>
      <c r="AE182" s="85" t="n"/>
      <c r="AF182" s="86" t="n"/>
      <c r="AG182" s="86" t="n"/>
      <c r="AH182" s="86" t="n"/>
      <c r="AI182" s="85" t="n"/>
      <c r="AJ182" s="85" t="n"/>
      <c r="AK182" s="85">
        <f>IF($A182="","",IF($M182&gt;0,"Yes","No"))</f>
        <v/>
      </c>
      <c r="AL182" s="85">
        <f>IF($A182="","",IF(AND($E182="Yes",OR($Y182="No",$Y182="NOT FOUND")),"YES",""))</f>
        <v/>
      </c>
      <c r="AM182" s="85">
        <f>IF($A182="","",TRIM(IF(AND($P182=0,$I182&lt;&gt;"Yes"),"T0-NoPhishResistant ","")&amp;IF($H182="No","NoMFA ","")&amp;IF(AND($P182=0,$M182&gt;0),"T0-Standing ","")&amp;IF(AND($P182=0,$Q182="Group only"),"T0-ViaGroupOnly ","")&amp;IF($W182="Yes","AlsoAzureRBAC ","")))</f>
        <v/>
      </c>
      <c r="AN182" s="85">
        <f>IF($A182="","",IF(AG182="","Not Enrolled",IF(TODAY()&gt;AG182,"Review Overdue",IF(AG182-TODAY()&lt;=30,"Review Due Soon","Active"))))</f>
        <v/>
      </c>
      <c r="AO182" s="85">
        <f>IF($A182="","",IF(AH182="","NOT REVIEWED",IF(TODAY()-AH182&gt;90,"OVERDUE",IF(TODAY()-AH182&gt;76,"Due Soon","Current"))))</f>
        <v/>
      </c>
    </row>
    <row r="183" ht="15" customHeight="1" s="39">
      <c r="A183" s="85" t="n"/>
      <c r="B183" s="85" t="n"/>
      <c r="C183" s="85" t="n"/>
      <c r="D183" s="85" t="n"/>
      <c r="E183" s="85" t="n"/>
      <c r="F183" s="86" t="n"/>
      <c r="G183" s="86" t="n"/>
      <c r="H183" s="85" t="n"/>
      <c r="I183" s="85" t="n"/>
      <c r="J183" s="85" t="n"/>
      <c r="K183" s="85" t="n"/>
      <c r="L183" s="85" t="n"/>
      <c r="M183" s="85" t="n"/>
      <c r="N183" s="85" t="n"/>
      <c r="O183" s="85" t="n"/>
      <c r="P183" s="85" t="n"/>
      <c r="Q183" s="85" t="n"/>
      <c r="R183" s="85" t="n"/>
      <c r="S183" s="85" t="n"/>
      <c r="T183" s="85" t="n"/>
      <c r="U183" s="85" t="n"/>
      <c r="V183" s="85" t="n"/>
      <c r="W183" s="85" t="n"/>
      <c r="X183" s="85" t="n"/>
      <c r="Y183" s="85" t="n"/>
      <c r="Z183" s="85" t="n"/>
      <c r="AA183" s="85" t="n"/>
      <c r="AB183" s="85" t="n"/>
      <c r="AC183" s="85" t="n"/>
      <c r="AD183" s="85" t="n"/>
      <c r="AE183" s="85" t="n"/>
      <c r="AF183" s="86" t="n"/>
      <c r="AG183" s="86" t="n"/>
      <c r="AH183" s="86" t="n"/>
      <c r="AI183" s="85" t="n"/>
      <c r="AJ183" s="85" t="n"/>
      <c r="AK183" s="85">
        <f>IF($A183="","",IF($M183&gt;0,"Yes","No"))</f>
        <v/>
      </c>
      <c r="AL183" s="85">
        <f>IF($A183="","",IF(AND($E183="Yes",OR($Y183="No",$Y183="NOT FOUND")),"YES",""))</f>
        <v/>
      </c>
      <c r="AM183" s="85">
        <f>IF($A183="","",TRIM(IF(AND($P183=0,$I183&lt;&gt;"Yes"),"T0-NoPhishResistant ","")&amp;IF($H183="No","NoMFA ","")&amp;IF(AND($P183=0,$M183&gt;0),"T0-Standing ","")&amp;IF(AND($P183=0,$Q183="Group only"),"T0-ViaGroupOnly ","")&amp;IF($W183="Yes","AlsoAzureRBAC ","")))</f>
        <v/>
      </c>
      <c r="AN183" s="85">
        <f>IF($A183="","",IF(AG183="","Not Enrolled",IF(TODAY()&gt;AG183,"Review Overdue",IF(AG183-TODAY()&lt;=30,"Review Due Soon","Active"))))</f>
        <v/>
      </c>
      <c r="AO183" s="85">
        <f>IF($A183="","",IF(AH183="","NOT REVIEWED",IF(TODAY()-AH183&gt;90,"OVERDUE",IF(TODAY()-AH183&gt;76,"Due Soon","Current"))))</f>
        <v/>
      </c>
    </row>
    <row r="184" ht="15" customHeight="1" s="39">
      <c r="A184" s="85" t="n"/>
      <c r="B184" s="85" t="n"/>
      <c r="C184" s="85" t="n"/>
      <c r="D184" s="85" t="n"/>
      <c r="E184" s="85" t="n"/>
      <c r="F184" s="86" t="n"/>
      <c r="G184" s="86" t="n"/>
      <c r="H184" s="85" t="n"/>
      <c r="I184" s="85" t="n"/>
      <c r="J184" s="85" t="n"/>
      <c r="K184" s="85" t="n"/>
      <c r="L184" s="85" t="n"/>
      <c r="M184" s="85" t="n"/>
      <c r="N184" s="85" t="n"/>
      <c r="O184" s="85" t="n"/>
      <c r="P184" s="85" t="n"/>
      <c r="Q184" s="85" t="n"/>
      <c r="R184" s="85" t="n"/>
      <c r="S184" s="85" t="n"/>
      <c r="T184" s="85" t="n"/>
      <c r="U184" s="85" t="n"/>
      <c r="V184" s="85" t="n"/>
      <c r="W184" s="85" t="n"/>
      <c r="X184" s="85" t="n"/>
      <c r="Y184" s="85" t="n"/>
      <c r="Z184" s="85" t="n"/>
      <c r="AA184" s="85" t="n"/>
      <c r="AB184" s="85" t="n"/>
      <c r="AC184" s="85" t="n"/>
      <c r="AD184" s="85" t="n"/>
      <c r="AE184" s="85" t="n"/>
      <c r="AF184" s="86" t="n"/>
      <c r="AG184" s="86" t="n"/>
      <c r="AH184" s="86" t="n"/>
      <c r="AI184" s="85" t="n"/>
      <c r="AJ184" s="85" t="n"/>
      <c r="AK184" s="85">
        <f>IF($A184="","",IF($M184&gt;0,"Yes","No"))</f>
        <v/>
      </c>
      <c r="AL184" s="85">
        <f>IF($A184="","",IF(AND($E184="Yes",OR($Y184="No",$Y184="NOT FOUND")),"YES",""))</f>
        <v/>
      </c>
      <c r="AM184" s="85">
        <f>IF($A184="","",TRIM(IF(AND($P184=0,$I184&lt;&gt;"Yes"),"T0-NoPhishResistant ","")&amp;IF($H184="No","NoMFA ","")&amp;IF(AND($P184=0,$M184&gt;0),"T0-Standing ","")&amp;IF(AND($P184=0,$Q184="Group only"),"T0-ViaGroupOnly ","")&amp;IF($W184="Yes","AlsoAzureRBAC ","")))</f>
        <v/>
      </c>
      <c r="AN184" s="85">
        <f>IF($A184="","",IF(AG184="","Not Enrolled",IF(TODAY()&gt;AG184,"Review Overdue",IF(AG184-TODAY()&lt;=30,"Review Due Soon","Active"))))</f>
        <v/>
      </c>
      <c r="AO184" s="85">
        <f>IF($A184="","",IF(AH184="","NOT REVIEWED",IF(TODAY()-AH184&gt;90,"OVERDUE",IF(TODAY()-AH184&gt;76,"Due Soon","Current"))))</f>
        <v/>
      </c>
    </row>
    <row r="185" ht="15" customHeight="1" s="39">
      <c r="A185" s="85" t="n"/>
      <c r="B185" s="85" t="n"/>
      <c r="C185" s="85" t="n"/>
      <c r="D185" s="85" t="n"/>
      <c r="E185" s="85" t="n"/>
      <c r="F185" s="86" t="n"/>
      <c r="G185" s="86" t="n"/>
      <c r="H185" s="85" t="n"/>
      <c r="I185" s="85" t="n"/>
      <c r="J185" s="85" t="n"/>
      <c r="K185" s="85" t="n"/>
      <c r="L185" s="85" t="n"/>
      <c r="M185" s="85" t="n"/>
      <c r="N185" s="85" t="n"/>
      <c r="O185" s="85" t="n"/>
      <c r="P185" s="85" t="n"/>
      <c r="Q185" s="85" t="n"/>
      <c r="R185" s="85" t="n"/>
      <c r="S185" s="85" t="n"/>
      <c r="T185" s="85" t="n"/>
      <c r="U185" s="85" t="n"/>
      <c r="V185" s="85" t="n"/>
      <c r="W185" s="85" t="n"/>
      <c r="X185" s="85" t="n"/>
      <c r="Y185" s="85" t="n"/>
      <c r="Z185" s="85" t="n"/>
      <c r="AA185" s="85" t="n"/>
      <c r="AB185" s="85" t="n"/>
      <c r="AC185" s="85" t="n"/>
      <c r="AD185" s="85" t="n"/>
      <c r="AE185" s="85" t="n"/>
      <c r="AF185" s="86" t="n"/>
      <c r="AG185" s="86" t="n"/>
      <c r="AH185" s="86" t="n"/>
      <c r="AI185" s="85" t="n"/>
      <c r="AJ185" s="85" t="n"/>
      <c r="AK185" s="85">
        <f>IF($A185="","",IF($M185&gt;0,"Yes","No"))</f>
        <v/>
      </c>
      <c r="AL185" s="85">
        <f>IF($A185="","",IF(AND($E185="Yes",OR($Y185="No",$Y185="NOT FOUND")),"YES",""))</f>
        <v/>
      </c>
      <c r="AM185" s="85">
        <f>IF($A185="","",TRIM(IF(AND($P185=0,$I185&lt;&gt;"Yes"),"T0-NoPhishResistant ","")&amp;IF($H185="No","NoMFA ","")&amp;IF(AND($P185=0,$M185&gt;0),"T0-Standing ","")&amp;IF(AND($P185=0,$Q185="Group only"),"T0-ViaGroupOnly ","")&amp;IF($W185="Yes","AlsoAzureRBAC ","")))</f>
        <v/>
      </c>
      <c r="AN185" s="85">
        <f>IF($A185="","",IF(AG185="","Not Enrolled",IF(TODAY()&gt;AG185,"Review Overdue",IF(AG185-TODAY()&lt;=30,"Review Due Soon","Active"))))</f>
        <v/>
      </c>
      <c r="AO185" s="85">
        <f>IF($A185="","",IF(AH185="","NOT REVIEWED",IF(TODAY()-AH185&gt;90,"OVERDUE",IF(TODAY()-AH185&gt;76,"Due Soon","Current"))))</f>
        <v/>
      </c>
    </row>
    <row r="186" ht="15" customHeight="1" s="39">
      <c r="A186" s="85" t="n"/>
      <c r="B186" s="85" t="n"/>
      <c r="C186" s="85" t="n"/>
      <c r="D186" s="85" t="n"/>
      <c r="E186" s="85" t="n"/>
      <c r="F186" s="86" t="n"/>
      <c r="G186" s="86" t="n"/>
      <c r="H186" s="85" t="n"/>
      <c r="I186" s="85" t="n"/>
      <c r="J186" s="85" t="n"/>
      <c r="K186" s="85" t="n"/>
      <c r="L186" s="85" t="n"/>
      <c r="M186" s="85" t="n"/>
      <c r="N186" s="85" t="n"/>
      <c r="O186" s="85" t="n"/>
      <c r="P186" s="85" t="n"/>
      <c r="Q186" s="85" t="n"/>
      <c r="R186" s="85" t="n"/>
      <c r="S186" s="85" t="n"/>
      <c r="T186" s="85" t="n"/>
      <c r="U186" s="85" t="n"/>
      <c r="V186" s="85" t="n"/>
      <c r="W186" s="85" t="n"/>
      <c r="X186" s="85" t="n"/>
      <c r="Y186" s="85" t="n"/>
      <c r="Z186" s="85" t="n"/>
      <c r="AA186" s="85" t="n"/>
      <c r="AB186" s="85" t="n"/>
      <c r="AC186" s="85" t="n"/>
      <c r="AD186" s="85" t="n"/>
      <c r="AE186" s="85" t="n"/>
      <c r="AF186" s="86" t="n"/>
      <c r="AG186" s="86" t="n"/>
      <c r="AH186" s="86" t="n"/>
      <c r="AI186" s="85" t="n"/>
      <c r="AJ186" s="85" t="n"/>
      <c r="AK186" s="85">
        <f>IF($A186="","",IF($M186&gt;0,"Yes","No"))</f>
        <v/>
      </c>
      <c r="AL186" s="85">
        <f>IF($A186="","",IF(AND($E186="Yes",OR($Y186="No",$Y186="NOT FOUND")),"YES",""))</f>
        <v/>
      </c>
      <c r="AM186" s="85">
        <f>IF($A186="","",TRIM(IF(AND($P186=0,$I186&lt;&gt;"Yes"),"T0-NoPhishResistant ","")&amp;IF($H186="No","NoMFA ","")&amp;IF(AND($P186=0,$M186&gt;0),"T0-Standing ","")&amp;IF(AND($P186=0,$Q186="Group only"),"T0-ViaGroupOnly ","")&amp;IF($W186="Yes","AlsoAzureRBAC ","")))</f>
        <v/>
      </c>
      <c r="AN186" s="85">
        <f>IF($A186="","",IF(AG186="","Not Enrolled",IF(TODAY()&gt;AG186,"Review Overdue",IF(AG186-TODAY()&lt;=30,"Review Due Soon","Active"))))</f>
        <v/>
      </c>
      <c r="AO186" s="85">
        <f>IF($A186="","",IF(AH186="","NOT REVIEWED",IF(TODAY()-AH186&gt;90,"OVERDUE",IF(TODAY()-AH186&gt;76,"Due Soon","Current"))))</f>
        <v/>
      </c>
    </row>
    <row r="187" ht="15" customHeight="1" s="39">
      <c r="A187" s="85" t="n"/>
      <c r="B187" s="85" t="n"/>
      <c r="C187" s="85" t="n"/>
      <c r="D187" s="85" t="n"/>
      <c r="E187" s="85" t="n"/>
      <c r="F187" s="86" t="n"/>
      <c r="G187" s="86" t="n"/>
      <c r="H187" s="85" t="n"/>
      <c r="I187" s="85" t="n"/>
      <c r="J187" s="85" t="n"/>
      <c r="K187" s="85" t="n"/>
      <c r="L187" s="85" t="n"/>
      <c r="M187" s="85" t="n"/>
      <c r="N187" s="85" t="n"/>
      <c r="O187" s="85" t="n"/>
      <c r="P187" s="85" t="n"/>
      <c r="Q187" s="85" t="n"/>
      <c r="R187" s="85" t="n"/>
      <c r="S187" s="85" t="n"/>
      <c r="T187" s="85" t="n"/>
      <c r="U187" s="85" t="n"/>
      <c r="V187" s="85" t="n"/>
      <c r="W187" s="85" t="n"/>
      <c r="X187" s="85" t="n"/>
      <c r="Y187" s="85" t="n"/>
      <c r="Z187" s="85" t="n"/>
      <c r="AA187" s="85" t="n"/>
      <c r="AB187" s="85" t="n"/>
      <c r="AC187" s="85" t="n"/>
      <c r="AD187" s="85" t="n"/>
      <c r="AE187" s="85" t="n"/>
      <c r="AF187" s="86" t="n"/>
      <c r="AG187" s="86" t="n"/>
      <c r="AH187" s="86" t="n"/>
      <c r="AI187" s="85" t="n"/>
      <c r="AJ187" s="85" t="n"/>
      <c r="AK187" s="85">
        <f>IF($A187="","",IF($M187&gt;0,"Yes","No"))</f>
        <v/>
      </c>
      <c r="AL187" s="85">
        <f>IF($A187="","",IF(AND($E187="Yes",OR($Y187="No",$Y187="NOT FOUND")),"YES",""))</f>
        <v/>
      </c>
      <c r="AM187" s="85">
        <f>IF($A187="","",TRIM(IF(AND($P187=0,$I187&lt;&gt;"Yes"),"T0-NoPhishResistant ","")&amp;IF($H187="No","NoMFA ","")&amp;IF(AND($P187=0,$M187&gt;0),"T0-Standing ","")&amp;IF(AND($P187=0,$Q187="Group only"),"T0-ViaGroupOnly ","")&amp;IF($W187="Yes","AlsoAzureRBAC ","")))</f>
        <v/>
      </c>
      <c r="AN187" s="85">
        <f>IF($A187="","",IF(AG187="","Not Enrolled",IF(TODAY()&gt;AG187,"Review Overdue",IF(AG187-TODAY()&lt;=30,"Review Due Soon","Active"))))</f>
        <v/>
      </c>
      <c r="AO187" s="85">
        <f>IF($A187="","",IF(AH187="","NOT REVIEWED",IF(TODAY()-AH187&gt;90,"OVERDUE",IF(TODAY()-AH187&gt;76,"Due Soon","Current"))))</f>
        <v/>
      </c>
    </row>
    <row r="188" ht="15" customHeight="1" s="39">
      <c r="A188" s="85" t="n"/>
      <c r="B188" s="85" t="n"/>
      <c r="C188" s="85" t="n"/>
      <c r="D188" s="85" t="n"/>
      <c r="E188" s="85" t="n"/>
      <c r="F188" s="86" t="n"/>
      <c r="G188" s="86" t="n"/>
      <c r="H188" s="85" t="n"/>
      <c r="I188" s="85" t="n"/>
      <c r="J188" s="85" t="n"/>
      <c r="K188" s="85" t="n"/>
      <c r="L188" s="85" t="n"/>
      <c r="M188" s="85" t="n"/>
      <c r="N188" s="85" t="n"/>
      <c r="O188" s="85" t="n"/>
      <c r="P188" s="85" t="n"/>
      <c r="Q188" s="85" t="n"/>
      <c r="R188" s="85" t="n"/>
      <c r="S188" s="85" t="n"/>
      <c r="T188" s="85" t="n"/>
      <c r="U188" s="85" t="n"/>
      <c r="V188" s="85" t="n"/>
      <c r="W188" s="85" t="n"/>
      <c r="X188" s="85" t="n"/>
      <c r="Y188" s="85" t="n"/>
      <c r="Z188" s="85" t="n"/>
      <c r="AA188" s="85" t="n"/>
      <c r="AB188" s="85" t="n"/>
      <c r="AC188" s="85" t="n"/>
      <c r="AD188" s="85" t="n"/>
      <c r="AE188" s="85" t="n"/>
      <c r="AF188" s="86" t="n"/>
      <c r="AG188" s="86" t="n"/>
      <c r="AH188" s="86" t="n"/>
      <c r="AI188" s="85" t="n"/>
      <c r="AJ188" s="85" t="n"/>
      <c r="AK188" s="85">
        <f>IF($A188="","",IF($M188&gt;0,"Yes","No"))</f>
        <v/>
      </c>
      <c r="AL188" s="85">
        <f>IF($A188="","",IF(AND($E188="Yes",OR($Y188="No",$Y188="NOT FOUND")),"YES",""))</f>
        <v/>
      </c>
      <c r="AM188" s="85">
        <f>IF($A188="","",TRIM(IF(AND($P188=0,$I188&lt;&gt;"Yes"),"T0-NoPhishResistant ","")&amp;IF($H188="No","NoMFA ","")&amp;IF(AND($P188=0,$M188&gt;0),"T0-Standing ","")&amp;IF(AND($P188=0,$Q188="Group only"),"T0-ViaGroupOnly ","")&amp;IF($W188="Yes","AlsoAzureRBAC ","")))</f>
        <v/>
      </c>
      <c r="AN188" s="85">
        <f>IF($A188="","",IF(AG188="","Not Enrolled",IF(TODAY()&gt;AG188,"Review Overdue",IF(AG188-TODAY()&lt;=30,"Review Due Soon","Active"))))</f>
        <v/>
      </c>
      <c r="AO188" s="85">
        <f>IF($A188="","",IF(AH188="","NOT REVIEWED",IF(TODAY()-AH188&gt;90,"OVERDUE",IF(TODAY()-AH188&gt;76,"Due Soon","Current"))))</f>
        <v/>
      </c>
    </row>
    <row r="189" ht="15" customHeight="1" s="39">
      <c r="A189" s="85" t="n"/>
      <c r="B189" s="85" t="n"/>
      <c r="C189" s="85" t="n"/>
      <c r="D189" s="85" t="n"/>
      <c r="E189" s="85" t="n"/>
      <c r="F189" s="86" t="n"/>
      <c r="G189" s="86" t="n"/>
      <c r="H189" s="85" t="n"/>
      <c r="I189" s="85" t="n"/>
      <c r="J189" s="85" t="n"/>
      <c r="K189" s="85" t="n"/>
      <c r="L189" s="85" t="n"/>
      <c r="M189" s="85" t="n"/>
      <c r="N189" s="85" t="n"/>
      <c r="O189" s="85" t="n"/>
      <c r="P189" s="85" t="n"/>
      <c r="Q189" s="85" t="n"/>
      <c r="R189" s="85" t="n"/>
      <c r="S189" s="85" t="n"/>
      <c r="T189" s="85" t="n"/>
      <c r="U189" s="85" t="n"/>
      <c r="V189" s="85" t="n"/>
      <c r="W189" s="85" t="n"/>
      <c r="X189" s="85" t="n"/>
      <c r="Y189" s="85" t="n"/>
      <c r="Z189" s="85" t="n"/>
      <c r="AA189" s="85" t="n"/>
      <c r="AB189" s="85" t="n"/>
      <c r="AC189" s="85" t="n"/>
      <c r="AD189" s="85" t="n"/>
      <c r="AE189" s="85" t="n"/>
      <c r="AF189" s="86" t="n"/>
      <c r="AG189" s="86" t="n"/>
      <c r="AH189" s="86" t="n"/>
      <c r="AI189" s="85" t="n"/>
      <c r="AJ189" s="85" t="n"/>
      <c r="AK189" s="85">
        <f>IF($A189="","",IF($M189&gt;0,"Yes","No"))</f>
        <v/>
      </c>
      <c r="AL189" s="85">
        <f>IF($A189="","",IF(AND($E189="Yes",OR($Y189="No",$Y189="NOT FOUND")),"YES",""))</f>
        <v/>
      </c>
      <c r="AM189" s="85">
        <f>IF($A189="","",TRIM(IF(AND($P189=0,$I189&lt;&gt;"Yes"),"T0-NoPhishResistant ","")&amp;IF($H189="No","NoMFA ","")&amp;IF(AND($P189=0,$M189&gt;0),"T0-Standing ","")&amp;IF(AND($P189=0,$Q189="Group only"),"T0-ViaGroupOnly ","")&amp;IF($W189="Yes","AlsoAzureRBAC ","")))</f>
        <v/>
      </c>
      <c r="AN189" s="85">
        <f>IF($A189="","",IF(AG189="","Not Enrolled",IF(TODAY()&gt;AG189,"Review Overdue",IF(AG189-TODAY()&lt;=30,"Review Due Soon","Active"))))</f>
        <v/>
      </c>
      <c r="AO189" s="85">
        <f>IF($A189="","",IF(AH189="","NOT REVIEWED",IF(TODAY()-AH189&gt;90,"OVERDUE",IF(TODAY()-AH189&gt;76,"Due Soon","Current"))))</f>
        <v/>
      </c>
    </row>
    <row r="190" ht="15" customHeight="1" s="39">
      <c r="A190" s="85" t="n"/>
      <c r="B190" s="85" t="n"/>
      <c r="C190" s="85" t="n"/>
      <c r="D190" s="85" t="n"/>
      <c r="E190" s="85" t="n"/>
      <c r="F190" s="86" t="n"/>
      <c r="G190" s="86" t="n"/>
      <c r="H190" s="85" t="n"/>
      <c r="I190" s="85" t="n"/>
      <c r="J190" s="85" t="n"/>
      <c r="K190" s="85" t="n"/>
      <c r="L190" s="85" t="n"/>
      <c r="M190" s="85" t="n"/>
      <c r="N190" s="85" t="n"/>
      <c r="O190" s="85" t="n"/>
      <c r="P190" s="85" t="n"/>
      <c r="Q190" s="85" t="n"/>
      <c r="R190" s="85" t="n"/>
      <c r="S190" s="85" t="n"/>
      <c r="T190" s="85" t="n"/>
      <c r="U190" s="85" t="n"/>
      <c r="V190" s="85" t="n"/>
      <c r="W190" s="85" t="n"/>
      <c r="X190" s="85" t="n"/>
      <c r="Y190" s="85" t="n"/>
      <c r="Z190" s="85" t="n"/>
      <c r="AA190" s="85" t="n"/>
      <c r="AB190" s="85" t="n"/>
      <c r="AC190" s="85" t="n"/>
      <c r="AD190" s="85" t="n"/>
      <c r="AE190" s="85" t="n"/>
      <c r="AF190" s="86" t="n"/>
      <c r="AG190" s="86" t="n"/>
      <c r="AH190" s="86" t="n"/>
      <c r="AI190" s="85" t="n"/>
      <c r="AJ190" s="85" t="n"/>
      <c r="AK190" s="85">
        <f>IF($A190="","",IF($M190&gt;0,"Yes","No"))</f>
        <v/>
      </c>
      <c r="AL190" s="85">
        <f>IF($A190="","",IF(AND($E190="Yes",OR($Y190="No",$Y190="NOT FOUND")),"YES",""))</f>
        <v/>
      </c>
      <c r="AM190" s="85">
        <f>IF($A190="","",TRIM(IF(AND($P190=0,$I190&lt;&gt;"Yes"),"T0-NoPhishResistant ","")&amp;IF($H190="No","NoMFA ","")&amp;IF(AND($P190=0,$M190&gt;0),"T0-Standing ","")&amp;IF(AND($P190=0,$Q190="Group only"),"T0-ViaGroupOnly ","")&amp;IF($W190="Yes","AlsoAzureRBAC ","")))</f>
        <v/>
      </c>
      <c r="AN190" s="85">
        <f>IF($A190="","",IF(AG190="","Not Enrolled",IF(TODAY()&gt;AG190,"Review Overdue",IF(AG190-TODAY()&lt;=30,"Review Due Soon","Active"))))</f>
        <v/>
      </c>
      <c r="AO190" s="85">
        <f>IF($A190="","",IF(AH190="","NOT REVIEWED",IF(TODAY()-AH190&gt;90,"OVERDUE",IF(TODAY()-AH190&gt;76,"Due Soon","Current"))))</f>
        <v/>
      </c>
    </row>
    <row r="191" ht="15" customHeight="1" s="39">
      <c r="A191" s="85" t="n"/>
      <c r="B191" s="85" t="n"/>
      <c r="C191" s="85" t="n"/>
      <c r="D191" s="85" t="n"/>
      <c r="E191" s="85" t="n"/>
      <c r="F191" s="86" t="n"/>
      <c r="G191" s="86" t="n"/>
      <c r="H191" s="85" t="n"/>
      <c r="I191" s="85" t="n"/>
      <c r="J191" s="85" t="n"/>
      <c r="K191" s="85" t="n"/>
      <c r="L191" s="85" t="n"/>
      <c r="M191" s="85" t="n"/>
      <c r="N191" s="85" t="n"/>
      <c r="O191" s="85" t="n"/>
      <c r="P191" s="85" t="n"/>
      <c r="Q191" s="85" t="n"/>
      <c r="R191" s="85" t="n"/>
      <c r="S191" s="85" t="n"/>
      <c r="T191" s="85" t="n"/>
      <c r="U191" s="85" t="n"/>
      <c r="V191" s="85" t="n"/>
      <c r="W191" s="85" t="n"/>
      <c r="X191" s="85" t="n"/>
      <c r="Y191" s="85" t="n"/>
      <c r="Z191" s="85" t="n"/>
      <c r="AA191" s="85" t="n"/>
      <c r="AB191" s="85" t="n"/>
      <c r="AC191" s="85" t="n"/>
      <c r="AD191" s="85" t="n"/>
      <c r="AE191" s="85" t="n"/>
      <c r="AF191" s="86" t="n"/>
      <c r="AG191" s="86" t="n"/>
      <c r="AH191" s="86" t="n"/>
      <c r="AI191" s="85" t="n"/>
      <c r="AJ191" s="85" t="n"/>
      <c r="AK191" s="85">
        <f>IF($A191="","",IF($M191&gt;0,"Yes","No"))</f>
        <v/>
      </c>
      <c r="AL191" s="85">
        <f>IF($A191="","",IF(AND($E191="Yes",OR($Y191="No",$Y191="NOT FOUND")),"YES",""))</f>
        <v/>
      </c>
      <c r="AM191" s="85">
        <f>IF($A191="","",TRIM(IF(AND($P191=0,$I191&lt;&gt;"Yes"),"T0-NoPhishResistant ","")&amp;IF($H191="No","NoMFA ","")&amp;IF(AND($P191=0,$M191&gt;0),"T0-Standing ","")&amp;IF(AND($P191=0,$Q191="Group only"),"T0-ViaGroupOnly ","")&amp;IF($W191="Yes","AlsoAzureRBAC ","")))</f>
        <v/>
      </c>
      <c r="AN191" s="85">
        <f>IF($A191="","",IF(AG191="","Not Enrolled",IF(TODAY()&gt;AG191,"Review Overdue",IF(AG191-TODAY()&lt;=30,"Review Due Soon","Active"))))</f>
        <v/>
      </c>
      <c r="AO191" s="85">
        <f>IF($A191="","",IF(AH191="","NOT REVIEWED",IF(TODAY()-AH191&gt;90,"OVERDUE",IF(TODAY()-AH191&gt;76,"Due Soon","Current"))))</f>
        <v/>
      </c>
    </row>
    <row r="192" ht="15" customHeight="1" s="39">
      <c r="A192" s="85" t="n"/>
      <c r="B192" s="85" t="n"/>
      <c r="C192" s="85" t="n"/>
      <c r="D192" s="85" t="n"/>
      <c r="E192" s="85" t="n"/>
      <c r="F192" s="86" t="n"/>
      <c r="G192" s="86" t="n"/>
      <c r="H192" s="85" t="n"/>
      <c r="I192" s="85" t="n"/>
      <c r="J192" s="85" t="n"/>
      <c r="K192" s="85" t="n"/>
      <c r="L192" s="85" t="n"/>
      <c r="M192" s="85" t="n"/>
      <c r="N192" s="85" t="n"/>
      <c r="O192" s="85" t="n"/>
      <c r="P192" s="85" t="n"/>
      <c r="Q192" s="85" t="n"/>
      <c r="R192" s="85" t="n"/>
      <c r="S192" s="85" t="n"/>
      <c r="T192" s="85" t="n"/>
      <c r="U192" s="85" t="n"/>
      <c r="V192" s="85" t="n"/>
      <c r="W192" s="85" t="n"/>
      <c r="X192" s="85" t="n"/>
      <c r="Y192" s="85" t="n"/>
      <c r="Z192" s="85" t="n"/>
      <c r="AA192" s="85" t="n"/>
      <c r="AB192" s="85" t="n"/>
      <c r="AC192" s="85" t="n"/>
      <c r="AD192" s="85" t="n"/>
      <c r="AE192" s="85" t="n"/>
      <c r="AF192" s="86" t="n"/>
      <c r="AG192" s="86" t="n"/>
      <c r="AH192" s="86" t="n"/>
      <c r="AI192" s="85" t="n"/>
      <c r="AJ192" s="85" t="n"/>
      <c r="AK192" s="85">
        <f>IF($A192="","",IF($M192&gt;0,"Yes","No"))</f>
        <v/>
      </c>
      <c r="AL192" s="85">
        <f>IF($A192="","",IF(AND($E192="Yes",OR($Y192="No",$Y192="NOT FOUND")),"YES",""))</f>
        <v/>
      </c>
      <c r="AM192" s="85">
        <f>IF($A192="","",TRIM(IF(AND($P192=0,$I192&lt;&gt;"Yes"),"T0-NoPhishResistant ","")&amp;IF($H192="No","NoMFA ","")&amp;IF(AND($P192=0,$M192&gt;0),"T0-Standing ","")&amp;IF(AND($P192=0,$Q192="Group only"),"T0-ViaGroupOnly ","")&amp;IF($W192="Yes","AlsoAzureRBAC ","")))</f>
        <v/>
      </c>
      <c r="AN192" s="85">
        <f>IF($A192="","",IF(AG192="","Not Enrolled",IF(TODAY()&gt;AG192,"Review Overdue",IF(AG192-TODAY()&lt;=30,"Review Due Soon","Active"))))</f>
        <v/>
      </c>
      <c r="AO192" s="85">
        <f>IF($A192="","",IF(AH192="","NOT REVIEWED",IF(TODAY()-AH192&gt;90,"OVERDUE",IF(TODAY()-AH192&gt;76,"Due Soon","Current"))))</f>
        <v/>
      </c>
    </row>
    <row r="193" ht="15" customHeight="1" s="39">
      <c r="A193" s="85" t="n"/>
      <c r="B193" s="85" t="n"/>
      <c r="C193" s="85" t="n"/>
      <c r="D193" s="85" t="n"/>
      <c r="E193" s="85" t="n"/>
      <c r="F193" s="86" t="n"/>
      <c r="G193" s="86" t="n"/>
      <c r="H193" s="85" t="n"/>
      <c r="I193" s="85" t="n"/>
      <c r="J193" s="85" t="n"/>
      <c r="K193" s="85" t="n"/>
      <c r="L193" s="85" t="n"/>
      <c r="M193" s="85" t="n"/>
      <c r="N193" s="85" t="n"/>
      <c r="O193" s="85" t="n"/>
      <c r="P193" s="85" t="n"/>
      <c r="Q193" s="85" t="n"/>
      <c r="R193" s="85" t="n"/>
      <c r="S193" s="85" t="n"/>
      <c r="T193" s="85" t="n"/>
      <c r="U193" s="85" t="n"/>
      <c r="V193" s="85" t="n"/>
      <c r="W193" s="85" t="n"/>
      <c r="X193" s="85" t="n"/>
      <c r="Y193" s="85" t="n"/>
      <c r="Z193" s="85" t="n"/>
      <c r="AA193" s="85" t="n"/>
      <c r="AB193" s="85" t="n"/>
      <c r="AC193" s="85" t="n"/>
      <c r="AD193" s="85" t="n"/>
      <c r="AE193" s="85" t="n"/>
      <c r="AF193" s="86" t="n"/>
      <c r="AG193" s="86" t="n"/>
      <c r="AH193" s="86" t="n"/>
      <c r="AI193" s="85" t="n"/>
      <c r="AJ193" s="85" t="n"/>
      <c r="AK193" s="85">
        <f>IF($A193="","",IF($M193&gt;0,"Yes","No"))</f>
        <v/>
      </c>
      <c r="AL193" s="85">
        <f>IF($A193="","",IF(AND($E193="Yes",OR($Y193="No",$Y193="NOT FOUND")),"YES",""))</f>
        <v/>
      </c>
      <c r="AM193" s="85">
        <f>IF($A193="","",TRIM(IF(AND($P193=0,$I193&lt;&gt;"Yes"),"T0-NoPhishResistant ","")&amp;IF($H193="No","NoMFA ","")&amp;IF(AND($P193=0,$M193&gt;0),"T0-Standing ","")&amp;IF(AND($P193=0,$Q193="Group only"),"T0-ViaGroupOnly ","")&amp;IF($W193="Yes","AlsoAzureRBAC ","")))</f>
        <v/>
      </c>
      <c r="AN193" s="85">
        <f>IF($A193="","",IF(AG193="","Not Enrolled",IF(TODAY()&gt;AG193,"Review Overdue",IF(AG193-TODAY()&lt;=30,"Review Due Soon","Active"))))</f>
        <v/>
      </c>
      <c r="AO193" s="85">
        <f>IF($A193="","",IF(AH193="","NOT REVIEWED",IF(TODAY()-AH193&gt;90,"OVERDUE",IF(TODAY()-AH193&gt;76,"Due Soon","Current"))))</f>
        <v/>
      </c>
    </row>
    <row r="194" ht="15" customHeight="1" s="39">
      <c r="A194" s="85" t="n"/>
      <c r="B194" s="85" t="n"/>
      <c r="C194" s="85" t="n"/>
      <c r="D194" s="85" t="n"/>
      <c r="E194" s="85" t="n"/>
      <c r="F194" s="86" t="n"/>
      <c r="G194" s="86" t="n"/>
      <c r="H194" s="85" t="n"/>
      <c r="I194" s="85" t="n"/>
      <c r="J194" s="85" t="n"/>
      <c r="K194" s="85" t="n"/>
      <c r="L194" s="85" t="n"/>
      <c r="M194" s="85" t="n"/>
      <c r="N194" s="85" t="n"/>
      <c r="O194" s="85" t="n"/>
      <c r="P194" s="85" t="n"/>
      <c r="Q194" s="85" t="n"/>
      <c r="R194" s="85" t="n"/>
      <c r="S194" s="85" t="n"/>
      <c r="T194" s="85" t="n"/>
      <c r="U194" s="85" t="n"/>
      <c r="V194" s="85" t="n"/>
      <c r="W194" s="85" t="n"/>
      <c r="X194" s="85" t="n"/>
      <c r="Y194" s="85" t="n"/>
      <c r="Z194" s="85" t="n"/>
      <c r="AA194" s="85" t="n"/>
      <c r="AB194" s="85" t="n"/>
      <c r="AC194" s="85" t="n"/>
      <c r="AD194" s="85" t="n"/>
      <c r="AE194" s="85" t="n"/>
      <c r="AF194" s="86" t="n"/>
      <c r="AG194" s="86" t="n"/>
      <c r="AH194" s="86" t="n"/>
      <c r="AI194" s="85" t="n"/>
      <c r="AJ194" s="85" t="n"/>
      <c r="AK194" s="85">
        <f>IF($A194="","",IF($M194&gt;0,"Yes","No"))</f>
        <v/>
      </c>
      <c r="AL194" s="85">
        <f>IF($A194="","",IF(AND($E194="Yes",OR($Y194="No",$Y194="NOT FOUND")),"YES",""))</f>
        <v/>
      </c>
      <c r="AM194" s="85">
        <f>IF($A194="","",TRIM(IF(AND($P194=0,$I194&lt;&gt;"Yes"),"T0-NoPhishResistant ","")&amp;IF($H194="No","NoMFA ","")&amp;IF(AND($P194=0,$M194&gt;0),"T0-Standing ","")&amp;IF(AND($P194=0,$Q194="Group only"),"T0-ViaGroupOnly ","")&amp;IF($W194="Yes","AlsoAzureRBAC ","")))</f>
        <v/>
      </c>
      <c r="AN194" s="85">
        <f>IF($A194="","",IF(AG194="","Not Enrolled",IF(TODAY()&gt;AG194,"Review Overdue",IF(AG194-TODAY()&lt;=30,"Review Due Soon","Active"))))</f>
        <v/>
      </c>
      <c r="AO194" s="85">
        <f>IF($A194="","",IF(AH194="","NOT REVIEWED",IF(TODAY()-AH194&gt;90,"OVERDUE",IF(TODAY()-AH194&gt;76,"Due Soon","Current"))))</f>
        <v/>
      </c>
    </row>
    <row r="195" ht="15" customHeight="1" s="39">
      <c r="A195" s="85" t="n"/>
      <c r="B195" s="85" t="n"/>
      <c r="C195" s="85" t="n"/>
      <c r="D195" s="85" t="n"/>
      <c r="E195" s="85" t="n"/>
      <c r="F195" s="86" t="n"/>
      <c r="G195" s="86" t="n"/>
      <c r="H195" s="85" t="n"/>
      <c r="I195" s="85" t="n"/>
      <c r="J195" s="85" t="n"/>
      <c r="K195" s="85" t="n"/>
      <c r="L195" s="85" t="n"/>
      <c r="M195" s="85" t="n"/>
      <c r="N195" s="85" t="n"/>
      <c r="O195" s="85" t="n"/>
      <c r="P195" s="85" t="n"/>
      <c r="Q195" s="85" t="n"/>
      <c r="R195" s="85" t="n"/>
      <c r="S195" s="85" t="n"/>
      <c r="T195" s="85" t="n"/>
      <c r="U195" s="85" t="n"/>
      <c r="V195" s="85" t="n"/>
      <c r="W195" s="85" t="n"/>
      <c r="X195" s="85" t="n"/>
      <c r="Y195" s="85" t="n"/>
      <c r="Z195" s="85" t="n"/>
      <c r="AA195" s="85" t="n"/>
      <c r="AB195" s="85" t="n"/>
      <c r="AC195" s="85" t="n"/>
      <c r="AD195" s="85" t="n"/>
      <c r="AE195" s="85" t="n"/>
      <c r="AF195" s="86" t="n"/>
      <c r="AG195" s="86" t="n"/>
      <c r="AH195" s="86" t="n"/>
      <c r="AI195" s="85" t="n"/>
      <c r="AJ195" s="85" t="n"/>
      <c r="AK195" s="85">
        <f>IF($A195="","",IF($M195&gt;0,"Yes","No"))</f>
        <v/>
      </c>
      <c r="AL195" s="85">
        <f>IF($A195="","",IF(AND($E195="Yes",OR($Y195="No",$Y195="NOT FOUND")),"YES",""))</f>
        <v/>
      </c>
      <c r="AM195" s="85">
        <f>IF($A195="","",TRIM(IF(AND($P195=0,$I195&lt;&gt;"Yes"),"T0-NoPhishResistant ","")&amp;IF($H195="No","NoMFA ","")&amp;IF(AND($P195=0,$M195&gt;0),"T0-Standing ","")&amp;IF(AND($P195=0,$Q195="Group only"),"T0-ViaGroupOnly ","")&amp;IF($W195="Yes","AlsoAzureRBAC ","")))</f>
        <v/>
      </c>
      <c r="AN195" s="85">
        <f>IF($A195="","",IF(AG195="","Not Enrolled",IF(TODAY()&gt;AG195,"Review Overdue",IF(AG195-TODAY()&lt;=30,"Review Due Soon","Active"))))</f>
        <v/>
      </c>
      <c r="AO195" s="85">
        <f>IF($A195="","",IF(AH195="","NOT REVIEWED",IF(TODAY()-AH195&gt;90,"OVERDUE",IF(TODAY()-AH195&gt;76,"Due Soon","Current"))))</f>
        <v/>
      </c>
    </row>
    <row r="196" ht="15" customHeight="1" s="39">
      <c r="A196" s="85" t="n"/>
      <c r="B196" s="85" t="n"/>
      <c r="C196" s="85" t="n"/>
      <c r="D196" s="85" t="n"/>
      <c r="E196" s="85" t="n"/>
      <c r="F196" s="86" t="n"/>
      <c r="G196" s="86" t="n"/>
      <c r="H196" s="85" t="n"/>
      <c r="I196" s="85" t="n"/>
      <c r="J196" s="85" t="n"/>
      <c r="K196" s="85" t="n"/>
      <c r="L196" s="85" t="n"/>
      <c r="M196" s="85" t="n"/>
      <c r="N196" s="85" t="n"/>
      <c r="O196" s="85" t="n"/>
      <c r="P196" s="85" t="n"/>
      <c r="Q196" s="85" t="n"/>
      <c r="R196" s="85" t="n"/>
      <c r="S196" s="85" t="n"/>
      <c r="T196" s="85" t="n"/>
      <c r="U196" s="85" t="n"/>
      <c r="V196" s="85" t="n"/>
      <c r="W196" s="85" t="n"/>
      <c r="X196" s="85" t="n"/>
      <c r="Y196" s="85" t="n"/>
      <c r="Z196" s="85" t="n"/>
      <c r="AA196" s="85" t="n"/>
      <c r="AB196" s="85" t="n"/>
      <c r="AC196" s="85" t="n"/>
      <c r="AD196" s="85" t="n"/>
      <c r="AE196" s="85" t="n"/>
      <c r="AF196" s="86" t="n"/>
      <c r="AG196" s="86" t="n"/>
      <c r="AH196" s="86" t="n"/>
      <c r="AI196" s="85" t="n"/>
      <c r="AJ196" s="85" t="n"/>
      <c r="AK196" s="85">
        <f>IF($A196="","",IF($M196&gt;0,"Yes","No"))</f>
        <v/>
      </c>
      <c r="AL196" s="85">
        <f>IF($A196="","",IF(AND($E196="Yes",OR($Y196="No",$Y196="NOT FOUND")),"YES",""))</f>
        <v/>
      </c>
      <c r="AM196" s="85">
        <f>IF($A196="","",TRIM(IF(AND($P196=0,$I196&lt;&gt;"Yes"),"T0-NoPhishResistant ","")&amp;IF($H196="No","NoMFA ","")&amp;IF(AND($P196=0,$M196&gt;0),"T0-Standing ","")&amp;IF(AND($P196=0,$Q196="Group only"),"T0-ViaGroupOnly ","")&amp;IF($W196="Yes","AlsoAzureRBAC ","")))</f>
        <v/>
      </c>
      <c r="AN196" s="85">
        <f>IF($A196="","",IF(AG196="","Not Enrolled",IF(TODAY()&gt;AG196,"Review Overdue",IF(AG196-TODAY()&lt;=30,"Review Due Soon","Active"))))</f>
        <v/>
      </c>
      <c r="AO196" s="85">
        <f>IF($A196="","",IF(AH196="","NOT REVIEWED",IF(TODAY()-AH196&gt;90,"OVERDUE",IF(TODAY()-AH196&gt;76,"Due Soon","Current"))))</f>
        <v/>
      </c>
    </row>
    <row r="197" ht="15" customHeight="1" s="39">
      <c r="A197" s="85" t="n"/>
      <c r="B197" s="85" t="n"/>
      <c r="C197" s="85" t="n"/>
      <c r="D197" s="85" t="n"/>
      <c r="E197" s="85" t="n"/>
      <c r="F197" s="86" t="n"/>
      <c r="G197" s="86" t="n"/>
      <c r="H197" s="85" t="n"/>
      <c r="I197" s="85" t="n"/>
      <c r="J197" s="85" t="n"/>
      <c r="K197" s="85" t="n"/>
      <c r="L197" s="85" t="n"/>
      <c r="M197" s="85" t="n"/>
      <c r="N197" s="85" t="n"/>
      <c r="O197" s="85" t="n"/>
      <c r="P197" s="85" t="n"/>
      <c r="Q197" s="85" t="n"/>
      <c r="R197" s="85" t="n"/>
      <c r="S197" s="85" t="n"/>
      <c r="T197" s="85" t="n"/>
      <c r="U197" s="85" t="n"/>
      <c r="V197" s="85" t="n"/>
      <c r="W197" s="85" t="n"/>
      <c r="X197" s="85" t="n"/>
      <c r="Y197" s="85" t="n"/>
      <c r="Z197" s="85" t="n"/>
      <c r="AA197" s="85" t="n"/>
      <c r="AB197" s="85" t="n"/>
      <c r="AC197" s="85" t="n"/>
      <c r="AD197" s="85" t="n"/>
      <c r="AE197" s="85" t="n"/>
      <c r="AF197" s="86" t="n"/>
      <c r="AG197" s="86" t="n"/>
      <c r="AH197" s="86" t="n"/>
      <c r="AI197" s="85" t="n"/>
      <c r="AJ197" s="85" t="n"/>
      <c r="AK197" s="85">
        <f>IF($A197="","",IF($M197&gt;0,"Yes","No"))</f>
        <v/>
      </c>
      <c r="AL197" s="85">
        <f>IF($A197="","",IF(AND($E197="Yes",OR($Y197="No",$Y197="NOT FOUND")),"YES",""))</f>
        <v/>
      </c>
      <c r="AM197" s="85">
        <f>IF($A197="","",TRIM(IF(AND($P197=0,$I197&lt;&gt;"Yes"),"T0-NoPhishResistant ","")&amp;IF($H197="No","NoMFA ","")&amp;IF(AND($P197=0,$M197&gt;0),"T0-Standing ","")&amp;IF(AND($P197=0,$Q197="Group only"),"T0-ViaGroupOnly ","")&amp;IF($W197="Yes","AlsoAzureRBAC ","")))</f>
        <v/>
      </c>
      <c r="AN197" s="85">
        <f>IF($A197="","",IF(AG197="","Not Enrolled",IF(TODAY()&gt;AG197,"Review Overdue",IF(AG197-TODAY()&lt;=30,"Review Due Soon","Active"))))</f>
        <v/>
      </c>
      <c r="AO197" s="85">
        <f>IF($A197="","",IF(AH197="","NOT REVIEWED",IF(TODAY()-AH197&gt;90,"OVERDUE",IF(TODAY()-AH197&gt;76,"Due Soon","Current"))))</f>
        <v/>
      </c>
    </row>
    <row r="198" ht="15" customHeight="1" s="39">
      <c r="A198" s="85" t="n"/>
      <c r="B198" s="85" t="n"/>
      <c r="C198" s="85" t="n"/>
      <c r="D198" s="85" t="n"/>
      <c r="E198" s="85" t="n"/>
      <c r="F198" s="86" t="n"/>
      <c r="G198" s="86" t="n"/>
      <c r="H198" s="85" t="n"/>
      <c r="I198" s="85" t="n"/>
      <c r="J198" s="85" t="n"/>
      <c r="K198" s="85" t="n"/>
      <c r="L198" s="85" t="n"/>
      <c r="M198" s="85" t="n"/>
      <c r="N198" s="85" t="n"/>
      <c r="O198" s="85" t="n"/>
      <c r="P198" s="85" t="n"/>
      <c r="Q198" s="85" t="n"/>
      <c r="R198" s="85" t="n"/>
      <c r="S198" s="85" t="n"/>
      <c r="T198" s="85" t="n"/>
      <c r="U198" s="85" t="n"/>
      <c r="V198" s="85" t="n"/>
      <c r="W198" s="85" t="n"/>
      <c r="X198" s="85" t="n"/>
      <c r="Y198" s="85" t="n"/>
      <c r="Z198" s="85" t="n"/>
      <c r="AA198" s="85" t="n"/>
      <c r="AB198" s="85" t="n"/>
      <c r="AC198" s="85" t="n"/>
      <c r="AD198" s="85" t="n"/>
      <c r="AE198" s="85" t="n"/>
      <c r="AF198" s="86" t="n"/>
      <c r="AG198" s="86" t="n"/>
      <c r="AH198" s="86" t="n"/>
      <c r="AI198" s="85" t="n"/>
      <c r="AJ198" s="85" t="n"/>
      <c r="AK198" s="85">
        <f>IF($A198="","",IF($M198&gt;0,"Yes","No"))</f>
        <v/>
      </c>
      <c r="AL198" s="85">
        <f>IF($A198="","",IF(AND($E198="Yes",OR($Y198="No",$Y198="NOT FOUND")),"YES",""))</f>
        <v/>
      </c>
      <c r="AM198" s="85">
        <f>IF($A198="","",TRIM(IF(AND($P198=0,$I198&lt;&gt;"Yes"),"T0-NoPhishResistant ","")&amp;IF($H198="No","NoMFA ","")&amp;IF(AND($P198=0,$M198&gt;0),"T0-Standing ","")&amp;IF(AND($P198=0,$Q198="Group only"),"T0-ViaGroupOnly ","")&amp;IF($W198="Yes","AlsoAzureRBAC ","")))</f>
        <v/>
      </c>
      <c r="AN198" s="85">
        <f>IF($A198="","",IF(AG198="","Not Enrolled",IF(TODAY()&gt;AG198,"Review Overdue",IF(AG198-TODAY()&lt;=30,"Review Due Soon","Active"))))</f>
        <v/>
      </c>
      <c r="AO198" s="85">
        <f>IF($A198="","",IF(AH198="","NOT REVIEWED",IF(TODAY()-AH198&gt;90,"OVERDUE",IF(TODAY()-AH198&gt;76,"Due Soon","Current"))))</f>
        <v/>
      </c>
    </row>
    <row r="199" ht="15" customHeight="1" s="39">
      <c r="A199" s="85" t="n"/>
      <c r="B199" s="85" t="n"/>
      <c r="C199" s="85" t="n"/>
      <c r="D199" s="85" t="n"/>
      <c r="E199" s="85" t="n"/>
      <c r="F199" s="86" t="n"/>
      <c r="G199" s="86" t="n"/>
      <c r="H199" s="85" t="n"/>
      <c r="I199" s="85" t="n"/>
      <c r="J199" s="85" t="n"/>
      <c r="K199" s="85" t="n"/>
      <c r="L199" s="85" t="n"/>
      <c r="M199" s="85" t="n"/>
      <c r="N199" s="85" t="n"/>
      <c r="O199" s="85" t="n"/>
      <c r="P199" s="85" t="n"/>
      <c r="Q199" s="85" t="n"/>
      <c r="R199" s="85" t="n"/>
      <c r="S199" s="85" t="n"/>
      <c r="T199" s="85" t="n"/>
      <c r="U199" s="85" t="n"/>
      <c r="V199" s="85" t="n"/>
      <c r="W199" s="85" t="n"/>
      <c r="X199" s="85" t="n"/>
      <c r="Y199" s="85" t="n"/>
      <c r="Z199" s="85" t="n"/>
      <c r="AA199" s="85" t="n"/>
      <c r="AB199" s="85" t="n"/>
      <c r="AC199" s="85" t="n"/>
      <c r="AD199" s="85" t="n"/>
      <c r="AE199" s="85" t="n"/>
      <c r="AF199" s="86" t="n"/>
      <c r="AG199" s="86" t="n"/>
      <c r="AH199" s="86" t="n"/>
      <c r="AI199" s="85" t="n"/>
      <c r="AJ199" s="85" t="n"/>
      <c r="AK199" s="85">
        <f>IF($A199="","",IF($M199&gt;0,"Yes","No"))</f>
        <v/>
      </c>
      <c r="AL199" s="85">
        <f>IF($A199="","",IF(AND($E199="Yes",OR($Y199="No",$Y199="NOT FOUND")),"YES",""))</f>
        <v/>
      </c>
      <c r="AM199" s="85">
        <f>IF($A199="","",TRIM(IF(AND($P199=0,$I199&lt;&gt;"Yes"),"T0-NoPhishResistant ","")&amp;IF($H199="No","NoMFA ","")&amp;IF(AND($P199=0,$M199&gt;0),"T0-Standing ","")&amp;IF(AND($P199=0,$Q199="Group only"),"T0-ViaGroupOnly ","")&amp;IF($W199="Yes","AlsoAzureRBAC ","")))</f>
        <v/>
      </c>
      <c r="AN199" s="85">
        <f>IF($A199="","",IF(AG199="","Not Enrolled",IF(TODAY()&gt;AG199,"Review Overdue",IF(AG199-TODAY()&lt;=30,"Review Due Soon","Active"))))</f>
        <v/>
      </c>
      <c r="AO199" s="85">
        <f>IF($A199="","",IF(AH199="","NOT REVIEWED",IF(TODAY()-AH199&gt;90,"OVERDUE",IF(TODAY()-AH199&gt;76,"Due Soon","Current"))))</f>
        <v/>
      </c>
    </row>
    <row r="200" ht="15" customHeight="1" s="39">
      <c r="A200" s="85" t="n"/>
      <c r="B200" s="85" t="n"/>
      <c r="C200" s="85" t="n"/>
      <c r="D200" s="85" t="n"/>
      <c r="E200" s="85" t="n"/>
      <c r="F200" s="86" t="n"/>
      <c r="G200" s="86" t="n"/>
      <c r="H200" s="85" t="n"/>
      <c r="I200" s="85" t="n"/>
      <c r="J200" s="85" t="n"/>
      <c r="K200" s="85" t="n"/>
      <c r="L200" s="85" t="n"/>
      <c r="M200" s="85" t="n"/>
      <c r="N200" s="85" t="n"/>
      <c r="O200" s="85" t="n"/>
      <c r="P200" s="85" t="n"/>
      <c r="Q200" s="85" t="n"/>
      <c r="R200" s="85" t="n"/>
      <c r="S200" s="85" t="n"/>
      <c r="T200" s="85" t="n"/>
      <c r="U200" s="85" t="n"/>
      <c r="V200" s="85" t="n"/>
      <c r="W200" s="85" t="n"/>
      <c r="X200" s="85" t="n"/>
      <c r="Y200" s="85" t="n"/>
      <c r="Z200" s="85" t="n"/>
      <c r="AA200" s="85" t="n"/>
      <c r="AB200" s="85" t="n"/>
      <c r="AC200" s="85" t="n"/>
      <c r="AD200" s="85" t="n"/>
      <c r="AE200" s="85" t="n"/>
      <c r="AF200" s="86" t="n"/>
      <c r="AG200" s="86" t="n"/>
      <c r="AH200" s="86" t="n"/>
      <c r="AI200" s="85" t="n"/>
      <c r="AJ200" s="85" t="n"/>
      <c r="AK200" s="85">
        <f>IF($A200="","",IF($M200&gt;0,"Yes","No"))</f>
        <v/>
      </c>
      <c r="AL200" s="85">
        <f>IF($A200="","",IF(AND($E200="Yes",OR($Y200="No",$Y200="NOT FOUND")),"YES",""))</f>
        <v/>
      </c>
      <c r="AM200" s="85">
        <f>IF($A200="","",TRIM(IF(AND($P200=0,$I200&lt;&gt;"Yes"),"T0-NoPhishResistant ","")&amp;IF($H200="No","NoMFA ","")&amp;IF(AND($P200=0,$M200&gt;0),"T0-Standing ","")&amp;IF(AND($P200=0,$Q200="Group only"),"T0-ViaGroupOnly ","")&amp;IF($W200="Yes","AlsoAzureRBAC ","")))</f>
        <v/>
      </c>
      <c r="AN200" s="85">
        <f>IF($A200="","",IF(AG200="","Not Enrolled",IF(TODAY()&gt;AG200,"Review Overdue",IF(AG200-TODAY()&lt;=30,"Review Due Soon","Active"))))</f>
        <v/>
      </c>
      <c r="AO200" s="85">
        <f>IF($A200="","",IF(AH200="","NOT REVIEWED",IF(TODAY()-AH200&gt;90,"OVERDUE",IF(TODAY()-AH200&gt;76,"Due Soon","Current"))))</f>
        <v/>
      </c>
    </row>
    <row r="201" ht="15" customHeight="1" s="39">
      <c r="A201" s="85" t="n"/>
      <c r="B201" s="85" t="n"/>
      <c r="C201" s="85" t="n"/>
      <c r="D201" s="85" t="n"/>
      <c r="E201" s="85" t="n"/>
      <c r="F201" s="86" t="n"/>
      <c r="G201" s="86" t="n"/>
      <c r="H201" s="85" t="n"/>
      <c r="I201" s="85" t="n"/>
      <c r="J201" s="85" t="n"/>
      <c r="K201" s="85" t="n"/>
      <c r="L201" s="85" t="n"/>
      <c r="M201" s="85" t="n"/>
      <c r="N201" s="85" t="n"/>
      <c r="O201" s="85" t="n"/>
      <c r="P201" s="85" t="n"/>
      <c r="Q201" s="85" t="n"/>
      <c r="R201" s="85" t="n"/>
      <c r="S201" s="85" t="n"/>
      <c r="T201" s="85" t="n"/>
      <c r="U201" s="85" t="n"/>
      <c r="V201" s="85" t="n"/>
      <c r="W201" s="85" t="n"/>
      <c r="X201" s="85" t="n"/>
      <c r="Y201" s="85" t="n"/>
      <c r="Z201" s="85" t="n"/>
      <c r="AA201" s="85" t="n"/>
      <c r="AB201" s="85" t="n"/>
      <c r="AC201" s="85" t="n"/>
      <c r="AD201" s="85" t="n"/>
      <c r="AE201" s="85" t="n"/>
      <c r="AF201" s="86" t="n"/>
      <c r="AG201" s="86" t="n"/>
      <c r="AH201" s="86" t="n"/>
      <c r="AI201" s="85" t="n"/>
      <c r="AJ201" s="85" t="n"/>
      <c r="AK201" s="85">
        <f>IF($A201="","",IF($M201&gt;0,"Yes","No"))</f>
        <v/>
      </c>
      <c r="AL201" s="85">
        <f>IF($A201="","",IF(AND($E201="Yes",OR($Y201="No",$Y201="NOT FOUND")),"YES",""))</f>
        <v/>
      </c>
      <c r="AM201" s="85">
        <f>IF($A201="","",TRIM(IF(AND($P201=0,$I201&lt;&gt;"Yes"),"T0-NoPhishResistant ","")&amp;IF($H201="No","NoMFA ","")&amp;IF(AND($P201=0,$M201&gt;0),"T0-Standing ","")&amp;IF(AND($P201=0,$Q201="Group only"),"T0-ViaGroupOnly ","")&amp;IF($W201="Yes","AlsoAzureRBAC ","")))</f>
        <v/>
      </c>
      <c r="AN201" s="85">
        <f>IF($A201="","",IF(AG201="","Not Enrolled",IF(TODAY()&gt;AG201,"Review Overdue",IF(AG201-TODAY()&lt;=30,"Review Due Soon","Active"))))</f>
        <v/>
      </c>
      <c r="AO201" s="85">
        <f>IF($A201="","",IF(AH201="","NOT REVIEWED",IF(TODAY()-AH201&gt;90,"OVERDUE",IF(TODAY()-AH201&gt;76,"Due Soon","Current"))))</f>
        <v/>
      </c>
    </row>
    <row r="202" ht="15" customHeight="1" s="39">
      <c r="A202" s="85" t="n"/>
      <c r="B202" s="85" t="n"/>
      <c r="C202" s="85" t="n"/>
      <c r="D202" s="85" t="n"/>
      <c r="E202" s="85" t="n"/>
      <c r="F202" s="86" t="n"/>
      <c r="G202" s="86" t="n"/>
      <c r="H202" s="85" t="n"/>
      <c r="I202" s="85" t="n"/>
      <c r="J202" s="85" t="n"/>
      <c r="K202" s="85" t="n"/>
      <c r="L202" s="85" t="n"/>
      <c r="M202" s="85" t="n"/>
      <c r="N202" s="85" t="n"/>
      <c r="O202" s="85" t="n"/>
      <c r="P202" s="85" t="n"/>
      <c r="Q202" s="85" t="n"/>
      <c r="R202" s="85" t="n"/>
      <c r="S202" s="85" t="n"/>
      <c r="T202" s="85" t="n"/>
      <c r="U202" s="85" t="n"/>
      <c r="V202" s="85" t="n"/>
      <c r="W202" s="85" t="n"/>
      <c r="X202" s="85" t="n"/>
      <c r="Y202" s="85" t="n"/>
      <c r="Z202" s="85" t="n"/>
      <c r="AA202" s="85" t="n"/>
      <c r="AB202" s="85" t="n"/>
      <c r="AC202" s="85" t="n"/>
      <c r="AD202" s="85" t="n"/>
      <c r="AE202" s="85" t="n"/>
      <c r="AF202" s="86" t="n"/>
      <c r="AG202" s="86" t="n"/>
      <c r="AH202" s="86" t="n"/>
      <c r="AI202" s="85" t="n"/>
      <c r="AJ202" s="85" t="n"/>
      <c r="AK202" s="85">
        <f>IF($A202="","",IF($M202&gt;0,"Yes","No"))</f>
        <v/>
      </c>
      <c r="AL202" s="85">
        <f>IF($A202="","",IF(AND($E202="Yes",OR($Y202="No",$Y202="NOT FOUND")),"YES",""))</f>
        <v/>
      </c>
      <c r="AM202" s="85">
        <f>IF($A202="","",TRIM(IF(AND($P202=0,$I202&lt;&gt;"Yes"),"T0-NoPhishResistant ","")&amp;IF($H202="No","NoMFA ","")&amp;IF(AND($P202=0,$M202&gt;0),"T0-Standing ","")&amp;IF(AND($P202=0,$Q202="Group only"),"T0-ViaGroupOnly ","")&amp;IF($W202="Yes","AlsoAzureRBAC ","")))</f>
        <v/>
      </c>
      <c r="AN202" s="85">
        <f>IF($A202="","",IF(AG202="","Not Enrolled",IF(TODAY()&gt;AG202,"Review Overdue",IF(AG202-TODAY()&lt;=30,"Review Due Soon","Active"))))</f>
        <v/>
      </c>
      <c r="AO202" s="85">
        <f>IF($A202="","",IF(AH202="","NOT REVIEWED",IF(TODAY()-AH202&gt;90,"OVERDUE",IF(TODAY()-AH202&gt;76,"Due Soon","Current"))))</f>
        <v/>
      </c>
    </row>
    <row r="203" ht="15" customHeight="1" s="39">
      <c r="A203" s="85" t="n"/>
      <c r="B203" s="85" t="n"/>
      <c r="C203" s="85" t="n"/>
      <c r="D203" s="85" t="n"/>
      <c r="E203" s="85" t="n"/>
      <c r="F203" s="86" t="n"/>
      <c r="G203" s="86" t="n"/>
      <c r="H203" s="85" t="n"/>
      <c r="I203" s="85" t="n"/>
      <c r="J203" s="85" t="n"/>
      <c r="K203" s="85" t="n"/>
      <c r="L203" s="85" t="n"/>
      <c r="M203" s="85" t="n"/>
      <c r="N203" s="85" t="n"/>
      <c r="O203" s="85" t="n"/>
      <c r="P203" s="85" t="n"/>
      <c r="Q203" s="85" t="n"/>
      <c r="R203" s="85" t="n"/>
      <c r="S203" s="85" t="n"/>
      <c r="T203" s="85" t="n"/>
      <c r="U203" s="85" t="n"/>
      <c r="V203" s="85" t="n"/>
      <c r="W203" s="85" t="n"/>
      <c r="X203" s="85" t="n"/>
      <c r="Y203" s="85" t="n"/>
      <c r="Z203" s="85" t="n"/>
      <c r="AA203" s="85" t="n"/>
      <c r="AB203" s="85" t="n"/>
      <c r="AC203" s="85" t="n"/>
      <c r="AD203" s="85" t="n"/>
      <c r="AE203" s="85" t="n"/>
      <c r="AF203" s="86" t="n"/>
      <c r="AG203" s="86" t="n"/>
      <c r="AH203" s="86" t="n"/>
      <c r="AI203" s="85" t="n"/>
      <c r="AJ203" s="85" t="n"/>
      <c r="AK203" s="85">
        <f>IF($A203="","",IF($M203&gt;0,"Yes","No"))</f>
        <v/>
      </c>
      <c r="AL203" s="85">
        <f>IF($A203="","",IF(AND($E203="Yes",OR($Y203="No",$Y203="NOT FOUND")),"YES",""))</f>
        <v/>
      </c>
      <c r="AM203" s="85">
        <f>IF($A203="","",TRIM(IF(AND($P203=0,$I203&lt;&gt;"Yes"),"T0-NoPhishResistant ","")&amp;IF($H203="No","NoMFA ","")&amp;IF(AND($P203=0,$M203&gt;0),"T0-Standing ","")&amp;IF(AND($P203=0,$Q203="Group only"),"T0-ViaGroupOnly ","")&amp;IF($W203="Yes","AlsoAzureRBAC ","")))</f>
        <v/>
      </c>
      <c r="AN203" s="85">
        <f>IF($A203="","",IF(AG203="","Not Enrolled",IF(TODAY()&gt;AG203,"Review Overdue",IF(AG203-TODAY()&lt;=30,"Review Due Soon","Active"))))</f>
        <v/>
      </c>
      <c r="AO203" s="85">
        <f>IF($A203="","",IF(AH203="","NOT REVIEWED",IF(TODAY()-AH203&gt;90,"OVERDUE",IF(TODAY()-AH203&gt;76,"Due Soon","Current"))))</f>
        <v/>
      </c>
    </row>
    <row r="204" ht="15" customHeight="1" s="39">
      <c r="A204" s="85" t="n"/>
      <c r="B204" s="85" t="n"/>
      <c r="C204" s="85" t="n"/>
      <c r="D204" s="85" t="n"/>
      <c r="E204" s="85" t="n"/>
      <c r="F204" s="86" t="n"/>
      <c r="G204" s="86" t="n"/>
      <c r="H204" s="85" t="n"/>
      <c r="I204" s="85" t="n"/>
      <c r="J204" s="85" t="n"/>
      <c r="K204" s="85" t="n"/>
      <c r="L204" s="85" t="n"/>
      <c r="M204" s="85" t="n"/>
      <c r="N204" s="85" t="n"/>
      <c r="O204" s="85" t="n"/>
      <c r="P204" s="85" t="n"/>
      <c r="Q204" s="85" t="n"/>
      <c r="R204" s="85" t="n"/>
      <c r="S204" s="85" t="n"/>
      <c r="T204" s="85" t="n"/>
      <c r="U204" s="85" t="n"/>
      <c r="V204" s="85" t="n"/>
      <c r="W204" s="85" t="n"/>
      <c r="X204" s="85" t="n"/>
      <c r="Y204" s="85" t="n"/>
      <c r="Z204" s="85" t="n"/>
      <c r="AA204" s="85" t="n"/>
      <c r="AB204" s="85" t="n"/>
      <c r="AC204" s="85" t="n"/>
      <c r="AD204" s="85" t="n"/>
      <c r="AE204" s="85" t="n"/>
      <c r="AF204" s="86" t="n"/>
      <c r="AG204" s="86" t="n"/>
      <c r="AH204" s="86" t="n"/>
      <c r="AI204" s="85" t="n"/>
      <c r="AJ204" s="85" t="n"/>
      <c r="AK204" s="85">
        <f>IF($A204="","",IF($M204&gt;0,"Yes","No"))</f>
        <v/>
      </c>
      <c r="AL204" s="85">
        <f>IF($A204="","",IF(AND($E204="Yes",OR($Y204="No",$Y204="NOT FOUND")),"YES",""))</f>
        <v/>
      </c>
      <c r="AM204" s="85">
        <f>IF($A204="","",TRIM(IF(AND($P204=0,$I204&lt;&gt;"Yes"),"T0-NoPhishResistant ","")&amp;IF($H204="No","NoMFA ","")&amp;IF(AND($P204=0,$M204&gt;0),"T0-Standing ","")&amp;IF(AND($P204=0,$Q204="Group only"),"T0-ViaGroupOnly ","")&amp;IF($W204="Yes","AlsoAzureRBAC ","")))</f>
        <v/>
      </c>
      <c r="AN204" s="85">
        <f>IF($A204="","",IF(AG204="","Not Enrolled",IF(TODAY()&gt;AG204,"Review Overdue",IF(AG204-TODAY()&lt;=30,"Review Due Soon","Active"))))</f>
        <v/>
      </c>
      <c r="AO204" s="85">
        <f>IF($A204="","",IF(AH204="","NOT REVIEWED",IF(TODAY()-AH204&gt;90,"OVERDUE",IF(TODAY()-AH204&gt;76,"Due Soon","Current"))))</f>
        <v/>
      </c>
    </row>
    <row r="205" ht="15" customHeight="1" s="39">
      <c r="A205" s="85" t="n"/>
      <c r="B205" s="85" t="n"/>
      <c r="C205" s="85" t="n"/>
      <c r="D205" s="85" t="n"/>
      <c r="E205" s="85" t="n"/>
      <c r="F205" s="86" t="n"/>
      <c r="G205" s="86" t="n"/>
      <c r="H205" s="85" t="n"/>
      <c r="I205" s="85" t="n"/>
      <c r="J205" s="85" t="n"/>
      <c r="K205" s="85" t="n"/>
      <c r="L205" s="85" t="n"/>
      <c r="M205" s="85" t="n"/>
      <c r="N205" s="85" t="n"/>
      <c r="O205" s="85" t="n"/>
      <c r="P205" s="85" t="n"/>
      <c r="Q205" s="85" t="n"/>
      <c r="R205" s="85" t="n"/>
      <c r="S205" s="85" t="n"/>
      <c r="T205" s="85" t="n"/>
      <c r="U205" s="85" t="n"/>
      <c r="V205" s="85" t="n"/>
      <c r="W205" s="85" t="n"/>
      <c r="X205" s="85" t="n"/>
      <c r="Y205" s="85" t="n"/>
      <c r="Z205" s="85" t="n"/>
      <c r="AA205" s="85" t="n"/>
      <c r="AB205" s="85" t="n"/>
      <c r="AC205" s="85" t="n"/>
      <c r="AD205" s="85" t="n"/>
      <c r="AE205" s="85" t="n"/>
      <c r="AF205" s="86" t="n"/>
      <c r="AG205" s="86" t="n"/>
      <c r="AH205" s="86" t="n"/>
      <c r="AI205" s="85" t="n"/>
      <c r="AJ205" s="85" t="n"/>
      <c r="AK205" s="85">
        <f>IF($A205="","",IF($M205&gt;0,"Yes","No"))</f>
        <v/>
      </c>
      <c r="AL205" s="85">
        <f>IF($A205="","",IF(AND($E205="Yes",OR($Y205="No",$Y205="NOT FOUND")),"YES",""))</f>
        <v/>
      </c>
      <c r="AM205" s="85">
        <f>IF($A205="","",TRIM(IF(AND($P205=0,$I205&lt;&gt;"Yes"),"T0-NoPhishResistant ","")&amp;IF($H205="No","NoMFA ","")&amp;IF(AND($P205=0,$M205&gt;0),"T0-Standing ","")&amp;IF(AND($P205=0,$Q205="Group only"),"T0-ViaGroupOnly ","")&amp;IF($W205="Yes","AlsoAzureRBAC ","")))</f>
        <v/>
      </c>
      <c r="AN205" s="85">
        <f>IF($A205="","",IF(AG205="","Not Enrolled",IF(TODAY()&gt;AG205,"Review Overdue",IF(AG205-TODAY()&lt;=30,"Review Due Soon","Active"))))</f>
        <v/>
      </c>
      <c r="AO205" s="85">
        <f>IF($A205="","",IF(AH205="","NOT REVIEWED",IF(TODAY()-AH205&gt;90,"OVERDUE",IF(TODAY()-AH205&gt;76,"Due Soon","Current"))))</f>
        <v/>
      </c>
    </row>
    <row r="206" ht="15" customHeight="1" s="39">
      <c r="A206" s="85" t="n"/>
      <c r="B206" s="85" t="n"/>
      <c r="C206" s="85" t="n"/>
      <c r="D206" s="85" t="n"/>
      <c r="E206" s="85" t="n"/>
      <c r="F206" s="86" t="n"/>
      <c r="G206" s="86" t="n"/>
      <c r="H206" s="85" t="n"/>
      <c r="I206" s="85" t="n"/>
      <c r="J206" s="85" t="n"/>
      <c r="K206" s="85" t="n"/>
      <c r="L206" s="85" t="n"/>
      <c r="M206" s="85" t="n"/>
      <c r="N206" s="85" t="n"/>
      <c r="O206" s="85" t="n"/>
      <c r="P206" s="85" t="n"/>
      <c r="Q206" s="85" t="n"/>
      <c r="R206" s="85" t="n"/>
      <c r="S206" s="85" t="n"/>
      <c r="T206" s="85" t="n"/>
      <c r="U206" s="85" t="n"/>
      <c r="V206" s="85" t="n"/>
      <c r="W206" s="85" t="n"/>
      <c r="X206" s="85" t="n"/>
      <c r="Y206" s="85" t="n"/>
      <c r="Z206" s="85" t="n"/>
      <c r="AA206" s="85" t="n"/>
      <c r="AB206" s="85" t="n"/>
      <c r="AC206" s="85" t="n"/>
      <c r="AD206" s="85" t="n"/>
      <c r="AE206" s="85" t="n"/>
      <c r="AF206" s="86" t="n"/>
      <c r="AG206" s="86" t="n"/>
      <c r="AH206" s="86" t="n"/>
      <c r="AI206" s="85" t="n"/>
      <c r="AJ206" s="85" t="n"/>
      <c r="AK206" s="85">
        <f>IF($A206="","",IF($M206&gt;0,"Yes","No"))</f>
        <v/>
      </c>
      <c r="AL206" s="85">
        <f>IF($A206="","",IF(AND($E206="Yes",OR($Y206="No",$Y206="NOT FOUND")),"YES",""))</f>
        <v/>
      </c>
      <c r="AM206" s="85">
        <f>IF($A206="","",TRIM(IF(AND($P206=0,$I206&lt;&gt;"Yes"),"T0-NoPhishResistant ","")&amp;IF($H206="No","NoMFA ","")&amp;IF(AND($P206=0,$M206&gt;0),"T0-Standing ","")&amp;IF(AND($P206=0,$Q206="Group only"),"T0-ViaGroupOnly ","")&amp;IF($W206="Yes","AlsoAzureRBAC ","")))</f>
        <v/>
      </c>
      <c r="AN206" s="85">
        <f>IF($A206="","",IF(AG206="","Not Enrolled",IF(TODAY()&gt;AG206,"Review Overdue",IF(AG206-TODAY()&lt;=30,"Review Due Soon","Active"))))</f>
        <v/>
      </c>
      <c r="AO206" s="85">
        <f>IF($A206="","",IF(AH206="","NOT REVIEWED",IF(TODAY()-AH206&gt;90,"OVERDUE",IF(TODAY()-AH206&gt;76,"Due Soon","Current"))))</f>
        <v/>
      </c>
    </row>
    <row r="207" ht="15" customHeight="1" s="39">
      <c r="A207" s="85" t="n"/>
      <c r="B207" s="85" t="n"/>
      <c r="C207" s="85" t="n"/>
      <c r="D207" s="85" t="n"/>
      <c r="E207" s="85" t="n"/>
      <c r="F207" s="86" t="n"/>
      <c r="G207" s="86" t="n"/>
      <c r="H207" s="85" t="n"/>
      <c r="I207" s="85" t="n"/>
      <c r="J207" s="85" t="n"/>
      <c r="K207" s="85" t="n"/>
      <c r="L207" s="85" t="n"/>
      <c r="M207" s="85" t="n"/>
      <c r="N207" s="85" t="n"/>
      <c r="O207" s="85" t="n"/>
      <c r="P207" s="85" t="n"/>
      <c r="Q207" s="85" t="n"/>
      <c r="R207" s="85" t="n"/>
      <c r="S207" s="85" t="n"/>
      <c r="T207" s="85" t="n"/>
      <c r="U207" s="85" t="n"/>
      <c r="V207" s="85" t="n"/>
      <c r="W207" s="85" t="n"/>
      <c r="X207" s="85" t="n"/>
      <c r="Y207" s="85" t="n"/>
      <c r="Z207" s="85" t="n"/>
      <c r="AA207" s="85" t="n"/>
      <c r="AB207" s="85" t="n"/>
      <c r="AC207" s="85" t="n"/>
      <c r="AD207" s="85" t="n"/>
      <c r="AE207" s="85" t="n"/>
      <c r="AF207" s="86" t="n"/>
      <c r="AG207" s="86" t="n"/>
      <c r="AH207" s="86" t="n"/>
      <c r="AI207" s="85" t="n"/>
      <c r="AJ207" s="85" t="n"/>
      <c r="AK207" s="85">
        <f>IF($A207="","",IF($M207&gt;0,"Yes","No"))</f>
        <v/>
      </c>
      <c r="AL207" s="85">
        <f>IF($A207="","",IF(AND($E207="Yes",OR($Y207="No",$Y207="NOT FOUND")),"YES",""))</f>
        <v/>
      </c>
      <c r="AM207" s="85">
        <f>IF($A207="","",TRIM(IF(AND($P207=0,$I207&lt;&gt;"Yes"),"T0-NoPhishResistant ","")&amp;IF($H207="No","NoMFA ","")&amp;IF(AND($P207=0,$M207&gt;0),"T0-Standing ","")&amp;IF(AND($P207=0,$Q207="Group only"),"T0-ViaGroupOnly ","")&amp;IF($W207="Yes","AlsoAzureRBAC ","")))</f>
        <v/>
      </c>
      <c r="AN207" s="85">
        <f>IF($A207="","",IF(AG207="","Not Enrolled",IF(TODAY()&gt;AG207,"Review Overdue",IF(AG207-TODAY()&lt;=30,"Review Due Soon","Active"))))</f>
        <v/>
      </c>
      <c r="AO207" s="85">
        <f>IF($A207="","",IF(AH207="","NOT REVIEWED",IF(TODAY()-AH207&gt;90,"OVERDUE",IF(TODAY()-AH207&gt;76,"Due Soon","Current"))))</f>
        <v/>
      </c>
    </row>
    <row r="208" ht="15" customHeight="1" s="39">
      <c r="A208" s="85" t="n"/>
      <c r="B208" s="85" t="n"/>
      <c r="C208" s="85" t="n"/>
      <c r="D208" s="85" t="n"/>
      <c r="E208" s="85" t="n"/>
      <c r="F208" s="86" t="n"/>
      <c r="G208" s="86" t="n"/>
      <c r="H208" s="85" t="n"/>
      <c r="I208" s="85" t="n"/>
      <c r="J208" s="85" t="n"/>
      <c r="K208" s="85" t="n"/>
      <c r="L208" s="85" t="n"/>
      <c r="M208" s="85" t="n"/>
      <c r="N208" s="85" t="n"/>
      <c r="O208" s="85" t="n"/>
      <c r="P208" s="85" t="n"/>
      <c r="Q208" s="85" t="n"/>
      <c r="R208" s="85" t="n"/>
      <c r="S208" s="85" t="n"/>
      <c r="T208" s="85" t="n"/>
      <c r="U208" s="85" t="n"/>
      <c r="V208" s="85" t="n"/>
      <c r="W208" s="85" t="n"/>
      <c r="X208" s="85" t="n"/>
      <c r="Y208" s="85" t="n"/>
      <c r="Z208" s="85" t="n"/>
      <c r="AA208" s="85" t="n"/>
      <c r="AB208" s="85" t="n"/>
      <c r="AC208" s="85" t="n"/>
      <c r="AD208" s="85" t="n"/>
      <c r="AE208" s="85" t="n"/>
      <c r="AF208" s="86" t="n"/>
      <c r="AG208" s="86" t="n"/>
      <c r="AH208" s="86" t="n"/>
      <c r="AI208" s="85" t="n"/>
      <c r="AJ208" s="85" t="n"/>
      <c r="AK208" s="85">
        <f>IF($A208="","",IF($M208&gt;0,"Yes","No"))</f>
        <v/>
      </c>
      <c r="AL208" s="85">
        <f>IF($A208="","",IF(AND($E208="Yes",OR($Y208="No",$Y208="NOT FOUND")),"YES",""))</f>
        <v/>
      </c>
      <c r="AM208" s="85">
        <f>IF($A208="","",TRIM(IF(AND($P208=0,$I208&lt;&gt;"Yes"),"T0-NoPhishResistant ","")&amp;IF($H208="No","NoMFA ","")&amp;IF(AND($P208=0,$M208&gt;0),"T0-Standing ","")&amp;IF(AND($P208=0,$Q208="Group only"),"T0-ViaGroupOnly ","")&amp;IF($W208="Yes","AlsoAzureRBAC ","")))</f>
        <v/>
      </c>
      <c r="AN208" s="85">
        <f>IF($A208="","",IF(AG208="","Not Enrolled",IF(TODAY()&gt;AG208,"Review Overdue",IF(AG208-TODAY()&lt;=30,"Review Due Soon","Active"))))</f>
        <v/>
      </c>
      <c r="AO208" s="85">
        <f>IF($A208="","",IF(AH208="","NOT REVIEWED",IF(TODAY()-AH208&gt;90,"OVERDUE",IF(TODAY()-AH208&gt;76,"Due Soon","Current"))))</f>
        <v/>
      </c>
    </row>
    <row r="209" ht="15" customHeight="1" s="39">
      <c r="A209" s="85" t="n"/>
      <c r="B209" s="85" t="n"/>
      <c r="C209" s="85" t="n"/>
      <c r="D209" s="85" t="n"/>
      <c r="E209" s="85" t="n"/>
      <c r="F209" s="86" t="n"/>
      <c r="G209" s="86" t="n"/>
      <c r="H209" s="85" t="n"/>
      <c r="I209" s="85" t="n"/>
      <c r="J209" s="85" t="n"/>
      <c r="K209" s="85" t="n"/>
      <c r="L209" s="85" t="n"/>
      <c r="M209" s="85" t="n"/>
      <c r="N209" s="85" t="n"/>
      <c r="O209" s="85" t="n"/>
      <c r="P209" s="85" t="n"/>
      <c r="Q209" s="85" t="n"/>
      <c r="R209" s="85" t="n"/>
      <c r="S209" s="85" t="n"/>
      <c r="T209" s="85" t="n"/>
      <c r="U209" s="85" t="n"/>
      <c r="V209" s="85" t="n"/>
      <c r="W209" s="85" t="n"/>
      <c r="X209" s="85" t="n"/>
      <c r="Y209" s="85" t="n"/>
      <c r="Z209" s="85" t="n"/>
      <c r="AA209" s="85" t="n"/>
      <c r="AB209" s="85" t="n"/>
      <c r="AC209" s="85" t="n"/>
      <c r="AD209" s="85" t="n"/>
      <c r="AE209" s="85" t="n"/>
      <c r="AF209" s="86" t="n"/>
      <c r="AG209" s="86" t="n"/>
      <c r="AH209" s="86" t="n"/>
      <c r="AI209" s="85" t="n"/>
      <c r="AJ209" s="85" t="n"/>
      <c r="AK209" s="85">
        <f>IF($A209="","",IF($M209&gt;0,"Yes","No"))</f>
        <v/>
      </c>
      <c r="AL209" s="85">
        <f>IF($A209="","",IF(AND($E209="Yes",OR($Y209="No",$Y209="NOT FOUND")),"YES",""))</f>
        <v/>
      </c>
      <c r="AM209" s="85">
        <f>IF($A209="","",TRIM(IF(AND($P209=0,$I209&lt;&gt;"Yes"),"T0-NoPhishResistant ","")&amp;IF($H209="No","NoMFA ","")&amp;IF(AND($P209=0,$M209&gt;0),"T0-Standing ","")&amp;IF(AND($P209=0,$Q209="Group only"),"T0-ViaGroupOnly ","")&amp;IF($W209="Yes","AlsoAzureRBAC ","")))</f>
        <v/>
      </c>
      <c r="AN209" s="85">
        <f>IF($A209="","",IF(AG209="","Not Enrolled",IF(TODAY()&gt;AG209,"Review Overdue",IF(AG209-TODAY()&lt;=30,"Review Due Soon","Active"))))</f>
        <v/>
      </c>
      <c r="AO209" s="85">
        <f>IF($A209="","",IF(AH209="","NOT REVIEWED",IF(TODAY()-AH209&gt;90,"OVERDUE",IF(TODAY()-AH209&gt;76,"Due Soon","Current"))))</f>
        <v/>
      </c>
    </row>
    <row r="210" ht="15" customHeight="1" s="39">
      <c r="A210" s="85" t="n"/>
      <c r="B210" s="85" t="n"/>
      <c r="C210" s="85" t="n"/>
      <c r="D210" s="85" t="n"/>
      <c r="E210" s="85" t="n"/>
      <c r="F210" s="86" t="n"/>
      <c r="G210" s="86" t="n"/>
      <c r="H210" s="85" t="n"/>
      <c r="I210" s="85" t="n"/>
      <c r="J210" s="85" t="n"/>
      <c r="K210" s="85" t="n"/>
      <c r="L210" s="85" t="n"/>
      <c r="M210" s="85" t="n"/>
      <c r="N210" s="85" t="n"/>
      <c r="O210" s="85" t="n"/>
      <c r="P210" s="85" t="n"/>
      <c r="Q210" s="85" t="n"/>
      <c r="R210" s="85" t="n"/>
      <c r="S210" s="85" t="n"/>
      <c r="T210" s="85" t="n"/>
      <c r="U210" s="85" t="n"/>
      <c r="V210" s="85" t="n"/>
      <c r="W210" s="85" t="n"/>
      <c r="X210" s="85" t="n"/>
      <c r="Y210" s="85" t="n"/>
      <c r="Z210" s="85" t="n"/>
      <c r="AA210" s="85" t="n"/>
      <c r="AB210" s="85" t="n"/>
      <c r="AC210" s="85" t="n"/>
      <c r="AD210" s="85" t="n"/>
      <c r="AE210" s="85" t="n"/>
      <c r="AF210" s="86" t="n"/>
      <c r="AG210" s="86" t="n"/>
      <c r="AH210" s="86" t="n"/>
      <c r="AI210" s="85" t="n"/>
      <c r="AJ210" s="85" t="n"/>
      <c r="AK210" s="85">
        <f>IF($A210="","",IF($M210&gt;0,"Yes","No"))</f>
        <v/>
      </c>
      <c r="AL210" s="85">
        <f>IF($A210="","",IF(AND($E210="Yes",OR($Y210="No",$Y210="NOT FOUND")),"YES",""))</f>
        <v/>
      </c>
      <c r="AM210" s="85">
        <f>IF($A210="","",TRIM(IF(AND($P210=0,$I210&lt;&gt;"Yes"),"T0-NoPhishResistant ","")&amp;IF($H210="No","NoMFA ","")&amp;IF(AND($P210=0,$M210&gt;0),"T0-Standing ","")&amp;IF(AND($P210=0,$Q210="Group only"),"T0-ViaGroupOnly ","")&amp;IF($W210="Yes","AlsoAzureRBAC ","")))</f>
        <v/>
      </c>
      <c r="AN210" s="85">
        <f>IF($A210="","",IF(AG210="","Not Enrolled",IF(TODAY()&gt;AG210,"Review Overdue",IF(AG210-TODAY()&lt;=30,"Review Due Soon","Active"))))</f>
        <v/>
      </c>
      <c r="AO210" s="85">
        <f>IF($A210="","",IF(AH210="","NOT REVIEWED",IF(TODAY()-AH210&gt;90,"OVERDUE",IF(TODAY()-AH210&gt;76,"Due Soon","Current"))))</f>
        <v/>
      </c>
    </row>
    <row r="211" ht="15" customHeight="1" s="39">
      <c r="A211" s="85" t="n"/>
      <c r="B211" s="85" t="n"/>
      <c r="C211" s="85" t="n"/>
      <c r="D211" s="85" t="n"/>
      <c r="E211" s="85" t="n"/>
      <c r="F211" s="86" t="n"/>
      <c r="G211" s="86" t="n"/>
      <c r="H211" s="85" t="n"/>
      <c r="I211" s="85" t="n"/>
      <c r="J211" s="85" t="n"/>
      <c r="K211" s="85" t="n"/>
      <c r="L211" s="85" t="n"/>
      <c r="M211" s="85" t="n"/>
      <c r="N211" s="85" t="n"/>
      <c r="O211" s="85" t="n"/>
      <c r="P211" s="85" t="n"/>
      <c r="Q211" s="85" t="n"/>
      <c r="R211" s="85" t="n"/>
      <c r="S211" s="85" t="n"/>
      <c r="T211" s="85" t="n"/>
      <c r="U211" s="85" t="n"/>
      <c r="V211" s="85" t="n"/>
      <c r="W211" s="85" t="n"/>
      <c r="X211" s="85" t="n"/>
      <c r="Y211" s="85" t="n"/>
      <c r="Z211" s="85" t="n"/>
      <c r="AA211" s="85" t="n"/>
      <c r="AB211" s="85" t="n"/>
      <c r="AC211" s="85" t="n"/>
      <c r="AD211" s="85" t="n"/>
      <c r="AE211" s="85" t="n"/>
      <c r="AF211" s="86" t="n"/>
      <c r="AG211" s="86" t="n"/>
      <c r="AH211" s="86" t="n"/>
      <c r="AI211" s="85" t="n"/>
      <c r="AJ211" s="85" t="n"/>
      <c r="AK211" s="85">
        <f>IF($A211="","",IF($M211&gt;0,"Yes","No"))</f>
        <v/>
      </c>
      <c r="AL211" s="85">
        <f>IF($A211="","",IF(AND($E211="Yes",OR($Y211="No",$Y211="NOT FOUND")),"YES",""))</f>
        <v/>
      </c>
      <c r="AM211" s="85">
        <f>IF($A211="","",TRIM(IF(AND($P211=0,$I211&lt;&gt;"Yes"),"T0-NoPhishResistant ","")&amp;IF($H211="No","NoMFA ","")&amp;IF(AND($P211=0,$M211&gt;0),"T0-Standing ","")&amp;IF(AND($P211=0,$Q211="Group only"),"T0-ViaGroupOnly ","")&amp;IF($W211="Yes","AlsoAzureRBAC ","")))</f>
        <v/>
      </c>
      <c r="AN211" s="85">
        <f>IF($A211="","",IF(AG211="","Not Enrolled",IF(TODAY()&gt;AG211,"Review Overdue",IF(AG211-TODAY()&lt;=30,"Review Due Soon","Active"))))</f>
        <v/>
      </c>
      <c r="AO211" s="85">
        <f>IF($A211="","",IF(AH211="","NOT REVIEWED",IF(TODAY()-AH211&gt;90,"OVERDUE",IF(TODAY()-AH211&gt;76,"Due Soon","Current"))))</f>
        <v/>
      </c>
    </row>
    <row r="212" ht="15" customHeight="1" s="39">
      <c r="A212" s="85" t="n"/>
      <c r="B212" s="85" t="n"/>
      <c r="C212" s="85" t="n"/>
      <c r="D212" s="85" t="n"/>
      <c r="E212" s="85" t="n"/>
      <c r="F212" s="86" t="n"/>
      <c r="G212" s="86" t="n"/>
      <c r="H212" s="85" t="n"/>
      <c r="I212" s="85" t="n"/>
      <c r="J212" s="85" t="n"/>
      <c r="K212" s="85" t="n"/>
      <c r="L212" s="85" t="n"/>
      <c r="M212" s="85" t="n"/>
      <c r="N212" s="85" t="n"/>
      <c r="O212" s="85" t="n"/>
      <c r="P212" s="85" t="n"/>
      <c r="Q212" s="85" t="n"/>
      <c r="R212" s="85" t="n"/>
      <c r="S212" s="85" t="n"/>
      <c r="T212" s="85" t="n"/>
      <c r="U212" s="85" t="n"/>
      <c r="V212" s="85" t="n"/>
      <c r="W212" s="85" t="n"/>
      <c r="X212" s="85" t="n"/>
      <c r="Y212" s="85" t="n"/>
      <c r="Z212" s="85" t="n"/>
      <c r="AA212" s="85" t="n"/>
      <c r="AB212" s="85" t="n"/>
      <c r="AC212" s="85" t="n"/>
      <c r="AD212" s="85" t="n"/>
      <c r="AE212" s="85" t="n"/>
      <c r="AF212" s="86" t="n"/>
      <c r="AG212" s="86" t="n"/>
      <c r="AH212" s="86" t="n"/>
      <c r="AI212" s="85" t="n"/>
      <c r="AJ212" s="85" t="n"/>
      <c r="AK212" s="85">
        <f>IF($A212="","",IF($M212&gt;0,"Yes","No"))</f>
        <v/>
      </c>
      <c r="AL212" s="85">
        <f>IF($A212="","",IF(AND($E212="Yes",OR($Y212="No",$Y212="NOT FOUND")),"YES",""))</f>
        <v/>
      </c>
      <c r="AM212" s="85">
        <f>IF($A212="","",TRIM(IF(AND($P212=0,$I212&lt;&gt;"Yes"),"T0-NoPhishResistant ","")&amp;IF($H212="No","NoMFA ","")&amp;IF(AND($P212=0,$M212&gt;0),"T0-Standing ","")&amp;IF(AND($P212=0,$Q212="Group only"),"T0-ViaGroupOnly ","")&amp;IF($W212="Yes","AlsoAzureRBAC ","")))</f>
        <v/>
      </c>
      <c r="AN212" s="85">
        <f>IF($A212="","",IF(AG212="","Not Enrolled",IF(TODAY()&gt;AG212,"Review Overdue",IF(AG212-TODAY()&lt;=30,"Review Due Soon","Active"))))</f>
        <v/>
      </c>
      <c r="AO212" s="85">
        <f>IF($A212="","",IF(AH212="","NOT REVIEWED",IF(TODAY()-AH212&gt;90,"OVERDUE",IF(TODAY()-AH212&gt;76,"Due Soon","Current"))))</f>
        <v/>
      </c>
    </row>
    <row r="213" ht="15" customHeight="1" s="39">
      <c r="A213" s="85" t="n"/>
      <c r="B213" s="85" t="n"/>
      <c r="C213" s="85" t="n"/>
      <c r="D213" s="85" t="n"/>
      <c r="E213" s="85" t="n"/>
      <c r="F213" s="86" t="n"/>
      <c r="G213" s="86" t="n"/>
      <c r="H213" s="85" t="n"/>
      <c r="I213" s="85" t="n"/>
      <c r="J213" s="85" t="n"/>
      <c r="K213" s="85" t="n"/>
      <c r="L213" s="85" t="n"/>
      <c r="M213" s="85" t="n"/>
      <c r="N213" s="85" t="n"/>
      <c r="O213" s="85" t="n"/>
      <c r="P213" s="85" t="n"/>
      <c r="Q213" s="85" t="n"/>
      <c r="R213" s="85" t="n"/>
      <c r="S213" s="85" t="n"/>
      <c r="T213" s="85" t="n"/>
      <c r="U213" s="85" t="n"/>
      <c r="V213" s="85" t="n"/>
      <c r="W213" s="85" t="n"/>
      <c r="X213" s="85" t="n"/>
      <c r="Y213" s="85" t="n"/>
      <c r="Z213" s="85" t="n"/>
      <c r="AA213" s="85" t="n"/>
      <c r="AB213" s="85" t="n"/>
      <c r="AC213" s="85" t="n"/>
      <c r="AD213" s="85" t="n"/>
      <c r="AE213" s="85" t="n"/>
      <c r="AF213" s="86" t="n"/>
      <c r="AG213" s="86" t="n"/>
      <c r="AH213" s="86" t="n"/>
      <c r="AI213" s="85" t="n"/>
      <c r="AJ213" s="85" t="n"/>
      <c r="AK213" s="85">
        <f>IF($A213="","",IF($M213&gt;0,"Yes","No"))</f>
        <v/>
      </c>
      <c r="AL213" s="85">
        <f>IF($A213="","",IF(AND($E213="Yes",OR($Y213="No",$Y213="NOT FOUND")),"YES",""))</f>
        <v/>
      </c>
      <c r="AM213" s="85">
        <f>IF($A213="","",TRIM(IF(AND($P213=0,$I213&lt;&gt;"Yes"),"T0-NoPhishResistant ","")&amp;IF($H213="No","NoMFA ","")&amp;IF(AND($P213=0,$M213&gt;0),"T0-Standing ","")&amp;IF(AND($P213=0,$Q213="Group only"),"T0-ViaGroupOnly ","")&amp;IF($W213="Yes","AlsoAzureRBAC ","")))</f>
        <v/>
      </c>
      <c r="AN213" s="85">
        <f>IF($A213="","",IF(AG213="","Not Enrolled",IF(TODAY()&gt;AG213,"Review Overdue",IF(AG213-TODAY()&lt;=30,"Review Due Soon","Active"))))</f>
        <v/>
      </c>
      <c r="AO213" s="85">
        <f>IF($A213="","",IF(AH213="","NOT REVIEWED",IF(TODAY()-AH213&gt;90,"OVERDUE",IF(TODAY()-AH213&gt;76,"Due Soon","Current"))))</f>
        <v/>
      </c>
    </row>
    <row r="214" ht="15" customHeight="1" s="39">
      <c r="A214" s="85" t="n"/>
      <c r="B214" s="85" t="n"/>
      <c r="C214" s="85" t="n"/>
      <c r="D214" s="85" t="n"/>
      <c r="E214" s="85" t="n"/>
      <c r="F214" s="86" t="n"/>
      <c r="G214" s="86" t="n"/>
      <c r="H214" s="85" t="n"/>
      <c r="I214" s="85" t="n"/>
      <c r="J214" s="85" t="n"/>
      <c r="K214" s="85" t="n"/>
      <c r="L214" s="85" t="n"/>
      <c r="M214" s="85" t="n"/>
      <c r="N214" s="85" t="n"/>
      <c r="O214" s="85" t="n"/>
      <c r="P214" s="85" t="n"/>
      <c r="Q214" s="85" t="n"/>
      <c r="R214" s="85" t="n"/>
      <c r="S214" s="85" t="n"/>
      <c r="T214" s="85" t="n"/>
      <c r="U214" s="85" t="n"/>
      <c r="V214" s="85" t="n"/>
      <c r="W214" s="85" t="n"/>
      <c r="X214" s="85" t="n"/>
      <c r="Y214" s="85" t="n"/>
      <c r="Z214" s="85" t="n"/>
      <c r="AA214" s="85" t="n"/>
      <c r="AB214" s="85" t="n"/>
      <c r="AC214" s="85" t="n"/>
      <c r="AD214" s="85" t="n"/>
      <c r="AE214" s="85" t="n"/>
      <c r="AF214" s="86" t="n"/>
      <c r="AG214" s="86" t="n"/>
      <c r="AH214" s="86" t="n"/>
      <c r="AI214" s="85" t="n"/>
      <c r="AJ214" s="85" t="n"/>
      <c r="AK214" s="85">
        <f>IF($A214="","",IF($M214&gt;0,"Yes","No"))</f>
        <v/>
      </c>
      <c r="AL214" s="85">
        <f>IF($A214="","",IF(AND($E214="Yes",OR($Y214="No",$Y214="NOT FOUND")),"YES",""))</f>
        <v/>
      </c>
      <c r="AM214" s="85">
        <f>IF($A214="","",TRIM(IF(AND($P214=0,$I214&lt;&gt;"Yes"),"T0-NoPhishResistant ","")&amp;IF($H214="No","NoMFA ","")&amp;IF(AND($P214=0,$M214&gt;0),"T0-Standing ","")&amp;IF(AND($P214=0,$Q214="Group only"),"T0-ViaGroupOnly ","")&amp;IF($W214="Yes","AlsoAzureRBAC ","")))</f>
        <v/>
      </c>
      <c r="AN214" s="85">
        <f>IF($A214="","",IF(AG214="","Not Enrolled",IF(TODAY()&gt;AG214,"Review Overdue",IF(AG214-TODAY()&lt;=30,"Review Due Soon","Active"))))</f>
        <v/>
      </c>
      <c r="AO214" s="85">
        <f>IF($A214="","",IF(AH214="","NOT REVIEWED",IF(TODAY()-AH214&gt;90,"OVERDUE",IF(TODAY()-AH214&gt;76,"Due Soon","Current"))))</f>
        <v/>
      </c>
    </row>
    <row r="215" ht="15" customHeight="1" s="39">
      <c r="A215" s="85" t="n"/>
      <c r="B215" s="85" t="n"/>
      <c r="C215" s="85" t="n"/>
      <c r="D215" s="85" t="n"/>
      <c r="E215" s="85" t="n"/>
      <c r="F215" s="86" t="n"/>
      <c r="G215" s="86" t="n"/>
      <c r="H215" s="85" t="n"/>
      <c r="I215" s="85" t="n"/>
      <c r="J215" s="85" t="n"/>
      <c r="K215" s="85" t="n"/>
      <c r="L215" s="85" t="n"/>
      <c r="M215" s="85" t="n"/>
      <c r="N215" s="85" t="n"/>
      <c r="O215" s="85" t="n"/>
      <c r="P215" s="85" t="n"/>
      <c r="Q215" s="85" t="n"/>
      <c r="R215" s="85" t="n"/>
      <c r="S215" s="85" t="n"/>
      <c r="T215" s="85" t="n"/>
      <c r="U215" s="85" t="n"/>
      <c r="V215" s="85" t="n"/>
      <c r="W215" s="85" t="n"/>
      <c r="X215" s="85" t="n"/>
      <c r="Y215" s="85" t="n"/>
      <c r="Z215" s="85" t="n"/>
      <c r="AA215" s="85" t="n"/>
      <c r="AB215" s="85" t="n"/>
      <c r="AC215" s="85" t="n"/>
      <c r="AD215" s="85" t="n"/>
      <c r="AE215" s="85" t="n"/>
      <c r="AF215" s="86" t="n"/>
      <c r="AG215" s="86" t="n"/>
      <c r="AH215" s="86" t="n"/>
      <c r="AI215" s="85" t="n"/>
      <c r="AJ215" s="85" t="n"/>
      <c r="AK215" s="85">
        <f>IF($A215="","",IF($M215&gt;0,"Yes","No"))</f>
        <v/>
      </c>
      <c r="AL215" s="85">
        <f>IF($A215="","",IF(AND($E215="Yes",OR($Y215="No",$Y215="NOT FOUND")),"YES",""))</f>
        <v/>
      </c>
      <c r="AM215" s="85">
        <f>IF($A215="","",TRIM(IF(AND($P215=0,$I215&lt;&gt;"Yes"),"T0-NoPhishResistant ","")&amp;IF($H215="No","NoMFA ","")&amp;IF(AND($P215=0,$M215&gt;0),"T0-Standing ","")&amp;IF(AND($P215=0,$Q215="Group only"),"T0-ViaGroupOnly ","")&amp;IF($W215="Yes","AlsoAzureRBAC ","")))</f>
        <v/>
      </c>
      <c r="AN215" s="85">
        <f>IF($A215="","",IF(AG215="","Not Enrolled",IF(TODAY()&gt;AG215,"Review Overdue",IF(AG215-TODAY()&lt;=30,"Review Due Soon","Active"))))</f>
        <v/>
      </c>
      <c r="AO215" s="85">
        <f>IF($A215="","",IF(AH215="","NOT REVIEWED",IF(TODAY()-AH215&gt;90,"OVERDUE",IF(TODAY()-AH215&gt;76,"Due Soon","Current"))))</f>
        <v/>
      </c>
    </row>
    <row r="216" ht="15" customHeight="1" s="39">
      <c r="A216" s="85" t="n"/>
      <c r="B216" s="85" t="n"/>
      <c r="C216" s="85" t="n"/>
      <c r="D216" s="85" t="n"/>
      <c r="E216" s="85" t="n"/>
      <c r="F216" s="86" t="n"/>
      <c r="G216" s="86" t="n"/>
      <c r="H216" s="85" t="n"/>
      <c r="I216" s="85" t="n"/>
      <c r="J216" s="85" t="n"/>
      <c r="K216" s="85" t="n"/>
      <c r="L216" s="85" t="n"/>
      <c r="M216" s="85" t="n"/>
      <c r="N216" s="85" t="n"/>
      <c r="O216" s="85" t="n"/>
      <c r="P216" s="85" t="n"/>
      <c r="Q216" s="85" t="n"/>
      <c r="R216" s="85" t="n"/>
      <c r="S216" s="85" t="n"/>
      <c r="T216" s="85" t="n"/>
      <c r="U216" s="85" t="n"/>
      <c r="V216" s="85" t="n"/>
      <c r="W216" s="85" t="n"/>
      <c r="X216" s="85" t="n"/>
      <c r="Y216" s="85" t="n"/>
      <c r="Z216" s="85" t="n"/>
      <c r="AA216" s="85" t="n"/>
      <c r="AB216" s="85" t="n"/>
      <c r="AC216" s="85" t="n"/>
      <c r="AD216" s="85" t="n"/>
      <c r="AE216" s="85" t="n"/>
      <c r="AF216" s="86" t="n"/>
      <c r="AG216" s="86" t="n"/>
      <c r="AH216" s="86" t="n"/>
      <c r="AI216" s="85" t="n"/>
      <c r="AJ216" s="85" t="n"/>
      <c r="AK216" s="85">
        <f>IF($A216="","",IF($M216&gt;0,"Yes","No"))</f>
        <v/>
      </c>
      <c r="AL216" s="85">
        <f>IF($A216="","",IF(AND($E216="Yes",OR($Y216="No",$Y216="NOT FOUND")),"YES",""))</f>
        <v/>
      </c>
      <c r="AM216" s="85">
        <f>IF($A216="","",TRIM(IF(AND($P216=0,$I216&lt;&gt;"Yes"),"T0-NoPhishResistant ","")&amp;IF($H216="No","NoMFA ","")&amp;IF(AND($P216=0,$M216&gt;0),"T0-Standing ","")&amp;IF(AND($P216=0,$Q216="Group only"),"T0-ViaGroupOnly ","")&amp;IF($W216="Yes","AlsoAzureRBAC ","")))</f>
        <v/>
      </c>
      <c r="AN216" s="85">
        <f>IF($A216="","",IF(AG216="","Not Enrolled",IF(TODAY()&gt;AG216,"Review Overdue",IF(AG216-TODAY()&lt;=30,"Review Due Soon","Active"))))</f>
        <v/>
      </c>
      <c r="AO216" s="85">
        <f>IF($A216="","",IF(AH216="","NOT REVIEWED",IF(TODAY()-AH216&gt;90,"OVERDUE",IF(TODAY()-AH216&gt;76,"Due Soon","Current"))))</f>
        <v/>
      </c>
    </row>
    <row r="217" ht="15" customHeight="1" s="39">
      <c r="A217" s="85" t="n"/>
      <c r="B217" s="85" t="n"/>
      <c r="C217" s="85" t="n"/>
      <c r="D217" s="85" t="n"/>
      <c r="E217" s="85" t="n"/>
      <c r="F217" s="86" t="n"/>
      <c r="G217" s="86" t="n"/>
      <c r="H217" s="85" t="n"/>
      <c r="I217" s="85" t="n"/>
      <c r="J217" s="85" t="n"/>
      <c r="K217" s="85" t="n"/>
      <c r="L217" s="85" t="n"/>
      <c r="M217" s="85" t="n"/>
      <c r="N217" s="85" t="n"/>
      <c r="O217" s="85" t="n"/>
      <c r="P217" s="85" t="n"/>
      <c r="Q217" s="85" t="n"/>
      <c r="R217" s="85" t="n"/>
      <c r="S217" s="85" t="n"/>
      <c r="T217" s="85" t="n"/>
      <c r="U217" s="85" t="n"/>
      <c r="V217" s="85" t="n"/>
      <c r="W217" s="85" t="n"/>
      <c r="X217" s="85" t="n"/>
      <c r="Y217" s="85" t="n"/>
      <c r="Z217" s="85" t="n"/>
      <c r="AA217" s="85" t="n"/>
      <c r="AB217" s="85" t="n"/>
      <c r="AC217" s="85" t="n"/>
      <c r="AD217" s="85" t="n"/>
      <c r="AE217" s="85" t="n"/>
      <c r="AF217" s="86" t="n"/>
      <c r="AG217" s="86" t="n"/>
      <c r="AH217" s="86" t="n"/>
      <c r="AI217" s="85" t="n"/>
      <c r="AJ217" s="85" t="n"/>
      <c r="AK217" s="85">
        <f>IF($A217="","",IF($M217&gt;0,"Yes","No"))</f>
        <v/>
      </c>
      <c r="AL217" s="85">
        <f>IF($A217="","",IF(AND($E217="Yes",OR($Y217="No",$Y217="NOT FOUND")),"YES",""))</f>
        <v/>
      </c>
      <c r="AM217" s="85">
        <f>IF($A217="","",TRIM(IF(AND($P217=0,$I217&lt;&gt;"Yes"),"T0-NoPhishResistant ","")&amp;IF($H217="No","NoMFA ","")&amp;IF(AND($P217=0,$M217&gt;0),"T0-Standing ","")&amp;IF(AND($P217=0,$Q217="Group only"),"T0-ViaGroupOnly ","")&amp;IF($W217="Yes","AlsoAzureRBAC ","")))</f>
        <v/>
      </c>
      <c r="AN217" s="85">
        <f>IF($A217="","",IF(AG217="","Not Enrolled",IF(TODAY()&gt;AG217,"Review Overdue",IF(AG217-TODAY()&lt;=30,"Review Due Soon","Active"))))</f>
        <v/>
      </c>
      <c r="AO217" s="85">
        <f>IF($A217="","",IF(AH217="","NOT REVIEWED",IF(TODAY()-AH217&gt;90,"OVERDUE",IF(TODAY()-AH217&gt;76,"Due Soon","Current"))))</f>
        <v/>
      </c>
    </row>
    <row r="218" ht="15" customHeight="1" s="39">
      <c r="A218" s="85" t="n"/>
      <c r="B218" s="85" t="n"/>
      <c r="C218" s="85" t="n"/>
      <c r="D218" s="85" t="n"/>
      <c r="E218" s="85" t="n"/>
      <c r="F218" s="86" t="n"/>
      <c r="G218" s="86" t="n"/>
      <c r="H218" s="85" t="n"/>
      <c r="I218" s="85" t="n"/>
      <c r="J218" s="85" t="n"/>
      <c r="K218" s="85" t="n"/>
      <c r="L218" s="85" t="n"/>
      <c r="M218" s="85" t="n"/>
      <c r="N218" s="85" t="n"/>
      <c r="O218" s="85" t="n"/>
      <c r="P218" s="85" t="n"/>
      <c r="Q218" s="85" t="n"/>
      <c r="R218" s="85" t="n"/>
      <c r="S218" s="85" t="n"/>
      <c r="T218" s="85" t="n"/>
      <c r="U218" s="85" t="n"/>
      <c r="V218" s="85" t="n"/>
      <c r="W218" s="85" t="n"/>
      <c r="X218" s="85" t="n"/>
      <c r="Y218" s="85" t="n"/>
      <c r="Z218" s="85" t="n"/>
      <c r="AA218" s="85" t="n"/>
      <c r="AB218" s="85" t="n"/>
      <c r="AC218" s="85" t="n"/>
      <c r="AD218" s="85" t="n"/>
      <c r="AE218" s="85" t="n"/>
      <c r="AF218" s="86" t="n"/>
      <c r="AG218" s="86" t="n"/>
      <c r="AH218" s="86" t="n"/>
      <c r="AI218" s="85" t="n"/>
      <c r="AJ218" s="85" t="n"/>
      <c r="AK218" s="85">
        <f>IF($A218="","",IF($M218&gt;0,"Yes","No"))</f>
        <v/>
      </c>
      <c r="AL218" s="85">
        <f>IF($A218="","",IF(AND($E218="Yes",OR($Y218="No",$Y218="NOT FOUND")),"YES",""))</f>
        <v/>
      </c>
      <c r="AM218" s="85">
        <f>IF($A218="","",TRIM(IF(AND($P218=0,$I218&lt;&gt;"Yes"),"T0-NoPhishResistant ","")&amp;IF($H218="No","NoMFA ","")&amp;IF(AND($P218=0,$M218&gt;0),"T0-Standing ","")&amp;IF(AND($P218=0,$Q218="Group only"),"T0-ViaGroupOnly ","")&amp;IF($W218="Yes","AlsoAzureRBAC ","")))</f>
        <v/>
      </c>
      <c r="AN218" s="85">
        <f>IF($A218="","",IF(AG218="","Not Enrolled",IF(TODAY()&gt;AG218,"Review Overdue",IF(AG218-TODAY()&lt;=30,"Review Due Soon","Active"))))</f>
        <v/>
      </c>
      <c r="AO218" s="85">
        <f>IF($A218="","",IF(AH218="","NOT REVIEWED",IF(TODAY()-AH218&gt;90,"OVERDUE",IF(TODAY()-AH218&gt;76,"Due Soon","Current"))))</f>
        <v/>
      </c>
    </row>
    <row r="219" ht="15" customHeight="1" s="39">
      <c r="A219" s="85" t="n"/>
      <c r="B219" s="85" t="n"/>
      <c r="C219" s="85" t="n"/>
      <c r="D219" s="85" t="n"/>
      <c r="E219" s="85" t="n"/>
      <c r="F219" s="86" t="n"/>
      <c r="G219" s="86" t="n"/>
      <c r="H219" s="85" t="n"/>
      <c r="I219" s="85" t="n"/>
      <c r="J219" s="85" t="n"/>
      <c r="K219" s="85" t="n"/>
      <c r="L219" s="85" t="n"/>
      <c r="M219" s="85" t="n"/>
      <c r="N219" s="85" t="n"/>
      <c r="O219" s="85" t="n"/>
      <c r="P219" s="85" t="n"/>
      <c r="Q219" s="85" t="n"/>
      <c r="R219" s="85" t="n"/>
      <c r="S219" s="85" t="n"/>
      <c r="T219" s="85" t="n"/>
      <c r="U219" s="85" t="n"/>
      <c r="V219" s="85" t="n"/>
      <c r="W219" s="85" t="n"/>
      <c r="X219" s="85" t="n"/>
      <c r="Y219" s="85" t="n"/>
      <c r="Z219" s="85" t="n"/>
      <c r="AA219" s="85" t="n"/>
      <c r="AB219" s="85" t="n"/>
      <c r="AC219" s="85" t="n"/>
      <c r="AD219" s="85" t="n"/>
      <c r="AE219" s="85" t="n"/>
      <c r="AF219" s="86" t="n"/>
      <c r="AG219" s="86" t="n"/>
      <c r="AH219" s="86" t="n"/>
      <c r="AI219" s="85" t="n"/>
      <c r="AJ219" s="85" t="n"/>
      <c r="AK219" s="85">
        <f>IF($A219="","",IF($M219&gt;0,"Yes","No"))</f>
        <v/>
      </c>
      <c r="AL219" s="85">
        <f>IF($A219="","",IF(AND($E219="Yes",OR($Y219="No",$Y219="NOT FOUND")),"YES",""))</f>
        <v/>
      </c>
      <c r="AM219" s="85">
        <f>IF($A219="","",TRIM(IF(AND($P219=0,$I219&lt;&gt;"Yes"),"T0-NoPhishResistant ","")&amp;IF($H219="No","NoMFA ","")&amp;IF(AND($P219=0,$M219&gt;0),"T0-Standing ","")&amp;IF(AND($P219=0,$Q219="Group only"),"T0-ViaGroupOnly ","")&amp;IF($W219="Yes","AlsoAzureRBAC ","")))</f>
        <v/>
      </c>
      <c r="AN219" s="85">
        <f>IF($A219="","",IF(AG219="","Not Enrolled",IF(TODAY()&gt;AG219,"Review Overdue",IF(AG219-TODAY()&lt;=30,"Review Due Soon","Active"))))</f>
        <v/>
      </c>
      <c r="AO219" s="85">
        <f>IF($A219="","",IF(AH219="","NOT REVIEWED",IF(TODAY()-AH219&gt;90,"OVERDUE",IF(TODAY()-AH219&gt;76,"Due Soon","Current"))))</f>
        <v/>
      </c>
    </row>
    <row r="220" ht="15" customHeight="1" s="39">
      <c r="A220" s="85" t="n"/>
      <c r="B220" s="85" t="n"/>
      <c r="C220" s="85" t="n"/>
      <c r="D220" s="85" t="n"/>
      <c r="E220" s="85" t="n"/>
      <c r="F220" s="86" t="n"/>
      <c r="G220" s="86" t="n"/>
      <c r="H220" s="85" t="n"/>
      <c r="I220" s="85" t="n"/>
      <c r="J220" s="85" t="n"/>
      <c r="K220" s="85" t="n"/>
      <c r="L220" s="85" t="n"/>
      <c r="M220" s="85" t="n"/>
      <c r="N220" s="85" t="n"/>
      <c r="O220" s="85" t="n"/>
      <c r="P220" s="85" t="n"/>
      <c r="Q220" s="85" t="n"/>
      <c r="R220" s="85" t="n"/>
      <c r="S220" s="85" t="n"/>
      <c r="T220" s="85" t="n"/>
      <c r="U220" s="85" t="n"/>
      <c r="V220" s="85" t="n"/>
      <c r="W220" s="85" t="n"/>
      <c r="X220" s="85" t="n"/>
      <c r="Y220" s="85" t="n"/>
      <c r="Z220" s="85" t="n"/>
      <c r="AA220" s="85" t="n"/>
      <c r="AB220" s="85" t="n"/>
      <c r="AC220" s="85" t="n"/>
      <c r="AD220" s="85" t="n"/>
      <c r="AE220" s="85" t="n"/>
      <c r="AF220" s="86" t="n"/>
      <c r="AG220" s="86" t="n"/>
      <c r="AH220" s="86" t="n"/>
      <c r="AI220" s="85" t="n"/>
      <c r="AJ220" s="85" t="n"/>
      <c r="AK220" s="85">
        <f>IF($A220="","",IF($M220&gt;0,"Yes","No"))</f>
        <v/>
      </c>
      <c r="AL220" s="85">
        <f>IF($A220="","",IF(AND($E220="Yes",OR($Y220="No",$Y220="NOT FOUND")),"YES",""))</f>
        <v/>
      </c>
      <c r="AM220" s="85">
        <f>IF($A220="","",TRIM(IF(AND($P220=0,$I220&lt;&gt;"Yes"),"T0-NoPhishResistant ","")&amp;IF($H220="No","NoMFA ","")&amp;IF(AND($P220=0,$M220&gt;0),"T0-Standing ","")&amp;IF(AND($P220=0,$Q220="Group only"),"T0-ViaGroupOnly ","")&amp;IF($W220="Yes","AlsoAzureRBAC ","")))</f>
        <v/>
      </c>
      <c r="AN220" s="85">
        <f>IF($A220="","",IF(AG220="","Not Enrolled",IF(TODAY()&gt;AG220,"Review Overdue",IF(AG220-TODAY()&lt;=30,"Review Due Soon","Active"))))</f>
        <v/>
      </c>
      <c r="AO220" s="85">
        <f>IF($A220="","",IF(AH220="","NOT REVIEWED",IF(TODAY()-AH220&gt;90,"OVERDUE",IF(TODAY()-AH220&gt;76,"Due Soon","Current"))))</f>
        <v/>
      </c>
    </row>
    <row r="221" ht="15" customHeight="1" s="39">
      <c r="A221" s="85" t="n"/>
      <c r="B221" s="85" t="n"/>
      <c r="C221" s="85" t="n"/>
      <c r="D221" s="85" t="n"/>
      <c r="E221" s="85" t="n"/>
      <c r="F221" s="86" t="n"/>
      <c r="G221" s="86" t="n"/>
      <c r="H221" s="85" t="n"/>
      <c r="I221" s="85" t="n"/>
      <c r="J221" s="85" t="n"/>
      <c r="K221" s="85" t="n"/>
      <c r="L221" s="85" t="n"/>
      <c r="M221" s="85" t="n"/>
      <c r="N221" s="85" t="n"/>
      <c r="O221" s="85" t="n"/>
      <c r="P221" s="85" t="n"/>
      <c r="Q221" s="85" t="n"/>
      <c r="R221" s="85" t="n"/>
      <c r="S221" s="85" t="n"/>
      <c r="T221" s="85" t="n"/>
      <c r="U221" s="85" t="n"/>
      <c r="V221" s="85" t="n"/>
      <c r="W221" s="85" t="n"/>
      <c r="X221" s="85" t="n"/>
      <c r="Y221" s="85" t="n"/>
      <c r="Z221" s="85" t="n"/>
      <c r="AA221" s="85" t="n"/>
      <c r="AB221" s="85" t="n"/>
      <c r="AC221" s="85" t="n"/>
      <c r="AD221" s="85" t="n"/>
      <c r="AE221" s="85" t="n"/>
      <c r="AF221" s="86" t="n"/>
      <c r="AG221" s="86" t="n"/>
      <c r="AH221" s="86" t="n"/>
      <c r="AI221" s="85" t="n"/>
      <c r="AJ221" s="85" t="n"/>
      <c r="AK221" s="85">
        <f>IF($A221="","",IF($M221&gt;0,"Yes","No"))</f>
        <v/>
      </c>
      <c r="AL221" s="85">
        <f>IF($A221="","",IF(AND($E221="Yes",OR($Y221="No",$Y221="NOT FOUND")),"YES",""))</f>
        <v/>
      </c>
      <c r="AM221" s="85">
        <f>IF($A221="","",TRIM(IF(AND($P221=0,$I221&lt;&gt;"Yes"),"T0-NoPhishResistant ","")&amp;IF($H221="No","NoMFA ","")&amp;IF(AND($P221=0,$M221&gt;0),"T0-Standing ","")&amp;IF(AND($P221=0,$Q221="Group only"),"T0-ViaGroupOnly ","")&amp;IF($W221="Yes","AlsoAzureRBAC ","")))</f>
        <v/>
      </c>
      <c r="AN221" s="85">
        <f>IF($A221="","",IF(AG221="","Not Enrolled",IF(TODAY()&gt;AG221,"Review Overdue",IF(AG221-TODAY()&lt;=30,"Review Due Soon","Active"))))</f>
        <v/>
      </c>
      <c r="AO221" s="85">
        <f>IF($A221="","",IF(AH221="","NOT REVIEWED",IF(TODAY()-AH221&gt;90,"OVERDUE",IF(TODAY()-AH221&gt;76,"Due Soon","Current"))))</f>
        <v/>
      </c>
    </row>
    <row r="222" ht="15" customHeight="1" s="39">
      <c r="A222" s="85" t="n"/>
      <c r="B222" s="85" t="n"/>
      <c r="C222" s="85" t="n"/>
      <c r="D222" s="85" t="n"/>
      <c r="E222" s="85" t="n"/>
      <c r="F222" s="86" t="n"/>
      <c r="G222" s="86" t="n"/>
      <c r="H222" s="85" t="n"/>
      <c r="I222" s="85" t="n"/>
      <c r="J222" s="85" t="n"/>
      <c r="K222" s="85" t="n"/>
      <c r="L222" s="85" t="n"/>
      <c r="M222" s="85" t="n"/>
      <c r="N222" s="85" t="n"/>
      <c r="O222" s="85" t="n"/>
      <c r="P222" s="85" t="n"/>
      <c r="Q222" s="85" t="n"/>
      <c r="R222" s="85" t="n"/>
      <c r="S222" s="85" t="n"/>
      <c r="T222" s="85" t="n"/>
      <c r="U222" s="85" t="n"/>
      <c r="V222" s="85" t="n"/>
      <c r="W222" s="85" t="n"/>
      <c r="X222" s="85" t="n"/>
      <c r="Y222" s="85" t="n"/>
      <c r="Z222" s="85" t="n"/>
      <c r="AA222" s="85" t="n"/>
      <c r="AB222" s="85" t="n"/>
      <c r="AC222" s="85" t="n"/>
      <c r="AD222" s="85" t="n"/>
      <c r="AE222" s="85" t="n"/>
      <c r="AF222" s="86" t="n"/>
      <c r="AG222" s="86" t="n"/>
      <c r="AH222" s="86" t="n"/>
      <c r="AI222" s="85" t="n"/>
      <c r="AJ222" s="85" t="n"/>
      <c r="AK222" s="85">
        <f>IF($A222="","",IF($M222&gt;0,"Yes","No"))</f>
        <v/>
      </c>
      <c r="AL222" s="85">
        <f>IF($A222="","",IF(AND($E222="Yes",OR($Y222="No",$Y222="NOT FOUND")),"YES",""))</f>
        <v/>
      </c>
      <c r="AM222" s="85">
        <f>IF($A222="","",TRIM(IF(AND($P222=0,$I222&lt;&gt;"Yes"),"T0-NoPhishResistant ","")&amp;IF($H222="No","NoMFA ","")&amp;IF(AND($P222=0,$M222&gt;0),"T0-Standing ","")&amp;IF(AND($P222=0,$Q222="Group only"),"T0-ViaGroupOnly ","")&amp;IF($W222="Yes","AlsoAzureRBAC ","")))</f>
        <v/>
      </c>
      <c r="AN222" s="85">
        <f>IF($A222="","",IF(AG222="","Not Enrolled",IF(TODAY()&gt;AG222,"Review Overdue",IF(AG222-TODAY()&lt;=30,"Review Due Soon","Active"))))</f>
        <v/>
      </c>
      <c r="AO222" s="85">
        <f>IF($A222="","",IF(AH222="","NOT REVIEWED",IF(TODAY()-AH222&gt;90,"OVERDUE",IF(TODAY()-AH222&gt;76,"Due Soon","Current"))))</f>
        <v/>
      </c>
    </row>
    <row r="223" ht="15" customHeight="1" s="39">
      <c r="A223" s="85" t="n"/>
      <c r="B223" s="85" t="n"/>
      <c r="C223" s="85" t="n"/>
      <c r="D223" s="85" t="n"/>
      <c r="E223" s="85" t="n"/>
      <c r="F223" s="86" t="n"/>
      <c r="G223" s="86" t="n"/>
      <c r="H223" s="85" t="n"/>
      <c r="I223" s="85" t="n"/>
      <c r="J223" s="85" t="n"/>
      <c r="K223" s="85" t="n"/>
      <c r="L223" s="85" t="n"/>
      <c r="M223" s="85" t="n"/>
      <c r="N223" s="85" t="n"/>
      <c r="O223" s="85" t="n"/>
      <c r="P223" s="85" t="n"/>
      <c r="Q223" s="85" t="n"/>
      <c r="R223" s="85" t="n"/>
      <c r="S223" s="85" t="n"/>
      <c r="T223" s="85" t="n"/>
      <c r="U223" s="85" t="n"/>
      <c r="V223" s="85" t="n"/>
      <c r="W223" s="85" t="n"/>
      <c r="X223" s="85" t="n"/>
      <c r="Y223" s="85" t="n"/>
      <c r="Z223" s="85" t="n"/>
      <c r="AA223" s="85" t="n"/>
      <c r="AB223" s="85" t="n"/>
      <c r="AC223" s="85" t="n"/>
      <c r="AD223" s="85" t="n"/>
      <c r="AE223" s="85" t="n"/>
      <c r="AF223" s="86" t="n"/>
      <c r="AG223" s="86" t="n"/>
      <c r="AH223" s="86" t="n"/>
      <c r="AI223" s="85" t="n"/>
      <c r="AJ223" s="85" t="n"/>
      <c r="AK223" s="85">
        <f>IF($A223="","",IF($M223&gt;0,"Yes","No"))</f>
        <v/>
      </c>
      <c r="AL223" s="85">
        <f>IF($A223="","",IF(AND($E223="Yes",OR($Y223="No",$Y223="NOT FOUND")),"YES",""))</f>
        <v/>
      </c>
      <c r="AM223" s="85">
        <f>IF($A223="","",TRIM(IF(AND($P223=0,$I223&lt;&gt;"Yes"),"T0-NoPhishResistant ","")&amp;IF($H223="No","NoMFA ","")&amp;IF(AND($P223=0,$M223&gt;0),"T0-Standing ","")&amp;IF(AND($P223=0,$Q223="Group only"),"T0-ViaGroupOnly ","")&amp;IF($W223="Yes","AlsoAzureRBAC ","")))</f>
        <v/>
      </c>
      <c r="AN223" s="85">
        <f>IF($A223="","",IF(AG223="","Not Enrolled",IF(TODAY()&gt;AG223,"Review Overdue",IF(AG223-TODAY()&lt;=30,"Review Due Soon","Active"))))</f>
        <v/>
      </c>
      <c r="AO223" s="85">
        <f>IF($A223="","",IF(AH223="","NOT REVIEWED",IF(TODAY()-AH223&gt;90,"OVERDUE",IF(TODAY()-AH223&gt;76,"Due Soon","Current"))))</f>
        <v/>
      </c>
    </row>
    <row r="224" ht="15" customHeight="1" s="39">
      <c r="A224" s="85" t="n"/>
      <c r="B224" s="85" t="n"/>
      <c r="C224" s="85" t="n"/>
      <c r="D224" s="85" t="n"/>
      <c r="E224" s="85" t="n"/>
      <c r="F224" s="86" t="n"/>
      <c r="G224" s="86" t="n"/>
      <c r="H224" s="85" t="n"/>
      <c r="I224" s="85" t="n"/>
      <c r="J224" s="85" t="n"/>
      <c r="K224" s="85" t="n"/>
      <c r="L224" s="85" t="n"/>
      <c r="M224" s="85" t="n"/>
      <c r="N224" s="85" t="n"/>
      <c r="O224" s="85" t="n"/>
      <c r="P224" s="85" t="n"/>
      <c r="Q224" s="85" t="n"/>
      <c r="R224" s="85" t="n"/>
      <c r="S224" s="85" t="n"/>
      <c r="T224" s="85" t="n"/>
      <c r="U224" s="85" t="n"/>
      <c r="V224" s="85" t="n"/>
      <c r="W224" s="85" t="n"/>
      <c r="X224" s="85" t="n"/>
      <c r="Y224" s="85" t="n"/>
      <c r="Z224" s="85" t="n"/>
      <c r="AA224" s="85" t="n"/>
      <c r="AB224" s="85" t="n"/>
      <c r="AC224" s="85" t="n"/>
      <c r="AD224" s="85" t="n"/>
      <c r="AE224" s="85" t="n"/>
      <c r="AF224" s="86" t="n"/>
      <c r="AG224" s="86" t="n"/>
      <c r="AH224" s="86" t="n"/>
      <c r="AI224" s="85" t="n"/>
      <c r="AJ224" s="85" t="n"/>
      <c r="AK224" s="85">
        <f>IF($A224="","",IF($M224&gt;0,"Yes","No"))</f>
        <v/>
      </c>
      <c r="AL224" s="85">
        <f>IF($A224="","",IF(AND($E224="Yes",OR($Y224="No",$Y224="NOT FOUND")),"YES",""))</f>
        <v/>
      </c>
      <c r="AM224" s="85">
        <f>IF($A224="","",TRIM(IF(AND($P224=0,$I224&lt;&gt;"Yes"),"T0-NoPhishResistant ","")&amp;IF($H224="No","NoMFA ","")&amp;IF(AND($P224=0,$M224&gt;0),"T0-Standing ","")&amp;IF(AND($P224=0,$Q224="Group only"),"T0-ViaGroupOnly ","")&amp;IF($W224="Yes","AlsoAzureRBAC ","")))</f>
        <v/>
      </c>
      <c r="AN224" s="85">
        <f>IF($A224="","",IF(AG224="","Not Enrolled",IF(TODAY()&gt;AG224,"Review Overdue",IF(AG224-TODAY()&lt;=30,"Review Due Soon","Active"))))</f>
        <v/>
      </c>
      <c r="AO224" s="85">
        <f>IF($A224="","",IF(AH224="","NOT REVIEWED",IF(TODAY()-AH224&gt;90,"OVERDUE",IF(TODAY()-AH224&gt;76,"Due Soon","Current"))))</f>
        <v/>
      </c>
    </row>
    <row r="225" ht="15" customHeight="1" s="39">
      <c r="A225" s="85" t="n"/>
      <c r="B225" s="85" t="n"/>
      <c r="C225" s="85" t="n"/>
      <c r="D225" s="85" t="n"/>
      <c r="E225" s="85" t="n"/>
      <c r="F225" s="86" t="n"/>
      <c r="G225" s="86" t="n"/>
      <c r="H225" s="85" t="n"/>
      <c r="I225" s="85" t="n"/>
      <c r="J225" s="85" t="n"/>
      <c r="K225" s="85" t="n"/>
      <c r="L225" s="85" t="n"/>
      <c r="M225" s="85" t="n"/>
      <c r="N225" s="85" t="n"/>
      <c r="O225" s="85" t="n"/>
      <c r="P225" s="85" t="n"/>
      <c r="Q225" s="85" t="n"/>
      <c r="R225" s="85" t="n"/>
      <c r="S225" s="85" t="n"/>
      <c r="T225" s="85" t="n"/>
      <c r="U225" s="85" t="n"/>
      <c r="V225" s="85" t="n"/>
      <c r="W225" s="85" t="n"/>
      <c r="X225" s="85" t="n"/>
      <c r="Y225" s="85" t="n"/>
      <c r="Z225" s="85" t="n"/>
      <c r="AA225" s="85" t="n"/>
      <c r="AB225" s="85" t="n"/>
      <c r="AC225" s="85" t="n"/>
      <c r="AD225" s="85" t="n"/>
      <c r="AE225" s="85" t="n"/>
      <c r="AF225" s="86" t="n"/>
      <c r="AG225" s="86" t="n"/>
      <c r="AH225" s="86" t="n"/>
      <c r="AI225" s="85" t="n"/>
      <c r="AJ225" s="85" t="n"/>
      <c r="AK225" s="85">
        <f>IF($A225="","",IF($M225&gt;0,"Yes","No"))</f>
        <v/>
      </c>
      <c r="AL225" s="85">
        <f>IF($A225="","",IF(AND($E225="Yes",OR($Y225="No",$Y225="NOT FOUND")),"YES",""))</f>
        <v/>
      </c>
      <c r="AM225" s="85">
        <f>IF($A225="","",TRIM(IF(AND($P225=0,$I225&lt;&gt;"Yes"),"T0-NoPhishResistant ","")&amp;IF($H225="No","NoMFA ","")&amp;IF(AND($P225=0,$M225&gt;0),"T0-Standing ","")&amp;IF(AND($P225=0,$Q225="Group only"),"T0-ViaGroupOnly ","")&amp;IF($W225="Yes","AlsoAzureRBAC ","")))</f>
        <v/>
      </c>
      <c r="AN225" s="85">
        <f>IF($A225="","",IF(AG225="","Not Enrolled",IF(TODAY()&gt;AG225,"Review Overdue",IF(AG225-TODAY()&lt;=30,"Review Due Soon","Active"))))</f>
        <v/>
      </c>
      <c r="AO225" s="85">
        <f>IF($A225="","",IF(AH225="","NOT REVIEWED",IF(TODAY()-AH225&gt;90,"OVERDUE",IF(TODAY()-AH225&gt;76,"Due Soon","Current"))))</f>
        <v/>
      </c>
    </row>
    <row r="226" ht="15" customHeight="1" s="39">
      <c r="A226" s="85" t="n"/>
      <c r="B226" s="85" t="n"/>
      <c r="C226" s="85" t="n"/>
      <c r="D226" s="85" t="n"/>
      <c r="E226" s="85" t="n"/>
      <c r="F226" s="86" t="n"/>
      <c r="G226" s="86" t="n"/>
      <c r="H226" s="85" t="n"/>
      <c r="I226" s="85" t="n"/>
      <c r="J226" s="85" t="n"/>
      <c r="K226" s="85" t="n"/>
      <c r="L226" s="85" t="n"/>
      <c r="M226" s="85" t="n"/>
      <c r="N226" s="85" t="n"/>
      <c r="O226" s="85" t="n"/>
      <c r="P226" s="85" t="n"/>
      <c r="Q226" s="85" t="n"/>
      <c r="R226" s="85" t="n"/>
      <c r="S226" s="85" t="n"/>
      <c r="T226" s="85" t="n"/>
      <c r="U226" s="85" t="n"/>
      <c r="V226" s="85" t="n"/>
      <c r="W226" s="85" t="n"/>
      <c r="X226" s="85" t="n"/>
      <c r="Y226" s="85" t="n"/>
      <c r="Z226" s="85" t="n"/>
      <c r="AA226" s="85" t="n"/>
      <c r="AB226" s="85" t="n"/>
      <c r="AC226" s="85" t="n"/>
      <c r="AD226" s="85" t="n"/>
      <c r="AE226" s="85" t="n"/>
      <c r="AF226" s="86" t="n"/>
      <c r="AG226" s="86" t="n"/>
      <c r="AH226" s="86" t="n"/>
      <c r="AI226" s="85" t="n"/>
      <c r="AJ226" s="85" t="n"/>
      <c r="AK226" s="85">
        <f>IF($A226="","",IF($M226&gt;0,"Yes","No"))</f>
        <v/>
      </c>
      <c r="AL226" s="85">
        <f>IF($A226="","",IF(AND($E226="Yes",OR($Y226="No",$Y226="NOT FOUND")),"YES",""))</f>
        <v/>
      </c>
      <c r="AM226" s="85">
        <f>IF($A226="","",TRIM(IF(AND($P226=0,$I226&lt;&gt;"Yes"),"T0-NoPhishResistant ","")&amp;IF($H226="No","NoMFA ","")&amp;IF(AND($P226=0,$M226&gt;0),"T0-Standing ","")&amp;IF(AND($P226=0,$Q226="Group only"),"T0-ViaGroupOnly ","")&amp;IF($W226="Yes","AlsoAzureRBAC ","")))</f>
        <v/>
      </c>
      <c r="AN226" s="85">
        <f>IF($A226="","",IF(AG226="","Not Enrolled",IF(TODAY()&gt;AG226,"Review Overdue",IF(AG226-TODAY()&lt;=30,"Review Due Soon","Active"))))</f>
        <v/>
      </c>
      <c r="AO226" s="85">
        <f>IF($A226="","",IF(AH226="","NOT REVIEWED",IF(TODAY()-AH226&gt;90,"OVERDUE",IF(TODAY()-AH226&gt;76,"Due Soon","Current"))))</f>
        <v/>
      </c>
    </row>
    <row r="227" ht="15" customHeight="1" s="39">
      <c r="A227" s="85" t="n"/>
      <c r="B227" s="85" t="n"/>
      <c r="C227" s="85" t="n"/>
      <c r="D227" s="85" t="n"/>
      <c r="E227" s="85" t="n"/>
      <c r="F227" s="86" t="n"/>
      <c r="G227" s="86" t="n"/>
      <c r="H227" s="85" t="n"/>
      <c r="I227" s="85" t="n"/>
      <c r="J227" s="85" t="n"/>
      <c r="K227" s="85" t="n"/>
      <c r="L227" s="85" t="n"/>
      <c r="M227" s="85" t="n"/>
      <c r="N227" s="85" t="n"/>
      <c r="O227" s="85" t="n"/>
      <c r="P227" s="85" t="n"/>
      <c r="Q227" s="85" t="n"/>
      <c r="R227" s="85" t="n"/>
      <c r="S227" s="85" t="n"/>
      <c r="T227" s="85" t="n"/>
      <c r="U227" s="85" t="n"/>
      <c r="V227" s="85" t="n"/>
      <c r="W227" s="85" t="n"/>
      <c r="X227" s="85" t="n"/>
      <c r="Y227" s="85" t="n"/>
      <c r="Z227" s="85" t="n"/>
      <c r="AA227" s="85" t="n"/>
      <c r="AB227" s="85" t="n"/>
      <c r="AC227" s="85" t="n"/>
      <c r="AD227" s="85" t="n"/>
      <c r="AE227" s="85" t="n"/>
      <c r="AF227" s="86" t="n"/>
      <c r="AG227" s="86" t="n"/>
      <c r="AH227" s="86" t="n"/>
      <c r="AI227" s="85" t="n"/>
      <c r="AJ227" s="85" t="n"/>
      <c r="AK227" s="85">
        <f>IF($A227="","",IF($M227&gt;0,"Yes","No"))</f>
        <v/>
      </c>
      <c r="AL227" s="85">
        <f>IF($A227="","",IF(AND($E227="Yes",OR($Y227="No",$Y227="NOT FOUND")),"YES",""))</f>
        <v/>
      </c>
      <c r="AM227" s="85">
        <f>IF($A227="","",TRIM(IF(AND($P227=0,$I227&lt;&gt;"Yes"),"T0-NoPhishResistant ","")&amp;IF($H227="No","NoMFA ","")&amp;IF(AND($P227=0,$M227&gt;0),"T0-Standing ","")&amp;IF(AND($P227=0,$Q227="Group only"),"T0-ViaGroupOnly ","")&amp;IF($W227="Yes","AlsoAzureRBAC ","")))</f>
        <v/>
      </c>
      <c r="AN227" s="85">
        <f>IF($A227="","",IF(AG227="","Not Enrolled",IF(TODAY()&gt;AG227,"Review Overdue",IF(AG227-TODAY()&lt;=30,"Review Due Soon","Active"))))</f>
        <v/>
      </c>
      <c r="AO227" s="85">
        <f>IF($A227="","",IF(AH227="","NOT REVIEWED",IF(TODAY()-AH227&gt;90,"OVERDUE",IF(TODAY()-AH227&gt;76,"Due Soon","Current"))))</f>
        <v/>
      </c>
    </row>
    <row r="228" ht="15" customHeight="1" s="39">
      <c r="A228" s="85" t="n"/>
      <c r="B228" s="85" t="n"/>
      <c r="C228" s="85" t="n"/>
      <c r="D228" s="85" t="n"/>
      <c r="E228" s="85" t="n"/>
      <c r="F228" s="86" t="n"/>
      <c r="G228" s="86" t="n"/>
      <c r="H228" s="85" t="n"/>
      <c r="I228" s="85" t="n"/>
      <c r="J228" s="85" t="n"/>
      <c r="K228" s="85" t="n"/>
      <c r="L228" s="85" t="n"/>
      <c r="M228" s="85" t="n"/>
      <c r="N228" s="85" t="n"/>
      <c r="O228" s="85" t="n"/>
      <c r="P228" s="85" t="n"/>
      <c r="Q228" s="85" t="n"/>
      <c r="R228" s="85" t="n"/>
      <c r="S228" s="85" t="n"/>
      <c r="T228" s="85" t="n"/>
      <c r="U228" s="85" t="n"/>
      <c r="V228" s="85" t="n"/>
      <c r="W228" s="85" t="n"/>
      <c r="X228" s="85" t="n"/>
      <c r="Y228" s="85" t="n"/>
      <c r="Z228" s="85" t="n"/>
      <c r="AA228" s="85" t="n"/>
      <c r="AB228" s="85" t="n"/>
      <c r="AC228" s="85" t="n"/>
      <c r="AD228" s="85" t="n"/>
      <c r="AE228" s="85" t="n"/>
      <c r="AF228" s="86" t="n"/>
      <c r="AG228" s="86" t="n"/>
      <c r="AH228" s="86" t="n"/>
      <c r="AI228" s="85" t="n"/>
      <c r="AJ228" s="85" t="n"/>
      <c r="AK228" s="85">
        <f>IF($A228="","",IF($M228&gt;0,"Yes","No"))</f>
        <v/>
      </c>
      <c r="AL228" s="85">
        <f>IF($A228="","",IF(AND($E228="Yes",OR($Y228="No",$Y228="NOT FOUND")),"YES",""))</f>
        <v/>
      </c>
      <c r="AM228" s="85">
        <f>IF($A228="","",TRIM(IF(AND($P228=0,$I228&lt;&gt;"Yes"),"T0-NoPhishResistant ","")&amp;IF($H228="No","NoMFA ","")&amp;IF(AND($P228=0,$M228&gt;0),"T0-Standing ","")&amp;IF(AND($P228=0,$Q228="Group only"),"T0-ViaGroupOnly ","")&amp;IF($W228="Yes","AlsoAzureRBAC ","")))</f>
        <v/>
      </c>
      <c r="AN228" s="85">
        <f>IF($A228="","",IF(AG228="","Not Enrolled",IF(TODAY()&gt;AG228,"Review Overdue",IF(AG228-TODAY()&lt;=30,"Review Due Soon","Active"))))</f>
        <v/>
      </c>
      <c r="AO228" s="85">
        <f>IF($A228="","",IF(AH228="","NOT REVIEWED",IF(TODAY()-AH228&gt;90,"OVERDUE",IF(TODAY()-AH228&gt;76,"Due Soon","Current"))))</f>
        <v/>
      </c>
    </row>
    <row r="229" ht="15" customHeight="1" s="39">
      <c r="A229" s="85" t="n"/>
      <c r="B229" s="85" t="n"/>
      <c r="C229" s="85" t="n"/>
      <c r="D229" s="85" t="n"/>
      <c r="E229" s="85" t="n"/>
      <c r="F229" s="86" t="n"/>
      <c r="G229" s="86" t="n"/>
      <c r="H229" s="85" t="n"/>
      <c r="I229" s="85" t="n"/>
      <c r="J229" s="85" t="n"/>
      <c r="K229" s="85" t="n"/>
      <c r="L229" s="85" t="n"/>
      <c r="M229" s="85" t="n"/>
      <c r="N229" s="85" t="n"/>
      <c r="O229" s="85" t="n"/>
      <c r="P229" s="85" t="n"/>
      <c r="Q229" s="85" t="n"/>
      <c r="R229" s="85" t="n"/>
      <c r="S229" s="85" t="n"/>
      <c r="T229" s="85" t="n"/>
      <c r="U229" s="85" t="n"/>
      <c r="V229" s="85" t="n"/>
      <c r="W229" s="85" t="n"/>
      <c r="X229" s="85" t="n"/>
      <c r="Y229" s="85" t="n"/>
      <c r="Z229" s="85" t="n"/>
      <c r="AA229" s="85" t="n"/>
      <c r="AB229" s="85" t="n"/>
      <c r="AC229" s="85" t="n"/>
      <c r="AD229" s="85" t="n"/>
      <c r="AE229" s="85" t="n"/>
      <c r="AF229" s="86" t="n"/>
      <c r="AG229" s="86" t="n"/>
      <c r="AH229" s="86" t="n"/>
      <c r="AI229" s="85" t="n"/>
      <c r="AJ229" s="85" t="n"/>
      <c r="AK229" s="85">
        <f>IF($A229="","",IF($M229&gt;0,"Yes","No"))</f>
        <v/>
      </c>
      <c r="AL229" s="85">
        <f>IF($A229="","",IF(AND($E229="Yes",OR($Y229="No",$Y229="NOT FOUND")),"YES",""))</f>
        <v/>
      </c>
      <c r="AM229" s="85">
        <f>IF($A229="","",TRIM(IF(AND($P229=0,$I229&lt;&gt;"Yes"),"T0-NoPhishResistant ","")&amp;IF($H229="No","NoMFA ","")&amp;IF(AND($P229=0,$M229&gt;0),"T0-Standing ","")&amp;IF(AND($P229=0,$Q229="Group only"),"T0-ViaGroupOnly ","")&amp;IF($W229="Yes","AlsoAzureRBAC ","")))</f>
        <v/>
      </c>
      <c r="AN229" s="85">
        <f>IF($A229="","",IF(AG229="","Not Enrolled",IF(TODAY()&gt;AG229,"Review Overdue",IF(AG229-TODAY()&lt;=30,"Review Due Soon","Active"))))</f>
        <v/>
      </c>
      <c r="AO229" s="85">
        <f>IF($A229="","",IF(AH229="","NOT REVIEWED",IF(TODAY()-AH229&gt;90,"OVERDUE",IF(TODAY()-AH229&gt;76,"Due Soon","Current"))))</f>
        <v/>
      </c>
    </row>
    <row r="230" ht="15" customHeight="1" s="39">
      <c r="A230" s="85" t="n"/>
      <c r="B230" s="85" t="n"/>
      <c r="C230" s="85" t="n"/>
      <c r="D230" s="85" t="n"/>
      <c r="E230" s="85" t="n"/>
      <c r="F230" s="86" t="n"/>
      <c r="G230" s="86" t="n"/>
      <c r="H230" s="85" t="n"/>
      <c r="I230" s="85" t="n"/>
      <c r="J230" s="85" t="n"/>
      <c r="K230" s="85" t="n"/>
      <c r="L230" s="85" t="n"/>
      <c r="M230" s="85" t="n"/>
      <c r="N230" s="85" t="n"/>
      <c r="O230" s="85" t="n"/>
      <c r="P230" s="85" t="n"/>
      <c r="Q230" s="85" t="n"/>
      <c r="R230" s="85" t="n"/>
      <c r="S230" s="85" t="n"/>
      <c r="T230" s="85" t="n"/>
      <c r="U230" s="85" t="n"/>
      <c r="V230" s="85" t="n"/>
      <c r="W230" s="85" t="n"/>
      <c r="X230" s="85" t="n"/>
      <c r="Y230" s="85" t="n"/>
      <c r="Z230" s="85" t="n"/>
      <c r="AA230" s="85" t="n"/>
      <c r="AB230" s="85" t="n"/>
      <c r="AC230" s="85" t="n"/>
      <c r="AD230" s="85" t="n"/>
      <c r="AE230" s="85" t="n"/>
      <c r="AF230" s="86" t="n"/>
      <c r="AG230" s="86" t="n"/>
      <c r="AH230" s="86" t="n"/>
      <c r="AI230" s="85" t="n"/>
      <c r="AJ230" s="85" t="n"/>
      <c r="AK230" s="85">
        <f>IF($A230="","",IF($M230&gt;0,"Yes","No"))</f>
        <v/>
      </c>
      <c r="AL230" s="85">
        <f>IF($A230="","",IF(AND($E230="Yes",OR($Y230="No",$Y230="NOT FOUND")),"YES",""))</f>
        <v/>
      </c>
      <c r="AM230" s="85">
        <f>IF($A230="","",TRIM(IF(AND($P230=0,$I230&lt;&gt;"Yes"),"T0-NoPhishResistant ","")&amp;IF($H230="No","NoMFA ","")&amp;IF(AND($P230=0,$M230&gt;0),"T0-Standing ","")&amp;IF(AND($P230=0,$Q230="Group only"),"T0-ViaGroupOnly ","")&amp;IF($W230="Yes","AlsoAzureRBAC ","")))</f>
        <v/>
      </c>
      <c r="AN230" s="85">
        <f>IF($A230="","",IF(AG230="","Not Enrolled",IF(TODAY()&gt;AG230,"Review Overdue",IF(AG230-TODAY()&lt;=30,"Review Due Soon","Active"))))</f>
        <v/>
      </c>
      <c r="AO230" s="85">
        <f>IF($A230="","",IF(AH230="","NOT REVIEWED",IF(TODAY()-AH230&gt;90,"OVERDUE",IF(TODAY()-AH230&gt;76,"Due Soon","Current"))))</f>
        <v/>
      </c>
    </row>
    <row r="231" ht="15" customHeight="1" s="39">
      <c r="A231" s="85" t="n"/>
      <c r="B231" s="85" t="n"/>
      <c r="C231" s="85" t="n"/>
      <c r="D231" s="85" t="n"/>
      <c r="E231" s="85" t="n"/>
      <c r="F231" s="86" t="n"/>
      <c r="G231" s="86" t="n"/>
      <c r="H231" s="85" t="n"/>
      <c r="I231" s="85" t="n"/>
      <c r="J231" s="85" t="n"/>
      <c r="K231" s="85" t="n"/>
      <c r="L231" s="85" t="n"/>
      <c r="M231" s="85" t="n"/>
      <c r="N231" s="85" t="n"/>
      <c r="O231" s="85" t="n"/>
      <c r="P231" s="85" t="n"/>
      <c r="Q231" s="85" t="n"/>
      <c r="R231" s="85" t="n"/>
      <c r="S231" s="85" t="n"/>
      <c r="T231" s="85" t="n"/>
      <c r="U231" s="85" t="n"/>
      <c r="V231" s="85" t="n"/>
      <c r="W231" s="85" t="n"/>
      <c r="X231" s="85" t="n"/>
      <c r="Y231" s="85" t="n"/>
      <c r="Z231" s="85" t="n"/>
      <c r="AA231" s="85" t="n"/>
      <c r="AB231" s="85" t="n"/>
      <c r="AC231" s="85" t="n"/>
      <c r="AD231" s="85" t="n"/>
      <c r="AE231" s="85" t="n"/>
      <c r="AF231" s="86" t="n"/>
      <c r="AG231" s="86" t="n"/>
      <c r="AH231" s="86" t="n"/>
      <c r="AI231" s="85" t="n"/>
      <c r="AJ231" s="85" t="n"/>
      <c r="AK231" s="85">
        <f>IF($A231="","",IF($M231&gt;0,"Yes","No"))</f>
        <v/>
      </c>
      <c r="AL231" s="85">
        <f>IF($A231="","",IF(AND($E231="Yes",OR($Y231="No",$Y231="NOT FOUND")),"YES",""))</f>
        <v/>
      </c>
      <c r="AM231" s="85">
        <f>IF($A231="","",TRIM(IF(AND($P231=0,$I231&lt;&gt;"Yes"),"T0-NoPhishResistant ","")&amp;IF($H231="No","NoMFA ","")&amp;IF(AND($P231=0,$M231&gt;0),"T0-Standing ","")&amp;IF(AND($P231=0,$Q231="Group only"),"T0-ViaGroupOnly ","")&amp;IF($W231="Yes","AlsoAzureRBAC ","")))</f>
        <v/>
      </c>
      <c r="AN231" s="85">
        <f>IF($A231="","",IF(AG231="","Not Enrolled",IF(TODAY()&gt;AG231,"Review Overdue",IF(AG231-TODAY()&lt;=30,"Review Due Soon","Active"))))</f>
        <v/>
      </c>
      <c r="AO231" s="85">
        <f>IF($A231="","",IF(AH231="","NOT REVIEWED",IF(TODAY()-AH231&gt;90,"OVERDUE",IF(TODAY()-AH231&gt;76,"Due Soon","Current"))))</f>
        <v/>
      </c>
    </row>
    <row r="232" ht="15" customHeight="1" s="39">
      <c r="A232" s="85" t="n"/>
      <c r="B232" s="85" t="n"/>
      <c r="C232" s="85" t="n"/>
      <c r="D232" s="85" t="n"/>
      <c r="E232" s="85" t="n"/>
      <c r="F232" s="86" t="n"/>
      <c r="G232" s="86" t="n"/>
      <c r="H232" s="85" t="n"/>
      <c r="I232" s="85" t="n"/>
      <c r="J232" s="85" t="n"/>
      <c r="K232" s="85" t="n"/>
      <c r="L232" s="85" t="n"/>
      <c r="M232" s="85" t="n"/>
      <c r="N232" s="85" t="n"/>
      <c r="O232" s="85" t="n"/>
      <c r="P232" s="85" t="n"/>
      <c r="Q232" s="85" t="n"/>
      <c r="R232" s="85" t="n"/>
      <c r="S232" s="85" t="n"/>
      <c r="T232" s="85" t="n"/>
      <c r="U232" s="85" t="n"/>
      <c r="V232" s="85" t="n"/>
      <c r="W232" s="85" t="n"/>
      <c r="X232" s="85" t="n"/>
      <c r="Y232" s="85" t="n"/>
      <c r="Z232" s="85" t="n"/>
      <c r="AA232" s="85" t="n"/>
      <c r="AB232" s="85" t="n"/>
      <c r="AC232" s="85" t="n"/>
      <c r="AD232" s="85" t="n"/>
      <c r="AE232" s="85" t="n"/>
      <c r="AF232" s="86" t="n"/>
      <c r="AG232" s="86" t="n"/>
      <c r="AH232" s="86" t="n"/>
      <c r="AI232" s="85" t="n"/>
      <c r="AJ232" s="85" t="n"/>
      <c r="AK232" s="85">
        <f>IF($A232="","",IF($M232&gt;0,"Yes","No"))</f>
        <v/>
      </c>
      <c r="AL232" s="85">
        <f>IF($A232="","",IF(AND($E232="Yes",OR($Y232="No",$Y232="NOT FOUND")),"YES",""))</f>
        <v/>
      </c>
      <c r="AM232" s="85">
        <f>IF($A232="","",TRIM(IF(AND($P232=0,$I232&lt;&gt;"Yes"),"T0-NoPhishResistant ","")&amp;IF($H232="No","NoMFA ","")&amp;IF(AND($P232=0,$M232&gt;0),"T0-Standing ","")&amp;IF(AND($P232=0,$Q232="Group only"),"T0-ViaGroupOnly ","")&amp;IF($W232="Yes","AlsoAzureRBAC ","")))</f>
        <v/>
      </c>
      <c r="AN232" s="85">
        <f>IF($A232="","",IF(AG232="","Not Enrolled",IF(TODAY()&gt;AG232,"Review Overdue",IF(AG232-TODAY()&lt;=30,"Review Due Soon","Active"))))</f>
        <v/>
      </c>
      <c r="AO232" s="85">
        <f>IF($A232="","",IF(AH232="","NOT REVIEWED",IF(TODAY()-AH232&gt;90,"OVERDUE",IF(TODAY()-AH232&gt;76,"Due Soon","Current"))))</f>
        <v/>
      </c>
    </row>
    <row r="233" ht="15" customHeight="1" s="39">
      <c r="A233" s="85" t="n"/>
      <c r="B233" s="85" t="n"/>
      <c r="C233" s="85" t="n"/>
      <c r="D233" s="85" t="n"/>
      <c r="E233" s="85" t="n"/>
      <c r="F233" s="86" t="n"/>
      <c r="G233" s="86" t="n"/>
      <c r="H233" s="85" t="n"/>
      <c r="I233" s="85" t="n"/>
      <c r="J233" s="85" t="n"/>
      <c r="K233" s="85" t="n"/>
      <c r="L233" s="85" t="n"/>
      <c r="M233" s="85" t="n"/>
      <c r="N233" s="85" t="n"/>
      <c r="O233" s="85" t="n"/>
      <c r="P233" s="85" t="n"/>
      <c r="Q233" s="85" t="n"/>
      <c r="R233" s="85" t="n"/>
      <c r="S233" s="85" t="n"/>
      <c r="T233" s="85" t="n"/>
      <c r="U233" s="85" t="n"/>
      <c r="V233" s="85" t="n"/>
      <c r="W233" s="85" t="n"/>
      <c r="X233" s="85" t="n"/>
      <c r="Y233" s="85" t="n"/>
      <c r="Z233" s="85" t="n"/>
      <c r="AA233" s="85" t="n"/>
      <c r="AB233" s="85" t="n"/>
      <c r="AC233" s="85" t="n"/>
      <c r="AD233" s="85" t="n"/>
      <c r="AE233" s="85" t="n"/>
      <c r="AF233" s="86" t="n"/>
      <c r="AG233" s="86" t="n"/>
      <c r="AH233" s="86" t="n"/>
      <c r="AI233" s="85" t="n"/>
      <c r="AJ233" s="85" t="n"/>
      <c r="AK233" s="85">
        <f>IF($A233="","",IF($M233&gt;0,"Yes","No"))</f>
        <v/>
      </c>
      <c r="AL233" s="85">
        <f>IF($A233="","",IF(AND($E233="Yes",OR($Y233="No",$Y233="NOT FOUND")),"YES",""))</f>
        <v/>
      </c>
      <c r="AM233" s="85">
        <f>IF($A233="","",TRIM(IF(AND($P233=0,$I233&lt;&gt;"Yes"),"T0-NoPhishResistant ","")&amp;IF($H233="No","NoMFA ","")&amp;IF(AND($P233=0,$M233&gt;0),"T0-Standing ","")&amp;IF(AND($P233=0,$Q233="Group only"),"T0-ViaGroupOnly ","")&amp;IF($W233="Yes","AlsoAzureRBAC ","")))</f>
        <v/>
      </c>
      <c r="AN233" s="85">
        <f>IF($A233="","",IF(AG233="","Not Enrolled",IF(TODAY()&gt;AG233,"Review Overdue",IF(AG233-TODAY()&lt;=30,"Review Due Soon","Active"))))</f>
        <v/>
      </c>
      <c r="AO233" s="85">
        <f>IF($A233="","",IF(AH233="","NOT REVIEWED",IF(TODAY()-AH233&gt;90,"OVERDUE",IF(TODAY()-AH233&gt;76,"Due Soon","Current"))))</f>
        <v/>
      </c>
    </row>
    <row r="234" ht="15" customHeight="1" s="39">
      <c r="A234" s="85" t="n"/>
      <c r="B234" s="85" t="n"/>
      <c r="C234" s="85" t="n"/>
      <c r="D234" s="85" t="n"/>
      <c r="E234" s="85" t="n"/>
      <c r="F234" s="86" t="n"/>
      <c r="G234" s="86" t="n"/>
      <c r="H234" s="85" t="n"/>
      <c r="I234" s="85" t="n"/>
      <c r="J234" s="85" t="n"/>
      <c r="K234" s="85" t="n"/>
      <c r="L234" s="85" t="n"/>
      <c r="M234" s="85" t="n"/>
      <c r="N234" s="85" t="n"/>
      <c r="O234" s="85" t="n"/>
      <c r="P234" s="85" t="n"/>
      <c r="Q234" s="85" t="n"/>
      <c r="R234" s="85" t="n"/>
      <c r="S234" s="85" t="n"/>
      <c r="T234" s="85" t="n"/>
      <c r="U234" s="85" t="n"/>
      <c r="V234" s="85" t="n"/>
      <c r="W234" s="85" t="n"/>
      <c r="X234" s="85" t="n"/>
      <c r="Y234" s="85" t="n"/>
      <c r="Z234" s="85" t="n"/>
      <c r="AA234" s="85" t="n"/>
      <c r="AB234" s="85" t="n"/>
      <c r="AC234" s="85" t="n"/>
      <c r="AD234" s="85" t="n"/>
      <c r="AE234" s="85" t="n"/>
      <c r="AF234" s="86" t="n"/>
      <c r="AG234" s="86" t="n"/>
      <c r="AH234" s="86" t="n"/>
      <c r="AI234" s="85" t="n"/>
      <c r="AJ234" s="85" t="n"/>
      <c r="AK234" s="85">
        <f>IF($A234="","",IF($M234&gt;0,"Yes","No"))</f>
        <v/>
      </c>
      <c r="AL234" s="85">
        <f>IF($A234="","",IF(AND($E234="Yes",OR($Y234="No",$Y234="NOT FOUND")),"YES",""))</f>
        <v/>
      </c>
      <c r="AM234" s="85">
        <f>IF($A234="","",TRIM(IF(AND($P234=0,$I234&lt;&gt;"Yes"),"T0-NoPhishResistant ","")&amp;IF($H234="No","NoMFA ","")&amp;IF(AND($P234=0,$M234&gt;0),"T0-Standing ","")&amp;IF(AND($P234=0,$Q234="Group only"),"T0-ViaGroupOnly ","")&amp;IF($W234="Yes","AlsoAzureRBAC ","")))</f>
        <v/>
      </c>
      <c r="AN234" s="85">
        <f>IF($A234="","",IF(AG234="","Not Enrolled",IF(TODAY()&gt;AG234,"Review Overdue",IF(AG234-TODAY()&lt;=30,"Review Due Soon","Active"))))</f>
        <v/>
      </c>
      <c r="AO234" s="85">
        <f>IF($A234="","",IF(AH234="","NOT REVIEWED",IF(TODAY()-AH234&gt;90,"OVERDUE",IF(TODAY()-AH234&gt;76,"Due Soon","Current"))))</f>
        <v/>
      </c>
    </row>
    <row r="235" ht="15" customHeight="1" s="39">
      <c r="A235" s="85" t="n"/>
      <c r="B235" s="85" t="n"/>
      <c r="C235" s="85" t="n"/>
      <c r="D235" s="85" t="n"/>
      <c r="E235" s="85" t="n"/>
      <c r="F235" s="86" t="n"/>
      <c r="G235" s="86" t="n"/>
      <c r="H235" s="85" t="n"/>
      <c r="I235" s="85" t="n"/>
      <c r="J235" s="85" t="n"/>
      <c r="K235" s="85" t="n"/>
      <c r="L235" s="85" t="n"/>
      <c r="M235" s="85" t="n"/>
      <c r="N235" s="85" t="n"/>
      <c r="O235" s="85" t="n"/>
      <c r="P235" s="85" t="n"/>
      <c r="Q235" s="85" t="n"/>
      <c r="R235" s="85" t="n"/>
      <c r="S235" s="85" t="n"/>
      <c r="T235" s="85" t="n"/>
      <c r="U235" s="85" t="n"/>
      <c r="V235" s="85" t="n"/>
      <c r="W235" s="85" t="n"/>
      <c r="X235" s="85" t="n"/>
      <c r="Y235" s="85" t="n"/>
      <c r="Z235" s="85" t="n"/>
      <c r="AA235" s="85" t="n"/>
      <c r="AB235" s="85" t="n"/>
      <c r="AC235" s="85" t="n"/>
      <c r="AD235" s="85" t="n"/>
      <c r="AE235" s="85" t="n"/>
      <c r="AF235" s="86" t="n"/>
      <c r="AG235" s="86" t="n"/>
      <c r="AH235" s="86" t="n"/>
      <c r="AI235" s="85" t="n"/>
      <c r="AJ235" s="85" t="n"/>
      <c r="AK235" s="85">
        <f>IF($A235="","",IF($M235&gt;0,"Yes","No"))</f>
        <v/>
      </c>
      <c r="AL235" s="85">
        <f>IF($A235="","",IF(AND($E235="Yes",OR($Y235="No",$Y235="NOT FOUND")),"YES",""))</f>
        <v/>
      </c>
      <c r="AM235" s="85">
        <f>IF($A235="","",TRIM(IF(AND($P235=0,$I235&lt;&gt;"Yes"),"T0-NoPhishResistant ","")&amp;IF($H235="No","NoMFA ","")&amp;IF(AND($P235=0,$M235&gt;0),"T0-Standing ","")&amp;IF(AND($P235=0,$Q235="Group only"),"T0-ViaGroupOnly ","")&amp;IF($W235="Yes","AlsoAzureRBAC ","")))</f>
        <v/>
      </c>
      <c r="AN235" s="85">
        <f>IF($A235="","",IF(AG235="","Not Enrolled",IF(TODAY()&gt;AG235,"Review Overdue",IF(AG235-TODAY()&lt;=30,"Review Due Soon","Active"))))</f>
        <v/>
      </c>
      <c r="AO235" s="85">
        <f>IF($A235="","",IF(AH235="","NOT REVIEWED",IF(TODAY()-AH235&gt;90,"OVERDUE",IF(TODAY()-AH235&gt;76,"Due Soon","Current"))))</f>
        <v/>
      </c>
    </row>
    <row r="236" ht="15" customHeight="1" s="39">
      <c r="A236" s="85" t="n"/>
      <c r="B236" s="85" t="n"/>
      <c r="C236" s="85" t="n"/>
      <c r="D236" s="85" t="n"/>
      <c r="E236" s="85" t="n"/>
      <c r="F236" s="86" t="n"/>
      <c r="G236" s="86" t="n"/>
      <c r="H236" s="85" t="n"/>
      <c r="I236" s="85" t="n"/>
      <c r="J236" s="85" t="n"/>
      <c r="K236" s="85" t="n"/>
      <c r="L236" s="85" t="n"/>
      <c r="M236" s="85" t="n"/>
      <c r="N236" s="85" t="n"/>
      <c r="O236" s="85" t="n"/>
      <c r="P236" s="85" t="n"/>
      <c r="Q236" s="85" t="n"/>
      <c r="R236" s="85" t="n"/>
      <c r="S236" s="85" t="n"/>
      <c r="T236" s="85" t="n"/>
      <c r="U236" s="85" t="n"/>
      <c r="V236" s="85" t="n"/>
      <c r="W236" s="85" t="n"/>
      <c r="X236" s="85" t="n"/>
      <c r="Y236" s="85" t="n"/>
      <c r="Z236" s="85" t="n"/>
      <c r="AA236" s="85" t="n"/>
      <c r="AB236" s="85" t="n"/>
      <c r="AC236" s="85" t="n"/>
      <c r="AD236" s="85" t="n"/>
      <c r="AE236" s="85" t="n"/>
      <c r="AF236" s="86" t="n"/>
      <c r="AG236" s="86" t="n"/>
      <c r="AH236" s="86" t="n"/>
      <c r="AI236" s="85" t="n"/>
      <c r="AJ236" s="85" t="n"/>
      <c r="AK236" s="85">
        <f>IF($A236="","",IF($M236&gt;0,"Yes","No"))</f>
        <v/>
      </c>
      <c r="AL236" s="85">
        <f>IF($A236="","",IF(AND($E236="Yes",OR($Y236="No",$Y236="NOT FOUND")),"YES",""))</f>
        <v/>
      </c>
      <c r="AM236" s="85">
        <f>IF($A236="","",TRIM(IF(AND($P236=0,$I236&lt;&gt;"Yes"),"T0-NoPhishResistant ","")&amp;IF($H236="No","NoMFA ","")&amp;IF(AND($P236=0,$M236&gt;0),"T0-Standing ","")&amp;IF(AND($P236=0,$Q236="Group only"),"T0-ViaGroupOnly ","")&amp;IF($W236="Yes","AlsoAzureRBAC ","")))</f>
        <v/>
      </c>
      <c r="AN236" s="85">
        <f>IF($A236="","",IF(AG236="","Not Enrolled",IF(TODAY()&gt;AG236,"Review Overdue",IF(AG236-TODAY()&lt;=30,"Review Due Soon","Active"))))</f>
        <v/>
      </c>
      <c r="AO236" s="85">
        <f>IF($A236="","",IF(AH236="","NOT REVIEWED",IF(TODAY()-AH236&gt;90,"OVERDUE",IF(TODAY()-AH236&gt;76,"Due Soon","Current"))))</f>
        <v/>
      </c>
    </row>
    <row r="237" ht="15" customHeight="1" s="39">
      <c r="A237" s="85" t="n"/>
      <c r="B237" s="85" t="n"/>
      <c r="C237" s="85" t="n"/>
      <c r="D237" s="85" t="n"/>
      <c r="E237" s="85" t="n"/>
      <c r="F237" s="86" t="n"/>
      <c r="G237" s="86" t="n"/>
      <c r="H237" s="85" t="n"/>
      <c r="I237" s="85" t="n"/>
      <c r="J237" s="85" t="n"/>
      <c r="K237" s="85" t="n"/>
      <c r="L237" s="85" t="n"/>
      <c r="M237" s="85" t="n"/>
      <c r="N237" s="85" t="n"/>
      <c r="O237" s="85" t="n"/>
      <c r="P237" s="85" t="n"/>
      <c r="Q237" s="85" t="n"/>
      <c r="R237" s="85" t="n"/>
      <c r="S237" s="85" t="n"/>
      <c r="T237" s="85" t="n"/>
      <c r="U237" s="85" t="n"/>
      <c r="V237" s="85" t="n"/>
      <c r="W237" s="85" t="n"/>
      <c r="X237" s="85" t="n"/>
      <c r="Y237" s="85" t="n"/>
      <c r="Z237" s="85" t="n"/>
      <c r="AA237" s="85" t="n"/>
      <c r="AB237" s="85" t="n"/>
      <c r="AC237" s="85" t="n"/>
      <c r="AD237" s="85" t="n"/>
      <c r="AE237" s="85" t="n"/>
      <c r="AF237" s="86" t="n"/>
      <c r="AG237" s="86" t="n"/>
      <c r="AH237" s="86" t="n"/>
      <c r="AI237" s="85" t="n"/>
      <c r="AJ237" s="85" t="n"/>
      <c r="AK237" s="85">
        <f>IF($A237="","",IF($M237&gt;0,"Yes","No"))</f>
        <v/>
      </c>
      <c r="AL237" s="85">
        <f>IF($A237="","",IF(AND($E237="Yes",OR($Y237="No",$Y237="NOT FOUND")),"YES",""))</f>
        <v/>
      </c>
      <c r="AM237" s="85">
        <f>IF($A237="","",TRIM(IF(AND($P237=0,$I237&lt;&gt;"Yes"),"T0-NoPhishResistant ","")&amp;IF($H237="No","NoMFA ","")&amp;IF(AND($P237=0,$M237&gt;0),"T0-Standing ","")&amp;IF(AND($P237=0,$Q237="Group only"),"T0-ViaGroupOnly ","")&amp;IF($W237="Yes","AlsoAzureRBAC ","")))</f>
        <v/>
      </c>
      <c r="AN237" s="85">
        <f>IF($A237="","",IF(AG237="","Not Enrolled",IF(TODAY()&gt;AG237,"Review Overdue",IF(AG237-TODAY()&lt;=30,"Review Due Soon","Active"))))</f>
        <v/>
      </c>
      <c r="AO237" s="85">
        <f>IF($A237="","",IF(AH237="","NOT REVIEWED",IF(TODAY()-AH237&gt;90,"OVERDUE",IF(TODAY()-AH237&gt;76,"Due Soon","Current"))))</f>
        <v/>
      </c>
    </row>
    <row r="238" ht="15" customHeight="1" s="39">
      <c r="A238" s="85" t="n"/>
      <c r="B238" s="85" t="n"/>
      <c r="C238" s="85" t="n"/>
      <c r="D238" s="85" t="n"/>
      <c r="E238" s="85" t="n"/>
      <c r="F238" s="86" t="n"/>
      <c r="G238" s="86" t="n"/>
      <c r="H238" s="85" t="n"/>
      <c r="I238" s="85" t="n"/>
      <c r="J238" s="85" t="n"/>
      <c r="K238" s="85" t="n"/>
      <c r="L238" s="85" t="n"/>
      <c r="M238" s="85" t="n"/>
      <c r="N238" s="85" t="n"/>
      <c r="O238" s="85" t="n"/>
      <c r="P238" s="85" t="n"/>
      <c r="Q238" s="85" t="n"/>
      <c r="R238" s="85" t="n"/>
      <c r="S238" s="85" t="n"/>
      <c r="T238" s="85" t="n"/>
      <c r="U238" s="85" t="n"/>
      <c r="V238" s="85" t="n"/>
      <c r="W238" s="85" t="n"/>
      <c r="X238" s="85" t="n"/>
      <c r="Y238" s="85" t="n"/>
      <c r="Z238" s="85" t="n"/>
      <c r="AA238" s="85" t="n"/>
      <c r="AB238" s="85" t="n"/>
      <c r="AC238" s="85" t="n"/>
      <c r="AD238" s="85" t="n"/>
      <c r="AE238" s="85" t="n"/>
      <c r="AF238" s="86" t="n"/>
      <c r="AG238" s="86" t="n"/>
      <c r="AH238" s="86" t="n"/>
      <c r="AI238" s="85" t="n"/>
      <c r="AJ238" s="85" t="n"/>
      <c r="AK238" s="85">
        <f>IF($A238="","",IF($M238&gt;0,"Yes","No"))</f>
        <v/>
      </c>
      <c r="AL238" s="85">
        <f>IF($A238="","",IF(AND($E238="Yes",OR($Y238="No",$Y238="NOT FOUND")),"YES",""))</f>
        <v/>
      </c>
      <c r="AM238" s="85">
        <f>IF($A238="","",TRIM(IF(AND($P238=0,$I238&lt;&gt;"Yes"),"T0-NoPhishResistant ","")&amp;IF($H238="No","NoMFA ","")&amp;IF(AND($P238=0,$M238&gt;0),"T0-Standing ","")&amp;IF(AND($P238=0,$Q238="Group only"),"T0-ViaGroupOnly ","")&amp;IF($W238="Yes","AlsoAzureRBAC ","")))</f>
        <v/>
      </c>
      <c r="AN238" s="85">
        <f>IF($A238="","",IF(AG238="","Not Enrolled",IF(TODAY()&gt;AG238,"Review Overdue",IF(AG238-TODAY()&lt;=30,"Review Due Soon","Active"))))</f>
        <v/>
      </c>
      <c r="AO238" s="85">
        <f>IF($A238="","",IF(AH238="","NOT REVIEWED",IF(TODAY()-AH238&gt;90,"OVERDUE",IF(TODAY()-AH238&gt;76,"Due Soon","Current"))))</f>
        <v/>
      </c>
    </row>
    <row r="239" ht="15" customHeight="1" s="39">
      <c r="A239" s="85" t="n"/>
      <c r="B239" s="85" t="n"/>
      <c r="C239" s="85" t="n"/>
      <c r="D239" s="85" t="n"/>
      <c r="E239" s="85" t="n"/>
      <c r="F239" s="86" t="n"/>
      <c r="G239" s="86" t="n"/>
      <c r="H239" s="85" t="n"/>
      <c r="I239" s="85" t="n"/>
      <c r="J239" s="85" t="n"/>
      <c r="K239" s="85" t="n"/>
      <c r="L239" s="85" t="n"/>
      <c r="M239" s="85" t="n"/>
      <c r="N239" s="85" t="n"/>
      <c r="O239" s="85" t="n"/>
      <c r="P239" s="85" t="n"/>
      <c r="Q239" s="85" t="n"/>
      <c r="R239" s="85" t="n"/>
      <c r="S239" s="85" t="n"/>
      <c r="T239" s="85" t="n"/>
      <c r="U239" s="85" t="n"/>
      <c r="V239" s="85" t="n"/>
      <c r="W239" s="85" t="n"/>
      <c r="X239" s="85" t="n"/>
      <c r="Y239" s="85" t="n"/>
      <c r="Z239" s="85" t="n"/>
      <c r="AA239" s="85" t="n"/>
      <c r="AB239" s="85" t="n"/>
      <c r="AC239" s="85" t="n"/>
      <c r="AD239" s="85" t="n"/>
      <c r="AE239" s="85" t="n"/>
      <c r="AF239" s="86" t="n"/>
      <c r="AG239" s="86" t="n"/>
      <c r="AH239" s="86" t="n"/>
      <c r="AI239" s="85" t="n"/>
      <c r="AJ239" s="85" t="n"/>
      <c r="AK239" s="85">
        <f>IF($A239="","",IF($M239&gt;0,"Yes","No"))</f>
        <v/>
      </c>
      <c r="AL239" s="85">
        <f>IF($A239="","",IF(AND($E239="Yes",OR($Y239="No",$Y239="NOT FOUND")),"YES",""))</f>
        <v/>
      </c>
      <c r="AM239" s="85">
        <f>IF($A239="","",TRIM(IF(AND($P239=0,$I239&lt;&gt;"Yes"),"T0-NoPhishResistant ","")&amp;IF($H239="No","NoMFA ","")&amp;IF(AND($P239=0,$M239&gt;0),"T0-Standing ","")&amp;IF(AND($P239=0,$Q239="Group only"),"T0-ViaGroupOnly ","")&amp;IF($W239="Yes","AlsoAzureRBAC ","")))</f>
        <v/>
      </c>
      <c r="AN239" s="85">
        <f>IF($A239="","",IF(AG239="","Not Enrolled",IF(TODAY()&gt;AG239,"Review Overdue",IF(AG239-TODAY()&lt;=30,"Review Due Soon","Active"))))</f>
        <v/>
      </c>
      <c r="AO239" s="85">
        <f>IF($A239="","",IF(AH239="","NOT REVIEWED",IF(TODAY()-AH239&gt;90,"OVERDUE",IF(TODAY()-AH239&gt;76,"Due Soon","Current"))))</f>
        <v/>
      </c>
    </row>
    <row r="240" ht="15" customHeight="1" s="39">
      <c r="A240" s="85" t="n"/>
      <c r="B240" s="85" t="n"/>
      <c r="C240" s="85" t="n"/>
      <c r="D240" s="85" t="n"/>
      <c r="E240" s="85" t="n"/>
      <c r="F240" s="86" t="n"/>
      <c r="G240" s="86" t="n"/>
      <c r="H240" s="85" t="n"/>
      <c r="I240" s="85" t="n"/>
      <c r="J240" s="85" t="n"/>
      <c r="K240" s="85" t="n"/>
      <c r="L240" s="85" t="n"/>
      <c r="M240" s="85" t="n"/>
      <c r="N240" s="85" t="n"/>
      <c r="O240" s="85" t="n"/>
      <c r="P240" s="85" t="n"/>
      <c r="Q240" s="85" t="n"/>
      <c r="R240" s="85" t="n"/>
      <c r="S240" s="85" t="n"/>
      <c r="T240" s="85" t="n"/>
      <c r="U240" s="85" t="n"/>
      <c r="V240" s="85" t="n"/>
      <c r="W240" s="85" t="n"/>
      <c r="X240" s="85" t="n"/>
      <c r="Y240" s="85" t="n"/>
      <c r="Z240" s="85" t="n"/>
      <c r="AA240" s="85" t="n"/>
      <c r="AB240" s="85" t="n"/>
      <c r="AC240" s="85" t="n"/>
      <c r="AD240" s="85" t="n"/>
      <c r="AE240" s="85" t="n"/>
      <c r="AF240" s="86" t="n"/>
      <c r="AG240" s="86" t="n"/>
      <c r="AH240" s="86" t="n"/>
      <c r="AI240" s="85" t="n"/>
      <c r="AJ240" s="85" t="n"/>
      <c r="AK240" s="85">
        <f>IF($A240="","",IF($M240&gt;0,"Yes","No"))</f>
        <v/>
      </c>
      <c r="AL240" s="85">
        <f>IF($A240="","",IF(AND($E240="Yes",OR($Y240="No",$Y240="NOT FOUND")),"YES",""))</f>
        <v/>
      </c>
      <c r="AM240" s="85">
        <f>IF($A240="","",TRIM(IF(AND($P240=0,$I240&lt;&gt;"Yes"),"T0-NoPhishResistant ","")&amp;IF($H240="No","NoMFA ","")&amp;IF(AND($P240=0,$M240&gt;0),"T0-Standing ","")&amp;IF(AND($P240=0,$Q240="Group only"),"T0-ViaGroupOnly ","")&amp;IF($W240="Yes","AlsoAzureRBAC ","")))</f>
        <v/>
      </c>
      <c r="AN240" s="85">
        <f>IF($A240="","",IF(AG240="","Not Enrolled",IF(TODAY()&gt;AG240,"Review Overdue",IF(AG240-TODAY()&lt;=30,"Review Due Soon","Active"))))</f>
        <v/>
      </c>
      <c r="AO240" s="85">
        <f>IF($A240="","",IF(AH240="","NOT REVIEWED",IF(TODAY()-AH240&gt;90,"OVERDUE",IF(TODAY()-AH240&gt;76,"Due Soon","Current"))))</f>
        <v/>
      </c>
    </row>
    <row r="241" ht="15" customHeight="1" s="39">
      <c r="A241" s="85" t="n"/>
      <c r="B241" s="85" t="n"/>
      <c r="C241" s="85" t="n"/>
      <c r="D241" s="85" t="n"/>
      <c r="E241" s="85" t="n"/>
      <c r="F241" s="86" t="n"/>
      <c r="G241" s="86" t="n"/>
      <c r="H241" s="85" t="n"/>
      <c r="I241" s="85" t="n"/>
      <c r="J241" s="85" t="n"/>
      <c r="K241" s="85" t="n"/>
      <c r="L241" s="85" t="n"/>
      <c r="M241" s="85" t="n"/>
      <c r="N241" s="85" t="n"/>
      <c r="O241" s="85" t="n"/>
      <c r="P241" s="85" t="n"/>
      <c r="Q241" s="85" t="n"/>
      <c r="R241" s="85" t="n"/>
      <c r="S241" s="85" t="n"/>
      <c r="T241" s="85" t="n"/>
      <c r="U241" s="85" t="n"/>
      <c r="V241" s="85" t="n"/>
      <c r="W241" s="85" t="n"/>
      <c r="X241" s="85" t="n"/>
      <c r="Y241" s="85" t="n"/>
      <c r="Z241" s="85" t="n"/>
      <c r="AA241" s="85" t="n"/>
      <c r="AB241" s="85" t="n"/>
      <c r="AC241" s="85" t="n"/>
      <c r="AD241" s="85" t="n"/>
      <c r="AE241" s="85" t="n"/>
      <c r="AF241" s="86" t="n"/>
      <c r="AG241" s="86" t="n"/>
      <c r="AH241" s="86" t="n"/>
      <c r="AI241" s="85" t="n"/>
      <c r="AJ241" s="85" t="n"/>
      <c r="AK241" s="85">
        <f>IF($A241="","",IF($M241&gt;0,"Yes","No"))</f>
        <v/>
      </c>
      <c r="AL241" s="85">
        <f>IF($A241="","",IF(AND($E241="Yes",OR($Y241="No",$Y241="NOT FOUND")),"YES",""))</f>
        <v/>
      </c>
      <c r="AM241" s="85">
        <f>IF($A241="","",TRIM(IF(AND($P241=0,$I241&lt;&gt;"Yes"),"T0-NoPhishResistant ","")&amp;IF($H241="No","NoMFA ","")&amp;IF(AND($P241=0,$M241&gt;0),"T0-Standing ","")&amp;IF(AND($P241=0,$Q241="Group only"),"T0-ViaGroupOnly ","")&amp;IF($W241="Yes","AlsoAzureRBAC ","")))</f>
        <v/>
      </c>
      <c r="AN241" s="85">
        <f>IF($A241="","",IF(AG241="","Not Enrolled",IF(TODAY()&gt;AG241,"Review Overdue",IF(AG241-TODAY()&lt;=30,"Review Due Soon","Active"))))</f>
        <v/>
      </c>
      <c r="AO241" s="85">
        <f>IF($A241="","",IF(AH241="","NOT REVIEWED",IF(TODAY()-AH241&gt;90,"OVERDUE",IF(TODAY()-AH241&gt;76,"Due Soon","Current"))))</f>
        <v/>
      </c>
    </row>
    <row r="242" ht="15" customHeight="1" s="39">
      <c r="A242" s="85" t="n"/>
      <c r="B242" s="85" t="n"/>
      <c r="C242" s="85" t="n"/>
      <c r="D242" s="85" t="n"/>
      <c r="E242" s="85" t="n"/>
      <c r="F242" s="86" t="n"/>
      <c r="G242" s="86" t="n"/>
      <c r="H242" s="85" t="n"/>
      <c r="I242" s="85" t="n"/>
      <c r="J242" s="85" t="n"/>
      <c r="K242" s="85" t="n"/>
      <c r="L242" s="85" t="n"/>
      <c r="M242" s="85" t="n"/>
      <c r="N242" s="85" t="n"/>
      <c r="O242" s="85" t="n"/>
      <c r="P242" s="85" t="n"/>
      <c r="Q242" s="85" t="n"/>
      <c r="R242" s="85" t="n"/>
      <c r="S242" s="85" t="n"/>
      <c r="T242" s="85" t="n"/>
      <c r="U242" s="85" t="n"/>
      <c r="V242" s="85" t="n"/>
      <c r="W242" s="85" t="n"/>
      <c r="X242" s="85" t="n"/>
      <c r="Y242" s="85" t="n"/>
      <c r="Z242" s="85" t="n"/>
      <c r="AA242" s="85" t="n"/>
      <c r="AB242" s="85" t="n"/>
      <c r="AC242" s="85" t="n"/>
      <c r="AD242" s="85" t="n"/>
      <c r="AE242" s="85" t="n"/>
      <c r="AF242" s="86" t="n"/>
      <c r="AG242" s="86" t="n"/>
      <c r="AH242" s="86" t="n"/>
      <c r="AI242" s="85" t="n"/>
      <c r="AJ242" s="85" t="n"/>
      <c r="AK242" s="85">
        <f>IF($A242="","",IF($M242&gt;0,"Yes","No"))</f>
        <v/>
      </c>
      <c r="AL242" s="85">
        <f>IF($A242="","",IF(AND($E242="Yes",OR($Y242="No",$Y242="NOT FOUND")),"YES",""))</f>
        <v/>
      </c>
      <c r="AM242" s="85">
        <f>IF($A242="","",TRIM(IF(AND($P242=0,$I242&lt;&gt;"Yes"),"T0-NoPhishResistant ","")&amp;IF($H242="No","NoMFA ","")&amp;IF(AND($P242=0,$M242&gt;0),"T0-Standing ","")&amp;IF(AND($P242=0,$Q242="Group only"),"T0-ViaGroupOnly ","")&amp;IF($W242="Yes","AlsoAzureRBAC ","")))</f>
        <v/>
      </c>
      <c r="AN242" s="85">
        <f>IF($A242="","",IF(AG242="","Not Enrolled",IF(TODAY()&gt;AG242,"Review Overdue",IF(AG242-TODAY()&lt;=30,"Review Due Soon","Active"))))</f>
        <v/>
      </c>
      <c r="AO242" s="85">
        <f>IF($A242="","",IF(AH242="","NOT REVIEWED",IF(TODAY()-AH242&gt;90,"OVERDUE",IF(TODAY()-AH242&gt;76,"Due Soon","Current"))))</f>
        <v/>
      </c>
    </row>
    <row r="243" ht="15" customHeight="1" s="39">
      <c r="A243" s="85" t="n"/>
      <c r="B243" s="85" t="n"/>
      <c r="C243" s="85" t="n"/>
      <c r="D243" s="85" t="n"/>
      <c r="E243" s="85" t="n"/>
      <c r="F243" s="86" t="n"/>
      <c r="G243" s="86" t="n"/>
      <c r="H243" s="85" t="n"/>
      <c r="I243" s="85" t="n"/>
      <c r="J243" s="85" t="n"/>
      <c r="K243" s="85" t="n"/>
      <c r="L243" s="85" t="n"/>
      <c r="M243" s="85" t="n"/>
      <c r="N243" s="85" t="n"/>
      <c r="O243" s="85" t="n"/>
      <c r="P243" s="85" t="n"/>
      <c r="Q243" s="85" t="n"/>
      <c r="R243" s="85" t="n"/>
      <c r="S243" s="85" t="n"/>
      <c r="T243" s="85" t="n"/>
      <c r="U243" s="85" t="n"/>
      <c r="V243" s="85" t="n"/>
      <c r="W243" s="85" t="n"/>
      <c r="X243" s="85" t="n"/>
      <c r="Y243" s="85" t="n"/>
      <c r="Z243" s="85" t="n"/>
      <c r="AA243" s="85" t="n"/>
      <c r="AB243" s="85" t="n"/>
      <c r="AC243" s="85" t="n"/>
      <c r="AD243" s="85" t="n"/>
      <c r="AE243" s="85" t="n"/>
      <c r="AF243" s="86" t="n"/>
      <c r="AG243" s="86" t="n"/>
      <c r="AH243" s="86" t="n"/>
      <c r="AI243" s="85" t="n"/>
      <c r="AJ243" s="85" t="n"/>
      <c r="AK243" s="85">
        <f>IF($A243="","",IF($M243&gt;0,"Yes","No"))</f>
        <v/>
      </c>
      <c r="AL243" s="85">
        <f>IF($A243="","",IF(AND($E243="Yes",OR($Y243="No",$Y243="NOT FOUND")),"YES",""))</f>
        <v/>
      </c>
      <c r="AM243" s="85">
        <f>IF($A243="","",TRIM(IF(AND($P243=0,$I243&lt;&gt;"Yes"),"T0-NoPhishResistant ","")&amp;IF($H243="No","NoMFA ","")&amp;IF(AND($P243=0,$M243&gt;0),"T0-Standing ","")&amp;IF(AND($P243=0,$Q243="Group only"),"T0-ViaGroupOnly ","")&amp;IF($W243="Yes","AlsoAzureRBAC ","")))</f>
        <v/>
      </c>
      <c r="AN243" s="85">
        <f>IF($A243="","",IF(AG243="","Not Enrolled",IF(TODAY()&gt;AG243,"Review Overdue",IF(AG243-TODAY()&lt;=30,"Review Due Soon","Active"))))</f>
        <v/>
      </c>
      <c r="AO243" s="85">
        <f>IF($A243="","",IF(AH243="","NOT REVIEWED",IF(TODAY()-AH243&gt;90,"OVERDUE",IF(TODAY()-AH243&gt;76,"Due Soon","Current"))))</f>
        <v/>
      </c>
    </row>
    <row r="244" ht="15" customHeight="1" s="39">
      <c r="A244" s="85" t="n"/>
      <c r="B244" s="85" t="n"/>
      <c r="C244" s="85" t="n"/>
      <c r="D244" s="85" t="n"/>
      <c r="E244" s="85" t="n"/>
      <c r="F244" s="86" t="n"/>
      <c r="G244" s="86" t="n"/>
      <c r="H244" s="85" t="n"/>
      <c r="I244" s="85" t="n"/>
      <c r="J244" s="85" t="n"/>
      <c r="K244" s="85" t="n"/>
      <c r="L244" s="85" t="n"/>
      <c r="M244" s="85" t="n"/>
      <c r="N244" s="85" t="n"/>
      <c r="O244" s="85" t="n"/>
      <c r="P244" s="85" t="n"/>
      <c r="Q244" s="85" t="n"/>
      <c r="R244" s="85" t="n"/>
      <c r="S244" s="85" t="n"/>
      <c r="T244" s="85" t="n"/>
      <c r="U244" s="85" t="n"/>
      <c r="V244" s="85" t="n"/>
      <c r="W244" s="85" t="n"/>
      <c r="X244" s="85" t="n"/>
      <c r="Y244" s="85" t="n"/>
      <c r="Z244" s="85" t="n"/>
      <c r="AA244" s="85" t="n"/>
      <c r="AB244" s="85" t="n"/>
      <c r="AC244" s="85" t="n"/>
      <c r="AD244" s="85" t="n"/>
      <c r="AE244" s="85" t="n"/>
      <c r="AF244" s="86" t="n"/>
      <c r="AG244" s="86" t="n"/>
      <c r="AH244" s="86" t="n"/>
      <c r="AI244" s="85" t="n"/>
      <c r="AJ244" s="85" t="n"/>
      <c r="AK244" s="85">
        <f>IF($A244="","",IF($M244&gt;0,"Yes","No"))</f>
        <v/>
      </c>
      <c r="AL244" s="85">
        <f>IF($A244="","",IF(AND($E244="Yes",OR($Y244="No",$Y244="NOT FOUND")),"YES",""))</f>
        <v/>
      </c>
      <c r="AM244" s="85">
        <f>IF($A244="","",TRIM(IF(AND($P244=0,$I244&lt;&gt;"Yes"),"T0-NoPhishResistant ","")&amp;IF($H244="No","NoMFA ","")&amp;IF(AND($P244=0,$M244&gt;0),"T0-Standing ","")&amp;IF(AND($P244=0,$Q244="Group only"),"T0-ViaGroupOnly ","")&amp;IF($W244="Yes","AlsoAzureRBAC ","")))</f>
        <v/>
      </c>
      <c r="AN244" s="85">
        <f>IF($A244="","",IF(AG244="","Not Enrolled",IF(TODAY()&gt;AG244,"Review Overdue",IF(AG244-TODAY()&lt;=30,"Review Due Soon","Active"))))</f>
        <v/>
      </c>
      <c r="AO244" s="85">
        <f>IF($A244="","",IF(AH244="","NOT REVIEWED",IF(TODAY()-AH244&gt;90,"OVERDUE",IF(TODAY()-AH244&gt;76,"Due Soon","Current"))))</f>
        <v/>
      </c>
    </row>
    <row r="245" ht="15" customHeight="1" s="39">
      <c r="A245" s="85" t="n"/>
      <c r="B245" s="85" t="n"/>
      <c r="C245" s="85" t="n"/>
      <c r="D245" s="85" t="n"/>
      <c r="E245" s="85" t="n"/>
      <c r="F245" s="86" t="n"/>
      <c r="G245" s="86" t="n"/>
      <c r="H245" s="85" t="n"/>
      <c r="I245" s="85" t="n"/>
      <c r="J245" s="85" t="n"/>
      <c r="K245" s="85" t="n"/>
      <c r="L245" s="85" t="n"/>
      <c r="M245" s="85" t="n"/>
      <c r="N245" s="85" t="n"/>
      <c r="O245" s="85" t="n"/>
      <c r="P245" s="85" t="n"/>
      <c r="Q245" s="85" t="n"/>
      <c r="R245" s="85" t="n"/>
      <c r="S245" s="85" t="n"/>
      <c r="T245" s="85" t="n"/>
      <c r="U245" s="85" t="n"/>
      <c r="V245" s="85" t="n"/>
      <c r="W245" s="85" t="n"/>
      <c r="X245" s="85" t="n"/>
      <c r="Y245" s="85" t="n"/>
      <c r="Z245" s="85" t="n"/>
      <c r="AA245" s="85" t="n"/>
      <c r="AB245" s="85" t="n"/>
      <c r="AC245" s="85" t="n"/>
      <c r="AD245" s="85" t="n"/>
      <c r="AE245" s="85" t="n"/>
      <c r="AF245" s="86" t="n"/>
      <c r="AG245" s="86" t="n"/>
      <c r="AH245" s="86" t="n"/>
      <c r="AI245" s="85" t="n"/>
      <c r="AJ245" s="85" t="n"/>
      <c r="AK245" s="85">
        <f>IF($A245="","",IF($M245&gt;0,"Yes","No"))</f>
        <v/>
      </c>
      <c r="AL245" s="85">
        <f>IF($A245="","",IF(AND($E245="Yes",OR($Y245="No",$Y245="NOT FOUND")),"YES",""))</f>
        <v/>
      </c>
      <c r="AM245" s="85">
        <f>IF($A245="","",TRIM(IF(AND($P245=0,$I245&lt;&gt;"Yes"),"T0-NoPhishResistant ","")&amp;IF($H245="No","NoMFA ","")&amp;IF(AND($P245=0,$M245&gt;0),"T0-Standing ","")&amp;IF(AND($P245=0,$Q245="Group only"),"T0-ViaGroupOnly ","")&amp;IF($W245="Yes","AlsoAzureRBAC ","")))</f>
        <v/>
      </c>
      <c r="AN245" s="85">
        <f>IF($A245="","",IF(AG245="","Not Enrolled",IF(TODAY()&gt;AG245,"Review Overdue",IF(AG245-TODAY()&lt;=30,"Review Due Soon","Active"))))</f>
        <v/>
      </c>
      <c r="AO245" s="85">
        <f>IF($A245="","",IF(AH245="","NOT REVIEWED",IF(TODAY()-AH245&gt;90,"OVERDUE",IF(TODAY()-AH245&gt;76,"Due Soon","Current"))))</f>
        <v/>
      </c>
    </row>
    <row r="246" ht="15" customHeight="1" s="39">
      <c r="A246" s="85" t="n"/>
      <c r="B246" s="85" t="n"/>
      <c r="C246" s="85" t="n"/>
      <c r="D246" s="85" t="n"/>
      <c r="E246" s="85" t="n"/>
      <c r="F246" s="86" t="n"/>
      <c r="G246" s="86" t="n"/>
      <c r="H246" s="85" t="n"/>
      <c r="I246" s="85" t="n"/>
      <c r="J246" s="85" t="n"/>
      <c r="K246" s="85" t="n"/>
      <c r="L246" s="85" t="n"/>
      <c r="M246" s="85" t="n"/>
      <c r="N246" s="85" t="n"/>
      <c r="O246" s="85" t="n"/>
      <c r="P246" s="85" t="n"/>
      <c r="Q246" s="85" t="n"/>
      <c r="R246" s="85" t="n"/>
      <c r="S246" s="85" t="n"/>
      <c r="T246" s="85" t="n"/>
      <c r="U246" s="85" t="n"/>
      <c r="V246" s="85" t="n"/>
      <c r="W246" s="85" t="n"/>
      <c r="X246" s="85" t="n"/>
      <c r="Y246" s="85" t="n"/>
      <c r="Z246" s="85" t="n"/>
      <c r="AA246" s="85" t="n"/>
      <c r="AB246" s="85" t="n"/>
      <c r="AC246" s="85" t="n"/>
      <c r="AD246" s="85" t="n"/>
      <c r="AE246" s="85" t="n"/>
      <c r="AF246" s="86" t="n"/>
      <c r="AG246" s="86" t="n"/>
      <c r="AH246" s="86" t="n"/>
      <c r="AI246" s="85" t="n"/>
      <c r="AJ246" s="85" t="n"/>
      <c r="AK246" s="85">
        <f>IF($A246="","",IF($M246&gt;0,"Yes","No"))</f>
        <v/>
      </c>
      <c r="AL246" s="85">
        <f>IF($A246="","",IF(AND($E246="Yes",OR($Y246="No",$Y246="NOT FOUND")),"YES",""))</f>
        <v/>
      </c>
      <c r="AM246" s="85">
        <f>IF($A246="","",TRIM(IF(AND($P246=0,$I246&lt;&gt;"Yes"),"T0-NoPhishResistant ","")&amp;IF($H246="No","NoMFA ","")&amp;IF(AND($P246=0,$M246&gt;0),"T0-Standing ","")&amp;IF(AND($P246=0,$Q246="Group only"),"T0-ViaGroupOnly ","")&amp;IF($W246="Yes","AlsoAzureRBAC ","")))</f>
        <v/>
      </c>
      <c r="AN246" s="85">
        <f>IF($A246="","",IF(AG246="","Not Enrolled",IF(TODAY()&gt;AG246,"Review Overdue",IF(AG246-TODAY()&lt;=30,"Review Due Soon","Active"))))</f>
        <v/>
      </c>
      <c r="AO246" s="85">
        <f>IF($A246="","",IF(AH246="","NOT REVIEWED",IF(TODAY()-AH246&gt;90,"OVERDUE",IF(TODAY()-AH246&gt;76,"Due Soon","Current"))))</f>
        <v/>
      </c>
    </row>
    <row r="247" ht="15" customHeight="1" s="39">
      <c r="A247" s="85" t="n"/>
      <c r="B247" s="85" t="n"/>
      <c r="C247" s="85" t="n"/>
      <c r="D247" s="85" t="n"/>
      <c r="E247" s="85" t="n"/>
      <c r="F247" s="86" t="n"/>
      <c r="G247" s="86" t="n"/>
      <c r="H247" s="85" t="n"/>
      <c r="I247" s="85" t="n"/>
      <c r="J247" s="85" t="n"/>
      <c r="K247" s="85" t="n"/>
      <c r="L247" s="85" t="n"/>
      <c r="M247" s="85" t="n"/>
      <c r="N247" s="85" t="n"/>
      <c r="O247" s="85" t="n"/>
      <c r="P247" s="85" t="n"/>
      <c r="Q247" s="85" t="n"/>
      <c r="R247" s="85" t="n"/>
      <c r="S247" s="85" t="n"/>
      <c r="T247" s="85" t="n"/>
      <c r="U247" s="85" t="n"/>
      <c r="V247" s="85" t="n"/>
      <c r="W247" s="85" t="n"/>
      <c r="X247" s="85" t="n"/>
      <c r="Y247" s="85" t="n"/>
      <c r="Z247" s="85" t="n"/>
      <c r="AA247" s="85" t="n"/>
      <c r="AB247" s="85" t="n"/>
      <c r="AC247" s="85" t="n"/>
      <c r="AD247" s="85" t="n"/>
      <c r="AE247" s="85" t="n"/>
      <c r="AF247" s="86" t="n"/>
      <c r="AG247" s="86" t="n"/>
      <c r="AH247" s="86" t="n"/>
      <c r="AI247" s="85" t="n"/>
      <c r="AJ247" s="85" t="n"/>
      <c r="AK247" s="85">
        <f>IF($A247="","",IF($M247&gt;0,"Yes","No"))</f>
        <v/>
      </c>
      <c r="AL247" s="85">
        <f>IF($A247="","",IF(AND($E247="Yes",OR($Y247="No",$Y247="NOT FOUND")),"YES",""))</f>
        <v/>
      </c>
      <c r="AM247" s="85">
        <f>IF($A247="","",TRIM(IF(AND($P247=0,$I247&lt;&gt;"Yes"),"T0-NoPhishResistant ","")&amp;IF($H247="No","NoMFA ","")&amp;IF(AND($P247=0,$M247&gt;0),"T0-Standing ","")&amp;IF(AND($P247=0,$Q247="Group only"),"T0-ViaGroupOnly ","")&amp;IF($W247="Yes","AlsoAzureRBAC ","")))</f>
        <v/>
      </c>
      <c r="AN247" s="85">
        <f>IF($A247="","",IF(AG247="","Not Enrolled",IF(TODAY()&gt;AG247,"Review Overdue",IF(AG247-TODAY()&lt;=30,"Review Due Soon","Active"))))</f>
        <v/>
      </c>
      <c r="AO247" s="85">
        <f>IF($A247="","",IF(AH247="","NOT REVIEWED",IF(TODAY()-AH247&gt;90,"OVERDUE",IF(TODAY()-AH247&gt;76,"Due Soon","Current"))))</f>
        <v/>
      </c>
    </row>
    <row r="248" ht="15" customHeight="1" s="39">
      <c r="A248" s="85" t="n"/>
      <c r="B248" s="85" t="n"/>
      <c r="C248" s="85" t="n"/>
      <c r="D248" s="85" t="n"/>
      <c r="E248" s="85" t="n"/>
      <c r="F248" s="86" t="n"/>
      <c r="G248" s="86" t="n"/>
      <c r="H248" s="85" t="n"/>
      <c r="I248" s="85" t="n"/>
      <c r="J248" s="85" t="n"/>
      <c r="K248" s="85" t="n"/>
      <c r="L248" s="85" t="n"/>
      <c r="M248" s="85" t="n"/>
      <c r="N248" s="85" t="n"/>
      <c r="O248" s="85" t="n"/>
      <c r="P248" s="85" t="n"/>
      <c r="Q248" s="85" t="n"/>
      <c r="R248" s="85" t="n"/>
      <c r="S248" s="85" t="n"/>
      <c r="T248" s="85" t="n"/>
      <c r="U248" s="85" t="n"/>
      <c r="V248" s="85" t="n"/>
      <c r="W248" s="85" t="n"/>
      <c r="X248" s="85" t="n"/>
      <c r="Y248" s="85" t="n"/>
      <c r="Z248" s="85" t="n"/>
      <c r="AA248" s="85" t="n"/>
      <c r="AB248" s="85" t="n"/>
      <c r="AC248" s="85" t="n"/>
      <c r="AD248" s="85" t="n"/>
      <c r="AE248" s="85" t="n"/>
      <c r="AF248" s="86" t="n"/>
      <c r="AG248" s="86" t="n"/>
      <c r="AH248" s="86" t="n"/>
      <c r="AI248" s="85" t="n"/>
      <c r="AJ248" s="85" t="n"/>
      <c r="AK248" s="85">
        <f>IF($A248="","",IF($M248&gt;0,"Yes","No"))</f>
        <v/>
      </c>
      <c r="AL248" s="85">
        <f>IF($A248="","",IF(AND($E248="Yes",OR($Y248="No",$Y248="NOT FOUND")),"YES",""))</f>
        <v/>
      </c>
      <c r="AM248" s="85">
        <f>IF($A248="","",TRIM(IF(AND($P248=0,$I248&lt;&gt;"Yes"),"T0-NoPhishResistant ","")&amp;IF($H248="No","NoMFA ","")&amp;IF(AND($P248=0,$M248&gt;0),"T0-Standing ","")&amp;IF(AND($P248=0,$Q248="Group only"),"T0-ViaGroupOnly ","")&amp;IF($W248="Yes","AlsoAzureRBAC ","")))</f>
        <v/>
      </c>
      <c r="AN248" s="85">
        <f>IF($A248="","",IF(AG248="","Not Enrolled",IF(TODAY()&gt;AG248,"Review Overdue",IF(AG248-TODAY()&lt;=30,"Review Due Soon","Active"))))</f>
        <v/>
      </c>
      <c r="AO248" s="85">
        <f>IF($A248="","",IF(AH248="","NOT REVIEWED",IF(TODAY()-AH248&gt;90,"OVERDUE",IF(TODAY()-AH248&gt;76,"Due Soon","Current"))))</f>
        <v/>
      </c>
    </row>
    <row r="249" ht="15" customHeight="1" s="39">
      <c r="A249" s="85" t="n"/>
      <c r="B249" s="85" t="n"/>
      <c r="C249" s="85" t="n"/>
      <c r="D249" s="85" t="n"/>
      <c r="E249" s="85" t="n"/>
      <c r="F249" s="86" t="n"/>
      <c r="G249" s="86" t="n"/>
      <c r="H249" s="85" t="n"/>
      <c r="I249" s="85" t="n"/>
      <c r="J249" s="85" t="n"/>
      <c r="K249" s="85" t="n"/>
      <c r="L249" s="85" t="n"/>
      <c r="M249" s="85" t="n"/>
      <c r="N249" s="85" t="n"/>
      <c r="O249" s="85" t="n"/>
      <c r="P249" s="85" t="n"/>
      <c r="Q249" s="85" t="n"/>
      <c r="R249" s="85" t="n"/>
      <c r="S249" s="85" t="n"/>
      <c r="T249" s="85" t="n"/>
      <c r="U249" s="85" t="n"/>
      <c r="V249" s="85" t="n"/>
      <c r="W249" s="85" t="n"/>
      <c r="X249" s="85" t="n"/>
      <c r="Y249" s="85" t="n"/>
      <c r="Z249" s="85" t="n"/>
      <c r="AA249" s="85" t="n"/>
      <c r="AB249" s="85" t="n"/>
      <c r="AC249" s="85" t="n"/>
      <c r="AD249" s="85" t="n"/>
      <c r="AE249" s="85" t="n"/>
      <c r="AF249" s="86" t="n"/>
      <c r="AG249" s="86" t="n"/>
      <c r="AH249" s="86" t="n"/>
      <c r="AI249" s="85" t="n"/>
      <c r="AJ249" s="85" t="n"/>
      <c r="AK249" s="85">
        <f>IF($A249="","",IF($M249&gt;0,"Yes","No"))</f>
        <v/>
      </c>
      <c r="AL249" s="85">
        <f>IF($A249="","",IF(AND($E249="Yes",OR($Y249="No",$Y249="NOT FOUND")),"YES",""))</f>
        <v/>
      </c>
      <c r="AM249" s="85">
        <f>IF($A249="","",TRIM(IF(AND($P249=0,$I249&lt;&gt;"Yes"),"T0-NoPhishResistant ","")&amp;IF($H249="No","NoMFA ","")&amp;IF(AND($P249=0,$M249&gt;0),"T0-Standing ","")&amp;IF(AND($P249=0,$Q249="Group only"),"T0-ViaGroupOnly ","")&amp;IF($W249="Yes","AlsoAzureRBAC ","")))</f>
        <v/>
      </c>
      <c r="AN249" s="85">
        <f>IF($A249="","",IF(AG249="","Not Enrolled",IF(TODAY()&gt;AG249,"Review Overdue",IF(AG249-TODAY()&lt;=30,"Review Due Soon","Active"))))</f>
        <v/>
      </c>
      <c r="AO249" s="85">
        <f>IF($A249="","",IF(AH249="","NOT REVIEWED",IF(TODAY()-AH249&gt;90,"OVERDUE",IF(TODAY()-AH249&gt;76,"Due Soon","Current"))))</f>
        <v/>
      </c>
    </row>
    <row r="250" ht="15" customHeight="1" s="39">
      <c r="A250" s="85" t="n"/>
      <c r="B250" s="85" t="n"/>
      <c r="C250" s="85" t="n"/>
      <c r="D250" s="85" t="n"/>
      <c r="E250" s="85" t="n"/>
      <c r="F250" s="86" t="n"/>
      <c r="G250" s="86" t="n"/>
      <c r="H250" s="85" t="n"/>
      <c r="I250" s="85" t="n"/>
      <c r="J250" s="85" t="n"/>
      <c r="K250" s="85" t="n"/>
      <c r="L250" s="85" t="n"/>
      <c r="M250" s="85" t="n"/>
      <c r="N250" s="85" t="n"/>
      <c r="O250" s="85" t="n"/>
      <c r="P250" s="85" t="n"/>
      <c r="Q250" s="85" t="n"/>
      <c r="R250" s="85" t="n"/>
      <c r="S250" s="85" t="n"/>
      <c r="T250" s="85" t="n"/>
      <c r="U250" s="85" t="n"/>
      <c r="V250" s="85" t="n"/>
      <c r="W250" s="85" t="n"/>
      <c r="X250" s="85" t="n"/>
      <c r="Y250" s="85" t="n"/>
      <c r="Z250" s="85" t="n"/>
      <c r="AA250" s="85" t="n"/>
      <c r="AB250" s="85" t="n"/>
      <c r="AC250" s="85" t="n"/>
      <c r="AD250" s="85" t="n"/>
      <c r="AE250" s="85" t="n"/>
      <c r="AF250" s="86" t="n"/>
      <c r="AG250" s="86" t="n"/>
      <c r="AH250" s="86" t="n"/>
      <c r="AI250" s="85" t="n"/>
      <c r="AJ250" s="85" t="n"/>
      <c r="AK250" s="85">
        <f>IF($A250="","",IF($M250&gt;0,"Yes","No"))</f>
        <v/>
      </c>
      <c r="AL250" s="85">
        <f>IF($A250="","",IF(AND($E250="Yes",OR($Y250="No",$Y250="NOT FOUND")),"YES",""))</f>
        <v/>
      </c>
      <c r="AM250" s="85">
        <f>IF($A250="","",TRIM(IF(AND($P250=0,$I250&lt;&gt;"Yes"),"T0-NoPhishResistant ","")&amp;IF($H250="No","NoMFA ","")&amp;IF(AND($P250=0,$M250&gt;0),"T0-Standing ","")&amp;IF(AND($P250=0,$Q250="Group only"),"T0-ViaGroupOnly ","")&amp;IF($W250="Yes","AlsoAzureRBAC ","")))</f>
        <v/>
      </c>
      <c r="AN250" s="85">
        <f>IF($A250="","",IF(AG250="","Not Enrolled",IF(TODAY()&gt;AG250,"Review Overdue",IF(AG250-TODAY()&lt;=30,"Review Due Soon","Active"))))</f>
        <v/>
      </c>
      <c r="AO250" s="85">
        <f>IF($A250="","",IF(AH250="","NOT REVIEWED",IF(TODAY()-AH250&gt;90,"OVERDUE",IF(TODAY()-AH250&gt;76,"Due Soon","Current"))))</f>
        <v/>
      </c>
    </row>
    <row r="251" ht="15" customHeight="1" s="39">
      <c r="A251" s="85" t="n"/>
      <c r="B251" s="85" t="n"/>
      <c r="C251" s="85" t="n"/>
      <c r="D251" s="85" t="n"/>
      <c r="E251" s="85" t="n"/>
      <c r="F251" s="86" t="n"/>
      <c r="G251" s="86" t="n"/>
      <c r="H251" s="85" t="n"/>
      <c r="I251" s="85" t="n"/>
      <c r="J251" s="85" t="n"/>
      <c r="K251" s="85" t="n"/>
      <c r="L251" s="85" t="n"/>
      <c r="M251" s="85" t="n"/>
      <c r="N251" s="85" t="n"/>
      <c r="O251" s="85" t="n"/>
      <c r="P251" s="85" t="n"/>
      <c r="Q251" s="85" t="n"/>
      <c r="R251" s="85" t="n"/>
      <c r="S251" s="85" t="n"/>
      <c r="T251" s="85" t="n"/>
      <c r="U251" s="85" t="n"/>
      <c r="V251" s="85" t="n"/>
      <c r="W251" s="85" t="n"/>
      <c r="X251" s="85" t="n"/>
      <c r="Y251" s="85" t="n"/>
      <c r="Z251" s="85" t="n"/>
      <c r="AA251" s="85" t="n"/>
      <c r="AB251" s="85" t="n"/>
      <c r="AC251" s="85" t="n"/>
      <c r="AD251" s="85" t="n"/>
      <c r="AE251" s="85" t="n"/>
      <c r="AF251" s="86" t="n"/>
      <c r="AG251" s="86" t="n"/>
      <c r="AH251" s="86" t="n"/>
      <c r="AI251" s="85" t="n"/>
      <c r="AJ251" s="85" t="n"/>
      <c r="AK251" s="85">
        <f>IF($A251="","",IF($M251&gt;0,"Yes","No"))</f>
        <v/>
      </c>
      <c r="AL251" s="85">
        <f>IF($A251="","",IF(AND($E251="Yes",OR($Y251="No",$Y251="NOT FOUND")),"YES",""))</f>
        <v/>
      </c>
      <c r="AM251" s="85">
        <f>IF($A251="","",TRIM(IF(AND($P251=0,$I251&lt;&gt;"Yes"),"T0-NoPhishResistant ","")&amp;IF($H251="No","NoMFA ","")&amp;IF(AND($P251=0,$M251&gt;0),"T0-Standing ","")&amp;IF(AND($P251=0,$Q251="Group only"),"T0-ViaGroupOnly ","")&amp;IF($W251="Yes","AlsoAzureRBAC ","")))</f>
        <v/>
      </c>
      <c r="AN251" s="85">
        <f>IF($A251="","",IF(AG251="","Not Enrolled",IF(TODAY()&gt;AG251,"Review Overdue",IF(AG251-TODAY()&lt;=30,"Review Due Soon","Active"))))</f>
        <v/>
      </c>
      <c r="AO251" s="85">
        <f>IF($A251="","",IF(AH251="","NOT REVIEWED",IF(TODAY()-AH251&gt;90,"OVERDUE",IF(TODAY()-AH251&gt;76,"Due Soon","Current"))))</f>
        <v/>
      </c>
    </row>
    <row r="252" ht="15" customHeight="1" s="39">
      <c r="A252" s="85" t="n"/>
      <c r="B252" s="85" t="n"/>
      <c r="C252" s="85" t="n"/>
      <c r="D252" s="85" t="n"/>
      <c r="E252" s="85" t="n"/>
      <c r="F252" s="86" t="n"/>
      <c r="G252" s="86" t="n"/>
      <c r="H252" s="85" t="n"/>
      <c r="I252" s="85" t="n"/>
      <c r="J252" s="85" t="n"/>
      <c r="K252" s="85" t="n"/>
      <c r="L252" s="85" t="n"/>
      <c r="M252" s="85" t="n"/>
      <c r="N252" s="85" t="n"/>
      <c r="O252" s="85" t="n"/>
      <c r="P252" s="85" t="n"/>
      <c r="Q252" s="85" t="n"/>
      <c r="R252" s="85" t="n"/>
      <c r="S252" s="85" t="n"/>
      <c r="T252" s="85" t="n"/>
      <c r="U252" s="85" t="n"/>
      <c r="V252" s="85" t="n"/>
      <c r="W252" s="85" t="n"/>
      <c r="X252" s="85" t="n"/>
      <c r="Y252" s="85" t="n"/>
      <c r="Z252" s="85" t="n"/>
      <c r="AA252" s="85" t="n"/>
      <c r="AB252" s="85" t="n"/>
      <c r="AC252" s="85" t="n"/>
      <c r="AD252" s="85" t="n"/>
      <c r="AE252" s="85" t="n"/>
      <c r="AF252" s="86" t="n"/>
      <c r="AG252" s="86" t="n"/>
      <c r="AH252" s="86" t="n"/>
      <c r="AI252" s="85" t="n"/>
      <c r="AJ252" s="85" t="n"/>
      <c r="AK252" s="85">
        <f>IF($A252="","",IF($M252&gt;0,"Yes","No"))</f>
        <v/>
      </c>
      <c r="AL252" s="85">
        <f>IF($A252="","",IF(AND($E252="Yes",OR($Y252="No",$Y252="NOT FOUND")),"YES",""))</f>
        <v/>
      </c>
      <c r="AM252" s="85">
        <f>IF($A252="","",TRIM(IF(AND($P252=0,$I252&lt;&gt;"Yes"),"T0-NoPhishResistant ","")&amp;IF($H252="No","NoMFA ","")&amp;IF(AND($P252=0,$M252&gt;0),"T0-Standing ","")&amp;IF(AND($P252=0,$Q252="Group only"),"T0-ViaGroupOnly ","")&amp;IF($W252="Yes","AlsoAzureRBAC ","")))</f>
        <v/>
      </c>
      <c r="AN252" s="85">
        <f>IF($A252="","",IF(AG252="","Not Enrolled",IF(TODAY()&gt;AG252,"Review Overdue",IF(AG252-TODAY()&lt;=30,"Review Due Soon","Active"))))</f>
        <v/>
      </c>
      <c r="AO252" s="85">
        <f>IF($A252="","",IF(AH252="","NOT REVIEWED",IF(TODAY()-AH252&gt;90,"OVERDUE",IF(TODAY()-AH252&gt;76,"Due Soon","Current"))))</f>
        <v/>
      </c>
    </row>
    <row r="253" ht="15" customHeight="1" s="39">
      <c r="A253" s="85" t="n"/>
      <c r="B253" s="85" t="n"/>
      <c r="C253" s="85" t="n"/>
      <c r="D253" s="85" t="n"/>
      <c r="E253" s="85" t="n"/>
      <c r="F253" s="86" t="n"/>
      <c r="G253" s="86" t="n"/>
      <c r="H253" s="85" t="n"/>
      <c r="I253" s="85" t="n"/>
      <c r="J253" s="85" t="n"/>
      <c r="K253" s="85" t="n"/>
      <c r="L253" s="85" t="n"/>
      <c r="M253" s="85" t="n"/>
      <c r="N253" s="85" t="n"/>
      <c r="O253" s="85" t="n"/>
      <c r="P253" s="85" t="n"/>
      <c r="Q253" s="85" t="n"/>
      <c r="R253" s="85" t="n"/>
      <c r="S253" s="85" t="n"/>
      <c r="T253" s="85" t="n"/>
      <c r="U253" s="85" t="n"/>
      <c r="V253" s="85" t="n"/>
      <c r="W253" s="85" t="n"/>
      <c r="X253" s="85" t="n"/>
      <c r="Y253" s="85" t="n"/>
      <c r="Z253" s="85" t="n"/>
      <c r="AA253" s="85" t="n"/>
      <c r="AB253" s="85" t="n"/>
      <c r="AC253" s="85" t="n"/>
      <c r="AD253" s="85" t="n"/>
      <c r="AE253" s="85" t="n"/>
      <c r="AF253" s="86" t="n"/>
      <c r="AG253" s="86" t="n"/>
      <c r="AH253" s="86" t="n"/>
      <c r="AI253" s="85" t="n"/>
      <c r="AJ253" s="85" t="n"/>
      <c r="AK253" s="85">
        <f>IF($A253="","",IF($M253&gt;0,"Yes","No"))</f>
        <v/>
      </c>
      <c r="AL253" s="85">
        <f>IF($A253="","",IF(AND($E253="Yes",OR($Y253="No",$Y253="NOT FOUND")),"YES",""))</f>
        <v/>
      </c>
      <c r="AM253" s="85">
        <f>IF($A253="","",TRIM(IF(AND($P253=0,$I253&lt;&gt;"Yes"),"T0-NoPhishResistant ","")&amp;IF($H253="No","NoMFA ","")&amp;IF(AND($P253=0,$M253&gt;0),"T0-Standing ","")&amp;IF(AND($P253=0,$Q253="Group only"),"T0-ViaGroupOnly ","")&amp;IF($W253="Yes","AlsoAzureRBAC ","")))</f>
        <v/>
      </c>
      <c r="AN253" s="85">
        <f>IF($A253="","",IF(AG253="","Not Enrolled",IF(TODAY()&gt;AG253,"Review Overdue",IF(AG253-TODAY()&lt;=30,"Review Due Soon","Active"))))</f>
        <v/>
      </c>
      <c r="AO253" s="85">
        <f>IF($A253="","",IF(AH253="","NOT REVIEWED",IF(TODAY()-AH253&gt;90,"OVERDUE",IF(TODAY()-AH253&gt;76,"Due Soon","Current"))))</f>
        <v/>
      </c>
    </row>
    <row r="254" ht="15" customHeight="1" s="39">
      <c r="A254" s="85" t="n"/>
      <c r="B254" s="85" t="n"/>
      <c r="C254" s="85" t="n"/>
      <c r="D254" s="85" t="n"/>
      <c r="E254" s="85" t="n"/>
      <c r="F254" s="86" t="n"/>
      <c r="G254" s="86" t="n"/>
      <c r="H254" s="85" t="n"/>
      <c r="I254" s="85" t="n"/>
      <c r="J254" s="85" t="n"/>
      <c r="K254" s="85" t="n"/>
      <c r="L254" s="85" t="n"/>
      <c r="M254" s="85" t="n"/>
      <c r="N254" s="85" t="n"/>
      <c r="O254" s="85" t="n"/>
      <c r="P254" s="85" t="n"/>
      <c r="Q254" s="85" t="n"/>
      <c r="R254" s="85" t="n"/>
      <c r="S254" s="85" t="n"/>
      <c r="T254" s="85" t="n"/>
      <c r="U254" s="85" t="n"/>
      <c r="V254" s="85" t="n"/>
      <c r="W254" s="85" t="n"/>
      <c r="X254" s="85" t="n"/>
      <c r="Y254" s="85" t="n"/>
      <c r="Z254" s="85" t="n"/>
      <c r="AA254" s="85" t="n"/>
      <c r="AB254" s="85" t="n"/>
      <c r="AC254" s="85" t="n"/>
      <c r="AD254" s="85" t="n"/>
      <c r="AE254" s="85" t="n"/>
      <c r="AF254" s="86" t="n"/>
      <c r="AG254" s="86" t="n"/>
      <c r="AH254" s="86" t="n"/>
      <c r="AI254" s="85" t="n"/>
      <c r="AJ254" s="85" t="n"/>
      <c r="AK254" s="85">
        <f>IF($A254="","",IF($M254&gt;0,"Yes","No"))</f>
        <v/>
      </c>
      <c r="AL254" s="85">
        <f>IF($A254="","",IF(AND($E254="Yes",OR($Y254="No",$Y254="NOT FOUND")),"YES",""))</f>
        <v/>
      </c>
      <c r="AM254" s="85">
        <f>IF($A254="","",TRIM(IF(AND($P254=0,$I254&lt;&gt;"Yes"),"T0-NoPhishResistant ","")&amp;IF($H254="No","NoMFA ","")&amp;IF(AND($P254=0,$M254&gt;0),"T0-Standing ","")&amp;IF(AND($P254=0,$Q254="Group only"),"T0-ViaGroupOnly ","")&amp;IF($W254="Yes","AlsoAzureRBAC ","")))</f>
        <v/>
      </c>
      <c r="AN254" s="85">
        <f>IF($A254="","",IF(AG254="","Not Enrolled",IF(TODAY()&gt;AG254,"Review Overdue",IF(AG254-TODAY()&lt;=30,"Review Due Soon","Active"))))</f>
        <v/>
      </c>
      <c r="AO254" s="85">
        <f>IF($A254="","",IF(AH254="","NOT REVIEWED",IF(TODAY()-AH254&gt;90,"OVERDUE",IF(TODAY()-AH254&gt;76,"Due Soon","Current"))))</f>
        <v/>
      </c>
    </row>
    <row r="255" ht="15" customHeight="1" s="39">
      <c r="A255" s="85" t="n"/>
      <c r="B255" s="85" t="n"/>
      <c r="C255" s="85" t="n"/>
      <c r="D255" s="85" t="n"/>
      <c r="E255" s="85" t="n"/>
      <c r="F255" s="86" t="n"/>
      <c r="G255" s="86" t="n"/>
      <c r="H255" s="85" t="n"/>
      <c r="I255" s="85" t="n"/>
      <c r="J255" s="85" t="n"/>
      <c r="K255" s="85" t="n"/>
      <c r="L255" s="85" t="n"/>
      <c r="M255" s="85" t="n"/>
      <c r="N255" s="85" t="n"/>
      <c r="O255" s="85" t="n"/>
      <c r="P255" s="85" t="n"/>
      <c r="Q255" s="85" t="n"/>
      <c r="R255" s="85" t="n"/>
      <c r="S255" s="85" t="n"/>
      <c r="T255" s="85" t="n"/>
      <c r="U255" s="85" t="n"/>
      <c r="V255" s="85" t="n"/>
      <c r="W255" s="85" t="n"/>
      <c r="X255" s="85" t="n"/>
      <c r="Y255" s="85" t="n"/>
      <c r="Z255" s="85" t="n"/>
      <c r="AA255" s="85" t="n"/>
      <c r="AB255" s="85" t="n"/>
      <c r="AC255" s="85" t="n"/>
      <c r="AD255" s="85" t="n"/>
      <c r="AE255" s="85" t="n"/>
      <c r="AF255" s="86" t="n"/>
      <c r="AG255" s="86" t="n"/>
      <c r="AH255" s="86" t="n"/>
      <c r="AI255" s="85" t="n"/>
      <c r="AJ255" s="85" t="n"/>
      <c r="AK255" s="85">
        <f>IF($A255="","",IF($M255&gt;0,"Yes","No"))</f>
        <v/>
      </c>
      <c r="AL255" s="85">
        <f>IF($A255="","",IF(AND($E255="Yes",OR($Y255="No",$Y255="NOT FOUND")),"YES",""))</f>
        <v/>
      </c>
      <c r="AM255" s="85">
        <f>IF($A255="","",TRIM(IF(AND($P255=0,$I255&lt;&gt;"Yes"),"T0-NoPhishResistant ","")&amp;IF($H255="No","NoMFA ","")&amp;IF(AND($P255=0,$M255&gt;0),"T0-Standing ","")&amp;IF(AND($P255=0,$Q255="Group only"),"T0-ViaGroupOnly ","")&amp;IF($W255="Yes","AlsoAzureRBAC ","")))</f>
        <v/>
      </c>
      <c r="AN255" s="85">
        <f>IF($A255="","",IF(AG255="","Not Enrolled",IF(TODAY()&gt;AG255,"Review Overdue",IF(AG255-TODAY()&lt;=30,"Review Due Soon","Active"))))</f>
        <v/>
      </c>
      <c r="AO255" s="85">
        <f>IF($A255="","",IF(AH255="","NOT REVIEWED",IF(TODAY()-AH255&gt;90,"OVERDUE",IF(TODAY()-AH255&gt;76,"Due Soon","Current"))))</f>
        <v/>
      </c>
    </row>
    <row r="256" ht="15" customHeight="1" s="39">
      <c r="A256" s="85" t="n"/>
      <c r="B256" s="85" t="n"/>
      <c r="C256" s="85" t="n"/>
      <c r="D256" s="85" t="n"/>
      <c r="E256" s="85" t="n"/>
      <c r="F256" s="86" t="n"/>
      <c r="G256" s="86" t="n"/>
      <c r="H256" s="85" t="n"/>
      <c r="I256" s="85" t="n"/>
      <c r="J256" s="85" t="n"/>
      <c r="K256" s="85" t="n"/>
      <c r="L256" s="85" t="n"/>
      <c r="M256" s="85" t="n"/>
      <c r="N256" s="85" t="n"/>
      <c r="O256" s="85" t="n"/>
      <c r="P256" s="85" t="n"/>
      <c r="Q256" s="85" t="n"/>
      <c r="R256" s="85" t="n"/>
      <c r="S256" s="85" t="n"/>
      <c r="T256" s="85" t="n"/>
      <c r="U256" s="85" t="n"/>
      <c r="V256" s="85" t="n"/>
      <c r="W256" s="85" t="n"/>
      <c r="X256" s="85" t="n"/>
      <c r="Y256" s="85" t="n"/>
      <c r="Z256" s="85" t="n"/>
      <c r="AA256" s="85" t="n"/>
      <c r="AB256" s="85" t="n"/>
      <c r="AC256" s="85" t="n"/>
      <c r="AD256" s="85" t="n"/>
      <c r="AE256" s="85" t="n"/>
      <c r="AF256" s="86" t="n"/>
      <c r="AG256" s="86" t="n"/>
      <c r="AH256" s="86" t="n"/>
      <c r="AI256" s="85" t="n"/>
      <c r="AJ256" s="85" t="n"/>
      <c r="AK256" s="85">
        <f>IF($A256="","",IF($M256&gt;0,"Yes","No"))</f>
        <v/>
      </c>
      <c r="AL256" s="85">
        <f>IF($A256="","",IF(AND($E256="Yes",OR($Y256="No",$Y256="NOT FOUND")),"YES",""))</f>
        <v/>
      </c>
      <c r="AM256" s="85">
        <f>IF($A256="","",TRIM(IF(AND($P256=0,$I256&lt;&gt;"Yes"),"T0-NoPhishResistant ","")&amp;IF($H256="No","NoMFA ","")&amp;IF(AND($P256=0,$M256&gt;0),"T0-Standing ","")&amp;IF(AND($P256=0,$Q256="Group only"),"T0-ViaGroupOnly ","")&amp;IF($W256="Yes","AlsoAzureRBAC ","")))</f>
        <v/>
      </c>
      <c r="AN256" s="85">
        <f>IF($A256="","",IF(AG256="","Not Enrolled",IF(TODAY()&gt;AG256,"Review Overdue",IF(AG256-TODAY()&lt;=30,"Review Due Soon","Active"))))</f>
        <v/>
      </c>
      <c r="AO256" s="85">
        <f>IF($A256="","",IF(AH256="","NOT REVIEWED",IF(TODAY()-AH256&gt;90,"OVERDUE",IF(TODAY()-AH256&gt;76,"Due Soon","Current"))))</f>
        <v/>
      </c>
    </row>
    <row r="257" ht="15" customHeight="1" s="39">
      <c r="A257" s="85" t="n"/>
      <c r="B257" s="85" t="n"/>
      <c r="C257" s="85" t="n"/>
      <c r="D257" s="85" t="n"/>
      <c r="E257" s="85" t="n"/>
      <c r="F257" s="86" t="n"/>
      <c r="G257" s="86" t="n"/>
      <c r="H257" s="85" t="n"/>
      <c r="I257" s="85" t="n"/>
      <c r="J257" s="85" t="n"/>
      <c r="K257" s="85" t="n"/>
      <c r="L257" s="85" t="n"/>
      <c r="M257" s="85" t="n"/>
      <c r="N257" s="85" t="n"/>
      <c r="O257" s="85" t="n"/>
      <c r="P257" s="85" t="n"/>
      <c r="Q257" s="85" t="n"/>
      <c r="R257" s="85" t="n"/>
      <c r="S257" s="85" t="n"/>
      <c r="T257" s="85" t="n"/>
      <c r="U257" s="85" t="n"/>
      <c r="V257" s="85" t="n"/>
      <c r="W257" s="85" t="n"/>
      <c r="X257" s="85" t="n"/>
      <c r="Y257" s="85" t="n"/>
      <c r="Z257" s="85" t="n"/>
      <c r="AA257" s="85" t="n"/>
      <c r="AB257" s="85" t="n"/>
      <c r="AC257" s="85" t="n"/>
      <c r="AD257" s="85" t="n"/>
      <c r="AE257" s="85" t="n"/>
      <c r="AF257" s="86" t="n"/>
      <c r="AG257" s="86" t="n"/>
      <c r="AH257" s="86" t="n"/>
      <c r="AI257" s="85" t="n"/>
      <c r="AJ257" s="85" t="n"/>
      <c r="AK257" s="85">
        <f>IF($A257="","",IF($M257&gt;0,"Yes","No"))</f>
        <v/>
      </c>
      <c r="AL257" s="85">
        <f>IF($A257="","",IF(AND($E257="Yes",OR($Y257="No",$Y257="NOT FOUND")),"YES",""))</f>
        <v/>
      </c>
      <c r="AM257" s="85">
        <f>IF($A257="","",TRIM(IF(AND($P257=0,$I257&lt;&gt;"Yes"),"T0-NoPhishResistant ","")&amp;IF($H257="No","NoMFA ","")&amp;IF(AND($P257=0,$M257&gt;0),"T0-Standing ","")&amp;IF(AND($P257=0,$Q257="Group only"),"T0-ViaGroupOnly ","")&amp;IF($W257="Yes","AlsoAzureRBAC ","")))</f>
        <v/>
      </c>
      <c r="AN257" s="85">
        <f>IF($A257="","",IF(AG257="","Not Enrolled",IF(TODAY()&gt;AG257,"Review Overdue",IF(AG257-TODAY()&lt;=30,"Review Due Soon","Active"))))</f>
        <v/>
      </c>
      <c r="AO257" s="85">
        <f>IF($A257="","",IF(AH257="","NOT REVIEWED",IF(TODAY()-AH257&gt;90,"OVERDUE",IF(TODAY()-AH257&gt;76,"Due Soon","Current"))))</f>
        <v/>
      </c>
    </row>
    <row r="258" ht="15" customHeight="1" s="39">
      <c r="A258" s="85" t="n"/>
      <c r="B258" s="85" t="n"/>
      <c r="C258" s="85" t="n"/>
      <c r="D258" s="85" t="n"/>
      <c r="E258" s="85" t="n"/>
      <c r="F258" s="86" t="n"/>
      <c r="G258" s="86" t="n"/>
      <c r="H258" s="85" t="n"/>
      <c r="I258" s="85" t="n"/>
      <c r="J258" s="85" t="n"/>
      <c r="K258" s="85" t="n"/>
      <c r="L258" s="85" t="n"/>
      <c r="M258" s="85" t="n"/>
      <c r="N258" s="85" t="n"/>
      <c r="O258" s="85" t="n"/>
      <c r="P258" s="85" t="n"/>
      <c r="Q258" s="85" t="n"/>
      <c r="R258" s="85" t="n"/>
      <c r="S258" s="85" t="n"/>
      <c r="T258" s="85" t="n"/>
      <c r="U258" s="85" t="n"/>
      <c r="V258" s="85" t="n"/>
      <c r="W258" s="85" t="n"/>
      <c r="X258" s="85" t="n"/>
      <c r="Y258" s="85" t="n"/>
      <c r="Z258" s="85" t="n"/>
      <c r="AA258" s="85" t="n"/>
      <c r="AB258" s="85" t="n"/>
      <c r="AC258" s="85" t="n"/>
      <c r="AD258" s="85" t="n"/>
      <c r="AE258" s="85" t="n"/>
      <c r="AF258" s="86" t="n"/>
      <c r="AG258" s="86" t="n"/>
      <c r="AH258" s="86" t="n"/>
      <c r="AI258" s="85" t="n"/>
      <c r="AJ258" s="85" t="n"/>
      <c r="AK258" s="85">
        <f>IF($A258="","",IF($M258&gt;0,"Yes","No"))</f>
        <v/>
      </c>
      <c r="AL258" s="85">
        <f>IF($A258="","",IF(AND($E258="Yes",OR($Y258="No",$Y258="NOT FOUND")),"YES",""))</f>
        <v/>
      </c>
      <c r="AM258" s="85">
        <f>IF($A258="","",TRIM(IF(AND($P258=0,$I258&lt;&gt;"Yes"),"T0-NoPhishResistant ","")&amp;IF($H258="No","NoMFA ","")&amp;IF(AND($P258=0,$M258&gt;0),"T0-Standing ","")&amp;IF(AND($P258=0,$Q258="Group only"),"T0-ViaGroupOnly ","")&amp;IF($W258="Yes","AlsoAzureRBAC ","")))</f>
        <v/>
      </c>
      <c r="AN258" s="85">
        <f>IF($A258="","",IF(AG258="","Not Enrolled",IF(TODAY()&gt;AG258,"Review Overdue",IF(AG258-TODAY()&lt;=30,"Review Due Soon","Active"))))</f>
        <v/>
      </c>
      <c r="AO258" s="85">
        <f>IF($A258="","",IF(AH258="","NOT REVIEWED",IF(TODAY()-AH258&gt;90,"OVERDUE",IF(TODAY()-AH258&gt;76,"Due Soon","Current"))))</f>
        <v/>
      </c>
    </row>
    <row r="259" ht="15" customHeight="1" s="39">
      <c r="A259" s="85" t="n"/>
      <c r="B259" s="85" t="n"/>
      <c r="C259" s="85" t="n"/>
      <c r="D259" s="85" t="n"/>
      <c r="E259" s="85" t="n"/>
      <c r="F259" s="86" t="n"/>
      <c r="G259" s="86" t="n"/>
      <c r="H259" s="85" t="n"/>
      <c r="I259" s="85" t="n"/>
      <c r="J259" s="85" t="n"/>
      <c r="K259" s="85" t="n"/>
      <c r="L259" s="85" t="n"/>
      <c r="M259" s="85" t="n"/>
      <c r="N259" s="85" t="n"/>
      <c r="O259" s="85" t="n"/>
      <c r="P259" s="85" t="n"/>
      <c r="Q259" s="85" t="n"/>
      <c r="R259" s="85" t="n"/>
      <c r="S259" s="85" t="n"/>
      <c r="T259" s="85" t="n"/>
      <c r="U259" s="85" t="n"/>
      <c r="V259" s="85" t="n"/>
      <c r="W259" s="85" t="n"/>
      <c r="X259" s="85" t="n"/>
      <c r="Y259" s="85" t="n"/>
      <c r="Z259" s="85" t="n"/>
      <c r="AA259" s="85" t="n"/>
      <c r="AB259" s="85" t="n"/>
      <c r="AC259" s="85" t="n"/>
      <c r="AD259" s="85" t="n"/>
      <c r="AE259" s="85" t="n"/>
      <c r="AF259" s="86" t="n"/>
      <c r="AG259" s="86" t="n"/>
      <c r="AH259" s="86" t="n"/>
      <c r="AI259" s="85" t="n"/>
      <c r="AJ259" s="85" t="n"/>
      <c r="AK259" s="85">
        <f>IF($A259="","",IF($M259&gt;0,"Yes","No"))</f>
        <v/>
      </c>
      <c r="AL259" s="85">
        <f>IF($A259="","",IF(AND($E259="Yes",OR($Y259="No",$Y259="NOT FOUND")),"YES",""))</f>
        <v/>
      </c>
      <c r="AM259" s="85">
        <f>IF($A259="","",TRIM(IF(AND($P259=0,$I259&lt;&gt;"Yes"),"T0-NoPhishResistant ","")&amp;IF($H259="No","NoMFA ","")&amp;IF(AND($P259=0,$M259&gt;0),"T0-Standing ","")&amp;IF(AND($P259=0,$Q259="Group only"),"T0-ViaGroupOnly ","")&amp;IF($W259="Yes","AlsoAzureRBAC ","")))</f>
        <v/>
      </c>
      <c r="AN259" s="85">
        <f>IF($A259="","",IF(AG259="","Not Enrolled",IF(TODAY()&gt;AG259,"Review Overdue",IF(AG259-TODAY()&lt;=30,"Review Due Soon","Active"))))</f>
        <v/>
      </c>
      <c r="AO259" s="85">
        <f>IF($A259="","",IF(AH259="","NOT REVIEWED",IF(TODAY()-AH259&gt;90,"OVERDUE",IF(TODAY()-AH259&gt;76,"Due Soon","Current"))))</f>
        <v/>
      </c>
    </row>
    <row r="260" ht="15" customHeight="1" s="39">
      <c r="A260" s="85" t="n"/>
      <c r="B260" s="85" t="n"/>
      <c r="C260" s="85" t="n"/>
      <c r="D260" s="85" t="n"/>
      <c r="E260" s="85" t="n"/>
      <c r="F260" s="86" t="n"/>
      <c r="G260" s="86" t="n"/>
      <c r="H260" s="85" t="n"/>
      <c r="I260" s="85" t="n"/>
      <c r="J260" s="85" t="n"/>
      <c r="K260" s="85" t="n"/>
      <c r="L260" s="85" t="n"/>
      <c r="M260" s="85" t="n"/>
      <c r="N260" s="85" t="n"/>
      <c r="O260" s="85" t="n"/>
      <c r="P260" s="85" t="n"/>
      <c r="Q260" s="85" t="n"/>
      <c r="R260" s="85" t="n"/>
      <c r="S260" s="85" t="n"/>
      <c r="T260" s="85" t="n"/>
      <c r="U260" s="85" t="n"/>
      <c r="V260" s="85" t="n"/>
      <c r="W260" s="85" t="n"/>
      <c r="X260" s="85" t="n"/>
      <c r="Y260" s="85" t="n"/>
      <c r="Z260" s="85" t="n"/>
      <c r="AA260" s="85" t="n"/>
      <c r="AB260" s="85" t="n"/>
      <c r="AC260" s="85" t="n"/>
      <c r="AD260" s="85" t="n"/>
      <c r="AE260" s="85" t="n"/>
      <c r="AF260" s="86" t="n"/>
      <c r="AG260" s="86" t="n"/>
      <c r="AH260" s="86" t="n"/>
      <c r="AI260" s="85" t="n"/>
      <c r="AJ260" s="85" t="n"/>
      <c r="AK260" s="85">
        <f>IF($A260="","",IF($M260&gt;0,"Yes","No"))</f>
        <v/>
      </c>
      <c r="AL260" s="85">
        <f>IF($A260="","",IF(AND($E260="Yes",OR($Y260="No",$Y260="NOT FOUND")),"YES",""))</f>
        <v/>
      </c>
      <c r="AM260" s="85">
        <f>IF($A260="","",TRIM(IF(AND($P260=0,$I260&lt;&gt;"Yes"),"T0-NoPhishResistant ","")&amp;IF($H260="No","NoMFA ","")&amp;IF(AND($P260=0,$M260&gt;0),"T0-Standing ","")&amp;IF(AND($P260=0,$Q260="Group only"),"T0-ViaGroupOnly ","")&amp;IF($W260="Yes","AlsoAzureRBAC ","")))</f>
        <v/>
      </c>
      <c r="AN260" s="85">
        <f>IF($A260="","",IF(AG260="","Not Enrolled",IF(TODAY()&gt;AG260,"Review Overdue",IF(AG260-TODAY()&lt;=30,"Review Due Soon","Active"))))</f>
        <v/>
      </c>
      <c r="AO260" s="85">
        <f>IF($A260="","",IF(AH260="","NOT REVIEWED",IF(TODAY()-AH260&gt;90,"OVERDUE",IF(TODAY()-AH260&gt;76,"Due Soon","Current"))))</f>
        <v/>
      </c>
    </row>
    <row r="261" ht="15" customHeight="1" s="39">
      <c r="A261" s="85" t="n"/>
      <c r="B261" s="85" t="n"/>
      <c r="C261" s="85" t="n"/>
      <c r="D261" s="85" t="n"/>
      <c r="E261" s="85" t="n"/>
      <c r="F261" s="86" t="n"/>
      <c r="G261" s="86" t="n"/>
      <c r="H261" s="85" t="n"/>
      <c r="I261" s="85" t="n"/>
      <c r="J261" s="85" t="n"/>
      <c r="K261" s="85" t="n"/>
      <c r="L261" s="85" t="n"/>
      <c r="M261" s="85" t="n"/>
      <c r="N261" s="85" t="n"/>
      <c r="O261" s="85" t="n"/>
      <c r="P261" s="85" t="n"/>
      <c r="Q261" s="85" t="n"/>
      <c r="R261" s="85" t="n"/>
      <c r="S261" s="85" t="n"/>
      <c r="T261" s="85" t="n"/>
      <c r="U261" s="85" t="n"/>
      <c r="V261" s="85" t="n"/>
      <c r="W261" s="85" t="n"/>
      <c r="X261" s="85" t="n"/>
      <c r="Y261" s="85" t="n"/>
      <c r="Z261" s="85" t="n"/>
      <c r="AA261" s="85" t="n"/>
      <c r="AB261" s="85" t="n"/>
      <c r="AC261" s="85" t="n"/>
      <c r="AD261" s="85" t="n"/>
      <c r="AE261" s="85" t="n"/>
      <c r="AF261" s="86" t="n"/>
      <c r="AG261" s="86" t="n"/>
      <c r="AH261" s="86" t="n"/>
      <c r="AI261" s="85" t="n"/>
      <c r="AJ261" s="85" t="n"/>
      <c r="AK261" s="85">
        <f>IF($A261="","",IF($M261&gt;0,"Yes","No"))</f>
        <v/>
      </c>
      <c r="AL261" s="85">
        <f>IF($A261="","",IF(AND($E261="Yes",OR($Y261="No",$Y261="NOT FOUND")),"YES",""))</f>
        <v/>
      </c>
      <c r="AM261" s="85">
        <f>IF($A261="","",TRIM(IF(AND($P261=0,$I261&lt;&gt;"Yes"),"T0-NoPhishResistant ","")&amp;IF($H261="No","NoMFA ","")&amp;IF(AND($P261=0,$M261&gt;0),"T0-Standing ","")&amp;IF(AND($P261=0,$Q261="Group only"),"T0-ViaGroupOnly ","")&amp;IF($W261="Yes","AlsoAzureRBAC ","")))</f>
        <v/>
      </c>
      <c r="AN261" s="85">
        <f>IF($A261="","",IF(AG261="","Not Enrolled",IF(TODAY()&gt;AG261,"Review Overdue",IF(AG261-TODAY()&lt;=30,"Review Due Soon","Active"))))</f>
        <v/>
      </c>
      <c r="AO261" s="85">
        <f>IF($A261="","",IF(AH261="","NOT REVIEWED",IF(TODAY()-AH261&gt;90,"OVERDUE",IF(TODAY()-AH261&gt;76,"Due Soon","Current"))))</f>
        <v/>
      </c>
    </row>
    <row r="262" ht="15" customHeight="1" s="39">
      <c r="A262" s="85" t="n"/>
      <c r="B262" s="85" t="n"/>
      <c r="C262" s="85" t="n"/>
      <c r="D262" s="85" t="n"/>
      <c r="E262" s="85" t="n"/>
      <c r="F262" s="86" t="n"/>
      <c r="G262" s="86" t="n"/>
      <c r="H262" s="85" t="n"/>
      <c r="I262" s="85" t="n"/>
      <c r="J262" s="85" t="n"/>
      <c r="K262" s="85" t="n"/>
      <c r="L262" s="85" t="n"/>
      <c r="M262" s="85" t="n"/>
      <c r="N262" s="85" t="n"/>
      <c r="O262" s="85" t="n"/>
      <c r="P262" s="85" t="n"/>
      <c r="Q262" s="85" t="n"/>
      <c r="R262" s="85" t="n"/>
      <c r="S262" s="85" t="n"/>
      <c r="T262" s="85" t="n"/>
      <c r="U262" s="85" t="n"/>
      <c r="V262" s="85" t="n"/>
      <c r="W262" s="85" t="n"/>
      <c r="X262" s="85" t="n"/>
      <c r="Y262" s="85" t="n"/>
      <c r="Z262" s="85" t="n"/>
      <c r="AA262" s="85" t="n"/>
      <c r="AB262" s="85" t="n"/>
      <c r="AC262" s="85" t="n"/>
      <c r="AD262" s="85" t="n"/>
      <c r="AE262" s="85" t="n"/>
      <c r="AF262" s="86" t="n"/>
      <c r="AG262" s="86" t="n"/>
      <c r="AH262" s="86" t="n"/>
      <c r="AI262" s="85" t="n"/>
      <c r="AJ262" s="85" t="n"/>
      <c r="AK262" s="85">
        <f>IF($A262="","",IF($M262&gt;0,"Yes","No"))</f>
        <v/>
      </c>
      <c r="AL262" s="85">
        <f>IF($A262="","",IF(AND($E262="Yes",OR($Y262="No",$Y262="NOT FOUND")),"YES",""))</f>
        <v/>
      </c>
      <c r="AM262" s="85">
        <f>IF($A262="","",TRIM(IF(AND($P262=0,$I262&lt;&gt;"Yes"),"T0-NoPhishResistant ","")&amp;IF($H262="No","NoMFA ","")&amp;IF(AND($P262=0,$M262&gt;0),"T0-Standing ","")&amp;IF(AND($P262=0,$Q262="Group only"),"T0-ViaGroupOnly ","")&amp;IF($W262="Yes","AlsoAzureRBAC ","")))</f>
        <v/>
      </c>
      <c r="AN262" s="85">
        <f>IF($A262="","",IF(AG262="","Not Enrolled",IF(TODAY()&gt;AG262,"Review Overdue",IF(AG262-TODAY()&lt;=30,"Review Due Soon","Active"))))</f>
        <v/>
      </c>
      <c r="AO262" s="85">
        <f>IF($A262="","",IF(AH262="","NOT REVIEWED",IF(TODAY()-AH262&gt;90,"OVERDUE",IF(TODAY()-AH262&gt;76,"Due Soon","Current"))))</f>
        <v/>
      </c>
    </row>
    <row r="263" ht="15" customHeight="1" s="39">
      <c r="A263" s="85" t="n"/>
      <c r="B263" s="85" t="n"/>
      <c r="C263" s="85" t="n"/>
      <c r="D263" s="85" t="n"/>
      <c r="E263" s="85" t="n"/>
      <c r="F263" s="86" t="n"/>
      <c r="G263" s="86" t="n"/>
      <c r="H263" s="85" t="n"/>
      <c r="I263" s="85" t="n"/>
      <c r="J263" s="85" t="n"/>
      <c r="K263" s="85" t="n"/>
      <c r="L263" s="85" t="n"/>
      <c r="M263" s="85" t="n"/>
      <c r="N263" s="85" t="n"/>
      <c r="O263" s="85" t="n"/>
      <c r="P263" s="85" t="n"/>
      <c r="Q263" s="85" t="n"/>
      <c r="R263" s="85" t="n"/>
      <c r="S263" s="85" t="n"/>
      <c r="T263" s="85" t="n"/>
      <c r="U263" s="85" t="n"/>
      <c r="V263" s="85" t="n"/>
      <c r="W263" s="85" t="n"/>
      <c r="X263" s="85" t="n"/>
      <c r="Y263" s="85" t="n"/>
      <c r="Z263" s="85" t="n"/>
      <c r="AA263" s="85" t="n"/>
      <c r="AB263" s="85" t="n"/>
      <c r="AC263" s="85" t="n"/>
      <c r="AD263" s="85" t="n"/>
      <c r="AE263" s="85" t="n"/>
      <c r="AF263" s="86" t="n"/>
      <c r="AG263" s="86" t="n"/>
      <c r="AH263" s="86" t="n"/>
      <c r="AI263" s="85" t="n"/>
      <c r="AJ263" s="85" t="n"/>
      <c r="AK263" s="85">
        <f>IF($A263="","",IF($M263&gt;0,"Yes","No"))</f>
        <v/>
      </c>
      <c r="AL263" s="85">
        <f>IF($A263="","",IF(AND($E263="Yes",OR($Y263="No",$Y263="NOT FOUND")),"YES",""))</f>
        <v/>
      </c>
      <c r="AM263" s="85">
        <f>IF($A263="","",TRIM(IF(AND($P263=0,$I263&lt;&gt;"Yes"),"T0-NoPhishResistant ","")&amp;IF($H263="No","NoMFA ","")&amp;IF(AND($P263=0,$M263&gt;0),"T0-Standing ","")&amp;IF(AND($P263=0,$Q263="Group only"),"T0-ViaGroupOnly ","")&amp;IF($W263="Yes","AlsoAzureRBAC ","")))</f>
        <v/>
      </c>
      <c r="AN263" s="85">
        <f>IF($A263="","",IF(AG263="","Not Enrolled",IF(TODAY()&gt;AG263,"Review Overdue",IF(AG263-TODAY()&lt;=30,"Review Due Soon","Active"))))</f>
        <v/>
      </c>
      <c r="AO263" s="85">
        <f>IF($A263="","",IF(AH263="","NOT REVIEWED",IF(TODAY()-AH263&gt;90,"OVERDUE",IF(TODAY()-AH263&gt;76,"Due Soon","Current"))))</f>
        <v/>
      </c>
    </row>
    <row r="264" ht="15" customHeight="1" s="39">
      <c r="A264" s="85" t="n"/>
      <c r="B264" s="85" t="n"/>
      <c r="C264" s="85" t="n"/>
      <c r="D264" s="85" t="n"/>
      <c r="E264" s="85" t="n"/>
      <c r="F264" s="86" t="n"/>
      <c r="G264" s="86" t="n"/>
      <c r="H264" s="85" t="n"/>
      <c r="I264" s="85" t="n"/>
      <c r="J264" s="85" t="n"/>
      <c r="K264" s="85" t="n"/>
      <c r="L264" s="85" t="n"/>
      <c r="M264" s="85" t="n"/>
      <c r="N264" s="85" t="n"/>
      <c r="O264" s="85" t="n"/>
      <c r="P264" s="85" t="n"/>
      <c r="Q264" s="85" t="n"/>
      <c r="R264" s="85" t="n"/>
      <c r="S264" s="85" t="n"/>
      <c r="T264" s="85" t="n"/>
      <c r="U264" s="85" t="n"/>
      <c r="V264" s="85" t="n"/>
      <c r="W264" s="85" t="n"/>
      <c r="X264" s="85" t="n"/>
      <c r="Y264" s="85" t="n"/>
      <c r="Z264" s="85" t="n"/>
      <c r="AA264" s="85" t="n"/>
      <c r="AB264" s="85" t="n"/>
      <c r="AC264" s="85" t="n"/>
      <c r="AD264" s="85" t="n"/>
      <c r="AE264" s="85" t="n"/>
      <c r="AF264" s="86" t="n"/>
      <c r="AG264" s="86" t="n"/>
      <c r="AH264" s="86" t="n"/>
      <c r="AI264" s="85" t="n"/>
      <c r="AJ264" s="85" t="n"/>
      <c r="AK264" s="85">
        <f>IF($A264="","",IF($M264&gt;0,"Yes","No"))</f>
        <v/>
      </c>
      <c r="AL264" s="85">
        <f>IF($A264="","",IF(AND($E264="Yes",OR($Y264="No",$Y264="NOT FOUND")),"YES",""))</f>
        <v/>
      </c>
      <c r="AM264" s="85">
        <f>IF($A264="","",TRIM(IF(AND($P264=0,$I264&lt;&gt;"Yes"),"T0-NoPhishResistant ","")&amp;IF($H264="No","NoMFA ","")&amp;IF(AND($P264=0,$M264&gt;0),"T0-Standing ","")&amp;IF(AND($P264=0,$Q264="Group only"),"T0-ViaGroupOnly ","")&amp;IF($W264="Yes","AlsoAzureRBAC ","")))</f>
        <v/>
      </c>
      <c r="AN264" s="85">
        <f>IF($A264="","",IF(AG264="","Not Enrolled",IF(TODAY()&gt;AG264,"Review Overdue",IF(AG264-TODAY()&lt;=30,"Review Due Soon","Active"))))</f>
        <v/>
      </c>
      <c r="AO264" s="85">
        <f>IF($A264="","",IF(AH264="","NOT REVIEWED",IF(TODAY()-AH264&gt;90,"OVERDUE",IF(TODAY()-AH264&gt;76,"Due Soon","Current"))))</f>
        <v/>
      </c>
    </row>
    <row r="265" ht="15" customHeight="1" s="39">
      <c r="A265" s="85" t="n"/>
      <c r="B265" s="85" t="n"/>
      <c r="C265" s="85" t="n"/>
      <c r="D265" s="85" t="n"/>
      <c r="E265" s="85" t="n"/>
      <c r="F265" s="86" t="n"/>
      <c r="G265" s="86" t="n"/>
      <c r="H265" s="85" t="n"/>
      <c r="I265" s="85" t="n"/>
      <c r="J265" s="85" t="n"/>
      <c r="K265" s="85" t="n"/>
      <c r="L265" s="85" t="n"/>
      <c r="M265" s="85" t="n"/>
      <c r="N265" s="85" t="n"/>
      <c r="O265" s="85" t="n"/>
      <c r="P265" s="85" t="n"/>
      <c r="Q265" s="85" t="n"/>
      <c r="R265" s="85" t="n"/>
      <c r="S265" s="85" t="n"/>
      <c r="T265" s="85" t="n"/>
      <c r="U265" s="85" t="n"/>
      <c r="V265" s="85" t="n"/>
      <c r="W265" s="85" t="n"/>
      <c r="X265" s="85" t="n"/>
      <c r="Y265" s="85" t="n"/>
      <c r="Z265" s="85" t="n"/>
      <c r="AA265" s="85" t="n"/>
      <c r="AB265" s="85" t="n"/>
      <c r="AC265" s="85" t="n"/>
      <c r="AD265" s="85" t="n"/>
      <c r="AE265" s="85" t="n"/>
      <c r="AF265" s="86" t="n"/>
      <c r="AG265" s="86" t="n"/>
      <c r="AH265" s="86" t="n"/>
      <c r="AI265" s="85" t="n"/>
      <c r="AJ265" s="85" t="n"/>
      <c r="AK265" s="85">
        <f>IF($A265="","",IF($M265&gt;0,"Yes","No"))</f>
        <v/>
      </c>
      <c r="AL265" s="85">
        <f>IF($A265="","",IF(AND($E265="Yes",OR($Y265="No",$Y265="NOT FOUND")),"YES",""))</f>
        <v/>
      </c>
      <c r="AM265" s="85">
        <f>IF($A265="","",TRIM(IF(AND($P265=0,$I265&lt;&gt;"Yes"),"T0-NoPhishResistant ","")&amp;IF($H265="No","NoMFA ","")&amp;IF(AND($P265=0,$M265&gt;0),"T0-Standing ","")&amp;IF(AND($P265=0,$Q265="Group only"),"T0-ViaGroupOnly ","")&amp;IF($W265="Yes","AlsoAzureRBAC ","")))</f>
        <v/>
      </c>
      <c r="AN265" s="85">
        <f>IF($A265="","",IF(AG265="","Not Enrolled",IF(TODAY()&gt;AG265,"Review Overdue",IF(AG265-TODAY()&lt;=30,"Review Due Soon","Active"))))</f>
        <v/>
      </c>
      <c r="AO265" s="85">
        <f>IF($A265="","",IF(AH265="","NOT REVIEWED",IF(TODAY()-AH265&gt;90,"OVERDUE",IF(TODAY()-AH265&gt;76,"Due Soon","Current"))))</f>
        <v/>
      </c>
    </row>
    <row r="266" ht="15" customHeight="1" s="39">
      <c r="A266" s="85" t="n"/>
      <c r="B266" s="85" t="n"/>
      <c r="C266" s="85" t="n"/>
      <c r="D266" s="85" t="n"/>
      <c r="E266" s="85" t="n"/>
      <c r="F266" s="86" t="n"/>
      <c r="G266" s="86" t="n"/>
      <c r="H266" s="85" t="n"/>
      <c r="I266" s="85" t="n"/>
      <c r="J266" s="85" t="n"/>
      <c r="K266" s="85" t="n"/>
      <c r="L266" s="85" t="n"/>
      <c r="M266" s="85" t="n"/>
      <c r="N266" s="85" t="n"/>
      <c r="O266" s="85" t="n"/>
      <c r="P266" s="85" t="n"/>
      <c r="Q266" s="85" t="n"/>
      <c r="R266" s="85" t="n"/>
      <c r="S266" s="85" t="n"/>
      <c r="T266" s="85" t="n"/>
      <c r="U266" s="85" t="n"/>
      <c r="V266" s="85" t="n"/>
      <c r="W266" s="85" t="n"/>
      <c r="X266" s="85" t="n"/>
      <c r="Y266" s="85" t="n"/>
      <c r="Z266" s="85" t="n"/>
      <c r="AA266" s="85" t="n"/>
      <c r="AB266" s="85" t="n"/>
      <c r="AC266" s="85" t="n"/>
      <c r="AD266" s="85" t="n"/>
      <c r="AE266" s="85" t="n"/>
      <c r="AF266" s="86" t="n"/>
      <c r="AG266" s="86" t="n"/>
      <c r="AH266" s="86" t="n"/>
      <c r="AI266" s="85" t="n"/>
      <c r="AJ266" s="85" t="n"/>
      <c r="AK266" s="85">
        <f>IF($A266="","",IF($M266&gt;0,"Yes","No"))</f>
        <v/>
      </c>
      <c r="AL266" s="85">
        <f>IF($A266="","",IF(AND($E266="Yes",OR($Y266="No",$Y266="NOT FOUND")),"YES",""))</f>
        <v/>
      </c>
      <c r="AM266" s="85">
        <f>IF($A266="","",TRIM(IF(AND($P266=0,$I266&lt;&gt;"Yes"),"T0-NoPhishResistant ","")&amp;IF($H266="No","NoMFA ","")&amp;IF(AND($P266=0,$M266&gt;0),"T0-Standing ","")&amp;IF(AND($P266=0,$Q266="Group only"),"T0-ViaGroupOnly ","")&amp;IF($W266="Yes","AlsoAzureRBAC ","")))</f>
        <v/>
      </c>
      <c r="AN266" s="85">
        <f>IF($A266="","",IF(AG266="","Not Enrolled",IF(TODAY()&gt;AG266,"Review Overdue",IF(AG266-TODAY()&lt;=30,"Review Due Soon","Active"))))</f>
        <v/>
      </c>
      <c r="AO266" s="85">
        <f>IF($A266="","",IF(AH266="","NOT REVIEWED",IF(TODAY()-AH266&gt;90,"OVERDUE",IF(TODAY()-AH266&gt;76,"Due Soon","Current"))))</f>
        <v/>
      </c>
    </row>
    <row r="267" ht="15" customHeight="1" s="39">
      <c r="A267" s="85" t="n"/>
      <c r="B267" s="85" t="n"/>
      <c r="C267" s="85" t="n"/>
      <c r="D267" s="85" t="n"/>
      <c r="E267" s="85" t="n"/>
      <c r="F267" s="86" t="n"/>
      <c r="G267" s="86" t="n"/>
      <c r="H267" s="85" t="n"/>
      <c r="I267" s="85" t="n"/>
      <c r="J267" s="85" t="n"/>
      <c r="K267" s="85" t="n"/>
      <c r="L267" s="85" t="n"/>
      <c r="M267" s="85" t="n"/>
      <c r="N267" s="85" t="n"/>
      <c r="O267" s="85" t="n"/>
      <c r="P267" s="85" t="n"/>
      <c r="Q267" s="85" t="n"/>
      <c r="R267" s="85" t="n"/>
      <c r="S267" s="85" t="n"/>
      <c r="T267" s="85" t="n"/>
      <c r="U267" s="85" t="n"/>
      <c r="V267" s="85" t="n"/>
      <c r="W267" s="85" t="n"/>
      <c r="X267" s="85" t="n"/>
      <c r="Y267" s="85" t="n"/>
      <c r="Z267" s="85" t="n"/>
      <c r="AA267" s="85" t="n"/>
      <c r="AB267" s="85" t="n"/>
      <c r="AC267" s="85" t="n"/>
      <c r="AD267" s="85" t="n"/>
      <c r="AE267" s="85" t="n"/>
      <c r="AF267" s="86" t="n"/>
      <c r="AG267" s="86" t="n"/>
      <c r="AH267" s="86" t="n"/>
      <c r="AI267" s="85" t="n"/>
      <c r="AJ267" s="85" t="n"/>
      <c r="AK267" s="85">
        <f>IF($A267="","",IF($M267&gt;0,"Yes","No"))</f>
        <v/>
      </c>
      <c r="AL267" s="85">
        <f>IF($A267="","",IF(AND($E267="Yes",OR($Y267="No",$Y267="NOT FOUND")),"YES",""))</f>
        <v/>
      </c>
      <c r="AM267" s="85">
        <f>IF($A267="","",TRIM(IF(AND($P267=0,$I267&lt;&gt;"Yes"),"T0-NoPhishResistant ","")&amp;IF($H267="No","NoMFA ","")&amp;IF(AND($P267=0,$M267&gt;0),"T0-Standing ","")&amp;IF(AND($P267=0,$Q267="Group only"),"T0-ViaGroupOnly ","")&amp;IF($W267="Yes","AlsoAzureRBAC ","")))</f>
        <v/>
      </c>
      <c r="AN267" s="85">
        <f>IF($A267="","",IF(AG267="","Not Enrolled",IF(TODAY()&gt;AG267,"Review Overdue",IF(AG267-TODAY()&lt;=30,"Review Due Soon","Active"))))</f>
        <v/>
      </c>
      <c r="AO267" s="85">
        <f>IF($A267="","",IF(AH267="","NOT REVIEWED",IF(TODAY()-AH267&gt;90,"OVERDUE",IF(TODAY()-AH267&gt;76,"Due Soon","Current"))))</f>
        <v/>
      </c>
    </row>
    <row r="268" ht="15" customHeight="1" s="39">
      <c r="A268" s="85" t="n"/>
      <c r="B268" s="85" t="n"/>
      <c r="C268" s="85" t="n"/>
      <c r="D268" s="85" t="n"/>
      <c r="E268" s="85" t="n"/>
      <c r="F268" s="86" t="n"/>
      <c r="G268" s="86" t="n"/>
      <c r="H268" s="85" t="n"/>
      <c r="I268" s="85" t="n"/>
      <c r="J268" s="85" t="n"/>
      <c r="K268" s="85" t="n"/>
      <c r="L268" s="85" t="n"/>
      <c r="M268" s="85" t="n"/>
      <c r="N268" s="85" t="n"/>
      <c r="O268" s="85" t="n"/>
      <c r="P268" s="85" t="n"/>
      <c r="Q268" s="85" t="n"/>
      <c r="R268" s="85" t="n"/>
      <c r="S268" s="85" t="n"/>
      <c r="T268" s="85" t="n"/>
      <c r="U268" s="85" t="n"/>
      <c r="V268" s="85" t="n"/>
      <c r="W268" s="85" t="n"/>
      <c r="X268" s="85" t="n"/>
      <c r="Y268" s="85" t="n"/>
      <c r="Z268" s="85" t="n"/>
      <c r="AA268" s="85" t="n"/>
      <c r="AB268" s="85" t="n"/>
      <c r="AC268" s="85" t="n"/>
      <c r="AD268" s="85" t="n"/>
      <c r="AE268" s="85" t="n"/>
      <c r="AF268" s="86" t="n"/>
      <c r="AG268" s="86" t="n"/>
      <c r="AH268" s="86" t="n"/>
      <c r="AI268" s="85" t="n"/>
      <c r="AJ268" s="85" t="n"/>
      <c r="AK268" s="85">
        <f>IF($A268="","",IF($M268&gt;0,"Yes","No"))</f>
        <v/>
      </c>
      <c r="AL268" s="85">
        <f>IF($A268="","",IF(AND($E268="Yes",OR($Y268="No",$Y268="NOT FOUND")),"YES",""))</f>
        <v/>
      </c>
      <c r="AM268" s="85">
        <f>IF($A268="","",TRIM(IF(AND($P268=0,$I268&lt;&gt;"Yes"),"T0-NoPhishResistant ","")&amp;IF($H268="No","NoMFA ","")&amp;IF(AND($P268=0,$M268&gt;0),"T0-Standing ","")&amp;IF(AND($P268=0,$Q268="Group only"),"T0-ViaGroupOnly ","")&amp;IF($W268="Yes","AlsoAzureRBAC ","")))</f>
        <v/>
      </c>
      <c r="AN268" s="85">
        <f>IF($A268="","",IF(AG268="","Not Enrolled",IF(TODAY()&gt;AG268,"Review Overdue",IF(AG268-TODAY()&lt;=30,"Review Due Soon","Active"))))</f>
        <v/>
      </c>
      <c r="AO268" s="85">
        <f>IF($A268="","",IF(AH268="","NOT REVIEWED",IF(TODAY()-AH268&gt;90,"OVERDUE",IF(TODAY()-AH268&gt;76,"Due Soon","Current"))))</f>
        <v/>
      </c>
    </row>
    <row r="269" ht="15" customHeight="1" s="39">
      <c r="A269" s="85" t="n"/>
      <c r="B269" s="85" t="n"/>
      <c r="C269" s="85" t="n"/>
      <c r="D269" s="85" t="n"/>
      <c r="E269" s="85" t="n"/>
      <c r="F269" s="86" t="n"/>
      <c r="G269" s="86" t="n"/>
      <c r="H269" s="85" t="n"/>
      <c r="I269" s="85" t="n"/>
      <c r="J269" s="85" t="n"/>
      <c r="K269" s="85" t="n"/>
      <c r="L269" s="85" t="n"/>
      <c r="M269" s="85" t="n"/>
      <c r="N269" s="85" t="n"/>
      <c r="O269" s="85" t="n"/>
      <c r="P269" s="85" t="n"/>
      <c r="Q269" s="85" t="n"/>
      <c r="R269" s="85" t="n"/>
      <c r="S269" s="85" t="n"/>
      <c r="T269" s="85" t="n"/>
      <c r="U269" s="85" t="n"/>
      <c r="V269" s="85" t="n"/>
      <c r="W269" s="85" t="n"/>
      <c r="X269" s="85" t="n"/>
      <c r="Y269" s="85" t="n"/>
      <c r="Z269" s="85" t="n"/>
      <c r="AA269" s="85" t="n"/>
      <c r="AB269" s="85" t="n"/>
      <c r="AC269" s="85" t="n"/>
      <c r="AD269" s="85" t="n"/>
      <c r="AE269" s="85" t="n"/>
      <c r="AF269" s="86" t="n"/>
      <c r="AG269" s="86" t="n"/>
      <c r="AH269" s="86" t="n"/>
      <c r="AI269" s="85" t="n"/>
      <c r="AJ269" s="85" t="n"/>
      <c r="AK269" s="85">
        <f>IF($A269="","",IF($M269&gt;0,"Yes","No"))</f>
        <v/>
      </c>
      <c r="AL269" s="85">
        <f>IF($A269="","",IF(AND($E269="Yes",OR($Y269="No",$Y269="NOT FOUND")),"YES",""))</f>
        <v/>
      </c>
      <c r="AM269" s="85">
        <f>IF($A269="","",TRIM(IF(AND($P269=0,$I269&lt;&gt;"Yes"),"T0-NoPhishResistant ","")&amp;IF($H269="No","NoMFA ","")&amp;IF(AND($P269=0,$M269&gt;0),"T0-Standing ","")&amp;IF(AND($P269=0,$Q269="Group only"),"T0-ViaGroupOnly ","")&amp;IF($W269="Yes","AlsoAzureRBAC ","")))</f>
        <v/>
      </c>
      <c r="AN269" s="85">
        <f>IF($A269="","",IF(AG269="","Not Enrolled",IF(TODAY()&gt;AG269,"Review Overdue",IF(AG269-TODAY()&lt;=30,"Review Due Soon","Active"))))</f>
        <v/>
      </c>
      <c r="AO269" s="85">
        <f>IF($A269="","",IF(AH269="","NOT REVIEWED",IF(TODAY()-AH269&gt;90,"OVERDUE",IF(TODAY()-AH269&gt;76,"Due Soon","Current"))))</f>
        <v/>
      </c>
    </row>
    <row r="270" ht="15" customHeight="1" s="39">
      <c r="A270" s="85" t="n"/>
      <c r="B270" s="85" t="n"/>
      <c r="C270" s="85" t="n"/>
      <c r="D270" s="85" t="n"/>
      <c r="E270" s="85" t="n"/>
      <c r="F270" s="86" t="n"/>
      <c r="G270" s="86" t="n"/>
      <c r="H270" s="85" t="n"/>
      <c r="I270" s="85" t="n"/>
      <c r="J270" s="85" t="n"/>
      <c r="K270" s="85" t="n"/>
      <c r="L270" s="85" t="n"/>
      <c r="M270" s="85" t="n"/>
      <c r="N270" s="85" t="n"/>
      <c r="O270" s="85" t="n"/>
      <c r="P270" s="85" t="n"/>
      <c r="Q270" s="85" t="n"/>
      <c r="R270" s="85" t="n"/>
      <c r="S270" s="85" t="n"/>
      <c r="T270" s="85" t="n"/>
      <c r="U270" s="85" t="n"/>
      <c r="V270" s="85" t="n"/>
      <c r="W270" s="85" t="n"/>
      <c r="X270" s="85" t="n"/>
      <c r="Y270" s="85" t="n"/>
      <c r="Z270" s="85" t="n"/>
      <c r="AA270" s="85" t="n"/>
      <c r="AB270" s="85" t="n"/>
      <c r="AC270" s="85" t="n"/>
      <c r="AD270" s="85" t="n"/>
      <c r="AE270" s="85" t="n"/>
      <c r="AF270" s="86" t="n"/>
      <c r="AG270" s="86" t="n"/>
      <c r="AH270" s="86" t="n"/>
      <c r="AI270" s="85" t="n"/>
      <c r="AJ270" s="85" t="n"/>
      <c r="AK270" s="85">
        <f>IF($A270="","",IF($M270&gt;0,"Yes","No"))</f>
        <v/>
      </c>
      <c r="AL270" s="85">
        <f>IF($A270="","",IF(AND($E270="Yes",OR($Y270="No",$Y270="NOT FOUND")),"YES",""))</f>
        <v/>
      </c>
      <c r="AM270" s="85">
        <f>IF($A270="","",TRIM(IF(AND($P270=0,$I270&lt;&gt;"Yes"),"T0-NoPhishResistant ","")&amp;IF($H270="No","NoMFA ","")&amp;IF(AND($P270=0,$M270&gt;0),"T0-Standing ","")&amp;IF(AND($P270=0,$Q270="Group only"),"T0-ViaGroupOnly ","")&amp;IF($W270="Yes","AlsoAzureRBAC ","")))</f>
        <v/>
      </c>
      <c r="AN270" s="85">
        <f>IF($A270="","",IF(AG270="","Not Enrolled",IF(TODAY()&gt;AG270,"Review Overdue",IF(AG270-TODAY()&lt;=30,"Review Due Soon","Active"))))</f>
        <v/>
      </c>
      <c r="AO270" s="85">
        <f>IF($A270="","",IF(AH270="","NOT REVIEWED",IF(TODAY()-AH270&gt;90,"OVERDUE",IF(TODAY()-AH270&gt;76,"Due Soon","Current"))))</f>
        <v/>
      </c>
    </row>
    <row r="271" ht="15" customHeight="1" s="39">
      <c r="A271" s="85" t="n"/>
      <c r="B271" s="85" t="n"/>
      <c r="C271" s="85" t="n"/>
      <c r="D271" s="85" t="n"/>
      <c r="E271" s="85" t="n"/>
      <c r="F271" s="86" t="n"/>
      <c r="G271" s="86" t="n"/>
      <c r="H271" s="85" t="n"/>
      <c r="I271" s="85" t="n"/>
      <c r="J271" s="85" t="n"/>
      <c r="K271" s="85" t="n"/>
      <c r="L271" s="85" t="n"/>
      <c r="M271" s="85" t="n"/>
      <c r="N271" s="85" t="n"/>
      <c r="O271" s="85" t="n"/>
      <c r="P271" s="85" t="n"/>
      <c r="Q271" s="85" t="n"/>
      <c r="R271" s="85" t="n"/>
      <c r="S271" s="85" t="n"/>
      <c r="T271" s="85" t="n"/>
      <c r="U271" s="85" t="n"/>
      <c r="V271" s="85" t="n"/>
      <c r="W271" s="85" t="n"/>
      <c r="X271" s="85" t="n"/>
      <c r="Y271" s="85" t="n"/>
      <c r="Z271" s="85" t="n"/>
      <c r="AA271" s="85" t="n"/>
      <c r="AB271" s="85" t="n"/>
      <c r="AC271" s="85" t="n"/>
      <c r="AD271" s="85" t="n"/>
      <c r="AE271" s="85" t="n"/>
      <c r="AF271" s="86" t="n"/>
      <c r="AG271" s="86" t="n"/>
      <c r="AH271" s="86" t="n"/>
      <c r="AI271" s="85" t="n"/>
      <c r="AJ271" s="85" t="n"/>
      <c r="AK271" s="85">
        <f>IF($A271="","",IF($M271&gt;0,"Yes","No"))</f>
        <v/>
      </c>
      <c r="AL271" s="85">
        <f>IF($A271="","",IF(AND($E271="Yes",OR($Y271="No",$Y271="NOT FOUND")),"YES",""))</f>
        <v/>
      </c>
      <c r="AM271" s="85">
        <f>IF($A271="","",TRIM(IF(AND($P271=0,$I271&lt;&gt;"Yes"),"T0-NoPhishResistant ","")&amp;IF($H271="No","NoMFA ","")&amp;IF(AND($P271=0,$M271&gt;0),"T0-Standing ","")&amp;IF(AND($P271=0,$Q271="Group only"),"T0-ViaGroupOnly ","")&amp;IF($W271="Yes","AlsoAzureRBAC ","")))</f>
        <v/>
      </c>
      <c r="AN271" s="85">
        <f>IF($A271="","",IF(AG271="","Not Enrolled",IF(TODAY()&gt;AG271,"Review Overdue",IF(AG271-TODAY()&lt;=30,"Review Due Soon","Active"))))</f>
        <v/>
      </c>
      <c r="AO271" s="85">
        <f>IF($A271="","",IF(AH271="","NOT REVIEWED",IF(TODAY()-AH271&gt;90,"OVERDUE",IF(TODAY()-AH271&gt;76,"Due Soon","Current"))))</f>
        <v/>
      </c>
    </row>
    <row r="272" ht="15" customHeight="1" s="39">
      <c r="A272" s="85" t="n"/>
      <c r="B272" s="85" t="n"/>
      <c r="C272" s="85" t="n"/>
      <c r="D272" s="85" t="n"/>
      <c r="E272" s="85" t="n"/>
      <c r="F272" s="86" t="n"/>
      <c r="G272" s="86" t="n"/>
      <c r="H272" s="85" t="n"/>
      <c r="I272" s="85" t="n"/>
      <c r="J272" s="85" t="n"/>
      <c r="K272" s="85" t="n"/>
      <c r="L272" s="85" t="n"/>
      <c r="M272" s="85" t="n"/>
      <c r="N272" s="85" t="n"/>
      <c r="O272" s="85" t="n"/>
      <c r="P272" s="85" t="n"/>
      <c r="Q272" s="85" t="n"/>
      <c r="R272" s="85" t="n"/>
      <c r="S272" s="85" t="n"/>
      <c r="T272" s="85" t="n"/>
      <c r="U272" s="85" t="n"/>
      <c r="V272" s="85" t="n"/>
      <c r="W272" s="85" t="n"/>
      <c r="X272" s="85" t="n"/>
      <c r="Y272" s="85" t="n"/>
      <c r="Z272" s="85" t="n"/>
      <c r="AA272" s="85" t="n"/>
      <c r="AB272" s="85" t="n"/>
      <c r="AC272" s="85" t="n"/>
      <c r="AD272" s="85" t="n"/>
      <c r="AE272" s="85" t="n"/>
      <c r="AF272" s="86" t="n"/>
      <c r="AG272" s="86" t="n"/>
      <c r="AH272" s="86" t="n"/>
      <c r="AI272" s="85" t="n"/>
      <c r="AJ272" s="85" t="n"/>
      <c r="AK272" s="85">
        <f>IF($A272="","",IF($M272&gt;0,"Yes","No"))</f>
        <v/>
      </c>
      <c r="AL272" s="85">
        <f>IF($A272="","",IF(AND($E272="Yes",OR($Y272="No",$Y272="NOT FOUND")),"YES",""))</f>
        <v/>
      </c>
      <c r="AM272" s="85">
        <f>IF($A272="","",TRIM(IF(AND($P272=0,$I272&lt;&gt;"Yes"),"T0-NoPhishResistant ","")&amp;IF($H272="No","NoMFA ","")&amp;IF(AND($P272=0,$M272&gt;0),"T0-Standing ","")&amp;IF(AND($P272=0,$Q272="Group only"),"T0-ViaGroupOnly ","")&amp;IF($W272="Yes","AlsoAzureRBAC ","")))</f>
        <v/>
      </c>
      <c r="AN272" s="85">
        <f>IF($A272="","",IF(AG272="","Not Enrolled",IF(TODAY()&gt;AG272,"Review Overdue",IF(AG272-TODAY()&lt;=30,"Review Due Soon","Active"))))</f>
        <v/>
      </c>
      <c r="AO272" s="85">
        <f>IF($A272="","",IF(AH272="","NOT REVIEWED",IF(TODAY()-AH272&gt;90,"OVERDUE",IF(TODAY()-AH272&gt;76,"Due Soon","Current"))))</f>
        <v/>
      </c>
    </row>
    <row r="273" ht="15" customHeight="1" s="39">
      <c r="A273" s="85" t="n"/>
      <c r="B273" s="85" t="n"/>
      <c r="C273" s="85" t="n"/>
      <c r="D273" s="85" t="n"/>
      <c r="E273" s="85" t="n"/>
      <c r="F273" s="86" t="n"/>
      <c r="G273" s="86" t="n"/>
      <c r="H273" s="85" t="n"/>
      <c r="I273" s="85" t="n"/>
      <c r="J273" s="85" t="n"/>
      <c r="K273" s="85" t="n"/>
      <c r="L273" s="85" t="n"/>
      <c r="M273" s="85" t="n"/>
      <c r="N273" s="85" t="n"/>
      <c r="O273" s="85" t="n"/>
      <c r="P273" s="85" t="n"/>
      <c r="Q273" s="85" t="n"/>
      <c r="R273" s="85" t="n"/>
      <c r="S273" s="85" t="n"/>
      <c r="T273" s="85" t="n"/>
      <c r="U273" s="85" t="n"/>
      <c r="V273" s="85" t="n"/>
      <c r="W273" s="85" t="n"/>
      <c r="X273" s="85" t="n"/>
      <c r="Y273" s="85" t="n"/>
      <c r="Z273" s="85" t="n"/>
      <c r="AA273" s="85" t="n"/>
      <c r="AB273" s="85" t="n"/>
      <c r="AC273" s="85" t="n"/>
      <c r="AD273" s="85" t="n"/>
      <c r="AE273" s="85" t="n"/>
      <c r="AF273" s="86" t="n"/>
      <c r="AG273" s="86" t="n"/>
      <c r="AH273" s="86" t="n"/>
      <c r="AI273" s="85" t="n"/>
      <c r="AJ273" s="85" t="n"/>
      <c r="AK273" s="85">
        <f>IF($A273="","",IF($M273&gt;0,"Yes","No"))</f>
        <v/>
      </c>
      <c r="AL273" s="85">
        <f>IF($A273="","",IF(AND($E273="Yes",OR($Y273="No",$Y273="NOT FOUND")),"YES",""))</f>
        <v/>
      </c>
      <c r="AM273" s="85">
        <f>IF($A273="","",TRIM(IF(AND($P273=0,$I273&lt;&gt;"Yes"),"T0-NoPhishResistant ","")&amp;IF($H273="No","NoMFA ","")&amp;IF(AND($P273=0,$M273&gt;0),"T0-Standing ","")&amp;IF(AND($P273=0,$Q273="Group only"),"T0-ViaGroupOnly ","")&amp;IF($W273="Yes","AlsoAzureRBAC ","")))</f>
        <v/>
      </c>
      <c r="AN273" s="85">
        <f>IF($A273="","",IF(AG273="","Not Enrolled",IF(TODAY()&gt;AG273,"Review Overdue",IF(AG273-TODAY()&lt;=30,"Review Due Soon","Active"))))</f>
        <v/>
      </c>
      <c r="AO273" s="85">
        <f>IF($A273="","",IF(AH273="","NOT REVIEWED",IF(TODAY()-AH273&gt;90,"OVERDUE",IF(TODAY()-AH273&gt;76,"Due Soon","Current"))))</f>
        <v/>
      </c>
    </row>
    <row r="274" ht="15" customHeight="1" s="39">
      <c r="A274" s="85" t="n"/>
      <c r="B274" s="85" t="n"/>
      <c r="C274" s="85" t="n"/>
      <c r="D274" s="85" t="n"/>
      <c r="E274" s="85" t="n"/>
      <c r="F274" s="86" t="n"/>
      <c r="G274" s="86" t="n"/>
      <c r="H274" s="85" t="n"/>
      <c r="I274" s="85" t="n"/>
      <c r="J274" s="85" t="n"/>
      <c r="K274" s="85" t="n"/>
      <c r="L274" s="85" t="n"/>
      <c r="M274" s="85" t="n"/>
      <c r="N274" s="85" t="n"/>
      <c r="O274" s="85" t="n"/>
      <c r="P274" s="85" t="n"/>
      <c r="Q274" s="85" t="n"/>
      <c r="R274" s="85" t="n"/>
      <c r="S274" s="85" t="n"/>
      <c r="T274" s="85" t="n"/>
      <c r="U274" s="85" t="n"/>
      <c r="V274" s="85" t="n"/>
      <c r="W274" s="85" t="n"/>
      <c r="X274" s="85" t="n"/>
      <c r="Y274" s="85" t="n"/>
      <c r="Z274" s="85" t="n"/>
      <c r="AA274" s="85" t="n"/>
      <c r="AB274" s="85" t="n"/>
      <c r="AC274" s="85" t="n"/>
      <c r="AD274" s="85" t="n"/>
      <c r="AE274" s="85" t="n"/>
      <c r="AF274" s="86" t="n"/>
      <c r="AG274" s="86" t="n"/>
      <c r="AH274" s="86" t="n"/>
      <c r="AI274" s="85" t="n"/>
      <c r="AJ274" s="85" t="n"/>
      <c r="AK274" s="85">
        <f>IF($A274="","",IF($M274&gt;0,"Yes","No"))</f>
        <v/>
      </c>
      <c r="AL274" s="85">
        <f>IF($A274="","",IF(AND($E274="Yes",OR($Y274="No",$Y274="NOT FOUND")),"YES",""))</f>
        <v/>
      </c>
      <c r="AM274" s="85">
        <f>IF($A274="","",TRIM(IF(AND($P274=0,$I274&lt;&gt;"Yes"),"T0-NoPhishResistant ","")&amp;IF($H274="No","NoMFA ","")&amp;IF(AND($P274=0,$M274&gt;0),"T0-Standing ","")&amp;IF(AND($P274=0,$Q274="Group only"),"T0-ViaGroupOnly ","")&amp;IF($W274="Yes","AlsoAzureRBAC ","")))</f>
        <v/>
      </c>
      <c r="AN274" s="85">
        <f>IF($A274="","",IF(AG274="","Not Enrolled",IF(TODAY()&gt;AG274,"Review Overdue",IF(AG274-TODAY()&lt;=30,"Review Due Soon","Active"))))</f>
        <v/>
      </c>
      <c r="AO274" s="85">
        <f>IF($A274="","",IF(AH274="","NOT REVIEWED",IF(TODAY()-AH274&gt;90,"OVERDUE",IF(TODAY()-AH274&gt;76,"Due Soon","Current"))))</f>
        <v/>
      </c>
    </row>
    <row r="275" ht="15" customHeight="1" s="39">
      <c r="A275" s="85" t="n"/>
      <c r="B275" s="85" t="n"/>
      <c r="C275" s="85" t="n"/>
      <c r="D275" s="85" t="n"/>
      <c r="E275" s="85" t="n"/>
      <c r="F275" s="86" t="n"/>
      <c r="G275" s="86" t="n"/>
      <c r="H275" s="85" t="n"/>
      <c r="I275" s="85" t="n"/>
      <c r="J275" s="85" t="n"/>
      <c r="K275" s="85" t="n"/>
      <c r="L275" s="85" t="n"/>
      <c r="M275" s="85" t="n"/>
      <c r="N275" s="85" t="n"/>
      <c r="O275" s="85" t="n"/>
      <c r="P275" s="85" t="n"/>
      <c r="Q275" s="85" t="n"/>
      <c r="R275" s="85" t="n"/>
      <c r="S275" s="85" t="n"/>
      <c r="T275" s="85" t="n"/>
      <c r="U275" s="85" t="n"/>
      <c r="V275" s="85" t="n"/>
      <c r="W275" s="85" t="n"/>
      <c r="X275" s="85" t="n"/>
      <c r="Y275" s="85" t="n"/>
      <c r="Z275" s="85" t="n"/>
      <c r="AA275" s="85" t="n"/>
      <c r="AB275" s="85" t="n"/>
      <c r="AC275" s="85" t="n"/>
      <c r="AD275" s="85" t="n"/>
      <c r="AE275" s="85" t="n"/>
      <c r="AF275" s="86" t="n"/>
      <c r="AG275" s="86" t="n"/>
      <c r="AH275" s="86" t="n"/>
      <c r="AI275" s="85" t="n"/>
      <c r="AJ275" s="85" t="n"/>
      <c r="AK275" s="85">
        <f>IF($A275="","",IF($M275&gt;0,"Yes","No"))</f>
        <v/>
      </c>
      <c r="AL275" s="85">
        <f>IF($A275="","",IF(AND($E275="Yes",OR($Y275="No",$Y275="NOT FOUND")),"YES",""))</f>
        <v/>
      </c>
      <c r="AM275" s="85">
        <f>IF($A275="","",TRIM(IF(AND($P275=0,$I275&lt;&gt;"Yes"),"T0-NoPhishResistant ","")&amp;IF($H275="No","NoMFA ","")&amp;IF(AND($P275=0,$M275&gt;0),"T0-Standing ","")&amp;IF(AND($P275=0,$Q275="Group only"),"T0-ViaGroupOnly ","")&amp;IF($W275="Yes","AlsoAzureRBAC ","")))</f>
        <v/>
      </c>
      <c r="AN275" s="85">
        <f>IF($A275="","",IF(AG275="","Not Enrolled",IF(TODAY()&gt;AG275,"Review Overdue",IF(AG275-TODAY()&lt;=30,"Review Due Soon","Active"))))</f>
        <v/>
      </c>
      <c r="AO275" s="85">
        <f>IF($A275="","",IF(AH275="","NOT REVIEWED",IF(TODAY()-AH275&gt;90,"OVERDUE",IF(TODAY()-AH275&gt;76,"Due Soon","Current"))))</f>
        <v/>
      </c>
    </row>
    <row r="276" ht="15" customHeight="1" s="39">
      <c r="A276" s="85" t="n"/>
      <c r="B276" s="85" t="n"/>
      <c r="C276" s="85" t="n"/>
      <c r="D276" s="85" t="n"/>
      <c r="E276" s="85" t="n"/>
      <c r="F276" s="86" t="n"/>
      <c r="G276" s="86" t="n"/>
      <c r="H276" s="85" t="n"/>
      <c r="I276" s="85" t="n"/>
      <c r="J276" s="85" t="n"/>
      <c r="K276" s="85" t="n"/>
      <c r="L276" s="85" t="n"/>
      <c r="M276" s="85" t="n"/>
      <c r="N276" s="85" t="n"/>
      <c r="O276" s="85" t="n"/>
      <c r="P276" s="85" t="n"/>
      <c r="Q276" s="85" t="n"/>
      <c r="R276" s="85" t="n"/>
      <c r="S276" s="85" t="n"/>
      <c r="T276" s="85" t="n"/>
      <c r="U276" s="85" t="n"/>
      <c r="V276" s="85" t="n"/>
      <c r="W276" s="85" t="n"/>
      <c r="X276" s="85" t="n"/>
      <c r="Y276" s="85" t="n"/>
      <c r="Z276" s="85" t="n"/>
      <c r="AA276" s="85" t="n"/>
      <c r="AB276" s="85" t="n"/>
      <c r="AC276" s="85" t="n"/>
      <c r="AD276" s="85" t="n"/>
      <c r="AE276" s="85" t="n"/>
      <c r="AF276" s="86" t="n"/>
      <c r="AG276" s="86" t="n"/>
      <c r="AH276" s="86" t="n"/>
      <c r="AI276" s="85" t="n"/>
      <c r="AJ276" s="85" t="n"/>
      <c r="AK276" s="85">
        <f>IF($A276="","",IF($M276&gt;0,"Yes","No"))</f>
        <v/>
      </c>
      <c r="AL276" s="85">
        <f>IF($A276="","",IF(AND($E276="Yes",OR($Y276="No",$Y276="NOT FOUND")),"YES",""))</f>
        <v/>
      </c>
      <c r="AM276" s="85">
        <f>IF($A276="","",TRIM(IF(AND($P276=0,$I276&lt;&gt;"Yes"),"T0-NoPhishResistant ","")&amp;IF($H276="No","NoMFA ","")&amp;IF(AND($P276=0,$M276&gt;0),"T0-Standing ","")&amp;IF(AND($P276=0,$Q276="Group only"),"T0-ViaGroupOnly ","")&amp;IF($W276="Yes","AlsoAzureRBAC ","")))</f>
        <v/>
      </c>
      <c r="AN276" s="85">
        <f>IF($A276="","",IF(AG276="","Not Enrolled",IF(TODAY()&gt;AG276,"Review Overdue",IF(AG276-TODAY()&lt;=30,"Review Due Soon","Active"))))</f>
        <v/>
      </c>
      <c r="AO276" s="85">
        <f>IF($A276="","",IF(AH276="","NOT REVIEWED",IF(TODAY()-AH276&gt;90,"OVERDUE",IF(TODAY()-AH276&gt;76,"Due Soon","Current"))))</f>
        <v/>
      </c>
    </row>
    <row r="277" ht="15" customHeight="1" s="39">
      <c r="A277" s="85" t="n"/>
      <c r="B277" s="85" t="n"/>
      <c r="C277" s="85" t="n"/>
      <c r="D277" s="85" t="n"/>
      <c r="E277" s="85" t="n"/>
      <c r="F277" s="86" t="n"/>
      <c r="G277" s="86" t="n"/>
      <c r="H277" s="85" t="n"/>
      <c r="I277" s="85" t="n"/>
      <c r="J277" s="85" t="n"/>
      <c r="K277" s="85" t="n"/>
      <c r="L277" s="85" t="n"/>
      <c r="M277" s="85" t="n"/>
      <c r="N277" s="85" t="n"/>
      <c r="O277" s="85" t="n"/>
      <c r="P277" s="85" t="n"/>
      <c r="Q277" s="85" t="n"/>
      <c r="R277" s="85" t="n"/>
      <c r="S277" s="85" t="n"/>
      <c r="T277" s="85" t="n"/>
      <c r="U277" s="85" t="n"/>
      <c r="V277" s="85" t="n"/>
      <c r="W277" s="85" t="n"/>
      <c r="X277" s="85" t="n"/>
      <c r="Y277" s="85" t="n"/>
      <c r="Z277" s="85" t="n"/>
      <c r="AA277" s="85" t="n"/>
      <c r="AB277" s="85" t="n"/>
      <c r="AC277" s="85" t="n"/>
      <c r="AD277" s="85" t="n"/>
      <c r="AE277" s="85" t="n"/>
      <c r="AF277" s="86" t="n"/>
      <c r="AG277" s="86" t="n"/>
      <c r="AH277" s="86" t="n"/>
      <c r="AI277" s="85" t="n"/>
      <c r="AJ277" s="85" t="n"/>
      <c r="AK277" s="85">
        <f>IF($A277="","",IF($M277&gt;0,"Yes","No"))</f>
        <v/>
      </c>
      <c r="AL277" s="85">
        <f>IF($A277="","",IF(AND($E277="Yes",OR($Y277="No",$Y277="NOT FOUND")),"YES",""))</f>
        <v/>
      </c>
      <c r="AM277" s="85">
        <f>IF($A277="","",TRIM(IF(AND($P277=0,$I277&lt;&gt;"Yes"),"T0-NoPhishResistant ","")&amp;IF($H277="No","NoMFA ","")&amp;IF(AND($P277=0,$M277&gt;0),"T0-Standing ","")&amp;IF(AND($P277=0,$Q277="Group only"),"T0-ViaGroupOnly ","")&amp;IF($W277="Yes","AlsoAzureRBAC ","")))</f>
        <v/>
      </c>
      <c r="AN277" s="85">
        <f>IF($A277="","",IF(AG277="","Not Enrolled",IF(TODAY()&gt;AG277,"Review Overdue",IF(AG277-TODAY()&lt;=30,"Review Due Soon","Active"))))</f>
        <v/>
      </c>
      <c r="AO277" s="85">
        <f>IF($A277="","",IF(AH277="","NOT REVIEWED",IF(TODAY()-AH277&gt;90,"OVERDUE",IF(TODAY()-AH277&gt;76,"Due Soon","Current"))))</f>
        <v/>
      </c>
    </row>
    <row r="278" ht="15" customHeight="1" s="39">
      <c r="A278" s="85" t="n"/>
      <c r="B278" s="85" t="n"/>
      <c r="C278" s="85" t="n"/>
      <c r="D278" s="85" t="n"/>
      <c r="E278" s="85" t="n"/>
      <c r="F278" s="86" t="n"/>
      <c r="G278" s="86" t="n"/>
      <c r="H278" s="85" t="n"/>
      <c r="I278" s="85" t="n"/>
      <c r="J278" s="85" t="n"/>
      <c r="K278" s="85" t="n"/>
      <c r="L278" s="85" t="n"/>
      <c r="M278" s="85" t="n"/>
      <c r="N278" s="85" t="n"/>
      <c r="O278" s="85" t="n"/>
      <c r="P278" s="85" t="n"/>
      <c r="Q278" s="85" t="n"/>
      <c r="R278" s="85" t="n"/>
      <c r="S278" s="85" t="n"/>
      <c r="T278" s="85" t="n"/>
      <c r="U278" s="85" t="n"/>
      <c r="V278" s="85" t="n"/>
      <c r="W278" s="85" t="n"/>
      <c r="X278" s="85" t="n"/>
      <c r="Y278" s="85" t="n"/>
      <c r="Z278" s="85" t="n"/>
      <c r="AA278" s="85" t="n"/>
      <c r="AB278" s="85" t="n"/>
      <c r="AC278" s="85" t="n"/>
      <c r="AD278" s="85" t="n"/>
      <c r="AE278" s="85" t="n"/>
      <c r="AF278" s="86" t="n"/>
      <c r="AG278" s="86" t="n"/>
      <c r="AH278" s="86" t="n"/>
      <c r="AI278" s="85" t="n"/>
      <c r="AJ278" s="85" t="n"/>
      <c r="AK278" s="85">
        <f>IF($A278="","",IF($M278&gt;0,"Yes","No"))</f>
        <v/>
      </c>
      <c r="AL278" s="85">
        <f>IF($A278="","",IF(AND($E278="Yes",OR($Y278="No",$Y278="NOT FOUND")),"YES",""))</f>
        <v/>
      </c>
      <c r="AM278" s="85">
        <f>IF($A278="","",TRIM(IF(AND($P278=0,$I278&lt;&gt;"Yes"),"T0-NoPhishResistant ","")&amp;IF($H278="No","NoMFA ","")&amp;IF(AND($P278=0,$M278&gt;0),"T0-Standing ","")&amp;IF(AND($P278=0,$Q278="Group only"),"T0-ViaGroupOnly ","")&amp;IF($W278="Yes","AlsoAzureRBAC ","")))</f>
        <v/>
      </c>
      <c r="AN278" s="85">
        <f>IF($A278="","",IF(AG278="","Not Enrolled",IF(TODAY()&gt;AG278,"Review Overdue",IF(AG278-TODAY()&lt;=30,"Review Due Soon","Active"))))</f>
        <v/>
      </c>
      <c r="AO278" s="85">
        <f>IF($A278="","",IF(AH278="","NOT REVIEWED",IF(TODAY()-AH278&gt;90,"OVERDUE",IF(TODAY()-AH278&gt;76,"Due Soon","Current"))))</f>
        <v/>
      </c>
    </row>
    <row r="279" ht="15" customHeight="1" s="39">
      <c r="A279" s="85" t="n"/>
      <c r="B279" s="85" t="n"/>
      <c r="C279" s="85" t="n"/>
      <c r="D279" s="85" t="n"/>
      <c r="E279" s="85" t="n"/>
      <c r="F279" s="86" t="n"/>
      <c r="G279" s="86" t="n"/>
      <c r="H279" s="85" t="n"/>
      <c r="I279" s="85" t="n"/>
      <c r="J279" s="85" t="n"/>
      <c r="K279" s="85" t="n"/>
      <c r="L279" s="85" t="n"/>
      <c r="M279" s="85" t="n"/>
      <c r="N279" s="85" t="n"/>
      <c r="O279" s="85" t="n"/>
      <c r="P279" s="85" t="n"/>
      <c r="Q279" s="85" t="n"/>
      <c r="R279" s="85" t="n"/>
      <c r="S279" s="85" t="n"/>
      <c r="T279" s="85" t="n"/>
      <c r="U279" s="85" t="n"/>
      <c r="V279" s="85" t="n"/>
      <c r="W279" s="85" t="n"/>
      <c r="X279" s="85" t="n"/>
      <c r="Y279" s="85" t="n"/>
      <c r="Z279" s="85" t="n"/>
      <c r="AA279" s="85" t="n"/>
      <c r="AB279" s="85" t="n"/>
      <c r="AC279" s="85" t="n"/>
      <c r="AD279" s="85" t="n"/>
      <c r="AE279" s="85" t="n"/>
      <c r="AF279" s="86" t="n"/>
      <c r="AG279" s="86" t="n"/>
      <c r="AH279" s="86" t="n"/>
      <c r="AI279" s="85" t="n"/>
      <c r="AJ279" s="85" t="n"/>
      <c r="AK279" s="85">
        <f>IF($A279="","",IF($M279&gt;0,"Yes","No"))</f>
        <v/>
      </c>
      <c r="AL279" s="85">
        <f>IF($A279="","",IF(AND($E279="Yes",OR($Y279="No",$Y279="NOT FOUND")),"YES",""))</f>
        <v/>
      </c>
      <c r="AM279" s="85">
        <f>IF($A279="","",TRIM(IF(AND($P279=0,$I279&lt;&gt;"Yes"),"T0-NoPhishResistant ","")&amp;IF($H279="No","NoMFA ","")&amp;IF(AND($P279=0,$M279&gt;0),"T0-Standing ","")&amp;IF(AND($P279=0,$Q279="Group only"),"T0-ViaGroupOnly ","")&amp;IF($W279="Yes","AlsoAzureRBAC ","")))</f>
        <v/>
      </c>
      <c r="AN279" s="85">
        <f>IF($A279="","",IF(AG279="","Not Enrolled",IF(TODAY()&gt;AG279,"Review Overdue",IF(AG279-TODAY()&lt;=30,"Review Due Soon","Active"))))</f>
        <v/>
      </c>
      <c r="AO279" s="85">
        <f>IF($A279="","",IF(AH279="","NOT REVIEWED",IF(TODAY()-AH279&gt;90,"OVERDUE",IF(TODAY()-AH279&gt;76,"Due Soon","Current"))))</f>
        <v/>
      </c>
    </row>
    <row r="280" ht="15" customHeight="1" s="39">
      <c r="A280" s="85" t="n"/>
      <c r="B280" s="85" t="n"/>
      <c r="C280" s="85" t="n"/>
      <c r="D280" s="85" t="n"/>
      <c r="E280" s="85" t="n"/>
      <c r="F280" s="86" t="n"/>
      <c r="G280" s="86" t="n"/>
      <c r="H280" s="85" t="n"/>
      <c r="I280" s="85" t="n"/>
      <c r="J280" s="85" t="n"/>
      <c r="K280" s="85" t="n"/>
      <c r="L280" s="85" t="n"/>
      <c r="M280" s="85" t="n"/>
      <c r="N280" s="85" t="n"/>
      <c r="O280" s="85" t="n"/>
      <c r="P280" s="85" t="n"/>
      <c r="Q280" s="85" t="n"/>
      <c r="R280" s="85" t="n"/>
      <c r="S280" s="85" t="n"/>
      <c r="T280" s="85" t="n"/>
      <c r="U280" s="85" t="n"/>
      <c r="V280" s="85" t="n"/>
      <c r="W280" s="85" t="n"/>
      <c r="X280" s="85" t="n"/>
      <c r="Y280" s="85" t="n"/>
      <c r="Z280" s="85" t="n"/>
      <c r="AA280" s="85" t="n"/>
      <c r="AB280" s="85" t="n"/>
      <c r="AC280" s="85" t="n"/>
      <c r="AD280" s="85" t="n"/>
      <c r="AE280" s="85" t="n"/>
      <c r="AF280" s="86" t="n"/>
      <c r="AG280" s="86" t="n"/>
      <c r="AH280" s="86" t="n"/>
      <c r="AI280" s="85" t="n"/>
      <c r="AJ280" s="85" t="n"/>
      <c r="AK280" s="85">
        <f>IF($A280="","",IF($M280&gt;0,"Yes","No"))</f>
        <v/>
      </c>
      <c r="AL280" s="85">
        <f>IF($A280="","",IF(AND($E280="Yes",OR($Y280="No",$Y280="NOT FOUND")),"YES",""))</f>
        <v/>
      </c>
      <c r="AM280" s="85">
        <f>IF($A280="","",TRIM(IF(AND($P280=0,$I280&lt;&gt;"Yes"),"T0-NoPhishResistant ","")&amp;IF($H280="No","NoMFA ","")&amp;IF(AND($P280=0,$M280&gt;0),"T0-Standing ","")&amp;IF(AND($P280=0,$Q280="Group only"),"T0-ViaGroupOnly ","")&amp;IF($W280="Yes","AlsoAzureRBAC ","")))</f>
        <v/>
      </c>
      <c r="AN280" s="85">
        <f>IF($A280="","",IF(AG280="","Not Enrolled",IF(TODAY()&gt;AG280,"Review Overdue",IF(AG280-TODAY()&lt;=30,"Review Due Soon","Active"))))</f>
        <v/>
      </c>
      <c r="AO280" s="85">
        <f>IF($A280="","",IF(AH280="","NOT REVIEWED",IF(TODAY()-AH280&gt;90,"OVERDUE",IF(TODAY()-AH280&gt;76,"Due Soon","Current"))))</f>
        <v/>
      </c>
    </row>
    <row r="281" ht="15" customHeight="1" s="39">
      <c r="A281" s="85" t="n"/>
      <c r="B281" s="85" t="n"/>
      <c r="C281" s="85" t="n"/>
      <c r="D281" s="85" t="n"/>
      <c r="E281" s="85" t="n"/>
      <c r="F281" s="86" t="n"/>
      <c r="G281" s="86" t="n"/>
      <c r="H281" s="85" t="n"/>
      <c r="I281" s="85" t="n"/>
      <c r="J281" s="85" t="n"/>
      <c r="K281" s="85" t="n"/>
      <c r="L281" s="85" t="n"/>
      <c r="M281" s="85" t="n"/>
      <c r="N281" s="85" t="n"/>
      <c r="O281" s="85" t="n"/>
      <c r="P281" s="85" t="n"/>
      <c r="Q281" s="85" t="n"/>
      <c r="R281" s="85" t="n"/>
      <c r="S281" s="85" t="n"/>
      <c r="T281" s="85" t="n"/>
      <c r="U281" s="85" t="n"/>
      <c r="V281" s="85" t="n"/>
      <c r="W281" s="85" t="n"/>
      <c r="X281" s="85" t="n"/>
      <c r="Y281" s="85" t="n"/>
      <c r="Z281" s="85" t="n"/>
      <c r="AA281" s="85" t="n"/>
      <c r="AB281" s="85" t="n"/>
      <c r="AC281" s="85" t="n"/>
      <c r="AD281" s="85" t="n"/>
      <c r="AE281" s="85" t="n"/>
      <c r="AF281" s="86" t="n"/>
      <c r="AG281" s="86" t="n"/>
      <c r="AH281" s="86" t="n"/>
      <c r="AI281" s="85" t="n"/>
      <c r="AJ281" s="85" t="n"/>
      <c r="AK281" s="85">
        <f>IF($A281="","",IF($M281&gt;0,"Yes","No"))</f>
        <v/>
      </c>
      <c r="AL281" s="85">
        <f>IF($A281="","",IF(AND($E281="Yes",OR($Y281="No",$Y281="NOT FOUND")),"YES",""))</f>
        <v/>
      </c>
      <c r="AM281" s="85">
        <f>IF($A281="","",TRIM(IF(AND($P281=0,$I281&lt;&gt;"Yes"),"T0-NoPhishResistant ","")&amp;IF($H281="No","NoMFA ","")&amp;IF(AND($P281=0,$M281&gt;0),"T0-Standing ","")&amp;IF(AND($P281=0,$Q281="Group only"),"T0-ViaGroupOnly ","")&amp;IF($W281="Yes","AlsoAzureRBAC ","")))</f>
        <v/>
      </c>
      <c r="AN281" s="85">
        <f>IF($A281="","",IF(AG281="","Not Enrolled",IF(TODAY()&gt;AG281,"Review Overdue",IF(AG281-TODAY()&lt;=30,"Review Due Soon","Active"))))</f>
        <v/>
      </c>
      <c r="AO281" s="85">
        <f>IF($A281="","",IF(AH281="","NOT REVIEWED",IF(TODAY()-AH281&gt;90,"OVERDUE",IF(TODAY()-AH281&gt;76,"Due Soon","Current"))))</f>
        <v/>
      </c>
    </row>
    <row r="282" ht="15" customHeight="1" s="39">
      <c r="A282" s="85" t="n"/>
      <c r="B282" s="85" t="n"/>
      <c r="C282" s="85" t="n"/>
      <c r="D282" s="85" t="n"/>
      <c r="E282" s="85" t="n"/>
      <c r="F282" s="86" t="n"/>
      <c r="G282" s="86" t="n"/>
      <c r="H282" s="85" t="n"/>
      <c r="I282" s="85" t="n"/>
      <c r="J282" s="85" t="n"/>
      <c r="K282" s="85" t="n"/>
      <c r="L282" s="85" t="n"/>
      <c r="M282" s="85" t="n"/>
      <c r="N282" s="85" t="n"/>
      <c r="O282" s="85" t="n"/>
      <c r="P282" s="85" t="n"/>
      <c r="Q282" s="85" t="n"/>
      <c r="R282" s="85" t="n"/>
      <c r="S282" s="85" t="n"/>
      <c r="T282" s="85" t="n"/>
      <c r="U282" s="85" t="n"/>
      <c r="V282" s="85" t="n"/>
      <c r="W282" s="85" t="n"/>
      <c r="X282" s="85" t="n"/>
      <c r="Y282" s="85" t="n"/>
      <c r="Z282" s="85" t="n"/>
      <c r="AA282" s="85" t="n"/>
      <c r="AB282" s="85" t="n"/>
      <c r="AC282" s="85" t="n"/>
      <c r="AD282" s="85" t="n"/>
      <c r="AE282" s="85" t="n"/>
      <c r="AF282" s="86" t="n"/>
      <c r="AG282" s="86" t="n"/>
      <c r="AH282" s="86" t="n"/>
      <c r="AI282" s="85" t="n"/>
      <c r="AJ282" s="85" t="n"/>
      <c r="AK282" s="85">
        <f>IF($A282="","",IF($M282&gt;0,"Yes","No"))</f>
        <v/>
      </c>
      <c r="AL282" s="85">
        <f>IF($A282="","",IF(AND($E282="Yes",OR($Y282="No",$Y282="NOT FOUND")),"YES",""))</f>
        <v/>
      </c>
      <c r="AM282" s="85">
        <f>IF($A282="","",TRIM(IF(AND($P282=0,$I282&lt;&gt;"Yes"),"T0-NoPhishResistant ","")&amp;IF($H282="No","NoMFA ","")&amp;IF(AND($P282=0,$M282&gt;0),"T0-Standing ","")&amp;IF(AND($P282=0,$Q282="Group only"),"T0-ViaGroupOnly ","")&amp;IF($W282="Yes","AlsoAzureRBAC ","")))</f>
        <v/>
      </c>
      <c r="AN282" s="85">
        <f>IF($A282="","",IF(AG282="","Not Enrolled",IF(TODAY()&gt;AG282,"Review Overdue",IF(AG282-TODAY()&lt;=30,"Review Due Soon","Active"))))</f>
        <v/>
      </c>
      <c r="AO282" s="85">
        <f>IF($A282="","",IF(AH282="","NOT REVIEWED",IF(TODAY()-AH282&gt;90,"OVERDUE",IF(TODAY()-AH282&gt;76,"Due Soon","Current"))))</f>
        <v/>
      </c>
    </row>
    <row r="283" ht="15" customHeight="1" s="39">
      <c r="A283" s="85" t="n"/>
      <c r="B283" s="85" t="n"/>
      <c r="C283" s="85" t="n"/>
      <c r="D283" s="85" t="n"/>
      <c r="E283" s="85" t="n"/>
      <c r="F283" s="86" t="n"/>
      <c r="G283" s="86" t="n"/>
      <c r="H283" s="85" t="n"/>
      <c r="I283" s="85" t="n"/>
      <c r="J283" s="85" t="n"/>
      <c r="K283" s="85" t="n"/>
      <c r="L283" s="85" t="n"/>
      <c r="M283" s="85" t="n"/>
      <c r="N283" s="85" t="n"/>
      <c r="O283" s="85" t="n"/>
      <c r="P283" s="85" t="n"/>
      <c r="Q283" s="85" t="n"/>
      <c r="R283" s="85" t="n"/>
      <c r="S283" s="85" t="n"/>
      <c r="T283" s="85" t="n"/>
      <c r="U283" s="85" t="n"/>
      <c r="V283" s="85" t="n"/>
      <c r="W283" s="85" t="n"/>
      <c r="X283" s="85" t="n"/>
      <c r="Y283" s="85" t="n"/>
      <c r="Z283" s="85" t="n"/>
      <c r="AA283" s="85" t="n"/>
      <c r="AB283" s="85" t="n"/>
      <c r="AC283" s="85" t="n"/>
      <c r="AD283" s="85" t="n"/>
      <c r="AE283" s="85" t="n"/>
      <c r="AF283" s="86" t="n"/>
      <c r="AG283" s="86" t="n"/>
      <c r="AH283" s="86" t="n"/>
      <c r="AI283" s="85" t="n"/>
      <c r="AJ283" s="85" t="n"/>
      <c r="AK283" s="85">
        <f>IF($A283="","",IF($M283&gt;0,"Yes","No"))</f>
        <v/>
      </c>
      <c r="AL283" s="85">
        <f>IF($A283="","",IF(AND($E283="Yes",OR($Y283="No",$Y283="NOT FOUND")),"YES",""))</f>
        <v/>
      </c>
      <c r="AM283" s="85">
        <f>IF($A283="","",TRIM(IF(AND($P283=0,$I283&lt;&gt;"Yes"),"T0-NoPhishResistant ","")&amp;IF($H283="No","NoMFA ","")&amp;IF(AND($P283=0,$M283&gt;0),"T0-Standing ","")&amp;IF(AND($P283=0,$Q283="Group only"),"T0-ViaGroupOnly ","")&amp;IF($W283="Yes","AlsoAzureRBAC ","")))</f>
        <v/>
      </c>
      <c r="AN283" s="85">
        <f>IF($A283="","",IF(AG283="","Not Enrolled",IF(TODAY()&gt;AG283,"Review Overdue",IF(AG283-TODAY()&lt;=30,"Review Due Soon","Active"))))</f>
        <v/>
      </c>
      <c r="AO283" s="85">
        <f>IF($A283="","",IF(AH283="","NOT REVIEWED",IF(TODAY()-AH283&gt;90,"OVERDUE",IF(TODAY()-AH283&gt;76,"Due Soon","Current"))))</f>
        <v/>
      </c>
    </row>
    <row r="284" ht="15" customHeight="1" s="39">
      <c r="A284" s="85" t="n"/>
      <c r="B284" s="85" t="n"/>
      <c r="C284" s="85" t="n"/>
      <c r="D284" s="85" t="n"/>
      <c r="E284" s="85" t="n"/>
      <c r="F284" s="86" t="n"/>
      <c r="G284" s="86" t="n"/>
      <c r="H284" s="85" t="n"/>
      <c r="I284" s="85" t="n"/>
      <c r="J284" s="85" t="n"/>
      <c r="K284" s="85" t="n"/>
      <c r="L284" s="85" t="n"/>
      <c r="M284" s="85" t="n"/>
      <c r="N284" s="85" t="n"/>
      <c r="O284" s="85" t="n"/>
      <c r="P284" s="85" t="n"/>
      <c r="Q284" s="85" t="n"/>
      <c r="R284" s="85" t="n"/>
      <c r="S284" s="85" t="n"/>
      <c r="T284" s="85" t="n"/>
      <c r="U284" s="85" t="n"/>
      <c r="V284" s="85" t="n"/>
      <c r="W284" s="85" t="n"/>
      <c r="X284" s="85" t="n"/>
      <c r="Y284" s="85" t="n"/>
      <c r="Z284" s="85" t="n"/>
      <c r="AA284" s="85" t="n"/>
      <c r="AB284" s="85" t="n"/>
      <c r="AC284" s="85" t="n"/>
      <c r="AD284" s="85" t="n"/>
      <c r="AE284" s="85" t="n"/>
      <c r="AF284" s="86" t="n"/>
      <c r="AG284" s="86" t="n"/>
      <c r="AH284" s="86" t="n"/>
      <c r="AI284" s="85" t="n"/>
      <c r="AJ284" s="85" t="n"/>
      <c r="AK284" s="85">
        <f>IF($A284="","",IF($M284&gt;0,"Yes","No"))</f>
        <v/>
      </c>
      <c r="AL284" s="85">
        <f>IF($A284="","",IF(AND($E284="Yes",OR($Y284="No",$Y284="NOT FOUND")),"YES",""))</f>
        <v/>
      </c>
      <c r="AM284" s="85">
        <f>IF($A284="","",TRIM(IF(AND($P284=0,$I284&lt;&gt;"Yes"),"T0-NoPhishResistant ","")&amp;IF($H284="No","NoMFA ","")&amp;IF(AND($P284=0,$M284&gt;0),"T0-Standing ","")&amp;IF(AND($P284=0,$Q284="Group only"),"T0-ViaGroupOnly ","")&amp;IF($W284="Yes","AlsoAzureRBAC ","")))</f>
        <v/>
      </c>
      <c r="AN284" s="85">
        <f>IF($A284="","",IF(AG284="","Not Enrolled",IF(TODAY()&gt;AG284,"Review Overdue",IF(AG284-TODAY()&lt;=30,"Review Due Soon","Active"))))</f>
        <v/>
      </c>
      <c r="AO284" s="85">
        <f>IF($A284="","",IF(AH284="","NOT REVIEWED",IF(TODAY()-AH284&gt;90,"OVERDUE",IF(TODAY()-AH284&gt;76,"Due Soon","Current"))))</f>
        <v/>
      </c>
    </row>
    <row r="285" ht="15" customHeight="1" s="39">
      <c r="A285" s="85" t="n"/>
      <c r="B285" s="85" t="n"/>
      <c r="C285" s="85" t="n"/>
      <c r="D285" s="85" t="n"/>
      <c r="E285" s="85" t="n"/>
      <c r="F285" s="86" t="n"/>
      <c r="G285" s="86" t="n"/>
      <c r="H285" s="85" t="n"/>
      <c r="I285" s="85" t="n"/>
      <c r="J285" s="85" t="n"/>
      <c r="K285" s="85" t="n"/>
      <c r="L285" s="85" t="n"/>
      <c r="M285" s="85" t="n"/>
      <c r="N285" s="85" t="n"/>
      <c r="O285" s="85" t="n"/>
      <c r="P285" s="85" t="n"/>
      <c r="Q285" s="85" t="n"/>
      <c r="R285" s="85" t="n"/>
      <c r="S285" s="85" t="n"/>
      <c r="T285" s="85" t="n"/>
      <c r="U285" s="85" t="n"/>
      <c r="V285" s="85" t="n"/>
      <c r="W285" s="85" t="n"/>
      <c r="X285" s="85" t="n"/>
      <c r="Y285" s="85" t="n"/>
      <c r="Z285" s="85" t="n"/>
      <c r="AA285" s="85" t="n"/>
      <c r="AB285" s="85" t="n"/>
      <c r="AC285" s="85" t="n"/>
      <c r="AD285" s="85" t="n"/>
      <c r="AE285" s="85" t="n"/>
      <c r="AF285" s="86" t="n"/>
      <c r="AG285" s="86" t="n"/>
      <c r="AH285" s="86" t="n"/>
      <c r="AI285" s="85" t="n"/>
      <c r="AJ285" s="85" t="n"/>
      <c r="AK285" s="85">
        <f>IF($A285="","",IF($M285&gt;0,"Yes","No"))</f>
        <v/>
      </c>
      <c r="AL285" s="85">
        <f>IF($A285="","",IF(AND($E285="Yes",OR($Y285="No",$Y285="NOT FOUND")),"YES",""))</f>
        <v/>
      </c>
      <c r="AM285" s="85">
        <f>IF($A285="","",TRIM(IF(AND($P285=0,$I285&lt;&gt;"Yes"),"T0-NoPhishResistant ","")&amp;IF($H285="No","NoMFA ","")&amp;IF(AND($P285=0,$M285&gt;0),"T0-Standing ","")&amp;IF(AND($P285=0,$Q285="Group only"),"T0-ViaGroupOnly ","")&amp;IF($W285="Yes","AlsoAzureRBAC ","")))</f>
        <v/>
      </c>
      <c r="AN285" s="85">
        <f>IF($A285="","",IF(AG285="","Not Enrolled",IF(TODAY()&gt;AG285,"Review Overdue",IF(AG285-TODAY()&lt;=30,"Review Due Soon","Active"))))</f>
        <v/>
      </c>
      <c r="AO285" s="85">
        <f>IF($A285="","",IF(AH285="","NOT REVIEWED",IF(TODAY()-AH285&gt;90,"OVERDUE",IF(TODAY()-AH285&gt;76,"Due Soon","Current"))))</f>
        <v/>
      </c>
    </row>
    <row r="286" ht="15" customHeight="1" s="39">
      <c r="A286" s="85" t="n"/>
      <c r="B286" s="85" t="n"/>
      <c r="C286" s="85" t="n"/>
      <c r="D286" s="85" t="n"/>
      <c r="E286" s="85" t="n"/>
      <c r="F286" s="86" t="n"/>
      <c r="G286" s="86" t="n"/>
      <c r="H286" s="85" t="n"/>
      <c r="I286" s="85" t="n"/>
      <c r="J286" s="85" t="n"/>
      <c r="K286" s="85" t="n"/>
      <c r="L286" s="85" t="n"/>
      <c r="M286" s="85" t="n"/>
      <c r="N286" s="85" t="n"/>
      <c r="O286" s="85" t="n"/>
      <c r="P286" s="85" t="n"/>
      <c r="Q286" s="85" t="n"/>
      <c r="R286" s="85" t="n"/>
      <c r="S286" s="85" t="n"/>
      <c r="T286" s="85" t="n"/>
      <c r="U286" s="85" t="n"/>
      <c r="V286" s="85" t="n"/>
      <c r="W286" s="85" t="n"/>
      <c r="X286" s="85" t="n"/>
      <c r="Y286" s="85" t="n"/>
      <c r="Z286" s="85" t="n"/>
      <c r="AA286" s="85" t="n"/>
      <c r="AB286" s="85" t="n"/>
      <c r="AC286" s="85" t="n"/>
      <c r="AD286" s="85" t="n"/>
      <c r="AE286" s="85" t="n"/>
      <c r="AF286" s="86" t="n"/>
      <c r="AG286" s="86" t="n"/>
      <c r="AH286" s="86" t="n"/>
      <c r="AI286" s="85" t="n"/>
      <c r="AJ286" s="85" t="n"/>
      <c r="AK286" s="85">
        <f>IF($A286="","",IF($M286&gt;0,"Yes","No"))</f>
        <v/>
      </c>
      <c r="AL286" s="85">
        <f>IF($A286="","",IF(AND($E286="Yes",OR($Y286="No",$Y286="NOT FOUND")),"YES",""))</f>
        <v/>
      </c>
      <c r="AM286" s="85">
        <f>IF($A286="","",TRIM(IF(AND($P286=0,$I286&lt;&gt;"Yes"),"T0-NoPhishResistant ","")&amp;IF($H286="No","NoMFA ","")&amp;IF(AND($P286=0,$M286&gt;0),"T0-Standing ","")&amp;IF(AND($P286=0,$Q286="Group only"),"T0-ViaGroupOnly ","")&amp;IF($W286="Yes","AlsoAzureRBAC ","")))</f>
        <v/>
      </c>
      <c r="AN286" s="85">
        <f>IF($A286="","",IF(AG286="","Not Enrolled",IF(TODAY()&gt;AG286,"Review Overdue",IF(AG286-TODAY()&lt;=30,"Review Due Soon","Active"))))</f>
        <v/>
      </c>
      <c r="AO286" s="85">
        <f>IF($A286="","",IF(AH286="","NOT REVIEWED",IF(TODAY()-AH286&gt;90,"OVERDUE",IF(TODAY()-AH286&gt;76,"Due Soon","Current"))))</f>
        <v/>
      </c>
    </row>
    <row r="287" ht="15" customHeight="1" s="39">
      <c r="A287" s="85" t="n"/>
      <c r="B287" s="85" t="n"/>
      <c r="C287" s="85" t="n"/>
      <c r="D287" s="85" t="n"/>
      <c r="E287" s="85" t="n"/>
      <c r="F287" s="86" t="n"/>
      <c r="G287" s="86" t="n"/>
      <c r="H287" s="85" t="n"/>
      <c r="I287" s="85" t="n"/>
      <c r="J287" s="85" t="n"/>
      <c r="K287" s="85" t="n"/>
      <c r="L287" s="85" t="n"/>
      <c r="M287" s="85" t="n"/>
      <c r="N287" s="85" t="n"/>
      <c r="O287" s="85" t="n"/>
      <c r="P287" s="85" t="n"/>
      <c r="Q287" s="85" t="n"/>
      <c r="R287" s="85" t="n"/>
      <c r="S287" s="85" t="n"/>
      <c r="T287" s="85" t="n"/>
      <c r="U287" s="85" t="n"/>
      <c r="V287" s="85" t="n"/>
      <c r="W287" s="85" t="n"/>
      <c r="X287" s="85" t="n"/>
      <c r="Y287" s="85" t="n"/>
      <c r="Z287" s="85" t="n"/>
      <c r="AA287" s="85" t="n"/>
      <c r="AB287" s="85" t="n"/>
      <c r="AC287" s="85" t="n"/>
      <c r="AD287" s="85" t="n"/>
      <c r="AE287" s="85" t="n"/>
      <c r="AF287" s="86" t="n"/>
      <c r="AG287" s="86" t="n"/>
      <c r="AH287" s="86" t="n"/>
      <c r="AI287" s="85" t="n"/>
      <c r="AJ287" s="85" t="n"/>
      <c r="AK287" s="85">
        <f>IF($A287="","",IF($M287&gt;0,"Yes","No"))</f>
        <v/>
      </c>
      <c r="AL287" s="85">
        <f>IF($A287="","",IF(AND($E287="Yes",OR($Y287="No",$Y287="NOT FOUND")),"YES",""))</f>
        <v/>
      </c>
      <c r="AM287" s="85">
        <f>IF($A287="","",TRIM(IF(AND($P287=0,$I287&lt;&gt;"Yes"),"T0-NoPhishResistant ","")&amp;IF($H287="No","NoMFA ","")&amp;IF(AND($P287=0,$M287&gt;0),"T0-Standing ","")&amp;IF(AND($P287=0,$Q287="Group only"),"T0-ViaGroupOnly ","")&amp;IF($W287="Yes","AlsoAzureRBAC ","")))</f>
        <v/>
      </c>
      <c r="AN287" s="85">
        <f>IF($A287="","",IF(AG287="","Not Enrolled",IF(TODAY()&gt;AG287,"Review Overdue",IF(AG287-TODAY()&lt;=30,"Review Due Soon","Active"))))</f>
        <v/>
      </c>
      <c r="AO287" s="85">
        <f>IF($A287="","",IF(AH287="","NOT REVIEWED",IF(TODAY()-AH287&gt;90,"OVERDUE",IF(TODAY()-AH287&gt;76,"Due Soon","Current"))))</f>
        <v/>
      </c>
    </row>
    <row r="288" ht="15" customHeight="1" s="39">
      <c r="A288" s="85" t="n"/>
      <c r="B288" s="85" t="n"/>
      <c r="C288" s="85" t="n"/>
      <c r="D288" s="85" t="n"/>
      <c r="E288" s="85" t="n"/>
      <c r="F288" s="86" t="n"/>
      <c r="G288" s="86" t="n"/>
      <c r="H288" s="85" t="n"/>
      <c r="I288" s="85" t="n"/>
      <c r="J288" s="85" t="n"/>
      <c r="K288" s="85" t="n"/>
      <c r="L288" s="85" t="n"/>
      <c r="M288" s="85" t="n"/>
      <c r="N288" s="85" t="n"/>
      <c r="O288" s="85" t="n"/>
      <c r="P288" s="85" t="n"/>
      <c r="Q288" s="85" t="n"/>
      <c r="R288" s="85" t="n"/>
      <c r="S288" s="85" t="n"/>
      <c r="T288" s="85" t="n"/>
      <c r="U288" s="85" t="n"/>
      <c r="V288" s="85" t="n"/>
      <c r="W288" s="85" t="n"/>
      <c r="X288" s="85" t="n"/>
      <c r="Y288" s="85" t="n"/>
      <c r="Z288" s="85" t="n"/>
      <c r="AA288" s="85" t="n"/>
      <c r="AB288" s="85" t="n"/>
      <c r="AC288" s="85" t="n"/>
      <c r="AD288" s="85" t="n"/>
      <c r="AE288" s="85" t="n"/>
      <c r="AF288" s="86" t="n"/>
      <c r="AG288" s="86" t="n"/>
      <c r="AH288" s="86" t="n"/>
      <c r="AI288" s="85" t="n"/>
      <c r="AJ288" s="85" t="n"/>
      <c r="AK288" s="85">
        <f>IF($A288="","",IF($M288&gt;0,"Yes","No"))</f>
        <v/>
      </c>
      <c r="AL288" s="85">
        <f>IF($A288="","",IF(AND($E288="Yes",OR($Y288="No",$Y288="NOT FOUND")),"YES",""))</f>
        <v/>
      </c>
      <c r="AM288" s="85">
        <f>IF($A288="","",TRIM(IF(AND($P288=0,$I288&lt;&gt;"Yes"),"T0-NoPhishResistant ","")&amp;IF($H288="No","NoMFA ","")&amp;IF(AND($P288=0,$M288&gt;0),"T0-Standing ","")&amp;IF(AND($P288=0,$Q288="Group only"),"T0-ViaGroupOnly ","")&amp;IF($W288="Yes","AlsoAzureRBAC ","")))</f>
        <v/>
      </c>
      <c r="AN288" s="85">
        <f>IF($A288="","",IF(AG288="","Not Enrolled",IF(TODAY()&gt;AG288,"Review Overdue",IF(AG288-TODAY()&lt;=30,"Review Due Soon","Active"))))</f>
        <v/>
      </c>
      <c r="AO288" s="85">
        <f>IF($A288="","",IF(AH288="","NOT REVIEWED",IF(TODAY()-AH288&gt;90,"OVERDUE",IF(TODAY()-AH288&gt;76,"Due Soon","Current"))))</f>
        <v/>
      </c>
    </row>
    <row r="289" ht="15" customHeight="1" s="39">
      <c r="A289" s="85" t="n"/>
      <c r="B289" s="85" t="n"/>
      <c r="C289" s="85" t="n"/>
      <c r="D289" s="85" t="n"/>
      <c r="E289" s="85" t="n"/>
      <c r="F289" s="86" t="n"/>
      <c r="G289" s="86" t="n"/>
      <c r="H289" s="85" t="n"/>
      <c r="I289" s="85" t="n"/>
      <c r="J289" s="85" t="n"/>
      <c r="K289" s="85" t="n"/>
      <c r="L289" s="85" t="n"/>
      <c r="M289" s="85" t="n"/>
      <c r="N289" s="85" t="n"/>
      <c r="O289" s="85" t="n"/>
      <c r="P289" s="85" t="n"/>
      <c r="Q289" s="85" t="n"/>
      <c r="R289" s="85" t="n"/>
      <c r="S289" s="85" t="n"/>
      <c r="T289" s="85" t="n"/>
      <c r="U289" s="85" t="n"/>
      <c r="V289" s="85" t="n"/>
      <c r="W289" s="85" t="n"/>
      <c r="X289" s="85" t="n"/>
      <c r="Y289" s="85" t="n"/>
      <c r="Z289" s="85" t="n"/>
      <c r="AA289" s="85" t="n"/>
      <c r="AB289" s="85" t="n"/>
      <c r="AC289" s="85" t="n"/>
      <c r="AD289" s="85" t="n"/>
      <c r="AE289" s="85" t="n"/>
      <c r="AF289" s="86" t="n"/>
      <c r="AG289" s="86" t="n"/>
      <c r="AH289" s="86" t="n"/>
      <c r="AI289" s="85" t="n"/>
      <c r="AJ289" s="85" t="n"/>
      <c r="AK289" s="85">
        <f>IF($A289="","",IF($M289&gt;0,"Yes","No"))</f>
        <v/>
      </c>
      <c r="AL289" s="85">
        <f>IF($A289="","",IF(AND($E289="Yes",OR($Y289="No",$Y289="NOT FOUND")),"YES",""))</f>
        <v/>
      </c>
      <c r="AM289" s="85">
        <f>IF($A289="","",TRIM(IF(AND($P289=0,$I289&lt;&gt;"Yes"),"T0-NoPhishResistant ","")&amp;IF($H289="No","NoMFA ","")&amp;IF(AND($P289=0,$M289&gt;0),"T0-Standing ","")&amp;IF(AND($P289=0,$Q289="Group only"),"T0-ViaGroupOnly ","")&amp;IF($W289="Yes","AlsoAzureRBAC ","")))</f>
        <v/>
      </c>
      <c r="AN289" s="85">
        <f>IF($A289="","",IF(AG289="","Not Enrolled",IF(TODAY()&gt;AG289,"Review Overdue",IF(AG289-TODAY()&lt;=30,"Review Due Soon","Active"))))</f>
        <v/>
      </c>
      <c r="AO289" s="85">
        <f>IF($A289="","",IF(AH289="","NOT REVIEWED",IF(TODAY()-AH289&gt;90,"OVERDUE",IF(TODAY()-AH289&gt;76,"Due Soon","Current"))))</f>
        <v/>
      </c>
    </row>
    <row r="290" ht="15" customHeight="1" s="39">
      <c r="A290" s="85" t="n"/>
      <c r="B290" s="85" t="n"/>
      <c r="C290" s="85" t="n"/>
      <c r="D290" s="85" t="n"/>
      <c r="E290" s="85" t="n"/>
      <c r="F290" s="86" t="n"/>
      <c r="G290" s="86" t="n"/>
      <c r="H290" s="85" t="n"/>
      <c r="I290" s="85" t="n"/>
      <c r="J290" s="85" t="n"/>
      <c r="K290" s="85" t="n"/>
      <c r="L290" s="85" t="n"/>
      <c r="M290" s="85" t="n"/>
      <c r="N290" s="85" t="n"/>
      <c r="O290" s="85" t="n"/>
      <c r="P290" s="85" t="n"/>
      <c r="Q290" s="85" t="n"/>
      <c r="R290" s="85" t="n"/>
      <c r="S290" s="85" t="n"/>
      <c r="T290" s="85" t="n"/>
      <c r="U290" s="85" t="n"/>
      <c r="V290" s="85" t="n"/>
      <c r="W290" s="85" t="n"/>
      <c r="X290" s="85" t="n"/>
      <c r="Y290" s="85" t="n"/>
      <c r="Z290" s="85" t="n"/>
      <c r="AA290" s="85" t="n"/>
      <c r="AB290" s="85" t="n"/>
      <c r="AC290" s="85" t="n"/>
      <c r="AD290" s="85" t="n"/>
      <c r="AE290" s="85" t="n"/>
      <c r="AF290" s="86" t="n"/>
      <c r="AG290" s="86" t="n"/>
      <c r="AH290" s="86" t="n"/>
      <c r="AI290" s="85" t="n"/>
      <c r="AJ290" s="85" t="n"/>
      <c r="AK290" s="85">
        <f>IF($A290="","",IF($M290&gt;0,"Yes","No"))</f>
        <v/>
      </c>
      <c r="AL290" s="85">
        <f>IF($A290="","",IF(AND($E290="Yes",OR($Y290="No",$Y290="NOT FOUND")),"YES",""))</f>
        <v/>
      </c>
      <c r="AM290" s="85">
        <f>IF($A290="","",TRIM(IF(AND($P290=0,$I290&lt;&gt;"Yes"),"T0-NoPhishResistant ","")&amp;IF($H290="No","NoMFA ","")&amp;IF(AND($P290=0,$M290&gt;0),"T0-Standing ","")&amp;IF(AND($P290=0,$Q290="Group only"),"T0-ViaGroupOnly ","")&amp;IF($W290="Yes","AlsoAzureRBAC ","")))</f>
        <v/>
      </c>
      <c r="AN290" s="85">
        <f>IF($A290="","",IF(AG290="","Not Enrolled",IF(TODAY()&gt;AG290,"Review Overdue",IF(AG290-TODAY()&lt;=30,"Review Due Soon","Active"))))</f>
        <v/>
      </c>
      <c r="AO290" s="85">
        <f>IF($A290="","",IF(AH290="","NOT REVIEWED",IF(TODAY()-AH290&gt;90,"OVERDUE",IF(TODAY()-AH290&gt;76,"Due Soon","Current"))))</f>
        <v/>
      </c>
    </row>
    <row r="291" ht="15" customHeight="1" s="39">
      <c r="A291" s="85" t="n"/>
      <c r="B291" s="85" t="n"/>
      <c r="C291" s="85" t="n"/>
      <c r="D291" s="85" t="n"/>
      <c r="E291" s="85" t="n"/>
      <c r="F291" s="86" t="n"/>
      <c r="G291" s="86" t="n"/>
      <c r="H291" s="85" t="n"/>
      <c r="I291" s="85" t="n"/>
      <c r="J291" s="85" t="n"/>
      <c r="K291" s="85" t="n"/>
      <c r="L291" s="85" t="n"/>
      <c r="M291" s="85" t="n"/>
      <c r="N291" s="85" t="n"/>
      <c r="O291" s="85" t="n"/>
      <c r="P291" s="85" t="n"/>
      <c r="Q291" s="85" t="n"/>
      <c r="R291" s="85" t="n"/>
      <c r="S291" s="85" t="n"/>
      <c r="T291" s="85" t="n"/>
      <c r="U291" s="85" t="n"/>
      <c r="V291" s="85" t="n"/>
      <c r="W291" s="85" t="n"/>
      <c r="X291" s="85" t="n"/>
      <c r="Y291" s="85" t="n"/>
      <c r="Z291" s="85" t="n"/>
      <c r="AA291" s="85" t="n"/>
      <c r="AB291" s="85" t="n"/>
      <c r="AC291" s="85" t="n"/>
      <c r="AD291" s="85" t="n"/>
      <c r="AE291" s="85" t="n"/>
      <c r="AF291" s="86" t="n"/>
      <c r="AG291" s="86" t="n"/>
      <c r="AH291" s="86" t="n"/>
      <c r="AI291" s="85" t="n"/>
      <c r="AJ291" s="85" t="n"/>
      <c r="AK291" s="85">
        <f>IF($A291="","",IF($M291&gt;0,"Yes","No"))</f>
        <v/>
      </c>
      <c r="AL291" s="85">
        <f>IF($A291="","",IF(AND($E291="Yes",OR($Y291="No",$Y291="NOT FOUND")),"YES",""))</f>
        <v/>
      </c>
      <c r="AM291" s="85">
        <f>IF($A291="","",TRIM(IF(AND($P291=0,$I291&lt;&gt;"Yes"),"T0-NoPhishResistant ","")&amp;IF($H291="No","NoMFA ","")&amp;IF(AND($P291=0,$M291&gt;0),"T0-Standing ","")&amp;IF(AND($P291=0,$Q291="Group only"),"T0-ViaGroupOnly ","")&amp;IF($W291="Yes","AlsoAzureRBAC ","")))</f>
        <v/>
      </c>
      <c r="AN291" s="85">
        <f>IF($A291="","",IF(AG291="","Not Enrolled",IF(TODAY()&gt;AG291,"Review Overdue",IF(AG291-TODAY()&lt;=30,"Review Due Soon","Active"))))</f>
        <v/>
      </c>
      <c r="AO291" s="85">
        <f>IF($A291="","",IF(AH291="","NOT REVIEWED",IF(TODAY()-AH291&gt;90,"OVERDUE",IF(TODAY()-AH291&gt;76,"Due Soon","Current"))))</f>
        <v/>
      </c>
    </row>
    <row r="292" ht="15" customHeight="1" s="39">
      <c r="A292" s="85" t="n"/>
      <c r="B292" s="85" t="n"/>
      <c r="C292" s="85" t="n"/>
      <c r="D292" s="85" t="n"/>
      <c r="E292" s="85" t="n"/>
      <c r="F292" s="86" t="n"/>
      <c r="G292" s="86" t="n"/>
      <c r="H292" s="85" t="n"/>
      <c r="I292" s="85" t="n"/>
      <c r="J292" s="85" t="n"/>
      <c r="K292" s="85" t="n"/>
      <c r="L292" s="85" t="n"/>
      <c r="M292" s="85" t="n"/>
      <c r="N292" s="85" t="n"/>
      <c r="O292" s="85" t="n"/>
      <c r="P292" s="85" t="n"/>
      <c r="Q292" s="85" t="n"/>
      <c r="R292" s="85" t="n"/>
      <c r="S292" s="85" t="n"/>
      <c r="T292" s="85" t="n"/>
      <c r="U292" s="85" t="n"/>
      <c r="V292" s="85" t="n"/>
      <c r="W292" s="85" t="n"/>
      <c r="X292" s="85" t="n"/>
      <c r="Y292" s="85" t="n"/>
      <c r="Z292" s="85" t="n"/>
      <c r="AA292" s="85" t="n"/>
      <c r="AB292" s="85" t="n"/>
      <c r="AC292" s="85" t="n"/>
      <c r="AD292" s="85" t="n"/>
      <c r="AE292" s="85" t="n"/>
      <c r="AF292" s="86" t="n"/>
      <c r="AG292" s="86" t="n"/>
      <c r="AH292" s="86" t="n"/>
      <c r="AI292" s="85" t="n"/>
      <c r="AJ292" s="85" t="n"/>
      <c r="AK292" s="85">
        <f>IF($A292="","",IF($M292&gt;0,"Yes","No"))</f>
        <v/>
      </c>
      <c r="AL292" s="85">
        <f>IF($A292="","",IF(AND($E292="Yes",OR($Y292="No",$Y292="NOT FOUND")),"YES",""))</f>
        <v/>
      </c>
      <c r="AM292" s="85">
        <f>IF($A292="","",TRIM(IF(AND($P292=0,$I292&lt;&gt;"Yes"),"T0-NoPhishResistant ","")&amp;IF($H292="No","NoMFA ","")&amp;IF(AND($P292=0,$M292&gt;0),"T0-Standing ","")&amp;IF(AND($P292=0,$Q292="Group only"),"T0-ViaGroupOnly ","")&amp;IF($W292="Yes","AlsoAzureRBAC ","")))</f>
        <v/>
      </c>
      <c r="AN292" s="85">
        <f>IF($A292="","",IF(AG292="","Not Enrolled",IF(TODAY()&gt;AG292,"Review Overdue",IF(AG292-TODAY()&lt;=30,"Review Due Soon","Active"))))</f>
        <v/>
      </c>
      <c r="AO292" s="85">
        <f>IF($A292="","",IF(AH292="","NOT REVIEWED",IF(TODAY()-AH292&gt;90,"OVERDUE",IF(TODAY()-AH292&gt;76,"Due Soon","Current"))))</f>
        <v/>
      </c>
    </row>
    <row r="293" ht="15" customHeight="1" s="39">
      <c r="A293" s="85" t="n"/>
      <c r="B293" s="85" t="n"/>
      <c r="C293" s="85" t="n"/>
      <c r="D293" s="85" t="n"/>
      <c r="E293" s="85" t="n"/>
      <c r="F293" s="86" t="n"/>
      <c r="G293" s="86" t="n"/>
      <c r="H293" s="85" t="n"/>
      <c r="I293" s="85" t="n"/>
      <c r="J293" s="85" t="n"/>
      <c r="K293" s="85" t="n"/>
      <c r="L293" s="85" t="n"/>
      <c r="M293" s="85" t="n"/>
      <c r="N293" s="85" t="n"/>
      <c r="O293" s="85" t="n"/>
      <c r="P293" s="85" t="n"/>
      <c r="Q293" s="85" t="n"/>
      <c r="R293" s="85" t="n"/>
      <c r="S293" s="85" t="n"/>
      <c r="T293" s="85" t="n"/>
      <c r="U293" s="85" t="n"/>
      <c r="V293" s="85" t="n"/>
      <c r="W293" s="85" t="n"/>
      <c r="X293" s="85" t="n"/>
      <c r="Y293" s="85" t="n"/>
      <c r="Z293" s="85" t="n"/>
      <c r="AA293" s="85" t="n"/>
      <c r="AB293" s="85" t="n"/>
      <c r="AC293" s="85" t="n"/>
      <c r="AD293" s="85" t="n"/>
      <c r="AE293" s="85" t="n"/>
      <c r="AF293" s="86" t="n"/>
      <c r="AG293" s="86" t="n"/>
      <c r="AH293" s="86" t="n"/>
      <c r="AI293" s="85" t="n"/>
      <c r="AJ293" s="85" t="n"/>
      <c r="AK293" s="85">
        <f>IF($A293="","",IF($M293&gt;0,"Yes","No"))</f>
        <v/>
      </c>
      <c r="AL293" s="85">
        <f>IF($A293="","",IF(AND($E293="Yes",OR($Y293="No",$Y293="NOT FOUND")),"YES",""))</f>
        <v/>
      </c>
      <c r="AM293" s="85">
        <f>IF($A293="","",TRIM(IF(AND($P293=0,$I293&lt;&gt;"Yes"),"T0-NoPhishResistant ","")&amp;IF($H293="No","NoMFA ","")&amp;IF(AND($P293=0,$M293&gt;0),"T0-Standing ","")&amp;IF(AND($P293=0,$Q293="Group only"),"T0-ViaGroupOnly ","")&amp;IF($W293="Yes","AlsoAzureRBAC ","")))</f>
        <v/>
      </c>
      <c r="AN293" s="85">
        <f>IF($A293="","",IF(AG293="","Not Enrolled",IF(TODAY()&gt;AG293,"Review Overdue",IF(AG293-TODAY()&lt;=30,"Review Due Soon","Active"))))</f>
        <v/>
      </c>
      <c r="AO293" s="85">
        <f>IF($A293="","",IF(AH293="","NOT REVIEWED",IF(TODAY()-AH293&gt;90,"OVERDUE",IF(TODAY()-AH293&gt;76,"Due Soon","Current"))))</f>
        <v/>
      </c>
    </row>
    <row r="294" ht="15" customHeight="1" s="39">
      <c r="A294" s="85" t="n"/>
      <c r="B294" s="85" t="n"/>
      <c r="C294" s="85" t="n"/>
      <c r="D294" s="85" t="n"/>
      <c r="E294" s="85" t="n"/>
      <c r="F294" s="86" t="n"/>
      <c r="G294" s="86" t="n"/>
      <c r="H294" s="85" t="n"/>
      <c r="I294" s="85" t="n"/>
      <c r="J294" s="85" t="n"/>
      <c r="K294" s="85" t="n"/>
      <c r="L294" s="85" t="n"/>
      <c r="M294" s="85" t="n"/>
      <c r="N294" s="85" t="n"/>
      <c r="O294" s="85" t="n"/>
      <c r="P294" s="85" t="n"/>
      <c r="Q294" s="85" t="n"/>
      <c r="R294" s="85" t="n"/>
      <c r="S294" s="85" t="n"/>
      <c r="T294" s="85" t="n"/>
      <c r="U294" s="85" t="n"/>
      <c r="V294" s="85" t="n"/>
      <c r="W294" s="85" t="n"/>
      <c r="X294" s="85" t="n"/>
      <c r="Y294" s="85" t="n"/>
      <c r="Z294" s="85" t="n"/>
      <c r="AA294" s="85" t="n"/>
      <c r="AB294" s="85" t="n"/>
      <c r="AC294" s="85" t="n"/>
      <c r="AD294" s="85" t="n"/>
      <c r="AE294" s="85" t="n"/>
      <c r="AF294" s="86" t="n"/>
      <c r="AG294" s="86" t="n"/>
      <c r="AH294" s="86" t="n"/>
      <c r="AI294" s="85" t="n"/>
      <c r="AJ294" s="85" t="n"/>
      <c r="AK294" s="85">
        <f>IF($A294="","",IF($M294&gt;0,"Yes","No"))</f>
        <v/>
      </c>
      <c r="AL294" s="85">
        <f>IF($A294="","",IF(AND($E294="Yes",OR($Y294="No",$Y294="NOT FOUND")),"YES",""))</f>
        <v/>
      </c>
      <c r="AM294" s="85">
        <f>IF($A294="","",TRIM(IF(AND($P294=0,$I294&lt;&gt;"Yes"),"T0-NoPhishResistant ","")&amp;IF($H294="No","NoMFA ","")&amp;IF(AND($P294=0,$M294&gt;0),"T0-Standing ","")&amp;IF(AND($P294=0,$Q294="Group only"),"T0-ViaGroupOnly ","")&amp;IF($W294="Yes","AlsoAzureRBAC ","")))</f>
        <v/>
      </c>
      <c r="AN294" s="85">
        <f>IF($A294="","",IF(AG294="","Not Enrolled",IF(TODAY()&gt;AG294,"Review Overdue",IF(AG294-TODAY()&lt;=30,"Review Due Soon","Active"))))</f>
        <v/>
      </c>
      <c r="AO294" s="85">
        <f>IF($A294="","",IF(AH294="","NOT REVIEWED",IF(TODAY()-AH294&gt;90,"OVERDUE",IF(TODAY()-AH294&gt;76,"Due Soon","Current"))))</f>
        <v/>
      </c>
    </row>
    <row r="295" ht="15" customHeight="1" s="39">
      <c r="A295" s="85" t="n"/>
      <c r="B295" s="85" t="n"/>
      <c r="C295" s="85" t="n"/>
      <c r="D295" s="85" t="n"/>
      <c r="E295" s="85" t="n"/>
      <c r="F295" s="86" t="n"/>
      <c r="G295" s="86" t="n"/>
      <c r="H295" s="85" t="n"/>
      <c r="I295" s="85" t="n"/>
      <c r="J295" s="85" t="n"/>
      <c r="K295" s="85" t="n"/>
      <c r="L295" s="85" t="n"/>
      <c r="M295" s="85" t="n"/>
      <c r="N295" s="85" t="n"/>
      <c r="O295" s="85" t="n"/>
      <c r="P295" s="85" t="n"/>
      <c r="Q295" s="85" t="n"/>
      <c r="R295" s="85" t="n"/>
      <c r="S295" s="85" t="n"/>
      <c r="T295" s="85" t="n"/>
      <c r="U295" s="85" t="n"/>
      <c r="V295" s="85" t="n"/>
      <c r="W295" s="85" t="n"/>
      <c r="X295" s="85" t="n"/>
      <c r="Y295" s="85" t="n"/>
      <c r="Z295" s="85" t="n"/>
      <c r="AA295" s="85" t="n"/>
      <c r="AB295" s="85" t="n"/>
      <c r="AC295" s="85" t="n"/>
      <c r="AD295" s="85" t="n"/>
      <c r="AE295" s="85" t="n"/>
      <c r="AF295" s="86" t="n"/>
      <c r="AG295" s="86" t="n"/>
      <c r="AH295" s="86" t="n"/>
      <c r="AI295" s="85" t="n"/>
      <c r="AJ295" s="85" t="n"/>
      <c r="AK295" s="85">
        <f>IF($A295="","",IF($M295&gt;0,"Yes","No"))</f>
        <v/>
      </c>
      <c r="AL295" s="85">
        <f>IF($A295="","",IF(AND($E295="Yes",OR($Y295="No",$Y295="NOT FOUND")),"YES",""))</f>
        <v/>
      </c>
      <c r="AM295" s="85">
        <f>IF($A295="","",TRIM(IF(AND($P295=0,$I295&lt;&gt;"Yes"),"T0-NoPhishResistant ","")&amp;IF($H295="No","NoMFA ","")&amp;IF(AND($P295=0,$M295&gt;0),"T0-Standing ","")&amp;IF(AND($P295=0,$Q295="Group only"),"T0-ViaGroupOnly ","")&amp;IF($W295="Yes","AlsoAzureRBAC ","")))</f>
        <v/>
      </c>
      <c r="AN295" s="85">
        <f>IF($A295="","",IF(AG295="","Not Enrolled",IF(TODAY()&gt;AG295,"Review Overdue",IF(AG295-TODAY()&lt;=30,"Review Due Soon","Active"))))</f>
        <v/>
      </c>
      <c r="AO295" s="85">
        <f>IF($A295="","",IF(AH295="","NOT REVIEWED",IF(TODAY()-AH295&gt;90,"OVERDUE",IF(TODAY()-AH295&gt;76,"Due Soon","Current"))))</f>
        <v/>
      </c>
    </row>
    <row r="296" ht="15" customHeight="1" s="39">
      <c r="A296" s="85" t="n"/>
      <c r="B296" s="85" t="n"/>
      <c r="C296" s="85" t="n"/>
      <c r="D296" s="85" t="n"/>
      <c r="E296" s="85" t="n"/>
      <c r="F296" s="86" t="n"/>
      <c r="G296" s="86" t="n"/>
      <c r="H296" s="85" t="n"/>
      <c r="I296" s="85" t="n"/>
      <c r="J296" s="85" t="n"/>
      <c r="K296" s="85" t="n"/>
      <c r="L296" s="85" t="n"/>
      <c r="M296" s="85" t="n"/>
      <c r="N296" s="85" t="n"/>
      <c r="O296" s="85" t="n"/>
      <c r="P296" s="85" t="n"/>
      <c r="Q296" s="85" t="n"/>
      <c r="R296" s="85" t="n"/>
      <c r="S296" s="85" t="n"/>
      <c r="T296" s="85" t="n"/>
      <c r="U296" s="85" t="n"/>
      <c r="V296" s="85" t="n"/>
      <c r="W296" s="85" t="n"/>
      <c r="X296" s="85" t="n"/>
      <c r="Y296" s="85" t="n"/>
      <c r="Z296" s="85" t="n"/>
      <c r="AA296" s="85" t="n"/>
      <c r="AB296" s="85" t="n"/>
      <c r="AC296" s="85" t="n"/>
      <c r="AD296" s="85" t="n"/>
      <c r="AE296" s="85" t="n"/>
      <c r="AF296" s="86" t="n"/>
      <c r="AG296" s="86" t="n"/>
      <c r="AH296" s="86" t="n"/>
      <c r="AI296" s="85" t="n"/>
      <c r="AJ296" s="85" t="n"/>
      <c r="AK296" s="85">
        <f>IF($A296="","",IF($M296&gt;0,"Yes","No"))</f>
        <v/>
      </c>
      <c r="AL296" s="85">
        <f>IF($A296="","",IF(AND($E296="Yes",OR($Y296="No",$Y296="NOT FOUND")),"YES",""))</f>
        <v/>
      </c>
      <c r="AM296" s="85">
        <f>IF($A296="","",TRIM(IF(AND($P296=0,$I296&lt;&gt;"Yes"),"T0-NoPhishResistant ","")&amp;IF($H296="No","NoMFA ","")&amp;IF(AND($P296=0,$M296&gt;0),"T0-Standing ","")&amp;IF(AND($P296=0,$Q296="Group only"),"T0-ViaGroupOnly ","")&amp;IF($W296="Yes","AlsoAzureRBAC ","")))</f>
        <v/>
      </c>
      <c r="AN296" s="85">
        <f>IF($A296="","",IF(AG296="","Not Enrolled",IF(TODAY()&gt;AG296,"Review Overdue",IF(AG296-TODAY()&lt;=30,"Review Due Soon","Active"))))</f>
        <v/>
      </c>
      <c r="AO296" s="85">
        <f>IF($A296="","",IF(AH296="","NOT REVIEWED",IF(TODAY()-AH296&gt;90,"OVERDUE",IF(TODAY()-AH296&gt;76,"Due Soon","Current"))))</f>
        <v/>
      </c>
    </row>
    <row r="297" ht="15" customHeight="1" s="39">
      <c r="A297" s="85" t="n"/>
      <c r="B297" s="85" t="n"/>
      <c r="C297" s="85" t="n"/>
      <c r="D297" s="85" t="n"/>
      <c r="E297" s="85" t="n"/>
      <c r="F297" s="86" t="n"/>
      <c r="G297" s="86" t="n"/>
      <c r="H297" s="85" t="n"/>
      <c r="I297" s="85" t="n"/>
      <c r="J297" s="85" t="n"/>
      <c r="K297" s="85" t="n"/>
      <c r="L297" s="85" t="n"/>
      <c r="M297" s="85" t="n"/>
      <c r="N297" s="85" t="n"/>
      <c r="O297" s="85" t="n"/>
      <c r="P297" s="85" t="n"/>
      <c r="Q297" s="85" t="n"/>
      <c r="R297" s="85" t="n"/>
      <c r="S297" s="85" t="n"/>
      <c r="T297" s="85" t="n"/>
      <c r="U297" s="85" t="n"/>
      <c r="V297" s="85" t="n"/>
      <c r="W297" s="85" t="n"/>
      <c r="X297" s="85" t="n"/>
      <c r="Y297" s="85" t="n"/>
      <c r="Z297" s="85" t="n"/>
      <c r="AA297" s="85" t="n"/>
      <c r="AB297" s="85" t="n"/>
      <c r="AC297" s="85" t="n"/>
      <c r="AD297" s="85" t="n"/>
      <c r="AE297" s="85" t="n"/>
      <c r="AF297" s="86" t="n"/>
      <c r="AG297" s="86" t="n"/>
      <c r="AH297" s="86" t="n"/>
      <c r="AI297" s="85" t="n"/>
      <c r="AJ297" s="85" t="n"/>
      <c r="AK297" s="85">
        <f>IF($A297="","",IF($M297&gt;0,"Yes","No"))</f>
        <v/>
      </c>
      <c r="AL297" s="85">
        <f>IF($A297="","",IF(AND($E297="Yes",OR($Y297="No",$Y297="NOT FOUND")),"YES",""))</f>
        <v/>
      </c>
      <c r="AM297" s="85">
        <f>IF($A297="","",TRIM(IF(AND($P297=0,$I297&lt;&gt;"Yes"),"T0-NoPhishResistant ","")&amp;IF($H297="No","NoMFA ","")&amp;IF(AND($P297=0,$M297&gt;0),"T0-Standing ","")&amp;IF(AND($P297=0,$Q297="Group only"),"T0-ViaGroupOnly ","")&amp;IF($W297="Yes","AlsoAzureRBAC ","")))</f>
        <v/>
      </c>
      <c r="AN297" s="85">
        <f>IF($A297="","",IF(AG297="","Not Enrolled",IF(TODAY()&gt;AG297,"Review Overdue",IF(AG297-TODAY()&lt;=30,"Review Due Soon","Active"))))</f>
        <v/>
      </c>
      <c r="AO297" s="85">
        <f>IF($A297="","",IF(AH297="","NOT REVIEWED",IF(TODAY()-AH297&gt;90,"OVERDUE",IF(TODAY()-AH297&gt;76,"Due Soon","Current"))))</f>
        <v/>
      </c>
    </row>
    <row r="298" ht="15" customHeight="1" s="39">
      <c r="A298" s="85" t="n"/>
      <c r="B298" s="85" t="n"/>
      <c r="C298" s="85" t="n"/>
      <c r="D298" s="85" t="n"/>
      <c r="E298" s="85" t="n"/>
      <c r="F298" s="86" t="n"/>
      <c r="G298" s="86" t="n"/>
      <c r="H298" s="85" t="n"/>
      <c r="I298" s="85" t="n"/>
      <c r="J298" s="85" t="n"/>
      <c r="K298" s="85" t="n"/>
      <c r="L298" s="85" t="n"/>
      <c r="M298" s="85" t="n"/>
      <c r="N298" s="85" t="n"/>
      <c r="O298" s="85" t="n"/>
      <c r="P298" s="85" t="n"/>
      <c r="Q298" s="85" t="n"/>
      <c r="R298" s="85" t="n"/>
      <c r="S298" s="85" t="n"/>
      <c r="T298" s="85" t="n"/>
      <c r="U298" s="85" t="n"/>
      <c r="V298" s="85" t="n"/>
      <c r="W298" s="85" t="n"/>
      <c r="X298" s="85" t="n"/>
      <c r="Y298" s="85" t="n"/>
      <c r="Z298" s="85" t="n"/>
      <c r="AA298" s="85" t="n"/>
      <c r="AB298" s="85" t="n"/>
      <c r="AC298" s="85" t="n"/>
      <c r="AD298" s="85" t="n"/>
      <c r="AE298" s="85" t="n"/>
      <c r="AF298" s="86" t="n"/>
      <c r="AG298" s="86" t="n"/>
      <c r="AH298" s="86" t="n"/>
      <c r="AI298" s="85" t="n"/>
      <c r="AJ298" s="85" t="n"/>
      <c r="AK298" s="85">
        <f>IF($A298="","",IF($M298&gt;0,"Yes","No"))</f>
        <v/>
      </c>
      <c r="AL298" s="85">
        <f>IF($A298="","",IF(AND($E298="Yes",OR($Y298="No",$Y298="NOT FOUND")),"YES",""))</f>
        <v/>
      </c>
      <c r="AM298" s="85">
        <f>IF($A298="","",TRIM(IF(AND($P298=0,$I298&lt;&gt;"Yes"),"T0-NoPhishResistant ","")&amp;IF($H298="No","NoMFA ","")&amp;IF(AND($P298=0,$M298&gt;0),"T0-Standing ","")&amp;IF(AND($P298=0,$Q298="Group only"),"T0-ViaGroupOnly ","")&amp;IF($W298="Yes","AlsoAzureRBAC ","")))</f>
        <v/>
      </c>
      <c r="AN298" s="85">
        <f>IF($A298="","",IF(AG298="","Not Enrolled",IF(TODAY()&gt;AG298,"Review Overdue",IF(AG298-TODAY()&lt;=30,"Review Due Soon","Active"))))</f>
        <v/>
      </c>
      <c r="AO298" s="85">
        <f>IF($A298="","",IF(AH298="","NOT REVIEWED",IF(TODAY()-AH298&gt;90,"OVERDUE",IF(TODAY()-AH298&gt;76,"Due Soon","Current"))))</f>
        <v/>
      </c>
    </row>
    <row r="299" ht="15" customHeight="1" s="39">
      <c r="A299" s="85" t="n"/>
      <c r="B299" s="85" t="n"/>
      <c r="C299" s="85" t="n"/>
      <c r="D299" s="85" t="n"/>
      <c r="E299" s="85" t="n"/>
      <c r="F299" s="86" t="n"/>
      <c r="G299" s="86" t="n"/>
      <c r="H299" s="85" t="n"/>
      <c r="I299" s="85" t="n"/>
      <c r="J299" s="85" t="n"/>
      <c r="K299" s="85" t="n"/>
      <c r="L299" s="85" t="n"/>
      <c r="M299" s="85" t="n"/>
      <c r="N299" s="85" t="n"/>
      <c r="O299" s="85" t="n"/>
      <c r="P299" s="85" t="n"/>
      <c r="Q299" s="85" t="n"/>
      <c r="R299" s="85" t="n"/>
      <c r="S299" s="85" t="n"/>
      <c r="T299" s="85" t="n"/>
      <c r="U299" s="85" t="n"/>
      <c r="V299" s="85" t="n"/>
      <c r="W299" s="85" t="n"/>
      <c r="X299" s="85" t="n"/>
      <c r="Y299" s="85" t="n"/>
      <c r="Z299" s="85" t="n"/>
      <c r="AA299" s="85" t="n"/>
      <c r="AB299" s="85" t="n"/>
      <c r="AC299" s="85" t="n"/>
      <c r="AD299" s="85" t="n"/>
      <c r="AE299" s="85" t="n"/>
      <c r="AF299" s="86" t="n"/>
      <c r="AG299" s="86" t="n"/>
      <c r="AH299" s="86" t="n"/>
      <c r="AI299" s="85" t="n"/>
      <c r="AJ299" s="85" t="n"/>
      <c r="AK299" s="85">
        <f>IF($A299="","",IF($M299&gt;0,"Yes","No"))</f>
        <v/>
      </c>
      <c r="AL299" s="85">
        <f>IF($A299="","",IF(AND($E299="Yes",OR($Y299="No",$Y299="NOT FOUND")),"YES",""))</f>
        <v/>
      </c>
      <c r="AM299" s="85">
        <f>IF($A299="","",TRIM(IF(AND($P299=0,$I299&lt;&gt;"Yes"),"T0-NoPhishResistant ","")&amp;IF($H299="No","NoMFA ","")&amp;IF(AND($P299=0,$M299&gt;0),"T0-Standing ","")&amp;IF(AND($P299=0,$Q299="Group only"),"T0-ViaGroupOnly ","")&amp;IF($W299="Yes","AlsoAzureRBAC ","")))</f>
        <v/>
      </c>
      <c r="AN299" s="85">
        <f>IF($A299="","",IF(AG299="","Not Enrolled",IF(TODAY()&gt;AG299,"Review Overdue",IF(AG299-TODAY()&lt;=30,"Review Due Soon","Active"))))</f>
        <v/>
      </c>
      <c r="AO299" s="85">
        <f>IF($A299="","",IF(AH299="","NOT REVIEWED",IF(TODAY()-AH299&gt;90,"OVERDUE",IF(TODAY()-AH299&gt;76,"Due Soon","Current"))))</f>
        <v/>
      </c>
    </row>
    <row r="300" ht="15" customHeight="1" s="39">
      <c r="A300" s="85" t="n"/>
      <c r="B300" s="85" t="n"/>
      <c r="C300" s="85" t="n"/>
      <c r="D300" s="85" t="n"/>
      <c r="E300" s="85" t="n"/>
      <c r="F300" s="86" t="n"/>
      <c r="G300" s="86" t="n"/>
      <c r="H300" s="85" t="n"/>
      <c r="I300" s="85" t="n"/>
      <c r="J300" s="85" t="n"/>
      <c r="K300" s="85" t="n"/>
      <c r="L300" s="85" t="n"/>
      <c r="M300" s="85" t="n"/>
      <c r="N300" s="85" t="n"/>
      <c r="O300" s="85" t="n"/>
      <c r="P300" s="85" t="n"/>
      <c r="Q300" s="85" t="n"/>
      <c r="R300" s="85" t="n"/>
      <c r="S300" s="85" t="n"/>
      <c r="T300" s="85" t="n"/>
      <c r="U300" s="85" t="n"/>
      <c r="V300" s="85" t="n"/>
      <c r="W300" s="85" t="n"/>
      <c r="X300" s="85" t="n"/>
      <c r="Y300" s="85" t="n"/>
      <c r="Z300" s="85" t="n"/>
      <c r="AA300" s="85" t="n"/>
      <c r="AB300" s="85" t="n"/>
      <c r="AC300" s="85" t="n"/>
      <c r="AD300" s="85" t="n"/>
      <c r="AE300" s="85" t="n"/>
      <c r="AF300" s="86" t="n"/>
      <c r="AG300" s="86" t="n"/>
      <c r="AH300" s="86" t="n"/>
      <c r="AI300" s="85" t="n"/>
      <c r="AJ300" s="85" t="n"/>
      <c r="AK300" s="85">
        <f>IF($A300="","",IF($M300&gt;0,"Yes","No"))</f>
        <v/>
      </c>
      <c r="AL300" s="85">
        <f>IF($A300="","",IF(AND($E300="Yes",OR($Y300="No",$Y300="NOT FOUND")),"YES",""))</f>
        <v/>
      </c>
      <c r="AM300" s="85">
        <f>IF($A300="","",TRIM(IF(AND($P300=0,$I300&lt;&gt;"Yes"),"T0-NoPhishResistant ","")&amp;IF($H300="No","NoMFA ","")&amp;IF(AND($P300=0,$M300&gt;0),"T0-Standing ","")&amp;IF(AND($P300=0,$Q300="Group only"),"T0-ViaGroupOnly ","")&amp;IF($W300="Yes","AlsoAzureRBAC ","")))</f>
        <v/>
      </c>
      <c r="AN300" s="85">
        <f>IF($A300="","",IF(AG300="","Not Enrolled",IF(TODAY()&gt;AG300,"Review Overdue",IF(AG300-TODAY()&lt;=30,"Review Due Soon","Active"))))</f>
        <v/>
      </c>
      <c r="AO300" s="85">
        <f>IF($A300="","",IF(AH300="","NOT REVIEWED",IF(TODAY()-AH300&gt;90,"OVERDUE",IF(TODAY()-AH300&gt;76,"Due Soon","Current"))))</f>
        <v/>
      </c>
    </row>
    <row r="301" ht="15" customHeight="1" s="39">
      <c r="A301" s="85" t="n"/>
      <c r="B301" s="85" t="n"/>
      <c r="C301" s="85" t="n"/>
      <c r="D301" s="85" t="n"/>
      <c r="E301" s="85" t="n"/>
      <c r="F301" s="86" t="n"/>
      <c r="G301" s="86" t="n"/>
      <c r="H301" s="85" t="n"/>
      <c r="I301" s="85" t="n"/>
      <c r="J301" s="85" t="n"/>
      <c r="K301" s="85" t="n"/>
      <c r="L301" s="85" t="n"/>
      <c r="M301" s="85" t="n"/>
      <c r="N301" s="85" t="n"/>
      <c r="O301" s="85" t="n"/>
      <c r="P301" s="85" t="n"/>
      <c r="Q301" s="85" t="n"/>
      <c r="R301" s="85" t="n"/>
      <c r="S301" s="85" t="n"/>
      <c r="T301" s="85" t="n"/>
      <c r="U301" s="85" t="n"/>
      <c r="V301" s="85" t="n"/>
      <c r="W301" s="85" t="n"/>
      <c r="X301" s="85" t="n"/>
      <c r="Y301" s="85" t="n"/>
      <c r="Z301" s="85" t="n"/>
      <c r="AA301" s="85" t="n"/>
      <c r="AB301" s="85" t="n"/>
      <c r="AC301" s="85" t="n"/>
      <c r="AD301" s="85" t="n"/>
      <c r="AE301" s="85" t="n"/>
      <c r="AF301" s="86" t="n"/>
      <c r="AG301" s="86" t="n"/>
      <c r="AH301" s="86" t="n"/>
      <c r="AI301" s="85" t="n"/>
      <c r="AJ301" s="85" t="n"/>
      <c r="AK301" s="85">
        <f>IF($A301="","",IF($M301&gt;0,"Yes","No"))</f>
        <v/>
      </c>
      <c r="AL301" s="85">
        <f>IF($A301="","",IF(AND($E301="Yes",OR($Y301="No",$Y301="NOT FOUND")),"YES",""))</f>
        <v/>
      </c>
      <c r="AM301" s="85">
        <f>IF($A301="","",TRIM(IF(AND($P301=0,$I301&lt;&gt;"Yes"),"T0-NoPhishResistant ","")&amp;IF($H301="No","NoMFA ","")&amp;IF(AND($P301=0,$M301&gt;0),"T0-Standing ","")&amp;IF(AND($P301=0,$Q301="Group only"),"T0-ViaGroupOnly ","")&amp;IF($W301="Yes","AlsoAzureRBAC ","")))</f>
        <v/>
      </c>
      <c r="AN301" s="85">
        <f>IF($A301="","",IF(AG301="","Not Enrolled",IF(TODAY()&gt;AG301,"Review Overdue",IF(AG301-TODAY()&lt;=30,"Review Due Soon","Active"))))</f>
        <v/>
      </c>
      <c r="AO301" s="85">
        <f>IF($A301="","",IF(AH301="","NOT REVIEWED",IF(TODAY()-AH301&gt;90,"OVERDUE",IF(TODAY()-AH301&gt;76,"Due Soon","Current"))))</f>
        <v/>
      </c>
    </row>
    <row r="302" ht="15" customHeight="1" s="39">
      <c r="A302" s="85" t="n"/>
      <c r="B302" s="85" t="n"/>
      <c r="C302" s="85" t="n"/>
      <c r="D302" s="85" t="n"/>
      <c r="E302" s="85" t="n"/>
      <c r="F302" s="86" t="n"/>
      <c r="G302" s="86" t="n"/>
      <c r="H302" s="85" t="n"/>
      <c r="I302" s="85" t="n"/>
      <c r="J302" s="85" t="n"/>
      <c r="K302" s="85" t="n"/>
      <c r="L302" s="85" t="n"/>
      <c r="M302" s="85" t="n"/>
      <c r="N302" s="85" t="n"/>
      <c r="O302" s="85" t="n"/>
      <c r="P302" s="85" t="n"/>
      <c r="Q302" s="85" t="n"/>
      <c r="R302" s="85" t="n"/>
      <c r="S302" s="85" t="n"/>
      <c r="T302" s="85" t="n"/>
      <c r="U302" s="85" t="n"/>
      <c r="V302" s="85" t="n"/>
      <c r="W302" s="85" t="n"/>
      <c r="X302" s="85" t="n"/>
      <c r="Y302" s="85" t="n"/>
      <c r="Z302" s="85" t="n"/>
      <c r="AA302" s="85" t="n"/>
      <c r="AB302" s="85" t="n"/>
      <c r="AC302" s="85" t="n"/>
      <c r="AD302" s="85" t="n"/>
      <c r="AE302" s="85" t="n"/>
      <c r="AF302" s="86" t="n"/>
      <c r="AG302" s="86" t="n"/>
      <c r="AH302" s="86" t="n"/>
      <c r="AI302" s="85" t="n"/>
      <c r="AJ302" s="85" t="n"/>
      <c r="AK302" s="85">
        <f>IF($A302="","",IF($M302&gt;0,"Yes","No"))</f>
        <v/>
      </c>
      <c r="AL302" s="85">
        <f>IF($A302="","",IF(AND($E302="Yes",OR($Y302="No",$Y302="NOT FOUND")),"YES",""))</f>
        <v/>
      </c>
      <c r="AM302" s="85">
        <f>IF($A302="","",TRIM(IF(AND($P302=0,$I302&lt;&gt;"Yes"),"T0-NoPhishResistant ","")&amp;IF($H302="No","NoMFA ","")&amp;IF(AND($P302=0,$M302&gt;0),"T0-Standing ","")&amp;IF(AND($P302=0,$Q302="Group only"),"T0-ViaGroupOnly ","")&amp;IF($W302="Yes","AlsoAzureRBAC ","")))</f>
        <v/>
      </c>
      <c r="AN302" s="85">
        <f>IF($A302="","",IF(AG302="","Not Enrolled",IF(TODAY()&gt;AG302,"Review Overdue",IF(AG302-TODAY()&lt;=30,"Review Due Soon","Active"))))</f>
        <v/>
      </c>
      <c r="AO302" s="85">
        <f>IF($A302="","",IF(AH302="","NOT REVIEWED",IF(TODAY()-AH302&gt;90,"OVERDUE",IF(TODAY()-AH302&gt;76,"Due Soon","Current"))))</f>
        <v/>
      </c>
    </row>
    <row r="303" ht="15" customHeight="1" s="39">
      <c r="A303" s="85" t="n"/>
      <c r="B303" s="85" t="n"/>
      <c r="C303" s="85" t="n"/>
      <c r="D303" s="85" t="n"/>
      <c r="E303" s="85" t="n"/>
      <c r="F303" s="86" t="n"/>
      <c r="G303" s="86" t="n"/>
      <c r="H303" s="85" t="n"/>
      <c r="I303" s="85" t="n"/>
      <c r="J303" s="85" t="n"/>
      <c r="K303" s="85" t="n"/>
      <c r="L303" s="85" t="n"/>
      <c r="M303" s="85" t="n"/>
      <c r="N303" s="85" t="n"/>
      <c r="O303" s="85" t="n"/>
      <c r="P303" s="85" t="n"/>
      <c r="Q303" s="85" t="n"/>
      <c r="R303" s="85" t="n"/>
      <c r="S303" s="85" t="n"/>
      <c r="T303" s="85" t="n"/>
      <c r="U303" s="85" t="n"/>
      <c r="V303" s="85" t="n"/>
      <c r="W303" s="85" t="n"/>
      <c r="X303" s="85" t="n"/>
      <c r="Y303" s="85" t="n"/>
      <c r="Z303" s="85" t="n"/>
      <c r="AA303" s="85" t="n"/>
      <c r="AB303" s="85" t="n"/>
      <c r="AC303" s="85" t="n"/>
      <c r="AD303" s="85" t="n"/>
      <c r="AE303" s="85" t="n"/>
      <c r="AF303" s="86" t="n"/>
      <c r="AG303" s="86" t="n"/>
      <c r="AH303" s="86" t="n"/>
      <c r="AI303" s="85" t="n"/>
      <c r="AJ303" s="85" t="n"/>
      <c r="AK303" s="85">
        <f>IF($A303="","",IF($M303&gt;0,"Yes","No"))</f>
        <v/>
      </c>
      <c r="AL303" s="85">
        <f>IF($A303="","",IF(AND($E303="Yes",OR($Y303="No",$Y303="NOT FOUND")),"YES",""))</f>
        <v/>
      </c>
      <c r="AM303" s="85">
        <f>IF($A303="","",TRIM(IF(AND($P303=0,$I303&lt;&gt;"Yes"),"T0-NoPhishResistant ","")&amp;IF($H303="No","NoMFA ","")&amp;IF(AND($P303=0,$M303&gt;0),"T0-Standing ","")&amp;IF(AND($P303=0,$Q303="Group only"),"T0-ViaGroupOnly ","")&amp;IF($W303="Yes","AlsoAzureRBAC ","")))</f>
        <v/>
      </c>
      <c r="AN303" s="85">
        <f>IF($A303="","",IF(AG303="","Not Enrolled",IF(TODAY()&gt;AG303,"Review Overdue",IF(AG303-TODAY()&lt;=30,"Review Due Soon","Active"))))</f>
        <v/>
      </c>
      <c r="AO303" s="85">
        <f>IF($A303="","",IF(AH303="","NOT REVIEWED",IF(TODAY()-AH303&gt;90,"OVERDUE",IF(TODAY()-AH303&gt;76,"Due Soon","Current"))))</f>
        <v/>
      </c>
    </row>
    <row r="304" ht="15" customHeight="1" s="39">
      <c r="A304" s="85" t="n"/>
      <c r="B304" s="85" t="n"/>
      <c r="C304" s="85" t="n"/>
      <c r="D304" s="85" t="n"/>
      <c r="E304" s="85" t="n"/>
      <c r="F304" s="86" t="n"/>
      <c r="G304" s="86" t="n"/>
      <c r="H304" s="85" t="n"/>
      <c r="I304" s="85" t="n"/>
      <c r="J304" s="85" t="n"/>
      <c r="K304" s="85" t="n"/>
      <c r="L304" s="85" t="n"/>
      <c r="M304" s="85" t="n"/>
      <c r="N304" s="85" t="n"/>
      <c r="O304" s="85" t="n"/>
      <c r="P304" s="85" t="n"/>
      <c r="Q304" s="85" t="n"/>
      <c r="R304" s="85" t="n"/>
      <c r="S304" s="85" t="n"/>
      <c r="T304" s="85" t="n"/>
      <c r="U304" s="85" t="n"/>
      <c r="V304" s="85" t="n"/>
      <c r="W304" s="85" t="n"/>
      <c r="X304" s="85" t="n"/>
      <c r="Y304" s="85" t="n"/>
      <c r="Z304" s="85" t="n"/>
      <c r="AA304" s="85" t="n"/>
      <c r="AB304" s="85" t="n"/>
      <c r="AC304" s="85" t="n"/>
      <c r="AD304" s="85" t="n"/>
      <c r="AE304" s="85" t="n"/>
      <c r="AF304" s="86" t="n"/>
      <c r="AG304" s="86" t="n"/>
      <c r="AH304" s="86" t="n"/>
      <c r="AI304" s="85" t="n"/>
      <c r="AJ304" s="85" t="n"/>
      <c r="AK304" s="85">
        <f>IF($A304="","",IF($M304&gt;0,"Yes","No"))</f>
        <v/>
      </c>
      <c r="AL304" s="85">
        <f>IF($A304="","",IF(AND($E304="Yes",OR($Y304="No",$Y304="NOT FOUND")),"YES",""))</f>
        <v/>
      </c>
      <c r="AM304" s="85">
        <f>IF($A304="","",TRIM(IF(AND($P304=0,$I304&lt;&gt;"Yes"),"T0-NoPhishResistant ","")&amp;IF($H304="No","NoMFA ","")&amp;IF(AND($P304=0,$M304&gt;0),"T0-Standing ","")&amp;IF(AND($P304=0,$Q304="Group only"),"T0-ViaGroupOnly ","")&amp;IF($W304="Yes","AlsoAzureRBAC ","")))</f>
        <v/>
      </c>
      <c r="AN304" s="85">
        <f>IF($A304="","",IF(AG304="","Not Enrolled",IF(TODAY()&gt;AG304,"Review Overdue",IF(AG304-TODAY()&lt;=30,"Review Due Soon","Active"))))</f>
        <v/>
      </c>
      <c r="AO304" s="85">
        <f>IF($A304="","",IF(AH304="","NOT REVIEWED",IF(TODAY()-AH304&gt;90,"OVERDUE",IF(TODAY()-AH304&gt;76,"Due Soon","Current"))))</f>
        <v/>
      </c>
    </row>
    <row r="305" ht="15" customHeight="1" s="39">
      <c r="A305" s="85" t="n"/>
      <c r="B305" s="85" t="n"/>
      <c r="C305" s="85" t="n"/>
      <c r="D305" s="85" t="n"/>
      <c r="E305" s="85" t="n"/>
      <c r="F305" s="86" t="n"/>
      <c r="G305" s="86" t="n"/>
      <c r="H305" s="85" t="n"/>
      <c r="I305" s="85" t="n"/>
      <c r="J305" s="85" t="n"/>
      <c r="K305" s="85" t="n"/>
      <c r="L305" s="85" t="n"/>
      <c r="M305" s="85" t="n"/>
      <c r="N305" s="85" t="n"/>
      <c r="O305" s="85" t="n"/>
      <c r="P305" s="85" t="n"/>
      <c r="Q305" s="85" t="n"/>
      <c r="R305" s="85" t="n"/>
      <c r="S305" s="85" t="n"/>
      <c r="T305" s="85" t="n"/>
      <c r="U305" s="85" t="n"/>
      <c r="V305" s="85" t="n"/>
      <c r="W305" s="85" t="n"/>
      <c r="X305" s="85" t="n"/>
      <c r="Y305" s="85" t="n"/>
      <c r="Z305" s="85" t="n"/>
      <c r="AA305" s="85" t="n"/>
      <c r="AB305" s="85" t="n"/>
      <c r="AC305" s="85" t="n"/>
      <c r="AD305" s="85" t="n"/>
      <c r="AE305" s="85" t="n"/>
      <c r="AF305" s="86" t="n"/>
      <c r="AG305" s="86" t="n"/>
      <c r="AH305" s="86" t="n"/>
      <c r="AI305" s="85" t="n"/>
      <c r="AJ305" s="85" t="n"/>
      <c r="AK305" s="85">
        <f>IF($A305="","",IF($M305&gt;0,"Yes","No"))</f>
        <v/>
      </c>
      <c r="AL305" s="85">
        <f>IF($A305="","",IF(AND($E305="Yes",OR($Y305="No",$Y305="NOT FOUND")),"YES",""))</f>
        <v/>
      </c>
      <c r="AM305" s="85">
        <f>IF($A305="","",TRIM(IF(AND($P305=0,$I305&lt;&gt;"Yes"),"T0-NoPhishResistant ","")&amp;IF($H305="No","NoMFA ","")&amp;IF(AND($P305=0,$M305&gt;0),"T0-Standing ","")&amp;IF(AND($P305=0,$Q305="Group only"),"T0-ViaGroupOnly ","")&amp;IF($W305="Yes","AlsoAzureRBAC ","")))</f>
        <v/>
      </c>
      <c r="AN305" s="85">
        <f>IF($A305="","",IF(AG305="","Not Enrolled",IF(TODAY()&gt;AG305,"Review Overdue",IF(AG305-TODAY()&lt;=30,"Review Due Soon","Active"))))</f>
        <v/>
      </c>
      <c r="AO305" s="85">
        <f>IF($A305="","",IF(AH305="","NOT REVIEWED",IF(TODAY()-AH305&gt;90,"OVERDUE",IF(TODAY()-AH305&gt;76,"Due Soon","Current"))))</f>
        <v/>
      </c>
    </row>
    <row r="306" ht="15" customHeight="1" s="39">
      <c r="A306" s="85" t="n"/>
      <c r="B306" s="85" t="n"/>
      <c r="C306" s="85" t="n"/>
      <c r="D306" s="85" t="n"/>
      <c r="E306" s="85" t="n"/>
      <c r="F306" s="86" t="n"/>
      <c r="G306" s="86" t="n"/>
      <c r="H306" s="85" t="n"/>
      <c r="I306" s="85" t="n"/>
      <c r="J306" s="85" t="n"/>
      <c r="K306" s="85" t="n"/>
      <c r="L306" s="85" t="n"/>
      <c r="M306" s="85" t="n"/>
      <c r="N306" s="85" t="n"/>
      <c r="O306" s="85" t="n"/>
      <c r="P306" s="85" t="n"/>
      <c r="Q306" s="85" t="n"/>
      <c r="R306" s="85" t="n"/>
      <c r="S306" s="85" t="n"/>
      <c r="T306" s="85" t="n"/>
      <c r="U306" s="85" t="n"/>
      <c r="V306" s="85" t="n"/>
      <c r="W306" s="85" t="n"/>
      <c r="X306" s="85" t="n"/>
      <c r="Y306" s="85" t="n"/>
      <c r="Z306" s="85" t="n"/>
      <c r="AA306" s="85" t="n"/>
      <c r="AB306" s="85" t="n"/>
      <c r="AC306" s="85" t="n"/>
      <c r="AD306" s="85" t="n"/>
      <c r="AE306" s="85" t="n"/>
      <c r="AF306" s="86" t="n"/>
      <c r="AG306" s="86" t="n"/>
      <c r="AH306" s="86" t="n"/>
      <c r="AI306" s="85" t="n"/>
      <c r="AJ306" s="85" t="n"/>
      <c r="AK306" s="85">
        <f>IF($A306="","",IF($M306&gt;0,"Yes","No"))</f>
        <v/>
      </c>
      <c r="AL306" s="85">
        <f>IF($A306="","",IF(AND($E306="Yes",OR($Y306="No",$Y306="NOT FOUND")),"YES",""))</f>
        <v/>
      </c>
      <c r="AM306" s="85">
        <f>IF($A306="","",TRIM(IF(AND($P306=0,$I306&lt;&gt;"Yes"),"T0-NoPhishResistant ","")&amp;IF($H306="No","NoMFA ","")&amp;IF(AND($P306=0,$M306&gt;0),"T0-Standing ","")&amp;IF(AND($P306=0,$Q306="Group only"),"T0-ViaGroupOnly ","")&amp;IF($W306="Yes","AlsoAzureRBAC ","")))</f>
        <v/>
      </c>
      <c r="AN306" s="85">
        <f>IF($A306="","",IF(AG306="","Not Enrolled",IF(TODAY()&gt;AG306,"Review Overdue",IF(AG306-TODAY()&lt;=30,"Review Due Soon","Active"))))</f>
        <v/>
      </c>
      <c r="AO306" s="85">
        <f>IF($A306="","",IF(AH306="","NOT REVIEWED",IF(TODAY()-AH306&gt;90,"OVERDUE",IF(TODAY()-AH306&gt;76,"Due Soon","Current"))))</f>
        <v/>
      </c>
    </row>
    <row r="307" ht="15" customHeight="1" s="39">
      <c r="A307" s="85" t="n"/>
      <c r="B307" s="85" t="n"/>
      <c r="C307" s="85" t="n"/>
      <c r="D307" s="85" t="n"/>
      <c r="E307" s="85" t="n"/>
      <c r="F307" s="86" t="n"/>
      <c r="G307" s="86" t="n"/>
      <c r="H307" s="85" t="n"/>
      <c r="I307" s="85" t="n"/>
      <c r="J307" s="85" t="n"/>
      <c r="K307" s="85" t="n"/>
      <c r="L307" s="85" t="n"/>
      <c r="M307" s="85" t="n"/>
      <c r="N307" s="85" t="n"/>
      <c r="O307" s="85" t="n"/>
      <c r="P307" s="85" t="n"/>
      <c r="Q307" s="85" t="n"/>
      <c r="R307" s="85" t="n"/>
      <c r="S307" s="85" t="n"/>
      <c r="T307" s="85" t="n"/>
      <c r="U307" s="85" t="n"/>
      <c r="V307" s="85" t="n"/>
      <c r="W307" s="85" t="n"/>
      <c r="X307" s="85" t="n"/>
      <c r="Y307" s="85" t="n"/>
      <c r="Z307" s="85" t="n"/>
      <c r="AA307" s="85" t="n"/>
      <c r="AB307" s="85" t="n"/>
      <c r="AC307" s="85" t="n"/>
      <c r="AD307" s="85" t="n"/>
      <c r="AE307" s="85" t="n"/>
      <c r="AF307" s="86" t="n"/>
      <c r="AG307" s="86" t="n"/>
      <c r="AH307" s="86" t="n"/>
      <c r="AI307" s="85" t="n"/>
      <c r="AJ307" s="85" t="n"/>
      <c r="AK307" s="85">
        <f>IF($A307="","",IF($M307&gt;0,"Yes","No"))</f>
        <v/>
      </c>
      <c r="AL307" s="85">
        <f>IF($A307="","",IF(AND($E307="Yes",OR($Y307="No",$Y307="NOT FOUND")),"YES",""))</f>
        <v/>
      </c>
      <c r="AM307" s="85">
        <f>IF($A307="","",TRIM(IF(AND($P307=0,$I307&lt;&gt;"Yes"),"T0-NoPhishResistant ","")&amp;IF($H307="No","NoMFA ","")&amp;IF(AND($P307=0,$M307&gt;0),"T0-Standing ","")&amp;IF(AND($P307=0,$Q307="Group only"),"T0-ViaGroupOnly ","")&amp;IF($W307="Yes","AlsoAzureRBAC ","")))</f>
        <v/>
      </c>
      <c r="AN307" s="85">
        <f>IF($A307="","",IF(AG307="","Not Enrolled",IF(TODAY()&gt;AG307,"Review Overdue",IF(AG307-TODAY()&lt;=30,"Review Due Soon","Active"))))</f>
        <v/>
      </c>
      <c r="AO307" s="85">
        <f>IF($A307="","",IF(AH307="","NOT REVIEWED",IF(TODAY()-AH307&gt;90,"OVERDUE",IF(TODAY()-AH307&gt;76,"Due Soon","Current"))))</f>
        <v/>
      </c>
    </row>
    <row r="308" ht="15" customHeight="1" s="39">
      <c r="A308" s="85" t="n"/>
      <c r="B308" s="85" t="n"/>
      <c r="C308" s="85" t="n"/>
      <c r="D308" s="85" t="n"/>
      <c r="E308" s="85" t="n"/>
      <c r="F308" s="86" t="n"/>
      <c r="G308" s="86" t="n"/>
      <c r="H308" s="85" t="n"/>
      <c r="I308" s="85" t="n"/>
      <c r="J308" s="85" t="n"/>
      <c r="K308" s="85" t="n"/>
      <c r="L308" s="85" t="n"/>
      <c r="M308" s="85" t="n"/>
      <c r="N308" s="85" t="n"/>
      <c r="O308" s="85" t="n"/>
      <c r="P308" s="85" t="n"/>
      <c r="Q308" s="85" t="n"/>
      <c r="R308" s="85" t="n"/>
      <c r="S308" s="85" t="n"/>
      <c r="T308" s="85" t="n"/>
      <c r="U308" s="85" t="n"/>
      <c r="V308" s="85" t="n"/>
      <c r="W308" s="85" t="n"/>
      <c r="X308" s="85" t="n"/>
      <c r="Y308" s="85" t="n"/>
      <c r="Z308" s="85" t="n"/>
      <c r="AA308" s="85" t="n"/>
      <c r="AB308" s="85" t="n"/>
      <c r="AC308" s="85" t="n"/>
      <c r="AD308" s="85" t="n"/>
      <c r="AE308" s="85" t="n"/>
      <c r="AF308" s="86" t="n"/>
      <c r="AG308" s="86" t="n"/>
      <c r="AH308" s="86" t="n"/>
      <c r="AI308" s="85" t="n"/>
      <c r="AJ308" s="85" t="n"/>
      <c r="AK308" s="85">
        <f>IF($A308="","",IF($M308&gt;0,"Yes","No"))</f>
        <v/>
      </c>
      <c r="AL308" s="85">
        <f>IF($A308="","",IF(AND($E308="Yes",OR($Y308="No",$Y308="NOT FOUND")),"YES",""))</f>
        <v/>
      </c>
      <c r="AM308" s="85">
        <f>IF($A308="","",TRIM(IF(AND($P308=0,$I308&lt;&gt;"Yes"),"T0-NoPhishResistant ","")&amp;IF($H308="No","NoMFA ","")&amp;IF(AND($P308=0,$M308&gt;0),"T0-Standing ","")&amp;IF(AND($P308=0,$Q308="Group only"),"T0-ViaGroupOnly ","")&amp;IF($W308="Yes","AlsoAzureRBAC ","")))</f>
        <v/>
      </c>
      <c r="AN308" s="85">
        <f>IF($A308="","",IF(AG308="","Not Enrolled",IF(TODAY()&gt;AG308,"Review Overdue",IF(AG308-TODAY()&lt;=30,"Review Due Soon","Active"))))</f>
        <v/>
      </c>
      <c r="AO308" s="85">
        <f>IF($A308="","",IF(AH308="","NOT REVIEWED",IF(TODAY()-AH308&gt;90,"OVERDUE",IF(TODAY()-AH308&gt;76,"Due Soon","Current"))))</f>
        <v/>
      </c>
    </row>
    <row r="309" ht="15" customHeight="1" s="39">
      <c r="A309" s="85" t="n"/>
      <c r="B309" s="85" t="n"/>
      <c r="C309" s="85" t="n"/>
      <c r="D309" s="85" t="n"/>
      <c r="E309" s="85" t="n"/>
      <c r="F309" s="86" t="n"/>
      <c r="G309" s="86" t="n"/>
      <c r="H309" s="85" t="n"/>
      <c r="I309" s="85" t="n"/>
      <c r="J309" s="85" t="n"/>
      <c r="K309" s="85" t="n"/>
      <c r="L309" s="85" t="n"/>
      <c r="M309" s="85" t="n"/>
      <c r="N309" s="85" t="n"/>
      <c r="O309" s="85" t="n"/>
      <c r="P309" s="85" t="n"/>
      <c r="Q309" s="85" t="n"/>
      <c r="R309" s="85" t="n"/>
      <c r="S309" s="85" t="n"/>
      <c r="T309" s="85" t="n"/>
      <c r="U309" s="85" t="n"/>
      <c r="V309" s="85" t="n"/>
      <c r="W309" s="85" t="n"/>
      <c r="X309" s="85" t="n"/>
      <c r="Y309" s="85" t="n"/>
      <c r="Z309" s="85" t="n"/>
      <c r="AA309" s="85" t="n"/>
      <c r="AB309" s="85" t="n"/>
      <c r="AC309" s="85" t="n"/>
      <c r="AD309" s="85" t="n"/>
      <c r="AE309" s="85" t="n"/>
      <c r="AF309" s="86" t="n"/>
      <c r="AG309" s="86" t="n"/>
      <c r="AH309" s="86" t="n"/>
      <c r="AI309" s="85" t="n"/>
      <c r="AJ309" s="85" t="n"/>
      <c r="AK309" s="85">
        <f>IF($A309="","",IF($M309&gt;0,"Yes","No"))</f>
        <v/>
      </c>
      <c r="AL309" s="85">
        <f>IF($A309="","",IF(AND($E309="Yes",OR($Y309="No",$Y309="NOT FOUND")),"YES",""))</f>
        <v/>
      </c>
      <c r="AM309" s="85">
        <f>IF($A309="","",TRIM(IF(AND($P309=0,$I309&lt;&gt;"Yes"),"T0-NoPhishResistant ","")&amp;IF($H309="No","NoMFA ","")&amp;IF(AND($P309=0,$M309&gt;0),"T0-Standing ","")&amp;IF(AND($P309=0,$Q309="Group only"),"T0-ViaGroupOnly ","")&amp;IF($W309="Yes","AlsoAzureRBAC ","")))</f>
        <v/>
      </c>
      <c r="AN309" s="85">
        <f>IF($A309="","",IF(AG309="","Not Enrolled",IF(TODAY()&gt;AG309,"Review Overdue",IF(AG309-TODAY()&lt;=30,"Review Due Soon","Active"))))</f>
        <v/>
      </c>
      <c r="AO309" s="85">
        <f>IF($A309="","",IF(AH309="","NOT REVIEWED",IF(TODAY()-AH309&gt;90,"OVERDUE",IF(TODAY()-AH309&gt;76,"Due Soon","Current"))))</f>
        <v/>
      </c>
    </row>
    <row r="310" ht="15" customHeight="1" s="39">
      <c r="A310" s="85" t="n"/>
      <c r="B310" s="85" t="n"/>
      <c r="C310" s="85" t="n"/>
      <c r="D310" s="85" t="n"/>
      <c r="E310" s="85" t="n"/>
      <c r="F310" s="86" t="n"/>
      <c r="G310" s="86" t="n"/>
      <c r="H310" s="85" t="n"/>
      <c r="I310" s="85" t="n"/>
      <c r="J310" s="85" t="n"/>
      <c r="K310" s="85" t="n"/>
      <c r="L310" s="85" t="n"/>
      <c r="M310" s="85" t="n"/>
      <c r="N310" s="85" t="n"/>
      <c r="O310" s="85" t="n"/>
      <c r="P310" s="85" t="n"/>
      <c r="Q310" s="85" t="n"/>
      <c r="R310" s="85" t="n"/>
      <c r="S310" s="85" t="n"/>
      <c r="T310" s="85" t="n"/>
      <c r="U310" s="85" t="n"/>
      <c r="V310" s="85" t="n"/>
      <c r="W310" s="85" t="n"/>
      <c r="X310" s="85" t="n"/>
      <c r="Y310" s="85" t="n"/>
      <c r="Z310" s="85" t="n"/>
      <c r="AA310" s="85" t="n"/>
      <c r="AB310" s="85" t="n"/>
      <c r="AC310" s="85" t="n"/>
      <c r="AD310" s="85" t="n"/>
      <c r="AE310" s="85" t="n"/>
      <c r="AF310" s="86" t="n"/>
      <c r="AG310" s="86" t="n"/>
      <c r="AH310" s="86" t="n"/>
      <c r="AI310" s="85" t="n"/>
      <c r="AJ310" s="85" t="n"/>
      <c r="AK310" s="85">
        <f>IF($A310="","",IF($M310&gt;0,"Yes","No"))</f>
        <v/>
      </c>
      <c r="AL310" s="85">
        <f>IF($A310="","",IF(AND($E310="Yes",OR($Y310="No",$Y310="NOT FOUND")),"YES",""))</f>
        <v/>
      </c>
      <c r="AM310" s="85">
        <f>IF($A310="","",TRIM(IF(AND($P310=0,$I310&lt;&gt;"Yes"),"T0-NoPhishResistant ","")&amp;IF($H310="No","NoMFA ","")&amp;IF(AND($P310=0,$M310&gt;0),"T0-Standing ","")&amp;IF(AND($P310=0,$Q310="Group only"),"T0-ViaGroupOnly ","")&amp;IF($W310="Yes","AlsoAzureRBAC ","")))</f>
        <v/>
      </c>
      <c r="AN310" s="85">
        <f>IF($A310="","",IF(AG310="","Not Enrolled",IF(TODAY()&gt;AG310,"Review Overdue",IF(AG310-TODAY()&lt;=30,"Review Due Soon","Active"))))</f>
        <v/>
      </c>
      <c r="AO310" s="85">
        <f>IF($A310="","",IF(AH310="","NOT REVIEWED",IF(TODAY()-AH310&gt;90,"OVERDUE",IF(TODAY()-AH310&gt;76,"Due Soon","Current"))))</f>
        <v/>
      </c>
    </row>
    <row r="311" ht="15" customHeight="1" s="39">
      <c r="A311" s="85" t="n"/>
      <c r="B311" s="85" t="n"/>
      <c r="C311" s="85" t="n"/>
      <c r="D311" s="85" t="n"/>
      <c r="E311" s="85" t="n"/>
      <c r="F311" s="86" t="n"/>
      <c r="G311" s="86" t="n"/>
      <c r="H311" s="85" t="n"/>
      <c r="I311" s="85" t="n"/>
      <c r="J311" s="85" t="n"/>
      <c r="K311" s="85" t="n"/>
      <c r="L311" s="85" t="n"/>
      <c r="M311" s="85" t="n"/>
      <c r="N311" s="85" t="n"/>
      <c r="O311" s="85" t="n"/>
      <c r="P311" s="85" t="n"/>
      <c r="Q311" s="85" t="n"/>
      <c r="R311" s="85" t="n"/>
      <c r="S311" s="85" t="n"/>
      <c r="T311" s="85" t="n"/>
      <c r="U311" s="85" t="n"/>
      <c r="V311" s="85" t="n"/>
      <c r="W311" s="85" t="n"/>
      <c r="X311" s="85" t="n"/>
      <c r="Y311" s="85" t="n"/>
      <c r="Z311" s="85" t="n"/>
      <c r="AA311" s="85" t="n"/>
      <c r="AB311" s="85" t="n"/>
      <c r="AC311" s="85" t="n"/>
      <c r="AD311" s="85" t="n"/>
      <c r="AE311" s="85" t="n"/>
      <c r="AF311" s="86" t="n"/>
      <c r="AG311" s="86" t="n"/>
      <c r="AH311" s="86" t="n"/>
      <c r="AI311" s="85" t="n"/>
      <c r="AJ311" s="85" t="n"/>
      <c r="AK311" s="85">
        <f>IF($A311="","",IF($M311&gt;0,"Yes","No"))</f>
        <v/>
      </c>
      <c r="AL311" s="85">
        <f>IF($A311="","",IF(AND($E311="Yes",OR($Y311="No",$Y311="NOT FOUND")),"YES",""))</f>
        <v/>
      </c>
      <c r="AM311" s="85">
        <f>IF($A311="","",TRIM(IF(AND($P311=0,$I311&lt;&gt;"Yes"),"T0-NoPhishResistant ","")&amp;IF($H311="No","NoMFA ","")&amp;IF(AND($P311=0,$M311&gt;0),"T0-Standing ","")&amp;IF(AND($P311=0,$Q311="Group only"),"T0-ViaGroupOnly ","")&amp;IF($W311="Yes","AlsoAzureRBAC ","")))</f>
        <v/>
      </c>
      <c r="AN311" s="85">
        <f>IF($A311="","",IF(AG311="","Not Enrolled",IF(TODAY()&gt;AG311,"Review Overdue",IF(AG311-TODAY()&lt;=30,"Review Due Soon","Active"))))</f>
        <v/>
      </c>
      <c r="AO311" s="85">
        <f>IF($A311="","",IF(AH311="","NOT REVIEWED",IF(TODAY()-AH311&gt;90,"OVERDUE",IF(TODAY()-AH311&gt;76,"Due Soon","Current"))))</f>
        <v/>
      </c>
    </row>
    <row r="312" ht="15" customHeight="1" s="39">
      <c r="A312" s="85" t="n"/>
      <c r="B312" s="85" t="n"/>
      <c r="C312" s="85" t="n"/>
      <c r="D312" s="85" t="n"/>
      <c r="E312" s="85" t="n"/>
      <c r="F312" s="86" t="n"/>
      <c r="G312" s="86" t="n"/>
      <c r="H312" s="85" t="n"/>
      <c r="I312" s="85" t="n"/>
      <c r="J312" s="85" t="n"/>
      <c r="K312" s="85" t="n"/>
      <c r="L312" s="85" t="n"/>
      <c r="M312" s="85" t="n"/>
      <c r="N312" s="85" t="n"/>
      <c r="O312" s="85" t="n"/>
      <c r="P312" s="85" t="n"/>
      <c r="Q312" s="85" t="n"/>
      <c r="R312" s="85" t="n"/>
      <c r="S312" s="85" t="n"/>
      <c r="T312" s="85" t="n"/>
      <c r="U312" s="85" t="n"/>
      <c r="V312" s="85" t="n"/>
      <c r="W312" s="85" t="n"/>
      <c r="X312" s="85" t="n"/>
      <c r="Y312" s="85" t="n"/>
      <c r="Z312" s="85" t="n"/>
      <c r="AA312" s="85" t="n"/>
      <c r="AB312" s="85" t="n"/>
      <c r="AC312" s="85" t="n"/>
      <c r="AD312" s="85" t="n"/>
      <c r="AE312" s="85" t="n"/>
      <c r="AF312" s="86" t="n"/>
      <c r="AG312" s="86" t="n"/>
      <c r="AH312" s="86" t="n"/>
      <c r="AI312" s="85" t="n"/>
      <c r="AJ312" s="85" t="n"/>
      <c r="AK312" s="85">
        <f>IF($A312="","",IF($M312&gt;0,"Yes","No"))</f>
        <v/>
      </c>
      <c r="AL312" s="85">
        <f>IF($A312="","",IF(AND($E312="Yes",OR($Y312="No",$Y312="NOT FOUND")),"YES",""))</f>
        <v/>
      </c>
      <c r="AM312" s="85">
        <f>IF($A312="","",TRIM(IF(AND($P312=0,$I312&lt;&gt;"Yes"),"T0-NoPhishResistant ","")&amp;IF($H312="No","NoMFA ","")&amp;IF(AND($P312=0,$M312&gt;0),"T0-Standing ","")&amp;IF(AND($P312=0,$Q312="Group only"),"T0-ViaGroupOnly ","")&amp;IF($W312="Yes","AlsoAzureRBAC ","")))</f>
        <v/>
      </c>
      <c r="AN312" s="85">
        <f>IF($A312="","",IF(AG312="","Not Enrolled",IF(TODAY()&gt;AG312,"Review Overdue",IF(AG312-TODAY()&lt;=30,"Review Due Soon","Active"))))</f>
        <v/>
      </c>
      <c r="AO312" s="85">
        <f>IF($A312="","",IF(AH312="","NOT REVIEWED",IF(TODAY()-AH312&gt;90,"OVERDUE",IF(TODAY()-AH312&gt;76,"Due Soon","Current"))))</f>
        <v/>
      </c>
    </row>
    <row r="313" ht="15" customHeight="1" s="39">
      <c r="A313" s="85" t="n"/>
      <c r="B313" s="85" t="n"/>
      <c r="C313" s="85" t="n"/>
      <c r="D313" s="85" t="n"/>
      <c r="E313" s="85" t="n"/>
      <c r="F313" s="86" t="n"/>
      <c r="G313" s="86" t="n"/>
      <c r="H313" s="85" t="n"/>
      <c r="I313" s="85" t="n"/>
      <c r="J313" s="85" t="n"/>
      <c r="K313" s="85" t="n"/>
      <c r="L313" s="85" t="n"/>
      <c r="M313" s="85" t="n"/>
      <c r="N313" s="85" t="n"/>
      <c r="O313" s="85" t="n"/>
      <c r="P313" s="85" t="n"/>
      <c r="Q313" s="85" t="n"/>
      <c r="R313" s="85" t="n"/>
      <c r="S313" s="85" t="n"/>
      <c r="T313" s="85" t="n"/>
      <c r="U313" s="85" t="n"/>
      <c r="V313" s="85" t="n"/>
      <c r="W313" s="85" t="n"/>
      <c r="X313" s="85" t="n"/>
      <c r="Y313" s="85" t="n"/>
      <c r="Z313" s="85" t="n"/>
      <c r="AA313" s="85" t="n"/>
      <c r="AB313" s="85" t="n"/>
      <c r="AC313" s="85" t="n"/>
      <c r="AD313" s="85" t="n"/>
      <c r="AE313" s="85" t="n"/>
      <c r="AF313" s="86" t="n"/>
      <c r="AG313" s="86" t="n"/>
      <c r="AH313" s="86" t="n"/>
      <c r="AI313" s="85" t="n"/>
      <c r="AJ313" s="85" t="n"/>
      <c r="AK313" s="85">
        <f>IF($A313="","",IF($M313&gt;0,"Yes","No"))</f>
        <v/>
      </c>
      <c r="AL313" s="85">
        <f>IF($A313="","",IF(AND($E313="Yes",OR($Y313="No",$Y313="NOT FOUND")),"YES",""))</f>
        <v/>
      </c>
      <c r="AM313" s="85">
        <f>IF($A313="","",TRIM(IF(AND($P313=0,$I313&lt;&gt;"Yes"),"T0-NoPhishResistant ","")&amp;IF($H313="No","NoMFA ","")&amp;IF(AND($P313=0,$M313&gt;0),"T0-Standing ","")&amp;IF(AND($P313=0,$Q313="Group only"),"T0-ViaGroupOnly ","")&amp;IF($W313="Yes","AlsoAzureRBAC ","")))</f>
        <v/>
      </c>
      <c r="AN313" s="85">
        <f>IF($A313="","",IF(AG313="","Not Enrolled",IF(TODAY()&gt;AG313,"Review Overdue",IF(AG313-TODAY()&lt;=30,"Review Due Soon","Active"))))</f>
        <v/>
      </c>
      <c r="AO313" s="85">
        <f>IF($A313="","",IF(AH313="","NOT REVIEWED",IF(TODAY()-AH313&gt;90,"OVERDUE",IF(TODAY()-AH313&gt;76,"Due Soon","Current"))))</f>
        <v/>
      </c>
    </row>
    <row r="314" ht="15" customHeight="1" s="39">
      <c r="A314" s="85" t="n"/>
      <c r="B314" s="85" t="n"/>
      <c r="C314" s="85" t="n"/>
      <c r="D314" s="85" t="n"/>
      <c r="E314" s="85" t="n"/>
      <c r="F314" s="86" t="n"/>
      <c r="G314" s="86" t="n"/>
      <c r="H314" s="85" t="n"/>
      <c r="I314" s="85" t="n"/>
      <c r="J314" s="85" t="n"/>
      <c r="K314" s="85" t="n"/>
      <c r="L314" s="85" t="n"/>
      <c r="M314" s="85" t="n"/>
      <c r="N314" s="85" t="n"/>
      <c r="O314" s="85" t="n"/>
      <c r="P314" s="85" t="n"/>
      <c r="Q314" s="85" t="n"/>
      <c r="R314" s="85" t="n"/>
      <c r="S314" s="85" t="n"/>
      <c r="T314" s="85" t="n"/>
      <c r="U314" s="85" t="n"/>
      <c r="V314" s="85" t="n"/>
      <c r="W314" s="85" t="n"/>
      <c r="X314" s="85" t="n"/>
      <c r="Y314" s="85" t="n"/>
      <c r="Z314" s="85" t="n"/>
      <c r="AA314" s="85" t="n"/>
      <c r="AB314" s="85" t="n"/>
      <c r="AC314" s="85" t="n"/>
      <c r="AD314" s="85" t="n"/>
      <c r="AE314" s="85" t="n"/>
      <c r="AF314" s="86" t="n"/>
      <c r="AG314" s="86" t="n"/>
      <c r="AH314" s="86" t="n"/>
      <c r="AI314" s="85" t="n"/>
      <c r="AJ314" s="85" t="n"/>
      <c r="AK314" s="85">
        <f>IF($A314="","",IF($M314&gt;0,"Yes","No"))</f>
        <v/>
      </c>
      <c r="AL314" s="85">
        <f>IF($A314="","",IF(AND($E314="Yes",OR($Y314="No",$Y314="NOT FOUND")),"YES",""))</f>
        <v/>
      </c>
      <c r="AM314" s="85">
        <f>IF($A314="","",TRIM(IF(AND($P314=0,$I314&lt;&gt;"Yes"),"T0-NoPhishResistant ","")&amp;IF($H314="No","NoMFA ","")&amp;IF(AND($P314=0,$M314&gt;0),"T0-Standing ","")&amp;IF(AND($P314=0,$Q314="Group only"),"T0-ViaGroupOnly ","")&amp;IF($W314="Yes","AlsoAzureRBAC ","")))</f>
        <v/>
      </c>
      <c r="AN314" s="85">
        <f>IF($A314="","",IF(AG314="","Not Enrolled",IF(TODAY()&gt;AG314,"Review Overdue",IF(AG314-TODAY()&lt;=30,"Review Due Soon","Active"))))</f>
        <v/>
      </c>
      <c r="AO314" s="85">
        <f>IF($A314="","",IF(AH314="","NOT REVIEWED",IF(TODAY()-AH314&gt;90,"OVERDUE",IF(TODAY()-AH314&gt;76,"Due Soon","Current"))))</f>
        <v/>
      </c>
    </row>
    <row r="315" ht="15" customHeight="1" s="39">
      <c r="A315" s="85" t="n"/>
      <c r="B315" s="85" t="n"/>
      <c r="C315" s="85" t="n"/>
      <c r="D315" s="85" t="n"/>
      <c r="E315" s="85" t="n"/>
      <c r="F315" s="86" t="n"/>
      <c r="G315" s="86" t="n"/>
      <c r="H315" s="85" t="n"/>
      <c r="I315" s="85" t="n"/>
      <c r="J315" s="85" t="n"/>
      <c r="K315" s="85" t="n"/>
      <c r="L315" s="85" t="n"/>
      <c r="M315" s="85" t="n"/>
      <c r="N315" s="85" t="n"/>
      <c r="O315" s="85" t="n"/>
      <c r="P315" s="85" t="n"/>
      <c r="Q315" s="85" t="n"/>
      <c r="R315" s="85" t="n"/>
      <c r="S315" s="85" t="n"/>
      <c r="T315" s="85" t="n"/>
      <c r="U315" s="85" t="n"/>
      <c r="V315" s="85" t="n"/>
      <c r="W315" s="85" t="n"/>
      <c r="X315" s="85" t="n"/>
      <c r="Y315" s="85" t="n"/>
      <c r="Z315" s="85" t="n"/>
      <c r="AA315" s="85" t="n"/>
      <c r="AB315" s="85" t="n"/>
      <c r="AC315" s="85" t="n"/>
      <c r="AD315" s="85" t="n"/>
      <c r="AE315" s="85" t="n"/>
      <c r="AF315" s="86" t="n"/>
      <c r="AG315" s="86" t="n"/>
      <c r="AH315" s="86" t="n"/>
      <c r="AI315" s="85" t="n"/>
      <c r="AJ315" s="85" t="n"/>
      <c r="AK315" s="85">
        <f>IF($A315="","",IF($M315&gt;0,"Yes","No"))</f>
        <v/>
      </c>
      <c r="AL315" s="85">
        <f>IF($A315="","",IF(AND($E315="Yes",OR($Y315="No",$Y315="NOT FOUND")),"YES",""))</f>
        <v/>
      </c>
      <c r="AM315" s="85">
        <f>IF($A315="","",TRIM(IF(AND($P315=0,$I315&lt;&gt;"Yes"),"T0-NoPhishResistant ","")&amp;IF($H315="No","NoMFA ","")&amp;IF(AND($P315=0,$M315&gt;0),"T0-Standing ","")&amp;IF(AND($P315=0,$Q315="Group only"),"T0-ViaGroupOnly ","")&amp;IF($W315="Yes","AlsoAzureRBAC ","")))</f>
        <v/>
      </c>
      <c r="AN315" s="85">
        <f>IF($A315="","",IF(AG315="","Not Enrolled",IF(TODAY()&gt;AG315,"Review Overdue",IF(AG315-TODAY()&lt;=30,"Review Due Soon","Active"))))</f>
        <v/>
      </c>
      <c r="AO315" s="85">
        <f>IF($A315="","",IF(AH315="","NOT REVIEWED",IF(TODAY()-AH315&gt;90,"OVERDUE",IF(TODAY()-AH315&gt;76,"Due Soon","Current"))))</f>
        <v/>
      </c>
    </row>
    <row r="316" ht="15" customHeight="1" s="39">
      <c r="A316" s="85" t="n"/>
      <c r="B316" s="85" t="n"/>
      <c r="C316" s="85" t="n"/>
      <c r="D316" s="85" t="n"/>
      <c r="E316" s="85" t="n"/>
      <c r="F316" s="86" t="n"/>
      <c r="G316" s="86" t="n"/>
      <c r="H316" s="85" t="n"/>
      <c r="I316" s="85" t="n"/>
      <c r="J316" s="85" t="n"/>
      <c r="K316" s="85" t="n"/>
      <c r="L316" s="85" t="n"/>
      <c r="M316" s="85" t="n"/>
      <c r="N316" s="85" t="n"/>
      <c r="O316" s="85" t="n"/>
      <c r="P316" s="85" t="n"/>
      <c r="Q316" s="85" t="n"/>
      <c r="R316" s="85" t="n"/>
      <c r="S316" s="85" t="n"/>
      <c r="T316" s="85" t="n"/>
      <c r="U316" s="85" t="n"/>
      <c r="V316" s="85" t="n"/>
      <c r="W316" s="85" t="n"/>
      <c r="X316" s="85" t="n"/>
      <c r="Y316" s="85" t="n"/>
      <c r="Z316" s="85" t="n"/>
      <c r="AA316" s="85" t="n"/>
      <c r="AB316" s="85" t="n"/>
      <c r="AC316" s="85" t="n"/>
      <c r="AD316" s="85" t="n"/>
      <c r="AE316" s="85" t="n"/>
      <c r="AF316" s="86" t="n"/>
      <c r="AG316" s="86" t="n"/>
      <c r="AH316" s="86" t="n"/>
      <c r="AI316" s="85" t="n"/>
      <c r="AJ316" s="85" t="n"/>
      <c r="AK316" s="85">
        <f>IF($A316="","",IF($M316&gt;0,"Yes","No"))</f>
        <v/>
      </c>
      <c r="AL316" s="85">
        <f>IF($A316="","",IF(AND($E316="Yes",OR($Y316="No",$Y316="NOT FOUND")),"YES",""))</f>
        <v/>
      </c>
      <c r="AM316" s="85">
        <f>IF($A316="","",TRIM(IF(AND($P316=0,$I316&lt;&gt;"Yes"),"T0-NoPhishResistant ","")&amp;IF($H316="No","NoMFA ","")&amp;IF(AND($P316=0,$M316&gt;0),"T0-Standing ","")&amp;IF(AND($P316=0,$Q316="Group only"),"T0-ViaGroupOnly ","")&amp;IF($W316="Yes","AlsoAzureRBAC ","")))</f>
        <v/>
      </c>
      <c r="AN316" s="85">
        <f>IF($A316="","",IF(AG316="","Not Enrolled",IF(TODAY()&gt;AG316,"Review Overdue",IF(AG316-TODAY()&lt;=30,"Review Due Soon","Active"))))</f>
        <v/>
      </c>
      <c r="AO316" s="85">
        <f>IF($A316="","",IF(AH316="","NOT REVIEWED",IF(TODAY()-AH316&gt;90,"OVERDUE",IF(TODAY()-AH316&gt;76,"Due Soon","Current"))))</f>
        <v/>
      </c>
    </row>
    <row r="317" ht="15" customHeight="1" s="39">
      <c r="A317" s="85" t="n"/>
      <c r="B317" s="85" t="n"/>
      <c r="C317" s="85" t="n"/>
      <c r="D317" s="85" t="n"/>
      <c r="E317" s="85" t="n"/>
      <c r="F317" s="86" t="n"/>
      <c r="G317" s="86" t="n"/>
      <c r="H317" s="85" t="n"/>
      <c r="I317" s="85" t="n"/>
      <c r="J317" s="85" t="n"/>
      <c r="K317" s="85" t="n"/>
      <c r="L317" s="85" t="n"/>
      <c r="M317" s="85" t="n"/>
      <c r="N317" s="85" t="n"/>
      <c r="O317" s="85" t="n"/>
      <c r="P317" s="85" t="n"/>
      <c r="Q317" s="85" t="n"/>
      <c r="R317" s="85" t="n"/>
      <c r="S317" s="85" t="n"/>
      <c r="T317" s="85" t="n"/>
      <c r="U317" s="85" t="n"/>
      <c r="V317" s="85" t="n"/>
      <c r="W317" s="85" t="n"/>
      <c r="X317" s="85" t="n"/>
      <c r="Y317" s="85" t="n"/>
      <c r="Z317" s="85" t="n"/>
      <c r="AA317" s="85" t="n"/>
      <c r="AB317" s="85" t="n"/>
      <c r="AC317" s="85" t="n"/>
      <c r="AD317" s="85" t="n"/>
      <c r="AE317" s="85" t="n"/>
      <c r="AF317" s="86" t="n"/>
      <c r="AG317" s="86" t="n"/>
      <c r="AH317" s="86" t="n"/>
      <c r="AI317" s="85" t="n"/>
      <c r="AJ317" s="85" t="n"/>
      <c r="AK317" s="85">
        <f>IF($A317="","",IF($M317&gt;0,"Yes","No"))</f>
        <v/>
      </c>
      <c r="AL317" s="85">
        <f>IF($A317="","",IF(AND($E317="Yes",OR($Y317="No",$Y317="NOT FOUND")),"YES",""))</f>
        <v/>
      </c>
      <c r="AM317" s="85">
        <f>IF($A317="","",TRIM(IF(AND($P317=0,$I317&lt;&gt;"Yes"),"T0-NoPhishResistant ","")&amp;IF($H317="No","NoMFA ","")&amp;IF(AND($P317=0,$M317&gt;0),"T0-Standing ","")&amp;IF(AND($P317=0,$Q317="Group only"),"T0-ViaGroupOnly ","")&amp;IF($W317="Yes","AlsoAzureRBAC ","")))</f>
        <v/>
      </c>
      <c r="AN317" s="85">
        <f>IF($A317="","",IF(AG317="","Not Enrolled",IF(TODAY()&gt;AG317,"Review Overdue",IF(AG317-TODAY()&lt;=30,"Review Due Soon","Active"))))</f>
        <v/>
      </c>
      <c r="AO317" s="85">
        <f>IF($A317="","",IF(AH317="","NOT REVIEWED",IF(TODAY()-AH317&gt;90,"OVERDUE",IF(TODAY()-AH317&gt;76,"Due Soon","Current"))))</f>
        <v/>
      </c>
    </row>
    <row r="318" ht="15" customHeight="1" s="39">
      <c r="A318" s="85" t="n"/>
      <c r="B318" s="85" t="n"/>
      <c r="C318" s="85" t="n"/>
      <c r="D318" s="85" t="n"/>
      <c r="E318" s="85" t="n"/>
      <c r="F318" s="86" t="n"/>
      <c r="G318" s="86" t="n"/>
      <c r="H318" s="85" t="n"/>
      <c r="I318" s="85" t="n"/>
      <c r="J318" s="85" t="n"/>
      <c r="K318" s="85" t="n"/>
      <c r="L318" s="85" t="n"/>
      <c r="M318" s="85" t="n"/>
      <c r="N318" s="85" t="n"/>
      <c r="O318" s="85" t="n"/>
      <c r="P318" s="85" t="n"/>
      <c r="Q318" s="85" t="n"/>
      <c r="R318" s="85" t="n"/>
      <c r="S318" s="85" t="n"/>
      <c r="T318" s="85" t="n"/>
      <c r="U318" s="85" t="n"/>
      <c r="V318" s="85" t="n"/>
      <c r="W318" s="85" t="n"/>
      <c r="X318" s="85" t="n"/>
      <c r="Y318" s="85" t="n"/>
      <c r="Z318" s="85" t="n"/>
      <c r="AA318" s="85" t="n"/>
      <c r="AB318" s="85" t="n"/>
      <c r="AC318" s="85" t="n"/>
      <c r="AD318" s="85" t="n"/>
      <c r="AE318" s="85" t="n"/>
      <c r="AF318" s="86" t="n"/>
      <c r="AG318" s="86" t="n"/>
      <c r="AH318" s="86" t="n"/>
      <c r="AI318" s="85" t="n"/>
      <c r="AJ318" s="85" t="n"/>
      <c r="AK318" s="85">
        <f>IF($A318="","",IF($M318&gt;0,"Yes","No"))</f>
        <v/>
      </c>
      <c r="AL318" s="85">
        <f>IF($A318="","",IF(AND($E318="Yes",OR($Y318="No",$Y318="NOT FOUND")),"YES",""))</f>
        <v/>
      </c>
      <c r="AM318" s="85">
        <f>IF($A318="","",TRIM(IF(AND($P318=0,$I318&lt;&gt;"Yes"),"T0-NoPhishResistant ","")&amp;IF($H318="No","NoMFA ","")&amp;IF(AND($P318=0,$M318&gt;0),"T0-Standing ","")&amp;IF(AND($P318=0,$Q318="Group only"),"T0-ViaGroupOnly ","")&amp;IF($W318="Yes","AlsoAzureRBAC ","")))</f>
        <v/>
      </c>
      <c r="AN318" s="85">
        <f>IF($A318="","",IF(AG318="","Not Enrolled",IF(TODAY()&gt;AG318,"Review Overdue",IF(AG318-TODAY()&lt;=30,"Review Due Soon","Active"))))</f>
        <v/>
      </c>
      <c r="AO318" s="85">
        <f>IF($A318="","",IF(AH318="","NOT REVIEWED",IF(TODAY()-AH318&gt;90,"OVERDUE",IF(TODAY()-AH318&gt;76,"Due Soon","Current"))))</f>
        <v/>
      </c>
    </row>
    <row r="319" ht="15" customHeight="1" s="39">
      <c r="A319" s="85" t="n"/>
      <c r="B319" s="85" t="n"/>
      <c r="C319" s="85" t="n"/>
      <c r="D319" s="85" t="n"/>
      <c r="E319" s="85" t="n"/>
      <c r="F319" s="86" t="n"/>
      <c r="G319" s="86" t="n"/>
      <c r="H319" s="85" t="n"/>
      <c r="I319" s="85" t="n"/>
      <c r="J319" s="85" t="n"/>
      <c r="K319" s="85" t="n"/>
      <c r="L319" s="85" t="n"/>
      <c r="M319" s="85" t="n"/>
      <c r="N319" s="85" t="n"/>
      <c r="O319" s="85" t="n"/>
      <c r="P319" s="85" t="n"/>
      <c r="Q319" s="85" t="n"/>
      <c r="R319" s="85" t="n"/>
      <c r="S319" s="85" t="n"/>
      <c r="T319" s="85" t="n"/>
      <c r="U319" s="85" t="n"/>
      <c r="V319" s="85" t="n"/>
      <c r="W319" s="85" t="n"/>
      <c r="X319" s="85" t="n"/>
      <c r="Y319" s="85" t="n"/>
      <c r="Z319" s="85" t="n"/>
      <c r="AA319" s="85" t="n"/>
      <c r="AB319" s="85" t="n"/>
      <c r="AC319" s="85" t="n"/>
      <c r="AD319" s="85" t="n"/>
      <c r="AE319" s="85" t="n"/>
      <c r="AF319" s="86" t="n"/>
      <c r="AG319" s="86" t="n"/>
      <c r="AH319" s="86" t="n"/>
      <c r="AI319" s="85" t="n"/>
      <c r="AJ319" s="85" t="n"/>
      <c r="AK319" s="85">
        <f>IF($A319="","",IF($M319&gt;0,"Yes","No"))</f>
        <v/>
      </c>
      <c r="AL319" s="85">
        <f>IF($A319="","",IF(AND($E319="Yes",OR($Y319="No",$Y319="NOT FOUND")),"YES",""))</f>
        <v/>
      </c>
      <c r="AM319" s="85">
        <f>IF($A319="","",TRIM(IF(AND($P319=0,$I319&lt;&gt;"Yes"),"T0-NoPhishResistant ","")&amp;IF($H319="No","NoMFA ","")&amp;IF(AND($P319=0,$M319&gt;0),"T0-Standing ","")&amp;IF(AND($P319=0,$Q319="Group only"),"T0-ViaGroupOnly ","")&amp;IF($W319="Yes","AlsoAzureRBAC ","")))</f>
        <v/>
      </c>
      <c r="AN319" s="85">
        <f>IF($A319="","",IF(AG319="","Not Enrolled",IF(TODAY()&gt;AG319,"Review Overdue",IF(AG319-TODAY()&lt;=30,"Review Due Soon","Active"))))</f>
        <v/>
      </c>
      <c r="AO319" s="85">
        <f>IF($A319="","",IF(AH319="","NOT REVIEWED",IF(TODAY()-AH319&gt;90,"OVERDUE",IF(TODAY()-AH319&gt;76,"Due Soon","Current"))))</f>
        <v/>
      </c>
    </row>
    <row r="320" ht="15" customHeight="1" s="39">
      <c r="A320" s="85" t="n"/>
      <c r="B320" s="85" t="n"/>
      <c r="C320" s="85" t="n"/>
      <c r="D320" s="85" t="n"/>
      <c r="E320" s="85" t="n"/>
      <c r="F320" s="86" t="n"/>
      <c r="G320" s="86" t="n"/>
      <c r="H320" s="85" t="n"/>
      <c r="I320" s="85" t="n"/>
      <c r="J320" s="85" t="n"/>
      <c r="K320" s="85" t="n"/>
      <c r="L320" s="85" t="n"/>
      <c r="M320" s="85" t="n"/>
      <c r="N320" s="85" t="n"/>
      <c r="O320" s="85" t="n"/>
      <c r="P320" s="85" t="n"/>
      <c r="Q320" s="85" t="n"/>
      <c r="R320" s="85" t="n"/>
      <c r="S320" s="85" t="n"/>
      <c r="T320" s="85" t="n"/>
      <c r="U320" s="85" t="n"/>
      <c r="V320" s="85" t="n"/>
      <c r="W320" s="85" t="n"/>
      <c r="X320" s="85" t="n"/>
      <c r="Y320" s="85" t="n"/>
      <c r="Z320" s="85" t="n"/>
      <c r="AA320" s="85" t="n"/>
      <c r="AB320" s="85" t="n"/>
      <c r="AC320" s="85" t="n"/>
      <c r="AD320" s="85" t="n"/>
      <c r="AE320" s="85" t="n"/>
      <c r="AF320" s="86" t="n"/>
      <c r="AG320" s="86" t="n"/>
      <c r="AH320" s="86" t="n"/>
      <c r="AI320" s="85" t="n"/>
      <c r="AJ320" s="85" t="n"/>
      <c r="AK320" s="85">
        <f>IF($A320="","",IF($M320&gt;0,"Yes","No"))</f>
        <v/>
      </c>
      <c r="AL320" s="85">
        <f>IF($A320="","",IF(AND($E320="Yes",OR($Y320="No",$Y320="NOT FOUND")),"YES",""))</f>
        <v/>
      </c>
      <c r="AM320" s="85">
        <f>IF($A320="","",TRIM(IF(AND($P320=0,$I320&lt;&gt;"Yes"),"T0-NoPhishResistant ","")&amp;IF($H320="No","NoMFA ","")&amp;IF(AND($P320=0,$M320&gt;0),"T0-Standing ","")&amp;IF(AND($P320=0,$Q320="Group only"),"T0-ViaGroupOnly ","")&amp;IF($W320="Yes","AlsoAzureRBAC ","")))</f>
        <v/>
      </c>
      <c r="AN320" s="85">
        <f>IF($A320="","",IF(AG320="","Not Enrolled",IF(TODAY()&gt;AG320,"Review Overdue",IF(AG320-TODAY()&lt;=30,"Review Due Soon","Active"))))</f>
        <v/>
      </c>
      <c r="AO320" s="85">
        <f>IF($A320="","",IF(AH320="","NOT REVIEWED",IF(TODAY()-AH320&gt;90,"OVERDUE",IF(TODAY()-AH320&gt;76,"Due Soon","Current"))))</f>
        <v/>
      </c>
    </row>
    <row r="321" ht="15" customHeight="1" s="39">
      <c r="A321" s="85" t="n"/>
      <c r="B321" s="85" t="n"/>
      <c r="C321" s="85" t="n"/>
      <c r="D321" s="85" t="n"/>
      <c r="E321" s="85" t="n"/>
      <c r="F321" s="86" t="n"/>
      <c r="G321" s="86" t="n"/>
      <c r="H321" s="85" t="n"/>
      <c r="I321" s="85" t="n"/>
      <c r="J321" s="85" t="n"/>
      <c r="K321" s="85" t="n"/>
      <c r="L321" s="85" t="n"/>
      <c r="M321" s="85" t="n"/>
      <c r="N321" s="85" t="n"/>
      <c r="O321" s="85" t="n"/>
      <c r="P321" s="85" t="n"/>
      <c r="Q321" s="85" t="n"/>
      <c r="R321" s="85" t="n"/>
      <c r="S321" s="85" t="n"/>
      <c r="T321" s="85" t="n"/>
      <c r="U321" s="85" t="n"/>
      <c r="V321" s="85" t="n"/>
      <c r="W321" s="85" t="n"/>
      <c r="X321" s="85" t="n"/>
      <c r="Y321" s="85" t="n"/>
      <c r="Z321" s="85" t="n"/>
      <c r="AA321" s="85" t="n"/>
      <c r="AB321" s="85" t="n"/>
      <c r="AC321" s="85" t="n"/>
      <c r="AD321" s="85" t="n"/>
      <c r="AE321" s="85" t="n"/>
      <c r="AF321" s="86" t="n"/>
      <c r="AG321" s="86" t="n"/>
      <c r="AH321" s="86" t="n"/>
      <c r="AI321" s="85" t="n"/>
      <c r="AJ321" s="85" t="n"/>
      <c r="AK321" s="85">
        <f>IF($A321="","",IF($M321&gt;0,"Yes","No"))</f>
        <v/>
      </c>
      <c r="AL321" s="85">
        <f>IF($A321="","",IF(AND($E321="Yes",OR($Y321="No",$Y321="NOT FOUND")),"YES",""))</f>
        <v/>
      </c>
      <c r="AM321" s="85">
        <f>IF($A321="","",TRIM(IF(AND($P321=0,$I321&lt;&gt;"Yes"),"T0-NoPhishResistant ","")&amp;IF($H321="No","NoMFA ","")&amp;IF(AND($P321=0,$M321&gt;0),"T0-Standing ","")&amp;IF(AND($P321=0,$Q321="Group only"),"T0-ViaGroupOnly ","")&amp;IF($W321="Yes","AlsoAzureRBAC ","")))</f>
        <v/>
      </c>
      <c r="AN321" s="85">
        <f>IF($A321="","",IF(AG321="","Not Enrolled",IF(TODAY()&gt;AG321,"Review Overdue",IF(AG321-TODAY()&lt;=30,"Review Due Soon","Active"))))</f>
        <v/>
      </c>
      <c r="AO321" s="85">
        <f>IF($A321="","",IF(AH321="","NOT REVIEWED",IF(TODAY()-AH321&gt;90,"OVERDUE",IF(TODAY()-AH321&gt;76,"Due Soon","Current"))))</f>
        <v/>
      </c>
    </row>
    <row r="322" ht="15" customHeight="1" s="39">
      <c r="A322" s="85" t="n"/>
      <c r="B322" s="85" t="n"/>
      <c r="C322" s="85" t="n"/>
      <c r="D322" s="85" t="n"/>
      <c r="E322" s="85" t="n"/>
      <c r="F322" s="86" t="n"/>
      <c r="G322" s="86" t="n"/>
      <c r="H322" s="85" t="n"/>
      <c r="I322" s="85" t="n"/>
      <c r="J322" s="85" t="n"/>
      <c r="K322" s="85" t="n"/>
      <c r="L322" s="85" t="n"/>
      <c r="M322" s="85" t="n"/>
      <c r="N322" s="85" t="n"/>
      <c r="O322" s="85" t="n"/>
      <c r="P322" s="85" t="n"/>
      <c r="Q322" s="85" t="n"/>
      <c r="R322" s="85" t="n"/>
      <c r="S322" s="85" t="n"/>
      <c r="T322" s="85" t="n"/>
      <c r="U322" s="85" t="n"/>
      <c r="V322" s="85" t="n"/>
      <c r="W322" s="85" t="n"/>
      <c r="X322" s="85" t="n"/>
      <c r="Y322" s="85" t="n"/>
      <c r="Z322" s="85" t="n"/>
      <c r="AA322" s="85" t="n"/>
      <c r="AB322" s="85" t="n"/>
      <c r="AC322" s="85" t="n"/>
      <c r="AD322" s="85" t="n"/>
      <c r="AE322" s="85" t="n"/>
      <c r="AF322" s="86" t="n"/>
      <c r="AG322" s="86" t="n"/>
      <c r="AH322" s="86" t="n"/>
      <c r="AI322" s="85" t="n"/>
      <c r="AJ322" s="85" t="n"/>
      <c r="AK322" s="85">
        <f>IF($A322="","",IF($M322&gt;0,"Yes","No"))</f>
        <v/>
      </c>
      <c r="AL322" s="85">
        <f>IF($A322="","",IF(AND($E322="Yes",OR($Y322="No",$Y322="NOT FOUND")),"YES",""))</f>
        <v/>
      </c>
      <c r="AM322" s="85">
        <f>IF($A322="","",TRIM(IF(AND($P322=0,$I322&lt;&gt;"Yes"),"T0-NoPhishResistant ","")&amp;IF($H322="No","NoMFA ","")&amp;IF(AND($P322=0,$M322&gt;0),"T0-Standing ","")&amp;IF(AND($P322=0,$Q322="Group only"),"T0-ViaGroupOnly ","")&amp;IF($W322="Yes","AlsoAzureRBAC ","")))</f>
        <v/>
      </c>
      <c r="AN322" s="85">
        <f>IF($A322="","",IF(AG322="","Not Enrolled",IF(TODAY()&gt;AG322,"Review Overdue",IF(AG322-TODAY()&lt;=30,"Review Due Soon","Active"))))</f>
        <v/>
      </c>
      <c r="AO322" s="85">
        <f>IF($A322="","",IF(AH322="","NOT REVIEWED",IF(TODAY()-AH322&gt;90,"OVERDUE",IF(TODAY()-AH322&gt;76,"Due Soon","Current"))))</f>
        <v/>
      </c>
    </row>
    <row r="323" ht="15" customHeight="1" s="39">
      <c r="A323" s="85" t="n"/>
      <c r="B323" s="85" t="n"/>
      <c r="C323" s="85" t="n"/>
      <c r="D323" s="85" t="n"/>
      <c r="E323" s="85" t="n"/>
      <c r="F323" s="86" t="n"/>
      <c r="G323" s="86" t="n"/>
      <c r="H323" s="85" t="n"/>
      <c r="I323" s="85" t="n"/>
      <c r="J323" s="85" t="n"/>
      <c r="K323" s="85" t="n"/>
      <c r="L323" s="85" t="n"/>
      <c r="M323" s="85" t="n"/>
      <c r="N323" s="85" t="n"/>
      <c r="O323" s="85" t="n"/>
      <c r="P323" s="85" t="n"/>
      <c r="Q323" s="85" t="n"/>
      <c r="R323" s="85" t="n"/>
      <c r="S323" s="85" t="n"/>
      <c r="T323" s="85" t="n"/>
      <c r="U323" s="85" t="n"/>
      <c r="V323" s="85" t="n"/>
      <c r="W323" s="85" t="n"/>
      <c r="X323" s="85" t="n"/>
      <c r="Y323" s="85" t="n"/>
      <c r="Z323" s="85" t="n"/>
      <c r="AA323" s="85" t="n"/>
      <c r="AB323" s="85" t="n"/>
      <c r="AC323" s="85" t="n"/>
      <c r="AD323" s="85" t="n"/>
      <c r="AE323" s="85" t="n"/>
      <c r="AF323" s="86" t="n"/>
      <c r="AG323" s="86" t="n"/>
      <c r="AH323" s="86" t="n"/>
      <c r="AI323" s="85" t="n"/>
      <c r="AJ323" s="85" t="n"/>
      <c r="AK323" s="85">
        <f>IF($A323="","",IF($M323&gt;0,"Yes","No"))</f>
        <v/>
      </c>
      <c r="AL323" s="85">
        <f>IF($A323="","",IF(AND($E323="Yes",OR($Y323="No",$Y323="NOT FOUND")),"YES",""))</f>
        <v/>
      </c>
      <c r="AM323" s="85">
        <f>IF($A323="","",TRIM(IF(AND($P323=0,$I323&lt;&gt;"Yes"),"T0-NoPhishResistant ","")&amp;IF($H323="No","NoMFA ","")&amp;IF(AND($P323=0,$M323&gt;0),"T0-Standing ","")&amp;IF(AND($P323=0,$Q323="Group only"),"T0-ViaGroupOnly ","")&amp;IF($W323="Yes","AlsoAzureRBAC ","")))</f>
        <v/>
      </c>
      <c r="AN323" s="85">
        <f>IF($A323="","",IF(AG323="","Not Enrolled",IF(TODAY()&gt;AG323,"Review Overdue",IF(AG323-TODAY()&lt;=30,"Review Due Soon","Active"))))</f>
        <v/>
      </c>
      <c r="AO323" s="85">
        <f>IF($A323="","",IF(AH323="","NOT REVIEWED",IF(TODAY()-AH323&gt;90,"OVERDUE",IF(TODAY()-AH323&gt;76,"Due Soon","Current"))))</f>
        <v/>
      </c>
    </row>
    <row r="324" ht="15" customHeight="1" s="39">
      <c r="A324" s="85" t="n"/>
      <c r="B324" s="85" t="n"/>
      <c r="C324" s="85" t="n"/>
      <c r="D324" s="85" t="n"/>
      <c r="E324" s="85" t="n"/>
      <c r="F324" s="86" t="n"/>
      <c r="G324" s="86" t="n"/>
      <c r="H324" s="85" t="n"/>
      <c r="I324" s="85" t="n"/>
      <c r="J324" s="85" t="n"/>
      <c r="K324" s="85" t="n"/>
      <c r="L324" s="85" t="n"/>
      <c r="M324" s="85" t="n"/>
      <c r="N324" s="85" t="n"/>
      <c r="O324" s="85" t="n"/>
      <c r="P324" s="85" t="n"/>
      <c r="Q324" s="85" t="n"/>
      <c r="R324" s="85" t="n"/>
      <c r="S324" s="85" t="n"/>
      <c r="T324" s="85" t="n"/>
      <c r="U324" s="85" t="n"/>
      <c r="V324" s="85" t="n"/>
      <c r="W324" s="85" t="n"/>
      <c r="X324" s="85" t="n"/>
      <c r="Y324" s="85" t="n"/>
      <c r="Z324" s="85" t="n"/>
      <c r="AA324" s="85" t="n"/>
      <c r="AB324" s="85" t="n"/>
      <c r="AC324" s="85" t="n"/>
      <c r="AD324" s="85" t="n"/>
      <c r="AE324" s="85" t="n"/>
      <c r="AF324" s="86" t="n"/>
      <c r="AG324" s="86" t="n"/>
      <c r="AH324" s="86" t="n"/>
      <c r="AI324" s="85" t="n"/>
      <c r="AJ324" s="85" t="n"/>
      <c r="AK324" s="85">
        <f>IF($A324="","",IF($M324&gt;0,"Yes","No"))</f>
        <v/>
      </c>
      <c r="AL324" s="85">
        <f>IF($A324="","",IF(AND($E324="Yes",OR($Y324="No",$Y324="NOT FOUND")),"YES",""))</f>
        <v/>
      </c>
      <c r="AM324" s="85">
        <f>IF($A324="","",TRIM(IF(AND($P324=0,$I324&lt;&gt;"Yes"),"T0-NoPhishResistant ","")&amp;IF($H324="No","NoMFA ","")&amp;IF(AND($P324=0,$M324&gt;0),"T0-Standing ","")&amp;IF(AND($P324=0,$Q324="Group only"),"T0-ViaGroupOnly ","")&amp;IF($W324="Yes","AlsoAzureRBAC ","")))</f>
        <v/>
      </c>
      <c r="AN324" s="85">
        <f>IF($A324="","",IF(AG324="","Not Enrolled",IF(TODAY()&gt;AG324,"Review Overdue",IF(AG324-TODAY()&lt;=30,"Review Due Soon","Active"))))</f>
        <v/>
      </c>
      <c r="AO324" s="85">
        <f>IF($A324="","",IF(AH324="","NOT REVIEWED",IF(TODAY()-AH324&gt;90,"OVERDUE",IF(TODAY()-AH324&gt;76,"Due Soon","Current"))))</f>
        <v/>
      </c>
    </row>
    <row r="325" ht="15" customHeight="1" s="39">
      <c r="A325" s="85" t="n"/>
      <c r="B325" s="85" t="n"/>
      <c r="C325" s="85" t="n"/>
      <c r="D325" s="85" t="n"/>
      <c r="E325" s="85" t="n"/>
      <c r="F325" s="86" t="n"/>
      <c r="G325" s="86" t="n"/>
      <c r="H325" s="85" t="n"/>
      <c r="I325" s="85" t="n"/>
      <c r="J325" s="85" t="n"/>
      <c r="K325" s="85" t="n"/>
      <c r="L325" s="85" t="n"/>
      <c r="M325" s="85" t="n"/>
      <c r="N325" s="85" t="n"/>
      <c r="O325" s="85" t="n"/>
      <c r="P325" s="85" t="n"/>
      <c r="Q325" s="85" t="n"/>
      <c r="R325" s="85" t="n"/>
      <c r="S325" s="85" t="n"/>
      <c r="T325" s="85" t="n"/>
      <c r="U325" s="85" t="n"/>
      <c r="V325" s="85" t="n"/>
      <c r="W325" s="85" t="n"/>
      <c r="X325" s="85" t="n"/>
      <c r="Y325" s="85" t="n"/>
      <c r="Z325" s="85" t="n"/>
      <c r="AA325" s="85" t="n"/>
      <c r="AB325" s="85" t="n"/>
      <c r="AC325" s="85" t="n"/>
      <c r="AD325" s="85" t="n"/>
      <c r="AE325" s="85" t="n"/>
      <c r="AF325" s="86" t="n"/>
      <c r="AG325" s="86" t="n"/>
      <c r="AH325" s="86" t="n"/>
      <c r="AI325" s="85" t="n"/>
      <c r="AJ325" s="85" t="n"/>
      <c r="AK325" s="85">
        <f>IF($A325="","",IF($M325&gt;0,"Yes","No"))</f>
        <v/>
      </c>
      <c r="AL325" s="85">
        <f>IF($A325="","",IF(AND($E325="Yes",OR($Y325="No",$Y325="NOT FOUND")),"YES",""))</f>
        <v/>
      </c>
      <c r="AM325" s="85">
        <f>IF($A325="","",TRIM(IF(AND($P325=0,$I325&lt;&gt;"Yes"),"T0-NoPhishResistant ","")&amp;IF($H325="No","NoMFA ","")&amp;IF(AND($P325=0,$M325&gt;0),"T0-Standing ","")&amp;IF(AND($P325=0,$Q325="Group only"),"T0-ViaGroupOnly ","")&amp;IF($W325="Yes","AlsoAzureRBAC ","")))</f>
        <v/>
      </c>
      <c r="AN325" s="85">
        <f>IF($A325="","",IF(AG325="","Not Enrolled",IF(TODAY()&gt;AG325,"Review Overdue",IF(AG325-TODAY()&lt;=30,"Review Due Soon","Active"))))</f>
        <v/>
      </c>
      <c r="AO325" s="85">
        <f>IF($A325="","",IF(AH325="","NOT REVIEWED",IF(TODAY()-AH325&gt;90,"OVERDUE",IF(TODAY()-AH325&gt;76,"Due Soon","Current"))))</f>
        <v/>
      </c>
    </row>
    <row r="326" ht="15" customHeight="1" s="39">
      <c r="A326" s="85" t="n"/>
      <c r="B326" s="85" t="n"/>
      <c r="C326" s="85" t="n"/>
      <c r="D326" s="85" t="n"/>
      <c r="E326" s="85" t="n"/>
      <c r="F326" s="86" t="n"/>
      <c r="G326" s="86" t="n"/>
      <c r="H326" s="85" t="n"/>
      <c r="I326" s="85" t="n"/>
      <c r="J326" s="85" t="n"/>
      <c r="K326" s="85" t="n"/>
      <c r="L326" s="85" t="n"/>
      <c r="M326" s="85" t="n"/>
      <c r="N326" s="85" t="n"/>
      <c r="O326" s="85" t="n"/>
      <c r="P326" s="85" t="n"/>
      <c r="Q326" s="85" t="n"/>
      <c r="R326" s="85" t="n"/>
      <c r="S326" s="85" t="n"/>
      <c r="T326" s="85" t="n"/>
      <c r="U326" s="85" t="n"/>
      <c r="V326" s="85" t="n"/>
      <c r="W326" s="85" t="n"/>
      <c r="X326" s="85" t="n"/>
      <c r="Y326" s="85" t="n"/>
      <c r="Z326" s="85" t="n"/>
      <c r="AA326" s="85" t="n"/>
      <c r="AB326" s="85" t="n"/>
      <c r="AC326" s="85" t="n"/>
      <c r="AD326" s="85" t="n"/>
      <c r="AE326" s="85" t="n"/>
      <c r="AF326" s="86" t="n"/>
      <c r="AG326" s="86" t="n"/>
      <c r="AH326" s="86" t="n"/>
      <c r="AI326" s="85" t="n"/>
      <c r="AJ326" s="85" t="n"/>
      <c r="AK326" s="85">
        <f>IF($A326="","",IF($M326&gt;0,"Yes","No"))</f>
        <v/>
      </c>
      <c r="AL326" s="85">
        <f>IF($A326="","",IF(AND($E326="Yes",OR($Y326="No",$Y326="NOT FOUND")),"YES",""))</f>
        <v/>
      </c>
      <c r="AM326" s="85">
        <f>IF($A326="","",TRIM(IF(AND($P326=0,$I326&lt;&gt;"Yes"),"T0-NoPhishResistant ","")&amp;IF($H326="No","NoMFA ","")&amp;IF(AND($P326=0,$M326&gt;0),"T0-Standing ","")&amp;IF(AND($P326=0,$Q326="Group only"),"T0-ViaGroupOnly ","")&amp;IF($W326="Yes","AlsoAzureRBAC ","")))</f>
        <v/>
      </c>
      <c r="AN326" s="85">
        <f>IF($A326="","",IF(AG326="","Not Enrolled",IF(TODAY()&gt;AG326,"Review Overdue",IF(AG326-TODAY()&lt;=30,"Review Due Soon","Active"))))</f>
        <v/>
      </c>
      <c r="AO326" s="85">
        <f>IF($A326="","",IF(AH326="","NOT REVIEWED",IF(TODAY()-AH326&gt;90,"OVERDUE",IF(TODAY()-AH326&gt;76,"Due Soon","Current"))))</f>
        <v/>
      </c>
    </row>
    <row r="327" ht="15" customHeight="1" s="39">
      <c r="A327" s="85" t="n"/>
      <c r="B327" s="85" t="n"/>
      <c r="C327" s="85" t="n"/>
      <c r="D327" s="85" t="n"/>
      <c r="E327" s="85" t="n"/>
      <c r="F327" s="86" t="n"/>
      <c r="G327" s="86" t="n"/>
      <c r="H327" s="85" t="n"/>
      <c r="I327" s="85" t="n"/>
      <c r="J327" s="85" t="n"/>
      <c r="K327" s="85" t="n"/>
      <c r="L327" s="85" t="n"/>
      <c r="M327" s="85" t="n"/>
      <c r="N327" s="85" t="n"/>
      <c r="O327" s="85" t="n"/>
      <c r="P327" s="85" t="n"/>
      <c r="Q327" s="85" t="n"/>
      <c r="R327" s="85" t="n"/>
      <c r="S327" s="85" t="n"/>
      <c r="T327" s="85" t="n"/>
      <c r="U327" s="85" t="n"/>
      <c r="V327" s="85" t="n"/>
      <c r="W327" s="85" t="n"/>
      <c r="X327" s="85" t="n"/>
      <c r="Y327" s="85" t="n"/>
      <c r="Z327" s="85" t="n"/>
      <c r="AA327" s="85" t="n"/>
      <c r="AB327" s="85" t="n"/>
      <c r="AC327" s="85" t="n"/>
      <c r="AD327" s="85" t="n"/>
      <c r="AE327" s="85" t="n"/>
      <c r="AF327" s="86" t="n"/>
      <c r="AG327" s="86" t="n"/>
      <c r="AH327" s="86" t="n"/>
      <c r="AI327" s="85" t="n"/>
      <c r="AJ327" s="85" t="n"/>
      <c r="AK327" s="85">
        <f>IF($A327="","",IF($M327&gt;0,"Yes","No"))</f>
        <v/>
      </c>
      <c r="AL327" s="85">
        <f>IF($A327="","",IF(AND($E327="Yes",OR($Y327="No",$Y327="NOT FOUND")),"YES",""))</f>
        <v/>
      </c>
      <c r="AM327" s="85">
        <f>IF($A327="","",TRIM(IF(AND($P327=0,$I327&lt;&gt;"Yes"),"T0-NoPhishResistant ","")&amp;IF($H327="No","NoMFA ","")&amp;IF(AND($P327=0,$M327&gt;0),"T0-Standing ","")&amp;IF(AND($P327=0,$Q327="Group only"),"T0-ViaGroupOnly ","")&amp;IF($W327="Yes","AlsoAzureRBAC ","")))</f>
        <v/>
      </c>
      <c r="AN327" s="85">
        <f>IF($A327="","",IF(AG327="","Not Enrolled",IF(TODAY()&gt;AG327,"Review Overdue",IF(AG327-TODAY()&lt;=30,"Review Due Soon","Active"))))</f>
        <v/>
      </c>
      <c r="AO327" s="85">
        <f>IF($A327="","",IF(AH327="","NOT REVIEWED",IF(TODAY()-AH327&gt;90,"OVERDUE",IF(TODAY()-AH327&gt;76,"Due Soon","Current"))))</f>
        <v/>
      </c>
    </row>
    <row r="328" ht="15" customHeight="1" s="39">
      <c r="A328" s="85" t="n"/>
      <c r="B328" s="85" t="n"/>
      <c r="C328" s="85" t="n"/>
      <c r="D328" s="85" t="n"/>
      <c r="E328" s="85" t="n"/>
      <c r="F328" s="86" t="n"/>
      <c r="G328" s="86" t="n"/>
      <c r="H328" s="85" t="n"/>
      <c r="I328" s="85" t="n"/>
      <c r="J328" s="85" t="n"/>
      <c r="K328" s="85" t="n"/>
      <c r="L328" s="85" t="n"/>
      <c r="M328" s="85" t="n"/>
      <c r="N328" s="85" t="n"/>
      <c r="O328" s="85" t="n"/>
      <c r="P328" s="85" t="n"/>
      <c r="Q328" s="85" t="n"/>
      <c r="R328" s="85" t="n"/>
      <c r="S328" s="85" t="n"/>
      <c r="T328" s="85" t="n"/>
      <c r="U328" s="85" t="n"/>
      <c r="V328" s="85" t="n"/>
      <c r="W328" s="85" t="n"/>
      <c r="X328" s="85" t="n"/>
      <c r="Y328" s="85" t="n"/>
      <c r="Z328" s="85" t="n"/>
      <c r="AA328" s="85" t="n"/>
      <c r="AB328" s="85" t="n"/>
      <c r="AC328" s="85" t="n"/>
      <c r="AD328" s="85" t="n"/>
      <c r="AE328" s="85" t="n"/>
      <c r="AF328" s="86" t="n"/>
      <c r="AG328" s="86" t="n"/>
      <c r="AH328" s="86" t="n"/>
      <c r="AI328" s="85" t="n"/>
      <c r="AJ328" s="85" t="n"/>
      <c r="AK328" s="85">
        <f>IF($A328="","",IF($M328&gt;0,"Yes","No"))</f>
        <v/>
      </c>
      <c r="AL328" s="85">
        <f>IF($A328="","",IF(AND($E328="Yes",OR($Y328="No",$Y328="NOT FOUND")),"YES",""))</f>
        <v/>
      </c>
      <c r="AM328" s="85">
        <f>IF($A328="","",TRIM(IF(AND($P328=0,$I328&lt;&gt;"Yes"),"T0-NoPhishResistant ","")&amp;IF($H328="No","NoMFA ","")&amp;IF(AND($P328=0,$M328&gt;0),"T0-Standing ","")&amp;IF(AND($P328=0,$Q328="Group only"),"T0-ViaGroupOnly ","")&amp;IF($W328="Yes","AlsoAzureRBAC ","")))</f>
        <v/>
      </c>
      <c r="AN328" s="85">
        <f>IF($A328="","",IF(AG328="","Not Enrolled",IF(TODAY()&gt;AG328,"Review Overdue",IF(AG328-TODAY()&lt;=30,"Review Due Soon","Active"))))</f>
        <v/>
      </c>
      <c r="AO328" s="85">
        <f>IF($A328="","",IF(AH328="","NOT REVIEWED",IF(TODAY()-AH328&gt;90,"OVERDUE",IF(TODAY()-AH328&gt;76,"Due Soon","Current"))))</f>
        <v/>
      </c>
    </row>
    <row r="329" ht="15" customHeight="1" s="39">
      <c r="A329" s="85" t="n"/>
      <c r="B329" s="85" t="n"/>
      <c r="C329" s="85" t="n"/>
      <c r="D329" s="85" t="n"/>
      <c r="E329" s="85" t="n"/>
      <c r="F329" s="86" t="n"/>
      <c r="G329" s="86" t="n"/>
      <c r="H329" s="85" t="n"/>
      <c r="I329" s="85" t="n"/>
      <c r="J329" s="85" t="n"/>
      <c r="K329" s="85" t="n"/>
      <c r="L329" s="85" t="n"/>
      <c r="M329" s="85" t="n"/>
      <c r="N329" s="85" t="n"/>
      <c r="O329" s="85" t="n"/>
      <c r="P329" s="85" t="n"/>
      <c r="Q329" s="85" t="n"/>
      <c r="R329" s="85" t="n"/>
      <c r="S329" s="85" t="n"/>
      <c r="T329" s="85" t="n"/>
      <c r="U329" s="85" t="n"/>
      <c r="V329" s="85" t="n"/>
      <c r="W329" s="85" t="n"/>
      <c r="X329" s="85" t="n"/>
      <c r="Y329" s="85" t="n"/>
      <c r="Z329" s="85" t="n"/>
      <c r="AA329" s="85" t="n"/>
      <c r="AB329" s="85" t="n"/>
      <c r="AC329" s="85" t="n"/>
      <c r="AD329" s="85" t="n"/>
      <c r="AE329" s="85" t="n"/>
      <c r="AF329" s="86" t="n"/>
      <c r="AG329" s="86" t="n"/>
      <c r="AH329" s="86" t="n"/>
      <c r="AI329" s="85" t="n"/>
      <c r="AJ329" s="85" t="n"/>
      <c r="AK329" s="85">
        <f>IF($A329="","",IF($M329&gt;0,"Yes","No"))</f>
        <v/>
      </c>
      <c r="AL329" s="85">
        <f>IF($A329="","",IF(AND($E329="Yes",OR($Y329="No",$Y329="NOT FOUND")),"YES",""))</f>
        <v/>
      </c>
      <c r="AM329" s="85">
        <f>IF($A329="","",TRIM(IF(AND($P329=0,$I329&lt;&gt;"Yes"),"T0-NoPhishResistant ","")&amp;IF($H329="No","NoMFA ","")&amp;IF(AND($P329=0,$M329&gt;0),"T0-Standing ","")&amp;IF(AND($P329=0,$Q329="Group only"),"T0-ViaGroupOnly ","")&amp;IF($W329="Yes","AlsoAzureRBAC ","")))</f>
        <v/>
      </c>
      <c r="AN329" s="85">
        <f>IF($A329="","",IF(AG329="","Not Enrolled",IF(TODAY()&gt;AG329,"Review Overdue",IF(AG329-TODAY()&lt;=30,"Review Due Soon","Active"))))</f>
        <v/>
      </c>
      <c r="AO329" s="85">
        <f>IF($A329="","",IF(AH329="","NOT REVIEWED",IF(TODAY()-AH329&gt;90,"OVERDUE",IF(TODAY()-AH329&gt;76,"Due Soon","Current"))))</f>
        <v/>
      </c>
    </row>
    <row r="330" ht="15" customHeight="1" s="39">
      <c r="A330" s="85" t="n"/>
      <c r="B330" s="85" t="n"/>
      <c r="C330" s="85" t="n"/>
      <c r="D330" s="85" t="n"/>
      <c r="E330" s="85" t="n"/>
      <c r="F330" s="86" t="n"/>
      <c r="G330" s="86" t="n"/>
      <c r="H330" s="85" t="n"/>
      <c r="I330" s="85" t="n"/>
      <c r="J330" s="85" t="n"/>
      <c r="K330" s="85" t="n"/>
      <c r="L330" s="85" t="n"/>
      <c r="M330" s="85" t="n"/>
      <c r="N330" s="85" t="n"/>
      <c r="O330" s="85" t="n"/>
      <c r="P330" s="85" t="n"/>
      <c r="Q330" s="85" t="n"/>
      <c r="R330" s="85" t="n"/>
      <c r="S330" s="85" t="n"/>
      <c r="T330" s="85" t="n"/>
      <c r="U330" s="85" t="n"/>
      <c r="V330" s="85" t="n"/>
      <c r="W330" s="85" t="n"/>
      <c r="X330" s="85" t="n"/>
      <c r="Y330" s="85" t="n"/>
      <c r="Z330" s="85" t="n"/>
      <c r="AA330" s="85" t="n"/>
      <c r="AB330" s="85" t="n"/>
      <c r="AC330" s="85" t="n"/>
      <c r="AD330" s="85" t="n"/>
      <c r="AE330" s="85" t="n"/>
      <c r="AF330" s="86" t="n"/>
      <c r="AG330" s="86" t="n"/>
      <c r="AH330" s="86" t="n"/>
      <c r="AI330" s="85" t="n"/>
      <c r="AJ330" s="85" t="n"/>
      <c r="AK330" s="85">
        <f>IF($A330="","",IF($M330&gt;0,"Yes","No"))</f>
        <v/>
      </c>
      <c r="AL330" s="85">
        <f>IF($A330="","",IF(AND($E330="Yes",OR($Y330="No",$Y330="NOT FOUND")),"YES",""))</f>
        <v/>
      </c>
      <c r="AM330" s="85">
        <f>IF($A330="","",TRIM(IF(AND($P330=0,$I330&lt;&gt;"Yes"),"T0-NoPhishResistant ","")&amp;IF($H330="No","NoMFA ","")&amp;IF(AND($P330=0,$M330&gt;0),"T0-Standing ","")&amp;IF(AND($P330=0,$Q330="Group only"),"T0-ViaGroupOnly ","")&amp;IF($W330="Yes","AlsoAzureRBAC ","")))</f>
        <v/>
      </c>
      <c r="AN330" s="85">
        <f>IF($A330="","",IF(AG330="","Not Enrolled",IF(TODAY()&gt;AG330,"Review Overdue",IF(AG330-TODAY()&lt;=30,"Review Due Soon","Active"))))</f>
        <v/>
      </c>
      <c r="AO330" s="85">
        <f>IF($A330="","",IF(AH330="","NOT REVIEWED",IF(TODAY()-AH330&gt;90,"OVERDUE",IF(TODAY()-AH330&gt;76,"Due Soon","Current"))))</f>
        <v/>
      </c>
    </row>
    <row r="331" ht="15" customHeight="1" s="39">
      <c r="A331" s="85" t="n"/>
      <c r="B331" s="85" t="n"/>
      <c r="C331" s="85" t="n"/>
      <c r="D331" s="85" t="n"/>
      <c r="E331" s="85" t="n"/>
      <c r="F331" s="86" t="n"/>
      <c r="G331" s="86" t="n"/>
      <c r="H331" s="85" t="n"/>
      <c r="I331" s="85" t="n"/>
      <c r="J331" s="85" t="n"/>
      <c r="K331" s="85" t="n"/>
      <c r="L331" s="85" t="n"/>
      <c r="M331" s="85" t="n"/>
      <c r="N331" s="85" t="n"/>
      <c r="O331" s="85" t="n"/>
      <c r="P331" s="85" t="n"/>
      <c r="Q331" s="85" t="n"/>
      <c r="R331" s="85" t="n"/>
      <c r="S331" s="85" t="n"/>
      <c r="T331" s="85" t="n"/>
      <c r="U331" s="85" t="n"/>
      <c r="V331" s="85" t="n"/>
      <c r="W331" s="85" t="n"/>
      <c r="X331" s="85" t="n"/>
      <c r="Y331" s="85" t="n"/>
      <c r="Z331" s="85" t="n"/>
      <c r="AA331" s="85" t="n"/>
      <c r="AB331" s="85" t="n"/>
      <c r="AC331" s="85" t="n"/>
      <c r="AD331" s="85" t="n"/>
      <c r="AE331" s="85" t="n"/>
      <c r="AF331" s="86" t="n"/>
      <c r="AG331" s="86" t="n"/>
      <c r="AH331" s="86" t="n"/>
      <c r="AI331" s="85" t="n"/>
      <c r="AJ331" s="85" t="n"/>
      <c r="AK331" s="85">
        <f>IF($A331="","",IF($M331&gt;0,"Yes","No"))</f>
        <v/>
      </c>
      <c r="AL331" s="85">
        <f>IF($A331="","",IF(AND($E331="Yes",OR($Y331="No",$Y331="NOT FOUND")),"YES",""))</f>
        <v/>
      </c>
      <c r="AM331" s="85">
        <f>IF($A331="","",TRIM(IF(AND($P331=0,$I331&lt;&gt;"Yes"),"T0-NoPhishResistant ","")&amp;IF($H331="No","NoMFA ","")&amp;IF(AND($P331=0,$M331&gt;0),"T0-Standing ","")&amp;IF(AND($P331=0,$Q331="Group only"),"T0-ViaGroupOnly ","")&amp;IF($W331="Yes","AlsoAzureRBAC ","")))</f>
        <v/>
      </c>
      <c r="AN331" s="85">
        <f>IF($A331="","",IF(AG331="","Not Enrolled",IF(TODAY()&gt;AG331,"Review Overdue",IF(AG331-TODAY()&lt;=30,"Review Due Soon","Active"))))</f>
        <v/>
      </c>
      <c r="AO331" s="85">
        <f>IF($A331="","",IF(AH331="","NOT REVIEWED",IF(TODAY()-AH331&gt;90,"OVERDUE",IF(TODAY()-AH331&gt;76,"Due Soon","Current"))))</f>
        <v/>
      </c>
    </row>
    <row r="332" ht="15" customHeight="1" s="39">
      <c r="A332" s="85" t="n"/>
      <c r="B332" s="85" t="n"/>
      <c r="C332" s="85" t="n"/>
      <c r="D332" s="85" t="n"/>
      <c r="E332" s="85" t="n"/>
      <c r="F332" s="86" t="n"/>
      <c r="G332" s="86" t="n"/>
      <c r="H332" s="85" t="n"/>
      <c r="I332" s="85" t="n"/>
      <c r="J332" s="85" t="n"/>
      <c r="K332" s="85" t="n"/>
      <c r="L332" s="85" t="n"/>
      <c r="M332" s="85" t="n"/>
      <c r="N332" s="85" t="n"/>
      <c r="O332" s="85" t="n"/>
      <c r="P332" s="85" t="n"/>
      <c r="Q332" s="85" t="n"/>
      <c r="R332" s="85" t="n"/>
      <c r="S332" s="85" t="n"/>
      <c r="T332" s="85" t="n"/>
      <c r="U332" s="85" t="n"/>
      <c r="V332" s="85" t="n"/>
      <c r="W332" s="85" t="n"/>
      <c r="X332" s="85" t="n"/>
      <c r="Y332" s="85" t="n"/>
      <c r="Z332" s="85" t="n"/>
      <c r="AA332" s="85" t="n"/>
      <c r="AB332" s="85" t="n"/>
      <c r="AC332" s="85" t="n"/>
      <c r="AD332" s="85" t="n"/>
      <c r="AE332" s="85" t="n"/>
      <c r="AF332" s="86" t="n"/>
      <c r="AG332" s="86" t="n"/>
      <c r="AH332" s="86" t="n"/>
      <c r="AI332" s="85" t="n"/>
      <c r="AJ332" s="85" t="n"/>
      <c r="AK332" s="85">
        <f>IF($A332="","",IF($M332&gt;0,"Yes","No"))</f>
        <v/>
      </c>
      <c r="AL332" s="85">
        <f>IF($A332="","",IF(AND($E332="Yes",OR($Y332="No",$Y332="NOT FOUND")),"YES",""))</f>
        <v/>
      </c>
      <c r="AM332" s="85">
        <f>IF($A332="","",TRIM(IF(AND($P332=0,$I332&lt;&gt;"Yes"),"T0-NoPhishResistant ","")&amp;IF($H332="No","NoMFA ","")&amp;IF(AND($P332=0,$M332&gt;0),"T0-Standing ","")&amp;IF(AND($P332=0,$Q332="Group only"),"T0-ViaGroupOnly ","")&amp;IF($W332="Yes","AlsoAzureRBAC ","")))</f>
        <v/>
      </c>
      <c r="AN332" s="85">
        <f>IF($A332="","",IF(AG332="","Not Enrolled",IF(TODAY()&gt;AG332,"Review Overdue",IF(AG332-TODAY()&lt;=30,"Review Due Soon","Active"))))</f>
        <v/>
      </c>
      <c r="AO332" s="85">
        <f>IF($A332="","",IF(AH332="","NOT REVIEWED",IF(TODAY()-AH332&gt;90,"OVERDUE",IF(TODAY()-AH332&gt;76,"Due Soon","Current"))))</f>
        <v/>
      </c>
    </row>
    <row r="333" ht="15" customHeight="1" s="39">
      <c r="A333" s="85" t="n"/>
      <c r="B333" s="85" t="n"/>
      <c r="C333" s="85" t="n"/>
      <c r="D333" s="85" t="n"/>
      <c r="E333" s="85" t="n"/>
      <c r="F333" s="86" t="n"/>
      <c r="G333" s="86" t="n"/>
      <c r="H333" s="85" t="n"/>
      <c r="I333" s="85" t="n"/>
      <c r="J333" s="85" t="n"/>
      <c r="K333" s="85" t="n"/>
      <c r="L333" s="85" t="n"/>
      <c r="M333" s="85" t="n"/>
      <c r="N333" s="85" t="n"/>
      <c r="O333" s="85" t="n"/>
      <c r="P333" s="85" t="n"/>
      <c r="Q333" s="85" t="n"/>
      <c r="R333" s="85" t="n"/>
      <c r="S333" s="85" t="n"/>
      <c r="T333" s="85" t="n"/>
      <c r="U333" s="85" t="n"/>
      <c r="V333" s="85" t="n"/>
      <c r="W333" s="85" t="n"/>
      <c r="X333" s="85" t="n"/>
      <c r="Y333" s="85" t="n"/>
      <c r="Z333" s="85" t="n"/>
      <c r="AA333" s="85" t="n"/>
      <c r="AB333" s="85" t="n"/>
      <c r="AC333" s="85" t="n"/>
      <c r="AD333" s="85" t="n"/>
      <c r="AE333" s="85" t="n"/>
      <c r="AF333" s="86" t="n"/>
      <c r="AG333" s="86" t="n"/>
      <c r="AH333" s="86" t="n"/>
      <c r="AI333" s="85" t="n"/>
      <c r="AJ333" s="85" t="n"/>
      <c r="AK333" s="85">
        <f>IF($A333="","",IF($M333&gt;0,"Yes","No"))</f>
        <v/>
      </c>
      <c r="AL333" s="85">
        <f>IF($A333="","",IF(AND($E333="Yes",OR($Y333="No",$Y333="NOT FOUND")),"YES",""))</f>
        <v/>
      </c>
      <c r="AM333" s="85">
        <f>IF($A333="","",TRIM(IF(AND($P333=0,$I333&lt;&gt;"Yes"),"T0-NoPhishResistant ","")&amp;IF($H333="No","NoMFA ","")&amp;IF(AND($P333=0,$M333&gt;0),"T0-Standing ","")&amp;IF(AND($P333=0,$Q333="Group only"),"T0-ViaGroupOnly ","")&amp;IF($W333="Yes","AlsoAzureRBAC ","")))</f>
        <v/>
      </c>
      <c r="AN333" s="85">
        <f>IF($A333="","",IF(AG333="","Not Enrolled",IF(TODAY()&gt;AG333,"Review Overdue",IF(AG333-TODAY()&lt;=30,"Review Due Soon","Active"))))</f>
        <v/>
      </c>
      <c r="AO333" s="85">
        <f>IF($A333="","",IF(AH333="","NOT REVIEWED",IF(TODAY()-AH333&gt;90,"OVERDUE",IF(TODAY()-AH333&gt;76,"Due Soon","Current"))))</f>
        <v/>
      </c>
    </row>
    <row r="334" ht="15" customHeight="1" s="39">
      <c r="A334" s="85" t="n"/>
      <c r="B334" s="85" t="n"/>
      <c r="C334" s="85" t="n"/>
      <c r="D334" s="85" t="n"/>
      <c r="E334" s="85" t="n"/>
      <c r="F334" s="86" t="n"/>
      <c r="G334" s="86" t="n"/>
      <c r="H334" s="85" t="n"/>
      <c r="I334" s="85" t="n"/>
      <c r="J334" s="85" t="n"/>
      <c r="K334" s="85" t="n"/>
      <c r="L334" s="85" t="n"/>
      <c r="M334" s="85" t="n"/>
      <c r="N334" s="85" t="n"/>
      <c r="O334" s="85" t="n"/>
      <c r="P334" s="85" t="n"/>
      <c r="Q334" s="85" t="n"/>
      <c r="R334" s="85" t="n"/>
      <c r="S334" s="85" t="n"/>
      <c r="T334" s="85" t="n"/>
      <c r="U334" s="85" t="n"/>
      <c r="V334" s="85" t="n"/>
      <c r="W334" s="85" t="n"/>
      <c r="X334" s="85" t="n"/>
      <c r="Y334" s="85" t="n"/>
      <c r="Z334" s="85" t="n"/>
      <c r="AA334" s="85" t="n"/>
      <c r="AB334" s="85" t="n"/>
      <c r="AC334" s="85" t="n"/>
      <c r="AD334" s="85" t="n"/>
      <c r="AE334" s="85" t="n"/>
      <c r="AF334" s="86" t="n"/>
      <c r="AG334" s="86" t="n"/>
      <c r="AH334" s="86" t="n"/>
      <c r="AI334" s="85" t="n"/>
      <c r="AJ334" s="85" t="n"/>
      <c r="AK334" s="85">
        <f>IF($A334="","",IF($M334&gt;0,"Yes","No"))</f>
        <v/>
      </c>
      <c r="AL334" s="85">
        <f>IF($A334="","",IF(AND($E334="Yes",OR($Y334="No",$Y334="NOT FOUND")),"YES",""))</f>
        <v/>
      </c>
      <c r="AM334" s="85">
        <f>IF($A334="","",TRIM(IF(AND($P334=0,$I334&lt;&gt;"Yes"),"T0-NoPhishResistant ","")&amp;IF($H334="No","NoMFA ","")&amp;IF(AND($P334=0,$M334&gt;0),"T0-Standing ","")&amp;IF(AND($P334=0,$Q334="Group only"),"T0-ViaGroupOnly ","")&amp;IF($W334="Yes","AlsoAzureRBAC ","")))</f>
        <v/>
      </c>
      <c r="AN334" s="85">
        <f>IF($A334="","",IF(AG334="","Not Enrolled",IF(TODAY()&gt;AG334,"Review Overdue",IF(AG334-TODAY()&lt;=30,"Review Due Soon","Active"))))</f>
        <v/>
      </c>
      <c r="AO334" s="85">
        <f>IF($A334="","",IF(AH334="","NOT REVIEWED",IF(TODAY()-AH334&gt;90,"OVERDUE",IF(TODAY()-AH334&gt;76,"Due Soon","Current"))))</f>
        <v/>
      </c>
    </row>
    <row r="335" ht="15" customHeight="1" s="39">
      <c r="A335" s="85" t="n"/>
      <c r="B335" s="85" t="n"/>
      <c r="C335" s="85" t="n"/>
      <c r="D335" s="85" t="n"/>
      <c r="E335" s="85" t="n"/>
      <c r="F335" s="86" t="n"/>
      <c r="G335" s="86" t="n"/>
      <c r="H335" s="85" t="n"/>
      <c r="I335" s="85" t="n"/>
      <c r="J335" s="85" t="n"/>
      <c r="K335" s="85" t="n"/>
      <c r="L335" s="85" t="n"/>
      <c r="M335" s="85" t="n"/>
      <c r="N335" s="85" t="n"/>
      <c r="O335" s="85" t="n"/>
      <c r="P335" s="85" t="n"/>
      <c r="Q335" s="85" t="n"/>
      <c r="R335" s="85" t="n"/>
      <c r="S335" s="85" t="n"/>
      <c r="T335" s="85" t="n"/>
      <c r="U335" s="85" t="n"/>
      <c r="V335" s="85" t="n"/>
      <c r="W335" s="85" t="n"/>
      <c r="X335" s="85" t="n"/>
      <c r="Y335" s="85" t="n"/>
      <c r="Z335" s="85" t="n"/>
      <c r="AA335" s="85" t="n"/>
      <c r="AB335" s="85" t="n"/>
      <c r="AC335" s="85" t="n"/>
      <c r="AD335" s="85" t="n"/>
      <c r="AE335" s="85" t="n"/>
      <c r="AF335" s="86" t="n"/>
      <c r="AG335" s="86" t="n"/>
      <c r="AH335" s="86" t="n"/>
      <c r="AI335" s="85" t="n"/>
      <c r="AJ335" s="85" t="n"/>
      <c r="AK335" s="85">
        <f>IF($A335="","",IF($M335&gt;0,"Yes","No"))</f>
        <v/>
      </c>
      <c r="AL335" s="85">
        <f>IF($A335="","",IF(AND($E335="Yes",OR($Y335="No",$Y335="NOT FOUND")),"YES",""))</f>
        <v/>
      </c>
      <c r="AM335" s="85">
        <f>IF($A335="","",TRIM(IF(AND($P335=0,$I335&lt;&gt;"Yes"),"T0-NoPhishResistant ","")&amp;IF($H335="No","NoMFA ","")&amp;IF(AND($P335=0,$M335&gt;0),"T0-Standing ","")&amp;IF(AND($P335=0,$Q335="Group only"),"T0-ViaGroupOnly ","")&amp;IF($W335="Yes","AlsoAzureRBAC ","")))</f>
        <v/>
      </c>
      <c r="AN335" s="85">
        <f>IF($A335="","",IF(AG335="","Not Enrolled",IF(TODAY()&gt;AG335,"Review Overdue",IF(AG335-TODAY()&lt;=30,"Review Due Soon","Active"))))</f>
        <v/>
      </c>
      <c r="AO335" s="85">
        <f>IF($A335="","",IF(AH335="","NOT REVIEWED",IF(TODAY()-AH335&gt;90,"OVERDUE",IF(TODAY()-AH335&gt;76,"Due Soon","Current"))))</f>
        <v/>
      </c>
    </row>
    <row r="336" ht="15" customHeight="1" s="39">
      <c r="A336" s="85" t="n"/>
      <c r="B336" s="85" t="n"/>
      <c r="C336" s="85" t="n"/>
      <c r="D336" s="85" t="n"/>
      <c r="E336" s="85" t="n"/>
      <c r="F336" s="86" t="n"/>
      <c r="G336" s="86" t="n"/>
      <c r="H336" s="85" t="n"/>
      <c r="I336" s="85" t="n"/>
      <c r="J336" s="85" t="n"/>
      <c r="K336" s="85" t="n"/>
      <c r="L336" s="85" t="n"/>
      <c r="M336" s="85" t="n"/>
      <c r="N336" s="85" t="n"/>
      <c r="O336" s="85" t="n"/>
      <c r="P336" s="85" t="n"/>
      <c r="Q336" s="85" t="n"/>
      <c r="R336" s="85" t="n"/>
      <c r="S336" s="85" t="n"/>
      <c r="T336" s="85" t="n"/>
      <c r="U336" s="85" t="n"/>
      <c r="V336" s="85" t="n"/>
      <c r="W336" s="85" t="n"/>
      <c r="X336" s="85" t="n"/>
      <c r="Y336" s="85" t="n"/>
      <c r="Z336" s="85" t="n"/>
      <c r="AA336" s="85" t="n"/>
      <c r="AB336" s="85" t="n"/>
      <c r="AC336" s="85" t="n"/>
      <c r="AD336" s="85" t="n"/>
      <c r="AE336" s="85" t="n"/>
      <c r="AF336" s="86" t="n"/>
      <c r="AG336" s="86" t="n"/>
      <c r="AH336" s="86" t="n"/>
      <c r="AI336" s="85" t="n"/>
      <c r="AJ336" s="85" t="n"/>
      <c r="AK336" s="85">
        <f>IF($A336="","",IF($M336&gt;0,"Yes","No"))</f>
        <v/>
      </c>
      <c r="AL336" s="85">
        <f>IF($A336="","",IF(AND($E336="Yes",OR($Y336="No",$Y336="NOT FOUND")),"YES",""))</f>
        <v/>
      </c>
      <c r="AM336" s="85">
        <f>IF($A336="","",TRIM(IF(AND($P336=0,$I336&lt;&gt;"Yes"),"T0-NoPhishResistant ","")&amp;IF($H336="No","NoMFA ","")&amp;IF(AND($P336=0,$M336&gt;0),"T0-Standing ","")&amp;IF(AND($P336=0,$Q336="Group only"),"T0-ViaGroupOnly ","")&amp;IF($W336="Yes","AlsoAzureRBAC ","")))</f>
        <v/>
      </c>
      <c r="AN336" s="85">
        <f>IF($A336="","",IF(AG336="","Not Enrolled",IF(TODAY()&gt;AG336,"Review Overdue",IF(AG336-TODAY()&lt;=30,"Review Due Soon","Active"))))</f>
        <v/>
      </c>
      <c r="AO336" s="85">
        <f>IF($A336="","",IF(AH336="","NOT REVIEWED",IF(TODAY()-AH336&gt;90,"OVERDUE",IF(TODAY()-AH336&gt;76,"Due Soon","Current"))))</f>
        <v/>
      </c>
    </row>
    <row r="337" ht="15" customHeight="1" s="39">
      <c r="A337" s="85" t="n"/>
      <c r="B337" s="85" t="n"/>
      <c r="C337" s="85" t="n"/>
      <c r="D337" s="85" t="n"/>
      <c r="E337" s="85" t="n"/>
      <c r="F337" s="86" t="n"/>
      <c r="G337" s="86" t="n"/>
      <c r="H337" s="85" t="n"/>
      <c r="I337" s="85" t="n"/>
      <c r="J337" s="85" t="n"/>
      <c r="K337" s="85" t="n"/>
      <c r="L337" s="85" t="n"/>
      <c r="M337" s="85" t="n"/>
      <c r="N337" s="85" t="n"/>
      <c r="O337" s="85" t="n"/>
      <c r="P337" s="85" t="n"/>
      <c r="Q337" s="85" t="n"/>
      <c r="R337" s="85" t="n"/>
      <c r="S337" s="85" t="n"/>
      <c r="T337" s="85" t="n"/>
      <c r="U337" s="85" t="n"/>
      <c r="V337" s="85" t="n"/>
      <c r="W337" s="85" t="n"/>
      <c r="X337" s="85" t="n"/>
      <c r="Y337" s="85" t="n"/>
      <c r="Z337" s="85" t="n"/>
      <c r="AA337" s="85" t="n"/>
      <c r="AB337" s="85" t="n"/>
      <c r="AC337" s="85" t="n"/>
      <c r="AD337" s="85" t="n"/>
      <c r="AE337" s="85" t="n"/>
      <c r="AF337" s="86" t="n"/>
      <c r="AG337" s="86" t="n"/>
      <c r="AH337" s="86" t="n"/>
      <c r="AI337" s="85" t="n"/>
      <c r="AJ337" s="85" t="n"/>
      <c r="AK337" s="85">
        <f>IF($A337="","",IF($M337&gt;0,"Yes","No"))</f>
        <v/>
      </c>
      <c r="AL337" s="85">
        <f>IF($A337="","",IF(AND($E337="Yes",OR($Y337="No",$Y337="NOT FOUND")),"YES",""))</f>
        <v/>
      </c>
      <c r="AM337" s="85">
        <f>IF($A337="","",TRIM(IF(AND($P337=0,$I337&lt;&gt;"Yes"),"T0-NoPhishResistant ","")&amp;IF($H337="No","NoMFA ","")&amp;IF(AND($P337=0,$M337&gt;0),"T0-Standing ","")&amp;IF(AND($P337=0,$Q337="Group only"),"T0-ViaGroupOnly ","")&amp;IF($W337="Yes","AlsoAzureRBAC ","")))</f>
        <v/>
      </c>
      <c r="AN337" s="85">
        <f>IF($A337="","",IF(AG337="","Not Enrolled",IF(TODAY()&gt;AG337,"Review Overdue",IF(AG337-TODAY()&lt;=30,"Review Due Soon","Active"))))</f>
        <v/>
      </c>
      <c r="AO337" s="85">
        <f>IF($A337="","",IF(AH337="","NOT REVIEWED",IF(TODAY()-AH337&gt;90,"OVERDUE",IF(TODAY()-AH337&gt;76,"Due Soon","Current"))))</f>
        <v/>
      </c>
    </row>
    <row r="338" ht="15" customHeight="1" s="39">
      <c r="A338" s="85" t="n"/>
      <c r="B338" s="85" t="n"/>
      <c r="C338" s="85" t="n"/>
      <c r="D338" s="85" t="n"/>
      <c r="E338" s="85" t="n"/>
      <c r="F338" s="86" t="n"/>
      <c r="G338" s="86" t="n"/>
      <c r="H338" s="85" t="n"/>
      <c r="I338" s="85" t="n"/>
      <c r="J338" s="85" t="n"/>
      <c r="K338" s="85" t="n"/>
      <c r="L338" s="85" t="n"/>
      <c r="M338" s="85" t="n"/>
      <c r="N338" s="85" t="n"/>
      <c r="O338" s="85" t="n"/>
      <c r="P338" s="85" t="n"/>
      <c r="Q338" s="85" t="n"/>
      <c r="R338" s="85" t="n"/>
      <c r="S338" s="85" t="n"/>
      <c r="T338" s="85" t="n"/>
      <c r="U338" s="85" t="n"/>
      <c r="V338" s="85" t="n"/>
      <c r="W338" s="85" t="n"/>
      <c r="X338" s="85" t="n"/>
      <c r="Y338" s="85" t="n"/>
      <c r="Z338" s="85" t="n"/>
      <c r="AA338" s="85" t="n"/>
      <c r="AB338" s="85" t="n"/>
      <c r="AC338" s="85" t="n"/>
      <c r="AD338" s="85" t="n"/>
      <c r="AE338" s="85" t="n"/>
      <c r="AF338" s="86" t="n"/>
      <c r="AG338" s="86" t="n"/>
      <c r="AH338" s="86" t="n"/>
      <c r="AI338" s="85" t="n"/>
      <c r="AJ338" s="85" t="n"/>
      <c r="AK338" s="85">
        <f>IF($A338="","",IF($M338&gt;0,"Yes","No"))</f>
        <v/>
      </c>
      <c r="AL338" s="85">
        <f>IF($A338="","",IF(AND($E338="Yes",OR($Y338="No",$Y338="NOT FOUND")),"YES",""))</f>
        <v/>
      </c>
      <c r="AM338" s="85">
        <f>IF($A338="","",TRIM(IF(AND($P338=0,$I338&lt;&gt;"Yes"),"T0-NoPhishResistant ","")&amp;IF($H338="No","NoMFA ","")&amp;IF(AND($P338=0,$M338&gt;0),"T0-Standing ","")&amp;IF(AND($P338=0,$Q338="Group only"),"T0-ViaGroupOnly ","")&amp;IF($W338="Yes","AlsoAzureRBAC ","")))</f>
        <v/>
      </c>
      <c r="AN338" s="85">
        <f>IF($A338="","",IF(AG338="","Not Enrolled",IF(TODAY()&gt;AG338,"Review Overdue",IF(AG338-TODAY()&lt;=30,"Review Due Soon","Active"))))</f>
        <v/>
      </c>
      <c r="AO338" s="85">
        <f>IF($A338="","",IF(AH338="","NOT REVIEWED",IF(TODAY()-AH338&gt;90,"OVERDUE",IF(TODAY()-AH338&gt;76,"Due Soon","Current"))))</f>
        <v/>
      </c>
    </row>
    <row r="339" ht="15" customHeight="1" s="39">
      <c r="A339" s="85" t="n"/>
      <c r="B339" s="85" t="n"/>
      <c r="C339" s="85" t="n"/>
      <c r="D339" s="85" t="n"/>
      <c r="E339" s="85" t="n"/>
      <c r="F339" s="86" t="n"/>
      <c r="G339" s="86" t="n"/>
      <c r="H339" s="85" t="n"/>
      <c r="I339" s="85" t="n"/>
      <c r="J339" s="85" t="n"/>
      <c r="K339" s="85" t="n"/>
      <c r="L339" s="85" t="n"/>
      <c r="M339" s="85" t="n"/>
      <c r="N339" s="85" t="n"/>
      <c r="O339" s="85" t="n"/>
      <c r="P339" s="85" t="n"/>
      <c r="Q339" s="85" t="n"/>
      <c r="R339" s="85" t="n"/>
      <c r="S339" s="85" t="n"/>
      <c r="T339" s="85" t="n"/>
      <c r="U339" s="85" t="n"/>
      <c r="V339" s="85" t="n"/>
      <c r="W339" s="85" t="n"/>
      <c r="X339" s="85" t="n"/>
      <c r="Y339" s="85" t="n"/>
      <c r="Z339" s="85" t="n"/>
      <c r="AA339" s="85" t="n"/>
      <c r="AB339" s="85" t="n"/>
      <c r="AC339" s="85" t="n"/>
      <c r="AD339" s="85" t="n"/>
      <c r="AE339" s="85" t="n"/>
      <c r="AF339" s="86" t="n"/>
      <c r="AG339" s="86" t="n"/>
      <c r="AH339" s="86" t="n"/>
      <c r="AI339" s="85" t="n"/>
      <c r="AJ339" s="85" t="n"/>
      <c r="AK339" s="85">
        <f>IF($A339="","",IF($M339&gt;0,"Yes","No"))</f>
        <v/>
      </c>
      <c r="AL339" s="85">
        <f>IF($A339="","",IF(AND($E339="Yes",OR($Y339="No",$Y339="NOT FOUND")),"YES",""))</f>
        <v/>
      </c>
      <c r="AM339" s="85">
        <f>IF($A339="","",TRIM(IF(AND($P339=0,$I339&lt;&gt;"Yes"),"T0-NoPhishResistant ","")&amp;IF($H339="No","NoMFA ","")&amp;IF(AND($P339=0,$M339&gt;0),"T0-Standing ","")&amp;IF(AND($P339=0,$Q339="Group only"),"T0-ViaGroupOnly ","")&amp;IF($W339="Yes","AlsoAzureRBAC ","")))</f>
        <v/>
      </c>
      <c r="AN339" s="85">
        <f>IF($A339="","",IF(AG339="","Not Enrolled",IF(TODAY()&gt;AG339,"Review Overdue",IF(AG339-TODAY()&lt;=30,"Review Due Soon","Active"))))</f>
        <v/>
      </c>
      <c r="AO339" s="85">
        <f>IF($A339="","",IF(AH339="","NOT REVIEWED",IF(TODAY()-AH339&gt;90,"OVERDUE",IF(TODAY()-AH339&gt;76,"Due Soon","Current"))))</f>
        <v/>
      </c>
    </row>
    <row r="340" ht="15" customHeight="1" s="39">
      <c r="A340" s="85" t="n"/>
      <c r="B340" s="85" t="n"/>
      <c r="C340" s="85" t="n"/>
      <c r="D340" s="85" t="n"/>
      <c r="E340" s="85" t="n"/>
      <c r="F340" s="86" t="n"/>
      <c r="G340" s="86" t="n"/>
      <c r="H340" s="85" t="n"/>
      <c r="I340" s="85" t="n"/>
      <c r="J340" s="85" t="n"/>
      <c r="K340" s="85" t="n"/>
      <c r="L340" s="85" t="n"/>
      <c r="M340" s="85" t="n"/>
      <c r="N340" s="85" t="n"/>
      <c r="O340" s="85" t="n"/>
      <c r="P340" s="85" t="n"/>
      <c r="Q340" s="85" t="n"/>
      <c r="R340" s="85" t="n"/>
      <c r="S340" s="85" t="n"/>
      <c r="T340" s="85" t="n"/>
      <c r="U340" s="85" t="n"/>
      <c r="V340" s="85" t="n"/>
      <c r="W340" s="85" t="n"/>
      <c r="X340" s="85" t="n"/>
      <c r="Y340" s="85" t="n"/>
      <c r="Z340" s="85" t="n"/>
      <c r="AA340" s="85" t="n"/>
      <c r="AB340" s="85" t="n"/>
      <c r="AC340" s="85" t="n"/>
      <c r="AD340" s="85" t="n"/>
      <c r="AE340" s="85" t="n"/>
      <c r="AF340" s="86" t="n"/>
      <c r="AG340" s="86" t="n"/>
      <c r="AH340" s="86" t="n"/>
      <c r="AI340" s="85" t="n"/>
      <c r="AJ340" s="85" t="n"/>
      <c r="AK340" s="85">
        <f>IF($A340="","",IF($M340&gt;0,"Yes","No"))</f>
        <v/>
      </c>
      <c r="AL340" s="85">
        <f>IF($A340="","",IF(AND($E340="Yes",OR($Y340="No",$Y340="NOT FOUND")),"YES",""))</f>
        <v/>
      </c>
      <c r="AM340" s="85">
        <f>IF($A340="","",TRIM(IF(AND($P340=0,$I340&lt;&gt;"Yes"),"T0-NoPhishResistant ","")&amp;IF($H340="No","NoMFA ","")&amp;IF(AND($P340=0,$M340&gt;0),"T0-Standing ","")&amp;IF(AND($P340=0,$Q340="Group only"),"T0-ViaGroupOnly ","")&amp;IF($W340="Yes","AlsoAzureRBAC ","")))</f>
        <v/>
      </c>
      <c r="AN340" s="85">
        <f>IF($A340="","",IF(AG340="","Not Enrolled",IF(TODAY()&gt;AG340,"Review Overdue",IF(AG340-TODAY()&lt;=30,"Review Due Soon","Active"))))</f>
        <v/>
      </c>
      <c r="AO340" s="85">
        <f>IF($A340="","",IF(AH340="","NOT REVIEWED",IF(TODAY()-AH340&gt;90,"OVERDUE",IF(TODAY()-AH340&gt;76,"Due Soon","Current"))))</f>
        <v/>
      </c>
    </row>
    <row r="341" ht="15" customHeight="1" s="39">
      <c r="A341" s="85" t="n"/>
      <c r="B341" s="85" t="n"/>
      <c r="C341" s="85" t="n"/>
      <c r="D341" s="85" t="n"/>
      <c r="E341" s="85" t="n"/>
      <c r="F341" s="86" t="n"/>
      <c r="G341" s="86" t="n"/>
      <c r="H341" s="85" t="n"/>
      <c r="I341" s="85" t="n"/>
      <c r="J341" s="85" t="n"/>
      <c r="K341" s="85" t="n"/>
      <c r="L341" s="85" t="n"/>
      <c r="M341" s="85" t="n"/>
      <c r="N341" s="85" t="n"/>
      <c r="O341" s="85" t="n"/>
      <c r="P341" s="85" t="n"/>
      <c r="Q341" s="85" t="n"/>
      <c r="R341" s="85" t="n"/>
      <c r="S341" s="85" t="n"/>
      <c r="T341" s="85" t="n"/>
      <c r="U341" s="85" t="n"/>
      <c r="V341" s="85" t="n"/>
      <c r="W341" s="85" t="n"/>
      <c r="X341" s="85" t="n"/>
      <c r="Y341" s="85" t="n"/>
      <c r="Z341" s="85" t="n"/>
      <c r="AA341" s="85" t="n"/>
      <c r="AB341" s="85" t="n"/>
      <c r="AC341" s="85" t="n"/>
      <c r="AD341" s="85" t="n"/>
      <c r="AE341" s="85" t="n"/>
      <c r="AF341" s="86" t="n"/>
      <c r="AG341" s="86" t="n"/>
      <c r="AH341" s="86" t="n"/>
      <c r="AI341" s="85" t="n"/>
      <c r="AJ341" s="85" t="n"/>
      <c r="AK341" s="85">
        <f>IF($A341="","",IF($M341&gt;0,"Yes","No"))</f>
        <v/>
      </c>
      <c r="AL341" s="85">
        <f>IF($A341="","",IF(AND($E341="Yes",OR($Y341="No",$Y341="NOT FOUND")),"YES",""))</f>
        <v/>
      </c>
      <c r="AM341" s="85">
        <f>IF($A341="","",TRIM(IF(AND($P341=0,$I341&lt;&gt;"Yes"),"T0-NoPhishResistant ","")&amp;IF($H341="No","NoMFA ","")&amp;IF(AND($P341=0,$M341&gt;0),"T0-Standing ","")&amp;IF(AND($P341=0,$Q341="Group only"),"T0-ViaGroupOnly ","")&amp;IF($W341="Yes","AlsoAzureRBAC ","")))</f>
        <v/>
      </c>
      <c r="AN341" s="85">
        <f>IF($A341="","",IF(AG341="","Not Enrolled",IF(TODAY()&gt;AG341,"Review Overdue",IF(AG341-TODAY()&lt;=30,"Review Due Soon","Active"))))</f>
        <v/>
      </c>
      <c r="AO341" s="85">
        <f>IF($A341="","",IF(AH341="","NOT REVIEWED",IF(TODAY()-AH341&gt;90,"OVERDUE",IF(TODAY()-AH341&gt;76,"Due Soon","Current"))))</f>
        <v/>
      </c>
    </row>
    <row r="342" ht="15" customHeight="1" s="39">
      <c r="A342" s="85" t="n"/>
      <c r="B342" s="85" t="n"/>
      <c r="C342" s="85" t="n"/>
      <c r="D342" s="85" t="n"/>
      <c r="E342" s="85" t="n"/>
      <c r="F342" s="86" t="n"/>
      <c r="G342" s="86" t="n"/>
      <c r="H342" s="85" t="n"/>
      <c r="I342" s="85" t="n"/>
      <c r="J342" s="85" t="n"/>
      <c r="K342" s="85" t="n"/>
      <c r="L342" s="85" t="n"/>
      <c r="M342" s="85" t="n"/>
      <c r="N342" s="85" t="n"/>
      <c r="O342" s="85" t="n"/>
      <c r="P342" s="85" t="n"/>
      <c r="Q342" s="85" t="n"/>
      <c r="R342" s="85" t="n"/>
      <c r="S342" s="85" t="n"/>
      <c r="T342" s="85" t="n"/>
      <c r="U342" s="85" t="n"/>
      <c r="V342" s="85" t="n"/>
      <c r="W342" s="85" t="n"/>
      <c r="X342" s="85" t="n"/>
      <c r="Y342" s="85" t="n"/>
      <c r="Z342" s="85" t="n"/>
      <c r="AA342" s="85" t="n"/>
      <c r="AB342" s="85" t="n"/>
      <c r="AC342" s="85" t="n"/>
      <c r="AD342" s="85" t="n"/>
      <c r="AE342" s="85" t="n"/>
      <c r="AF342" s="86" t="n"/>
      <c r="AG342" s="86" t="n"/>
      <c r="AH342" s="86" t="n"/>
      <c r="AI342" s="85" t="n"/>
      <c r="AJ342" s="85" t="n"/>
      <c r="AK342" s="85">
        <f>IF($A342="","",IF($M342&gt;0,"Yes","No"))</f>
        <v/>
      </c>
      <c r="AL342" s="85">
        <f>IF($A342="","",IF(AND($E342="Yes",OR($Y342="No",$Y342="NOT FOUND")),"YES",""))</f>
        <v/>
      </c>
      <c r="AM342" s="85">
        <f>IF($A342="","",TRIM(IF(AND($P342=0,$I342&lt;&gt;"Yes"),"T0-NoPhishResistant ","")&amp;IF($H342="No","NoMFA ","")&amp;IF(AND($P342=0,$M342&gt;0),"T0-Standing ","")&amp;IF(AND($P342=0,$Q342="Group only"),"T0-ViaGroupOnly ","")&amp;IF($W342="Yes","AlsoAzureRBAC ","")))</f>
        <v/>
      </c>
      <c r="AN342" s="85">
        <f>IF($A342="","",IF(AG342="","Not Enrolled",IF(TODAY()&gt;AG342,"Review Overdue",IF(AG342-TODAY()&lt;=30,"Review Due Soon","Active"))))</f>
        <v/>
      </c>
      <c r="AO342" s="85">
        <f>IF($A342="","",IF(AH342="","NOT REVIEWED",IF(TODAY()-AH342&gt;90,"OVERDUE",IF(TODAY()-AH342&gt;76,"Due Soon","Current"))))</f>
        <v/>
      </c>
    </row>
    <row r="343" ht="15" customHeight="1" s="39">
      <c r="A343" s="85" t="n"/>
      <c r="B343" s="85" t="n"/>
      <c r="C343" s="85" t="n"/>
      <c r="D343" s="85" t="n"/>
      <c r="E343" s="85" t="n"/>
      <c r="F343" s="86" t="n"/>
      <c r="G343" s="86" t="n"/>
      <c r="H343" s="85" t="n"/>
      <c r="I343" s="85" t="n"/>
      <c r="J343" s="85" t="n"/>
      <c r="K343" s="85" t="n"/>
      <c r="L343" s="85" t="n"/>
      <c r="M343" s="85" t="n"/>
      <c r="N343" s="85" t="n"/>
      <c r="O343" s="85" t="n"/>
      <c r="P343" s="85" t="n"/>
      <c r="Q343" s="85" t="n"/>
      <c r="R343" s="85" t="n"/>
      <c r="S343" s="85" t="n"/>
      <c r="T343" s="85" t="n"/>
      <c r="U343" s="85" t="n"/>
      <c r="V343" s="85" t="n"/>
      <c r="W343" s="85" t="n"/>
      <c r="X343" s="85" t="n"/>
      <c r="Y343" s="85" t="n"/>
      <c r="Z343" s="85" t="n"/>
      <c r="AA343" s="85" t="n"/>
      <c r="AB343" s="85" t="n"/>
      <c r="AC343" s="85" t="n"/>
      <c r="AD343" s="85" t="n"/>
      <c r="AE343" s="85" t="n"/>
      <c r="AF343" s="86" t="n"/>
      <c r="AG343" s="86" t="n"/>
      <c r="AH343" s="86" t="n"/>
      <c r="AI343" s="85" t="n"/>
      <c r="AJ343" s="85" t="n"/>
      <c r="AK343" s="85">
        <f>IF($A343="","",IF($M343&gt;0,"Yes","No"))</f>
        <v/>
      </c>
      <c r="AL343" s="85">
        <f>IF($A343="","",IF(AND($E343="Yes",OR($Y343="No",$Y343="NOT FOUND")),"YES",""))</f>
        <v/>
      </c>
      <c r="AM343" s="85">
        <f>IF($A343="","",TRIM(IF(AND($P343=0,$I343&lt;&gt;"Yes"),"T0-NoPhishResistant ","")&amp;IF($H343="No","NoMFA ","")&amp;IF(AND($P343=0,$M343&gt;0),"T0-Standing ","")&amp;IF(AND($P343=0,$Q343="Group only"),"T0-ViaGroupOnly ","")&amp;IF($W343="Yes","AlsoAzureRBAC ","")))</f>
        <v/>
      </c>
      <c r="AN343" s="85">
        <f>IF($A343="","",IF(AG343="","Not Enrolled",IF(TODAY()&gt;AG343,"Review Overdue",IF(AG343-TODAY()&lt;=30,"Review Due Soon","Active"))))</f>
        <v/>
      </c>
      <c r="AO343" s="85">
        <f>IF($A343="","",IF(AH343="","NOT REVIEWED",IF(TODAY()-AH343&gt;90,"OVERDUE",IF(TODAY()-AH343&gt;76,"Due Soon","Current"))))</f>
        <v/>
      </c>
    </row>
    <row r="344" ht="15" customHeight="1" s="39">
      <c r="A344" s="85" t="n"/>
      <c r="B344" s="85" t="n"/>
      <c r="C344" s="85" t="n"/>
      <c r="D344" s="85" t="n"/>
      <c r="E344" s="85" t="n"/>
      <c r="F344" s="86" t="n"/>
      <c r="G344" s="86" t="n"/>
      <c r="H344" s="85" t="n"/>
      <c r="I344" s="85" t="n"/>
      <c r="J344" s="85" t="n"/>
      <c r="K344" s="85" t="n"/>
      <c r="L344" s="85" t="n"/>
      <c r="M344" s="85" t="n"/>
      <c r="N344" s="85" t="n"/>
      <c r="O344" s="85" t="n"/>
      <c r="P344" s="85" t="n"/>
      <c r="Q344" s="85" t="n"/>
      <c r="R344" s="85" t="n"/>
      <c r="S344" s="85" t="n"/>
      <c r="T344" s="85" t="n"/>
      <c r="U344" s="85" t="n"/>
      <c r="V344" s="85" t="n"/>
      <c r="W344" s="85" t="n"/>
      <c r="X344" s="85" t="n"/>
      <c r="Y344" s="85" t="n"/>
      <c r="Z344" s="85" t="n"/>
      <c r="AA344" s="85" t="n"/>
      <c r="AB344" s="85" t="n"/>
      <c r="AC344" s="85" t="n"/>
      <c r="AD344" s="85" t="n"/>
      <c r="AE344" s="85" t="n"/>
      <c r="AF344" s="86" t="n"/>
      <c r="AG344" s="86" t="n"/>
      <c r="AH344" s="86" t="n"/>
      <c r="AI344" s="85" t="n"/>
      <c r="AJ344" s="85" t="n"/>
      <c r="AK344" s="85">
        <f>IF($A344="","",IF($M344&gt;0,"Yes","No"))</f>
        <v/>
      </c>
      <c r="AL344" s="85">
        <f>IF($A344="","",IF(AND($E344="Yes",OR($Y344="No",$Y344="NOT FOUND")),"YES",""))</f>
        <v/>
      </c>
      <c r="AM344" s="85">
        <f>IF($A344="","",TRIM(IF(AND($P344=0,$I344&lt;&gt;"Yes"),"T0-NoPhishResistant ","")&amp;IF($H344="No","NoMFA ","")&amp;IF(AND($P344=0,$M344&gt;0),"T0-Standing ","")&amp;IF(AND($P344=0,$Q344="Group only"),"T0-ViaGroupOnly ","")&amp;IF($W344="Yes","AlsoAzureRBAC ","")))</f>
        <v/>
      </c>
      <c r="AN344" s="85">
        <f>IF($A344="","",IF(AG344="","Not Enrolled",IF(TODAY()&gt;AG344,"Review Overdue",IF(AG344-TODAY()&lt;=30,"Review Due Soon","Active"))))</f>
        <v/>
      </c>
      <c r="AO344" s="85">
        <f>IF($A344="","",IF(AH344="","NOT REVIEWED",IF(TODAY()-AH344&gt;90,"OVERDUE",IF(TODAY()-AH344&gt;76,"Due Soon","Current"))))</f>
        <v/>
      </c>
    </row>
    <row r="345" ht="15" customHeight="1" s="39">
      <c r="A345" s="85" t="n"/>
      <c r="B345" s="85" t="n"/>
      <c r="C345" s="85" t="n"/>
      <c r="D345" s="85" t="n"/>
      <c r="E345" s="85" t="n"/>
      <c r="F345" s="86" t="n"/>
      <c r="G345" s="86" t="n"/>
      <c r="H345" s="85" t="n"/>
      <c r="I345" s="85" t="n"/>
      <c r="J345" s="85" t="n"/>
      <c r="K345" s="85" t="n"/>
      <c r="L345" s="85" t="n"/>
      <c r="M345" s="85" t="n"/>
      <c r="N345" s="85" t="n"/>
      <c r="O345" s="85" t="n"/>
      <c r="P345" s="85" t="n"/>
      <c r="Q345" s="85" t="n"/>
      <c r="R345" s="85" t="n"/>
      <c r="S345" s="85" t="n"/>
      <c r="T345" s="85" t="n"/>
      <c r="U345" s="85" t="n"/>
      <c r="V345" s="85" t="n"/>
      <c r="W345" s="85" t="n"/>
      <c r="X345" s="85" t="n"/>
      <c r="Y345" s="85" t="n"/>
      <c r="Z345" s="85" t="n"/>
      <c r="AA345" s="85" t="n"/>
      <c r="AB345" s="85" t="n"/>
      <c r="AC345" s="85" t="n"/>
      <c r="AD345" s="85" t="n"/>
      <c r="AE345" s="85" t="n"/>
      <c r="AF345" s="86" t="n"/>
      <c r="AG345" s="86" t="n"/>
      <c r="AH345" s="86" t="n"/>
      <c r="AI345" s="85" t="n"/>
      <c r="AJ345" s="85" t="n"/>
      <c r="AK345" s="85">
        <f>IF($A345="","",IF($M345&gt;0,"Yes","No"))</f>
        <v/>
      </c>
      <c r="AL345" s="85">
        <f>IF($A345="","",IF(AND($E345="Yes",OR($Y345="No",$Y345="NOT FOUND")),"YES",""))</f>
        <v/>
      </c>
      <c r="AM345" s="85">
        <f>IF($A345="","",TRIM(IF(AND($P345=0,$I345&lt;&gt;"Yes"),"T0-NoPhishResistant ","")&amp;IF($H345="No","NoMFA ","")&amp;IF(AND($P345=0,$M345&gt;0),"T0-Standing ","")&amp;IF(AND($P345=0,$Q345="Group only"),"T0-ViaGroupOnly ","")&amp;IF($W345="Yes","AlsoAzureRBAC ","")))</f>
        <v/>
      </c>
      <c r="AN345" s="85">
        <f>IF($A345="","",IF(AG345="","Not Enrolled",IF(TODAY()&gt;AG345,"Review Overdue",IF(AG345-TODAY()&lt;=30,"Review Due Soon","Active"))))</f>
        <v/>
      </c>
      <c r="AO345" s="85">
        <f>IF($A345="","",IF(AH345="","NOT REVIEWED",IF(TODAY()-AH345&gt;90,"OVERDUE",IF(TODAY()-AH345&gt;76,"Due Soon","Current"))))</f>
        <v/>
      </c>
    </row>
    <row r="346" ht="15" customHeight="1" s="39">
      <c r="A346" s="85" t="n"/>
      <c r="B346" s="85" t="n"/>
      <c r="C346" s="85" t="n"/>
      <c r="D346" s="85" t="n"/>
      <c r="E346" s="85" t="n"/>
      <c r="F346" s="86" t="n"/>
      <c r="G346" s="86" t="n"/>
      <c r="H346" s="85" t="n"/>
      <c r="I346" s="85" t="n"/>
      <c r="J346" s="85" t="n"/>
      <c r="K346" s="85" t="n"/>
      <c r="L346" s="85" t="n"/>
      <c r="M346" s="85" t="n"/>
      <c r="N346" s="85" t="n"/>
      <c r="O346" s="85" t="n"/>
      <c r="P346" s="85" t="n"/>
      <c r="Q346" s="85" t="n"/>
      <c r="R346" s="85" t="n"/>
      <c r="S346" s="85" t="n"/>
      <c r="T346" s="85" t="n"/>
      <c r="U346" s="85" t="n"/>
      <c r="V346" s="85" t="n"/>
      <c r="W346" s="85" t="n"/>
      <c r="X346" s="85" t="n"/>
      <c r="Y346" s="85" t="n"/>
      <c r="Z346" s="85" t="n"/>
      <c r="AA346" s="85" t="n"/>
      <c r="AB346" s="85" t="n"/>
      <c r="AC346" s="85" t="n"/>
      <c r="AD346" s="85" t="n"/>
      <c r="AE346" s="85" t="n"/>
      <c r="AF346" s="86" t="n"/>
      <c r="AG346" s="86" t="n"/>
      <c r="AH346" s="86" t="n"/>
      <c r="AI346" s="85" t="n"/>
      <c r="AJ346" s="85" t="n"/>
      <c r="AK346" s="85">
        <f>IF($A346="","",IF($M346&gt;0,"Yes","No"))</f>
        <v/>
      </c>
      <c r="AL346" s="85">
        <f>IF($A346="","",IF(AND($E346="Yes",OR($Y346="No",$Y346="NOT FOUND")),"YES",""))</f>
        <v/>
      </c>
      <c r="AM346" s="85">
        <f>IF($A346="","",TRIM(IF(AND($P346=0,$I346&lt;&gt;"Yes"),"T0-NoPhishResistant ","")&amp;IF($H346="No","NoMFA ","")&amp;IF(AND($P346=0,$M346&gt;0),"T0-Standing ","")&amp;IF(AND($P346=0,$Q346="Group only"),"T0-ViaGroupOnly ","")&amp;IF($W346="Yes","AlsoAzureRBAC ","")))</f>
        <v/>
      </c>
      <c r="AN346" s="85">
        <f>IF($A346="","",IF(AG346="","Not Enrolled",IF(TODAY()&gt;AG346,"Review Overdue",IF(AG346-TODAY()&lt;=30,"Review Due Soon","Active"))))</f>
        <v/>
      </c>
      <c r="AO346" s="85">
        <f>IF($A346="","",IF(AH346="","NOT REVIEWED",IF(TODAY()-AH346&gt;90,"OVERDUE",IF(TODAY()-AH346&gt;76,"Due Soon","Current"))))</f>
        <v/>
      </c>
    </row>
    <row r="347" ht="15" customHeight="1" s="39">
      <c r="A347" s="85" t="n"/>
      <c r="B347" s="85" t="n"/>
      <c r="C347" s="85" t="n"/>
      <c r="D347" s="85" t="n"/>
      <c r="E347" s="85" t="n"/>
      <c r="F347" s="86" t="n"/>
      <c r="G347" s="86" t="n"/>
      <c r="H347" s="85" t="n"/>
      <c r="I347" s="85" t="n"/>
      <c r="J347" s="85" t="n"/>
      <c r="K347" s="85" t="n"/>
      <c r="L347" s="85" t="n"/>
      <c r="M347" s="85" t="n"/>
      <c r="N347" s="85" t="n"/>
      <c r="O347" s="85" t="n"/>
      <c r="P347" s="85" t="n"/>
      <c r="Q347" s="85" t="n"/>
      <c r="R347" s="85" t="n"/>
      <c r="S347" s="85" t="n"/>
      <c r="T347" s="85" t="n"/>
      <c r="U347" s="85" t="n"/>
      <c r="V347" s="85" t="n"/>
      <c r="W347" s="85" t="n"/>
      <c r="X347" s="85" t="n"/>
      <c r="Y347" s="85" t="n"/>
      <c r="Z347" s="85" t="n"/>
      <c r="AA347" s="85" t="n"/>
      <c r="AB347" s="85" t="n"/>
      <c r="AC347" s="85" t="n"/>
      <c r="AD347" s="85" t="n"/>
      <c r="AE347" s="85" t="n"/>
      <c r="AF347" s="86" t="n"/>
      <c r="AG347" s="86" t="n"/>
      <c r="AH347" s="86" t="n"/>
      <c r="AI347" s="85" t="n"/>
      <c r="AJ347" s="85" t="n"/>
      <c r="AK347" s="85">
        <f>IF($A347="","",IF($M347&gt;0,"Yes","No"))</f>
        <v/>
      </c>
      <c r="AL347" s="85">
        <f>IF($A347="","",IF(AND($E347="Yes",OR($Y347="No",$Y347="NOT FOUND")),"YES",""))</f>
        <v/>
      </c>
      <c r="AM347" s="85">
        <f>IF($A347="","",TRIM(IF(AND($P347=0,$I347&lt;&gt;"Yes"),"T0-NoPhishResistant ","")&amp;IF($H347="No","NoMFA ","")&amp;IF(AND($P347=0,$M347&gt;0),"T0-Standing ","")&amp;IF(AND($P347=0,$Q347="Group only"),"T0-ViaGroupOnly ","")&amp;IF($W347="Yes","AlsoAzureRBAC ","")))</f>
        <v/>
      </c>
      <c r="AN347" s="85">
        <f>IF($A347="","",IF(AG347="","Not Enrolled",IF(TODAY()&gt;AG347,"Review Overdue",IF(AG347-TODAY()&lt;=30,"Review Due Soon","Active"))))</f>
        <v/>
      </c>
      <c r="AO347" s="85">
        <f>IF($A347="","",IF(AH347="","NOT REVIEWED",IF(TODAY()-AH347&gt;90,"OVERDUE",IF(TODAY()-AH347&gt;76,"Due Soon","Current"))))</f>
        <v/>
      </c>
    </row>
    <row r="348" ht="15" customHeight="1" s="39">
      <c r="A348" s="85" t="n"/>
      <c r="B348" s="85" t="n"/>
      <c r="C348" s="85" t="n"/>
      <c r="D348" s="85" t="n"/>
      <c r="E348" s="85" t="n"/>
      <c r="F348" s="86" t="n"/>
      <c r="G348" s="86" t="n"/>
      <c r="H348" s="85" t="n"/>
      <c r="I348" s="85" t="n"/>
      <c r="J348" s="85" t="n"/>
      <c r="K348" s="85" t="n"/>
      <c r="L348" s="85" t="n"/>
      <c r="M348" s="85" t="n"/>
      <c r="N348" s="85" t="n"/>
      <c r="O348" s="85" t="n"/>
      <c r="P348" s="85" t="n"/>
      <c r="Q348" s="85" t="n"/>
      <c r="R348" s="85" t="n"/>
      <c r="S348" s="85" t="n"/>
      <c r="T348" s="85" t="n"/>
      <c r="U348" s="85" t="n"/>
      <c r="V348" s="85" t="n"/>
      <c r="W348" s="85" t="n"/>
      <c r="X348" s="85" t="n"/>
      <c r="Y348" s="85" t="n"/>
      <c r="Z348" s="85" t="n"/>
      <c r="AA348" s="85" t="n"/>
      <c r="AB348" s="85" t="n"/>
      <c r="AC348" s="85" t="n"/>
      <c r="AD348" s="85" t="n"/>
      <c r="AE348" s="85" t="n"/>
      <c r="AF348" s="86" t="n"/>
      <c r="AG348" s="86" t="n"/>
      <c r="AH348" s="86" t="n"/>
      <c r="AI348" s="85" t="n"/>
      <c r="AJ348" s="85" t="n"/>
      <c r="AK348" s="85">
        <f>IF($A348="","",IF($M348&gt;0,"Yes","No"))</f>
        <v/>
      </c>
      <c r="AL348" s="85">
        <f>IF($A348="","",IF(AND($E348="Yes",OR($Y348="No",$Y348="NOT FOUND")),"YES",""))</f>
        <v/>
      </c>
      <c r="AM348" s="85">
        <f>IF($A348="","",TRIM(IF(AND($P348=0,$I348&lt;&gt;"Yes"),"T0-NoPhishResistant ","")&amp;IF($H348="No","NoMFA ","")&amp;IF(AND($P348=0,$M348&gt;0),"T0-Standing ","")&amp;IF(AND($P348=0,$Q348="Group only"),"T0-ViaGroupOnly ","")&amp;IF($W348="Yes","AlsoAzureRBAC ","")))</f>
        <v/>
      </c>
      <c r="AN348" s="85">
        <f>IF($A348="","",IF(AG348="","Not Enrolled",IF(TODAY()&gt;AG348,"Review Overdue",IF(AG348-TODAY()&lt;=30,"Review Due Soon","Active"))))</f>
        <v/>
      </c>
      <c r="AO348" s="85">
        <f>IF($A348="","",IF(AH348="","NOT REVIEWED",IF(TODAY()-AH348&gt;90,"OVERDUE",IF(TODAY()-AH348&gt;76,"Due Soon","Current"))))</f>
        <v/>
      </c>
    </row>
    <row r="349" ht="15" customHeight="1" s="39">
      <c r="A349" s="85" t="n"/>
      <c r="B349" s="85" t="n"/>
      <c r="C349" s="85" t="n"/>
      <c r="D349" s="85" t="n"/>
      <c r="E349" s="85" t="n"/>
      <c r="F349" s="86" t="n"/>
      <c r="G349" s="86" t="n"/>
      <c r="H349" s="85" t="n"/>
      <c r="I349" s="85" t="n"/>
      <c r="J349" s="85" t="n"/>
      <c r="K349" s="85" t="n"/>
      <c r="L349" s="85" t="n"/>
      <c r="M349" s="85" t="n"/>
      <c r="N349" s="85" t="n"/>
      <c r="O349" s="85" t="n"/>
      <c r="P349" s="85" t="n"/>
      <c r="Q349" s="85" t="n"/>
      <c r="R349" s="85" t="n"/>
      <c r="S349" s="85" t="n"/>
      <c r="T349" s="85" t="n"/>
      <c r="U349" s="85" t="n"/>
      <c r="V349" s="85" t="n"/>
      <c r="W349" s="85" t="n"/>
      <c r="X349" s="85" t="n"/>
      <c r="Y349" s="85" t="n"/>
      <c r="Z349" s="85" t="n"/>
      <c r="AA349" s="85" t="n"/>
      <c r="AB349" s="85" t="n"/>
      <c r="AC349" s="85" t="n"/>
      <c r="AD349" s="85" t="n"/>
      <c r="AE349" s="85" t="n"/>
      <c r="AF349" s="86" t="n"/>
      <c r="AG349" s="86" t="n"/>
      <c r="AH349" s="86" t="n"/>
      <c r="AI349" s="85" t="n"/>
      <c r="AJ349" s="85" t="n"/>
      <c r="AK349" s="85">
        <f>IF($A349="","",IF($M349&gt;0,"Yes","No"))</f>
        <v/>
      </c>
      <c r="AL349" s="85">
        <f>IF($A349="","",IF(AND($E349="Yes",OR($Y349="No",$Y349="NOT FOUND")),"YES",""))</f>
        <v/>
      </c>
      <c r="AM349" s="85">
        <f>IF($A349="","",TRIM(IF(AND($P349=0,$I349&lt;&gt;"Yes"),"T0-NoPhishResistant ","")&amp;IF($H349="No","NoMFA ","")&amp;IF(AND($P349=0,$M349&gt;0),"T0-Standing ","")&amp;IF(AND($P349=0,$Q349="Group only"),"T0-ViaGroupOnly ","")&amp;IF($W349="Yes","AlsoAzureRBAC ","")))</f>
        <v/>
      </c>
      <c r="AN349" s="85">
        <f>IF($A349="","",IF(AG349="","Not Enrolled",IF(TODAY()&gt;AG349,"Review Overdue",IF(AG349-TODAY()&lt;=30,"Review Due Soon","Active"))))</f>
        <v/>
      </c>
      <c r="AO349" s="85">
        <f>IF($A349="","",IF(AH349="","NOT REVIEWED",IF(TODAY()-AH349&gt;90,"OVERDUE",IF(TODAY()-AH349&gt;76,"Due Soon","Current"))))</f>
        <v/>
      </c>
    </row>
    <row r="350" ht="15" customHeight="1" s="39">
      <c r="A350" s="85" t="n"/>
      <c r="B350" s="85" t="n"/>
      <c r="C350" s="85" t="n"/>
      <c r="D350" s="85" t="n"/>
      <c r="E350" s="85" t="n"/>
      <c r="F350" s="86" t="n"/>
      <c r="G350" s="86" t="n"/>
      <c r="H350" s="85" t="n"/>
      <c r="I350" s="85" t="n"/>
      <c r="J350" s="85" t="n"/>
      <c r="K350" s="85" t="n"/>
      <c r="L350" s="85" t="n"/>
      <c r="M350" s="85" t="n"/>
      <c r="N350" s="85" t="n"/>
      <c r="O350" s="85" t="n"/>
      <c r="P350" s="85" t="n"/>
      <c r="Q350" s="85" t="n"/>
      <c r="R350" s="85" t="n"/>
      <c r="S350" s="85" t="n"/>
      <c r="T350" s="85" t="n"/>
      <c r="U350" s="85" t="n"/>
      <c r="V350" s="85" t="n"/>
      <c r="W350" s="85" t="n"/>
      <c r="X350" s="85" t="n"/>
      <c r="Y350" s="85" t="n"/>
      <c r="Z350" s="85" t="n"/>
      <c r="AA350" s="85" t="n"/>
      <c r="AB350" s="85" t="n"/>
      <c r="AC350" s="85" t="n"/>
      <c r="AD350" s="85" t="n"/>
      <c r="AE350" s="85" t="n"/>
      <c r="AF350" s="86" t="n"/>
      <c r="AG350" s="86" t="n"/>
      <c r="AH350" s="86" t="n"/>
      <c r="AI350" s="85" t="n"/>
      <c r="AJ350" s="85" t="n"/>
      <c r="AK350" s="85">
        <f>IF($A350="","",IF($M350&gt;0,"Yes","No"))</f>
        <v/>
      </c>
      <c r="AL350" s="85">
        <f>IF($A350="","",IF(AND($E350="Yes",OR($Y350="No",$Y350="NOT FOUND")),"YES",""))</f>
        <v/>
      </c>
      <c r="AM350" s="85">
        <f>IF($A350="","",TRIM(IF(AND($P350=0,$I350&lt;&gt;"Yes"),"T0-NoPhishResistant ","")&amp;IF($H350="No","NoMFA ","")&amp;IF(AND($P350=0,$M350&gt;0),"T0-Standing ","")&amp;IF(AND($P350=0,$Q350="Group only"),"T0-ViaGroupOnly ","")&amp;IF($W350="Yes","AlsoAzureRBAC ","")))</f>
        <v/>
      </c>
      <c r="AN350" s="85">
        <f>IF($A350="","",IF(AG350="","Not Enrolled",IF(TODAY()&gt;AG350,"Review Overdue",IF(AG350-TODAY()&lt;=30,"Review Due Soon","Active"))))</f>
        <v/>
      </c>
      <c r="AO350" s="85">
        <f>IF($A350="","",IF(AH350="","NOT REVIEWED",IF(TODAY()-AH350&gt;90,"OVERDUE",IF(TODAY()-AH350&gt;76,"Due Soon","Current"))))</f>
        <v/>
      </c>
    </row>
    <row r="351" ht="15" customHeight="1" s="39">
      <c r="A351" s="85" t="n"/>
      <c r="B351" s="85" t="n"/>
      <c r="C351" s="85" t="n"/>
      <c r="D351" s="85" t="n"/>
      <c r="E351" s="85" t="n"/>
      <c r="F351" s="86" t="n"/>
      <c r="G351" s="86" t="n"/>
      <c r="H351" s="85" t="n"/>
      <c r="I351" s="85" t="n"/>
      <c r="J351" s="85" t="n"/>
      <c r="K351" s="85" t="n"/>
      <c r="L351" s="85" t="n"/>
      <c r="M351" s="85" t="n"/>
      <c r="N351" s="85" t="n"/>
      <c r="O351" s="85" t="n"/>
      <c r="P351" s="85" t="n"/>
      <c r="Q351" s="85" t="n"/>
      <c r="R351" s="85" t="n"/>
      <c r="S351" s="85" t="n"/>
      <c r="T351" s="85" t="n"/>
      <c r="U351" s="85" t="n"/>
      <c r="V351" s="85" t="n"/>
      <c r="W351" s="85" t="n"/>
      <c r="X351" s="85" t="n"/>
      <c r="Y351" s="85" t="n"/>
      <c r="Z351" s="85" t="n"/>
      <c r="AA351" s="85" t="n"/>
      <c r="AB351" s="85" t="n"/>
      <c r="AC351" s="85" t="n"/>
      <c r="AD351" s="85" t="n"/>
      <c r="AE351" s="85" t="n"/>
      <c r="AF351" s="86" t="n"/>
      <c r="AG351" s="86" t="n"/>
      <c r="AH351" s="86" t="n"/>
      <c r="AI351" s="85" t="n"/>
      <c r="AJ351" s="85" t="n"/>
      <c r="AK351" s="85">
        <f>IF($A351="","",IF($M351&gt;0,"Yes","No"))</f>
        <v/>
      </c>
      <c r="AL351" s="85">
        <f>IF($A351="","",IF(AND($E351="Yes",OR($Y351="No",$Y351="NOT FOUND")),"YES",""))</f>
        <v/>
      </c>
      <c r="AM351" s="85">
        <f>IF($A351="","",TRIM(IF(AND($P351=0,$I351&lt;&gt;"Yes"),"T0-NoPhishResistant ","")&amp;IF($H351="No","NoMFA ","")&amp;IF(AND($P351=0,$M351&gt;0),"T0-Standing ","")&amp;IF(AND($P351=0,$Q351="Group only"),"T0-ViaGroupOnly ","")&amp;IF($W351="Yes","AlsoAzureRBAC ","")))</f>
        <v/>
      </c>
      <c r="AN351" s="85">
        <f>IF($A351="","",IF(AG351="","Not Enrolled",IF(TODAY()&gt;AG351,"Review Overdue",IF(AG351-TODAY()&lt;=30,"Review Due Soon","Active"))))</f>
        <v/>
      </c>
      <c r="AO351" s="85">
        <f>IF($A351="","",IF(AH351="","NOT REVIEWED",IF(TODAY()-AH351&gt;90,"OVERDUE",IF(TODAY()-AH351&gt;76,"Due Soon","Current"))))</f>
        <v/>
      </c>
    </row>
    <row r="352" ht="15" customHeight="1" s="39">
      <c r="A352" s="85" t="n"/>
      <c r="B352" s="85" t="n"/>
      <c r="C352" s="85" t="n"/>
      <c r="D352" s="85" t="n"/>
      <c r="E352" s="85" t="n"/>
      <c r="F352" s="86" t="n"/>
      <c r="G352" s="86" t="n"/>
      <c r="H352" s="85" t="n"/>
      <c r="I352" s="85" t="n"/>
      <c r="J352" s="85" t="n"/>
      <c r="K352" s="85" t="n"/>
      <c r="L352" s="85" t="n"/>
      <c r="M352" s="85" t="n"/>
      <c r="N352" s="85" t="n"/>
      <c r="O352" s="85" t="n"/>
      <c r="P352" s="85" t="n"/>
      <c r="Q352" s="85" t="n"/>
      <c r="R352" s="85" t="n"/>
      <c r="S352" s="85" t="n"/>
      <c r="T352" s="85" t="n"/>
      <c r="U352" s="85" t="n"/>
      <c r="V352" s="85" t="n"/>
      <c r="W352" s="85" t="n"/>
      <c r="X352" s="85" t="n"/>
      <c r="Y352" s="85" t="n"/>
      <c r="Z352" s="85" t="n"/>
      <c r="AA352" s="85" t="n"/>
      <c r="AB352" s="85" t="n"/>
      <c r="AC352" s="85" t="n"/>
      <c r="AD352" s="85" t="n"/>
      <c r="AE352" s="85" t="n"/>
      <c r="AF352" s="86" t="n"/>
      <c r="AG352" s="86" t="n"/>
      <c r="AH352" s="86" t="n"/>
      <c r="AI352" s="85" t="n"/>
      <c r="AJ352" s="85" t="n"/>
      <c r="AK352" s="85">
        <f>IF($A352="","",IF($M352&gt;0,"Yes","No"))</f>
        <v/>
      </c>
      <c r="AL352" s="85">
        <f>IF($A352="","",IF(AND($E352="Yes",OR($Y352="No",$Y352="NOT FOUND")),"YES",""))</f>
        <v/>
      </c>
      <c r="AM352" s="85">
        <f>IF($A352="","",TRIM(IF(AND($P352=0,$I352&lt;&gt;"Yes"),"T0-NoPhishResistant ","")&amp;IF($H352="No","NoMFA ","")&amp;IF(AND($P352=0,$M352&gt;0),"T0-Standing ","")&amp;IF(AND($P352=0,$Q352="Group only"),"T0-ViaGroupOnly ","")&amp;IF($W352="Yes","AlsoAzureRBAC ","")))</f>
        <v/>
      </c>
      <c r="AN352" s="85">
        <f>IF($A352="","",IF(AG352="","Not Enrolled",IF(TODAY()&gt;AG352,"Review Overdue",IF(AG352-TODAY()&lt;=30,"Review Due Soon","Active"))))</f>
        <v/>
      </c>
      <c r="AO352" s="85">
        <f>IF($A352="","",IF(AH352="","NOT REVIEWED",IF(TODAY()-AH352&gt;90,"OVERDUE",IF(TODAY()-AH352&gt;76,"Due Soon","Current"))))</f>
        <v/>
      </c>
    </row>
    <row r="353" ht="15" customHeight="1" s="39">
      <c r="A353" s="85" t="n"/>
      <c r="B353" s="85" t="n"/>
      <c r="C353" s="85" t="n"/>
      <c r="D353" s="85" t="n"/>
      <c r="E353" s="85" t="n"/>
      <c r="F353" s="86" t="n"/>
      <c r="G353" s="86" t="n"/>
      <c r="H353" s="85" t="n"/>
      <c r="I353" s="85" t="n"/>
      <c r="J353" s="85" t="n"/>
      <c r="K353" s="85" t="n"/>
      <c r="L353" s="85" t="n"/>
      <c r="M353" s="85" t="n"/>
      <c r="N353" s="85" t="n"/>
      <c r="O353" s="85" t="n"/>
      <c r="P353" s="85" t="n"/>
      <c r="Q353" s="85" t="n"/>
      <c r="R353" s="85" t="n"/>
      <c r="S353" s="85" t="n"/>
      <c r="T353" s="85" t="n"/>
      <c r="U353" s="85" t="n"/>
      <c r="V353" s="85" t="n"/>
      <c r="W353" s="85" t="n"/>
      <c r="X353" s="85" t="n"/>
      <c r="Y353" s="85" t="n"/>
      <c r="Z353" s="85" t="n"/>
      <c r="AA353" s="85" t="n"/>
      <c r="AB353" s="85" t="n"/>
      <c r="AC353" s="85" t="n"/>
      <c r="AD353" s="85" t="n"/>
      <c r="AE353" s="85" t="n"/>
      <c r="AF353" s="86" t="n"/>
      <c r="AG353" s="86" t="n"/>
      <c r="AH353" s="86" t="n"/>
      <c r="AI353" s="85" t="n"/>
      <c r="AJ353" s="85" t="n"/>
      <c r="AK353" s="85">
        <f>IF($A353="","",IF($M353&gt;0,"Yes","No"))</f>
        <v/>
      </c>
      <c r="AL353" s="85">
        <f>IF($A353="","",IF(AND($E353="Yes",OR($Y353="No",$Y353="NOT FOUND")),"YES",""))</f>
        <v/>
      </c>
      <c r="AM353" s="85">
        <f>IF($A353="","",TRIM(IF(AND($P353=0,$I353&lt;&gt;"Yes"),"T0-NoPhishResistant ","")&amp;IF($H353="No","NoMFA ","")&amp;IF(AND($P353=0,$M353&gt;0),"T0-Standing ","")&amp;IF(AND($P353=0,$Q353="Group only"),"T0-ViaGroupOnly ","")&amp;IF($W353="Yes","AlsoAzureRBAC ","")))</f>
        <v/>
      </c>
      <c r="AN353" s="85">
        <f>IF($A353="","",IF(AG353="","Not Enrolled",IF(TODAY()&gt;AG353,"Review Overdue",IF(AG353-TODAY()&lt;=30,"Review Due Soon","Active"))))</f>
        <v/>
      </c>
      <c r="AO353" s="85">
        <f>IF($A353="","",IF(AH353="","NOT REVIEWED",IF(TODAY()-AH353&gt;90,"OVERDUE",IF(TODAY()-AH353&gt;76,"Due Soon","Current"))))</f>
        <v/>
      </c>
    </row>
    <row r="354" ht="15" customHeight="1" s="39">
      <c r="A354" s="85" t="n"/>
      <c r="B354" s="85" t="n"/>
      <c r="C354" s="85" t="n"/>
      <c r="D354" s="85" t="n"/>
      <c r="E354" s="85" t="n"/>
      <c r="F354" s="86" t="n"/>
      <c r="G354" s="86" t="n"/>
      <c r="H354" s="85" t="n"/>
      <c r="I354" s="85" t="n"/>
      <c r="J354" s="85" t="n"/>
      <c r="K354" s="85" t="n"/>
      <c r="L354" s="85" t="n"/>
      <c r="M354" s="85" t="n"/>
      <c r="N354" s="85" t="n"/>
      <c r="O354" s="85" t="n"/>
      <c r="P354" s="85" t="n"/>
      <c r="Q354" s="85" t="n"/>
      <c r="R354" s="85" t="n"/>
      <c r="S354" s="85" t="n"/>
      <c r="T354" s="85" t="n"/>
      <c r="U354" s="85" t="n"/>
      <c r="V354" s="85" t="n"/>
      <c r="W354" s="85" t="n"/>
      <c r="X354" s="85" t="n"/>
      <c r="Y354" s="85" t="n"/>
      <c r="Z354" s="85" t="n"/>
      <c r="AA354" s="85" t="n"/>
      <c r="AB354" s="85" t="n"/>
      <c r="AC354" s="85" t="n"/>
      <c r="AD354" s="85" t="n"/>
      <c r="AE354" s="85" t="n"/>
      <c r="AF354" s="86" t="n"/>
      <c r="AG354" s="86" t="n"/>
      <c r="AH354" s="86" t="n"/>
      <c r="AI354" s="85" t="n"/>
      <c r="AJ354" s="85" t="n"/>
      <c r="AK354" s="85">
        <f>IF($A354="","",IF($M354&gt;0,"Yes","No"))</f>
        <v/>
      </c>
      <c r="AL354" s="85">
        <f>IF($A354="","",IF(AND($E354="Yes",OR($Y354="No",$Y354="NOT FOUND")),"YES",""))</f>
        <v/>
      </c>
      <c r="AM354" s="85">
        <f>IF($A354="","",TRIM(IF(AND($P354=0,$I354&lt;&gt;"Yes"),"T0-NoPhishResistant ","")&amp;IF($H354="No","NoMFA ","")&amp;IF(AND($P354=0,$M354&gt;0),"T0-Standing ","")&amp;IF(AND($P354=0,$Q354="Group only"),"T0-ViaGroupOnly ","")&amp;IF($W354="Yes","AlsoAzureRBAC ","")))</f>
        <v/>
      </c>
      <c r="AN354" s="85">
        <f>IF($A354="","",IF(AG354="","Not Enrolled",IF(TODAY()&gt;AG354,"Review Overdue",IF(AG354-TODAY()&lt;=30,"Review Due Soon","Active"))))</f>
        <v/>
      </c>
      <c r="AO354" s="85">
        <f>IF($A354="","",IF(AH354="","NOT REVIEWED",IF(TODAY()-AH354&gt;90,"OVERDUE",IF(TODAY()-AH354&gt;76,"Due Soon","Current"))))</f>
        <v/>
      </c>
    </row>
    <row r="355" ht="15" customHeight="1" s="39">
      <c r="A355" s="85" t="n"/>
      <c r="B355" s="85" t="n"/>
      <c r="C355" s="85" t="n"/>
      <c r="D355" s="85" t="n"/>
      <c r="E355" s="85" t="n"/>
      <c r="F355" s="86" t="n"/>
      <c r="G355" s="86" t="n"/>
      <c r="H355" s="85" t="n"/>
      <c r="I355" s="85" t="n"/>
      <c r="J355" s="85" t="n"/>
      <c r="K355" s="85" t="n"/>
      <c r="L355" s="85" t="n"/>
      <c r="M355" s="85" t="n"/>
      <c r="N355" s="85" t="n"/>
      <c r="O355" s="85" t="n"/>
      <c r="P355" s="85" t="n"/>
      <c r="Q355" s="85" t="n"/>
      <c r="R355" s="85" t="n"/>
      <c r="S355" s="85" t="n"/>
      <c r="T355" s="85" t="n"/>
      <c r="U355" s="85" t="n"/>
      <c r="V355" s="85" t="n"/>
      <c r="W355" s="85" t="n"/>
      <c r="X355" s="85" t="n"/>
      <c r="Y355" s="85" t="n"/>
      <c r="Z355" s="85" t="n"/>
      <c r="AA355" s="85" t="n"/>
      <c r="AB355" s="85" t="n"/>
      <c r="AC355" s="85" t="n"/>
      <c r="AD355" s="85" t="n"/>
      <c r="AE355" s="85" t="n"/>
      <c r="AF355" s="86" t="n"/>
      <c r="AG355" s="86" t="n"/>
      <c r="AH355" s="86" t="n"/>
      <c r="AI355" s="85" t="n"/>
      <c r="AJ355" s="85" t="n"/>
      <c r="AK355" s="85">
        <f>IF($A355="","",IF($M355&gt;0,"Yes","No"))</f>
        <v/>
      </c>
      <c r="AL355" s="85">
        <f>IF($A355="","",IF(AND($E355="Yes",OR($Y355="No",$Y355="NOT FOUND")),"YES",""))</f>
        <v/>
      </c>
      <c r="AM355" s="85">
        <f>IF($A355="","",TRIM(IF(AND($P355=0,$I355&lt;&gt;"Yes"),"T0-NoPhishResistant ","")&amp;IF($H355="No","NoMFA ","")&amp;IF(AND($P355=0,$M355&gt;0),"T0-Standing ","")&amp;IF(AND($P355=0,$Q355="Group only"),"T0-ViaGroupOnly ","")&amp;IF($W355="Yes","AlsoAzureRBAC ","")))</f>
        <v/>
      </c>
      <c r="AN355" s="85">
        <f>IF($A355="","",IF(AG355="","Not Enrolled",IF(TODAY()&gt;AG355,"Review Overdue",IF(AG355-TODAY()&lt;=30,"Review Due Soon","Active"))))</f>
        <v/>
      </c>
      <c r="AO355" s="85">
        <f>IF($A355="","",IF(AH355="","NOT REVIEWED",IF(TODAY()-AH355&gt;90,"OVERDUE",IF(TODAY()-AH355&gt;76,"Due Soon","Current"))))</f>
        <v/>
      </c>
    </row>
    <row r="356" ht="15" customHeight="1" s="39">
      <c r="A356" s="85" t="n"/>
      <c r="B356" s="85" t="n"/>
      <c r="C356" s="85" t="n"/>
      <c r="D356" s="85" t="n"/>
      <c r="E356" s="85" t="n"/>
      <c r="F356" s="86" t="n"/>
      <c r="G356" s="86" t="n"/>
      <c r="H356" s="85" t="n"/>
      <c r="I356" s="85" t="n"/>
      <c r="J356" s="85" t="n"/>
      <c r="K356" s="85" t="n"/>
      <c r="L356" s="85" t="n"/>
      <c r="M356" s="85" t="n"/>
      <c r="N356" s="85" t="n"/>
      <c r="O356" s="85" t="n"/>
      <c r="P356" s="85" t="n"/>
      <c r="Q356" s="85" t="n"/>
      <c r="R356" s="85" t="n"/>
      <c r="S356" s="85" t="n"/>
      <c r="T356" s="85" t="n"/>
      <c r="U356" s="85" t="n"/>
      <c r="V356" s="85" t="n"/>
      <c r="W356" s="85" t="n"/>
      <c r="X356" s="85" t="n"/>
      <c r="Y356" s="85" t="n"/>
      <c r="Z356" s="85" t="n"/>
      <c r="AA356" s="85" t="n"/>
      <c r="AB356" s="85" t="n"/>
      <c r="AC356" s="85" t="n"/>
      <c r="AD356" s="85" t="n"/>
      <c r="AE356" s="85" t="n"/>
      <c r="AF356" s="86" t="n"/>
      <c r="AG356" s="86" t="n"/>
      <c r="AH356" s="86" t="n"/>
      <c r="AI356" s="85" t="n"/>
      <c r="AJ356" s="85" t="n"/>
      <c r="AK356" s="85">
        <f>IF($A356="","",IF($M356&gt;0,"Yes","No"))</f>
        <v/>
      </c>
      <c r="AL356" s="85">
        <f>IF($A356="","",IF(AND($E356="Yes",OR($Y356="No",$Y356="NOT FOUND")),"YES",""))</f>
        <v/>
      </c>
      <c r="AM356" s="85">
        <f>IF($A356="","",TRIM(IF(AND($P356=0,$I356&lt;&gt;"Yes"),"T0-NoPhishResistant ","")&amp;IF($H356="No","NoMFA ","")&amp;IF(AND($P356=0,$M356&gt;0),"T0-Standing ","")&amp;IF(AND($P356=0,$Q356="Group only"),"T0-ViaGroupOnly ","")&amp;IF($W356="Yes","AlsoAzureRBAC ","")))</f>
        <v/>
      </c>
      <c r="AN356" s="85">
        <f>IF($A356="","",IF(AG356="","Not Enrolled",IF(TODAY()&gt;AG356,"Review Overdue",IF(AG356-TODAY()&lt;=30,"Review Due Soon","Active"))))</f>
        <v/>
      </c>
      <c r="AO356" s="85">
        <f>IF($A356="","",IF(AH356="","NOT REVIEWED",IF(TODAY()-AH356&gt;90,"OVERDUE",IF(TODAY()-AH356&gt;76,"Due Soon","Current"))))</f>
        <v/>
      </c>
    </row>
    <row r="357" ht="15" customHeight="1" s="39">
      <c r="A357" s="85" t="n"/>
      <c r="B357" s="85" t="n"/>
      <c r="C357" s="85" t="n"/>
      <c r="D357" s="85" t="n"/>
      <c r="E357" s="85" t="n"/>
      <c r="F357" s="86" t="n"/>
      <c r="G357" s="86" t="n"/>
      <c r="H357" s="85" t="n"/>
      <c r="I357" s="85" t="n"/>
      <c r="J357" s="85" t="n"/>
      <c r="K357" s="85" t="n"/>
      <c r="L357" s="85" t="n"/>
      <c r="M357" s="85" t="n"/>
      <c r="N357" s="85" t="n"/>
      <c r="O357" s="85" t="n"/>
      <c r="P357" s="85" t="n"/>
      <c r="Q357" s="85" t="n"/>
      <c r="R357" s="85" t="n"/>
      <c r="S357" s="85" t="n"/>
      <c r="T357" s="85" t="n"/>
      <c r="U357" s="85" t="n"/>
      <c r="V357" s="85" t="n"/>
      <c r="W357" s="85" t="n"/>
      <c r="X357" s="85" t="n"/>
      <c r="Y357" s="85" t="n"/>
      <c r="Z357" s="85" t="n"/>
      <c r="AA357" s="85" t="n"/>
      <c r="AB357" s="85" t="n"/>
      <c r="AC357" s="85" t="n"/>
      <c r="AD357" s="85" t="n"/>
      <c r="AE357" s="85" t="n"/>
      <c r="AF357" s="86" t="n"/>
      <c r="AG357" s="86" t="n"/>
      <c r="AH357" s="86" t="n"/>
      <c r="AI357" s="85" t="n"/>
      <c r="AJ357" s="85" t="n"/>
      <c r="AK357" s="85">
        <f>IF($A357="","",IF($M357&gt;0,"Yes","No"))</f>
        <v/>
      </c>
      <c r="AL357" s="85">
        <f>IF($A357="","",IF(AND($E357="Yes",OR($Y357="No",$Y357="NOT FOUND")),"YES",""))</f>
        <v/>
      </c>
      <c r="AM357" s="85">
        <f>IF($A357="","",TRIM(IF(AND($P357=0,$I357&lt;&gt;"Yes"),"T0-NoPhishResistant ","")&amp;IF($H357="No","NoMFA ","")&amp;IF(AND($P357=0,$M357&gt;0),"T0-Standing ","")&amp;IF(AND($P357=0,$Q357="Group only"),"T0-ViaGroupOnly ","")&amp;IF($W357="Yes","AlsoAzureRBAC ","")))</f>
        <v/>
      </c>
      <c r="AN357" s="85">
        <f>IF($A357="","",IF(AG357="","Not Enrolled",IF(TODAY()&gt;AG357,"Review Overdue",IF(AG357-TODAY()&lt;=30,"Review Due Soon","Active"))))</f>
        <v/>
      </c>
      <c r="AO357" s="85">
        <f>IF($A357="","",IF(AH357="","NOT REVIEWED",IF(TODAY()-AH357&gt;90,"OVERDUE",IF(TODAY()-AH357&gt;76,"Due Soon","Current"))))</f>
        <v/>
      </c>
    </row>
    <row r="358" ht="15" customHeight="1" s="39">
      <c r="A358" s="85" t="n"/>
      <c r="B358" s="85" t="n"/>
      <c r="C358" s="85" t="n"/>
      <c r="D358" s="85" t="n"/>
      <c r="E358" s="85" t="n"/>
      <c r="F358" s="86" t="n"/>
      <c r="G358" s="86" t="n"/>
      <c r="H358" s="85" t="n"/>
      <c r="I358" s="85" t="n"/>
      <c r="J358" s="85" t="n"/>
      <c r="K358" s="85" t="n"/>
      <c r="L358" s="85" t="n"/>
      <c r="M358" s="85" t="n"/>
      <c r="N358" s="85" t="n"/>
      <c r="O358" s="85" t="n"/>
      <c r="P358" s="85" t="n"/>
      <c r="Q358" s="85" t="n"/>
      <c r="R358" s="85" t="n"/>
      <c r="S358" s="85" t="n"/>
      <c r="T358" s="85" t="n"/>
      <c r="U358" s="85" t="n"/>
      <c r="V358" s="85" t="n"/>
      <c r="W358" s="85" t="n"/>
      <c r="X358" s="85" t="n"/>
      <c r="Y358" s="85" t="n"/>
      <c r="Z358" s="85" t="n"/>
      <c r="AA358" s="85" t="n"/>
      <c r="AB358" s="85" t="n"/>
      <c r="AC358" s="85" t="n"/>
      <c r="AD358" s="85" t="n"/>
      <c r="AE358" s="85" t="n"/>
      <c r="AF358" s="86" t="n"/>
      <c r="AG358" s="86" t="n"/>
      <c r="AH358" s="86" t="n"/>
      <c r="AI358" s="85" t="n"/>
      <c r="AJ358" s="85" t="n"/>
      <c r="AK358" s="85">
        <f>IF($A358="","",IF($M358&gt;0,"Yes","No"))</f>
        <v/>
      </c>
      <c r="AL358" s="85">
        <f>IF($A358="","",IF(AND($E358="Yes",OR($Y358="No",$Y358="NOT FOUND")),"YES",""))</f>
        <v/>
      </c>
      <c r="AM358" s="85">
        <f>IF($A358="","",TRIM(IF(AND($P358=0,$I358&lt;&gt;"Yes"),"T0-NoPhishResistant ","")&amp;IF($H358="No","NoMFA ","")&amp;IF(AND($P358=0,$M358&gt;0),"T0-Standing ","")&amp;IF(AND($P358=0,$Q358="Group only"),"T0-ViaGroupOnly ","")&amp;IF($W358="Yes","AlsoAzureRBAC ","")))</f>
        <v/>
      </c>
      <c r="AN358" s="85">
        <f>IF($A358="","",IF(AG358="","Not Enrolled",IF(TODAY()&gt;AG358,"Review Overdue",IF(AG358-TODAY()&lt;=30,"Review Due Soon","Active"))))</f>
        <v/>
      </c>
      <c r="AO358" s="85">
        <f>IF($A358="","",IF(AH358="","NOT REVIEWED",IF(TODAY()-AH358&gt;90,"OVERDUE",IF(TODAY()-AH358&gt;76,"Due Soon","Current"))))</f>
        <v/>
      </c>
    </row>
    <row r="359" ht="15" customHeight="1" s="39">
      <c r="A359" s="85" t="n"/>
      <c r="B359" s="85" t="n"/>
      <c r="C359" s="85" t="n"/>
      <c r="D359" s="85" t="n"/>
      <c r="E359" s="85" t="n"/>
      <c r="F359" s="86" t="n"/>
      <c r="G359" s="86" t="n"/>
      <c r="H359" s="85" t="n"/>
      <c r="I359" s="85" t="n"/>
      <c r="J359" s="85" t="n"/>
      <c r="K359" s="85" t="n"/>
      <c r="L359" s="85" t="n"/>
      <c r="M359" s="85" t="n"/>
      <c r="N359" s="85" t="n"/>
      <c r="O359" s="85" t="n"/>
      <c r="P359" s="85" t="n"/>
      <c r="Q359" s="85" t="n"/>
      <c r="R359" s="85" t="n"/>
      <c r="S359" s="85" t="n"/>
      <c r="T359" s="85" t="n"/>
      <c r="U359" s="85" t="n"/>
      <c r="V359" s="85" t="n"/>
      <c r="W359" s="85" t="n"/>
      <c r="X359" s="85" t="n"/>
      <c r="Y359" s="85" t="n"/>
      <c r="Z359" s="85" t="n"/>
      <c r="AA359" s="85" t="n"/>
      <c r="AB359" s="85" t="n"/>
      <c r="AC359" s="85" t="n"/>
      <c r="AD359" s="85" t="n"/>
      <c r="AE359" s="85" t="n"/>
      <c r="AF359" s="86" t="n"/>
      <c r="AG359" s="86" t="n"/>
      <c r="AH359" s="86" t="n"/>
      <c r="AI359" s="85" t="n"/>
      <c r="AJ359" s="85" t="n"/>
      <c r="AK359" s="85">
        <f>IF($A359="","",IF($M359&gt;0,"Yes","No"))</f>
        <v/>
      </c>
      <c r="AL359" s="85">
        <f>IF($A359="","",IF(AND($E359="Yes",OR($Y359="No",$Y359="NOT FOUND")),"YES",""))</f>
        <v/>
      </c>
      <c r="AM359" s="85">
        <f>IF($A359="","",TRIM(IF(AND($P359=0,$I359&lt;&gt;"Yes"),"T0-NoPhishResistant ","")&amp;IF($H359="No","NoMFA ","")&amp;IF(AND($P359=0,$M359&gt;0),"T0-Standing ","")&amp;IF(AND($P359=0,$Q359="Group only"),"T0-ViaGroupOnly ","")&amp;IF($W359="Yes","AlsoAzureRBAC ","")))</f>
        <v/>
      </c>
      <c r="AN359" s="85">
        <f>IF($A359="","",IF(AG359="","Not Enrolled",IF(TODAY()&gt;AG359,"Review Overdue",IF(AG359-TODAY()&lt;=30,"Review Due Soon","Active"))))</f>
        <v/>
      </c>
      <c r="AO359" s="85">
        <f>IF($A359="","",IF(AH359="","NOT REVIEWED",IF(TODAY()-AH359&gt;90,"OVERDUE",IF(TODAY()-AH359&gt;76,"Due Soon","Current"))))</f>
        <v/>
      </c>
    </row>
    <row r="360" ht="15" customHeight="1" s="39">
      <c r="A360" s="85" t="n"/>
      <c r="B360" s="85" t="n"/>
      <c r="C360" s="85" t="n"/>
      <c r="D360" s="85" t="n"/>
      <c r="E360" s="85" t="n"/>
      <c r="F360" s="86" t="n"/>
      <c r="G360" s="86" t="n"/>
      <c r="H360" s="85" t="n"/>
      <c r="I360" s="85" t="n"/>
      <c r="J360" s="85" t="n"/>
      <c r="K360" s="85" t="n"/>
      <c r="L360" s="85" t="n"/>
      <c r="M360" s="85" t="n"/>
      <c r="N360" s="85" t="n"/>
      <c r="O360" s="85" t="n"/>
      <c r="P360" s="85" t="n"/>
      <c r="Q360" s="85" t="n"/>
      <c r="R360" s="85" t="n"/>
      <c r="S360" s="85" t="n"/>
      <c r="T360" s="85" t="n"/>
      <c r="U360" s="85" t="n"/>
      <c r="V360" s="85" t="n"/>
      <c r="W360" s="85" t="n"/>
      <c r="X360" s="85" t="n"/>
      <c r="Y360" s="85" t="n"/>
      <c r="Z360" s="85" t="n"/>
      <c r="AA360" s="85" t="n"/>
      <c r="AB360" s="85" t="n"/>
      <c r="AC360" s="85" t="n"/>
      <c r="AD360" s="85" t="n"/>
      <c r="AE360" s="85" t="n"/>
      <c r="AF360" s="86" t="n"/>
      <c r="AG360" s="86" t="n"/>
      <c r="AH360" s="86" t="n"/>
      <c r="AI360" s="85" t="n"/>
      <c r="AJ360" s="85" t="n"/>
      <c r="AK360" s="85">
        <f>IF($A360="","",IF($M360&gt;0,"Yes","No"))</f>
        <v/>
      </c>
      <c r="AL360" s="85">
        <f>IF($A360="","",IF(AND($E360="Yes",OR($Y360="No",$Y360="NOT FOUND")),"YES",""))</f>
        <v/>
      </c>
      <c r="AM360" s="85">
        <f>IF($A360="","",TRIM(IF(AND($P360=0,$I360&lt;&gt;"Yes"),"T0-NoPhishResistant ","")&amp;IF($H360="No","NoMFA ","")&amp;IF(AND($P360=0,$M360&gt;0),"T0-Standing ","")&amp;IF(AND($P360=0,$Q360="Group only"),"T0-ViaGroupOnly ","")&amp;IF($W360="Yes","AlsoAzureRBAC ","")))</f>
        <v/>
      </c>
      <c r="AN360" s="85">
        <f>IF($A360="","",IF(AG360="","Not Enrolled",IF(TODAY()&gt;AG360,"Review Overdue",IF(AG360-TODAY()&lt;=30,"Review Due Soon","Active"))))</f>
        <v/>
      </c>
      <c r="AO360" s="85">
        <f>IF($A360="","",IF(AH360="","NOT REVIEWED",IF(TODAY()-AH360&gt;90,"OVERDUE",IF(TODAY()-AH360&gt;76,"Due Soon","Current"))))</f>
        <v/>
      </c>
    </row>
    <row r="361" ht="15" customHeight="1" s="39">
      <c r="A361" s="85" t="n"/>
      <c r="B361" s="85" t="n"/>
      <c r="C361" s="85" t="n"/>
      <c r="D361" s="85" t="n"/>
      <c r="E361" s="85" t="n"/>
      <c r="F361" s="86" t="n"/>
      <c r="G361" s="86" t="n"/>
      <c r="H361" s="85" t="n"/>
      <c r="I361" s="85" t="n"/>
      <c r="J361" s="85" t="n"/>
      <c r="K361" s="85" t="n"/>
      <c r="L361" s="85" t="n"/>
      <c r="M361" s="85" t="n"/>
      <c r="N361" s="85" t="n"/>
      <c r="O361" s="85" t="n"/>
      <c r="P361" s="85" t="n"/>
      <c r="Q361" s="85" t="n"/>
      <c r="R361" s="85" t="n"/>
      <c r="S361" s="85" t="n"/>
      <c r="T361" s="85" t="n"/>
      <c r="U361" s="85" t="n"/>
      <c r="V361" s="85" t="n"/>
      <c r="W361" s="85" t="n"/>
      <c r="X361" s="85" t="n"/>
      <c r="Y361" s="85" t="n"/>
      <c r="Z361" s="85" t="n"/>
      <c r="AA361" s="85" t="n"/>
      <c r="AB361" s="85" t="n"/>
      <c r="AC361" s="85" t="n"/>
      <c r="AD361" s="85" t="n"/>
      <c r="AE361" s="85" t="n"/>
      <c r="AF361" s="86" t="n"/>
      <c r="AG361" s="86" t="n"/>
      <c r="AH361" s="86" t="n"/>
      <c r="AI361" s="85" t="n"/>
      <c r="AJ361" s="85" t="n"/>
      <c r="AK361" s="85">
        <f>IF($A361="","",IF($M361&gt;0,"Yes","No"))</f>
        <v/>
      </c>
      <c r="AL361" s="85">
        <f>IF($A361="","",IF(AND($E361="Yes",OR($Y361="No",$Y361="NOT FOUND")),"YES",""))</f>
        <v/>
      </c>
      <c r="AM361" s="85">
        <f>IF($A361="","",TRIM(IF(AND($P361=0,$I361&lt;&gt;"Yes"),"T0-NoPhishResistant ","")&amp;IF($H361="No","NoMFA ","")&amp;IF(AND($P361=0,$M361&gt;0),"T0-Standing ","")&amp;IF(AND($P361=0,$Q361="Group only"),"T0-ViaGroupOnly ","")&amp;IF($W361="Yes","AlsoAzureRBAC ","")))</f>
        <v/>
      </c>
      <c r="AN361" s="85">
        <f>IF($A361="","",IF(AG361="","Not Enrolled",IF(TODAY()&gt;AG361,"Review Overdue",IF(AG361-TODAY()&lt;=30,"Review Due Soon","Active"))))</f>
        <v/>
      </c>
      <c r="AO361" s="85">
        <f>IF($A361="","",IF(AH361="","NOT REVIEWED",IF(TODAY()-AH361&gt;90,"OVERDUE",IF(TODAY()-AH361&gt;76,"Due Soon","Current"))))</f>
        <v/>
      </c>
    </row>
    <row r="362" ht="15" customHeight="1" s="39">
      <c r="A362" s="85" t="n"/>
      <c r="B362" s="85" t="n"/>
      <c r="C362" s="85" t="n"/>
      <c r="D362" s="85" t="n"/>
      <c r="E362" s="85" t="n"/>
      <c r="F362" s="86" t="n"/>
      <c r="G362" s="86" t="n"/>
      <c r="H362" s="85" t="n"/>
      <c r="I362" s="85" t="n"/>
      <c r="J362" s="85" t="n"/>
      <c r="K362" s="85" t="n"/>
      <c r="L362" s="85" t="n"/>
      <c r="M362" s="85" t="n"/>
      <c r="N362" s="85" t="n"/>
      <c r="O362" s="85" t="n"/>
      <c r="P362" s="85" t="n"/>
      <c r="Q362" s="85" t="n"/>
      <c r="R362" s="85" t="n"/>
      <c r="S362" s="85" t="n"/>
      <c r="T362" s="85" t="n"/>
      <c r="U362" s="85" t="n"/>
      <c r="V362" s="85" t="n"/>
      <c r="W362" s="85" t="n"/>
      <c r="X362" s="85" t="n"/>
      <c r="Y362" s="85" t="n"/>
      <c r="Z362" s="85" t="n"/>
      <c r="AA362" s="85" t="n"/>
      <c r="AB362" s="85" t="n"/>
      <c r="AC362" s="85" t="n"/>
      <c r="AD362" s="85" t="n"/>
      <c r="AE362" s="85" t="n"/>
      <c r="AF362" s="86" t="n"/>
      <c r="AG362" s="86" t="n"/>
      <c r="AH362" s="86" t="n"/>
      <c r="AI362" s="85" t="n"/>
      <c r="AJ362" s="85" t="n"/>
      <c r="AK362" s="85">
        <f>IF($A362="","",IF($M362&gt;0,"Yes","No"))</f>
        <v/>
      </c>
      <c r="AL362" s="85">
        <f>IF($A362="","",IF(AND($E362="Yes",OR($Y362="No",$Y362="NOT FOUND")),"YES",""))</f>
        <v/>
      </c>
      <c r="AM362" s="85">
        <f>IF($A362="","",TRIM(IF(AND($P362=0,$I362&lt;&gt;"Yes"),"T0-NoPhishResistant ","")&amp;IF($H362="No","NoMFA ","")&amp;IF(AND($P362=0,$M362&gt;0),"T0-Standing ","")&amp;IF(AND($P362=0,$Q362="Group only"),"T0-ViaGroupOnly ","")&amp;IF($W362="Yes","AlsoAzureRBAC ","")))</f>
        <v/>
      </c>
      <c r="AN362" s="85">
        <f>IF($A362="","",IF(AG362="","Not Enrolled",IF(TODAY()&gt;AG362,"Review Overdue",IF(AG362-TODAY()&lt;=30,"Review Due Soon","Active"))))</f>
        <v/>
      </c>
      <c r="AO362" s="85">
        <f>IF($A362="","",IF(AH362="","NOT REVIEWED",IF(TODAY()-AH362&gt;90,"OVERDUE",IF(TODAY()-AH362&gt;76,"Due Soon","Current"))))</f>
        <v/>
      </c>
    </row>
    <row r="363" ht="15" customHeight="1" s="39">
      <c r="A363" s="85" t="n"/>
      <c r="B363" s="85" t="n"/>
      <c r="C363" s="85" t="n"/>
      <c r="D363" s="85" t="n"/>
      <c r="E363" s="85" t="n"/>
      <c r="F363" s="86" t="n"/>
      <c r="G363" s="86" t="n"/>
      <c r="H363" s="85" t="n"/>
      <c r="I363" s="85" t="n"/>
      <c r="J363" s="85" t="n"/>
      <c r="K363" s="85" t="n"/>
      <c r="L363" s="85" t="n"/>
      <c r="M363" s="85" t="n"/>
      <c r="N363" s="85" t="n"/>
      <c r="O363" s="85" t="n"/>
      <c r="P363" s="85" t="n"/>
      <c r="Q363" s="85" t="n"/>
      <c r="R363" s="85" t="n"/>
      <c r="S363" s="85" t="n"/>
      <c r="T363" s="85" t="n"/>
      <c r="U363" s="85" t="n"/>
      <c r="V363" s="85" t="n"/>
      <c r="W363" s="85" t="n"/>
      <c r="X363" s="85" t="n"/>
      <c r="Y363" s="85" t="n"/>
      <c r="Z363" s="85" t="n"/>
      <c r="AA363" s="85" t="n"/>
      <c r="AB363" s="85" t="n"/>
      <c r="AC363" s="85" t="n"/>
      <c r="AD363" s="85" t="n"/>
      <c r="AE363" s="85" t="n"/>
      <c r="AF363" s="86" t="n"/>
      <c r="AG363" s="86" t="n"/>
      <c r="AH363" s="86" t="n"/>
      <c r="AI363" s="85" t="n"/>
      <c r="AJ363" s="85" t="n"/>
      <c r="AK363" s="85">
        <f>IF($A363="","",IF($M363&gt;0,"Yes","No"))</f>
        <v/>
      </c>
      <c r="AL363" s="85">
        <f>IF($A363="","",IF(AND($E363="Yes",OR($Y363="No",$Y363="NOT FOUND")),"YES",""))</f>
        <v/>
      </c>
      <c r="AM363" s="85">
        <f>IF($A363="","",TRIM(IF(AND($P363=0,$I363&lt;&gt;"Yes"),"T0-NoPhishResistant ","")&amp;IF($H363="No","NoMFA ","")&amp;IF(AND($P363=0,$M363&gt;0),"T0-Standing ","")&amp;IF(AND($P363=0,$Q363="Group only"),"T0-ViaGroupOnly ","")&amp;IF($W363="Yes","AlsoAzureRBAC ","")))</f>
        <v/>
      </c>
      <c r="AN363" s="85">
        <f>IF($A363="","",IF(AG363="","Not Enrolled",IF(TODAY()&gt;AG363,"Review Overdue",IF(AG363-TODAY()&lt;=30,"Review Due Soon","Active"))))</f>
        <v/>
      </c>
      <c r="AO363" s="85">
        <f>IF($A363="","",IF(AH363="","NOT REVIEWED",IF(TODAY()-AH363&gt;90,"OVERDUE",IF(TODAY()-AH363&gt;76,"Due Soon","Current"))))</f>
        <v/>
      </c>
    </row>
    <row r="364" ht="15" customHeight="1" s="39">
      <c r="A364" s="85" t="n"/>
      <c r="B364" s="85" t="n"/>
      <c r="C364" s="85" t="n"/>
      <c r="D364" s="85" t="n"/>
      <c r="E364" s="85" t="n"/>
      <c r="F364" s="86" t="n"/>
      <c r="G364" s="86" t="n"/>
      <c r="H364" s="85" t="n"/>
      <c r="I364" s="85" t="n"/>
      <c r="J364" s="85" t="n"/>
      <c r="K364" s="85" t="n"/>
      <c r="L364" s="85" t="n"/>
      <c r="M364" s="85" t="n"/>
      <c r="N364" s="85" t="n"/>
      <c r="O364" s="85" t="n"/>
      <c r="P364" s="85" t="n"/>
      <c r="Q364" s="85" t="n"/>
      <c r="R364" s="85" t="n"/>
      <c r="S364" s="85" t="n"/>
      <c r="T364" s="85" t="n"/>
      <c r="U364" s="85" t="n"/>
      <c r="V364" s="85" t="n"/>
      <c r="W364" s="85" t="n"/>
      <c r="X364" s="85" t="n"/>
      <c r="Y364" s="85" t="n"/>
      <c r="Z364" s="85" t="n"/>
      <c r="AA364" s="85" t="n"/>
      <c r="AB364" s="85" t="n"/>
      <c r="AC364" s="85" t="n"/>
      <c r="AD364" s="85" t="n"/>
      <c r="AE364" s="85" t="n"/>
      <c r="AF364" s="86" t="n"/>
      <c r="AG364" s="86" t="n"/>
      <c r="AH364" s="86" t="n"/>
      <c r="AI364" s="85" t="n"/>
      <c r="AJ364" s="85" t="n"/>
      <c r="AK364" s="85">
        <f>IF($A364="","",IF($M364&gt;0,"Yes","No"))</f>
        <v/>
      </c>
      <c r="AL364" s="85">
        <f>IF($A364="","",IF(AND($E364="Yes",OR($Y364="No",$Y364="NOT FOUND")),"YES",""))</f>
        <v/>
      </c>
      <c r="AM364" s="85">
        <f>IF($A364="","",TRIM(IF(AND($P364=0,$I364&lt;&gt;"Yes"),"T0-NoPhishResistant ","")&amp;IF($H364="No","NoMFA ","")&amp;IF(AND($P364=0,$M364&gt;0),"T0-Standing ","")&amp;IF(AND($P364=0,$Q364="Group only"),"T0-ViaGroupOnly ","")&amp;IF($W364="Yes","AlsoAzureRBAC ","")))</f>
        <v/>
      </c>
      <c r="AN364" s="85">
        <f>IF($A364="","",IF(AG364="","Not Enrolled",IF(TODAY()&gt;AG364,"Review Overdue",IF(AG364-TODAY()&lt;=30,"Review Due Soon","Active"))))</f>
        <v/>
      </c>
      <c r="AO364" s="85">
        <f>IF($A364="","",IF(AH364="","NOT REVIEWED",IF(TODAY()-AH364&gt;90,"OVERDUE",IF(TODAY()-AH364&gt;76,"Due Soon","Current"))))</f>
        <v/>
      </c>
    </row>
    <row r="365" ht="15" customHeight="1" s="39">
      <c r="A365" s="85" t="n"/>
      <c r="B365" s="85" t="n"/>
      <c r="C365" s="85" t="n"/>
      <c r="D365" s="85" t="n"/>
      <c r="E365" s="85" t="n"/>
      <c r="F365" s="86" t="n"/>
      <c r="G365" s="86" t="n"/>
      <c r="H365" s="85" t="n"/>
      <c r="I365" s="85" t="n"/>
      <c r="J365" s="85" t="n"/>
      <c r="K365" s="85" t="n"/>
      <c r="L365" s="85" t="n"/>
      <c r="M365" s="85" t="n"/>
      <c r="N365" s="85" t="n"/>
      <c r="O365" s="85" t="n"/>
      <c r="P365" s="85" t="n"/>
      <c r="Q365" s="85" t="n"/>
      <c r="R365" s="85" t="n"/>
      <c r="S365" s="85" t="n"/>
      <c r="T365" s="85" t="n"/>
      <c r="U365" s="85" t="n"/>
      <c r="V365" s="85" t="n"/>
      <c r="W365" s="85" t="n"/>
      <c r="X365" s="85" t="n"/>
      <c r="Y365" s="85" t="n"/>
      <c r="Z365" s="85" t="n"/>
      <c r="AA365" s="85" t="n"/>
      <c r="AB365" s="85" t="n"/>
      <c r="AC365" s="85" t="n"/>
      <c r="AD365" s="85" t="n"/>
      <c r="AE365" s="85" t="n"/>
      <c r="AF365" s="86" t="n"/>
      <c r="AG365" s="86" t="n"/>
      <c r="AH365" s="86" t="n"/>
      <c r="AI365" s="85" t="n"/>
      <c r="AJ365" s="85" t="n"/>
      <c r="AK365" s="85">
        <f>IF($A365="","",IF($M365&gt;0,"Yes","No"))</f>
        <v/>
      </c>
      <c r="AL365" s="85">
        <f>IF($A365="","",IF(AND($E365="Yes",OR($Y365="No",$Y365="NOT FOUND")),"YES",""))</f>
        <v/>
      </c>
      <c r="AM365" s="85">
        <f>IF($A365="","",TRIM(IF(AND($P365=0,$I365&lt;&gt;"Yes"),"T0-NoPhishResistant ","")&amp;IF($H365="No","NoMFA ","")&amp;IF(AND($P365=0,$M365&gt;0),"T0-Standing ","")&amp;IF(AND($P365=0,$Q365="Group only"),"T0-ViaGroupOnly ","")&amp;IF($W365="Yes","AlsoAzureRBAC ","")))</f>
        <v/>
      </c>
      <c r="AN365" s="85">
        <f>IF($A365="","",IF(AG365="","Not Enrolled",IF(TODAY()&gt;AG365,"Review Overdue",IF(AG365-TODAY()&lt;=30,"Review Due Soon","Active"))))</f>
        <v/>
      </c>
      <c r="AO365" s="85">
        <f>IF($A365="","",IF(AH365="","NOT REVIEWED",IF(TODAY()-AH365&gt;90,"OVERDUE",IF(TODAY()-AH365&gt;76,"Due Soon","Current"))))</f>
        <v/>
      </c>
    </row>
    <row r="366" ht="15" customHeight="1" s="39">
      <c r="A366" s="85" t="n"/>
      <c r="B366" s="85" t="n"/>
      <c r="C366" s="85" t="n"/>
      <c r="D366" s="85" t="n"/>
      <c r="E366" s="85" t="n"/>
      <c r="F366" s="86" t="n"/>
      <c r="G366" s="86" t="n"/>
      <c r="H366" s="85" t="n"/>
      <c r="I366" s="85" t="n"/>
      <c r="J366" s="85" t="n"/>
      <c r="K366" s="85" t="n"/>
      <c r="L366" s="85" t="n"/>
      <c r="M366" s="85" t="n"/>
      <c r="N366" s="85" t="n"/>
      <c r="O366" s="85" t="n"/>
      <c r="P366" s="85" t="n"/>
      <c r="Q366" s="85" t="n"/>
      <c r="R366" s="85" t="n"/>
      <c r="S366" s="85" t="n"/>
      <c r="T366" s="85" t="n"/>
      <c r="U366" s="85" t="n"/>
      <c r="V366" s="85" t="n"/>
      <c r="W366" s="85" t="n"/>
      <c r="X366" s="85" t="n"/>
      <c r="Y366" s="85" t="n"/>
      <c r="Z366" s="85" t="n"/>
      <c r="AA366" s="85" t="n"/>
      <c r="AB366" s="85" t="n"/>
      <c r="AC366" s="85" t="n"/>
      <c r="AD366" s="85" t="n"/>
      <c r="AE366" s="85" t="n"/>
      <c r="AF366" s="86" t="n"/>
      <c r="AG366" s="86" t="n"/>
      <c r="AH366" s="86" t="n"/>
      <c r="AI366" s="85" t="n"/>
      <c r="AJ366" s="85" t="n"/>
      <c r="AK366" s="85">
        <f>IF($A366="","",IF($M366&gt;0,"Yes","No"))</f>
        <v/>
      </c>
      <c r="AL366" s="85">
        <f>IF($A366="","",IF(AND($E366="Yes",OR($Y366="No",$Y366="NOT FOUND")),"YES",""))</f>
        <v/>
      </c>
      <c r="AM366" s="85">
        <f>IF($A366="","",TRIM(IF(AND($P366=0,$I366&lt;&gt;"Yes"),"T0-NoPhishResistant ","")&amp;IF($H366="No","NoMFA ","")&amp;IF(AND($P366=0,$M366&gt;0),"T0-Standing ","")&amp;IF(AND($P366=0,$Q366="Group only"),"T0-ViaGroupOnly ","")&amp;IF($W366="Yes","AlsoAzureRBAC ","")))</f>
        <v/>
      </c>
      <c r="AN366" s="85">
        <f>IF($A366="","",IF(AG366="","Not Enrolled",IF(TODAY()&gt;AG366,"Review Overdue",IF(AG366-TODAY()&lt;=30,"Review Due Soon","Active"))))</f>
        <v/>
      </c>
      <c r="AO366" s="85">
        <f>IF($A366="","",IF(AH366="","NOT REVIEWED",IF(TODAY()-AH366&gt;90,"OVERDUE",IF(TODAY()-AH366&gt;76,"Due Soon","Current"))))</f>
        <v/>
      </c>
    </row>
    <row r="367" ht="15" customHeight="1" s="39">
      <c r="A367" s="85" t="n"/>
      <c r="B367" s="85" t="n"/>
      <c r="C367" s="85" t="n"/>
      <c r="D367" s="85" t="n"/>
      <c r="E367" s="85" t="n"/>
      <c r="F367" s="86" t="n"/>
      <c r="G367" s="86" t="n"/>
      <c r="H367" s="85" t="n"/>
      <c r="I367" s="85" t="n"/>
      <c r="J367" s="85" t="n"/>
      <c r="K367" s="85" t="n"/>
      <c r="L367" s="85" t="n"/>
      <c r="M367" s="85" t="n"/>
      <c r="N367" s="85" t="n"/>
      <c r="O367" s="85" t="n"/>
      <c r="P367" s="85" t="n"/>
      <c r="Q367" s="85" t="n"/>
      <c r="R367" s="85" t="n"/>
      <c r="S367" s="85" t="n"/>
      <c r="T367" s="85" t="n"/>
      <c r="U367" s="85" t="n"/>
      <c r="V367" s="85" t="n"/>
      <c r="W367" s="85" t="n"/>
      <c r="X367" s="85" t="n"/>
      <c r="Y367" s="85" t="n"/>
      <c r="Z367" s="85" t="n"/>
      <c r="AA367" s="85" t="n"/>
      <c r="AB367" s="85" t="n"/>
      <c r="AC367" s="85" t="n"/>
      <c r="AD367" s="85" t="n"/>
      <c r="AE367" s="85" t="n"/>
      <c r="AF367" s="86" t="n"/>
      <c r="AG367" s="86" t="n"/>
      <c r="AH367" s="86" t="n"/>
      <c r="AI367" s="85" t="n"/>
      <c r="AJ367" s="85" t="n"/>
      <c r="AK367" s="85">
        <f>IF($A367="","",IF($M367&gt;0,"Yes","No"))</f>
        <v/>
      </c>
      <c r="AL367" s="85">
        <f>IF($A367="","",IF(AND($E367="Yes",OR($Y367="No",$Y367="NOT FOUND")),"YES",""))</f>
        <v/>
      </c>
      <c r="AM367" s="85">
        <f>IF($A367="","",TRIM(IF(AND($P367=0,$I367&lt;&gt;"Yes"),"T0-NoPhishResistant ","")&amp;IF($H367="No","NoMFA ","")&amp;IF(AND($P367=0,$M367&gt;0),"T0-Standing ","")&amp;IF(AND($P367=0,$Q367="Group only"),"T0-ViaGroupOnly ","")&amp;IF($W367="Yes","AlsoAzureRBAC ","")))</f>
        <v/>
      </c>
      <c r="AN367" s="85">
        <f>IF($A367="","",IF(AG367="","Not Enrolled",IF(TODAY()&gt;AG367,"Review Overdue",IF(AG367-TODAY()&lt;=30,"Review Due Soon","Active"))))</f>
        <v/>
      </c>
      <c r="AO367" s="85">
        <f>IF($A367="","",IF(AH367="","NOT REVIEWED",IF(TODAY()-AH367&gt;90,"OVERDUE",IF(TODAY()-AH367&gt;76,"Due Soon","Current"))))</f>
        <v/>
      </c>
    </row>
    <row r="368" ht="15" customHeight="1" s="39">
      <c r="A368" s="85" t="n"/>
      <c r="B368" s="85" t="n"/>
      <c r="C368" s="85" t="n"/>
      <c r="D368" s="85" t="n"/>
      <c r="E368" s="85" t="n"/>
      <c r="F368" s="86" t="n"/>
      <c r="G368" s="86" t="n"/>
      <c r="H368" s="85" t="n"/>
      <c r="I368" s="85" t="n"/>
      <c r="J368" s="85" t="n"/>
      <c r="K368" s="85" t="n"/>
      <c r="L368" s="85" t="n"/>
      <c r="M368" s="85" t="n"/>
      <c r="N368" s="85" t="n"/>
      <c r="O368" s="85" t="n"/>
      <c r="P368" s="85" t="n"/>
      <c r="Q368" s="85" t="n"/>
      <c r="R368" s="85" t="n"/>
      <c r="S368" s="85" t="n"/>
      <c r="T368" s="85" t="n"/>
      <c r="U368" s="85" t="n"/>
      <c r="V368" s="85" t="n"/>
      <c r="W368" s="85" t="n"/>
      <c r="X368" s="85" t="n"/>
      <c r="Y368" s="85" t="n"/>
      <c r="Z368" s="85" t="n"/>
      <c r="AA368" s="85" t="n"/>
      <c r="AB368" s="85" t="n"/>
      <c r="AC368" s="85" t="n"/>
      <c r="AD368" s="85" t="n"/>
      <c r="AE368" s="85" t="n"/>
      <c r="AF368" s="86" t="n"/>
      <c r="AG368" s="86" t="n"/>
      <c r="AH368" s="86" t="n"/>
      <c r="AI368" s="85" t="n"/>
      <c r="AJ368" s="85" t="n"/>
      <c r="AK368" s="85">
        <f>IF($A368="","",IF($M368&gt;0,"Yes","No"))</f>
        <v/>
      </c>
      <c r="AL368" s="85">
        <f>IF($A368="","",IF(AND($E368="Yes",OR($Y368="No",$Y368="NOT FOUND")),"YES",""))</f>
        <v/>
      </c>
      <c r="AM368" s="85">
        <f>IF($A368="","",TRIM(IF(AND($P368=0,$I368&lt;&gt;"Yes"),"T0-NoPhishResistant ","")&amp;IF($H368="No","NoMFA ","")&amp;IF(AND($P368=0,$M368&gt;0),"T0-Standing ","")&amp;IF(AND($P368=0,$Q368="Group only"),"T0-ViaGroupOnly ","")&amp;IF($W368="Yes","AlsoAzureRBAC ","")))</f>
        <v/>
      </c>
      <c r="AN368" s="85">
        <f>IF($A368="","",IF(AG368="","Not Enrolled",IF(TODAY()&gt;AG368,"Review Overdue",IF(AG368-TODAY()&lt;=30,"Review Due Soon","Active"))))</f>
        <v/>
      </c>
      <c r="AO368" s="85">
        <f>IF($A368="","",IF(AH368="","NOT REVIEWED",IF(TODAY()-AH368&gt;90,"OVERDUE",IF(TODAY()-AH368&gt;76,"Due Soon","Current"))))</f>
        <v/>
      </c>
    </row>
    <row r="369" ht="15" customHeight="1" s="39">
      <c r="A369" s="85" t="n"/>
      <c r="B369" s="85" t="n"/>
      <c r="C369" s="85" t="n"/>
      <c r="D369" s="85" t="n"/>
      <c r="E369" s="85" t="n"/>
      <c r="F369" s="86" t="n"/>
      <c r="G369" s="86" t="n"/>
      <c r="H369" s="85" t="n"/>
      <c r="I369" s="85" t="n"/>
      <c r="J369" s="85" t="n"/>
      <c r="K369" s="85" t="n"/>
      <c r="L369" s="85" t="n"/>
      <c r="M369" s="85" t="n"/>
      <c r="N369" s="85" t="n"/>
      <c r="O369" s="85" t="n"/>
      <c r="P369" s="85" t="n"/>
      <c r="Q369" s="85" t="n"/>
      <c r="R369" s="85" t="n"/>
      <c r="S369" s="85" t="n"/>
      <c r="T369" s="85" t="n"/>
      <c r="U369" s="85" t="n"/>
      <c r="V369" s="85" t="n"/>
      <c r="W369" s="85" t="n"/>
      <c r="X369" s="85" t="n"/>
      <c r="Y369" s="85" t="n"/>
      <c r="Z369" s="85" t="n"/>
      <c r="AA369" s="85" t="n"/>
      <c r="AB369" s="85" t="n"/>
      <c r="AC369" s="85" t="n"/>
      <c r="AD369" s="85" t="n"/>
      <c r="AE369" s="85" t="n"/>
      <c r="AF369" s="86" t="n"/>
      <c r="AG369" s="86" t="n"/>
      <c r="AH369" s="86" t="n"/>
      <c r="AI369" s="85" t="n"/>
      <c r="AJ369" s="85" t="n"/>
      <c r="AK369" s="85">
        <f>IF($A369="","",IF($M369&gt;0,"Yes","No"))</f>
        <v/>
      </c>
      <c r="AL369" s="85">
        <f>IF($A369="","",IF(AND($E369="Yes",OR($Y369="No",$Y369="NOT FOUND")),"YES",""))</f>
        <v/>
      </c>
      <c r="AM369" s="85">
        <f>IF($A369="","",TRIM(IF(AND($P369=0,$I369&lt;&gt;"Yes"),"T0-NoPhishResistant ","")&amp;IF($H369="No","NoMFA ","")&amp;IF(AND($P369=0,$M369&gt;0),"T0-Standing ","")&amp;IF(AND($P369=0,$Q369="Group only"),"T0-ViaGroupOnly ","")&amp;IF($W369="Yes","AlsoAzureRBAC ","")))</f>
        <v/>
      </c>
      <c r="AN369" s="85">
        <f>IF($A369="","",IF(AG369="","Not Enrolled",IF(TODAY()&gt;AG369,"Review Overdue",IF(AG369-TODAY()&lt;=30,"Review Due Soon","Active"))))</f>
        <v/>
      </c>
      <c r="AO369" s="85">
        <f>IF($A369="","",IF(AH369="","NOT REVIEWED",IF(TODAY()-AH369&gt;90,"OVERDUE",IF(TODAY()-AH369&gt;76,"Due Soon","Current"))))</f>
        <v/>
      </c>
    </row>
    <row r="370" ht="15" customHeight="1" s="39">
      <c r="A370" s="85" t="n"/>
      <c r="B370" s="85" t="n"/>
      <c r="C370" s="85" t="n"/>
      <c r="D370" s="85" t="n"/>
      <c r="E370" s="85" t="n"/>
      <c r="F370" s="86" t="n"/>
      <c r="G370" s="86" t="n"/>
      <c r="H370" s="85" t="n"/>
      <c r="I370" s="85" t="n"/>
      <c r="J370" s="85" t="n"/>
      <c r="K370" s="85" t="n"/>
      <c r="L370" s="85" t="n"/>
      <c r="M370" s="85" t="n"/>
      <c r="N370" s="85" t="n"/>
      <c r="O370" s="85" t="n"/>
      <c r="P370" s="85" t="n"/>
      <c r="Q370" s="85" t="n"/>
      <c r="R370" s="85" t="n"/>
      <c r="S370" s="85" t="n"/>
      <c r="T370" s="85" t="n"/>
      <c r="U370" s="85" t="n"/>
      <c r="V370" s="85" t="n"/>
      <c r="W370" s="85" t="n"/>
      <c r="X370" s="85" t="n"/>
      <c r="Y370" s="85" t="n"/>
      <c r="Z370" s="85" t="n"/>
      <c r="AA370" s="85" t="n"/>
      <c r="AB370" s="85" t="n"/>
      <c r="AC370" s="85" t="n"/>
      <c r="AD370" s="85" t="n"/>
      <c r="AE370" s="85" t="n"/>
      <c r="AF370" s="86" t="n"/>
      <c r="AG370" s="86" t="n"/>
      <c r="AH370" s="86" t="n"/>
      <c r="AI370" s="85" t="n"/>
      <c r="AJ370" s="85" t="n"/>
      <c r="AK370" s="85">
        <f>IF($A370="","",IF($M370&gt;0,"Yes","No"))</f>
        <v/>
      </c>
      <c r="AL370" s="85">
        <f>IF($A370="","",IF(AND($E370="Yes",OR($Y370="No",$Y370="NOT FOUND")),"YES",""))</f>
        <v/>
      </c>
      <c r="AM370" s="85">
        <f>IF($A370="","",TRIM(IF(AND($P370=0,$I370&lt;&gt;"Yes"),"T0-NoPhishResistant ","")&amp;IF($H370="No","NoMFA ","")&amp;IF(AND($P370=0,$M370&gt;0),"T0-Standing ","")&amp;IF(AND($P370=0,$Q370="Group only"),"T0-ViaGroupOnly ","")&amp;IF($W370="Yes","AlsoAzureRBAC ","")))</f>
        <v/>
      </c>
      <c r="AN370" s="85">
        <f>IF($A370="","",IF(AG370="","Not Enrolled",IF(TODAY()&gt;AG370,"Review Overdue",IF(AG370-TODAY()&lt;=30,"Review Due Soon","Active"))))</f>
        <v/>
      </c>
      <c r="AO370" s="85">
        <f>IF($A370="","",IF(AH370="","NOT REVIEWED",IF(TODAY()-AH370&gt;90,"OVERDUE",IF(TODAY()-AH370&gt;76,"Due Soon","Current"))))</f>
        <v/>
      </c>
    </row>
    <row r="371" ht="15" customHeight="1" s="39">
      <c r="A371" s="85" t="n"/>
      <c r="B371" s="85" t="n"/>
      <c r="C371" s="85" t="n"/>
      <c r="D371" s="85" t="n"/>
      <c r="E371" s="85" t="n"/>
      <c r="F371" s="86" t="n"/>
      <c r="G371" s="86" t="n"/>
      <c r="H371" s="85" t="n"/>
      <c r="I371" s="85" t="n"/>
      <c r="J371" s="85" t="n"/>
      <c r="K371" s="85" t="n"/>
      <c r="L371" s="85" t="n"/>
      <c r="M371" s="85" t="n"/>
      <c r="N371" s="85" t="n"/>
      <c r="O371" s="85" t="n"/>
      <c r="P371" s="85" t="n"/>
      <c r="Q371" s="85" t="n"/>
      <c r="R371" s="85" t="n"/>
      <c r="S371" s="85" t="n"/>
      <c r="T371" s="85" t="n"/>
      <c r="U371" s="85" t="n"/>
      <c r="V371" s="85" t="n"/>
      <c r="W371" s="85" t="n"/>
      <c r="X371" s="85" t="n"/>
      <c r="Y371" s="85" t="n"/>
      <c r="Z371" s="85" t="n"/>
      <c r="AA371" s="85" t="n"/>
      <c r="AB371" s="85" t="n"/>
      <c r="AC371" s="85" t="n"/>
      <c r="AD371" s="85" t="n"/>
      <c r="AE371" s="85" t="n"/>
      <c r="AF371" s="86" t="n"/>
      <c r="AG371" s="86" t="n"/>
      <c r="AH371" s="86" t="n"/>
      <c r="AI371" s="85" t="n"/>
      <c r="AJ371" s="85" t="n"/>
      <c r="AK371" s="85">
        <f>IF($A371="","",IF($M371&gt;0,"Yes","No"))</f>
        <v/>
      </c>
      <c r="AL371" s="85">
        <f>IF($A371="","",IF(AND($E371="Yes",OR($Y371="No",$Y371="NOT FOUND")),"YES",""))</f>
        <v/>
      </c>
      <c r="AM371" s="85">
        <f>IF($A371="","",TRIM(IF(AND($P371=0,$I371&lt;&gt;"Yes"),"T0-NoPhishResistant ","")&amp;IF($H371="No","NoMFA ","")&amp;IF(AND($P371=0,$M371&gt;0),"T0-Standing ","")&amp;IF(AND($P371=0,$Q371="Group only"),"T0-ViaGroupOnly ","")&amp;IF($W371="Yes","AlsoAzureRBAC ","")))</f>
        <v/>
      </c>
      <c r="AN371" s="85">
        <f>IF($A371="","",IF(AG371="","Not Enrolled",IF(TODAY()&gt;AG371,"Review Overdue",IF(AG371-TODAY()&lt;=30,"Review Due Soon","Active"))))</f>
        <v/>
      </c>
      <c r="AO371" s="85">
        <f>IF($A371="","",IF(AH371="","NOT REVIEWED",IF(TODAY()-AH371&gt;90,"OVERDUE",IF(TODAY()-AH371&gt;76,"Due Soon","Current"))))</f>
        <v/>
      </c>
    </row>
    <row r="372" ht="15" customHeight="1" s="39">
      <c r="A372" s="85" t="n"/>
      <c r="B372" s="85" t="n"/>
      <c r="C372" s="85" t="n"/>
      <c r="D372" s="85" t="n"/>
      <c r="E372" s="85" t="n"/>
      <c r="F372" s="86" t="n"/>
      <c r="G372" s="86" t="n"/>
      <c r="H372" s="85" t="n"/>
      <c r="I372" s="85" t="n"/>
      <c r="J372" s="85" t="n"/>
      <c r="K372" s="85" t="n"/>
      <c r="L372" s="85" t="n"/>
      <c r="M372" s="85" t="n"/>
      <c r="N372" s="85" t="n"/>
      <c r="O372" s="85" t="n"/>
      <c r="P372" s="85" t="n"/>
      <c r="Q372" s="85" t="n"/>
      <c r="R372" s="85" t="n"/>
      <c r="S372" s="85" t="n"/>
      <c r="T372" s="85" t="n"/>
      <c r="U372" s="85" t="n"/>
      <c r="V372" s="85" t="n"/>
      <c r="W372" s="85" t="n"/>
      <c r="X372" s="85" t="n"/>
      <c r="Y372" s="85" t="n"/>
      <c r="Z372" s="85" t="n"/>
      <c r="AA372" s="85" t="n"/>
      <c r="AB372" s="85" t="n"/>
      <c r="AC372" s="85" t="n"/>
      <c r="AD372" s="85" t="n"/>
      <c r="AE372" s="85" t="n"/>
      <c r="AF372" s="86" t="n"/>
      <c r="AG372" s="86" t="n"/>
      <c r="AH372" s="86" t="n"/>
      <c r="AI372" s="85" t="n"/>
      <c r="AJ372" s="85" t="n"/>
      <c r="AK372" s="85">
        <f>IF($A372="","",IF($M372&gt;0,"Yes","No"))</f>
        <v/>
      </c>
      <c r="AL372" s="85">
        <f>IF($A372="","",IF(AND($E372="Yes",OR($Y372="No",$Y372="NOT FOUND")),"YES",""))</f>
        <v/>
      </c>
      <c r="AM372" s="85">
        <f>IF($A372="","",TRIM(IF(AND($P372=0,$I372&lt;&gt;"Yes"),"T0-NoPhishResistant ","")&amp;IF($H372="No","NoMFA ","")&amp;IF(AND($P372=0,$M372&gt;0),"T0-Standing ","")&amp;IF(AND($P372=0,$Q372="Group only"),"T0-ViaGroupOnly ","")&amp;IF($W372="Yes","AlsoAzureRBAC ","")))</f>
        <v/>
      </c>
      <c r="AN372" s="85">
        <f>IF($A372="","",IF(AG372="","Not Enrolled",IF(TODAY()&gt;AG372,"Review Overdue",IF(AG372-TODAY()&lt;=30,"Review Due Soon","Active"))))</f>
        <v/>
      </c>
      <c r="AO372" s="85">
        <f>IF($A372="","",IF(AH372="","NOT REVIEWED",IF(TODAY()-AH372&gt;90,"OVERDUE",IF(TODAY()-AH372&gt;76,"Due Soon","Current"))))</f>
        <v/>
      </c>
    </row>
    <row r="373" ht="15" customHeight="1" s="39">
      <c r="A373" s="85" t="n"/>
      <c r="B373" s="85" t="n"/>
      <c r="C373" s="85" t="n"/>
      <c r="D373" s="85" t="n"/>
      <c r="E373" s="85" t="n"/>
      <c r="F373" s="86" t="n"/>
      <c r="G373" s="86" t="n"/>
      <c r="H373" s="85" t="n"/>
      <c r="I373" s="85" t="n"/>
      <c r="J373" s="85" t="n"/>
      <c r="K373" s="85" t="n"/>
      <c r="L373" s="85" t="n"/>
      <c r="M373" s="85" t="n"/>
      <c r="N373" s="85" t="n"/>
      <c r="O373" s="85" t="n"/>
      <c r="P373" s="85" t="n"/>
      <c r="Q373" s="85" t="n"/>
      <c r="R373" s="85" t="n"/>
      <c r="S373" s="85" t="n"/>
      <c r="T373" s="85" t="n"/>
      <c r="U373" s="85" t="n"/>
      <c r="V373" s="85" t="n"/>
      <c r="W373" s="85" t="n"/>
      <c r="X373" s="85" t="n"/>
      <c r="Y373" s="85" t="n"/>
      <c r="Z373" s="85" t="n"/>
      <c r="AA373" s="85" t="n"/>
      <c r="AB373" s="85" t="n"/>
      <c r="AC373" s="85" t="n"/>
      <c r="AD373" s="85" t="n"/>
      <c r="AE373" s="85" t="n"/>
      <c r="AF373" s="86" t="n"/>
      <c r="AG373" s="86" t="n"/>
      <c r="AH373" s="86" t="n"/>
      <c r="AI373" s="85" t="n"/>
      <c r="AJ373" s="85" t="n"/>
      <c r="AK373" s="85">
        <f>IF($A373="","",IF($M373&gt;0,"Yes","No"))</f>
        <v/>
      </c>
      <c r="AL373" s="85">
        <f>IF($A373="","",IF(AND($E373="Yes",OR($Y373="No",$Y373="NOT FOUND")),"YES",""))</f>
        <v/>
      </c>
      <c r="AM373" s="85">
        <f>IF($A373="","",TRIM(IF(AND($P373=0,$I373&lt;&gt;"Yes"),"T0-NoPhishResistant ","")&amp;IF($H373="No","NoMFA ","")&amp;IF(AND($P373=0,$M373&gt;0),"T0-Standing ","")&amp;IF(AND($P373=0,$Q373="Group only"),"T0-ViaGroupOnly ","")&amp;IF($W373="Yes","AlsoAzureRBAC ","")))</f>
        <v/>
      </c>
      <c r="AN373" s="85">
        <f>IF($A373="","",IF(AG373="","Not Enrolled",IF(TODAY()&gt;AG373,"Review Overdue",IF(AG373-TODAY()&lt;=30,"Review Due Soon","Active"))))</f>
        <v/>
      </c>
      <c r="AO373" s="85">
        <f>IF($A373="","",IF(AH373="","NOT REVIEWED",IF(TODAY()-AH373&gt;90,"OVERDUE",IF(TODAY()-AH373&gt;76,"Due Soon","Current"))))</f>
        <v/>
      </c>
    </row>
    <row r="374" ht="15" customHeight="1" s="39">
      <c r="A374" s="85" t="n"/>
      <c r="B374" s="85" t="n"/>
      <c r="C374" s="85" t="n"/>
      <c r="D374" s="85" t="n"/>
      <c r="E374" s="85" t="n"/>
      <c r="F374" s="86" t="n"/>
      <c r="G374" s="86" t="n"/>
      <c r="H374" s="85" t="n"/>
      <c r="I374" s="85" t="n"/>
      <c r="J374" s="85" t="n"/>
      <c r="K374" s="85" t="n"/>
      <c r="L374" s="85" t="n"/>
      <c r="M374" s="85" t="n"/>
      <c r="N374" s="85" t="n"/>
      <c r="O374" s="85" t="n"/>
      <c r="P374" s="85" t="n"/>
      <c r="Q374" s="85" t="n"/>
      <c r="R374" s="85" t="n"/>
      <c r="S374" s="85" t="n"/>
      <c r="T374" s="85" t="n"/>
      <c r="U374" s="85" t="n"/>
      <c r="V374" s="85" t="n"/>
      <c r="W374" s="85" t="n"/>
      <c r="X374" s="85" t="n"/>
      <c r="Y374" s="85" t="n"/>
      <c r="Z374" s="85" t="n"/>
      <c r="AA374" s="85" t="n"/>
      <c r="AB374" s="85" t="n"/>
      <c r="AC374" s="85" t="n"/>
      <c r="AD374" s="85" t="n"/>
      <c r="AE374" s="85" t="n"/>
      <c r="AF374" s="86" t="n"/>
      <c r="AG374" s="86" t="n"/>
      <c r="AH374" s="86" t="n"/>
      <c r="AI374" s="85" t="n"/>
      <c r="AJ374" s="85" t="n"/>
      <c r="AK374" s="85">
        <f>IF($A374="","",IF($M374&gt;0,"Yes","No"))</f>
        <v/>
      </c>
      <c r="AL374" s="85">
        <f>IF($A374="","",IF(AND($E374="Yes",OR($Y374="No",$Y374="NOT FOUND")),"YES",""))</f>
        <v/>
      </c>
      <c r="AM374" s="85">
        <f>IF($A374="","",TRIM(IF(AND($P374=0,$I374&lt;&gt;"Yes"),"T0-NoPhishResistant ","")&amp;IF($H374="No","NoMFA ","")&amp;IF(AND($P374=0,$M374&gt;0),"T0-Standing ","")&amp;IF(AND($P374=0,$Q374="Group only"),"T0-ViaGroupOnly ","")&amp;IF($W374="Yes","AlsoAzureRBAC ","")))</f>
        <v/>
      </c>
      <c r="AN374" s="85">
        <f>IF($A374="","",IF(AG374="","Not Enrolled",IF(TODAY()&gt;AG374,"Review Overdue",IF(AG374-TODAY()&lt;=30,"Review Due Soon","Active"))))</f>
        <v/>
      </c>
      <c r="AO374" s="85">
        <f>IF($A374="","",IF(AH374="","NOT REVIEWED",IF(TODAY()-AH374&gt;90,"OVERDUE",IF(TODAY()-AH374&gt;76,"Due Soon","Current"))))</f>
        <v/>
      </c>
    </row>
    <row r="375" ht="15" customHeight="1" s="39">
      <c r="A375" s="85" t="n"/>
      <c r="B375" s="85" t="n"/>
      <c r="C375" s="85" t="n"/>
      <c r="D375" s="85" t="n"/>
      <c r="E375" s="85" t="n"/>
      <c r="F375" s="86" t="n"/>
      <c r="G375" s="86" t="n"/>
      <c r="H375" s="85" t="n"/>
      <c r="I375" s="85" t="n"/>
      <c r="J375" s="85" t="n"/>
      <c r="K375" s="85" t="n"/>
      <c r="L375" s="85" t="n"/>
      <c r="M375" s="85" t="n"/>
      <c r="N375" s="85" t="n"/>
      <c r="O375" s="85" t="n"/>
      <c r="P375" s="85" t="n"/>
      <c r="Q375" s="85" t="n"/>
      <c r="R375" s="85" t="n"/>
      <c r="S375" s="85" t="n"/>
      <c r="T375" s="85" t="n"/>
      <c r="U375" s="85" t="n"/>
      <c r="V375" s="85" t="n"/>
      <c r="W375" s="85" t="n"/>
      <c r="X375" s="85" t="n"/>
      <c r="Y375" s="85" t="n"/>
      <c r="Z375" s="85" t="n"/>
      <c r="AA375" s="85" t="n"/>
      <c r="AB375" s="85" t="n"/>
      <c r="AC375" s="85" t="n"/>
      <c r="AD375" s="85" t="n"/>
      <c r="AE375" s="85" t="n"/>
      <c r="AF375" s="86" t="n"/>
      <c r="AG375" s="86" t="n"/>
      <c r="AH375" s="86" t="n"/>
      <c r="AI375" s="85" t="n"/>
      <c r="AJ375" s="85" t="n"/>
      <c r="AK375" s="85">
        <f>IF($A375="","",IF($M375&gt;0,"Yes","No"))</f>
        <v/>
      </c>
      <c r="AL375" s="85">
        <f>IF($A375="","",IF(AND($E375="Yes",OR($Y375="No",$Y375="NOT FOUND")),"YES",""))</f>
        <v/>
      </c>
      <c r="AM375" s="85">
        <f>IF($A375="","",TRIM(IF(AND($P375=0,$I375&lt;&gt;"Yes"),"T0-NoPhishResistant ","")&amp;IF($H375="No","NoMFA ","")&amp;IF(AND($P375=0,$M375&gt;0),"T0-Standing ","")&amp;IF(AND($P375=0,$Q375="Group only"),"T0-ViaGroupOnly ","")&amp;IF($W375="Yes","AlsoAzureRBAC ","")))</f>
        <v/>
      </c>
      <c r="AN375" s="85">
        <f>IF($A375="","",IF(AG375="","Not Enrolled",IF(TODAY()&gt;AG375,"Review Overdue",IF(AG375-TODAY()&lt;=30,"Review Due Soon","Active"))))</f>
        <v/>
      </c>
      <c r="AO375" s="85">
        <f>IF($A375="","",IF(AH375="","NOT REVIEWED",IF(TODAY()-AH375&gt;90,"OVERDUE",IF(TODAY()-AH375&gt;76,"Due Soon","Current"))))</f>
        <v/>
      </c>
    </row>
    <row r="376" ht="15" customHeight="1" s="39">
      <c r="A376" s="85" t="n"/>
      <c r="B376" s="85" t="n"/>
      <c r="C376" s="85" t="n"/>
      <c r="D376" s="85" t="n"/>
      <c r="E376" s="85" t="n"/>
      <c r="F376" s="86" t="n"/>
      <c r="G376" s="86" t="n"/>
      <c r="H376" s="85" t="n"/>
      <c r="I376" s="85" t="n"/>
      <c r="J376" s="85" t="n"/>
      <c r="K376" s="85" t="n"/>
      <c r="L376" s="85" t="n"/>
      <c r="M376" s="85" t="n"/>
      <c r="N376" s="85" t="n"/>
      <c r="O376" s="85" t="n"/>
      <c r="P376" s="85" t="n"/>
      <c r="Q376" s="85" t="n"/>
      <c r="R376" s="85" t="n"/>
      <c r="S376" s="85" t="n"/>
      <c r="T376" s="85" t="n"/>
      <c r="U376" s="85" t="n"/>
      <c r="V376" s="85" t="n"/>
      <c r="W376" s="85" t="n"/>
      <c r="X376" s="85" t="n"/>
      <c r="Y376" s="85" t="n"/>
      <c r="Z376" s="85" t="n"/>
      <c r="AA376" s="85" t="n"/>
      <c r="AB376" s="85" t="n"/>
      <c r="AC376" s="85" t="n"/>
      <c r="AD376" s="85" t="n"/>
      <c r="AE376" s="85" t="n"/>
      <c r="AF376" s="86" t="n"/>
      <c r="AG376" s="86" t="n"/>
      <c r="AH376" s="86" t="n"/>
      <c r="AI376" s="85" t="n"/>
      <c r="AJ376" s="85" t="n"/>
      <c r="AK376" s="85">
        <f>IF($A376="","",IF($M376&gt;0,"Yes","No"))</f>
        <v/>
      </c>
      <c r="AL376" s="85">
        <f>IF($A376="","",IF(AND($E376="Yes",OR($Y376="No",$Y376="NOT FOUND")),"YES",""))</f>
        <v/>
      </c>
      <c r="AM376" s="85">
        <f>IF($A376="","",TRIM(IF(AND($P376=0,$I376&lt;&gt;"Yes"),"T0-NoPhishResistant ","")&amp;IF($H376="No","NoMFA ","")&amp;IF(AND($P376=0,$M376&gt;0),"T0-Standing ","")&amp;IF(AND($P376=0,$Q376="Group only"),"T0-ViaGroupOnly ","")&amp;IF($W376="Yes","AlsoAzureRBAC ","")))</f>
        <v/>
      </c>
      <c r="AN376" s="85">
        <f>IF($A376="","",IF(AG376="","Not Enrolled",IF(TODAY()&gt;AG376,"Review Overdue",IF(AG376-TODAY()&lt;=30,"Review Due Soon","Active"))))</f>
        <v/>
      </c>
      <c r="AO376" s="85">
        <f>IF($A376="","",IF(AH376="","NOT REVIEWED",IF(TODAY()-AH376&gt;90,"OVERDUE",IF(TODAY()-AH376&gt;76,"Due Soon","Current"))))</f>
        <v/>
      </c>
    </row>
    <row r="377" ht="15" customHeight="1" s="39">
      <c r="A377" s="85" t="n"/>
      <c r="B377" s="85" t="n"/>
      <c r="C377" s="85" t="n"/>
      <c r="D377" s="85" t="n"/>
      <c r="E377" s="85" t="n"/>
      <c r="F377" s="86" t="n"/>
      <c r="G377" s="86" t="n"/>
      <c r="H377" s="85" t="n"/>
      <c r="I377" s="85" t="n"/>
      <c r="J377" s="85" t="n"/>
      <c r="K377" s="85" t="n"/>
      <c r="L377" s="85" t="n"/>
      <c r="M377" s="85" t="n"/>
      <c r="N377" s="85" t="n"/>
      <c r="O377" s="85" t="n"/>
      <c r="P377" s="85" t="n"/>
      <c r="Q377" s="85" t="n"/>
      <c r="R377" s="85" t="n"/>
      <c r="S377" s="85" t="n"/>
      <c r="T377" s="85" t="n"/>
      <c r="U377" s="85" t="n"/>
      <c r="V377" s="85" t="n"/>
      <c r="W377" s="85" t="n"/>
      <c r="X377" s="85" t="n"/>
      <c r="Y377" s="85" t="n"/>
      <c r="Z377" s="85" t="n"/>
      <c r="AA377" s="85" t="n"/>
      <c r="AB377" s="85" t="n"/>
      <c r="AC377" s="85" t="n"/>
      <c r="AD377" s="85" t="n"/>
      <c r="AE377" s="85" t="n"/>
      <c r="AF377" s="86" t="n"/>
      <c r="AG377" s="86" t="n"/>
      <c r="AH377" s="86" t="n"/>
      <c r="AI377" s="85" t="n"/>
      <c r="AJ377" s="85" t="n"/>
      <c r="AK377" s="85">
        <f>IF($A377="","",IF($M377&gt;0,"Yes","No"))</f>
        <v/>
      </c>
      <c r="AL377" s="85">
        <f>IF($A377="","",IF(AND($E377="Yes",OR($Y377="No",$Y377="NOT FOUND")),"YES",""))</f>
        <v/>
      </c>
      <c r="AM377" s="85">
        <f>IF($A377="","",TRIM(IF(AND($P377=0,$I377&lt;&gt;"Yes"),"T0-NoPhishResistant ","")&amp;IF($H377="No","NoMFA ","")&amp;IF(AND($P377=0,$M377&gt;0),"T0-Standing ","")&amp;IF(AND($P377=0,$Q377="Group only"),"T0-ViaGroupOnly ","")&amp;IF($W377="Yes","AlsoAzureRBAC ","")))</f>
        <v/>
      </c>
      <c r="AN377" s="85">
        <f>IF($A377="","",IF(AG377="","Not Enrolled",IF(TODAY()&gt;AG377,"Review Overdue",IF(AG377-TODAY()&lt;=30,"Review Due Soon","Active"))))</f>
        <v/>
      </c>
      <c r="AO377" s="85">
        <f>IF($A377="","",IF(AH377="","NOT REVIEWED",IF(TODAY()-AH377&gt;90,"OVERDUE",IF(TODAY()-AH377&gt;76,"Due Soon","Current"))))</f>
        <v/>
      </c>
    </row>
    <row r="378" ht="15" customHeight="1" s="39">
      <c r="A378" s="85" t="n"/>
      <c r="B378" s="85" t="n"/>
      <c r="C378" s="85" t="n"/>
      <c r="D378" s="85" t="n"/>
      <c r="E378" s="85" t="n"/>
      <c r="F378" s="86" t="n"/>
      <c r="G378" s="86" t="n"/>
      <c r="H378" s="85" t="n"/>
      <c r="I378" s="85" t="n"/>
      <c r="J378" s="85" t="n"/>
      <c r="K378" s="85" t="n"/>
      <c r="L378" s="85" t="n"/>
      <c r="M378" s="85" t="n"/>
      <c r="N378" s="85" t="n"/>
      <c r="O378" s="85" t="n"/>
      <c r="P378" s="85" t="n"/>
      <c r="Q378" s="85" t="n"/>
      <c r="R378" s="85" t="n"/>
      <c r="S378" s="85" t="n"/>
      <c r="T378" s="85" t="n"/>
      <c r="U378" s="85" t="n"/>
      <c r="V378" s="85" t="n"/>
      <c r="W378" s="85" t="n"/>
      <c r="X378" s="85" t="n"/>
      <c r="Y378" s="85" t="n"/>
      <c r="Z378" s="85" t="n"/>
      <c r="AA378" s="85" t="n"/>
      <c r="AB378" s="85" t="n"/>
      <c r="AC378" s="85" t="n"/>
      <c r="AD378" s="85" t="n"/>
      <c r="AE378" s="85" t="n"/>
      <c r="AF378" s="86" t="n"/>
      <c r="AG378" s="86" t="n"/>
      <c r="AH378" s="86" t="n"/>
      <c r="AI378" s="85" t="n"/>
      <c r="AJ378" s="85" t="n"/>
      <c r="AK378" s="85">
        <f>IF($A378="","",IF($M378&gt;0,"Yes","No"))</f>
        <v/>
      </c>
      <c r="AL378" s="85">
        <f>IF($A378="","",IF(AND($E378="Yes",OR($Y378="No",$Y378="NOT FOUND")),"YES",""))</f>
        <v/>
      </c>
      <c r="AM378" s="85">
        <f>IF($A378="","",TRIM(IF(AND($P378=0,$I378&lt;&gt;"Yes"),"T0-NoPhishResistant ","")&amp;IF($H378="No","NoMFA ","")&amp;IF(AND($P378=0,$M378&gt;0),"T0-Standing ","")&amp;IF(AND($P378=0,$Q378="Group only"),"T0-ViaGroupOnly ","")&amp;IF($W378="Yes","AlsoAzureRBAC ","")))</f>
        <v/>
      </c>
      <c r="AN378" s="85">
        <f>IF($A378="","",IF(AG378="","Not Enrolled",IF(TODAY()&gt;AG378,"Review Overdue",IF(AG378-TODAY()&lt;=30,"Review Due Soon","Active"))))</f>
        <v/>
      </c>
      <c r="AO378" s="85">
        <f>IF($A378="","",IF(AH378="","NOT REVIEWED",IF(TODAY()-AH378&gt;90,"OVERDUE",IF(TODAY()-AH378&gt;76,"Due Soon","Current"))))</f>
        <v/>
      </c>
    </row>
    <row r="379" ht="15" customHeight="1" s="39">
      <c r="A379" s="85" t="n"/>
      <c r="B379" s="85" t="n"/>
      <c r="C379" s="85" t="n"/>
      <c r="D379" s="85" t="n"/>
      <c r="E379" s="85" t="n"/>
      <c r="F379" s="86" t="n"/>
      <c r="G379" s="86" t="n"/>
      <c r="H379" s="85" t="n"/>
      <c r="I379" s="85" t="n"/>
      <c r="J379" s="85" t="n"/>
      <c r="K379" s="85" t="n"/>
      <c r="L379" s="85" t="n"/>
      <c r="M379" s="85" t="n"/>
      <c r="N379" s="85" t="n"/>
      <c r="O379" s="85" t="n"/>
      <c r="P379" s="85" t="n"/>
      <c r="Q379" s="85" t="n"/>
      <c r="R379" s="85" t="n"/>
      <c r="S379" s="85" t="n"/>
      <c r="T379" s="85" t="n"/>
      <c r="U379" s="85" t="n"/>
      <c r="V379" s="85" t="n"/>
      <c r="W379" s="85" t="n"/>
      <c r="X379" s="85" t="n"/>
      <c r="Y379" s="85" t="n"/>
      <c r="Z379" s="85" t="n"/>
      <c r="AA379" s="85" t="n"/>
      <c r="AB379" s="85" t="n"/>
      <c r="AC379" s="85" t="n"/>
      <c r="AD379" s="85" t="n"/>
      <c r="AE379" s="85" t="n"/>
      <c r="AF379" s="86" t="n"/>
      <c r="AG379" s="86" t="n"/>
      <c r="AH379" s="86" t="n"/>
      <c r="AI379" s="85" t="n"/>
      <c r="AJ379" s="85" t="n"/>
      <c r="AK379" s="85">
        <f>IF($A379="","",IF($M379&gt;0,"Yes","No"))</f>
        <v/>
      </c>
      <c r="AL379" s="85">
        <f>IF($A379="","",IF(AND($E379="Yes",OR($Y379="No",$Y379="NOT FOUND")),"YES",""))</f>
        <v/>
      </c>
      <c r="AM379" s="85">
        <f>IF($A379="","",TRIM(IF(AND($P379=0,$I379&lt;&gt;"Yes"),"T0-NoPhishResistant ","")&amp;IF($H379="No","NoMFA ","")&amp;IF(AND($P379=0,$M379&gt;0),"T0-Standing ","")&amp;IF(AND($P379=0,$Q379="Group only"),"T0-ViaGroupOnly ","")&amp;IF($W379="Yes","AlsoAzureRBAC ","")))</f>
        <v/>
      </c>
      <c r="AN379" s="85">
        <f>IF($A379="","",IF(AG379="","Not Enrolled",IF(TODAY()&gt;AG379,"Review Overdue",IF(AG379-TODAY()&lt;=30,"Review Due Soon","Active"))))</f>
        <v/>
      </c>
      <c r="AO379" s="85">
        <f>IF($A379="","",IF(AH379="","NOT REVIEWED",IF(TODAY()-AH379&gt;90,"OVERDUE",IF(TODAY()-AH379&gt;76,"Due Soon","Current"))))</f>
        <v/>
      </c>
    </row>
    <row r="380" ht="15" customHeight="1" s="39">
      <c r="A380" s="85" t="n"/>
      <c r="B380" s="85" t="n"/>
      <c r="C380" s="85" t="n"/>
      <c r="D380" s="85" t="n"/>
      <c r="E380" s="85" t="n"/>
      <c r="F380" s="86" t="n"/>
      <c r="G380" s="86" t="n"/>
      <c r="H380" s="85" t="n"/>
      <c r="I380" s="85" t="n"/>
      <c r="J380" s="85" t="n"/>
      <c r="K380" s="85" t="n"/>
      <c r="L380" s="85" t="n"/>
      <c r="M380" s="85" t="n"/>
      <c r="N380" s="85" t="n"/>
      <c r="O380" s="85" t="n"/>
      <c r="P380" s="85" t="n"/>
      <c r="Q380" s="85" t="n"/>
      <c r="R380" s="85" t="n"/>
      <c r="S380" s="85" t="n"/>
      <c r="T380" s="85" t="n"/>
      <c r="U380" s="85" t="n"/>
      <c r="V380" s="85" t="n"/>
      <c r="W380" s="85" t="n"/>
      <c r="X380" s="85" t="n"/>
      <c r="Y380" s="85" t="n"/>
      <c r="Z380" s="85" t="n"/>
      <c r="AA380" s="85" t="n"/>
      <c r="AB380" s="85" t="n"/>
      <c r="AC380" s="85" t="n"/>
      <c r="AD380" s="85" t="n"/>
      <c r="AE380" s="85" t="n"/>
      <c r="AF380" s="86" t="n"/>
      <c r="AG380" s="86" t="n"/>
      <c r="AH380" s="86" t="n"/>
      <c r="AI380" s="85" t="n"/>
      <c r="AJ380" s="85" t="n"/>
      <c r="AK380" s="85">
        <f>IF($A380="","",IF($M380&gt;0,"Yes","No"))</f>
        <v/>
      </c>
      <c r="AL380" s="85">
        <f>IF($A380="","",IF(AND($E380="Yes",OR($Y380="No",$Y380="NOT FOUND")),"YES",""))</f>
        <v/>
      </c>
      <c r="AM380" s="85">
        <f>IF($A380="","",TRIM(IF(AND($P380=0,$I380&lt;&gt;"Yes"),"T0-NoPhishResistant ","")&amp;IF($H380="No","NoMFA ","")&amp;IF(AND($P380=0,$M380&gt;0),"T0-Standing ","")&amp;IF(AND($P380=0,$Q380="Group only"),"T0-ViaGroupOnly ","")&amp;IF($W380="Yes","AlsoAzureRBAC ","")))</f>
        <v/>
      </c>
      <c r="AN380" s="85">
        <f>IF($A380="","",IF(AG380="","Not Enrolled",IF(TODAY()&gt;AG380,"Review Overdue",IF(AG380-TODAY()&lt;=30,"Review Due Soon","Active"))))</f>
        <v/>
      </c>
      <c r="AO380" s="85">
        <f>IF($A380="","",IF(AH380="","NOT REVIEWED",IF(TODAY()-AH380&gt;90,"OVERDUE",IF(TODAY()-AH380&gt;76,"Due Soon","Current"))))</f>
        <v/>
      </c>
    </row>
    <row r="381" ht="15" customHeight="1" s="39">
      <c r="A381" s="85" t="n"/>
      <c r="B381" s="85" t="n"/>
      <c r="C381" s="85" t="n"/>
      <c r="D381" s="85" t="n"/>
      <c r="E381" s="85" t="n"/>
      <c r="F381" s="86" t="n"/>
      <c r="G381" s="86" t="n"/>
      <c r="H381" s="85" t="n"/>
      <c r="I381" s="85" t="n"/>
      <c r="J381" s="85" t="n"/>
      <c r="K381" s="85" t="n"/>
      <c r="L381" s="85" t="n"/>
      <c r="M381" s="85" t="n"/>
      <c r="N381" s="85" t="n"/>
      <c r="O381" s="85" t="n"/>
      <c r="P381" s="85" t="n"/>
      <c r="Q381" s="85" t="n"/>
      <c r="R381" s="85" t="n"/>
      <c r="S381" s="85" t="n"/>
      <c r="T381" s="85" t="n"/>
      <c r="U381" s="85" t="n"/>
      <c r="V381" s="85" t="n"/>
      <c r="W381" s="85" t="n"/>
      <c r="X381" s="85" t="n"/>
      <c r="Y381" s="85" t="n"/>
      <c r="Z381" s="85" t="n"/>
      <c r="AA381" s="85" t="n"/>
      <c r="AB381" s="85" t="n"/>
      <c r="AC381" s="85" t="n"/>
      <c r="AD381" s="85" t="n"/>
      <c r="AE381" s="85" t="n"/>
      <c r="AF381" s="86" t="n"/>
      <c r="AG381" s="86" t="n"/>
      <c r="AH381" s="86" t="n"/>
      <c r="AI381" s="85" t="n"/>
      <c r="AJ381" s="85" t="n"/>
      <c r="AK381" s="85">
        <f>IF($A381="","",IF($M381&gt;0,"Yes","No"))</f>
        <v/>
      </c>
      <c r="AL381" s="85">
        <f>IF($A381="","",IF(AND($E381="Yes",OR($Y381="No",$Y381="NOT FOUND")),"YES",""))</f>
        <v/>
      </c>
      <c r="AM381" s="85">
        <f>IF($A381="","",TRIM(IF(AND($P381=0,$I381&lt;&gt;"Yes"),"T0-NoPhishResistant ","")&amp;IF($H381="No","NoMFA ","")&amp;IF(AND($P381=0,$M381&gt;0),"T0-Standing ","")&amp;IF(AND($P381=0,$Q381="Group only"),"T0-ViaGroupOnly ","")&amp;IF($W381="Yes","AlsoAzureRBAC ","")))</f>
        <v/>
      </c>
      <c r="AN381" s="85">
        <f>IF($A381="","",IF(AG381="","Not Enrolled",IF(TODAY()&gt;AG381,"Review Overdue",IF(AG381-TODAY()&lt;=30,"Review Due Soon","Active"))))</f>
        <v/>
      </c>
      <c r="AO381" s="85">
        <f>IF($A381="","",IF(AH381="","NOT REVIEWED",IF(TODAY()-AH381&gt;90,"OVERDUE",IF(TODAY()-AH381&gt;76,"Due Soon","Current"))))</f>
        <v/>
      </c>
    </row>
    <row r="382" ht="15" customHeight="1" s="39">
      <c r="A382" s="85" t="n"/>
      <c r="B382" s="85" t="n"/>
      <c r="C382" s="85" t="n"/>
      <c r="D382" s="85" t="n"/>
      <c r="E382" s="85" t="n"/>
      <c r="F382" s="86" t="n"/>
      <c r="G382" s="86" t="n"/>
      <c r="H382" s="85" t="n"/>
      <c r="I382" s="85" t="n"/>
      <c r="J382" s="85" t="n"/>
      <c r="K382" s="85" t="n"/>
      <c r="L382" s="85" t="n"/>
      <c r="M382" s="85" t="n"/>
      <c r="N382" s="85" t="n"/>
      <c r="O382" s="85" t="n"/>
      <c r="P382" s="85" t="n"/>
      <c r="Q382" s="85" t="n"/>
      <c r="R382" s="85" t="n"/>
      <c r="S382" s="85" t="n"/>
      <c r="T382" s="85" t="n"/>
      <c r="U382" s="85" t="n"/>
      <c r="V382" s="85" t="n"/>
      <c r="W382" s="85" t="n"/>
      <c r="X382" s="85" t="n"/>
      <c r="Y382" s="85" t="n"/>
      <c r="Z382" s="85" t="n"/>
      <c r="AA382" s="85" t="n"/>
      <c r="AB382" s="85" t="n"/>
      <c r="AC382" s="85" t="n"/>
      <c r="AD382" s="85" t="n"/>
      <c r="AE382" s="85" t="n"/>
      <c r="AF382" s="86" t="n"/>
      <c r="AG382" s="86" t="n"/>
      <c r="AH382" s="86" t="n"/>
      <c r="AI382" s="85" t="n"/>
      <c r="AJ382" s="85" t="n"/>
      <c r="AK382" s="85">
        <f>IF($A382="","",IF($M382&gt;0,"Yes","No"))</f>
        <v/>
      </c>
      <c r="AL382" s="85">
        <f>IF($A382="","",IF(AND($E382="Yes",OR($Y382="No",$Y382="NOT FOUND")),"YES",""))</f>
        <v/>
      </c>
      <c r="AM382" s="85">
        <f>IF($A382="","",TRIM(IF(AND($P382=0,$I382&lt;&gt;"Yes"),"T0-NoPhishResistant ","")&amp;IF($H382="No","NoMFA ","")&amp;IF(AND($P382=0,$M382&gt;0),"T0-Standing ","")&amp;IF(AND($P382=0,$Q382="Group only"),"T0-ViaGroupOnly ","")&amp;IF($W382="Yes","AlsoAzureRBAC ","")))</f>
        <v/>
      </c>
      <c r="AN382" s="85">
        <f>IF($A382="","",IF(AG382="","Not Enrolled",IF(TODAY()&gt;AG382,"Review Overdue",IF(AG382-TODAY()&lt;=30,"Review Due Soon","Active"))))</f>
        <v/>
      </c>
      <c r="AO382" s="85">
        <f>IF($A382="","",IF(AH382="","NOT REVIEWED",IF(TODAY()-AH382&gt;90,"OVERDUE",IF(TODAY()-AH382&gt;76,"Due Soon","Current"))))</f>
        <v/>
      </c>
    </row>
    <row r="383" ht="15" customHeight="1" s="39">
      <c r="A383" s="85" t="n"/>
      <c r="B383" s="85" t="n"/>
      <c r="C383" s="85" t="n"/>
      <c r="D383" s="85" t="n"/>
      <c r="E383" s="85" t="n"/>
      <c r="F383" s="86" t="n"/>
      <c r="G383" s="86" t="n"/>
      <c r="H383" s="85" t="n"/>
      <c r="I383" s="85" t="n"/>
      <c r="J383" s="85" t="n"/>
      <c r="K383" s="85" t="n"/>
      <c r="L383" s="85" t="n"/>
      <c r="M383" s="85" t="n"/>
      <c r="N383" s="85" t="n"/>
      <c r="O383" s="85" t="n"/>
      <c r="P383" s="85" t="n"/>
      <c r="Q383" s="85" t="n"/>
      <c r="R383" s="85" t="n"/>
      <c r="S383" s="85" t="n"/>
      <c r="T383" s="85" t="n"/>
      <c r="U383" s="85" t="n"/>
      <c r="V383" s="85" t="n"/>
      <c r="W383" s="85" t="n"/>
      <c r="X383" s="85" t="n"/>
      <c r="Y383" s="85" t="n"/>
      <c r="Z383" s="85" t="n"/>
      <c r="AA383" s="85" t="n"/>
      <c r="AB383" s="85" t="n"/>
      <c r="AC383" s="85" t="n"/>
      <c r="AD383" s="85" t="n"/>
      <c r="AE383" s="85" t="n"/>
      <c r="AF383" s="86" t="n"/>
      <c r="AG383" s="86" t="n"/>
      <c r="AH383" s="86" t="n"/>
      <c r="AI383" s="85" t="n"/>
      <c r="AJ383" s="85" t="n"/>
      <c r="AK383" s="85">
        <f>IF($A383="","",IF($M383&gt;0,"Yes","No"))</f>
        <v/>
      </c>
      <c r="AL383" s="85">
        <f>IF($A383="","",IF(AND($E383="Yes",OR($Y383="No",$Y383="NOT FOUND")),"YES",""))</f>
        <v/>
      </c>
      <c r="AM383" s="85">
        <f>IF($A383="","",TRIM(IF(AND($P383=0,$I383&lt;&gt;"Yes"),"T0-NoPhishResistant ","")&amp;IF($H383="No","NoMFA ","")&amp;IF(AND($P383=0,$M383&gt;0),"T0-Standing ","")&amp;IF(AND($P383=0,$Q383="Group only"),"T0-ViaGroupOnly ","")&amp;IF($W383="Yes","AlsoAzureRBAC ","")))</f>
        <v/>
      </c>
      <c r="AN383" s="85">
        <f>IF($A383="","",IF(AG383="","Not Enrolled",IF(TODAY()&gt;AG383,"Review Overdue",IF(AG383-TODAY()&lt;=30,"Review Due Soon","Active"))))</f>
        <v/>
      </c>
      <c r="AO383" s="85">
        <f>IF($A383="","",IF(AH383="","NOT REVIEWED",IF(TODAY()-AH383&gt;90,"OVERDUE",IF(TODAY()-AH383&gt;76,"Due Soon","Current"))))</f>
        <v/>
      </c>
    </row>
    <row r="384" ht="15" customHeight="1" s="39">
      <c r="A384" s="85" t="n"/>
      <c r="B384" s="85" t="n"/>
      <c r="C384" s="85" t="n"/>
      <c r="D384" s="85" t="n"/>
      <c r="E384" s="85" t="n"/>
      <c r="F384" s="86" t="n"/>
      <c r="G384" s="86" t="n"/>
      <c r="H384" s="85" t="n"/>
      <c r="I384" s="85" t="n"/>
      <c r="J384" s="85" t="n"/>
      <c r="K384" s="85" t="n"/>
      <c r="L384" s="85" t="n"/>
      <c r="M384" s="85" t="n"/>
      <c r="N384" s="85" t="n"/>
      <c r="O384" s="85" t="n"/>
      <c r="P384" s="85" t="n"/>
      <c r="Q384" s="85" t="n"/>
      <c r="R384" s="85" t="n"/>
      <c r="S384" s="85" t="n"/>
      <c r="T384" s="85" t="n"/>
      <c r="U384" s="85" t="n"/>
      <c r="V384" s="85" t="n"/>
      <c r="W384" s="85" t="n"/>
      <c r="X384" s="85" t="n"/>
      <c r="Y384" s="85" t="n"/>
      <c r="Z384" s="85" t="n"/>
      <c r="AA384" s="85" t="n"/>
      <c r="AB384" s="85" t="n"/>
      <c r="AC384" s="85" t="n"/>
      <c r="AD384" s="85" t="n"/>
      <c r="AE384" s="85" t="n"/>
      <c r="AF384" s="86" t="n"/>
      <c r="AG384" s="86" t="n"/>
      <c r="AH384" s="86" t="n"/>
      <c r="AI384" s="85" t="n"/>
      <c r="AJ384" s="85" t="n"/>
      <c r="AK384" s="85">
        <f>IF($A384="","",IF($M384&gt;0,"Yes","No"))</f>
        <v/>
      </c>
      <c r="AL384" s="85">
        <f>IF($A384="","",IF(AND($E384="Yes",OR($Y384="No",$Y384="NOT FOUND")),"YES",""))</f>
        <v/>
      </c>
      <c r="AM384" s="85">
        <f>IF($A384="","",TRIM(IF(AND($P384=0,$I384&lt;&gt;"Yes"),"T0-NoPhishResistant ","")&amp;IF($H384="No","NoMFA ","")&amp;IF(AND($P384=0,$M384&gt;0),"T0-Standing ","")&amp;IF(AND($P384=0,$Q384="Group only"),"T0-ViaGroupOnly ","")&amp;IF($W384="Yes","AlsoAzureRBAC ","")))</f>
        <v/>
      </c>
      <c r="AN384" s="85">
        <f>IF($A384="","",IF(AG384="","Not Enrolled",IF(TODAY()&gt;AG384,"Review Overdue",IF(AG384-TODAY()&lt;=30,"Review Due Soon","Active"))))</f>
        <v/>
      </c>
      <c r="AO384" s="85">
        <f>IF($A384="","",IF(AH384="","NOT REVIEWED",IF(TODAY()-AH384&gt;90,"OVERDUE",IF(TODAY()-AH384&gt;76,"Due Soon","Current"))))</f>
        <v/>
      </c>
    </row>
    <row r="385" ht="15" customHeight="1" s="39">
      <c r="A385" s="85" t="n"/>
      <c r="B385" s="85" t="n"/>
      <c r="C385" s="85" t="n"/>
      <c r="D385" s="85" t="n"/>
      <c r="E385" s="85" t="n"/>
      <c r="F385" s="86" t="n"/>
      <c r="G385" s="86" t="n"/>
      <c r="H385" s="85" t="n"/>
      <c r="I385" s="85" t="n"/>
      <c r="J385" s="85" t="n"/>
      <c r="K385" s="85" t="n"/>
      <c r="L385" s="85" t="n"/>
      <c r="M385" s="85" t="n"/>
      <c r="N385" s="85" t="n"/>
      <c r="O385" s="85" t="n"/>
      <c r="P385" s="85" t="n"/>
      <c r="Q385" s="85" t="n"/>
      <c r="R385" s="85" t="n"/>
      <c r="S385" s="85" t="n"/>
      <c r="T385" s="85" t="n"/>
      <c r="U385" s="85" t="n"/>
      <c r="V385" s="85" t="n"/>
      <c r="W385" s="85" t="n"/>
      <c r="X385" s="85" t="n"/>
      <c r="Y385" s="85" t="n"/>
      <c r="Z385" s="85" t="n"/>
      <c r="AA385" s="85" t="n"/>
      <c r="AB385" s="85" t="n"/>
      <c r="AC385" s="85" t="n"/>
      <c r="AD385" s="85" t="n"/>
      <c r="AE385" s="85" t="n"/>
      <c r="AF385" s="86" t="n"/>
      <c r="AG385" s="86" t="n"/>
      <c r="AH385" s="86" t="n"/>
      <c r="AI385" s="85" t="n"/>
      <c r="AJ385" s="85" t="n"/>
      <c r="AK385" s="85">
        <f>IF($A385="","",IF($M385&gt;0,"Yes","No"))</f>
        <v/>
      </c>
      <c r="AL385" s="85">
        <f>IF($A385="","",IF(AND($E385="Yes",OR($Y385="No",$Y385="NOT FOUND")),"YES",""))</f>
        <v/>
      </c>
      <c r="AM385" s="85">
        <f>IF($A385="","",TRIM(IF(AND($P385=0,$I385&lt;&gt;"Yes"),"T0-NoPhishResistant ","")&amp;IF($H385="No","NoMFA ","")&amp;IF(AND($P385=0,$M385&gt;0),"T0-Standing ","")&amp;IF(AND($P385=0,$Q385="Group only"),"T0-ViaGroupOnly ","")&amp;IF($W385="Yes","AlsoAzureRBAC ","")))</f>
        <v/>
      </c>
      <c r="AN385" s="85">
        <f>IF($A385="","",IF(AG385="","Not Enrolled",IF(TODAY()&gt;AG385,"Review Overdue",IF(AG385-TODAY()&lt;=30,"Review Due Soon","Active"))))</f>
        <v/>
      </c>
      <c r="AO385" s="85">
        <f>IF($A385="","",IF(AH385="","NOT REVIEWED",IF(TODAY()-AH385&gt;90,"OVERDUE",IF(TODAY()-AH385&gt;76,"Due Soon","Current"))))</f>
        <v/>
      </c>
    </row>
    <row r="386" ht="15" customHeight="1" s="39">
      <c r="A386" s="85" t="n"/>
      <c r="B386" s="85" t="n"/>
      <c r="C386" s="85" t="n"/>
      <c r="D386" s="85" t="n"/>
      <c r="E386" s="85" t="n"/>
      <c r="F386" s="86" t="n"/>
      <c r="G386" s="86" t="n"/>
      <c r="H386" s="85" t="n"/>
      <c r="I386" s="85" t="n"/>
      <c r="J386" s="85" t="n"/>
      <c r="K386" s="85" t="n"/>
      <c r="L386" s="85" t="n"/>
      <c r="M386" s="85" t="n"/>
      <c r="N386" s="85" t="n"/>
      <c r="O386" s="85" t="n"/>
      <c r="P386" s="85" t="n"/>
      <c r="Q386" s="85" t="n"/>
      <c r="R386" s="85" t="n"/>
      <c r="S386" s="85" t="n"/>
      <c r="T386" s="85" t="n"/>
      <c r="U386" s="85" t="n"/>
      <c r="V386" s="85" t="n"/>
      <c r="W386" s="85" t="n"/>
      <c r="X386" s="85" t="n"/>
      <c r="Y386" s="85" t="n"/>
      <c r="Z386" s="85" t="n"/>
      <c r="AA386" s="85" t="n"/>
      <c r="AB386" s="85" t="n"/>
      <c r="AC386" s="85" t="n"/>
      <c r="AD386" s="85" t="n"/>
      <c r="AE386" s="85" t="n"/>
      <c r="AF386" s="86" t="n"/>
      <c r="AG386" s="86" t="n"/>
      <c r="AH386" s="86" t="n"/>
      <c r="AI386" s="85" t="n"/>
      <c r="AJ386" s="85" t="n"/>
      <c r="AK386" s="85">
        <f>IF($A386="","",IF($M386&gt;0,"Yes","No"))</f>
        <v/>
      </c>
      <c r="AL386" s="85">
        <f>IF($A386="","",IF(AND($E386="Yes",OR($Y386="No",$Y386="NOT FOUND")),"YES",""))</f>
        <v/>
      </c>
      <c r="AM386" s="85">
        <f>IF($A386="","",TRIM(IF(AND($P386=0,$I386&lt;&gt;"Yes"),"T0-NoPhishResistant ","")&amp;IF($H386="No","NoMFA ","")&amp;IF(AND($P386=0,$M386&gt;0),"T0-Standing ","")&amp;IF(AND($P386=0,$Q386="Group only"),"T0-ViaGroupOnly ","")&amp;IF($W386="Yes","AlsoAzureRBAC ","")))</f>
        <v/>
      </c>
      <c r="AN386" s="85">
        <f>IF($A386="","",IF(AG386="","Not Enrolled",IF(TODAY()&gt;AG386,"Review Overdue",IF(AG386-TODAY()&lt;=30,"Review Due Soon","Active"))))</f>
        <v/>
      </c>
      <c r="AO386" s="85">
        <f>IF($A386="","",IF(AH386="","NOT REVIEWED",IF(TODAY()-AH386&gt;90,"OVERDUE",IF(TODAY()-AH386&gt;76,"Due Soon","Current"))))</f>
        <v/>
      </c>
    </row>
    <row r="387" ht="15" customHeight="1" s="39">
      <c r="A387" s="85" t="n"/>
      <c r="B387" s="85" t="n"/>
      <c r="C387" s="85" t="n"/>
      <c r="D387" s="85" t="n"/>
      <c r="E387" s="85" t="n"/>
      <c r="F387" s="86" t="n"/>
      <c r="G387" s="86" t="n"/>
      <c r="H387" s="85" t="n"/>
      <c r="I387" s="85" t="n"/>
      <c r="J387" s="85" t="n"/>
      <c r="K387" s="85" t="n"/>
      <c r="L387" s="85" t="n"/>
      <c r="M387" s="85" t="n"/>
      <c r="N387" s="85" t="n"/>
      <c r="O387" s="85" t="n"/>
      <c r="P387" s="85" t="n"/>
      <c r="Q387" s="85" t="n"/>
      <c r="R387" s="85" t="n"/>
      <c r="S387" s="85" t="n"/>
      <c r="T387" s="85" t="n"/>
      <c r="U387" s="85" t="n"/>
      <c r="V387" s="85" t="n"/>
      <c r="W387" s="85" t="n"/>
      <c r="X387" s="85" t="n"/>
      <c r="Y387" s="85" t="n"/>
      <c r="Z387" s="85" t="n"/>
      <c r="AA387" s="85" t="n"/>
      <c r="AB387" s="85" t="n"/>
      <c r="AC387" s="85" t="n"/>
      <c r="AD387" s="85" t="n"/>
      <c r="AE387" s="85" t="n"/>
      <c r="AF387" s="86" t="n"/>
      <c r="AG387" s="86" t="n"/>
      <c r="AH387" s="86" t="n"/>
      <c r="AI387" s="85" t="n"/>
      <c r="AJ387" s="85" t="n"/>
      <c r="AK387" s="85">
        <f>IF($A387="","",IF($M387&gt;0,"Yes","No"))</f>
        <v/>
      </c>
      <c r="AL387" s="85">
        <f>IF($A387="","",IF(AND($E387="Yes",OR($Y387="No",$Y387="NOT FOUND")),"YES",""))</f>
        <v/>
      </c>
      <c r="AM387" s="85">
        <f>IF($A387="","",TRIM(IF(AND($P387=0,$I387&lt;&gt;"Yes"),"T0-NoPhishResistant ","")&amp;IF($H387="No","NoMFA ","")&amp;IF(AND($P387=0,$M387&gt;0),"T0-Standing ","")&amp;IF(AND($P387=0,$Q387="Group only"),"T0-ViaGroupOnly ","")&amp;IF($W387="Yes","AlsoAzureRBAC ","")))</f>
        <v/>
      </c>
      <c r="AN387" s="85">
        <f>IF($A387="","",IF(AG387="","Not Enrolled",IF(TODAY()&gt;AG387,"Review Overdue",IF(AG387-TODAY()&lt;=30,"Review Due Soon","Active"))))</f>
        <v/>
      </c>
      <c r="AO387" s="85">
        <f>IF($A387="","",IF(AH387="","NOT REVIEWED",IF(TODAY()-AH387&gt;90,"OVERDUE",IF(TODAY()-AH387&gt;76,"Due Soon","Current"))))</f>
        <v/>
      </c>
    </row>
    <row r="388" ht="15" customHeight="1" s="39">
      <c r="A388" s="85" t="n"/>
      <c r="B388" s="85" t="n"/>
      <c r="C388" s="85" t="n"/>
      <c r="D388" s="85" t="n"/>
      <c r="E388" s="85" t="n"/>
      <c r="F388" s="86" t="n"/>
      <c r="G388" s="86" t="n"/>
      <c r="H388" s="85" t="n"/>
      <c r="I388" s="85" t="n"/>
      <c r="J388" s="85" t="n"/>
      <c r="K388" s="85" t="n"/>
      <c r="L388" s="85" t="n"/>
      <c r="M388" s="85" t="n"/>
      <c r="N388" s="85" t="n"/>
      <c r="O388" s="85" t="n"/>
      <c r="P388" s="85" t="n"/>
      <c r="Q388" s="85" t="n"/>
      <c r="R388" s="85" t="n"/>
      <c r="S388" s="85" t="n"/>
      <c r="T388" s="85" t="n"/>
      <c r="U388" s="85" t="n"/>
      <c r="V388" s="85" t="n"/>
      <c r="W388" s="85" t="n"/>
      <c r="X388" s="85" t="n"/>
      <c r="Y388" s="85" t="n"/>
      <c r="Z388" s="85" t="n"/>
      <c r="AA388" s="85" t="n"/>
      <c r="AB388" s="85" t="n"/>
      <c r="AC388" s="85" t="n"/>
      <c r="AD388" s="85" t="n"/>
      <c r="AE388" s="85" t="n"/>
      <c r="AF388" s="86" t="n"/>
      <c r="AG388" s="86" t="n"/>
      <c r="AH388" s="86" t="n"/>
      <c r="AI388" s="85" t="n"/>
      <c r="AJ388" s="85" t="n"/>
      <c r="AK388" s="85">
        <f>IF($A388="","",IF($M388&gt;0,"Yes","No"))</f>
        <v/>
      </c>
      <c r="AL388" s="85">
        <f>IF($A388="","",IF(AND($E388="Yes",OR($Y388="No",$Y388="NOT FOUND")),"YES",""))</f>
        <v/>
      </c>
      <c r="AM388" s="85">
        <f>IF($A388="","",TRIM(IF(AND($P388=0,$I388&lt;&gt;"Yes"),"T0-NoPhishResistant ","")&amp;IF($H388="No","NoMFA ","")&amp;IF(AND($P388=0,$M388&gt;0),"T0-Standing ","")&amp;IF(AND($P388=0,$Q388="Group only"),"T0-ViaGroupOnly ","")&amp;IF($W388="Yes","AlsoAzureRBAC ","")))</f>
        <v/>
      </c>
      <c r="AN388" s="85">
        <f>IF($A388="","",IF(AG388="","Not Enrolled",IF(TODAY()&gt;AG388,"Review Overdue",IF(AG388-TODAY()&lt;=30,"Review Due Soon","Active"))))</f>
        <v/>
      </c>
      <c r="AO388" s="85">
        <f>IF($A388="","",IF(AH388="","NOT REVIEWED",IF(TODAY()-AH388&gt;90,"OVERDUE",IF(TODAY()-AH388&gt;76,"Due Soon","Current"))))</f>
        <v/>
      </c>
    </row>
    <row r="389" ht="15" customHeight="1" s="39">
      <c r="A389" s="85" t="n"/>
      <c r="B389" s="85" t="n"/>
      <c r="C389" s="85" t="n"/>
      <c r="D389" s="85" t="n"/>
      <c r="E389" s="85" t="n"/>
      <c r="F389" s="86" t="n"/>
      <c r="G389" s="86" t="n"/>
      <c r="H389" s="85" t="n"/>
      <c r="I389" s="85" t="n"/>
      <c r="J389" s="85" t="n"/>
      <c r="K389" s="85" t="n"/>
      <c r="L389" s="85" t="n"/>
      <c r="M389" s="85" t="n"/>
      <c r="N389" s="85" t="n"/>
      <c r="O389" s="85" t="n"/>
      <c r="P389" s="85" t="n"/>
      <c r="Q389" s="85" t="n"/>
      <c r="R389" s="85" t="n"/>
      <c r="S389" s="85" t="n"/>
      <c r="T389" s="85" t="n"/>
      <c r="U389" s="85" t="n"/>
      <c r="V389" s="85" t="n"/>
      <c r="W389" s="85" t="n"/>
      <c r="X389" s="85" t="n"/>
      <c r="Y389" s="85" t="n"/>
      <c r="Z389" s="85" t="n"/>
      <c r="AA389" s="85" t="n"/>
      <c r="AB389" s="85" t="n"/>
      <c r="AC389" s="85" t="n"/>
      <c r="AD389" s="85" t="n"/>
      <c r="AE389" s="85" t="n"/>
      <c r="AF389" s="86" t="n"/>
      <c r="AG389" s="86" t="n"/>
      <c r="AH389" s="86" t="n"/>
      <c r="AI389" s="85" t="n"/>
      <c r="AJ389" s="85" t="n"/>
      <c r="AK389" s="85">
        <f>IF($A389="","",IF($M389&gt;0,"Yes","No"))</f>
        <v/>
      </c>
      <c r="AL389" s="85">
        <f>IF($A389="","",IF(AND($E389="Yes",OR($Y389="No",$Y389="NOT FOUND")),"YES",""))</f>
        <v/>
      </c>
      <c r="AM389" s="85">
        <f>IF($A389="","",TRIM(IF(AND($P389=0,$I389&lt;&gt;"Yes"),"T0-NoPhishResistant ","")&amp;IF($H389="No","NoMFA ","")&amp;IF(AND($P389=0,$M389&gt;0),"T0-Standing ","")&amp;IF(AND($P389=0,$Q389="Group only"),"T0-ViaGroupOnly ","")&amp;IF($W389="Yes","AlsoAzureRBAC ","")))</f>
        <v/>
      </c>
      <c r="AN389" s="85">
        <f>IF($A389="","",IF(AG389="","Not Enrolled",IF(TODAY()&gt;AG389,"Review Overdue",IF(AG389-TODAY()&lt;=30,"Review Due Soon","Active"))))</f>
        <v/>
      </c>
      <c r="AO389" s="85">
        <f>IF($A389="","",IF(AH389="","NOT REVIEWED",IF(TODAY()-AH389&gt;90,"OVERDUE",IF(TODAY()-AH389&gt;76,"Due Soon","Current"))))</f>
        <v/>
      </c>
    </row>
    <row r="390" ht="15" customHeight="1" s="39">
      <c r="A390" s="85" t="n"/>
      <c r="B390" s="85" t="n"/>
      <c r="C390" s="85" t="n"/>
      <c r="D390" s="85" t="n"/>
      <c r="E390" s="85" t="n"/>
      <c r="F390" s="86" t="n"/>
      <c r="G390" s="86" t="n"/>
      <c r="H390" s="85" t="n"/>
      <c r="I390" s="85" t="n"/>
      <c r="J390" s="85" t="n"/>
      <c r="K390" s="85" t="n"/>
      <c r="L390" s="85" t="n"/>
      <c r="M390" s="85" t="n"/>
      <c r="N390" s="85" t="n"/>
      <c r="O390" s="85" t="n"/>
      <c r="P390" s="85" t="n"/>
      <c r="Q390" s="85" t="n"/>
      <c r="R390" s="85" t="n"/>
      <c r="S390" s="85" t="n"/>
      <c r="T390" s="85" t="n"/>
      <c r="U390" s="85" t="n"/>
      <c r="V390" s="85" t="n"/>
      <c r="W390" s="85" t="n"/>
      <c r="X390" s="85" t="n"/>
      <c r="Y390" s="85" t="n"/>
      <c r="Z390" s="85" t="n"/>
      <c r="AA390" s="85" t="n"/>
      <c r="AB390" s="85" t="n"/>
      <c r="AC390" s="85" t="n"/>
      <c r="AD390" s="85" t="n"/>
      <c r="AE390" s="85" t="n"/>
      <c r="AF390" s="86" t="n"/>
      <c r="AG390" s="86" t="n"/>
      <c r="AH390" s="86" t="n"/>
      <c r="AI390" s="85" t="n"/>
      <c r="AJ390" s="85" t="n"/>
      <c r="AK390" s="85">
        <f>IF($A390="","",IF($M390&gt;0,"Yes","No"))</f>
        <v/>
      </c>
      <c r="AL390" s="85">
        <f>IF($A390="","",IF(AND($E390="Yes",OR($Y390="No",$Y390="NOT FOUND")),"YES",""))</f>
        <v/>
      </c>
      <c r="AM390" s="85">
        <f>IF($A390="","",TRIM(IF(AND($P390=0,$I390&lt;&gt;"Yes"),"T0-NoPhishResistant ","")&amp;IF($H390="No","NoMFA ","")&amp;IF(AND($P390=0,$M390&gt;0),"T0-Standing ","")&amp;IF(AND($P390=0,$Q390="Group only"),"T0-ViaGroupOnly ","")&amp;IF($W390="Yes","AlsoAzureRBAC ","")))</f>
        <v/>
      </c>
      <c r="AN390" s="85">
        <f>IF($A390="","",IF(AG390="","Not Enrolled",IF(TODAY()&gt;AG390,"Review Overdue",IF(AG390-TODAY()&lt;=30,"Review Due Soon","Active"))))</f>
        <v/>
      </c>
      <c r="AO390" s="85">
        <f>IF($A390="","",IF(AH390="","NOT REVIEWED",IF(TODAY()-AH390&gt;90,"OVERDUE",IF(TODAY()-AH390&gt;76,"Due Soon","Current"))))</f>
        <v/>
      </c>
    </row>
    <row r="391" ht="15" customHeight="1" s="39">
      <c r="A391" s="85" t="n"/>
      <c r="B391" s="85" t="n"/>
      <c r="C391" s="85" t="n"/>
      <c r="D391" s="85" t="n"/>
      <c r="E391" s="85" t="n"/>
      <c r="F391" s="86" t="n"/>
      <c r="G391" s="86" t="n"/>
      <c r="H391" s="85" t="n"/>
      <c r="I391" s="85" t="n"/>
      <c r="J391" s="85" t="n"/>
      <c r="K391" s="85" t="n"/>
      <c r="L391" s="85" t="n"/>
      <c r="M391" s="85" t="n"/>
      <c r="N391" s="85" t="n"/>
      <c r="O391" s="85" t="n"/>
      <c r="P391" s="85" t="n"/>
      <c r="Q391" s="85" t="n"/>
      <c r="R391" s="85" t="n"/>
      <c r="S391" s="85" t="n"/>
      <c r="T391" s="85" t="n"/>
      <c r="U391" s="85" t="n"/>
      <c r="V391" s="85" t="n"/>
      <c r="W391" s="85" t="n"/>
      <c r="X391" s="85" t="n"/>
      <c r="Y391" s="85" t="n"/>
      <c r="Z391" s="85" t="n"/>
      <c r="AA391" s="85" t="n"/>
      <c r="AB391" s="85" t="n"/>
      <c r="AC391" s="85" t="n"/>
      <c r="AD391" s="85" t="n"/>
      <c r="AE391" s="85" t="n"/>
      <c r="AF391" s="86" t="n"/>
      <c r="AG391" s="86" t="n"/>
      <c r="AH391" s="86" t="n"/>
      <c r="AI391" s="85" t="n"/>
      <c r="AJ391" s="85" t="n"/>
      <c r="AK391" s="85">
        <f>IF($A391="","",IF($M391&gt;0,"Yes","No"))</f>
        <v/>
      </c>
      <c r="AL391" s="85">
        <f>IF($A391="","",IF(AND($E391="Yes",OR($Y391="No",$Y391="NOT FOUND")),"YES",""))</f>
        <v/>
      </c>
      <c r="AM391" s="85">
        <f>IF($A391="","",TRIM(IF(AND($P391=0,$I391&lt;&gt;"Yes"),"T0-NoPhishResistant ","")&amp;IF($H391="No","NoMFA ","")&amp;IF(AND($P391=0,$M391&gt;0),"T0-Standing ","")&amp;IF(AND($P391=0,$Q391="Group only"),"T0-ViaGroupOnly ","")&amp;IF($W391="Yes","AlsoAzureRBAC ","")))</f>
        <v/>
      </c>
      <c r="AN391" s="85">
        <f>IF($A391="","",IF(AG391="","Not Enrolled",IF(TODAY()&gt;AG391,"Review Overdue",IF(AG391-TODAY()&lt;=30,"Review Due Soon","Active"))))</f>
        <v/>
      </c>
      <c r="AO391" s="85">
        <f>IF($A391="","",IF(AH391="","NOT REVIEWED",IF(TODAY()-AH391&gt;90,"OVERDUE",IF(TODAY()-AH391&gt;76,"Due Soon","Current"))))</f>
        <v/>
      </c>
    </row>
    <row r="392" ht="15" customHeight="1" s="39">
      <c r="A392" s="85" t="n"/>
      <c r="B392" s="85" t="n"/>
      <c r="C392" s="85" t="n"/>
      <c r="D392" s="85" t="n"/>
      <c r="E392" s="85" t="n"/>
      <c r="F392" s="86" t="n"/>
      <c r="G392" s="86" t="n"/>
      <c r="H392" s="85" t="n"/>
      <c r="I392" s="85" t="n"/>
      <c r="J392" s="85" t="n"/>
      <c r="K392" s="85" t="n"/>
      <c r="L392" s="85" t="n"/>
      <c r="M392" s="85" t="n"/>
      <c r="N392" s="85" t="n"/>
      <c r="O392" s="85" t="n"/>
      <c r="P392" s="85" t="n"/>
      <c r="Q392" s="85" t="n"/>
      <c r="R392" s="85" t="n"/>
      <c r="S392" s="85" t="n"/>
      <c r="T392" s="85" t="n"/>
      <c r="U392" s="85" t="n"/>
      <c r="V392" s="85" t="n"/>
      <c r="W392" s="85" t="n"/>
      <c r="X392" s="85" t="n"/>
      <c r="Y392" s="85" t="n"/>
      <c r="Z392" s="85" t="n"/>
      <c r="AA392" s="85" t="n"/>
      <c r="AB392" s="85" t="n"/>
      <c r="AC392" s="85" t="n"/>
      <c r="AD392" s="85" t="n"/>
      <c r="AE392" s="85" t="n"/>
      <c r="AF392" s="86" t="n"/>
      <c r="AG392" s="86" t="n"/>
      <c r="AH392" s="86" t="n"/>
      <c r="AI392" s="85" t="n"/>
      <c r="AJ392" s="85" t="n"/>
      <c r="AK392" s="85">
        <f>IF($A392="","",IF($M392&gt;0,"Yes","No"))</f>
        <v/>
      </c>
      <c r="AL392" s="85">
        <f>IF($A392="","",IF(AND($E392="Yes",OR($Y392="No",$Y392="NOT FOUND")),"YES",""))</f>
        <v/>
      </c>
      <c r="AM392" s="85">
        <f>IF($A392="","",TRIM(IF(AND($P392=0,$I392&lt;&gt;"Yes"),"T0-NoPhishResistant ","")&amp;IF($H392="No","NoMFA ","")&amp;IF(AND($P392=0,$M392&gt;0),"T0-Standing ","")&amp;IF(AND($P392=0,$Q392="Group only"),"T0-ViaGroupOnly ","")&amp;IF($W392="Yes","AlsoAzureRBAC ","")))</f>
        <v/>
      </c>
      <c r="AN392" s="85">
        <f>IF($A392="","",IF(AG392="","Not Enrolled",IF(TODAY()&gt;AG392,"Review Overdue",IF(AG392-TODAY()&lt;=30,"Review Due Soon","Active"))))</f>
        <v/>
      </c>
      <c r="AO392" s="85">
        <f>IF($A392="","",IF(AH392="","NOT REVIEWED",IF(TODAY()-AH392&gt;90,"OVERDUE",IF(TODAY()-AH392&gt;76,"Due Soon","Current"))))</f>
        <v/>
      </c>
    </row>
    <row r="393" ht="15" customHeight="1" s="39">
      <c r="A393" s="85" t="n"/>
      <c r="B393" s="85" t="n"/>
      <c r="C393" s="85" t="n"/>
      <c r="D393" s="85" t="n"/>
      <c r="E393" s="85" t="n"/>
      <c r="F393" s="86" t="n"/>
      <c r="G393" s="86" t="n"/>
      <c r="H393" s="85" t="n"/>
      <c r="I393" s="85" t="n"/>
      <c r="J393" s="85" t="n"/>
      <c r="K393" s="85" t="n"/>
      <c r="L393" s="85" t="n"/>
      <c r="M393" s="85" t="n"/>
      <c r="N393" s="85" t="n"/>
      <c r="O393" s="85" t="n"/>
      <c r="P393" s="85" t="n"/>
      <c r="Q393" s="85" t="n"/>
      <c r="R393" s="85" t="n"/>
      <c r="S393" s="85" t="n"/>
      <c r="T393" s="85" t="n"/>
      <c r="U393" s="85" t="n"/>
      <c r="V393" s="85" t="n"/>
      <c r="W393" s="85" t="n"/>
      <c r="X393" s="85" t="n"/>
      <c r="Y393" s="85" t="n"/>
      <c r="Z393" s="85" t="n"/>
      <c r="AA393" s="85" t="n"/>
      <c r="AB393" s="85" t="n"/>
      <c r="AC393" s="85" t="n"/>
      <c r="AD393" s="85" t="n"/>
      <c r="AE393" s="85" t="n"/>
      <c r="AF393" s="86" t="n"/>
      <c r="AG393" s="86" t="n"/>
      <c r="AH393" s="86" t="n"/>
      <c r="AI393" s="85" t="n"/>
      <c r="AJ393" s="85" t="n"/>
      <c r="AK393" s="85">
        <f>IF($A393="","",IF($M393&gt;0,"Yes","No"))</f>
        <v/>
      </c>
      <c r="AL393" s="85">
        <f>IF($A393="","",IF(AND($E393="Yes",OR($Y393="No",$Y393="NOT FOUND")),"YES",""))</f>
        <v/>
      </c>
      <c r="AM393" s="85">
        <f>IF($A393="","",TRIM(IF(AND($P393=0,$I393&lt;&gt;"Yes"),"T0-NoPhishResistant ","")&amp;IF($H393="No","NoMFA ","")&amp;IF(AND($P393=0,$M393&gt;0),"T0-Standing ","")&amp;IF(AND($P393=0,$Q393="Group only"),"T0-ViaGroupOnly ","")&amp;IF($W393="Yes","AlsoAzureRBAC ","")))</f>
        <v/>
      </c>
      <c r="AN393" s="85">
        <f>IF($A393="","",IF(AG393="","Not Enrolled",IF(TODAY()&gt;AG393,"Review Overdue",IF(AG393-TODAY()&lt;=30,"Review Due Soon","Active"))))</f>
        <v/>
      </c>
      <c r="AO393" s="85">
        <f>IF($A393="","",IF(AH393="","NOT REVIEWED",IF(TODAY()-AH393&gt;90,"OVERDUE",IF(TODAY()-AH393&gt;76,"Due Soon","Current"))))</f>
        <v/>
      </c>
    </row>
    <row r="394" ht="15" customHeight="1" s="39">
      <c r="A394" s="85" t="n"/>
      <c r="B394" s="85" t="n"/>
      <c r="C394" s="85" t="n"/>
      <c r="D394" s="85" t="n"/>
      <c r="E394" s="85" t="n"/>
      <c r="F394" s="86" t="n"/>
      <c r="G394" s="86" t="n"/>
      <c r="H394" s="85" t="n"/>
      <c r="I394" s="85" t="n"/>
      <c r="J394" s="85" t="n"/>
      <c r="K394" s="85" t="n"/>
      <c r="L394" s="85" t="n"/>
      <c r="M394" s="85" t="n"/>
      <c r="N394" s="85" t="n"/>
      <c r="O394" s="85" t="n"/>
      <c r="P394" s="85" t="n"/>
      <c r="Q394" s="85" t="n"/>
      <c r="R394" s="85" t="n"/>
      <c r="S394" s="85" t="n"/>
      <c r="T394" s="85" t="n"/>
      <c r="U394" s="85" t="n"/>
      <c r="V394" s="85" t="n"/>
      <c r="W394" s="85" t="n"/>
      <c r="X394" s="85" t="n"/>
      <c r="Y394" s="85" t="n"/>
      <c r="Z394" s="85" t="n"/>
      <c r="AA394" s="85" t="n"/>
      <c r="AB394" s="85" t="n"/>
      <c r="AC394" s="85" t="n"/>
      <c r="AD394" s="85" t="n"/>
      <c r="AE394" s="85" t="n"/>
      <c r="AF394" s="86" t="n"/>
      <c r="AG394" s="86" t="n"/>
      <c r="AH394" s="86" t="n"/>
      <c r="AI394" s="85" t="n"/>
      <c r="AJ394" s="85" t="n"/>
      <c r="AK394" s="85">
        <f>IF($A394="","",IF($M394&gt;0,"Yes","No"))</f>
        <v/>
      </c>
      <c r="AL394" s="85">
        <f>IF($A394="","",IF(AND($E394="Yes",OR($Y394="No",$Y394="NOT FOUND")),"YES",""))</f>
        <v/>
      </c>
      <c r="AM394" s="85">
        <f>IF($A394="","",TRIM(IF(AND($P394=0,$I394&lt;&gt;"Yes"),"T0-NoPhishResistant ","")&amp;IF($H394="No","NoMFA ","")&amp;IF(AND($P394=0,$M394&gt;0),"T0-Standing ","")&amp;IF(AND($P394=0,$Q394="Group only"),"T0-ViaGroupOnly ","")&amp;IF($W394="Yes","AlsoAzureRBAC ","")))</f>
        <v/>
      </c>
      <c r="AN394" s="85">
        <f>IF($A394="","",IF(AG394="","Not Enrolled",IF(TODAY()&gt;AG394,"Review Overdue",IF(AG394-TODAY()&lt;=30,"Review Due Soon","Active"))))</f>
        <v/>
      </c>
      <c r="AO394" s="85">
        <f>IF($A394="","",IF(AH394="","NOT REVIEWED",IF(TODAY()-AH394&gt;90,"OVERDUE",IF(TODAY()-AH394&gt;76,"Due Soon","Current"))))</f>
        <v/>
      </c>
    </row>
    <row r="395" ht="15" customHeight="1" s="39">
      <c r="A395" s="85" t="n"/>
      <c r="B395" s="85" t="n"/>
      <c r="C395" s="85" t="n"/>
      <c r="D395" s="85" t="n"/>
      <c r="E395" s="85" t="n"/>
      <c r="F395" s="86" t="n"/>
      <c r="G395" s="86" t="n"/>
      <c r="H395" s="85" t="n"/>
      <c r="I395" s="85" t="n"/>
      <c r="J395" s="85" t="n"/>
      <c r="K395" s="85" t="n"/>
      <c r="L395" s="85" t="n"/>
      <c r="M395" s="85" t="n"/>
      <c r="N395" s="85" t="n"/>
      <c r="O395" s="85" t="n"/>
      <c r="P395" s="85" t="n"/>
      <c r="Q395" s="85" t="n"/>
      <c r="R395" s="85" t="n"/>
      <c r="S395" s="85" t="n"/>
      <c r="T395" s="85" t="n"/>
      <c r="U395" s="85" t="n"/>
      <c r="V395" s="85" t="n"/>
      <c r="W395" s="85" t="n"/>
      <c r="X395" s="85" t="n"/>
      <c r="Y395" s="85" t="n"/>
      <c r="Z395" s="85" t="n"/>
      <c r="AA395" s="85" t="n"/>
      <c r="AB395" s="85" t="n"/>
      <c r="AC395" s="85" t="n"/>
      <c r="AD395" s="85" t="n"/>
      <c r="AE395" s="85" t="n"/>
      <c r="AF395" s="86" t="n"/>
      <c r="AG395" s="86" t="n"/>
      <c r="AH395" s="86" t="n"/>
      <c r="AI395" s="85" t="n"/>
      <c r="AJ395" s="85" t="n"/>
      <c r="AK395" s="85">
        <f>IF($A395="","",IF($M395&gt;0,"Yes","No"))</f>
        <v/>
      </c>
      <c r="AL395" s="85">
        <f>IF($A395="","",IF(AND($E395="Yes",OR($Y395="No",$Y395="NOT FOUND")),"YES",""))</f>
        <v/>
      </c>
      <c r="AM395" s="85">
        <f>IF($A395="","",TRIM(IF(AND($P395=0,$I395&lt;&gt;"Yes"),"T0-NoPhishResistant ","")&amp;IF($H395="No","NoMFA ","")&amp;IF(AND($P395=0,$M395&gt;0),"T0-Standing ","")&amp;IF(AND($P395=0,$Q395="Group only"),"T0-ViaGroupOnly ","")&amp;IF($W395="Yes","AlsoAzureRBAC ","")))</f>
        <v/>
      </c>
      <c r="AN395" s="85">
        <f>IF($A395="","",IF(AG395="","Not Enrolled",IF(TODAY()&gt;AG395,"Review Overdue",IF(AG395-TODAY()&lt;=30,"Review Due Soon","Active"))))</f>
        <v/>
      </c>
      <c r="AO395" s="85">
        <f>IF($A395="","",IF(AH395="","NOT REVIEWED",IF(TODAY()-AH395&gt;90,"OVERDUE",IF(TODAY()-AH395&gt;76,"Due Soon","Current"))))</f>
        <v/>
      </c>
    </row>
    <row r="396" ht="15" customHeight="1" s="39">
      <c r="A396" s="85" t="n"/>
      <c r="B396" s="85" t="n"/>
      <c r="C396" s="85" t="n"/>
      <c r="D396" s="85" t="n"/>
      <c r="E396" s="85" t="n"/>
      <c r="F396" s="86" t="n"/>
      <c r="G396" s="86" t="n"/>
      <c r="H396" s="85" t="n"/>
      <c r="I396" s="85" t="n"/>
      <c r="J396" s="85" t="n"/>
      <c r="K396" s="85" t="n"/>
      <c r="L396" s="85" t="n"/>
      <c r="M396" s="85" t="n"/>
      <c r="N396" s="85" t="n"/>
      <c r="O396" s="85" t="n"/>
      <c r="P396" s="85" t="n"/>
      <c r="Q396" s="85" t="n"/>
      <c r="R396" s="85" t="n"/>
      <c r="S396" s="85" t="n"/>
      <c r="T396" s="85" t="n"/>
      <c r="U396" s="85" t="n"/>
      <c r="V396" s="85" t="n"/>
      <c r="W396" s="85" t="n"/>
      <c r="X396" s="85" t="n"/>
      <c r="Y396" s="85" t="n"/>
      <c r="Z396" s="85" t="n"/>
      <c r="AA396" s="85" t="n"/>
      <c r="AB396" s="85" t="n"/>
      <c r="AC396" s="85" t="n"/>
      <c r="AD396" s="85" t="n"/>
      <c r="AE396" s="85" t="n"/>
      <c r="AF396" s="86" t="n"/>
      <c r="AG396" s="86" t="n"/>
      <c r="AH396" s="86" t="n"/>
      <c r="AI396" s="85" t="n"/>
      <c r="AJ396" s="85" t="n"/>
      <c r="AK396" s="85">
        <f>IF($A396="","",IF($M396&gt;0,"Yes","No"))</f>
        <v/>
      </c>
      <c r="AL396" s="85">
        <f>IF($A396="","",IF(AND($E396="Yes",OR($Y396="No",$Y396="NOT FOUND")),"YES",""))</f>
        <v/>
      </c>
      <c r="AM396" s="85">
        <f>IF($A396="","",TRIM(IF(AND($P396=0,$I396&lt;&gt;"Yes"),"T0-NoPhishResistant ","")&amp;IF($H396="No","NoMFA ","")&amp;IF(AND($P396=0,$M396&gt;0),"T0-Standing ","")&amp;IF(AND($P396=0,$Q396="Group only"),"T0-ViaGroupOnly ","")&amp;IF($W396="Yes","AlsoAzureRBAC ","")))</f>
        <v/>
      </c>
      <c r="AN396" s="85">
        <f>IF($A396="","",IF(AG396="","Not Enrolled",IF(TODAY()&gt;AG396,"Review Overdue",IF(AG396-TODAY()&lt;=30,"Review Due Soon","Active"))))</f>
        <v/>
      </c>
      <c r="AO396" s="85">
        <f>IF($A396="","",IF(AH396="","NOT REVIEWED",IF(TODAY()-AH396&gt;90,"OVERDUE",IF(TODAY()-AH396&gt;76,"Due Soon","Current"))))</f>
        <v/>
      </c>
    </row>
    <row r="397" ht="15" customHeight="1" s="39">
      <c r="A397" s="85" t="n"/>
      <c r="B397" s="85" t="n"/>
      <c r="C397" s="85" t="n"/>
      <c r="D397" s="85" t="n"/>
      <c r="E397" s="85" t="n"/>
      <c r="F397" s="86" t="n"/>
      <c r="G397" s="86" t="n"/>
      <c r="H397" s="85" t="n"/>
      <c r="I397" s="85" t="n"/>
      <c r="J397" s="85" t="n"/>
      <c r="K397" s="85" t="n"/>
      <c r="L397" s="85" t="n"/>
      <c r="M397" s="85" t="n"/>
      <c r="N397" s="85" t="n"/>
      <c r="O397" s="85" t="n"/>
      <c r="P397" s="85" t="n"/>
      <c r="Q397" s="85" t="n"/>
      <c r="R397" s="85" t="n"/>
      <c r="S397" s="85" t="n"/>
      <c r="T397" s="85" t="n"/>
      <c r="U397" s="85" t="n"/>
      <c r="V397" s="85" t="n"/>
      <c r="W397" s="85" t="n"/>
      <c r="X397" s="85" t="n"/>
      <c r="Y397" s="85" t="n"/>
      <c r="Z397" s="85" t="n"/>
      <c r="AA397" s="85" t="n"/>
      <c r="AB397" s="85" t="n"/>
      <c r="AC397" s="85" t="n"/>
      <c r="AD397" s="85" t="n"/>
      <c r="AE397" s="85" t="n"/>
      <c r="AF397" s="86" t="n"/>
      <c r="AG397" s="86" t="n"/>
      <c r="AH397" s="86" t="n"/>
      <c r="AI397" s="85" t="n"/>
      <c r="AJ397" s="85" t="n"/>
      <c r="AK397" s="85">
        <f>IF($A397="","",IF($M397&gt;0,"Yes","No"))</f>
        <v/>
      </c>
      <c r="AL397" s="85">
        <f>IF($A397="","",IF(AND($E397="Yes",OR($Y397="No",$Y397="NOT FOUND")),"YES",""))</f>
        <v/>
      </c>
      <c r="AM397" s="85">
        <f>IF($A397="","",TRIM(IF(AND($P397=0,$I397&lt;&gt;"Yes"),"T0-NoPhishResistant ","")&amp;IF($H397="No","NoMFA ","")&amp;IF(AND($P397=0,$M397&gt;0),"T0-Standing ","")&amp;IF(AND($P397=0,$Q397="Group only"),"T0-ViaGroupOnly ","")&amp;IF($W397="Yes","AlsoAzureRBAC ","")))</f>
        <v/>
      </c>
      <c r="AN397" s="85">
        <f>IF($A397="","",IF(AG397="","Not Enrolled",IF(TODAY()&gt;AG397,"Review Overdue",IF(AG397-TODAY()&lt;=30,"Review Due Soon","Active"))))</f>
        <v/>
      </c>
      <c r="AO397" s="85">
        <f>IF($A397="","",IF(AH397="","NOT REVIEWED",IF(TODAY()-AH397&gt;90,"OVERDUE",IF(TODAY()-AH397&gt;76,"Due Soon","Current"))))</f>
        <v/>
      </c>
    </row>
    <row r="398" ht="15" customHeight="1" s="39">
      <c r="A398" s="85" t="n"/>
      <c r="B398" s="85" t="n"/>
      <c r="C398" s="85" t="n"/>
      <c r="D398" s="85" t="n"/>
      <c r="E398" s="85" t="n"/>
      <c r="F398" s="86" t="n"/>
      <c r="G398" s="86" t="n"/>
      <c r="H398" s="85" t="n"/>
      <c r="I398" s="85" t="n"/>
      <c r="J398" s="85" t="n"/>
      <c r="K398" s="85" t="n"/>
      <c r="L398" s="85" t="n"/>
      <c r="M398" s="85" t="n"/>
      <c r="N398" s="85" t="n"/>
      <c r="O398" s="85" t="n"/>
      <c r="P398" s="85" t="n"/>
      <c r="Q398" s="85" t="n"/>
      <c r="R398" s="85" t="n"/>
      <c r="S398" s="85" t="n"/>
      <c r="T398" s="85" t="n"/>
      <c r="U398" s="85" t="n"/>
      <c r="V398" s="85" t="n"/>
      <c r="W398" s="85" t="n"/>
      <c r="X398" s="85" t="n"/>
      <c r="Y398" s="85" t="n"/>
      <c r="Z398" s="85" t="n"/>
      <c r="AA398" s="85" t="n"/>
      <c r="AB398" s="85" t="n"/>
      <c r="AC398" s="85" t="n"/>
      <c r="AD398" s="85" t="n"/>
      <c r="AE398" s="85" t="n"/>
      <c r="AF398" s="86" t="n"/>
      <c r="AG398" s="86" t="n"/>
      <c r="AH398" s="86" t="n"/>
      <c r="AI398" s="85" t="n"/>
      <c r="AJ398" s="85" t="n"/>
      <c r="AK398" s="85">
        <f>IF($A398="","",IF($M398&gt;0,"Yes","No"))</f>
        <v/>
      </c>
      <c r="AL398" s="85">
        <f>IF($A398="","",IF(AND($E398="Yes",OR($Y398="No",$Y398="NOT FOUND")),"YES",""))</f>
        <v/>
      </c>
      <c r="AM398" s="85">
        <f>IF($A398="","",TRIM(IF(AND($P398=0,$I398&lt;&gt;"Yes"),"T0-NoPhishResistant ","")&amp;IF($H398="No","NoMFA ","")&amp;IF(AND($P398=0,$M398&gt;0),"T0-Standing ","")&amp;IF(AND($P398=0,$Q398="Group only"),"T0-ViaGroupOnly ","")&amp;IF($W398="Yes","AlsoAzureRBAC ","")))</f>
        <v/>
      </c>
      <c r="AN398" s="85">
        <f>IF($A398="","",IF(AG398="","Not Enrolled",IF(TODAY()&gt;AG398,"Review Overdue",IF(AG398-TODAY()&lt;=30,"Review Due Soon","Active"))))</f>
        <v/>
      </c>
      <c r="AO398" s="85">
        <f>IF($A398="","",IF(AH398="","NOT REVIEWED",IF(TODAY()-AH398&gt;90,"OVERDUE",IF(TODAY()-AH398&gt;76,"Due Soon","Current"))))</f>
        <v/>
      </c>
    </row>
    <row r="399" ht="15" customHeight="1" s="39">
      <c r="A399" s="85" t="n"/>
      <c r="B399" s="85" t="n"/>
      <c r="C399" s="85" t="n"/>
      <c r="D399" s="85" t="n"/>
      <c r="E399" s="85" t="n"/>
      <c r="F399" s="86" t="n"/>
      <c r="G399" s="86" t="n"/>
      <c r="H399" s="85" t="n"/>
      <c r="I399" s="85" t="n"/>
      <c r="J399" s="85" t="n"/>
      <c r="K399" s="85" t="n"/>
      <c r="L399" s="85" t="n"/>
      <c r="M399" s="85" t="n"/>
      <c r="N399" s="85" t="n"/>
      <c r="O399" s="85" t="n"/>
      <c r="P399" s="85" t="n"/>
      <c r="Q399" s="85" t="n"/>
      <c r="R399" s="85" t="n"/>
      <c r="S399" s="85" t="n"/>
      <c r="T399" s="85" t="n"/>
      <c r="U399" s="85" t="n"/>
      <c r="V399" s="85" t="n"/>
      <c r="W399" s="85" t="n"/>
      <c r="X399" s="85" t="n"/>
      <c r="Y399" s="85" t="n"/>
      <c r="Z399" s="85" t="n"/>
      <c r="AA399" s="85" t="n"/>
      <c r="AB399" s="85" t="n"/>
      <c r="AC399" s="85" t="n"/>
      <c r="AD399" s="85" t="n"/>
      <c r="AE399" s="85" t="n"/>
      <c r="AF399" s="86" t="n"/>
      <c r="AG399" s="86" t="n"/>
      <c r="AH399" s="86" t="n"/>
      <c r="AI399" s="85" t="n"/>
      <c r="AJ399" s="85" t="n"/>
      <c r="AK399" s="85">
        <f>IF($A399="","",IF($M399&gt;0,"Yes","No"))</f>
        <v/>
      </c>
      <c r="AL399" s="85">
        <f>IF($A399="","",IF(AND($E399="Yes",OR($Y399="No",$Y399="NOT FOUND")),"YES",""))</f>
        <v/>
      </c>
      <c r="AM399" s="85">
        <f>IF($A399="","",TRIM(IF(AND($P399=0,$I399&lt;&gt;"Yes"),"T0-NoPhishResistant ","")&amp;IF($H399="No","NoMFA ","")&amp;IF(AND($P399=0,$M399&gt;0),"T0-Standing ","")&amp;IF(AND($P399=0,$Q399="Group only"),"T0-ViaGroupOnly ","")&amp;IF($W399="Yes","AlsoAzureRBAC ","")))</f>
        <v/>
      </c>
      <c r="AN399" s="85">
        <f>IF($A399="","",IF(AG399="","Not Enrolled",IF(TODAY()&gt;AG399,"Review Overdue",IF(AG399-TODAY()&lt;=30,"Review Due Soon","Active"))))</f>
        <v/>
      </c>
      <c r="AO399" s="85">
        <f>IF($A399="","",IF(AH399="","NOT REVIEWED",IF(TODAY()-AH399&gt;90,"OVERDUE",IF(TODAY()-AH399&gt;76,"Due Soon","Current"))))</f>
        <v/>
      </c>
    </row>
    <row r="400" ht="15" customHeight="1" s="39">
      <c r="A400" s="85" t="n"/>
      <c r="B400" s="85" t="n"/>
      <c r="C400" s="85" t="n"/>
      <c r="D400" s="85" t="n"/>
      <c r="E400" s="85" t="n"/>
      <c r="F400" s="86" t="n"/>
      <c r="G400" s="86" t="n"/>
      <c r="H400" s="85" t="n"/>
      <c r="I400" s="85" t="n"/>
      <c r="J400" s="85" t="n"/>
      <c r="K400" s="85" t="n"/>
      <c r="L400" s="85" t="n"/>
      <c r="M400" s="85" t="n"/>
      <c r="N400" s="85" t="n"/>
      <c r="O400" s="85" t="n"/>
      <c r="P400" s="85" t="n"/>
      <c r="Q400" s="85" t="n"/>
      <c r="R400" s="85" t="n"/>
      <c r="S400" s="85" t="n"/>
      <c r="T400" s="85" t="n"/>
      <c r="U400" s="85" t="n"/>
      <c r="V400" s="85" t="n"/>
      <c r="W400" s="85" t="n"/>
      <c r="X400" s="85" t="n"/>
      <c r="Y400" s="85" t="n"/>
      <c r="Z400" s="85" t="n"/>
      <c r="AA400" s="85" t="n"/>
      <c r="AB400" s="85" t="n"/>
      <c r="AC400" s="85" t="n"/>
      <c r="AD400" s="85" t="n"/>
      <c r="AE400" s="85" t="n"/>
      <c r="AF400" s="86" t="n"/>
      <c r="AG400" s="86" t="n"/>
      <c r="AH400" s="86" t="n"/>
      <c r="AI400" s="85" t="n"/>
      <c r="AJ400" s="85" t="n"/>
      <c r="AK400" s="85">
        <f>IF($A400="","",IF($M400&gt;0,"Yes","No"))</f>
        <v/>
      </c>
      <c r="AL400" s="85">
        <f>IF($A400="","",IF(AND($E400="Yes",OR($Y400="No",$Y400="NOT FOUND")),"YES",""))</f>
        <v/>
      </c>
      <c r="AM400" s="85">
        <f>IF($A400="","",TRIM(IF(AND($P400=0,$I400&lt;&gt;"Yes"),"T0-NoPhishResistant ","")&amp;IF($H400="No","NoMFA ","")&amp;IF(AND($P400=0,$M400&gt;0),"T0-Standing ","")&amp;IF(AND($P400=0,$Q400="Group only"),"T0-ViaGroupOnly ","")&amp;IF($W400="Yes","AlsoAzureRBAC ","")))</f>
        <v/>
      </c>
      <c r="AN400" s="85">
        <f>IF($A400="","",IF(AG400="","Not Enrolled",IF(TODAY()&gt;AG400,"Review Overdue",IF(AG400-TODAY()&lt;=30,"Review Due Soon","Active"))))</f>
        <v/>
      </c>
      <c r="AO400" s="85">
        <f>IF($A400="","",IF(AH400="","NOT REVIEWED",IF(TODAY()-AH400&gt;90,"OVERDUE",IF(TODAY()-AH400&gt;76,"Due Soon","Current"))))</f>
        <v/>
      </c>
    </row>
    <row r="401" ht="15" customHeight="1" s="39">
      <c r="A401" s="85" t="n"/>
      <c r="B401" s="85" t="n"/>
      <c r="C401" s="85" t="n"/>
      <c r="D401" s="85" t="n"/>
      <c r="E401" s="85" t="n"/>
      <c r="F401" s="86" t="n"/>
      <c r="G401" s="86" t="n"/>
      <c r="H401" s="85" t="n"/>
      <c r="I401" s="85" t="n"/>
      <c r="J401" s="85" t="n"/>
      <c r="K401" s="85" t="n"/>
      <c r="L401" s="85" t="n"/>
      <c r="M401" s="85" t="n"/>
      <c r="N401" s="85" t="n"/>
      <c r="O401" s="85" t="n"/>
      <c r="P401" s="85" t="n"/>
      <c r="Q401" s="85" t="n"/>
      <c r="R401" s="85" t="n"/>
      <c r="S401" s="85" t="n"/>
      <c r="T401" s="85" t="n"/>
      <c r="U401" s="85" t="n"/>
      <c r="V401" s="85" t="n"/>
      <c r="W401" s="85" t="n"/>
      <c r="X401" s="85" t="n"/>
      <c r="Y401" s="85" t="n"/>
      <c r="Z401" s="85" t="n"/>
      <c r="AA401" s="85" t="n"/>
      <c r="AB401" s="85" t="n"/>
      <c r="AC401" s="85" t="n"/>
      <c r="AD401" s="85" t="n"/>
      <c r="AE401" s="85" t="n"/>
      <c r="AF401" s="86" t="n"/>
      <c r="AG401" s="86" t="n"/>
      <c r="AH401" s="86" t="n"/>
      <c r="AI401" s="85" t="n"/>
      <c r="AJ401" s="85" t="n"/>
      <c r="AK401" s="85">
        <f>IF($A401="","",IF($M401&gt;0,"Yes","No"))</f>
        <v/>
      </c>
      <c r="AL401" s="85">
        <f>IF($A401="","",IF(AND($E401="Yes",OR($Y401="No",$Y401="NOT FOUND")),"YES",""))</f>
        <v/>
      </c>
      <c r="AM401" s="85">
        <f>IF($A401="","",TRIM(IF(AND($P401=0,$I401&lt;&gt;"Yes"),"T0-NoPhishResistant ","")&amp;IF($H401="No","NoMFA ","")&amp;IF(AND($P401=0,$M401&gt;0),"T0-Standing ","")&amp;IF(AND($P401=0,$Q401="Group only"),"T0-ViaGroupOnly ","")&amp;IF($W401="Yes","AlsoAzureRBAC ","")))</f>
        <v/>
      </c>
      <c r="AN401" s="85">
        <f>IF($A401="","",IF(AG401="","Not Enrolled",IF(TODAY()&gt;AG401,"Review Overdue",IF(AG401-TODAY()&lt;=30,"Review Due Soon","Active"))))</f>
        <v/>
      </c>
      <c r="AO401" s="85">
        <f>IF($A401="","",IF(AH401="","NOT REVIEWED",IF(TODAY()-AH401&gt;90,"OVERDUE",IF(TODAY()-AH401&gt;76,"Due Soon","Current"))))</f>
        <v/>
      </c>
    </row>
    <row r="402" ht="15" customHeight="1" s="39">
      <c r="A402" s="85" t="n"/>
      <c r="B402" s="85" t="n"/>
      <c r="C402" s="85" t="n"/>
      <c r="D402" s="85" t="n"/>
      <c r="E402" s="85" t="n"/>
      <c r="F402" s="86" t="n"/>
      <c r="G402" s="86" t="n"/>
      <c r="H402" s="85" t="n"/>
      <c r="I402" s="85" t="n"/>
      <c r="J402" s="85" t="n"/>
      <c r="K402" s="85" t="n"/>
      <c r="L402" s="85" t="n"/>
      <c r="M402" s="85" t="n"/>
      <c r="N402" s="85" t="n"/>
      <c r="O402" s="85" t="n"/>
      <c r="P402" s="85" t="n"/>
      <c r="Q402" s="85" t="n"/>
      <c r="R402" s="85" t="n"/>
      <c r="S402" s="85" t="n"/>
      <c r="T402" s="85" t="n"/>
      <c r="U402" s="85" t="n"/>
      <c r="V402" s="85" t="n"/>
      <c r="W402" s="85" t="n"/>
      <c r="X402" s="85" t="n"/>
      <c r="Y402" s="85" t="n"/>
      <c r="Z402" s="85" t="n"/>
      <c r="AA402" s="85" t="n"/>
      <c r="AB402" s="85" t="n"/>
      <c r="AC402" s="85" t="n"/>
      <c r="AD402" s="85" t="n"/>
      <c r="AE402" s="85" t="n"/>
      <c r="AF402" s="86" t="n"/>
      <c r="AG402" s="86" t="n"/>
      <c r="AH402" s="86" t="n"/>
      <c r="AI402" s="85" t="n"/>
      <c r="AJ402" s="85" t="n"/>
      <c r="AK402" s="85">
        <f>IF($A402="","",IF($M402&gt;0,"Yes","No"))</f>
        <v/>
      </c>
      <c r="AL402" s="85">
        <f>IF($A402="","",IF(AND($E402="Yes",OR($Y402="No",$Y402="NOT FOUND")),"YES",""))</f>
        <v/>
      </c>
      <c r="AM402" s="85">
        <f>IF($A402="","",TRIM(IF(AND($P402=0,$I402&lt;&gt;"Yes"),"T0-NoPhishResistant ","")&amp;IF($H402="No","NoMFA ","")&amp;IF(AND($P402=0,$M402&gt;0),"T0-Standing ","")&amp;IF(AND($P402=0,$Q402="Group only"),"T0-ViaGroupOnly ","")&amp;IF($W402="Yes","AlsoAzureRBAC ","")))</f>
        <v/>
      </c>
      <c r="AN402" s="85">
        <f>IF($A402="","",IF(AG402="","Not Enrolled",IF(TODAY()&gt;AG402,"Review Overdue",IF(AG402-TODAY()&lt;=30,"Review Due Soon","Active"))))</f>
        <v/>
      </c>
      <c r="AO402" s="85">
        <f>IF($A402="","",IF(AH402="","NOT REVIEWED",IF(TODAY()-AH402&gt;90,"OVERDUE",IF(TODAY()-AH402&gt;76,"Due Soon","Current"))))</f>
        <v/>
      </c>
    </row>
    <row r="403" ht="15" customHeight="1" s="39">
      <c r="A403" s="85" t="n"/>
      <c r="B403" s="85" t="n"/>
      <c r="C403" s="85" t="n"/>
      <c r="D403" s="85" t="n"/>
      <c r="E403" s="85" t="n"/>
      <c r="F403" s="86" t="n"/>
      <c r="G403" s="86" t="n"/>
      <c r="H403" s="85" t="n"/>
      <c r="I403" s="85" t="n"/>
      <c r="J403" s="85" t="n"/>
      <c r="K403" s="85" t="n"/>
      <c r="L403" s="85" t="n"/>
      <c r="M403" s="85" t="n"/>
      <c r="N403" s="85" t="n"/>
      <c r="O403" s="85" t="n"/>
      <c r="P403" s="85" t="n"/>
      <c r="Q403" s="85" t="n"/>
      <c r="R403" s="85" t="n"/>
      <c r="S403" s="85" t="n"/>
      <c r="T403" s="85" t="n"/>
      <c r="U403" s="85" t="n"/>
      <c r="V403" s="85" t="n"/>
      <c r="W403" s="85" t="n"/>
      <c r="X403" s="85" t="n"/>
      <c r="Y403" s="85" t="n"/>
      <c r="Z403" s="85" t="n"/>
      <c r="AA403" s="85" t="n"/>
      <c r="AB403" s="85" t="n"/>
      <c r="AC403" s="85" t="n"/>
      <c r="AD403" s="85" t="n"/>
      <c r="AE403" s="85" t="n"/>
      <c r="AF403" s="86" t="n"/>
      <c r="AG403" s="86" t="n"/>
      <c r="AH403" s="86" t="n"/>
      <c r="AI403" s="85" t="n"/>
      <c r="AJ403" s="85" t="n"/>
      <c r="AK403" s="85">
        <f>IF($A403="","",IF($M403&gt;0,"Yes","No"))</f>
        <v/>
      </c>
      <c r="AL403" s="85">
        <f>IF($A403="","",IF(AND($E403="Yes",OR($Y403="No",$Y403="NOT FOUND")),"YES",""))</f>
        <v/>
      </c>
      <c r="AM403" s="85">
        <f>IF($A403="","",TRIM(IF(AND($P403=0,$I403&lt;&gt;"Yes"),"T0-NoPhishResistant ","")&amp;IF($H403="No","NoMFA ","")&amp;IF(AND($P403=0,$M403&gt;0),"T0-Standing ","")&amp;IF(AND($P403=0,$Q403="Group only"),"T0-ViaGroupOnly ","")&amp;IF($W403="Yes","AlsoAzureRBAC ","")))</f>
        <v/>
      </c>
      <c r="AN403" s="85">
        <f>IF($A403="","",IF(AG403="","Not Enrolled",IF(TODAY()&gt;AG403,"Review Overdue",IF(AG403-TODAY()&lt;=30,"Review Due Soon","Active"))))</f>
        <v/>
      </c>
      <c r="AO403" s="85">
        <f>IF($A403="","",IF(AH403="","NOT REVIEWED",IF(TODAY()-AH403&gt;90,"OVERDUE",IF(TODAY()-AH403&gt;76,"Due Soon","Current"))))</f>
        <v/>
      </c>
    </row>
    <row r="404" ht="15" customHeight="1" s="39">
      <c r="A404" s="85" t="n"/>
      <c r="B404" s="85" t="n"/>
      <c r="C404" s="85" t="n"/>
      <c r="D404" s="85" t="n"/>
      <c r="E404" s="85" t="n"/>
      <c r="F404" s="86" t="n"/>
      <c r="G404" s="86" t="n"/>
      <c r="H404" s="85" t="n"/>
      <c r="I404" s="85" t="n"/>
      <c r="J404" s="85" t="n"/>
      <c r="K404" s="85" t="n"/>
      <c r="L404" s="85" t="n"/>
      <c r="M404" s="85" t="n"/>
      <c r="N404" s="85" t="n"/>
      <c r="O404" s="85" t="n"/>
      <c r="P404" s="85" t="n"/>
      <c r="Q404" s="85" t="n"/>
      <c r="R404" s="85" t="n"/>
      <c r="S404" s="85" t="n"/>
      <c r="T404" s="85" t="n"/>
      <c r="U404" s="85" t="n"/>
      <c r="V404" s="85" t="n"/>
      <c r="W404" s="85" t="n"/>
      <c r="X404" s="85" t="n"/>
      <c r="Y404" s="85" t="n"/>
      <c r="Z404" s="85" t="n"/>
      <c r="AA404" s="85" t="n"/>
      <c r="AB404" s="85" t="n"/>
      <c r="AC404" s="85" t="n"/>
      <c r="AD404" s="85" t="n"/>
      <c r="AE404" s="85" t="n"/>
      <c r="AF404" s="86" t="n"/>
      <c r="AG404" s="86" t="n"/>
      <c r="AH404" s="86" t="n"/>
      <c r="AI404" s="85" t="n"/>
      <c r="AJ404" s="85" t="n"/>
      <c r="AK404" s="85">
        <f>IF($A404="","",IF($M404&gt;0,"Yes","No"))</f>
        <v/>
      </c>
      <c r="AL404" s="85">
        <f>IF($A404="","",IF(AND($E404="Yes",OR($Y404="No",$Y404="NOT FOUND")),"YES",""))</f>
        <v/>
      </c>
      <c r="AM404" s="85">
        <f>IF($A404="","",TRIM(IF(AND($P404=0,$I404&lt;&gt;"Yes"),"T0-NoPhishResistant ","")&amp;IF($H404="No","NoMFA ","")&amp;IF(AND($P404=0,$M404&gt;0),"T0-Standing ","")&amp;IF(AND($P404=0,$Q404="Group only"),"T0-ViaGroupOnly ","")&amp;IF($W404="Yes","AlsoAzureRBAC ","")))</f>
        <v/>
      </c>
      <c r="AN404" s="85">
        <f>IF($A404="","",IF(AG404="","Not Enrolled",IF(TODAY()&gt;AG404,"Review Overdue",IF(AG404-TODAY()&lt;=30,"Review Due Soon","Active"))))</f>
        <v/>
      </c>
      <c r="AO404" s="85">
        <f>IF($A404="","",IF(AH404="","NOT REVIEWED",IF(TODAY()-AH404&gt;90,"OVERDUE",IF(TODAY()-AH404&gt;76,"Due Soon","Current"))))</f>
        <v/>
      </c>
    </row>
    <row r="405" ht="15" customHeight="1" s="39">
      <c r="A405" s="85" t="n"/>
      <c r="B405" s="85" t="n"/>
      <c r="C405" s="85" t="n"/>
      <c r="D405" s="85" t="n"/>
      <c r="E405" s="85" t="n"/>
      <c r="F405" s="86" t="n"/>
      <c r="G405" s="86" t="n"/>
      <c r="H405" s="85" t="n"/>
      <c r="I405" s="85" t="n"/>
      <c r="J405" s="85" t="n"/>
      <c r="K405" s="85" t="n"/>
      <c r="L405" s="85" t="n"/>
      <c r="M405" s="85" t="n"/>
      <c r="N405" s="85" t="n"/>
      <c r="O405" s="85" t="n"/>
      <c r="P405" s="85" t="n"/>
      <c r="Q405" s="85" t="n"/>
      <c r="R405" s="85" t="n"/>
      <c r="S405" s="85" t="n"/>
      <c r="T405" s="85" t="n"/>
      <c r="U405" s="85" t="n"/>
      <c r="V405" s="85" t="n"/>
      <c r="W405" s="85" t="n"/>
      <c r="X405" s="85" t="n"/>
      <c r="Y405" s="85" t="n"/>
      <c r="Z405" s="85" t="n"/>
      <c r="AA405" s="85" t="n"/>
      <c r="AB405" s="85" t="n"/>
      <c r="AC405" s="85" t="n"/>
      <c r="AD405" s="85" t="n"/>
      <c r="AE405" s="85" t="n"/>
      <c r="AF405" s="86" t="n"/>
      <c r="AG405" s="86" t="n"/>
      <c r="AH405" s="86" t="n"/>
      <c r="AI405" s="85" t="n"/>
      <c r="AJ405" s="85" t="n"/>
      <c r="AK405" s="85">
        <f>IF($A405="","",IF($M405&gt;0,"Yes","No"))</f>
        <v/>
      </c>
      <c r="AL405" s="85">
        <f>IF($A405="","",IF(AND($E405="Yes",OR($Y405="No",$Y405="NOT FOUND")),"YES",""))</f>
        <v/>
      </c>
      <c r="AM405" s="85">
        <f>IF($A405="","",TRIM(IF(AND($P405=0,$I405&lt;&gt;"Yes"),"T0-NoPhishResistant ","")&amp;IF($H405="No","NoMFA ","")&amp;IF(AND($P405=0,$M405&gt;0),"T0-Standing ","")&amp;IF(AND($P405=0,$Q405="Group only"),"T0-ViaGroupOnly ","")&amp;IF($W405="Yes","AlsoAzureRBAC ","")))</f>
        <v/>
      </c>
      <c r="AN405" s="85">
        <f>IF($A405="","",IF(AG405="","Not Enrolled",IF(TODAY()&gt;AG405,"Review Overdue",IF(AG405-TODAY()&lt;=30,"Review Due Soon","Active"))))</f>
        <v/>
      </c>
      <c r="AO405" s="85">
        <f>IF($A405="","",IF(AH405="","NOT REVIEWED",IF(TODAY()-AH405&gt;90,"OVERDUE",IF(TODAY()-AH405&gt;76,"Due Soon","Current"))))</f>
        <v/>
      </c>
    </row>
    <row r="406" ht="15" customHeight="1" s="39">
      <c r="A406" s="85" t="n"/>
      <c r="B406" s="85" t="n"/>
      <c r="C406" s="85" t="n"/>
      <c r="D406" s="85" t="n"/>
      <c r="E406" s="85" t="n"/>
      <c r="F406" s="86" t="n"/>
      <c r="G406" s="86" t="n"/>
      <c r="H406" s="85" t="n"/>
      <c r="I406" s="85" t="n"/>
      <c r="J406" s="85" t="n"/>
      <c r="K406" s="85" t="n"/>
      <c r="L406" s="85" t="n"/>
      <c r="M406" s="85" t="n"/>
      <c r="N406" s="85" t="n"/>
      <c r="O406" s="85" t="n"/>
      <c r="P406" s="85" t="n"/>
      <c r="Q406" s="85" t="n"/>
      <c r="R406" s="85" t="n"/>
      <c r="S406" s="85" t="n"/>
      <c r="T406" s="85" t="n"/>
      <c r="U406" s="85" t="n"/>
      <c r="V406" s="85" t="n"/>
      <c r="W406" s="85" t="n"/>
      <c r="X406" s="85" t="n"/>
      <c r="Y406" s="85" t="n"/>
      <c r="Z406" s="85" t="n"/>
      <c r="AA406" s="85" t="n"/>
      <c r="AB406" s="85" t="n"/>
      <c r="AC406" s="85" t="n"/>
      <c r="AD406" s="85" t="n"/>
      <c r="AE406" s="85" t="n"/>
      <c r="AF406" s="86" t="n"/>
      <c r="AG406" s="86" t="n"/>
      <c r="AH406" s="86" t="n"/>
      <c r="AI406" s="85" t="n"/>
      <c r="AJ406" s="85" t="n"/>
      <c r="AK406" s="85">
        <f>IF($A406="","",IF($M406&gt;0,"Yes","No"))</f>
        <v/>
      </c>
      <c r="AL406" s="85">
        <f>IF($A406="","",IF(AND($E406="Yes",OR($Y406="No",$Y406="NOT FOUND")),"YES",""))</f>
        <v/>
      </c>
      <c r="AM406" s="85">
        <f>IF($A406="","",TRIM(IF(AND($P406=0,$I406&lt;&gt;"Yes"),"T0-NoPhishResistant ","")&amp;IF($H406="No","NoMFA ","")&amp;IF(AND($P406=0,$M406&gt;0),"T0-Standing ","")&amp;IF(AND($P406=0,$Q406="Group only"),"T0-ViaGroupOnly ","")&amp;IF($W406="Yes","AlsoAzureRBAC ","")))</f>
        <v/>
      </c>
      <c r="AN406" s="85">
        <f>IF($A406="","",IF(AG406="","Not Enrolled",IF(TODAY()&gt;AG406,"Review Overdue",IF(AG406-TODAY()&lt;=30,"Review Due Soon","Active"))))</f>
        <v/>
      </c>
      <c r="AO406" s="85">
        <f>IF($A406="","",IF(AH406="","NOT REVIEWED",IF(TODAY()-AH406&gt;90,"OVERDUE",IF(TODAY()-AH406&gt;76,"Due Soon","Current"))))</f>
        <v/>
      </c>
    </row>
    <row r="407" ht="15" customHeight="1" s="39">
      <c r="A407" s="85" t="n"/>
      <c r="B407" s="85" t="n"/>
      <c r="C407" s="85" t="n"/>
      <c r="D407" s="85" t="n"/>
      <c r="E407" s="85" t="n"/>
      <c r="F407" s="86" t="n"/>
      <c r="G407" s="86" t="n"/>
      <c r="H407" s="85" t="n"/>
      <c r="I407" s="85" t="n"/>
      <c r="J407" s="85" t="n"/>
      <c r="K407" s="85" t="n"/>
      <c r="L407" s="85" t="n"/>
      <c r="M407" s="85" t="n"/>
      <c r="N407" s="85" t="n"/>
      <c r="O407" s="85" t="n"/>
      <c r="P407" s="85" t="n"/>
      <c r="Q407" s="85" t="n"/>
      <c r="R407" s="85" t="n"/>
      <c r="S407" s="85" t="n"/>
      <c r="T407" s="85" t="n"/>
      <c r="U407" s="85" t="n"/>
      <c r="V407" s="85" t="n"/>
      <c r="W407" s="85" t="n"/>
      <c r="X407" s="85" t="n"/>
      <c r="Y407" s="85" t="n"/>
      <c r="Z407" s="85" t="n"/>
      <c r="AA407" s="85" t="n"/>
      <c r="AB407" s="85" t="n"/>
      <c r="AC407" s="85" t="n"/>
      <c r="AD407" s="85" t="n"/>
      <c r="AE407" s="85" t="n"/>
      <c r="AF407" s="86" t="n"/>
      <c r="AG407" s="86" t="n"/>
      <c r="AH407" s="86" t="n"/>
      <c r="AI407" s="85" t="n"/>
      <c r="AJ407" s="85" t="n"/>
      <c r="AK407" s="85">
        <f>IF($A407="","",IF($M407&gt;0,"Yes","No"))</f>
        <v/>
      </c>
      <c r="AL407" s="85">
        <f>IF($A407="","",IF(AND($E407="Yes",OR($Y407="No",$Y407="NOT FOUND")),"YES",""))</f>
        <v/>
      </c>
      <c r="AM407" s="85">
        <f>IF($A407="","",TRIM(IF(AND($P407=0,$I407&lt;&gt;"Yes"),"T0-NoPhishResistant ","")&amp;IF($H407="No","NoMFA ","")&amp;IF(AND($P407=0,$M407&gt;0),"T0-Standing ","")&amp;IF(AND($P407=0,$Q407="Group only"),"T0-ViaGroupOnly ","")&amp;IF($W407="Yes","AlsoAzureRBAC ","")))</f>
        <v/>
      </c>
      <c r="AN407" s="85">
        <f>IF($A407="","",IF(AG407="","Not Enrolled",IF(TODAY()&gt;AG407,"Review Overdue",IF(AG407-TODAY()&lt;=30,"Review Due Soon","Active"))))</f>
        <v/>
      </c>
      <c r="AO407" s="85">
        <f>IF($A407="","",IF(AH407="","NOT REVIEWED",IF(TODAY()-AH407&gt;90,"OVERDUE",IF(TODAY()-AH407&gt;76,"Due Soon","Current"))))</f>
        <v/>
      </c>
    </row>
    <row r="408" ht="15" customHeight="1" s="39">
      <c r="A408" s="85" t="n"/>
      <c r="B408" s="85" t="n"/>
      <c r="C408" s="85" t="n"/>
      <c r="D408" s="85" t="n"/>
      <c r="E408" s="85" t="n"/>
      <c r="F408" s="86" t="n"/>
      <c r="G408" s="86" t="n"/>
      <c r="H408" s="85" t="n"/>
      <c r="I408" s="85" t="n"/>
      <c r="J408" s="85" t="n"/>
      <c r="K408" s="85" t="n"/>
      <c r="L408" s="85" t="n"/>
      <c r="M408" s="85" t="n"/>
      <c r="N408" s="85" t="n"/>
      <c r="O408" s="85" t="n"/>
      <c r="P408" s="85" t="n"/>
      <c r="Q408" s="85" t="n"/>
      <c r="R408" s="85" t="n"/>
      <c r="S408" s="85" t="n"/>
      <c r="T408" s="85" t="n"/>
      <c r="U408" s="85" t="n"/>
      <c r="V408" s="85" t="n"/>
      <c r="W408" s="85" t="n"/>
      <c r="X408" s="85" t="n"/>
      <c r="Y408" s="85" t="n"/>
      <c r="Z408" s="85" t="n"/>
      <c r="AA408" s="85" t="n"/>
      <c r="AB408" s="85" t="n"/>
      <c r="AC408" s="85" t="n"/>
      <c r="AD408" s="85" t="n"/>
      <c r="AE408" s="85" t="n"/>
      <c r="AF408" s="86" t="n"/>
      <c r="AG408" s="86" t="n"/>
      <c r="AH408" s="86" t="n"/>
      <c r="AI408" s="85" t="n"/>
      <c r="AJ408" s="85" t="n"/>
      <c r="AK408" s="85">
        <f>IF($A408="","",IF($M408&gt;0,"Yes","No"))</f>
        <v/>
      </c>
      <c r="AL408" s="85">
        <f>IF($A408="","",IF(AND($E408="Yes",OR($Y408="No",$Y408="NOT FOUND")),"YES",""))</f>
        <v/>
      </c>
      <c r="AM408" s="85">
        <f>IF($A408="","",TRIM(IF(AND($P408=0,$I408&lt;&gt;"Yes"),"T0-NoPhishResistant ","")&amp;IF($H408="No","NoMFA ","")&amp;IF(AND($P408=0,$M408&gt;0),"T0-Standing ","")&amp;IF(AND($P408=0,$Q408="Group only"),"T0-ViaGroupOnly ","")&amp;IF($W408="Yes","AlsoAzureRBAC ","")))</f>
        <v/>
      </c>
      <c r="AN408" s="85">
        <f>IF($A408="","",IF(AG408="","Not Enrolled",IF(TODAY()&gt;AG408,"Review Overdue",IF(AG408-TODAY()&lt;=30,"Review Due Soon","Active"))))</f>
        <v/>
      </c>
      <c r="AO408" s="85">
        <f>IF($A408="","",IF(AH408="","NOT REVIEWED",IF(TODAY()-AH408&gt;90,"OVERDUE",IF(TODAY()-AH408&gt;76,"Due Soon","Current"))))</f>
        <v/>
      </c>
    </row>
    <row r="409" ht="15" customHeight="1" s="39">
      <c r="A409" s="85" t="n"/>
      <c r="B409" s="85" t="n"/>
      <c r="C409" s="85" t="n"/>
      <c r="D409" s="85" t="n"/>
      <c r="E409" s="85" t="n"/>
      <c r="F409" s="86" t="n"/>
      <c r="G409" s="86" t="n"/>
      <c r="H409" s="85" t="n"/>
      <c r="I409" s="85" t="n"/>
      <c r="J409" s="85" t="n"/>
      <c r="K409" s="85" t="n"/>
      <c r="L409" s="85" t="n"/>
      <c r="M409" s="85" t="n"/>
      <c r="N409" s="85" t="n"/>
      <c r="O409" s="85" t="n"/>
      <c r="P409" s="85" t="n"/>
      <c r="Q409" s="85" t="n"/>
      <c r="R409" s="85" t="n"/>
      <c r="S409" s="85" t="n"/>
      <c r="T409" s="85" t="n"/>
      <c r="U409" s="85" t="n"/>
      <c r="V409" s="85" t="n"/>
      <c r="W409" s="85" t="n"/>
      <c r="X409" s="85" t="n"/>
      <c r="Y409" s="85" t="n"/>
      <c r="Z409" s="85" t="n"/>
      <c r="AA409" s="85" t="n"/>
      <c r="AB409" s="85" t="n"/>
      <c r="AC409" s="85" t="n"/>
      <c r="AD409" s="85" t="n"/>
      <c r="AE409" s="85" t="n"/>
      <c r="AF409" s="86" t="n"/>
      <c r="AG409" s="86" t="n"/>
      <c r="AH409" s="86" t="n"/>
      <c r="AI409" s="85" t="n"/>
      <c r="AJ409" s="85" t="n"/>
      <c r="AK409" s="85">
        <f>IF($A409="","",IF($M409&gt;0,"Yes","No"))</f>
        <v/>
      </c>
      <c r="AL409" s="85">
        <f>IF($A409="","",IF(AND($E409="Yes",OR($Y409="No",$Y409="NOT FOUND")),"YES",""))</f>
        <v/>
      </c>
      <c r="AM409" s="85">
        <f>IF($A409="","",TRIM(IF(AND($P409=0,$I409&lt;&gt;"Yes"),"T0-NoPhishResistant ","")&amp;IF($H409="No","NoMFA ","")&amp;IF(AND($P409=0,$M409&gt;0),"T0-Standing ","")&amp;IF(AND($P409=0,$Q409="Group only"),"T0-ViaGroupOnly ","")&amp;IF($W409="Yes","AlsoAzureRBAC ","")))</f>
        <v/>
      </c>
      <c r="AN409" s="85">
        <f>IF($A409="","",IF(AG409="","Not Enrolled",IF(TODAY()&gt;AG409,"Review Overdue",IF(AG409-TODAY()&lt;=30,"Review Due Soon","Active"))))</f>
        <v/>
      </c>
      <c r="AO409" s="85">
        <f>IF($A409="","",IF(AH409="","NOT REVIEWED",IF(TODAY()-AH409&gt;90,"OVERDUE",IF(TODAY()-AH409&gt;76,"Due Soon","Current"))))</f>
        <v/>
      </c>
    </row>
    <row r="410" ht="15" customHeight="1" s="39">
      <c r="A410" s="85" t="n"/>
      <c r="B410" s="85" t="n"/>
      <c r="C410" s="85" t="n"/>
      <c r="D410" s="85" t="n"/>
      <c r="E410" s="85" t="n"/>
      <c r="F410" s="86" t="n"/>
      <c r="G410" s="86" t="n"/>
      <c r="H410" s="85" t="n"/>
      <c r="I410" s="85" t="n"/>
      <c r="J410" s="85" t="n"/>
      <c r="K410" s="85" t="n"/>
      <c r="L410" s="85" t="n"/>
      <c r="M410" s="85" t="n"/>
      <c r="N410" s="85" t="n"/>
      <c r="O410" s="85" t="n"/>
      <c r="P410" s="85" t="n"/>
      <c r="Q410" s="85" t="n"/>
      <c r="R410" s="85" t="n"/>
      <c r="S410" s="85" t="n"/>
      <c r="T410" s="85" t="n"/>
      <c r="U410" s="85" t="n"/>
      <c r="V410" s="85" t="n"/>
      <c r="W410" s="85" t="n"/>
      <c r="X410" s="85" t="n"/>
      <c r="Y410" s="85" t="n"/>
      <c r="Z410" s="85" t="n"/>
      <c r="AA410" s="85" t="n"/>
      <c r="AB410" s="85" t="n"/>
      <c r="AC410" s="85" t="n"/>
      <c r="AD410" s="85" t="n"/>
      <c r="AE410" s="85" t="n"/>
      <c r="AF410" s="86" t="n"/>
      <c r="AG410" s="86" t="n"/>
      <c r="AH410" s="86" t="n"/>
      <c r="AI410" s="85" t="n"/>
      <c r="AJ410" s="85" t="n"/>
      <c r="AK410" s="85">
        <f>IF($A410="","",IF($M410&gt;0,"Yes","No"))</f>
        <v/>
      </c>
      <c r="AL410" s="85">
        <f>IF($A410="","",IF(AND($E410="Yes",OR($Y410="No",$Y410="NOT FOUND")),"YES",""))</f>
        <v/>
      </c>
      <c r="AM410" s="85">
        <f>IF($A410="","",TRIM(IF(AND($P410=0,$I410&lt;&gt;"Yes"),"T0-NoPhishResistant ","")&amp;IF($H410="No","NoMFA ","")&amp;IF(AND($P410=0,$M410&gt;0),"T0-Standing ","")&amp;IF(AND($P410=0,$Q410="Group only"),"T0-ViaGroupOnly ","")&amp;IF($W410="Yes","AlsoAzureRBAC ","")))</f>
        <v/>
      </c>
      <c r="AN410" s="85">
        <f>IF($A410="","",IF(AG410="","Not Enrolled",IF(TODAY()&gt;AG410,"Review Overdue",IF(AG410-TODAY()&lt;=30,"Review Due Soon","Active"))))</f>
        <v/>
      </c>
      <c r="AO410" s="85">
        <f>IF($A410="","",IF(AH410="","NOT REVIEWED",IF(TODAY()-AH410&gt;90,"OVERDUE",IF(TODAY()-AH410&gt;76,"Due Soon","Current"))))</f>
        <v/>
      </c>
    </row>
    <row r="411" ht="15" customHeight="1" s="39">
      <c r="A411" s="85" t="n"/>
      <c r="B411" s="85" t="n"/>
      <c r="C411" s="85" t="n"/>
      <c r="D411" s="85" t="n"/>
      <c r="E411" s="85" t="n"/>
      <c r="F411" s="86" t="n"/>
      <c r="G411" s="86" t="n"/>
      <c r="H411" s="85" t="n"/>
      <c r="I411" s="85" t="n"/>
      <c r="J411" s="85" t="n"/>
      <c r="K411" s="85" t="n"/>
      <c r="L411" s="85" t="n"/>
      <c r="M411" s="85" t="n"/>
      <c r="N411" s="85" t="n"/>
      <c r="O411" s="85" t="n"/>
      <c r="P411" s="85" t="n"/>
      <c r="Q411" s="85" t="n"/>
      <c r="R411" s="85" t="n"/>
      <c r="S411" s="85" t="n"/>
      <c r="T411" s="85" t="n"/>
      <c r="U411" s="85" t="n"/>
      <c r="V411" s="85" t="n"/>
      <c r="W411" s="85" t="n"/>
      <c r="X411" s="85" t="n"/>
      <c r="Y411" s="85" t="n"/>
      <c r="Z411" s="85" t="n"/>
      <c r="AA411" s="85" t="n"/>
      <c r="AB411" s="85" t="n"/>
      <c r="AC411" s="85" t="n"/>
      <c r="AD411" s="85" t="n"/>
      <c r="AE411" s="85" t="n"/>
      <c r="AF411" s="86" t="n"/>
      <c r="AG411" s="86" t="n"/>
      <c r="AH411" s="86" t="n"/>
      <c r="AI411" s="85" t="n"/>
      <c r="AJ411" s="85" t="n"/>
      <c r="AK411" s="85">
        <f>IF($A411="","",IF($M411&gt;0,"Yes","No"))</f>
        <v/>
      </c>
      <c r="AL411" s="85">
        <f>IF($A411="","",IF(AND($E411="Yes",OR($Y411="No",$Y411="NOT FOUND")),"YES",""))</f>
        <v/>
      </c>
      <c r="AM411" s="85">
        <f>IF($A411="","",TRIM(IF(AND($P411=0,$I411&lt;&gt;"Yes"),"T0-NoPhishResistant ","")&amp;IF($H411="No","NoMFA ","")&amp;IF(AND($P411=0,$M411&gt;0),"T0-Standing ","")&amp;IF(AND($P411=0,$Q411="Group only"),"T0-ViaGroupOnly ","")&amp;IF($W411="Yes","AlsoAzureRBAC ","")))</f>
        <v/>
      </c>
      <c r="AN411" s="85">
        <f>IF($A411="","",IF(AG411="","Not Enrolled",IF(TODAY()&gt;AG411,"Review Overdue",IF(AG411-TODAY()&lt;=30,"Review Due Soon","Active"))))</f>
        <v/>
      </c>
      <c r="AO411" s="85">
        <f>IF($A411="","",IF(AH411="","NOT REVIEWED",IF(TODAY()-AH411&gt;90,"OVERDUE",IF(TODAY()-AH411&gt;76,"Due Soon","Current"))))</f>
        <v/>
      </c>
    </row>
    <row r="412" ht="15" customHeight="1" s="39">
      <c r="A412" s="85" t="n"/>
      <c r="B412" s="85" t="n"/>
      <c r="C412" s="85" t="n"/>
      <c r="D412" s="85" t="n"/>
      <c r="E412" s="85" t="n"/>
      <c r="F412" s="86" t="n"/>
      <c r="G412" s="86" t="n"/>
      <c r="H412" s="85" t="n"/>
      <c r="I412" s="85" t="n"/>
      <c r="J412" s="85" t="n"/>
      <c r="K412" s="85" t="n"/>
      <c r="L412" s="85" t="n"/>
      <c r="M412" s="85" t="n"/>
      <c r="N412" s="85" t="n"/>
      <c r="O412" s="85" t="n"/>
      <c r="P412" s="85" t="n"/>
      <c r="Q412" s="85" t="n"/>
      <c r="R412" s="85" t="n"/>
      <c r="S412" s="85" t="n"/>
      <c r="T412" s="85" t="n"/>
      <c r="U412" s="85" t="n"/>
      <c r="V412" s="85" t="n"/>
      <c r="W412" s="85" t="n"/>
      <c r="X412" s="85" t="n"/>
      <c r="Y412" s="85" t="n"/>
      <c r="Z412" s="85" t="n"/>
      <c r="AA412" s="85" t="n"/>
      <c r="AB412" s="85" t="n"/>
      <c r="AC412" s="85" t="n"/>
      <c r="AD412" s="85" t="n"/>
      <c r="AE412" s="85" t="n"/>
      <c r="AF412" s="86" t="n"/>
      <c r="AG412" s="86" t="n"/>
      <c r="AH412" s="86" t="n"/>
      <c r="AI412" s="85" t="n"/>
      <c r="AJ412" s="85" t="n"/>
      <c r="AK412" s="85">
        <f>IF($A412="","",IF($M412&gt;0,"Yes","No"))</f>
        <v/>
      </c>
      <c r="AL412" s="85">
        <f>IF($A412="","",IF(AND($E412="Yes",OR($Y412="No",$Y412="NOT FOUND")),"YES",""))</f>
        <v/>
      </c>
      <c r="AM412" s="85">
        <f>IF($A412="","",TRIM(IF(AND($P412=0,$I412&lt;&gt;"Yes"),"T0-NoPhishResistant ","")&amp;IF($H412="No","NoMFA ","")&amp;IF(AND($P412=0,$M412&gt;0),"T0-Standing ","")&amp;IF(AND($P412=0,$Q412="Group only"),"T0-ViaGroupOnly ","")&amp;IF($W412="Yes","AlsoAzureRBAC ","")))</f>
        <v/>
      </c>
      <c r="AN412" s="85">
        <f>IF($A412="","",IF(AG412="","Not Enrolled",IF(TODAY()&gt;AG412,"Review Overdue",IF(AG412-TODAY()&lt;=30,"Review Due Soon","Active"))))</f>
        <v/>
      </c>
      <c r="AO412" s="85">
        <f>IF($A412="","",IF(AH412="","NOT REVIEWED",IF(TODAY()-AH412&gt;90,"OVERDUE",IF(TODAY()-AH412&gt;76,"Due Soon","Current"))))</f>
        <v/>
      </c>
    </row>
    <row r="413" ht="15" customHeight="1" s="39">
      <c r="A413" s="85" t="n"/>
      <c r="B413" s="85" t="n"/>
      <c r="C413" s="85" t="n"/>
      <c r="D413" s="85" t="n"/>
      <c r="E413" s="85" t="n"/>
      <c r="F413" s="86" t="n"/>
      <c r="G413" s="86" t="n"/>
      <c r="H413" s="85" t="n"/>
      <c r="I413" s="85" t="n"/>
      <c r="J413" s="85" t="n"/>
      <c r="K413" s="85" t="n"/>
      <c r="L413" s="85" t="n"/>
      <c r="M413" s="85" t="n"/>
      <c r="N413" s="85" t="n"/>
      <c r="O413" s="85" t="n"/>
      <c r="P413" s="85" t="n"/>
      <c r="Q413" s="85" t="n"/>
      <c r="R413" s="85" t="n"/>
      <c r="S413" s="85" t="n"/>
      <c r="T413" s="85" t="n"/>
      <c r="U413" s="85" t="n"/>
      <c r="V413" s="85" t="n"/>
      <c r="W413" s="85" t="n"/>
      <c r="X413" s="85" t="n"/>
      <c r="Y413" s="85" t="n"/>
      <c r="Z413" s="85" t="n"/>
      <c r="AA413" s="85" t="n"/>
      <c r="AB413" s="85" t="n"/>
      <c r="AC413" s="85" t="n"/>
      <c r="AD413" s="85" t="n"/>
      <c r="AE413" s="85" t="n"/>
      <c r="AF413" s="86" t="n"/>
      <c r="AG413" s="86" t="n"/>
      <c r="AH413" s="86" t="n"/>
      <c r="AI413" s="85" t="n"/>
      <c r="AJ413" s="85" t="n"/>
      <c r="AK413" s="85">
        <f>IF($A413="","",IF($M413&gt;0,"Yes","No"))</f>
        <v/>
      </c>
      <c r="AL413" s="85">
        <f>IF($A413="","",IF(AND($E413="Yes",OR($Y413="No",$Y413="NOT FOUND")),"YES",""))</f>
        <v/>
      </c>
      <c r="AM413" s="85">
        <f>IF($A413="","",TRIM(IF(AND($P413=0,$I413&lt;&gt;"Yes"),"T0-NoPhishResistant ","")&amp;IF($H413="No","NoMFA ","")&amp;IF(AND($P413=0,$M413&gt;0),"T0-Standing ","")&amp;IF(AND($P413=0,$Q413="Group only"),"T0-ViaGroupOnly ","")&amp;IF($W413="Yes","AlsoAzureRBAC ","")))</f>
        <v/>
      </c>
      <c r="AN413" s="85">
        <f>IF($A413="","",IF(AG413="","Not Enrolled",IF(TODAY()&gt;AG413,"Review Overdue",IF(AG413-TODAY()&lt;=30,"Review Due Soon","Active"))))</f>
        <v/>
      </c>
      <c r="AO413" s="85">
        <f>IF($A413="","",IF(AH413="","NOT REVIEWED",IF(TODAY()-AH413&gt;90,"OVERDUE",IF(TODAY()-AH413&gt;76,"Due Soon","Current"))))</f>
        <v/>
      </c>
    </row>
    <row r="414" ht="15" customHeight="1" s="39">
      <c r="A414" s="85" t="n"/>
      <c r="B414" s="85" t="n"/>
      <c r="C414" s="85" t="n"/>
      <c r="D414" s="85" t="n"/>
      <c r="E414" s="85" t="n"/>
      <c r="F414" s="86" t="n"/>
      <c r="G414" s="86" t="n"/>
      <c r="H414" s="85" t="n"/>
      <c r="I414" s="85" t="n"/>
      <c r="J414" s="85" t="n"/>
      <c r="K414" s="85" t="n"/>
      <c r="L414" s="85" t="n"/>
      <c r="M414" s="85" t="n"/>
      <c r="N414" s="85" t="n"/>
      <c r="O414" s="85" t="n"/>
      <c r="P414" s="85" t="n"/>
      <c r="Q414" s="85" t="n"/>
      <c r="R414" s="85" t="n"/>
      <c r="S414" s="85" t="n"/>
      <c r="T414" s="85" t="n"/>
      <c r="U414" s="85" t="n"/>
      <c r="V414" s="85" t="n"/>
      <c r="W414" s="85" t="n"/>
      <c r="X414" s="85" t="n"/>
      <c r="Y414" s="85" t="n"/>
      <c r="Z414" s="85" t="n"/>
      <c r="AA414" s="85" t="n"/>
      <c r="AB414" s="85" t="n"/>
      <c r="AC414" s="85" t="n"/>
      <c r="AD414" s="85" t="n"/>
      <c r="AE414" s="85" t="n"/>
      <c r="AF414" s="86" t="n"/>
      <c r="AG414" s="86" t="n"/>
      <c r="AH414" s="86" t="n"/>
      <c r="AI414" s="85" t="n"/>
      <c r="AJ414" s="85" t="n"/>
      <c r="AK414" s="85">
        <f>IF($A414="","",IF($M414&gt;0,"Yes","No"))</f>
        <v/>
      </c>
      <c r="AL414" s="85">
        <f>IF($A414="","",IF(AND($E414="Yes",OR($Y414="No",$Y414="NOT FOUND")),"YES",""))</f>
        <v/>
      </c>
      <c r="AM414" s="85">
        <f>IF($A414="","",TRIM(IF(AND($P414=0,$I414&lt;&gt;"Yes"),"T0-NoPhishResistant ","")&amp;IF($H414="No","NoMFA ","")&amp;IF(AND($P414=0,$M414&gt;0),"T0-Standing ","")&amp;IF(AND($P414=0,$Q414="Group only"),"T0-ViaGroupOnly ","")&amp;IF($W414="Yes","AlsoAzureRBAC ","")))</f>
        <v/>
      </c>
      <c r="AN414" s="85">
        <f>IF($A414="","",IF(AG414="","Not Enrolled",IF(TODAY()&gt;AG414,"Review Overdue",IF(AG414-TODAY()&lt;=30,"Review Due Soon","Active"))))</f>
        <v/>
      </c>
      <c r="AO414" s="85">
        <f>IF($A414="","",IF(AH414="","NOT REVIEWED",IF(TODAY()-AH414&gt;90,"OVERDUE",IF(TODAY()-AH414&gt;76,"Due Soon","Current"))))</f>
        <v/>
      </c>
    </row>
    <row r="415" ht="15" customHeight="1" s="39">
      <c r="A415" s="85" t="n"/>
      <c r="B415" s="85" t="n"/>
      <c r="C415" s="85" t="n"/>
      <c r="D415" s="85" t="n"/>
      <c r="E415" s="85" t="n"/>
      <c r="F415" s="86" t="n"/>
      <c r="G415" s="86" t="n"/>
      <c r="H415" s="85" t="n"/>
      <c r="I415" s="85" t="n"/>
      <c r="J415" s="85" t="n"/>
      <c r="K415" s="85" t="n"/>
      <c r="L415" s="85" t="n"/>
      <c r="M415" s="85" t="n"/>
      <c r="N415" s="85" t="n"/>
      <c r="O415" s="85" t="n"/>
      <c r="P415" s="85" t="n"/>
      <c r="Q415" s="85" t="n"/>
      <c r="R415" s="85" t="n"/>
      <c r="S415" s="85" t="n"/>
      <c r="T415" s="85" t="n"/>
      <c r="U415" s="85" t="n"/>
      <c r="V415" s="85" t="n"/>
      <c r="W415" s="85" t="n"/>
      <c r="X415" s="85" t="n"/>
      <c r="Y415" s="85" t="n"/>
      <c r="Z415" s="85" t="n"/>
      <c r="AA415" s="85" t="n"/>
      <c r="AB415" s="85" t="n"/>
      <c r="AC415" s="85" t="n"/>
      <c r="AD415" s="85" t="n"/>
      <c r="AE415" s="85" t="n"/>
      <c r="AF415" s="86" t="n"/>
      <c r="AG415" s="86" t="n"/>
      <c r="AH415" s="86" t="n"/>
      <c r="AI415" s="85" t="n"/>
      <c r="AJ415" s="85" t="n"/>
      <c r="AK415" s="85">
        <f>IF($A415="","",IF($M415&gt;0,"Yes","No"))</f>
        <v/>
      </c>
      <c r="AL415" s="85">
        <f>IF($A415="","",IF(AND($E415="Yes",OR($Y415="No",$Y415="NOT FOUND")),"YES",""))</f>
        <v/>
      </c>
      <c r="AM415" s="85">
        <f>IF($A415="","",TRIM(IF(AND($P415=0,$I415&lt;&gt;"Yes"),"T0-NoPhishResistant ","")&amp;IF($H415="No","NoMFA ","")&amp;IF(AND($P415=0,$M415&gt;0),"T0-Standing ","")&amp;IF(AND($P415=0,$Q415="Group only"),"T0-ViaGroupOnly ","")&amp;IF($W415="Yes","AlsoAzureRBAC ","")))</f>
        <v/>
      </c>
      <c r="AN415" s="85">
        <f>IF($A415="","",IF(AG415="","Not Enrolled",IF(TODAY()&gt;AG415,"Review Overdue",IF(AG415-TODAY()&lt;=30,"Review Due Soon","Active"))))</f>
        <v/>
      </c>
      <c r="AO415" s="85">
        <f>IF($A415="","",IF(AH415="","NOT REVIEWED",IF(TODAY()-AH415&gt;90,"OVERDUE",IF(TODAY()-AH415&gt;76,"Due Soon","Current"))))</f>
        <v/>
      </c>
    </row>
    <row r="416" ht="15" customHeight="1" s="39">
      <c r="A416" s="85" t="n"/>
      <c r="B416" s="85" t="n"/>
      <c r="C416" s="85" t="n"/>
      <c r="D416" s="85" t="n"/>
      <c r="E416" s="85" t="n"/>
      <c r="F416" s="86" t="n"/>
      <c r="G416" s="86" t="n"/>
      <c r="H416" s="85" t="n"/>
      <c r="I416" s="85" t="n"/>
      <c r="J416" s="85" t="n"/>
      <c r="K416" s="85" t="n"/>
      <c r="L416" s="85" t="n"/>
      <c r="M416" s="85" t="n"/>
      <c r="N416" s="85" t="n"/>
      <c r="O416" s="85" t="n"/>
      <c r="P416" s="85" t="n"/>
      <c r="Q416" s="85" t="n"/>
      <c r="R416" s="85" t="n"/>
      <c r="S416" s="85" t="n"/>
      <c r="T416" s="85" t="n"/>
      <c r="U416" s="85" t="n"/>
      <c r="V416" s="85" t="n"/>
      <c r="W416" s="85" t="n"/>
      <c r="X416" s="85" t="n"/>
      <c r="Y416" s="85" t="n"/>
      <c r="Z416" s="85" t="n"/>
      <c r="AA416" s="85" t="n"/>
      <c r="AB416" s="85" t="n"/>
      <c r="AC416" s="85" t="n"/>
      <c r="AD416" s="85" t="n"/>
      <c r="AE416" s="85" t="n"/>
      <c r="AF416" s="86" t="n"/>
      <c r="AG416" s="86" t="n"/>
      <c r="AH416" s="86" t="n"/>
      <c r="AI416" s="85" t="n"/>
      <c r="AJ416" s="85" t="n"/>
      <c r="AK416" s="85">
        <f>IF($A416="","",IF($M416&gt;0,"Yes","No"))</f>
        <v/>
      </c>
      <c r="AL416" s="85">
        <f>IF($A416="","",IF(AND($E416="Yes",OR($Y416="No",$Y416="NOT FOUND")),"YES",""))</f>
        <v/>
      </c>
      <c r="AM416" s="85">
        <f>IF($A416="","",TRIM(IF(AND($P416=0,$I416&lt;&gt;"Yes"),"T0-NoPhishResistant ","")&amp;IF($H416="No","NoMFA ","")&amp;IF(AND($P416=0,$M416&gt;0),"T0-Standing ","")&amp;IF(AND($P416=0,$Q416="Group only"),"T0-ViaGroupOnly ","")&amp;IF($W416="Yes","AlsoAzureRBAC ","")))</f>
        <v/>
      </c>
      <c r="AN416" s="85">
        <f>IF($A416="","",IF(AG416="","Not Enrolled",IF(TODAY()&gt;AG416,"Review Overdue",IF(AG416-TODAY()&lt;=30,"Review Due Soon","Active"))))</f>
        <v/>
      </c>
      <c r="AO416" s="85">
        <f>IF($A416="","",IF(AH416="","NOT REVIEWED",IF(TODAY()-AH416&gt;90,"OVERDUE",IF(TODAY()-AH416&gt;76,"Due Soon","Current"))))</f>
        <v/>
      </c>
    </row>
    <row r="417" ht="15" customHeight="1" s="39">
      <c r="A417" s="85" t="n"/>
      <c r="B417" s="85" t="n"/>
      <c r="C417" s="85" t="n"/>
      <c r="D417" s="85" t="n"/>
      <c r="E417" s="85" t="n"/>
      <c r="F417" s="86" t="n"/>
      <c r="G417" s="86" t="n"/>
      <c r="H417" s="85" t="n"/>
      <c r="I417" s="85" t="n"/>
      <c r="J417" s="85" t="n"/>
      <c r="K417" s="85" t="n"/>
      <c r="L417" s="85" t="n"/>
      <c r="M417" s="85" t="n"/>
      <c r="N417" s="85" t="n"/>
      <c r="O417" s="85" t="n"/>
      <c r="P417" s="85" t="n"/>
      <c r="Q417" s="85" t="n"/>
      <c r="R417" s="85" t="n"/>
      <c r="S417" s="85" t="n"/>
      <c r="T417" s="85" t="n"/>
      <c r="U417" s="85" t="n"/>
      <c r="V417" s="85" t="n"/>
      <c r="W417" s="85" t="n"/>
      <c r="X417" s="85" t="n"/>
      <c r="Y417" s="85" t="n"/>
      <c r="Z417" s="85" t="n"/>
      <c r="AA417" s="85" t="n"/>
      <c r="AB417" s="85" t="n"/>
      <c r="AC417" s="85" t="n"/>
      <c r="AD417" s="85" t="n"/>
      <c r="AE417" s="85" t="n"/>
      <c r="AF417" s="86" t="n"/>
      <c r="AG417" s="86" t="n"/>
      <c r="AH417" s="86" t="n"/>
      <c r="AI417" s="85" t="n"/>
      <c r="AJ417" s="85" t="n"/>
      <c r="AK417" s="85">
        <f>IF($A417="","",IF($M417&gt;0,"Yes","No"))</f>
        <v/>
      </c>
      <c r="AL417" s="85">
        <f>IF($A417="","",IF(AND($E417="Yes",OR($Y417="No",$Y417="NOT FOUND")),"YES",""))</f>
        <v/>
      </c>
      <c r="AM417" s="85">
        <f>IF($A417="","",TRIM(IF(AND($P417=0,$I417&lt;&gt;"Yes"),"T0-NoPhishResistant ","")&amp;IF($H417="No","NoMFA ","")&amp;IF(AND($P417=0,$M417&gt;0),"T0-Standing ","")&amp;IF(AND($P417=0,$Q417="Group only"),"T0-ViaGroupOnly ","")&amp;IF($W417="Yes","AlsoAzureRBAC ","")))</f>
        <v/>
      </c>
      <c r="AN417" s="85">
        <f>IF($A417="","",IF(AG417="","Not Enrolled",IF(TODAY()&gt;AG417,"Review Overdue",IF(AG417-TODAY()&lt;=30,"Review Due Soon","Active"))))</f>
        <v/>
      </c>
      <c r="AO417" s="85">
        <f>IF($A417="","",IF(AH417="","NOT REVIEWED",IF(TODAY()-AH417&gt;90,"OVERDUE",IF(TODAY()-AH417&gt;76,"Due Soon","Current"))))</f>
        <v/>
      </c>
    </row>
    <row r="418" ht="15" customHeight="1" s="39">
      <c r="A418" s="85" t="n"/>
      <c r="B418" s="85" t="n"/>
      <c r="C418" s="85" t="n"/>
      <c r="D418" s="85" t="n"/>
      <c r="E418" s="85" t="n"/>
      <c r="F418" s="86" t="n"/>
      <c r="G418" s="86" t="n"/>
      <c r="H418" s="85" t="n"/>
      <c r="I418" s="85" t="n"/>
      <c r="J418" s="85" t="n"/>
      <c r="K418" s="85" t="n"/>
      <c r="L418" s="85" t="n"/>
      <c r="M418" s="85" t="n"/>
      <c r="N418" s="85" t="n"/>
      <c r="O418" s="85" t="n"/>
      <c r="P418" s="85" t="n"/>
      <c r="Q418" s="85" t="n"/>
      <c r="R418" s="85" t="n"/>
      <c r="S418" s="85" t="n"/>
      <c r="T418" s="85" t="n"/>
      <c r="U418" s="85" t="n"/>
      <c r="V418" s="85" t="n"/>
      <c r="W418" s="85" t="n"/>
      <c r="X418" s="85" t="n"/>
      <c r="Y418" s="85" t="n"/>
      <c r="Z418" s="85" t="n"/>
      <c r="AA418" s="85" t="n"/>
      <c r="AB418" s="85" t="n"/>
      <c r="AC418" s="85" t="n"/>
      <c r="AD418" s="85" t="n"/>
      <c r="AE418" s="85" t="n"/>
      <c r="AF418" s="86" t="n"/>
      <c r="AG418" s="86" t="n"/>
      <c r="AH418" s="86" t="n"/>
      <c r="AI418" s="85" t="n"/>
      <c r="AJ418" s="85" t="n"/>
      <c r="AK418" s="85">
        <f>IF($A418="","",IF($M418&gt;0,"Yes","No"))</f>
        <v/>
      </c>
      <c r="AL418" s="85">
        <f>IF($A418="","",IF(AND($E418="Yes",OR($Y418="No",$Y418="NOT FOUND")),"YES",""))</f>
        <v/>
      </c>
      <c r="AM418" s="85">
        <f>IF($A418="","",TRIM(IF(AND($P418=0,$I418&lt;&gt;"Yes"),"T0-NoPhishResistant ","")&amp;IF($H418="No","NoMFA ","")&amp;IF(AND($P418=0,$M418&gt;0),"T0-Standing ","")&amp;IF(AND($P418=0,$Q418="Group only"),"T0-ViaGroupOnly ","")&amp;IF($W418="Yes","AlsoAzureRBAC ","")))</f>
        <v/>
      </c>
      <c r="AN418" s="85">
        <f>IF($A418="","",IF(AG418="","Not Enrolled",IF(TODAY()&gt;AG418,"Review Overdue",IF(AG418-TODAY()&lt;=30,"Review Due Soon","Active"))))</f>
        <v/>
      </c>
      <c r="AO418" s="85">
        <f>IF($A418="","",IF(AH418="","NOT REVIEWED",IF(TODAY()-AH418&gt;90,"OVERDUE",IF(TODAY()-AH418&gt;76,"Due Soon","Current"))))</f>
        <v/>
      </c>
    </row>
    <row r="419" ht="15" customHeight="1" s="39">
      <c r="A419" s="85" t="n"/>
      <c r="B419" s="85" t="n"/>
      <c r="C419" s="85" t="n"/>
      <c r="D419" s="85" t="n"/>
      <c r="E419" s="85" t="n"/>
      <c r="F419" s="86" t="n"/>
      <c r="G419" s="86" t="n"/>
      <c r="H419" s="85" t="n"/>
      <c r="I419" s="85" t="n"/>
      <c r="J419" s="85" t="n"/>
      <c r="K419" s="85" t="n"/>
      <c r="L419" s="85" t="n"/>
      <c r="M419" s="85" t="n"/>
      <c r="N419" s="85" t="n"/>
      <c r="O419" s="85" t="n"/>
      <c r="P419" s="85" t="n"/>
      <c r="Q419" s="85" t="n"/>
      <c r="R419" s="85" t="n"/>
      <c r="S419" s="85" t="n"/>
      <c r="T419" s="85" t="n"/>
      <c r="U419" s="85" t="n"/>
      <c r="V419" s="85" t="n"/>
      <c r="W419" s="85" t="n"/>
      <c r="X419" s="85" t="n"/>
      <c r="Y419" s="85" t="n"/>
      <c r="Z419" s="85" t="n"/>
      <c r="AA419" s="85" t="n"/>
      <c r="AB419" s="85" t="n"/>
      <c r="AC419" s="85" t="n"/>
      <c r="AD419" s="85" t="n"/>
      <c r="AE419" s="85" t="n"/>
      <c r="AF419" s="86" t="n"/>
      <c r="AG419" s="86" t="n"/>
      <c r="AH419" s="86" t="n"/>
      <c r="AI419" s="85" t="n"/>
      <c r="AJ419" s="85" t="n"/>
      <c r="AK419" s="85">
        <f>IF($A419="","",IF($M419&gt;0,"Yes","No"))</f>
        <v/>
      </c>
      <c r="AL419" s="85">
        <f>IF($A419="","",IF(AND($E419="Yes",OR($Y419="No",$Y419="NOT FOUND")),"YES",""))</f>
        <v/>
      </c>
      <c r="AM419" s="85">
        <f>IF($A419="","",TRIM(IF(AND($P419=0,$I419&lt;&gt;"Yes"),"T0-NoPhishResistant ","")&amp;IF($H419="No","NoMFA ","")&amp;IF(AND($P419=0,$M419&gt;0),"T0-Standing ","")&amp;IF(AND($P419=0,$Q419="Group only"),"T0-ViaGroupOnly ","")&amp;IF($W419="Yes","AlsoAzureRBAC ","")))</f>
        <v/>
      </c>
      <c r="AN419" s="85">
        <f>IF($A419="","",IF(AG419="","Not Enrolled",IF(TODAY()&gt;AG419,"Review Overdue",IF(AG419-TODAY()&lt;=30,"Review Due Soon","Active"))))</f>
        <v/>
      </c>
      <c r="AO419" s="85">
        <f>IF($A419="","",IF(AH419="","NOT REVIEWED",IF(TODAY()-AH419&gt;90,"OVERDUE",IF(TODAY()-AH419&gt;76,"Due Soon","Current"))))</f>
        <v/>
      </c>
    </row>
    <row r="420" ht="15" customHeight="1" s="39">
      <c r="A420" s="85" t="n"/>
      <c r="B420" s="85" t="n"/>
      <c r="C420" s="85" t="n"/>
      <c r="D420" s="85" t="n"/>
      <c r="E420" s="85" t="n"/>
      <c r="F420" s="86" t="n"/>
      <c r="G420" s="86" t="n"/>
      <c r="H420" s="85" t="n"/>
      <c r="I420" s="85" t="n"/>
      <c r="J420" s="85" t="n"/>
      <c r="K420" s="85" t="n"/>
      <c r="L420" s="85" t="n"/>
      <c r="M420" s="85" t="n"/>
      <c r="N420" s="85" t="n"/>
      <c r="O420" s="85" t="n"/>
      <c r="P420" s="85" t="n"/>
      <c r="Q420" s="85" t="n"/>
      <c r="R420" s="85" t="n"/>
      <c r="S420" s="85" t="n"/>
      <c r="T420" s="85" t="n"/>
      <c r="U420" s="85" t="n"/>
      <c r="V420" s="85" t="n"/>
      <c r="W420" s="85" t="n"/>
      <c r="X420" s="85" t="n"/>
      <c r="Y420" s="85" t="n"/>
      <c r="Z420" s="85" t="n"/>
      <c r="AA420" s="85" t="n"/>
      <c r="AB420" s="85" t="n"/>
      <c r="AC420" s="85" t="n"/>
      <c r="AD420" s="85" t="n"/>
      <c r="AE420" s="85" t="n"/>
      <c r="AF420" s="86" t="n"/>
      <c r="AG420" s="86" t="n"/>
      <c r="AH420" s="86" t="n"/>
      <c r="AI420" s="85" t="n"/>
      <c r="AJ420" s="85" t="n"/>
      <c r="AK420" s="85">
        <f>IF($A420="","",IF($M420&gt;0,"Yes","No"))</f>
        <v/>
      </c>
      <c r="AL420" s="85">
        <f>IF($A420="","",IF(AND($E420="Yes",OR($Y420="No",$Y420="NOT FOUND")),"YES",""))</f>
        <v/>
      </c>
      <c r="AM420" s="85">
        <f>IF($A420="","",TRIM(IF(AND($P420=0,$I420&lt;&gt;"Yes"),"T0-NoPhishResistant ","")&amp;IF($H420="No","NoMFA ","")&amp;IF(AND($P420=0,$M420&gt;0),"T0-Standing ","")&amp;IF(AND($P420=0,$Q420="Group only"),"T0-ViaGroupOnly ","")&amp;IF($W420="Yes","AlsoAzureRBAC ","")))</f>
        <v/>
      </c>
      <c r="AN420" s="85">
        <f>IF($A420="","",IF(AG420="","Not Enrolled",IF(TODAY()&gt;AG420,"Review Overdue",IF(AG420-TODAY()&lt;=30,"Review Due Soon","Active"))))</f>
        <v/>
      </c>
      <c r="AO420" s="85">
        <f>IF($A420="","",IF(AH420="","NOT REVIEWED",IF(TODAY()-AH420&gt;90,"OVERDUE",IF(TODAY()-AH420&gt;76,"Due Soon","Current"))))</f>
        <v/>
      </c>
    </row>
    <row r="421" ht="15" customHeight="1" s="39">
      <c r="A421" s="85" t="n"/>
      <c r="B421" s="85" t="n"/>
      <c r="C421" s="85" t="n"/>
      <c r="D421" s="85" t="n"/>
      <c r="E421" s="85" t="n"/>
      <c r="F421" s="86" t="n"/>
      <c r="G421" s="86" t="n"/>
      <c r="H421" s="85" t="n"/>
      <c r="I421" s="85" t="n"/>
      <c r="J421" s="85" t="n"/>
      <c r="K421" s="85" t="n"/>
      <c r="L421" s="85" t="n"/>
      <c r="M421" s="85" t="n"/>
      <c r="N421" s="85" t="n"/>
      <c r="O421" s="85" t="n"/>
      <c r="P421" s="85" t="n"/>
      <c r="Q421" s="85" t="n"/>
      <c r="R421" s="85" t="n"/>
      <c r="S421" s="85" t="n"/>
      <c r="T421" s="85" t="n"/>
      <c r="U421" s="85" t="n"/>
      <c r="V421" s="85" t="n"/>
      <c r="W421" s="85" t="n"/>
      <c r="X421" s="85" t="n"/>
      <c r="Y421" s="85" t="n"/>
      <c r="Z421" s="85" t="n"/>
      <c r="AA421" s="85" t="n"/>
      <c r="AB421" s="85" t="n"/>
      <c r="AC421" s="85" t="n"/>
      <c r="AD421" s="85" t="n"/>
      <c r="AE421" s="85" t="n"/>
      <c r="AF421" s="86" t="n"/>
      <c r="AG421" s="86" t="n"/>
      <c r="AH421" s="86" t="n"/>
      <c r="AI421" s="85" t="n"/>
      <c r="AJ421" s="85" t="n"/>
      <c r="AK421" s="85">
        <f>IF($A421="","",IF($M421&gt;0,"Yes","No"))</f>
        <v/>
      </c>
      <c r="AL421" s="85">
        <f>IF($A421="","",IF(AND($E421="Yes",OR($Y421="No",$Y421="NOT FOUND")),"YES",""))</f>
        <v/>
      </c>
      <c r="AM421" s="85">
        <f>IF($A421="","",TRIM(IF(AND($P421=0,$I421&lt;&gt;"Yes"),"T0-NoPhishResistant ","")&amp;IF($H421="No","NoMFA ","")&amp;IF(AND($P421=0,$M421&gt;0),"T0-Standing ","")&amp;IF(AND($P421=0,$Q421="Group only"),"T0-ViaGroupOnly ","")&amp;IF($W421="Yes","AlsoAzureRBAC ","")))</f>
        <v/>
      </c>
      <c r="AN421" s="85">
        <f>IF($A421="","",IF(AG421="","Not Enrolled",IF(TODAY()&gt;AG421,"Review Overdue",IF(AG421-TODAY()&lt;=30,"Review Due Soon","Active"))))</f>
        <v/>
      </c>
      <c r="AO421" s="85">
        <f>IF($A421="","",IF(AH421="","NOT REVIEWED",IF(TODAY()-AH421&gt;90,"OVERDUE",IF(TODAY()-AH421&gt;76,"Due Soon","Current"))))</f>
        <v/>
      </c>
    </row>
    <row r="422" ht="15" customHeight="1" s="39">
      <c r="A422" s="85" t="n"/>
      <c r="B422" s="85" t="n"/>
      <c r="C422" s="85" t="n"/>
      <c r="D422" s="85" t="n"/>
      <c r="E422" s="85" t="n"/>
      <c r="F422" s="86" t="n"/>
      <c r="G422" s="86" t="n"/>
      <c r="H422" s="85" t="n"/>
      <c r="I422" s="85" t="n"/>
      <c r="J422" s="85" t="n"/>
      <c r="K422" s="85" t="n"/>
      <c r="L422" s="85" t="n"/>
      <c r="M422" s="85" t="n"/>
      <c r="N422" s="85" t="n"/>
      <c r="O422" s="85" t="n"/>
      <c r="P422" s="85" t="n"/>
      <c r="Q422" s="85" t="n"/>
      <c r="R422" s="85" t="n"/>
      <c r="S422" s="85" t="n"/>
      <c r="T422" s="85" t="n"/>
      <c r="U422" s="85" t="n"/>
      <c r="V422" s="85" t="n"/>
      <c r="W422" s="85" t="n"/>
      <c r="X422" s="85" t="n"/>
      <c r="Y422" s="85" t="n"/>
      <c r="Z422" s="85" t="n"/>
      <c r="AA422" s="85" t="n"/>
      <c r="AB422" s="85" t="n"/>
      <c r="AC422" s="85" t="n"/>
      <c r="AD422" s="85" t="n"/>
      <c r="AE422" s="85" t="n"/>
      <c r="AF422" s="86" t="n"/>
      <c r="AG422" s="86" t="n"/>
      <c r="AH422" s="86" t="n"/>
      <c r="AI422" s="85" t="n"/>
      <c r="AJ422" s="85" t="n"/>
      <c r="AK422" s="85">
        <f>IF($A422="","",IF($M422&gt;0,"Yes","No"))</f>
        <v/>
      </c>
      <c r="AL422" s="85">
        <f>IF($A422="","",IF(AND($E422="Yes",OR($Y422="No",$Y422="NOT FOUND")),"YES",""))</f>
        <v/>
      </c>
      <c r="AM422" s="85">
        <f>IF($A422="","",TRIM(IF(AND($P422=0,$I422&lt;&gt;"Yes"),"T0-NoPhishResistant ","")&amp;IF($H422="No","NoMFA ","")&amp;IF(AND($P422=0,$M422&gt;0),"T0-Standing ","")&amp;IF(AND($P422=0,$Q422="Group only"),"T0-ViaGroupOnly ","")&amp;IF($W422="Yes","AlsoAzureRBAC ","")))</f>
        <v/>
      </c>
      <c r="AN422" s="85">
        <f>IF($A422="","",IF(AG422="","Not Enrolled",IF(TODAY()&gt;AG422,"Review Overdue",IF(AG422-TODAY()&lt;=30,"Review Due Soon","Active"))))</f>
        <v/>
      </c>
      <c r="AO422" s="85">
        <f>IF($A422="","",IF(AH422="","NOT REVIEWED",IF(TODAY()-AH422&gt;90,"OVERDUE",IF(TODAY()-AH422&gt;76,"Due Soon","Current"))))</f>
        <v/>
      </c>
    </row>
    <row r="423" ht="15" customHeight="1" s="39">
      <c r="A423" s="85" t="n"/>
      <c r="B423" s="85" t="n"/>
      <c r="C423" s="85" t="n"/>
      <c r="D423" s="85" t="n"/>
      <c r="E423" s="85" t="n"/>
      <c r="F423" s="86" t="n"/>
      <c r="G423" s="86" t="n"/>
      <c r="H423" s="85" t="n"/>
      <c r="I423" s="85" t="n"/>
      <c r="J423" s="85" t="n"/>
      <c r="K423" s="85" t="n"/>
      <c r="L423" s="85" t="n"/>
      <c r="M423" s="85" t="n"/>
      <c r="N423" s="85" t="n"/>
      <c r="O423" s="85" t="n"/>
      <c r="P423" s="85" t="n"/>
      <c r="Q423" s="85" t="n"/>
      <c r="R423" s="85" t="n"/>
      <c r="S423" s="85" t="n"/>
      <c r="T423" s="85" t="n"/>
      <c r="U423" s="85" t="n"/>
      <c r="V423" s="85" t="n"/>
      <c r="W423" s="85" t="n"/>
      <c r="X423" s="85" t="n"/>
      <c r="Y423" s="85" t="n"/>
      <c r="Z423" s="85" t="n"/>
      <c r="AA423" s="85" t="n"/>
      <c r="AB423" s="85" t="n"/>
      <c r="AC423" s="85" t="n"/>
      <c r="AD423" s="85" t="n"/>
      <c r="AE423" s="85" t="n"/>
      <c r="AF423" s="86" t="n"/>
      <c r="AG423" s="86" t="n"/>
      <c r="AH423" s="86" t="n"/>
      <c r="AI423" s="85" t="n"/>
      <c r="AJ423" s="85" t="n"/>
      <c r="AK423" s="85">
        <f>IF($A423="","",IF($M423&gt;0,"Yes","No"))</f>
        <v/>
      </c>
      <c r="AL423" s="85">
        <f>IF($A423="","",IF(AND($E423="Yes",OR($Y423="No",$Y423="NOT FOUND")),"YES",""))</f>
        <v/>
      </c>
      <c r="AM423" s="85">
        <f>IF($A423="","",TRIM(IF(AND($P423=0,$I423&lt;&gt;"Yes"),"T0-NoPhishResistant ","")&amp;IF($H423="No","NoMFA ","")&amp;IF(AND($P423=0,$M423&gt;0),"T0-Standing ","")&amp;IF(AND($P423=0,$Q423="Group only"),"T0-ViaGroupOnly ","")&amp;IF($W423="Yes","AlsoAzureRBAC ","")))</f>
        <v/>
      </c>
      <c r="AN423" s="85">
        <f>IF($A423="","",IF(AG423="","Not Enrolled",IF(TODAY()&gt;AG423,"Review Overdue",IF(AG423-TODAY()&lt;=30,"Review Due Soon","Active"))))</f>
        <v/>
      </c>
      <c r="AO423" s="85">
        <f>IF($A423="","",IF(AH423="","NOT REVIEWED",IF(TODAY()-AH423&gt;90,"OVERDUE",IF(TODAY()-AH423&gt;76,"Due Soon","Current"))))</f>
        <v/>
      </c>
    </row>
    <row r="424" ht="15" customHeight="1" s="39">
      <c r="A424" s="85" t="n"/>
      <c r="B424" s="85" t="n"/>
      <c r="C424" s="85" t="n"/>
      <c r="D424" s="85" t="n"/>
      <c r="E424" s="85" t="n"/>
      <c r="F424" s="86" t="n"/>
      <c r="G424" s="86" t="n"/>
      <c r="H424" s="85" t="n"/>
      <c r="I424" s="85" t="n"/>
      <c r="J424" s="85" t="n"/>
      <c r="K424" s="85" t="n"/>
      <c r="L424" s="85" t="n"/>
      <c r="M424" s="85" t="n"/>
      <c r="N424" s="85" t="n"/>
      <c r="O424" s="85" t="n"/>
      <c r="P424" s="85" t="n"/>
      <c r="Q424" s="85" t="n"/>
      <c r="R424" s="85" t="n"/>
      <c r="S424" s="85" t="n"/>
      <c r="T424" s="85" t="n"/>
      <c r="U424" s="85" t="n"/>
      <c r="V424" s="85" t="n"/>
      <c r="W424" s="85" t="n"/>
      <c r="X424" s="85" t="n"/>
      <c r="Y424" s="85" t="n"/>
      <c r="Z424" s="85" t="n"/>
      <c r="AA424" s="85" t="n"/>
      <c r="AB424" s="85" t="n"/>
      <c r="AC424" s="85" t="n"/>
      <c r="AD424" s="85" t="n"/>
      <c r="AE424" s="85" t="n"/>
      <c r="AF424" s="86" t="n"/>
      <c r="AG424" s="86" t="n"/>
      <c r="AH424" s="86" t="n"/>
      <c r="AI424" s="85" t="n"/>
      <c r="AJ424" s="85" t="n"/>
      <c r="AK424" s="85">
        <f>IF($A424="","",IF($M424&gt;0,"Yes","No"))</f>
        <v/>
      </c>
      <c r="AL424" s="85">
        <f>IF($A424="","",IF(AND($E424="Yes",OR($Y424="No",$Y424="NOT FOUND")),"YES",""))</f>
        <v/>
      </c>
      <c r="AM424" s="85">
        <f>IF($A424="","",TRIM(IF(AND($P424=0,$I424&lt;&gt;"Yes"),"T0-NoPhishResistant ","")&amp;IF($H424="No","NoMFA ","")&amp;IF(AND($P424=0,$M424&gt;0),"T0-Standing ","")&amp;IF(AND($P424=0,$Q424="Group only"),"T0-ViaGroupOnly ","")&amp;IF($W424="Yes","AlsoAzureRBAC ","")))</f>
        <v/>
      </c>
      <c r="AN424" s="85">
        <f>IF($A424="","",IF(AG424="","Not Enrolled",IF(TODAY()&gt;AG424,"Review Overdue",IF(AG424-TODAY()&lt;=30,"Review Due Soon","Active"))))</f>
        <v/>
      </c>
      <c r="AO424" s="85">
        <f>IF($A424="","",IF(AH424="","NOT REVIEWED",IF(TODAY()-AH424&gt;90,"OVERDUE",IF(TODAY()-AH424&gt;76,"Due Soon","Current"))))</f>
        <v/>
      </c>
    </row>
    <row r="425" ht="15" customHeight="1" s="39">
      <c r="A425" s="85" t="n"/>
      <c r="B425" s="85" t="n"/>
      <c r="C425" s="85" t="n"/>
      <c r="D425" s="85" t="n"/>
      <c r="E425" s="85" t="n"/>
      <c r="F425" s="86" t="n"/>
      <c r="G425" s="86" t="n"/>
      <c r="H425" s="85" t="n"/>
      <c r="I425" s="85" t="n"/>
      <c r="J425" s="85" t="n"/>
      <c r="K425" s="85" t="n"/>
      <c r="L425" s="85" t="n"/>
      <c r="M425" s="85" t="n"/>
      <c r="N425" s="85" t="n"/>
      <c r="O425" s="85" t="n"/>
      <c r="P425" s="85" t="n"/>
      <c r="Q425" s="85" t="n"/>
      <c r="R425" s="85" t="n"/>
      <c r="S425" s="85" t="n"/>
      <c r="T425" s="85" t="n"/>
      <c r="U425" s="85" t="n"/>
      <c r="V425" s="85" t="n"/>
      <c r="W425" s="85" t="n"/>
      <c r="X425" s="85" t="n"/>
      <c r="Y425" s="85" t="n"/>
      <c r="Z425" s="85" t="n"/>
      <c r="AA425" s="85" t="n"/>
      <c r="AB425" s="85" t="n"/>
      <c r="AC425" s="85" t="n"/>
      <c r="AD425" s="85" t="n"/>
      <c r="AE425" s="85" t="n"/>
      <c r="AF425" s="86" t="n"/>
      <c r="AG425" s="86" t="n"/>
      <c r="AH425" s="86" t="n"/>
      <c r="AI425" s="85" t="n"/>
      <c r="AJ425" s="85" t="n"/>
      <c r="AK425" s="85">
        <f>IF($A425="","",IF($M425&gt;0,"Yes","No"))</f>
        <v/>
      </c>
      <c r="AL425" s="85">
        <f>IF($A425="","",IF(AND($E425="Yes",OR($Y425="No",$Y425="NOT FOUND")),"YES",""))</f>
        <v/>
      </c>
      <c r="AM425" s="85">
        <f>IF($A425="","",TRIM(IF(AND($P425=0,$I425&lt;&gt;"Yes"),"T0-NoPhishResistant ","")&amp;IF($H425="No","NoMFA ","")&amp;IF(AND($P425=0,$M425&gt;0),"T0-Standing ","")&amp;IF(AND($P425=0,$Q425="Group only"),"T0-ViaGroupOnly ","")&amp;IF($W425="Yes","AlsoAzureRBAC ","")))</f>
        <v/>
      </c>
      <c r="AN425" s="85">
        <f>IF($A425="","",IF(AG425="","Not Enrolled",IF(TODAY()&gt;AG425,"Review Overdue",IF(AG425-TODAY()&lt;=30,"Review Due Soon","Active"))))</f>
        <v/>
      </c>
      <c r="AO425" s="85">
        <f>IF($A425="","",IF(AH425="","NOT REVIEWED",IF(TODAY()-AH425&gt;90,"OVERDUE",IF(TODAY()-AH425&gt;76,"Due Soon","Current"))))</f>
        <v/>
      </c>
    </row>
    <row r="426" ht="15" customHeight="1" s="39">
      <c r="A426" s="85" t="n"/>
      <c r="B426" s="85" t="n"/>
      <c r="C426" s="85" t="n"/>
      <c r="D426" s="85" t="n"/>
      <c r="E426" s="85" t="n"/>
      <c r="F426" s="86" t="n"/>
      <c r="G426" s="86" t="n"/>
      <c r="H426" s="85" t="n"/>
      <c r="I426" s="85" t="n"/>
      <c r="J426" s="85" t="n"/>
      <c r="K426" s="85" t="n"/>
      <c r="L426" s="85" t="n"/>
      <c r="M426" s="85" t="n"/>
      <c r="N426" s="85" t="n"/>
      <c r="O426" s="85" t="n"/>
      <c r="P426" s="85" t="n"/>
      <c r="Q426" s="85" t="n"/>
      <c r="R426" s="85" t="n"/>
      <c r="S426" s="85" t="n"/>
      <c r="T426" s="85" t="n"/>
      <c r="U426" s="85" t="n"/>
      <c r="V426" s="85" t="n"/>
      <c r="W426" s="85" t="n"/>
      <c r="X426" s="85" t="n"/>
      <c r="Y426" s="85" t="n"/>
      <c r="Z426" s="85" t="n"/>
      <c r="AA426" s="85" t="n"/>
      <c r="AB426" s="85" t="n"/>
      <c r="AC426" s="85" t="n"/>
      <c r="AD426" s="85" t="n"/>
      <c r="AE426" s="85" t="n"/>
      <c r="AF426" s="86" t="n"/>
      <c r="AG426" s="86" t="n"/>
      <c r="AH426" s="86" t="n"/>
      <c r="AI426" s="85" t="n"/>
      <c r="AJ426" s="85" t="n"/>
      <c r="AK426" s="85">
        <f>IF($A426="","",IF($M426&gt;0,"Yes","No"))</f>
        <v/>
      </c>
      <c r="AL426" s="85">
        <f>IF($A426="","",IF(AND($E426="Yes",OR($Y426="No",$Y426="NOT FOUND")),"YES",""))</f>
        <v/>
      </c>
      <c r="AM426" s="85">
        <f>IF($A426="","",TRIM(IF(AND($P426=0,$I426&lt;&gt;"Yes"),"T0-NoPhishResistant ","")&amp;IF($H426="No","NoMFA ","")&amp;IF(AND($P426=0,$M426&gt;0),"T0-Standing ","")&amp;IF(AND($P426=0,$Q426="Group only"),"T0-ViaGroupOnly ","")&amp;IF($W426="Yes","AlsoAzureRBAC ","")))</f>
        <v/>
      </c>
      <c r="AN426" s="85">
        <f>IF($A426="","",IF(AG426="","Not Enrolled",IF(TODAY()&gt;AG426,"Review Overdue",IF(AG426-TODAY()&lt;=30,"Review Due Soon","Active"))))</f>
        <v/>
      </c>
      <c r="AO426" s="85">
        <f>IF($A426="","",IF(AH426="","NOT REVIEWED",IF(TODAY()-AH426&gt;90,"OVERDUE",IF(TODAY()-AH426&gt;76,"Due Soon","Current"))))</f>
        <v/>
      </c>
    </row>
    <row r="427" ht="15" customHeight="1" s="39">
      <c r="A427" s="85" t="n"/>
      <c r="B427" s="85" t="n"/>
      <c r="C427" s="85" t="n"/>
      <c r="D427" s="85" t="n"/>
      <c r="E427" s="85" t="n"/>
      <c r="F427" s="86" t="n"/>
      <c r="G427" s="86" t="n"/>
      <c r="H427" s="85" t="n"/>
      <c r="I427" s="85" t="n"/>
      <c r="J427" s="85" t="n"/>
      <c r="K427" s="85" t="n"/>
      <c r="L427" s="85" t="n"/>
      <c r="M427" s="85" t="n"/>
      <c r="N427" s="85" t="n"/>
      <c r="O427" s="85" t="n"/>
      <c r="P427" s="85" t="n"/>
      <c r="Q427" s="85" t="n"/>
      <c r="R427" s="85" t="n"/>
      <c r="S427" s="85" t="n"/>
      <c r="T427" s="85" t="n"/>
      <c r="U427" s="85" t="n"/>
      <c r="V427" s="85" t="n"/>
      <c r="W427" s="85" t="n"/>
      <c r="X427" s="85" t="n"/>
      <c r="Y427" s="85" t="n"/>
      <c r="Z427" s="85" t="n"/>
      <c r="AA427" s="85" t="n"/>
      <c r="AB427" s="85" t="n"/>
      <c r="AC427" s="85" t="n"/>
      <c r="AD427" s="85" t="n"/>
      <c r="AE427" s="85" t="n"/>
      <c r="AF427" s="86" t="n"/>
      <c r="AG427" s="86" t="n"/>
      <c r="AH427" s="86" t="n"/>
      <c r="AI427" s="85" t="n"/>
      <c r="AJ427" s="85" t="n"/>
      <c r="AK427" s="85">
        <f>IF($A427="","",IF($M427&gt;0,"Yes","No"))</f>
        <v/>
      </c>
      <c r="AL427" s="85">
        <f>IF($A427="","",IF(AND($E427="Yes",OR($Y427="No",$Y427="NOT FOUND")),"YES",""))</f>
        <v/>
      </c>
      <c r="AM427" s="85">
        <f>IF($A427="","",TRIM(IF(AND($P427=0,$I427&lt;&gt;"Yes"),"T0-NoPhishResistant ","")&amp;IF($H427="No","NoMFA ","")&amp;IF(AND($P427=0,$M427&gt;0),"T0-Standing ","")&amp;IF(AND($P427=0,$Q427="Group only"),"T0-ViaGroupOnly ","")&amp;IF($W427="Yes","AlsoAzureRBAC ","")))</f>
        <v/>
      </c>
      <c r="AN427" s="85">
        <f>IF($A427="","",IF(AG427="","Not Enrolled",IF(TODAY()&gt;AG427,"Review Overdue",IF(AG427-TODAY()&lt;=30,"Review Due Soon","Active"))))</f>
        <v/>
      </c>
      <c r="AO427" s="85">
        <f>IF($A427="","",IF(AH427="","NOT REVIEWED",IF(TODAY()-AH427&gt;90,"OVERDUE",IF(TODAY()-AH427&gt;76,"Due Soon","Current"))))</f>
        <v/>
      </c>
    </row>
    <row r="428" ht="15" customHeight="1" s="39">
      <c r="A428" s="85" t="n"/>
      <c r="B428" s="85" t="n"/>
      <c r="C428" s="85" t="n"/>
      <c r="D428" s="85" t="n"/>
      <c r="E428" s="85" t="n"/>
      <c r="F428" s="86" t="n"/>
      <c r="G428" s="86" t="n"/>
      <c r="H428" s="85" t="n"/>
      <c r="I428" s="85" t="n"/>
      <c r="J428" s="85" t="n"/>
      <c r="K428" s="85" t="n"/>
      <c r="L428" s="85" t="n"/>
      <c r="M428" s="85" t="n"/>
      <c r="N428" s="85" t="n"/>
      <c r="O428" s="85" t="n"/>
      <c r="P428" s="85" t="n"/>
      <c r="Q428" s="85" t="n"/>
      <c r="R428" s="85" t="n"/>
      <c r="S428" s="85" t="n"/>
      <c r="T428" s="85" t="n"/>
      <c r="U428" s="85" t="n"/>
      <c r="V428" s="85" t="n"/>
      <c r="W428" s="85" t="n"/>
      <c r="X428" s="85" t="n"/>
      <c r="Y428" s="85" t="n"/>
      <c r="Z428" s="85" t="n"/>
      <c r="AA428" s="85" t="n"/>
      <c r="AB428" s="85" t="n"/>
      <c r="AC428" s="85" t="n"/>
      <c r="AD428" s="85" t="n"/>
      <c r="AE428" s="85" t="n"/>
      <c r="AF428" s="86" t="n"/>
      <c r="AG428" s="86" t="n"/>
      <c r="AH428" s="86" t="n"/>
      <c r="AI428" s="85" t="n"/>
      <c r="AJ428" s="85" t="n"/>
      <c r="AK428" s="85">
        <f>IF($A428="","",IF($M428&gt;0,"Yes","No"))</f>
        <v/>
      </c>
      <c r="AL428" s="85">
        <f>IF($A428="","",IF(AND($E428="Yes",OR($Y428="No",$Y428="NOT FOUND")),"YES",""))</f>
        <v/>
      </c>
      <c r="AM428" s="85">
        <f>IF($A428="","",TRIM(IF(AND($P428=0,$I428&lt;&gt;"Yes"),"T0-NoPhishResistant ","")&amp;IF($H428="No","NoMFA ","")&amp;IF(AND($P428=0,$M428&gt;0),"T0-Standing ","")&amp;IF(AND($P428=0,$Q428="Group only"),"T0-ViaGroupOnly ","")&amp;IF($W428="Yes","AlsoAzureRBAC ","")))</f>
        <v/>
      </c>
      <c r="AN428" s="85">
        <f>IF($A428="","",IF(AG428="","Not Enrolled",IF(TODAY()&gt;AG428,"Review Overdue",IF(AG428-TODAY()&lt;=30,"Review Due Soon","Active"))))</f>
        <v/>
      </c>
      <c r="AO428" s="85">
        <f>IF($A428="","",IF(AH428="","NOT REVIEWED",IF(TODAY()-AH428&gt;90,"OVERDUE",IF(TODAY()-AH428&gt;76,"Due Soon","Current"))))</f>
        <v/>
      </c>
    </row>
    <row r="429" ht="15" customHeight="1" s="39">
      <c r="A429" s="85" t="n"/>
      <c r="B429" s="85" t="n"/>
      <c r="C429" s="85" t="n"/>
      <c r="D429" s="85" t="n"/>
      <c r="E429" s="85" t="n"/>
      <c r="F429" s="86" t="n"/>
      <c r="G429" s="86" t="n"/>
      <c r="H429" s="85" t="n"/>
      <c r="I429" s="85" t="n"/>
      <c r="J429" s="85" t="n"/>
      <c r="K429" s="85" t="n"/>
      <c r="L429" s="85" t="n"/>
      <c r="M429" s="85" t="n"/>
      <c r="N429" s="85" t="n"/>
      <c r="O429" s="85" t="n"/>
      <c r="P429" s="85" t="n"/>
      <c r="Q429" s="85" t="n"/>
      <c r="R429" s="85" t="n"/>
      <c r="S429" s="85" t="n"/>
      <c r="T429" s="85" t="n"/>
      <c r="U429" s="85" t="n"/>
      <c r="V429" s="85" t="n"/>
      <c r="W429" s="85" t="n"/>
      <c r="X429" s="85" t="n"/>
      <c r="Y429" s="85" t="n"/>
      <c r="Z429" s="85" t="n"/>
      <c r="AA429" s="85" t="n"/>
      <c r="AB429" s="85" t="n"/>
      <c r="AC429" s="85" t="n"/>
      <c r="AD429" s="85" t="n"/>
      <c r="AE429" s="85" t="n"/>
      <c r="AF429" s="86" t="n"/>
      <c r="AG429" s="86" t="n"/>
      <c r="AH429" s="86" t="n"/>
      <c r="AI429" s="85" t="n"/>
      <c r="AJ429" s="85" t="n"/>
      <c r="AK429" s="85">
        <f>IF($A429="","",IF($M429&gt;0,"Yes","No"))</f>
        <v/>
      </c>
      <c r="AL429" s="85">
        <f>IF($A429="","",IF(AND($E429="Yes",OR($Y429="No",$Y429="NOT FOUND")),"YES",""))</f>
        <v/>
      </c>
      <c r="AM429" s="85">
        <f>IF($A429="","",TRIM(IF(AND($P429=0,$I429&lt;&gt;"Yes"),"T0-NoPhishResistant ","")&amp;IF($H429="No","NoMFA ","")&amp;IF(AND($P429=0,$M429&gt;0),"T0-Standing ","")&amp;IF(AND($P429=0,$Q429="Group only"),"T0-ViaGroupOnly ","")&amp;IF($W429="Yes","AlsoAzureRBAC ","")))</f>
        <v/>
      </c>
      <c r="AN429" s="85">
        <f>IF($A429="","",IF(AG429="","Not Enrolled",IF(TODAY()&gt;AG429,"Review Overdue",IF(AG429-TODAY()&lt;=30,"Review Due Soon","Active"))))</f>
        <v/>
      </c>
      <c r="AO429" s="85">
        <f>IF($A429="","",IF(AH429="","NOT REVIEWED",IF(TODAY()-AH429&gt;90,"OVERDUE",IF(TODAY()-AH429&gt;76,"Due Soon","Current"))))</f>
        <v/>
      </c>
    </row>
    <row r="430" ht="15" customHeight="1" s="39">
      <c r="A430" s="85" t="n"/>
      <c r="B430" s="85" t="n"/>
      <c r="C430" s="85" t="n"/>
      <c r="D430" s="85" t="n"/>
      <c r="E430" s="85" t="n"/>
      <c r="F430" s="86" t="n"/>
      <c r="G430" s="86" t="n"/>
      <c r="H430" s="85" t="n"/>
      <c r="I430" s="85" t="n"/>
      <c r="J430" s="85" t="n"/>
      <c r="K430" s="85" t="n"/>
      <c r="L430" s="85" t="n"/>
      <c r="M430" s="85" t="n"/>
      <c r="N430" s="85" t="n"/>
      <c r="O430" s="85" t="n"/>
      <c r="P430" s="85" t="n"/>
      <c r="Q430" s="85" t="n"/>
      <c r="R430" s="85" t="n"/>
      <c r="S430" s="85" t="n"/>
      <c r="T430" s="85" t="n"/>
      <c r="U430" s="85" t="n"/>
      <c r="V430" s="85" t="n"/>
      <c r="W430" s="85" t="n"/>
      <c r="X430" s="85" t="n"/>
      <c r="Y430" s="85" t="n"/>
      <c r="Z430" s="85" t="n"/>
      <c r="AA430" s="85" t="n"/>
      <c r="AB430" s="85" t="n"/>
      <c r="AC430" s="85" t="n"/>
      <c r="AD430" s="85" t="n"/>
      <c r="AE430" s="85" t="n"/>
      <c r="AF430" s="86" t="n"/>
      <c r="AG430" s="86" t="n"/>
      <c r="AH430" s="86" t="n"/>
      <c r="AI430" s="85" t="n"/>
      <c r="AJ430" s="85" t="n"/>
      <c r="AK430" s="85">
        <f>IF($A430="","",IF($M430&gt;0,"Yes","No"))</f>
        <v/>
      </c>
      <c r="AL430" s="85">
        <f>IF($A430="","",IF(AND($E430="Yes",OR($Y430="No",$Y430="NOT FOUND")),"YES",""))</f>
        <v/>
      </c>
      <c r="AM430" s="85">
        <f>IF($A430="","",TRIM(IF(AND($P430=0,$I430&lt;&gt;"Yes"),"T0-NoPhishResistant ","")&amp;IF($H430="No","NoMFA ","")&amp;IF(AND($P430=0,$M430&gt;0),"T0-Standing ","")&amp;IF(AND($P430=0,$Q430="Group only"),"T0-ViaGroupOnly ","")&amp;IF($W430="Yes","AlsoAzureRBAC ","")))</f>
        <v/>
      </c>
      <c r="AN430" s="85">
        <f>IF($A430="","",IF(AG430="","Not Enrolled",IF(TODAY()&gt;AG430,"Review Overdue",IF(AG430-TODAY()&lt;=30,"Review Due Soon","Active"))))</f>
        <v/>
      </c>
      <c r="AO430" s="85">
        <f>IF($A430="","",IF(AH430="","NOT REVIEWED",IF(TODAY()-AH430&gt;90,"OVERDUE",IF(TODAY()-AH430&gt;76,"Due Soon","Current"))))</f>
        <v/>
      </c>
    </row>
    <row r="431" ht="15" customHeight="1" s="39">
      <c r="A431" s="85" t="n"/>
      <c r="B431" s="85" t="n"/>
      <c r="C431" s="85" t="n"/>
      <c r="D431" s="85" t="n"/>
      <c r="E431" s="85" t="n"/>
      <c r="F431" s="86" t="n"/>
      <c r="G431" s="86" t="n"/>
      <c r="H431" s="85" t="n"/>
      <c r="I431" s="85" t="n"/>
      <c r="J431" s="85" t="n"/>
      <c r="K431" s="85" t="n"/>
      <c r="L431" s="85" t="n"/>
      <c r="M431" s="85" t="n"/>
      <c r="N431" s="85" t="n"/>
      <c r="O431" s="85" t="n"/>
      <c r="P431" s="85" t="n"/>
      <c r="Q431" s="85" t="n"/>
      <c r="R431" s="85" t="n"/>
      <c r="S431" s="85" t="n"/>
      <c r="T431" s="85" t="n"/>
      <c r="U431" s="85" t="n"/>
      <c r="V431" s="85" t="n"/>
      <c r="W431" s="85" t="n"/>
      <c r="X431" s="85" t="n"/>
      <c r="Y431" s="85" t="n"/>
      <c r="Z431" s="85" t="n"/>
      <c r="AA431" s="85" t="n"/>
      <c r="AB431" s="85" t="n"/>
      <c r="AC431" s="85" t="n"/>
      <c r="AD431" s="85" t="n"/>
      <c r="AE431" s="85" t="n"/>
      <c r="AF431" s="86" t="n"/>
      <c r="AG431" s="86" t="n"/>
      <c r="AH431" s="86" t="n"/>
      <c r="AI431" s="85" t="n"/>
      <c r="AJ431" s="85" t="n"/>
      <c r="AK431" s="85">
        <f>IF($A431="","",IF($M431&gt;0,"Yes","No"))</f>
        <v/>
      </c>
      <c r="AL431" s="85">
        <f>IF($A431="","",IF(AND($E431="Yes",OR($Y431="No",$Y431="NOT FOUND")),"YES",""))</f>
        <v/>
      </c>
      <c r="AM431" s="85">
        <f>IF($A431="","",TRIM(IF(AND($P431=0,$I431&lt;&gt;"Yes"),"T0-NoPhishResistant ","")&amp;IF($H431="No","NoMFA ","")&amp;IF(AND($P431=0,$M431&gt;0),"T0-Standing ","")&amp;IF(AND($P431=0,$Q431="Group only"),"T0-ViaGroupOnly ","")&amp;IF($W431="Yes","AlsoAzureRBAC ","")))</f>
        <v/>
      </c>
      <c r="AN431" s="85">
        <f>IF($A431="","",IF(AG431="","Not Enrolled",IF(TODAY()&gt;AG431,"Review Overdue",IF(AG431-TODAY()&lt;=30,"Review Due Soon","Active"))))</f>
        <v/>
      </c>
      <c r="AO431" s="85">
        <f>IF($A431="","",IF(AH431="","NOT REVIEWED",IF(TODAY()-AH431&gt;90,"OVERDUE",IF(TODAY()-AH431&gt;76,"Due Soon","Current"))))</f>
        <v/>
      </c>
    </row>
    <row r="432" ht="15" customHeight="1" s="39">
      <c r="A432" s="85" t="n"/>
      <c r="B432" s="85" t="n"/>
      <c r="C432" s="85" t="n"/>
      <c r="D432" s="85" t="n"/>
      <c r="E432" s="85" t="n"/>
      <c r="F432" s="86" t="n"/>
      <c r="G432" s="86" t="n"/>
      <c r="H432" s="85" t="n"/>
      <c r="I432" s="85" t="n"/>
      <c r="J432" s="85" t="n"/>
      <c r="K432" s="85" t="n"/>
      <c r="L432" s="85" t="n"/>
      <c r="M432" s="85" t="n"/>
      <c r="N432" s="85" t="n"/>
      <c r="O432" s="85" t="n"/>
      <c r="P432" s="85" t="n"/>
      <c r="Q432" s="85" t="n"/>
      <c r="R432" s="85" t="n"/>
      <c r="S432" s="85" t="n"/>
      <c r="T432" s="85" t="n"/>
      <c r="U432" s="85" t="n"/>
      <c r="V432" s="85" t="n"/>
      <c r="W432" s="85" t="n"/>
      <c r="X432" s="85" t="n"/>
      <c r="Y432" s="85" t="n"/>
      <c r="Z432" s="85" t="n"/>
      <c r="AA432" s="85" t="n"/>
      <c r="AB432" s="85" t="n"/>
      <c r="AC432" s="85" t="n"/>
      <c r="AD432" s="85" t="n"/>
      <c r="AE432" s="85" t="n"/>
      <c r="AF432" s="86" t="n"/>
      <c r="AG432" s="86" t="n"/>
      <c r="AH432" s="86" t="n"/>
      <c r="AI432" s="85" t="n"/>
      <c r="AJ432" s="85" t="n"/>
      <c r="AK432" s="85">
        <f>IF($A432="","",IF($M432&gt;0,"Yes","No"))</f>
        <v/>
      </c>
      <c r="AL432" s="85">
        <f>IF($A432="","",IF(AND($E432="Yes",OR($Y432="No",$Y432="NOT FOUND")),"YES",""))</f>
        <v/>
      </c>
      <c r="AM432" s="85">
        <f>IF($A432="","",TRIM(IF(AND($P432=0,$I432&lt;&gt;"Yes"),"T0-NoPhishResistant ","")&amp;IF($H432="No","NoMFA ","")&amp;IF(AND($P432=0,$M432&gt;0),"T0-Standing ","")&amp;IF(AND($P432=0,$Q432="Group only"),"T0-ViaGroupOnly ","")&amp;IF($W432="Yes","AlsoAzureRBAC ","")))</f>
        <v/>
      </c>
      <c r="AN432" s="85">
        <f>IF($A432="","",IF(AG432="","Not Enrolled",IF(TODAY()&gt;AG432,"Review Overdue",IF(AG432-TODAY()&lt;=30,"Review Due Soon","Active"))))</f>
        <v/>
      </c>
      <c r="AO432" s="85">
        <f>IF($A432="","",IF(AH432="","NOT REVIEWED",IF(TODAY()-AH432&gt;90,"OVERDUE",IF(TODAY()-AH432&gt;76,"Due Soon","Current"))))</f>
        <v/>
      </c>
    </row>
    <row r="433" ht="15" customHeight="1" s="39">
      <c r="A433" s="85" t="n"/>
      <c r="B433" s="85" t="n"/>
      <c r="C433" s="85" t="n"/>
      <c r="D433" s="85" t="n"/>
      <c r="E433" s="85" t="n"/>
      <c r="F433" s="86" t="n"/>
      <c r="G433" s="86" t="n"/>
      <c r="H433" s="85" t="n"/>
      <c r="I433" s="85" t="n"/>
      <c r="J433" s="85" t="n"/>
      <c r="K433" s="85" t="n"/>
      <c r="L433" s="85" t="n"/>
      <c r="M433" s="85" t="n"/>
      <c r="N433" s="85" t="n"/>
      <c r="O433" s="85" t="n"/>
      <c r="P433" s="85" t="n"/>
      <c r="Q433" s="85" t="n"/>
      <c r="R433" s="85" t="n"/>
      <c r="S433" s="85" t="n"/>
      <c r="T433" s="85" t="n"/>
      <c r="U433" s="85" t="n"/>
      <c r="V433" s="85" t="n"/>
      <c r="W433" s="85" t="n"/>
      <c r="X433" s="85" t="n"/>
      <c r="Y433" s="85" t="n"/>
      <c r="Z433" s="85" t="n"/>
      <c r="AA433" s="85" t="n"/>
      <c r="AB433" s="85" t="n"/>
      <c r="AC433" s="85" t="n"/>
      <c r="AD433" s="85" t="n"/>
      <c r="AE433" s="85" t="n"/>
      <c r="AF433" s="86" t="n"/>
      <c r="AG433" s="86" t="n"/>
      <c r="AH433" s="86" t="n"/>
      <c r="AI433" s="85" t="n"/>
      <c r="AJ433" s="85" t="n"/>
      <c r="AK433" s="85">
        <f>IF($A433="","",IF($M433&gt;0,"Yes","No"))</f>
        <v/>
      </c>
      <c r="AL433" s="85">
        <f>IF($A433="","",IF(AND($E433="Yes",OR($Y433="No",$Y433="NOT FOUND")),"YES",""))</f>
        <v/>
      </c>
      <c r="AM433" s="85">
        <f>IF($A433="","",TRIM(IF(AND($P433=0,$I433&lt;&gt;"Yes"),"T0-NoPhishResistant ","")&amp;IF($H433="No","NoMFA ","")&amp;IF(AND($P433=0,$M433&gt;0),"T0-Standing ","")&amp;IF(AND($P433=0,$Q433="Group only"),"T0-ViaGroupOnly ","")&amp;IF($W433="Yes","AlsoAzureRBAC ","")))</f>
        <v/>
      </c>
      <c r="AN433" s="85">
        <f>IF($A433="","",IF(AG433="","Not Enrolled",IF(TODAY()&gt;AG433,"Review Overdue",IF(AG433-TODAY()&lt;=30,"Review Due Soon","Active"))))</f>
        <v/>
      </c>
      <c r="AO433" s="85">
        <f>IF($A433="","",IF(AH433="","NOT REVIEWED",IF(TODAY()-AH433&gt;90,"OVERDUE",IF(TODAY()-AH433&gt;76,"Due Soon","Current"))))</f>
        <v/>
      </c>
    </row>
    <row r="434" ht="15" customHeight="1" s="39">
      <c r="A434" s="85" t="n"/>
      <c r="B434" s="85" t="n"/>
      <c r="C434" s="85" t="n"/>
      <c r="D434" s="85" t="n"/>
      <c r="E434" s="85" t="n"/>
      <c r="F434" s="86" t="n"/>
      <c r="G434" s="86" t="n"/>
      <c r="H434" s="85" t="n"/>
      <c r="I434" s="85" t="n"/>
      <c r="J434" s="85" t="n"/>
      <c r="K434" s="85" t="n"/>
      <c r="L434" s="85" t="n"/>
      <c r="M434" s="85" t="n"/>
      <c r="N434" s="85" t="n"/>
      <c r="O434" s="85" t="n"/>
      <c r="P434" s="85" t="n"/>
      <c r="Q434" s="85" t="n"/>
      <c r="R434" s="85" t="n"/>
      <c r="S434" s="85" t="n"/>
      <c r="T434" s="85" t="n"/>
      <c r="U434" s="85" t="n"/>
      <c r="V434" s="85" t="n"/>
      <c r="W434" s="85" t="n"/>
      <c r="X434" s="85" t="n"/>
      <c r="Y434" s="85" t="n"/>
      <c r="Z434" s="85" t="n"/>
      <c r="AA434" s="85" t="n"/>
      <c r="AB434" s="85" t="n"/>
      <c r="AC434" s="85" t="n"/>
      <c r="AD434" s="85" t="n"/>
      <c r="AE434" s="85" t="n"/>
      <c r="AF434" s="86" t="n"/>
      <c r="AG434" s="86" t="n"/>
      <c r="AH434" s="86" t="n"/>
      <c r="AI434" s="85" t="n"/>
      <c r="AJ434" s="85" t="n"/>
      <c r="AK434" s="85">
        <f>IF($A434="","",IF($M434&gt;0,"Yes","No"))</f>
        <v/>
      </c>
      <c r="AL434" s="85">
        <f>IF($A434="","",IF(AND($E434="Yes",OR($Y434="No",$Y434="NOT FOUND")),"YES",""))</f>
        <v/>
      </c>
      <c r="AM434" s="85">
        <f>IF($A434="","",TRIM(IF(AND($P434=0,$I434&lt;&gt;"Yes"),"T0-NoPhishResistant ","")&amp;IF($H434="No","NoMFA ","")&amp;IF(AND($P434=0,$M434&gt;0),"T0-Standing ","")&amp;IF(AND($P434=0,$Q434="Group only"),"T0-ViaGroupOnly ","")&amp;IF($W434="Yes","AlsoAzureRBAC ","")))</f>
        <v/>
      </c>
      <c r="AN434" s="85">
        <f>IF($A434="","",IF(AG434="","Not Enrolled",IF(TODAY()&gt;AG434,"Review Overdue",IF(AG434-TODAY()&lt;=30,"Review Due Soon","Active"))))</f>
        <v/>
      </c>
      <c r="AO434" s="85">
        <f>IF($A434="","",IF(AH434="","NOT REVIEWED",IF(TODAY()-AH434&gt;90,"OVERDUE",IF(TODAY()-AH434&gt;76,"Due Soon","Current"))))</f>
        <v/>
      </c>
    </row>
    <row r="435" ht="15" customHeight="1" s="39">
      <c r="A435" s="85" t="n"/>
      <c r="B435" s="85" t="n"/>
      <c r="C435" s="85" t="n"/>
      <c r="D435" s="85" t="n"/>
      <c r="E435" s="85" t="n"/>
      <c r="F435" s="86" t="n"/>
      <c r="G435" s="86" t="n"/>
      <c r="H435" s="85" t="n"/>
      <c r="I435" s="85" t="n"/>
      <c r="J435" s="85" t="n"/>
      <c r="K435" s="85" t="n"/>
      <c r="L435" s="85" t="n"/>
      <c r="M435" s="85" t="n"/>
      <c r="N435" s="85" t="n"/>
      <c r="O435" s="85" t="n"/>
      <c r="P435" s="85" t="n"/>
      <c r="Q435" s="85" t="n"/>
      <c r="R435" s="85" t="n"/>
      <c r="S435" s="85" t="n"/>
      <c r="T435" s="85" t="n"/>
      <c r="U435" s="85" t="n"/>
      <c r="V435" s="85" t="n"/>
      <c r="W435" s="85" t="n"/>
      <c r="X435" s="85" t="n"/>
      <c r="Y435" s="85" t="n"/>
      <c r="Z435" s="85" t="n"/>
      <c r="AA435" s="85" t="n"/>
      <c r="AB435" s="85" t="n"/>
      <c r="AC435" s="85" t="n"/>
      <c r="AD435" s="85" t="n"/>
      <c r="AE435" s="85" t="n"/>
      <c r="AF435" s="86" t="n"/>
      <c r="AG435" s="86" t="n"/>
      <c r="AH435" s="86" t="n"/>
      <c r="AI435" s="85" t="n"/>
      <c r="AJ435" s="85" t="n"/>
      <c r="AK435" s="85">
        <f>IF($A435="","",IF($M435&gt;0,"Yes","No"))</f>
        <v/>
      </c>
      <c r="AL435" s="85">
        <f>IF($A435="","",IF(AND($E435="Yes",OR($Y435="No",$Y435="NOT FOUND")),"YES",""))</f>
        <v/>
      </c>
      <c r="AM435" s="85">
        <f>IF($A435="","",TRIM(IF(AND($P435=0,$I435&lt;&gt;"Yes"),"T0-NoPhishResistant ","")&amp;IF($H435="No","NoMFA ","")&amp;IF(AND($P435=0,$M435&gt;0),"T0-Standing ","")&amp;IF(AND($P435=0,$Q435="Group only"),"T0-ViaGroupOnly ","")&amp;IF($W435="Yes","AlsoAzureRBAC ","")))</f>
        <v/>
      </c>
      <c r="AN435" s="85">
        <f>IF($A435="","",IF(AG435="","Not Enrolled",IF(TODAY()&gt;AG435,"Review Overdue",IF(AG435-TODAY()&lt;=30,"Review Due Soon","Active"))))</f>
        <v/>
      </c>
      <c r="AO435" s="85">
        <f>IF($A435="","",IF(AH435="","NOT REVIEWED",IF(TODAY()-AH435&gt;90,"OVERDUE",IF(TODAY()-AH435&gt;76,"Due Soon","Current"))))</f>
        <v/>
      </c>
    </row>
    <row r="436" ht="15" customHeight="1" s="39">
      <c r="A436" s="85" t="n"/>
      <c r="B436" s="85" t="n"/>
      <c r="C436" s="85" t="n"/>
      <c r="D436" s="85" t="n"/>
      <c r="E436" s="85" t="n"/>
      <c r="F436" s="86" t="n"/>
      <c r="G436" s="86" t="n"/>
      <c r="H436" s="85" t="n"/>
      <c r="I436" s="85" t="n"/>
      <c r="J436" s="85" t="n"/>
      <c r="K436" s="85" t="n"/>
      <c r="L436" s="85" t="n"/>
      <c r="M436" s="85" t="n"/>
      <c r="N436" s="85" t="n"/>
      <c r="O436" s="85" t="n"/>
      <c r="P436" s="85" t="n"/>
      <c r="Q436" s="85" t="n"/>
      <c r="R436" s="85" t="n"/>
      <c r="S436" s="85" t="n"/>
      <c r="T436" s="85" t="n"/>
      <c r="U436" s="85" t="n"/>
      <c r="V436" s="85" t="n"/>
      <c r="W436" s="85" t="n"/>
      <c r="X436" s="85" t="n"/>
      <c r="Y436" s="85" t="n"/>
      <c r="Z436" s="85" t="n"/>
      <c r="AA436" s="85" t="n"/>
      <c r="AB436" s="85" t="n"/>
      <c r="AC436" s="85" t="n"/>
      <c r="AD436" s="85" t="n"/>
      <c r="AE436" s="85" t="n"/>
      <c r="AF436" s="86" t="n"/>
      <c r="AG436" s="86" t="n"/>
      <c r="AH436" s="86" t="n"/>
      <c r="AI436" s="85" t="n"/>
      <c r="AJ436" s="85" t="n"/>
      <c r="AK436" s="85">
        <f>IF($A436="","",IF($M436&gt;0,"Yes","No"))</f>
        <v/>
      </c>
      <c r="AL436" s="85">
        <f>IF($A436="","",IF(AND($E436="Yes",OR($Y436="No",$Y436="NOT FOUND")),"YES",""))</f>
        <v/>
      </c>
      <c r="AM436" s="85">
        <f>IF($A436="","",TRIM(IF(AND($P436=0,$I436&lt;&gt;"Yes"),"T0-NoPhishResistant ","")&amp;IF($H436="No","NoMFA ","")&amp;IF(AND($P436=0,$M436&gt;0),"T0-Standing ","")&amp;IF(AND($P436=0,$Q436="Group only"),"T0-ViaGroupOnly ","")&amp;IF($W436="Yes","AlsoAzureRBAC ","")))</f>
        <v/>
      </c>
      <c r="AN436" s="85">
        <f>IF($A436="","",IF(AG436="","Not Enrolled",IF(TODAY()&gt;AG436,"Review Overdue",IF(AG436-TODAY()&lt;=30,"Review Due Soon","Active"))))</f>
        <v/>
      </c>
      <c r="AO436" s="85">
        <f>IF($A436="","",IF(AH436="","NOT REVIEWED",IF(TODAY()-AH436&gt;90,"OVERDUE",IF(TODAY()-AH436&gt;76,"Due Soon","Current"))))</f>
        <v/>
      </c>
    </row>
    <row r="437" ht="15" customHeight="1" s="39">
      <c r="A437" s="85" t="n"/>
      <c r="B437" s="85" t="n"/>
      <c r="C437" s="85" t="n"/>
      <c r="D437" s="85" t="n"/>
      <c r="E437" s="85" t="n"/>
      <c r="F437" s="86" t="n"/>
      <c r="G437" s="86" t="n"/>
      <c r="H437" s="85" t="n"/>
      <c r="I437" s="85" t="n"/>
      <c r="J437" s="85" t="n"/>
      <c r="K437" s="85" t="n"/>
      <c r="L437" s="85" t="n"/>
      <c r="M437" s="85" t="n"/>
      <c r="N437" s="85" t="n"/>
      <c r="O437" s="85" t="n"/>
      <c r="P437" s="85" t="n"/>
      <c r="Q437" s="85" t="n"/>
      <c r="R437" s="85" t="n"/>
      <c r="S437" s="85" t="n"/>
      <c r="T437" s="85" t="n"/>
      <c r="U437" s="85" t="n"/>
      <c r="V437" s="85" t="n"/>
      <c r="W437" s="85" t="n"/>
      <c r="X437" s="85" t="n"/>
      <c r="Y437" s="85" t="n"/>
      <c r="Z437" s="85" t="n"/>
      <c r="AA437" s="85" t="n"/>
      <c r="AB437" s="85" t="n"/>
      <c r="AC437" s="85" t="n"/>
      <c r="AD437" s="85" t="n"/>
      <c r="AE437" s="85" t="n"/>
      <c r="AF437" s="86" t="n"/>
      <c r="AG437" s="86" t="n"/>
      <c r="AH437" s="86" t="n"/>
      <c r="AI437" s="85" t="n"/>
      <c r="AJ437" s="85" t="n"/>
      <c r="AK437" s="85">
        <f>IF($A437="","",IF($M437&gt;0,"Yes","No"))</f>
        <v/>
      </c>
      <c r="AL437" s="85">
        <f>IF($A437="","",IF(AND($E437="Yes",OR($Y437="No",$Y437="NOT FOUND")),"YES",""))</f>
        <v/>
      </c>
      <c r="AM437" s="85">
        <f>IF($A437="","",TRIM(IF(AND($P437=0,$I437&lt;&gt;"Yes"),"T0-NoPhishResistant ","")&amp;IF($H437="No","NoMFA ","")&amp;IF(AND($P437=0,$M437&gt;0),"T0-Standing ","")&amp;IF(AND($P437=0,$Q437="Group only"),"T0-ViaGroupOnly ","")&amp;IF($W437="Yes","AlsoAzureRBAC ","")))</f>
        <v/>
      </c>
      <c r="AN437" s="85">
        <f>IF($A437="","",IF(AG437="","Not Enrolled",IF(TODAY()&gt;AG437,"Review Overdue",IF(AG437-TODAY()&lt;=30,"Review Due Soon","Active"))))</f>
        <v/>
      </c>
      <c r="AO437" s="85">
        <f>IF($A437="","",IF(AH437="","NOT REVIEWED",IF(TODAY()-AH437&gt;90,"OVERDUE",IF(TODAY()-AH437&gt;76,"Due Soon","Current"))))</f>
        <v/>
      </c>
    </row>
    <row r="438" ht="15" customHeight="1" s="39">
      <c r="A438" s="85" t="n"/>
      <c r="B438" s="85" t="n"/>
      <c r="C438" s="85" t="n"/>
      <c r="D438" s="85" t="n"/>
      <c r="E438" s="85" t="n"/>
      <c r="F438" s="86" t="n"/>
      <c r="G438" s="86" t="n"/>
      <c r="H438" s="85" t="n"/>
      <c r="I438" s="85" t="n"/>
      <c r="J438" s="85" t="n"/>
      <c r="K438" s="85" t="n"/>
      <c r="L438" s="85" t="n"/>
      <c r="M438" s="85" t="n"/>
      <c r="N438" s="85" t="n"/>
      <c r="O438" s="85" t="n"/>
      <c r="P438" s="85" t="n"/>
      <c r="Q438" s="85" t="n"/>
      <c r="R438" s="85" t="n"/>
      <c r="S438" s="85" t="n"/>
      <c r="T438" s="85" t="n"/>
      <c r="U438" s="85" t="n"/>
      <c r="V438" s="85" t="n"/>
      <c r="W438" s="85" t="n"/>
      <c r="X438" s="85" t="n"/>
      <c r="Y438" s="85" t="n"/>
      <c r="Z438" s="85" t="n"/>
      <c r="AA438" s="85" t="n"/>
      <c r="AB438" s="85" t="n"/>
      <c r="AC438" s="85" t="n"/>
      <c r="AD438" s="85" t="n"/>
      <c r="AE438" s="85" t="n"/>
      <c r="AF438" s="86" t="n"/>
      <c r="AG438" s="86" t="n"/>
      <c r="AH438" s="86" t="n"/>
      <c r="AI438" s="85" t="n"/>
      <c r="AJ438" s="85" t="n"/>
      <c r="AK438" s="85">
        <f>IF($A438="","",IF($M438&gt;0,"Yes","No"))</f>
        <v/>
      </c>
      <c r="AL438" s="85">
        <f>IF($A438="","",IF(AND($E438="Yes",OR($Y438="No",$Y438="NOT FOUND")),"YES",""))</f>
        <v/>
      </c>
      <c r="AM438" s="85">
        <f>IF($A438="","",TRIM(IF(AND($P438=0,$I438&lt;&gt;"Yes"),"T0-NoPhishResistant ","")&amp;IF($H438="No","NoMFA ","")&amp;IF(AND($P438=0,$M438&gt;0),"T0-Standing ","")&amp;IF(AND($P438=0,$Q438="Group only"),"T0-ViaGroupOnly ","")&amp;IF($W438="Yes","AlsoAzureRBAC ","")))</f>
        <v/>
      </c>
      <c r="AN438" s="85">
        <f>IF($A438="","",IF(AG438="","Not Enrolled",IF(TODAY()&gt;AG438,"Review Overdue",IF(AG438-TODAY()&lt;=30,"Review Due Soon","Active"))))</f>
        <v/>
      </c>
      <c r="AO438" s="85">
        <f>IF($A438="","",IF(AH438="","NOT REVIEWED",IF(TODAY()-AH438&gt;90,"OVERDUE",IF(TODAY()-AH438&gt;76,"Due Soon","Current"))))</f>
        <v/>
      </c>
    </row>
    <row r="439" ht="15" customHeight="1" s="39">
      <c r="A439" s="85" t="n"/>
      <c r="B439" s="85" t="n"/>
      <c r="C439" s="85" t="n"/>
      <c r="D439" s="85" t="n"/>
      <c r="E439" s="85" t="n"/>
      <c r="F439" s="86" t="n"/>
      <c r="G439" s="86" t="n"/>
      <c r="H439" s="85" t="n"/>
      <c r="I439" s="85" t="n"/>
      <c r="J439" s="85" t="n"/>
      <c r="K439" s="85" t="n"/>
      <c r="L439" s="85" t="n"/>
      <c r="M439" s="85" t="n"/>
      <c r="N439" s="85" t="n"/>
      <c r="O439" s="85" t="n"/>
      <c r="P439" s="85" t="n"/>
      <c r="Q439" s="85" t="n"/>
      <c r="R439" s="85" t="n"/>
      <c r="S439" s="85" t="n"/>
      <c r="T439" s="85" t="n"/>
      <c r="U439" s="85" t="n"/>
      <c r="V439" s="85" t="n"/>
      <c r="W439" s="85" t="n"/>
      <c r="X439" s="85" t="n"/>
      <c r="Y439" s="85" t="n"/>
      <c r="Z439" s="85" t="n"/>
      <c r="AA439" s="85" t="n"/>
      <c r="AB439" s="85" t="n"/>
      <c r="AC439" s="85" t="n"/>
      <c r="AD439" s="85" t="n"/>
      <c r="AE439" s="85" t="n"/>
      <c r="AF439" s="86" t="n"/>
      <c r="AG439" s="86" t="n"/>
      <c r="AH439" s="86" t="n"/>
      <c r="AI439" s="85" t="n"/>
      <c r="AJ439" s="85" t="n"/>
      <c r="AK439" s="85">
        <f>IF($A439="","",IF($M439&gt;0,"Yes","No"))</f>
        <v/>
      </c>
      <c r="AL439" s="85">
        <f>IF($A439="","",IF(AND($E439="Yes",OR($Y439="No",$Y439="NOT FOUND")),"YES",""))</f>
        <v/>
      </c>
      <c r="AM439" s="85">
        <f>IF($A439="","",TRIM(IF(AND($P439=0,$I439&lt;&gt;"Yes"),"T0-NoPhishResistant ","")&amp;IF($H439="No","NoMFA ","")&amp;IF(AND($P439=0,$M439&gt;0),"T0-Standing ","")&amp;IF(AND($P439=0,$Q439="Group only"),"T0-ViaGroupOnly ","")&amp;IF($W439="Yes","AlsoAzureRBAC ","")))</f>
        <v/>
      </c>
      <c r="AN439" s="85">
        <f>IF($A439="","",IF(AG439="","Not Enrolled",IF(TODAY()&gt;AG439,"Review Overdue",IF(AG439-TODAY()&lt;=30,"Review Due Soon","Active"))))</f>
        <v/>
      </c>
      <c r="AO439" s="85">
        <f>IF($A439="","",IF(AH439="","NOT REVIEWED",IF(TODAY()-AH439&gt;90,"OVERDUE",IF(TODAY()-AH439&gt;76,"Due Soon","Current"))))</f>
        <v/>
      </c>
    </row>
    <row r="440" ht="15" customHeight="1" s="39">
      <c r="A440" s="85" t="n"/>
      <c r="B440" s="85" t="n"/>
      <c r="C440" s="85" t="n"/>
      <c r="D440" s="85" t="n"/>
      <c r="E440" s="85" t="n"/>
      <c r="F440" s="86" t="n"/>
      <c r="G440" s="86" t="n"/>
      <c r="H440" s="85" t="n"/>
      <c r="I440" s="85" t="n"/>
      <c r="J440" s="85" t="n"/>
      <c r="K440" s="85" t="n"/>
      <c r="L440" s="85" t="n"/>
      <c r="M440" s="85" t="n"/>
      <c r="N440" s="85" t="n"/>
      <c r="O440" s="85" t="n"/>
      <c r="P440" s="85" t="n"/>
      <c r="Q440" s="85" t="n"/>
      <c r="R440" s="85" t="n"/>
      <c r="S440" s="85" t="n"/>
      <c r="T440" s="85" t="n"/>
      <c r="U440" s="85" t="n"/>
      <c r="V440" s="85" t="n"/>
      <c r="W440" s="85" t="n"/>
      <c r="X440" s="85" t="n"/>
      <c r="Y440" s="85" t="n"/>
      <c r="Z440" s="85" t="n"/>
      <c r="AA440" s="85" t="n"/>
      <c r="AB440" s="85" t="n"/>
      <c r="AC440" s="85" t="n"/>
      <c r="AD440" s="85" t="n"/>
      <c r="AE440" s="85" t="n"/>
      <c r="AF440" s="86" t="n"/>
      <c r="AG440" s="86" t="n"/>
      <c r="AH440" s="86" t="n"/>
      <c r="AI440" s="85" t="n"/>
      <c r="AJ440" s="85" t="n"/>
      <c r="AK440" s="85">
        <f>IF($A440="","",IF($M440&gt;0,"Yes","No"))</f>
        <v/>
      </c>
      <c r="AL440" s="85">
        <f>IF($A440="","",IF(AND($E440="Yes",OR($Y440="No",$Y440="NOT FOUND")),"YES",""))</f>
        <v/>
      </c>
      <c r="AM440" s="85">
        <f>IF($A440="","",TRIM(IF(AND($P440=0,$I440&lt;&gt;"Yes"),"T0-NoPhishResistant ","")&amp;IF($H440="No","NoMFA ","")&amp;IF(AND($P440=0,$M440&gt;0),"T0-Standing ","")&amp;IF(AND($P440=0,$Q440="Group only"),"T0-ViaGroupOnly ","")&amp;IF($W440="Yes","AlsoAzureRBAC ","")))</f>
        <v/>
      </c>
      <c r="AN440" s="85">
        <f>IF($A440="","",IF(AG440="","Not Enrolled",IF(TODAY()&gt;AG440,"Review Overdue",IF(AG440-TODAY()&lt;=30,"Review Due Soon","Active"))))</f>
        <v/>
      </c>
      <c r="AO440" s="85">
        <f>IF($A440="","",IF(AH440="","NOT REVIEWED",IF(TODAY()-AH440&gt;90,"OVERDUE",IF(TODAY()-AH440&gt;76,"Due Soon","Current"))))</f>
        <v/>
      </c>
    </row>
    <row r="441" ht="15" customHeight="1" s="39">
      <c r="A441" s="85" t="n"/>
      <c r="B441" s="85" t="n"/>
      <c r="C441" s="85" t="n"/>
      <c r="D441" s="85" t="n"/>
      <c r="E441" s="85" t="n"/>
      <c r="F441" s="86" t="n"/>
      <c r="G441" s="86" t="n"/>
      <c r="H441" s="85" t="n"/>
      <c r="I441" s="85" t="n"/>
      <c r="J441" s="85" t="n"/>
      <c r="K441" s="85" t="n"/>
      <c r="L441" s="85" t="n"/>
      <c r="M441" s="85" t="n"/>
      <c r="N441" s="85" t="n"/>
      <c r="O441" s="85" t="n"/>
      <c r="P441" s="85" t="n"/>
      <c r="Q441" s="85" t="n"/>
      <c r="R441" s="85" t="n"/>
      <c r="S441" s="85" t="n"/>
      <c r="T441" s="85" t="n"/>
      <c r="U441" s="85" t="n"/>
      <c r="V441" s="85" t="n"/>
      <c r="W441" s="85" t="n"/>
      <c r="X441" s="85" t="n"/>
      <c r="Y441" s="85" t="n"/>
      <c r="Z441" s="85" t="n"/>
      <c r="AA441" s="85" t="n"/>
      <c r="AB441" s="85" t="n"/>
      <c r="AC441" s="85" t="n"/>
      <c r="AD441" s="85" t="n"/>
      <c r="AE441" s="85" t="n"/>
      <c r="AF441" s="86" t="n"/>
      <c r="AG441" s="86" t="n"/>
      <c r="AH441" s="86" t="n"/>
      <c r="AI441" s="85" t="n"/>
      <c r="AJ441" s="85" t="n"/>
      <c r="AK441" s="85">
        <f>IF($A441="","",IF($M441&gt;0,"Yes","No"))</f>
        <v/>
      </c>
      <c r="AL441" s="85">
        <f>IF($A441="","",IF(AND($E441="Yes",OR($Y441="No",$Y441="NOT FOUND")),"YES",""))</f>
        <v/>
      </c>
      <c r="AM441" s="85">
        <f>IF($A441="","",TRIM(IF(AND($P441=0,$I441&lt;&gt;"Yes"),"T0-NoPhishResistant ","")&amp;IF($H441="No","NoMFA ","")&amp;IF(AND($P441=0,$M441&gt;0),"T0-Standing ","")&amp;IF(AND($P441=0,$Q441="Group only"),"T0-ViaGroupOnly ","")&amp;IF($W441="Yes","AlsoAzureRBAC ","")))</f>
        <v/>
      </c>
      <c r="AN441" s="85">
        <f>IF($A441="","",IF(AG441="","Not Enrolled",IF(TODAY()&gt;AG441,"Review Overdue",IF(AG441-TODAY()&lt;=30,"Review Due Soon","Active"))))</f>
        <v/>
      </c>
      <c r="AO441" s="85">
        <f>IF($A441="","",IF(AH441="","NOT REVIEWED",IF(TODAY()-AH441&gt;90,"OVERDUE",IF(TODAY()-AH441&gt;76,"Due Soon","Current"))))</f>
        <v/>
      </c>
    </row>
    <row r="442" ht="15" customHeight="1" s="39">
      <c r="A442" s="85" t="n"/>
      <c r="B442" s="85" t="n"/>
      <c r="C442" s="85" t="n"/>
      <c r="D442" s="85" t="n"/>
      <c r="E442" s="85" t="n"/>
      <c r="F442" s="86" t="n"/>
      <c r="G442" s="86" t="n"/>
      <c r="H442" s="85" t="n"/>
      <c r="I442" s="85" t="n"/>
      <c r="J442" s="85" t="n"/>
      <c r="K442" s="85" t="n"/>
      <c r="L442" s="85" t="n"/>
      <c r="M442" s="85" t="n"/>
      <c r="N442" s="85" t="n"/>
      <c r="O442" s="85" t="n"/>
      <c r="P442" s="85" t="n"/>
      <c r="Q442" s="85" t="n"/>
      <c r="R442" s="85" t="n"/>
      <c r="S442" s="85" t="n"/>
      <c r="T442" s="85" t="n"/>
      <c r="U442" s="85" t="n"/>
      <c r="V442" s="85" t="n"/>
      <c r="W442" s="85" t="n"/>
      <c r="X442" s="85" t="n"/>
      <c r="Y442" s="85" t="n"/>
      <c r="Z442" s="85" t="n"/>
      <c r="AA442" s="85" t="n"/>
      <c r="AB442" s="85" t="n"/>
      <c r="AC442" s="85" t="n"/>
      <c r="AD442" s="85" t="n"/>
      <c r="AE442" s="85" t="n"/>
      <c r="AF442" s="86" t="n"/>
      <c r="AG442" s="86" t="n"/>
      <c r="AH442" s="86" t="n"/>
      <c r="AI442" s="85" t="n"/>
      <c r="AJ442" s="85" t="n"/>
      <c r="AK442" s="85">
        <f>IF($A442="","",IF($M442&gt;0,"Yes","No"))</f>
        <v/>
      </c>
      <c r="AL442" s="85">
        <f>IF($A442="","",IF(AND($E442="Yes",OR($Y442="No",$Y442="NOT FOUND")),"YES",""))</f>
        <v/>
      </c>
      <c r="AM442" s="85">
        <f>IF($A442="","",TRIM(IF(AND($P442=0,$I442&lt;&gt;"Yes"),"T0-NoPhishResistant ","")&amp;IF($H442="No","NoMFA ","")&amp;IF(AND($P442=0,$M442&gt;0),"T0-Standing ","")&amp;IF(AND($P442=0,$Q442="Group only"),"T0-ViaGroupOnly ","")&amp;IF($W442="Yes","AlsoAzureRBAC ","")))</f>
        <v/>
      </c>
      <c r="AN442" s="85">
        <f>IF($A442="","",IF(AG442="","Not Enrolled",IF(TODAY()&gt;AG442,"Review Overdue",IF(AG442-TODAY()&lt;=30,"Review Due Soon","Active"))))</f>
        <v/>
      </c>
      <c r="AO442" s="85">
        <f>IF($A442="","",IF(AH442="","NOT REVIEWED",IF(TODAY()-AH442&gt;90,"OVERDUE",IF(TODAY()-AH442&gt;76,"Due Soon","Current"))))</f>
        <v/>
      </c>
    </row>
    <row r="443" ht="15" customHeight="1" s="39">
      <c r="A443" s="85" t="n"/>
      <c r="B443" s="85" t="n"/>
      <c r="C443" s="85" t="n"/>
      <c r="D443" s="85" t="n"/>
      <c r="E443" s="85" t="n"/>
      <c r="F443" s="86" t="n"/>
      <c r="G443" s="86" t="n"/>
      <c r="H443" s="85" t="n"/>
      <c r="I443" s="85" t="n"/>
      <c r="J443" s="85" t="n"/>
      <c r="K443" s="85" t="n"/>
      <c r="L443" s="85" t="n"/>
      <c r="M443" s="85" t="n"/>
      <c r="N443" s="85" t="n"/>
      <c r="O443" s="85" t="n"/>
      <c r="P443" s="85" t="n"/>
      <c r="Q443" s="85" t="n"/>
      <c r="R443" s="85" t="n"/>
      <c r="S443" s="85" t="n"/>
      <c r="T443" s="85" t="n"/>
      <c r="U443" s="85" t="n"/>
      <c r="V443" s="85" t="n"/>
      <c r="W443" s="85" t="n"/>
      <c r="X443" s="85" t="n"/>
      <c r="Y443" s="85" t="n"/>
      <c r="Z443" s="85" t="n"/>
      <c r="AA443" s="85" t="n"/>
      <c r="AB443" s="85" t="n"/>
      <c r="AC443" s="85" t="n"/>
      <c r="AD443" s="85" t="n"/>
      <c r="AE443" s="85" t="n"/>
      <c r="AF443" s="86" t="n"/>
      <c r="AG443" s="86" t="n"/>
      <c r="AH443" s="86" t="n"/>
      <c r="AI443" s="85" t="n"/>
      <c r="AJ443" s="85" t="n"/>
      <c r="AK443" s="85">
        <f>IF($A443="","",IF($M443&gt;0,"Yes","No"))</f>
        <v/>
      </c>
      <c r="AL443" s="85">
        <f>IF($A443="","",IF(AND($E443="Yes",OR($Y443="No",$Y443="NOT FOUND")),"YES",""))</f>
        <v/>
      </c>
      <c r="AM443" s="85">
        <f>IF($A443="","",TRIM(IF(AND($P443=0,$I443&lt;&gt;"Yes"),"T0-NoPhishResistant ","")&amp;IF($H443="No","NoMFA ","")&amp;IF(AND($P443=0,$M443&gt;0),"T0-Standing ","")&amp;IF(AND($P443=0,$Q443="Group only"),"T0-ViaGroupOnly ","")&amp;IF($W443="Yes","AlsoAzureRBAC ","")))</f>
        <v/>
      </c>
      <c r="AN443" s="85">
        <f>IF($A443="","",IF(AG443="","Not Enrolled",IF(TODAY()&gt;AG443,"Review Overdue",IF(AG443-TODAY()&lt;=30,"Review Due Soon","Active"))))</f>
        <v/>
      </c>
      <c r="AO443" s="85">
        <f>IF($A443="","",IF(AH443="","NOT REVIEWED",IF(TODAY()-AH443&gt;90,"OVERDUE",IF(TODAY()-AH443&gt;76,"Due Soon","Current"))))</f>
        <v/>
      </c>
    </row>
    <row r="444" ht="15" customHeight="1" s="39">
      <c r="A444" s="85" t="n"/>
      <c r="B444" s="85" t="n"/>
      <c r="C444" s="85" t="n"/>
      <c r="D444" s="85" t="n"/>
      <c r="E444" s="85" t="n"/>
      <c r="F444" s="86" t="n"/>
      <c r="G444" s="86" t="n"/>
      <c r="H444" s="85" t="n"/>
      <c r="I444" s="85" t="n"/>
      <c r="J444" s="85" t="n"/>
      <c r="K444" s="85" t="n"/>
      <c r="L444" s="85" t="n"/>
      <c r="M444" s="85" t="n"/>
      <c r="N444" s="85" t="n"/>
      <c r="O444" s="85" t="n"/>
      <c r="P444" s="85" t="n"/>
      <c r="Q444" s="85" t="n"/>
      <c r="R444" s="85" t="n"/>
      <c r="S444" s="85" t="n"/>
      <c r="T444" s="85" t="n"/>
      <c r="U444" s="85" t="n"/>
      <c r="V444" s="85" t="n"/>
      <c r="W444" s="85" t="n"/>
      <c r="X444" s="85" t="n"/>
      <c r="Y444" s="85" t="n"/>
      <c r="Z444" s="85" t="n"/>
      <c r="AA444" s="85" t="n"/>
      <c r="AB444" s="85" t="n"/>
      <c r="AC444" s="85" t="n"/>
      <c r="AD444" s="85" t="n"/>
      <c r="AE444" s="85" t="n"/>
      <c r="AF444" s="86" t="n"/>
      <c r="AG444" s="86" t="n"/>
      <c r="AH444" s="86" t="n"/>
      <c r="AI444" s="85" t="n"/>
      <c r="AJ444" s="85" t="n"/>
      <c r="AK444" s="85">
        <f>IF($A444="","",IF($M444&gt;0,"Yes","No"))</f>
        <v/>
      </c>
      <c r="AL444" s="85">
        <f>IF($A444="","",IF(AND($E444="Yes",OR($Y444="No",$Y444="NOT FOUND")),"YES",""))</f>
        <v/>
      </c>
      <c r="AM444" s="85">
        <f>IF($A444="","",TRIM(IF(AND($P444=0,$I444&lt;&gt;"Yes"),"T0-NoPhishResistant ","")&amp;IF($H444="No","NoMFA ","")&amp;IF(AND($P444=0,$M444&gt;0),"T0-Standing ","")&amp;IF(AND($P444=0,$Q444="Group only"),"T0-ViaGroupOnly ","")&amp;IF($W444="Yes","AlsoAzureRBAC ","")))</f>
        <v/>
      </c>
      <c r="AN444" s="85">
        <f>IF($A444="","",IF(AG444="","Not Enrolled",IF(TODAY()&gt;AG444,"Review Overdue",IF(AG444-TODAY()&lt;=30,"Review Due Soon","Active"))))</f>
        <v/>
      </c>
      <c r="AO444" s="85">
        <f>IF($A444="","",IF(AH444="","NOT REVIEWED",IF(TODAY()-AH444&gt;90,"OVERDUE",IF(TODAY()-AH444&gt;76,"Due Soon","Current"))))</f>
        <v/>
      </c>
    </row>
    <row r="445" ht="15" customHeight="1" s="39">
      <c r="A445" s="85" t="n"/>
      <c r="B445" s="85" t="n"/>
      <c r="C445" s="85" t="n"/>
      <c r="D445" s="85" t="n"/>
      <c r="E445" s="85" t="n"/>
      <c r="F445" s="86" t="n"/>
      <c r="G445" s="86" t="n"/>
      <c r="H445" s="85" t="n"/>
      <c r="I445" s="85" t="n"/>
      <c r="J445" s="85" t="n"/>
      <c r="K445" s="85" t="n"/>
      <c r="L445" s="85" t="n"/>
      <c r="M445" s="85" t="n"/>
      <c r="N445" s="85" t="n"/>
      <c r="O445" s="85" t="n"/>
      <c r="P445" s="85" t="n"/>
      <c r="Q445" s="85" t="n"/>
      <c r="R445" s="85" t="n"/>
      <c r="S445" s="85" t="n"/>
      <c r="T445" s="85" t="n"/>
      <c r="U445" s="85" t="n"/>
      <c r="V445" s="85" t="n"/>
      <c r="W445" s="85" t="n"/>
      <c r="X445" s="85" t="n"/>
      <c r="Y445" s="85" t="n"/>
      <c r="Z445" s="85" t="n"/>
      <c r="AA445" s="85" t="n"/>
      <c r="AB445" s="85" t="n"/>
      <c r="AC445" s="85" t="n"/>
      <c r="AD445" s="85" t="n"/>
      <c r="AE445" s="85" t="n"/>
      <c r="AF445" s="86" t="n"/>
      <c r="AG445" s="86" t="n"/>
      <c r="AH445" s="86" t="n"/>
      <c r="AI445" s="85" t="n"/>
      <c r="AJ445" s="85" t="n"/>
      <c r="AK445" s="85">
        <f>IF($A445="","",IF($M445&gt;0,"Yes","No"))</f>
        <v/>
      </c>
      <c r="AL445" s="85">
        <f>IF($A445="","",IF(AND($E445="Yes",OR($Y445="No",$Y445="NOT FOUND")),"YES",""))</f>
        <v/>
      </c>
      <c r="AM445" s="85">
        <f>IF($A445="","",TRIM(IF(AND($P445=0,$I445&lt;&gt;"Yes"),"T0-NoPhishResistant ","")&amp;IF($H445="No","NoMFA ","")&amp;IF(AND($P445=0,$M445&gt;0),"T0-Standing ","")&amp;IF(AND($P445=0,$Q445="Group only"),"T0-ViaGroupOnly ","")&amp;IF($W445="Yes","AlsoAzureRBAC ","")))</f>
        <v/>
      </c>
      <c r="AN445" s="85">
        <f>IF($A445="","",IF(AG445="","Not Enrolled",IF(TODAY()&gt;AG445,"Review Overdue",IF(AG445-TODAY()&lt;=30,"Review Due Soon","Active"))))</f>
        <v/>
      </c>
      <c r="AO445" s="85">
        <f>IF($A445="","",IF(AH445="","NOT REVIEWED",IF(TODAY()-AH445&gt;90,"OVERDUE",IF(TODAY()-AH445&gt;76,"Due Soon","Current"))))</f>
        <v/>
      </c>
    </row>
    <row r="446" ht="15" customHeight="1" s="39">
      <c r="A446" s="85" t="n"/>
      <c r="B446" s="85" t="n"/>
      <c r="C446" s="85" t="n"/>
      <c r="D446" s="85" t="n"/>
      <c r="E446" s="85" t="n"/>
      <c r="F446" s="86" t="n"/>
      <c r="G446" s="86" t="n"/>
      <c r="H446" s="85" t="n"/>
      <c r="I446" s="85" t="n"/>
      <c r="J446" s="85" t="n"/>
      <c r="K446" s="85" t="n"/>
      <c r="L446" s="85" t="n"/>
      <c r="M446" s="85" t="n"/>
      <c r="N446" s="85" t="n"/>
      <c r="O446" s="85" t="n"/>
      <c r="P446" s="85" t="n"/>
      <c r="Q446" s="85" t="n"/>
      <c r="R446" s="85" t="n"/>
      <c r="S446" s="85" t="n"/>
      <c r="T446" s="85" t="n"/>
      <c r="U446" s="85" t="n"/>
      <c r="V446" s="85" t="n"/>
      <c r="W446" s="85" t="n"/>
      <c r="X446" s="85" t="n"/>
      <c r="Y446" s="85" t="n"/>
      <c r="Z446" s="85" t="n"/>
      <c r="AA446" s="85" t="n"/>
      <c r="AB446" s="85" t="n"/>
      <c r="AC446" s="85" t="n"/>
      <c r="AD446" s="85" t="n"/>
      <c r="AE446" s="85" t="n"/>
      <c r="AF446" s="86" t="n"/>
      <c r="AG446" s="86" t="n"/>
      <c r="AH446" s="86" t="n"/>
      <c r="AI446" s="85" t="n"/>
      <c r="AJ446" s="85" t="n"/>
      <c r="AK446" s="85">
        <f>IF($A446="","",IF($M446&gt;0,"Yes","No"))</f>
        <v/>
      </c>
      <c r="AL446" s="85">
        <f>IF($A446="","",IF(AND($E446="Yes",OR($Y446="No",$Y446="NOT FOUND")),"YES",""))</f>
        <v/>
      </c>
      <c r="AM446" s="85">
        <f>IF($A446="","",TRIM(IF(AND($P446=0,$I446&lt;&gt;"Yes"),"T0-NoPhishResistant ","")&amp;IF($H446="No","NoMFA ","")&amp;IF(AND($P446=0,$M446&gt;0),"T0-Standing ","")&amp;IF(AND($P446=0,$Q446="Group only"),"T0-ViaGroupOnly ","")&amp;IF($W446="Yes","AlsoAzureRBAC ","")))</f>
        <v/>
      </c>
      <c r="AN446" s="85">
        <f>IF($A446="","",IF(AG446="","Not Enrolled",IF(TODAY()&gt;AG446,"Review Overdue",IF(AG446-TODAY()&lt;=30,"Review Due Soon","Active"))))</f>
        <v/>
      </c>
      <c r="AO446" s="85">
        <f>IF($A446="","",IF(AH446="","NOT REVIEWED",IF(TODAY()-AH446&gt;90,"OVERDUE",IF(TODAY()-AH446&gt;76,"Due Soon","Current"))))</f>
        <v/>
      </c>
    </row>
    <row r="447" ht="15" customHeight="1" s="39">
      <c r="A447" s="85" t="n"/>
      <c r="B447" s="85" t="n"/>
      <c r="C447" s="85" t="n"/>
      <c r="D447" s="85" t="n"/>
      <c r="E447" s="85" t="n"/>
      <c r="F447" s="86" t="n"/>
      <c r="G447" s="86" t="n"/>
      <c r="H447" s="85" t="n"/>
      <c r="I447" s="85" t="n"/>
      <c r="J447" s="85" t="n"/>
      <c r="K447" s="85" t="n"/>
      <c r="L447" s="85" t="n"/>
      <c r="M447" s="85" t="n"/>
      <c r="N447" s="85" t="n"/>
      <c r="O447" s="85" t="n"/>
      <c r="P447" s="85" t="n"/>
      <c r="Q447" s="85" t="n"/>
      <c r="R447" s="85" t="n"/>
      <c r="S447" s="85" t="n"/>
      <c r="T447" s="85" t="n"/>
      <c r="U447" s="85" t="n"/>
      <c r="V447" s="85" t="n"/>
      <c r="W447" s="85" t="n"/>
      <c r="X447" s="85" t="n"/>
      <c r="Y447" s="85" t="n"/>
      <c r="Z447" s="85" t="n"/>
      <c r="AA447" s="85" t="n"/>
      <c r="AB447" s="85" t="n"/>
      <c r="AC447" s="85" t="n"/>
      <c r="AD447" s="85" t="n"/>
      <c r="AE447" s="85" t="n"/>
      <c r="AF447" s="86" t="n"/>
      <c r="AG447" s="86" t="n"/>
      <c r="AH447" s="86" t="n"/>
      <c r="AI447" s="85" t="n"/>
      <c r="AJ447" s="85" t="n"/>
      <c r="AK447" s="85">
        <f>IF($A447="","",IF($M447&gt;0,"Yes","No"))</f>
        <v/>
      </c>
      <c r="AL447" s="85">
        <f>IF($A447="","",IF(AND($E447="Yes",OR($Y447="No",$Y447="NOT FOUND")),"YES",""))</f>
        <v/>
      </c>
      <c r="AM447" s="85">
        <f>IF($A447="","",TRIM(IF(AND($P447=0,$I447&lt;&gt;"Yes"),"T0-NoPhishResistant ","")&amp;IF($H447="No","NoMFA ","")&amp;IF(AND($P447=0,$M447&gt;0),"T0-Standing ","")&amp;IF(AND($P447=0,$Q447="Group only"),"T0-ViaGroupOnly ","")&amp;IF($W447="Yes","AlsoAzureRBAC ","")))</f>
        <v/>
      </c>
      <c r="AN447" s="85">
        <f>IF($A447="","",IF(AG447="","Not Enrolled",IF(TODAY()&gt;AG447,"Review Overdue",IF(AG447-TODAY()&lt;=30,"Review Due Soon","Active"))))</f>
        <v/>
      </c>
      <c r="AO447" s="85">
        <f>IF($A447="","",IF(AH447="","NOT REVIEWED",IF(TODAY()-AH447&gt;90,"OVERDUE",IF(TODAY()-AH447&gt;76,"Due Soon","Current"))))</f>
        <v/>
      </c>
    </row>
    <row r="448" ht="15" customHeight="1" s="39">
      <c r="A448" s="85" t="n"/>
      <c r="B448" s="85" t="n"/>
      <c r="C448" s="85" t="n"/>
      <c r="D448" s="85" t="n"/>
      <c r="E448" s="85" t="n"/>
      <c r="F448" s="86" t="n"/>
      <c r="G448" s="86" t="n"/>
      <c r="H448" s="85" t="n"/>
      <c r="I448" s="85" t="n"/>
      <c r="J448" s="85" t="n"/>
      <c r="K448" s="85" t="n"/>
      <c r="L448" s="85" t="n"/>
      <c r="M448" s="85" t="n"/>
      <c r="N448" s="85" t="n"/>
      <c r="O448" s="85" t="n"/>
      <c r="P448" s="85" t="n"/>
      <c r="Q448" s="85" t="n"/>
      <c r="R448" s="85" t="n"/>
      <c r="S448" s="85" t="n"/>
      <c r="T448" s="85" t="n"/>
      <c r="U448" s="85" t="n"/>
      <c r="V448" s="85" t="n"/>
      <c r="W448" s="85" t="n"/>
      <c r="X448" s="85" t="n"/>
      <c r="Y448" s="85" t="n"/>
      <c r="Z448" s="85" t="n"/>
      <c r="AA448" s="85" t="n"/>
      <c r="AB448" s="85" t="n"/>
      <c r="AC448" s="85" t="n"/>
      <c r="AD448" s="85" t="n"/>
      <c r="AE448" s="85" t="n"/>
      <c r="AF448" s="86" t="n"/>
      <c r="AG448" s="86" t="n"/>
      <c r="AH448" s="86" t="n"/>
      <c r="AI448" s="85" t="n"/>
      <c r="AJ448" s="85" t="n"/>
      <c r="AK448" s="85">
        <f>IF($A448="","",IF($M448&gt;0,"Yes","No"))</f>
        <v/>
      </c>
      <c r="AL448" s="85">
        <f>IF($A448="","",IF(AND($E448="Yes",OR($Y448="No",$Y448="NOT FOUND")),"YES",""))</f>
        <v/>
      </c>
      <c r="AM448" s="85">
        <f>IF($A448="","",TRIM(IF(AND($P448=0,$I448&lt;&gt;"Yes"),"T0-NoPhishResistant ","")&amp;IF($H448="No","NoMFA ","")&amp;IF(AND($P448=0,$M448&gt;0),"T0-Standing ","")&amp;IF(AND($P448=0,$Q448="Group only"),"T0-ViaGroupOnly ","")&amp;IF($W448="Yes","AlsoAzureRBAC ","")))</f>
        <v/>
      </c>
      <c r="AN448" s="85">
        <f>IF($A448="","",IF(AG448="","Not Enrolled",IF(TODAY()&gt;AG448,"Review Overdue",IF(AG448-TODAY()&lt;=30,"Review Due Soon","Active"))))</f>
        <v/>
      </c>
      <c r="AO448" s="85">
        <f>IF($A448="","",IF(AH448="","NOT REVIEWED",IF(TODAY()-AH448&gt;90,"OVERDUE",IF(TODAY()-AH448&gt;76,"Due Soon","Current"))))</f>
        <v/>
      </c>
    </row>
    <row r="449" ht="15" customHeight="1" s="39">
      <c r="A449" s="85" t="n"/>
      <c r="B449" s="85" t="n"/>
      <c r="C449" s="85" t="n"/>
      <c r="D449" s="85" t="n"/>
      <c r="E449" s="85" t="n"/>
      <c r="F449" s="86" t="n"/>
      <c r="G449" s="86" t="n"/>
      <c r="H449" s="85" t="n"/>
      <c r="I449" s="85" t="n"/>
      <c r="J449" s="85" t="n"/>
      <c r="K449" s="85" t="n"/>
      <c r="L449" s="85" t="n"/>
      <c r="M449" s="85" t="n"/>
      <c r="N449" s="85" t="n"/>
      <c r="O449" s="85" t="n"/>
      <c r="P449" s="85" t="n"/>
      <c r="Q449" s="85" t="n"/>
      <c r="R449" s="85" t="n"/>
      <c r="S449" s="85" t="n"/>
      <c r="T449" s="85" t="n"/>
      <c r="U449" s="85" t="n"/>
      <c r="V449" s="85" t="n"/>
      <c r="W449" s="85" t="n"/>
      <c r="X449" s="85" t="n"/>
      <c r="Y449" s="85" t="n"/>
      <c r="Z449" s="85" t="n"/>
      <c r="AA449" s="85" t="n"/>
      <c r="AB449" s="85" t="n"/>
      <c r="AC449" s="85" t="n"/>
      <c r="AD449" s="85" t="n"/>
      <c r="AE449" s="85" t="n"/>
      <c r="AF449" s="86" t="n"/>
      <c r="AG449" s="86" t="n"/>
      <c r="AH449" s="86" t="n"/>
      <c r="AI449" s="85" t="n"/>
      <c r="AJ449" s="85" t="n"/>
      <c r="AK449" s="85">
        <f>IF($A449="","",IF($M449&gt;0,"Yes","No"))</f>
        <v/>
      </c>
      <c r="AL449" s="85">
        <f>IF($A449="","",IF(AND($E449="Yes",OR($Y449="No",$Y449="NOT FOUND")),"YES",""))</f>
        <v/>
      </c>
      <c r="AM449" s="85">
        <f>IF($A449="","",TRIM(IF(AND($P449=0,$I449&lt;&gt;"Yes"),"T0-NoPhishResistant ","")&amp;IF($H449="No","NoMFA ","")&amp;IF(AND($P449=0,$M449&gt;0),"T0-Standing ","")&amp;IF(AND($P449=0,$Q449="Group only"),"T0-ViaGroupOnly ","")&amp;IF($W449="Yes","AlsoAzureRBAC ","")))</f>
        <v/>
      </c>
      <c r="AN449" s="85">
        <f>IF($A449="","",IF(AG449="","Not Enrolled",IF(TODAY()&gt;AG449,"Review Overdue",IF(AG449-TODAY()&lt;=30,"Review Due Soon","Active"))))</f>
        <v/>
      </c>
      <c r="AO449" s="85">
        <f>IF($A449="","",IF(AH449="","NOT REVIEWED",IF(TODAY()-AH449&gt;90,"OVERDUE",IF(TODAY()-AH449&gt;76,"Due Soon","Current"))))</f>
        <v/>
      </c>
    </row>
    <row r="450" ht="15" customHeight="1" s="39">
      <c r="A450" s="85" t="n"/>
      <c r="B450" s="85" t="n"/>
      <c r="C450" s="85" t="n"/>
      <c r="D450" s="85" t="n"/>
      <c r="E450" s="85" t="n"/>
      <c r="F450" s="86" t="n"/>
      <c r="G450" s="86" t="n"/>
      <c r="H450" s="85" t="n"/>
      <c r="I450" s="85" t="n"/>
      <c r="J450" s="85" t="n"/>
      <c r="K450" s="85" t="n"/>
      <c r="L450" s="85" t="n"/>
      <c r="M450" s="85" t="n"/>
      <c r="N450" s="85" t="n"/>
      <c r="O450" s="85" t="n"/>
      <c r="P450" s="85" t="n"/>
      <c r="Q450" s="85" t="n"/>
      <c r="R450" s="85" t="n"/>
      <c r="S450" s="85" t="n"/>
      <c r="T450" s="85" t="n"/>
      <c r="U450" s="85" t="n"/>
      <c r="V450" s="85" t="n"/>
      <c r="W450" s="85" t="n"/>
      <c r="X450" s="85" t="n"/>
      <c r="Y450" s="85" t="n"/>
      <c r="Z450" s="85" t="n"/>
      <c r="AA450" s="85" t="n"/>
      <c r="AB450" s="85" t="n"/>
      <c r="AC450" s="85" t="n"/>
      <c r="AD450" s="85" t="n"/>
      <c r="AE450" s="85" t="n"/>
      <c r="AF450" s="86" t="n"/>
      <c r="AG450" s="86" t="n"/>
      <c r="AH450" s="86" t="n"/>
      <c r="AI450" s="85" t="n"/>
      <c r="AJ450" s="85" t="n"/>
      <c r="AK450" s="85">
        <f>IF($A450="","",IF($M450&gt;0,"Yes","No"))</f>
        <v/>
      </c>
      <c r="AL450" s="85">
        <f>IF($A450="","",IF(AND($E450="Yes",OR($Y450="No",$Y450="NOT FOUND")),"YES",""))</f>
        <v/>
      </c>
      <c r="AM450" s="85">
        <f>IF($A450="","",TRIM(IF(AND($P450=0,$I450&lt;&gt;"Yes"),"T0-NoPhishResistant ","")&amp;IF($H450="No","NoMFA ","")&amp;IF(AND($P450=0,$M450&gt;0),"T0-Standing ","")&amp;IF(AND($P450=0,$Q450="Group only"),"T0-ViaGroupOnly ","")&amp;IF($W450="Yes","AlsoAzureRBAC ","")))</f>
        <v/>
      </c>
      <c r="AN450" s="85">
        <f>IF($A450="","",IF(AG450="","Not Enrolled",IF(TODAY()&gt;AG450,"Review Overdue",IF(AG450-TODAY()&lt;=30,"Review Due Soon","Active"))))</f>
        <v/>
      </c>
      <c r="AO450" s="85">
        <f>IF($A450="","",IF(AH450="","NOT REVIEWED",IF(TODAY()-AH450&gt;90,"OVERDUE",IF(TODAY()-AH450&gt;76,"Due Soon","Current"))))</f>
        <v/>
      </c>
    </row>
    <row r="451" ht="15" customHeight="1" s="39">
      <c r="A451" s="85" t="n"/>
      <c r="B451" s="85" t="n"/>
      <c r="C451" s="85" t="n"/>
      <c r="D451" s="85" t="n"/>
      <c r="E451" s="85" t="n"/>
      <c r="F451" s="86" t="n"/>
      <c r="G451" s="86" t="n"/>
      <c r="H451" s="85" t="n"/>
      <c r="I451" s="85" t="n"/>
      <c r="J451" s="85" t="n"/>
      <c r="K451" s="85" t="n"/>
      <c r="L451" s="85" t="n"/>
      <c r="M451" s="85" t="n"/>
      <c r="N451" s="85" t="n"/>
      <c r="O451" s="85" t="n"/>
      <c r="P451" s="85" t="n"/>
      <c r="Q451" s="85" t="n"/>
      <c r="R451" s="85" t="n"/>
      <c r="S451" s="85" t="n"/>
      <c r="T451" s="85" t="n"/>
      <c r="U451" s="85" t="n"/>
      <c r="V451" s="85" t="n"/>
      <c r="W451" s="85" t="n"/>
      <c r="X451" s="85" t="n"/>
      <c r="Y451" s="85" t="n"/>
      <c r="Z451" s="85" t="n"/>
      <c r="AA451" s="85" t="n"/>
      <c r="AB451" s="85" t="n"/>
      <c r="AC451" s="85" t="n"/>
      <c r="AD451" s="85" t="n"/>
      <c r="AE451" s="85" t="n"/>
      <c r="AF451" s="86" t="n"/>
      <c r="AG451" s="86" t="n"/>
      <c r="AH451" s="86" t="n"/>
      <c r="AI451" s="85" t="n"/>
      <c r="AJ451" s="85" t="n"/>
      <c r="AK451" s="85">
        <f>IF($A451="","",IF($M451&gt;0,"Yes","No"))</f>
        <v/>
      </c>
      <c r="AL451" s="85">
        <f>IF($A451="","",IF(AND($E451="Yes",OR($Y451="No",$Y451="NOT FOUND")),"YES",""))</f>
        <v/>
      </c>
      <c r="AM451" s="85">
        <f>IF($A451="","",TRIM(IF(AND($P451=0,$I451&lt;&gt;"Yes"),"T0-NoPhishResistant ","")&amp;IF($H451="No","NoMFA ","")&amp;IF(AND($P451=0,$M451&gt;0),"T0-Standing ","")&amp;IF(AND($P451=0,$Q451="Group only"),"T0-ViaGroupOnly ","")&amp;IF($W451="Yes","AlsoAzureRBAC ","")))</f>
        <v/>
      </c>
      <c r="AN451" s="85">
        <f>IF($A451="","",IF(AG451="","Not Enrolled",IF(TODAY()&gt;AG451,"Review Overdue",IF(AG451-TODAY()&lt;=30,"Review Due Soon","Active"))))</f>
        <v/>
      </c>
      <c r="AO451" s="85">
        <f>IF($A451="","",IF(AH451="","NOT REVIEWED",IF(TODAY()-AH451&gt;90,"OVERDUE",IF(TODAY()-AH451&gt;76,"Due Soon","Current"))))</f>
        <v/>
      </c>
    </row>
    <row r="452" ht="15" customHeight="1" s="39">
      <c r="A452" s="85" t="n"/>
      <c r="B452" s="85" t="n"/>
      <c r="C452" s="85" t="n"/>
      <c r="D452" s="85" t="n"/>
      <c r="E452" s="85" t="n"/>
      <c r="F452" s="86" t="n"/>
      <c r="G452" s="86" t="n"/>
      <c r="H452" s="85" t="n"/>
      <c r="I452" s="85" t="n"/>
      <c r="J452" s="85" t="n"/>
      <c r="K452" s="85" t="n"/>
      <c r="L452" s="85" t="n"/>
      <c r="M452" s="85" t="n"/>
      <c r="N452" s="85" t="n"/>
      <c r="O452" s="85" t="n"/>
      <c r="P452" s="85" t="n"/>
      <c r="Q452" s="85" t="n"/>
      <c r="R452" s="85" t="n"/>
      <c r="S452" s="85" t="n"/>
      <c r="T452" s="85" t="n"/>
      <c r="U452" s="85" t="n"/>
      <c r="V452" s="85" t="n"/>
      <c r="W452" s="85" t="n"/>
      <c r="X452" s="85" t="n"/>
      <c r="Y452" s="85" t="n"/>
      <c r="Z452" s="85" t="n"/>
      <c r="AA452" s="85" t="n"/>
      <c r="AB452" s="85" t="n"/>
      <c r="AC452" s="85" t="n"/>
      <c r="AD452" s="85" t="n"/>
      <c r="AE452" s="85" t="n"/>
      <c r="AF452" s="86" t="n"/>
      <c r="AG452" s="86" t="n"/>
      <c r="AH452" s="86" t="n"/>
      <c r="AI452" s="85" t="n"/>
      <c r="AJ452" s="85" t="n"/>
      <c r="AK452" s="85">
        <f>IF($A452="","",IF($M452&gt;0,"Yes","No"))</f>
        <v/>
      </c>
      <c r="AL452" s="85">
        <f>IF($A452="","",IF(AND($E452="Yes",OR($Y452="No",$Y452="NOT FOUND")),"YES",""))</f>
        <v/>
      </c>
      <c r="AM452" s="85">
        <f>IF($A452="","",TRIM(IF(AND($P452=0,$I452&lt;&gt;"Yes"),"T0-NoPhishResistant ","")&amp;IF($H452="No","NoMFA ","")&amp;IF(AND($P452=0,$M452&gt;0),"T0-Standing ","")&amp;IF(AND($P452=0,$Q452="Group only"),"T0-ViaGroupOnly ","")&amp;IF($W452="Yes","AlsoAzureRBAC ","")))</f>
        <v/>
      </c>
      <c r="AN452" s="85">
        <f>IF($A452="","",IF(AG452="","Not Enrolled",IF(TODAY()&gt;AG452,"Review Overdue",IF(AG452-TODAY()&lt;=30,"Review Due Soon","Active"))))</f>
        <v/>
      </c>
      <c r="AO452" s="85">
        <f>IF($A452="","",IF(AH452="","NOT REVIEWED",IF(TODAY()-AH452&gt;90,"OVERDUE",IF(TODAY()-AH452&gt;76,"Due Soon","Current"))))</f>
        <v/>
      </c>
    </row>
    <row r="453" ht="15" customHeight="1" s="39">
      <c r="A453" s="85" t="n"/>
      <c r="B453" s="85" t="n"/>
      <c r="C453" s="85" t="n"/>
      <c r="D453" s="85" t="n"/>
      <c r="E453" s="85" t="n"/>
      <c r="F453" s="86" t="n"/>
      <c r="G453" s="86" t="n"/>
      <c r="H453" s="85" t="n"/>
      <c r="I453" s="85" t="n"/>
      <c r="J453" s="85" t="n"/>
      <c r="K453" s="85" t="n"/>
      <c r="L453" s="85" t="n"/>
      <c r="M453" s="85" t="n"/>
      <c r="N453" s="85" t="n"/>
      <c r="O453" s="85" t="n"/>
      <c r="P453" s="85" t="n"/>
      <c r="Q453" s="85" t="n"/>
      <c r="R453" s="85" t="n"/>
      <c r="S453" s="85" t="n"/>
      <c r="T453" s="85" t="n"/>
      <c r="U453" s="85" t="n"/>
      <c r="V453" s="85" t="n"/>
      <c r="W453" s="85" t="n"/>
      <c r="X453" s="85" t="n"/>
      <c r="Y453" s="85" t="n"/>
      <c r="Z453" s="85" t="n"/>
      <c r="AA453" s="85" t="n"/>
      <c r="AB453" s="85" t="n"/>
      <c r="AC453" s="85" t="n"/>
      <c r="AD453" s="85" t="n"/>
      <c r="AE453" s="85" t="n"/>
      <c r="AF453" s="86" t="n"/>
      <c r="AG453" s="86" t="n"/>
      <c r="AH453" s="86" t="n"/>
      <c r="AI453" s="85" t="n"/>
      <c r="AJ453" s="85" t="n"/>
      <c r="AK453" s="85">
        <f>IF($A453="","",IF($M453&gt;0,"Yes","No"))</f>
        <v/>
      </c>
      <c r="AL453" s="85">
        <f>IF($A453="","",IF(AND($E453="Yes",OR($Y453="No",$Y453="NOT FOUND")),"YES",""))</f>
        <v/>
      </c>
      <c r="AM453" s="85">
        <f>IF($A453="","",TRIM(IF(AND($P453=0,$I453&lt;&gt;"Yes"),"T0-NoPhishResistant ","")&amp;IF($H453="No","NoMFA ","")&amp;IF(AND($P453=0,$M453&gt;0),"T0-Standing ","")&amp;IF(AND($P453=0,$Q453="Group only"),"T0-ViaGroupOnly ","")&amp;IF($W453="Yes","AlsoAzureRBAC ","")))</f>
        <v/>
      </c>
      <c r="AN453" s="85">
        <f>IF($A453="","",IF(AG453="","Not Enrolled",IF(TODAY()&gt;AG453,"Review Overdue",IF(AG453-TODAY()&lt;=30,"Review Due Soon","Active"))))</f>
        <v/>
      </c>
      <c r="AO453" s="85">
        <f>IF($A453="","",IF(AH453="","NOT REVIEWED",IF(TODAY()-AH453&gt;90,"OVERDUE",IF(TODAY()-AH453&gt;76,"Due Soon","Current"))))</f>
        <v/>
      </c>
    </row>
    <row r="454" ht="15" customHeight="1" s="39">
      <c r="A454" s="85" t="n"/>
      <c r="B454" s="85" t="n"/>
      <c r="C454" s="85" t="n"/>
      <c r="D454" s="85" t="n"/>
      <c r="E454" s="85" t="n"/>
      <c r="F454" s="86" t="n"/>
      <c r="G454" s="86" t="n"/>
      <c r="H454" s="85" t="n"/>
      <c r="I454" s="85" t="n"/>
      <c r="J454" s="85" t="n"/>
      <c r="K454" s="85" t="n"/>
      <c r="L454" s="85" t="n"/>
      <c r="M454" s="85" t="n"/>
      <c r="N454" s="85" t="n"/>
      <c r="O454" s="85" t="n"/>
      <c r="P454" s="85" t="n"/>
      <c r="Q454" s="85" t="n"/>
      <c r="R454" s="85" t="n"/>
      <c r="S454" s="85" t="n"/>
      <c r="T454" s="85" t="n"/>
      <c r="U454" s="85" t="n"/>
      <c r="V454" s="85" t="n"/>
      <c r="W454" s="85" t="n"/>
      <c r="X454" s="85" t="n"/>
      <c r="Y454" s="85" t="n"/>
      <c r="Z454" s="85" t="n"/>
      <c r="AA454" s="85" t="n"/>
      <c r="AB454" s="85" t="n"/>
      <c r="AC454" s="85" t="n"/>
      <c r="AD454" s="85" t="n"/>
      <c r="AE454" s="85" t="n"/>
      <c r="AF454" s="86" t="n"/>
      <c r="AG454" s="86" t="n"/>
      <c r="AH454" s="86" t="n"/>
      <c r="AI454" s="85" t="n"/>
      <c r="AJ454" s="85" t="n"/>
      <c r="AK454" s="85">
        <f>IF($A454="","",IF($M454&gt;0,"Yes","No"))</f>
        <v/>
      </c>
      <c r="AL454" s="85">
        <f>IF($A454="","",IF(AND($E454="Yes",OR($Y454="No",$Y454="NOT FOUND")),"YES",""))</f>
        <v/>
      </c>
      <c r="AM454" s="85">
        <f>IF($A454="","",TRIM(IF(AND($P454=0,$I454&lt;&gt;"Yes"),"T0-NoPhishResistant ","")&amp;IF($H454="No","NoMFA ","")&amp;IF(AND($P454=0,$M454&gt;0),"T0-Standing ","")&amp;IF(AND($P454=0,$Q454="Group only"),"T0-ViaGroupOnly ","")&amp;IF($W454="Yes","AlsoAzureRBAC ","")))</f>
        <v/>
      </c>
      <c r="AN454" s="85">
        <f>IF($A454="","",IF(AG454="","Not Enrolled",IF(TODAY()&gt;AG454,"Review Overdue",IF(AG454-TODAY()&lt;=30,"Review Due Soon","Active"))))</f>
        <v/>
      </c>
      <c r="AO454" s="85">
        <f>IF($A454="","",IF(AH454="","NOT REVIEWED",IF(TODAY()-AH454&gt;90,"OVERDUE",IF(TODAY()-AH454&gt;76,"Due Soon","Current"))))</f>
        <v/>
      </c>
    </row>
    <row r="455" ht="15" customHeight="1" s="39">
      <c r="A455" s="85" t="n"/>
      <c r="B455" s="85" t="n"/>
      <c r="C455" s="85" t="n"/>
      <c r="D455" s="85" t="n"/>
      <c r="E455" s="85" t="n"/>
      <c r="F455" s="86" t="n"/>
      <c r="G455" s="86" t="n"/>
      <c r="H455" s="85" t="n"/>
      <c r="I455" s="85" t="n"/>
      <c r="J455" s="85" t="n"/>
      <c r="K455" s="85" t="n"/>
      <c r="L455" s="85" t="n"/>
      <c r="M455" s="85" t="n"/>
      <c r="N455" s="85" t="n"/>
      <c r="O455" s="85" t="n"/>
      <c r="P455" s="85" t="n"/>
      <c r="Q455" s="85" t="n"/>
      <c r="R455" s="85" t="n"/>
      <c r="S455" s="85" t="n"/>
      <c r="T455" s="85" t="n"/>
      <c r="U455" s="85" t="n"/>
      <c r="V455" s="85" t="n"/>
      <c r="W455" s="85" t="n"/>
      <c r="X455" s="85" t="n"/>
      <c r="Y455" s="85" t="n"/>
      <c r="Z455" s="85" t="n"/>
      <c r="AA455" s="85" t="n"/>
      <c r="AB455" s="85" t="n"/>
      <c r="AC455" s="85" t="n"/>
      <c r="AD455" s="85" t="n"/>
      <c r="AE455" s="85" t="n"/>
      <c r="AF455" s="86" t="n"/>
      <c r="AG455" s="86" t="n"/>
      <c r="AH455" s="86" t="n"/>
      <c r="AI455" s="85" t="n"/>
      <c r="AJ455" s="85" t="n"/>
      <c r="AK455" s="85">
        <f>IF($A455="","",IF($M455&gt;0,"Yes","No"))</f>
        <v/>
      </c>
      <c r="AL455" s="85">
        <f>IF($A455="","",IF(AND($E455="Yes",OR($Y455="No",$Y455="NOT FOUND")),"YES",""))</f>
        <v/>
      </c>
      <c r="AM455" s="85">
        <f>IF($A455="","",TRIM(IF(AND($P455=0,$I455&lt;&gt;"Yes"),"T0-NoPhishResistant ","")&amp;IF($H455="No","NoMFA ","")&amp;IF(AND($P455=0,$M455&gt;0),"T0-Standing ","")&amp;IF(AND($P455=0,$Q455="Group only"),"T0-ViaGroupOnly ","")&amp;IF($W455="Yes","AlsoAzureRBAC ","")))</f>
        <v/>
      </c>
      <c r="AN455" s="85">
        <f>IF($A455="","",IF(AG455="","Not Enrolled",IF(TODAY()&gt;AG455,"Review Overdue",IF(AG455-TODAY()&lt;=30,"Review Due Soon","Active"))))</f>
        <v/>
      </c>
      <c r="AO455" s="85">
        <f>IF($A455="","",IF(AH455="","NOT REVIEWED",IF(TODAY()-AH455&gt;90,"OVERDUE",IF(TODAY()-AH455&gt;76,"Due Soon","Current"))))</f>
        <v/>
      </c>
    </row>
    <row r="456" ht="15" customHeight="1" s="39">
      <c r="A456" s="85" t="n"/>
      <c r="B456" s="85" t="n"/>
      <c r="C456" s="85" t="n"/>
      <c r="D456" s="85" t="n"/>
      <c r="E456" s="85" t="n"/>
      <c r="F456" s="86" t="n"/>
      <c r="G456" s="86" t="n"/>
      <c r="H456" s="85" t="n"/>
      <c r="I456" s="85" t="n"/>
      <c r="J456" s="85" t="n"/>
      <c r="K456" s="85" t="n"/>
      <c r="L456" s="85" t="n"/>
      <c r="M456" s="85" t="n"/>
      <c r="N456" s="85" t="n"/>
      <c r="O456" s="85" t="n"/>
      <c r="P456" s="85" t="n"/>
      <c r="Q456" s="85" t="n"/>
      <c r="R456" s="85" t="n"/>
      <c r="S456" s="85" t="n"/>
      <c r="T456" s="85" t="n"/>
      <c r="U456" s="85" t="n"/>
      <c r="V456" s="85" t="n"/>
      <c r="W456" s="85" t="n"/>
      <c r="X456" s="85" t="n"/>
      <c r="Y456" s="85" t="n"/>
      <c r="Z456" s="85" t="n"/>
      <c r="AA456" s="85" t="n"/>
      <c r="AB456" s="85" t="n"/>
      <c r="AC456" s="85" t="n"/>
      <c r="AD456" s="85" t="n"/>
      <c r="AE456" s="85" t="n"/>
      <c r="AF456" s="86" t="n"/>
      <c r="AG456" s="86" t="n"/>
      <c r="AH456" s="86" t="n"/>
      <c r="AI456" s="85" t="n"/>
      <c r="AJ456" s="85" t="n"/>
      <c r="AK456" s="85">
        <f>IF($A456="","",IF($M456&gt;0,"Yes","No"))</f>
        <v/>
      </c>
      <c r="AL456" s="85">
        <f>IF($A456="","",IF(AND($E456="Yes",OR($Y456="No",$Y456="NOT FOUND")),"YES",""))</f>
        <v/>
      </c>
      <c r="AM456" s="85">
        <f>IF($A456="","",TRIM(IF(AND($P456=0,$I456&lt;&gt;"Yes"),"T0-NoPhishResistant ","")&amp;IF($H456="No","NoMFA ","")&amp;IF(AND($P456=0,$M456&gt;0),"T0-Standing ","")&amp;IF(AND($P456=0,$Q456="Group only"),"T0-ViaGroupOnly ","")&amp;IF($W456="Yes","AlsoAzureRBAC ","")))</f>
        <v/>
      </c>
      <c r="AN456" s="85">
        <f>IF($A456="","",IF(AG456="","Not Enrolled",IF(TODAY()&gt;AG456,"Review Overdue",IF(AG456-TODAY()&lt;=30,"Review Due Soon","Active"))))</f>
        <v/>
      </c>
      <c r="AO456" s="85">
        <f>IF($A456="","",IF(AH456="","NOT REVIEWED",IF(TODAY()-AH456&gt;90,"OVERDUE",IF(TODAY()-AH456&gt;76,"Due Soon","Current"))))</f>
        <v/>
      </c>
    </row>
    <row r="457" ht="15" customHeight="1" s="39">
      <c r="A457" s="85" t="n"/>
      <c r="B457" s="85" t="n"/>
      <c r="C457" s="85" t="n"/>
      <c r="D457" s="85" t="n"/>
      <c r="E457" s="85" t="n"/>
      <c r="F457" s="86" t="n"/>
      <c r="G457" s="86" t="n"/>
      <c r="H457" s="85" t="n"/>
      <c r="I457" s="85" t="n"/>
      <c r="J457" s="85" t="n"/>
      <c r="K457" s="85" t="n"/>
      <c r="L457" s="85" t="n"/>
      <c r="M457" s="85" t="n"/>
      <c r="N457" s="85" t="n"/>
      <c r="O457" s="85" t="n"/>
      <c r="P457" s="85" t="n"/>
      <c r="Q457" s="85" t="n"/>
      <c r="R457" s="85" t="n"/>
      <c r="S457" s="85" t="n"/>
      <c r="T457" s="85" t="n"/>
      <c r="U457" s="85" t="n"/>
      <c r="V457" s="85" t="n"/>
      <c r="W457" s="85" t="n"/>
      <c r="X457" s="85" t="n"/>
      <c r="Y457" s="85" t="n"/>
      <c r="Z457" s="85" t="n"/>
      <c r="AA457" s="85" t="n"/>
      <c r="AB457" s="85" t="n"/>
      <c r="AC457" s="85" t="n"/>
      <c r="AD457" s="85" t="n"/>
      <c r="AE457" s="85" t="n"/>
      <c r="AF457" s="86" t="n"/>
      <c r="AG457" s="86" t="n"/>
      <c r="AH457" s="86" t="n"/>
      <c r="AI457" s="85" t="n"/>
      <c r="AJ457" s="85" t="n"/>
      <c r="AK457" s="85">
        <f>IF($A457="","",IF($M457&gt;0,"Yes","No"))</f>
        <v/>
      </c>
      <c r="AL457" s="85">
        <f>IF($A457="","",IF(AND($E457="Yes",OR($Y457="No",$Y457="NOT FOUND")),"YES",""))</f>
        <v/>
      </c>
      <c r="AM457" s="85">
        <f>IF($A457="","",TRIM(IF(AND($P457=0,$I457&lt;&gt;"Yes"),"T0-NoPhishResistant ","")&amp;IF($H457="No","NoMFA ","")&amp;IF(AND($P457=0,$M457&gt;0),"T0-Standing ","")&amp;IF(AND($P457=0,$Q457="Group only"),"T0-ViaGroupOnly ","")&amp;IF($W457="Yes","AlsoAzureRBAC ","")))</f>
        <v/>
      </c>
      <c r="AN457" s="85">
        <f>IF($A457="","",IF(AG457="","Not Enrolled",IF(TODAY()&gt;AG457,"Review Overdue",IF(AG457-TODAY()&lt;=30,"Review Due Soon","Active"))))</f>
        <v/>
      </c>
      <c r="AO457" s="85">
        <f>IF($A457="","",IF(AH457="","NOT REVIEWED",IF(TODAY()-AH457&gt;90,"OVERDUE",IF(TODAY()-AH457&gt;76,"Due Soon","Current"))))</f>
        <v/>
      </c>
    </row>
    <row r="458" ht="15" customHeight="1" s="39">
      <c r="A458" s="85" t="n"/>
      <c r="B458" s="85" t="n"/>
      <c r="C458" s="85" t="n"/>
      <c r="D458" s="85" t="n"/>
      <c r="E458" s="85" t="n"/>
      <c r="F458" s="86" t="n"/>
      <c r="G458" s="86" t="n"/>
      <c r="H458" s="85" t="n"/>
      <c r="I458" s="85" t="n"/>
      <c r="J458" s="85" t="n"/>
      <c r="K458" s="85" t="n"/>
      <c r="L458" s="85" t="n"/>
      <c r="M458" s="85" t="n"/>
      <c r="N458" s="85" t="n"/>
      <c r="O458" s="85" t="n"/>
      <c r="P458" s="85" t="n"/>
      <c r="Q458" s="85" t="n"/>
      <c r="R458" s="85" t="n"/>
      <c r="S458" s="85" t="n"/>
      <c r="T458" s="85" t="n"/>
      <c r="U458" s="85" t="n"/>
      <c r="V458" s="85" t="n"/>
      <c r="W458" s="85" t="n"/>
      <c r="X458" s="85" t="n"/>
      <c r="Y458" s="85" t="n"/>
      <c r="Z458" s="85" t="n"/>
      <c r="AA458" s="85" t="n"/>
      <c r="AB458" s="85" t="n"/>
      <c r="AC458" s="85" t="n"/>
      <c r="AD458" s="85" t="n"/>
      <c r="AE458" s="85" t="n"/>
      <c r="AF458" s="86" t="n"/>
      <c r="AG458" s="86" t="n"/>
      <c r="AH458" s="86" t="n"/>
      <c r="AI458" s="85" t="n"/>
      <c r="AJ458" s="85" t="n"/>
      <c r="AK458" s="85">
        <f>IF($A458="","",IF($M458&gt;0,"Yes","No"))</f>
        <v/>
      </c>
      <c r="AL458" s="85">
        <f>IF($A458="","",IF(AND($E458="Yes",OR($Y458="No",$Y458="NOT FOUND")),"YES",""))</f>
        <v/>
      </c>
      <c r="AM458" s="85">
        <f>IF($A458="","",TRIM(IF(AND($P458=0,$I458&lt;&gt;"Yes"),"T0-NoPhishResistant ","")&amp;IF($H458="No","NoMFA ","")&amp;IF(AND($P458=0,$M458&gt;0),"T0-Standing ","")&amp;IF(AND($P458=0,$Q458="Group only"),"T0-ViaGroupOnly ","")&amp;IF($W458="Yes","AlsoAzureRBAC ","")))</f>
        <v/>
      </c>
      <c r="AN458" s="85">
        <f>IF($A458="","",IF(AG458="","Not Enrolled",IF(TODAY()&gt;AG458,"Review Overdue",IF(AG458-TODAY()&lt;=30,"Review Due Soon","Active"))))</f>
        <v/>
      </c>
      <c r="AO458" s="85">
        <f>IF($A458="","",IF(AH458="","NOT REVIEWED",IF(TODAY()-AH458&gt;90,"OVERDUE",IF(TODAY()-AH458&gt;76,"Due Soon","Current"))))</f>
        <v/>
      </c>
    </row>
    <row r="459" ht="15" customHeight="1" s="39">
      <c r="A459" s="85" t="n"/>
      <c r="B459" s="85" t="n"/>
      <c r="C459" s="85" t="n"/>
      <c r="D459" s="85" t="n"/>
      <c r="E459" s="85" t="n"/>
      <c r="F459" s="86" t="n"/>
      <c r="G459" s="86" t="n"/>
      <c r="H459" s="85" t="n"/>
      <c r="I459" s="85" t="n"/>
      <c r="J459" s="85" t="n"/>
      <c r="K459" s="85" t="n"/>
      <c r="L459" s="85" t="n"/>
      <c r="M459" s="85" t="n"/>
      <c r="N459" s="85" t="n"/>
      <c r="O459" s="85" t="n"/>
      <c r="P459" s="85" t="n"/>
      <c r="Q459" s="85" t="n"/>
      <c r="R459" s="85" t="n"/>
      <c r="S459" s="85" t="n"/>
      <c r="T459" s="85" t="n"/>
      <c r="U459" s="85" t="n"/>
      <c r="V459" s="85" t="n"/>
      <c r="W459" s="85" t="n"/>
      <c r="X459" s="85" t="n"/>
      <c r="Y459" s="85" t="n"/>
      <c r="Z459" s="85" t="n"/>
      <c r="AA459" s="85" t="n"/>
      <c r="AB459" s="85" t="n"/>
      <c r="AC459" s="85" t="n"/>
      <c r="AD459" s="85" t="n"/>
      <c r="AE459" s="85" t="n"/>
      <c r="AF459" s="86" t="n"/>
      <c r="AG459" s="86" t="n"/>
      <c r="AH459" s="86" t="n"/>
      <c r="AI459" s="85" t="n"/>
      <c r="AJ459" s="85" t="n"/>
      <c r="AK459" s="85">
        <f>IF($A459="","",IF($M459&gt;0,"Yes","No"))</f>
        <v/>
      </c>
      <c r="AL459" s="85">
        <f>IF($A459="","",IF(AND($E459="Yes",OR($Y459="No",$Y459="NOT FOUND")),"YES",""))</f>
        <v/>
      </c>
      <c r="AM459" s="85">
        <f>IF($A459="","",TRIM(IF(AND($P459=0,$I459&lt;&gt;"Yes"),"T0-NoPhishResistant ","")&amp;IF($H459="No","NoMFA ","")&amp;IF(AND($P459=0,$M459&gt;0),"T0-Standing ","")&amp;IF(AND($P459=0,$Q459="Group only"),"T0-ViaGroupOnly ","")&amp;IF($W459="Yes","AlsoAzureRBAC ","")))</f>
        <v/>
      </c>
      <c r="AN459" s="85">
        <f>IF($A459="","",IF(AG459="","Not Enrolled",IF(TODAY()&gt;AG459,"Review Overdue",IF(AG459-TODAY()&lt;=30,"Review Due Soon","Active"))))</f>
        <v/>
      </c>
      <c r="AO459" s="85">
        <f>IF($A459="","",IF(AH459="","NOT REVIEWED",IF(TODAY()-AH459&gt;90,"OVERDUE",IF(TODAY()-AH459&gt;76,"Due Soon","Current"))))</f>
        <v/>
      </c>
    </row>
    <row r="460" ht="15" customHeight="1" s="39">
      <c r="A460" s="85" t="n"/>
      <c r="B460" s="85" t="n"/>
      <c r="C460" s="85" t="n"/>
      <c r="D460" s="85" t="n"/>
      <c r="E460" s="85" t="n"/>
      <c r="F460" s="86" t="n"/>
      <c r="G460" s="86" t="n"/>
      <c r="H460" s="85" t="n"/>
      <c r="I460" s="85" t="n"/>
      <c r="J460" s="85" t="n"/>
      <c r="K460" s="85" t="n"/>
      <c r="L460" s="85" t="n"/>
      <c r="M460" s="85" t="n"/>
      <c r="N460" s="85" t="n"/>
      <c r="O460" s="85" t="n"/>
      <c r="P460" s="85" t="n"/>
      <c r="Q460" s="85" t="n"/>
      <c r="R460" s="85" t="n"/>
      <c r="S460" s="85" t="n"/>
      <c r="T460" s="85" t="n"/>
      <c r="U460" s="85" t="n"/>
      <c r="V460" s="85" t="n"/>
      <c r="W460" s="85" t="n"/>
      <c r="X460" s="85" t="n"/>
      <c r="Y460" s="85" t="n"/>
      <c r="Z460" s="85" t="n"/>
      <c r="AA460" s="85" t="n"/>
      <c r="AB460" s="85" t="n"/>
      <c r="AC460" s="85" t="n"/>
      <c r="AD460" s="85" t="n"/>
      <c r="AE460" s="85" t="n"/>
      <c r="AF460" s="86" t="n"/>
      <c r="AG460" s="86" t="n"/>
      <c r="AH460" s="86" t="n"/>
      <c r="AI460" s="85" t="n"/>
      <c r="AJ460" s="85" t="n"/>
      <c r="AK460" s="85">
        <f>IF($A460="","",IF($M460&gt;0,"Yes","No"))</f>
        <v/>
      </c>
      <c r="AL460" s="85">
        <f>IF($A460="","",IF(AND($E460="Yes",OR($Y460="No",$Y460="NOT FOUND")),"YES",""))</f>
        <v/>
      </c>
      <c r="AM460" s="85">
        <f>IF($A460="","",TRIM(IF(AND($P460=0,$I460&lt;&gt;"Yes"),"T0-NoPhishResistant ","")&amp;IF($H460="No","NoMFA ","")&amp;IF(AND($P460=0,$M460&gt;0),"T0-Standing ","")&amp;IF(AND($P460=0,$Q460="Group only"),"T0-ViaGroupOnly ","")&amp;IF($W460="Yes","AlsoAzureRBAC ","")))</f>
        <v/>
      </c>
      <c r="AN460" s="85">
        <f>IF($A460="","",IF(AG460="","Not Enrolled",IF(TODAY()&gt;AG460,"Review Overdue",IF(AG460-TODAY()&lt;=30,"Review Due Soon","Active"))))</f>
        <v/>
      </c>
      <c r="AO460" s="85">
        <f>IF($A460="","",IF(AH460="","NOT REVIEWED",IF(TODAY()-AH460&gt;90,"OVERDUE",IF(TODAY()-AH460&gt;76,"Due Soon","Current"))))</f>
        <v/>
      </c>
    </row>
    <row r="461" ht="15" customHeight="1" s="39">
      <c r="A461" s="85" t="n"/>
      <c r="B461" s="85" t="n"/>
      <c r="C461" s="85" t="n"/>
      <c r="D461" s="85" t="n"/>
      <c r="E461" s="85" t="n"/>
      <c r="F461" s="86" t="n"/>
      <c r="G461" s="86" t="n"/>
      <c r="H461" s="85" t="n"/>
      <c r="I461" s="85" t="n"/>
      <c r="J461" s="85" t="n"/>
      <c r="K461" s="85" t="n"/>
      <c r="L461" s="85" t="n"/>
      <c r="M461" s="85" t="n"/>
      <c r="N461" s="85" t="n"/>
      <c r="O461" s="85" t="n"/>
      <c r="P461" s="85" t="n"/>
      <c r="Q461" s="85" t="n"/>
      <c r="R461" s="85" t="n"/>
      <c r="S461" s="85" t="n"/>
      <c r="T461" s="85" t="n"/>
      <c r="U461" s="85" t="n"/>
      <c r="V461" s="85" t="n"/>
      <c r="W461" s="85" t="n"/>
      <c r="X461" s="85" t="n"/>
      <c r="Y461" s="85" t="n"/>
      <c r="Z461" s="85" t="n"/>
      <c r="AA461" s="85" t="n"/>
      <c r="AB461" s="85" t="n"/>
      <c r="AC461" s="85" t="n"/>
      <c r="AD461" s="85" t="n"/>
      <c r="AE461" s="85" t="n"/>
      <c r="AF461" s="86" t="n"/>
      <c r="AG461" s="86" t="n"/>
      <c r="AH461" s="86" t="n"/>
      <c r="AI461" s="85" t="n"/>
      <c r="AJ461" s="85" t="n"/>
      <c r="AK461" s="85">
        <f>IF($A461="","",IF($M461&gt;0,"Yes","No"))</f>
        <v/>
      </c>
      <c r="AL461" s="85">
        <f>IF($A461="","",IF(AND($E461="Yes",OR($Y461="No",$Y461="NOT FOUND")),"YES",""))</f>
        <v/>
      </c>
      <c r="AM461" s="85">
        <f>IF($A461="","",TRIM(IF(AND($P461=0,$I461&lt;&gt;"Yes"),"T0-NoPhishResistant ","")&amp;IF($H461="No","NoMFA ","")&amp;IF(AND($P461=0,$M461&gt;0),"T0-Standing ","")&amp;IF(AND($P461=0,$Q461="Group only"),"T0-ViaGroupOnly ","")&amp;IF($W461="Yes","AlsoAzureRBAC ","")))</f>
        <v/>
      </c>
      <c r="AN461" s="85">
        <f>IF($A461="","",IF(AG461="","Not Enrolled",IF(TODAY()&gt;AG461,"Review Overdue",IF(AG461-TODAY()&lt;=30,"Review Due Soon","Active"))))</f>
        <v/>
      </c>
      <c r="AO461" s="85">
        <f>IF($A461="","",IF(AH461="","NOT REVIEWED",IF(TODAY()-AH461&gt;90,"OVERDUE",IF(TODAY()-AH461&gt;76,"Due Soon","Current"))))</f>
        <v/>
      </c>
    </row>
    <row r="462" ht="15" customHeight="1" s="39">
      <c r="A462" s="85" t="n"/>
      <c r="B462" s="85" t="n"/>
      <c r="C462" s="85" t="n"/>
      <c r="D462" s="85" t="n"/>
      <c r="E462" s="85" t="n"/>
      <c r="F462" s="86" t="n"/>
      <c r="G462" s="86" t="n"/>
      <c r="H462" s="85" t="n"/>
      <c r="I462" s="85" t="n"/>
      <c r="J462" s="85" t="n"/>
      <c r="K462" s="85" t="n"/>
      <c r="L462" s="85" t="n"/>
      <c r="M462" s="85" t="n"/>
      <c r="N462" s="85" t="n"/>
      <c r="O462" s="85" t="n"/>
      <c r="P462" s="85" t="n"/>
      <c r="Q462" s="85" t="n"/>
      <c r="R462" s="85" t="n"/>
      <c r="S462" s="85" t="n"/>
      <c r="T462" s="85" t="n"/>
      <c r="U462" s="85" t="n"/>
      <c r="V462" s="85" t="n"/>
      <c r="W462" s="85" t="n"/>
      <c r="X462" s="85" t="n"/>
      <c r="Y462" s="85" t="n"/>
      <c r="Z462" s="85" t="n"/>
      <c r="AA462" s="85" t="n"/>
      <c r="AB462" s="85" t="n"/>
      <c r="AC462" s="85" t="n"/>
      <c r="AD462" s="85" t="n"/>
      <c r="AE462" s="85" t="n"/>
      <c r="AF462" s="86" t="n"/>
      <c r="AG462" s="86" t="n"/>
      <c r="AH462" s="86" t="n"/>
      <c r="AI462" s="85" t="n"/>
      <c r="AJ462" s="85" t="n"/>
      <c r="AK462" s="85">
        <f>IF($A462="","",IF($M462&gt;0,"Yes","No"))</f>
        <v/>
      </c>
      <c r="AL462" s="85">
        <f>IF($A462="","",IF(AND($E462="Yes",OR($Y462="No",$Y462="NOT FOUND")),"YES",""))</f>
        <v/>
      </c>
      <c r="AM462" s="85">
        <f>IF($A462="","",TRIM(IF(AND($P462=0,$I462&lt;&gt;"Yes"),"T0-NoPhishResistant ","")&amp;IF($H462="No","NoMFA ","")&amp;IF(AND($P462=0,$M462&gt;0),"T0-Standing ","")&amp;IF(AND($P462=0,$Q462="Group only"),"T0-ViaGroupOnly ","")&amp;IF($W462="Yes","AlsoAzureRBAC ","")))</f>
        <v/>
      </c>
      <c r="AN462" s="85">
        <f>IF($A462="","",IF(AG462="","Not Enrolled",IF(TODAY()&gt;AG462,"Review Overdue",IF(AG462-TODAY()&lt;=30,"Review Due Soon","Active"))))</f>
        <v/>
      </c>
      <c r="AO462" s="85">
        <f>IF($A462="","",IF(AH462="","NOT REVIEWED",IF(TODAY()-AH462&gt;90,"OVERDUE",IF(TODAY()-AH462&gt;76,"Due Soon","Current"))))</f>
        <v/>
      </c>
    </row>
    <row r="463" ht="15" customHeight="1" s="39">
      <c r="A463" s="85" t="n"/>
      <c r="B463" s="85" t="n"/>
      <c r="C463" s="85" t="n"/>
      <c r="D463" s="85" t="n"/>
      <c r="E463" s="85" t="n"/>
      <c r="F463" s="86" t="n"/>
      <c r="G463" s="86" t="n"/>
      <c r="H463" s="85" t="n"/>
      <c r="I463" s="85" t="n"/>
      <c r="J463" s="85" t="n"/>
      <c r="K463" s="85" t="n"/>
      <c r="L463" s="85" t="n"/>
      <c r="M463" s="85" t="n"/>
      <c r="N463" s="85" t="n"/>
      <c r="O463" s="85" t="n"/>
      <c r="P463" s="85" t="n"/>
      <c r="Q463" s="85" t="n"/>
      <c r="R463" s="85" t="n"/>
      <c r="S463" s="85" t="n"/>
      <c r="T463" s="85" t="n"/>
      <c r="U463" s="85" t="n"/>
      <c r="V463" s="85" t="n"/>
      <c r="W463" s="85" t="n"/>
      <c r="X463" s="85" t="n"/>
      <c r="Y463" s="85" t="n"/>
      <c r="Z463" s="85" t="n"/>
      <c r="AA463" s="85" t="n"/>
      <c r="AB463" s="85" t="n"/>
      <c r="AC463" s="85" t="n"/>
      <c r="AD463" s="85" t="n"/>
      <c r="AE463" s="85" t="n"/>
      <c r="AF463" s="86" t="n"/>
      <c r="AG463" s="86" t="n"/>
      <c r="AH463" s="86" t="n"/>
      <c r="AI463" s="85" t="n"/>
      <c r="AJ463" s="85" t="n"/>
      <c r="AK463" s="85">
        <f>IF($A463="","",IF($M463&gt;0,"Yes","No"))</f>
        <v/>
      </c>
      <c r="AL463" s="85">
        <f>IF($A463="","",IF(AND($E463="Yes",OR($Y463="No",$Y463="NOT FOUND")),"YES",""))</f>
        <v/>
      </c>
      <c r="AM463" s="85">
        <f>IF($A463="","",TRIM(IF(AND($P463=0,$I463&lt;&gt;"Yes"),"T0-NoPhishResistant ","")&amp;IF($H463="No","NoMFA ","")&amp;IF(AND($P463=0,$M463&gt;0),"T0-Standing ","")&amp;IF(AND($P463=0,$Q463="Group only"),"T0-ViaGroupOnly ","")&amp;IF($W463="Yes","AlsoAzureRBAC ","")))</f>
        <v/>
      </c>
      <c r="AN463" s="85">
        <f>IF($A463="","",IF(AG463="","Not Enrolled",IF(TODAY()&gt;AG463,"Review Overdue",IF(AG463-TODAY()&lt;=30,"Review Due Soon","Active"))))</f>
        <v/>
      </c>
      <c r="AO463" s="85">
        <f>IF($A463="","",IF(AH463="","NOT REVIEWED",IF(TODAY()-AH463&gt;90,"OVERDUE",IF(TODAY()-AH463&gt;76,"Due Soon","Current"))))</f>
        <v/>
      </c>
    </row>
    <row r="464" ht="15" customHeight="1" s="39">
      <c r="A464" s="85" t="n"/>
      <c r="B464" s="85" t="n"/>
      <c r="C464" s="85" t="n"/>
      <c r="D464" s="85" t="n"/>
      <c r="E464" s="85" t="n"/>
      <c r="F464" s="86" t="n"/>
      <c r="G464" s="86" t="n"/>
      <c r="H464" s="85" t="n"/>
      <c r="I464" s="85" t="n"/>
      <c r="J464" s="85" t="n"/>
      <c r="K464" s="85" t="n"/>
      <c r="L464" s="85" t="n"/>
      <c r="M464" s="85" t="n"/>
      <c r="N464" s="85" t="n"/>
      <c r="O464" s="85" t="n"/>
      <c r="P464" s="85" t="n"/>
      <c r="Q464" s="85" t="n"/>
      <c r="R464" s="85" t="n"/>
      <c r="S464" s="85" t="n"/>
      <c r="T464" s="85" t="n"/>
      <c r="U464" s="85" t="n"/>
      <c r="V464" s="85" t="n"/>
      <c r="W464" s="85" t="n"/>
      <c r="X464" s="85" t="n"/>
      <c r="Y464" s="85" t="n"/>
      <c r="Z464" s="85" t="n"/>
      <c r="AA464" s="85" t="n"/>
      <c r="AB464" s="85" t="n"/>
      <c r="AC464" s="85" t="n"/>
      <c r="AD464" s="85" t="n"/>
      <c r="AE464" s="85" t="n"/>
      <c r="AF464" s="86" t="n"/>
      <c r="AG464" s="86" t="n"/>
      <c r="AH464" s="86" t="n"/>
      <c r="AI464" s="85" t="n"/>
      <c r="AJ464" s="85" t="n"/>
      <c r="AK464" s="85">
        <f>IF($A464="","",IF($M464&gt;0,"Yes","No"))</f>
        <v/>
      </c>
      <c r="AL464" s="85">
        <f>IF($A464="","",IF(AND($E464="Yes",OR($Y464="No",$Y464="NOT FOUND")),"YES",""))</f>
        <v/>
      </c>
      <c r="AM464" s="85">
        <f>IF($A464="","",TRIM(IF(AND($P464=0,$I464&lt;&gt;"Yes"),"T0-NoPhishResistant ","")&amp;IF($H464="No","NoMFA ","")&amp;IF(AND($P464=0,$M464&gt;0),"T0-Standing ","")&amp;IF(AND($P464=0,$Q464="Group only"),"T0-ViaGroupOnly ","")&amp;IF($W464="Yes","AlsoAzureRBAC ","")))</f>
        <v/>
      </c>
      <c r="AN464" s="85">
        <f>IF($A464="","",IF(AG464="","Not Enrolled",IF(TODAY()&gt;AG464,"Review Overdue",IF(AG464-TODAY()&lt;=30,"Review Due Soon","Active"))))</f>
        <v/>
      </c>
      <c r="AO464" s="85">
        <f>IF($A464="","",IF(AH464="","NOT REVIEWED",IF(TODAY()-AH464&gt;90,"OVERDUE",IF(TODAY()-AH464&gt;76,"Due Soon","Current"))))</f>
        <v/>
      </c>
    </row>
    <row r="465" ht="15" customHeight="1" s="39">
      <c r="A465" s="85" t="n"/>
      <c r="B465" s="85" t="n"/>
      <c r="C465" s="85" t="n"/>
      <c r="D465" s="85" t="n"/>
      <c r="E465" s="85" t="n"/>
      <c r="F465" s="86" t="n"/>
      <c r="G465" s="86" t="n"/>
      <c r="H465" s="85" t="n"/>
      <c r="I465" s="85" t="n"/>
      <c r="J465" s="85" t="n"/>
      <c r="K465" s="85" t="n"/>
      <c r="L465" s="85" t="n"/>
      <c r="M465" s="85" t="n"/>
      <c r="N465" s="85" t="n"/>
      <c r="O465" s="85" t="n"/>
      <c r="P465" s="85" t="n"/>
      <c r="Q465" s="85" t="n"/>
      <c r="R465" s="85" t="n"/>
      <c r="S465" s="85" t="n"/>
      <c r="T465" s="85" t="n"/>
      <c r="U465" s="85" t="n"/>
      <c r="V465" s="85" t="n"/>
      <c r="W465" s="85" t="n"/>
      <c r="X465" s="85" t="n"/>
      <c r="Y465" s="85" t="n"/>
      <c r="Z465" s="85" t="n"/>
      <c r="AA465" s="85" t="n"/>
      <c r="AB465" s="85" t="n"/>
      <c r="AC465" s="85" t="n"/>
      <c r="AD465" s="85" t="n"/>
      <c r="AE465" s="85" t="n"/>
      <c r="AF465" s="86" t="n"/>
      <c r="AG465" s="86" t="n"/>
      <c r="AH465" s="86" t="n"/>
      <c r="AI465" s="85" t="n"/>
      <c r="AJ465" s="85" t="n"/>
      <c r="AK465" s="85">
        <f>IF($A465="","",IF($M465&gt;0,"Yes","No"))</f>
        <v/>
      </c>
      <c r="AL465" s="85">
        <f>IF($A465="","",IF(AND($E465="Yes",OR($Y465="No",$Y465="NOT FOUND")),"YES",""))</f>
        <v/>
      </c>
      <c r="AM465" s="85">
        <f>IF($A465="","",TRIM(IF(AND($P465=0,$I465&lt;&gt;"Yes"),"T0-NoPhishResistant ","")&amp;IF($H465="No","NoMFA ","")&amp;IF(AND($P465=0,$M465&gt;0),"T0-Standing ","")&amp;IF(AND($P465=0,$Q465="Group only"),"T0-ViaGroupOnly ","")&amp;IF($W465="Yes","AlsoAzureRBAC ","")))</f>
        <v/>
      </c>
      <c r="AN465" s="85">
        <f>IF($A465="","",IF(AG465="","Not Enrolled",IF(TODAY()&gt;AG465,"Review Overdue",IF(AG465-TODAY()&lt;=30,"Review Due Soon","Active"))))</f>
        <v/>
      </c>
      <c r="AO465" s="85">
        <f>IF($A465="","",IF(AH465="","NOT REVIEWED",IF(TODAY()-AH465&gt;90,"OVERDUE",IF(TODAY()-AH465&gt;76,"Due Soon","Current"))))</f>
        <v/>
      </c>
    </row>
    <row r="466" ht="15" customHeight="1" s="39">
      <c r="A466" s="85" t="n"/>
      <c r="B466" s="85" t="n"/>
      <c r="C466" s="85" t="n"/>
      <c r="D466" s="85" t="n"/>
      <c r="E466" s="85" t="n"/>
      <c r="F466" s="86" t="n"/>
      <c r="G466" s="86" t="n"/>
      <c r="H466" s="85" t="n"/>
      <c r="I466" s="85" t="n"/>
      <c r="J466" s="85" t="n"/>
      <c r="K466" s="85" t="n"/>
      <c r="L466" s="85" t="n"/>
      <c r="M466" s="85" t="n"/>
      <c r="N466" s="85" t="n"/>
      <c r="O466" s="85" t="n"/>
      <c r="P466" s="85" t="n"/>
      <c r="Q466" s="85" t="n"/>
      <c r="R466" s="85" t="n"/>
      <c r="S466" s="85" t="n"/>
      <c r="T466" s="85" t="n"/>
      <c r="U466" s="85" t="n"/>
      <c r="V466" s="85" t="n"/>
      <c r="W466" s="85" t="n"/>
      <c r="X466" s="85" t="n"/>
      <c r="Y466" s="85" t="n"/>
      <c r="Z466" s="85" t="n"/>
      <c r="AA466" s="85" t="n"/>
      <c r="AB466" s="85" t="n"/>
      <c r="AC466" s="85" t="n"/>
      <c r="AD466" s="85" t="n"/>
      <c r="AE466" s="85" t="n"/>
      <c r="AF466" s="86" t="n"/>
      <c r="AG466" s="86" t="n"/>
      <c r="AH466" s="86" t="n"/>
      <c r="AI466" s="85" t="n"/>
      <c r="AJ466" s="85" t="n"/>
      <c r="AK466" s="85">
        <f>IF($A466="","",IF($M466&gt;0,"Yes","No"))</f>
        <v/>
      </c>
      <c r="AL466" s="85">
        <f>IF($A466="","",IF(AND($E466="Yes",OR($Y466="No",$Y466="NOT FOUND")),"YES",""))</f>
        <v/>
      </c>
      <c r="AM466" s="85">
        <f>IF($A466="","",TRIM(IF(AND($P466=0,$I466&lt;&gt;"Yes"),"T0-NoPhishResistant ","")&amp;IF($H466="No","NoMFA ","")&amp;IF(AND($P466=0,$M466&gt;0),"T0-Standing ","")&amp;IF(AND($P466=0,$Q466="Group only"),"T0-ViaGroupOnly ","")&amp;IF($W466="Yes","AlsoAzureRBAC ","")))</f>
        <v/>
      </c>
      <c r="AN466" s="85">
        <f>IF($A466="","",IF(AG466="","Not Enrolled",IF(TODAY()&gt;AG466,"Review Overdue",IF(AG466-TODAY()&lt;=30,"Review Due Soon","Active"))))</f>
        <v/>
      </c>
      <c r="AO466" s="85">
        <f>IF($A466="","",IF(AH466="","NOT REVIEWED",IF(TODAY()-AH466&gt;90,"OVERDUE",IF(TODAY()-AH466&gt;76,"Due Soon","Current"))))</f>
        <v/>
      </c>
    </row>
    <row r="467" ht="15" customHeight="1" s="39">
      <c r="A467" s="85" t="n"/>
      <c r="B467" s="85" t="n"/>
      <c r="C467" s="85" t="n"/>
      <c r="D467" s="85" t="n"/>
      <c r="E467" s="85" t="n"/>
      <c r="F467" s="86" t="n"/>
      <c r="G467" s="86" t="n"/>
      <c r="H467" s="85" t="n"/>
      <c r="I467" s="85" t="n"/>
      <c r="J467" s="85" t="n"/>
      <c r="K467" s="85" t="n"/>
      <c r="L467" s="85" t="n"/>
      <c r="M467" s="85" t="n"/>
      <c r="N467" s="85" t="n"/>
      <c r="O467" s="85" t="n"/>
      <c r="P467" s="85" t="n"/>
      <c r="Q467" s="85" t="n"/>
      <c r="R467" s="85" t="n"/>
      <c r="S467" s="85" t="n"/>
      <c r="T467" s="85" t="n"/>
      <c r="U467" s="85" t="n"/>
      <c r="V467" s="85" t="n"/>
      <c r="W467" s="85" t="n"/>
      <c r="X467" s="85" t="n"/>
      <c r="Y467" s="85" t="n"/>
      <c r="Z467" s="85" t="n"/>
      <c r="AA467" s="85" t="n"/>
      <c r="AB467" s="85" t="n"/>
      <c r="AC467" s="85" t="n"/>
      <c r="AD467" s="85" t="n"/>
      <c r="AE467" s="85" t="n"/>
      <c r="AF467" s="86" t="n"/>
      <c r="AG467" s="86" t="n"/>
      <c r="AH467" s="86" t="n"/>
      <c r="AI467" s="85" t="n"/>
      <c r="AJ467" s="85" t="n"/>
      <c r="AK467" s="85">
        <f>IF($A467="","",IF($M467&gt;0,"Yes","No"))</f>
        <v/>
      </c>
      <c r="AL467" s="85">
        <f>IF($A467="","",IF(AND($E467="Yes",OR($Y467="No",$Y467="NOT FOUND")),"YES",""))</f>
        <v/>
      </c>
      <c r="AM467" s="85">
        <f>IF($A467="","",TRIM(IF(AND($P467=0,$I467&lt;&gt;"Yes"),"T0-NoPhishResistant ","")&amp;IF($H467="No","NoMFA ","")&amp;IF(AND($P467=0,$M467&gt;0),"T0-Standing ","")&amp;IF(AND($P467=0,$Q467="Group only"),"T0-ViaGroupOnly ","")&amp;IF($W467="Yes","AlsoAzureRBAC ","")))</f>
        <v/>
      </c>
      <c r="AN467" s="85">
        <f>IF($A467="","",IF(AG467="","Not Enrolled",IF(TODAY()&gt;AG467,"Review Overdue",IF(AG467-TODAY()&lt;=30,"Review Due Soon","Active"))))</f>
        <v/>
      </c>
      <c r="AO467" s="85">
        <f>IF($A467="","",IF(AH467="","NOT REVIEWED",IF(TODAY()-AH467&gt;90,"OVERDUE",IF(TODAY()-AH467&gt;76,"Due Soon","Current"))))</f>
        <v/>
      </c>
    </row>
    <row r="468" ht="15" customHeight="1" s="39">
      <c r="A468" s="85" t="n"/>
      <c r="B468" s="85" t="n"/>
      <c r="C468" s="85" t="n"/>
      <c r="D468" s="85" t="n"/>
      <c r="E468" s="85" t="n"/>
      <c r="F468" s="86" t="n"/>
      <c r="G468" s="86" t="n"/>
      <c r="H468" s="85" t="n"/>
      <c r="I468" s="85" t="n"/>
      <c r="J468" s="85" t="n"/>
      <c r="K468" s="85" t="n"/>
      <c r="L468" s="85" t="n"/>
      <c r="M468" s="85" t="n"/>
      <c r="N468" s="85" t="n"/>
      <c r="O468" s="85" t="n"/>
      <c r="P468" s="85" t="n"/>
      <c r="Q468" s="85" t="n"/>
      <c r="R468" s="85" t="n"/>
      <c r="S468" s="85" t="n"/>
      <c r="T468" s="85" t="n"/>
      <c r="U468" s="85" t="n"/>
      <c r="V468" s="85" t="n"/>
      <c r="W468" s="85" t="n"/>
      <c r="X468" s="85" t="n"/>
      <c r="Y468" s="85" t="n"/>
      <c r="Z468" s="85" t="n"/>
      <c r="AA468" s="85" t="n"/>
      <c r="AB468" s="85" t="n"/>
      <c r="AC468" s="85" t="n"/>
      <c r="AD468" s="85" t="n"/>
      <c r="AE468" s="85" t="n"/>
      <c r="AF468" s="86" t="n"/>
      <c r="AG468" s="86" t="n"/>
      <c r="AH468" s="86" t="n"/>
      <c r="AI468" s="85" t="n"/>
      <c r="AJ468" s="85" t="n"/>
      <c r="AK468" s="85">
        <f>IF($A468="","",IF($M468&gt;0,"Yes","No"))</f>
        <v/>
      </c>
      <c r="AL468" s="85">
        <f>IF($A468="","",IF(AND($E468="Yes",OR($Y468="No",$Y468="NOT FOUND")),"YES",""))</f>
        <v/>
      </c>
      <c r="AM468" s="85">
        <f>IF($A468="","",TRIM(IF(AND($P468=0,$I468&lt;&gt;"Yes"),"T0-NoPhishResistant ","")&amp;IF($H468="No","NoMFA ","")&amp;IF(AND($P468=0,$M468&gt;0),"T0-Standing ","")&amp;IF(AND($P468=0,$Q468="Group only"),"T0-ViaGroupOnly ","")&amp;IF($W468="Yes","AlsoAzureRBAC ","")))</f>
        <v/>
      </c>
      <c r="AN468" s="85">
        <f>IF($A468="","",IF(AG468="","Not Enrolled",IF(TODAY()&gt;AG468,"Review Overdue",IF(AG468-TODAY()&lt;=30,"Review Due Soon","Active"))))</f>
        <v/>
      </c>
      <c r="AO468" s="85">
        <f>IF($A468="","",IF(AH468="","NOT REVIEWED",IF(TODAY()-AH468&gt;90,"OVERDUE",IF(TODAY()-AH468&gt;76,"Due Soon","Current"))))</f>
        <v/>
      </c>
    </row>
    <row r="469" ht="15" customHeight="1" s="39">
      <c r="A469" s="85" t="n"/>
      <c r="B469" s="85" t="n"/>
      <c r="C469" s="85" t="n"/>
      <c r="D469" s="85" t="n"/>
      <c r="E469" s="85" t="n"/>
      <c r="F469" s="86" t="n"/>
      <c r="G469" s="86" t="n"/>
      <c r="H469" s="85" t="n"/>
      <c r="I469" s="85" t="n"/>
      <c r="J469" s="85" t="n"/>
      <c r="K469" s="85" t="n"/>
      <c r="L469" s="85" t="n"/>
      <c r="M469" s="85" t="n"/>
      <c r="N469" s="85" t="n"/>
      <c r="O469" s="85" t="n"/>
      <c r="P469" s="85" t="n"/>
      <c r="Q469" s="85" t="n"/>
      <c r="R469" s="85" t="n"/>
      <c r="S469" s="85" t="n"/>
      <c r="T469" s="85" t="n"/>
      <c r="U469" s="85" t="n"/>
      <c r="V469" s="85" t="n"/>
      <c r="W469" s="85" t="n"/>
      <c r="X469" s="85" t="n"/>
      <c r="Y469" s="85" t="n"/>
      <c r="Z469" s="85" t="n"/>
      <c r="AA469" s="85" t="n"/>
      <c r="AB469" s="85" t="n"/>
      <c r="AC469" s="85" t="n"/>
      <c r="AD469" s="85" t="n"/>
      <c r="AE469" s="85" t="n"/>
      <c r="AF469" s="86" t="n"/>
      <c r="AG469" s="86" t="n"/>
      <c r="AH469" s="86" t="n"/>
      <c r="AI469" s="85" t="n"/>
      <c r="AJ469" s="85" t="n"/>
      <c r="AK469" s="85">
        <f>IF($A469="","",IF($M469&gt;0,"Yes","No"))</f>
        <v/>
      </c>
      <c r="AL469" s="85">
        <f>IF($A469="","",IF(AND($E469="Yes",OR($Y469="No",$Y469="NOT FOUND")),"YES",""))</f>
        <v/>
      </c>
      <c r="AM469" s="85">
        <f>IF($A469="","",TRIM(IF(AND($P469=0,$I469&lt;&gt;"Yes"),"T0-NoPhishResistant ","")&amp;IF($H469="No","NoMFA ","")&amp;IF(AND($P469=0,$M469&gt;0),"T0-Standing ","")&amp;IF(AND($P469=0,$Q469="Group only"),"T0-ViaGroupOnly ","")&amp;IF($W469="Yes","AlsoAzureRBAC ","")))</f>
        <v/>
      </c>
      <c r="AN469" s="85">
        <f>IF($A469="","",IF(AG469="","Not Enrolled",IF(TODAY()&gt;AG469,"Review Overdue",IF(AG469-TODAY()&lt;=30,"Review Due Soon","Active"))))</f>
        <v/>
      </c>
      <c r="AO469" s="85">
        <f>IF($A469="","",IF(AH469="","NOT REVIEWED",IF(TODAY()-AH469&gt;90,"OVERDUE",IF(TODAY()-AH469&gt;76,"Due Soon","Current"))))</f>
        <v/>
      </c>
    </row>
    <row r="470" ht="15" customHeight="1" s="39">
      <c r="A470" s="85" t="n"/>
      <c r="B470" s="85" t="n"/>
      <c r="C470" s="85" t="n"/>
      <c r="D470" s="85" t="n"/>
      <c r="E470" s="85" t="n"/>
      <c r="F470" s="86" t="n"/>
      <c r="G470" s="86" t="n"/>
      <c r="H470" s="85" t="n"/>
      <c r="I470" s="85" t="n"/>
      <c r="J470" s="85" t="n"/>
      <c r="K470" s="85" t="n"/>
      <c r="L470" s="85" t="n"/>
      <c r="M470" s="85" t="n"/>
      <c r="N470" s="85" t="n"/>
      <c r="O470" s="85" t="n"/>
      <c r="P470" s="85" t="n"/>
      <c r="Q470" s="85" t="n"/>
      <c r="R470" s="85" t="n"/>
      <c r="S470" s="85" t="n"/>
      <c r="T470" s="85" t="n"/>
      <c r="U470" s="85" t="n"/>
      <c r="V470" s="85" t="n"/>
      <c r="W470" s="85" t="n"/>
      <c r="X470" s="85" t="n"/>
      <c r="Y470" s="85" t="n"/>
      <c r="Z470" s="85" t="n"/>
      <c r="AA470" s="85" t="n"/>
      <c r="AB470" s="85" t="n"/>
      <c r="AC470" s="85" t="n"/>
      <c r="AD470" s="85" t="n"/>
      <c r="AE470" s="85" t="n"/>
      <c r="AF470" s="86" t="n"/>
      <c r="AG470" s="86" t="n"/>
      <c r="AH470" s="86" t="n"/>
      <c r="AI470" s="85" t="n"/>
      <c r="AJ470" s="85" t="n"/>
      <c r="AK470" s="85">
        <f>IF($A470="","",IF($M470&gt;0,"Yes","No"))</f>
        <v/>
      </c>
      <c r="AL470" s="85">
        <f>IF($A470="","",IF(AND($E470="Yes",OR($Y470="No",$Y470="NOT FOUND")),"YES",""))</f>
        <v/>
      </c>
      <c r="AM470" s="85">
        <f>IF($A470="","",TRIM(IF(AND($P470=0,$I470&lt;&gt;"Yes"),"T0-NoPhishResistant ","")&amp;IF($H470="No","NoMFA ","")&amp;IF(AND($P470=0,$M470&gt;0),"T0-Standing ","")&amp;IF(AND($P470=0,$Q470="Group only"),"T0-ViaGroupOnly ","")&amp;IF($W470="Yes","AlsoAzureRBAC ","")))</f>
        <v/>
      </c>
      <c r="AN470" s="85">
        <f>IF($A470="","",IF(AG470="","Not Enrolled",IF(TODAY()&gt;AG470,"Review Overdue",IF(AG470-TODAY()&lt;=30,"Review Due Soon","Active"))))</f>
        <v/>
      </c>
      <c r="AO470" s="85">
        <f>IF($A470="","",IF(AH470="","NOT REVIEWED",IF(TODAY()-AH470&gt;90,"OVERDUE",IF(TODAY()-AH470&gt;76,"Due Soon","Current"))))</f>
        <v/>
      </c>
    </row>
    <row r="471" ht="15" customHeight="1" s="39">
      <c r="A471" s="85" t="n"/>
      <c r="B471" s="85" t="n"/>
      <c r="C471" s="85" t="n"/>
      <c r="D471" s="85" t="n"/>
      <c r="E471" s="85" t="n"/>
      <c r="F471" s="86" t="n"/>
      <c r="G471" s="86" t="n"/>
      <c r="H471" s="85" t="n"/>
      <c r="I471" s="85" t="n"/>
      <c r="J471" s="85" t="n"/>
      <c r="K471" s="85" t="n"/>
      <c r="L471" s="85" t="n"/>
      <c r="M471" s="85" t="n"/>
      <c r="N471" s="85" t="n"/>
      <c r="O471" s="85" t="n"/>
      <c r="P471" s="85" t="n"/>
      <c r="Q471" s="85" t="n"/>
      <c r="R471" s="85" t="n"/>
      <c r="S471" s="85" t="n"/>
      <c r="T471" s="85" t="n"/>
      <c r="U471" s="85" t="n"/>
      <c r="V471" s="85" t="n"/>
      <c r="W471" s="85" t="n"/>
      <c r="X471" s="85" t="n"/>
      <c r="Y471" s="85" t="n"/>
      <c r="Z471" s="85" t="n"/>
      <c r="AA471" s="85" t="n"/>
      <c r="AB471" s="85" t="n"/>
      <c r="AC471" s="85" t="n"/>
      <c r="AD471" s="85" t="n"/>
      <c r="AE471" s="85" t="n"/>
      <c r="AF471" s="86" t="n"/>
      <c r="AG471" s="86" t="n"/>
      <c r="AH471" s="86" t="n"/>
      <c r="AI471" s="85" t="n"/>
      <c r="AJ471" s="85" t="n"/>
      <c r="AK471" s="85">
        <f>IF($A471="","",IF($M471&gt;0,"Yes","No"))</f>
        <v/>
      </c>
      <c r="AL471" s="85">
        <f>IF($A471="","",IF(AND($E471="Yes",OR($Y471="No",$Y471="NOT FOUND")),"YES",""))</f>
        <v/>
      </c>
      <c r="AM471" s="85">
        <f>IF($A471="","",TRIM(IF(AND($P471=0,$I471&lt;&gt;"Yes"),"T0-NoPhishResistant ","")&amp;IF($H471="No","NoMFA ","")&amp;IF(AND($P471=0,$M471&gt;0),"T0-Standing ","")&amp;IF(AND($P471=0,$Q471="Group only"),"T0-ViaGroupOnly ","")&amp;IF($W471="Yes","AlsoAzureRBAC ","")))</f>
        <v/>
      </c>
      <c r="AN471" s="85">
        <f>IF($A471="","",IF(AG471="","Not Enrolled",IF(TODAY()&gt;AG471,"Review Overdue",IF(AG471-TODAY()&lt;=30,"Review Due Soon","Active"))))</f>
        <v/>
      </c>
      <c r="AO471" s="85">
        <f>IF($A471="","",IF(AH471="","NOT REVIEWED",IF(TODAY()-AH471&gt;90,"OVERDUE",IF(TODAY()-AH471&gt;76,"Due Soon","Current"))))</f>
        <v/>
      </c>
    </row>
    <row r="472" ht="15" customHeight="1" s="39">
      <c r="A472" s="85" t="n"/>
      <c r="B472" s="85" t="n"/>
      <c r="C472" s="85" t="n"/>
      <c r="D472" s="85" t="n"/>
      <c r="E472" s="85" t="n"/>
      <c r="F472" s="86" t="n"/>
      <c r="G472" s="86" t="n"/>
      <c r="H472" s="85" t="n"/>
      <c r="I472" s="85" t="n"/>
      <c r="J472" s="85" t="n"/>
      <c r="K472" s="85" t="n"/>
      <c r="L472" s="85" t="n"/>
      <c r="M472" s="85" t="n"/>
      <c r="N472" s="85" t="n"/>
      <c r="O472" s="85" t="n"/>
      <c r="P472" s="85" t="n"/>
      <c r="Q472" s="85" t="n"/>
      <c r="R472" s="85" t="n"/>
      <c r="S472" s="85" t="n"/>
      <c r="T472" s="85" t="n"/>
      <c r="U472" s="85" t="n"/>
      <c r="V472" s="85" t="n"/>
      <c r="W472" s="85" t="n"/>
      <c r="X472" s="85" t="n"/>
      <c r="Y472" s="85" t="n"/>
      <c r="Z472" s="85" t="n"/>
      <c r="AA472" s="85" t="n"/>
      <c r="AB472" s="85" t="n"/>
      <c r="AC472" s="85" t="n"/>
      <c r="AD472" s="85" t="n"/>
      <c r="AE472" s="85" t="n"/>
      <c r="AF472" s="86" t="n"/>
      <c r="AG472" s="86" t="n"/>
      <c r="AH472" s="86" t="n"/>
      <c r="AI472" s="85" t="n"/>
      <c r="AJ472" s="85" t="n"/>
      <c r="AK472" s="85">
        <f>IF($A472="","",IF($M472&gt;0,"Yes","No"))</f>
        <v/>
      </c>
      <c r="AL472" s="85">
        <f>IF($A472="","",IF(AND($E472="Yes",OR($Y472="No",$Y472="NOT FOUND")),"YES",""))</f>
        <v/>
      </c>
      <c r="AM472" s="85">
        <f>IF($A472="","",TRIM(IF(AND($P472=0,$I472&lt;&gt;"Yes"),"T0-NoPhishResistant ","")&amp;IF($H472="No","NoMFA ","")&amp;IF(AND($P472=0,$M472&gt;0),"T0-Standing ","")&amp;IF(AND($P472=0,$Q472="Group only"),"T0-ViaGroupOnly ","")&amp;IF($W472="Yes","AlsoAzureRBAC ","")))</f>
        <v/>
      </c>
      <c r="AN472" s="85">
        <f>IF($A472="","",IF(AG472="","Not Enrolled",IF(TODAY()&gt;AG472,"Review Overdue",IF(AG472-TODAY()&lt;=30,"Review Due Soon","Active"))))</f>
        <v/>
      </c>
      <c r="AO472" s="85">
        <f>IF($A472="","",IF(AH472="","NOT REVIEWED",IF(TODAY()-AH472&gt;90,"OVERDUE",IF(TODAY()-AH472&gt;76,"Due Soon","Current"))))</f>
        <v/>
      </c>
    </row>
    <row r="473" ht="15" customHeight="1" s="39">
      <c r="A473" s="85" t="n"/>
      <c r="B473" s="85" t="n"/>
      <c r="C473" s="85" t="n"/>
      <c r="D473" s="85" t="n"/>
      <c r="E473" s="85" t="n"/>
      <c r="F473" s="86" t="n"/>
      <c r="G473" s="86" t="n"/>
      <c r="H473" s="85" t="n"/>
      <c r="I473" s="85" t="n"/>
      <c r="J473" s="85" t="n"/>
      <c r="K473" s="85" t="n"/>
      <c r="L473" s="85" t="n"/>
      <c r="M473" s="85" t="n"/>
      <c r="N473" s="85" t="n"/>
      <c r="O473" s="85" t="n"/>
      <c r="P473" s="85" t="n"/>
      <c r="Q473" s="85" t="n"/>
      <c r="R473" s="85" t="n"/>
      <c r="S473" s="85" t="n"/>
      <c r="T473" s="85" t="n"/>
      <c r="U473" s="85" t="n"/>
      <c r="V473" s="85" t="n"/>
      <c r="W473" s="85" t="n"/>
      <c r="X473" s="85" t="n"/>
      <c r="Y473" s="85" t="n"/>
      <c r="Z473" s="85" t="n"/>
      <c r="AA473" s="85" t="n"/>
      <c r="AB473" s="85" t="n"/>
      <c r="AC473" s="85" t="n"/>
      <c r="AD473" s="85" t="n"/>
      <c r="AE473" s="85" t="n"/>
      <c r="AF473" s="86" t="n"/>
      <c r="AG473" s="86" t="n"/>
      <c r="AH473" s="86" t="n"/>
      <c r="AI473" s="85" t="n"/>
      <c r="AJ473" s="85" t="n"/>
      <c r="AK473" s="85">
        <f>IF($A473="","",IF($M473&gt;0,"Yes","No"))</f>
        <v/>
      </c>
      <c r="AL473" s="85">
        <f>IF($A473="","",IF(AND($E473="Yes",OR($Y473="No",$Y473="NOT FOUND")),"YES",""))</f>
        <v/>
      </c>
      <c r="AM473" s="85">
        <f>IF($A473="","",TRIM(IF(AND($P473=0,$I473&lt;&gt;"Yes"),"T0-NoPhishResistant ","")&amp;IF($H473="No","NoMFA ","")&amp;IF(AND($P473=0,$M473&gt;0),"T0-Standing ","")&amp;IF(AND($P473=0,$Q473="Group only"),"T0-ViaGroupOnly ","")&amp;IF($W473="Yes","AlsoAzureRBAC ","")))</f>
        <v/>
      </c>
      <c r="AN473" s="85">
        <f>IF($A473="","",IF(AG473="","Not Enrolled",IF(TODAY()&gt;AG473,"Review Overdue",IF(AG473-TODAY()&lt;=30,"Review Due Soon","Active"))))</f>
        <v/>
      </c>
      <c r="AO473" s="85">
        <f>IF($A473="","",IF(AH473="","NOT REVIEWED",IF(TODAY()-AH473&gt;90,"OVERDUE",IF(TODAY()-AH473&gt;76,"Due Soon","Current"))))</f>
        <v/>
      </c>
    </row>
    <row r="474" ht="15" customHeight="1" s="39">
      <c r="A474" s="85" t="n"/>
      <c r="B474" s="85" t="n"/>
      <c r="C474" s="85" t="n"/>
      <c r="D474" s="85" t="n"/>
      <c r="E474" s="85" t="n"/>
      <c r="F474" s="86" t="n"/>
      <c r="G474" s="86" t="n"/>
      <c r="H474" s="85" t="n"/>
      <c r="I474" s="85" t="n"/>
      <c r="J474" s="85" t="n"/>
      <c r="K474" s="85" t="n"/>
      <c r="L474" s="85" t="n"/>
      <c r="M474" s="85" t="n"/>
      <c r="N474" s="85" t="n"/>
      <c r="O474" s="85" t="n"/>
      <c r="P474" s="85" t="n"/>
      <c r="Q474" s="85" t="n"/>
      <c r="R474" s="85" t="n"/>
      <c r="S474" s="85" t="n"/>
      <c r="T474" s="85" t="n"/>
      <c r="U474" s="85" t="n"/>
      <c r="V474" s="85" t="n"/>
      <c r="W474" s="85" t="n"/>
      <c r="X474" s="85" t="n"/>
      <c r="Y474" s="85" t="n"/>
      <c r="Z474" s="85" t="n"/>
      <c r="AA474" s="85" t="n"/>
      <c r="AB474" s="85" t="n"/>
      <c r="AC474" s="85" t="n"/>
      <c r="AD474" s="85" t="n"/>
      <c r="AE474" s="85" t="n"/>
      <c r="AF474" s="86" t="n"/>
      <c r="AG474" s="86" t="n"/>
      <c r="AH474" s="86" t="n"/>
      <c r="AI474" s="85" t="n"/>
      <c r="AJ474" s="85" t="n"/>
      <c r="AK474" s="85">
        <f>IF($A474="","",IF($M474&gt;0,"Yes","No"))</f>
        <v/>
      </c>
      <c r="AL474" s="85">
        <f>IF($A474="","",IF(AND($E474="Yes",OR($Y474="No",$Y474="NOT FOUND")),"YES",""))</f>
        <v/>
      </c>
      <c r="AM474" s="85">
        <f>IF($A474="","",TRIM(IF(AND($P474=0,$I474&lt;&gt;"Yes"),"T0-NoPhishResistant ","")&amp;IF($H474="No","NoMFA ","")&amp;IF(AND($P474=0,$M474&gt;0),"T0-Standing ","")&amp;IF(AND($P474=0,$Q474="Group only"),"T0-ViaGroupOnly ","")&amp;IF($W474="Yes","AlsoAzureRBAC ","")))</f>
        <v/>
      </c>
      <c r="AN474" s="85">
        <f>IF($A474="","",IF(AG474="","Not Enrolled",IF(TODAY()&gt;AG474,"Review Overdue",IF(AG474-TODAY()&lt;=30,"Review Due Soon","Active"))))</f>
        <v/>
      </c>
      <c r="AO474" s="85">
        <f>IF($A474="","",IF(AH474="","NOT REVIEWED",IF(TODAY()-AH474&gt;90,"OVERDUE",IF(TODAY()-AH474&gt;76,"Due Soon","Current"))))</f>
        <v/>
      </c>
    </row>
    <row r="475" ht="15" customHeight="1" s="39">
      <c r="A475" s="85" t="n"/>
      <c r="B475" s="85" t="n"/>
      <c r="C475" s="85" t="n"/>
      <c r="D475" s="85" t="n"/>
      <c r="E475" s="85" t="n"/>
      <c r="F475" s="86" t="n"/>
      <c r="G475" s="86" t="n"/>
      <c r="H475" s="85" t="n"/>
      <c r="I475" s="85" t="n"/>
      <c r="J475" s="85" t="n"/>
      <c r="K475" s="85" t="n"/>
      <c r="L475" s="85" t="n"/>
      <c r="M475" s="85" t="n"/>
      <c r="N475" s="85" t="n"/>
      <c r="O475" s="85" t="n"/>
      <c r="P475" s="85" t="n"/>
      <c r="Q475" s="85" t="n"/>
      <c r="R475" s="85" t="n"/>
      <c r="S475" s="85" t="n"/>
      <c r="T475" s="85" t="n"/>
      <c r="U475" s="85" t="n"/>
      <c r="V475" s="85" t="n"/>
      <c r="W475" s="85" t="n"/>
      <c r="X475" s="85" t="n"/>
      <c r="Y475" s="85" t="n"/>
      <c r="Z475" s="85" t="n"/>
      <c r="AA475" s="85" t="n"/>
      <c r="AB475" s="85" t="n"/>
      <c r="AC475" s="85" t="n"/>
      <c r="AD475" s="85" t="n"/>
      <c r="AE475" s="85" t="n"/>
      <c r="AF475" s="86" t="n"/>
      <c r="AG475" s="86" t="n"/>
      <c r="AH475" s="86" t="n"/>
      <c r="AI475" s="85" t="n"/>
      <c r="AJ475" s="85" t="n"/>
      <c r="AK475" s="85">
        <f>IF($A475="","",IF($M475&gt;0,"Yes","No"))</f>
        <v/>
      </c>
      <c r="AL475" s="85">
        <f>IF($A475="","",IF(AND($E475="Yes",OR($Y475="No",$Y475="NOT FOUND")),"YES",""))</f>
        <v/>
      </c>
      <c r="AM475" s="85">
        <f>IF($A475="","",TRIM(IF(AND($P475=0,$I475&lt;&gt;"Yes"),"T0-NoPhishResistant ","")&amp;IF($H475="No","NoMFA ","")&amp;IF(AND($P475=0,$M475&gt;0),"T0-Standing ","")&amp;IF(AND($P475=0,$Q475="Group only"),"T0-ViaGroupOnly ","")&amp;IF($W475="Yes","AlsoAzureRBAC ","")))</f>
        <v/>
      </c>
      <c r="AN475" s="85">
        <f>IF($A475="","",IF(AG475="","Not Enrolled",IF(TODAY()&gt;AG475,"Review Overdue",IF(AG475-TODAY()&lt;=30,"Review Due Soon","Active"))))</f>
        <v/>
      </c>
      <c r="AO475" s="85">
        <f>IF($A475="","",IF(AH475="","NOT REVIEWED",IF(TODAY()-AH475&gt;90,"OVERDUE",IF(TODAY()-AH475&gt;76,"Due Soon","Current"))))</f>
        <v/>
      </c>
    </row>
    <row r="476" ht="15" customHeight="1" s="39">
      <c r="A476" s="85" t="n"/>
      <c r="B476" s="85" t="n"/>
      <c r="C476" s="85" t="n"/>
      <c r="D476" s="85" t="n"/>
      <c r="E476" s="85" t="n"/>
      <c r="F476" s="86" t="n"/>
      <c r="G476" s="86" t="n"/>
      <c r="H476" s="85" t="n"/>
      <c r="I476" s="85" t="n"/>
      <c r="J476" s="85" t="n"/>
      <c r="K476" s="85" t="n"/>
      <c r="L476" s="85" t="n"/>
      <c r="M476" s="85" t="n"/>
      <c r="N476" s="85" t="n"/>
      <c r="O476" s="85" t="n"/>
      <c r="P476" s="85" t="n"/>
      <c r="Q476" s="85" t="n"/>
      <c r="R476" s="85" t="n"/>
      <c r="S476" s="85" t="n"/>
      <c r="T476" s="85" t="n"/>
      <c r="U476" s="85" t="n"/>
      <c r="V476" s="85" t="n"/>
      <c r="W476" s="85" t="n"/>
      <c r="X476" s="85" t="n"/>
      <c r="Y476" s="85" t="n"/>
      <c r="Z476" s="85" t="n"/>
      <c r="AA476" s="85" t="n"/>
      <c r="AB476" s="85" t="n"/>
      <c r="AC476" s="85" t="n"/>
      <c r="AD476" s="85" t="n"/>
      <c r="AE476" s="85" t="n"/>
      <c r="AF476" s="86" t="n"/>
      <c r="AG476" s="86" t="n"/>
      <c r="AH476" s="86" t="n"/>
      <c r="AI476" s="85" t="n"/>
      <c r="AJ476" s="85" t="n"/>
      <c r="AK476" s="85">
        <f>IF($A476="","",IF($M476&gt;0,"Yes","No"))</f>
        <v/>
      </c>
      <c r="AL476" s="85">
        <f>IF($A476="","",IF(AND($E476="Yes",OR($Y476="No",$Y476="NOT FOUND")),"YES",""))</f>
        <v/>
      </c>
      <c r="AM476" s="85">
        <f>IF($A476="","",TRIM(IF(AND($P476=0,$I476&lt;&gt;"Yes"),"T0-NoPhishResistant ","")&amp;IF($H476="No","NoMFA ","")&amp;IF(AND($P476=0,$M476&gt;0),"T0-Standing ","")&amp;IF(AND($P476=0,$Q476="Group only"),"T0-ViaGroupOnly ","")&amp;IF($W476="Yes","AlsoAzureRBAC ","")))</f>
        <v/>
      </c>
      <c r="AN476" s="85">
        <f>IF($A476="","",IF(AG476="","Not Enrolled",IF(TODAY()&gt;AG476,"Review Overdue",IF(AG476-TODAY()&lt;=30,"Review Due Soon","Active"))))</f>
        <v/>
      </c>
      <c r="AO476" s="85">
        <f>IF($A476="","",IF(AH476="","NOT REVIEWED",IF(TODAY()-AH476&gt;90,"OVERDUE",IF(TODAY()-AH476&gt;76,"Due Soon","Current"))))</f>
        <v/>
      </c>
    </row>
    <row r="477" ht="15" customHeight="1" s="39">
      <c r="A477" s="85" t="n"/>
      <c r="B477" s="85" t="n"/>
      <c r="C477" s="85" t="n"/>
      <c r="D477" s="85" t="n"/>
      <c r="E477" s="85" t="n"/>
      <c r="F477" s="86" t="n"/>
      <c r="G477" s="86" t="n"/>
      <c r="H477" s="85" t="n"/>
      <c r="I477" s="85" t="n"/>
      <c r="J477" s="85" t="n"/>
      <c r="K477" s="85" t="n"/>
      <c r="L477" s="85" t="n"/>
      <c r="M477" s="85" t="n"/>
      <c r="N477" s="85" t="n"/>
      <c r="O477" s="85" t="n"/>
      <c r="P477" s="85" t="n"/>
      <c r="Q477" s="85" t="n"/>
      <c r="R477" s="85" t="n"/>
      <c r="S477" s="85" t="n"/>
      <c r="T477" s="85" t="n"/>
      <c r="U477" s="85" t="n"/>
      <c r="V477" s="85" t="n"/>
      <c r="W477" s="85" t="n"/>
      <c r="X477" s="85" t="n"/>
      <c r="Y477" s="85" t="n"/>
      <c r="Z477" s="85" t="n"/>
      <c r="AA477" s="85" t="n"/>
      <c r="AB477" s="85" t="n"/>
      <c r="AC477" s="85" t="n"/>
      <c r="AD477" s="85" t="n"/>
      <c r="AE477" s="85" t="n"/>
      <c r="AF477" s="86" t="n"/>
      <c r="AG477" s="86" t="n"/>
      <c r="AH477" s="86" t="n"/>
      <c r="AI477" s="85" t="n"/>
      <c r="AJ477" s="85" t="n"/>
      <c r="AK477" s="85">
        <f>IF($A477="","",IF($M477&gt;0,"Yes","No"))</f>
        <v/>
      </c>
      <c r="AL477" s="85">
        <f>IF($A477="","",IF(AND($E477="Yes",OR($Y477="No",$Y477="NOT FOUND")),"YES",""))</f>
        <v/>
      </c>
      <c r="AM477" s="85">
        <f>IF($A477="","",TRIM(IF(AND($P477=0,$I477&lt;&gt;"Yes"),"T0-NoPhishResistant ","")&amp;IF($H477="No","NoMFA ","")&amp;IF(AND($P477=0,$M477&gt;0),"T0-Standing ","")&amp;IF(AND($P477=0,$Q477="Group only"),"T0-ViaGroupOnly ","")&amp;IF($W477="Yes","AlsoAzureRBAC ","")))</f>
        <v/>
      </c>
      <c r="AN477" s="85">
        <f>IF($A477="","",IF(AG477="","Not Enrolled",IF(TODAY()&gt;AG477,"Review Overdue",IF(AG477-TODAY()&lt;=30,"Review Due Soon","Active"))))</f>
        <v/>
      </c>
      <c r="AO477" s="85">
        <f>IF($A477="","",IF(AH477="","NOT REVIEWED",IF(TODAY()-AH477&gt;90,"OVERDUE",IF(TODAY()-AH477&gt;76,"Due Soon","Current"))))</f>
        <v/>
      </c>
    </row>
    <row r="478" ht="15" customHeight="1" s="39">
      <c r="A478" s="85" t="n"/>
      <c r="B478" s="85" t="n"/>
      <c r="C478" s="85" t="n"/>
      <c r="D478" s="85" t="n"/>
      <c r="E478" s="85" t="n"/>
      <c r="F478" s="86" t="n"/>
      <c r="G478" s="86" t="n"/>
      <c r="H478" s="85" t="n"/>
      <c r="I478" s="85" t="n"/>
      <c r="J478" s="85" t="n"/>
      <c r="K478" s="85" t="n"/>
      <c r="L478" s="85" t="n"/>
      <c r="M478" s="85" t="n"/>
      <c r="N478" s="85" t="n"/>
      <c r="O478" s="85" t="n"/>
      <c r="P478" s="85" t="n"/>
      <c r="Q478" s="85" t="n"/>
      <c r="R478" s="85" t="n"/>
      <c r="S478" s="85" t="n"/>
      <c r="T478" s="85" t="n"/>
      <c r="U478" s="85" t="n"/>
      <c r="V478" s="85" t="n"/>
      <c r="W478" s="85" t="n"/>
      <c r="X478" s="85" t="n"/>
      <c r="Y478" s="85" t="n"/>
      <c r="Z478" s="85" t="n"/>
      <c r="AA478" s="85" t="n"/>
      <c r="AB478" s="85" t="n"/>
      <c r="AC478" s="85" t="n"/>
      <c r="AD478" s="85" t="n"/>
      <c r="AE478" s="85" t="n"/>
      <c r="AF478" s="86" t="n"/>
      <c r="AG478" s="86" t="n"/>
      <c r="AH478" s="86" t="n"/>
      <c r="AI478" s="85" t="n"/>
      <c r="AJ478" s="85" t="n"/>
      <c r="AK478" s="85">
        <f>IF($A478="","",IF($M478&gt;0,"Yes","No"))</f>
        <v/>
      </c>
      <c r="AL478" s="85">
        <f>IF($A478="","",IF(AND($E478="Yes",OR($Y478="No",$Y478="NOT FOUND")),"YES",""))</f>
        <v/>
      </c>
      <c r="AM478" s="85">
        <f>IF($A478="","",TRIM(IF(AND($P478=0,$I478&lt;&gt;"Yes"),"T0-NoPhishResistant ","")&amp;IF($H478="No","NoMFA ","")&amp;IF(AND($P478=0,$M478&gt;0),"T0-Standing ","")&amp;IF(AND($P478=0,$Q478="Group only"),"T0-ViaGroupOnly ","")&amp;IF($W478="Yes","AlsoAzureRBAC ","")))</f>
        <v/>
      </c>
      <c r="AN478" s="85">
        <f>IF($A478="","",IF(AG478="","Not Enrolled",IF(TODAY()&gt;AG478,"Review Overdue",IF(AG478-TODAY()&lt;=30,"Review Due Soon","Active"))))</f>
        <v/>
      </c>
      <c r="AO478" s="85">
        <f>IF($A478="","",IF(AH478="","NOT REVIEWED",IF(TODAY()-AH478&gt;90,"OVERDUE",IF(TODAY()-AH478&gt;76,"Due Soon","Current"))))</f>
        <v/>
      </c>
    </row>
    <row r="479" ht="15" customHeight="1" s="39">
      <c r="A479" s="85" t="n"/>
      <c r="B479" s="85" t="n"/>
      <c r="C479" s="85" t="n"/>
      <c r="D479" s="85" t="n"/>
      <c r="E479" s="85" t="n"/>
      <c r="F479" s="86" t="n"/>
      <c r="G479" s="86" t="n"/>
      <c r="H479" s="85" t="n"/>
      <c r="I479" s="85" t="n"/>
      <c r="J479" s="85" t="n"/>
      <c r="K479" s="85" t="n"/>
      <c r="L479" s="85" t="n"/>
      <c r="M479" s="85" t="n"/>
      <c r="N479" s="85" t="n"/>
      <c r="O479" s="85" t="n"/>
      <c r="P479" s="85" t="n"/>
      <c r="Q479" s="85" t="n"/>
      <c r="R479" s="85" t="n"/>
      <c r="S479" s="85" t="n"/>
      <c r="T479" s="85" t="n"/>
      <c r="U479" s="85" t="n"/>
      <c r="V479" s="85" t="n"/>
      <c r="W479" s="85" t="n"/>
      <c r="X479" s="85" t="n"/>
      <c r="Y479" s="85" t="n"/>
      <c r="Z479" s="85" t="n"/>
      <c r="AA479" s="85" t="n"/>
      <c r="AB479" s="85" t="n"/>
      <c r="AC479" s="85" t="n"/>
      <c r="AD479" s="85" t="n"/>
      <c r="AE479" s="85" t="n"/>
      <c r="AF479" s="86" t="n"/>
      <c r="AG479" s="86" t="n"/>
      <c r="AH479" s="86" t="n"/>
      <c r="AI479" s="85" t="n"/>
      <c r="AJ479" s="85" t="n"/>
      <c r="AK479" s="85">
        <f>IF($A479="","",IF($M479&gt;0,"Yes","No"))</f>
        <v/>
      </c>
      <c r="AL479" s="85">
        <f>IF($A479="","",IF(AND($E479="Yes",OR($Y479="No",$Y479="NOT FOUND")),"YES",""))</f>
        <v/>
      </c>
      <c r="AM479" s="85">
        <f>IF($A479="","",TRIM(IF(AND($P479=0,$I479&lt;&gt;"Yes"),"T0-NoPhishResistant ","")&amp;IF($H479="No","NoMFA ","")&amp;IF(AND($P479=0,$M479&gt;0),"T0-Standing ","")&amp;IF(AND($P479=0,$Q479="Group only"),"T0-ViaGroupOnly ","")&amp;IF($W479="Yes","AlsoAzureRBAC ","")))</f>
        <v/>
      </c>
      <c r="AN479" s="85">
        <f>IF($A479="","",IF(AG479="","Not Enrolled",IF(TODAY()&gt;AG479,"Review Overdue",IF(AG479-TODAY()&lt;=30,"Review Due Soon","Active"))))</f>
        <v/>
      </c>
      <c r="AO479" s="85">
        <f>IF($A479="","",IF(AH479="","NOT REVIEWED",IF(TODAY()-AH479&gt;90,"OVERDUE",IF(TODAY()-AH479&gt;76,"Due Soon","Current"))))</f>
        <v/>
      </c>
    </row>
    <row r="480" ht="15" customHeight="1" s="39">
      <c r="A480" s="85" t="n"/>
      <c r="B480" s="85" t="n"/>
      <c r="C480" s="85" t="n"/>
      <c r="D480" s="85" t="n"/>
      <c r="E480" s="85" t="n"/>
      <c r="F480" s="86" t="n"/>
      <c r="G480" s="86" t="n"/>
      <c r="H480" s="85" t="n"/>
      <c r="I480" s="85" t="n"/>
      <c r="J480" s="85" t="n"/>
      <c r="K480" s="85" t="n"/>
      <c r="L480" s="85" t="n"/>
      <c r="M480" s="85" t="n"/>
      <c r="N480" s="85" t="n"/>
      <c r="O480" s="85" t="n"/>
      <c r="P480" s="85" t="n"/>
      <c r="Q480" s="85" t="n"/>
      <c r="R480" s="85" t="n"/>
      <c r="S480" s="85" t="n"/>
      <c r="T480" s="85" t="n"/>
      <c r="U480" s="85" t="n"/>
      <c r="V480" s="85" t="n"/>
      <c r="W480" s="85" t="n"/>
      <c r="X480" s="85" t="n"/>
      <c r="Y480" s="85" t="n"/>
      <c r="Z480" s="85" t="n"/>
      <c r="AA480" s="85" t="n"/>
      <c r="AB480" s="85" t="n"/>
      <c r="AC480" s="85" t="n"/>
      <c r="AD480" s="85" t="n"/>
      <c r="AE480" s="85" t="n"/>
      <c r="AF480" s="86" t="n"/>
      <c r="AG480" s="86" t="n"/>
      <c r="AH480" s="86" t="n"/>
      <c r="AI480" s="85" t="n"/>
      <c r="AJ480" s="85" t="n"/>
      <c r="AK480" s="85">
        <f>IF($A480="","",IF($M480&gt;0,"Yes","No"))</f>
        <v/>
      </c>
      <c r="AL480" s="85">
        <f>IF($A480="","",IF(AND($E480="Yes",OR($Y480="No",$Y480="NOT FOUND")),"YES",""))</f>
        <v/>
      </c>
      <c r="AM480" s="85">
        <f>IF($A480="","",TRIM(IF(AND($P480=0,$I480&lt;&gt;"Yes"),"T0-NoPhishResistant ","")&amp;IF($H480="No","NoMFA ","")&amp;IF(AND($P480=0,$M480&gt;0),"T0-Standing ","")&amp;IF(AND($P480=0,$Q480="Group only"),"T0-ViaGroupOnly ","")&amp;IF($W480="Yes","AlsoAzureRBAC ","")))</f>
        <v/>
      </c>
      <c r="AN480" s="85">
        <f>IF($A480="","",IF(AG480="","Not Enrolled",IF(TODAY()&gt;AG480,"Review Overdue",IF(AG480-TODAY()&lt;=30,"Review Due Soon","Active"))))</f>
        <v/>
      </c>
      <c r="AO480" s="85">
        <f>IF($A480="","",IF(AH480="","NOT REVIEWED",IF(TODAY()-AH480&gt;90,"OVERDUE",IF(TODAY()-AH480&gt;76,"Due Soon","Current"))))</f>
        <v/>
      </c>
    </row>
    <row r="481" ht="15" customHeight="1" s="39">
      <c r="A481" s="85" t="n"/>
      <c r="B481" s="85" t="n"/>
      <c r="C481" s="85" t="n"/>
      <c r="D481" s="85" t="n"/>
      <c r="E481" s="85" t="n"/>
      <c r="F481" s="86" t="n"/>
      <c r="G481" s="86" t="n"/>
      <c r="H481" s="85" t="n"/>
      <c r="I481" s="85" t="n"/>
      <c r="J481" s="85" t="n"/>
      <c r="K481" s="85" t="n"/>
      <c r="L481" s="85" t="n"/>
      <c r="M481" s="85" t="n"/>
      <c r="N481" s="85" t="n"/>
      <c r="O481" s="85" t="n"/>
      <c r="P481" s="85" t="n"/>
      <c r="Q481" s="85" t="n"/>
      <c r="R481" s="85" t="n"/>
      <c r="S481" s="85" t="n"/>
      <c r="T481" s="85" t="n"/>
      <c r="U481" s="85" t="n"/>
      <c r="V481" s="85" t="n"/>
      <c r="W481" s="85" t="n"/>
      <c r="X481" s="85" t="n"/>
      <c r="Y481" s="85" t="n"/>
      <c r="Z481" s="85" t="n"/>
      <c r="AA481" s="85" t="n"/>
      <c r="AB481" s="85" t="n"/>
      <c r="AC481" s="85" t="n"/>
      <c r="AD481" s="85" t="n"/>
      <c r="AE481" s="85" t="n"/>
      <c r="AF481" s="86" t="n"/>
      <c r="AG481" s="86" t="n"/>
      <c r="AH481" s="86" t="n"/>
      <c r="AI481" s="85" t="n"/>
      <c r="AJ481" s="85" t="n"/>
      <c r="AK481" s="85">
        <f>IF($A481="","",IF($M481&gt;0,"Yes","No"))</f>
        <v/>
      </c>
      <c r="AL481" s="85">
        <f>IF($A481="","",IF(AND($E481="Yes",OR($Y481="No",$Y481="NOT FOUND")),"YES",""))</f>
        <v/>
      </c>
      <c r="AM481" s="85">
        <f>IF($A481="","",TRIM(IF(AND($P481=0,$I481&lt;&gt;"Yes"),"T0-NoPhishResistant ","")&amp;IF($H481="No","NoMFA ","")&amp;IF(AND($P481=0,$M481&gt;0),"T0-Standing ","")&amp;IF(AND($P481=0,$Q481="Group only"),"T0-ViaGroupOnly ","")&amp;IF($W481="Yes","AlsoAzureRBAC ","")))</f>
        <v/>
      </c>
      <c r="AN481" s="85">
        <f>IF($A481="","",IF(AG481="","Not Enrolled",IF(TODAY()&gt;AG481,"Review Overdue",IF(AG481-TODAY()&lt;=30,"Review Due Soon","Active"))))</f>
        <v/>
      </c>
      <c r="AO481" s="85">
        <f>IF($A481="","",IF(AH481="","NOT REVIEWED",IF(TODAY()-AH481&gt;90,"OVERDUE",IF(TODAY()-AH481&gt;76,"Due Soon","Current"))))</f>
        <v/>
      </c>
    </row>
    <row r="482" ht="15" customHeight="1" s="39">
      <c r="A482" s="85" t="n"/>
      <c r="B482" s="85" t="n"/>
      <c r="C482" s="85" t="n"/>
      <c r="D482" s="85" t="n"/>
      <c r="E482" s="85" t="n"/>
      <c r="F482" s="86" t="n"/>
      <c r="G482" s="86" t="n"/>
      <c r="H482" s="85" t="n"/>
      <c r="I482" s="85" t="n"/>
      <c r="J482" s="85" t="n"/>
      <c r="K482" s="85" t="n"/>
      <c r="L482" s="85" t="n"/>
      <c r="M482" s="85" t="n"/>
      <c r="N482" s="85" t="n"/>
      <c r="O482" s="85" t="n"/>
      <c r="P482" s="85" t="n"/>
      <c r="Q482" s="85" t="n"/>
      <c r="R482" s="85" t="n"/>
      <c r="S482" s="85" t="n"/>
      <c r="T482" s="85" t="n"/>
      <c r="U482" s="85" t="n"/>
      <c r="V482" s="85" t="n"/>
      <c r="W482" s="85" t="n"/>
      <c r="X482" s="85" t="n"/>
      <c r="Y482" s="85" t="n"/>
      <c r="Z482" s="85" t="n"/>
      <c r="AA482" s="85" t="n"/>
      <c r="AB482" s="85" t="n"/>
      <c r="AC482" s="85" t="n"/>
      <c r="AD482" s="85" t="n"/>
      <c r="AE482" s="85" t="n"/>
      <c r="AF482" s="86" t="n"/>
      <c r="AG482" s="86" t="n"/>
      <c r="AH482" s="86" t="n"/>
      <c r="AI482" s="85" t="n"/>
      <c r="AJ482" s="85" t="n"/>
      <c r="AK482" s="85">
        <f>IF($A482="","",IF($M482&gt;0,"Yes","No"))</f>
        <v/>
      </c>
      <c r="AL482" s="85">
        <f>IF($A482="","",IF(AND($E482="Yes",OR($Y482="No",$Y482="NOT FOUND")),"YES",""))</f>
        <v/>
      </c>
      <c r="AM482" s="85">
        <f>IF($A482="","",TRIM(IF(AND($P482=0,$I482&lt;&gt;"Yes"),"T0-NoPhishResistant ","")&amp;IF($H482="No","NoMFA ","")&amp;IF(AND($P482=0,$M482&gt;0),"T0-Standing ","")&amp;IF(AND($P482=0,$Q482="Group only"),"T0-ViaGroupOnly ","")&amp;IF($W482="Yes","AlsoAzureRBAC ","")))</f>
        <v/>
      </c>
      <c r="AN482" s="85">
        <f>IF($A482="","",IF(AG482="","Not Enrolled",IF(TODAY()&gt;AG482,"Review Overdue",IF(AG482-TODAY()&lt;=30,"Review Due Soon","Active"))))</f>
        <v/>
      </c>
      <c r="AO482" s="85">
        <f>IF($A482="","",IF(AH482="","NOT REVIEWED",IF(TODAY()-AH482&gt;90,"OVERDUE",IF(TODAY()-AH482&gt;76,"Due Soon","Current"))))</f>
        <v/>
      </c>
    </row>
    <row r="483" ht="15" customHeight="1" s="39">
      <c r="A483" s="85" t="n"/>
      <c r="B483" s="85" t="n"/>
      <c r="C483" s="85" t="n"/>
      <c r="D483" s="85" t="n"/>
      <c r="E483" s="85" t="n"/>
      <c r="F483" s="86" t="n"/>
      <c r="G483" s="86" t="n"/>
      <c r="H483" s="85" t="n"/>
      <c r="I483" s="85" t="n"/>
      <c r="J483" s="85" t="n"/>
      <c r="K483" s="85" t="n"/>
      <c r="L483" s="85" t="n"/>
      <c r="M483" s="85" t="n"/>
      <c r="N483" s="85" t="n"/>
      <c r="O483" s="85" t="n"/>
      <c r="P483" s="85" t="n"/>
      <c r="Q483" s="85" t="n"/>
      <c r="R483" s="85" t="n"/>
      <c r="S483" s="85" t="n"/>
      <c r="T483" s="85" t="n"/>
      <c r="U483" s="85" t="n"/>
      <c r="V483" s="85" t="n"/>
      <c r="W483" s="85" t="n"/>
      <c r="X483" s="85" t="n"/>
      <c r="Y483" s="85" t="n"/>
      <c r="Z483" s="85" t="n"/>
      <c r="AA483" s="85" t="n"/>
      <c r="AB483" s="85" t="n"/>
      <c r="AC483" s="85" t="n"/>
      <c r="AD483" s="85" t="n"/>
      <c r="AE483" s="85" t="n"/>
      <c r="AF483" s="86" t="n"/>
      <c r="AG483" s="86" t="n"/>
      <c r="AH483" s="86" t="n"/>
      <c r="AI483" s="85" t="n"/>
      <c r="AJ483" s="85" t="n"/>
      <c r="AK483" s="85">
        <f>IF($A483="","",IF($M483&gt;0,"Yes","No"))</f>
        <v/>
      </c>
      <c r="AL483" s="85">
        <f>IF($A483="","",IF(AND($E483="Yes",OR($Y483="No",$Y483="NOT FOUND")),"YES",""))</f>
        <v/>
      </c>
      <c r="AM483" s="85">
        <f>IF($A483="","",TRIM(IF(AND($P483=0,$I483&lt;&gt;"Yes"),"T0-NoPhishResistant ","")&amp;IF($H483="No","NoMFA ","")&amp;IF(AND($P483=0,$M483&gt;0),"T0-Standing ","")&amp;IF(AND($P483=0,$Q483="Group only"),"T0-ViaGroupOnly ","")&amp;IF($W483="Yes","AlsoAzureRBAC ","")))</f>
        <v/>
      </c>
      <c r="AN483" s="85">
        <f>IF($A483="","",IF(AG483="","Not Enrolled",IF(TODAY()&gt;AG483,"Review Overdue",IF(AG483-TODAY()&lt;=30,"Review Due Soon","Active"))))</f>
        <v/>
      </c>
      <c r="AO483" s="85">
        <f>IF($A483="","",IF(AH483="","NOT REVIEWED",IF(TODAY()-AH483&gt;90,"OVERDUE",IF(TODAY()-AH483&gt;76,"Due Soon","Current"))))</f>
        <v/>
      </c>
    </row>
    <row r="484" ht="15" customHeight="1" s="39">
      <c r="A484" s="85" t="n"/>
      <c r="B484" s="85" t="n"/>
      <c r="C484" s="85" t="n"/>
      <c r="D484" s="85" t="n"/>
      <c r="E484" s="85" t="n"/>
      <c r="F484" s="86" t="n"/>
      <c r="G484" s="86" t="n"/>
      <c r="H484" s="85" t="n"/>
      <c r="I484" s="85" t="n"/>
      <c r="J484" s="85" t="n"/>
      <c r="K484" s="85" t="n"/>
      <c r="L484" s="85" t="n"/>
      <c r="M484" s="85" t="n"/>
      <c r="N484" s="85" t="n"/>
      <c r="O484" s="85" t="n"/>
      <c r="P484" s="85" t="n"/>
      <c r="Q484" s="85" t="n"/>
      <c r="R484" s="85" t="n"/>
      <c r="S484" s="85" t="n"/>
      <c r="T484" s="85" t="n"/>
      <c r="U484" s="85" t="n"/>
      <c r="V484" s="85" t="n"/>
      <c r="W484" s="85" t="n"/>
      <c r="X484" s="85" t="n"/>
      <c r="Y484" s="85" t="n"/>
      <c r="Z484" s="85" t="n"/>
      <c r="AA484" s="85" t="n"/>
      <c r="AB484" s="85" t="n"/>
      <c r="AC484" s="85" t="n"/>
      <c r="AD484" s="85" t="n"/>
      <c r="AE484" s="85" t="n"/>
      <c r="AF484" s="86" t="n"/>
      <c r="AG484" s="86" t="n"/>
      <c r="AH484" s="86" t="n"/>
      <c r="AI484" s="85" t="n"/>
      <c r="AJ484" s="85" t="n"/>
      <c r="AK484" s="85">
        <f>IF($A484="","",IF($M484&gt;0,"Yes","No"))</f>
        <v/>
      </c>
      <c r="AL484" s="85">
        <f>IF($A484="","",IF(AND($E484="Yes",OR($Y484="No",$Y484="NOT FOUND")),"YES",""))</f>
        <v/>
      </c>
      <c r="AM484" s="85">
        <f>IF($A484="","",TRIM(IF(AND($P484=0,$I484&lt;&gt;"Yes"),"T0-NoPhishResistant ","")&amp;IF($H484="No","NoMFA ","")&amp;IF(AND($P484=0,$M484&gt;0),"T0-Standing ","")&amp;IF(AND($P484=0,$Q484="Group only"),"T0-ViaGroupOnly ","")&amp;IF($W484="Yes","AlsoAzureRBAC ","")))</f>
        <v/>
      </c>
      <c r="AN484" s="85">
        <f>IF($A484="","",IF(AG484="","Not Enrolled",IF(TODAY()&gt;AG484,"Review Overdue",IF(AG484-TODAY()&lt;=30,"Review Due Soon","Active"))))</f>
        <v/>
      </c>
      <c r="AO484" s="85">
        <f>IF($A484="","",IF(AH484="","NOT REVIEWED",IF(TODAY()-AH484&gt;90,"OVERDUE",IF(TODAY()-AH484&gt;76,"Due Soon","Current"))))</f>
        <v/>
      </c>
    </row>
    <row r="485" ht="15" customHeight="1" s="39">
      <c r="A485" s="85" t="n"/>
      <c r="B485" s="85" t="n"/>
      <c r="C485" s="85" t="n"/>
      <c r="D485" s="85" t="n"/>
      <c r="E485" s="85" t="n"/>
      <c r="F485" s="86" t="n"/>
      <c r="G485" s="86" t="n"/>
      <c r="H485" s="85" t="n"/>
      <c r="I485" s="85" t="n"/>
      <c r="J485" s="85" t="n"/>
      <c r="K485" s="85" t="n"/>
      <c r="L485" s="85" t="n"/>
      <c r="M485" s="85" t="n"/>
      <c r="N485" s="85" t="n"/>
      <c r="O485" s="85" t="n"/>
      <c r="P485" s="85" t="n"/>
      <c r="Q485" s="85" t="n"/>
      <c r="R485" s="85" t="n"/>
      <c r="S485" s="85" t="n"/>
      <c r="T485" s="85" t="n"/>
      <c r="U485" s="85" t="n"/>
      <c r="V485" s="85" t="n"/>
      <c r="W485" s="85" t="n"/>
      <c r="X485" s="85" t="n"/>
      <c r="Y485" s="85" t="n"/>
      <c r="Z485" s="85" t="n"/>
      <c r="AA485" s="85" t="n"/>
      <c r="AB485" s="85" t="n"/>
      <c r="AC485" s="85" t="n"/>
      <c r="AD485" s="85" t="n"/>
      <c r="AE485" s="85" t="n"/>
      <c r="AF485" s="86" t="n"/>
      <c r="AG485" s="86" t="n"/>
      <c r="AH485" s="86" t="n"/>
      <c r="AI485" s="85" t="n"/>
      <c r="AJ485" s="85" t="n"/>
      <c r="AK485" s="85">
        <f>IF($A485="","",IF($M485&gt;0,"Yes","No"))</f>
        <v/>
      </c>
      <c r="AL485" s="85">
        <f>IF($A485="","",IF(AND($E485="Yes",OR($Y485="No",$Y485="NOT FOUND")),"YES",""))</f>
        <v/>
      </c>
      <c r="AM485" s="85">
        <f>IF($A485="","",TRIM(IF(AND($P485=0,$I485&lt;&gt;"Yes"),"T0-NoPhishResistant ","")&amp;IF($H485="No","NoMFA ","")&amp;IF(AND($P485=0,$M485&gt;0),"T0-Standing ","")&amp;IF(AND($P485=0,$Q485="Group only"),"T0-ViaGroupOnly ","")&amp;IF($W485="Yes","AlsoAzureRBAC ","")))</f>
        <v/>
      </c>
      <c r="AN485" s="85">
        <f>IF($A485="","",IF(AG485="","Not Enrolled",IF(TODAY()&gt;AG485,"Review Overdue",IF(AG485-TODAY()&lt;=30,"Review Due Soon","Active"))))</f>
        <v/>
      </c>
      <c r="AO485" s="85">
        <f>IF($A485="","",IF(AH485="","NOT REVIEWED",IF(TODAY()-AH485&gt;90,"OVERDUE",IF(TODAY()-AH485&gt;76,"Due Soon","Current"))))</f>
        <v/>
      </c>
    </row>
    <row r="486" ht="15" customHeight="1" s="39">
      <c r="A486" s="85" t="n"/>
      <c r="B486" s="85" t="n"/>
      <c r="C486" s="85" t="n"/>
      <c r="D486" s="85" t="n"/>
      <c r="E486" s="85" t="n"/>
      <c r="F486" s="86" t="n"/>
      <c r="G486" s="86" t="n"/>
      <c r="H486" s="85" t="n"/>
      <c r="I486" s="85" t="n"/>
      <c r="J486" s="85" t="n"/>
      <c r="K486" s="85" t="n"/>
      <c r="L486" s="85" t="n"/>
      <c r="M486" s="85" t="n"/>
      <c r="N486" s="85" t="n"/>
      <c r="O486" s="85" t="n"/>
      <c r="P486" s="85" t="n"/>
      <c r="Q486" s="85" t="n"/>
      <c r="R486" s="85" t="n"/>
      <c r="S486" s="85" t="n"/>
      <c r="T486" s="85" t="n"/>
      <c r="U486" s="85" t="n"/>
      <c r="V486" s="85" t="n"/>
      <c r="W486" s="85" t="n"/>
      <c r="X486" s="85" t="n"/>
      <c r="Y486" s="85" t="n"/>
      <c r="Z486" s="85" t="n"/>
      <c r="AA486" s="85" t="n"/>
      <c r="AB486" s="85" t="n"/>
      <c r="AC486" s="85" t="n"/>
      <c r="AD486" s="85" t="n"/>
      <c r="AE486" s="85" t="n"/>
      <c r="AF486" s="86" t="n"/>
      <c r="AG486" s="86" t="n"/>
      <c r="AH486" s="86" t="n"/>
      <c r="AI486" s="85" t="n"/>
      <c r="AJ486" s="85" t="n"/>
      <c r="AK486" s="85">
        <f>IF($A486="","",IF($M486&gt;0,"Yes","No"))</f>
        <v/>
      </c>
      <c r="AL486" s="85">
        <f>IF($A486="","",IF(AND($E486="Yes",OR($Y486="No",$Y486="NOT FOUND")),"YES",""))</f>
        <v/>
      </c>
      <c r="AM486" s="85">
        <f>IF($A486="","",TRIM(IF(AND($P486=0,$I486&lt;&gt;"Yes"),"T0-NoPhishResistant ","")&amp;IF($H486="No","NoMFA ","")&amp;IF(AND($P486=0,$M486&gt;0),"T0-Standing ","")&amp;IF(AND($P486=0,$Q486="Group only"),"T0-ViaGroupOnly ","")&amp;IF($W486="Yes","AlsoAzureRBAC ","")))</f>
        <v/>
      </c>
      <c r="AN486" s="85">
        <f>IF($A486="","",IF(AG486="","Not Enrolled",IF(TODAY()&gt;AG486,"Review Overdue",IF(AG486-TODAY()&lt;=30,"Review Due Soon","Active"))))</f>
        <v/>
      </c>
      <c r="AO486" s="85">
        <f>IF($A486="","",IF(AH486="","NOT REVIEWED",IF(TODAY()-AH486&gt;90,"OVERDUE",IF(TODAY()-AH486&gt;76,"Due Soon","Current"))))</f>
        <v/>
      </c>
    </row>
    <row r="487" ht="15" customHeight="1" s="39">
      <c r="A487" s="85" t="n"/>
      <c r="B487" s="85" t="n"/>
      <c r="C487" s="85" t="n"/>
      <c r="D487" s="85" t="n"/>
      <c r="E487" s="85" t="n"/>
      <c r="F487" s="86" t="n"/>
      <c r="G487" s="86" t="n"/>
      <c r="H487" s="85" t="n"/>
      <c r="I487" s="85" t="n"/>
      <c r="J487" s="85" t="n"/>
      <c r="K487" s="85" t="n"/>
      <c r="L487" s="85" t="n"/>
      <c r="M487" s="85" t="n"/>
      <c r="N487" s="85" t="n"/>
      <c r="O487" s="85" t="n"/>
      <c r="P487" s="85" t="n"/>
      <c r="Q487" s="85" t="n"/>
      <c r="R487" s="85" t="n"/>
      <c r="S487" s="85" t="n"/>
      <c r="T487" s="85" t="n"/>
      <c r="U487" s="85" t="n"/>
      <c r="V487" s="85" t="n"/>
      <c r="W487" s="85" t="n"/>
      <c r="X487" s="85" t="n"/>
      <c r="Y487" s="85" t="n"/>
      <c r="Z487" s="85" t="n"/>
      <c r="AA487" s="85" t="n"/>
      <c r="AB487" s="85" t="n"/>
      <c r="AC487" s="85" t="n"/>
      <c r="AD487" s="85" t="n"/>
      <c r="AE487" s="85" t="n"/>
      <c r="AF487" s="86" t="n"/>
      <c r="AG487" s="86" t="n"/>
      <c r="AH487" s="86" t="n"/>
      <c r="AI487" s="85" t="n"/>
      <c r="AJ487" s="85" t="n"/>
      <c r="AK487" s="85">
        <f>IF($A487="","",IF($M487&gt;0,"Yes","No"))</f>
        <v/>
      </c>
      <c r="AL487" s="85">
        <f>IF($A487="","",IF(AND($E487="Yes",OR($Y487="No",$Y487="NOT FOUND")),"YES",""))</f>
        <v/>
      </c>
      <c r="AM487" s="85">
        <f>IF($A487="","",TRIM(IF(AND($P487=0,$I487&lt;&gt;"Yes"),"T0-NoPhishResistant ","")&amp;IF($H487="No","NoMFA ","")&amp;IF(AND($P487=0,$M487&gt;0),"T0-Standing ","")&amp;IF(AND($P487=0,$Q487="Group only"),"T0-ViaGroupOnly ","")&amp;IF($W487="Yes","AlsoAzureRBAC ","")))</f>
        <v/>
      </c>
      <c r="AN487" s="85">
        <f>IF($A487="","",IF(AG487="","Not Enrolled",IF(TODAY()&gt;AG487,"Review Overdue",IF(AG487-TODAY()&lt;=30,"Review Due Soon","Active"))))</f>
        <v/>
      </c>
      <c r="AO487" s="85">
        <f>IF($A487="","",IF(AH487="","NOT REVIEWED",IF(TODAY()-AH487&gt;90,"OVERDUE",IF(TODAY()-AH487&gt;76,"Due Soon","Current"))))</f>
        <v/>
      </c>
    </row>
    <row r="488" ht="15" customHeight="1" s="39">
      <c r="A488" s="85" t="n"/>
      <c r="B488" s="85" t="n"/>
      <c r="C488" s="85" t="n"/>
      <c r="D488" s="85" t="n"/>
      <c r="E488" s="85" t="n"/>
      <c r="F488" s="86" t="n"/>
      <c r="G488" s="86" t="n"/>
      <c r="H488" s="85" t="n"/>
      <c r="I488" s="85" t="n"/>
      <c r="J488" s="85" t="n"/>
      <c r="K488" s="85" t="n"/>
      <c r="L488" s="85" t="n"/>
      <c r="M488" s="85" t="n"/>
      <c r="N488" s="85" t="n"/>
      <c r="O488" s="85" t="n"/>
      <c r="P488" s="85" t="n"/>
      <c r="Q488" s="85" t="n"/>
      <c r="R488" s="85" t="n"/>
      <c r="S488" s="85" t="n"/>
      <c r="T488" s="85" t="n"/>
      <c r="U488" s="85" t="n"/>
      <c r="V488" s="85" t="n"/>
      <c r="W488" s="85" t="n"/>
      <c r="X488" s="85" t="n"/>
      <c r="Y488" s="85" t="n"/>
      <c r="Z488" s="85" t="n"/>
      <c r="AA488" s="85" t="n"/>
      <c r="AB488" s="85" t="n"/>
      <c r="AC488" s="85" t="n"/>
      <c r="AD488" s="85" t="n"/>
      <c r="AE488" s="85" t="n"/>
      <c r="AF488" s="86" t="n"/>
      <c r="AG488" s="86" t="n"/>
      <c r="AH488" s="86" t="n"/>
      <c r="AI488" s="85" t="n"/>
      <c r="AJ488" s="85" t="n"/>
      <c r="AK488" s="85">
        <f>IF($A488="","",IF($M488&gt;0,"Yes","No"))</f>
        <v/>
      </c>
      <c r="AL488" s="85">
        <f>IF($A488="","",IF(AND($E488="Yes",OR($Y488="No",$Y488="NOT FOUND")),"YES",""))</f>
        <v/>
      </c>
      <c r="AM488" s="85">
        <f>IF($A488="","",TRIM(IF(AND($P488=0,$I488&lt;&gt;"Yes"),"T0-NoPhishResistant ","")&amp;IF($H488="No","NoMFA ","")&amp;IF(AND($P488=0,$M488&gt;0),"T0-Standing ","")&amp;IF(AND($P488=0,$Q488="Group only"),"T0-ViaGroupOnly ","")&amp;IF($W488="Yes","AlsoAzureRBAC ","")))</f>
        <v/>
      </c>
      <c r="AN488" s="85">
        <f>IF($A488="","",IF(AG488="","Not Enrolled",IF(TODAY()&gt;AG488,"Review Overdue",IF(AG488-TODAY()&lt;=30,"Review Due Soon","Active"))))</f>
        <v/>
      </c>
      <c r="AO488" s="85">
        <f>IF($A488="","",IF(AH488="","NOT REVIEWED",IF(TODAY()-AH488&gt;90,"OVERDUE",IF(TODAY()-AH488&gt;76,"Due Soon","Current"))))</f>
        <v/>
      </c>
    </row>
    <row r="489" ht="15" customHeight="1" s="39">
      <c r="A489" s="85" t="n"/>
      <c r="B489" s="85" t="n"/>
      <c r="C489" s="85" t="n"/>
      <c r="D489" s="85" t="n"/>
      <c r="E489" s="85" t="n"/>
      <c r="F489" s="86" t="n"/>
      <c r="G489" s="86" t="n"/>
      <c r="H489" s="85" t="n"/>
      <c r="I489" s="85" t="n"/>
      <c r="J489" s="85" t="n"/>
      <c r="K489" s="85" t="n"/>
      <c r="L489" s="85" t="n"/>
      <c r="M489" s="85" t="n"/>
      <c r="N489" s="85" t="n"/>
      <c r="O489" s="85" t="n"/>
      <c r="P489" s="85" t="n"/>
      <c r="Q489" s="85" t="n"/>
      <c r="R489" s="85" t="n"/>
      <c r="S489" s="85" t="n"/>
      <c r="T489" s="85" t="n"/>
      <c r="U489" s="85" t="n"/>
      <c r="V489" s="85" t="n"/>
      <c r="W489" s="85" t="n"/>
      <c r="X489" s="85" t="n"/>
      <c r="Y489" s="85" t="n"/>
      <c r="Z489" s="85" t="n"/>
      <c r="AA489" s="85" t="n"/>
      <c r="AB489" s="85" t="n"/>
      <c r="AC489" s="85" t="n"/>
      <c r="AD489" s="85" t="n"/>
      <c r="AE489" s="85" t="n"/>
      <c r="AF489" s="86" t="n"/>
      <c r="AG489" s="86" t="n"/>
      <c r="AH489" s="86" t="n"/>
      <c r="AI489" s="85" t="n"/>
      <c r="AJ489" s="85" t="n"/>
      <c r="AK489" s="85">
        <f>IF($A489="","",IF($M489&gt;0,"Yes","No"))</f>
        <v/>
      </c>
      <c r="AL489" s="85">
        <f>IF($A489="","",IF(AND($E489="Yes",OR($Y489="No",$Y489="NOT FOUND")),"YES",""))</f>
        <v/>
      </c>
      <c r="AM489" s="85">
        <f>IF($A489="","",TRIM(IF(AND($P489=0,$I489&lt;&gt;"Yes"),"T0-NoPhishResistant ","")&amp;IF($H489="No","NoMFA ","")&amp;IF(AND($P489=0,$M489&gt;0),"T0-Standing ","")&amp;IF(AND($P489=0,$Q489="Group only"),"T0-ViaGroupOnly ","")&amp;IF($W489="Yes","AlsoAzureRBAC ","")))</f>
        <v/>
      </c>
      <c r="AN489" s="85">
        <f>IF($A489="","",IF(AG489="","Not Enrolled",IF(TODAY()&gt;AG489,"Review Overdue",IF(AG489-TODAY()&lt;=30,"Review Due Soon","Active"))))</f>
        <v/>
      </c>
      <c r="AO489" s="85">
        <f>IF($A489="","",IF(AH489="","NOT REVIEWED",IF(TODAY()-AH489&gt;90,"OVERDUE",IF(TODAY()-AH489&gt;76,"Due Soon","Current"))))</f>
        <v/>
      </c>
    </row>
    <row r="490" ht="15" customHeight="1" s="39">
      <c r="A490" s="85" t="n"/>
      <c r="B490" s="85" t="n"/>
      <c r="C490" s="85" t="n"/>
      <c r="D490" s="85" t="n"/>
      <c r="E490" s="85" t="n"/>
      <c r="F490" s="86" t="n"/>
      <c r="G490" s="86" t="n"/>
      <c r="H490" s="85" t="n"/>
      <c r="I490" s="85" t="n"/>
      <c r="J490" s="85" t="n"/>
      <c r="K490" s="85" t="n"/>
      <c r="L490" s="85" t="n"/>
      <c r="M490" s="85" t="n"/>
      <c r="N490" s="85" t="n"/>
      <c r="O490" s="85" t="n"/>
      <c r="P490" s="85" t="n"/>
      <c r="Q490" s="85" t="n"/>
      <c r="R490" s="85" t="n"/>
      <c r="S490" s="85" t="n"/>
      <c r="T490" s="85" t="n"/>
      <c r="U490" s="85" t="n"/>
      <c r="V490" s="85" t="n"/>
      <c r="W490" s="85" t="n"/>
      <c r="X490" s="85" t="n"/>
      <c r="Y490" s="85" t="n"/>
      <c r="Z490" s="85" t="n"/>
      <c r="AA490" s="85" t="n"/>
      <c r="AB490" s="85" t="n"/>
      <c r="AC490" s="85" t="n"/>
      <c r="AD490" s="85" t="n"/>
      <c r="AE490" s="85" t="n"/>
      <c r="AF490" s="86" t="n"/>
      <c r="AG490" s="86" t="n"/>
      <c r="AH490" s="86" t="n"/>
      <c r="AI490" s="85" t="n"/>
      <c r="AJ490" s="85" t="n"/>
      <c r="AK490" s="85">
        <f>IF($A490="","",IF($M490&gt;0,"Yes","No"))</f>
        <v/>
      </c>
      <c r="AL490" s="85">
        <f>IF($A490="","",IF(AND($E490="Yes",OR($Y490="No",$Y490="NOT FOUND")),"YES",""))</f>
        <v/>
      </c>
      <c r="AM490" s="85">
        <f>IF($A490="","",TRIM(IF(AND($P490=0,$I490&lt;&gt;"Yes"),"T0-NoPhishResistant ","")&amp;IF($H490="No","NoMFA ","")&amp;IF(AND($P490=0,$M490&gt;0),"T0-Standing ","")&amp;IF(AND($P490=0,$Q490="Group only"),"T0-ViaGroupOnly ","")&amp;IF($W490="Yes","AlsoAzureRBAC ","")))</f>
        <v/>
      </c>
      <c r="AN490" s="85">
        <f>IF($A490="","",IF(AG490="","Not Enrolled",IF(TODAY()&gt;AG490,"Review Overdue",IF(AG490-TODAY()&lt;=30,"Review Due Soon","Active"))))</f>
        <v/>
      </c>
      <c r="AO490" s="85">
        <f>IF($A490="","",IF(AH490="","NOT REVIEWED",IF(TODAY()-AH490&gt;90,"OVERDUE",IF(TODAY()-AH490&gt;76,"Due Soon","Current"))))</f>
        <v/>
      </c>
    </row>
    <row r="491" ht="15" customHeight="1" s="39">
      <c r="A491" s="85" t="n"/>
      <c r="B491" s="85" t="n"/>
      <c r="C491" s="85" t="n"/>
      <c r="D491" s="85" t="n"/>
      <c r="E491" s="85" t="n"/>
      <c r="F491" s="86" t="n"/>
      <c r="G491" s="86" t="n"/>
      <c r="H491" s="85" t="n"/>
      <c r="I491" s="85" t="n"/>
      <c r="J491" s="85" t="n"/>
      <c r="K491" s="85" t="n"/>
      <c r="L491" s="85" t="n"/>
      <c r="M491" s="85" t="n"/>
      <c r="N491" s="85" t="n"/>
      <c r="O491" s="85" t="n"/>
      <c r="P491" s="85" t="n"/>
      <c r="Q491" s="85" t="n"/>
      <c r="R491" s="85" t="n"/>
      <c r="S491" s="85" t="n"/>
      <c r="T491" s="85" t="n"/>
      <c r="U491" s="85" t="n"/>
      <c r="V491" s="85" t="n"/>
      <c r="W491" s="85" t="n"/>
      <c r="X491" s="85" t="n"/>
      <c r="Y491" s="85" t="n"/>
      <c r="Z491" s="85" t="n"/>
      <c r="AA491" s="85" t="n"/>
      <c r="AB491" s="85" t="n"/>
      <c r="AC491" s="85" t="n"/>
      <c r="AD491" s="85" t="n"/>
      <c r="AE491" s="85" t="n"/>
      <c r="AF491" s="86" t="n"/>
      <c r="AG491" s="86" t="n"/>
      <c r="AH491" s="86" t="n"/>
      <c r="AI491" s="85" t="n"/>
      <c r="AJ491" s="85" t="n"/>
      <c r="AK491" s="85">
        <f>IF($A491="","",IF($M491&gt;0,"Yes","No"))</f>
        <v/>
      </c>
      <c r="AL491" s="85">
        <f>IF($A491="","",IF(AND($E491="Yes",OR($Y491="No",$Y491="NOT FOUND")),"YES",""))</f>
        <v/>
      </c>
      <c r="AM491" s="85">
        <f>IF($A491="","",TRIM(IF(AND($P491=0,$I491&lt;&gt;"Yes"),"T0-NoPhishResistant ","")&amp;IF($H491="No","NoMFA ","")&amp;IF(AND($P491=0,$M491&gt;0),"T0-Standing ","")&amp;IF(AND($P491=0,$Q491="Group only"),"T0-ViaGroupOnly ","")&amp;IF($W491="Yes","AlsoAzureRBAC ","")))</f>
        <v/>
      </c>
      <c r="AN491" s="85">
        <f>IF($A491="","",IF(AG491="","Not Enrolled",IF(TODAY()&gt;AG491,"Review Overdue",IF(AG491-TODAY()&lt;=30,"Review Due Soon","Active"))))</f>
        <v/>
      </c>
      <c r="AO491" s="85">
        <f>IF($A491="","",IF(AH491="","NOT REVIEWED",IF(TODAY()-AH491&gt;90,"OVERDUE",IF(TODAY()-AH491&gt;76,"Due Soon","Current"))))</f>
        <v/>
      </c>
    </row>
    <row r="492" ht="15" customHeight="1" s="39">
      <c r="A492" s="85" t="n"/>
      <c r="B492" s="85" t="n"/>
      <c r="C492" s="85" t="n"/>
      <c r="D492" s="85" t="n"/>
      <c r="E492" s="85" t="n"/>
      <c r="F492" s="86" t="n"/>
      <c r="G492" s="86" t="n"/>
      <c r="H492" s="85" t="n"/>
      <c r="I492" s="85" t="n"/>
      <c r="J492" s="85" t="n"/>
      <c r="K492" s="85" t="n"/>
      <c r="L492" s="85" t="n"/>
      <c r="M492" s="85" t="n"/>
      <c r="N492" s="85" t="n"/>
      <c r="O492" s="85" t="n"/>
      <c r="P492" s="85" t="n"/>
      <c r="Q492" s="85" t="n"/>
      <c r="R492" s="85" t="n"/>
      <c r="S492" s="85" t="n"/>
      <c r="T492" s="85" t="n"/>
      <c r="U492" s="85" t="n"/>
      <c r="V492" s="85" t="n"/>
      <c r="W492" s="85" t="n"/>
      <c r="X492" s="85" t="n"/>
      <c r="Y492" s="85" t="n"/>
      <c r="Z492" s="85" t="n"/>
      <c r="AA492" s="85" t="n"/>
      <c r="AB492" s="85" t="n"/>
      <c r="AC492" s="85" t="n"/>
      <c r="AD492" s="85" t="n"/>
      <c r="AE492" s="85" t="n"/>
      <c r="AF492" s="86" t="n"/>
      <c r="AG492" s="86" t="n"/>
      <c r="AH492" s="86" t="n"/>
      <c r="AI492" s="85" t="n"/>
      <c r="AJ492" s="85" t="n"/>
      <c r="AK492" s="85">
        <f>IF($A492="","",IF($M492&gt;0,"Yes","No"))</f>
        <v/>
      </c>
      <c r="AL492" s="85">
        <f>IF($A492="","",IF(AND($E492="Yes",OR($Y492="No",$Y492="NOT FOUND")),"YES",""))</f>
        <v/>
      </c>
      <c r="AM492" s="85">
        <f>IF($A492="","",TRIM(IF(AND($P492=0,$I492&lt;&gt;"Yes"),"T0-NoPhishResistant ","")&amp;IF($H492="No","NoMFA ","")&amp;IF(AND($P492=0,$M492&gt;0),"T0-Standing ","")&amp;IF(AND($P492=0,$Q492="Group only"),"T0-ViaGroupOnly ","")&amp;IF($W492="Yes","AlsoAzureRBAC ","")))</f>
        <v/>
      </c>
      <c r="AN492" s="85">
        <f>IF($A492="","",IF(AG492="","Not Enrolled",IF(TODAY()&gt;AG492,"Review Overdue",IF(AG492-TODAY()&lt;=30,"Review Due Soon","Active"))))</f>
        <v/>
      </c>
      <c r="AO492" s="85">
        <f>IF($A492="","",IF(AH492="","NOT REVIEWED",IF(TODAY()-AH492&gt;90,"OVERDUE",IF(TODAY()-AH492&gt;76,"Due Soon","Current"))))</f>
        <v/>
      </c>
    </row>
    <row r="493" ht="15" customHeight="1" s="39">
      <c r="A493" s="85" t="n"/>
      <c r="B493" s="85" t="n"/>
      <c r="C493" s="85" t="n"/>
      <c r="D493" s="85" t="n"/>
      <c r="E493" s="85" t="n"/>
      <c r="F493" s="86" t="n"/>
      <c r="G493" s="86" t="n"/>
      <c r="H493" s="85" t="n"/>
      <c r="I493" s="85" t="n"/>
      <c r="J493" s="85" t="n"/>
      <c r="K493" s="85" t="n"/>
      <c r="L493" s="85" t="n"/>
      <c r="M493" s="85" t="n"/>
      <c r="N493" s="85" t="n"/>
      <c r="O493" s="85" t="n"/>
      <c r="P493" s="85" t="n"/>
      <c r="Q493" s="85" t="n"/>
      <c r="R493" s="85" t="n"/>
      <c r="S493" s="85" t="n"/>
      <c r="T493" s="85" t="n"/>
      <c r="U493" s="85" t="n"/>
      <c r="V493" s="85" t="n"/>
      <c r="W493" s="85" t="n"/>
      <c r="X493" s="85" t="n"/>
      <c r="Y493" s="85" t="n"/>
      <c r="Z493" s="85" t="n"/>
      <c r="AA493" s="85" t="n"/>
      <c r="AB493" s="85" t="n"/>
      <c r="AC493" s="85" t="n"/>
      <c r="AD493" s="85" t="n"/>
      <c r="AE493" s="85" t="n"/>
      <c r="AF493" s="86" t="n"/>
      <c r="AG493" s="86" t="n"/>
      <c r="AH493" s="86" t="n"/>
      <c r="AI493" s="85" t="n"/>
      <c r="AJ493" s="85" t="n"/>
      <c r="AK493" s="85">
        <f>IF($A493="","",IF($M493&gt;0,"Yes","No"))</f>
        <v/>
      </c>
      <c r="AL493" s="85">
        <f>IF($A493="","",IF(AND($E493="Yes",OR($Y493="No",$Y493="NOT FOUND")),"YES",""))</f>
        <v/>
      </c>
      <c r="AM493" s="85">
        <f>IF($A493="","",TRIM(IF(AND($P493=0,$I493&lt;&gt;"Yes"),"T0-NoPhishResistant ","")&amp;IF($H493="No","NoMFA ","")&amp;IF(AND($P493=0,$M493&gt;0),"T0-Standing ","")&amp;IF(AND($P493=0,$Q493="Group only"),"T0-ViaGroupOnly ","")&amp;IF($W493="Yes","AlsoAzureRBAC ","")))</f>
        <v/>
      </c>
      <c r="AN493" s="85">
        <f>IF($A493="","",IF(AG493="","Not Enrolled",IF(TODAY()&gt;AG493,"Review Overdue",IF(AG493-TODAY()&lt;=30,"Review Due Soon","Active"))))</f>
        <v/>
      </c>
      <c r="AO493" s="85">
        <f>IF($A493="","",IF(AH493="","NOT REVIEWED",IF(TODAY()-AH493&gt;90,"OVERDUE",IF(TODAY()-AH493&gt;76,"Due Soon","Current"))))</f>
        <v/>
      </c>
    </row>
    <row r="494" ht="15" customHeight="1" s="39">
      <c r="A494" s="85" t="n"/>
      <c r="B494" s="85" t="n"/>
      <c r="C494" s="85" t="n"/>
      <c r="D494" s="85" t="n"/>
      <c r="E494" s="85" t="n"/>
      <c r="F494" s="86" t="n"/>
      <c r="G494" s="86" t="n"/>
      <c r="H494" s="85" t="n"/>
      <c r="I494" s="85" t="n"/>
      <c r="J494" s="85" t="n"/>
      <c r="K494" s="85" t="n"/>
      <c r="L494" s="85" t="n"/>
      <c r="M494" s="85" t="n"/>
      <c r="N494" s="85" t="n"/>
      <c r="O494" s="85" t="n"/>
      <c r="P494" s="85" t="n"/>
      <c r="Q494" s="85" t="n"/>
      <c r="R494" s="85" t="n"/>
      <c r="S494" s="85" t="n"/>
      <c r="T494" s="85" t="n"/>
      <c r="U494" s="85" t="n"/>
      <c r="V494" s="85" t="n"/>
      <c r="W494" s="85" t="n"/>
      <c r="X494" s="85" t="n"/>
      <c r="Y494" s="85" t="n"/>
      <c r="Z494" s="85" t="n"/>
      <c r="AA494" s="85" t="n"/>
      <c r="AB494" s="85" t="n"/>
      <c r="AC494" s="85" t="n"/>
      <c r="AD494" s="85" t="n"/>
      <c r="AE494" s="85" t="n"/>
      <c r="AF494" s="86" t="n"/>
      <c r="AG494" s="86" t="n"/>
      <c r="AH494" s="86" t="n"/>
      <c r="AI494" s="85" t="n"/>
      <c r="AJ494" s="85" t="n"/>
      <c r="AK494" s="85">
        <f>IF($A494="","",IF($M494&gt;0,"Yes","No"))</f>
        <v/>
      </c>
      <c r="AL494" s="85">
        <f>IF($A494="","",IF(AND($E494="Yes",OR($Y494="No",$Y494="NOT FOUND")),"YES",""))</f>
        <v/>
      </c>
      <c r="AM494" s="85">
        <f>IF($A494="","",TRIM(IF(AND($P494=0,$I494&lt;&gt;"Yes"),"T0-NoPhishResistant ","")&amp;IF($H494="No","NoMFA ","")&amp;IF(AND($P494=0,$M494&gt;0),"T0-Standing ","")&amp;IF(AND($P494=0,$Q494="Group only"),"T0-ViaGroupOnly ","")&amp;IF($W494="Yes","AlsoAzureRBAC ","")))</f>
        <v/>
      </c>
      <c r="AN494" s="85">
        <f>IF($A494="","",IF(AG494="","Not Enrolled",IF(TODAY()&gt;AG494,"Review Overdue",IF(AG494-TODAY()&lt;=30,"Review Due Soon","Active"))))</f>
        <v/>
      </c>
      <c r="AO494" s="85">
        <f>IF($A494="","",IF(AH494="","NOT REVIEWED",IF(TODAY()-AH494&gt;90,"OVERDUE",IF(TODAY()-AH494&gt;76,"Due Soon","Current"))))</f>
        <v/>
      </c>
    </row>
    <row r="495" ht="15" customHeight="1" s="39">
      <c r="A495" s="85" t="n"/>
      <c r="B495" s="85" t="n"/>
      <c r="C495" s="85" t="n"/>
      <c r="D495" s="85" t="n"/>
      <c r="E495" s="85" t="n"/>
      <c r="F495" s="86" t="n"/>
      <c r="G495" s="86" t="n"/>
      <c r="H495" s="85" t="n"/>
      <c r="I495" s="85" t="n"/>
      <c r="J495" s="85" t="n"/>
      <c r="K495" s="85" t="n"/>
      <c r="L495" s="85" t="n"/>
      <c r="M495" s="85" t="n"/>
      <c r="N495" s="85" t="n"/>
      <c r="O495" s="85" t="n"/>
      <c r="P495" s="85" t="n"/>
      <c r="Q495" s="85" t="n"/>
      <c r="R495" s="85" t="n"/>
      <c r="S495" s="85" t="n"/>
      <c r="T495" s="85" t="n"/>
      <c r="U495" s="85" t="n"/>
      <c r="V495" s="85" t="n"/>
      <c r="W495" s="85" t="n"/>
      <c r="X495" s="85" t="n"/>
      <c r="Y495" s="85" t="n"/>
      <c r="Z495" s="85" t="n"/>
      <c r="AA495" s="85" t="n"/>
      <c r="AB495" s="85" t="n"/>
      <c r="AC495" s="85" t="n"/>
      <c r="AD495" s="85" t="n"/>
      <c r="AE495" s="85" t="n"/>
      <c r="AF495" s="86" t="n"/>
      <c r="AG495" s="86" t="n"/>
      <c r="AH495" s="86" t="n"/>
      <c r="AI495" s="85" t="n"/>
      <c r="AJ495" s="85" t="n"/>
      <c r="AK495" s="85">
        <f>IF($A495="","",IF($M495&gt;0,"Yes","No"))</f>
        <v/>
      </c>
      <c r="AL495" s="85">
        <f>IF($A495="","",IF(AND($E495="Yes",OR($Y495="No",$Y495="NOT FOUND")),"YES",""))</f>
        <v/>
      </c>
      <c r="AM495" s="85">
        <f>IF($A495="","",TRIM(IF(AND($P495=0,$I495&lt;&gt;"Yes"),"T0-NoPhishResistant ","")&amp;IF($H495="No","NoMFA ","")&amp;IF(AND($P495=0,$M495&gt;0),"T0-Standing ","")&amp;IF(AND($P495=0,$Q495="Group only"),"T0-ViaGroupOnly ","")&amp;IF($W495="Yes","AlsoAzureRBAC ","")))</f>
        <v/>
      </c>
      <c r="AN495" s="85">
        <f>IF($A495="","",IF(AG495="","Not Enrolled",IF(TODAY()&gt;AG495,"Review Overdue",IF(AG495-TODAY()&lt;=30,"Review Due Soon","Active"))))</f>
        <v/>
      </c>
      <c r="AO495" s="85">
        <f>IF($A495="","",IF(AH495="","NOT REVIEWED",IF(TODAY()-AH495&gt;90,"OVERDUE",IF(TODAY()-AH495&gt;76,"Due Soon","Current"))))</f>
        <v/>
      </c>
    </row>
    <row r="496" ht="15" customHeight="1" s="39">
      <c r="A496" s="85" t="n"/>
      <c r="B496" s="85" t="n"/>
      <c r="C496" s="85" t="n"/>
      <c r="D496" s="85" t="n"/>
      <c r="E496" s="85" t="n"/>
      <c r="F496" s="86" t="n"/>
      <c r="G496" s="86" t="n"/>
      <c r="H496" s="85" t="n"/>
      <c r="I496" s="85" t="n"/>
      <c r="J496" s="85" t="n"/>
      <c r="K496" s="85" t="n"/>
      <c r="L496" s="85" t="n"/>
      <c r="M496" s="85" t="n"/>
      <c r="N496" s="85" t="n"/>
      <c r="O496" s="85" t="n"/>
      <c r="P496" s="85" t="n"/>
      <c r="Q496" s="85" t="n"/>
      <c r="R496" s="85" t="n"/>
      <c r="S496" s="85" t="n"/>
      <c r="T496" s="85" t="n"/>
      <c r="U496" s="85" t="n"/>
      <c r="V496" s="85" t="n"/>
      <c r="W496" s="85" t="n"/>
      <c r="X496" s="85" t="n"/>
      <c r="Y496" s="85" t="n"/>
      <c r="Z496" s="85" t="n"/>
      <c r="AA496" s="85" t="n"/>
      <c r="AB496" s="85" t="n"/>
      <c r="AC496" s="85" t="n"/>
      <c r="AD496" s="85" t="n"/>
      <c r="AE496" s="85" t="n"/>
      <c r="AF496" s="86" t="n"/>
      <c r="AG496" s="86" t="n"/>
      <c r="AH496" s="86" t="n"/>
      <c r="AI496" s="85" t="n"/>
      <c r="AJ496" s="85" t="n"/>
      <c r="AK496" s="85">
        <f>IF($A496="","",IF($M496&gt;0,"Yes","No"))</f>
        <v/>
      </c>
      <c r="AL496" s="85">
        <f>IF($A496="","",IF(AND($E496="Yes",OR($Y496="No",$Y496="NOT FOUND")),"YES",""))</f>
        <v/>
      </c>
      <c r="AM496" s="85">
        <f>IF($A496="","",TRIM(IF(AND($P496=0,$I496&lt;&gt;"Yes"),"T0-NoPhishResistant ","")&amp;IF($H496="No","NoMFA ","")&amp;IF(AND($P496=0,$M496&gt;0),"T0-Standing ","")&amp;IF(AND($P496=0,$Q496="Group only"),"T0-ViaGroupOnly ","")&amp;IF($W496="Yes","AlsoAzureRBAC ","")))</f>
        <v/>
      </c>
      <c r="AN496" s="85">
        <f>IF($A496="","",IF(AG496="","Not Enrolled",IF(TODAY()&gt;AG496,"Review Overdue",IF(AG496-TODAY()&lt;=30,"Review Due Soon","Active"))))</f>
        <v/>
      </c>
      <c r="AO496" s="85">
        <f>IF($A496="","",IF(AH496="","NOT REVIEWED",IF(TODAY()-AH496&gt;90,"OVERDUE",IF(TODAY()-AH496&gt;76,"Due Soon","Current"))))</f>
        <v/>
      </c>
    </row>
    <row r="497" ht="15" customHeight="1" s="39">
      <c r="A497" s="85" t="n"/>
      <c r="B497" s="85" t="n"/>
      <c r="C497" s="85" t="n"/>
      <c r="D497" s="85" t="n"/>
      <c r="E497" s="85" t="n"/>
      <c r="F497" s="86" t="n"/>
      <c r="G497" s="86" t="n"/>
      <c r="H497" s="85" t="n"/>
      <c r="I497" s="85" t="n"/>
      <c r="J497" s="85" t="n"/>
      <c r="K497" s="85" t="n"/>
      <c r="L497" s="85" t="n"/>
      <c r="M497" s="85" t="n"/>
      <c r="N497" s="85" t="n"/>
      <c r="O497" s="85" t="n"/>
      <c r="P497" s="85" t="n"/>
      <c r="Q497" s="85" t="n"/>
      <c r="R497" s="85" t="n"/>
      <c r="S497" s="85" t="n"/>
      <c r="T497" s="85" t="n"/>
      <c r="U497" s="85" t="n"/>
      <c r="V497" s="85" t="n"/>
      <c r="W497" s="85" t="n"/>
      <c r="X497" s="85" t="n"/>
      <c r="Y497" s="85" t="n"/>
      <c r="Z497" s="85" t="n"/>
      <c r="AA497" s="85" t="n"/>
      <c r="AB497" s="85" t="n"/>
      <c r="AC497" s="85" t="n"/>
      <c r="AD497" s="85" t="n"/>
      <c r="AE497" s="85" t="n"/>
      <c r="AF497" s="86" t="n"/>
      <c r="AG497" s="86" t="n"/>
      <c r="AH497" s="86" t="n"/>
      <c r="AI497" s="85" t="n"/>
      <c r="AJ497" s="85" t="n"/>
      <c r="AK497" s="85">
        <f>IF($A497="","",IF($M497&gt;0,"Yes","No"))</f>
        <v/>
      </c>
      <c r="AL497" s="85">
        <f>IF($A497="","",IF(AND($E497="Yes",OR($Y497="No",$Y497="NOT FOUND")),"YES",""))</f>
        <v/>
      </c>
      <c r="AM497" s="85">
        <f>IF($A497="","",TRIM(IF(AND($P497=0,$I497&lt;&gt;"Yes"),"T0-NoPhishResistant ","")&amp;IF($H497="No","NoMFA ","")&amp;IF(AND($P497=0,$M497&gt;0),"T0-Standing ","")&amp;IF(AND($P497=0,$Q497="Group only"),"T0-ViaGroupOnly ","")&amp;IF($W497="Yes","AlsoAzureRBAC ","")))</f>
        <v/>
      </c>
      <c r="AN497" s="85">
        <f>IF($A497="","",IF(AG497="","Not Enrolled",IF(TODAY()&gt;AG497,"Review Overdue",IF(AG497-TODAY()&lt;=30,"Review Due Soon","Active"))))</f>
        <v/>
      </c>
      <c r="AO497" s="85">
        <f>IF($A497="","",IF(AH497="","NOT REVIEWED",IF(TODAY()-AH497&gt;90,"OVERDUE",IF(TODAY()-AH497&gt;76,"Due Soon","Current"))))</f>
        <v/>
      </c>
    </row>
    <row r="498" ht="15" customHeight="1" s="39">
      <c r="A498" s="85" t="n"/>
      <c r="B498" s="85" t="n"/>
      <c r="C498" s="85" t="n"/>
      <c r="D498" s="85" t="n"/>
      <c r="E498" s="85" t="n"/>
      <c r="F498" s="86" t="n"/>
      <c r="G498" s="86" t="n"/>
      <c r="H498" s="85" t="n"/>
      <c r="I498" s="85" t="n"/>
      <c r="J498" s="85" t="n"/>
      <c r="K498" s="85" t="n"/>
      <c r="L498" s="85" t="n"/>
      <c r="M498" s="85" t="n"/>
      <c r="N498" s="85" t="n"/>
      <c r="O498" s="85" t="n"/>
      <c r="P498" s="85" t="n"/>
      <c r="Q498" s="85" t="n"/>
      <c r="R498" s="85" t="n"/>
      <c r="S498" s="85" t="n"/>
      <c r="T498" s="85" t="n"/>
      <c r="U498" s="85" t="n"/>
      <c r="V498" s="85" t="n"/>
      <c r="W498" s="85" t="n"/>
      <c r="X498" s="85" t="n"/>
      <c r="Y498" s="85" t="n"/>
      <c r="Z498" s="85" t="n"/>
      <c r="AA498" s="85" t="n"/>
      <c r="AB498" s="85" t="n"/>
      <c r="AC498" s="85" t="n"/>
      <c r="AD498" s="85" t="n"/>
      <c r="AE498" s="85" t="n"/>
      <c r="AF498" s="86" t="n"/>
      <c r="AG498" s="86" t="n"/>
      <c r="AH498" s="86" t="n"/>
      <c r="AI498" s="85" t="n"/>
      <c r="AJ498" s="85" t="n"/>
      <c r="AK498" s="85">
        <f>IF($A498="","",IF($M498&gt;0,"Yes","No"))</f>
        <v/>
      </c>
      <c r="AL498" s="85">
        <f>IF($A498="","",IF(AND($E498="Yes",OR($Y498="No",$Y498="NOT FOUND")),"YES",""))</f>
        <v/>
      </c>
      <c r="AM498" s="85">
        <f>IF($A498="","",TRIM(IF(AND($P498=0,$I498&lt;&gt;"Yes"),"T0-NoPhishResistant ","")&amp;IF($H498="No","NoMFA ","")&amp;IF(AND($P498=0,$M498&gt;0),"T0-Standing ","")&amp;IF(AND($P498=0,$Q498="Group only"),"T0-ViaGroupOnly ","")&amp;IF($W498="Yes","AlsoAzureRBAC ","")))</f>
        <v/>
      </c>
      <c r="AN498" s="85">
        <f>IF($A498="","",IF(AG498="","Not Enrolled",IF(TODAY()&gt;AG498,"Review Overdue",IF(AG498-TODAY()&lt;=30,"Review Due Soon","Active"))))</f>
        <v/>
      </c>
      <c r="AO498" s="85">
        <f>IF($A498="","",IF(AH498="","NOT REVIEWED",IF(TODAY()-AH498&gt;90,"OVERDUE",IF(TODAY()-AH498&gt;76,"Due Soon","Current"))))</f>
        <v/>
      </c>
    </row>
    <row r="499" ht="15" customHeight="1" s="39">
      <c r="A499" s="85" t="n"/>
      <c r="B499" s="85" t="n"/>
      <c r="C499" s="85" t="n"/>
      <c r="D499" s="85" t="n"/>
      <c r="E499" s="85" t="n"/>
      <c r="F499" s="86" t="n"/>
      <c r="G499" s="86" t="n"/>
      <c r="H499" s="85" t="n"/>
      <c r="I499" s="85" t="n"/>
      <c r="J499" s="85" t="n"/>
      <c r="K499" s="85" t="n"/>
      <c r="L499" s="85" t="n"/>
      <c r="M499" s="85" t="n"/>
      <c r="N499" s="85" t="n"/>
      <c r="O499" s="85" t="n"/>
      <c r="P499" s="85" t="n"/>
      <c r="Q499" s="85" t="n"/>
      <c r="R499" s="85" t="n"/>
      <c r="S499" s="85" t="n"/>
      <c r="T499" s="85" t="n"/>
      <c r="U499" s="85" t="n"/>
      <c r="V499" s="85" t="n"/>
      <c r="W499" s="85" t="n"/>
      <c r="X499" s="85" t="n"/>
      <c r="Y499" s="85" t="n"/>
      <c r="Z499" s="85" t="n"/>
      <c r="AA499" s="85" t="n"/>
      <c r="AB499" s="85" t="n"/>
      <c r="AC499" s="85" t="n"/>
      <c r="AD499" s="85" t="n"/>
      <c r="AE499" s="85" t="n"/>
      <c r="AF499" s="86" t="n"/>
      <c r="AG499" s="86" t="n"/>
      <c r="AH499" s="86" t="n"/>
      <c r="AI499" s="85" t="n"/>
      <c r="AJ499" s="85" t="n"/>
      <c r="AK499" s="85">
        <f>IF($A499="","",IF($M499&gt;0,"Yes","No"))</f>
        <v/>
      </c>
      <c r="AL499" s="85">
        <f>IF($A499="","",IF(AND($E499="Yes",OR($Y499="No",$Y499="NOT FOUND")),"YES",""))</f>
        <v/>
      </c>
      <c r="AM499" s="85">
        <f>IF($A499="","",TRIM(IF(AND($P499=0,$I499&lt;&gt;"Yes"),"T0-NoPhishResistant ","")&amp;IF($H499="No","NoMFA ","")&amp;IF(AND($P499=0,$M499&gt;0),"T0-Standing ","")&amp;IF(AND($P499=0,$Q499="Group only"),"T0-ViaGroupOnly ","")&amp;IF($W499="Yes","AlsoAzureRBAC ","")))</f>
        <v/>
      </c>
      <c r="AN499" s="85">
        <f>IF($A499="","",IF(AG499="","Not Enrolled",IF(TODAY()&gt;AG499,"Review Overdue",IF(AG499-TODAY()&lt;=30,"Review Due Soon","Active"))))</f>
        <v/>
      </c>
      <c r="AO499" s="85">
        <f>IF($A499="","",IF(AH499="","NOT REVIEWED",IF(TODAY()-AH499&gt;90,"OVERDUE",IF(TODAY()-AH499&gt;76,"Due Soon","Current"))))</f>
        <v/>
      </c>
    </row>
    <row r="500" ht="15" customHeight="1" s="39">
      <c r="A500" s="85" t="n"/>
      <c r="B500" s="85" t="n"/>
      <c r="C500" s="85" t="n"/>
      <c r="D500" s="85" t="n"/>
      <c r="E500" s="85" t="n"/>
      <c r="F500" s="86" t="n"/>
      <c r="G500" s="86" t="n"/>
      <c r="H500" s="85" t="n"/>
      <c r="I500" s="85" t="n"/>
      <c r="J500" s="85" t="n"/>
      <c r="K500" s="85" t="n"/>
      <c r="L500" s="85" t="n"/>
      <c r="M500" s="85" t="n"/>
      <c r="N500" s="85" t="n"/>
      <c r="O500" s="85" t="n"/>
      <c r="P500" s="85" t="n"/>
      <c r="Q500" s="85" t="n"/>
      <c r="R500" s="85" t="n"/>
      <c r="S500" s="85" t="n"/>
      <c r="T500" s="85" t="n"/>
      <c r="U500" s="85" t="n"/>
      <c r="V500" s="85" t="n"/>
      <c r="W500" s="85" t="n"/>
      <c r="X500" s="85" t="n"/>
      <c r="Y500" s="85" t="n"/>
      <c r="Z500" s="85" t="n"/>
      <c r="AA500" s="85" t="n"/>
      <c r="AB500" s="85" t="n"/>
      <c r="AC500" s="85" t="n"/>
      <c r="AD500" s="85" t="n"/>
      <c r="AE500" s="85" t="n"/>
      <c r="AF500" s="86" t="n"/>
      <c r="AG500" s="86" t="n"/>
      <c r="AH500" s="86" t="n"/>
      <c r="AI500" s="85" t="n"/>
      <c r="AJ500" s="85" t="n"/>
      <c r="AK500" s="85">
        <f>IF($A500="","",IF($M500&gt;0,"Yes","No"))</f>
        <v/>
      </c>
      <c r="AL500" s="85">
        <f>IF($A500="","",IF(AND($E500="Yes",OR($Y500="No",$Y500="NOT FOUND")),"YES",""))</f>
        <v/>
      </c>
      <c r="AM500" s="85">
        <f>IF($A500="","",TRIM(IF(AND($P500=0,$I500&lt;&gt;"Yes"),"T0-NoPhishResistant ","")&amp;IF($H500="No","NoMFA ","")&amp;IF(AND($P500=0,$M500&gt;0),"T0-Standing ","")&amp;IF(AND($P500=0,$Q500="Group only"),"T0-ViaGroupOnly ","")&amp;IF($W500="Yes","AlsoAzureRBAC ","")))</f>
        <v/>
      </c>
      <c r="AN500" s="85">
        <f>IF($A500="","",IF(AG500="","Not Enrolled",IF(TODAY()&gt;AG500,"Review Overdue",IF(AG500-TODAY()&lt;=30,"Review Due Soon","Active"))))</f>
        <v/>
      </c>
      <c r="AO500" s="85">
        <f>IF($A500="","",IF(AH500="","NOT REVIEWED",IF(TODAY()-AH500&gt;90,"OVERDUE",IF(TODAY()-AH500&gt;76,"Due Soon","Current"))))</f>
        <v/>
      </c>
    </row>
    <row r="501" ht="15" customHeight="1" s="39">
      <c r="A501" s="85" t="n"/>
      <c r="B501" s="85" t="n"/>
      <c r="C501" s="85" t="n"/>
      <c r="D501" s="85" t="n"/>
      <c r="E501" s="85" t="n"/>
      <c r="F501" s="86" t="n"/>
      <c r="G501" s="86" t="n"/>
      <c r="H501" s="85" t="n"/>
      <c r="I501" s="85" t="n"/>
      <c r="J501" s="85" t="n"/>
      <c r="K501" s="85" t="n"/>
      <c r="L501" s="85" t="n"/>
      <c r="M501" s="85" t="n"/>
      <c r="N501" s="85" t="n"/>
      <c r="O501" s="85" t="n"/>
      <c r="P501" s="85" t="n"/>
      <c r="Q501" s="85" t="n"/>
      <c r="R501" s="85" t="n"/>
      <c r="S501" s="85" t="n"/>
      <c r="T501" s="85" t="n"/>
      <c r="U501" s="85" t="n"/>
      <c r="V501" s="85" t="n"/>
      <c r="W501" s="85" t="n"/>
      <c r="X501" s="85" t="n"/>
      <c r="Y501" s="85" t="n"/>
      <c r="Z501" s="85" t="n"/>
      <c r="AA501" s="85" t="n"/>
      <c r="AB501" s="85" t="n"/>
      <c r="AC501" s="85" t="n"/>
      <c r="AD501" s="85" t="n"/>
      <c r="AE501" s="85" t="n"/>
      <c r="AF501" s="86" t="n"/>
      <c r="AG501" s="86" t="n"/>
      <c r="AH501" s="86" t="n"/>
      <c r="AI501" s="85" t="n"/>
      <c r="AJ501" s="85" t="n"/>
      <c r="AK501" s="85">
        <f>IF($A501="","",IF($M501&gt;0,"Yes","No"))</f>
        <v/>
      </c>
      <c r="AL501" s="85">
        <f>IF($A501="","",IF(AND($E501="Yes",OR($Y501="No",$Y501="NOT FOUND")),"YES",""))</f>
        <v/>
      </c>
      <c r="AM501" s="85">
        <f>IF($A501="","",TRIM(IF(AND($P501=0,$I501&lt;&gt;"Yes"),"T0-NoPhishResistant ","")&amp;IF($H501="No","NoMFA ","")&amp;IF(AND($P501=0,$M501&gt;0),"T0-Standing ","")&amp;IF(AND($P501=0,$Q501="Group only"),"T0-ViaGroupOnly ","")&amp;IF($W501="Yes","AlsoAzureRBAC ","")))</f>
        <v/>
      </c>
      <c r="AN501" s="85">
        <f>IF($A501="","",IF(AG501="","Not Enrolled",IF(TODAY()&gt;AG501,"Review Overdue",IF(AG501-TODAY()&lt;=30,"Review Due Soon","Active"))))</f>
        <v/>
      </c>
      <c r="AO501" s="85">
        <f>IF($A501="","",IF(AH501="","NOT REVIEWED",IF(TODAY()-AH501&gt;90,"OVERDUE",IF(TODAY()-AH501&gt;76,"Due Soon","Current"))))</f>
        <v/>
      </c>
    </row>
    <row r="502" ht="15" customHeight="1" s="39">
      <c r="A502" s="85" t="n"/>
      <c r="B502" s="85" t="n"/>
      <c r="C502" s="85" t="n"/>
      <c r="D502" s="85" t="n"/>
      <c r="E502" s="85" t="n"/>
      <c r="F502" s="86" t="n"/>
      <c r="G502" s="86" t="n"/>
      <c r="H502" s="85" t="n"/>
      <c r="I502" s="85" t="n"/>
      <c r="J502" s="85" t="n"/>
      <c r="K502" s="85" t="n"/>
      <c r="L502" s="85" t="n"/>
      <c r="M502" s="85" t="n"/>
      <c r="N502" s="85" t="n"/>
      <c r="O502" s="85" t="n"/>
      <c r="P502" s="85" t="n"/>
      <c r="Q502" s="85" t="n"/>
      <c r="R502" s="85" t="n"/>
      <c r="S502" s="85" t="n"/>
      <c r="T502" s="85" t="n"/>
      <c r="U502" s="85" t="n"/>
      <c r="V502" s="85" t="n"/>
      <c r="W502" s="85" t="n"/>
      <c r="X502" s="85" t="n"/>
      <c r="Y502" s="85" t="n"/>
      <c r="Z502" s="85" t="n"/>
      <c r="AA502" s="85" t="n"/>
      <c r="AB502" s="85" t="n"/>
      <c r="AC502" s="85" t="n"/>
      <c r="AD502" s="85" t="n"/>
      <c r="AE502" s="85" t="n"/>
      <c r="AF502" s="86" t="n"/>
      <c r="AG502" s="86" t="n"/>
      <c r="AH502" s="86" t="n"/>
      <c r="AI502" s="85" t="n"/>
      <c r="AJ502" s="85" t="n"/>
      <c r="AK502" s="85">
        <f>IF($A502="","",IF($M502&gt;0,"Yes","No"))</f>
        <v/>
      </c>
      <c r="AL502" s="85">
        <f>IF($A502="","",IF(AND($E502="Yes",OR($Y502="No",$Y502="NOT FOUND")),"YES",""))</f>
        <v/>
      </c>
      <c r="AM502" s="85">
        <f>IF($A502="","",TRIM(IF(AND($P502=0,$I502&lt;&gt;"Yes"),"T0-NoPhishResistant ","")&amp;IF($H502="No","NoMFA ","")&amp;IF(AND($P502=0,$M502&gt;0),"T0-Standing ","")&amp;IF(AND($P502=0,$Q502="Group only"),"T0-ViaGroupOnly ","")&amp;IF($W502="Yes","AlsoAzureRBAC ","")))</f>
        <v/>
      </c>
      <c r="AN502" s="85">
        <f>IF($A502="","",IF(AG502="","Not Enrolled",IF(TODAY()&gt;AG502,"Review Overdue",IF(AG502-TODAY()&lt;=30,"Review Due Soon","Active"))))</f>
        <v/>
      </c>
      <c r="AO502" s="85">
        <f>IF($A502="","",IF(AH502="","NOT REVIEWED",IF(TODAY()-AH502&gt;90,"OVERDUE",IF(TODAY()-AH502&gt;76,"Due Soon","Current"))))</f>
        <v/>
      </c>
    </row>
    <row r="503" ht="15" customHeight="1" s="39">
      <c r="A503" s="85" t="n"/>
      <c r="B503" s="85" t="n"/>
      <c r="C503" s="85" t="n"/>
      <c r="D503" s="85" t="n"/>
      <c r="E503" s="85" t="n"/>
      <c r="F503" s="86" t="n"/>
      <c r="G503" s="86" t="n"/>
      <c r="H503" s="85" t="n"/>
      <c r="I503" s="85" t="n"/>
      <c r="J503" s="85" t="n"/>
      <c r="K503" s="85" t="n"/>
      <c r="L503" s="85" t="n"/>
      <c r="M503" s="85" t="n"/>
      <c r="N503" s="85" t="n"/>
      <c r="O503" s="85" t="n"/>
      <c r="P503" s="85" t="n"/>
      <c r="Q503" s="85" t="n"/>
      <c r="R503" s="85" t="n"/>
      <c r="S503" s="85" t="n"/>
      <c r="T503" s="85" t="n"/>
      <c r="U503" s="85" t="n"/>
      <c r="V503" s="85" t="n"/>
      <c r="W503" s="85" t="n"/>
      <c r="X503" s="85" t="n"/>
      <c r="Y503" s="85" t="n"/>
      <c r="Z503" s="85" t="n"/>
      <c r="AA503" s="85" t="n"/>
      <c r="AB503" s="85" t="n"/>
      <c r="AC503" s="85" t="n"/>
      <c r="AD503" s="85" t="n"/>
      <c r="AE503" s="85" t="n"/>
      <c r="AF503" s="86" t="n"/>
      <c r="AG503" s="86" t="n"/>
      <c r="AH503" s="86" t="n"/>
      <c r="AI503" s="85" t="n"/>
      <c r="AJ503" s="85" t="n"/>
      <c r="AK503" s="85">
        <f>IF($A503="","",IF($M503&gt;0,"Yes","No"))</f>
        <v/>
      </c>
      <c r="AL503" s="85">
        <f>IF($A503="","",IF(AND($E503="Yes",OR($Y503="No",$Y503="NOT FOUND")),"YES",""))</f>
        <v/>
      </c>
      <c r="AM503" s="85">
        <f>IF($A503="","",TRIM(IF(AND($P503=0,$I503&lt;&gt;"Yes"),"T0-NoPhishResistant ","")&amp;IF($H503="No","NoMFA ","")&amp;IF(AND($P503=0,$M503&gt;0),"T0-Standing ","")&amp;IF(AND($P503=0,$Q503="Group only"),"T0-ViaGroupOnly ","")&amp;IF($W503="Yes","AlsoAzureRBAC ","")))</f>
        <v/>
      </c>
      <c r="AN503" s="85">
        <f>IF($A503="","",IF(AG503="","Not Enrolled",IF(TODAY()&gt;AG503,"Review Overdue",IF(AG503-TODAY()&lt;=30,"Review Due Soon","Active"))))</f>
        <v/>
      </c>
      <c r="AO503" s="85">
        <f>IF($A503="","",IF(AH503="","NOT REVIEWED",IF(TODAY()-AH503&gt;90,"OVERDUE",IF(TODAY()-AH503&gt;76,"Due Soon","Current"))))</f>
        <v/>
      </c>
    </row>
    <row r="504" ht="15" customHeight="1" s="39">
      <c r="A504" s="85" t="n"/>
      <c r="B504" s="85" t="n"/>
      <c r="C504" s="85" t="n"/>
      <c r="D504" s="85" t="n"/>
      <c r="E504" s="85" t="n"/>
      <c r="F504" s="86" t="n"/>
      <c r="G504" s="86" t="n"/>
      <c r="H504" s="85" t="n"/>
      <c r="I504" s="85" t="n"/>
      <c r="J504" s="85" t="n"/>
      <c r="K504" s="85" t="n"/>
      <c r="L504" s="85" t="n"/>
      <c r="M504" s="85" t="n"/>
      <c r="N504" s="85" t="n"/>
      <c r="O504" s="85" t="n"/>
      <c r="P504" s="85" t="n"/>
      <c r="Q504" s="85" t="n"/>
      <c r="R504" s="85" t="n"/>
      <c r="S504" s="85" t="n"/>
      <c r="T504" s="85" t="n"/>
      <c r="U504" s="85" t="n"/>
      <c r="V504" s="85" t="n"/>
      <c r="W504" s="85" t="n"/>
      <c r="X504" s="85" t="n"/>
      <c r="Y504" s="85" t="n"/>
      <c r="Z504" s="85" t="n"/>
      <c r="AA504" s="85" t="n"/>
      <c r="AB504" s="85" t="n"/>
      <c r="AC504" s="85" t="n"/>
      <c r="AD504" s="85" t="n"/>
      <c r="AE504" s="85" t="n"/>
      <c r="AF504" s="86" t="n"/>
      <c r="AG504" s="86" t="n"/>
      <c r="AH504" s="86" t="n"/>
      <c r="AI504" s="85" t="n"/>
      <c r="AJ504" s="85" t="n"/>
      <c r="AK504" s="85">
        <f>IF($A504="","",IF($M504&gt;0,"Yes","No"))</f>
        <v/>
      </c>
      <c r="AL504" s="85">
        <f>IF($A504="","",IF(AND($E504="Yes",OR($Y504="No",$Y504="NOT FOUND")),"YES",""))</f>
        <v/>
      </c>
      <c r="AM504" s="85">
        <f>IF($A504="","",TRIM(IF(AND($P504=0,$I504&lt;&gt;"Yes"),"T0-NoPhishResistant ","")&amp;IF($H504="No","NoMFA ","")&amp;IF(AND($P504=0,$M504&gt;0),"T0-Standing ","")&amp;IF(AND($P504=0,$Q504="Group only"),"T0-ViaGroupOnly ","")&amp;IF($W504="Yes","AlsoAzureRBAC ","")))</f>
        <v/>
      </c>
      <c r="AN504" s="85">
        <f>IF($A504="","",IF(AG504="","Not Enrolled",IF(TODAY()&gt;AG504,"Review Overdue",IF(AG504-TODAY()&lt;=30,"Review Due Soon","Active"))))</f>
        <v/>
      </c>
      <c r="AO504" s="85">
        <f>IF($A504="","",IF(AH504="","NOT REVIEWED",IF(TODAY()-AH504&gt;90,"OVERDUE",IF(TODAY()-AH504&gt;76,"Due Soon","Current"))))</f>
        <v/>
      </c>
    </row>
    <row r="505" ht="15" customHeight="1" s="39">
      <c r="A505" s="85" t="n"/>
      <c r="B505" s="85" t="n"/>
      <c r="C505" s="85" t="n"/>
      <c r="D505" s="85" t="n"/>
      <c r="E505" s="85" t="n"/>
      <c r="F505" s="86" t="n"/>
      <c r="G505" s="86" t="n"/>
      <c r="H505" s="85" t="n"/>
      <c r="I505" s="85" t="n"/>
      <c r="J505" s="85" t="n"/>
      <c r="K505" s="85" t="n"/>
      <c r="L505" s="85" t="n"/>
      <c r="M505" s="85" t="n"/>
      <c r="N505" s="85" t="n"/>
      <c r="O505" s="85" t="n"/>
      <c r="P505" s="85" t="n"/>
      <c r="Q505" s="85" t="n"/>
      <c r="R505" s="85" t="n"/>
      <c r="S505" s="85" t="n"/>
      <c r="T505" s="85" t="n"/>
      <c r="U505" s="85" t="n"/>
      <c r="V505" s="85" t="n"/>
      <c r="W505" s="85" t="n"/>
      <c r="X505" s="85" t="n"/>
      <c r="Y505" s="85" t="n"/>
      <c r="Z505" s="85" t="n"/>
      <c r="AA505" s="85" t="n"/>
      <c r="AB505" s="85" t="n"/>
      <c r="AC505" s="85" t="n"/>
      <c r="AD505" s="85" t="n"/>
      <c r="AE505" s="85" t="n"/>
      <c r="AF505" s="86" t="n"/>
      <c r="AG505" s="86" t="n"/>
      <c r="AH505" s="86" t="n"/>
      <c r="AI505" s="85" t="n"/>
      <c r="AJ505" s="85" t="n"/>
      <c r="AK505" s="85">
        <f>IF($A505="","",IF($M505&gt;0,"Yes","No"))</f>
        <v/>
      </c>
      <c r="AL505" s="85">
        <f>IF($A505="","",IF(AND($E505="Yes",OR($Y505="No",$Y505="NOT FOUND")),"YES",""))</f>
        <v/>
      </c>
      <c r="AM505" s="85">
        <f>IF($A505="","",TRIM(IF(AND($P505=0,$I505&lt;&gt;"Yes"),"T0-NoPhishResistant ","")&amp;IF($H505="No","NoMFA ","")&amp;IF(AND($P505=0,$M505&gt;0),"T0-Standing ","")&amp;IF(AND($P505=0,$Q505="Group only"),"T0-ViaGroupOnly ","")&amp;IF($W505="Yes","AlsoAzureRBAC ","")))</f>
        <v/>
      </c>
      <c r="AN505" s="85">
        <f>IF($A505="","",IF(AG505="","Not Enrolled",IF(TODAY()&gt;AG505,"Review Overdue",IF(AG505-TODAY()&lt;=30,"Review Due Soon","Active"))))</f>
        <v/>
      </c>
      <c r="AO505" s="85">
        <f>IF($A505="","",IF(AH505="","NOT REVIEWED",IF(TODAY()-AH505&gt;90,"OVERDUE",IF(TODAY()-AH505&gt;76,"Due Soon","Current"))))</f>
        <v/>
      </c>
    </row>
    <row r="506" ht="15" customHeight="1" s="39">
      <c r="A506" s="85" t="n"/>
      <c r="B506" s="85" t="n"/>
      <c r="C506" s="85" t="n"/>
      <c r="D506" s="85" t="n"/>
      <c r="E506" s="85" t="n"/>
      <c r="F506" s="86" t="n"/>
      <c r="G506" s="86" t="n"/>
      <c r="H506" s="85" t="n"/>
      <c r="I506" s="85" t="n"/>
      <c r="J506" s="85" t="n"/>
      <c r="K506" s="85" t="n"/>
      <c r="L506" s="85" t="n"/>
      <c r="M506" s="85" t="n"/>
      <c r="N506" s="85" t="n"/>
      <c r="O506" s="85" t="n"/>
      <c r="P506" s="85" t="n"/>
      <c r="Q506" s="85" t="n"/>
      <c r="R506" s="85" t="n"/>
      <c r="S506" s="85" t="n"/>
      <c r="T506" s="85" t="n"/>
      <c r="U506" s="85" t="n"/>
      <c r="V506" s="85" t="n"/>
      <c r="W506" s="85" t="n"/>
      <c r="X506" s="85" t="n"/>
      <c r="Y506" s="85" t="n"/>
      <c r="Z506" s="85" t="n"/>
      <c r="AA506" s="85" t="n"/>
      <c r="AB506" s="85" t="n"/>
      <c r="AC506" s="85" t="n"/>
      <c r="AD506" s="85" t="n"/>
      <c r="AE506" s="85" t="n"/>
      <c r="AF506" s="86" t="n"/>
      <c r="AG506" s="86" t="n"/>
      <c r="AH506" s="86" t="n"/>
      <c r="AI506" s="85" t="n"/>
      <c r="AJ506" s="85" t="n"/>
      <c r="AK506" s="85">
        <f>IF($A506="","",IF($M506&gt;0,"Yes","No"))</f>
        <v/>
      </c>
      <c r="AL506" s="85">
        <f>IF($A506="","",IF(AND($E506="Yes",OR($Y506="No",$Y506="NOT FOUND")),"YES",""))</f>
        <v/>
      </c>
      <c r="AM506" s="85">
        <f>IF($A506="","",TRIM(IF(AND($P506=0,$I506&lt;&gt;"Yes"),"T0-NoPhishResistant ","")&amp;IF($H506="No","NoMFA ","")&amp;IF(AND($P506=0,$M506&gt;0),"T0-Standing ","")&amp;IF(AND($P506=0,$Q506="Group only"),"T0-ViaGroupOnly ","")&amp;IF($W506="Yes","AlsoAzureRBAC ","")))</f>
        <v/>
      </c>
      <c r="AN506" s="85">
        <f>IF($A506="","",IF(AG506="","Not Enrolled",IF(TODAY()&gt;AG506,"Review Overdue",IF(AG506-TODAY()&lt;=30,"Review Due Soon","Active"))))</f>
        <v/>
      </c>
      <c r="AO506" s="85">
        <f>IF($A506="","",IF(AH506="","NOT REVIEWED",IF(TODAY()-AH506&gt;90,"OVERDUE",IF(TODAY()-AH506&gt;76,"Due Soon","Current"))))</f>
        <v/>
      </c>
    </row>
    <row r="507" ht="15" customHeight="1" s="39">
      <c r="A507" s="85" t="n"/>
      <c r="B507" s="85" t="n"/>
      <c r="C507" s="85" t="n"/>
      <c r="D507" s="85" t="n"/>
      <c r="E507" s="85" t="n"/>
      <c r="F507" s="86" t="n"/>
      <c r="G507" s="86" t="n"/>
      <c r="H507" s="85" t="n"/>
      <c r="I507" s="85" t="n"/>
      <c r="J507" s="85" t="n"/>
      <c r="K507" s="85" t="n"/>
      <c r="L507" s="85" t="n"/>
      <c r="M507" s="85" t="n"/>
      <c r="N507" s="85" t="n"/>
      <c r="O507" s="85" t="n"/>
      <c r="P507" s="85" t="n"/>
      <c r="Q507" s="85" t="n"/>
      <c r="R507" s="85" t="n"/>
      <c r="S507" s="85" t="n"/>
      <c r="T507" s="85" t="n"/>
      <c r="U507" s="85" t="n"/>
      <c r="V507" s="85" t="n"/>
      <c r="W507" s="85" t="n"/>
      <c r="X507" s="85" t="n"/>
      <c r="Y507" s="85" t="n"/>
      <c r="Z507" s="85" t="n"/>
      <c r="AA507" s="85" t="n"/>
      <c r="AB507" s="85" t="n"/>
      <c r="AC507" s="85" t="n"/>
      <c r="AD507" s="85" t="n"/>
      <c r="AE507" s="85" t="n"/>
      <c r="AF507" s="86" t="n"/>
      <c r="AG507" s="86" t="n"/>
      <c r="AH507" s="86" t="n"/>
      <c r="AI507" s="85" t="n"/>
      <c r="AJ507" s="85" t="n"/>
      <c r="AK507" s="85">
        <f>IF($A507="","",IF($M507&gt;0,"Yes","No"))</f>
        <v/>
      </c>
      <c r="AL507" s="85">
        <f>IF($A507="","",IF(AND($E507="Yes",OR($Y507="No",$Y507="NOT FOUND")),"YES",""))</f>
        <v/>
      </c>
      <c r="AM507" s="85">
        <f>IF($A507="","",TRIM(IF(AND($P507=0,$I507&lt;&gt;"Yes"),"T0-NoPhishResistant ","")&amp;IF($H507="No","NoMFA ","")&amp;IF(AND($P507=0,$M507&gt;0),"T0-Standing ","")&amp;IF(AND($P507=0,$Q507="Group only"),"T0-ViaGroupOnly ","")&amp;IF($W507="Yes","AlsoAzureRBAC ","")))</f>
        <v/>
      </c>
      <c r="AN507" s="85">
        <f>IF($A507="","",IF(AG507="","Not Enrolled",IF(TODAY()&gt;AG507,"Review Overdue",IF(AG507-TODAY()&lt;=30,"Review Due Soon","Active"))))</f>
        <v/>
      </c>
      <c r="AO507" s="85">
        <f>IF($A507="","",IF(AH507="","NOT REVIEWED",IF(TODAY()-AH507&gt;90,"OVERDUE",IF(TODAY()-AH507&gt;76,"Due Soon","Current"))))</f>
        <v/>
      </c>
    </row>
    <row r="508" ht="15" customHeight="1" s="39">
      <c r="A508" s="85" t="n"/>
      <c r="B508" s="85" t="n"/>
      <c r="C508" s="85" t="n"/>
      <c r="D508" s="85" t="n"/>
      <c r="E508" s="85" t="n"/>
      <c r="F508" s="86" t="n"/>
      <c r="G508" s="86" t="n"/>
      <c r="H508" s="85" t="n"/>
      <c r="I508" s="85" t="n"/>
      <c r="J508" s="85" t="n"/>
      <c r="K508" s="85" t="n"/>
      <c r="L508" s="85" t="n"/>
      <c r="M508" s="85" t="n"/>
      <c r="N508" s="85" t="n"/>
      <c r="O508" s="85" t="n"/>
      <c r="P508" s="85" t="n"/>
      <c r="Q508" s="85" t="n"/>
      <c r="R508" s="85" t="n"/>
      <c r="S508" s="85" t="n"/>
      <c r="T508" s="85" t="n"/>
      <c r="U508" s="85" t="n"/>
      <c r="V508" s="85" t="n"/>
      <c r="W508" s="85" t="n"/>
      <c r="X508" s="85" t="n"/>
      <c r="Y508" s="85" t="n"/>
      <c r="Z508" s="85" t="n"/>
      <c r="AA508" s="85" t="n"/>
      <c r="AB508" s="85" t="n"/>
      <c r="AC508" s="85" t="n"/>
      <c r="AD508" s="85" t="n"/>
      <c r="AE508" s="85" t="n"/>
      <c r="AF508" s="86" t="n"/>
      <c r="AG508" s="86" t="n"/>
      <c r="AH508" s="86" t="n"/>
      <c r="AI508" s="85" t="n"/>
      <c r="AJ508" s="85" t="n"/>
      <c r="AK508" s="85">
        <f>IF($A508="","",IF($M508&gt;0,"Yes","No"))</f>
        <v/>
      </c>
      <c r="AL508" s="85">
        <f>IF($A508="","",IF(AND($E508="Yes",OR($Y508="No",$Y508="NOT FOUND")),"YES",""))</f>
        <v/>
      </c>
      <c r="AM508" s="85">
        <f>IF($A508="","",TRIM(IF(AND($P508=0,$I508&lt;&gt;"Yes"),"T0-NoPhishResistant ","")&amp;IF($H508="No","NoMFA ","")&amp;IF(AND($P508=0,$M508&gt;0),"T0-Standing ","")&amp;IF(AND($P508=0,$Q508="Group only"),"T0-ViaGroupOnly ","")&amp;IF($W508="Yes","AlsoAzureRBAC ","")))</f>
        <v/>
      </c>
      <c r="AN508" s="85">
        <f>IF($A508="","",IF(AG508="","Not Enrolled",IF(TODAY()&gt;AG508,"Review Overdue",IF(AG508-TODAY()&lt;=30,"Review Due Soon","Active"))))</f>
        <v/>
      </c>
      <c r="AO508" s="85">
        <f>IF($A508="","",IF(AH508="","NOT REVIEWED",IF(TODAY()-AH508&gt;90,"OVERDUE",IF(TODAY()-AH508&gt;76,"Due Soon","Current"))))</f>
        <v/>
      </c>
    </row>
    <row r="509" ht="15" customHeight="1" s="39">
      <c r="A509" s="85" t="n"/>
      <c r="B509" s="85" t="n"/>
      <c r="C509" s="85" t="n"/>
      <c r="D509" s="85" t="n"/>
      <c r="E509" s="85" t="n"/>
      <c r="F509" s="86" t="n"/>
      <c r="G509" s="86" t="n"/>
      <c r="H509" s="85" t="n"/>
      <c r="I509" s="85" t="n"/>
      <c r="J509" s="85" t="n"/>
      <c r="K509" s="85" t="n"/>
      <c r="L509" s="85" t="n"/>
      <c r="M509" s="85" t="n"/>
      <c r="N509" s="85" t="n"/>
      <c r="O509" s="85" t="n"/>
      <c r="P509" s="85" t="n"/>
      <c r="Q509" s="85" t="n"/>
      <c r="R509" s="85" t="n"/>
      <c r="S509" s="85" t="n"/>
      <c r="T509" s="85" t="n"/>
      <c r="U509" s="85" t="n"/>
      <c r="V509" s="85" t="n"/>
      <c r="W509" s="85" t="n"/>
      <c r="X509" s="85" t="n"/>
      <c r="Y509" s="85" t="n"/>
      <c r="Z509" s="85" t="n"/>
      <c r="AA509" s="85" t="n"/>
      <c r="AB509" s="85" t="n"/>
      <c r="AC509" s="85" t="n"/>
      <c r="AD509" s="85" t="n"/>
      <c r="AE509" s="85" t="n"/>
      <c r="AF509" s="86" t="n"/>
      <c r="AG509" s="86" t="n"/>
      <c r="AH509" s="86" t="n"/>
      <c r="AI509" s="85" t="n"/>
      <c r="AJ509" s="85" t="n"/>
      <c r="AK509" s="85">
        <f>IF($A509="","",IF($M509&gt;0,"Yes","No"))</f>
        <v/>
      </c>
      <c r="AL509" s="85">
        <f>IF($A509="","",IF(AND($E509="Yes",OR($Y509="No",$Y509="NOT FOUND")),"YES",""))</f>
        <v/>
      </c>
      <c r="AM509" s="85">
        <f>IF($A509="","",TRIM(IF(AND($P509=0,$I509&lt;&gt;"Yes"),"T0-NoPhishResistant ","")&amp;IF($H509="No","NoMFA ","")&amp;IF(AND($P509=0,$M509&gt;0),"T0-Standing ","")&amp;IF(AND($P509=0,$Q509="Group only"),"T0-ViaGroupOnly ","")&amp;IF($W509="Yes","AlsoAzureRBAC ","")))</f>
        <v/>
      </c>
      <c r="AN509" s="85">
        <f>IF($A509="","",IF(AG509="","Not Enrolled",IF(TODAY()&gt;AG509,"Review Overdue",IF(AG509-TODAY()&lt;=30,"Review Due Soon","Active"))))</f>
        <v/>
      </c>
      <c r="AO509" s="85">
        <f>IF($A509="","",IF(AH509="","NOT REVIEWED",IF(TODAY()-AH509&gt;90,"OVERDUE",IF(TODAY()-AH509&gt;76,"Due Soon","Current"))))</f>
        <v/>
      </c>
    </row>
    <row r="510" ht="15" customHeight="1" s="39">
      <c r="A510" s="85" t="n"/>
      <c r="B510" s="85" t="n"/>
      <c r="C510" s="85" t="n"/>
      <c r="D510" s="85" t="n"/>
      <c r="E510" s="85" t="n"/>
      <c r="F510" s="86" t="n"/>
      <c r="G510" s="86" t="n"/>
      <c r="H510" s="85" t="n"/>
      <c r="I510" s="85" t="n"/>
      <c r="J510" s="85" t="n"/>
      <c r="K510" s="85" t="n"/>
      <c r="L510" s="85" t="n"/>
      <c r="M510" s="85" t="n"/>
      <c r="N510" s="85" t="n"/>
      <c r="O510" s="85" t="n"/>
      <c r="P510" s="85" t="n"/>
      <c r="Q510" s="85" t="n"/>
      <c r="R510" s="85" t="n"/>
      <c r="S510" s="85" t="n"/>
      <c r="T510" s="85" t="n"/>
      <c r="U510" s="85" t="n"/>
      <c r="V510" s="85" t="n"/>
      <c r="W510" s="85" t="n"/>
      <c r="X510" s="85" t="n"/>
      <c r="Y510" s="85" t="n"/>
      <c r="Z510" s="85" t="n"/>
      <c r="AA510" s="85" t="n"/>
      <c r="AB510" s="85" t="n"/>
      <c r="AC510" s="85" t="n"/>
      <c r="AD510" s="85" t="n"/>
      <c r="AE510" s="85" t="n"/>
      <c r="AF510" s="86" t="n"/>
      <c r="AG510" s="86" t="n"/>
      <c r="AH510" s="86" t="n"/>
      <c r="AI510" s="85" t="n"/>
      <c r="AJ510" s="85" t="n"/>
      <c r="AK510" s="85">
        <f>IF($A510="","",IF($M510&gt;0,"Yes","No"))</f>
        <v/>
      </c>
      <c r="AL510" s="85">
        <f>IF($A510="","",IF(AND($E510="Yes",OR($Y510="No",$Y510="NOT FOUND")),"YES",""))</f>
        <v/>
      </c>
      <c r="AM510" s="85">
        <f>IF($A510="","",TRIM(IF(AND($P510=0,$I510&lt;&gt;"Yes"),"T0-NoPhishResistant ","")&amp;IF($H510="No","NoMFA ","")&amp;IF(AND($P510=0,$M510&gt;0),"T0-Standing ","")&amp;IF(AND($P510=0,$Q510="Group only"),"T0-ViaGroupOnly ","")&amp;IF($W510="Yes","AlsoAzureRBAC ","")))</f>
        <v/>
      </c>
      <c r="AN510" s="85">
        <f>IF($A510="","",IF(AG510="","Not Enrolled",IF(TODAY()&gt;AG510,"Review Overdue",IF(AG510-TODAY()&lt;=30,"Review Due Soon","Active"))))</f>
        <v/>
      </c>
      <c r="AO510" s="85">
        <f>IF($A510="","",IF(AH510="","NOT REVIEWED",IF(TODAY()-AH510&gt;90,"OVERDUE",IF(TODAY()-AH510&gt;76,"Due Soon","Current"))))</f>
        <v/>
      </c>
    </row>
    <row r="511" ht="15" customHeight="1" s="39">
      <c r="A511" s="85" t="n"/>
      <c r="B511" s="85" t="n"/>
      <c r="C511" s="85" t="n"/>
      <c r="D511" s="85" t="n"/>
      <c r="E511" s="85" t="n"/>
      <c r="F511" s="86" t="n"/>
      <c r="G511" s="86" t="n"/>
      <c r="H511" s="85" t="n"/>
      <c r="I511" s="85" t="n"/>
      <c r="J511" s="85" t="n"/>
      <c r="K511" s="85" t="n"/>
      <c r="L511" s="85" t="n"/>
      <c r="M511" s="85" t="n"/>
      <c r="N511" s="85" t="n"/>
      <c r="O511" s="85" t="n"/>
      <c r="P511" s="85" t="n"/>
      <c r="Q511" s="85" t="n"/>
      <c r="R511" s="85" t="n"/>
      <c r="S511" s="85" t="n"/>
      <c r="T511" s="85" t="n"/>
      <c r="U511" s="85" t="n"/>
      <c r="V511" s="85" t="n"/>
      <c r="W511" s="85" t="n"/>
      <c r="X511" s="85" t="n"/>
      <c r="Y511" s="85" t="n"/>
      <c r="Z511" s="85" t="n"/>
      <c r="AA511" s="85" t="n"/>
      <c r="AB511" s="85" t="n"/>
      <c r="AC511" s="85" t="n"/>
      <c r="AD511" s="85" t="n"/>
      <c r="AE511" s="85" t="n"/>
      <c r="AF511" s="86" t="n"/>
      <c r="AG511" s="86" t="n"/>
      <c r="AH511" s="86" t="n"/>
      <c r="AI511" s="85" t="n"/>
      <c r="AJ511" s="85" t="n"/>
      <c r="AK511" s="85">
        <f>IF($A511="","",IF($M511&gt;0,"Yes","No"))</f>
        <v/>
      </c>
      <c r="AL511" s="85">
        <f>IF($A511="","",IF(AND($E511="Yes",OR($Y511="No",$Y511="NOT FOUND")),"YES",""))</f>
        <v/>
      </c>
      <c r="AM511" s="85">
        <f>IF($A511="","",TRIM(IF(AND($P511=0,$I511&lt;&gt;"Yes"),"T0-NoPhishResistant ","")&amp;IF($H511="No","NoMFA ","")&amp;IF(AND($P511=0,$M511&gt;0),"T0-Standing ","")&amp;IF(AND($P511=0,$Q511="Group only"),"T0-ViaGroupOnly ","")&amp;IF($W511="Yes","AlsoAzureRBAC ","")))</f>
        <v/>
      </c>
      <c r="AN511" s="85">
        <f>IF($A511="","",IF(AG511="","Not Enrolled",IF(TODAY()&gt;AG511,"Review Overdue",IF(AG511-TODAY()&lt;=30,"Review Due Soon","Active"))))</f>
        <v/>
      </c>
      <c r="AO511" s="85">
        <f>IF($A511="","",IF(AH511="","NOT REVIEWED",IF(TODAY()-AH511&gt;90,"OVERDUE",IF(TODAY()-AH511&gt;76,"Due Soon","Current"))))</f>
        <v/>
      </c>
    </row>
    <row r="512" ht="15" customHeight="1" s="39">
      <c r="A512" s="85" t="n"/>
      <c r="B512" s="85" t="n"/>
      <c r="C512" s="85" t="n"/>
      <c r="D512" s="85" t="n"/>
      <c r="E512" s="85" t="n"/>
      <c r="F512" s="86" t="n"/>
      <c r="G512" s="86" t="n"/>
      <c r="H512" s="85" t="n"/>
      <c r="I512" s="85" t="n"/>
      <c r="J512" s="85" t="n"/>
      <c r="K512" s="85" t="n"/>
      <c r="L512" s="85" t="n"/>
      <c r="M512" s="85" t="n"/>
      <c r="N512" s="85" t="n"/>
      <c r="O512" s="85" t="n"/>
      <c r="P512" s="85" t="n"/>
      <c r="Q512" s="85" t="n"/>
      <c r="R512" s="85" t="n"/>
      <c r="S512" s="85" t="n"/>
      <c r="T512" s="85" t="n"/>
      <c r="U512" s="85" t="n"/>
      <c r="V512" s="85" t="n"/>
      <c r="W512" s="85" t="n"/>
      <c r="X512" s="85" t="n"/>
      <c r="Y512" s="85" t="n"/>
      <c r="Z512" s="85" t="n"/>
      <c r="AA512" s="85" t="n"/>
      <c r="AB512" s="85" t="n"/>
      <c r="AC512" s="85" t="n"/>
      <c r="AD512" s="85" t="n"/>
      <c r="AE512" s="85" t="n"/>
      <c r="AF512" s="86" t="n"/>
      <c r="AG512" s="86" t="n"/>
      <c r="AH512" s="86" t="n"/>
      <c r="AI512" s="85" t="n"/>
      <c r="AJ512" s="85" t="n"/>
      <c r="AK512" s="85">
        <f>IF($A512="","",IF($M512&gt;0,"Yes","No"))</f>
        <v/>
      </c>
      <c r="AL512" s="85">
        <f>IF($A512="","",IF(AND($E512="Yes",OR($Y512="No",$Y512="NOT FOUND")),"YES",""))</f>
        <v/>
      </c>
      <c r="AM512" s="85">
        <f>IF($A512="","",TRIM(IF(AND($P512=0,$I512&lt;&gt;"Yes"),"T0-NoPhishResistant ","")&amp;IF($H512="No","NoMFA ","")&amp;IF(AND($P512=0,$M512&gt;0),"T0-Standing ","")&amp;IF(AND($P512=0,$Q512="Group only"),"T0-ViaGroupOnly ","")&amp;IF($W512="Yes","AlsoAzureRBAC ","")))</f>
        <v/>
      </c>
      <c r="AN512" s="85">
        <f>IF($A512="","",IF(AG512="","Not Enrolled",IF(TODAY()&gt;AG512,"Review Overdue",IF(AG512-TODAY()&lt;=30,"Review Due Soon","Active"))))</f>
        <v/>
      </c>
      <c r="AO512" s="85">
        <f>IF($A512="","",IF(AH512="","NOT REVIEWED",IF(TODAY()-AH512&gt;90,"OVERDUE",IF(TODAY()-AH512&gt;76,"Due Soon","Current"))))</f>
        <v/>
      </c>
    </row>
    <row r="513" ht="15" customHeight="1" s="39">
      <c r="A513" s="85" t="n"/>
      <c r="B513" s="85" t="n"/>
      <c r="C513" s="85" t="n"/>
      <c r="D513" s="85" t="n"/>
      <c r="E513" s="85" t="n"/>
      <c r="F513" s="86" t="n"/>
      <c r="G513" s="86" t="n"/>
      <c r="H513" s="85" t="n"/>
      <c r="I513" s="85" t="n"/>
      <c r="J513" s="85" t="n"/>
      <c r="K513" s="85" t="n"/>
      <c r="L513" s="85" t="n"/>
      <c r="M513" s="85" t="n"/>
      <c r="N513" s="85" t="n"/>
      <c r="O513" s="85" t="n"/>
      <c r="P513" s="85" t="n"/>
      <c r="Q513" s="85" t="n"/>
      <c r="R513" s="85" t="n"/>
      <c r="S513" s="85" t="n"/>
      <c r="T513" s="85" t="n"/>
      <c r="U513" s="85" t="n"/>
      <c r="V513" s="85" t="n"/>
      <c r="W513" s="85" t="n"/>
      <c r="X513" s="85" t="n"/>
      <c r="Y513" s="85" t="n"/>
      <c r="Z513" s="85" t="n"/>
      <c r="AA513" s="85" t="n"/>
      <c r="AB513" s="85" t="n"/>
      <c r="AC513" s="85" t="n"/>
      <c r="AD513" s="85" t="n"/>
      <c r="AE513" s="85" t="n"/>
      <c r="AF513" s="86" t="n"/>
      <c r="AG513" s="86" t="n"/>
      <c r="AH513" s="86" t="n"/>
      <c r="AI513" s="85" t="n"/>
      <c r="AJ513" s="85" t="n"/>
      <c r="AK513" s="85">
        <f>IF($A513="","",IF($M513&gt;0,"Yes","No"))</f>
        <v/>
      </c>
      <c r="AL513" s="85">
        <f>IF($A513="","",IF(AND($E513="Yes",OR($Y513="No",$Y513="NOT FOUND")),"YES",""))</f>
        <v/>
      </c>
      <c r="AM513" s="85">
        <f>IF($A513="","",TRIM(IF(AND($P513=0,$I513&lt;&gt;"Yes"),"T0-NoPhishResistant ","")&amp;IF($H513="No","NoMFA ","")&amp;IF(AND($P513=0,$M513&gt;0),"T0-Standing ","")&amp;IF(AND($P513=0,$Q513="Group only"),"T0-ViaGroupOnly ","")&amp;IF($W513="Yes","AlsoAzureRBAC ","")))</f>
        <v/>
      </c>
      <c r="AN513" s="85">
        <f>IF($A513="","",IF(AG513="","Not Enrolled",IF(TODAY()&gt;AG513,"Review Overdue",IF(AG513-TODAY()&lt;=30,"Review Due Soon","Active"))))</f>
        <v/>
      </c>
      <c r="AO513" s="85">
        <f>IF($A513="","",IF(AH513="","NOT REVIEWED",IF(TODAY()-AH513&gt;90,"OVERDUE",IF(TODAY()-AH513&gt;76,"Due Soon","Current"))))</f>
        <v/>
      </c>
    </row>
    <row r="514" ht="15" customHeight="1" s="39">
      <c r="A514" s="85" t="n"/>
      <c r="B514" s="85" t="n"/>
      <c r="C514" s="85" t="n"/>
      <c r="D514" s="85" t="n"/>
      <c r="E514" s="85" t="n"/>
      <c r="F514" s="86" t="n"/>
      <c r="G514" s="86" t="n"/>
      <c r="H514" s="85" t="n"/>
      <c r="I514" s="85" t="n"/>
      <c r="J514" s="85" t="n"/>
      <c r="K514" s="85" t="n"/>
      <c r="L514" s="85" t="n"/>
      <c r="M514" s="85" t="n"/>
      <c r="N514" s="85" t="n"/>
      <c r="O514" s="85" t="n"/>
      <c r="P514" s="85" t="n"/>
      <c r="Q514" s="85" t="n"/>
      <c r="R514" s="85" t="n"/>
      <c r="S514" s="85" t="n"/>
      <c r="T514" s="85" t="n"/>
      <c r="U514" s="85" t="n"/>
      <c r="V514" s="85" t="n"/>
      <c r="W514" s="85" t="n"/>
      <c r="X514" s="85" t="n"/>
      <c r="Y514" s="85" t="n"/>
      <c r="Z514" s="85" t="n"/>
      <c r="AA514" s="85" t="n"/>
      <c r="AB514" s="85" t="n"/>
      <c r="AC514" s="85" t="n"/>
      <c r="AD514" s="85" t="n"/>
      <c r="AE514" s="85" t="n"/>
      <c r="AF514" s="86" t="n"/>
      <c r="AG514" s="86" t="n"/>
      <c r="AH514" s="86" t="n"/>
      <c r="AI514" s="85" t="n"/>
      <c r="AJ514" s="85" t="n"/>
      <c r="AK514" s="85">
        <f>IF($A514="","",IF($M514&gt;0,"Yes","No"))</f>
        <v/>
      </c>
      <c r="AL514" s="85">
        <f>IF($A514="","",IF(AND($E514="Yes",OR($Y514="No",$Y514="NOT FOUND")),"YES",""))</f>
        <v/>
      </c>
      <c r="AM514" s="85">
        <f>IF($A514="","",TRIM(IF(AND($P514=0,$I514&lt;&gt;"Yes"),"T0-NoPhishResistant ","")&amp;IF($H514="No","NoMFA ","")&amp;IF(AND($P514=0,$M514&gt;0),"T0-Standing ","")&amp;IF(AND($P514=0,$Q514="Group only"),"T0-ViaGroupOnly ","")&amp;IF($W514="Yes","AlsoAzureRBAC ","")))</f>
        <v/>
      </c>
      <c r="AN514" s="85">
        <f>IF($A514="","",IF(AG514="","Not Enrolled",IF(TODAY()&gt;AG514,"Review Overdue",IF(AG514-TODAY()&lt;=30,"Review Due Soon","Active"))))</f>
        <v/>
      </c>
      <c r="AO514" s="85">
        <f>IF($A514="","",IF(AH514="","NOT REVIEWED",IF(TODAY()-AH514&gt;90,"OVERDUE",IF(TODAY()-AH514&gt;76,"Due Soon","Current"))))</f>
        <v/>
      </c>
    </row>
    <row r="515" ht="15" customHeight="1" s="39">
      <c r="A515" s="85" t="n"/>
      <c r="B515" s="85" t="n"/>
      <c r="C515" s="85" t="n"/>
      <c r="D515" s="85" t="n"/>
      <c r="E515" s="85" t="n"/>
      <c r="F515" s="86" t="n"/>
      <c r="G515" s="86" t="n"/>
      <c r="H515" s="85" t="n"/>
      <c r="I515" s="85" t="n"/>
      <c r="J515" s="85" t="n"/>
      <c r="K515" s="85" t="n"/>
      <c r="L515" s="85" t="n"/>
      <c r="M515" s="85" t="n"/>
      <c r="N515" s="85" t="n"/>
      <c r="O515" s="85" t="n"/>
      <c r="P515" s="85" t="n"/>
      <c r="Q515" s="85" t="n"/>
      <c r="R515" s="85" t="n"/>
      <c r="S515" s="85" t="n"/>
      <c r="T515" s="85" t="n"/>
      <c r="U515" s="85" t="n"/>
      <c r="V515" s="85" t="n"/>
      <c r="W515" s="85" t="n"/>
      <c r="X515" s="85" t="n"/>
      <c r="Y515" s="85" t="n"/>
      <c r="Z515" s="85" t="n"/>
      <c r="AA515" s="85" t="n"/>
      <c r="AB515" s="85" t="n"/>
      <c r="AC515" s="85" t="n"/>
      <c r="AD515" s="85" t="n"/>
      <c r="AE515" s="85" t="n"/>
      <c r="AF515" s="86" t="n"/>
      <c r="AG515" s="86" t="n"/>
      <c r="AH515" s="86" t="n"/>
      <c r="AI515" s="85" t="n"/>
      <c r="AJ515" s="85" t="n"/>
      <c r="AK515" s="85">
        <f>IF($A515="","",IF($M515&gt;0,"Yes","No"))</f>
        <v/>
      </c>
      <c r="AL515" s="85">
        <f>IF($A515="","",IF(AND($E515="Yes",OR($Y515="No",$Y515="NOT FOUND")),"YES",""))</f>
        <v/>
      </c>
      <c r="AM515" s="85">
        <f>IF($A515="","",TRIM(IF(AND($P515=0,$I515&lt;&gt;"Yes"),"T0-NoPhishResistant ","")&amp;IF($H515="No","NoMFA ","")&amp;IF(AND($P515=0,$M515&gt;0),"T0-Standing ","")&amp;IF(AND($P515=0,$Q515="Group only"),"T0-ViaGroupOnly ","")&amp;IF($W515="Yes","AlsoAzureRBAC ","")))</f>
        <v/>
      </c>
      <c r="AN515" s="85">
        <f>IF($A515="","",IF(AG515="","Not Enrolled",IF(TODAY()&gt;AG515,"Review Overdue",IF(AG515-TODAY()&lt;=30,"Review Due Soon","Active"))))</f>
        <v/>
      </c>
      <c r="AO515" s="85">
        <f>IF($A515="","",IF(AH515="","NOT REVIEWED",IF(TODAY()-AH515&gt;90,"OVERDUE",IF(TODAY()-AH515&gt;76,"Due Soon","Current"))))</f>
        <v/>
      </c>
    </row>
    <row r="516" ht="15" customHeight="1" s="39">
      <c r="A516" s="85" t="n"/>
      <c r="B516" s="85" t="n"/>
      <c r="C516" s="85" t="n"/>
      <c r="D516" s="85" t="n"/>
      <c r="E516" s="85" t="n"/>
      <c r="F516" s="86" t="n"/>
      <c r="G516" s="86" t="n"/>
      <c r="H516" s="85" t="n"/>
      <c r="I516" s="85" t="n"/>
      <c r="J516" s="85" t="n"/>
      <c r="K516" s="85" t="n"/>
      <c r="L516" s="85" t="n"/>
      <c r="M516" s="85" t="n"/>
      <c r="N516" s="85" t="n"/>
      <c r="O516" s="85" t="n"/>
      <c r="P516" s="85" t="n"/>
      <c r="Q516" s="85" t="n"/>
      <c r="R516" s="85" t="n"/>
      <c r="S516" s="85" t="n"/>
      <c r="T516" s="85" t="n"/>
      <c r="U516" s="85" t="n"/>
      <c r="V516" s="85" t="n"/>
      <c r="W516" s="85" t="n"/>
      <c r="X516" s="85" t="n"/>
      <c r="Y516" s="85" t="n"/>
      <c r="Z516" s="85" t="n"/>
      <c r="AA516" s="85" t="n"/>
      <c r="AB516" s="85" t="n"/>
      <c r="AC516" s="85" t="n"/>
      <c r="AD516" s="85" t="n"/>
      <c r="AE516" s="85" t="n"/>
      <c r="AF516" s="86" t="n"/>
      <c r="AG516" s="86" t="n"/>
      <c r="AH516" s="86" t="n"/>
      <c r="AI516" s="85" t="n"/>
      <c r="AJ516" s="85" t="n"/>
      <c r="AK516" s="85">
        <f>IF($A516="","",IF($M516&gt;0,"Yes","No"))</f>
        <v/>
      </c>
      <c r="AL516" s="85">
        <f>IF($A516="","",IF(AND($E516="Yes",OR($Y516="No",$Y516="NOT FOUND")),"YES",""))</f>
        <v/>
      </c>
      <c r="AM516" s="85">
        <f>IF($A516="","",TRIM(IF(AND($P516=0,$I516&lt;&gt;"Yes"),"T0-NoPhishResistant ","")&amp;IF($H516="No","NoMFA ","")&amp;IF(AND($P516=0,$M516&gt;0),"T0-Standing ","")&amp;IF(AND($P516=0,$Q516="Group only"),"T0-ViaGroupOnly ","")&amp;IF($W516="Yes","AlsoAzureRBAC ","")))</f>
        <v/>
      </c>
      <c r="AN516" s="85">
        <f>IF($A516="","",IF(AG516="","Not Enrolled",IF(TODAY()&gt;AG516,"Review Overdue",IF(AG516-TODAY()&lt;=30,"Review Due Soon","Active"))))</f>
        <v/>
      </c>
      <c r="AO516" s="85">
        <f>IF($A516="","",IF(AH516="","NOT REVIEWED",IF(TODAY()-AH516&gt;90,"OVERDUE",IF(TODAY()-AH516&gt;76,"Due Soon","Current"))))</f>
        <v/>
      </c>
    </row>
    <row r="517" ht="15" customHeight="1" s="39">
      <c r="A517" s="85" t="n"/>
      <c r="B517" s="85" t="n"/>
      <c r="C517" s="85" t="n"/>
      <c r="D517" s="85" t="n"/>
      <c r="E517" s="85" t="n"/>
      <c r="F517" s="86" t="n"/>
      <c r="G517" s="86" t="n"/>
      <c r="H517" s="85" t="n"/>
      <c r="I517" s="85" t="n"/>
      <c r="J517" s="85" t="n"/>
      <c r="K517" s="85" t="n"/>
      <c r="L517" s="85" t="n"/>
      <c r="M517" s="85" t="n"/>
      <c r="N517" s="85" t="n"/>
      <c r="O517" s="85" t="n"/>
      <c r="P517" s="85" t="n"/>
      <c r="Q517" s="85" t="n"/>
      <c r="R517" s="85" t="n"/>
      <c r="S517" s="85" t="n"/>
      <c r="T517" s="85" t="n"/>
      <c r="U517" s="85" t="n"/>
      <c r="V517" s="85" t="n"/>
      <c r="W517" s="85" t="n"/>
      <c r="X517" s="85" t="n"/>
      <c r="Y517" s="85" t="n"/>
      <c r="Z517" s="85" t="n"/>
      <c r="AA517" s="85" t="n"/>
      <c r="AB517" s="85" t="n"/>
      <c r="AC517" s="85" t="n"/>
      <c r="AD517" s="85" t="n"/>
      <c r="AE517" s="85" t="n"/>
      <c r="AF517" s="86" t="n"/>
      <c r="AG517" s="86" t="n"/>
      <c r="AH517" s="86" t="n"/>
      <c r="AI517" s="85" t="n"/>
      <c r="AJ517" s="85" t="n"/>
      <c r="AK517" s="85">
        <f>IF($A517="","",IF($M517&gt;0,"Yes","No"))</f>
        <v/>
      </c>
      <c r="AL517" s="85">
        <f>IF($A517="","",IF(AND($E517="Yes",OR($Y517="No",$Y517="NOT FOUND")),"YES",""))</f>
        <v/>
      </c>
      <c r="AM517" s="85">
        <f>IF($A517="","",TRIM(IF(AND($P517=0,$I517&lt;&gt;"Yes"),"T0-NoPhishResistant ","")&amp;IF($H517="No","NoMFA ","")&amp;IF(AND($P517=0,$M517&gt;0),"T0-Standing ","")&amp;IF(AND($P517=0,$Q517="Group only"),"T0-ViaGroupOnly ","")&amp;IF($W517="Yes","AlsoAzureRBAC ","")))</f>
        <v/>
      </c>
      <c r="AN517" s="85">
        <f>IF($A517="","",IF(AG517="","Not Enrolled",IF(TODAY()&gt;AG517,"Review Overdue",IF(AG517-TODAY()&lt;=30,"Review Due Soon","Active"))))</f>
        <v/>
      </c>
      <c r="AO517" s="85">
        <f>IF($A517="","",IF(AH517="","NOT REVIEWED",IF(TODAY()-AH517&gt;90,"OVERDUE",IF(TODAY()-AH517&gt;76,"Due Soon","Current"))))</f>
        <v/>
      </c>
    </row>
    <row r="518" ht="15" customHeight="1" s="39">
      <c r="A518" s="85" t="n"/>
      <c r="B518" s="85" t="n"/>
      <c r="C518" s="85" t="n"/>
      <c r="D518" s="85" t="n"/>
      <c r="E518" s="85" t="n"/>
      <c r="F518" s="86" t="n"/>
      <c r="G518" s="86" t="n"/>
      <c r="H518" s="85" t="n"/>
      <c r="I518" s="85" t="n"/>
      <c r="J518" s="85" t="n"/>
      <c r="K518" s="85" t="n"/>
      <c r="L518" s="85" t="n"/>
      <c r="M518" s="85" t="n"/>
      <c r="N518" s="85" t="n"/>
      <c r="O518" s="85" t="n"/>
      <c r="P518" s="85" t="n"/>
      <c r="Q518" s="85" t="n"/>
      <c r="R518" s="85" t="n"/>
      <c r="S518" s="85" t="n"/>
      <c r="T518" s="85" t="n"/>
      <c r="U518" s="85" t="n"/>
      <c r="V518" s="85" t="n"/>
      <c r="W518" s="85" t="n"/>
      <c r="X518" s="85" t="n"/>
      <c r="Y518" s="85" t="n"/>
      <c r="Z518" s="85" t="n"/>
      <c r="AA518" s="85" t="n"/>
      <c r="AB518" s="85" t="n"/>
      <c r="AC518" s="85" t="n"/>
      <c r="AD518" s="85" t="n"/>
      <c r="AE518" s="85" t="n"/>
      <c r="AF518" s="86" t="n"/>
      <c r="AG518" s="86" t="n"/>
      <c r="AH518" s="86" t="n"/>
      <c r="AI518" s="85" t="n"/>
      <c r="AJ518" s="85" t="n"/>
      <c r="AK518" s="85">
        <f>IF($A518="","",IF($M518&gt;0,"Yes","No"))</f>
        <v/>
      </c>
      <c r="AL518" s="85">
        <f>IF($A518="","",IF(AND($E518="Yes",OR($Y518="No",$Y518="NOT FOUND")),"YES",""))</f>
        <v/>
      </c>
      <c r="AM518" s="85">
        <f>IF($A518="","",TRIM(IF(AND($P518=0,$I518&lt;&gt;"Yes"),"T0-NoPhishResistant ","")&amp;IF($H518="No","NoMFA ","")&amp;IF(AND($P518=0,$M518&gt;0),"T0-Standing ","")&amp;IF(AND($P518=0,$Q518="Group only"),"T0-ViaGroupOnly ","")&amp;IF($W518="Yes","AlsoAzureRBAC ","")))</f>
        <v/>
      </c>
      <c r="AN518" s="85">
        <f>IF($A518="","",IF(AG518="","Not Enrolled",IF(TODAY()&gt;AG518,"Review Overdue",IF(AG518-TODAY()&lt;=30,"Review Due Soon","Active"))))</f>
        <v/>
      </c>
      <c r="AO518" s="85">
        <f>IF($A518="","",IF(AH518="","NOT REVIEWED",IF(TODAY()-AH518&gt;90,"OVERDUE",IF(TODAY()-AH518&gt;76,"Due Soon","Current"))))</f>
        <v/>
      </c>
    </row>
    <row r="519" ht="15" customHeight="1" s="39">
      <c r="A519" s="85" t="n"/>
      <c r="B519" s="85" t="n"/>
      <c r="C519" s="85" t="n"/>
      <c r="D519" s="85" t="n"/>
      <c r="E519" s="85" t="n"/>
      <c r="F519" s="86" t="n"/>
      <c r="G519" s="86" t="n"/>
      <c r="H519" s="85" t="n"/>
      <c r="I519" s="85" t="n"/>
      <c r="J519" s="85" t="n"/>
      <c r="K519" s="85" t="n"/>
      <c r="L519" s="85" t="n"/>
      <c r="M519" s="85" t="n"/>
      <c r="N519" s="85" t="n"/>
      <c r="O519" s="85" t="n"/>
      <c r="P519" s="85" t="n"/>
      <c r="Q519" s="85" t="n"/>
      <c r="R519" s="85" t="n"/>
      <c r="S519" s="85" t="n"/>
      <c r="T519" s="85" t="n"/>
      <c r="U519" s="85" t="n"/>
      <c r="V519" s="85" t="n"/>
      <c r="W519" s="85" t="n"/>
      <c r="X519" s="85" t="n"/>
      <c r="Y519" s="85" t="n"/>
      <c r="Z519" s="85" t="n"/>
      <c r="AA519" s="85" t="n"/>
      <c r="AB519" s="85" t="n"/>
      <c r="AC519" s="85" t="n"/>
      <c r="AD519" s="85" t="n"/>
      <c r="AE519" s="85" t="n"/>
      <c r="AF519" s="86" t="n"/>
      <c r="AG519" s="86" t="n"/>
      <c r="AH519" s="86" t="n"/>
      <c r="AI519" s="85" t="n"/>
      <c r="AJ519" s="85" t="n"/>
      <c r="AK519" s="85">
        <f>IF($A519="","",IF($M519&gt;0,"Yes","No"))</f>
        <v/>
      </c>
      <c r="AL519" s="85">
        <f>IF($A519="","",IF(AND($E519="Yes",OR($Y519="No",$Y519="NOT FOUND")),"YES",""))</f>
        <v/>
      </c>
      <c r="AM519" s="85">
        <f>IF($A519="","",TRIM(IF(AND($P519=0,$I519&lt;&gt;"Yes"),"T0-NoPhishResistant ","")&amp;IF($H519="No","NoMFA ","")&amp;IF(AND($P519=0,$M519&gt;0),"T0-Standing ","")&amp;IF(AND($P519=0,$Q519="Group only"),"T0-ViaGroupOnly ","")&amp;IF($W519="Yes","AlsoAzureRBAC ","")))</f>
        <v/>
      </c>
      <c r="AN519" s="85">
        <f>IF($A519="","",IF(AG519="","Not Enrolled",IF(TODAY()&gt;AG519,"Review Overdue",IF(AG519-TODAY()&lt;=30,"Review Due Soon","Active"))))</f>
        <v/>
      </c>
      <c r="AO519" s="85">
        <f>IF($A519="","",IF(AH519="","NOT REVIEWED",IF(TODAY()-AH519&gt;90,"OVERDUE",IF(TODAY()-AH519&gt;76,"Due Soon","Current"))))</f>
        <v/>
      </c>
    </row>
    <row r="520" ht="15" customHeight="1" s="39">
      <c r="A520" s="85" t="n"/>
      <c r="B520" s="85" t="n"/>
      <c r="C520" s="85" t="n"/>
      <c r="D520" s="85" t="n"/>
      <c r="E520" s="85" t="n"/>
      <c r="F520" s="86" t="n"/>
      <c r="G520" s="86" t="n"/>
      <c r="H520" s="85" t="n"/>
      <c r="I520" s="85" t="n"/>
      <c r="J520" s="85" t="n"/>
      <c r="K520" s="85" t="n"/>
      <c r="L520" s="85" t="n"/>
      <c r="M520" s="85" t="n"/>
      <c r="N520" s="85" t="n"/>
      <c r="O520" s="85" t="n"/>
      <c r="P520" s="85" t="n"/>
      <c r="Q520" s="85" t="n"/>
      <c r="R520" s="85" t="n"/>
      <c r="S520" s="85" t="n"/>
      <c r="T520" s="85" t="n"/>
      <c r="U520" s="85" t="n"/>
      <c r="V520" s="85" t="n"/>
      <c r="W520" s="85" t="n"/>
      <c r="X520" s="85" t="n"/>
      <c r="Y520" s="85" t="n"/>
      <c r="Z520" s="85" t="n"/>
      <c r="AA520" s="85" t="n"/>
      <c r="AB520" s="85" t="n"/>
      <c r="AC520" s="85" t="n"/>
      <c r="AD520" s="85" t="n"/>
      <c r="AE520" s="85" t="n"/>
      <c r="AF520" s="86" t="n"/>
      <c r="AG520" s="86" t="n"/>
      <c r="AH520" s="86" t="n"/>
      <c r="AI520" s="85" t="n"/>
      <c r="AJ520" s="85" t="n"/>
      <c r="AK520" s="85">
        <f>IF($A520="","",IF($M520&gt;0,"Yes","No"))</f>
        <v/>
      </c>
      <c r="AL520" s="85">
        <f>IF($A520="","",IF(AND($E520="Yes",OR($Y520="No",$Y520="NOT FOUND")),"YES",""))</f>
        <v/>
      </c>
      <c r="AM520" s="85">
        <f>IF($A520="","",TRIM(IF(AND($P520=0,$I520&lt;&gt;"Yes"),"T0-NoPhishResistant ","")&amp;IF($H520="No","NoMFA ","")&amp;IF(AND($P520=0,$M520&gt;0),"T0-Standing ","")&amp;IF(AND($P520=0,$Q520="Group only"),"T0-ViaGroupOnly ","")&amp;IF($W520="Yes","AlsoAzureRBAC ","")))</f>
        <v/>
      </c>
      <c r="AN520" s="85">
        <f>IF($A520="","",IF(AG520="","Not Enrolled",IF(TODAY()&gt;AG520,"Review Overdue",IF(AG520-TODAY()&lt;=30,"Review Due Soon","Active"))))</f>
        <v/>
      </c>
      <c r="AO520" s="85">
        <f>IF($A520="","",IF(AH520="","NOT REVIEWED",IF(TODAY()-AH520&gt;90,"OVERDUE",IF(TODAY()-AH520&gt;76,"Due Soon","Current"))))</f>
        <v/>
      </c>
    </row>
    <row r="521" ht="15" customHeight="1" s="39">
      <c r="A521" s="85" t="n"/>
      <c r="B521" s="85" t="n"/>
      <c r="C521" s="85" t="n"/>
      <c r="D521" s="85" t="n"/>
      <c r="E521" s="85" t="n"/>
      <c r="F521" s="86" t="n"/>
      <c r="G521" s="86" t="n"/>
      <c r="H521" s="85" t="n"/>
      <c r="I521" s="85" t="n"/>
      <c r="J521" s="85" t="n"/>
      <c r="K521" s="85" t="n"/>
      <c r="L521" s="85" t="n"/>
      <c r="M521" s="85" t="n"/>
      <c r="N521" s="85" t="n"/>
      <c r="O521" s="85" t="n"/>
      <c r="P521" s="85" t="n"/>
      <c r="Q521" s="85" t="n"/>
      <c r="R521" s="85" t="n"/>
      <c r="S521" s="85" t="n"/>
      <c r="T521" s="85" t="n"/>
      <c r="U521" s="85" t="n"/>
      <c r="V521" s="85" t="n"/>
      <c r="W521" s="85" t="n"/>
      <c r="X521" s="85" t="n"/>
      <c r="Y521" s="85" t="n"/>
      <c r="Z521" s="85" t="n"/>
      <c r="AA521" s="85" t="n"/>
      <c r="AB521" s="85" t="n"/>
      <c r="AC521" s="85" t="n"/>
      <c r="AD521" s="85" t="n"/>
      <c r="AE521" s="85" t="n"/>
      <c r="AF521" s="86" t="n"/>
      <c r="AG521" s="86" t="n"/>
      <c r="AH521" s="86" t="n"/>
      <c r="AI521" s="85" t="n"/>
      <c r="AJ521" s="85" t="n"/>
      <c r="AK521" s="85">
        <f>IF($A521="","",IF($M521&gt;0,"Yes","No"))</f>
        <v/>
      </c>
      <c r="AL521" s="85">
        <f>IF($A521="","",IF(AND($E521="Yes",OR($Y521="No",$Y521="NOT FOUND")),"YES",""))</f>
        <v/>
      </c>
      <c r="AM521" s="85">
        <f>IF($A521="","",TRIM(IF(AND($P521=0,$I521&lt;&gt;"Yes"),"T0-NoPhishResistant ","")&amp;IF($H521="No","NoMFA ","")&amp;IF(AND($P521=0,$M521&gt;0),"T0-Standing ","")&amp;IF(AND($P521=0,$Q521="Group only"),"T0-ViaGroupOnly ","")&amp;IF($W521="Yes","AlsoAzureRBAC ","")))</f>
        <v/>
      </c>
      <c r="AN521" s="85">
        <f>IF($A521="","",IF(AG521="","Not Enrolled",IF(TODAY()&gt;AG521,"Review Overdue",IF(AG521-TODAY()&lt;=30,"Review Due Soon","Active"))))</f>
        <v/>
      </c>
      <c r="AO521" s="85">
        <f>IF($A521="","",IF(AH521="","NOT REVIEWED",IF(TODAY()-AH521&gt;90,"OVERDUE",IF(TODAY()-AH521&gt;76,"Due Soon","Current"))))</f>
        <v/>
      </c>
    </row>
    <row r="522" ht="15" customHeight="1" s="39">
      <c r="A522" s="85" t="n"/>
      <c r="B522" s="85" t="n"/>
      <c r="C522" s="85" t="n"/>
      <c r="D522" s="85" t="n"/>
      <c r="E522" s="85" t="n"/>
      <c r="F522" s="86" t="n"/>
      <c r="G522" s="86" t="n"/>
      <c r="H522" s="85" t="n"/>
      <c r="I522" s="85" t="n"/>
      <c r="J522" s="85" t="n"/>
      <c r="K522" s="85" t="n"/>
      <c r="L522" s="85" t="n"/>
      <c r="M522" s="85" t="n"/>
      <c r="N522" s="85" t="n"/>
      <c r="O522" s="85" t="n"/>
      <c r="P522" s="85" t="n"/>
      <c r="Q522" s="85" t="n"/>
      <c r="R522" s="85" t="n"/>
      <c r="S522" s="85" t="n"/>
      <c r="T522" s="85" t="n"/>
      <c r="U522" s="85" t="n"/>
      <c r="V522" s="85" t="n"/>
      <c r="W522" s="85" t="n"/>
      <c r="X522" s="85" t="n"/>
      <c r="Y522" s="85" t="n"/>
      <c r="Z522" s="85" t="n"/>
      <c r="AA522" s="85" t="n"/>
      <c r="AB522" s="85" t="n"/>
      <c r="AC522" s="85" t="n"/>
      <c r="AD522" s="85" t="n"/>
      <c r="AE522" s="85" t="n"/>
      <c r="AF522" s="86" t="n"/>
      <c r="AG522" s="86" t="n"/>
      <c r="AH522" s="86" t="n"/>
      <c r="AI522" s="85" t="n"/>
      <c r="AJ522" s="85" t="n"/>
      <c r="AK522" s="85">
        <f>IF($A522="","",IF($M522&gt;0,"Yes","No"))</f>
        <v/>
      </c>
      <c r="AL522" s="85">
        <f>IF($A522="","",IF(AND($E522="Yes",OR($Y522="No",$Y522="NOT FOUND")),"YES",""))</f>
        <v/>
      </c>
      <c r="AM522" s="85">
        <f>IF($A522="","",TRIM(IF(AND($P522=0,$I522&lt;&gt;"Yes"),"T0-NoPhishResistant ","")&amp;IF($H522="No","NoMFA ","")&amp;IF(AND($P522=0,$M522&gt;0),"T0-Standing ","")&amp;IF(AND($P522=0,$Q522="Group only"),"T0-ViaGroupOnly ","")&amp;IF($W522="Yes","AlsoAzureRBAC ","")))</f>
        <v/>
      </c>
      <c r="AN522" s="85">
        <f>IF($A522="","",IF(AG522="","Not Enrolled",IF(TODAY()&gt;AG522,"Review Overdue",IF(AG522-TODAY()&lt;=30,"Review Due Soon","Active"))))</f>
        <v/>
      </c>
      <c r="AO522" s="85">
        <f>IF($A522="","",IF(AH522="","NOT REVIEWED",IF(TODAY()-AH522&gt;90,"OVERDUE",IF(TODAY()-AH522&gt;76,"Due Soon","Current"))))</f>
        <v/>
      </c>
    </row>
    <row r="523" ht="15" customHeight="1" s="39">
      <c r="A523" s="85" t="n"/>
      <c r="B523" s="85" t="n"/>
      <c r="C523" s="85" t="n"/>
      <c r="D523" s="85" t="n"/>
      <c r="E523" s="85" t="n"/>
      <c r="F523" s="86" t="n"/>
      <c r="G523" s="86" t="n"/>
      <c r="H523" s="85" t="n"/>
      <c r="I523" s="85" t="n"/>
      <c r="J523" s="85" t="n"/>
      <c r="K523" s="85" t="n"/>
      <c r="L523" s="85" t="n"/>
      <c r="M523" s="85" t="n"/>
      <c r="N523" s="85" t="n"/>
      <c r="O523" s="85" t="n"/>
      <c r="P523" s="85" t="n"/>
      <c r="Q523" s="85" t="n"/>
      <c r="R523" s="85" t="n"/>
      <c r="S523" s="85" t="n"/>
      <c r="T523" s="85" t="n"/>
      <c r="U523" s="85" t="n"/>
      <c r="V523" s="85" t="n"/>
      <c r="W523" s="85" t="n"/>
      <c r="X523" s="85" t="n"/>
      <c r="Y523" s="85" t="n"/>
      <c r="Z523" s="85" t="n"/>
      <c r="AA523" s="85" t="n"/>
      <c r="AB523" s="85" t="n"/>
      <c r="AC523" s="85" t="n"/>
      <c r="AD523" s="85" t="n"/>
      <c r="AE523" s="85" t="n"/>
      <c r="AF523" s="86" t="n"/>
      <c r="AG523" s="86" t="n"/>
      <c r="AH523" s="86" t="n"/>
      <c r="AI523" s="85" t="n"/>
      <c r="AJ523" s="85" t="n"/>
      <c r="AK523" s="85">
        <f>IF($A523="","",IF($M523&gt;0,"Yes","No"))</f>
        <v/>
      </c>
      <c r="AL523" s="85">
        <f>IF($A523="","",IF(AND($E523="Yes",OR($Y523="No",$Y523="NOT FOUND")),"YES",""))</f>
        <v/>
      </c>
      <c r="AM523" s="85">
        <f>IF($A523="","",TRIM(IF(AND($P523=0,$I523&lt;&gt;"Yes"),"T0-NoPhishResistant ","")&amp;IF($H523="No","NoMFA ","")&amp;IF(AND($P523=0,$M523&gt;0),"T0-Standing ","")&amp;IF(AND($P523=0,$Q523="Group only"),"T0-ViaGroupOnly ","")&amp;IF($W523="Yes","AlsoAzureRBAC ","")))</f>
        <v/>
      </c>
      <c r="AN523" s="85">
        <f>IF($A523="","",IF(AG523="","Not Enrolled",IF(TODAY()&gt;AG523,"Review Overdue",IF(AG523-TODAY()&lt;=30,"Review Due Soon","Active"))))</f>
        <v/>
      </c>
      <c r="AO523" s="85">
        <f>IF($A523="","",IF(AH523="","NOT REVIEWED",IF(TODAY()-AH523&gt;90,"OVERDUE",IF(TODAY()-AH523&gt;76,"Due Soon","Current"))))</f>
        <v/>
      </c>
    </row>
    <row r="524" ht="15" customHeight="1" s="39">
      <c r="A524" s="85" t="n"/>
      <c r="B524" s="85" t="n"/>
      <c r="C524" s="85" t="n"/>
      <c r="D524" s="85" t="n"/>
      <c r="E524" s="85" t="n"/>
      <c r="F524" s="86" t="n"/>
      <c r="G524" s="86" t="n"/>
      <c r="H524" s="85" t="n"/>
      <c r="I524" s="85" t="n"/>
      <c r="J524" s="85" t="n"/>
      <c r="K524" s="85" t="n"/>
      <c r="L524" s="85" t="n"/>
      <c r="M524" s="85" t="n"/>
      <c r="N524" s="85" t="n"/>
      <c r="O524" s="85" t="n"/>
      <c r="P524" s="85" t="n"/>
      <c r="Q524" s="85" t="n"/>
      <c r="R524" s="85" t="n"/>
      <c r="S524" s="85" t="n"/>
      <c r="T524" s="85" t="n"/>
      <c r="U524" s="85" t="n"/>
      <c r="V524" s="85" t="n"/>
      <c r="W524" s="85" t="n"/>
      <c r="X524" s="85" t="n"/>
      <c r="Y524" s="85" t="n"/>
      <c r="Z524" s="85" t="n"/>
      <c r="AA524" s="85" t="n"/>
      <c r="AB524" s="85" t="n"/>
      <c r="AC524" s="85" t="n"/>
      <c r="AD524" s="85" t="n"/>
      <c r="AE524" s="85" t="n"/>
      <c r="AF524" s="86" t="n"/>
      <c r="AG524" s="86" t="n"/>
      <c r="AH524" s="86" t="n"/>
      <c r="AI524" s="85" t="n"/>
      <c r="AJ524" s="85" t="n"/>
      <c r="AK524" s="85">
        <f>IF($A524="","",IF($M524&gt;0,"Yes","No"))</f>
        <v/>
      </c>
      <c r="AL524" s="85">
        <f>IF($A524="","",IF(AND($E524="Yes",OR($Y524="No",$Y524="NOT FOUND")),"YES",""))</f>
        <v/>
      </c>
      <c r="AM524" s="85">
        <f>IF($A524="","",TRIM(IF(AND($P524=0,$I524&lt;&gt;"Yes"),"T0-NoPhishResistant ","")&amp;IF($H524="No","NoMFA ","")&amp;IF(AND($P524=0,$M524&gt;0),"T0-Standing ","")&amp;IF(AND($P524=0,$Q524="Group only"),"T0-ViaGroupOnly ","")&amp;IF($W524="Yes","AlsoAzureRBAC ","")))</f>
        <v/>
      </c>
      <c r="AN524" s="85">
        <f>IF($A524="","",IF(AG524="","Not Enrolled",IF(TODAY()&gt;AG524,"Review Overdue",IF(AG524-TODAY()&lt;=30,"Review Due Soon","Active"))))</f>
        <v/>
      </c>
      <c r="AO524" s="85">
        <f>IF($A524="","",IF(AH524="","NOT REVIEWED",IF(TODAY()-AH524&gt;90,"OVERDUE",IF(TODAY()-AH524&gt;76,"Due Soon","Current"))))</f>
        <v/>
      </c>
    </row>
    <row r="525" ht="15" customHeight="1" s="39">
      <c r="A525" s="85" t="n"/>
      <c r="B525" s="85" t="n"/>
      <c r="C525" s="85" t="n"/>
      <c r="D525" s="85" t="n"/>
      <c r="E525" s="85" t="n"/>
      <c r="F525" s="86" t="n"/>
      <c r="G525" s="86" t="n"/>
      <c r="H525" s="85" t="n"/>
      <c r="I525" s="85" t="n"/>
      <c r="J525" s="85" t="n"/>
      <c r="K525" s="85" t="n"/>
      <c r="L525" s="85" t="n"/>
      <c r="M525" s="85" t="n"/>
      <c r="N525" s="85" t="n"/>
      <c r="O525" s="85" t="n"/>
      <c r="P525" s="85" t="n"/>
      <c r="Q525" s="85" t="n"/>
      <c r="R525" s="85" t="n"/>
      <c r="S525" s="85" t="n"/>
      <c r="T525" s="85" t="n"/>
      <c r="U525" s="85" t="n"/>
      <c r="V525" s="85" t="n"/>
      <c r="W525" s="85" t="n"/>
      <c r="X525" s="85" t="n"/>
      <c r="Y525" s="85" t="n"/>
      <c r="Z525" s="85" t="n"/>
      <c r="AA525" s="85" t="n"/>
      <c r="AB525" s="85" t="n"/>
      <c r="AC525" s="85" t="n"/>
      <c r="AD525" s="85" t="n"/>
      <c r="AE525" s="85" t="n"/>
      <c r="AF525" s="86" t="n"/>
      <c r="AG525" s="86" t="n"/>
      <c r="AH525" s="86" t="n"/>
      <c r="AI525" s="85" t="n"/>
      <c r="AJ525" s="85" t="n"/>
      <c r="AK525" s="85">
        <f>IF($A525="","",IF($M525&gt;0,"Yes","No"))</f>
        <v/>
      </c>
      <c r="AL525" s="85">
        <f>IF($A525="","",IF(AND($E525="Yes",OR($Y525="No",$Y525="NOT FOUND")),"YES",""))</f>
        <v/>
      </c>
      <c r="AM525" s="85">
        <f>IF($A525="","",TRIM(IF(AND($P525=0,$I525&lt;&gt;"Yes"),"T0-NoPhishResistant ","")&amp;IF($H525="No","NoMFA ","")&amp;IF(AND($P525=0,$M525&gt;0),"T0-Standing ","")&amp;IF(AND($P525=0,$Q525="Group only"),"T0-ViaGroupOnly ","")&amp;IF($W525="Yes","AlsoAzureRBAC ","")))</f>
        <v/>
      </c>
      <c r="AN525" s="85">
        <f>IF($A525="","",IF(AG525="","Not Enrolled",IF(TODAY()&gt;AG525,"Review Overdue",IF(AG525-TODAY()&lt;=30,"Review Due Soon","Active"))))</f>
        <v/>
      </c>
      <c r="AO525" s="85">
        <f>IF($A525="","",IF(AH525="","NOT REVIEWED",IF(TODAY()-AH525&gt;90,"OVERDUE",IF(TODAY()-AH525&gt;76,"Due Soon","Current"))))</f>
        <v/>
      </c>
    </row>
    <row r="526" ht="15" customHeight="1" s="39">
      <c r="A526" s="85" t="n"/>
      <c r="B526" s="85" t="n"/>
      <c r="C526" s="85" t="n"/>
      <c r="D526" s="85" t="n"/>
      <c r="E526" s="85" t="n"/>
      <c r="F526" s="86" t="n"/>
      <c r="G526" s="86" t="n"/>
      <c r="H526" s="85" t="n"/>
      <c r="I526" s="85" t="n"/>
      <c r="J526" s="85" t="n"/>
      <c r="K526" s="85" t="n"/>
      <c r="L526" s="85" t="n"/>
      <c r="M526" s="85" t="n"/>
      <c r="N526" s="85" t="n"/>
      <c r="O526" s="85" t="n"/>
      <c r="P526" s="85" t="n"/>
      <c r="Q526" s="85" t="n"/>
      <c r="R526" s="85" t="n"/>
      <c r="S526" s="85" t="n"/>
      <c r="T526" s="85" t="n"/>
      <c r="U526" s="85" t="n"/>
      <c r="V526" s="85" t="n"/>
      <c r="W526" s="85" t="n"/>
      <c r="X526" s="85" t="n"/>
      <c r="Y526" s="85" t="n"/>
      <c r="Z526" s="85" t="n"/>
      <c r="AA526" s="85" t="n"/>
      <c r="AB526" s="85" t="n"/>
      <c r="AC526" s="85" t="n"/>
      <c r="AD526" s="85" t="n"/>
      <c r="AE526" s="85" t="n"/>
      <c r="AF526" s="86" t="n"/>
      <c r="AG526" s="86" t="n"/>
      <c r="AH526" s="86" t="n"/>
      <c r="AI526" s="85" t="n"/>
      <c r="AJ526" s="85" t="n"/>
      <c r="AK526" s="85">
        <f>IF($A526="","",IF($M526&gt;0,"Yes","No"))</f>
        <v/>
      </c>
      <c r="AL526" s="85">
        <f>IF($A526="","",IF(AND($E526="Yes",OR($Y526="No",$Y526="NOT FOUND")),"YES",""))</f>
        <v/>
      </c>
      <c r="AM526" s="85">
        <f>IF($A526="","",TRIM(IF(AND($P526=0,$I526&lt;&gt;"Yes"),"T0-NoPhishResistant ","")&amp;IF($H526="No","NoMFA ","")&amp;IF(AND($P526=0,$M526&gt;0),"T0-Standing ","")&amp;IF(AND($P526=0,$Q526="Group only"),"T0-ViaGroupOnly ","")&amp;IF($W526="Yes","AlsoAzureRBAC ","")))</f>
        <v/>
      </c>
      <c r="AN526" s="85">
        <f>IF($A526="","",IF(AG526="","Not Enrolled",IF(TODAY()&gt;AG526,"Review Overdue",IF(AG526-TODAY()&lt;=30,"Review Due Soon","Active"))))</f>
        <v/>
      </c>
      <c r="AO526" s="85">
        <f>IF($A526="","",IF(AH526="","NOT REVIEWED",IF(TODAY()-AH526&gt;90,"OVERDUE",IF(TODAY()-AH526&gt;76,"Due Soon","Current"))))</f>
        <v/>
      </c>
    </row>
    <row r="527" ht="15" customHeight="1" s="39">
      <c r="A527" s="85" t="n"/>
      <c r="B527" s="85" t="n"/>
      <c r="C527" s="85" t="n"/>
      <c r="D527" s="85" t="n"/>
      <c r="E527" s="85" t="n"/>
      <c r="F527" s="86" t="n"/>
      <c r="G527" s="86" t="n"/>
      <c r="H527" s="85" t="n"/>
      <c r="I527" s="85" t="n"/>
      <c r="J527" s="85" t="n"/>
      <c r="K527" s="85" t="n"/>
      <c r="L527" s="85" t="n"/>
      <c r="M527" s="85" t="n"/>
      <c r="N527" s="85" t="n"/>
      <c r="O527" s="85" t="n"/>
      <c r="P527" s="85" t="n"/>
      <c r="Q527" s="85" t="n"/>
      <c r="R527" s="85" t="n"/>
      <c r="S527" s="85" t="n"/>
      <c r="T527" s="85" t="n"/>
      <c r="U527" s="85" t="n"/>
      <c r="V527" s="85" t="n"/>
      <c r="W527" s="85" t="n"/>
      <c r="X527" s="85" t="n"/>
      <c r="Y527" s="85" t="n"/>
      <c r="Z527" s="85" t="n"/>
      <c r="AA527" s="85" t="n"/>
      <c r="AB527" s="85" t="n"/>
      <c r="AC527" s="85" t="n"/>
      <c r="AD527" s="85" t="n"/>
      <c r="AE527" s="85" t="n"/>
      <c r="AF527" s="86" t="n"/>
      <c r="AG527" s="86" t="n"/>
      <c r="AH527" s="86" t="n"/>
      <c r="AI527" s="85" t="n"/>
      <c r="AJ527" s="85" t="n"/>
      <c r="AK527" s="85">
        <f>IF($A527="","",IF($M527&gt;0,"Yes","No"))</f>
        <v/>
      </c>
      <c r="AL527" s="85">
        <f>IF($A527="","",IF(AND($E527="Yes",OR($Y527="No",$Y527="NOT FOUND")),"YES",""))</f>
        <v/>
      </c>
      <c r="AM527" s="85">
        <f>IF($A527="","",TRIM(IF(AND($P527=0,$I527&lt;&gt;"Yes"),"T0-NoPhishResistant ","")&amp;IF($H527="No","NoMFA ","")&amp;IF(AND($P527=0,$M527&gt;0),"T0-Standing ","")&amp;IF(AND($P527=0,$Q527="Group only"),"T0-ViaGroupOnly ","")&amp;IF($W527="Yes","AlsoAzureRBAC ","")))</f>
        <v/>
      </c>
      <c r="AN527" s="85">
        <f>IF($A527="","",IF(AG527="","Not Enrolled",IF(TODAY()&gt;AG527,"Review Overdue",IF(AG527-TODAY()&lt;=30,"Review Due Soon","Active"))))</f>
        <v/>
      </c>
      <c r="AO527" s="85">
        <f>IF($A527="","",IF(AH527="","NOT REVIEWED",IF(TODAY()-AH527&gt;90,"OVERDUE",IF(TODAY()-AH527&gt;76,"Due Soon","Current"))))</f>
        <v/>
      </c>
    </row>
    <row r="528" ht="15" customHeight="1" s="39">
      <c r="A528" s="85" t="n"/>
      <c r="B528" s="85" t="n"/>
      <c r="C528" s="85" t="n"/>
      <c r="D528" s="85" t="n"/>
      <c r="E528" s="85" t="n"/>
      <c r="F528" s="86" t="n"/>
      <c r="G528" s="86" t="n"/>
      <c r="H528" s="85" t="n"/>
      <c r="I528" s="85" t="n"/>
      <c r="J528" s="85" t="n"/>
      <c r="K528" s="85" t="n"/>
      <c r="L528" s="85" t="n"/>
      <c r="M528" s="85" t="n"/>
      <c r="N528" s="85" t="n"/>
      <c r="O528" s="85" t="n"/>
      <c r="P528" s="85" t="n"/>
      <c r="Q528" s="85" t="n"/>
      <c r="R528" s="85" t="n"/>
      <c r="S528" s="85" t="n"/>
      <c r="T528" s="85" t="n"/>
      <c r="U528" s="85" t="n"/>
      <c r="V528" s="85" t="n"/>
      <c r="W528" s="85" t="n"/>
      <c r="X528" s="85" t="n"/>
      <c r="Y528" s="85" t="n"/>
      <c r="Z528" s="85" t="n"/>
      <c r="AA528" s="85" t="n"/>
      <c r="AB528" s="85" t="n"/>
      <c r="AC528" s="85" t="n"/>
      <c r="AD528" s="85" t="n"/>
      <c r="AE528" s="85" t="n"/>
      <c r="AF528" s="86" t="n"/>
      <c r="AG528" s="86" t="n"/>
      <c r="AH528" s="86" t="n"/>
      <c r="AI528" s="85" t="n"/>
      <c r="AJ528" s="85" t="n"/>
      <c r="AK528" s="85">
        <f>IF($A528="","",IF($M528&gt;0,"Yes","No"))</f>
        <v/>
      </c>
      <c r="AL528" s="85">
        <f>IF($A528="","",IF(AND($E528="Yes",OR($Y528="No",$Y528="NOT FOUND")),"YES",""))</f>
        <v/>
      </c>
      <c r="AM528" s="85">
        <f>IF($A528="","",TRIM(IF(AND($P528=0,$I528&lt;&gt;"Yes"),"T0-NoPhishResistant ","")&amp;IF($H528="No","NoMFA ","")&amp;IF(AND($P528=0,$M528&gt;0),"T0-Standing ","")&amp;IF(AND($P528=0,$Q528="Group only"),"T0-ViaGroupOnly ","")&amp;IF($W528="Yes","AlsoAzureRBAC ","")))</f>
        <v/>
      </c>
      <c r="AN528" s="85">
        <f>IF($A528="","",IF(AG528="","Not Enrolled",IF(TODAY()&gt;AG528,"Review Overdue",IF(AG528-TODAY()&lt;=30,"Review Due Soon","Active"))))</f>
        <v/>
      </c>
      <c r="AO528" s="85">
        <f>IF($A528="","",IF(AH528="","NOT REVIEWED",IF(TODAY()-AH528&gt;90,"OVERDUE",IF(TODAY()-AH528&gt;76,"Due Soon","Current"))))</f>
        <v/>
      </c>
    </row>
    <row r="529" ht="15" customHeight="1" s="39">
      <c r="A529" s="85" t="n"/>
      <c r="B529" s="85" t="n"/>
      <c r="C529" s="85" t="n"/>
      <c r="D529" s="85" t="n"/>
      <c r="E529" s="85" t="n"/>
      <c r="F529" s="86" t="n"/>
      <c r="G529" s="86" t="n"/>
      <c r="H529" s="85" t="n"/>
      <c r="I529" s="85" t="n"/>
      <c r="J529" s="85" t="n"/>
      <c r="K529" s="85" t="n"/>
      <c r="L529" s="85" t="n"/>
      <c r="M529" s="85" t="n"/>
      <c r="N529" s="85" t="n"/>
      <c r="O529" s="85" t="n"/>
      <c r="P529" s="85" t="n"/>
      <c r="Q529" s="85" t="n"/>
      <c r="R529" s="85" t="n"/>
      <c r="S529" s="85" t="n"/>
      <c r="T529" s="85" t="n"/>
      <c r="U529" s="85" t="n"/>
      <c r="V529" s="85" t="n"/>
      <c r="W529" s="85" t="n"/>
      <c r="X529" s="85" t="n"/>
      <c r="Y529" s="85" t="n"/>
      <c r="Z529" s="85" t="n"/>
      <c r="AA529" s="85" t="n"/>
      <c r="AB529" s="85" t="n"/>
      <c r="AC529" s="85" t="n"/>
      <c r="AD529" s="85" t="n"/>
      <c r="AE529" s="85" t="n"/>
      <c r="AF529" s="86" t="n"/>
      <c r="AG529" s="86" t="n"/>
      <c r="AH529" s="86" t="n"/>
      <c r="AI529" s="85" t="n"/>
      <c r="AJ529" s="85" t="n"/>
      <c r="AK529" s="85">
        <f>IF($A529="","",IF($M529&gt;0,"Yes","No"))</f>
        <v/>
      </c>
      <c r="AL529" s="85">
        <f>IF($A529="","",IF(AND($E529="Yes",OR($Y529="No",$Y529="NOT FOUND")),"YES",""))</f>
        <v/>
      </c>
      <c r="AM529" s="85">
        <f>IF($A529="","",TRIM(IF(AND($P529=0,$I529&lt;&gt;"Yes"),"T0-NoPhishResistant ","")&amp;IF($H529="No","NoMFA ","")&amp;IF(AND($P529=0,$M529&gt;0),"T0-Standing ","")&amp;IF(AND($P529=0,$Q529="Group only"),"T0-ViaGroupOnly ","")&amp;IF($W529="Yes","AlsoAzureRBAC ","")))</f>
        <v/>
      </c>
      <c r="AN529" s="85">
        <f>IF($A529="","",IF(AG529="","Not Enrolled",IF(TODAY()&gt;AG529,"Review Overdue",IF(AG529-TODAY()&lt;=30,"Review Due Soon","Active"))))</f>
        <v/>
      </c>
      <c r="AO529" s="85">
        <f>IF($A529="","",IF(AH529="","NOT REVIEWED",IF(TODAY()-AH529&gt;90,"OVERDUE",IF(TODAY()-AH529&gt;76,"Due Soon","Current"))))</f>
        <v/>
      </c>
    </row>
    <row r="530" ht="15" customHeight="1" s="39">
      <c r="A530" s="85" t="n"/>
      <c r="B530" s="85" t="n"/>
      <c r="C530" s="85" t="n"/>
      <c r="D530" s="85" t="n"/>
      <c r="E530" s="85" t="n"/>
      <c r="F530" s="86" t="n"/>
      <c r="G530" s="86" t="n"/>
      <c r="H530" s="85" t="n"/>
      <c r="I530" s="85" t="n"/>
      <c r="J530" s="85" t="n"/>
      <c r="K530" s="85" t="n"/>
      <c r="L530" s="85" t="n"/>
      <c r="M530" s="85" t="n"/>
      <c r="N530" s="85" t="n"/>
      <c r="O530" s="85" t="n"/>
      <c r="P530" s="85" t="n"/>
      <c r="Q530" s="85" t="n"/>
      <c r="R530" s="85" t="n"/>
      <c r="S530" s="85" t="n"/>
      <c r="T530" s="85" t="n"/>
      <c r="U530" s="85" t="n"/>
      <c r="V530" s="85" t="n"/>
      <c r="W530" s="85" t="n"/>
      <c r="X530" s="85" t="n"/>
      <c r="Y530" s="85" t="n"/>
      <c r="Z530" s="85" t="n"/>
      <c r="AA530" s="85" t="n"/>
      <c r="AB530" s="85" t="n"/>
      <c r="AC530" s="85" t="n"/>
      <c r="AD530" s="85" t="n"/>
      <c r="AE530" s="85" t="n"/>
      <c r="AF530" s="86" t="n"/>
      <c r="AG530" s="86" t="n"/>
      <c r="AH530" s="86" t="n"/>
      <c r="AI530" s="85" t="n"/>
      <c r="AJ530" s="85" t="n"/>
      <c r="AK530" s="85">
        <f>IF($A530="","",IF($M530&gt;0,"Yes","No"))</f>
        <v/>
      </c>
      <c r="AL530" s="85">
        <f>IF($A530="","",IF(AND($E530="Yes",OR($Y530="No",$Y530="NOT FOUND")),"YES",""))</f>
        <v/>
      </c>
      <c r="AM530" s="85">
        <f>IF($A530="","",TRIM(IF(AND($P530=0,$I530&lt;&gt;"Yes"),"T0-NoPhishResistant ","")&amp;IF($H530="No","NoMFA ","")&amp;IF(AND($P530=0,$M530&gt;0),"T0-Standing ","")&amp;IF(AND($P530=0,$Q530="Group only"),"T0-ViaGroupOnly ","")&amp;IF($W530="Yes","AlsoAzureRBAC ","")))</f>
        <v/>
      </c>
      <c r="AN530" s="85">
        <f>IF($A530="","",IF(AG530="","Not Enrolled",IF(TODAY()&gt;AG530,"Review Overdue",IF(AG530-TODAY()&lt;=30,"Review Due Soon","Active"))))</f>
        <v/>
      </c>
      <c r="AO530" s="85">
        <f>IF($A530="","",IF(AH530="","NOT REVIEWED",IF(TODAY()-AH530&gt;90,"OVERDUE",IF(TODAY()-AH530&gt;76,"Due Soon","Current"))))</f>
        <v/>
      </c>
    </row>
    <row r="531" ht="15" customHeight="1" s="39">
      <c r="A531" s="85" t="n"/>
      <c r="B531" s="85" t="n"/>
      <c r="C531" s="85" t="n"/>
      <c r="D531" s="85" t="n"/>
      <c r="E531" s="85" t="n"/>
      <c r="F531" s="86" t="n"/>
      <c r="G531" s="86" t="n"/>
      <c r="H531" s="85" t="n"/>
      <c r="I531" s="85" t="n"/>
      <c r="J531" s="85" t="n"/>
      <c r="K531" s="85" t="n"/>
      <c r="L531" s="85" t="n"/>
      <c r="M531" s="85" t="n"/>
      <c r="N531" s="85" t="n"/>
      <c r="O531" s="85" t="n"/>
      <c r="P531" s="85" t="n"/>
      <c r="Q531" s="85" t="n"/>
      <c r="R531" s="85" t="n"/>
      <c r="S531" s="85" t="n"/>
      <c r="T531" s="85" t="n"/>
      <c r="U531" s="85" t="n"/>
      <c r="V531" s="85" t="n"/>
      <c r="W531" s="85" t="n"/>
      <c r="X531" s="85" t="n"/>
      <c r="Y531" s="85" t="n"/>
      <c r="Z531" s="85" t="n"/>
      <c r="AA531" s="85" t="n"/>
      <c r="AB531" s="85" t="n"/>
      <c r="AC531" s="85" t="n"/>
      <c r="AD531" s="85" t="n"/>
      <c r="AE531" s="85" t="n"/>
      <c r="AF531" s="86" t="n"/>
      <c r="AG531" s="86" t="n"/>
      <c r="AH531" s="86" t="n"/>
      <c r="AI531" s="85" t="n"/>
      <c r="AJ531" s="85" t="n"/>
      <c r="AK531" s="85">
        <f>IF($A531="","",IF($M531&gt;0,"Yes","No"))</f>
        <v/>
      </c>
      <c r="AL531" s="85">
        <f>IF($A531="","",IF(AND($E531="Yes",OR($Y531="No",$Y531="NOT FOUND")),"YES",""))</f>
        <v/>
      </c>
      <c r="AM531" s="85">
        <f>IF($A531="","",TRIM(IF(AND($P531=0,$I531&lt;&gt;"Yes"),"T0-NoPhishResistant ","")&amp;IF($H531="No","NoMFA ","")&amp;IF(AND($P531=0,$M531&gt;0),"T0-Standing ","")&amp;IF(AND($P531=0,$Q531="Group only"),"T0-ViaGroupOnly ","")&amp;IF($W531="Yes","AlsoAzureRBAC ","")))</f>
        <v/>
      </c>
      <c r="AN531" s="85">
        <f>IF($A531="","",IF(AG531="","Not Enrolled",IF(TODAY()&gt;AG531,"Review Overdue",IF(AG531-TODAY()&lt;=30,"Review Due Soon","Active"))))</f>
        <v/>
      </c>
      <c r="AO531" s="85">
        <f>IF($A531="","",IF(AH531="","NOT REVIEWED",IF(TODAY()-AH531&gt;90,"OVERDUE",IF(TODAY()-AH531&gt;76,"Due Soon","Current"))))</f>
        <v/>
      </c>
    </row>
    <row r="532" ht="15" customHeight="1" s="39">
      <c r="A532" s="85" t="n"/>
      <c r="B532" s="85" t="n"/>
      <c r="C532" s="85" t="n"/>
      <c r="D532" s="85" t="n"/>
      <c r="E532" s="85" t="n"/>
      <c r="F532" s="86" t="n"/>
      <c r="G532" s="86" t="n"/>
      <c r="H532" s="85" t="n"/>
      <c r="I532" s="85" t="n"/>
      <c r="J532" s="85" t="n"/>
      <c r="K532" s="85" t="n"/>
      <c r="L532" s="85" t="n"/>
      <c r="M532" s="85" t="n"/>
      <c r="N532" s="85" t="n"/>
      <c r="O532" s="85" t="n"/>
      <c r="P532" s="85" t="n"/>
      <c r="Q532" s="85" t="n"/>
      <c r="R532" s="85" t="n"/>
      <c r="S532" s="85" t="n"/>
      <c r="T532" s="85" t="n"/>
      <c r="U532" s="85" t="n"/>
      <c r="V532" s="85" t="n"/>
      <c r="W532" s="85" t="n"/>
      <c r="X532" s="85" t="n"/>
      <c r="Y532" s="85" t="n"/>
      <c r="Z532" s="85" t="n"/>
      <c r="AA532" s="85" t="n"/>
      <c r="AB532" s="85" t="n"/>
      <c r="AC532" s="85" t="n"/>
      <c r="AD532" s="85" t="n"/>
      <c r="AE532" s="85" t="n"/>
      <c r="AF532" s="86" t="n"/>
      <c r="AG532" s="86" t="n"/>
      <c r="AH532" s="86" t="n"/>
      <c r="AI532" s="85" t="n"/>
      <c r="AJ532" s="85" t="n"/>
      <c r="AK532" s="85">
        <f>IF($A532="","",IF($M532&gt;0,"Yes","No"))</f>
        <v/>
      </c>
      <c r="AL532" s="85">
        <f>IF($A532="","",IF(AND($E532="Yes",OR($Y532="No",$Y532="NOT FOUND")),"YES",""))</f>
        <v/>
      </c>
      <c r="AM532" s="85">
        <f>IF($A532="","",TRIM(IF(AND($P532=0,$I532&lt;&gt;"Yes"),"T0-NoPhishResistant ","")&amp;IF($H532="No","NoMFA ","")&amp;IF(AND($P532=0,$M532&gt;0),"T0-Standing ","")&amp;IF(AND($P532=0,$Q532="Group only"),"T0-ViaGroupOnly ","")&amp;IF($W532="Yes","AlsoAzureRBAC ","")))</f>
        <v/>
      </c>
      <c r="AN532" s="85">
        <f>IF($A532="","",IF(AG532="","Not Enrolled",IF(TODAY()&gt;AG532,"Review Overdue",IF(AG532-TODAY()&lt;=30,"Review Due Soon","Active"))))</f>
        <v/>
      </c>
      <c r="AO532" s="85">
        <f>IF($A532="","",IF(AH532="","NOT REVIEWED",IF(TODAY()-AH532&gt;90,"OVERDUE",IF(TODAY()-AH532&gt;76,"Due Soon","Current"))))</f>
        <v/>
      </c>
    </row>
    <row r="533" ht="15" customHeight="1" s="39">
      <c r="A533" s="85" t="n"/>
      <c r="B533" s="85" t="n"/>
      <c r="C533" s="85" t="n"/>
      <c r="D533" s="85" t="n"/>
      <c r="E533" s="85" t="n"/>
      <c r="F533" s="86" t="n"/>
      <c r="G533" s="86" t="n"/>
      <c r="H533" s="85" t="n"/>
      <c r="I533" s="85" t="n"/>
      <c r="J533" s="85" t="n"/>
      <c r="K533" s="85" t="n"/>
      <c r="L533" s="85" t="n"/>
      <c r="M533" s="85" t="n"/>
      <c r="N533" s="85" t="n"/>
      <c r="O533" s="85" t="n"/>
      <c r="P533" s="85" t="n"/>
      <c r="Q533" s="85" t="n"/>
      <c r="R533" s="85" t="n"/>
      <c r="S533" s="85" t="n"/>
      <c r="T533" s="85" t="n"/>
      <c r="U533" s="85" t="n"/>
      <c r="V533" s="85" t="n"/>
      <c r="W533" s="85" t="n"/>
      <c r="X533" s="85" t="n"/>
      <c r="Y533" s="85" t="n"/>
      <c r="Z533" s="85" t="n"/>
      <c r="AA533" s="85" t="n"/>
      <c r="AB533" s="85" t="n"/>
      <c r="AC533" s="85" t="n"/>
      <c r="AD533" s="85" t="n"/>
      <c r="AE533" s="85" t="n"/>
      <c r="AF533" s="86" t="n"/>
      <c r="AG533" s="86" t="n"/>
      <c r="AH533" s="86" t="n"/>
      <c r="AI533" s="85" t="n"/>
      <c r="AJ533" s="85" t="n"/>
      <c r="AK533" s="85">
        <f>IF($A533="","",IF($M533&gt;0,"Yes","No"))</f>
        <v/>
      </c>
      <c r="AL533" s="85">
        <f>IF($A533="","",IF(AND($E533="Yes",OR($Y533="No",$Y533="NOT FOUND")),"YES",""))</f>
        <v/>
      </c>
      <c r="AM533" s="85">
        <f>IF($A533="","",TRIM(IF(AND($P533=0,$I533&lt;&gt;"Yes"),"T0-NoPhishResistant ","")&amp;IF($H533="No","NoMFA ","")&amp;IF(AND($P533=0,$M533&gt;0),"T0-Standing ","")&amp;IF(AND($P533=0,$Q533="Group only"),"T0-ViaGroupOnly ","")&amp;IF($W533="Yes","AlsoAzureRBAC ","")))</f>
        <v/>
      </c>
      <c r="AN533" s="85">
        <f>IF($A533="","",IF(AG533="","Not Enrolled",IF(TODAY()&gt;AG533,"Review Overdue",IF(AG533-TODAY()&lt;=30,"Review Due Soon","Active"))))</f>
        <v/>
      </c>
      <c r="AO533" s="85">
        <f>IF($A533="","",IF(AH533="","NOT REVIEWED",IF(TODAY()-AH533&gt;90,"OVERDUE",IF(TODAY()-AH533&gt;76,"Due Soon","Current"))))</f>
        <v/>
      </c>
    </row>
    <row r="534" ht="15" customHeight="1" s="39">
      <c r="A534" s="85" t="n"/>
      <c r="B534" s="85" t="n"/>
      <c r="C534" s="85" t="n"/>
      <c r="D534" s="85" t="n"/>
      <c r="E534" s="85" t="n"/>
      <c r="F534" s="86" t="n"/>
      <c r="G534" s="86" t="n"/>
      <c r="H534" s="85" t="n"/>
      <c r="I534" s="85" t="n"/>
      <c r="J534" s="85" t="n"/>
      <c r="K534" s="85" t="n"/>
      <c r="L534" s="85" t="n"/>
      <c r="M534" s="85" t="n"/>
      <c r="N534" s="85" t="n"/>
      <c r="O534" s="85" t="n"/>
      <c r="P534" s="85" t="n"/>
      <c r="Q534" s="85" t="n"/>
      <c r="R534" s="85" t="n"/>
      <c r="S534" s="85" t="n"/>
      <c r="T534" s="85" t="n"/>
      <c r="U534" s="85" t="n"/>
      <c r="V534" s="85" t="n"/>
      <c r="W534" s="85" t="n"/>
      <c r="X534" s="85" t="n"/>
      <c r="Y534" s="85" t="n"/>
      <c r="Z534" s="85" t="n"/>
      <c r="AA534" s="85" t="n"/>
      <c r="AB534" s="85" t="n"/>
      <c r="AC534" s="85" t="n"/>
      <c r="AD534" s="85" t="n"/>
      <c r="AE534" s="85" t="n"/>
      <c r="AF534" s="86" t="n"/>
      <c r="AG534" s="86" t="n"/>
      <c r="AH534" s="86" t="n"/>
      <c r="AI534" s="85" t="n"/>
      <c r="AJ534" s="85" t="n"/>
      <c r="AK534" s="85">
        <f>IF($A534="","",IF($M534&gt;0,"Yes","No"))</f>
        <v/>
      </c>
      <c r="AL534" s="85">
        <f>IF($A534="","",IF(AND($E534="Yes",OR($Y534="No",$Y534="NOT FOUND")),"YES",""))</f>
        <v/>
      </c>
      <c r="AM534" s="85">
        <f>IF($A534="","",TRIM(IF(AND($P534=0,$I534&lt;&gt;"Yes"),"T0-NoPhishResistant ","")&amp;IF($H534="No","NoMFA ","")&amp;IF(AND($P534=0,$M534&gt;0),"T0-Standing ","")&amp;IF(AND($P534=0,$Q534="Group only"),"T0-ViaGroupOnly ","")&amp;IF($W534="Yes","AlsoAzureRBAC ","")))</f>
        <v/>
      </c>
      <c r="AN534" s="85">
        <f>IF($A534="","",IF(AG534="","Not Enrolled",IF(TODAY()&gt;AG534,"Review Overdue",IF(AG534-TODAY()&lt;=30,"Review Due Soon","Active"))))</f>
        <v/>
      </c>
      <c r="AO534" s="85">
        <f>IF($A534="","",IF(AH534="","NOT REVIEWED",IF(TODAY()-AH534&gt;90,"OVERDUE",IF(TODAY()-AH534&gt;76,"Due Soon","Current"))))</f>
        <v/>
      </c>
    </row>
    <row r="535" ht="15" customHeight="1" s="39">
      <c r="A535" s="85" t="n"/>
      <c r="B535" s="85" t="n"/>
      <c r="C535" s="85" t="n"/>
      <c r="D535" s="85" t="n"/>
      <c r="E535" s="85" t="n"/>
      <c r="F535" s="86" t="n"/>
      <c r="G535" s="86" t="n"/>
      <c r="H535" s="85" t="n"/>
      <c r="I535" s="85" t="n"/>
      <c r="J535" s="85" t="n"/>
      <c r="K535" s="85" t="n"/>
      <c r="L535" s="85" t="n"/>
      <c r="M535" s="85" t="n"/>
      <c r="N535" s="85" t="n"/>
      <c r="O535" s="85" t="n"/>
      <c r="P535" s="85" t="n"/>
      <c r="Q535" s="85" t="n"/>
      <c r="R535" s="85" t="n"/>
      <c r="S535" s="85" t="n"/>
      <c r="T535" s="85" t="n"/>
      <c r="U535" s="85" t="n"/>
      <c r="V535" s="85" t="n"/>
      <c r="W535" s="85" t="n"/>
      <c r="X535" s="85" t="n"/>
      <c r="Y535" s="85" t="n"/>
      <c r="Z535" s="85" t="n"/>
      <c r="AA535" s="85" t="n"/>
      <c r="AB535" s="85" t="n"/>
      <c r="AC535" s="85" t="n"/>
      <c r="AD535" s="85" t="n"/>
      <c r="AE535" s="85" t="n"/>
      <c r="AF535" s="86" t="n"/>
      <c r="AG535" s="86" t="n"/>
      <c r="AH535" s="86" t="n"/>
      <c r="AI535" s="85" t="n"/>
      <c r="AJ535" s="85" t="n"/>
      <c r="AK535" s="85">
        <f>IF($A535="","",IF($M535&gt;0,"Yes","No"))</f>
        <v/>
      </c>
      <c r="AL535" s="85">
        <f>IF($A535="","",IF(AND($E535="Yes",OR($Y535="No",$Y535="NOT FOUND")),"YES",""))</f>
        <v/>
      </c>
      <c r="AM535" s="85">
        <f>IF($A535="","",TRIM(IF(AND($P535=0,$I535&lt;&gt;"Yes"),"T0-NoPhishResistant ","")&amp;IF($H535="No","NoMFA ","")&amp;IF(AND($P535=0,$M535&gt;0),"T0-Standing ","")&amp;IF(AND($P535=0,$Q535="Group only"),"T0-ViaGroupOnly ","")&amp;IF($W535="Yes","AlsoAzureRBAC ","")))</f>
        <v/>
      </c>
      <c r="AN535" s="85">
        <f>IF($A535="","",IF(AG535="","Not Enrolled",IF(TODAY()&gt;AG535,"Review Overdue",IF(AG535-TODAY()&lt;=30,"Review Due Soon","Active"))))</f>
        <v/>
      </c>
      <c r="AO535" s="85">
        <f>IF($A535="","",IF(AH535="","NOT REVIEWED",IF(TODAY()-AH535&gt;90,"OVERDUE",IF(TODAY()-AH535&gt;76,"Due Soon","Current"))))</f>
        <v/>
      </c>
    </row>
    <row r="536" ht="15" customHeight="1" s="39">
      <c r="A536" s="85" t="n"/>
      <c r="B536" s="85" t="n"/>
      <c r="C536" s="85" t="n"/>
      <c r="D536" s="85" t="n"/>
      <c r="E536" s="85" t="n"/>
      <c r="F536" s="86" t="n"/>
      <c r="G536" s="86" t="n"/>
      <c r="H536" s="85" t="n"/>
      <c r="I536" s="85" t="n"/>
      <c r="J536" s="85" t="n"/>
      <c r="K536" s="85" t="n"/>
      <c r="L536" s="85" t="n"/>
      <c r="M536" s="85" t="n"/>
      <c r="N536" s="85" t="n"/>
      <c r="O536" s="85" t="n"/>
      <c r="P536" s="85" t="n"/>
      <c r="Q536" s="85" t="n"/>
      <c r="R536" s="85" t="n"/>
      <c r="S536" s="85" t="n"/>
      <c r="T536" s="85" t="n"/>
      <c r="U536" s="85" t="n"/>
      <c r="V536" s="85" t="n"/>
      <c r="W536" s="85" t="n"/>
      <c r="X536" s="85" t="n"/>
      <c r="Y536" s="85" t="n"/>
      <c r="Z536" s="85" t="n"/>
      <c r="AA536" s="85" t="n"/>
      <c r="AB536" s="85" t="n"/>
      <c r="AC536" s="85" t="n"/>
      <c r="AD536" s="85" t="n"/>
      <c r="AE536" s="85" t="n"/>
      <c r="AF536" s="86" t="n"/>
      <c r="AG536" s="86" t="n"/>
      <c r="AH536" s="86" t="n"/>
      <c r="AI536" s="85" t="n"/>
      <c r="AJ536" s="85" t="n"/>
      <c r="AK536" s="85">
        <f>IF($A536="","",IF($M536&gt;0,"Yes","No"))</f>
        <v/>
      </c>
      <c r="AL536" s="85">
        <f>IF($A536="","",IF(AND($E536="Yes",OR($Y536="No",$Y536="NOT FOUND")),"YES",""))</f>
        <v/>
      </c>
      <c r="AM536" s="85">
        <f>IF($A536="","",TRIM(IF(AND($P536=0,$I536&lt;&gt;"Yes"),"T0-NoPhishResistant ","")&amp;IF($H536="No","NoMFA ","")&amp;IF(AND($P536=0,$M536&gt;0),"T0-Standing ","")&amp;IF(AND($P536=0,$Q536="Group only"),"T0-ViaGroupOnly ","")&amp;IF($W536="Yes","AlsoAzureRBAC ","")))</f>
        <v/>
      </c>
      <c r="AN536" s="85">
        <f>IF($A536="","",IF(AG536="","Not Enrolled",IF(TODAY()&gt;AG536,"Review Overdue",IF(AG536-TODAY()&lt;=30,"Review Due Soon","Active"))))</f>
        <v/>
      </c>
      <c r="AO536" s="85">
        <f>IF($A536="","",IF(AH536="","NOT REVIEWED",IF(TODAY()-AH536&gt;90,"OVERDUE",IF(TODAY()-AH536&gt;76,"Due Soon","Current"))))</f>
        <v/>
      </c>
    </row>
    <row r="537" ht="15" customHeight="1" s="39">
      <c r="A537" s="85" t="n"/>
      <c r="B537" s="85" t="n"/>
      <c r="C537" s="85" t="n"/>
      <c r="D537" s="85" t="n"/>
      <c r="E537" s="85" t="n"/>
      <c r="F537" s="86" t="n"/>
      <c r="G537" s="86" t="n"/>
      <c r="H537" s="85" t="n"/>
      <c r="I537" s="85" t="n"/>
      <c r="J537" s="85" t="n"/>
      <c r="K537" s="85" t="n"/>
      <c r="L537" s="85" t="n"/>
      <c r="M537" s="85" t="n"/>
      <c r="N537" s="85" t="n"/>
      <c r="O537" s="85" t="n"/>
      <c r="P537" s="85" t="n"/>
      <c r="Q537" s="85" t="n"/>
      <c r="R537" s="85" t="n"/>
      <c r="S537" s="85" t="n"/>
      <c r="T537" s="85" t="n"/>
      <c r="U537" s="85" t="n"/>
      <c r="V537" s="85" t="n"/>
      <c r="W537" s="85" t="n"/>
      <c r="X537" s="85" t="n"/>
      <c r="Y537" s="85" t="n"/>
      <c r="Z537" s="85" t="n"/>
      <c r="AA537" s="85" t="n"/>
      <c r="AB537" s="85" t="n"/>
      <c r="AC537" s="85" t="n"/>
      <c r="AD537" s="85" t="n"/>
      <c r="AE537" s="85" t="n"/>
      <c r="AF537" s="86" t="n"/>
      <c r="AG537" s="86" t="n"/>
      <c r="AH537" s="86" t="n"/>
      <c r="AI537" s="85" t="n"/>
      <c r="AJ537" s="85" t="n"/>
      <c r="AK537" s="85">
        <f>IF($A537="","",IF($M537&gt;0,"Yes","No"))</f>
        <v/>
      </c>
      <c r="AL537" s="85">
        <f>IF($A537="","",IF(AND($E537="Yes",OR($Y537="No",$Y537="NOT FOUND")),"YES",""))</f>
        <v/>
      </c>
      <c r="AM537" s="85">
        <f>IF($A537="","",TRIM(IF(AND($P537=0,$I537&lt;&gt;"Yes"),"T0-NoPhishResistant ","")&amp;IF($H537="No","NoMFA ","")&amp;IF(AND($P537=0,$M537&gt;0),"T0-Standing ","")&amp;IF(AND($P537=0,$Q537="Group only"),"T0-ViaGroupOnly ","")&amp;IF($W537="Yes","AlsoAzureRBAC ","")))</f>
        <v/>
      </c>
      <c r="AN537" s="85">
        <f>IF($A537="","",IF(AG537="","Not Enrolled",IF(TODAY()&gt;AG537,"Review Overdue",IF(AG537-TODAY()&lt;=30,"Review Due Soon","Active"))))</f>
        <v/>
      </c>
      <c r="AO537" s="85">
        <f>IF($A537="","",IF(AH537="","NOT REVIEWED",IF(TODAY()-AH537&gt;90,"OVERDUE",IF(TODAY()-AH537&gt;76,"Due Soon","Current"))))</f>
        <v/>
      </c>
    </row>
    <row r="538" ht="15" customHeight="1" s="39">
      <c r="A538" s="85" t="n"/>
      <c r="B538" s="85" t="n"/>
      <c r="C538" s="85" t="n"/>
      <c r="D538" s="85" t="n"/>
      <c r="E538" s="85" t="n"/>
      <c r="F538" s="86" t="n"/>
      <c r="G538" s="86" t="n"/>
      <c r="H538" s="85" t="n"/>
      <c r="I538" s="85" t="n"/>
      <c r="J538" s="85" t="n"/>
      <c r="K538" s="85" t="n"/>
      <c r="L538" s="85" t="n"/>
      <c r="M538" s="85" t="n"/>
      <c r="N538" s="85" t="n"/>
      <c r="O538" s="85" t="n"/>
      <c r="P538" s="85" t="n"/>
      <c r="Q538" s="85" t="n"/>
      <c r="R538" s="85" t="n"/>
      <c r="S538" s="85" t="n"/>
      <c r="T538" s="85" t="n"/>
      <c r="U538" s="85" t="n"/>
      <c r="V538" s="85" t="n"/>
      <c r="W538" s="85" t="n"/>
      <c r="X538" s="85" t="n"/>
      <c r="Y538" s="85" t="n"/>
      <c r="Z538" s="85" t="n"/>
      <c r="AA538" s="85" t="n"/>
      <c r="AB538" s="85" t="n"/>
      <c r="AC538" s="85" t="n"/>
      <c r="AD538" s="85" t="n"/>
      <c r="AE538" s="85" t="n"/>
      <c r="AF538" s="86" t="n"/>
      <c r="AG538" s="86" t="n"/>
      <c r="AH538" s="86" t="n"/>
      <c r="AI538" s="85" t="n"/>
      <c r="AJ538" s="85" t="n"/>
      <c r="AK538" s="85">
        <f>IF($A538="","",IF($M538&gt;0,"Yes","No"))</f>
        <v/>
      </c>
      <c r="AL538" s="85">
        <f>IF($A538="","",IF(AND($E538="Yes",OR($Y538="No",$Y538="NOT FOUND")),"YES",""))</f>
        <v/>
      </c>
      <c r="AM538" s="85">
        <f>IF($A538="","",TRIM(IF(AND($P538=0,$I538&lt;&gt;"Yes"),"T0-NoPhishResistant ","")&amp;IF($H538="No","NoMFA ","")&amp;IF(AND($P538=0,$M538&gt;0),"T0-Standing ","")&amp;IF(AND($P538=0,$Q538="Group only"),"T0-ViaGroupOnly ","")&amp;IF($W538="Yes","AlsoAzureRBAC ","")))</f>
        <v/>
      </c>
      <c r="AN538" s="85">
        <f>IF($A538="","",IF(AG538="","Not Enrolled",IF(TODAY()&gt;AG538,"Review Overdue",IF(AG538-TODAY()&lt;=30,"Review Due Soon","Active"))))</f>
        <v/>
      </c>
      <c r="AO538" s="85">
        <f>IF($A538="","",IF(AH538="","NOT REVIEWED",IF(TODAY()-AH538&gt;90,"OVERDUE",IF(TODAY()-AH538&gt;76,"Due Soon","Current"))))</f>
        <v/>
      </c>
    </row>
    <row r="539" ht="15" customHeight="1" s="39">
      <c r="A539" s="85" t="n"/>
      <c r="B539" s="85" t="n"/>
      <c r="C539" s="85" t="n"/>
      <c r="D539" s="85" t="n"/>
      <c r="E539" s="85" t="n"/>
      <c r="F539" s="86" t="n"/>
      <c r="G539" s="86" t="n"/>
      <c r="H539" s="85" t="n"/>
      <c r="I539" s="85" t="n"/>
      <c r="J539" s="85" t="n"/>
      <c r="K539" s="85" t="n"/>
      <c r="L539" s="85" t="n"/>
      <c r="M539" s="85" t="n"/>
      <c r="N539" s="85" t="n"/>
      <c r="O539" s="85" t="n"/>
      <c r="P539" s="85" t="n"/>
      <c r="Q539" s="85" t="n"/>
      <c r="R539" s="85" t="n"/>
      <c r="S539" s="85" t="n"/>
      <c r="T539" s="85" t="n"/>
      <c r="U539" s="85" t="n"/>
      <c r="V539" s="85" t="n"/>
      <c r="W539" s="85" t="n"/>
      <c r="X539" s="85" t="n"/>
      <c r="Y539" s="85" t="n"/>
      <c r="Z539" s="85" t="n"/>
      <c r="AA539" s="85" t="n"/>
      <c r="AB539" s="85" t="n"/>
      <c r="AC539" s="85" t="n"/>
      <c r="AD539" s="85" t="n"/>
      <c r="AE539" s="85" t="n"/>
      <c r="AF539" s="86" t="n"/>
      <c r="AG539" s="86" t="n"/>
      <c r="AH539" s="86" t="n"/>
      <c r="AI539" s="85" t="n"/>
      <c r="AJ539" s="85" t="n"/>
      <c r="AK539" s="85">
        <f>IF($A539="","",IF($M539&gt;0,"Yes","No"))</f>
        <v/>
      </c>
      <c r="AL539" s="85">
        <f>IF($A539="","",IF(AND($E539="Yes",OR($Y539="No",$Y539="NOT FOUND")),"YES",""))</f>
        <v/>
      </c>
      <c r="AM539" s="85">
        <f>IF($A539="","",TRIM(IF(AND($P539=0,$I539&lt;&gt;"Yes"),"T0-NoPhishResistant ","")&amp;IF($H539="No","NoMFA ","")&amp;IF(AND($P539=0,$M539&gt;0),"T0-Standing ","")&amp;IF(AND($P539=0,$Q539="Group only"),"T0-ViaGroupOnly ","")&amp;IF($W539="Yes","AlsoAzureRBAC ","")))</f>
        <v/>
      </c>
      <c r="AN539" s="85">
        <f>IF($A539="","",IF(AG539="","Not Enrolled",IF(TODAY()&gt;AG539,"Review Overdue",IF(AG539-TODAY()&lt;=30,"Review Due Soon","Active"))))</f>
        <v/>
      </c>
      <c r="AO539" s="85">
        <f>IF($A539="","",IF(AH539="","NOT REVIEWED",IF(TODAY()-AH539&gt;90,"OVERDUE",IF(TODAY()-AH539&gt;76,"Due Soon","Current"))))</f>
        <v/>
      </c>
    </row>
    <row r="540" ht="15" customHeight="1" s="39">
      <c r="A540" s="85" t="n"/>
      <c r="B540" s="85" t="n"/>
      <c r="C540" s="85" t="n"/>
      <c r="D540" s="85" t="n"/>
      <c r="E540" s="85" t="n"/>
      <c r="F540" s="86" t="n"/>
      <c r="G540" s="86" t="n"/>
      <c r="H540" s="85" t="n"/>
      <c r="I540" s="85" t="n"/>
      <c r="J540" s="85" t="n"/>
      <c r="K540" s="85" t="n"/>
      <c r="L540" s="85" t="n"/>
      <c r="M540" s="85" t="n"/>
      <c r="N540" s="85" t="n"/>
      <c r="O540" s="85" t="n"/>
      <c r="P540" s="85" t="n"/>
      <c r="Q540" s="85" t="n"/>
      <c r="R540" s="85" t="n"/>
      <c r="S540" s="85" t="n"/>
      <c r="T540" s="85" t="n"/>
      <c r="U540" s="85" t="n"/>
      <c r="V540" s="85" t="n"/>
      <c r="W540" s="85" t="n"/>
      <c r="X540" s="85" t="n"/>
      <c r="Y540" s="85" t="n"/>
      <c r="Z540" s="85" t="n"/>
      <c r="AA540" s="85" t="n"/>
      <c r="AB540" s="85" t="n"/>
      <c r="AC540" s="85" t="n"/>
      <c r="AD540" s="85" t="n"/>
      <c r="AE540" s="85" t="n"/>
      <c r="AF540" s="86" t="n"/>
      <c r="AG540" s="86" t="n"/>
      <c r="AH540" s="86" t="n"/>
      <c r="AI540" s="85" t="n"/>
      <c r="AJ540" s="85" t="n"/>
      <c r="AK540" s="85">
        <f>IF($A540="","",IF($M540&gt;0,"Yes","No"))</f>
        <v/>
      </c>
      <c r="AL540" s="85">
        <f>IF($A540="","",IF(AND($E540="Yes",OR($Y540="No",$Y540="NOT FOUND")),"YES",""))</f>
        <v/>
      </c>
      <c r="AM540" s="85">
        <f>IF($A540="","",TRIM(IF(AND($P540=0,$I540&lt;&gt;"Yes"),"T0-NoPhishResistant ","")&amp;IF($H540="No","NoMFA ","")&amp;IF(AND($P540=0,$M540&gt;0),"T0-Standing ","")&amp;IF(AND($P540=0,$Q540="Group only"),"T0-ViaGroupOnly ","")&amp;IF($W540="Yes","AlsoAzureRBAC ","")))</f>
        <v/>
      </c>
      <c r="AN540" s="85">
        <f>IF($A540="","",IF(AG540="","Not Enrolled",IF(TODAY()&gt;AG540,"Review Overdue",IF(AG540-TODAY()&lt;=30,"Review Due Soon","Active"))))</f>
        <v/>
      </c>
      <c r="AO540" s="85">
        <f>IF($A540="","",IF(AH540="","NOT REVIEWED",IF(TODAY()-AH540&gt;90,"OVERDUE",IF(TODAY()-AH540&gt;76,"Due Soon","Current"))))</f>
        <v/>
      </c>
    </row>
    <row r="541" ht="15" customHeight="1" s="39">
      <c r="A541" s="85" t="n"/>
      <c r="B541" s="85" t="n"/>
      <c r="C541" s="85" t="n"/>
      <c r="D541" s="85" t="n"/>
      <c r="E541" s="85" t="n"/>
      <c r="F541" s="86" t="n"/>
      <c r="G541" s="86" t="n"/>
      <c r="H541" s="85" t="n"/>
      <c r="I541" s="85" t="n"/>
      <c r="J541" s="85" t="n"/>
      <c r="K541" s="85" t="n"/>
      <c r="L541" s="85" t="n"/>
      <c r="M541" s="85" t="n"/>
      <c r="N541" s="85" t="n"/>
      <c r="O541" s="85" t="n"/>
      <c r="P541" s="85" t="n"/>
      <c r="Q541" s="85" t="n"/>
      <c r="R541" s="85" t="n"/>
      <c r="S541" s="85" t="n"/>
      <c r="T541" s="85" t="n"/>
      <c r="U541" s="85" t="n"/>
      <c r="V541" s="85" t="n"/>
      <c r="W541" s="85" t="n"/>
      <c r="X541" s="85" t="n"/>
      <c r="Y541" s="85" t="n"/>
      <c r="Z541" s="85" t="n"/>
      <c r="AA541" s="85" t="n"/>
      <c r="AB541" s="85" t="n"/>
      <c r="AC541" s="85" t="n"/>
      <c r="AD541" s="85" t="n"/>
      <c r="AE541" s="85" t="n"/>
      <c r="AF541" s="86" t="n"/>
      <c r="AG541" s="86" t="n"/>
      <c r="AH541" s="86" t="n"/>
      <c r="AI541" s="85" t="n"/>
      <c r="AJ541" s="85" t="n"/>
      <c r="AK541" s="85">
        <f>IF($A541="","",IF($M541&gt;0,"Yes","No"))</f>
        <v/>
      </c>
      <c r="AL541" s="85">
        <f>IF($A541="","",IF(AND($E541="Yes",OR($Y541="No",$Y541="NOT FOUND")),"YES",""))</f>
        <v/>
      </c>
      <c r="AM541" s="85">
        <f>IF($A541="","",TRIM(IF(AND($P541=0,$I541&lt;&gt;"Yes"),"T0-NoPhishResistant ","")&amp;IF($H541="No","NoMFA ","")&amp;IF(AND($P541=0,$M541&gt;0),"T0-Standing ","")&amp;IF(AND($P541=0,$Q541="Group only"),"T0-ViaGroupOnly ","")&amp;IF($W541="Yes","AlsoAzureRBAC ","")))</f>
        <v/>
      </c>
      <c r="AN541" s="85">
        <f>IF($A541="","",IF(AG541="","Not Enrolled",IF(TODAY()&gt;AG541,"Review Overdue",IF(AG541-TODAY()&lt;=30,"Review Due Soon","Active"))))</f>
        <v/>
      </c>
      <c r="AO541" s="85">
        <f>IF($A541="","",IF(AH541="","NOT REVIEWED",IF(TODAY()-AH541&gt;90,"OVERDUE",IF(TODAY()-AH541&gt;76,"Due Soon","Current"))))</f>
        <v/>
      </c>
    </row>
    <row r="542" ht="15" customHeight="1" s="39">
      <c r="A542" s="85" t="n"/>
      <c r="B542" s="85" t="n"/>
      <c r="C542" s="85" t="n"/>
      <c r="D542" s="85" t="n"/>
      <c r="E542" s="85" t="n"/>
      <c r="F542" s="86" t="n"/>
      <c r="G542" s="86" t="n"/>
      <c r="H542" s="85" t="n"/>
      <c r="I542" s="85" t="n"/>
      <c r="J542" s="85" t="n"/>
      <c r="K542" s="85" t="n"/>
      <c r="L542" s="85" t="n"/>
      <c r="M542" s="85" t="n"/>
      <c r="N542" s="85" t="n"/>
      <c r="O542" s="85" t="n"/>
      <c r="P542" s="85" t="n"/>
      <c r="Q542" s="85" t="n"/>
      <c r="R542" s="85" t="n"/>
      <c r="S542" s="85" t="n"/>
      <c r="T542" s="85" t="n"/>
      <c r="U542" s="85" t="n"/>
      <c r="V542" s="85" t="n"/>
      <c r="W542" s="85" t="n"/>
      <c r="X542" s="85" t="n"/>
      <c r="Y542" s="85" t="n"/>
      <c r="Z542" s="85" t="n"/>
      <c r="AA542" s="85" t="n"/>
      <c r="AB542" s="85" t="n"/>
      <c r="AC542" s="85" t="n"/>
      <c r="AD542" s="85" t="n"/>
      <c r="AE542" s="85" t="n"/>
      <c r="AF542" s="86" t="n"/>
      <c r="AG542" s="86" t="n"/>
      <c r="AH542" s="86" t="n"/>
      <c r="AI542" s="85" t="n"/>
      <c r="AJ542" s="85" t="n"/>
      <c r="AK542" s="85">
        <f>IF($A542="","",IF($M542&gt;0,"Yes","No"))</f>
        <v/>
      </c>
      <c r="AL542" s="85">
        <f>IF($A542="","",IF(AND($E542="Yes",OR($Y542="No",$Y542="NOT FOUND")),"YES",""))</f>
        <v/>
      </c>
      <c r="AM542" s="85">
        <f>IF($A542="","",TRIM(IF(AND($P542=0,$I542&lt;&gt;"Yes"),"T0-NoPhishResistant ","")&amp;IF($H542="No","NoMFA ","")&amp;IF(AND($P542=0,$M542&gt;0),"T0-Standing ","")&amp;IF(AND($P542=0,$Q542="Group only"),"T0-ViaGroupOnly ","")&amp;IF($W542="Yes","AlsoAzureRBAC ","")))</f>
        <v/>
      </c>
      <c r="AN542" s="85">
        <f>IF($A542="","",IF(AG542="","Not Enrolled",IF(TODAY()&gt;AG542,"Review Overdue",IF(AG542-TODAY()&lt;=30,"Review Due Soon","Active"))))</f>
        <v/>
      </c>
      <c r="AO542" s="85">
        <f>IF($A542="","",IF(AH542="","NOT REVIEWED",IF(TODAY()-AH542&gt;90,"OVERDUE",IF(TODAY()-AH542&gt;76,"Due Soon","Current"))))</f>
        <v/>
      </c>
    </row>
    <row r="543" ht="15" customHeight="1" s="39">
      <c r="A543" s="85" t="n"/>
      <c r="B543" s="85" t="n"/>
      <c r="C543" s="85" t="n"/>
      <c r="D543" s="85" t="n"/>
      <c r="E543" s="85" t="n"/>
      <c r="F543" s="86" t="n"/>
      <c r="G543" s="86" t="n"/>
      <c r="H543" s="85" t="n"/>
      <c r="I543" s="85" t="n"/>
      <c r="J543" s="85" t="n"/>
      <c r="K543" s="85" t="n"/>
      <c r="L543" s="85" t="n"/>
      <c r="M543" s="85" t="n"/>
      <c r="N543" s="85" t="n"/>
      <c r="O543" s="85" t="n"/>
      <c r="P543" s="85" t="n"/>
      <c r="Q543" s="85" t="n"/>
      <c r="R543" s="85" t="n"/>
      <c r="S543" s="85" t="n"/>
      <c r="T543" s="85" t="n"/>
      <c r="U543" s="85" t="n"/>
      <c r="V543" s="85" t="n"/>
      <c r="W543" s="85" t="n"/>
      <c r="X543" s="85" t="n"/>
      <c r="Y543" s="85" t="n"/>
      <c r="Z543" s="85" t="n"/>
      <c r="AA543" s="85" t="n"/>
      <c r="AB543" s="85" t="n"/>
      <c r="AC543" s="85" t="n"/>
      <c r="AD543" s="85" t="n"/>
      <c r="AE543" s="85" t="n"/>
      <c r="AF543" s="86" t="n"/>
      <c r="AG543" s="86" t="n"/>
      <c r="AH543" s="86" t="n"/>
      <c r="AI543" s="85" t="n"/>
      <c r="AJ543" s="85" t="n"/>
      <c r="AK543" s="85">
        <f>IF($A543="","",IF($M543&gt;0,"Yes","No"))</f>
        <v/>
      </c>
      <c r="AL543" s="85">
        <f>IF($A543="","",IF(AND($E543="Yes",OR($Y543="No",$Y543="NOT FOUND")),"YES",""))</f>
        <v/>
      </c>
      <c r="AM543" s="85">
        <f>IF($A543="","",TRIM(IF(AND($P543=0,$I543&lt;&gt;"Yes"),"T0-NoPhishResistant ","")&amp;IF($H543="No","NoMFA ","")&amp;IF(AND($P543=0,$M543&gt;0),"T0-Standing ","")&amp;IF(AND($P543=0,$Q543="Group only"),"T0-ViaGroupOnly ","")&amp;IF($W543="Yes","AlsoAzureRBAC ","")))</f>
        <v/>
      </c>
      <c r="AN543" s="85">
        <f>IF($A543="","",IF(AG543="","Not Enrolled",IF(TODAY()&gt;AG543,"Review Overdue",IF(AG543-TODAY()&lt;=30,"Review Due Soon","Active"))))</f>
        <v/>
      </c>
      <c r="AO543" s="85">
        <f>IF($A543="","",IF(AH543="","NOT REVIEWED",IF(TODAY()-AH543&gt;90,"OVERDUE",IF(TODAY()-AH543&gt;76,"Due Soon","Current"))))</f>
        <v/>
      </c>
    </row>
    <row r="544" ht="15" customHeight="1" s="39">
      <c r="A544" s="85" t="n"/>
      <c r="B544" s="85" t="n"/>
      <c r="C544" s="85" t="n"/>
      <c r="D544" s="85" t="n"/>
      <c r="E544" s="85" t="n"/>
      <c r="F544" s="86" t="n"/>
      <c r="G544" s="86" t="n"/>
      <c r="H544" s="85" t="n"/>
      <c r="I544" s="85" t="n"/>
      <c r="J544" s="85" t="n"/>
      <c r="K544" s="85" t="n"/>
      <c r="L544" s="85" t="n"/>
      <c r="M544" s="85" t="n"/>
      <c r="N544" s="85" t="n"/>
      <c r="O544" s="85" t="n"/>
      <c r="P544" s="85" t="n"/>
      <c r="Q544" s="85" t="n"/>
      <c r="R544" s="85" t="n"/>
      <c r="S544" s="85" t="n"/>
      <c r="T544" s="85" t="n"/>
      <c r="U544" s="85" t="n"/>
      <c r="V544" s="85" t="n"/>
      <c r="W544" s="85" t="n"/>
      <c r="X544" s="85" t="n"/>
      <c r="Y544" s="85" t="n"/>
      <c r="Z544" s="85" t="n"/>
      <c r="AA544" s="85" t="n"/>
      <c r="AB544" s="85" t="n"/>
      <c r="AC544" s="85" t="n"/>
      <c r="AD544" s="85" t="n"/>
      <c r="AE544" s="85" t="n"/>
      <c r="AF544" s="86" t="n"/>
      <c r="AG544" s="86" t="n"/>
      <c r="AH544" s="86" t="n"/>
      <c r="AI544" s="85" t="n"/>
      <c r="AJ544" s="85" t="n"/>
      <c r="AK544" s="85">
        <f>IF($A544="","",IF($M544&gt;0,"Yes","No"))</f>
        <v/>
      </c>
      <c r="AL544" s="85">
        <f>IF($A544="","",IF(AND($E544="Yes",OR($Y544="No",$Y544="NOT FOUND")),"YES",""))</f>
        <v/>
      </c>
      <c r="AM544" s="85">
        <f>IF($A544="","",TRIM(IF(AND($P544=0,$I544&lt;&gt;"Yes"),"T0-NoPhishResistant ","")&amp;IF($H544="No","NoMFA ","")&amp;IF(AND($P544=0,$M544&gt;0),"T0-Standing ","")&amp;IF(AND($P544=0,$Q544="Group only"),"T0-ViaGroupOnly ","")&amp;IF($W544="Yes","AlsoAzureRBAC ","")))</f>
        <v/>
      </c>
      <c r="AN544" s="85">
        <f>IF($A544="","",IF(AG544="","Not Enrolled",IF(TODAY()&gt;AG544,"Review Overdue",IF(AG544-TODAY()&lt;=30,"Review Due Soon","Active"))))</f>
        <v/>
      </c>
      <c r="AO544" s="85">
        <f>IF($A544="","",IF(AH544="","NOT REVIEWED",IF(TODAY()-AH544&gt;90,"OVERDUE",IF(TODAY()-AH544&gt;76,"Due Soon","Current"))))</f>
        <v/>
      </c>
    </row>
    <row r="545" ht="15" customHeight="1" s="39">
      <c r="A545" s="85" t="n"/>
      <c r="B545" s="85" t="n"/>
      <c r="C545" s="85" t="n"/>
      <c r="D545" s="85" t="n"/>
      <c r="E545" s="85" t="n"/>
      <c r="F545" s="86" t="n"/>
      <c r="G545" s="86" t="n"/>
      <c r="H545" s="85" t="n"/>
      <c r="I545" s="85" t="n"/>
      <c r="J545" s="85" t="n"/>
      <c r="K545" s="85" t="n"/>
      <c r="L545" s="85" t="n"/>
      <c r="M545" s="85" t="n"/>
      <c r="N545" s="85" t="n"/>
      <c r="O545" s="85" t="n"/>
      <c r="P545" s="85" t="n"/>
      <c r="Q545" s="85" t="n"/>
      <c r="R545" s="85" t="n"/>
      <c r="S545" s="85" t="n"/>
      <c r="T545" s="85" t="n"/>
      <c r="U545" s="85" t="n"/>
      <c r="V545" s="85" t="n"/>
      <c r="W545" s="85" t="n"/>
      <c r="X545" s="85" t="n"/>
      <c r="Y545" s="85" t="n"/>
      <c r="Z545" s="85" t="n"/>
      <c r="AA545" s="85" t="n"/>
      <c r="AB545" s="85" t="n"/>
      <c r="AC545" s="85" t="n"/>
      <c r="AD545" s="85" t="n"/>
      <c r="AE545" s="85" t="n"/>
      <c r="AF545" s="86" t="n"/>
      <c r="AG545" s="86" t="n"/>
      <c r="AH545" s="86" t="n"/>
      <c r="AI545" s="85" t="n"/>
      <c r="AJ545" s="85" t="n"/>
      <c r="AK545" s="85">
        <f>IF($A545="","",IF($M545&gt;0,"Yes","No"))</f>
        <v/>
      </c>
      <c r="AL545" s="85">
        <f>IF($A545="","",IF(AND($E545="Yes",OR($Y545="No",$Y545="NOT FOUND")),"YES",""))</f>
        <v/>
      </c>
      <c r="AM545" s="85">
        <f>IF($A545="","",TRIM(IF(AND($P545=0,$I545&lt;&gt;"Yes"),"T0-NoPhishResistant ","")&amp;IF($H545="No","NoMFA ","")&amp;IF(AND($P545=0,$M545&gt;0),"T0-Standing ","")&amp;IF(AND($P545=0,$Q545="Group only"),"T0-ViaGroupOnly ","")&amp;IF($W545="Yes","AlsoAzureRBAC ","")))</f>
        <v/>
      </c>
      <c r="AN545" s="85">
        <f>IF($A545="","",IF(AG545="","Not Enrolled",IF(TODAY()&gt;AG545,"Review Overdue",IF(AG545-TODAY()&lt;=30,"Review Due Soon","Active"))))</f>
        <v/>
      </c>
      <c r="AO545" s="85">
        <f>IF($A545="","",IF(AH545="","NOT REVIEWED",IF(TODAY()-AH545&gt;90,"OVERDUE",IF(TODAY()-AH545&gt;76,"Due Soon","Current"))))</f>
        <v/>
      </c>
    </row>
    <row r="546" ht="15" customHeight="1" s="39">
      <c r="A546" s="85" t="n"/>
      <c r="B546" s="85" t="n"/>
      <c r="C546" s="85" t="n"/>
      <c r="D546" s="85" t="n"/>
      <c r="E546" s="85" t="n"/>
      <c r="F546" s="86" t="n"/>
      <c r="G546" s="86" t="n"/>
      <c r="H546" s="85" t="n"/>
      <c r="I546" s="85" t="n"/>
      <c r="J546" s="85" t="n"/>
      <c r="K546" s="85" t="n"/>
      <c r="L546" s="85" t="n"/>
      <c r="M546" s="85" t="n"/>
      <c r="N546" s="85" t="n"/>
      <c r="O546" s="85" t="n"/>
      <c r="P546" s="85" t="n"/>
      <c r="Q546" s="85" t="n"/>
      <c r="R546" s="85" t="n"/>
      <c r="S546" s="85" t="n"/>
      <c r="T546" s="85" t="n"/>
      <c r="U546" s="85" t="n"/>
      <c r="V546" s="85" t="n"/>
      <c r="W546" s="85" t="n"/>
      <c r="X546" s="85" t="n"/>
      <c r="Y546" s="85" t="n"/>
      <c r="Z546" s="85" t="n"/>
      <c r="AA546" s="85" t="n"/>
      <c r="AB546" s="85" t="n"/>
      <c r="AC546" s="85" t="n"/>
      <c r="AD546" s="85" t="n"/>
      <c r="AE546" s="85" t="n"/>
      <c r="AF546" s="86" t="n"/>
      <c r="AG546" s="86" t="n"/>
      <c r="AH546" s="86" t="n"/>
      <c r="AI546" s="85" t="n"/>
      <c r="AJ546" s="85" t="n"/>
      <c r="AK546" s="85">
        <f>IF($A546="","",IF($M546&gt;0,"Yes","No"))</f>
        <v/>
      </c>
      <c r="AL546" s="85">
        <f>IF($A546="","",IF(AND($E546="Yes",OR($Y546="No",$Y546="NOT FOUND")),"YES",""))</f>
        <v/>
      </c>
      <c r="AM546" s="85">
        <f>IF($A546="","",TRIM(IF(AND($P546=0,$I546&lt;&gt;"Yes"),"T0-NoPhishResistant ","")&amp;IF($H546="No","NoMFA ","")&amp;IF(AND($P546=0,$M546&gt;0),"T0-Standing ","")&amp;IF(AND($P546=0,$Q546="Group only"),"T0-ViaGroupOnly ","")&amp;IF($W546="Yes","AlsoAzureRBAC ","")))</f>
        <v/>
      </c>
      <c r="AN546" s="85">
        <f>IF($A546="","",IF(AG546="","Not Enrolled",IF(TODAY()&gt;AG546,"Review Overdue",IF(AG546-TODAY()&lt;=30,"Review Due Soon","Active"))))</f>
        <v/>
      </c>
      <c r="AO546" s="85">
        <f>IF($A546="","",IF(AH546="","NOT REVIEWED",IF(TODAY()-AH546&gt;90,"OVERDUE",IF(TODAY()-AH546&gt;76,"Due Soon","Current"))))</f>
        <v/>
      </c>
    </row>
    <row r="547" ht="15" customHeight="1" s="39">
      <c r="A547" s="85" t="n"/>
      <c r="B547" s="85" t="n"/>
      <c r="C547" s="85" t="n"/>
      <c r="D547" s="85" t="n"/>
      <c r="E547" s="85" t="n"/>
      <c r="F547" s="86" t="n"/>
      <c r="G547" s="86" t="n"/>
      <c r="H547" s="85" t="n"/>
      <c r="I547" s="85" t="n"/>
      <c r="J547" s="85" t="n"/>
      <c r="K547" s="85" t="n"/>
      <c r="L547" s="85" t="n"/>
      <c r="M547" s="85" t="n"/>
      <c r="N547" s="85" t="n"/>
      <c r="O547" s="85" t="n"/>
      <c r="P547" s="85" t="n"/>
      <c r="Q547" s="85" t="n"/>
      <c r="R547" s="85" t="n"/>
      <c r="S547" s="85" t="n"/>
      <c r="T547" s="85" t="n"/>
      <c r="U547" s="85" t="n"/>
      <c r="V547" s="85" t="n"/>
      <c r="W547" s="85" t="n"/>
      <c r="X547" s="85" t="n"/>
      <c r="Y547" s="85" t="n"/>
      <c r="Z547" s="85" t="n"/>
      <c r="AA547" s="85" t="n"/>
      <c r="AB547" s="85" t="n"/>
      <c r="AC547" s="85" t="n"/>
      <c r="AD547" s="85" t="n"/>
      <c r="AE547" s="85" t="n"/>
      <c r="AF547" s="86" t="n"/>
      <c r="AG547" s="86" t="n"/>
      <c r="AH547" s="86" t="n"/>
      <c r="AI547" s="85" t="n"/>
      <c r="AJ547" s="85" t="n"/>
      <c r="AK547" s="85">
        <f>IF($A547="","",IF($M547&gt;0,"Yes","No"))</f>
        <v/>
      </c>
      <c r="AL547" s="85">
        <f>IF($A547="","",IF(AND($E547="Yes",OR($Y547="No",$Y547="NOT FOUND")),"YES",""))</f>
        <v/>
      </c>
      <c r="AM547" s="85">
        <f>IF($A547="","",TRIM(IF(AND($P547=0,$I547&lt;&gt;"Yes"),"T0-NoPhishResistant ","")&amp;IF($H547="No","NoMFA ","")&amp;IF(AND($P547=0,$M547&gt;0),"T0-Standing ","")&amp;IF(AND($P547=0,$Q547="Group only"),"T0-ViaGroupOnly ","")&amp;IF($W547="Yes","AlsoAzureRBAC ","")))</f>
        <v/>
      </c>
      <c r="AN547" s="85">
        <f>IF($A547="","",IF(AG547="","Not Enrolled",IF(TODAY()&gt;AG547,"Review Overdue",IF(AG547-TODAY()&lt;=30,"Review Due Soon","Active"))))</f>
        <v/>
      </c>
      <c r="AO547" s="85">
        <f>IF($A547="","",IF(AH547="","NOT REVIEWED",IF(TODAY()-AH547&gt;90,"OVERDUE",IF(TODAY()-AH547&gt;76,"Due Soon","Current"))))</f>
        <v/>
      </c>
    </row>
    <row r="548" ht="15" customHeight="1" s="39">
      <c r="A548" s="85" t="n"/>
      <c r="B548" s="85" t="n"/>
      <c r="C548" s="85" t="n"/>
      <c r="D548" s="85" t="n"/>
      <c r="E548" s="85" t="n"/>
      <c r="F548" s="86" t="n"/>
      <c r="G548" s="86" t="n"/>
      <c r="H548" s="85" t="n"/>
      <c r="I548" s="85" t="n"/>
      <c r="J548" s="85" t="n"/>
      <c r="K548" s="85" t="n"/>
      <c r="L548" s="85" t="n"/>
      <c r="M548" s="85" t="n"/>
      <c r="N548" s="85" t="n"/>
      <c r="O548" s="85" t="n"/>
      <c r="P548" s="85" t="n"/>
      <c r="Q548" s="85" t="n"/>
      <c r="R548" s="85" t="n"/>
      <c r="S548" s="85" t="n"/>
      <c r="T548" s="85" t="n"/>
      <c r="U548" s="85" t="n"/>
      <c r="V548" s="85" t="n"/>
      <c r="W548" s="85" t="n"/>
      <c r="X548" s="85" t="n"/>
      <c r="Y548" s="85" t="n"/>
      <c r="Z548" s="85" t="n"/>
      <c r="AA548" s="85" t="n"/>
      <c r="AB548" s="85" t="n"/>
      <c r="AC548" s="85" t="n"/>
      <c r="AD548" s="85" t="n"/>
      <c r="AE548" s="85" t="n"/>
      <c r="AF548" s="86" t="n"/>
      <c r="AG548" s="86" t="n"/>
      <c r="AH548" s="86" t="n"/>
      <c r="AI548" s="85" t="n"/>
      <c r="AJ548" s="85" t="n"/>
      <c r="AK548" s="85">
        <f>IF($A548="","",IF($M548&gt;0,"Yes","No"))</f>
        <v/>
      </c>
      <c r="AL548" s="85">
        <f>IF($A548="","",IF(AND($E548="Yes",OR($Y548="No",$Y548="NOT FOUND")),"YES",""))</f>
        <v/>
      </c>
      <c r="AM548" s="85">
        <f>IF($A548="","",TRIM(IF(AND($P548=0,$I548&lt;&gt;"Yes"),"T0-NoPhishResistant ","")&amp;IF($H548="No","NoMFA ","")&amp;IF(AND($P548=0,$M548&gt;0),"T0-Standing ","")&amp;IF(AND($P548=0,$Q548="Group only"),"T0-ViaGroupOnly ","")&amp;IF($W548="Yes","AlsoAzureRBAC ","")))</f>
        <v/>
      </c>
      <c r="AN548" s="85">
        <f>IF($A548="","",IF(AG548="","Not Enrolled",IF(TODAY()&gt;AG548,"Review Overdue",IF(AG548-TODAY()&lt;=30,"Review Due Soon","Active"))))</f>
        <v/>
      </c>
      <c r="AO548" s="85">
        <f>IF($A548="","",IF(AH548="","NOT REVIEWED",IF(TODAY()-AH548&gt;90,"OVERDUE",IF(TODAY()-AH548&gt;76,"Due Soon","Current"))))</f>
        <v/>
      </c>
    </row>
    <row r="549" ht="15" customHeight="1" s="39">
      <c r="A549" s="85" t="n"/>
      <c r="B549" s="85" t="n"/>
      <c r="C549" s="85" t="n"/>
      <c r="D549" s="85" t="n"/>
      <c r="E549" s="85" t="n"/>
      <c r="F549" s="86" t="n"/>
      <c r="G549" s="86" t="n"/>
      <c r="H549" s="85" t="n"/>
      <c r="I549" s="85" t="n"/>
      <c r="J549" s="85" t="n"/>
      <c r="K549" s="85" t="n"/>
      <c r="L549" s="85" t="n"/>
      <c r="M549" s="85" t="n"/>
      <c r="N549" s="85" t="n"/>
      <c r="O549" s="85" t="n"/>
      <c r="P549" s="85" t="n"/>
      <c r="Q549" s="85" t="n"/>
      <c r="R549" s="85" t="n"/>
      <c r="S549" s="85" t="n"/>
      <c r="T549" s="85" t="n"/>
      <c r="U549" s="85" t="n"/>
      <c r="V549" s="85" t="n"/>
      <c r="W549" s="85" t="n"/>
      <c r="X549" s="85" t="n"/>
      <c r="Y549" s="85" t="n"/>
      <c r="Z549" s="85" t="n"/>
      <c r="AA549" s="85" t="n"/>
      <c r="AB549" s="85" t="n"/>
      <c r="AC549" s="85" t="n"/>
      <c r="AD549" s="85" t="n"/>
      <c r="AE549" s="85" t="n"/>
      <c r="AF549" s="86" t="n"/>
      <c r="AG549" s="86" t="n"/>
      <c r="AH549" s="86" t="n"/>
      <c r="AI549" s="85" t="n"/>
      <c r="AJ549" s="85" t="n"/>
      <c r="AK549" s="85">
        <f>IF($A549="","",IF($M549&gt;0,"Yes","No"))</f>
        <v/>
      </c>
      <c r="AL549" s="85">
        <f>IF($A549="","",IF(AND($E549="Yes",OR($Y549="No",$Y549="NOT FOUND")),"YES",""))</f>
        <v/>
      </c>
      <c r="AM549" s="85">
        <f>IF($A549="","",TRIM(IF(AND($P549=0,$I549&lt;&gt;"Yes"),"T0-NoPhishResistant ","")&amp;IF($H549="No","NoMFA ","")&amp;IF(AND($P549=0,$M549&gt;0),"T0-Standing ","")&amp;IF(AND($P549=0,$Q549="Group only"),"T0-ViaGroupOnly ","")&amp;IF($W549="Yes","AlsoAzureRBAC ","")))</f>
        <v/>
      </c>
      <c r="AN549" s="85">
        <f>IF($A549="","",IF(AG549="","Not Enrolled",IF(TODAY()&gt;AG549,"Review Overdue",IF(AG549-TODAY()&lt;=30,"Review Due Soon","Active"))))</f>
        <v/>
      </c>
      <c r="AO549" s="85">
        <f>IF($A549="","",IF(AH549="","NOT REVIEWED",IF(TODAY()-AH549&gt;90,"OVERDUE",IF(TODAY()-AH549&gt;76,"Due Soon","Current"))))</f>
        <v/>
      </c>
    </row>
    <row r="550" ht="15" customHeight="1" s="39">
      <c r="A550" s="85" t="n"/>
      <c r="B550" s="85" t="n"/>
      <c r="C550" s="85" t="n"/>
      <c r="D550" s="85" t="n"/>
      <c r="E550" s="85" t="n"/>
      <c r="F550" s="86" t="n"/>
      <c r="G550" s="86" t="n"/>
      <c r="H550" s="85" t="n"/>
      <c r="I550" s="85" t="n"/>
      <c r="J550" s="85" t="n"/>
      <c r="K550" s="85" t="n"/>
      <c r="L550" s="85" t="n"/>
      <c r="M550" s="85" t="n"/>
      <c r="N550" s="85" t="n"/>
      <c r="O550" s="85" t="n"/>
      <c r="P550" s="85" t="n"/>
      <c r="Q550" s="85" t="n"/>
      <c r="R550" s="85" t="n"/>
      <c r="S550" s="85" t="n"/>
      <c r="T550" s="85" t="n"/>
      <c r="U550" s="85" t="n"/>
      <c r="V550" s="85" t="n"/>
      <c r="W550" s="85" t="n"/>
      <c r="X550" s="85" t="n"/>
      <c r="Y550" s="85" t="n"/>
      <c r="Z550" s="85" t="n"/>
      <c r="AA550" s="85" t="n"/>
      <c r="AB550" s="85" t="n"/>
      <c r="AC550" s="85" t="n"/>
      <c r="AD550" s="85" t="n"/>
      <c r="AE550" s="85" t="n"/>
      <c r="AF550" s="86" t="n"/>
      <c r="AG550" s="86" t="n"/>
      <c r="AH550" s="86" t="n"/>
      <c r="AI550" s="85" t="n"/>
      <c r="AJ550" s="85" t="n"/>
      <c r="AK550" s="85">
        <f>IF($A550="","",IF($M550&gt;0,"Yes","No"))</f>
        <v/>
      </c>
      <c r="AL550" s="85">
        <f>IF($A550="","",IF(AND($E550="Yes",OR($Y550="No",$Y550="NOT FOUND")),"YES",""))</f>
        <v/>
      </c>
      <c r="AM550" s="85">
        <f>IF($A550="","",TRIM(IF(AND($P550=0,$I550&lt;&gt;"Yes"),"T0-NoPhishResistant ","")&amp;IF($H550="No","NoMFA ","")&amp;IF(AND($P550=0,$M550&gt;0),"T0-Standing ","")&amp;IF(AND($P550=0,$Q550="Group only"),"T0-ViaGroupOnly ","")&amp;IF($W550="Yes","AlsoAzureRBAC ","")))</f>
        <v/>
      </c>
      <c r="AN550" s="85">
        <f>IF($A550="","",IF(AG550="","Not Enrolled",IF(TODAY()&gt;AG550,"Review Overdue",IF(AG550-TODAY()&lt;=30,"Review Due Soon","Active"))))</f>
        <v/>
      </c>
      <c r="AO550" s="85">
        <f>IF($A550="","",IF(AH550="","NOT REVIEWED",IF(TODAY()-AH550&gt;90,"OVERDUE",IF(TODAY()-AH550&gt;76,"Due Soon","Current"))))</f>
        <v/>
      </c>
    </row>
    <row r="551" ht="15" customHeight="1" s="39">
      <c r="A551" s="85" t="n"/>
      <c r="B551" s="85" t="n"/>
      <c r="C551" s="85" t="n"/>
      <c r="D551" s="85" t="n"/>
      <c r="E551" s="85" t="n"/>
      <c r="F551" s="86" t="n"/>
      <c r="G551" s="86" t="n"/>
      <c r="H551" s="85" t="n"/>
      <c r="I551" s="85" t="n"/>
      <c r="J551" s="85" t="n"/>
      <c r="K551" s="85" t="n"/>
      <c r="L551" s="85" t="n"/>
      <c r="M551" s="85" t="n"/>
      <c r="N551" s="85" t="n"/>
      <c r="O551" s="85" t="n"/>
      <c r="P551" s="85" t="n"/>
      <c r="Q551" s="85" t="n"/>
      <c r="R551" s="85" t="n"/>
      <c r="S551" s="85" t="n"/>
      <c r="T551" s="85" t="n"/>
      <c r="U551" s="85" t="n"/>
      <c r="V551" s="85" t="n"/>
      <c r="W551" s="85" t="n"/>
      <c r="X551" s="85" t="n"/>
      <c r="Y551" s="85" t="n"/>
      <c r="Z551" s="85" t="n"/>
      <c r="AA551" s="85" t="n"/>
      <c r="AB551" s="85" t="n"/>
      <c r="AC551" s="85" t="n"/>
      <c r="AD551" s="85" t="n"/>
      <c r="AE551" s="85" t="n"/>
      <c r="AF551" s="86" t="n"/>
      <c r="AG551" s="86" t="n"/>
      <c r="AH551" s="86" t="n"/>
      <c r="AI551" s="85" t="n"/>
      <c r="AJ551" s="85" t="n"/>
      <c r="AK551" s="85">
        <f>IF($A551="","",IF($M551&gt;0,"Yes","No"))</f>
        <v/>
      </c>
      <c r="AL551" s="85">
        <f>IF($A551="","",IF(AND($E551="Yes",OR($Y551="No",$Y551="NOT FOUND")),"YES",""))</f>
        <v/>
      </c>
      <c r="AM551" s="85">
        <f>IF($A551="","",TRIM(IF(AND($P551=0,$I551&lt;&gt;"Yes"),"T0-NoPhishResistant ","")&amp;IF($H551="No","NoMFA ","")&amp;IF(AND($P551=0,$M551&gt;0),"T0-Standing ","")&amp;IF(AND($P551=0,$Q551="Group only"),"T0-ViaGroupOnly ","")&amp;IF($W551="Yes","AlsoAzureRBAC ","")))</f>
        <v/>
      </c>
      <c r="AN551" s="85">
        <f>IF($A551="","",IF(AG551="","Not Enrolled",IF(TODAY()&gt;AG551,"Review Overdue",IF(AG551-TODAY()&lt;=30,"Review Due Soon","Active"))))</f>
        <v/>
      </c>
      <c r="AO551" s="85">
        <f>IF($A551="","",IF(AH551="","NOT REVIEWED",IF(TODAY()-AH551&gt;90,"OVERDUE",IF(TODAY()-AH551&gt;76,"Due Soon","Current"))))</f>
        <v/>
      </c>
    </row>
    <row r="552" ht="15" customHeight="1" s="39">
      <c r="A552" s="85" t="n"/>
      <c r="B552" s="85" t="n"/>
      <c r="C552" s="85" t="n"/>
      <c r="D552" s="85" t="n"/>
      <c r="E552" s="85" t="n"/>
      <c r="F552" s="86" t="n"/>
      <c r="G552" s="86" t="n"/>
      <c r="H552" s="85" t="n"/>
      <c r="I552" s="85" t="n"/>
      <c r="J552" s="85" t="n"/>
      <c r="K552" s="85" t="n"/>
      <c r="L552" s="85" t="n"/>
      <c r="M552" s="85" t="n"/>
      <c r="N552" s="85" t="n"/>
      <c r="O552" s="85" t="n"/>
      <c r="P552" s="85" t="n"/>
      <c r="Q552" s="85" t="n"/>
      <c r="R552" s="85" t="n"/>
      <c r="S552" s="85" t="n"/>
      <c r="T552" s="85" t="n"/>
      <c r="U552" s="85" t="n"/>
      <c r="V552" s="85" t="n"/>
      <c r="W552" s="85" t="n"/>
      <c r="X552" s="85" t="n"/>
      <c r="Y552" s="85" t="n"/>
      <c r="Z552" s="85" t="n"/>
      <c r="AA552" s="85" t="n"/>
      <c r="AB552" s="85" t="n"/>
      <c r="AC552" s="85" t="n"/>
      <c r="AD552" s="85" t="n"/>
      <c r="AE552" s="85" t="n"/>
      <c r="AF552" s="86" t="n"/>
      <c r="AG552" s="86" t="n"/>
      <c r="AH552" s="86" t="n"/>
      <c r="AI552" s="85" t="n"/>
      <c r="AJ552" s="85" t="n"/>
      <c r="AK552" s="85">
        <f>IF($A552="","",IF($M552&gt;0,"Yes","No"))</f>
        <v/>
      </c>
      <c r="AL552" s="85">
        <f>IF($A552="","",IF(AND($E552="Yes",OR($Y552="No",$Y552="NOT FOUND")),"YES",""))</f>
        <v/>
      </c>
      <c r="AM552" s="85">
        <f>IF($A552="","",TRIM(IF(AND($P552=0,$I552&lt;&gt;"Yes"),"T0-NoPhishResistant ","")&amp;IF($H552="No","NoMFA ","")&amp;IF(AND($P552=0,$M552&gt;0),"T0-Standing ","")&amp;IF(AND($P552=0,$Q552="Group only"),"T0-ViaGroupOnly ","")&amp;IF($W552="Yes","AlsoAzureRBAC ","")))</f>
        <v/>
      </c>
      <c r="AN552" s="85">
        <f>IF($A552="","",IF(AG552="","Not Enrolled",IF(TODAY()&gt;AG552,"Review Overdue",IF(AG552-TODAY()&lt;=30,"Review Due Soon","Active"))))</f>
        <v/>
      </c>
      <c r="AO552" s="85">
        <f>IF($A552="","",IF(AH552="","NOT REVIEWED",IF(TODAY()-AH552&gt;90,"OVERDUE",IF(TODAY()-AH552&gt;76,"Due Soon","Current"))))</f>
        <v/>
      </c>
    </row>
    <row r="553" ht="15" customHeight="1" s="39">
      <c r="A553" s="85" t="n"/>
      <c r="B553" s="85" t="n"/>
      <c r="C553" s="85" t="n"/>
      <c r="D553" s="85" t="n"/>
      <c r="E553" s="85" t="n"/>
      <c r="F553" s="86" t="n"/>
      <c r="G553" s="86" t="n"/>
      <c r="H553" s="85" t="n"/>
      <c r="I553" s="85" t="n"/>
      <c r="J553" s="85" t="n"/>
      <c r="K553" s="85" t="n"/>
      <c r="L553" s="85" t="n"/>
      <c r="M553" s="85" t="n"/>
      <c r="N553" s="85" t="n"/>
      <c r="O553" s="85" t="n"/>
      <c r="P553" s="85" t="n"/>
      <c r="Q553" s="85" t="n"/>
      <c r="R553" s="85" t="n"/>
      <c r="S553" s="85" t="n"/>
      <c r="T553" s="85" t="n"/>
      <c r="U553" s="85" t="n"/>
      <c r="V553" s="85" t="n"/>
      <c r="W553" s="85" t="n"/>
      <c r="X553" s="85" t="n"/>
      <c r="Y553" s="85" t="n"/>
      <c r="Z553" s="85" t="n"/>
      <c r="AA553" s="85" t="n"/>
      <c r="AB553" s="85" t="n"/>
      <c r="AC553" s="85" t="n"/>
      <c r="AD553" s="85" t="n"/>
      <c r="AE553" s="85" t="n"/>
      <c r="AF553" s="86" t="n"/>
      <c r="AG553" s="86" t="n"/>
      <c r="AH553" s="86" t="n"/>
      <c r="AI553" s="85" t="n"/>
      <c r="AJ553" s="85" t="n"/>
      <c r="AK553" s="85">
        <f>IF($A553="","",IF($M553&gt;0,"Yes","No"))</f>
        <v/>
      </c>
      <c r="AL553" s="85">
        <f>IF($A553="","",IF(AND($E553="Yes",OR($Y553="No",$Y553="NOT FOUND")),"YES",""))</f>
        <v/>
      </c>
      <c r="AM553" s="85">
        <f>IF($A553="","",TRIM(IF(AND($P553=0,$I553&lt;&gt;"Yes"),"T0-NoPhishResistant ","")&amp;IF($H553="No","NoMFA ","")&amp;IF(AND($P553=0,$M553&gt;0),"T0-Standing ","")&amp;IF(AND($P553=0,$Q553="Group only"),"T0-ViaGroupOnly ","")&amp;IF($W553="Yes","AlsoAzureRBAC ","")))</f>
        <v/>
      </c>
      <c r="AN553" s="85">
        <f>IF($A553="","",IF(AG553="","Not Enrolled",IF(TODAY()&gt;AG553,"Review Overdue",IF(AG553-TODAY()&lt;=30,"Review Due Soon","Active"))))</f>
        <v/>
      </c>
      <c r="AO553" s="85">
        <f>IF($A553="","",IF(AH553="","NOT REVIEWED",IF(TODAY()-AH553&gt;90,"OVERDUE",IF(TODAY()-AH553&gt;76,"Due Soon","Current"))))</f>
        <v/>
      </c>
    </row>
    <row r="554" ht="15" customHeight="1" s="39">
      <c r="A554" s="85" t="n"/>
      <c r="B554" s="85" t="n"/>
      <c r="C554" s="85" t="n"/>
      <c r="D554" s="85" t="n"/>
      <c r="E554" s="85" t="n"/>
      <c r="F554" s="86" t="n"/>
      <c r="G554" s="86" t="n"/>
      <c r="H554" s="85" t="n"/>
      <c r="I554" s="85" t="n"/>
      <c r="J554" s="85" t="n"/>
      <c r="K554" s="85" t="n"/>
      <c r="L554" s="85" t="n"/>
      <c r="M554" s="85" t="n"/>
      <c r="N554" s="85" t="n"/>
      <c r="O554" s="85" t="n"/>
      <c r="P554" s="85" t="n"/>
      <c r="Q554" s="85" t="n"/>
      <c r="R554" s="85" t="n"/>
      <c r="S554" s="85" t="n"/>
      <c r="T554" s="85" t="n"/>
      <c r="U554" s="85" t="n"/>
      <c r="V554" s="85" t="n"/>
      <c r="W554" s="85" t="n"/>
      <c r="X554" s="85" t="n"/>
      <c r="Y554" s="85" t="n"/>
      <c r="Z554" s="85" t="n"/>
      <c r="AA554" s="85" t="n"/>
      <c r="AB554" s="85" t="n"/>
      <c r="AC554" s="85" t="n"/>
      <c r="AD554" s="85" t="n"/>
      <c r="AE554" s="85" t="n"/>
      <c r="AF554" s="86" t="n"/>
      <c r="AG554" s="86" t="n"/>
      <c r="AH554" s="86" t="n"/>
      <c r="AI554" s="85" t="n"/>
      <c r="AJ554" s="85" t="n"/>
      <c r="AK554" s="85">
        <f>IF($A554="","",IF($M554&gt;0,"Yes","No"))</f>
        <v/>
      </c>
      <c r="AL554" s="85">
        <f>IF($A554="","",IF(AND($E554="Yes",OR($Y554="No",$Y554="NOT FOUND")),"YES",""))</f>
        <v/>
      </c>
      <c r="AM554" s="85">
        <f>IF($A554="","",TRIM(IF(AND($P554=0,$I554&lt;&gt;"Yes"),"T0-NoPhishResistant ","")&amp;IF($H554="No","NoMFA ","")&amp;IF(AND($P554=0,$M554&gt;0),"T0-Standing ","")&amp;IF(AND($P554=0,$Q554="Group only"),"T0-ViaGroupOnly ","")&amp;IF($W554="Yes","AlsoAzureRBAC ","")))</f>
        <v/>
      </c>
      <c r="AN554" s="85">
        <f>IF($A554="","",IF(AG554="","Not Enrolled",IF(TODAY()&gt;AG554,"Review Overdue",IF(AG554-TODAY()&lt;=30,"Review Due Soon","Active"))))</f>
        <v/>
      </c>
      <c r="AO554" s="85">
        <f>IF($A554="","",IF(AH554="","NOT REVIEWED",IF(TODAY()-AH554&gt;90,"OVERDUE",IF(TODAY()-AH554&gt;76,"Due Soon","Current"))))</f>
        <v/>
      </c>
    </row>
    <row r="555" ht="15" customHeight="1" s="39">
      <c r="A555" s="85" t="n"/>
      <c r="B555" s="85" t="n"/>
      <c r="C555" s="85" t="n"/>
      <c r="D555" s="85" t="n"/>
      <c r="E555" s="85" t="n"/>
      <c r="F555" s="86" t="n"/>
      <c r="G555" s="86" t="n"/>
      <c r="H555" s="85" t="n"/>
      <c r="I555" s="85" t="n"/>
      <c r="J555" s="85" t="n"/>
      <c r="K555" s="85" t="n"/>
      <c r="L555" s="85" t="n"/>
      <c r="M555" s="85" t="n"/>
      <c r="N555" s="85" t="n"/>
      <c r="O555" s="85" t="n"/>
      <c r="P555" s="85" t="n"/>
      <c r="Q555" s="85" t="n"/>
      <c r="R555" s="85" t="n"/>
      <c r="S555" s="85" t="n"/>
      <c r="T555" s="85" t="n"/>
      <c r="U555" s="85" t="n"/>
      <c r="V555" s="85" t="n"/>
      <c r="W555" s="85" t="n"/>
      <c r="X555" s="85" t="n"/>
      <c r="Y555" s="85" t="n"/>
      <c r="Z555" s="85" t="n"/>
      <c r="AA555" s="85" t="n"/>
      <c r="AB555" s="85" t="n"/>
      <c r="AC555" s="85" t="n"/>
      <c r="AD555" s="85" t="n"/>
      <c r="AE555" s="85" t="n"/>
      <c r="AF555" s="86" t="n"/>
      <c r="AG555" s="86" t="n"/>
      <c r="AH555" s="86" t="n"/>
      <c r="AI555" s="85" t="n"/>
      <c r="AJ555" s="85" t="n"/>
      <c r="AK555" s="85">
        <f>IF($A555="","",IF($M555&gt;0,"Yes","No"))</f>
        <v/>
      </c>
      <c r="AL555" s="85">
        <f>IF($A555="","",IF(AND($E555="Yes",OR($Y555="No",$Y555="NOT FOUND")),"YES",""))</f>
        <v/>
      </c>
      <c r="AM555" s="85">
        <f>IF($A555="","",TRIM(IF(AND($P555=0,$I555&lt;&gt;"Yes"),"T0-NoPhishResistant ","")&amp;IF($H555="No","NoMFA ","")&amp;IF(AND($P555=0,$M555&gt;0),"T0-Standing ","")&amp;IF(AND($P555=0,$Q555="Group only"),"T0-ViaGroupOnly ","")&amp;IF($W555="Yes","AlsoAzureRBAC ","")))</f>
        <v/>
      </c>
      <c r="AN555" s="85">
        <f>IF($A555="","",IF(AG555="","Not Enrolled",IF(TODAY()&gt;AG555,"Review Overdue",IF(AG555-TODAY()&lt;=30,"Review Due Soon","Active"))))</f>
        <v/>
      </c>
      <c r="AO555" s="85">
        <f>IF($A555="","",IF(AH555="","NOT REVIEWED",IF(TODAY()-AH555&gt;90,"OVERDUE",IF(TODAY()-AH555&gt;76,"Due Soon","Current"))))</f>
        <v/>
      </c>
    </row>
    <row r="556" ht="15" customHeight="1" s="39">
      <c r="A556" s="85" t="n"/>
      <c r="B556" s="85" t="n"/>
      <c r="C556" s="85" t="n"/>
      <c r="D556" s="85" t="n"/>
      <c r="E556" s="85" t="n"/>
      <c r="F556" s="86" t="n"/>
      <c r="G556" s="86" t="n"/>
      <c r="H556" s="85" t="n"/>
      <c r="I556" s="85" t="n"/>
      <c r="J556" s="85" t="n"/>
      <c r="K556" s="85" t="n"/>
      <c r="L556" s="85" t="n"/>
      <c r="M556" s="85" t="n"/>
      <c r="N556" s="85" t="n"/>
      <c r="O556" s="85" t="n"/>
      <c r="P556" s="85" t="n"/>
      <c r="Q556" s="85" t="n"/>
      <c r="R556" s="85" t="n"/>
      <c r="S556" s="85" t="n"/>
      <c r="T556" s="85" t="n"/>
      <c r="U556" s="85" t="n"/>
      <c r="V556" s="85" t="n"/>
      <c r="W556" s="85" t="n"/>
      <c r="X556" s="85" t="n"/>
      <c r="Y556" s="85" t="n"/>
      <c r="Z556" s="85" t="n"/>
      <c r="AA556" s="85" t="n"/>
      <c r="AB556" s="85" t="n"/>
      <c r="AC556" s="85" t="n"/>
      <c r="AD556" s="85" t="n"/>
      <c r="AE556" s="85" t="n"/>
      <c r="AF556" s="86" t="n"/>
      <c r="AG556" s="86" t="n"/>
      <c r="AH556" s="86" t="n"/>
      <c r="AI556" s="85" t="n"/>
      <c r="AJ556" s="85" t="n"/>
      <c r="AK556" s="85">
        <f>IF($A556="","",IF($M556&gt;0,"Yes","No"))</f>
        <v/>
      </c>
      <c r="AL556" s="85">
        <f>IF($A556="","",IF(AND($E556="Yes",OR($Y556="No",$Y556="NOT FOUND")),"YES",""))</f>
        <v/>
      </c>
      <c r="AM556" s="85">
        <f>IF($A556="","",TRIM(IF(AND($P556=0,$I556&lt;&gt;"Yes"),"T0-NoPhishResistant ","")&amp;IF($H556="No","NoMFA ","")&amp;IF(AND($P556=0,$M556&gt;0),"T0-Standing ","")&amp;IF(AND($P556=0,$Q556="Group only"),"T0-ViaGroupOnly ","")&amp;IF($W556="Yes","AlsoAzureRBAC ","")))</f>
        <v/>
      </c>
      <c r="AN556" s="85">
        <f>IF($A556="","",IF(AG556="","Not Enrolled",IF(TODAY()&gt;AG556,"Review Overdue",IF(AG556-TODAY()&lt;=30,"Review Due Soon","Active"))))</f>
        <v/>
      </c>
      <c r="AO556" s="85">
        <f>IF($A556="","",IF(AH556="","NOT REVIEWED",IF(TODAY()-AH556&gt;90,"OVERDUE",IF(TODAY()-AH556&gt;76,"Due Soon","Current"))))</f>
        <v/>
      </c>
    </row>
    <row r="557" ht="15" customHeight="1" s="39">
      <c r="A557" s="85" t="n"/>
      <c r="B557" s="85" t="n"/>
      <c r="C557" s="85" t="n"/>
      <c r="D557" s="85" t="n"/>
      <c r="E557" s="85" t="n"/>
      <c r="F557" s="86" t="n"/>
      <c r="G557" s="86" t="n"/>
      <c r="H557" s="85" t="n"/>
      <c r="I557" s="85" t="n"/>
      <c r="J557" s="85" t="n"/>
      <c r="K557" s="85" t="n"/>
      <c r="L557" s="85" t="n"/>
      <c r="M557" s="85" t="n"/>
      <c r="N557" s="85" t="n"/>
      <c r="O557" s="85" t="n"/>
      <c r="P557" s="85" t="n"/>
      <c r="Q557" s="85" t="n"/>
      <c r="R557" s="85" t="n"/>
      <c r="S557" s="85" t="n"/>
      <c r="T557" s="85" t="n"/>
      <c r="U557" s="85" t="n"/>
      <c r="V557" s="85" t="n"/>
      <c r="W557" s="85" t="n"/>
      <c r="X557" s="85" t="n"/>
      <c r="Y557" s="85" t="n"/>
      <c r="Z557" s="85" t="n"/>
      <c r="AA557" s="85" t="n"/>
      <c r="AB557" s="85" t="n"/>
      <c r="AC557" s="85" t="n"/>
      <c r="AD557" s="85" t="n"/>
      <c r="AE557" s="85" t="n"/>
      <c r="AF557" s="86" t="n"/>
      <c r="AG557" s="86" t="n"/>
      <c r="AH557" s="86" t="n"/>
      <c r="AI557" s="85" t="n"/>
      <c r="AJ557" s="85" t="n"/>
      <c r="AK557" s="85">
        <f>IF($A557="","",IF($M557&gt;0,"Yes","No"))</f>
        <v/>
      </c>
      <c r="AL557" s="85">
        <f>IF($A557="","",IF(AND($E557="Yes",OR($Y557="No",$Y557="NOT FOUND")),"YES",""))</f>
        <v/>
      </c>
      <c r="AM557" s="85">
        <f>IF($A557="","",TRIM(IF(AND($P557=0,$I557&lt;&gt;"Yes"),"T0-NoPhishResistant ","")&amp;IF($H557="No","NoMFA ","")&amp;IF(AND($P557=0,$M557&gt;0),"T0-Standing ","")&amp;IF(AND($P557=0,$Q557="Group only"),"T0-ViaGroupOnly ","")&amp;IF($W557="Yes","AlsoAzureRBAC ","")))</f>
        <v/>
      </c>
      <c r="AN557" s="85">
        <f>IF($A557="","",IF(AG557="","Not Enrolled",IF(TODAY()&gt;AG557,"Review Overdue",IF(AG557-TODAY()&lt;=30,"Review Due Soon","Active"))))</f>
        <v/>
      </c>
      <c r="AO557" s="85">
        <f>IF($A557="","",IF(AH557="","NOT REVIEWED",IF(TODAY()-AH557&gt;90,"OVERDUE",IF(TODAY()-AH557&gt;76,"Due Soon","Current"))))</f>
        <v/>
      </c>
    </row>
    <row r="558" ht="15" customHeight="1" s="39">
      <c r="A558" s="85" t="n"/>
      <c r="B558" s="85" t="n"/>
      <c r="C558" s="85" t="n"/>
      <c r="D558" s="85" t="n"/>
      <c r="E558" s="85" t="n"/>
      <c r="F558" s="86" t="n"/>
      <c r="G558" s="86" t="n"/>
      <c r="H558" s="85" t="n"/>
      <c r="I558" s="85" t="n"/>
      <c r="J558" s="85" t="n"/>
      <c r="K558" s="85" t="n"/>
      <c r="L558" s="85" t="n"/>
      <c r="M558" s="85" t="n"/>
      <c r="N558" s="85" t="n"/>
      <c r="O558" s="85" t="n"/>
      <c r="P558" s="85" t="n"/>
      <c r="Q558" s="85" t="n"/>
      <c r="R558" s="85" t="n"/>
      <c r="S558" s="85" t="n"/>
      <c r="T558" s="85" t="n"/>
      <c r="U558" s="85" t="n"/>
      <c r="V558" s="85" t="n"/>
      <c r="W558" s="85" t="n"/>
      <c r="X558" s="85" t="n"/>
      <c r="Y558" s="85" t="n"/>
      <c r="Z558" s="85" t="n"/>
      <c r="AA558" s="85" t="n"/>
      <c r="AB558" s="85" t="n"/>
      <c r="AC558" s="85" t="n"/>
      <c r="AD558" s="85" t="n"/>
      <c r="AE558" s="85" t="n"/>
      <c r="AF558" s="86" t="n"/>
      <c r="AG558" s="86" t="n"/>
      <c r="AH558" s="86" t="n"/>
      <c r="AI558" s="85" t="n"/>
      <c r="AJ558" s="85" t="n"/>
      <c r="AK558" s="85">
        <f>IF($A558="","",IF($M558&gt;0,"Yes","No"))</f>
        <v/>
      </c>
      <c r="AL558" s="85">
        <f>IF($A558="","",IF(AND($E558="Yes",OR($Y558="No",$Y558="NOT FOUND")),"YES",""))</f>
        <v/>
      </c>
      <c r="AM558" s="85">
        <f>IF($A558="","",TRIM(IF(AND($P558=0,$I558&lt;&gt;"Yes"),"T0-NoPhishResistant ","")&amp;IF($H558="No","NoMFA ","")&amp;IF(AND($P558=0,$M558&gt;0),"T0-Standing ","")&amp;IF(AND($P558=0,$Q558="Group only"),"T0-ViaGroupOnly ","")&amp;IF($W558="Yes","AlsoAzureRBAC ","")))</f>
        <v/>
      </c>
      <c r="AN558" s="85">
        <f>IF($A558="","",IF(AG558="","Not Enrolled",IF(TODAY()&gt;AG558,"Review Overdue",IF(AG558-TODAY()&lt;=30,"Review Due Soon","Active"))))</f>
        <v/>
      </c>
      <c r="AO558" s="85">
        <f>IF($A558="","",IF(AH558="","NOT REVIEWED",IF(TODAY()-AH558&gt;90,"OVERDUE",IF(TODAY()-AH558&gt;76,"Due Soon","Current"))))</f>
        <v/>
      </c>
    </row>
    <row r="559" ht="15" customHeight="1" s="39">
      <c r="A559" s="85" t="n"/>
      <c r="B559" s="85" t="n"/>
      <c r="C559" s="85" t="n"/>
      <c r="D559" s="85" t="n"/>
      <c r="E559" s="85" t="n"/>
      <c r="F559" s="86" t="n"/>
      <c r="G559" s="86" t="n"/>
      <c r="H559" s="85" t="n"/>
      <c r="I559" s="85" t="n"/>
      <c r="J559" s="85" t="n"/>
      <c r="K559" s="85" t="n"/>
      <c r="L559" s="85" t="n"/>
      <c r="M559" s="85" t="n"/>
      <c r="N559" s="85" t="n"/>
      <c r="O559" s="85" t="n"/>
      <c r="P559" s="85" t="n"/>
      <c r="Q559" s="85" t="n"/>
      <c r="R559" s="85" t="n"/>
      <c r="S559" s="85" t="n"/>
      <c r="T559" s="85" t="n"/>
      <c r="U559" s="85" t="n"/>
      <c r="V559" s="85" t="n"/>
      <c r="W559" s="85" t="n"/>
      <c r="X559" s="85" t="n"/>
      <c r="Y559" s="85" t="n"/>
      <c r="Z559" s="85" t="n"/>
      <c r="AA559" s="85" t="n"/>
      <c r="AB559" s="85" t="n"/>
      <c r="AC559" s="85" t="n"/>
      <c r="AD559" s="85" t="n"/>
      <c r="AE559" s="85" t="n"/>
      <c r="AF559" s="86" t="n"/>
      <c r="AG559" s="86" t="n"/>
      <c r="AH559" s="86" t="n"/>
      <c r="AI559" s="85" t="n"/>
      <c r="AJ559" s="85" t="n"/>
      <c r="AK559" s="85">
        <f>IF($A559="","",IF($M559&gt;0,"Yes","No"))</f>
        <v/>
      </c>
      <c r="AL559" s="85">
        <f>IF($A559="","",IF(AND($E559="Yes",OR($Y559="No",$Y559="NOT FOUND")),"YES",""))</f>
        <v/>
      </c>
      <c r="AM559" s="85">
        <f>IF($A559="","",TRIM(IF(AND($P559=0,$I559&lt;&gt;"Yes"),"T0-NoPhishResistant ","")&amp;IF($H559="No","NoMFA ","")&amp;IF(AND($P559=0,$M559&gt;0),"T0-Standing ","")&amp;IF(AND($P559=0,$Q559="Group only"),"T0-ViaGroupOnly ","")&amp;IF($W559="Yes","AlsoAzureRBAC ","")))</f>
        <v/>
      </c>
      <c r="AN559" s="85">
        <f>IF($A559="","",IF(AG559="","Not Enrolled",IF(TODAY()&gt;AG559,"Review Overdue",IF(AG559-TODAY()&lt;=30,"Review Due Soon","Active"))))</f>
        <v/>
      </c>
      <c r="AO559" s="85">
        <f>IF($A559="","",IF(AH559="","NOT REVIEWED",IF(TODAY()-AH559&gt;90,"OVERDUE",IF(TODAY()-AH559&gt;76,"Due Soon","Current"))))</f>
        <v/>
      </c>
    </row>
    <row r="560" ht="15" customHeight="1" s="39">
      <c r="A560" s="85" t="n"/>
      <c r="B560" s="85" t="n"/>
      <c r="C560" s="85" t="n"/>
      <c r="D560" s="85" t="n"/>
      <c r="E560" s="85" t="n"/>
      <c r="F560" s="86" t="n"/>
      <c r="G560" s="86" t="n"/>
      <c r="H560" s="85" t="n"/>
      <c r="I560" s="85" t="n"/>
      <c r="J560" s="85" t="n"/>
      <c r="K560" s="85" t="n"/>
      <c r="L560" s="85" t="n"/>
      <c r="M560" s="85" t="n"/>
      <c r="N560" s="85" t="n"/>
      <c r="O560" s="85" t="n"/>
      <c r="P560" s="85" t="n"/>
      <c r="Q560" s="85" t="n"/>
      <c r="R560" s="85" t="n"/>
      <c r="S560" s="85" t="n"/>
      <c r="T560" s="85" t="n"/>
      <c r="U560" s="85" t="n"/>
      <c r="V560" s="85" t="n"/>
      <c r="W560" s="85" t="n"/>
      <c r="X560" s="85" t="n"/>
      <c r="Y560" s="85" t="n"/>
      <c r="Z560" s="85" t="n"/>
      <c r="AA560" s="85" t="n"/>
      <c r="AB560" s="85" t="n"/>
      <c r="AC560" s="85" t="n"/>
      <c r="AD560" s="85" t="n"/>
      <c r="AE560" s="85" t="n"/>
      <c r="AF560" s="86" t="n"/>
      <c r="AG560" s="86" t="n"/>
      <c r="AH560" s="86" t="n"/>
      <c r="AI560" s="85" t="n"/>
      <c r="AJ560" s="85" t="n"/>
      <c r="AK560" s="85">
        <f>IF($A560="","",IF($M560&gt;0,"Yes","No"))</f>
        <v/>
      </c>
      <c r="AL560" s="85">
        <f>IF($A560="","",IF(AND($E560="Yes",OR($Y560="No",$Y560="NOT FOUND")),"YES",""))</f>
        <v/>
      </c>
      <c r="AM560" s="85">
        <f>IF($A560="","",TRIM(IF(AND($P560=0,$I560&lt;&gt;"Yes"),"T0-NoPhishResistant ","")&amp;IF($H560="No","NoMFA ","")&amp;IF(AND($P560=0,$M560&gt;0),"T0-Standing ","")&amp;IF(AND($P560=0,$Q560="Group only"),"T0-ViaGroupOnly ","")&amp;IF($W560="Yes","AlsoAzureRBAC ","")))</f>
        <v/>
      </c>
      <c r="AN560" s="85">
        <f>IF($A560="","",IF(AG560="","Not Enrolled",IF(TODAY()&gt;AG560,"Review Overdue",IF(AG560-TODAY()&lt;=30,"Review Due Soon","Active"))))</f>
        <v/>
      </c>
      <c r="AO560" s="85">
        <f>IF($A560="","",IF(AH560="","NOT REVIEWED",IF(TODAY()-AH560&gt;90,"OVERDUE",IF(TODAY()-AH560&gt;76,"Due Soon","Current"))))</f>
        <v/>
      </c>
    </row>
    <row r="561" ht="15" customHeight="1" s="39">
      <c r="A561" s="85" t="n"/>
      <c r="B561" s="85" t="n"/>
      <c r="C561" s="85" t="n"/>
      <c r="D561" s="85" t="n"/>
      <c r="E561" s="85" t="n"/>
      <c r="F561" s="86" t="n"/>
      <c r="G561" s="86" t="n"/>
      <c r="H561" s="85" t="n"/>
      <c r="I561" s="85" t="n"/>
      <c r="J561" s="85" t="n"/>
      <c r="K561" s="85" t="n"/>
      <c r="L561" s="85" t="n"/>
      <c r="M561" s="85" t="n"/>
      <c r="N561" s="85" t="n"/>
      <c r="O561" s="85" t="n"/>
      <c r="P561" s="85" t="n"/>
      <c r="Q561" s="85" t="n"/>
      <c r="R561" s="85" t="n"/>
      <c r="S561" s="85" t="n"/>
      <c r="T561" s="85" t="n"/>
      <c r="U561" s="85" t="n"/>
      <c r="V561" s="85" t="n"/>
      <c r="W561" s="85" t="n"/>
      <c r="X561" s="85" t="n"/>
      <c r="Y561" s="85" t="n"/>
      <c r="Z561" s="85" t="n"/>
      <c r="AA561" s="85" t="n"/>
      <c r="AB561" s="85" t="n"/>
      <c r="AC561" s="85" t="n"/>
      <c r="AD561" s="85" t="n"/>
      <c r="AE561" s="85" t="n"/>
      <c r="AF561" s="86" t="n"/>
      <c r="AG561" s="86" t="n"/>
      <c r="AH561" s="86" t="n"/>
      <c r="AI561" s="85" t="n"/>
      <c r="AJ561" s="85" t="n"/>
      <c r="AK561" s="85">
        <f>IF($A561="","",IF($M561&gt;0,"Yes","No"))</f>
        <v/>
      </c>
      <c r="AL561" s="85">
        <f>IF($A561="","",IF(AND($E561="Yes",OR($Y561="No",$Y561="NOT FOUND")),"YES",""))</f>
        <v/>
      </c>
      <c r="AM561" s="85">
        <f>IF($A561="","",TRIM(IF(AND($P561=0,$I561&lt;&gt;"Yes"),"T0-NoPhishResistant ","")&amp;IF($H561="No","NoMFA ","")&amp;IF(AND($P561=0,$M561&gt;0),"T0-Standing ","")&amp;IF(AND($P561=0,$Q561="Group only"),"T0-ViaGroupOnly ","")&amp;IF($W561="Yes","AlsoAzureRBAC ","")))</f>
        <v/>
      </c>
      <c r="AN561" s="85">
        <f>IF($A561="","",IF(AG561="","Not Enrolled",IF(TODAY()&gt;AG561,"Review Overdue",IF(AG561-TODAY()&lt;=30,"Review Due Soon","Active"))))</f>
        <v/>
      </c>
      <c r="AO561" s="85">
        <f>IF($A561="","",IF(AH561="","NOT REVIEWED",IF(TODAY()-AH561&gt;90,"OVERDUE",IF(TODAY()-AH561&gt;76,"Due Soon","Current"))))</f>
        <v/>
      </c>
    </row>
    <row r="562" ht="15" customHeight="1" s="39">
      <c r="A562" s="85" t="n"/>
      <c r="B562" s="85" t="n"/>
      <c r="C562" s="85" t="n"/>
      <c r="D562" s="85" t="n"/>
      <c r="E562" s="85" t="n"/>
      <c r="F562" s="86" t="n"/>
      <c r="G562" s="86" t="n"/>
      <c r="H562" s="85" t="n"/>
      <c r="I562" s="85" t="n"/>
      <c r="J562" s="85" t="n"/>
      <c r="K562" s="85" t="n"/>
      <c r="L562" s="85" t="n"/>
      <c r="M562" s="85" t="n"/>
      <c r="N562" s="85" t="n"/>
      <c r="O562" s="85" t="n"/>
      <c r="P562" s="85" t="n"/>
      <c r="Q562" s="85" t="n"/>
      <c r="R562" s="85" t="n"/>
      <c r="S562" s="85" t="n"/>
      <c r="T562" s="85" t="n"/>
      <c r="U562" s="85" t="n"/>
      <c r="V562" s="85" t="n"/>
      <c r="W562" s="85" t="n"/>
      <c r="X562" s="85" t="n"/>
      <c r="Y562" s="85" t="n"/>
      <c r="Z562" s="85" t="n"/>
      <c r="AA562" s="85" t="n"/>
      <c r="AB562" s="85" t="n"/>
      <c r="AC562" s="85" t="n"/>
      <c r="AD562" s="85" t="n"/>
      <c r="AE562" s="85" t="n"/>
      <c r="AF562" s="86" t="n"/>
      <c r="AG562" s="86" t="n"/>
      <c r="AH562" s="86" t="n"/>
      <c r="AI562" s="85" t="n"/>
      <c r="AJ562" s="85" t="n"/>
      <c r="AK562" s="85">
        <f>IF($A562="","",IF($M562&gt;0,"Yes","No"))</f>
        <v/>
      </c>
      <c r="AL562" s="85">
        <f>IF($A562="","",IF(AND($E562="Yes",OR($Y562="No",$Y562="NOT FOUND")),"YES",""))</f>
        <v/>
      </c>
      <c r="AM562" s="85">
        <f>IF($A562="","",TRIM(IF(AND($P562=0,$I562&lt;&gt;"Yes"),"T0-NoPhishResistant ","")&amp;IF($H562="No","NoMFA ","")&amp;IF(AND($P562=0,$M562&gt;0),"T0-Standing ","")&amp;IF(AND($P562=0,$Q562="Group only"),"T0-ViaGroupOnly ","")&amp;IF($W562="Yes","AlsoAzureRBAC ","")))</f>
        <v/>
      </c>
      <c r="AN562" s="85">
        <f>IF($A562="","",IF(AG562="","Not Enrolled",IF(TODAY()&gt;AG562,"Review Overdue",IF(AG562-TODAY()&lt;=30,"Review Due Soon","Active"))))</f>
        <v/>
      </c>
      <c r="AO562" s="85">
        <f>IF($A562="","",IF(AH562="","NOT REVIEWED",IF(TODAY()-AH562&gt;90,"OVERDUE",IF(TODAY()-AH562&gt;76,"Due Soon","Current"))))</f>
        <v/>
      </c>
    </row>
    <row r="563" ht="15" customHeight="1" s="39">
      <c r="A563" s="85" t="n"/>
      <c r="B563" s="85" t="n"/>
      <c r="C563" s="85" t="n"/>
      <c r="D563" s="85" t="n"/>
      <c r="E563" s="85" t="n"/>
      <c r="F563" s="86" t="n"/>
      <c r="G563" s="86" t="n"/>
      <c r="H563" s="85" t="n"/>
      <c r="I563" s="85" t="n"/>
      <c r="J563" s="85" t="n"/>
      <c r="K563" s="85" t="n"/>
      <c r="L563" s="85" t="n"/>
      <c r="M563" s="85" t="n"/>
      <c r="N563" s="85" t="n"/>
      <c r="O563" s="85" t="n"/>
      <c r="P563" s="85" t="n"/>
      <c r="Q563" s="85" t="n"/>
      <c r="R563" s="85" t="n"/>
      <c r="S563" s="85" t="n"/>
      <c r="T563" s="85" t="n"/>
      <c r="U563" s="85" t="n"/>
      <c r="V563" s="85" t="n"/>
      <c r="W563" s="85" t="n"/>
      <c r="X563" s="85" t="n"/>
      <c r="Y563" s="85" t="n"/>
      <c r="Z563" s="85" t="n"/>
      <c r="AA563" s="85" t="n"/>
      <c r="AB563" s="85" t="n"/>
      <c r="AC563" s="85" t="n"/>
      <c r="AD563" s="85" t="n"/>
      <c r="AE563" s="85" t="n"/>
      <c r="AF563" s="86" t="n"/>
      <c r="AG563" s="86" t="n"/>
      <c r="AH563" s="86" t="n"/>
      <c r="AI563" s="85" t="n"/>
      <c r="AJ563" s="85" t="n"/>
      <c r="AK563" s="85">
        <f>IF($A563="","",IF($M563&gt;0,"Yes","No"))</f>
        <v/>
      </c>
      <c r="AL563" s="85">
        <f>IF($A563="","",IF(AND($E563="Yes",OR($Y563="No",$Y563="NOT FOUND")),"YES",""))</f>
        <v/>
      </c>
      <c r="AM563" s="85">
        <f>IF($A563="","",TRIM(IF(AND($P563=0,$I563&lt;&gt;"Yes"),"T0-NoPhishResistant ","")&amp;IF($H563="No","NoMFA ","")&amp;IF(AND($P563=0,$M563&gt;0),"T0-Standing ","")&amp;IF(AND($P563=0,$Q563="Group only"),"T0-ViaGroupOnly ","")&amp;IF($W563="Yes","AlsoAzureRBAC ","")))</f>
        <v/>
      </c>
      <c r="AN563" s="85">
        <f>IF($A563="","",IF(AG563="","Not Enrolled",IF(TODAY()&gt;AG563,"Review Overdue",IF(AG563-TODAY()&lt;=30,"Review Due Soon","Active"))))</f>
        <v/>
      </c>
      <c r="AO563" s="85">
        <f>IF($A563="","",IF(AH563="","NOT REVIEWED",IF(TODAY()-AH563&gt;90,"OVERDUE",IF(TODAY()-AH563&gt;76,"Due Soon","Current"))))</f>
        <v/>
      </c>
    </row>
    <row r="564" ht="15" customHeight="1" s="39">
      <c r="A564" s="85" t="n"/>
      <c r="B564" s="85" t="n"/>
      <c r="C564" s="85" t="n"/>
      <c r="D564" s="85" t="n"/>
      <c r="E564" s="85" t="n"/>
      <c r="F564" s="86" t="n"/>
      <c r="G564" s="86" t="n"/>
      <c r="H564" s="85" t="n"/>
      <c r="I564" s="85" t="n"/>
      <c r="J564" s="85" t="n"/>
      <c r="K564" s="85" t="n"/>
      <c r="L564" s="85" t="n"/>
      <c r="M564" s="85" t="n"/>
      <c r="N564" s="85" t="n"/>
      <c r="O564" s="85" t="n"/>
      <c r="P564" s="85" t="n"/>
      <c r="Q564" s="85" t="n"/>
      <c r="R564" s="85" t="n"/>
      <c r="S564" s="85" t="n"/>
      <c r="T564" s="85" t="n"/>
      <c r="U564" s="85" t="n"/>
      <c r="V564" s="85" t="n"/>
      <c r="W564" s="85" t="n"/>
      <c r="X564" s="85" t="n"/>
      <c r="Y564" s="85" t="n"/>
      <c r="Z564" s="85" t="n"/>
      <c r="AA564" s="85" t="n"/>
      <c r="AB564" s="85" t="n"/>
      <c r="AC564" s="85" t="n"/>
      <c r="AD564" s="85" t="n"/>
      <c r="AE564" s="85" t="n"/>
      <c r="AF564" s="86" t="n"/>
      <c r="AG564" s="86" t="n"/>
      <c r="AH564" s="86" t="n"/>
      <c r="AI564" s="85" t="n"/>
      <c r="AJ564" s="85" t="n"/>
      <c r="AK564" s="85">
        <f>IF($A564="","",IF($M564&gt;0,"Yes","No"))</f>
        <v/>
      </c>
      <c r="AL564" s="85">
        <f>IF($A564="","",IF(AND($E564="Yes",OR($Y564="No",$Y564="NOT FOUND")),"YES",""))</f>
        <v/>
      </c>
      <c r="AM564" s="85">
        <f>IF($A564="","",TRIM(IF(AND($P564=0,$I564&lt;&gt;"Yes"),"T0-NoPhishResistant ","")&amp;IF($H564="No","NoMFA ","")&amp;IF(AND($P564=0,$M564&gt;0),"T0-Standing ","")&amp;IF(AND($P564=0,$Q564="Group only"),"T0-ViaGroupOnly ","")&amp;IF($W564="Yes","AlsoAzureRBAC ","")))</f>
        <v/>
      </c>
      <c r="AN564" s="85">
        <f>IF($A564="","",IF(AG564="","Not Enrolled",IF(TODAY()&gt;AG564,"Review Overdue",IF(AG564-TODAY()&lt;=30,"Review Due Soon","Active"))))</f>
        <v/>
      </c>
      <c r="AO564" s="85">
        <f>IF($A564="","",IF(AH564="","NOT REVIEWED",IF(TODAY()-AH564&gt;90,"OVERDUE",IF(TODAY()-AH564&gt;76,"Due Soon","Current"))))</f>
        <v/>
      </c>
    </row>
    <row r="565" ht="15" customHeight="1" s="39">
      <c r="A565" s="85" t="n"/>
      <c r="B565" s="85" t="n"/>
      <c r="C565" s="85" t="n"/>
      <c r="D565" s="85" t="n"/>
      <c r="E565" s="85" t="n"/>
      <c r="F565" s="86" t="n"/>
      <c r="G565" s="86" t="n"/>
      <c r="H565" s="85" t="n"/>
      <c r="I565" s="85" t="n"/>
      <c r="J565" s="85" t="n"/>
      <c r="K565" s="85" t="n"/>
      <c r="L565" s="85" t="n"/>
      <c r="M565" s="85" t="n"/>
      <c r="N565" s="85" t="n"/>
      <c r="O565" s="85" t="n"/>
      <c r="P565" s="85" t="n"/>
      <c r="Q565" s="85" t="n"/>
      <c r="R565" s="85" t="n"/>
      <c r="S565" s="85" t="n"/>
      <c r="T565" s="85" t="n"/>
      <c r="U565" s="85" t="n"/>
      <c r="V565" s="85" t="n"/>
      <c r="W565" s="85" t="n"/>
      <c r="X565" s="85" t="n"/>
      <c r="Y565" s="85" t="n"/>
      <c r="Z565" s="85" t="n"/>
      <c r="AA565" s="85" t="n"/>
      <c r="AB565" s="85" t="n"/>
      <c r="AC565" s="85" t="n"/>
      <c r="AD565" s="85" t="n"/>
      <c r="AE565" s="85" t="n"/>
      <c r="AF565" s="86" t="n"/>
      <c r="AG565" s="86" t="n"/>
      <c r="AH565" s="86" t="n"/>
      <c r="AI565" s="85" t="n"/>
      <c r="AJ565" s="85" t="n"/>
      <c r="AK565" s="85">
        <f>IF($A565="","",IF($M565&gt;0,"Yes","No"))</f>
        <v/>
      </c>
      <c r="AL565" s="85">
        <f>IF($A565="","",IF(AND($E565="Yes",OR($Y565="No",$Y565="NOT FOUND")),"YES",""))</f>
        <v/>
      </c>
      <c r="AM565" s="85">
        <f>IF($A565="","",TRIM(IF(AND($P565=0,$I565&lt;&gt;"Yes"),"T0-NoPhishResistant ","")&amp;IF($H565="No","NoMFA ","")&amp;IF(AND($P565=0,$M565&gt;0),"T0-Standing ","")&amp;IF(AND($P565=0,$Q565="Group only"),"T0-ViaGroupOnly ","")&amp;IF($W565="Yes","AlsoAzureRBAC ","")))</f>
        <v/>
      </c>
      <c r="AN565" s="85">
        <f>IF($A565="","",IF(AG565="","Not Enrolled",IF(TODAY()&gt;AG565,"Review Overdue",IF(AG565-TODAY()&lt;=30,"Review Due Soon","Active"))))</f>
        <v/>
      </c>
      <c r="AO565" s="85">
        <f>IF($A565="","",IF(AH565="","NOT REVIEWED",IF(TODAY()-AH565&gt;90,"OVERDUE",IF(TODAY()-AH565&gt;76,"Due Soon","Current"))))</f>
        <v/>
      </c>
    </row>
    <row r="566" ht="15" customHeight="1" s="39">
      <c r="A566" s="85" t="n"/>
      <c r="B566" s="85" t="n"/>
      <c r="C566" s="85" t="n"/>
      <c r="D566" s="85" t="n"/>
      <c r="E566" s="85" t="n"/>
      <c r="F566" s="86" t="n"/>
      <c r="G566" s="86" t="n"/>
      <c r="H566" s="85" t="n"/>
      <c r="I566" s="85" t="n"/>
      <c r="J566" s="85" t="n"/>
      <c r="K566" s="85" t="n"/>
      <c r="L566" s="85" t="n"/>
      <c r="M566" s="85" t="n"/>
      <c r="N566" s="85" t="n"/>
      <c r="O566" s="85" t="n"/>
      <c r="P566" s="85" t="n"/>
      <c r="Q566" s="85" t="n"/>
      <c r="R566" s="85" t="n"/>
      <c r="S566" s="85" t="n"/>
      <c r="T566" s="85" t="n"/>
      <c r="U566" s="85" t="n"/>
      <c r="V566" s="85" t="n"/>
      <c r="W566" s="85" t="n"/>
      <c r="X566" s="85" t="n"/>
      <c r="Y566" s="85" t="n"/>
      <c r="Z566" s="85" t="n"/>
      <c r="AA566" s="85" t="n"/>
      <c r="AB566" s="85" t="n"/>
      <c r="AC566" s="85" t="n"/>
      <c r="AD566" s="85" t="n"/>
      <c r="AE566" s="85" t="n"/>
      <c r="AF566" s="86" t="n"/>
      <c r="AG566" s="86" t="n"/>
      <c r="AH566" s="86" t="n"/>
      <c r="AI566" s="85" t="n"/>
      <c r="AJ566" s="85" t="n"/>
      <c r="AK566" s="85">
        <f>IF($A566="","",IF($M566&gt;0,"Yes","No"))</f>
        <v/>
      </c>
      <c r="AL566" s="85">
        <f>IF($A566="","",IF(AND($E566="Yes",OR($Y566="No",$Y566="NOT FOUND")),"YES",""))</f>
        <v/>
      </c>
      <c r="AM566" s="85">
        <f>IF($A566="","",TRIM(IF(AND($P566=0,$I566&lt;&gt;"Yes"),"T0-NoPhishResistant ","")&amp;IF($H566="No","NoMFA ","")&amp;IF(AND($P566=0,$M566&gt;0),"T0-Standing ","")&amp;IF(AND($P566=0,$Q566="Group only"),"T0-ViaGroupOnly ","")&amp;IF($W566="Yes","AlsoAzureRBAC ","")))</f>
        <v/>
      </c>
      <c r="AN566" s="85">
        <f>IF($A566="","",IF(AG566="","Not Enrolled",IF(TODAY()&gt;AG566,"Review Overdue",IF(AG566-TODAY()&lt;=30,"Review Due Soon","Active"))))</f>
        <v/>
      </c>
      <c r="AO566" s="85">
        <f>IF($A566="","",IF(AH566="","NOT REVIEWED",IF(TODAY()-AH566&gt;90,"OVERDUE",IF(TODAY()-AH566&gt;76,"Due Soon","Current"))))</f>
        <v/>
      </c>
    </row>
    <row r="567" ht="15" customHeight="1" s="39">
      <c r="A567" s="85" t="n"/>
      <c r="B567" s="85" t="n"/>
      <c r="C567" s="85" t="n"/>
      <c r="D567" s="85" t="n"/>
      <c r="E567" s="85" t="n"/>
      <c r="F567" s="86" t="n"/>
      <c r="G567" s="86" t="n"/>
      <c r="H567" s="85" t="n"/>
      <c r="I567" s="85" t="n"/>
      <c r="J567" s="85" t="n"/>
      <c r="K567" s="85" t="n"/>
      <c r="L567" s="85" t="n"/>
      <c r="M567" s="85" t="n"/>
      <c r="N567" s="85" t="n"/>
      <c r="O567" s="85" t="n"/>
      <c r="P567" s="85" t="n"/>
      <c r="Q567" s="85" t="n"/>
      <c r="R567" s="85" t="n"/>
      <c r="S567" s="85" t="n"/>
      <c r="T567" s="85" t="n"/>
      <c r="U567" s="85" t="n"/>
      <c r="V567" s="85" t="n"/>
      <c r="W567" s="85" t="n"/>
      <c r="X567" s="85" t="n"/>
      <c r="Y567" s="85" t="n"/>
      <c r="Z567" s="85" t="n"/>
      <c r="AA567" s="85" t="n"/>
      <c r="AB567" s="85" t="n"/>
      <c r="AC567" s="85" t="n"/>
      <c r="AD567" s="85" t="n"/>
      <c r="AE567" s="85" t="n"/>
      <c r="AF567" s="86" t="n"/>
      <c r="AG567" s="86" t="n"/>
      <c r="AH567" s="86" t="n"/>
      <c r="AI567" s="85" t="n"/>
      <c r="AJ567" s="85" t="n"/>
      <c r="AK567" s="85">
        <f>IF($A567="","",IF($M567&gt;0,"Yes","No"))</f>
        <v/>
      </c>
      <c r="AL567" s="85">
        <f>IF($A567="","",IF(AND($E567="Yes",OR($Y567="No",$Y567="NOT FOUND")),"YES",""))</f>
        <v/>
      </c>
      <c r="AM567" s="85">
        <f>IF($A567="","",TRIM(IF(AND($P567=0,$I567&lt;&gt;"Yes"),"T0-NoPhishResistant ","")&amp;IF($H567="No","NoMFA ","")&amp;IF(AND($P567=0,$M567&gt;0),"T0-Standing ","")&amp;IF(AND($P567=0,$Q567="Group only"),"T0-ViaGroupOnly ","")&amp;IF($W567="Yes","AlsoAzureRBAC ","")))</f>
        <v/>
      </c>
      <c r="AN567" s="85">
        <f>IF($A567="","",IF(AG567="","Not Enrolled",IF(TODAY()&gt;AG567,"Review Overdue",IF(AG567-TODAY()&lt;=30,"Review Due Soon","Active"))))</f>
        <v/>
      </c>
      <c r="AO567" s="85">
        <f>IF($A567="","",IF(AH567="","NOT REVIEWED",IF(TODAY()-AH567&gt;90,"OVERDUE",IF(TODAY()-AH567&gt;76,"Due Soon","Current"))))</f>
        <v/>
      </c>
    </row>
    <row r="568" ht="15" customHeight="1" s="39">
      <c r="A568" s="85" t="n"/>
      <c r="B568" s="85" t="n"/>
      <c r="C568" s="85" t="n"/>
      <c r="D568" s="85" t="n"/>
      <c r="E568" s="85" t="n"/>
      <c r="F568" s="86" t="n"/>
      <c r="G568" s="86" t="n"/>
      <c r="H568" s="85" t="n"/>
      <c r="I568" s="85" t="n"/>
      <c r="J568" s="85" t="n"/>
      <c r="K568" s="85" t="n"/>
      <c r="L568" s="85" t="n"/>
      <c r="M568" s="85" t="n"/>
      <c r="N568" s="85" t="n"/>
      <c r="O568" s="85" t="n"/>
      <c r="P568" s="85" t="n"/>
      <c r="Q568" s="85" t="n"/>
      <c r="R568" s="85" t="n"/>
      <c r="S568" s="85" t="n"/>
      <c r="T568" s="85" t="n"/>
      <c r="U568" s="85" t="n"/>
      <c r="V568" s="85" t="n"/>
      <c r="W568" s="85" t="n"/>
      <c r="X568" s="85" t="n"/>
      <c r="Y568" s="85" t="n"/>
      <c r="Z568" s="85" t="n"/>
      <c r="AA568" s="85" t="n"/>
      <c r="AB568" s="85" t="n"/>
      <c r="AC568" s="85" t="n"/>
      <c r="AD568" s="85" t="n"/>
      <c r="AE568" s="85" t="n"/>
      <c r="AF568" s="86" t="n"/>
      <c r="AG568" s="86" t="n"/>
      <c r="AH568" s="86" t="n"/>
      <c r="AI568" s="85" t="n"/>
      <c r="AJ568" s="85" t="n"/>
      <c r="AK568" s="85">
        <f>IF($A568="","",IF($M568&gt;0,"Yes","No"))</f>
        <v/>
      </c>
      <c r="AL568" s="85">
        <f>IF($A568="","",IF(AND($E568="Yes",OR($Y568="No",$Y568="NOT FOUND")),"YES",""))</f>
        <v/>
      </c>
      <c r="AM568" s="85">
        <f>IF($A568="","",TRIM(IF(AND($P568=0,$I568&lt;&gt;"Yes"),"T0-NoPhishResistant ","")&amp;IF($H568="No","NoMFA ","")&amp;IF(AND($P568=0,$M568&gt;0),"T0-Standing ","")&amp;IF(AND($P568=0,$Q568="Group only"),"T0-ViaGroupOnly ","")&amp;IF($W568="Yes","AlsoAzureRBAC ","")))</f>
        <v/>
      </c>
      <c r="AN568" s="85">
        <f>IF($A568="","",IF(AG568="","Not Enrolled",IF(TODAY()&gt;AG568,"Review Overdue",IF(AG568-TODAY()&lt;=30,"Review Due Soon","Active"))))</f>
        <v/>
      </c>
      <c r="AO568" s="85">
        <f>IF($A568="","",IF(AH568="","NOT REVIEWED",IF(TODAY()-AH568&gt;90,"OVERDUE",IF(TODAY()-AH568&gt;76,"Due Soon","Current"))))</f>
        <v/>
      </c>
    </row>
    <row r="569" ht="15" customHeight="1" s="39">
      <c r="A569" s="85" t="n"/>
      <c r="B569" s="85" t="n"/>
      <c r="C569" s="85" t="n"/>
      <c r="D569" s="85" t="n"/>
      <c r="E569" s="85" t="n"/>
      <c r="F569" s="86" t="n"/>
      <c r="G569" s="86" t="n"/>
      <c r="H569" s="85" t="n"/>
      <c r="I569" s="85" t="n"/>
      <c r="J569" s="85" t="n"/>
      <c r="K569" s="85" t="n"/>
      <c r="L569" s="85" t="n"/>
      <c r="M569" s="85" t="n"/>
      <c r="N569" s="85" t="n"/>
      <c r="O569" s="85" t="n"/>
      <c r="P569" s="85" t="n"/>
      <c r="Q569" s="85" t="n"/>
      <c r="R569" s="85" t="n"/>
      <c r="S569" s="85" t="n"/>
      <c r="T569" s="85" t="n"/>
      <c r="U569" s="85" t="n"/>
      <c r="V569" s="85" t="n"/>
      <c r="W569" s="85" t="n"/>
      <c r="X569" s="85" t="n"/>
      <c r="Y569" s="85" t="n"/>
      <c r="Z569" s="85" t="n"/>
      <c r="AA569" s="85" t="n"/>
      <c r="AB569" s="85" t="n"/>
      <c r="AC569" s="85" t="n"/>
      <c r="AD569" s="85" t="n"/>
      <c r="AE569" s="85" t="n"/>
      <c r="AF569" s="86" t="n"/>
      <c r="AG569" s="86" t="n"/>
      <c r="AH569" s="86" t="n"/>
      <c r="AI569" s="85" t="n"/>
      <c r="AJ569" s="85" t="n"/>
      <c r="AK569" s="85">
        <f>IF($A569="","",IF($M569&gt;0,"Yes","No"))</f>
        <v/>
      </c>
      <c r="AL569" s="85">
        <f>IF($A569="","",IF(AND($E569="Yes",OR($Y569="No",$Y569="NOT FOUND")),"YES",""))</f>
        <v/>
      </c>
      <c r="AM569" s="85">
        <f>IF($A569="","",TRIM(IF(AND($P569=0,$I569&lt;&gt;"Yes"),"T0-NoPhishResistant ","")&amp;IF($H569="No","NoMFA ","")&amp;IF(AND($P569=0,$M569&gt;0),"T0-Standing ","")&amp;IF(AND($P569=0,$Q569="Group only"),"T0-ViaGroupOnly ","")&amp;IF($W569="Yes","AlsoAzureRBAC ","")))</f>
        <v/>
      </c>
      <c r="AN569" s="85">
        <f>IF($A569="","",IF(AG569="","Not Enrolled",IF(TODAY()&gt;AG569,"Review Overdue",IF(AG569-TODAY()&lt;=30,"Review Due Soon","Active"))))</f>
        <v/>
      </c>
      <c r="AO569" s="85">
        <f>IF($A569="","",IF(AH569="","NOT REVIEWED",IF(TODAY()-AH569&gt;90,"OVERDUE",IF(TODAY()-AH569&gt;76,"Due Soon","Current"))))</f>
        <v/>
      </c>
    </row>
    <row r="570" ht="15" customHeight="1" s="39">
      <c r="A570" s="85" t="n"/>
      <c r="B570" s="85" t="n"/>
      <c r="C570" s="85" t="n"/>
      <c r="D570" s="85" t="n"/>
      <c r="E570" s="85" t="n"/>
      <c r="F570" s="86" t="n"/>
      <c r="G570" s="86" t="n"/>
      <c r="H570" s="85" t="n"/>
      <c r="I570" s="85" t="n"/>
      <c r="J570" s="85" t="n"/>
      <c r="K570" s="85" t="n"/>
      <c r="L570" s="85" t="n"/>
      <c r="M570" s="85" t="n"/>
      <c r="N570" s="85" t="n"/>
      <c r="O570" s="85" t="n"/>
      <c r="P570" s="85" t="n"/>
      <c r="Q570" s="85" t="n"/>
      <c r="R570" s="85" t="n"/>
      <c r="S570" s="85" t="n"/>
      <c r="T570" s="85" t="n"/>
      <c r="U570" s="85" t="n"/>
      <c r="V570" s="85" t="n"/>
      <c r="W570" s="85" t="n"/>
      <c r="X570" s="85" t="n"/>
      <c r="Y570" s="85" t="n"/>
      <c r="Z570" s="85" t="n"/>
      <c r="AA570" s="85" t="n"/>
      <c r="AB570" s="85" t="n"/>
      <c r="AC570" s="85" t="n"/>
      <c r="AD570" s="85" t="n"/>
      <c r="AE570" s="85" t="n"/>
      <c r="AF570" s="86" t="n"/>
      <c r="AG570" s="86" t="n"/>
      <c r="AH570" s="86" t="n"/>
      <c r="AI570" s="85" t="n"/>
      <c r="AJ570" s="85" t="n"/>
      <c r="AK570" s="85">
        <f>IF($A570="","",IF($M570&gt;0,"Yes","No"))</f>
        <v/>
      </c>
      <c r="AL570" s="85">
        <f>IF($A570="","",IF(AND($E570="Yes",OR($Y570="No",$Y570="NOT FOUND")),"YES",""))</f>
        <v/>
      </c>
      <c r="AM570" s="85">
        <f>IF($A570="","",TRIM(IF(AND($P570=0,$I570&lt;&gt;"Yes"),"T0-NoPhishResistant ","")&amp;IF($H570="No","NoMFA ","")&amp;IF(AND($P570=0,$M570&gt;0),"T0-Standing ","")&amp;IF(AND($P570=0,$Q570="Group only"),"T0-ViaGroupOnly ","")&amp;IF($W570="Yes","AlsoAzureRBAC ","")))</f>
        <v/>
      </c>
      <c r="AN570" s="85">
        <f>IF($A570="","",IF(AG570="","Not Enrolled",IF(TODAY()&gt;AG570,"Review Overdue",IF(AG570-TODAY()&lt;=30,"Review Due Soon","Active"))))</f>
        <v/>
      </c>
      <c r="AO570" s="85">
        <f>IF($A570="","",IF(AH570="","NOT REVIEWED",IF(TODAY()-AH570&gt;90,"OVERDUE",IF(TODAY()-AH570&gt;76,"Due Soon","Current"))))</f>
        <v/>
      </c>
    </row>
    <row r="571" ht="15" customHeight="1" s="39">
      <c r="A571" s="85" t="n"/>
      <c r="B571" s="85" t="n"/>
      <c r="C571" s="85" t="n"/>
      <c r="D571" s="85" t="n"/>
      <c r="E571" s="85" t="n"/>
      <c r="F571" s="86" t="n"/>
      <c r="G571" s="86" t="n"/>
      <c r="H571" s="85" t="n"/>
      <c r="I571" s="85" t="n"/>
      <c r="J571" s="85" t="n"/>
      <c r="K571" s="85" t="n"/>
      <c r="L571" s="85" t="n"/>
      <c r="M571" s="85" t="n"/>
      <c r="N571" s="85" t="n"/>
      <c r="O571" s="85" t="n"/>
      <c r="P571" s="85" t="n"/>
      <c r="Q571" s="85" t="n"/>
      <c r="R571" s="85" t="n"/>
      <c r="S571" s="85" t="n"/>
      <c r="T571" s="85" t="n"/>
      <c r="U571" s="85" t="n"/>
      <c r="V571" s="85" t="n"/>
      <c r="W571" s="85" t="n"/>
      <c r="X571" s="85" t="n"/>
      <c r="Y571" s="85" t="n"/>
      <c r="Z571" s="85" t="n"/>
      <c r="AA571" s="85" t="n"/>
      <c r="AB571" s="85" t="n"/>
      <c r="AC571" s="85" t="n"/>
      <c r="AD571" s="85" t="n"/>
      <c r="AE571" s="85" t="n"/>
      <c r="AF571" s="86" t="n"/>
      <c r="AG571" s="86" t="n"/>
      <c r="AH571" s="86" t="n"/>
      <c r="AI571" s="85" t="n"/>
      <c r="AJ571" s="85" t="n"/>
      <c r="AK571" s="85">
        <f>IF($A571="","",IF($M571&gt;0,"Yes","No"))</f>
        <v/>
      </c>
      <c r="AL571" s="85">
        <f>IF($A571="","",IF(AND($E571="Yes",OR($Y571="No",$Y571="NOT FOUND")),"YES",""))</f>
        <v/>
      </c>
      <c r="AM571" s="85">
        <f>IF($A571="","",TRIM(IF(AND($P571=0,$I571&lt;&gt;"Yes"),"T0-NoPhishResistant ","")&amp;IF($H571="No","NoMFA ","")&amp;IF(AND($P571=0,$M571&gt;0),"T0-Standing ","")&amp;IF(AND($P571=0,$Q571="Group only"),"T0-ViaGroupOnly ","")&amp;IF($W571="Yes","AlsoAzureRBAC ","")))</f>
        <v/>
      </c>
      <c r="AN571" s="85">
        <f>IF($A571="","",IF(AG571="","Not Enrolled",IF(TODAY()&gt;AG571,"Review Overdue",IF(AG571-TODAY()&lt;=30,"Review Due Soon","Active"))))</f>
        <v/>
      </c>
      <c r="AO571" s="85">
        <f>IF($A571="","",IF(AH571="","NOT REVIEWED",IF(TODAY()-AH571&gt;90,"OVERDUE",IF(TODAY()-AH571&gt;76,"Due Soon","Current"))))</f>
        <v/>
      </c>
    </row>
    <row r="572" ht="15" customHeight="1" s="39">
      <c r="A572" s="85" t="n"/>
      <c r="B572" s="85" t="n"/>
      <c r="C572" s="85" t="n"/>
      <c r="D572" s="85" t="n"/>
      <c r="E572" s="85" t="n"/>
      <c r="F572" s="86" t="n"/>
      <c r="G572" s="86" t="n"/>
      <c r="H572" s="85" t="n"/>
      <c r="I572" s="85" t="n"/>
      <c r="J572" s="85" t="n"/>
      <c r="K572" s="85" t="n"/>
      <c r="L572" s="85" t="n"/>
      <c r="M572" s="85" t="n"/>
      <c r="N572" s="85" t="n"/>
      <c r="O572" s="85" t="n"/>
      <c r="P572" s="85" t="n"/>
      <c r="Q572" s="85" t="n"/>
      <c r="R572" s="85" t="n"/>
      <c r="S572" s="85" t="n"/>
      <c r="T572" s="85" t="n"/>
      <c r="U572" s="85" t="n"/>
      <c r="V572" s="85" t="n"/>
      <c r="W572" s="85" t="n"/>
      <c r="X572" s="85" t="n"/>
      <c r="Y572" s="85" t="n"/>
      <c r="Z572" s="85" t="n"/>
      <c r="AA572" s="85" t="n"/>
      <c r="AB572" s="85" t="n"/>
      <c r="AC572" s="85" t="n"/>
      <c r="AD572" s="85" t="n"/>
      <c r="AE572" s="85" t="n"/>
      <c r="AF572" s="86" t="n"/>
      <c r="AG572" s="86" t="n"/>
      <c r="AH572" s="86" t="n"/>
      <c r="AI572" s="85" t="n"/>
      <c r="AJ572" s="85" t="n"/>
      <c r="AK572" s="85">
        <f>IF($A572="","",IF($M572&gt;0,"Yes","No"))</f>
        <v/>
      </c>
      <c r="AL572" s="85">
        <f>IF($A572="","",IF(AND($E572="Yes",OR($Y572="No",$Y572="NOT FOUND")),"YES",""))</f>
        <v/>
      </c>
      <c r="AM572" s="85">
        <f>IF($A572="","",TRIM(IF(AND($P572=0,$I572&lt;&gt;"Yes"),"T0-NoPhishResistant ","")&amp;IF($H572="No","NoMFA ","")&amp;IF(AND($P572=0,$M572&gt;0),"T0-Standing ","")&amp;IF(AND($P572=0,$Q572="Group only"),"T0-ViaGroupOnly ","")&amp;IF($W572="Yes","AlsoAzureRBAC ","")))</f>
        <v/>
      </c>
      <c r="AN572" s="85">
        <f>IF($A572="","",IF(AG572="","Not Enrolled",IF(TODAY()&gt;AG572,"Review Overdue",IF(AG572-TODAY()&lt;=30,"Review Due Soon","Active"))))</f>
        <v/>
      </c>
      <c r="AO572" s="85">
        <f>IF($A572="","",IF(AH572="","NOT REVIEWED",IF(TODAY()-AH572&gt;90,"OVERDUE",IF(TODAY()-AH572&gt;76,"Due Soon","Current"))))</f>
        <v/>
      </c>
    </row>
    <row r="573" ht="15" customHeight="1" s="39">
      <c r="A573" s="85" t="n"/>
      <c r="B573" s="85" t="n"/>
      <c r="C573" s="85" t="n"/>
      <c r="D573" s="85" t="n"/>
      <c r="E573" s="85" t="n"/>
      <c r="F573" s="86" t="n"/>
      <c r="G573" s="86" t="n"/>
      <c r="H573" s="85" t="n"/>
      <c r="I573" s="85" t="n"/>
      <c r="J573" s="85" t="n"/>
      <c r="K573" s="85" t="n"/>
      <c r="L573" s="85" t="n"/>
      <c r="M573" s="85" t="n"/>
      <c r="N573" s="85" t="n"/>
      <c r="O573" s="85" t="n"/>
      <c r="P573" s="85" t="n"/>
      <c r="Q573" s="85" t="n"/>
      <c r="R573" s="85" t="n"/>
      <c r="S573" s="85" t="n"/>
      <c r="T573" s="85" t="n"/>
      <c r="U573" s="85" t="n"/>
      <c r="V573" s="85" t="n"/>
      <c r="W573" s="85" t="n"/>
      <c r="X573" s="85" t="n"/>
      <c r="Y573" s="85" t="n"/>
      <c r="Z573" s="85" t="n"/>
      <c r="AA573" s="85" t="n"/>
      <c r="AB573" s="85" t="n"/>
      <c r="AC573" s="85" t="n"/>
      <c r="AD573" s="85" t="n"/>
      <c r="AE573" s="85" t="n"/>
      <c r="AF573" s="86" t="n"/>
      <c r="AG573" s="86" t="n"/>
      <c r="AH573" s="86" t="n"/>
      <c r="AI573" s="85" t="n"/>
      <c r="AJ573" s="85" t="n"/>
      <c r="AK573" s="85">
        <f>IF($A573="","",IF($M573&gt;0,"Yes","No"))</f>
        <v/>
      </c>
      <c r="AL573" s="85">
        <f>IF($A573="","",IF(AND($E573="Yes",OR($Y573="No",$Y573="NOT FOUND")),"YES",""))</f>
        <v/>
      </c>
      <c r="AM573" s="85">
        <f>IF($A573="","",TRIM(IF(AND($P573=0,$I573&lt;&gt;"Yes"),"T0-NoPhishResistant ","")&amp;IF($H573="No","NoMFA ","")&amp;IF(AND($P573=0,$M573&gt;0),"T0-Standing ","")&amp;IF(AND($P573=0,$Q573="Group only"),"T0-ViaGroupOnly ","")&amp;IF($W573="Yes","AlsoAzureRBAC ","")))</f>
        <v/>
      </c>
      <c r="AN573" s="85">
        <f>IF($A573="","",IF(AG573="","Not Enrolled",IF(TODAY()&gt;AG573,"Review Overdue",IF(AG573-TODAY()&lt;=30,"Review Due Soon","Active"))))</f>
        <v/>
      </c>
      <c r="AO573" s="85">
        <f>IF($A573="","",IF(AH573="","NOT REVIEWED",IF(TODAY()-AH573&gt;90,"OVERDUE",IF(TODAY()-AH573&gt;76,"Due Soon","Current"))))</f>
        <v/>
      </c>
    </row>
    <row r="574" ht="15" customHeight="1" s="39">
      <c r="A574" s="85" t="n"/>
      <c r="B574" s="85" t="n"/>
      <c r="C574" s="85" t="n"/>
      <c r="D574" s="85" t="n"/>
      <c r="E574" s="85" t="n"/>
      <c r="F574" s="86" t="n"/>
      <c r="G574" s="86" t="n"/>
      <c r="H574" s="85" t="n"/>
      <c r="I574" s="85" t="n"/>
      <c r="J574" s="85" t="n"/>
      <c r="K574" s="85" t="n"/>
      <c r="L574" s="85" t="n"/>
      <c r="M574" s="85" t="n"/>
      <c r="N574" s="85" t="n"/>
      <c r="O574" s="85" t="n"/>
      <c r="P574" s="85" t="n"/>
      <c r="Q574" s="85" t="n"/>
      <c r="R574" s="85" t="n"/>
      <c r="S574" s="85" t="n"/>
      <c r="T574" s="85" t="n"/>
      <c r="U574" s="85" t="n"/>
      <c r="V574" s="85" t="n"/>
      <c r="W574" s="85" t="n"/>
      <c r="X574" s="85" t="n"/>
      <c r="Y574" s="85" t="n"/>
      <c r="Z574" s="85" t="n"/>
      <c r="AA574" s="85" t="n"/>
      <c r="AB574" s="85" t="n"/>
      <c r="AC574" s="85" t="n"/>
      <c r="AD574" s="85" t="n"/>
      <c r="AE574" s="85" t="n"/>
      <c r="AF574" s="86" t="n"/>
      <c r="AG574" s="86" t="n"/>
      <c r="AH574" s="86" t="n"/>
      <c r="AI574" s="85" t="n"/>
      <c r="AJ574" s="85" t="n"/>
      <c r="AK574" s="85">
        <f>IF($A574="","",IF($M574&gt;0,"Yes","No"))</f>
        <v/>
      </c>
      <c r="AL574" s="85">
        <f>IF($A574="","",IF(AND($E574="Yes",OR($Y574="No",$Y574="NOT FOUND")),"YES",""))</f>
        <v/>
      </c>
      <c r="AM574" s="85">
        <f>IF($A574="","",TRIM(IF(AND($P574=0,$I574&lt;&gt;"Yes"),"T0-NoPhishResistant ","")&amp;IF($H574="No","NoMFA ","")&amp;IF(AND($P574=0,$M574&gt;0),"T0-Standing ","")&amp;IF(AND($P574=0,$Q574="Group only"),"T0-ViaGroupOnly ","")&amp;IF($W574="Yes","AlsoAzureRBAC ","")))</f>
        <v/>
      </c>
      <c r="AN574" s="85">
        <f>IF($A574="","",IF(AG574="","Not Enrolled",IF(TODAY()&gt;AG574,"Review Overdue",IF(AG574-TODAY()&lt;=30,"Review Due Soon","Active"))))</f>
        <v/>
      </c>
      <c r="AO574" s="85">
        <f>IF($A574="","",IF(AH574="","NOT REVIEWED",IF(TODAY()-AH574&gt;90,"OVERDUE",IF(TODAY()-AH574&gt;76,"Due Soon","Current"))))</f>
        <v/>
      </c>
    </row>
    <row r="575" ht="15" customHeight="1" s="39">
      <c r="A575" s="85" t="n"/>
      <c r="B575" s="85" t="n"/>
      <c r="C575" s="85" t="n"/>
      <c r="D575" s="85" t="n"/>
      <c r="E575" s="85" t="n"/>
      <c r="F575" s="86" t="n"/>
      <c r="G575" s="86" t="n"/>
      <c r="H575" s="85" t="n"/>
      <c r="I575" s="85" t="n"/>
      <c r="J575" s="85" t="n"/>
      <c r="K575" s="85" t="n"/>
      <c r="L575" s="85" t="n"/>
      <c r="M575" s="85" t="n"/>
      <c r="N575" s="85" t="n"/>
      <c r="O575" s="85" t="n"/>
      <c r="P575" s="85" t="n"/>
      <c r="Q575" s="85" t="n"/>
      <c r="R575" s="85" t="n"/>
      <c r="S575" s="85" t="n"/>
      <c r="T575" s="85" t="n"/>
      <c r="U575" s="85" t="n"/>
      <c r="V575" s="85" t="n"/>
      <c r="W575" s="85" t="n"/>
      <c r="X575" s="85" t="n"/>
      <c r="Y575" s="85" t="n"/>
      <c r="Z575" s="85" t="n"/>
      <c r="AA575" s="85" t="n"/>
      <c r="AB575" s="85" t="n"/>
      <c r="AC575" s="85" t="n"/>
      <c r="AD575" s="85" t="n"/>
      <c r="AE575" s="85" t="n"/>
      <c r="AF575" s="86" t="n"/>
      <c r="AG575" s="86" t="n"/>
      <c r="AH575" s="86" t="n"/>
      <c r="AI575" s="85" t="n"/>
      <c r="AJ575" s="85" t="n"/>
      <c r="AK575" s="85">
        <f>IF($A575="","",IF($M575&gt;0,"Yes","No"))</f>
        <v/>
      </c>
      <c r="AL575" s="85">
        <f>IF($A575="","",IF(AND($E575="Yes",OR($Y575="No",$Y575="NOT FOUND")),"YES",""))</f>
        <v/>
      </c>
      <c r="AM575" s="85">
        <f>IF($A575="","",TRIM(IF(AND($P575=0,$I575&lt;&gt;"Yes"),"T0-NoPhishResistant ","")&amp;IF($H575="No","NoMFA ","")&amp;IF(AND($P575=0,$M575&gt;0),"T0-Standing ","")&amp;IF(AND($P575=0,$Q575="Group only"),"T0-ViaGroupOnly ","")&amp;IF($W575="Yes","AlsoAzureRBAC ","")))</f>
        <v/>
      </c>
      <c r="AN575" s="85">
        <f>IF($A575="","",IF(AG575="","Not Enrolled",IF(TODAY()&gt;AG575,"Review Overdue",IF(AG575-TODAY()&lt;=30,"Review Due Soon","Active"))))</f>
        <v/>
      </c>
      <c r="AO575" s="85">
        <f>IF($A575="","",IF(AH575="","NOT REVIEWED",IF(TODAY()-AH575&gt;90,"OVERDUE",IF(TODAY()-AH575&gt;76,"Due Soon","Current"))))</f>
        <v/>
      </c>
    </row>
    <row r="576" ht="15" customHeight="1" s="39">
      <c r="A576" s="85" t="n"/>
      <c r="B576" s="85" t="n"/>
      <c r="C576" s="85" t="n"/>
      <c r="D576" s="85" t="n"/>
      <c r="E576" s="85" t="n"/>
      <c r="F576" s="86" t="n"/>
      <c r="G576" s="86" t="n"/>
      <c r="H576" s="85" t="n"/>
      <c r="I576" s="85" t="n"/>
      <c r="J576" s="85" t="n"/>
      <c r="K576" s="85" t="n"/>
      <c r="L576" s="85" t="n"/>
      <c r="M576" s="85" t="n"/>
      <c r="N576" s="85" t="n"/>
      <c r="O576" s="85" t="n"/>
      <c r="P576" s="85" t="n"/>
      <c r="Q576" s="85" t="n"/>
      <c r="R576" s="85" t="n"/>
      <c r="S576" s="85" t="n"/>
      <c r="T576" s="85" t="n"/>
      <c r="U576" s="85" t="n"/>
      <c r="V576" s="85" t="n"/>
      <c r="W576" s="85" t="n"/>
      <c r="X576" s="85" t="n"/>
      <c r="Y576" s="85" t="n"/>
      <c r="Z576" s="85" t="n"/>
      <c r="AA576" s="85" t="n"/>
      <c r="AB576" s="85" t="n"/>
      <c r="AC576" s="85" t="n"/>
      <c r="AD576" s="85" t="n"/>
      <c r="AE576" s="85" t="n"/>
      <c r="AF576" s="86" t="n"/>
      <c r="AG576" s="86" t="n"/>
      <c r="AH576" s="86" t="n"/>
      <c r="AI576" s="85" t="n"/>
      <c r="AJ576" s="85" t="n"/>
      <c r="AK576" s="85">
        <f>IF($A576="","",IF($M576&gt;0,"Yes","No"))</f>
        <v/>
      </c>
      <c r="AL576" s="85">
        <f>IF($A576="","",IF(AND($E576="Yes",OR($Y576="No",$Y576="NOT FOUND")),"YES",""))</f>
        <v/>
      </c>
      <c r="AM576" s="85">
        <f>IF($A576="","",TRIM(IF(AND($P576=0,$I576&lt;&gt;"Yes"),"T0-NoPhishResistant ","")&amp;IF($H576="No","NoMFA ","")&amp;IF(AND($P576=0,$M576&gt;0),"T0-Standing ","")&amp;IF(AND($P576=0,$Q576="Group only"),"T0-ViaGroupOnly ","")&amp;IF($W576="Yes","AlsoAzureRBAC ","")))</f>
        <v/>
      </c>
      <c r="AN576" s="85">
        <f>IF($A576="","",IF(AG576="","Not Enrolled",IF(TODAY()&gt;AG576,"Review Overdue",IF(AG576-TODAY()&lt;=30,"Review Due Soon","Active"))))</f>
        <v/>
      </c>
      <c r="AO576" s="85">
        <f>IF($A576="","",IF(AH576="","NOT REVIEWED",IF(TODAY()-AH576&gt;90,"OVERDUE",IF(TODAY()-AH576&gt;76,"Due Soon","Current"))))</f>
        <v/>
      </c>
    </row>
    <row r="577" ht="15" customHeight="1" s="39">
      <c r="A577" s="85" t="n"/>
      <c r="B577" s="85" t="n"/>
      <c r="C577" s="85" t="n"/>
      <c r="D577" s="85" t="n"/>
      <c r="E577" s="85" t="n"/>
      <c r="F577" s="86" t="n"/>
      <c r="G577" s="86" t="n"/>
      <c r="H577" s="85" t="n"/>
      <c r="I577" s="85" t="n"/>
      <c r="J577" s="85" t="n"/>
      <c r="K577" s="85" t="n"/>
      <c r="L577" s="85" t="n"/>
      <c r="M577" s="85" t="n"/>
      <c r="N577" s="85" t="n"/>
      <c r="O577" s="85" t="n"/>
      <c r="P577" s="85" t="n"/>
      <c r="Q577" s="85" t="n"/>
      <c r="R577" s="85" t="n"/>
      <c r="S577" s="85" t="n"/>
      <c r="T577" s="85" t="n"/>
      <c r="U577" s="85" t="n"/>
      <c r="V577" s="85" t="n"/>
      <c r="W577" s="85" t="n"/>
      <c r="X577" s="85" t="n"/>
      <c r="Y577" s="85" t="n"/>
      <c r="Z577" s="85" t="n"/>
      <c r="AA577" s="85" t="n"/>
      <c r="AB577" s="85" t="n"/>
      <c r="AC577" s="85" t="n"/>
      <c r="AD577" s="85" t="n"/>
      <c r="AE577" s="85" t="n"/>
      <c r="AF577" s="86" t="n"/>
      <c r="AG577" s="86" t="n"/>
      <c r="AH577" s="86" t="n"/>
      <c r="AI577" s="85" t="n"/>
      <c r="AJ577" s="85" t="n"/>
      <c r="AK577" s="85">
        <f>IF($A577="","",IF($M577&gt;0,"Yes","No"))</f>
        <v/>
      </c>
      <c r="AL577" s="85">
        <f>IF($A577="","",IF(AND($E577="Yes",OR($Y577="No",$Y577="NOT FOUND")),"YES",""))</f>
        <v/>
      </c>
      <c r="AM577" s="85">
        <f>IF($A577="","",TRIM(IF(AND($P577=0,$I577&lt;&gt;"Yes"),"T0-NoPhishResistant ","")&amp;IF($H577="No","NoMFA ","")&amp;IF(AND($P577=0,$M577&gt;0),"T0-Standing ","")&amp;IF(AND($P577=0,$Q577="Group only"),"T0-ViaGroupOnly ","")&amp;IF($W577="Yes","AlsoAzureRBAC ","")))</f>
        <v/>
      </c>
      <c r="AN577" s="85">
        <f>IF($A577="","",IF(AG577="","Not Enrolled",IF(TODAY()&gt;AG577,"Review Overdue",IF(AG577-TODAY()&lt;=30,"Review Due Soon","Active"))))</f>
        <v/>
      </c>
      <c r="AO577" s="85">
        <f>IF($A577="","",IF(AH577="","NOT REVIEWED",IF(TODAY()-AH577&gt;90,"OVERDUE",IF(TODAY()-AH577&gt;76,"Due Soon","Current"))))</f>
        <v/>
      </c>
    </row>
    <row r="578" ht="15" customHeight="1" s="39">
      <c r="A578" s="85" t="n"/>
      <c r="B578" s="85" t="n"/>
      <c r="C578" s="85" t="n"/>
      <c r="D578" s="85" t="n"/>
      <c r="E578" s="85" t="n"/>
      <c r="F578" s="86" t="n"/>
      <c r="G578" s="86" t="n"/>
      <c r="H578" s="85" t="n"/>
      <c r="I578" s="85" t="n"/>
      <c r="J578" s="85" t="n"/>
      <c r="K578" s="85" t="n"/>
      <c r="L578" s="85" t="n"/>
      <c r="M578" s="85" t="n"/>
      <c r="N578" s="85" t="n"/>
      <c r="O578" s="85" t="n"/>
      <c r="P578" s="85" t="n"/>
      <c r="Q578" s="85" t="n"/>
      <c r="R578" s="85" t="n"/>
      <c r="S578" s="85" t="n"/>
      <c r="T578" s="85" t="n"/>
      <c r="U578" s="85" t="n"/>
      <c r="V578" s="85" t="n"/>
      <c r="W578" s="85" t="n"/>
      <c r="X578" s="85" t="n"/>
      <c r="Y578" s="85" t="n"/>
      <c r="Z578" s="85" t="n"/>
      <c r="AA578" s="85" t="n"/>
      <c r="AB578" s="85" t="n"/>
      <c r="AC578" s="85" t="n"/>
      <c r="AD578" s="85" t="n"/>
      <c r="AE578" s="85" t="n"/>
      <c r="AF578" s="86" t="n"/>
      <c r="AG578" s="86" t="n"/>
      <c r="AH578" s="86" t="n"/>
      <c r="AI578" s="85" t="n"/>
      <c r="AJ578" s="85" t="n"/>
      <c r="AK578" s="85">
        <f>IF($A578="","",IF($M578&gt;0,"Yes","No"))</f>
        <v/>
      </c>
      <c r="AL578" s="85">
        <f>IF($A578="","",IF(AND($E578="Yes",OR($Y578="No",$Y578="NOT FOUND")),"YES",""))</f>
        <v/>
      </c>
      <c r="AM578" s="85">
        <f>IF($A578="","",TRIM(IF(AND($P578=0,$I578&lt;&gt;"Yes"),"T0-NoPhishResistant ","")&amp;IF($H578="No","NoMFA ","")&amp;IF(AND($P578=0,$M578&gt;0),"T0-Standing ","")&amp;IF(AND($P578=0,$Q578="Group only"),"T0-ViaGroupOnly ","")&amp;IF($W578="Yes","AlsoAzureRBAC ","")))</f>
        <v/>
      </c>
      <c r="AN578" s="85">
        <f>IF($A578="","",IF(AG578="","Not Enrolled",IF(TODAY()&gt;AG578,"Review Overdue",IF(AG578-TODAY()&lt;=30,"Review Due Soon","Active"))))</f>
        <v/>
      </c>
      <c r="AO578" s="85">
        <f>IF($A578="","",IF(AH578="","NOT REVIEWED",IF(TODAY()-AH578&gt;90,"OVERDUE",IF(TODAY()-AH578&gt;76,"Due Soon","Current"))))</f>
        <v/>
      </c>
    </row>
    <row r="579" ht="15" customHeight="1" s="39">
      <c r="A579" s="85" t="n"/>
      <c r="B579" s="85" t="n"/>
      <c r="C579" s="85" t="n"/>
      <c r="D579" s="85" t="n"/>
      <c r="E579" s="85" t="n"/>
      <c r="F579" s="86" t="n"/>
      <c r="G579" s="86" t="n"/>
      <c r="H579" s="85" t="n"/>
      <c r="I579" s="85" t="n"/>
      <c r="J579" s="85" t="n"/>
      <c r="K579" s="85" t="n"/>
      <c r="L579" s="85" t="n"/>
      <c r="M579" s="85" t="n"/>
      <c r="N579" s="85" t="n"/>
      <c r="O579" s="85" t="n"/>
      <c r="P579" s="85" t="n"/>
      <c r="Q579" s="85" t="n"/>
      <c r="R579" s="85" t="n"/>
      <c r="S579" s="85" t="n"/>
      <c r="T579" s="85" t="n"/>
      <c r="U579" s="85" t="n"/>
      <c r="V579" s="85" t="n"/>
      <c r="W579" s="85" t="n"/>
      <c r="X579" s="85" t="n"/>
      <c r="Y579" s="85" t="n"/>
      <c r="Z579" s="85" t="n"/>
      <c r="AA579" s="85" t="n"/>
      <c r="AB579" s="85" t="n"/>
      <c r="AC579" s="85" t="n"/>
      <c r="AD579" s="85" t="n"/>
      <c r="AE579" s="85" t="n"/>
      <c r="AF579" s="86" t="n"/>
      <c r="AG579" s="86" t="n"/>
      <c r="AH579" s="86" t="n"/>
      <c r="AI579" s="85" t="n"/>
      <c r="AJ579" s="85" t="n"/>
      <c r="AK579" s="85">
        <f>IF($A579="","",IF($M579&gt;0,"Yes","No"))</f>
        <v/>
      </c>
      <c r="AL579" s="85">
        <f>IF($A579="","",IF(AND($E579="Yes",OR($Y579="No",$Y579="NOT FOUND")),"YES",""))</f>
        <v/>
      </c>
      <c r="AM579" s="85">
        <f>IF($A579="","",TRIM(IF(AND($P579=0,$I579&lt;&gt;"Yes"),"T0-NoPhishResistant ","")&amp;IF($H579="No","NoMFA ","")&amp;IF(AND($P579=0,$M579&gt;0),"T0-Standing ","")&amp;IF(AND($P579=0,$Q579="Group only"),"T0-ViaGroupOnly ","")&amp;IF($W579="Yes","AlsoAzureRBAC ","")))</f>
        <v/>
      </c>
      <c r="AN579" s="85">
        <f>IF($A579="","",IF(AG579="","Not Enrolled",IF(TODAY()&gt;AG579,"Review Overdue",IF(AG579-TODAY()&lt;=30,"Review Due Soon","Active"))))</f>
        <v/>
      </c>
      <c r="AO579" s="85">
        <f>IF($A579="","",IF(AH579="","NOT REVIEWED",IF(TODAY()-AH579&gt;90,"OVERDUE",IF(TODAY()-AH579&gt;76,"Due Soon","Current"))))</f>
        <v/>
      </c>
    </row>
    <row r="580" ht="15" customHeight="1" s="39">
      <c r="A580" s="85" t="n"/>
      <c r="B580" s="85" t="n"/>
      <c r="C580" s="85" t="n"/>
      <c r="D580" s="85" t="n"/>
      <c r="E580" s="85" t="n"/>
      <c r="F580" s="86" t="n"/>
      <c r="G580" s="86" t="n"/>
      <c r="H580" s="85" t="n"/>
      <c r="I580" s="85" t="n"/>
      <c r="J580" s="85" t="n"/>
      <c r="K580" s="85" t="n"/>
      <c r="L580" s="85" t="n"/>
      <c r="M580" s="85" t="n"/>
      <c r="N580" s="85" t="n"/>
      <c r="O580" s="85" t="n"/>
      <c r="P580" s="85" t="n"/>
      <c r="Q580" s="85" t="n"/>
      <c r="R580" s="85" t="n"/>
      <c r="S580" s="85" t="n"/>
      <c r="T580" s="85" t="n"/>
      <c r="U580" s="85" t="n"/>
      <c r="V580" s="85" t="n"/>
      <c r="W580" s="85" t="n"/>
      <c r="X580" s="85" t="n"/>
      <c r="Y580" s="85" t="n"/>
      <c r="Z580" s="85" t="n"/>
      <c r="AA580" s="85" t="n"/>
      <c r="AB580" s="85" t="n"/>
      <c r="AC580" s="85" t="n"/>
      <c r="AD580" s="85" t="n"/>
      <c r="AE580" s="85" t="n"/>
      <c r="AF580" s="86" t="n"/>
      <c r="AG580" s="86" t="n"/>
      <c r="AH580" s="86" t="n"/>
      <c r="AI580" s="85" t="n"/>
      <c r="AJ580" s="85" t="n"/>
      <c r="AK580" s="85">
        <f>IF($A580="","",IF($M580&gt;0,"Yes","No"))</f>
        <v/>
      </c>
      <c r="AL580" s="85">
        <f>IF($A580="","",IF(AND($E580="Yes",OR($Y580="No",$Y580="NOT FOUND")),"YES",""))</f>
        <v/>
      </c>
      <c r="AM580" s="85">
        <f>IF($A580="","",TRIM(IF(AND($P580=0,$I580&lt;&gt;"Yes"),"T0-NoPhishResistant ","")&amp;IF($H580="No","NoMFA ","")&amp;IF(AND($P580=0,$M580&gt;0),"T0-Standing ","")&amp;IF(AND($P580=0,$Q580="Group only"),"T0-ViaGroupOnly ","")&amp;IF($W580="Yes","AlsoAzureRBAC ","")))</f>
        <v/>
      </c>
      <c r="AN580" s="85">
        <f>IF($A580="","",IF(AG580="","Not Enrolled",IF(TODAY()&gt;AG580,"Review Overdue",IF(AG580-TODAY()&lt;=30,"Review Due Soon","Active"))))</f>
        <v/>
      </c>
      <c r="AO580" s="85">
        <f>IF($A580="","",IF(AH580="","NOT REVIEWED",IF(TODAY()-AH580&gt;90,"OVERDUE",IF(TODAY()-AH580&gt;76,"Due Soon","Current"))))</f>
        <v/>
      </c>
    </row>
    <row r="581" ht="15" customHeight="1" s="39">
      <c r="A581" s="85" t="n"/>
      <c r="B581" s="85" t="n"/>
      <c r="C581" s="85" t="n"/>
      <c r="D581" s="85" t="n"/>
      <c r="E581" s="85" t="n"/>
      <c r="F581" s="86" t="n"/>
      <c r="G581" s="86" t="n"/>
      <c r="H581" s="85" t="n"/>
      <c r="I581" s="85" t="n"/>
      <c r="J581" s="85" t="n"/>
      <c r="K581" s="85" t="n"/>
      <c r="L581" s="85" t="n"/>
      <c r="M581" s="85" t="n"/>
      <c r="N581" s="85" t="n"/>
      <c r="O581" s="85" t="n"/>
      <c r="P581" s="85" t="n"/>
      <c r="Q581" s="85" t="n"/>
      <c r="R581" s="85" t="n"/>
      <c r="S581" s="85" t="n"/>
      <c r="T581" s="85" t="n"/>
      <c r="U581" s="85" t="n"/>
      <c r="V581" s="85" t="n"/>
      <c r="W581" s="85" t="n"/>
      <c r="X581" s="85" t="n"/>
      <c r="Y581" s="85" t="n"/>
      <c r="Z581" s="85" t="n"/>
      <c r="AA581" s="85" t="n"/>
      <c r="AB581" s="85" t="n"/>
      <c r="AC581" s="85" t="n"/>
      <c r="AD581" s="85" t="n"/>
      <c r="AE581" s="85" t="n"/>
      <c r="AF581" s="86" t="n"/>
      <c r="AG581" s="86" t="n"/>
      <c r="AH581" s="86" t="n"/>
      <c r="AI581" s="85" t="n"/>
      <c r="AJ581" s="85" t="n"/>
      <c r="AK581" s="85">
        <f>IF($A581="","",IF($M581&gt;0,"Yes","No"))</f>
        <v/>
      </c>
      <c r="AL581" s="85">
        <f>IF($A581="","",IF(AND($E581="Yes",OR($Y581="No",$Y581="NOT FOUND")),"YES",""))</f>
        <v/>
      </c>
      <c r="AM581" s="85">
        <f>IF($A581="","",TRIM(IF(AND($P581=0,$I581&lt;&gt;"Yes"),"T0-NoPhishResistant ","")&amp;IF($H581="No","NoMFA ","")&amp;IF(AND($P581=0,$M581&gt;0),"T0-Standing ","")&amp;IF(AND($P581=0,$Q581="Group only"),"T0-ViaGroupOnly ","")&amp;IF($W581="Yes","AlsoAzureRBAC ","")))</f>
        <v/>
      </c>
      <c r="AN581" s="85">
        <f>IF($A581="","",IF(AG581="","Not Enrolled",IF(TODAY()&gt;AG581,"Review Overdue",IF(AG581-TODAY()&lt;=30,"Review Due Soon","Active"))))</f>
        <v/>
      </c>
      <c r="AO581" s="85">
        <f>IF($A581="","",IF(AH581="","NOT REVIEWED",IF(TODAY()-AH581&gt;90,"OVERDUE",IF(TODAY()-AH581&gt;76,"Due Soon","Current"))))</f>
        <v/>
      </c>
    </row>
    <row r="582" ht="15" customHeight="1" s="39">
      <c r="A582" s="85" t="n"/>
      <c r="B582" s="85" t="n"/>
      <c r="C582" s="85" t="n"/>
      <c r="D582" s="85" t="n"/>
      <c r="E582" s="85" t="n"/>
      <c r="F582" s="86" t="n"/>
      <c r="G582" s="86" t="n"/>
      <c r="H582" s="85" t="n"/>
      <c r="I582" s="85" t="n"/>
      <c r="J582" s="85" t="n"/>
      <c r="K582" s="85" t="n"/>
      <c r="L582" s="85" t="n"/>
      <c r="M582" s="85" t="n"/>
      <c r="N582" s="85" t="n"/>
      <c r="O582" s="85" t="n"/>
      <c r="P582" s="85" t="n"/>
      <c r="Q582" s="85" t="n"/>
      <c r="R582" s="85" t="n"/>
      <c r="S582" s="85" t="n"/>
      <c r="T582" s="85" t="n"/>
      <c r="U582" s="85" t="n"/>
      <c r="V582" s="85" t="n"/>
      <c r="W582" s="85" t="n"/>
      <c r="X582" s="85" t="n"/>
      <c r="Y582" s="85" t="n"/>
      <c r="Z582" s="85" t="n"/>
      <c r="AA582" s="85" t="n"/>
      <c r="AB582" s="85" t="n"/>
      <c r="AC582" s="85" t="n"/>
      <c r="AD582" s="85" t="n"/>
      <c r="AE582" s="85" t="n"/>
      <c r="AF582" s="86" t="n"/>
      <c r="AG582" s="86" t="n"/>
      <c r="AH582" s="86" t="n"/>
      <c r="AI582" s="85" t="n"/>
      <c r="AJ582" s="85" t="n"/>
      <c r="AK582" s="85">
        <f>IF($A582="","",IF($M582&gt;0,"Yes","No"))</f>
        <v/>
      </c>
      <c r="AL582" s="85">
        <f>IF($A582="","",IF(AND($E582="Yes",OR($Y582="No",$Y582="NOT FOUND")),"YES",""))</f>
        <v/>
      </c>
      <c r="AM582" s="85">
        <f>IF($A582="","",TRIM(IF(AND($P582=0,$I582&lt;&gt;"Yes"),"T0-NoPhishResistant ","")&amp;IF($H582="No","NoMFA ","")&amp;IF(AND($P582=0,$M582&gt;0),"T0-Standing ","")&amp;IF(AND($P582=0,$Q582="Group only"),"T0-ViaGroupOnly ","")&amp;IF($W582="Yes","AlsoAzureRBAC ","")))</f>
        <v/>
      </c>
      <c r="AN582" s="85">
        <f>IF($A582="","",IF(AG582="","Not Enrolled",IF(TODAY()&gt;AG582,"Review Overdue",IF(AG582-TODAY()&lt;=30,"Review Due Soon","Active"))))</f>
        <v/>
      </c>
      <c r="AO582" s="85">
        <f>IF($A582="","",IF(AH582="","NOT REVIEWED",IF(TODAY()-AH582&gt;90,"OVERDUE",IF(TODAY()-AH582&gt;76,"Due Soon","Current"))))</f>
        <v/>
      </c>
    </row>
    <row r="583" ht="15" customHeight="1" s="39">
      <c r="A583" s="85" t="n"/>
      <c r="B583" s="85" t="n"/>
      <c r="C583" s="85" t="n"/>
      <c r="D583" s="85" t="n"/>
      <c r="E583" s="85" t="n"/>
      <c r="F583" s="86" t="n"/>
      <c r="G583" s="86" t="n"/>
      <c r="H583" s="85" t="n"/>
      <c r="I583" s="85" t="n"/>
      <c r="J583" s="85" t="n"/>
      <c r="K583" s="85" t="n"/>
      <c r="L583" s="85" t="n"/>
      <c r="M583" s="85" t="n"/>
      <c r="N583" s="85" t="n"/>
      <c r="O583" s="85" t="n"/>
      <c r="P583" s="85" t="n"/>
      <c r="Q583" s="85" t="n"/>
      <c r="R583" s="85" t="n"/>
      <c r="S583" s="85" t="n"/>
      <c r="T583" s="85" t="n"/>
      <c r="U583" s="85" t="n"/>
      <c r="V583" s="85" t="n"/>
      <c r="W583" s="85" t="n"/>
      <c r="X583" s="85" t="n"/>
      <c r="Y583" s="85" t="n"/>
      <c r="Z583" s="85" t="n"/>
      <c r="AA583" s="85" t="n"/>
      <c r="AB583" s="85" t="n"/>
      <c r="AC583" s="85" t="n"/>
      <c r="AD583" s="85" t="n"/>
      <c r="AE583" s="85" t="n"/>
      <c r="AF583" s="86" t="n"/>
      <c r="AG583" s="86" t="n"/>
      <c r="AH583" s="86" t="n"/>
      <c r="AI583" s="85" t="n"/>
      <c r="AJ583" s="85" t="n"/>
      <c r="AK583" s="85">
        <f>IF($A583="","",IF($M583&gt;0,"Yes","No"))</f>
        <v/>
      </c>
      <c r="AL583" s="85">
        <f>IF($A583="","",IF(AND($E583="Yes",OR($Y583="No",$Y583="NOT FOUND")),"YES",""))</f>
        <v/>
      </c>
      <c r="AM583" s="85">
        <f>IF($A583="","",TRIM(IF(AND($P583=0,$I583&lt;&gt;"Yes"),"T0-NoPhishResistant ","")&amp;IF($H583="No","NoMFA ","")&amp;IF(AND($P583=0,$M583&gt;0),"T0-Standing ","")&amp;IF(AND($P583=0,$Q583="Group only"),"T0-ViaGroupOnly ","")&amp;IF($W583="Yes","AlsoAzureRBAC ","")))</f>
        <v/>
      </c>
      <c r="AN583" s="85">
        <f>IF($A583="","",IF(AG583="","Not Enrolled",IF(TODAY()&gt;AG583,"Review Overdue",IF(AG583-TODAY()&lt;=30,"Review Due Soon","Active"))))</f>
        <v/>
      </c>
      <c r="AO583" s="85">
        <f>IF($A583="","",IF(AH583="","NOT REVIEWED",IF(TODAY()-AH583&gt;90,"OVERDUE",IF(TODAY()-AH583&gt;76,"Due Soon","Current"))))</f>
        <v/>
      </c>
    </row>
    <row r="584" ht="15" customHeight="1" s="39">
      <c r="A584" s="85" t="n"/>
      <c r="B584" s="85" t="n"/>
      <c r="C584" s="85" t="n"/>
      <c r="D584" s="85" t="n"/>
      <c r="E584" s="85" t="n"/>
      <c r="F584" s="86" t="n"/>
      <c r="G584" s="86" t="n"/>
      <c r="H584" s="85" t="n"/>
      <c r="I584" s="85" t="n"/>
      <c r="J584" s="85" t="n"/>
      <c r="K584" s="85" t="n"/>
      <c r="L584" s="85" t="n"/>
      <c r="M584" s="85" t="n"/>
      <c r="N584" s="85" t="n"/>
      <c r="O584" s="85" t="n"/>
      <c r="P584" s="85" t="n"/>
      <c r="Q584" s="85" t="n"/>
      <c r="R584" s="85" t="n"/>
      <c r="S584" s="85" t="n"/>
      <c r="T584" s="85" t="n"/>
      <c r="U584" s="85" t="n"/>
      <c r="V584" s="85" t="n"/>
      <c r="W584" s="85" t="n"/>
      <c r="X584" s="85" t="n"/>
      <c r="Y584" s="85" t="n"/>
      <c r="Z584" s="85" t="n"/>
      <c r="AA584" s="85" t="n"/>
      <c r="AB584" s="85" t="n"/>
      <c r="AC584" s="85" t="n"/>
      <c r="AD584" s="85" t="n"/>
      <c r="AE584" s="85" t="n"/>
      <c r="AF584" s="86" t="n"/>
      <c r="AG584" s="86" t="n"/>
      <c r="AH584" s="86" t="n"/>
      <c r="AI584" s="85" t="n"/>
      <c r="AJ584" s="85" t="n"/>
      <c r="AK584" s="85">
        <f>IF($A584="","",IF($M584&gt;0,"Yes","No"))</f>
        <v/>
      </c>
      <c r="AL584" s="85">
        <f>IF($A584="","",IF(AND($E584="Yes",OR($Y584="No",$Y584="NOT FOUND")),"YES",""))</f>
        <v/>
      </c>
      <c r="AM584" s="85">
        <f>IF($A584="","",TRIM(IF(AND($P584=0,$I584&lt;&gt;"Yes"),"T0-NoPhishResistant ","")&amp;IF($H584="No","NoMFA ","")&amp;IF(AND($P584=0,$M584&gt;0),"T0-Standing ","")&amp;IF(AND($P584=0,$Q584="Group only"),"T0-ViaGroupOnly ","")&amp;IF($W584="Yes","AlsoAzureRBAC ","")))</f>
        <v/>
      </c>
      <c r="AN584" s="85">
        <f>IF($A584="","",IF(AG584="","Not Enrolled",IF(TODAY()&gt;AG584,"Review Overdue",IF(AG584-TODAY()&lt;=30,"Review Due Soon","Active"))))</f>
        <v/>
      </c>
      <c r="AO584" s="85">
        <f>IF($A584="","",IF(AH584="","NOT REVIEWED",IF(TODAY()-AH584&gt;90,"OVERDUE",IF(TODAY()-AH584&gt;76,"Due Soon","Current"))))</f>
        <v/>
      </c>
    </row>
    <row r="585" ht="15" customHeight="1" s="39">
      <c r="A585" s="85" t="n"/>
      <c r="B585" s="85" t="n"/>
      <c r="C585" s="85" t="n"/>
      <c r="D585" s="85" t="n"/>
      <c r="E585" s="85" t="n"/>
      <c r="F585" s="86" t="n"/>
      <c r="G585" s="86" t="n"/>
      <c r="H585" s="85" t="n"/>
      <c r="I585" s="85" t="n"/>
      <c r="J585" s="85" t="n"/>
      <c r="K585" s="85" t="n"/>
      <c r="L585" s="85" t="n"/>
      <c r="M585" s="85" t="n"/>
      <c r="N585" s="85" t="n"/>
      <c r="O585" s="85" t="n"/>
      <c r="P585" s="85" t="n"/>
      <c r="Q585" s="85" t="n"/>
      <c r="R585" s="85" t="n"/>
      <c r="S585" s="85" t="n"/>
      <c r="T585" s="85" t="n"/>
      <c r="U585" s="85" t="n"/>
      <c r="V585" s="85" t="n"/>
      <c r="W585" s="85" t="n"/>
      <c r="X585" s="85" t="n"/>
      <c r="Y585" s="85" t="n"/>
      <c r="Z585" s="85" t="n"/>
      <c r="AA585" s="85" t="n"/>
      <c r="AB585" s="85" t="n"/>
      <c r="AC585" s="85" t="n"/>
      <c r="AD585" s="85" t="n"/>
      <c r="AE585" s="85" t="n"/>
      <c r="AF585" s="86" t="n"/>
      <c r="AG585" s="86" t="n"/>
      <c r="AH585" s="86" t="n"/>
      <c r="AI585" s="85" t="n"/>
      <c r="AJ585" s="85" t="n"/>
      <c r="AK585" s="85">
        <f>IF($A585="","",IF($M585&gt;0,"Yes","No"))</f>
        <v/>
      </c>
      <c r="AL585" s="85">
        <f>IF($A585="","",IF(AND($E585="Yes",OR($Y585="No",$Y585="NOT FOUND")),"YES",""))</f>
        <v/>
      </c>
      <c r="AM585" s="85">
        <f>IF($A585="","",TRIM(IF(AND($P585=0,$I585&lt;&gt;"Yes"),"T0-NoPhishResistant ","")&amp;IF($H585="No","NoMFA ","")&amp;IF(AND($P585=0,$M585&gt;0),"T0-Standing ","")&amp;IF(AND($P585=0,$Q585="Group only"),"T0-ViaGroupOnly ","")&amp;IF($W585="Yes","AlsoAzureRBAC ","")))</f>
        <v/>
      </c>
      <c r="AN585" s="85">
        <f>IF($A585="","",IF(AG585="","Not Enrolled",IF(TODAY()&gt;AG585,"Review Overdue",IF(AG585-TODAY()&lt;=30,"Review Due Soon","Active"))))</f>
        <v/>
      </c>
      <c r="AO585" s="85">
        <f>IF($A585="","",IF(AH585="","NOT REVIEWED",IF(TODAY()-AH585&gt;90,"OVERDUE",IF(TODAY()-AH585&gt;76,"Due Soon","Current"))))</f>
        <v/>
      </c>
    </row>
    <row r="586" ht="15" customHeight="1" s="39">
      <c r="A586" s="85" t="n"/>
      <c r="B586" s="85" t="n"/>
      <c r="C586" s="85" t="n"/>
      <c r="D586" s="85" t="n"/>
      <c r="E586" s="85" t="n"/>
      <c r="F586" s="86" t="n"/>
      <c r="G586" s="86" t="n"/>
      <c r="H586" s="85" t="n"/>
      <c r="I586" s="85" t="n"/>
      <c r="J586" s="85" t="n"/>
      <c r="K586" s="85" t="n"/>
      <c r="L586" s="85" t="n"/>
      <c r="M586" s="85" t="n"/>
      <c r="N586" s="85" t="n"/>
      <c r="O586" s="85" t="n"/>
      <c r="P586" s="85" t="n"/>
      <c r="Q586" s="85" t="n"/>
      <c r="R586" s="85" t="n"/>
      <c r="S586" s="85" t="n"/>
      <c r="T586" s="85" t="n"/>
      <c r="U586" s="85" t="n"/>
      <c r="V586" s="85" t="n"/>
      <c r="W586" s="85" t="n"/>
      <c r="X586" s="85" t="n"/>
      <c r="Y586" s="85" t="n"/>
      <c r="Z586" s="85" t="n"/>
      <c r="AA586" s="85" t="n"/>
      <c r="AB586" s="85" t="n"/>
      <c r="AC586" s="85" t="n"/>
      <c r="AD586" s="85" t="n"/>
      <c r="AE586" s="85" t="n"/>
      <c r="AF586" s="86" t="n"/>
      <c r="AG586" s="86" t="n"/>
      <c r="AH586" s="86" t="n"/>
      <c r="AI586" s="85" t="n"/>
      <c r="AJ586" s="85" t="n"/>
      <c r="AK586" s="85">
        <f>IF($A586="","",IF($M586&gt;0,"Yes","No"))</f>
        <v/>
      </c>
      <c r="AL586" s="85">
        <f>IF($A586="","",IF(AND($E586="Yes",OR($Y586="No",$Y586="NOT FOUND")),"YES",""))</f>
        <v/>
      </c>
      <c r="AM586" s="85">
        <f>IF($A586="","",TRIM(IF(AND($P586=0,$I586&lt;&gt;"Yes"),"T0-NoPhishResistant ","")&amp;IF($H586="No","NoMFA ","")&amp;IF(AND($P586=0,$M586&gt;0),"T0-Standing ","")&amp;IF(AND($P586=0,$Q586="Group only"),"T0-ViaGroupOnly ","")&amp;IF($W586="Yes","AlsoAzureRBAC ","")))</f>
        <v/>
      </c>
      <c r="AN586" s="85">
        <f>IF($A586="","",IF(AG586="","Not Enrolled",IF(TODAY()&gt;AG586,"Review Overdue",IF(AG586-TODAY()&lt;=30,"Review Due Soon","Active"))))</f>
        <v/>
      </c>
      <c r="AO586" s="85">
        <f>IF($A586="","",IF(AH586="","NOT REVIEWED",IF(TODAY()-AH586&gt;90,"OVERDUE",IF(TODAY()-AH586&gt;76,"Due Soon","Current"))))</f>
        <v/>
      </c>
    </row>
    <row r="587" ht="15" customHeight="1" s="39">
      <c r="A587" s="85" t="n"/>
      <c r="B587" s="85" t="n"/>
      <c r="C587" s="85" t="n"/>
      <c r="D587" s="85" t="n"/>
      <c r="E587" s="85" t="n"/>
      <c r="F587" s="86" t="n"/>
      <c r="G587" s="86" t="n"/>
      <c r="H587" s="85" t="n"/>
      <c r="I587" s="85" t="n"/>
      <c r="J587" s="85" t="n"/>
      <c r="K587" s="85" t="n"/>
      <c r="L587" s="85" t="n"/>
      <c r="M587" s="85" t="n"/>
      <c r="N587" s="85" t="n"/>
      <c r="O587" s="85" t="n"/>
      <c r="P587" s="85" t="n"/>
      <c r="Q587" s="85" t="n"/>
      <c r="R587" s="85" t="n"/>
      <c r="S587" s="85" t="n"/>
      <c r="T587" s="85" t="n"/>
      <c r="U587" s="85" t="n"/>
      <c r="V587" s="85" t="n"/>
      <c r="W587" s="85" t="n"/>
      <c r="X587" s="85" t="n"/>
      <c r="Y587" s="85" t="n"/>
      <c r="Z587" s="85" t="n"/>
      <c r="AA587" s="85" t="n"/>
      <c r="AB587" s="85" t="n"/>
      <c r="AC587" s="85" t="n"/>
      <c r="AD587" s="85" t="n"/>
      <c r="AE587" s="85" t="n"/>
      <c r="AF587" s="86" t="n"/>
      <c r="AG587" s="86" t="n"/>
      <c r="AH587" s="86" t="n"/>
      <c r="AI587" s="85" t="n"/>
      <c r="AJ587" s="85" t="n"/>
      <c r="AK587" s="85">
        <f>IF($A587="","",IF($M587&gt;0,"Yes","No"))</f>
        <v/>
      </c>
      <c r="AL587" s="85">
        <f>IF($A587="","",IF(AND($E587="Yes",OR($Y587="No",$Y587="NOT FOUND")),"YES",""))</f>
        <v/>
      </c>
      <c r="AM587" s="85">
        <f>IF($A587="","",TRIM(IF(AND($P587=0,$I587&lt;&gt;"Yes"),"T0-NoPhishResistant ","")&amp;IF($H587="No","NoMFA ","")&amp;IF(AND($P587=0,$M587&gt;0),"T0-Standing ","")&amp;IF(AND($P587=0,$Q587="Group only"),"T0-ViaGroupOnly ","")&amp;IF($W587="Yes","AlsoAzureRBAC ","")))</f>
        <v/>
      </c>
      <c r="AN587" s="85">
        <f>IF($A587="","",IF(AG587="","Not Enrolled",IF(TODAY()&gt;AG587,"Review Overdue",IF(AG587-TODAY()&lt;=30,"Review Due Soon","Active"))))</f>
        <v/>
      </c>
      <c r="AO587" s="85">
        <f>IF($A587="","",IF(AH587="","NOT REVIEWED",IF(TODAY()-AH587&gt;90,"OVERDUE",IF(TODAY()-AH587&gt;76,"Due Soon","Current"))))</f>
        <v/>
      </c>
    </row>
    <row r="588" ht="15" customHeight="1" s="39">
      <c r="A588" s="85" t="n"/>
      <c r="B588" s="85" t="n"/>
      <c r="C588" s="85" t="n"/>
      <c r="D588" s="85" t="n"/>
      <c r="E588" s="85" t="n"/>
      <c r="F588" s="86" t="n"/>
      <c r="G588" s="86" t="n"/>
      <c r="H588" s="85" t="n"/>
      <c r="I588" s="85" t="n"/>
      <c r="J588" s="85" t="n"/>
      <c r="K588" s="85" t="n"/>
      <c r="L588" s="85" t="n"/>
      <c r="M588" s="85" t="n"/>
      <c r="N588" s="85" t="n"/>
      <c r="O588" s="85" t="n"/>
      <c r="P588" s="85" t="n"/>
      <c r="Q588" s="85" t="n"/>
      <c r="R588" s="85" t="n"/>
      <c r="S588" s="85" t="n"/>
      <c r="T588" s="85" t="n"/>
      <c r="U588" s="85" t="n"/>
      <c r="V588" s="85" t="n"/>
      <c r="W588" s="85" t="n"/>
      <c r="X588" s="85" t="n"/>
      <c r="Y588" s="85" t="n"/>
      <c r="Z588" s="85" t="n"/>
      <c r="AA588" s="85" t="n"/>
      <c r="AB588" s="85" t="n"/>
      <c r="AC588" s="85" t="n"/>
      <c r="AD588" s="85" t="n"/>
      <c r="AE588" s="85" t="n"/>
      <c r="AF588" s="86" t="n"/>
      <c r="AG588" s="86" t="n"/>
      <c r="AH588" s="86" t="n"/>
      <c r="AI588" s="85" t="n"/>
      <c r="AJ588" s="85" t="n"/>
      <c r="AK588" s="85">
        <f>IF($A588="","",IF($M588&gt;0,"Yes","No"))</f>
        <v/>
      </c>
      <c r="AL588" s="85">
        <f>IF($A588="","",IF(AND($E588="Yes",OR($Y588="No",$Y588="NOT FOUND")),"YES",""))</f>
        <v/>
      </c>
      <c r="AM588" s="85">
        <f>IF($A588="","",TRIM(IF(AND($P588=0,$I588&lt;&gt;"Yes"),"T0-NoPhishResistant ","")&amp;IF($H588="No","NoMFA ","")&amp;IF(AND($P588=0,$M588&gt;0),"T0-Standing ","")&amp;IF(AND($P588=0,$Q588="Group only"),"T0-ViaGroupOnly ","")&amp;IF($W588="Yes","AlsoAzureRBAC ","")))</f>
        <v/>
      </c>
      <c r="AN588" s="85">
        <f>IF($A588="","",IF(AG588="","Not Enrolled",IF(TODAY()&gt;AG588,"Review Overdue",IF(AG588-TODAY()&lt;=30,"Review Due Soon","Active"))))</f>
        <v/>
      </c>
      <c r="AO588" s="85">
        <f>IF($A588="","",IF(AH588="","NOT REVIEWED",IF(TODAY()-AH588&gt;90,"OVERDUE",IF(TODAY()-AH588&gt;76,"Due Soon","Current"))))</f>
        <v/>
      </c>
    </row>
    <row r="589" ht="15" customHeight="1" s="39">
      <c r="A589" s="85" t="n"/>
      <c r="B589" s="85" t="n"/>
      <c r="C589" s="85" t="n"/>
      <c r="D589" s="85" t="n"/>
      <c r="E589" s="85" t="n"/>
      <c r="F589" s="86" t="n"/>
      <c r="G589" s="86" t="n"/>
      <c r="H589" s="85" t="n"/>
      <c r="I589" s="85" t="n"/>
      <c r="J589" s="85" t="n"/>
      <c r="K589" s="85" t="n"/>
      <c r="L589" s="85" t="n"/>
      <c r="M589" s="85" t="n"/>
      <c r="N589" s="85" t="n"/>
      <c r="O589" s="85" t="n"/>
      <c r="P589" s="85" t="n"/>
      <c r="Q589" s="85" t="n"/>
      <c r="R589" s="85" t="n"/>
      <c r="S589" s="85" t="n"/>
      <c r="T589" s="85" t="n"/>
      <c r="U589" s="85" t="n"/>
      <c r="V589" s="85" t="n"/>
      <c r="W589" s="85" t="n"/>
      <c r="X589" s="85" t="n"/>
      <c r="Y589" s="85" t="n"/>
      <c r="Z589" s="85" t="n"/>
      <c r="AA589" s="85" t="n"/>
      <c r="AB589" s="85" t="n"/>
      <c r="AC589" s="85" t="n"/>
      <c r="AD589" s="85" t="n"/>
      <c r="AE589" s="85" t="n"/>
      <c r="AF589" s="86" t="n"/>
      <c r="AG589" s="86" t="n"/>
      <c r="AH589" s="86" t="n"/>
      <c r="AI589" s="85" t="n"/>
      <c r="AJ589" s="85" t="n"/>
      <c r="AK589" s="85">
        <f>IF($A589="","",IF($M589&gt;0,"Yes","No"))</f>
        <v/>
      </c>
      <c r="AL589" s="85">
        <f>IF($A589="","",IF(AND($E589="Yes",OR($Y589="No",$Y589="NOT FOUND")),"YES",""))</f>
        <v/>
      </c>
      <c r="AM589" s="85">
        <f>IF($A589="","",TRIM(IF(AND($P589=0,$I589&lt;&gt;"Yes"),"T0-NoPhishResistant ","")&amp;IF($H589="No","NoMFA ","")&amp;IF(AND($P589=0,$M589&gt;0),"T0-Standing ","")&amp;IF(AND($P589=0,$Q589="Group only"),"T0-ViaGroupOnly ","")&amp;IF($W589="Yes","AlsoAzureRBAC ","")))</f>
        <v/>
      </c>
      <c r="AN589" s="85">
        <f>IF($A589="","",IF(AG589="","Not Enrolled",IF(TODAY()&gt;AG589,"Review Overdue",IF(AG589-TODAY()&lt;=30,"Review Due Soon","Active"))))</f>
        <v/>
      </c>
      <c r="AO589" s="85">
        <f>IF($A589="","",IF(AH589="","NOT REVIEWED",IF(TODAY()-AH589&gt;90,"OVERDUE",IF(TODAY()-AH589&gt;76,"Due Soon","Current"))))</f>
        <v/>
      </c>
    </row>
    <row r="590" ht="15" customHeight="1" s="39">
      <c r="A590" s="85" t="n"/>
      <c r="B590" s="85" t="n"/>
      <c r="C590" s="85" t="n"/>
      <c r="D590" s="85" t="n"/>
      <c r="E590" s="85" t="n"/>
      <c r="F590" s="86" t="n"/>
      <c r="G590" s="86" t="n"/>
      <c r="H590" s="85" t="n"/>
      <c r="I590" s="85" t="n"/>
      <c r="J590" s="85" t="n"/>
      <c r="K590" s="85" t="n"/>
      <c r="L590" s="85" t="n"/>
      <c r="M590" s="85" t="n"/>
      <c r="N590" s="85" t="n"/>
      <c r="O590" s="85" t="n"/>
      <c r="P590" s="85" t="n"/>
      <c r="Q590" s="85" t="n"/>
      <c r="R590" s="85" t="n"/>
      <c r="S590" s="85" t="n"/>
      <c r="T590" s="85" t="n"/>
      <c r="U590" s="85" t="n"/>
      <c r="V590" s="85" t="n"/>
      <c r="W590" s="85" t="n"/>
      <c r="X590" s="85" t="n"/>
      <c r="Y590" s="85" t="n"/>
      <c r="Z590" s="85" t="n"/>
      <c r="AA590" s="85" t="n"/>
      <c r="AB590" s="85" t="n"/>
      <c r="AC590" s="85" t="n"/>
      <c r="AD590" s="85" t="n"/>
      <c r="AE590" s="85" t="n"/>
      <c r="AF590" s="86" t="n"/>
      <c r="AG590" s="86" t="n"/>
      <c r="AH590" s="86" t="n"/>
      <c r="AI590" s="85" t="n"/>
      <c r="AJ590" s="85" t="n"/>
      <c r="AK590" s="85">
        <f>IF($A590="","",IF($M590&gt;0,"Yes","No"))</f>
        <v/>
      </c>
      <c r="AL590" s="85">
        <f>IF($A590="","",IF(AND($E590="Yes",OR($Y590="No",$Y590="NOT FOUND")),"YES",""))</f>
        <v/>
      </c>
      <c r="AM590" s="85">
        <f>IF($A590="","",TRIM(IF(AND($P590=0,$I590&lt;&gt;"Yes"),"T0-NoPhishResistant ","")&amp;IF($H590="No","NoMFA ","")&amp;IF(AND($P590=0,$M590&gt;0),"T0-Standing ","")&amp;IF(AND($P590=0,$Q590="Group only"),"T0-ViaGroupOnly ","")&amp;IF($W590="Yes","AlsoAzureRBAC ","")))</f>
        <v/>
      </c>
      <c r="AN590" s="85">
        <f>IF($A590="","",IF(AG590="","Not Enrolled",IF(TODAY()&gt;AG590,"Review Overdue",IF(AG590-TODAY()&lt;=30,"Review Due Soon","Active"))))</f>
        <v/>
      </c>
      <c r="AO590" s="85">
        <f>IF($A590="","",IF(AH590="","NOT REVIEWED",IF(TODAY()-AH590&gt;90,"OVERDUE",IF(TODAY()-AH590&gt;76,"Due Soon","Current"))))</f>
        <v/>
      </c>
    </row>
    <row r="591" ht="15" customHeight="1" s="39">
      <c r="A591" s="85" t="n"/>
      <c r="B591" s="85" t="n"/>
      <c r="C591" s="85" t="n"/>
      <c r="D591" s="85" t="n"/>
      <c r="E591" s="85" t="n"/>
      <c r="F591" s="86" t="n"/>
      <c r="G591" s="86" t="n"/>
      <c r="H591" s="85" t="n"/>
      <c r="I591" s="85" t="n"/>
      <c r="J591" s="85" t="n"/>
      <c r="K591" s="85" t="n"/>
      <c r="L591" s="85" t="n"/>
      <c r="M591" s="85" t="n"/>
      <c r="N591" s="85" t="n"/>
      <c r="O591" s="85" t="n"/>
      <c r="P591" s="85" t="n"/>
      <c r="Q591" s="85" t="n"/>
      <c r="R591" s="85" t="n"/>
      <c r="S591" s="85" t="n"/>
      <c r="T591" s="85" t="n"/>
      <c r="U591" s="85" t="n"/>
      <c r="V591" s="85" t="n"/>
      <c r="W591" s="85" t="n"/>
      <c r="X591" s="85" t="n"/>
      <c r="Y591" s="85" t="n"/>
      <c r="Z591" s="85" t="n"/>
      <c r="AA591" s="85" t="n"/>
      <c r="AB591" s="85" t="n"/>
      <c r="AC591" s="85" t="n"/>
      <c r="AD591" s="85" t="n"/>
      <c r="AE591" s="85" t="n"/>
      <c r="AF591" s="86" t="n"/>
      <c r="AG591" s="86" t="n"/>
      <c r="AH591" s="86" t="n"/>
      <c r="AI591" s="85" t="n"/>
      <c r="AJ591" s="85" t="n"/>
      <c r="AK591" s="85">
        <f>IF($A591="","",IF($M591&gt;0,"Yes","No"))</f>
        <v/>
      </c>
      <c r="AL591" s="85">
        <f>IF($A591="","",IF(AND($E591="Yes",OR($Y591="No",$Y591="NOT FOUND")),"YES",""))</f>
        <v/>
      </c>
      <c r="AM591" s="85">
        <f>IF($A591="","",TRIM(IF(AND($P591=0,$I591&lt;&gt;"Yes"),"T0-NoPhishResistant ","")&amp;IF($H591="No","NoMFA ","")&amp;IF(AND($P591=0,$M591&gt;0),"T0-Standing ","")&amp;IF(AND($P591=0,$Q591="Group only"),"T0-ViaGroupOnly ","")&amp;IF($W591="Yes","AlsoAzureRBAC ","")))</f>
        <v/>
      </c>
      <c r="AN591" s="85">
        <f>IF($A591="","",IF(AG591="","Not Enrolled",IF(TODAY()&gt;AG591,"Review Overdue",IF(AG591-TODAY()&lt;=30,"Review Due Soon","Active"))))</f>
        <v/>
      </c>
      <c r="AO591" s="85">
        <f>IF($A591="","",IF(AH591="","NOT REVIEWED",IF(TODAY()-AH591&gt;90,"OVERDUE",IF(TODAY()-AH591&gt;76,"Due Soon","Current"))))</f>
        <v/>
      </c>
    </row>
    <row r="592" ht="15" customHeight="1" s="39">
      <c r="A592" s="85" t="n"/>
      <c r="B592" s="85" t="n"/>
      <c r="C592" s="85" t="n"/>
      <c r="D592" s="85" t="n"/>
      <c r="E592" s="85" t="n"/>
      <c r="F592" s="86" t="n"/>
      <c r="G592" s="86" t="n"/>
      <c r="H592" s="85" t="n"/>
      <c r="I592" s="85" t="n"/>
      <c r="J592" s="85" t="n"/>
      <c r="K592" s="85" t="n"/>
      <c r="L592" s="85" t="n"/>
      <c r="M592" s="85" t="n"/>
      <c r="N592" s="85" t="n"/>
      <c r="O592" s="85" t="n"/>
      <c r="P592" s="85" t="n"/>
      <c r="Q592" s="85" t="n"/>
      <c r="R592" s="85" t="n"/>
      <c r="S592" s="85" t="n"/>
      <c r="T592" s="85" t="n"/>
      <c r="U592" s="85" t="n"/>
      <c r="V592" s="85" t="n"/>
      <c r="W592" s="85" t="n"/>
      <c r="X592" s="85" t="n"/>
      <c r="Y592" s="85" t="n"/>
      <c r="Z592" s="85" t="n"/>
      <c r="AA592" s="85" t="n"/>
      <c r="AB592" s="85" t="n"/>
      <c r="AC592" s="85" t="n"/>
      <c r="AD592" s="85" t="n"/>
      <c r="AE592" s="85" t="n"/>
      <c r="AF592" s="86" t="n"/>
      <c r="AG592" s="86" t="n"/>
      <c r="AH592" s="86" t="n"/>
      <c r="AI592" s="85" t="n"/>
      <c r="AJ592" s="85" t="n"/>
      <c r="AK592" s="85">
        <f>IF($A592="","",IF($M592&gt;0,"Yes","No"))</f>
        <v/>
      </c>
      <c r="AL592" s="85">
        <f>IF($A592="","",IF(AND($E592="Yes",OR($Y592="No",$Y592="NOT FOUND")),"YES",""))</f>
        <v/>
      </c>
      <c r="AM592" s="85">
        <f>IF($A592="","",TRIM(IF(AND($P592=0,$I592&lt;&gt;"Yes"),"T0-NoPhishResistant ","")&amp;IF($H592="No","NoMFA ","")&amp;IF(AND($P592=0,$M592&gt;0),"T0-Standing ","")&amp;IF(AND($P592=0,$Q592="Group only"),"T0-ViaGroupOnly ","")&amp;IF($W592="Yes","AlsoAzureRBAC ","")))</f>
        <v/>
      </c>
      <c r="AN592" s="85">
        <f>IF($A592="","",IF(AG592="","Not Enrolled",IF(TODAY()&gt;AG592,"Review Overdue",IF(AG592-TODAY()&lt;=30,"Review Due Soon","Active"))))</f>
        <v/>
      </c>
      <c r="AO592" s="85">
        <f>IF($A592="","",IF(AH592="","NOT REVIEWED",IF(TODAY()-AH592&gt;90,"OVERDUE",IF(TODAY()-AH592&gt;76,"Due Soon","Current"))))</f>
        <v/>
      </c>
    </row>
    <row r="593" ht="15" customHeight="1" s="39">
      <c r="A593" s="85" t="n"/>
      <c r="B593" s="85" t="n"/>
      <c r="C593" s="85" t="n"/>
      <c r="D593" s="85" t="n"/>
      <c r="E593" s="85" t="n"/>
      <c r="F593" s="86" t="n"/>
      <c r="G593" s="86" t="n"/>
      <c r="H593" s="85" t="n"/>
      <c r="I593" s="85" t="n"/>
      <c r="J593" s="85" t="n"/>
      <c r="K593" s="85" t="n"/>
      <c r="L593" s="85" t="n"/>
      <c r="M593" s="85" t="n"/>
      <c r="N593" s="85" t="n"/>
      <c r="O593" s="85" t="n"/>
      <c r="P593" s="85" t="n"/>
      <c r="Q593" s="85" t="n"/>
      <c r="R593" s="85" t="n"/>
      <c r="S593" s="85" t="n"/>
      <c r="T593" s="85" t="n"/>
      <c r="U593" s="85" t="n"/>
      <c r="V593" s="85" t="n"/>
      <c r="W593" s="85" t="n"/>
      <c r="X593" s="85" t="n"/>
      <c r="Y593" s="85" t="n"/>
      <c r="Z593" s="85" t="n"/>
      <c r="AA593" s="85" t="n"/>
      <c r="AB593" s="85" t="n"/>
      <c r="AC593" s="85" t="n"/>
      <c r="AD593" s="85" t="n"/>
      <c r="AE593" s="85" t="n"/>
      <c r="AF593" s="86" t="n"/>
      <c r="AG593" s="86" t="n"/>
      <c r="AH593" s="86" t="n"/>
      <c r="AI593" s="85" t="n"/>
      <c r="AJ593" s="85" t="n"/>
      <c r="AK593" s="85">
        <f>IF($A593="","",IF($M593&gt;0,"Yes","No"))</f>
        <v/>
      </c>
      <c r="AL593" s="85">
        <f>IF($A593="","",IF(AND($E593="Yes",OR($Y593="No",$Y593="NOT FOUND")),"YES",""))</f>
        <v/>
      </c>
      <c r="AM593" s="85">
        <f>IF($A593="","",TRIM(IF(AND($P593=0,$I593&lt;&gt;"Yes"),"T0-NoPhishResistant ","")&amp;IF($H593="No","NoMFA ","")&amp;IF(AND($P593=0,$M593&gt;0),"T0-Standing ","")&amp;IF(AND($P593=0,$Q593="Group only"),"T0-ViaGroupOnly ","")&amp;IF($W593="Yes","AlsoAzureRBAC ","")))</f>
        <v/>
      </c>
      <c r="AN593" s="85">
        <f>IF($A593="","",IF(AG593="","Not Enrolled",IF(TODAY()&gt;AG593,"Review Overdue",IF(AG593-TODAY()&lt;=30,"Review Due Soon","Active"))))</f>
        <v/>
      </c>
      <c r="AO593" s="85">
        <f>IF($A593="","",IF(AH593="","NOT REVIEWED",IF(TODAY()-AH593&gt;90,"OVERDUE",IF(TODAY()-AH593&gt;76,"Due Soon","Current"))))</f>
        <v/>
      </c>
    </row>
    <row r="594" ht="15" customHeight="1" s="39">
      <c r="A594" s="85" t="n"/>
      <c r="B594" s="85" t="n"/>
      <c r="C594" s="85" t="n"/>
      <c r="D594" s="85" t="n"/>
      <c r="E594" s="85" t="n"/>
      <c r="F594" s="86" t="n"/>
      <c r="G594" s="86" t="n"/>
      <c r="H594" s="85" t="n"/>
      <c r="I594" s="85" t="n"/>
      <c r="J594" s="85" t="n"/>
      <c r="K594" s="85" t="n"/>
      <c r="L594" s="85" t="n"/>
      <c r="M594" s="85" t="n"/>
      <c r="N594" s="85" t="n"/>
      <c r="O594" s="85" t="n"/>
      <c r="P594" s="85" t="n"/>
      <c r="Q594" s="85" t="n"/>
      <c r="R594" s="85" t="n"/>
      <c r="S594" s="85" t="n"/>
      <c r="T594" s="85" t="n"/>
      <c r="U594" s="85" t="n"/>
      <c r="V594" s="85" t="n"/>
      <c r="W594" s="85" t="n"/>
      <c r="X594" s="85" t="n"/>
      <c r="Y594" s="85" t="n"/>
      <c r="Z594" s="85" t="n"/>
      <c r="AA594" s="85" t="n"/>
      <c r="AB594" s="85" t="n"/>
      <c r="AC594" s="85" t="n"/>
      <c r="AD594" s="85" t="n"/>
      <c r="AE594" s="85" t="n"/>
      <c r="AF594" s="86" t="n"/>
      <c r="AG594" s="86" t="n"/>
      <c r="AH594" s="86" t="n"/>
      <c r="AI594" s="85" t="n"/>
      <c r="AJ594" s="85" t="n"/>
      <c r="AK594" s="85">
        <f>IF($A594="","",IF($M594&gt;0,"Yes","No"))</f>
        <v/>
      </c>
      <c r="AL594" s="85">
        <f>IF($A594="","",IF(AND($E594="Yes",OR($Y594="No",$Y594="NOT FOUND")),"YES",""))</f>
        <v/>
      </c>
      <c r="AM594" s="85">
        <f>IF($A594="","",TRIM(IF(AND($P594=0,$I594&lt;&gt;"Yes"),"T0-NoPhishResistant ","")&amp;IF($H594="No","NoMFA ","")&amp;IF(AND($P594=0,$M594&gt;0),"T0-Standing ","")&amp;IF(AND($P594=0,$Q594="Group only"),"T0-ViaGroupOnly ","")&amp;IF($W594="Yes","AlsoAzureRBAC ","")))</f>
        <v/>
      </c>
      <c r="AN594" s="85">
        <f>IF($A594="","",IF(AG594="","Not Enrolled",IF(TODAY()&gt;AG594,"Review Overdue",IF(AG594-TODAY()&lt;=30,"Review Due Soon","Active"))))</f>
        <v/>
      </c>
      <c r="AO594" s="85">
        <f>IF($A594="","",IF(AH594="","NOT REVIEWED",IF(TODAY()-AH594&gt;90,"OVERDUE",IF(TODAY()-AH594&gt;76,"Due Soon","Current"))))</f>
        <v/>
      </c>
    </row>
    <row r="595" ht="15" customHeight="1" s="39">
      <c r="A595" s="85" t="n"/>
      <c r="B595" s="85" t="n"/>
      <c r="C595" s="85" t="n"/>
      <c r="D595" s="85" t="n"/>
      <c r="E595" s="85" t="n"/>
      <c r="F595" s="86" t="n"/>
      <c r="G595" s="86" t="n"/>
      <c r="H595" s="85" t="n"/>
      <c r="I595" s="85" t="n"/>
      <c r="J595" s="85" t="n"/>
      <c r="K595" s="85" t="n"/>
      <c r="L595" s="85" t="n"/>
      <c r="M595" s="85" t="n"/>
      <c r="N595" s="85" t="n"/>
      <c r="O595" s="85" t="n"/>
      <c r="P595" s="85" t="n"/>
      <c r="Q595" s="85" t="n"/>
      <c r="R595" s="85" t="n"/>
      <c r="S595" s="85" t="n"/>
      <c r="T595" s="85" t="n"/>
      <c r="U595" s="85" t="n"/>
      <c r="V595" s="85" t="n"/>
      <c r="W595" s="85" t="n"/>
      <c r="X595" s="85" t="n"/>
      <c r="Y595" s="85" t="n"/>
      <c r="Z595" s="85" t="n"/>
      <c r="AA595" s="85" t="n"/>
      <c r="AB595" s="85" t="n"/>
      <c r="AC595" s="85" t="n"/>
      <c r="AD595" s="85" t="n"/>
      <c r="AE595" s="85" t="n"/>
      <c r="AF595" s="86" t="n"/>
      <c r="AG595" s="86" t="n"/>
      <c r="AH595" s="86" t="n"/>
      <c r="AI595" s="85" t="n"/>
      <c r="AJ595" s="85" t="n"/>
      <c r="AK595" s="85">
        <f>IF($A595="","",IF($M595&gt;0,"Yes","No"))</f>
        <v/>
      </c>
      <c r="AL595" s="85">
        <f>IF($A595="","",IF(AND($E595="Yes",OR($Y595="No",$Y595="NOT FOUND")),"YES",""))</f>
        <v/>
      </c>
      <c r="AM595" s="85">
        <f>IF($A595="","",TRIM(IF(AND($P595=0,$I595&lt;&gt;"Yes"),"T0-NoPhishResistant ","")&amp;IF($H595="No","NoMFA ","")&amp;IF(AND($P595=0,$M595&gt;0),"T0-Standing ","")&amp;IF(AND($P595=0,$Q595="Group only"),"T0-ViaGroupOnly ","")&amp;IF($W595="Yes","AlsoAzureRBAC ","")))</f>
        <v/>
      </c>
      <c r="AN595" s="85">
        <f>IF($A595="","",IF(AG595="","Not Enrolled",IF(TODAY()&gt;AG595,"Review Overdue",IF(AG595-TODAY()&lt;=30,"Review Due Soon","Active"))))</f>
        <v/>
      </c>
      <c r="AO595" s="85">
        <f>IF($A595="","",IF(AH595="","NOT REVIEWED",IF(TODAY()-AH595&gt;90,"OVERDUE",IF(TODAY()-AH595&gt;76,"Due Soon","Current"))))</f>
        <v/>
      </c>
    </row>
    <row r="596" ht="15" customHeight="1" s="39">
      <c r="A596" s="85" t="n"/>
      <c r="B596" s="85" t="n"/>
      <c r="C596" s="85" t="n"/>
      <c r="D596" s="85" t="n"/>
      <c r="E596" s="85" t="n"/>
      <c r="F596" s="86" t="n"/>
      <c r="G596" s="86" t="n"/>
      <c r="H596" s="85" t="n"/>
      <c r="I596" s="85" t="n"/>
      <c r="J596" s="85" t="n"/>
      <c r="K596" s="85" t="n"/>
      <c r="L596" s="85" t="n"/>
      <c r="M596" s="85" t="n"/>
      <c r="N596" s="85" t="n"/>
      <c r="O596" s="85" t="n"/>
      <c r="P596" s="85" t="n"/>
      <c r="Q596" s="85" t="n"/>
      <c r="R596" s="85" t="n"/>
      <c r="S596" s="85" t="n"/>
      <c r="T596" s="85" t="n"/>
      <c r="U596" s="85" t="n"/>
      <c r="V596" s="85" t="n"/>
      <c r="W596" s="85" t="n"/>
      <c r="X596" s="85" t="n"/>
      <c r="Y596" s="85" t="n"/>
      <c r="Z596" s="85" t="n"/>
      <c r="AA596" s="85" t="n"/>
      <c r="AB596" s="85" t="n"/>
      <c r="AC596" s="85" t="n"/>
      <c r="AD596" s="85" t="n"/>
      <c r="AE596" s="85" t="n"/>
      <c r="AF596" s="86" t="n"/>
      <c r="AG596" s="86" t="n"/>
      <c r="AH596" s="86" t="n"/>
      <c r="AI596" s="85" t="n"/>
      <c r="AJ596" s="85" t="n"/>
      <c r="AK596" s="85">
        <f>IF($A596="","",IF($M596&gt;0,"Yes","No"))</f>
        <v/>
      </c>
      <c r="AL596" s="85">
        <f>IF($A596="","",IF(AND($E596="Yes",OR($Y596="No",$Y596="NOT FOUND")),"YES",""))</f>
        <v/>
      </c>
      <c r="AM596" s="85">
        <f>IF($A596="","",TRIM(IF(AND($P596=0,$I596&lt;&gt;"Yes"),"T0-NoPhishResistant ","")&amp;IF($H596="No","NoMFA ","")&amp;IF(AND($P596=0,$M596&gt;0),"T0-Standing ","")&amp;IF(AND($P596=0,$Q596="Group only"),"T0-ViaGroupOnly ","")&amp;IF($W596="Yes","AlsoAzureRBAC ","")))</f>
        <v/>
      </c>
      <c r="AN596" s="85">
        <f>IF($A596="","",IF(AG596="","Not Enrolled",IF(TODAY()&gt;AG596,"Review Overdue",IF(AG596-TODAY()&lt;=30,"Review Due Soon","Active"))))</f>
        <v/>
      </c>
      <c r="AO596" s="85">
        <f>IF($A596="","",IF(AH596="","NOT REVIEWED",IF(TODAY()-AH596&gt;90,"OVERDUE",IF(TODAY()-AH596&gt;76,"Due Soon","Current"))))</f>
        <v/>
      </c>
    </row>
    <row r="597" ht="15" customHeight="1" s="39">
      <c r="A597" s="85" t="n"/>
      <c r="B597" s="85" t="n"/>
      <c r="C597" s="85" t="n"/>
      <c r="D597" s="85" t="n"/>
      <c r="E597" s="85" t="n"/>
      <c r="F597" s="86" t="n"/>
      <c r="G597" s="86" t="n"/>
      <c r="H597" s="85" t="n"/>
      <c r="I597" s="85" t="n"/>
      <c r="J597" s="85" t="n"/>
      <c r="K597" s="85" t="n"/>
      <c r="L597" s="85" t="n"/>
      <c r="M597" s="85" t="n"/>
      <c r="N597" s="85" t="n"/>
      <c r="O597" s="85" t="n"/>
      <c r="P597" s="85" t="n"/>
      <c r="Q597" s="85" t="n"/>
      <c r="R597" s="85" t="n"/>
      <c r="S597" s="85" t="n"/>
      <c r="T597" s="85" t="n"/>
      <c r="U597" s="85" t="n"/>
      <c r="V597" s="85" t="n"/>
      <c r="W597" s="85" t="n"/>
      <c r="X597" s="85" t="n"/>
      <c r="Y597" s="85" t="n"/>
      <c r="Z597" s="85" t="n"/>
      <c r="AA597" s="85" t="n"/>
      <c r="AB597" s="85" t="n"/>
      <c r="AC597" s="85" t="n"/>
      <c r="AD597" s="85" t="n"/>
      <c r="AE597" s="85" t="n"/>
      <c r="AF597" s="86" t="n"/>
      <c r="AG597" s="86" t="n"/>
      <c r="AH597" s="86" t="n"/>
      <c r="AI597" s="85" t="n"/>
      <c r="AJ597" s="85" t="n"/>
      <c r="AK597" s="85">
        <f>IF($A597="","",IF($M597&gt;0,"Yes","No"))</f>
        <v/>
      </c>
      <c r="AL597" s="85">
        <f>IF($A597="","",IF(AND($E597="Yes",OR($Y597="No",$Y597="NOT FOUND")),"YES",""))</f>
        <v/>
      </c>
      <c r="AM597" s="85">
        <f>IF($A597="","",TRIM(IF(AND($P597=0,$I597&lt;&gt;"Yes"),"T0-NoPhishResistant ","")&amp;IF($H597="No","NoMFA ","")&amp;IF(AND($P597=0,$M597&gt;0),"T0-Standing ","")&amp;IF(AND($P597=0,$Q597="Group only"),"T0-ViaGroupOnly ","")&amp;IF($W597="Yes","AlsoAzureRBAC ","")))</f>
        <v/>
      </c>
      <c r="AN597" s="85">
        <f>IF($A597="","",IF(AG597="","Not Enrolled",IF(TODAY()&gt;AG597,"Review Overdue",IF(AG597-TODAY()&lt;=30,"Review Due Soon","Active"))))</f>
        <v/>
      </c>
      <c r="AO597" s="85">
        <f>IF($A597="","",IF(AH597="","NOT REVIEWED",IF(TODAY()-AH597&gt;90,"OVERDUE",IF(TODAY()-AH597&gt;76,"Due Soon","Current"))))</f>
        <v/>
      </c>
    </row>
    <row r="598" ht="15" customHeight="1" s="39">
      <c r="A598" s="85" t="n"/>
      <c r="B598" s="85" t="n"/>
      <c r="C598" s="85" t="n"/>
      <c r="D598" s="85" t="n"/>
      <c r="E598" s="85" t="n"/>
      <c r="F598" s="86" t="n"/>
      <c r="G598" s="86" t="n"/>
      <c r="H598" s="85" t="n"/>
      <c r="I598" s="85" t="n"/>
      <c r="J598" s="85" t="n"/>
      <c r="K598" s="85" t="n"/>
      <c r="L598" s="85" t="n"/>
      <c r="M598" s="85" t="n"/>
      <c r="N598" s="85" t="n"/>
      <c r="O598" s="85" t="n"/>
      <c r="P598" s="85" t="n"/>
      <c r="Q598" s="85" t="n"/>
      <c r="R598" s="85" t="n"/>
      <c r="S598" s="85" t="n"/>
      <c r="T598" s="85" t="n"/>
      <c r="U598" s="85" t="n"/>
      <c r="V598" s="85" t="n"/>
      <c r="W598" s="85" t="n"/>
      <c r="X598" s="85" t="n"/>
      <c r="Y598" s="85" t="n"/>
      <c r="Z598" s="85" t="n"/>
      <c r="AA598" s="85" t="n"/>
      <c r="AB598" s="85" t="n"/>
      <c r="AC598" s="85" t="n"/>
      <c r="AD598" s="85" t="n"/>
      <c r="AE598" s="85" t="n"/>
      <c r="AF598" s="86" t="n"/>
      <c r="AG598" s="86" t="n"/>
      <c r="AH598" s="86" t="n"/>
      <c r="AI598" s="85" t="n"/>
      <c r="AJ598" s="85" t="n"/>
      <c r="AK598" s="85">
        <f>IF($A598="","",IF($M598&gt;0,"Yes","No"))</f>
        <v/>
      </c>
      <c r="AL598" s="85">
        <f>IF($A598="","",IF(AND($E598="Yes",OR($Y598="No",$Y598="NOT FOUND")),"YES",""))</f>
        <v/>
      </c>
      <c r="AM598" s="85">
        <f>IF($A598="","",TRIM(IF(AND($P598=0,$I598&lt;&gt;"Yes"),"T0-NoPhishResistant ","")&amp;IF($H598="No","NoMFA ","")&amp;IF(AND($P598=0,$M598&gt;0),"T0-Standing ","")&amp;IF(AND($P598=0,$Q598="Group only"),"T0-ViaGroupOnly ","")&amp;IF($W598="Yes","AlsoAzureRBAC ","")))</f>
        <v/>
      </c>
      <c r="AN598" s="85">
        <f>IF($A598="","",IF(AG598="","Not Enrolled",IF(TODAY()&gt;AG598,"Review Overdue",IF(AG598-TODAY()&lt;=30,"Review Due Soon","Active"))))</f>
        <v/>
      </c>
      <c r="AO598" s="85">
        <f>IF($A598="","",IF(AH598="","NOT REVIEWED",IF(TODAY()-AH598&gt;90,"OVERDUE",IF(TODAY()-AH598&gt;76,"Due Soon","Current"))))</f>
        <v/>
      </c>
    </row>
    <row r="599" ht="15" customHeight="1" s="39">
      <c r="A599" s="85" t="n"/>
      <c r="B599" s="85" t="n"/>
      <c r="C599" s="85" t="n"/>
      <c r="D599" s="85" t="n"/>
      <c r="E599" s="85" t="n"/>
      <c r="F599" s="86" t="n"/>
      <c r="G599" s="86" t="n"/>
      <c r="H599" s="85" t="n"/>
      <c r="I599" s="85" t="n"/>
      <c r="J599" s="85" t="n"/>
      <c r="K599" s="85" t="n"/>
      <c r="L599" s="85" t="n"/>
      <c r="M599" s="85" t="n"/>
      <c r="N599" s="85" t="n"/>
      <c r="O599" s="85" t="n"/>
      <c r="P599" s="85" t="n"/>
      <c r="Q599" s="85" t="n"/>
      <c r="R599" s="85" t="n"/>
      <c r="S599" s="85" t="n"/>
      <c r="T599" s="85" t="n"/>
      <c r="U599" s="85" t="n"/>
      <c r="V599" s="85" t="n"/>
      <c r="W599" s="85" t="n"/>
      <c r="X599" s="85" t="n"/>
      <c r="Y599" s="85" t="n"/>
      <c r="Z599" s="85" t="n"/>
      <c r="AA599" s="85" t="n"/>
      <c r="AB599" s="85" t="n"/>
      <c r="AC599" s="85" t="n"/>
      <c r="AD599" s="85" t="n"/>
      <c r="AE599" s="85" t="n"/>
      <c r="AF599" s="86" t="n"/>
      <c r="AG599" s="86" t="n"/>
      <c r="AH599" s="86" t="n"/>
      <c r="AI599" s="85" t="n"/>
      <c r="AJ599" s="85" t="n"/>
      <c r="AK599" s="85">
        <f>IF($A599="","",IF($M599&gt;0,"Yes","No"))</f>
        <v/>
      </c>
      <c r="AL599" s="85">
        <f>IF($A599="","",IF(AND($E599="Yes",OR($Y599="No",$Y599="NOT FOUND")),"YES",""))</f>
        <v/>
      </c>
      <c r="AM599" s="85">
        <f>IF($A599="","",TRIM(IF(AND($P599=0,$I599&lt;&gt;"Yes"),"T0-NoPhishResistant ","")&amp;IF($H599="No","NoMFA ","")&amp;IF(AND($P599=0,$M599&gt;0),"T0-Standing ","")&amp;IF(AND($P599=0,$Q599="Group only"),"T0-ViaGroupOnly ","")&amp;IF($W599="Yes","AlsoAzureRBAC ","")))</f>
        <v/>
      </c>
      <c r="AN599" s="85">
        <f>IF($A599="","",IF(AG599="","Not Enrolled",IF(TODAY()&gt;AG599,"Review Overdue",IF(AG599-TODAY()&lt;=30,"Review Due Soon","Active"))))</f>
        <v/>
      </c>
      <c r="AO599" s="85">
        <f>IF($A599="","",IF(AH599="","NOT REVIEWED",IF(TODAY()-AH599&gt;90,"OVERDUE",IF(TODAY()-AH599&gt;76,"Due Soon","Current"))))</f>
        <v/>
      </c>
    </row>
    <row r="600" ht="15" customHeight="1" s="39">
      <c r="A600" s="85" t="n"/>
      <c r="B600" s="85" t="n"/>
      <c r="C600" s="85" t="n"/>
      <c r="D600" s="85" t="n"/>
      <c r="E600" s="85" t="n"/>
      <c r="F600" s="86" t="n"/>
      <c r="G600" s="86" t="n"/>
      <c r="H600" s="85" t="n"/>
      <c r="I600" s="85" t="n"/>
      <c r="J600" s="85" t="n"/>
      <c r="K600" s="85" t="n"/>
      <c r="L600" s="85" t="n"/>
      <c r="M600" s="85" t="n"/>
      <c r="N600" s="85" t="n"/>
      <c r="O600" s="85" t="n"/>
      <c r="P600" s="85" t="n"/>
      <c r="Q600" s="85" t="n"/>
      <c r="R600" s="85" t="n"/>
      <c r="S600" s="85" t="n"/>
      <c r="T600" s="85" t="n"/>
      <c r="U600" s="85" t="n"/>
      <c r="V600" s="85" t="n"/>
      <c r="W600" s="85" t="n"/>
      <c r="X600" s="85" t="n"/>
      <c r="Y600" s="85" t="n"/>
      <c r="Z600" s="85" t="n"/>
      <c r="AA600" s="85" t="n"/>
      <c r="AB600" s="85" t="n"/>
      <c r="AC600" s="85" t="n"/>
      <c r="AD600" s="85" t="n"/>
      <c r="AE600" s="85" t="n"/>
      <c r="AF600" s="86" t="n"/>
      <c r="AG600" s="86" t="n"/>
      <c r="AH600" s="86" t="n"/>
      <c r="AI600" s="85" t="n"/>
      <c r="AJ600" s="85" t="n"/>
      <c r="AK600" s="85">
        <f>IF($A600="","",IF($M600&gt;0,"Yes","No"))</f>
        <v/>
      </c>
      <c r="AL600" s="85">
        <f>IF($A600="","",IF(AND($E600="Yes",OR($Y600="No",$Y600="NOT FOUND")),"YES",""))</f>
        <v/>
      </c>
      <c r="AM600" s="85">
        <f>IF($A600="","",TRIM(IF(AND($P600=0,$I600&lt;&gt;"Yes"),"T0-NoPhishResistant ","")&amp;IF($H600="No","NoMFA ","")&amp;IF(AND($P600=0,$M600&gt;0),"T0-Standing ","")&amp;IF(AND($P600=0,$Q600="Group only"),"T0-ViaGroupOnly ","")&amp;IF($W600="Yes","AlsoAzureRBAC ","")))</f>
        <v/>
      </c>
      <c r="AN600" s="85">
        <f>IF($A600="","",IF(AG600="","Not Enrolled",IF(TODAY()&gt;AG600,"Review Overdue",IF(AG600-TODAY()&lt;=30,"Review Due Soon","Active"))))</f>
        <v/>
      </c>
      <c r="AO600" s="85">
        <f>IF($A600="","",IF(AH600="","NOT REVIEWED",IF(TODAY()-AH600&gt;90,"OVERDUE",IF(TODAY()-AH600&gt;76,"Due Soon","Current"))))</f>
        <v/>
      </c>
    </row>
    <row r="601" ht="15" customHeight="1" s="39">
      <c r="A601" s="85" t="n"/>
      <c r="B601" s="85" t="n"/>
      <c r="C601" s="85" t="n"/>
      <c r="D601" s="85" t="n"/>
      <c r="E601" s="85" t="n"/>
      <c r="F601" s="86" t="n"/>
      <c r="G601" s="86" t="n"/>
      <c r="H601" s="85" t="n"/>
      <c r="I601" s="85" t="n"/>
      <c r="J601" s="85" t="n"/>
      <c r="K601" s="85" t="n"/>
      <c r="L601" s="85" t="n"/>
      <c r="M601" s="85" t="n"/>
      <c r="N601" s="85" t="n"/>
      <c r="O601" s="85" t="n"/>
      <c r="P601" s="85" t="n"/>
      <c r="Q601" s="85" t="n"/>
      <c r="R601" s="85" t="n"/>
      <c r="S601" s="85" t="n"/>
      <c r="T601" s="85" t="n"/>
      <c r="U601" s="85" t="n"/>
      <c r="V601" s="85" t="n"/>
      <c r="W601" s="85" t="n"/>
      <c r="X601" s="85" t="n"/>
      <c r="Y601" s="85" t="n"/>
      <c r="Z601" s="85" t="n"/>
      <c r="AA601" s="85" t="n"/>
      <c r="AB601" s="85" t="n"/>
      <c r="AC601" s="85" t="n"/>
      <c r="AD601" s="85" t="n"/>
      <c r="AE601" s="85" t="n"/>
      <c r="AF601" s="86" t="n"/>
      <c r="AG601" s="86" t="n"/>
      <c r="AH601" s="86" t="n"/>
      <c r="AI601" s="85" t="n"/>
      <c r="AJ601" s="85" t="n"/>
      <c r="AK601" s="85">
        <f>IF($A601="","",IF($M601&gt;0,"Yes","No"))</f>
        <v/>
      </c>
      <c r="AL601" s="85">
        <f>IF($A601="","",IF(AND($E601="Yes",OR($Y601="No",$Y601="NOT FOUND")),"YES",""))</f>
        <v/>
      </c>
      <c r="AM601" s="85">
        <f>IF($A601="","",TRIM(IF(AND($P601=0,$I601&lt;&gt;"Yes"),"T0-NoPhishResistant ","")&amp;IF($H601="No","NoMFA ","")&amp;IF(AND($P601=0,$M601&gt;0),"T0-Standing ","")&amp;IF(AND($P601=0,$Q601="Group only"),"T0-ViaGroupOnly ","")&amp;IF($W601="Yes","AlsoAzureRBAC ","")))</f>
        <v/>
      </c>
      <c r="AN601" s="85">
        <f>IF($A601="","",IF(AG601="","Not Enrolled",IF(TODAY()&gt;AG601,"Review Overdue",IF(AG601-TODAY()&lt;=30,"Review Due Soon","Active"))))</f>
        <v/>
      </c>
      <c r="AO601" s="85">
        <f>IF($A601="","",IF(AH601="","NOT REVIEWED",IF(TODAY()-AH601&gt;90,"OVERDUE",IF(TODAY()-AH601&gt;76,"Due Soon","Current"))))</f>
        <v/>
      </c>
    </row>
    <row r="602" ht="15" customHeight="1" s="39">
      <c r="A602" s="85" t="n"/>
      <c r="B602" s="85" t="n"/>
      <c r="C602" s="85" t="n"/>
      <c r="D602" s="85" t="n"/>
      <c r="E602" s="85" t="n"/>
      <c r="F602" s="86" t="n"/>
      <c r="G602" s="86" t="n"/>
      <c r="H602" s="85" t="n"/>
      <c r="I602" s="85" t="n"/>
      <c r="J602" s="85" t="n"/>
      <c r="K602" s="85" t="n"/>
      <c r="L602" s="85" t="n"/>
      <c r="M602" s="85" t="n"/>
      <c r="N602" s="85" t="n"/>
      <c r="O602" s="85" t="n"/>
      <c r="P602" s="85" t="n"/>
      <c r="Q602" s="85" t="n"/>
      <c r="R602" s="85" t="n"/>
      <c r="S602" s="85" t="n"/>
      <c r="T602" s="85" t="n"/>
      <c r="U602" s="85" t="n"/>
      <c r="V602" s="85" t="n"/>
      <c r="W602" s="85" t="n"/>
      <c r="X602" s="85" t="n"/>
      <c r="Y602" s="85" t="n"/>
      <c r="Z602" s="85" t="n"/>
      <c r="AA602" s="85" t="n"/>
      <c r="AB602" s="85" t="n"/>
      <c r="AC602" s="85" t="n"/>
      <c r="AD602" s="85" t="n"/>
      <c r="AE602" s="85" t="n"/>
      <c r="AF602" s="86" t="n"/>
      <c r="AG602" s="86" t="n"/>
      <c r="AH602" s="86" t="n"/>
      <c r="AI602" s="85" t="n"/>
      <c r="AJ602" s="85" t="n"/>
      <c r="AK602" s="85">
        <f>IF($A602="","",IF($M602&gt;0,"Yes","No"))</f>
        <v/>
      </c>
      <c r="AL602" s="85">
        <f>IF($A602="","",IF(AND($E602="Yes",OR($Y602="No",$Y602="NOT FOUND")),"YES",""))</f>
        <v/>
      </c>
      <c r="AM602" s="85">
        <f>IF($A602="","",TRIM(IF(AND($P602=0,$I602&lt;&gt;"Yes"),"T0-NoPhishResistant ","")&amp;IF($H602="No","NoMFA ","")&amp;IF(AND($P602=0,$M602&gt;0),"T0-Standing ","")&amp;IF(AND($P602=0,$Q602="Group only"),"T0-ViaGroupOnly ","")&amp;IF($W602="Yes","AlsoAzureRBAC ","")))</f>
        <v/>
      </c>
      <c r="AN602" s="85">
        <f>IF($A602="","",IF(AG602="","Not Enrolled",IF(TODAY()&gt;AG602,"Review Overdue",IF(AG602-TODAY()&lt;=30,"Review Due Soon","Active"))))</f>
        <v/>
      </c>
      <c r="AO602" s="85">
        <f>IF($A602="","",IF(AH602="","NOT REVIEWED",IF(TODAY()-AH602&gt;90,"OVERDUE",IF(TODAY()-AH602&gt;76,"Due Soon","Current"))))</f>
        <v/>
      </c>
    </row>
    <row r="603" ht="15" customHeight="1" s="39">
      <c r="A603" s="85" t="n"/>
      <c r="B603" s="85" t="n"/>
      <c r="C603" s="85" t="n"/>
      <c r="D603" s="85" t="n"/>
      <c r="E603" s="85" t="n"/>
      <c r="F603" s="86" t="n"/>
      <c r="G603" s="86" t="n"/>
      <c r="H603" s="85" t="n"/>
      <c r="I603" s="85" t="n"/>
      <c r="J603" s="85" t="n"/>
      <c r="K603" s="85" t="n"/>
      <c r="L603" s="85" t="n"/>
      <c r="M603" s="85" t="n"/>
      <c r="N603" s="85" t="n"/>
      <c r="O603" s="85" t="n"/>
      <c r="P603" s="85" t="n"/>
      <c r="Q603" s="85" t="n"/>
      <c r="R603" s="85" t="n"/>
      <c r="S603" s="85" t="n"/>
      <c r="T603" s="85" t="n"/>
      <c r="U603" s="85" t="n"/>
      <c r="V603" s="85" t="n"/>
      <c r="W603" s="85" t="n"/>
      <c r="X603" s="85" t="n"/>
      <c r="Y603" s="85" t="n"/>
      <c r="Z603" s="85" t="n"/>
      <c r="AA603" s="85" t="n"/>
      <c r="AB603" s="85" t="n"/>
      <c r="AC603" s="85" t="n"/>
      <c r="AD603" s="85" t="n"/>
      <c r="AE603" s="85" t="n"/>
      <c r="AF603" s="86" t="n"/>
      <c r="AG603" s="86" t="n"/>
      <c r="AH603" s="86" t="n"/>
      <c r="AI603" s="85" t="n"/>
      <c r="AJ603" s="85" t="n"/>
      <c r="AK603" s="85">
        <f>IF($A603="","",IF($M603&gt;0,"Yes","No"))</f>
        <v/>
      </c>
      <c r="AL603" s="85">
        <f>IF($A603="","",IF(AND($E603="Yes",OR($Y603="No",$Y603="NOT FOUND")),"YES",""))</f>
        <v/>
      </c>
      <c r="AM603" s="85">
        <f>IF($A603="","",TRIM(IF(AND($P603=0,$I603&lt;&gt;"Yes"),"T0-NoPhishResistant ","")&amp;IF($H603="No","NoMFA ","")&amp;IF(AND($P603=0,$M603&gt;0),"T0-Standing ","")&amp;IF(AND($P603=0,$Q603="Group only"),"T0-ViaGroupOnly ","")&amp;IF($W603="Yes","AlsoAzureRBAC ","")))</f>
        <v/>
      </c>
      <c r="AN603" s="85">
        <f>IF($A603="","",IF(AG603="","Not Enrolled",IF(TODAY()&gt;AG603,"Review Overdue",IF(AG603-TODAY()&lt;=30,"Review Due Soon","Active"))))</f>
        <v/>
      </c>
      <c r="AO603" s="85">
        <f>IF($A603="","",IF(AH603="","NOT REVIEWED",IF(TODAY()-AH603&gt;90,"OVERDUE",IF(TODAY()-AH603&gt;76,"Due Soon","Current"))))</f>
        <v/>
      </c>
    </row>
    <row r="604" ht="15" customHeight="1" s="39">
      <c r="A604" s="85" t="n"/>
      <c r="B604" s="85" t="n"/>
      <c r="C604" s="85" t="n"/>
      <c r="D604" s="85" t="n"/>
      <c r="E604" s="85" t="n"/>
      <c r="F604" s="86" t="n"/>
      <c r="G604" s="86" t="n"/>
      <c r="H604" s="85" t="n"/>
      <c r="I604" s="85" t="n"/>
      <c r="J604" s="85" t="n"/>
      <c r="K604" s="85" t="n"/>
      <c r="L604" s="85" t="n"/>
      <c r="M604" s="85" t="n"/>
      <c r="N604" s="85" t="n"/>
      <c r="O604" s="85" t="n"/>
      <c r="P604" s="85" t="n"/>
      <c r="Q604" s="85" t="n"/>
      <c r="R604" s="85" t="n"/>
      <c r="S604" s="85" t="n"/>
      <c r="T604" s="85" t="n"/>
      <c r="U604" s="85" t="n"/>
      <c r="V604" s="85" t="n"/>
      <c r="W604" s="85" t="n"/>
      <c r="X604" s="85" t="n"/>
      <c r="Y604" s="85" t="n"/>
      <c r="Z604" s="85" t="n"/>
      <c r="AA604" s="85" t="n"/>
      <c r="AB604" s="85" t="n"/>
      <c r="AC604" s="85" t="n"/>
      <c r="AD604" s="85" t="n"/>
      <c r="AE604" s="85" t="n"/>
      <c r="AF604" s="86" t="n"/>
      <c r="AG604" s="86" t="n"/>
      <c r="AH604" s="86" t="n"/>
      <c r="AI604" s="85" t="n"/>
      <c r="AJ604" s="85" t="n"/>
      <c r="AK604" s="85">
        <f>IF($A604="","",IF($M604&gt;0,"Yes","No"))</f>
        <v/>
      </c>
      <c r="AL604" s="85">
        <f>IF($A604="","",IF(AND($E604="Yes",OR($Y604="No",$Y604="NOT FOUND")),"YES",""))</f>
        <v/>
      </c>
      <c r="AM604" s="85">
        <f>IF($A604="","",TRIM(IF(AND($P604=0,$I604&lt;&gt;"Yes"),"T0-NoPhishResistant ","")&amp;IF($H604="No","NoMFA ","")&amp;IF(AND($P604=0,$M604&gt;0),"T0-Standing ","")&amp;IF(AND($P604=0,$Q604="Group only"),"T0-ViaGroupOnly ","")&amp;IF($W604="Yes","AlsoAzureRBAC ","")))</f>
        <v/>
      </c>
      <c r="AN604" s="85">
        <f>IF($A604="","",IF(AG604="","Not Enrolled",IF(TODAY()&gt;AG604,"Review Overdue",IF(AG604-TODAY()&lt;=30,"Review Due Soon","Active"))))</f>
        <v/>
      </c>
      <c r="AO604" s="85">
        <f>IF($A604="","",IF(AH604="","NOT REVIEWED",IF(TODAY()-AH604&gt;90,"OVERDUE",IF(TODAY()-AH604&gt;76,"Due Soon","Current"))))</f>
        <v/>
      </c>
    </row>
    <row r="605" ht="15" customHeight="1" s="39">
      <c r="A605" s="85" t="n"/>
      <c r="B605" s="85" t="n"/>
      <c r="C605" s="85" t="n"/>
      <c r="D605" s="85" t="n"/>
      <c r="E605" s="85" t="n"/>
      <c r="F605" s="86" t="n"/>
      <c r="G605" s="86" t="n"/>
      <c r="H605" s="85" t="n"/>
      <c r="I605" s="85" t="n"/>
      <c r="J605" s="85" t="n"/>
      <c r="K605" s="85" t="n"/>
      <c r="L605" s="85" t="n"/>
      <c r="M605" s="85" t="n"/>
      <c r="N605" s="85" t="n"/>
      <c r="O605" s="85" t="n"/>
      <c r="P605" s="85" t="n"/>
      <c r="Q605" s="85" t="n"/>
      <c r="R605" s="85" t="n"/>
      <c r="S605" s="85" t="n"/>
      <c r="T605" s="85" t="n"/>
      <c r="U605" s="85" t="n"/>
      <c r="V605" s="85" t="n"/>
      <c r="W605" s="85" t="n"/>
      <c r="X605" s="85" t="n"/>
      <c r="Y605" s="85" t="n"/>
      <c r="Z605" s="85" t="n"/>
      <c r="AA605" s="85" t="n"/>
      <c r="AB605" s="85" t="n"/>
      <c r="AC605" s="85" t="n"/>
      <c r="AD605" s="85" t="n"/>
      <c r="AE605" s="85" t="n"/>
      <c r="AF605" s="86" t="n"/>
      <c r="AG605" s="86" t="n"/>
      <c r="AH605" s="86" t="n"/>
      <c r="AI605" s="85" t="n"/>
      <c r="AJ605" s="85" t="n"/>
      <c r="AK605" s="85">
        <f>IF($A605="","",IF($M605&gt;0,"Yes","No"))</f>
        <v/>
      </c>
      <c r="AL605" s="85">
        <f>IF($A605="","",IF(AND($E605="Yes",OR($Y605="No",$Y605="NOT FOUND")),"YES",""))</f>
        <v/>
      </c>
      <c r="AM605" s="85">
        <f>IF($A605="","",TRIM(IF(AND($P605=0,$I605&lt;&gt;"Yes"),"T0-NoPhishResistant ","")&amp;IF($H605="No","NoMFA ","")&amp;IF(AND($P605=0,$M605&gt;0),"T0-Standing ","")&amp;IF(AND($P605=0,$Q605="Group only"),"T0-ViaGroupOnly ","")&amp;IF($W605="Yes","AlsoAzureRBAC ","")))</f>
        <v/>
      </c>
      <c r="AN605" s="85">
        <f>IF($A605="","",IF(AG605="","Not Enrolled",IF(TODAY()&gt;AG605,"Review Overdue",IF(AG605-TODAY()&lt;=30,"Review Due Soon","Active"))))</f>
        <v/>
      </c>
      <c r="AO605" s="85">
        <f>IF($A605="","",IF(AH605="","NOT REVIEWED",IF(TODAY()-AH605&gt;90,"OVERDUE",IF(TODAY()-AH605&gt;76,"Due Soon","Current"))))</f>
        <v/>
      </c>
    </row>
    <row r="606" ht="15" customHeight="1" s="39">
      <c r="A606" s="85" t="n"/>
      <c r="B606" s="85" t="n"/>
      <c r="C606" s="85" t="n"/>
      <c r="D606" s="85" t="n"/>
      <c r="E606" s="85" t="n"/>
      <c r="F606" s="86" t="n"/>
      <c r="G606" s="86" t="n"/>
      <c r="H606" s="85" t="n"/>
      <c r="I606" s="85" t="n"/>
      <c r="J606" s="85" t="n"/>
      <c r="K606" s="85" t="n"/>
      <c r="L606" s="85" t="n"/>
      <c r="M606" s="85" t="n"/>
      <c r="N606" s="85" t="n"/>
      <c r="O606" s="85" t="n"/>
      <c r="P606" s="85" t="n"/>
      <c r="Q606" s="85" t="n"/>
      <c r="R606" s="85" t="n"/>
      <c r="S606" s="85" t="n"/>
      <c r="T606" s="85" t="n"/>
      <c r="U606" s="85" t="n"/>
      <c r="V606" s="85" t="n"/>
      <c r="W606" s="85" t="n"/>
      <c r="X606" s="85" t="n"/>
      <c r="Y606" s="85" t="n"/>
      <c r="Z606" s="85" t="n"/>
      <c r="AA606" s="85" t="n"/>
      <c r="AB606" s="85" t="n"/>
      <c r="AC606" s="85" t="n"/>
      <c r="AD606" s="85" t="n"/>
      <c r="AE606" s="85" t="n"/>
      <c r="AF606" s="86" t="n"/>
      <c r="AG606" s="86" t="n"/>
      <c r="AH606" s="86" t="n"/>
      <c r="AI606" s="85" t="n"/>
      <c r="AJ606" s="85" t="n"/>
      <c r="AK606" s="85">
        <f>IF($A606="","",IF($M606&gt;0,"Yes","No"))</f>
        <v/>
      </c>
      <c r="AL606" s="85">
        <f>IF($A606="","",IF(AND($E606="Yes",OR($Y606="No",$Y606="NOT FOUND")),"YES",""))</f>
        <v/>
      </c>
      <c r="AM606" s="85">
        <f>IF($A606="","",TRIM(IF(AND($P606=0,$I606&lt;&gt;"Yes"),"T0-NoPhishResistant ","")&amp;IF($H606="No","NoMFA ","")&amp;IF(AND($P606=0,$M606&gt;0),"T0-Standing ","")&amp;IF(AND($P606=0,$Q606="Group only"),"T0-ViaGroupOnly ","")&amp;IF($W606="Yes","AlsoAzureRBAC ","")))</f>
        <v/>
      </c>
      <c r="AN606" s="85">
        <f>IF($A606="","",IF(AG606="","Not Enrolled",IF(TODAY()&gt;AG606,"Review Overdue",IF(AG606-TODAY()&lt;=30,"Review Due Soon","Active"))))</f>
        <v/>
      </c>
      <c r="AO606" s="85">
        <f>IF($A606="","",IF(AH606="","NOT REVIEWED",IF(TODAY()-AH606&gt;90,"OVERDUE",IF(TODAY()-AH606&gt;76,"Due Soon","Current"))))</f>
        <v/>
      </c>
    </row>
    <row r="607" ht="15" customHeight="1" s="39">
      <c r="A607" s="85" t="n"/>
      <c r="B607" s="85" t="n"/>
      <c r="C607" s="85" t="n"/>
      <c r="D607" s="85" t="n"/>
      <c r="E607" s="85" t="n"/>
      <c r="F607" s="86" t="n"/>
      <c r="G607" s="86" t="n"/>
      <c r="H607" s="85" t="n"/>
      <c r="I607" s="85" t="n"/>
      <c r="J607" s="85" t="n"/>
      <c r="K607" s="85" t="n"/>
      <c r="L607" s="85" t="n"/>
      <c r="M607" s="85" t="n"/>
      <c r="N607" s="85" t="n"/>
      <c r="O607" s="85" t="n"/>
      <c r="P607" s="85" t="n"/>
      <c r="Q607" s="85" t="n"/>
      <c r="R607" s="85" t="n"/>
      <c r="S607" s="85" t="n"/>
      <c r="T607" s="85" t="n"/>
      <c r="U607" s="85" t="n"/>
      <c r="V607" s="85" t="n"/>
      <c r="W607" s="85" t="n"/>
      <c r="X607" s="85" t="n"/>
      <c r="Y607" s="85" t="n"/>
      <c r="Z607" s="85" t="n"/>
      <c r="AA607" s="85" t="n"/>
      <c r="AB607" s="85" t="n"/>
      <c r="AC607" s="85" t="n"/>
      <c r="AD607" s="85" t="n"/>
      <c r="AE607" s="85" t="n"/>
      <c r="AF607" s="86" t="n"/>
      <c r="AG607" s="86" t="n"/>
      <c r="AH607" s="86" t="n"/>
      <c r="AI607" s="85" t="n"/>
      <c r="AJ607" s="85" t="n"/>
      <c r="AK607" s="85">
        <f>IF($A607="","",IF($M607&gt;0,"Yes","No"))</f>
        <v/>
      </c>
      <c r="AL607" s="85">
        <f>IF($A607="","",IF(AND($E607="Yes",OR($Y607="No",$Y607="NOT FOUND")),"YES",""))</f>
        <v/>
      </c>
      <c r="AM607" s="85">
        <f>IF($A607="","",TRIM(IF(AND($P607=0,$I607&lt;&gt;"Yes"),"T0-NoPhishResistant ","")&amp;IF($H607="No","NoMFA ","")&amp;IF(AND($P607=0,$M607&gt;0),"T0-Standing ","")&amp;IF(AND($P607=0,$Q607="Group only"),"T0-ViaGroupOnly ","")&amp;IF($W607="Yes","AlsoAzureRBAC ","")))</f>
        <v/>
      </c>
      <c r="AN607" s="85">
        <f>IF($A607="","",IF(AG607="","Not Enrolled",IF(TODAY()&gt;AG607,"Review Overdue",IF(AG607-TODAY()&lt;=30,"Review Due Soon","Active"))))</f>
        <v/>
      </c>
      <c r="AO607" s="85">
        <f>IF($A607="","",IF(AH607="","NOT REVIEWED",IF(TODAY()-AH607&gt;90,"OVERDUE",IF(TODAY()-AH607&gt;76,"Due Soon","Current"))))</f>
        <v/>
      </c>
    </row>
    <row r="608" ht="15" customHeight="1" s="39">
      <c r="A608" s="85" t="n"/>
      <c r="B608" s="85" t="n"/>
      <c r="C608" s="85" t="n"/>
      <c r="D608" s="85" t="n"/>
      <c r="E608" s="85" t="n"/>
      <c r="F608" s="86" t="n"/>
      <c r="G608" s="86" t="n"/>
      <c r="H608" s="85" t="n"/>
      <c r="I608" s="85" t="n"/>
      <c r="J608" s="85" t="n"/>
      <c r="K608" s="85" t="n"/>
      <c r="L608" s="85" t="n"/>
      <c r="M608" s="85" t="n"/>
      <c r="N608" s="85" t="n"/>
      <c r="O608" s="85" t="n"/>
      <c r="P608" s="85" t="n"/>
      <c r="Q608" s="85" t="n"/>
      <c r="R608" s="85" t="n"/>
      <c r="S608" s="85" t="n"/>
      <c r="T608" s="85" t="n"/>
      <c r="U608" s="85" t="n"/>
      <c r="V608" s="85" t="n"/>
      <c r="W608" s="85" t="n"/>
      <c r="X608" s="85" t="n"/>
      <c r="Y608" s="85" t="n"/>
      <c r="Z608" s="85" t="n"/>
      <c r="AA608" s="85" t="n"/>
      <c r="AB608" s="85" t="n"/>
      <c r="AC608" s="85" t="n"/>
      <c r="AD608" s="85" t="n"/>
      <c r="AE608" s="85" t="n"/>
      <c r="AF608" s="86" t="n"/>
      <c r="AG608" s="86" t="n"/>
      <c r="AH608" s="86" t="n"/>
      <c r="AI608" s="85" t="n"/>
      <c r="AJ608" s="85" t="n"/>
      <c r="AK608" s="85">
        <f>IF($A608="","",IF($M608&gt;0,"Yes","No"))</f>
        <v/>
      </c>
      <c r="AL608" s="85">
        <f>IF($A608="","",IF(AND($E608="Yes",OR($Y608="No",$Y608="NOT FOUND")),"YES",""))</f>
        <v/>
      </c>
      <c r="AM608" s="85">
        <f>IF($A608="","",TRIM(IF(AND($P608=0,$I608&lt;&gt;"Yes"),"T0-NoPhishResistant ","")&amp;IF($H608="No","NoMFA ","")&amp;IF(AND($P608=0,$M608&gt;0),"T0-Standing ","")&amp;IF(AND($P608=0,$Q608="Group only"),"T0-ViaGroupOnly ","")&amp;IF($W608="Yes","AlsoAzureRBAC ","")))</f>
        <v/>
      </c>
      <c r="AN608" s="85">
        <f>IF($A608="","",IF(AG608="","Not Enrolled",IF(TODAY()&gt;AG608,"Review Overdue",IF(AG608-TODAY()&lt;=30,"Review Due Soon","Active"))))</f>
        <v/>
      </c>
      <c r="AO608" s="85">
        <f>IF($A608="","",IF(AH608="","NOT REVIEWED",IF(TODAY()-AH608&gt;90,"OVERDUE",IF(TODAY()-AH608&gt;76,"Due Soon","Current"))))</f>
        <v/>
      </c>
    </row>
    <row r="609" ht="15" customHeight="1" s="39">
      <c r="A609" s="85" t="n"/>
      <c r="B609" s="85" t="n"/>
      <c r="C609" s="85" t="n"/>
      <c r="D609" s="85" t="n"/>
      <c r="E609" s="85" t="n"/>
      <c r="F609" s="86" t="n"/>
      <c r="G609" s="86" t="n"/>
      <c r="H609" s="85" t="n"/>
      <c r="I609" s="85" t="n"/>
      <c r="J609" s="85" t="n"/>
      <c r="K609" s="85" t="n"/>
      <c r="L609" s="85" t="n"/>
      <c r="M609" s="85" t="n"/>
      <c r="N609" s="85" t="n"/>
      <c r="O609" s="85" t="n"/>
      <c r="P609" s="85" t="n"/>
      <c r="Q609" s="85" t="n"/>
      <c r="R609" s="85" t="n"/>
      <c r="S609" s="85" t="n"/>
      <c r="T609" s="85" t="n"/>
      <c r="U609" s="85" t="n"/>
      <c r="V609" s="85" t="n"/>
      <c r="W609" s="85" t="n"/>
      <c r="X609" s="85" t="n"/>
      <c r="Y609" s="85" t="n"/>
      <c r="Z609" s="85" t="n"/>
      <c r="AA609" s="85" t="n"/>
      <c r="AB609" s="85" t="n"/>
      <c r="AC609" s="85" t="n"/>
      <c r="AD609" s="85" t="n"/>
      <c r="AE609" s="85" t="n"/>
      <c r="AF609" s="86" t="n"/>
      <c r="AG609" s="86" t="n"/>
      <c r="AH609" s="86" t="n"/>
      <c r="AI609" s="85" t="n"/>
      <c r="AJ609" s="85" t="n"/>
      <c r="AK609" s="85">
        <f>IF($A609="","",IF($M609&gt;0,"Yes","No"))</f>
        <v/>
      </c>
      <c r="AL609" s="85">
        <f>IF($A609="","",IF(AND($E609="Yes",OR($Y609="No",$Y609="NOT FOUND")),"YES",""))</f>
        <v/>
      </c>
      <c r="AM609" s="85">
        <f>IF($A609="","",TRIM(IF(AND($P609=0,$I609&lt;&gt;"Yes"),"T0-NoPhishResistant ","")&amp;IF($H609="No","NoMFA ","")&amp;IF(AND($P609=0,$M609&gt;0),"T0-Standing ","")&amp;IF(AND($P609=0,$Q609="Group only"),"T0-ViaGroupOnly ","")&amp;IF($W609="Yes","AlsoAzureRBAC ","")))</f>
        <v/>
      </c>
      <c r="AN609" s="85">
        <f>IF($A609="","",IF(AG609="","Not Enrolled",IF(TODAY()&gt;AG609,"Review Overdue",IF(AG609-TODAY()&lt;=30,"Review Due Soon","Active"))))</f>
        <v/>
      </c>
      <c r="AO609" s="85">
        <f>IF($A609="","",IF(AH609="","NOT REVIEWED",IF(TODAY()-AH609&gt;90,"OVERDUE",IF(TODAY()-AH609&gt;76,"Due Soon","Current"))))</f>
        <v/>
      </c>
    </row>
    <row r="610" ht="15" customHeight="1" s="39">
      <c r="A610" s="85" t="n"/>
      <c r="B610" s="85" t="n"/>
      <c r="C610" s="85" t="n"/>
      <c r="D610" s="85" t="n"/>
      <c r="E610" s="85" t="n"/>
      <c r="F610" s="86" t="n"/>
      <c r="G610" s="86" t="n"/>
      <c r="H610" s="85" t="n"/>
      <c r="I610" s="85" t="n"/>
      <c r="J610" s="85" t="n"/>
      <c r="K610" s="85" t="n"/>
      <c r="L610" s="85" t="n"/>
      <c r="M610" s="85" t="n"/>
      <c r="N610" s="85" t="n"/>
      <c r="O610" s="85" t="n"/>
      <c r="P610" s="85" t="n"/>
      <c r="Q610" s="85" t="n"/>
      <c r="R610" s="85" t="n"/>
      <c r="S610" s="85" t="n"/>
      <c r="T610" s="85" t="n"/>
      <c r="U610" s="85" t="n"/>
      <c r="V610" s="85" t="n"/>
      <c r="W610" s="85" t="n"/>
      <c r="X610" s="85" t="n"/>
      <c r="Y610" s="85" t="n"/>
      <c r="Z610" s="85" t="n"/>
      <c r="AA610" s="85" t="n"/>
      <c r="AB610" s="85" t="n"/>
      <c r="AC610" s="85" t="n"/>
      <c r="AD610" s="85" t="n"/>
      <c r="AE610" s="85" t="n"/>
      <c r="AF610" s="86" t="n"/>
      <c r="AG610" s="86" t="n"/>
      <c r="AH610" s="86" t="n"/>
      <c r="AI610" s="85" t="n"/>
      <c r="AJ610" s="85" t="n"/>
      <c r="AK610" s="85">
        <f>IF($A610="","",IF($M610&gt;0,"Yes","No"))</f>
        <v/>
      </c>
      <c r="AL610" s="85">
        <f>IF($A610="","",IF(AND($E610="Yes",OR($Y610="No",$Y610="NOT FOUND")),"YES",""))</f>
        <v/>
      </c>
      <c r="AM610" s="85">
        <f>IF($A610="","",TRIM(IF(AND($P610=0,$I610&lt;&gt;"Yes"),"T0-NoPhishResistant ","")&amp;IF($H610="No","NoMFA ","")&amp;IF(AND($P610=0,$M610&gt;0),"T0-Standing ","")&amp;IF(AND($P610=0,$Q610="Group only"),"T0-ViaGroupOnly ","")&amp;IF($W610="Yes","AlsoAzureRBAC ","")))</f>
        <v/>
      </c>
      <c r="AN610" s="85">
        <f>IF($A610="","",IF(AG610="","Not Enrolled",IF(TODAY()&gt;AG610,"Review Overdue",IF(AG610-TODAY()&lt;=30,"Review Due Soon","Active"))))</f>
        <v/>
      </c>
      <c r="AO610" s="85">
        <f>IF($A610="","",IF(AH610="","NOT REVIEWED",IF(TODAY()-AH610&gt;90,"OVERDUE",IF(TODAY()-AH610&gt;76,"Due Soon","Current"))))</f>
        <v/>
      </c>
    </row>
    <row r="611" ht="15" customHeight="1" s="39">
      <c r="A611" s="85" t="n"/>
      <c r="B611" s="85" t="n"/>
      <c r="C611" s="85" t="n"/>
      <c r="D611" s="85" t="n"/>
      <c r="E611" s="85" t="n"/>
      <c r="F611" s="86" t="n"/>
      <c r="G611" s="86" t="n"/>
      <c r="H611" s="85" t="n"/>
      <c r="I611" s="85" t="n"/>
      <c r="J611" s="85" t="n"/>
      <c r="K611" s="85" t="n"/>
      <c r="L611" s="85" t="n"/>
      <c r="M611" s="85" t="n"/>
      <c r="N611" s="85" t="n"/>
      <c r="O611" s="85" t="n"/>
      <c r="P611" s="85" t="n"/>
      <c r="Q611" s="85" t="n"/>
      <c r="R611" s="85" t="n"/>
      <c r="S611" s="85" t="n"/>
      <c r="T611" s="85" t="n"/>
      <c r="U611" s="85" t="n"/>
      <c r="V611" s="85" t="n"/>
      <c r="W611" s="85" t="n"/>
      <c r="X611" s="85" t="n"/>
      <c r="Y611" s="85" t="n"/>
      <c r="Z611" s="85" t="n"/>
      <c r="AA611" s="85" t="n"/>
      <c r="AB611" s="85" t="n"/>
      <c r="AC611" s="85" t="n"/>
      <c r="AD611" s="85" t="n"/>
      <c r="AE611" s="85" t="n"/>
      <c r="AF611" s="86" t="n"/>
      <c r="AG611" s="86" t="n"/>
      <c r="AH611" s="86" t="n"/>
      <c r="AI611" s="85" t="n"/>
      <c r="AJ611" s="85" t="n"/>
      <c r="AK611" s="85">
        <f>IF($A611="","",IF($M611&gt;0,"Yes","No"))</f>
        <v/>
      </c>
      <c r="AL611" s="85">
        <f>IF($A611="","",IF(AND($E611="Yes",OR($Y611="No",$Y611="NOT FOUND")),"YES",""))</f>
        <v/>
      </c>
      <c r="AM611" s="85">
        <f>IF($A611="","",TRIM(IF(AND($P611=0,$I611&lt;&gt;"Yes"),"T0-NoPhishResistant ","")&amp;IF($H611="No","NoMFA ","")&amp;IF(AND($P611=0,$M611&gt;0),"T0-Standing ","")&amp;IF(AND($P611=0,$Q611="Group only"),"T0-ViaGroupOnly ","")&amp;IF($W611="Yes","AlsoAzureRBAC ","")))</f>
        <v/>
      </c>
      <c r="AN611" s="85">
        <f>IF($A611="","",IF(AG611="","Not Enrolled",IF(TODAY()&gt;AG611,"Review Overdue",IF(AG611-TODAY()&lt;=30,"Review Due Soon","Active"))))</f>
        <v/>
      </c>
      <c r="AO611" s="85">
        <f>IF($A611="","",IF(AH611="","NOT REVIEWED",IF(TODAY()-AH611&gt;90,"OVERDUE",IF(TODAY()-AH611&gt;76,"Due Soon","Current"))))</f>
        <v/>
      </c>
    </row>
    <row r="612" ht="15" customHeight="1" s="39">
      <c r="A612" s="85" t="n"/>
      <c r="B612" s="85" t="n"/>
      <c r="C612" s="85" t="n"/>
      <c r="D612" s="85" t="n"/>
      <c r="E612" s="85" t="n"/>
      <c r="F612" s="86" t="n"/>
      <c r="G612" s="86" t="n"/>
      <c r="H612" s="85" t="n"/>
      <c r="I612" s="85" t="n"/>
      <c r="J612" s="85" t="n"/>
      <c r="K612" s="85" t="n"/>
      <c r="L612" s="85" t="n"/>
      <c r="M612" s="85" t="n"/>
      <c r="N612" s="85" t="n"/>
      <c r="O612" s="85" t="n"/>
      <c r="P612" s="85" t="n"/>
      <c r="Q612" s="85" t="n"/>
      <c r="R612" s="85" t="n"/>
      <c r="S612" s="85" t="n"/>
      <c r="T612" s="85" t="n"/>
      <c r="U612" s="85" t="n"/>
      <c r="V612" s="85" t="n"/>
      <c r="W612" s="85" t="n"/>
      <c r="X612" s="85" t="n"/>
      <c r="Y612" s="85" t="n"/>
      <c r="Z612" s="85" t="n"/>
      <c r="AA612" s="85" t="n"/>
      <c r="AB612" s="85" t="n"/>
      <c r="AC612" s="85" t="n"/>
      <c r="AD612" s="85" t="n"/>
      <c r="AE612" s="85" t="n"/>
      <c r="AF612" s="86" t="n"/>
      <c r="AG612" s="86" t="n"/>
      <c r="AH612" s="86" t="n"/>
      <c r="AI612" s="85" t="n"/>
      <c r="AJ612" s="85" t="n"/>
      <c r="AK612" s="85">
        <f>IF($A612="","",IF($M612&gt;0,"Yes","No"))</f>
        <v/>
      </c>
      <c r="AL612" s="85">
        <f>IF($A612="","",IF(AND($E612="Yes",OR($Y612="No",$Y612="NOT FOUND")),"YES",""))</f>
        <v/>
      </c>
      <c r="AM612" s="85">
        <f>IF($A612="","",TRIM(IF(AND($P612=0,$I612&lt;&gt;"Yes"),"T0-NoPhishResistant ","")&amp;IF($H612="No","NoMFA ","")&amp;IF(AND($P612=0,$M612&gt;0),"T0-Standing ","")&amp;IF(AND($P612=0,$Q612="Group only"),"T0-ViaGroupOnly ","")&amp;IF($W612="Yes","AlsoAzureRBAC ","")))</f>
        <v/>
      </c>
      <c r="AN612" s="85">
        <f>IF($A612="","",IF(AG612="","Not Enrolled",IF(TODAY()&gt;AG612,"Review Overdue",IF(AG612-TODAY()&lt;=30,"Review Due Soon","Active"))))</f>
        <v/>
      </c>
      <c r="AO612" s="85">
        <f>IF($A612="","",IF(AH612="","NOT REVIEWED",IF(TODAY()-AH612&gt;90,"OVERDUE",IF(TODAY()-AH612&gt;76,"Due Soon","Current"))))</f>
        <v/>
      </c>
    </row>
    <row r="613" ht="15" customHeight="1" s="39">
      <c r="A613" s="85" t="n"/>
      <c r="B613" s="85" t="n"/>
      <c r="C613" s="85" t="n"/>
      <c r="D613" s="85" t="n"/>
      <c r="E613" s="85" t="n"/>
      <c r="F613" s="86" t="n"/>
      <c r="G613" s="86" t="n"/>
      <c r="H613" s="85" t="n"/>
      <c r="I613" s="85" t="n"/>
      <c r="J613" s="85" t="n"/>
      <c r="K613" s="85" t="n"/>
      <c r="L613" s="85" t="n"/>
      <c r="M613" s="85" t="n"/>
      <c r="N613" s="85" t="n"/>
      <c r="O613" s="85" t="n"/>
      <c r="P613" s="85" t="n"/>
      <c r="Q613" s="85" t="n"/>
      <c r="R613" s="85" t="n"/>
      <c r="S613" s="85" t="n"/>
      <c r="T613" s="85" t="n"/>
      <c r="U613" s="85" t="n"/>
      <c r="V613" s="85" t="n"/>
      <c r="W613" s="85" t="n"/>
      <c r="X613" s="85" t="n"/>
      <c r="Y613" s="85" t="n"/>
      <c r="Z613" s="85" t="n"/>
      <c r="AA613" s="85" t="n"/>
      <c r="AB613" s="85" t="n"/>
      <c r="AC613" s="85" t="n"/>
      <c r="AD613" s="85" t="n"/>
      <c r="AE613" s="85" t="n"/>
      <c r="AF613" s="86" t="n"/>
      <c r="AG613" s="86" t="n"/>
      <c r="AH613" s="86" t="n"/>
      <c r="AI613" s="85" t="n"/>
      <c r="AJ613" s="85" t="n"/>
      <c r="AK613" s="85">
        <f>IF($A613="","",IF($M613&gt;0,"Yes","No"))</f>
        <v/>
      </c>
      <c r="AL613" s="85">
        <f>IF($A613="","",IF(AND($E613="Yes",OR($Y613="No",$Y613="NOT FOUND")),"YES",""))</f>
        <v/>
      </c>
      <c r="AM613" s="85">
        <f>IF($A613="","",TRIM(IF(AND($P613=0,$I613&lt;&gt;"Yes"),"T0-NoPhishResistant ","")&amp;IF($H613="No","NoMFA ","")&amp;IF(AND($P613=0,$M613&gt;0),"T0-Standing ","")&amp;IF(AND($P613=0,$Q613="Group only"),"T0-ViaGroupOnly ","")&amp;IF($W613="Yes","AlsoAzureRBAC ","")))</f>
        <v/>
      </c>
      <c r="AN613" s="85">
        <f>IF($A613="","",IF(AG613="","Not Enrolled",IF(TODAY()&gt;AG613,"Review Overdue",IF(AG613-TODAY()&lt;=30,"Review Due Soon","Active"))))</f>
        <v/>
      </c>
      <c r="AO613" s="85">
        <f>IF($A613="","",IF(AH613="","NOT REVIEWED",IF(TODAY()-AH613&gt;90,"OVERDUE",IF(TODAY()-AH613&gt;76,"Due Soon","Current"))))</f>
        <v/>
      </c>
    </row>
    <row r="614" ht="15" customHeight="1" s="39">
      <c r="A614" s="85" t="n"/>
      <c r="B614" s="85" t="n"/>
      <c r="C614" s="85" t="n"/>
      <c r="D614" s="85" t="n"/>
      <c r="E614" s="85" t="n"/>
      <c r="F614" s="86" t="n"/>
      <c r="G614" s="86" t="n"/>
      <c r="H614" s="85" t="n"/>
      <c r="I614" s="85" t="n"/>
      <c r="J614" s="85" t="n"/>
      <c r="K614" s="85" t="n"/>
      <c r="L614" s="85" t="n"/>
      <c r="M614" s="85" t="n"/>
      <c r="N614" s="85" t="n"/>
      <c r="O614" s="85" t="n"/>
      <c r="P614" s="85" t="n"/>
      <c r="Q614" s="85" t="n"/>
      <c r="R614" s="85" t="n"/>
      <c r="S614" s="85" t="n"/>
      <c r="T614" s="85" t="n"/>
      <c r="U614" s="85" t="n"/>
      <c r="V614" s="85" t="n"/>
      <c r="W614" s="85" t="n"/>
      <c r="X614" s="85" t="n"/>
      <c r="Y614" s="85" t="n"/>
      <c r="Z614" s="85" t="n"/>
      <c r="AA614" s="85" t="n"/>
      <c r="AB614" s="85" t="n"/>
      <c r="AC614" s="85" t="n"/>
      <c r="AD614" s="85" t="n"/>
      <c r="AE614" s="85" t="n"/>
      <c r="AF614" s="86" t="n"/>
      <c r="AG614" s="86" t="n"/>
      <c r="AH614" s="86" t="n"/>
      <c r="AI614" s="85" t="n"/>
      <c r="AJ614" s="85" t="n"/>
      <c r="AK614" s="85">
        <f>IF($A614="","",IF($M614&gt;0,"Yes","No"))</f>
        <v/>
      </c>
      <c r="AL614" s="85">
        <f>IF($A614="","",IF(AND($E614="Yes",OR($Y614="No",$Y614="NOT FOUND")),"YES",""))</f>
        <v/>
      </c>
      <c r="AM614" s="85">
        <f>IF($A614="","",TRIM(IF(AND($P614=0,$I614&lt;&gt;"Yes"),"T0-NoPhishResistant ","")&amp;IF($H614="No","NoMFA ","")&amp;IF(AND($P614=0,$M614&gt;0),"T0-Standing ","")&amp;IF(AND($P614=0,$Q614="Group only"),"T0-ViaGroupOnly ","")&amp;IF($W614="Yes","AlsoAzureRBAC ","")))</f>
        <v/>
      </c>
      <c r="AN614" s="85">
        <f>IF($A614="","",IF(AG614="","Not Enrolled",IF(TODAY()&gt;AG614,"Review Overdue",IF(AG614-TODAY()&lt;=30,"Review Due Soon","Active"))))</f>
        <v/>
      </c>
      <c r="AO614" s="85">
        <f>IF($A614="","",IF(AH614="","NOT REVIEWED",IF(TODAY()-AH614&gt;90,"OVERDUE",IF(TODAY()-AH614&gt;76,"Due Soon","Current"))))</f>
        <v/>
      </c>
    </row>
    <row r="615" ht="15" customHeight="1" s="39">
      <c r="A615" s="85" t="n"/>
      <c r="B615" s="85" t="n"/>
      <c r="C615" s="85" t="n"/>
      <c r="D615" s="85" t="n"/>
      <c r="E615" s="85" t="n"/>
      <c r="F615" s="86" t="n"/>
      <c r="G615" s="86" t="n"/>
      <c r="H615" s="85" t="n"/>
      <c r="I615" s="85" t="n"/>
      <c r="J615" s="85" t="n"/>
      <c r="K615" s="85" t="n"/>
      <c r="L615" s="85" t="n"/>
      <c r="M615" s="85" t="n"/>
      <c r="N615" s="85" t="n"/>
      <c r="O615" s="85" t="n"/>
      <c r="P615" s="85" t="n"/>
      <c r="Q615" s="85" t="n"/>
      <c r="R615" s="85" t="n"/>
      <c r="S615" s="85" t="n"/>
      <c r="T615" s="85" t="n"/>
      <c r="U615" s="85" t="n"/>
      <c r="V615" s="85" t="n"/>
      <c r="W615" s="85" t="n"/>
      <c r="X615" s="85" t="n"/>
      <c r="Y615" s="85" t="n"/>
      <c r="Z615" s="85" t="n"/>
      <c r="AA615" s="85" t="n"/>
      <c r="AB615" s="85" t="n"/>
      <c r="AC615" s="85" t="n"/>
      <c r="AD615" s="85" t="n"/>
      <c r="AE615" s="85" t="n"/>
      <c r="AF615" s="86" t="n"/>
      <c r="AG615" s="86" t="n"/>
      <c r="AH615" s="86" t="n"/>
      <c r="AI615" s="85" t="n"/>
      <c r="AJ615" s="85" t="n"/>
      <c r="AK615" s="85">
        <f>IF($A615="","",IF($M615&gt;0,"Yes","No"))</f>
        <v/>
      </c>
      <c r="AL615" s="85">
        <f>IF($A615="","",IF(AND($E615="Yes",OR($Y615="No",$Y615="NOT FOUND")),"YES",""))</f>
        <v/>
      </c>
      <c r="AM615" s="85">
        <f>IF($A615="","",TRIM(IF(AND($P615=0,$I615&lt;&gt;"Yes"),"T0-NoPhishResistant ","")&amp;IF($H615="No","NoMFA ","")&amp;IF(AND($P615=0,$M615&gt;0),"T0-Standing ","")&amp;IF(AND($P615=0,$Q615="Group only"),"T0-ViaGroupOnly ","")&amp;IF($W615="Yes","AlsoAzureRBAC ","")))</f>
        <v/>
      </c>
      <c r="AN615" s="85">
        <f>IF($A615="","",IF(AG615="","Not Enrolled",IF(TODAY()&gt;AG615,"Review Overdue",IF(AG615-TODAY()&lt;=30,"Review Due Soon","Active"))))</f>
        <v/>
      </c>
      <c r="AO615" s="85">
        <f>IF($A615="","",IF(AH615="","NOT REVIEWED",IF(TODAY()-AH615&gt;90,"OVERDUE",IF(TODAY()-AH615&gt;76,"Due Soon","Current"))))</f>
        <v/>
      </c>
    </row>
    <row r="616" ht="15" customHeight="1" s="39">
      <c r="A616" s="85" t="n"/>
      <c r="B616" s="85" t="n"/>
      <c r="C616" s="85" t="n"/>
      <c r="D616" s="85" t="n"/>
      <c r="E616" s="85" t="n"/>
      <c r="F616" s="86" t="n"/>
      <c r="G616" s="86" t="n"/>
      <c r="H616" s="85" t="n"/>
      <c r="I616" s="85" t="n"/>
      <c r="J616" s="85" t="n"/>
      <c r="K616" s="85" t="n"/>
      <c r="L616" s="85" t="n"/>
      <c r="M616" s="85" t="n"/>
      <c r="N616" s="85" t="n"/>
      <c r="O616" s="85" t="n"/>
      <c r="P616" s="85" t="n"/>
      <c r="Q616" s="85" t="n"/>
      <c r="R616" s="85" t="n"/>
      <c r="S616" s="85" t="n"/>
      <c r="T616" s="85" t="n"/>
      <c r="U616" s="85" t="n"/>
      <c r="V616" s="85" t="n"/>
      <c r="W616" s="85" t="n"/>
      <c r="X616" s="85" t="n"/>
      <c r="Y616" s="85" t="n"/>
      <c r="Z616" s="85" t="n"/>
      <c r="AA616" s="85" t="n"/>
      <c r="AB616" s="85" t="n"/>
      <c r="AC616" s="85" t="n"/>
      <c r="AD616" s="85" t="n"/>
      <c r="AE616" s="85" t="n"/>
      <c r="AF616" s="86" t="n"/>
      <c r="AG616" s="86" t="n"/>
      <c r="AH616" s="86" t="n"/>
      <c r="AI616" s="85" t="n"/>
      <c r="AJ616" s="85" t="n"/>
      <c r="AK616" s="85">
        <f>IF($A616="","",IF($M616&gt;0,"Yes","No"))</f>
        <v/>
      </c>
      <c r="AL616" s="85">
        <f>IF($A616="","",IF(AND($E616="Yes",OR($Y616="No",$Y616="NOT FOUND")),"YES",""))</f>
        <v/>
      </c>
      <c r="AM616" s="85">
        <f>IF($A616="","",TRIM(IF(AND($P616=0,$I616&lt;&gt;"Yes"),"T0-NoPhishResistant ","")&amp;IF($H616="No","NoMFA ","")&amp;IF(AND($P616=0,$M616&gt;0),"T0-Standing ","")&amp;IF(AND($P616=0,$Q616="Group only"),"T0-ViaGroupOnly ","")&amp;IF($W616="Yes","AlsoAzureRBAC ","")))</f>
        <v/>
      </c>
      <c r="AN616" s="85">
        <f>IF($A616="","",IF(AG616="","Not Enrolled",IF(TODAY()&gt;AG616,"Review Overdue",IF(AG616-TODAY()&lt;=30,"Review Due Soon","Active"))))</f>
        <v/>
      </c>
      <c r="AO616" s="85">
        <f>IF($A616="","",IF(AH616="","NOT REVIEWED",IF(TODAY()-AH616&gt;90,"OVERDUE",IF(TODAY()-AH616&gt;76,"Due Soon","Current"))))</f>
        <v/>
      </c>
    </row>
    <row r="617" ht="15" customHeight="1" s="39">
      <c r="A617" s="85" t="n"/>
      <c r="B617" s="85" t="n"/>
      <c r="C617" s="85" t="n"/>
      <c r="D617" s="85" t="n"/>
      <c r="E617" s="85" t="n"/>
      <c r="F617" s="86" t="n"/>
      <c r="G617" s="86" t="n"/>
      <c r="H617" s="85" t="n"/>
      <c r="I617" s="85" t="n"/>
      <c r="J617" s="85" t="n"/>
      <c r="K617" s="85" t="n"/>
      <c r="L617" s="85" t="n"/>
      <c r="M617" s="85" t="n"/>
      <c r="N617" s="85" t="n"/>
      <c r="O617" s="85" t="n"/>
      <c r="P617" s="85" t="n"/>
      <c r="Q617" s="85" t="n"/>
      <c r="R617" s="85" t="n"/>
      <c r="S617" s="85" t="n"/>
      <c r="T617" s="85" t="n"/>
      <c r="U617" s="85" t="n"/>
      <c r="V617" s="85" t="n"/>
      <c r="W617" s="85" t="n"/>
      <c r="X617" s="85" t="n"/>
      <c r="Y617" s="85" t="n"/>
      <c r="Z617" s="85" t="n"/>
      <c r="AA617" s="85" t="n"/>
      <c r="AB617" s="85" t="n"/>
      <c r="AC617" s="85" t="n"/>
      <c r="AD617" s="85" t="n"/>
      <c r="AE617" s="85" t="n"/>
      <c r="AF617" s="86" t="n"/>
      <c r="AG617" s="86" t="n"/>
      <c r="AH617" s="86" t="n"/>
      <c r="AI617" s="85" t="n"/>
      <c r="AJ617" s="85" t="n"/>
      <c r="AK617" s="85">
        <f>IF($A617="","",IF($M617&gt;0,"Yes","No"))</f>
        <v/>
      </c>
      <c r="AL617" s="85">
        <f>IF($A617="","",IF(AND($E617="Yes",OR($Y617="No",$Y617="NOT FOUND")),"YES",""))</f>
        <v/>
      </c>
      <c r="AM617" s="85">
        <f>IF($A617="","",TRIM(IF(AND($P617=0,$I617&lt;&gt;"Yes"),"T0-NoPhishResistant ","")&amp;IF($H617="No","NoMFA ","")&amp;IF(AND($P617=0,$M617&gt;0),"T0-Standing ","")&amp;IF(AND($P617=0,$Q617="Group only"),"T0-ViaGroupOnly ","")&amp;IF($W617="Yes","AlsoAzureRBAC ","")))</f>
        <v/>
      </c>
      <c r="AN617" s="85">
        <f>IF($A617="","",IF(AG617="","Not Enrolled",IF(TODAY()&gt;AG617,"Review Overdue",IF(AG617-TODAY()&lt;=30,"Review Due Soon","Active"))))</f>
        <v/>
      </c>
      <c r="AO617" s="85">
        <f>IF($A617="","",IF(AH617="","NOT REVIEWED",IF(TODAY()-AH617&gt;90,"OVERDUE",IF(TODAY()-AH617&gt;76,"Due Soon","Current"))))</f>
        <v/>
      </c>
    </row>
    <row r="618" ht="15" customHeight="1" s="39">
      <c r="A618" s="85" t="n"/>
      <c r="B618" s="85" t="n"/>
      <c r="C618" s="85" t="n"/>
      <c r="D618" s="85" t="n"/>
      <c r="E618" s="85" t="n"/>
      <c r="F618" s="86" t="n"/>
      <c r="G618" s="86" t="n"/>
      <c r="H618" s="85" t="n"/>
      <c r="I618" s="85" t="n"/>
      <c r="J618" s="85" t="n"/>
      <c r="K618" s="85" t="n"/>
      <c r="L618" s="85" t="n"/>
      <c r="M618" s="85" t="n"/>
      <c r="N618" s="85" t="n"/>
      <c r="O618" s="85" t="n"/>
      <c r="P618" s="85" t="n"/>
      <c r="Q618" s="85" t="n"/>
      <c r="R618" s="85" t="n"/>
      <c r="S618" s="85" t="n"/>
      <c r="T618" s="85" t="n"/>
      <c r="U618" s="85" t="n"/>
      <c r="V618" s="85" t="n"/>
      <c r="W618" s="85" t="n"/>
      <c r="X618" s="85" t="n"/>
      <c r="Y618" s="85" t="n"/>
      <c r="Z618" s="85" t="n"/>
      <c r="AA618" s="85" t="n"/>
      <c r="AB618" s="85" t="n"/>
      <c r="AC618" s="85" t="n"/>
      <c r="AD618" s="85" t="n"/>
      <c r="AE618" s="85" t="n"/>
      <c r="AF618" s="86" t="n"/>
      <c r="AG618" s="86" t="n"/>
      <c r="AH618" s="86" t="n"/>
      <c r="AI618" s="85" t="n"/>
      <c r="AJ618" s="85" t="n"/>
      <c r="AK618" s="85">
        <f>IF($A618="","",IF($M618&gt;0,"Yes","No"))</f>
        <v/>
      </c>
      <c r="AL618" s="85">
        <f>IF($A618="","",IF(AND($E618="Yes",OR($Y618="No",$Y618="NOT FOUND")),"YES",""))</f>
        <v/>
      </c>
      <c r="AM618" s="85">
        <f>IF($A618="","",TRIM(IF(AND($P618=0,$I618&lt;&gt;"Yes"),"T0-NoPhishResistant ","")&amp;IF($H618="No","NoMFA ","")&amp;IF(AND($P618=0,$M618&gt;0),"T0-Standing ","")&amp;IF(AND($P618=0,$Q618="Group only"),"T0-ViaGroupOnly ","")&amp;IF($W618="Yes","AlsoAzureRBAC ","")))</f>
        <v/>
      </c>
      <c r="AN618" s="85">
        <f>IF($A618="","",IF(AG618="","Not Enrolled",IF(TODAY()&gt;AG618,"Review Overdue",IF(AG618-TODAY()&lt;=30,"Review Due Soon","Active"))))</f>
        <v/>
      </c>
      <c r="AO618" s="85">
        <f>IF($A618="","",IF(AH618="","NOT REVIEWED",IF(TODAY()-AH618&gt;90,"OVERDUE",IF(TODAY()-AH618&gt;76,"Due Soon","Current"))))</f>
        <v/>
      </c>
    </row>
    <row r="619" ht="15" customHeight="1" s="39">
      <c r="A619" s="85" t="n"/>
      <c r="B619" s="85" t="n"/>
      <c r="C619" s="85" t="n"/>
      <c r="D619" s="85" t="n"/>
      <c r="E619" s="85" t="n"/>
      <c r="F619" s="86" t="n"/>
      <c r="G619" s="86" t="n"/>
      <c r="H619" s="85" t="n"/>
      <c r="I619" s="85" t="n"/>
      <c r="J619" s="85" t="n"/>
      <c r="K619" s="85" t="n"/>
      <c r="L619" s="85" t="n"/>
      <c r="M619" s="85" t="n"/>
      <c r="N619" s="85" t="n"/>
      <c r="O619" s="85" t="n"/>
      <c r="P619" s="85" t="n"/>
      <c r="Q619" s="85" t="n"/>
      <c r="R619" s="85" t="n"/>
      <c r="S619" s="85" t="n"/>
      <c r="T619" s="85" t="n"/>
      <c r="U619" s="85" t="n"/>
      <c r="V619" s="85" t="n"/>
      <c r="W619" s="85" t="n"/>
      <c r="X619" s="85" t="n"/>
      <c r="Y619" s="85" t="n"/>
      <c r="Z619" s="85" t="n"/>
      <c r="AA619" s="85" t="n"/>
      <c r="AB619" s="85" t="n"/>
      <c r="AC619" s="85" t="n"/>
      <c r="AD619" s="85" t="n"/>
      <c r="AE619" s="85" t="n"/>
      <c r="AF619" s="86" t="n"/>
      <c r="AG619" s="86" t="n"/>
      <c r="AH619" s="86" t="n"/>
      <c r="AI619" s="85" t="n"/>
      <c r="AJ619" s="85" t="n"/>
      <c r="AK619" s="85">
        <f>IF($A619="","",IF($M619&gt;0,"Yes","No"))</f>
        <v/>
      </c>
      <c r="AL619" s="85">
        <f>IF($A619="","",IF(AND($E619="Yes",OR($Y619="No",$Y619="NOT FOUND")),"YES",""))</f>
        <v/>
      </c>
      <c r="AM619" s="85">
        <f>IF($A619="","",TRIM(IF(AND($P619=0,$I619&lt;&gt;"Yes"),"T0-NoPhishResistant ","")&amp;IF($H619="No","NoMFA ","")&amp;IF(AND($P619=0,$M619&gt;0),"T0-Standing ","")&amp;IF(AND($P619=0,$Q619="Group only"),"T0-ViaGroupOnly ","")&amp;IF($W619="Yes","AlsoAzureRBAC ","")))</f>
        <v/>
      </c>
      <c r="AN619" s="85">
        <f>IF($A619="","",IF(AG619="","Not Enrolled",IF(TODAY()&gt;AG619,"Review Overdue",IF(AG619-TODAY()&lt;=30,"Review Due Soon","Active"))))</f>
        <v/>
      </c>
      <c r="AO619" s="85">
        <f>IF($A619="","",IF(AH619="","NOT REVIEWED",IF(TODAY()-AH619&gt;90,"OVERDUE",IF(TODAY()-AH619&gt;76,"Due Soon","Current"))))</f>
        <v/>
      </c>
    </row>
    <row r="620" ht="15" customHeight="1" s="39">
      <c r="A620" s="85" t="n"/>
      <c r="B620" s="85" t="n"/>
      <c r="C620" s="85" t="n"/>
      <c r="D620" s="85" t="n"/>
      <c r="E620" s="85" t="n"/>
      <c r="F620" s="86" t="n"/>
      <c r="G620" s="86" t="n"/>
      <c r="H620" s="85" t="n"/>
      <c r="I620" s="85" t="n"/>
      <c r="J620" s="85" t="n"/>
      <c r="K620" s="85" t="n"/>
      <c r="L620" s="85" t="n"/>
      <c r="M620" s="85" t="n"/>
      <c r="N620" s="85" t="n"/>
      <c r="O620" s="85" t="n"/>
      <c r="P620" s="85" t="n"/>
      <c r="Q620" s="85" t="n"/>
      <c r="R620" s="85" t="n"/>
      <c r="S620" s="85" t="n"/>
      <c r="T620" s="85" t="n"/>
      <c r="U620" s="85" t="n"/>
      <c r="V620" s="85" t="n"/>
      <c r="W620" s="85" t="n"/>
      <c r="X620" s="85" t="n"/>
      <c r="Y620" s="85" t="n"/>
      <c r="Z620" s="85" t="n"/>
      <c r="AA620" s="85" t="n"/>
      <c r="AB620" s="85" t="n"/>
      <c r="AC620" s="85" t="n"/>
      <c r="AD620" s="85" t="n"/>
      <c r="AE620" s="85" t="n"/>
      <c r="AF620" s="86" t="n"/>
      <c r="AG620" s="86" t="n"/>
      <c r="AH620" s="86" t="n"/>
      <c r="AI620" s="85" t="n"/>
      <c r="AJ620" s="85" t="n"/>
      <c r="AK620" s="85">
        <f>IF($A620="","",IF($M620&gt;0,"Yes","No"))</f>
        <v/>
      </c>
      <c r="AL620" s="85">
        <f>IF($A620="","",IF(AND($E620="Yes",OR($Y620="No",$Y620="NOT FOUND")),"YES",""))</f>
        <v/>
      </c>
      <c r="AM620" s="85">
        <f>IF($A620="","",TRIM(IF(AND($P620=0,$I620&lt;&gt;"Yes"),"T0-NoPhishResistant ","")&amp;IF($H620="No","NoMFA ","")&amp;IF(AND($P620=0,$M620&gt;0),"T0-Standing ","")&amp;IF(AND($P620=0,$Q620="Group only"),"T0-ViaGroupOnly ","")&amp;IF($W620="Yes","AlsoAzureRBAC ","")))</f>
        <v/>
      </c>
      <c r="AN620" s="85">
        <f>IF($A620="","",IF(AG620="","Not Enrolled",IF(TODAY()&gt;AG620,"Review Overdue",IF(AG620-TODAY()&lt;=30,"Review Due Soon","Active"))))</f>
        <v/>
      </c>
      <c r="AO620" s="85">
        <f>IF($A620="","",IF(AH620="","NOT REVIEWED",IF(TODAY()-AH620&gt;90,"OVERDUE",IF(TODAY()-AH620&gt;76,"Due Soon","Current"))))</f>
        <v/>
      </c>
    </row>
    <row r="621" ht="15" customHeight="1" s="39">
      <c r="A621" s="85" t="n"/>
      <c r="B621" s="85" t="n"/>
      <c r="C621" s="85" t="n"/>
      <c r="D621" s="85" t="n"/>
      <c r="E621" s="85" t="n"/>
      <c r="F621" s="86" t="n"/>
      <c r="G621" s="86" t="n"/>
      <c r="H621" s="85" t="n"/>
      <c r="I621" s="85" t="n"/>
      <c r="J621" s="85" t="n"/>
      <c r="K621" s="85" t="n"/>
      <c r="L621" s="85" t="n"/>
      <c r="M621" s="85" t="n"/>
      <c r="N621" s="85" t="n"/>
      <c r="O621" s="85" t="n"/>
      <c r="P621" s="85" t="n"/>
      <c r="Q621" s="85" t="n"/>
      <c r="R621" s="85" t="n"/>
      <c r="S621" s="85" t="n"/>
      <c r="T621" s="85" t="n"/>
      <c r="U621" s="85" t="n"/>
      <c r="V621" s="85" t="n"/>
      <c r="W621" s="85" t="n"/>
      <c r="X621" s="85" t="n"/>
      <c r="Y621" s="85" t="n"/>
      <c r="Z621" s="85" t="n"/>
      <c r="AA621" s="85" t="n"/>
      <c r="AB621" s="85" t="n"/>
      <c r="AC621" s="85" t="n"/>
      <c r="AD621" s="85" t="n"/>
      <c r="AE621" s="85" t="n"/>
      <c r="AF621" s="86" t="n"/>
      <c r="AG621" s="86" t="n"/>
      <c r="AH621" s="86" t="n"/>
      <c r="AI621" s="85" t="n"/>
      <c r="AJ621" s="85" t="n"/>
      <c r="AK621" s="85">
        <f>IF($A621="","",IF($M621&gt;0,"Yes","No"))</f>
        <v/>
      </c>
      <c r="AL621" s="85">
        <f>IF($A621="","",IF(AND($E621="Yes",OR($Y621="No",$Y621="NOT FOUND")),"YES",""))</f>
        <v/>
      </c>
      <c r="AM621" s="85">
        <f>IF($A621="","",TRIM(IF(AND($P621=0,$I621&lt;&gt;"Yes"),"T0-NoPhishResistant ","")&amp;IF($H621="No","NoMFA ","")&amp;IF(AND($P621=0,$M621&gt;0),"T0-Standing ","")&amp;IF(AND($P621=0,$Q621="Group only"),"T0-ViaGroupOnly ","")&amp;IF($W621="Yes","AlsoAzureRBAC ","")))</f>
        <v/>
      </c>
      <c r="AN621" s="85">
        <f>IF($A621="","",IF(AG621="","Not Enrolled",IF(TODAY()&gt;AG621,"Review Overdue",IF(AG621-TODAY()&lt;=30,"Review Due Soon","Active"))))</f>
        <v/>
      </c>
      <c r="AO621" s="85">
        <f>IF($A621="","",IF(AH621="","NOT REVIEWED",IF(TODAY()-AH621&gt;90,"OVERDUE",IF(TODAY()-AH621&gt;76,"Due Soon","Current"))))</f>
        <v/>
      </c>
    </row>
    <row r="622" ht="15" customHeight="1" s="39">
      <c r="A622" s="85" t="n"/>
      <c r="B622" s="85" t="n"/>
      <c r="C622" s="85" t="n"/>
      <c r="D622" s="85" t="n"/>
      <c r="E622" s="85" t="n"/>
      <c r="F622" s="86" t="n"/>
      <c r="G622" s="86" t="n"/>
      <c r="H622" s="85" t="n"/>
      <c r="I622" s="85" t="n"/>
      <c r="J622" s="85" t="n"/>
      <c r="K622" s="85" t="n"/>
      <c r="L622" s="85" t="n"/>
      <c r="M622" s="85" t="n"/>
      <c r="N622" s="85" t="n"/>
      <c r="O622" s="85" t="n"/>
      <c r="P622" s="85" t="n"/>
      <c r="Q622" s="85" t="n"/>
      <c r="R622" s="85" t="n"/>
      <c r="S622" s="85" t="n"/>
      <c r="T622" s="85" t="n"/>
      <c r="U622" s="85" t="n"/>
      <c r="V622" s="85" t="n"/>
      <c r="W622" s="85" t="n"/>
      <c r="X622" s="85" t="n"/>
      <c r="Y622" s="85" t="n"/>
      <c r="Z622" s="85" t="n"/>
      <c r="AA622" s="85" t="n"/>
      <c r="AB622" s="85" t="n"/>
      <c r="AC622" s="85" t="n"/>
      <c r="AD622" s="85" t="n"/>
      <c r="AE622" s="85" t="n"/>
      <c r="AF622" s="86" t="n"/>
      <c r="AG622" s="86" t="n"/>
      <c r="AH622" s="86" t="n"/>
      <c r="AI622" s="85" t="n"/>
      <c r="AJ622" s="85" t="n"/>
      <c r="AK622" s="85">
        <f>IF($A622="","",IF($M622&gt;0,"Yes","No"))</f>
        <v/>
      </c>
      <c r="AL622" s="85">
        <f>IF($A622="","",IF(AND($E622="Yes",OR($Y622="No",$Y622="NOT FOUND")),"YES",""))</f>
        <v/>
      </c>
      <c r="AM622" s="85">
        <f>IF($A622="","",TRIM(IF(AND($P622=0,$I622&lt;&gt;"Yes"),"T0-NoPhishResistant ","")&amp;IF($H622="No","NoMFA ","")&amp;IF(AND($P622=0,$M622&gt;0),"T0-Standing ","")&amp;IF(AND($P622=0,$Q622="Group only"),"T0-ViaGroupOnly ","")&amp;IF($W622="Yes","AlsoAzureRBAC ","")))</f>
        <v/>
      </c>
      <c r="AN622" s="85">
        <f>IF($A622="","",IF(AG622="","Not Enrolled",IF(TODAY()&gt;AG622,"Review Overdue",IF(AG622-TODAY()&lt;=30,"Review Due Soon","Active"))))</f>
        <v/>
      </c>
      <c r="AO622" s="85">
        <f>IF($A622="","",IF(AH622="","NOT REVIEWED",IF(TODAY()-AH622&gt;90,"OVERDUE",IF(TODAY()-AH622&gt;76,"Due Soon","Current"))))</f>
        <v/>
      </c>
    </row>
    <row r="623" ht="15" customHeight="1" s="39">
      <c r="A623" s="85" t="n"/>
      <c r="B623" s="85" t="n"/>
      <c r="C623" s="85" t="n"/>
      <c r="D623" s="85" t="n"/>
      <c r="E623" s="85" t="n"/>
      <c r="F623" s="86" t="n"/>
      <c r="G623" s="86" t="n"/>
      <c r="H623" s="85" t="n"/>
      <c r="I623" s="85" t="n"/>
      <c r="J623" s="85" t="n"/>
      <c r="K623" s="85" t="n"/>
      <c r="L623" s="85" t="n"/>
      <c r="M623" s="85" t="n"/>
      <c r="N623" s="85" t="n"/>
      <c r="O623" s="85" t="n"/>
      <c r="P623" s="85" t="n"/>
      <c r="Q623" s="85" t="n"/>
      <c r="R623" s="85" t="n"/>
      <c r="S623" s="85" t="n"/>
      <c r="T623" s="85" t="n"/>
      <c r="U623" s="85" t="n"/>
      <c r="V623" s="85" t="n"/>
      <c r="W623" s="85" t="n"/>
      <c r="X623" s="85" t="n"/>
      <c r="Y623" s="85" t="n"/>
      <c r="Z623" s="85" t="n"/>
      <c r="AA623" s="85" t="n"/>
      <c r="AB623" s="85" t="n"/>
      <c r="AC623" s="85" t="n"/>
      <c r="AD623" s="85" t="n"/>
      <c r="AE623" s="85" t="n"/>
      <c r="AF623" s="86" t="n"/>
      <c r="AG623" s="86" t="n"/>
      <c r="AH623" s="86" t="n"/>
      <c r="AI623" s="85" t="n"/>
      <c r="AJ623" s="85" t="n"/>
      <c r="AK623" s="85">
        <f>IF($A623="","",IF($M623&gt;0,"Yes","No"))</f>
        <v/>
      </c>
      <c r="AL623" s="85">
        <f>IF($A623="","",IF(AND($E623="Yes",OR($Y623="No",$Y623="NOT FOUND")),"YES",""))</f>
        <v/>
      </c>
      <c r="AM623" s="85">
        <f>IF($A623="","",TRIM(IF(AND($P623=0,$I623&lt;&gt;"Yes"),"T0-NoPhishResistant ","")&amp;IF($H623="No","NoMFA ","")&amp;IF(AND($P623=0,$M623&gt;0),"T0-Standing ","")&amp;IF(AND($P623=0,$Q623="Group only"),"T0-ViaGroupOnly ","")&amp;IF($W623="Yes","AlsoAzureRBAC ","")))</f>
        <v/>
      </c>
      <c r="AN623" s="85">
        <f>IF($A623="","",IF(AG623="","Not Enrolled",IF(TODAY()&gt;AG623,"Review Overdue",IF(AG623-TODAY()&lt;=30,"Review Due Soon","Active"))))</f>
        <v/>
      </c>
      <c r="AO623" s="85">
        <f>IF($A623="","",IF(AH623="","NOT REVIEWED",IF(TODAY()-AH623&gt;90,"OVERDUE",IF(TODAY()-AH623&gt;76,"Due Soon","Current"))))</f>
        <v/>
      </c>
    </row>
    <row r="624" ht="15" customHeight="1" s="39">
      <c r="A624" s="85" t="n"/>
      <c r="B624" s="85" t="n"/>
      <c r="C624" s="85" t="n"/>
      <c r="D624" s="85" t="n"/>
      <c r="E624" s="85" t="n"/>
      <c r="F624" s="86" t="n"/>
      <c r="G624" s="86" t="n"/>
      <c r="H624" s="85" t="n"/>
      <c r="I624" s="85" t="n"/>
      <c r="J624" s="85" t="n"/>
      <c r="K624" s="85" t="n"/>
      <c r="L624" s="85" t="n"/>
      <c r="M624" s="85" t="n"/>
      <c r="N624" s="85" t="n"/>
      <c r="O624" s="85" t="n"/>
      <c r="P624" s="85" t="n"/>
      <c r="Q624" s="85" t="n"/>
      <c r="R624" s="85" t="n"/>
      <c r="S624" s="85" t="n"/>
      <c r="T624" s="85" t="n"/>
      <c r="U624" s="85" t="n"/>
      <c r="V624" s="85" t="n"/>
      <c r="W624" s="85" t="n"/>
      <c r="X624" s="85" t="n"/>
      <c r="Y624" s="85" t="n"/>
      <c r="Z624" s="85" t="n"/>
      <c r="AA624" s="85" t="n"/>
      <c r="AB624" s="85" t="n"/>
      <c r="AC624" s="85" t="n"/>
      <c r="AD624" s="85" t="n"/>
      <c r="AE624" s="85" t="n"/>
      <c r="AF624" s="86" t="n"/>
      <c r="AG624" s="86" t="n"/>
      <c r="AH624" s="86" t="n"/>
      <c r="AI624" s="85" t="n"/>
      <c r="AJ624" s="85" t="n"/>
      <c r="AK624" s="85">
        <f>IF($A624="","",IF($M624&gt;0,"Yes","No"))</f>
        <v/>
      </c>
      <c r="AL624" s="85">
        <f>IF($A624="","",IF(AND($E624="Yes",OR($Y624="No",$Y624="NOT FOUND")),"YES",""))</f>
        <v/>
      </c>
      <c r="AM624" s="85">
        <f>IF($A624="","",TRIM(IF(AND($P624=0,$I624&lt;&gt;"Yes"),"T0-NoPhishResistant ","")&amp;IF($H624="No","NoMFA ","")&amp;IF(AND($P624=0,$M624&gt;0),"T0-Standing ","")&amp;IF(AND($P624=0,$Q624="Group only"),"T0-ViaGroupOnly ","")&amp;IF($W624="Yes","AlsoAzureRBAC ","")))</f>
        <v/>
      </c>
      <c r="AN624" s="85">
        <f>IF($A624="","",IF(AG624="","Not Enrolled",IF(TODAY()&gt;AG624,"Review Overdue",IF(AG624-TODAY()&lt;=30,"Review Due Soon","Active"))))</f>
        <v/>
      </c>
      <c r="AO624" s="85">
        <f>IF($A624="","",IF(AH624="","NOT REVIEWED",IF(TODAY()-AH624&gt;90,"OVERDUE",IF(TODAY()-AH624&gt;76,"Due Soon","Current"))))</f>
        <v/>
      </c>
    </row>
    <row r="625" ht="15" customHeight="1" s="39">
      <c r="A625" s="85" t="n"/>
      <c r="B625" s="85" t="n"/>
      <c r="C625" s="85" t="n"/>
      <c r="D625" s="85" t="n"/>
      <c r="E625" s="85" t="n"/>
      <c r="F625" s="86" t="n"/>
      <c r="G625" s="86" t="n"/>
      <c r="H625" s="85" t="n"/>
      <c r="I625" s="85" t="n"/>
      <c r="J625" s="85" t="n"/>
      <c r="K625" s="85" t="n"/>
      <c r="L625" s="85" t="n"/>
      <c r="M625" s="85" t="n"/>
      <c r="N625" s="85" t="n"/>
      <c r="O625" s="85" t="n"/>
      <c r="P625" s="85" t="n"/>
      <c r="Q625" s="85" t="n"/>
      <c r="R625" s="85" t="n"/>
      <c r="S625" s="85" t="n"/>
      <c r="T625" s="85" t="n"/>
      <c r="U625" s="85" t="n"/>
      <c r="V625" s="85" t="n"/>
      <c r="W625" s="85" t="n"/>
      <c r="X625" s="85" t="n"/>
      <c r="Y625" s="85" t="n"/>
      <c r="Z625" s="85" t="n"/>
      <c r="AA625" s="85" t="n"/>
      <c r="AB625" s="85" t="n"/>
      <c r="AC625" s="85" t="n"/>
      <c r="AD625" s="85" t="n"/>
      <c r="AE625" s="85" t="n"/>
      <c r="AF625" s="86" t="n"/>
      <c r="AG625" s="86" t="n"/>
      <c r="AH625" s="86" t="n"/>
      <c r="AI625" s="85" t="n"/>
      <c r="AJ625" s="85" t="n"/>
      <c r="AK625" s="85">
        <f>IF($A625="","",IF($M625&gt;0,"Yes","No"))</f>
        <v/>
      </c>
      <c r="AL625" s="85">
        <f>IF($A625="","",IF(AND($E625="Yes",OR($Y625="No",$Y625="NOT FOUND")),"YES",""))</f>
        <v/>
      </c>
      <c r="AM625" s="85">
        <f>IF($A625="","",TRIM(IF(AND($P625=0,$I625&lt;&gt;"Yes"),"T0-NoPhishResistant ","")&amp;IF($H625="No","NoMFA ","")&amp;IF(AND($P625=0,$M625&gt;0),"T0-Standing ","")&amp;IF(AND($P625=0,$Q625="Group only"),"T0-ViaGroupOnly ","")&amp;IF($W625="Yes","AlsoAzureRBAC ","")))</f>
        <v/>
      </c>
      <c r="AN625" s="85">
        <f>IF($A625="","",IF(AG625="","Not Enrolled",IF(TODAY()&gt;AG625,"Review Overdue",IF(AG625-TODAY()&lt;=30,"Review Due Soon","Active"))))</f>
        <v/>
      </c>
      <c r="AO625" s="85">
        <f>IF($A625="","",IF(AH625="","NOT REVIEWED",IF(TODAY()-AH625&gt;90,"OVERDUE",IF(TODAY()-AH625&gt;76,"Due Soon","Current"))))</f>
        <v/>
      </c>
    </row>
    <row r="626" ht="15" customHeight="1" s="39">
      <c r="A626" s="85" t="n"/>
      <c r="B626" s="85" t="n"/>
      <c r="C626" s="85" t="n"/>
      <c r="D626" s="85" t="n"/>
      <c r="E626" s="85" t="n"/>
      <c r="F626" s="86" t="n"/>
      <c r="G626" s="86" t="n"/>
      <c r="H626" s="85" t="n"/>
      <c r="I626" s="85" t="n"/>
      <c r="J626" s="85" t="n"/>
      <c r="K626" s="85" t="n"/>
      <c r="L626" s="85" t="n"/>
      <c r="M626" s="85" t="n"/>
      <c r="N626" s="85" t="n"/>
      <c r="O626" s="85" t="n"/>
      <c r="P626" s="85" t="n"/>
      <c r="Q626" s="85" t="n"/>
      <c r="R626" s="85" t="n"/>
      <c r="S626" s="85" t="n"/>
      <c r="T626" s="85" t="n"/>
      <c r="U626" s="85" t="n"/>
      <c r="V626" s="85" t="n"/>
      <c r="W626" s="85" t="n"/>
      <c r="X626" s="85" t="n"/>
      <c r="Y626" s="85" t="n"/>
      <c r="Z626" s="85" t="n"/>
      <c r="AA626" s="85" t="n"/>
      <c r="AB626" s="85" t="n"/>
      <c r="AC626" s="85" t="n"/>
      <c r="AD626" s="85" t="n"/>
      <c r="AE626" s="85" t="n"/>
      <c r="AF626" s="86" t="n"/>
      <c r="AG626" s="86" t="n"/>
      <c r="AH626" s="86" t="n"/>
      <c r="AI626" s="85" t="n"/>
      <c r="AJ626" s="85" t="n"/>
      <c r="AK626" s="85">
        <f>IF($A626="","",IF($M626&gt;0,"Yes","No"))</f>
        <v/>
      </c>
      <c r="AL626" s="85">
        <f>IF($A626="","",IF(AND($E626="Yes",OR($Y626="No",$Y626="NOT FOUND")),"YES",""))</f>
        <v/>
      </c>
      <c r="AM626" s="85">
        <f>IF($A626="","",TRIM(IF(AND($P626=0,$I626&lt;&gt;"Yes"),"T0-NoPhishResistant ","")&amp;IF($H626="No","NoMFA ","")&amp;IF(AND($P626=0,$M626&gt;0),"T0-Standing ","")&amp;IF(AND($P626=0,$Q626="Group only"),"T0-ViaGroupOnly ","")&amp;IF($W626="Yes","AlsoAzureRBAC ","")))</f>
        <v/>
      </c>
      <c r="AN626" s="85">
        <f>IF($A626="","",IF(AG626="","Not Enrolled",IF(TODAY()&gt;AG626,"Review Overdue",IF(AG626-TODAY()&lt;=30,"Review Due Soon","Active"))))</f>
        <v/>
      </c>
      <c r="AO626" s="85">
        <f>IF($A626="","",IF(AH626="","NOT REVIEWED",IF(TODAY()-AH626&gt;90,"OVERDUE",IF(TODAY()-AH626&gt;76,"Due Soon","Current"))))</f>
        <v/>
      </c>
    </row>
    <row r="627" ht="15" customHeight="1" s="39">
      <c r="A627" s="85" t="n"/>
      <c r="B627" s="85" t="n"/>
      <c r="C627" s="85" t="n"/>
      <c r="D627" s="85" t="n"/>
      <c r="E627" s="85" t="n"/>
      <c r="F627" s="86" t="n"/>
      <c r="G627" s="86" t="n"/>
      <c r="H627" s="85" t="n"/>
      <c r="I627" s="85" t="n"/>
      <c r="J627" s="85" t="n"/>
      <c r="K627" s="85" t="n"/>
      <c r="L627" s="85" t="n"/>
      <c r="M627" s="85" t="n"/>
      <c r="N627" s="85" t="n"/>
      <c r="O627" s="85" t="n"/>
      <c r="P627" s="85" t="n"/>
      <c r="Q627" s="85" t="n"/>
      <c r="R627" s="85" t="n"/>
      <c r="S627" s="85" t="n"/>
      <c r="T627" s="85" t="n"/>
      <c r="U627" s="85" t="n"/>
      <c r="V627" s="85" t="n"/>
      <c r="W627" s="85" t="n"/>
      <c r="X627" s="85" t="n"/>
      <c r="Y627" s="85" t="n"/>
      <c r="Z627" s="85" t="n"/>
      <c r="AA627" s="85" t="n"/>
      <c r="AB627" s="85" t="n"/>
      <c r="AC627" s="85" t="n"/>
      <c r="AD627" s="85" t="n"/>
      <c r="AE627" s="85" t="n"/>
      <c r="AF627" s="86" t="n"/>
      <c r="AG627" s="86" t="n"/>
      <c r="AH627" s="86" t="n"/>
      <c r="AI627" s="85" t="n"/>
      <c r="AJ627" s="85" t="n"/>
      <c r="AK627" s="85">
        <f>IF($A627="","",IF($M627&gt;0,"Yes","No"))</f>
        <v/>
      </c>
      <c r="AL627" s="85">
        <f>IF($A627="","",IF(AND($E627="Yes",OR($Y627="No",$Y627="NOT FOUND")),"YES",""))</f>
        <v/>
      </c>
      <c r="AM627" s="85">
        <f>IF($A627="","",TRIM(IF(AND($P627=0,$I627&lt;&gt;"Yes"),"T0-NoPhishResistant ","")&amp;IF($H627="No","NoMFA ","")&amp;IF(AND($P627=0,$M627&gt;0),"T0-Standing ","")&amp;IF(AND($P627=0,$Q627="Group only"),"T0-ViaGroupOnly ","")&amp;IF($W627="Yes","AlsoAzureRBAC ","")))</f>
        <v/>
      </c>
      <c r="AN627" s="85">
        <f>IF($A627="","",IF(AG627="","Not Enrolled",IF(TODAY()&gt;AG627,"Review Overdue",IF(AG627-TODAY()&lt;=30,"Review Due Soon","Active"))))</f>
        <v/>
      </c>
      <c r="AO627" s="85">
        <f>IF($A627="","",IF(AH627="","NOT REVIEWED",IF(TODAY()-AH627&gt;90,"OVERDUE",IF(TODAY()-AH627&gt;76,"Due Soon","Current"))))</f>
        <v/>
      </c>
    </row>
    <row r="628" ht="15" customHeight="1" s="39">
      <c r="A628" s="85" t="n"/>
      <c r="B628" s="85" t="n"/>
      <c r="C628" s="85" t="n"/>
      <c r="D628" s="85" t="n"/>
      <c r="E628" s="85" t="n"/>
      <c r="F628" s="86" t="n"/>
      <c r="G628" s="86" t="n"/>
      <c r="H628" s="85" t="n"/>
      <c r="I628" s="85" t="n"/>
      <c r="J628" s="85" t="n"/>
      <c r="K628" s="85" t="n"/>
      <c r="L628" s="85" t="n"/>
      <c r="M628" s="85" t="n"/>
      <c r="N628" s="85" t="n"/>
      <c r="O628" s="85" t="n"/>
      <c r="P628" s="85" t="n"/>
      <c r="Q628" s="85" t="n"/>
      <c r="R628" s="85" t="n"/>
      <c r="S628" s="85" t="n"/>
      <c r="T628" s="85" t="n"/>
      <c r="U628" s="85" t="n"/>
      <c r="V628" s="85" t="n"/>
      <c r="W628" s="85" t="n"/>
      <c r="X628" s="85" t="n"/>
      <c r="Y628" s="85" t="n"/>
      <c r="Z628" s="85" t="n"/>
      <c r="AA628" s="85" t="n"/>
      <c r="AB628" s="85" t="n"/>
      <c r="AC628" s="85" t="n"/>
      <c r="AD628" s="85" t="n"/>
      <c r="AE628" s="85" t="n"/>
      <c r="AF628" s="86" t="n"/>
      <c r="AG628" s="86" t="n"/>
      <c r="AH628" s="86" t="n"/>
      <c r="AI628" s="85" t="n"/>
      <c r="AJ628" s="85" t="n"/>
      <c r="AK628" s="85">
        <f>IF($A628="","",IF($M628&gt;0,"Yes","No"))</f>
        <v/>
      </c>
      <c r="AL628" s="85">
        <f>IF($A628="","",IF(AND($E628="Yes",OR($Y628="No",$Y628="NOT FOUND")),"YES",""))</f>
        <v/>
      </c>
      <c r="AM628" s="85">
        <f>IF($A628="","",TRIM(IF(AND($P628=0,$I628&lt;&gt;"Yes"),"T0-NoPhishResistant ","")&amp;IF($H628="No","NoMFA ","")&amp;IF(AND($P628=0,$M628&gt;0),"T0-Standing ","")&amp;IF(AND($P628=0,$Q628="Group only"),"T0-ViaGroupOnly ","")&amp;IF($W628="Yes","AlsoAzureRBAC ","")))</f>
        <v/>
      </c>
      <c r="AN628" s="85">
        <f>IF($A628="","",IF(AG628="","Not Enrolled",IF(TODAY()&gt;AG628,"Review Overdue",IF(AG628-TODAY()&lt;=30,"Review Due Soon","Active"))))</f>
        <v/>
      </c>
      <c r="AO628" s="85">
        <f>IF($A628="","",IF(AH628="","NOT REVIEWED",IF(TODAY()-AH628&gt;90,"OVERDUE",IF(TODAY()-AH628&gt;76,"Due Soon","Current"))))</f>
        <v/>
      </c>
    </row>
    <row r="629" ht="15" customHeight="1" s="39">
      <c r="A629" s="85" t="n"/>
      <c r="B629" s="85" t="n"/>
      <c r="C629" s="85" t="n"/>
      <c r="D629" s="85" t="n"/>
      <c r="E629" s="85" t="n"/>
      <c r="F629" s="86" t="n"/>
      <c r="G629" s="86" t="n"/>
      <c r="H629" s="85" t="n"/>
      <c r="I629" s="85" t="n"/>
      <c r="J629" s="85" t="n"/>
      <c r="K629" s="85" t="n"/>
      <c r="L629" s="85" t="n"/>
      <c r="M629" s="85" t="n"/>
      <c r="N629" s="85" t="n"/>
      <c r="O629" s="85" t="n"/>
      <c r="P629" s="85" t="n"/>
      <c r="Q629" s="85" t="n"/>
      <c r="R629" s="85" t="n"/>
      <c r="S629" s="85" t="n"/>
      <c r="T629" s="85" t="n"/>
      <c r="U629" s="85" t="n"/>
      <c r="V629" s="85" t="n"/>
      <c r="W629" s="85" t="n"/>
      <c r="X629" s="85" t="n"/>
      <c r="Y629" s="85" t="n"/>
      <c r="Z629" s="85" t="n"/>
      <c r="AA629" s="85" t="n"/>
      <c r="AB629" s="85" t="n"/>
      <c r="AC629" s="85" t="n"/>
      <c r="AD629" s="85" t="n"/>
      <c r="AE629" s="85" t="n"/>
      <c r="AF629" s="86" t="n"/>
      <c r="AG629" s="86" t="n"/>
      <c r="AH629" s="86" t="n"/>
      <c r="AI629" s="85" t="n"/>
      <c r="AJ629" s="85" t="n"/>
      <c r="AK629" s="85">
        <f>IF($A629="","",IF($M629&gt;0,"Yes","No"))</f>
        <v/>
      </c>
      <c r="AL629" s="85">
        <f>IF($A629="","",IF(AND($E629="Yes",OR($Y629="No",$Y629="NOT FOUND")),"YES",""))</f>
        <v/>
      </c>
      <c r="AM629" s="85">
        <f>IF($A629="","",TRIM(IF(AND($P629=0,$I629&lt;&gt;"Yes"),"T0-NoPhishResistant ","")&amp;IF($H629="No","NoMFA ","")&amp;IF(AND($P629=0,$M629&gt;0),"T0-Standing ","")&amp;IF(AND($P629=0,$Q629="Group only"),"T0-ViaGroupOnly ","")&amp;IF($W629="Yes","AlsoAzureRBAC ","")))</f>
        <v/>
      </c>
      <c r="AN629" s="85">
        <f>IF($A629="","",IF(AG629="","Not Enrolled",IF(TODAY()&gt;AG629,"Review Overdue",IF(AG629-TODAY()&lt;=30,"Review Due Soon","Active"))))</f>
        <v/>
      </c>
      <c r="AO629" s="85">
        <f>IF($A629="","",IF(AH629="","NOT REVIEWED",IF(TODAY()-AH629&gt;90,"OVERDUE",IF(TODAY()-AH629&gt;76,"Due Soon","Current"))))</f>
        <v/>
      </c>
    </row>
    <row r="630" ht="15" customHeight="1" s="39">
      <c r="A630" s="85" t="n"/>
      <c r="B630" s="85" t="n"/>
      <c r="C630" s="85" t="n"/>
      <c r="D630" s="85" t="n"/>
      <c r="E630" s="85" t="n"/>
      <c r="F630" s="86" t="n"/>
      <c r="G630" s="86" t="n"/>
      <c r="H630" s="85" t="n"/>
      <c r="I630" s="85" t="n"/>
      <c r="J630" s="85" t="n"/>
      <c r="K630" s="85" t="n"/>
      <c r="L630" s="85" t="n"/>
      <c r="M630" s="85" t="n"/>
      <c r="N630" s="85" t="n"/>
      <c r="O630" s="85" t="n"/>
      <c r="P630" s="85" t="n"/>
      <c r="Q630" s="85" t="n"/>
      <c r="R630" s="85" t="n"/>
      <c r="S630" s="85" t="n"/>
      <c r="T630" s="85" t="n"/>
      <c r="U630" s="85" t="n"/>
      <c r="V630" s="85" t="n"/>
      <c r="W630" s="85" t="n"/>
      <c r="X630" s="85" t="n"/>
      <c r="Y630" s="85" t="n"/>
      <c r="Z630" s="85" t="n"/>
      <c r="AA630" s="85" t="n"/>
      <c r="AB630" s="85" t="n"/>
      <c r="AC630" s="85" t="n"/>
      <c r="AD630" s="85" t="n"/>
      <c r="AE630" s="85" t="n"/>
      <c r="AF630" s="86" t="n"/>
      <c r="AG630" s="86" t="n"/>
      <c r="AH630" s="86" t="n"/>
      <c r="AI630" s="85" t="n"/>
      <c r="AJ630" s="85" t="n"/>
      <c r="AK630" s="85">
        <f>IF($A630="","",IF($M630&gt;0,"Yes","No"))</f>
        <v/>
      </c>
      <c r="AL630" s="85">
        <f>IF($A630="","",IF(AND($E630="Yes",OR($Y630="No",$Y630="NOT FOUND")),"YES",""))</f>
        <v/>
      </c>
      <c r="AM630" s="85">
        <f>IF($A630="","",TRIM(IF(AND($P630=0,$I630&lt;&gt;"Yes"),"T0-NoPhishResistant ","")&amp;IF($H630="No","NoMFA ","")&amp;IF(AND($P630=0,$M630&gt;0),"T0-Standing ","")&amp;IF(AND($P630=0,$Q630="Group only"),"T0-ViaGroupOnly ","")&amp;IF($W630="Yes","AlsoAzureRBAC ","")))</f>
        <v/>
      </c>
      <c r="AN630" s="85">
        <f>IF($A630="","",IF(AG630="","Not Enrolled",IF(TODAY()&gt;AG630,"Review Overdue",IF(AG630-TODAY()&lt;=30,"Review Due Soon","Active"))))</f>
        <v/>
      </c>
      <c r="AO630" s="85">
        <f>IF($A630="","",IF(AH630="","NOT REVIEWED",IF(TODAY()-AH630&gt;90,"OVERDUE",IF(TODAY()-AH630&gt;76,"Due Soon","Current"))))</f>
        <v/>
      </c>
    </row>
    <row r="631" ht="15" customHeight="1" s="39">
      <c r="A631" s="85" t="n"/>
      <c r="B631" s="85" t="n"/>
      <c r="C631" s="85" t="n"/>
      <c r="D631" s="85" t="n"/>
      <c r="E631" s="85" t="n"/>
      <c r="F631" s="86" t="n"/>
      <c r="G631" s="86" t="n"/>
      <c r="H631" s="85" t="n"/>
      <c r="I631" s="85" t="n"/>
      <c r="J631" s="85" t="n"/>
      <c r="K631" s="85" t="n"/>
      <c r="L631" s="85" t="n"/>
      <c r="M631" s="85" t="n"/>
      <c r="N631" s="85" t="n"/>
      <c r="O631" s="85" t="n"/>
      <c r="P631" s="85" t="n"/>
      <c r="Q631" s="85" t="n"/>
      <c r="R631" s="85" t="n"/>
      <c r="S631" s="85" t="n"/>
      <c r="T631" s="85" t="n"/>
      <c r="U631" s="85" t="n"/>
      <c r="V631" s="85" t="n"/>
      <c r="W631" s="85" t="n"/>
      <c r="X631" s="85" t="n"/>
      <c r="Y631" s="85" t="n"/>
      <c r="Z631" s="85" t="n"/>
      <c r="AA631" s="85" t="n"/>
      <c r="AB631" s="85" t="n"/>
      <c r="AC631" s="85" t="n"/>
      <c r="AD631" s="85" t="n"/>
      <c r="AE631" s="85" t="n"/>
      <c r="AF631" s="86" t="n"/>
      <c r="AG631" s="86" t="n"/>
      <c r="AH631" s="86" t="n"/>
      <c r="AI631" s="85" t="n"/>
      <c r="AJ631" s="85" t="n"/>
      <c r="AK631" s="85">
        <f>IF($A631="","",IF($M631&gt;0,"Yes","No"))</f>
        <v/>
      </c>
      <c r="AL631" s="85">
        <f>IF($A631="","",IF(AND($E631="Yes",OR($Y631="No",$Y631="NOT FOUND")),"YES",""))</f>
        <v/>
      </c>
      <c r="AM631" s="85">
        <f>IF($A631="","",TRIM(IF(AND($P631=0,$I631&lt;&gt;"Yes"),"T0-NoPhishResistant ","")&amp;IF($H631="No","NoMFA ","")&amp;IF(AND($P631=0,$M631&gt;0),"T0-Standing ","")&amp;IF(AND($P631=0,$Q631="Group only"),"T0-ViaGroupOnly ","")&amp;IF($W631="Yes","AlsoAzureRBAC ","")))</f>
        <v/>
      </c>
      <c r="AN631" s="85">
        <f>IF($A631="","",IF(AG631="","Not Enrolled",IF(TODAY()&gt;AG631,"Review Overdue",IF(AG631-TODAY()&lt;=30,"Review Due Soon","Active"))))</f>
        <v/>
      </c>
      <c r="AO631" s="85">
        <f>IF($A631="","",IF(AH631="","NOT REVIEWED",IF(TODAY()-AH631&gt;90,"OVERDUE",IF(TODAY()-AH631&gt;76,"Due Soon","Current"))))</f>
        <v/>
      </c>
    </row>
    <row r="632" ht="15" customHeight="1" s="39">
      <c r="A632" s="85" t="n"/>
      <c r="B632" s="85" t="n"/>
      <c r="C632" s="85" t="n"/>
      <c r="D632" s="85" t="n"/>
      <c r="E632" s="85" t="n"/>
      <c r="F632" s="86" t="n"/>
      <c r="G632" s="86" t="n"/>
      <c r="H632" s="85" t="n"/>
      <c r="I632" s="85" t="n"/>
      <c r="J632" s="85" t="n"/>
      <c r="K632" s="85" t="n"/>
      <c r="L632" s="85" t="n"/>
      <c r="M632" s="85" t="n"/>
      <c r="N632" s="85" t="n"/>
      <c r="O632" s="85" t="n"/>
      <c r="P632" s="85" t="n"/>
      <c r="Q632" s="85" t="n"/>
      <c r="R632" s="85" t="n"/>
      <c r="S632" s="85" t="n"/>
      <c r="T632" s="85" t="n"/>
      <c r="U632" s="85" t="n"/>
      <c r="V632" s="85" t="n"/>
      <c r="W632" s="85" t="n"/>
      <c r="X632" s="85" t="n"/>
      <c r="Y632" s="85" t="n"/>
      <c r="Z632" s="85" t="n"/>
      <c r="AA632" s="85" t="n"/>
      <c r="AB632" s="85" t="n"/>
      <c r="AC632" s="85" t="n"/>
      <c r="AD632" s="85" t="n"/>
      <c r="AE632" s="85" t="n"/>
      <c r="AF632" s="86" t="n"/>
      <c r="AG632" s="86" t="n"/>
      <c r="AH632" s="86" t="n"/>
      <c r="AI632" s="85" t="n"/>
      <c r="AJ632" s="85" t="n"/>
      <c r="AK632" s="85">
        <f>IF($A632="","",IF($M632&gt;0,"Yes","No"))</f>
        <v/>
      </c>
      <c r="AL632" s="85">
        <f>IF($A632="","",IF(AND($E632="Yes",OR($Y632="No",$Y632="NOT FOUND")),"YES",""))</f>
        <v/>
      </c>
      <c r="AM632" s="85">
        <f>IF($A632="","",TRIM(IF(AND($P632=0,$I632&lt;&gt;"Yes"),"T0-NoPhishResistant ","")&amp;IF($H632="No","NoMFA ","")&amp;IF(AND($P632=0,$M632&gt;0),"T0-Standing ","")&amp;IF(AND($P632=0,$Q632="Group only"),"T0-ViaGroupOnly ","")&amp;IF($W632="Yes","AlsoAzureRBAC ","")))</f>
        <v/>
      </c>
      <c r="AN632" s="85">
        <f>IF($A632="","",IF(AG632="","Not Enrolled",IF(TODAY()&gt;AG632,"Review Overdue",IF(AG632-TODAY()&lt;=30,"Review Due Soon","Active"))))</f>
        <v/>
      </c>
      <c r="AO632" s="85">
        <f>IF($A632="","",IF(AH632="","NOT REVIEWED",IF(TODAY()-AH632&gt;90,"OVERDUE",IF(TODAY()-AH632&gt;76,"Due Soon","Current"))))</f>
        <v/>
      </c>
    </row>
    <row r="633" ht="15" customHeight="1" s="39">
      <c r="A633" s="85" t="n"/>
      <c r="B633" s="85" t="n"/>
      <c r="C633" s="85" t="n"/>
      <c r="D633" s="85" t="n"/>
      <c r="E633" s="85" t="n"/>
      <c r="F633" s="86" t="n"/>
      <c r="G633" s="86" t="n"/>
      <c r="H633" s="85" t="n"/>
      <c r="I633" s="85" t="n"/>
      <c r="J633" s="85" t="n"/>
      <c r="K633" s="85" t="n"/>
      <c r="L633" s="85" t="n"/>
      <c r="M633" s="85" t="n"/>
      <c r="N633" s="85" t="n"/>
      <c r="O633" s="85" t="n"/>
      <c r="P633" s="85" t="n"/>
      <c r="Q633" s="85" t="n"/>
      <c r="R633" s="85" t="n"/>
      <c r="S633" s="85" t="n"/>
      <c r="T633" s="85" t="n"/>
      <c r="U633" s="85" t="n"/>
      <c r="V633" s="85" t="n"/>
      <c r="W633" s="85" t="n"/>
      <c r="X633" s="85" t="n"/>
      <c r="Y633" s="85" t="n"/>
      <c r="Z633" s="85" t="n"/>
      <c r="AA633" s="85" t="n"/>
      <c r="AB633" s="85" t="n"/>
      <c r="AC633" s="85" t="n"/>
      <c r="AD633" s="85" t="n"/>
      <c r="AE633" s="85" t="n"/>
      <c r="AF633" s="86" t="n"/>
      <c r="AG633" s="86" t="n"/>
      <c r="AH633" s="86" t="n"/>
      <c r="AI633" s="85" t="n"/>
      <c r="AJ633" s="85" t="n"/>
      <c r="AK633" s="85">
        <f>IF($A633="","",IF($M633&gt;0,"Yes","No"))</f>
        <v/>
      </c>
      <c r="AL633" s="85">
        <f>IF($A633="","",IF(AND($E633="Yes",OR($Y633="No",$Y633="NOT FOUND")),"YES",""))</f>
        <v/>
      </c>
      <c r="AM633" s="85">
        <f>IF($A633="","",TRIM(IF(AND($P633=0,$I633&lt;&gt;"Yes"),"T0-NoPhishResistant ","")&amp;IF($H633="No","NoMFA ","")&amp;IF(AND($P633=0,$M633&gt;0),"T0-Standing ","")&amp;IF(AND($P633=0,$Q633="Group only"),"T0-ViaGroupOnly ","")&amp;IF($W633="Yes","AlsoAzureRBAC ","")))</f>
        <v/>
      </c>
      <c r="AN633" s="85">
        <f>IF($A633="","",IF(AG633="","Not Enrolled",IF(TODAY()&gt;AG633,"Review Overdue",IF(AG633-TODAY()&lt;=30,"Review Due Soon","Active"))))</f>
        <v/>
      </c>
      <c r="AO633" s="85">
        <f>IF($A633="","",IF(AH633="","NOT REVIEWED",IF(TODAY()-AH633&gt;90,"OVERDUE",IF(TODAY()-AH633&gt;76,"Due Soon","Current"))))</f>
        <v/>
      </c>
    </row>
    <row r="634" ht="15" customHeight="1" s="39">
      <c r="A634" s="85" t="n"/>
      <c r="B634" s="85" t="n"/>
      <c r="C634" s="85" t="n"/>
      <c r="D634" s="85" t="n"/>
      <c r="E634" s="85" t="n"/>
      <c r="F634" s="86" t="n"/>
      <c r="G634" s="86" t="n"/>
      <c r="H634" s="85" t="n"/>
      <c r="I634" s="85" t="n"/>
      <c r="J634" s="85" t="n"/>
      <c r="K634" s="85" t="n"/>
      <c r="L634" s="85" t="n"/>
      <c r="M634" s="85" t="n"/>
      <c r="N634" s="85" t="n"/>
      <c r="O634" s="85" t="n"/>
      <c r="P634" s="85" t="n"/>
      <c r="Q634" s="85" t="n"/>
      <c r="R634" s="85" t="n"/>
      <c r="S634" s="85" t="n"/>
      <c r="T634" s="85" t="n"/>
      <c r="U634" s="85" t="n"/>
      <c r="V634" s="85" t="n"/>
      <c r="W634" s="85" t="n"/>
      <c r="X634" s="85" t="n"/>
      <c r="Y634" s="85" t="n"/>
      <c r="Z634" s="85" t="n"/>
      <c r="AA634" s="85" t="n"/>
      <c r="AB634" s="85" t="n"/>
      <c r="AC634" s="85" t="n"/>
      <c r="AD634" s="85" t="n"/>
      <c r="AE634" s="85" t="n"/>
      <c r="AF634" s="86" t="n"/>
      <c r="AG634" s="86" t="n"/>
      <c r="AH634" s="86" t="n"/>
      <c r="AI634" s="85" t="n"/>
      <c r="AJ634" s="85" t="n"/>
      <c r="AK634" s="85">
        <f>IF($A634="","",IF($M634&gt;0,"Yes","No"))</f>
        <v/>
      </c>
      <c r="AL634" s="85">
        <f>IF($A634="","",IF(AND($E634="Yes",OR($Y634="No",$Y634="NOT FOUND")),"YES",""))</f>
        <v/>
      </c>
      <c r="AM634" s="85">
        <f>IF($A634="","",TRIM(IF(AND($P634=0,$I634&lt;&gt;"Yes"),"T0-NoPhishResistant ","")&amp;IF($H634="No","NoMFA ","")&amp;IF(AND($P634=0,$M634&gt;0),"T0-Standing ","")&amp;IF(AND($P634=0,$Q634="Group only"),"T0-ViaGroupOnly ","")&amp;IF($W634="Yes","AlsoAzureRBAC ","")))</f>
        <v/>
      </c>
      <c r="AN634" s="85">
        <f>IF($A634="","",IF(AG634="","Not Enrolled",IF(TODAY()&gt;AG634,"Review Overdue",IF(AG634-TODAY()&lt;=30,"Review Due Soon","Active"))))</f>
        <v/>
      </c>
      <c r="AO634" s="85">
        <f>IF($A634="","",IF(AH634="","NOT REVIEWED",IF(TODAY()-AH634&gt;90,"OVERDUE",IF(TODAY()-AH634&gt;76,"Due Soon","Current"))))</f>
        <v/>
      </c>
    </row>
    <row r="635" ht="15" customHeight="1" s="39">
      <c r="A635" s="85" t="n"/>
      <c r="B635" s="85" t="n"/>
      <c r="C635" s="85" t="n"/>
      <c r="D635" s="85" t="n"/>
      <c r="E635" s="85" t="n"/>
      <c r="F635" s="86" t="n"/>
      <c r="G635" s="86" t="n"/>
      <c r="H635" s="85" t="n"/>
      <c r="I635" s="85" t="n"/>
      <c r="J635" s="85" t="n"/>
      <c r="K635" s="85" t="n"/>
      <c r="L635" s="85" t="n"/>
      <c r="M635" s="85" t="n"/>
      <c r="N635" s="85" t="n"/>
      <c r="O635" s="85" t="n"/>
      <c r="P635" s="85" t="n"/>
      <c r="Q635" s="85" t="n"/>
      <c r="R635" s="85" t="n"/>
      <c r="S635" s="85" t="n"/>
      <c r="T635" s="85" t="n"/>
      <c r="U635" s="85" t="n"/>
      <c r="V635" s="85" t="n"/>
      <c r="W635" s="85" t="n"/>
      <c r="X635" s="85" t="n"/>
      <c r="Y635" s="85" t="n"/>
      <c r="Z635" s="85" t="n"/>
      <c r="AA635" s="85" t="n"/>
      <c r="AB635" s="85" t="n"/>
      <c r="AC635" s="85" t="n"/>
      <c r="AD635" s="85" t="n"/>
      <c r="AE635" s="85" t="n"/>
      <c r="AF635" s="86" t="n"/>
      <c r="AG635" s="86" t="n"/>
      <c r="AH635" s="86" t="n"/>
      <c r="AI635" s="85" t="n"/>
      <c r="AJ635" s="85" t="n"/>
      <c r="AK635" s="85">
        <f>IF($A635="","",IF($M635&gt;0,"Yes","No"))</f>
        <v/>
      </c>
      <c r="AL635" s="85">
        <f>IF($A635="","",IF(AND($E635="Yes",OR($Y635="No",$Y635="NOT FOUND")),"YES",""))</f>
        <v/>
      </c>
      <c r="AM635" s="85">
        <f>IF($A635="","",TRIM(IF(AND($P635=0,$I635&lt;&gt;"Yes"),"T0-NoPhishResistant ","")&amp;IF($H635="No","NoMFA ","")&amp;IF(AND($P635=0,$M635&gt;0),"T0-Standing ","")&amp;IF(AND($P635=0,$Q635="Group only"),"T0-ViaGroupOnly ","")&amp;IF($W635="Yes","AlsoAzureRBAC ","")))</f>
        <v/>
      </c>
      <c r="AN635" s="85">
        <f>IF($A635="","",IF(AG635="","Not Enrolled",IF(TODAY()&gt;AG635,"Review Overdue",IF(AG635-TODAY()&lt;=30,"Review Due Soon","Active"))))</f>
        <v/>
      </c>
      <c r="AO635" s="85">
        <f>IF($A635="","",IF(AH635="","NOT REVIEWED",IF(TODAY()-AH635&gt;90,"OVERDUE",IF(TODAY()-AH635&gt;76,"Due Soon","Current"))))</f>
        <v/>
      </c>
    </row>
    <row r="636" ht="15" customHeight="1" s="39">
      <c r="A636" s="85" t="n"/>
      <c r="B636" s="85" t="n"/>
      <c r="C636" s="85" t="n"/>
      <c r="D636" s="85" t="n"/>
      <c r="E636" s="85" t="n"/>
      <c r="F636" s="86" t="n"/>
      <c r="G636" s="86" t="n"/>
      <c r="H636" s="85" t="n"/>
      <c r="I636" s="85" t="n"/>
      <c r="J636" s="85" t="n"/>
      <c r="K636" s="85" t="n"/>
      <c r="L636" s="85" t="n"/>
      <c r="M636" s="85" t="n"/>
      <c r="N636" s="85" t="n"/>
      <c r="O636" s="85" t="n"/>
      <c r="P636" s="85" t="n"/>
      <c r="Q636" s="85" t="n"/>
      <c r="R636" s="85" t="n"/>
      <c r="S636" s="85" t="n"/>
      <c r="T636" s="85" t="n"/>
      <c r="U636" s="85" t="n"/>
      <c r="V636" s="85" t="n"/>
      <c r="W636" s="85" t="n"/>
      <c r="X636" s="85" t="n"/>
      <c r="Y636" s="85" t="n"/>
      <c r="Z636" s="85" t="n"/>
      <c r="AA636" s="85" t="n"/>
      <c r="AB636" s="85" t="n"/>
      <c r="AC636" s="85" t="n"/>
      <c r="AD636" s="85" t="n"/>
      <c r="AE636" s="85" t="n"/>
      <c r="AF636" s="86" t="n"/>
      <c r="AG636" s="86" t="n"/>
      <c r="AH636" s="86" t="n"/>
      <c r="AI636" s="85" t="n"/>
      <c r="AJ636" s="85" t="n"/>
      <c r="AK636" s="85">
        <f>IF($A636="","",IF($M636&gt;0,"Yes","No"))</f>
        <v/>
      </c>
      <c r="AL636" s="85">
        <f>IF($A636="","",IF(AND($E636="Yes",OR($Y636="No",$Y636="NOT FOUND")),"YES",""))</f>
        <v/>
      </c>
      <c r="AM636" s="85">
        <f>IF($A636="","",TRIM(IF(AND($P636=0,$I636&lt;&gt;"Yes"),"T0-NoPhishResistant ","")&amp;IF($H636="No","NoMFA ","")&amp;IF(AND($P636=0,$M636&gt;0),"T0-Standing ","")&amp;IF(AND($P636=0,$Q636="Group only"),"T0-ViaGroupOnly ","")&amp;IF($W636="Yes","AlsoAzureRBAC ","")))</f>
        <v/>
      </c>
      <c r="AN636" s="85">
        <f>IF($A636="","",IF(AG636="","Not Enrolled",IF(TODAY()&gt;AG636,"Review Overdue",IF(AG636-TODAY()&lt;=30,"Review Due Soon","Active"))))</f>
        <v/>
      </c>
      <c r="AO636" s="85">
        <f>IF($A636="","",IF(AH636="","NOT REVIEWED",IF(TODAY()-AH636&gt;90,"OVERDUE",IF(TODAY()-AH636&gt;76,"Due Soon","Current"))))</f>
        <v/>
      </c>
    </row>
    <row r="637" ht="15" customHeight="1" s="39">
      <c r="A637" s="85" t="n"/>
      <c r="B637" s="85" t="n"/>
      <c r="C637" s="85" t="n"/>
      <c r="D637" s="85" t="n"/>
      <c r="E637" s="85" t="n"/>
      <c r="F637" s="86" t="n"/>
      <c r="G637" s="86" t="n"/>
      <c r="H637" s="85" t="n"/>
      <c r="I637" s="85" t="n"/>
      <c r="J637" s="85" t="n"/>
      <c r="K637" s="85" t="n"/>
      <c r="L637" s="85" t="n"/>
      <c r="M637" s="85" t="n"/>
      <c r="N637" s="85" t="n"/>
      <c r="O637" s="85" t="n"/>
      <c r="P637" s="85" t="n"/>
      <c r="Q637" s="85" t="n"/>
      <c r="R637" s="85" t="n"/>
      <c r="S637" s="85" t="n"/>
      <c r="T637" s="85" t="n"/>
      <c r="U637" s="85" t="n"/>
      <c r="V637" s="85" t="n"/>
      <c r="W637" s="85" t="n"/>
      <c r="X637" s="85" t="n"/>
      <c r="Y637" s="85" t="n"/>
      <c r="Z637" s="85" t="n"/>
      <c r="AA637" s="85" t="n"/>
      <c r="AB637" s="85" t="n"/>
      <c r="AC637" s="85" t="n"/>
      <c r="AD637" s="85" t="n"/>
      <c r="AE637" s="85" t="n"/>
      <c r="AF637" s="86" t="n"/>
      <c r="AG637" s="86" t="n"/>
      <c r="AH637" s="86" t="n"/>
      <c r="AI637" s="85" t="n"/>
      <c r="AJ637" s="85" t="n"/>
      <c r="AK637" s="85">
        <f>IF($A637="","",IF($M637&gt;0,"Yes","No"))</f>
        <v/>
      </c>
      <c r="AL637" s="85">
        <f>IF($A637="","",IF(AND($E637="Yes",OR($Y637="No",$Y637="NOT FOUND")),"YES",""))</f>
        <v/>
      </c>
      <c r="AM637" s="85">
        <f>IF($A637="","",TRIM(IF(AND($P637=0,$I637&lt;&gt;"Yes"),"T0-NoPhishResistant ","")&amp;IF($H637="No","NoMFA ","")&amp;IF(AND($P637=0,$M637&gt;0),"T0-Standing ","")&amp;IF(AND($P637=0,$Q637="Group only"),"T0-ViaGroupOnly ","")&amp;IF($W637="Yes","AlsoAzureRBAC ","")))</f>
        <v/>
      </c>
      <c r="AN637" s="85">
        <f>IF($A637="","",IF(AG637="","Not Enrolled",IF(TODAY()&gt;AG637,"Review Overdue",IF(AG637-TODAY()&lt;=30,"Review Due Soon","Active"))))</f>
        <v/>
      </c>
      <c r="AO637" s="85">
        <f>IF($A637="","",IF(AH637="","NOT REVIEWED",IF(TODAY()-AH637&gt;90,"OVERDUE",IF(TODAY()-AH637&gt;76,"Due Soon","Current"))))</f>
        <v/>
      </c>
    </row>
    <row r="638" ht="15" customHeight="1" s="39">
      <c r="A638" s="85" t="n"/>
      <c r="B638" s="85" t="n"/>
      <c r="C638" s="85" t="n"/>
      <c r="D638" s="85" t="n"/>
      <c r="E638" s="85" t="n"/>
      <c r="F638" s="86" t="n"/>
      <c r="G638" s="86" t="n"/>
      <c r="H638" s="85" t="n"/>
      <c r="I638" s="85" t="n"/>
      <c r="J638" s="85" t="n"/>
      <c r="K638" s="85" t="n"/>
      <c r="L638" s="85" t="n"/>
      <c r="M638" s="85" t="n"/>
      <c r="N638" s="85" t="n"/>
      <c r="O638" s="85" t="n"/>
      <c r="P638" s="85" t="n"/>
      <c r="Q638" s="85" t="n"/>
      <c r="R638" s="85" t="n"/>
      <c r="S638" s="85" t="n"/>
      <c r="T638" s="85" t="n"/>
      <c r="U638" s="85" t="n"/>
      <c r="V638" s="85" t="n"/>
      <c r="W638" s="85" t="n"/>
      <c r="X638" s="85" t="n"/>
      <c r="Y638" s="85" t="n"/>
      <c r="Z638" s="85" t="n"/>
      <c r="AA638" s="85" t="n"/>
      <c r="AB638" s="85" t="n"/>
      <c r="AC638" s="85" t="n"/>
      <c r="AD638" s="85" t="n"/>
      <c r="AE638" s="85" t="n"/>
      <c r="AF638" s="86" t="n"/>
      <c r="AG638" s="86" t="n"/>
      <c r="AH638" s="86" t="n"/>
      <c r="AI638" s="85" t="n"/>
      <c r="AJ638" s="85" t="n"/>
      <c r="AK638" s="85">
        <f>IF($A638="","",IF($M638&gt;0,"Yes","No"))</f>
        <v/>
      </c>
      <c r="AL638" s="85">
        <f>IF($A638="","",IF(AND($E638="Yes",OR($Y638="No",$Y638="NOT FOUND")),"YES",""))</f>
        <v/>
      </c>
      <c r="AM638" s="85">
        <f>IF($A638="","",TRIM(IF(AND($P638=0,$I638&lt;&gt;"Yes"),"T0-NoPhishResistant ","")&amp;IF($H638="No","NoMFA ","")&amp;IF(AND($P638=0,$M638&gt;0),"T0-Standing ","")&amp;IF(AND($P638=0,$Q638="Group only"),"T0-ViaGroupOnly ","")&amp;IF($W638="Yes","AlsoAzureRBAC ","")))</f>
        <v/>
      </c>
      <c r="AN638" s="85">
        <f>IF($A638="","",IF(AG638="","Not Enrolled",IF(TODAY()&gt;AG638,"Review Overdue",IF(AG638-TODAY()&lt;=30,"Review Due Soon","Active"))))</f>
        <v/>
      </c>
      <c r="AO638" s="85">
        <f>IF($A638="","",IF(AH638="","NOT REVIEWED",IF(TODAY()-AH638&gt;90,"OVERDUE",IF(TODAY()-AH638&gt;76,"Due Soon","Current"))))</f>
        <v/>
      </c>
    </row>
    <row r="639" ht="15" customHeight="1" s="39">
      <c r="A639" s="85" t="n"/>
      <c r="B639" s="85" t="n"/>
      <c r="C639" s="85" t="n"/>
      <c r="D639" s="85" t="n"/>
      <c r="E639" s="85" t="n"/>
      <c r="F639" s="86" t="n"/>
      <c r="G639" s="86" t="n"/>
      <c r="H639" s="85" t="n"/>
      <c r="I639" s="85" t="n"/>
      <c r="J639" s="85" t="n"/>
      <c r="K639" s="85" t="n"/>
      <c r="L639" s="85" t="n"/>
      <c r="M639" s="85" t="n"/>
      <c r="N639" s="85" t="n"/>
      <c r="O639" s="85" t="n"/>
      <c r="P639" s="85" t="n"/>
      <c r="Q639" s="85" t="n"/>
      <c r="R639" s="85" t="n"/>
      <c r="S639" s="85" t="n"/>
      <c r="T639" s="85" t="n"/>
      <c r="U639" s="85" t="n"/>
      <c r="V639" s="85" t="n"/>
      <c r="W639" s="85" t="n"/>
      <c r="X639" s="85" t="n"/>
      <c r="Y639" s="85" t="n"/>
      <c r="Z639" s="85" t="n"/>
      <c r="AA639" s="85" t="n"/>
      <c r="AB639" s="85" t="n"/>
      <c r="AC639" s="85" t="n"/>
      <c r="AD639" s="85" t="n"/>
      <c r="AE639" s="85" t="n"/>
      <c r="AF639" s="86" t="n"/>
      <c r="AG639" s="86" t="n"/>
      <c r="AH639" s="86" t="n"/>
      <c r="AI639" s="85" t="n"/>
      <c r="AJ639" s="85" t="n"/>
      <c r="AK639" s="85">
        <f>IF($A639="","",IF($M639&gt;0,"Yes","No"))</f>
        <v/>
      </c>
      <c r="AL639" s="85">
        <f>IF($A639="","",IF(AND($E639="Yes",OR($Y639="No",$Y639="NOT FOUND")),"YES",""))</f>
        <v/>
      </c>
      <c r="AM639" s="85">
        <f>IF($A639="","",TRIM(IF(AND($P639=0,$I639&lt;&gt;"Yes"),"T0-NoPhishResistant ","")&amp;IF($H639="No","NoMFA ","")&amp;IF(AND($P639=0,$M639&gt;0),"T0-Standing ","")&amp;IF(AND($P639=0,$Q639="Group only"),"T0-ViaGroupOnly ","")&amp;IF($W639="Yes","AlsoAzureRBAC ","")))</f>
        <v/>
      </c>
      <c r="AN639" s="85">
        <f>IF($A639="","",IF(AG639="","Not Enrolled",IF(TODAY()&gt;AG639,"Review Overdue",IF(AG639-TODAY()&lt;=30,"Review Due Soon","Active"))))</f>
        <v/>
      </c>
      <c r="AO639" s="85">
        <f>IF($A639="","",IF(AH639="","NOT REVIEWED",IF(TODAY()-AH639&gt;90,"OVERDUE",IF(TODAY()-AH639&gt;76,"Due Soon","Current"))))</f>
        <v/>
      </c>
    </row>
    <row r="640" ht="15" customHeight="1" s="39">
      <c r="A640" s="85" t="n"/>
      <c r="B640" s="85" t="n"/>
      <c r="C640" s="85" t="n"/>
      <c r="D640" s="85" t="n"/>
      <c r="E640" s="85" t="n"/>
      <c r="F640" s="86" t="n"/>
      <c r="G640" s="86" t="n"/>
      <c r="H640" s="85" t="n"/>
      <c r="I640" s="85" t="n"/>
      <c r="J640" s="85" t="n"/>
      <c r="K640" s="85" t="n"/>
      <c r="L640" s="85" t="n"/>
      <c r="M640" s="85" t="n"/>
      <c r="N640" s="85" t="n"/>
      <c r="O640" s="85" t="n"/>
      <c r="P640" s="85" t="n"/>
      <c r="Q640" s="85" t="n"/>
      <c r="R640" s="85" t="n"/>
      <c r="S640" s="85" t="n"/>
      <c r="T640" s="85" t="n"/>
      <c r="U640" s="85" t="n"/>
      <c r="V640" s="85" t="n"/>
      <c r="W640" s="85" t="n"/>
      <c r="X640" s="85" t="n"/>
      <c r="Y640" s="85" t="n"/>
      <c r="Z640" s="85" t="n"/>
      <c r="AA640" s="85" t="n"/>
      <c r="AB640" s="85" t="n"/>
      <c r="AC640" s="85" t="n"/>
      <c r="AD640" s="85" t="n"/>
      <c r="AE640" s="85" t="n"/>
      <c r="AF640" s="86" t="n"/>
      <c r="AG640" s="86" t="n"/>
      <c r="AH640" s="86" t="n"/>
      <c r="AI640" s="85" t="n"/>
      <c r="AJ640" s="85" t="n"/>
      <c r="AK640" s="85">
        <f>IF($A640="","",IF($M640&gt;0,"Yes","No"))</f>
        <v/>
      </c>
      <c r="AL640" s="85">
        <f>IF($A640="","",IF(AND($E640="Yes",OR($Y640="No",$Y640="NOT FOUND")),"YES",""))</f>
        <v/>
      </c>
      <c r="AM640" s="85">
        <f>IF($A640="","",TRIM(IF(AND($P640=0,$I640&lt;&gt;"Yes"),"T0-NoPhishResistant ","")&amp;IF($H640="No","NoMFA ","")&amp;IF(AND($P640=0,$M640&gt;0),"T0-Standing ","")&amp;IF(AND($P640=0,$Q640="Group only"),"T0-ViaGroupOnly ","")&amp;IF($W640="Yes","AlsoAzureRBAC ","")))</f>
        <v/>
      </c>
      <c r="AN640" s="85">
        <f>IF($A640="","",IF(AG640="","Not Enrolled",IF(TODAY()&gt;AG640,"Review Overdue",IF(AG640-TODAY()&lt;=30,"Review Due Soon","Active"))))</f>
        <v/>
      </c>
      <c r="AO640" s="85">
        <f>IF($A640="","",IF(AH640="","NOT REVIEWED",IF(TODAY()-AH640&gt;90,"OVERDUE",IF(TODAY()-AH640&gt;76,"Due Soon","Current"))))</f>
        <v/>
      </c>
    </row>
    <row r="641" ht="15" customHeight="1" s="39">
      <c r="A641" s="85" t="n"/>
      <c r="B641" s="85" t="n"/>
      <c r="C641" s="85" t="n"/>
      <c r="D641" s="85" t="n"/>
      <c r="E641" s="85" t="n"/>
      <c r="F641" s="86" t="n"/>
      <c r="G641" s="86" t="n"/>
      <c r="H641" s="85" t="n"/>
      <c r="I641" s="85" t="n"/>
      <c r="J641" s="85" t="n"/>
      <c r="K641" s="85" t="n"/>
      <c r="L641" s="85" t="n"/>
      <c r="M641" s="85" t="n"/>
      <c r="N641" s="85" t="n"/>
      <c r="O641" s="85" t="n"/>
      <c r="P641" s="85" t="n"/>
      <c r="Q641" s="85" t="n"/>
      <c r="R641" s="85" t="n"/>
      <c r="S641" s="85" t="n"/>
      <c r="T641" s="85" t="n"/>
      <c r="U641" s="85" t="n"/>
      <c r="V641" s="85" t="n"/>
      <c r="W641" s="85" t="n"/>
      <c r="X641" s="85" t="n"/>
      <c r="Y641" s="85" t="n"/>
      <c r="Z641" s="85" t="n"/>
      <c r="AA641" s="85" t="n"/>
      <c r="AB641" s="85" t="n"/>
      <c r="AC641" s="85" t="n"/>
      <c r="AD641" s="85" t="n"/>
      <c r="AE641" s="85" t="n"/>
      <c r="AF641" s="86" t="n"/>
      <c r="AG641" s="86" t="n"/>
      <c r="AH641" s="86" t="n"/>
      <c r="AI641" s="85" t="n"/>
      <c r="AJ641" s="85" t="n"/>
      <c r="AK641" s="85">
        <f>IF($A641="","",IF($M641&gt;0,"Yes","No"))</f>
        <v/>
      </c>
      <c r="AL641" s="85">
        <f>IF($A641="","",IF(AND($E641="Yes",OR($Y641="No",$Y641="NOT FOUND")),"YES",""))</f>
        <v/>
      </c>
      <c r="AM641" s="85">
        <f>IF($A641="","",TRIM(IF(AND($P641=0,$I641&lt;&gt;"Yes"),"T0-NoPhishResistant ","")&amp;IF($H641="No","NoMFA ","")&amp;IF(AND($P641=0,$M641&gt;0),"T0-Standing ","")&amp;IF(AND($P641=0,$Q641="Group only"),"T0-ViaGroupOnly ","")&amp;IF($W641="Yes","AlsoAzureRBAC ","")))</f>
        <v/>
      </c>
      <c r="AN641" s="85">
        <f>IF($A641="","",IF(AG641="","Not Enrolled",IF(TODAY()&gt;AG641,"Review Overdue",IF(AG641-TODAY()&lt;=30,"Review Due Soon","Active"))))</f>
        <v/>
      </c>
      <c r="AO641" s="85">
        <f>IF($A641="","",IF(AH641="","NOT REVIEWED",IF(TODAY()-AH641&gt;90,"OVERDUE",IF(TODAY()-AH641&gt;76,"Due Soon","Current"))))</f>
        <v/>
      </c>
    </row>
    <row r="642" ht="15" customHeight="1" s="39">
      <c r="A642" s="85" t="n"/>
      <c r="B642" s="85" t="n"/>
      <c r="C642" s="85" t="n"/>
      <c r="D642" s="85" t="n"/>
      <c r="E642" s="85" t="n"/>
      <c r="F642" s="86" t="n"/>
      <c r="G642" s="86" t="n"/>
      <c r="H642" s="85" t="n"/>
      <c r="I642" s="85" t="n"/>
      <c r="J642" s="85" t="n"/>
      <c r="K642" s="85" t="n"/>
      <c r="L642" s="85" t="n"/>
      <c r="M642" s="85" t="n"/>
      <c r="N642" s="85" t="n"/>
      <c r="O642" s="85" t="n"/>
      <c r="P642" s="85" t="n"/>
      <c r="Q642" s="85" t="n"/>
      <c r="R642" s="85" t="n"/>
      <c r="S642" s="85" t="n"/>
      <c r="T642" s="85" t="n"/>
      <c r="U642" s="85" t="n"/>
      <c r="V642" s="85" t="n"/>
      <c r="W642" s="85" t="n"/>
      <c r="X642" s="85" t="n"/>
      <c r="Y642" s="85" t="n"/>
      <c r="Z642" s="85" t="n"/>
      <c r="AA642" s="85" t="n"/>
      <c r="AB642" s="85" t="n"/>
      <c r="AC642" s="85" t="n"/>
      <c r="AD642" s="85" t="n"/>
      <c r="AE642" s="85" t="n"/>
      <c r="AF642" s="86" t="n"/>
      <c r="AG642" s="86" t="n"/>
      <c r="AH642" s="86" t="n"/>
      <c r="AI642" s="85" t="n"/>
      <c r="AJ642" s="85" t="n"/>
      <c r="AK642" s="85">
        <f>IF($A642="","",IF($M642&gt;0,"Yes","No"))</f>
        <v/>
      </c>
      <c r="AL642" s="85">
        <f>IF($A642="","",IF(AND($E642="Yes",OR($Y642="No",$Y642="NOT FOUND")),"YES",""))</f>
        <v/>
      </c>
      <c r="AM642" s="85">
        <f>IF($A642="","",TRIM(IF(AND($P642=0,$I642&lt;&gt;"Yes"),"T0-NoPhishResistant ","")&amp;IF($H642="No","NoMFA ","")&amp;IF(AND($P642=0,$M642&gt;0),"T0-Standing ","")&amp;IF(AND($P642=0,$Q642="Group only"),"T0-ViaGroupOnly ","")&amp;IF($W642="Yes","AlsoAzureRBAC ","")))</f>
        <v/>
      </c>
      <c r="AN642" s="85">
        <f>IF($A642="","",IF(AG642="","Not Enrolled",IF(TODAY()&gt;AG642,"Review Overdue",IF(AG642-TODAY()&lt;=30,"Review Due Soon","Active"))))</f>
        <v/>
      </c>
      <c r="AO642" s="85">
        <f>IF($A642="","",IF(AH642="","NOT REVIEWED",IF(TODAY()-AH642&gt;90,"OVERDUE",IF(TODAY()-AH642&gt;76,"Due Soon","Current"))))</f>
        <v/>
      </c>
    </row>
    <row r="643" ht="15" customHeight="1" s="39">
      <c r="A643" s="85" t="n"/>
      <c r="B643" s="85" t="n"/>
      <c r="C643" s="85" t="n"/>
      <c r="D643" s="85" t="n"/>
      <c r="E643" s="85" t="n"/>
      <c r="F643" s="86" t="n"/>
      <c r="G643" s="86" t="n"/>
      <c r="H643" s="85" t="n"/>
      <c r="I643" s="85" t="n"/>
      <c r="J643" s="85" t="n"/>
      <c r="K643" s="85" t="n"/>
      <c r="L643" s="85" t="n"/>
      <c r="M643" s="85" t="n"/>
      <c r="N643" s="85" t="n"/>
      <c r="O643" s="85" t="n"/>
      <c r="P643" s="85" t="n"/>
      <c r="Q643" s="85" t="n"/>
      <c r="R643" s="85" t="n"/>
      <c r="S643" s="85" t="n"/>
      <c r="T643" s="85" t="n"/>
      <c r="U643" s="85" t="n"/>
      <c r="V643" s="85" t="n"/>
      <c r="W643" s="85" t="n"/>
      <c r="X643" s="85" t="n"/>
      <c r="Y643" s="85" t="n"/>
      <c r="Z643" s="85" t="n"/>
      <c r="AA643" s="85" t="n"/>
      <c r="AB643" s="85" t="n"/>
      <c r="AC643" s="85" t="n"/>
      <c r="AD643" s="85" t="n"/>
      <c r="AE643" s="85" t="n"/>
      <c r="AF643" s="86" t="n"/>
      <c r="AG643" s="86" t="n"/>
      <c r="AH643" s="86" t="n"/>
      <c r="AI643" s="85" t="n"/>
      <c r="AJ643" s="85" t="n"/>
      <c r="AK643" s="85">
        <f>IF($A643="","",IF($M643&gt;0,"Yes","No"))</f>
        <v/>
      </c>
      <c r="AL643" s="85">
        <f>IF($A643="","",IF(AND($E643="Yes",OR($Y643="No",$Y643="NOT FOUND")),"YES",""))</f>
        <v/>
      </c>
      <c r="AM643" s="85">
        <f>IF($A643="","",TRIM(IF(AND($P643=0,$I643&lt;&gt;"Yes"),"T0-NoPhishResistant ","")&amp;IF($H643="No","NoMFA ","")&amp;IF(AND($P643=0,$M643&gt;0),"T0-Standing ","")&amp;IF(AND($P643=0,$Q643="Group only"),"T0-ViaGroupOnly ","")&amp;IF($W643="Yes","AlsoAzureRBAC ","")))</f>
        <v/>
      </c>
      <c r="AN643" s="85">
        <f>IF($A643="","",IF(AG643="","Not Enrolled",IF(TODAY()&gt;AG643,"Review Overdue",IF(AG643-TODAY()&lt;=30,"Review Due Soon","Active"))))</f>
        <v/>
      </c>
      <c r="AO643" s="85">
        <f>IF($A643="","",IF(AH643="","NOT REVIEWED",IF(TODAY()-AH643&gt;90,"OVERDUE",IF(TODAY()-AH643&gt;76,"Due Soon","Current"))))</f>
        <v/>
      </c>
    </row>
    <row r="644" ht="15" customHeight="1" s="39">
      <c r="A644" s="85" t="n"/>
      <c r="B644" s="85" t="n"/>
      <c r="C644" s="85" t="n"/>
      <c r="D644" s="85" t="n"/>
      <c r="E644" s="85" t="n"/>
      <c r="F644" s="86" t="n"/>
      <c r="G644" s="86" t="n"/>
      <c r="H644" s="85" t="n"/>
      <c r="I644" s="85" t="n"/>
      <c r="J644" s="85" t="n"/>
      <c r="K644" s="85" t="n"/>
      <c r="L644" s="85" t="n"/>
      <c r="M644" s="85" t="n"/>
      <c r="N644" s="85" t="n"/>
      <c r="O644" s="85" t="n"/>
      <c r="P644" s="85" t="n"/>
      <c r="Q644" s="85" t="n"/>
      <c r="R644" s="85" t="n"/>
      <c r="S644" s="85" t="n"/>
      <c r="T644" s="85" t="n"/>
      <c r="U644" s="85" t="n"/>
      <c r="V644" s="85" t="n"/>
      <c r="W644" s="85" t="n"/>
      <c r="X644" s="85" t="n"/>
      <c r="Y644" s="85" t="n"/>
      <c r="Z644" s="85" t="n"/>
      <c r="AA644" s="85" t="n"/>
      <c r="AB644" s="85" t="n"/>
      <c r="AC644" s="85" t="n"/>
      <c r="AD644" s="85" t="n"/>
      <c r="AE644" s="85" t="n"/>
      <c r="AF644" s="86" t="n"/>
      <c r="AG644" s="86" t="n"/>
      <c r="AH644" s="86" t="n"/>
      <c r="AI644" s="85" t="n"/>
      <c r="AJ644" s="85" t="n"/>
      <c r="AK644" s="85">
        <f>IF($A644="","",IF($M644&gt;0,"Yes","No"))</f>
        <v/>
      </c>
      <c r="AL644" s="85">
        <f>IF($A644="","",IF(AND($E644="Yes",OR($Y644="No",$Y644="NOT FOUND")),"YES",""))</f>
        <v/>
      </c>
      <c r="AM644" s="85">
        <f>IF($A644="","",TRIM(IF(AND($P644=0,$I644&lt;&gt;"Yes"),"T0-NoPhishResistant ","")&amp;IF($H644="No","NoMFA ","")&amp;IF(AND($P644=0,$M644&gt;0),"T0-Standing ","")&amp;IF(AND($P644=0,$Q644="Group only"),"T0-ViaGroupOnly ","")&amp;IF($W644="Yes","AlsoAzureRBAC ","")))</f>
        <v/>
      </c>
      <c r="AN644" s="85">
        <f>IF($A644="","",IF(AG644="","Not Enrolled",IF(TODAY()&gt;AG644,"Review Overdue",IF(AG644-TODAY()&lt;=30,"Review Due Soon","Active"))))</f>
        <v/>
      </c>
      <c r="AO644" s="85">
        <f>IF($A644="","",IF(AH644="","NOT REVIEWED",IF(TODAY()-AH644&gt;90,"OVERDUE",IF(TODAY()-AH644&gt;76,"Due Soon","Current"))))</f>
        <v/>
      </c>
    </row>
    <row r="645" ht="15" customHeight="1" s="39">
      <c r="A645" s="85" t="n"/>
      <c r="B645" s="85" t="n"/>
      <c r="C645" s="85" t="n"/>
      <c r="D645" s="85" t="n"/>
      <c r="E645" s="85" t="n"/>
      <c r="F645" s="86" t="n"/>
      <c r="G645" s="86" t="n"/>
      <c r="H645" s="85" t="n"/>
      <c r="I645" s="85" t="n"/>
      <c r="J645" s="85" t="n"/>
      <c r="K645" s="85" t="n"/>
      <c r="L645" s="85" t="n"/>
      <c r="M645" s="85" t="n"/>
      <c r="N645" s="85" t="n"/>
      <c r="O645" s="85" t="n"/>
      <c r="P645" s="85" t="n"/>
      <c r="Q645" s="85" t="n"/>
      <c r="R645" s="85" t="n"/>
      <c r="S645" s="85" t="n"/>
      <c r="T645" s="85" t="n"/>
      <c r="U645" s="85" t="n"/>
      <c r="V645" s="85" t="n"/>
      <c r="W645" s="85" t="n"/>
      <c r="X645" s="85" t="n"/>
      <c r="Y645" s="85" t="n"/>
      <c r="Z645" s="85" t="n"/>
      <c r="AA645" s="85" t="n"/>
      <c r="AB645" s="85" t="n"/>
      <c r="AC645" s="85" t="n"/>
      <c r="AD645" s="85" t="n"/>
      <c r="AE645" s="85" t="n"/>
      <c r="AF645" s="86" t="n"/>
      <c r="AG645" s="86" t="n"/>
      <c r="AH645" s="86" t="n"/>
      <c r="AI645" s="85" t="n"/>
      <c r="AJ645" s="85" t="n"/>
      <c r="AK645" s="85">
        <f>IF($A645="","",IF($M645&gt;0,"Yes","No"))</f>
        <v/>
      </c>
      <c r="AL645" s="85">
        <f>IF($A645="","",IF(AND($E645="Yes",OR($Y645="No",$Y645="NOT FOUND")),"YES",""))</f>
        <v/>
      </c>
      <c r="AM645" s="85">
        <f>IF($A645="","",TRIM(IF(AND($P645=0,$I645&lt;&gt;"Yes"),"T0-NoPhishResistant ","")&amp;IF($H645="No","NoMFA ","")&amp;IF(AND($P645=0,$M645&gt;0),"T0-Standing ","")&amp;IF(AND($P645=0,$Q645="Group only"),"T0-ViaGroupOnly ","")&amp;IF($W645="Yes","AlsoAzureRBAC ","")))</f>
        <v/>
      </c>
      <c r="AN645" s="85">
        <f>IF($A645="","",IF(AG645="","Not Enrolled",IF(TODAY()&gt;AG645,"Review Overdue",IF(AG645-TODAY()&lt;=30,"Review Due Soon","Active"))))</f>
        <v/>
      </c>
      <c r="AO645" s="85">
        <f>IF($A645="","",IF(AH645="","NOT REVIEWED",IF(TODAY()-AH645&gt;90,"OVERDUE",IF(TODAY()-AH645&gt;76,"Due Soon","Current"))))</f>
        <v/>
      </c>
    </row>
    <row r="646" ht="15" customHeight="1" s="39">
      <c r="A646" s="85" t="n"/>
      <c r="B646" s="85" t="n"/>
      <c r="C646" s="85" t="n"/>
      <c r="D646" s="85" t="n"/>
      <c r="E646" s="85" t="n"/>
      <c r="F646" s="86" t="n"/>
      <c r="G646" s="86" t="n"/>
      <c r="H646" s="85" t="n"/>
      <c r="I646" s="85" t="n"/>
      <c r="J646" s="85" t="n"/>
      <c r="K646" s="85" t="n"/>
      <c r="L646" s="85" t="n"/>
      <c r="M646" s="85" t="n"/>
      <c r="N646" s="85" t="n"/>
      <c r="O646" s="85" t="n"/>
      <c r="P646" s="85" t="n"/>
      <c r="Q646" s="85" t="n"/>
      <c r="R646" s="85" t="n"/>
      <c r="S646" s="85" t="n"/>
      <c r="T646" s="85" t="n"/>
      <c r="U646" s="85" t="n"/>
      <c r="V646" s="85" t="n"/>
      <c r="W646" s="85" t="n"/>
      <c r="X646" s="85" t="n"/>
      <c r="Y646" s="85" t="n"/>
      <c r="Z646" s="85" t="n"/>
      <c r="AA646" s="85" t="n"/>
      <c r="AB646" s="85" t="n"/>
      <c r="AC646" s="85" t="n"/>
      <c r="AD646" s="85" t="n"/>
      <c r="AE646" s="85" t="n"/>
      <c r="AF646" s="86" t="n"/>
      <c r="AG646" s="86" t="n"/>
      <c r="AH646" s="86" t="n"/>
      <c r="AI646" s="85" t="n"/>
      <c r="AJ646" s="85" t="n"/>
      <c r="AK646" s="85">
        <f>IF($A646="","",IF($M646&gt;0,"Yes","No"))</f>
        <v/>
      </c>
      <c r="AL646" s="85">
        <f>IF($A646="","",IF(AND($E646="Yes",OR($Y646="No",$Y646="NOT FOUND")),"YES",""))</f>
        <v/>
      </c>
      <c r="AM646" s="85">
        <f>IF($A646="","",TRIM(IF(AND($P646=0,$I646&lt;&gt;"Yes"),"T0-NoPhishResistant ","")&amp;IF($H646="No","NoMFA ","")&amp;IF(AND($P646=0,$M646&gt;0),"T0-Standing ","")&amp;IF(AND($P646=0,$Q646="Group only"),"T0-ViaGroupOnly ","")&amp;IF($W646="Yes","AlsoAzureRBAC ","")))</f>
        <v/>
      </c>
      <c r="AN646" s="85">
        <f>IF($A646="","",IF(AG646="","Not Enrolled",IF(TODAY()&gt;AG646,"Review Overdue",IF(AG646-TODAY()&lt;=30,"Review Due Soon","Active"))))</f>
        <v/>
      </c>
      <c r="AO646" s="85">
        <f>IF($A646="","",IF(AH646="","NOT REVIEWED",IF(TODAY()-AH646&gt;90,"OVERDUE",IF(TODAY()-AH646&gt;76,"Due Soon","Current"))))</f>
        <v/>
      </c>
    </row>
    <row r="647" ht="15" customHeight="1" s="39">
      <c r="A647" s="85" t="n"/>
      <c r="B647" s="85" t="n"/>
      <c r="C647" s="85" t="n"/>
      <c r="D647" s="85" t="n"/>
      <c r="E647" s="85" t="n"/>
      <c r="F647" s="86" t="n"/>
      <c r="G647" s="86" t="n"/>
      <c r="H647" s="85" t="n"/>
      <c r="I647" s="85" t="n"/>
      <c r="J647" s="85" t="n"/>
      <c r="K647" s="85" t="n"/>
      <c r="L647" s="85" t="n"/>
      <c r="M647" s="85" t="n"/>
      <c r="N647" s="85" t="n"/>
      <c r="O647" s="85" t="n"/>
      <c r="P647" s="85" t="n"/>
      <c r="Q647" s="85" t="n"/>
      <c r="R647" s="85" t="n"/>
      <c r="S647" s="85" t="n"/>
      <c r="T647" s="85" t="n"/>
      <c r="U647" s="85" t="n"/>
      <c r="V647" s="85" t="n"/>
      <c r="W647" s="85" t="n"/>
      <c r="X647" s="85" t="n"/>
      <c r="Y647" s="85" t="n"/>
      <c r="Z647" s="85" t="n"/>
      <c r="AA647" s="85" t="n"/>
      <c r="AB647" s="85" t="n"/>
      <c r="AC647" s="85" t="n"/>
      <c r="AD647" s="85" t="n"/>
      <c r="AE647" s="85" t="n"/>
      <c r="AF647" s="86" t="n"/>
      <c r="AG647" s="86" t="n"/>
      <c r="AH647" s="86" t="n"/>
      <c r="AI647" s="85" t="n"/>
      <c r="AJ647" s="85" t="n"/>
      <c r="AK647" s="85">
        <f>IF($A647="","",IF($M647&gt;0,"Yes","No"))</f>
        <v/>
      </c>
      <c r="AL647" s="85">
        <f>IF($A647="","",IF(AND($E647="Yes",OR($Y647="No",$Y647="NOT FOUND")),"YES",""))</f>
        <v/>
      </c>
      <c r="AM647" s="85">
        <f>IF($A647="","",TRIM(IF(AND($P647=0,$I647&lt;&gt;"Yes"),"T0-NoPhishResistant ","")&amp;IF($H647="No","NoMFA ","")&amp;IF(AND($P647=0,$M647&gt;0),"T0-Standing ","")&amp;IF(AND($P647=0,$Q647="Group only"),"T0-ViaGroupOnly ","")&amp;IF($W647="Yes","AlsoAzureRBAC ","")))</f>
        <v/>
      </c>
      <c r="AN647" s="85">
        <f>IF($A647="","",IF(AG647="","Not Enrolled",IF(TODAY()&gt;AG647,"Review Overdue",IF(AG647-TODAY()&lt;=30,"Review Due Soon","Active"))))</f>
        <v/>
      </c>
      <c r="AO647" s="85">
        <f>IF($A647="","",IF(AH647="","NOT REVIEWED",IF(TODAY()-AH647&gt;90,"OVERDUE",IF(TODAY()-AH647&gt;76,"Due Soon","Current"))))</f>
        <v/>
      </c>
    </row>
    <row r="648" ht="15" customHeight="1" s="39">
      <c r="A648" s="85" t="n"/>
      <c r="B648" s="85" t="n"/>
      <c r="C648" s="85" t="n"/>
      <c r="D648" s="85" t="n"/>
      <c r="E648" s="85" t="n"/>
      <c r="F648" s="86" t="n"/>
      <c r="G648" s="86" t="n"/>
      <c r="H648" s="85" t="n"/>
      <c r="I648" s="85" t="n"/>
      <c r="J648" s="85" t="n"/>
      <c r="K648" s="85" t="n"/>
      <c r="L648" s="85" t="n"/>
      <c r="M648" s="85" t="n"/>
      <c r="N648" s="85" t="n"/>
      <c r="O648" s="85" t="n"/>
      <c r="P648" s="85" t="n"/>
      <c r="Q648" s="85" t="n"/>
      <c r="R648" s="85" t="n"/>
      <c r="S648" s="85" t="n"/>
      <c r="T648" s="85" t="n"/>
      <c r="U648" s="85" t="n"/>
      <c r="V648" s="85" t="n"/>
      <c r="W648" s="85" t="n"/>
      <c r="X648" s="85" t="n"/>
      <c r="Y648" s="85" t="n"/>
      <c r="Z648" s="85" t="n"/>
      <c r="AA648" s="85" t="n"/>
      <c r="AB648" s="85" t="n"/>
      <c r="AC648" s="85" t="n"/>
      <c r="AD648" s="85" t="n"/>
      <c r="AE648" s="85" t="n"/>
      <c r="AF648" s="86" t="n"/>
      <c r="AG648" s="86" t="n"/>
      <c r="AH648" s="86" t="n"/>
      <c r="AI648" s="85" t="n"/>
      <c r="AJ648" s="85" t="n"/>
      <c r="AK648" s="85">
        <f>IF($A648="","",IF($M648&gt;0,"Yes","No"))</f>
        <v/>
      </c>
      <c r="AL648" s="85">
        <f>IF($A648="","",IF(AND($E648="Yes",OR($Y648="No",$Y648="NOT FOUND")),"YES",""))</f>
        <v/>
      </c>
      <c r="AM648" s="85">
        <f>IF($A648="","",TRIM(IF(AND($P648=0,$I648&lt;&gt;"Yes"),"T0-NoPhishResistant ","")&amp;IF($H648="No","NoMFA ","")&amp;IF(AND($P648=0,$M648&gt;0),"T0-Standing ","")&amp;IF(AND($P648=0,$Q648="Group only"),"T0-ViaGroupOnly ","")&amp;IF($W648="Yes","AlsoAzureRBAC ","")))</f>
        <v/>
      </c>
      <c r="AN648" s="85">
        <f>IF($A648="","",IF(AG648="","Not Enrolled",IF(TODAY()&gt;AG648,"Review Overdue",IF(AG648-TODAY()&lt;=30,"Review Due Soon","Active"))))</f>
        <v/>
      </c>
      <c r="AO648" s="85">
        <f>IF($A648="","",IF(AH648="","NOT REVIEWED",IF(TODAY()-AH648&gt;90,"OVERDUE",IF(TODAY()-AH648&gt;76,"Due Soon","Current"))))</f>
        <v/>
      </c>
    </row>
    <row r="649" ht="15" customHeight="1" s="39">
      <c r="A649" s="85" t="n"/>
      <c r="B649" s="85" t="n"/>
      <c r="C649" s="85" t="n"/>
      <c r="D649" s="85" t="n"/>
      <c r="E649" s="85" t="n"/>
      <c r="F649" s="86" t="n"/>
      <c r="G649" s="86" t="n"/>
      <c r="H649" s="85" t="n"/>
      <c r="I649" s="85" t="n"/>
      <c r="J649" s="85" t="n"/>
      <c r="K649" s="85" t="n"/>
      <c r="L649" s="85" t="n"/>
      <c r="M649" s="85" t="n"/>
      <c r="N649" s="85" t="n"/>
      <c r="O649" s="85" t="n"/>
      <c r="P649" s="85" t="n"/>
      <c r="Q649" s="85" t="n"/>
      <c r="R649" s="85" t="n"/>
      <c r="S649" s="85" t="n"/>
      <c r="T649" s="85" t="n"/>
      <c r="U649" s="85" t="n"/>
      <c r="V649" s="85" t="n"/>
      <c r="W649" s="85" t="n"/>
      <c r="X649" s="85" t="n"/>
      <c r="Y649" s="85" t="n"/>
      <c r="Z649" s="85" t="n"/>
      <c r="AA649" s="85" t="n"/>
      <c r="AB649" s="85" t="n"/>
      <c r="AC649" s="85" t="n"/>
      <c r="AD649" s="85" t="n"/>
      <c r="AE649" s="85" t="n"/>
      <c r="AF649" s="86" t="n"/>
      <c r="AG649" s="86" t="n"/>
      <c r="AH649" s="86" t="n"/>
      <c r="AI649" s="85" t="n"/>
      <c r="AJ649" s="85" t="n"/>
      <c r="AK649" s="85">
        <f>IF($A649="","",IF($M649&gt;0,"Yes","No"))</f>
        <v/>
      </c>
      <c r="AL649" s="85">
        <f>IF($A649="","",IF(AND($E649="Yes",OR($Y649="No",$Y649="NOT FOUND")),"YES",""))</f>
        <v/>
      </c>
      <c r="AM649" s="85">
        <f>IF($A649="","",TRIM(IF(AND($P649=0,$I649&lt;&gt;"Yes"),"T0-NoPhishResistant ","")&amp;IF($H649="No","NoMFA ","")&amp;IF(AND($P649=0,$M649&gt;0),"T0-Standing ","")&amp;IF(AND($P649=0,$Q649="Group only"),"T0-ViaGroupOnly ","")&amp;IF($W649="Yes","AlsoAzureRBAC ","")))</f>
        <v/>
      </c>
      <c r="AN649" s="85">
        <f>IF($A649="","",IF(AG649="","Not Enrolled",IF(TODAY()&gt;AG649,"Review Overdue",IF(AG649-TODAY()&lt;=30,"Review Due Soon","Active"))))</f>
        <v/>
      </c>
      <c r="AO649" s="85">
        <f>IF($A649="","",IF(AH649="","NOT REVIEWED",IF(TODAY()-AH649&gt;90,"OVERDUE",IF(TODAY()-AH649&gt;76,"Due Soon","Current"))))</f>
        <v/>
      </c>
    </row>
    <row r="650" ht="15" customHeight="1" s="39">
      <c r="A650" s="85" t="n"/>
      <c r="B650" s="85" t="n"/>
      <c r="C650" s="85" t="n"/>
      <c r="D650" s="85" t="n"/>
      <c r="E650" s="85" t="n"/>
      <c r="F650" s="86" t="n"/>
      <c r="G650" s="86" t="n"/>
      <c r="H650" s="85" t="n"/>
      <c r="I650" s="85" t="n"/>
      <c r="J650" s="85" t="n"/>
      <c r="K650" s="85" t="n"/>
      <c r="L650" s="85" t="n"/>
      <c r="M650" s="85" t="n"/>
      <c r="N650" s="85" t="n"/>
      <c r="O650" s="85" t="n"/>
      <c r="P650" s="85" t="n"/>
      <c r="Q650" s="85" t="n"/>
      <c r="R650" s="85" t="n"/>
      <c r="S650" s="85" t="n"/>
      <c r="T650" s="85" t="n"/>
      <c r="U650" s="85" t="n"/>
      <c r="V650" s="85" t="n"/>
      <c r="W650" s="85" t="n"/>
      <c r="X650" s="85" t="n"/>
      <c r="Y650" s="85" t="n"/>
      <c r="Z650" s="85" t="n"/>
      <c r="AA650" s="85" t="n"/>
      <c r="AB650" s="85" t="n"/>
      <c r="AC650" s="85" t="n"/>
      <c r="AD650" s="85" t="n"/>
      <c r="AE650" s="85" t="n"/>
      <c r="AF650" s="86" t="n"/>
      <c r="AG650" s="86" t="n"/>
      <c r="AH650" s="86" t="n"/>
      <c r="AI650" s="85" t="n"/>
      <c r="AJ650" s="85" t="n"/>
      <c r="AK650" s="85">
        <f>IF($A650="","",IF($M650&gt;0,"Yes","No"))</f>
        <v/>
      </c>
      <c r="AL650" s="85">
        <f>IF($A650="","",IF(AND($E650="Yes",OR($Y650="No",$Y650="NOT FOUND")),"YES",""))</f>
        <v/>
      </c>
      <c r="AM650" s="85">
        <f>IF($A650="","",TRIM(IF(AND($P650=0,$I650&lt;&gt;"Yes"),"T0-NoPhishResistant ","")&amp;IF($H650="No","NoMFA ","")&amp;IF(AND($P650=0,$M650&gt;0),"T0-Standing ","")&amp;IF(AND($P650=0,$Q650="Group only"),"T0-ViaGroupOnly ","")&amp;IF($W650="Yes","AlsoAzureRBAC ","")))</f>
        <v/>
      </c>
      <c r="AN650" s="85">
        <f>IF($A650="","",IF(AG650="","Not Enrolled",IF(TODAY()&gt;AG650,"Review Overdue",IF(AG650-TODAY()&lt;=30,"Review Due Soon","Active"))))</f>
        <v/>
      </c>
      <c r="AO650" s="85">
        <f>IF($A650="","",IF(AH650="","NOT REVIEWED",IF(TODAY()-AH650&gt;90,"OVERDUE",IF(TODAY()-AH650&gt;76,"Due Soon","Current"))))</f>
        <v/>
      </c>
    </row>
    <row r="651" ht="15" customHeight="1" s="39">
      <c r="A651" s="85" t="n"/>
      <c r="B651" s="85" t="n"/>
      <c r="C651" s="85" t="n"/>
      <c r="D651" s="85" t="n"/>
      <c r="E651" s="85" t="n"/>
      <c r="F651" s="86" t="n"/>
      <c r="G651" s="86" t="n"/>
      <c r="H651" s="85" t="n"/>
      <c r="I651" s="85" t="n"/>
      <c r="J651" s="85" t="n"/>
      <c r="K651" s="85" t="n"/>
      <c r="L651" s="85" t="n"/>
      <c r="M651" s="85" t="n"/>
      <c r="N651" s="85" t="n"/>
      <c r="O651" s="85" t="n"/>
      <c r="P651" s="85" t="n"/>
      <c r="Q651" s="85" t="n"/>
      <c r="R651" s="85" t="n"/>
      <c r="S651" s="85" t="n"/>
      <c r="T651" s="85" t="n"/>
      <c r="U651" s="85" t="n"/>
      <c r="V651" s="85" t="n"/>
      <c r="W651" s="85" t="n"/>
      <c r="X651" s="85" t="n"/>
      <c r="Y651" s="85" t="n"/>
      <c r="Z651" s="85" t="n"/>
      <c r="AA651" s="85" t="n"/>
      <c r="AB651" s="85" t="n"/>
      <c r="AC651" s="85" t="n"/>
      <c r="AD651" s="85" t="n"/>
      <c r="AE651" s="85" t="n"/>
      <c r="AF651" s="86" t="n"/>
      <c r="AG651" s="86" t="n"/>
      <c r="AH651" s="86" t="n"/>
      <c r="AI651" s="85" t="n"/>
      <c r="AJ651" s="85" t="n"/>
      <c r="AK651" s="85">
        <f>IF($A651="","",IF($M651&gt;0,"Yes","No"))</f>
        <v/>
      </c>
      <c r="AL651" s="85">
        <f>IF($A651="","",IF(AND($E651="Yes",OR($Y651="No",$Y651="NOT FOUND")),"YES",""))</f>
        <v/>
      </c>
      <c r="AM651" s="85">
        <f>IF($A651="","",TRIM(IF(AND($P651=0,$I651&lt;&gt;"Yes"),"T0-NoPhishResistant ","")&amp;IF($H651="No","NoMFA ","")&amp;IF(AND($P651=0,$M651&gt;0),"T0-Standing ","")&amp;IF(AND($P651=0,$Q651="Group only"),"T0-ViaGroupOnly ","")&amp;IF($W651="Yes","AlsoAzureRBAC ","")))</f>
        <v/>
      </c>
      <c r="AN651" s="85">
        <f>IF($A651="","",IF(AG651="","Not Enrolled",IF(TODAY()&gt;AG651,"Review Overdue",IF(AG651-TODAY()&lt;=30,"Review Due Soon","Active"))))</f>
        <v/>
      </c>
      <c r="AO651" s="85">
        <f>IF($A651="","",IF(AH651="","NOT REVIEWED",IF(TODAY()-AH651&gt;90,"OVERDUE",IF(TODAY()-AH651&gt;76,"Due Soon","Current"))))</f>
        <v/>
      </c>
    </row>
    <row r="652" ht="15" customHeight="1" s="39">
      <c r="A652" s="85" t="n"/>
      <c r="B652" s="85" t="n"/>
      <c r="C652" s="85" t="n"/>
      <c r="D652" s="85" t="n"/>
      <c r="E652" s="85" t="n"/>
      <c r="F652" s="86" t="n"/>
      <c r="G652" s="86" t="n"/>
      <c r="H652" s="85" t="n"/>
      <c r="I652" s="85" t="n"/>
      <c r="J652" s="85" t="n"/>
      <c r="K652" s="85" t="n"/>
      <c r="L652" s="85" t="n"/>
      <c r="M652" s="85" t="n"/>
      <c r="N652" s="85" t="n"/>
      <c r="O652" s="85" t="n"/>
      <c r="P652" s="85" t="n"/>
      <c r="Q652" s="85" t="n"/>
      <c r="R652" s="85" t="n"/>
      <c r="S652" s="85" t="n"/>
      <c r="T652" s="85" t="n"/>
      <c r="U652" s="85" t="n"/>
      <c r="V652" s="85" t="n"/>
      <c r="W652" s="85" t="n"/>
      <c r="X652" s="85" t="n"/>
      <c r="Y652" s="85" t="n"/>
      <c r="Z652" s="85" t="n"/>
      <c r="AA652" s="85" t="n"/>
      <c r="AB652" s="85" t="n"/>
      <c r="AC652" s="85" t="n"/>
      <c r="AD652" s="85" t="n"/>
      <c r="AE652" s="85" t="n"/>
      <c r="AF652" s="86" t="n"/>
      <c r="AG652" s="86" t="n"/>
      <c r="AH652" s="86" t="n"/>
      <c r="AI652" s="85" t="n"/>
      <c r="AJ652" s="85" t="n"/>
      <c r="AK652" s="85">
        <f>IF($A652="","",IF($M652&gt;0,"Yes","No"))</f>
        <v/>
      </c>
      <c r="AL652" s="85">
        <f>IF($A652="","",IF(AND($E652="Yes",OR($Y652="No",$Y652="NOT FOUND")),"YES",""))</f>
        <v/>
      </c>
      <c r="AM652" s="85">
        <f>IF($A652="","",TRIM(IF(AND($P652=0,$I652&lt;&gt;"Yes"),"T0-NoPhishResistant ","")&amp;IF($H652="No","NoMFA ","")&amp;IF(AND($P652=0,$M652&gt;0),"T0-Standing ","")&amp;IF(AND($P652=0,$Q652="Group only"),"T0-ViaGroupOnly ","")&amp;IF($W652="Yes","AlsoAzureRBAC ","")))</f>
        <v/>
      </c>
      <c r="AN652" s="85">
        <f>IF($A652="","",IF(AG652="","Not Enrolled",IF(TODAY()&gt;AG652,"Review Overdue",IF(AG652-TODAY()&lt;=30,"Review Due Soon","Active"))))</f>
        <v/>
      </c>
      <c r="AO652" s="85">
        <f>IF($A652="","",IF(AH652="","NOT REVIEWED",IF(TODAY()-AH652&gt;90,"OVERDUE",IF(TODAY()-AH652&gt;76,"Due Soon","Current"))))</f>
        <v/>
      </c>
    </row>
    <row r="653" ht="15" customHeight="1" s="39">
      <c r="A653" s="85" t="n"/>
      <c r="B653" s="85" t="n"/>
      <c r="C653" s="85" t="n"/>
      <c r="D653" s="85" t="n"/>
      <c r="E653" s="85" t="n"/>
      <c r="F653" s="86" t="n"/>
      <c r="G653" s="86" t="n"/>
      <c r="H653" s="85" t="n"/>
      <c r="I653" s="85" t="n"/>
      <c r="J653" s="85" t="n"/>
      <c r="K653" s="85" t="n"/>
      <c r="L653" s="85" t="n"/>
      <c r="M653" s="85" t="n"/>
      <c r="N653" s="85" t="n"/>
      <c r="O653" s="85" t="n"/>
      <c r="P653" s="85" t="n"/>
      <c r="Q653" s="85" t="n"/>
      <c r="R653" s="85" t="n"/>
      <c r="S653" s="85" t="n"/>
      <c r="T653" s="85" t="n"/>
      <c r="U653" s="85" t="n"/>
      <c r="V653" s="85" t="n"/>
      <c r="W653" s="85" t="n"/>
      <c r="X653" s="85" t="n"/>
      <c r="Y653" s="85" t="n"/>
      <c r="Z653" s="85" t="n"/>
      <c r="AA653" s="85" t="n"/>
      <c r="AB653" s="85" t="n"/>
      <c r="AC653" s="85" t="n"/>
      <c r="AD653" s="85" t="n"/>
      <c r="AE653" s="85" t="n"/>
      <c r="AF653" s="86" t="n"/>
      <c r="AG653" s="86" t="n"/>
      <c r="AH653" s="86" t="n"/>
      <c r="AI653" s="85" t="n"/>
      <c r="AJ653" s="85" t="n"/>
      <c r="AK653" s="85">
        <f>IF($A653="","",IF($M653&gt;0,"Yes","No"))</f>
        <v/>
      </c>
      <c r="AL653" s="85">
        <f>IF($A653="","",IF(AND($E653="Yes",OR($Y653="No",$Y653="NOT FOUND")),"YES",""))</f>
        <v/>
      </c>
      <c r="AM653" s="85">
        <f>IF($A653="","",TRIM(IF(AND($P653=0,$I653&lt;&gt;"Yes"),"T0-NoPhishResistant ","")&amp;IF($H653="No","NoMFA ","")&amp;IF(AND($P653=0,$M653&gt;0),"T0-Standing ","")&amp;IF(AND($P653=0,$Q653="Group only"),"T0-ViaGroupOnly ","")&amp;IF($W653="Yes","AlsoAzureRBAC ","")))</f>
        <v/>
      </c>
      <c r="AN653" s="85">
        <f>IF($A653="","",IF(AG653="","Not Enrolled",IF(TODAY()&gt;AG653,"Review Overdue",IF(AG653-TODAY()&lt;=30,"Review Due Soon","Active"))))</f>
        <v/>
      </c>
      <c r="AO653" s="85">
        <f>IF($A653="","",IF(AH653="","NOT REVIEWED",IF(TODAY()-AH653&gt;90,"OVERDUE",IF(TODAY()-AH653&gt;76,"Due Soon","Current"))))</f>
        <v/>
      </c>
    </row>
    <row r="654" ht="15" customHeight="1" s="39">
      <c r="A654" s="85" t="n"/>
      <c r="B654" s="85" t="n"/>
      <c r="C654" s="85" t="n"/>
      <c r="D654" s="85" t="n"/>
      <c r="E654" s="85" t="n"/>
      <c r="F654" s="86" t="n"/>
      <c r="G654" s="86" t="n"/>
      <c r="H654" s="85" t="n"/>
      <c r="I654" s="85" t="n"/>
      <c r="J654" s="85" t="n"/>
      <c r="K654" s="85" t="n"/>
      <c r="L654" s="85" t="n"/>
      <c r="M654" s="85" t="n"/>
      <c r="N654" s="85" t="n"/>
      <c r="O654" s="85" t="n"/>
      <c r="P654" s="85" t="n"/>
      <c r="Q654" s="85" t="n"/>
      <c r="R654" s="85" t="n"/>
      <c r="S654" s="85" t="n"/>
      <c r="T654" s="85" t="n"/>
      <c r="U654" s="85" t="n"/>
      <c r="V654" s="85" t="n"/>
      <c r="W654" s="85" t="n"/>
      <c r="X654" s="85" t="n"/>
      <c r="Y654" s="85" t="n"/>
      <c r="Z654" s="85" t="n"/>
      <c r="AA654" s="85" t="n"/>
      <c r="AB654" s="85" t="n"/>
      <c r="AC654" s="85" t="n"/>
      <c r="AD654" s="85" t="n"/>
      <c r="AE654" s="85" t="n"/>
      <c r="AF654" s="86" t="n"/>
      <c r="AG654" s="86" t="n"/>
      <c r="AH654" s="86" t="n"/>
      <c r="AI654" s="85" t="n"/>
      <c r="AJ654" s="85" t="n"/>
      <c r="AK654" s="85">
        <f>IF($A654="","",IF($M654&gt;0,"Yes","No"))</f>
        <v/>
      </c>
      <c r="AL654" s="85">
        <f>IF($A654="","",IF(AND($E654="Yes",OR($Y654="No",$Y654="NOT FOUND")),"YES",""))</f>
        <v/>
      </c>
      <c r="AM654" s="85">
        <f>IF($A654="","",TRIM(IF(AND($P654=0,$I654&lt;&gt;"Yes"),"T0-NoPhishResistant ","")&amp;IF($H654="No","NoMFA ","")&amp;IF(AND($P654=0,$M654&gt;0),"T0-Standing ","")&amp;IF(AND($P654=0,$Q654="Group only"),"T0-ViaGroupOnly ","")&amp;IF($W654="Yes","AlsoAzureRBAC ","")))</f>
        <v/>
      </c>
      <c r="AN654" s="85">
        <f>IF($A654="","",IF(AG654="","Not Enrolled",IF(TODAY()&gt;AG654,"Review Overdue",IF(AG654-TODAY()&lt;=30,"Review Due Soon","Active"))))</f>
        <v/>
      </c>
      <c r="AO654" s="85">
        <f>IF($A654="","",IF(AH654="","NOT REVIEWED",IF(TODAY()-AH654&gt;90,"OVERDUE",IF(TODAY()-AH654&gt;76,"Due Soon","Current"))))</f>
        <v/>
      </c>
    </row>
    <row r="655" ht="15" customHeight="1" s="39">
      <c r="A655" s="85" t="n"/>
      <c r="B655" s="85" t="n"/>
      <c r="C655" s="85" t="n"/>
      <c r="D655" s="85" t="n"/>
      <c r="E655" s="85" t="n"/>
      <c r="F655" s="86" t="n"/>
      <c r="G655" s="86" t="n"/>
      <c r="H655" s="85" t="n"/>
      <c r="I655" s="85" t="n"/>
      <c r="J655" s="85" t="n"/>
      <c r="K655" s="85" t="n"/>
      <c r="L655" s="85" t="n"/>
      <c r="M655" s="85" t="n"/>
      <c r="N655" s="85" t="n"/>
      <c r="O655" s="85" t="n"/>
      <c r="P655" s="85" t="n"/>
      <c r="Q655" s="85" t="n"/>
      <c r="R655" s="85" t="n"/>
      <c r="S655" s="85" t="n"/>
      <c r="T655" s="85" t="n"/>
      <c r="U655" s="85" t="n"/>
      <c r="V655" s="85" t="n"/>
      <c r="W655" s="85" t="n"/>
      <c r="X655" s="85" t="n"/>
      <c r="Y655" s="85" t="n"/>
      <c r="Z655" s="85" t="n"/>
      <c r="AA655" s="85" t="n"/>
      <c r="AB655" s="85" t="n"/>
      <c r="AC655" s="85" t="n"/>
      <c r="AD655" s="85" t="n"/>
      <c r="AE655" s="85" t="n"/>
      <c r="AF655" s="86" t="n"/>
      <c r="AG655" s="86" t="n"/>
      <c r="AH655" s="86" t="n"/>
      <c r="AI655" s="85" t="n"/>
      <c r="AJ655" s="85" t="n"/>
      <c r="AK655" s="85">
        <f>IF($A655="","",IF($M655&gt;0,"Yes","No"))</f>
        <v/>
      </c>
      <c r="AL655" s="85">
        <f>IF($A655="","",IF(AND($E655="Yes",OR($Y655="No",$Y655="NOT FOUND")),"YES",""))</f>
        <v/>
      </c>
      <c r="AM655" s="85">
        <f>IF($A655="","",TRIM(IF(AND($P655=0,$I655&lt;&gt;"Yes"),"T0-NoPhishResistant ","")&amp;IF($H655="No","NoMFA ","")&amp;IF(AND($P655=0,$M655&gt;0),"T0-Standing ","")&amp;IF(AND($P655=0,$Q655="Group only"),"T0-ViaGroupOnly ","")&amp;IF($W655="Yes","AlsoAzureRBAC ","")))</f>
        <v/>
      </c>
      <c r="AN655" s="85">
        <f>IF($A655="","",IF(AG655="","Not Enrolled",IF(TODAY()&gt;AG655,"Review Overdue",IF(AG655-TODAY()&lt;=30,"Review Due Soon","Active"))))</f>
        <v/>
      </c>
      <c r="AO655" s="85">
        <f>IF($A655="","",IF(AH655="","NOT REVIEWED",IF(TODAY()-AH655&gt;90,"OVERDUE",IF(TODAY()-AH655&gt;76,"Due Soon","Current"))))</f>
        <v/>
      </c>
    </row>
    <row r="656" ht="15" customHeight="1" s="39">
      <c r="A656" s="85" t="n"/>
      <c r="B656" s="85" t="n"/>
      <c r="C656" s="85" t="n"/>
      <c r="D656" s="85" t="n"/>
      <c r="E656" s="85" t="n"/>
      <c r="F656" s="86" t="n"/>
      <c r="G656" s="86" t="n"/>
      <c r="H656" s="85" t="n"/>
      <c r="I656" s="85" t="n"/>
      <c r="J656" s="85" t="n"/>
      <c r="K656" s="85" t="n"/>
      <c r="L656" s="85" t="n"/>
      <c r="M656" s="85" t="n"/>
      <c r="N656" s="85" t="n"/>
      <c r="O656" s="85" t="n"/>
      <c r="P656" s="85" t="n"/>
      <c r="Q656" s="85" t="n"/>
      <c r="R656" s="85" t="n"/>
      <c r="S656" s="85" t="n"/>
      <c r="T656" s="85" t="n"/>
      <c r="U656" s="85" t="n"/>
      <c r="V656" s="85" t="n"/>
      <c r="W656" s="85" t="n"/>
      <c r="X656" s="85" t="n"/>
      <c r="Y656" s="85" t="n"/>
      <c r="Z656" s="85" t="n"/>
      <c r="AA656" s="85" t="n"/>
      <c r="AB656" s="85" t="n"/>
      <c r="AC656" s="85" t="n"/>
      <c r="AD656" s="85" t="n"/>
      <c r="AE656" s="85" t="n"/>
      <c r="AF656" s="86" t="n"/>
      <c r="AG656" s="86" t="n"/>
      <c r="AH656" s="86" t="n"/>
      <c r="AI656" s="85" t="n"/>
      <c r="AJ656" s="85" t="n"/>
      <c r="AK656" s="85">
        <f>IF($A656="","",IF($M656&gt;0,"Yes","No"))</f>
        <v/>
      </c>
      <c r="AL656" s="85">
        <f>IF($A656="","",IF(AND($E656="Yes",OR($Y656="No",$Y656="NOT FOUND")),"YES",""))</f>
        <v/>
      </c>
      <c r="AM656" s="85">
        <f>IF($A656="","",TRIM(IF(AND($P656=0,$I656&lt;&gt;"Yes"),"T0-NoPhishResistant ","")&amp;IF($H656="No","NoMFA ","")&amp;IF(AND($P656=0,$M656&gt;0),"T0-Standing ","")&amp;IF(AND($P656=0,$Q656="Group only"),"T0-ViaGroupOnly ","")&amp;IF($W656="Yes","AlsoAzureRBAC ","")))</f>
        <v/>
      </c>
      <c r="AN656" s="85">
        <f>IF($A656="","",IF(AG656="","Not Enrolled",IF(TODAY()&gt;AG656,"Review Overdue",IF(AG656-TODAY()&lt;=30,"Review Due Soon","Active"))))</f>
        <v/>
      </c>
      <c r="AO656" s="85">
        <f>IF($A656="","",IF(AH656="","NOT REVIEWED",IF(TODAY()-AH656&gt;90,"OVERDUE",IF(TODAY()-AH656&gt;76,"Due Soon","Current"))))</f>
        <v/>
      </c>
    </row>
    <row r="657" ht="15" customHeight="1" s="39">
      <c r="A657" s="85" t="n"/>
      <c r="B657" s="85" t="n"/>
      <c r="C657" s="85" t="n"/>
      <c r="D657" s="85" t="n"/>
      <c r="E657" s="85" t="n"/>
      <c r="F657" s="86" t="n"/>
      <c r="G657" s="86" t="n"/>
      <c r="H657" s="85" t="n"/>
      <c r="I657" s="85" t="n"/>
      <c r="J657" s="85" t="n"/>
      <c r="K657" s="85" t="n"/>
      <c r="L657" s="85" t="n"/>
      <c r="M657" s="85" t="n"/>
      <c r="N657" s="85" t="n"/>
      <c r="O657" s="85" t="n"/>
      <c r="P657" s="85" t="n"/>
      <c r="Q657" s="85" t="n"/>
      <c r="R657" s="85" t="n"/>
      <c r="S657" s="85" t="n"/>
      <c r="T657" s="85" t="n"/>
      <c r="U657" s="85" t="n"/>
      <c r="V657" s="85" t="n"/>
      <c r="W657" s="85" t="n"/>
      <c r="X657" s="85" t="n"/>
      <c r="Y657" s="85" t="n"/>
      <c r="Z657" s="85" t="n"/>
      <c r="AA657" s="85" t="n"/>
      <c r="AB657" s="85" t="n"/>
      <c r="AC657" s="85" t="n"/>
      <c r="AD657" s="85" t="n"/>
      <c r="AE657" s="85" t="n"/>
      <c r="AF657" s="86" t="n"/>
      <c r="AG657" s="86" t="n"/>
      <c r="AH657" s="86" t="n"/>
      <c r="AI657" s="85" t="n"/>
      <c r="AJ657" s="85" t="n"/>
      <c r="AK657" s="85">
        <f>IF($A657="","",IF($M657&gt;0,"Yes","No"))</f>
        <v/>
      </c>
      <c r="AL657" s="85">
        <f>IF($A657="","",IF(AND($E657="Yes",OR($Y657="No",$Y657="NOT FOUND")),"YES",""))</f>
        <v/>
      </c>
      <c r="AM657" s="85">
        <f>IF($A657="","",TRIM(IF(AND($P657=0,$I657&lt;&gt;"Yes"),"T0-NoPhishResistant ","")&amp;IF($H657="No","NoMFA ","")&amp;IF(AND($P657=0,$M657&gt;0),"T0-Standing ","")&amp;IF(AND($P657=0,$Q657="Group only"),"T0-ViaGroupOnly ","")&amp;IF($W657="Yes","AlsoAzureRBAC ","")))</f>
        <v/>
      </c>
      <c r="AN657" s="85">
        <f>IF($A657="","",IF(AG657="","Not Enrolled",IF(TODAY()&gt;AG657,"Review Overdue",IF(AG657-TODAY()&lt;=30,"Review Due Soon","Active"))))</f>
        <v/>
      </c>
      <c r="AO657" s="85">
        <f>IF($A657="","",IF(AH657="","NOT REVIEWED",IF(TODAY()-AH657&gt;90,"OVERDUE",IF(TODAY()-AH657&gt;76,"Due Soon","Current"))))</f>
        <v/>
      </c>
    </row>
    <row r="658" ht="15" customHeight="1" s="39">
      <c r="A658" s="85" t="n"/>
      <c r="B658" s="85" t="n"/>
      <c r="C658" s="85" t="n"/>
      <c r="D658" s="85" t="n"/>
      <c r="E658" s="85" t="n"/>
      <c r="F658" s="86" t="n"/>
      <c r="G658" s="86" t="n"/>
      <c r="H658" s="85" t="n"/>
      <c r="I658" s="85" t="n"/>
      <c r="J658" s="85" t="n"/>
      <c r="K658" s="85" t="n"/>
      <c r="L658" s="85" t="n"/>
      <c r="M658" s="85" t="n"/>
      <c r="N658" s="85" t="n"/>
      <c r="O658" s="85" t="n"/>
      <c r="P658" s="85" t="n"/>
      <c r="Q658" s="85" t="n"/>
      <c r="R658" s="85" t="n"/>
      <c r="S658" s="85" t="n"/>
      <c r="T658" s="85" t="n"/>
      <c r="U658" s="85" t="n"/>
      <c r="V658" s="85" t="n"/>
      <c r="W658" s="85" t="n"/>
      <c r="X658" s="85" t="n"/>
      <c r="Y658" s="85" t="n"/>
      <c r="Z658" s="85" t="n"/>
      <c r="AA658" s="85" t="n"/>
      <c r="AB658" s="85" t="n"/>
      <c r="AC658" s="85" t="n"/>
      <c r="AD658" s="85" t="n"/>
      <c r="AE658" s="85" t="n"/>
      <c r="AF658" s="86" t="n"/>
      <c r="AG658" s="86" t="n"/>
      <c r="AH658" s="86" t="n"/>
      <c r="AI658" s="85" t="n"/>
      <c r="AJ658" s="85" t="n"/>
      <c r="AK658" s="85">
        <f>IF($A658="","",IF($M658&gt;0,"Yes","No"))</f>
        <v/>
      </c>
      <c r="AL658" s="85">
        <f>IF($A658="","",IF(AND($E658="Yes",OR($Y658="No",$Y658="NOT FOUND")),"YES",""))</f>
        <v/>
      </c>
      <c r="AM658" s="85">
        <f>IF($A658="","",TRIM(IF(AND($P658=0,$I658&lt;&gt;"Yes"),"T0-NoPhishResistant ","")&amp;IF($H658="No","NoMFA ","")&amp;IF(AND($P658=0,$M658&gt;0),"T0-Standing ","")&amp;IF(AND($P658=0,$Q658="Group only"),"T0-ViaGroupOnly ","")&amp;IF($W658="Yes","AlsoAzureRBAC ","")))</f>
        <v/>
      </c>
      <c r="AN658" s="85">
        <f>IF($A658="","",IF(AG658="","Not Enrolled",IF(TODAY()&gt;AG658,"Review Overdue",IF(AG658-TODAY()&lt;=30,"Review Due Soon","Active"))))</f>
        <v/>
      </c>
      <c r="AO658" s="85">
        <f>IF($A658="","",IF(AH658="","NOT REVIEWED",IF(TODAY()-AH658&gt;90,"OVERDUE",IF(TODAY()-AH658&gt;76,"Due Soon","Current"))))</f>
        <v/>
      </c>
    </row>
    <row r="659" ht="15" customHeight="1" s="39">
      <c r="A659" s="85" t="n"/>
      <c r="B659" s="85" t="n"/>
      <c r="C659" s="85" t="n"/>
      <c r="D659" s="85" t="n"/>
      <c r="E659" s="85" t="n"/>
      <c r="F659" s="86" t="n"/>
      <c r="G659" s="86" t="n"/>
      <c r="H659" s="85" t="n"/>
      <c r="I659" s="85" t="n"/>
      <c r="J659" s="85" t="n"/>
      <c r="K659" s="85" t="n"/>
      <c r="L659" s="85" t="n"/>
      <c r="M659" s="85" t="n"/>
      <c r="N659" s="85" t="n"/>
      <c r="O659" s="85" t="n"/>
      <c r="P659" s="85" t="n"/>
      <c r="Q659" s="85" t="n"/>
      <c r="R659" s="85" t="n"/>
      <c r="S659" s="85" t="n"/>
      <c r="T659" s="85" t="n"/>
      <c r="U659" s="85" t="n"/>
      <c r="V659" s="85" t="n"/>
      <c r="W659" s="85" t="n"/>
      <c r="X659" s="85" t="n"/>
      <c r="Y659" s="85" t="n"/>
      <c r="Z659" s="85" t="n"/>
      <c r="AA659" s="85" t="n"/>
      <c r="AB659" s="85" t="n"/>
      <c r="AC659" s="85" t="n"/>
      <c r="AD659" s="85" t="n"/>
      <c r="AE659" s="85" t="n"/>
      <c r="AF659" s="86" t="n"/>
      <c r="AG659" s="86" t="n"/>
      <c r="AH659" s="86" t="n"/>
      <c r="AI659" s="85" t="n"/>
      <c r="AJ659" s="85" t="n"/>
      <c r="AK659" s="85">
        <f>IF($A659="","",IF($M659&gt;0,"Yes","No"))</f>
        <v/>
      </c>
      <c r="AL659" s="85">
        <f>IF($A659="","",IF(AND($E659="Yes",OR($Y659="No",$Y659="NOT FOUND")),"YES",""))</f>
        <v/>
      </c>
      <c r="AM659" s="85">
        <f>IF($A659="","",TRIM(IF(AND($P659=0,$I659&lt;&gt;"Yes"),"T0-NoPhishResistant ","")&amp;IF($H659="No","NoMFA ","")&amp;IF(AND($P659=0,$M659&gt;0),"T0-Standing ","")&amp;IF(AND($P659=0,$Q659="Group only"),"T0-ViaGroupOnly ","")&amp;IF($W659="Yes","AlsoAzureRBAC ","")))</f>
        <v/>
      </c>
      <c r="AN659" s="85">
        <f>IF($A659="","",IF(AG659="","Not Enrolled",IF(TODAY()&gt;AG659,"Review Overdue",IF(AG659-TODAY()&lt;=30,"Review Due Soon","Active"))))</f>
        <v/>
      </c>
      <c r="AO659" s="85">
        <f>IF($A659="","",IF(AH659="","NOT REVIEWED",IF(TODAY()-AH659&gt;90,"OVERDUE",IF(TODAY()-AH659&gt;76,"Due Soon","Current"))))</f>
        <v/>
      </c>
    </row>
    <row r="660" ht="15" customHeight="1" s="39">
      <c r="A660" s="85" t="n"/>
      <c r="B660" s="85" t="n"/>
      <c r="C660" s="85" t="n"/>
      <c r="D660" s="85" t="n"/>
      <c r="E660" s="85" t="n"/>
      <c r="F660" s="86" t="n"/>
      <c r="G660" s="86" t="n"/>
      <c r="H660" s="85" t="n"/>
      <c r="I660" s="85" t="n"/>
      <c r="J660" s="85" t="n"/>
      <c r="K660" s="85" t="n"/>
      <c r="L660" s="85" t="n"/>
      <c r="M660" s="85" t="n"/>
      <c r="N660" s="85" t="n"/>
      <c r="O660" s="85" t="n"/>
      <c r="P660" s="85" t="n"/>
      <c r="Q660" s="85" t="n"/>
      <c r="R660" s="85" t="n"/>
      <c r="S660" s="85" t="n"/>
      <c r="T660" s="85" t="n"/>
      <c r="U660" s="85" t="n"/>
      <c r="V660" s="85" t="n"/>
      <c r="W660" s="85" t="n"/>
      <c r="X660" s="85" t="n"/>
      <c r="Y660" s="85" t="n"/>
      <c r="Z660" s="85" t="n"/>
      <c r="AA660" s="85" t="n"/>
      <c r="AB660" s="85" t="n"/>
      <c r="AC660" s="85" t="n"/>
      <c r="AD660" s="85" t="n"/>
      <c r="AE660" s="85" t="n"/>
      <c r="AF660" s="86" t="n"/>
      <c r="AG660" s="86" t="n"/>
      <c r="AH660" s="86" t="n"/>
      <c r="AI660" s="85" t="n"/>
      <c r="AJ660" s="85" t="n"/>
      <c r="AK660" s="85">
        <f>IF($A660="","",IF($M660&gt;0,"Yes","No"))</f>
        <v/>
      </c>
      <c r="AL660" s="85">
        <f>IF($A660="","",IF(AND($E660="Yes",OR($Y660="No",$Y660="NOT FOUND")),"YES",""))</f>
        <v/>
      </c>
      <c r="AM660" s="85">
        <f>IF($A660="","",TRIM(IF(AND($P660=0,$I660&lt;&gt;"Yes"),"T0-NoPhishResistant ","")&amp;IF($H660="No","NoMFA ","")&amp;IF(AND($P660=0,$M660&gt;0),"T0-Standing ","")&amp;IF(AND($P660=0,$Q660="Group only"),"T0-ViaGroupOnly ","")&amp;IF($W660="Yes","AlsoAzureRBAC ","")))</f>
        <v/>
      </c>
      <c r="AN660" s="85">
        <f>IF($A660="","",IF(AG660="","Not Enrolled",IF(TODAY()&gt;AG660,"Review Overdue",IF(AG660-TODAY()&lt;=30,"Review Due Soon","Active"))))</f>
        <v/>
      </c>
      <c r="AO660" s="85">
        <f>IF($A660="","",IF(AH660="","NOT REVIEWED",IF(TODAY()-AH660&gt;90,"OVERDUE",IF(TODAY()-AH660&gt;76,"Due Soon","Current"))))</f>
        <v/>
      </c>
    </row>
    <row r="661" ht="15" customHeight="1" s="39">
      <c r="A661" s="85" t="n"/>
      <c r="B661" s="85" t="n"/>
      <c r="C661" s="85" t="n"/>
      <c r="D661" s="85" t="n"/>
      <c r="E661" s="85" t="n"/>
      <c r="F661" s="86" t="n"/>
      <c r="G661" s="86" t="n"/>
      <c r="H661" s="85" t="n"/>
      <c r="I661" s="85" t="n"/>
      <c r="J661" s="85" t="n"/>
      <c r="K661" s="85" t="n"/>
      <c r="L661" s="85" t="n"/>
      <c r="M661" s="85" t="n"/>
      <c r="N661" s="85" t="n"/>
      <c r="O661" s="85" t="n"/>
      <c r="P661" s="85" t="n"/>
      <c r="Q661" s="85" t="n"/>
      <c r="R661" s="85" t="n"/>
      <c r="S661" s="85" t="n"/>
      <c r="T661" s="85" t="n"/>
      <c r="U661" s="85" t="n"/>
      <c r="V661" s="85" t="n"/>
      <c r="W661" s="85" t="n"/>
      <c r="X661" s="85" t="n"/>
      <c r="Y661" s="85" t="n"/>
      <c r="Z661" s="85" t="n"/>
      <c r="AA661" s="85" t="n"/>
      <c r="AB661" s="85" t="n"/>
      <c r="AC661" s="85" t="n"/>
      <c r="AD661" s="85" t="n"/>
      <c r="AE661" s="85" t="n"/>
      <c r="AF661" s="86" t="n"/>
      <c r="AG661" s="86" t="n"/>
      <c r="AH661" s="86" t="n"/>
      <c r="AI661" s="85" t="n"/>
      <c r="AJ661" s="85" t="n"/>
      <c r="AK661" s="85">
        <f>IF($A661="","",IF($M661&gt;0,"Yes","No"))</f>
        <v/>
      </c>
      <c r="AL661" s="85">
        <f>IF($A661="","",IF(AND($E661="Yes",OR($Y661="No",$Y661="NOT FOUND")),"YES",""))</f>
        <v/>
      </c>
      <c r="AM661" s="85">
        <f>IF($A661="","",TRIM(IF(AND($P661=0,$I661&lt;&gt;"Yes"),"T0-NoPhishResistant ","")&amp;IF($H661="No","NoMFA ","")&amp;IF(AND($P661=0,$M661&gt;0),"T0-Standing ","")&amp;IF(AND($P661=0,$Q661="Group only"),"T0-ViaGroupOnly ","")&amp;IF($W661="Yes","AlsoAzureRBAC ","")))</f>
        <v/>
      </c>
      <c r="AN661" s="85">
        <f>IF($A661="","",IF(AG661="","Not Enrolled",IF(TODAY()&gt;AG661,"Review Overdue",IF(AG661-TODAY()&lt;=30,"Review Due Soon","Active"))))</f>
        <v/>
      </c>
      <c r="AO661" s="85">
        <f>IF($A661="","",IF(AH661="","NOT REVIEWED",IF(TODAY()-AH661&gt;90,"OVERDUE",IF(TODAY()-AH661&gt;76,"Due Soon","Current"))))</f>
        <v/>
      </c>
    </row>
    <row r="662" ht="15" customHeight="1" s="39">
      <c r="A662" s="85" t="n"/>
      <c r="B662" s="85" t="n"/>
      <c r="C662" s="85" t="n"/>
      <c r="D662" s="85" t="n"/>
      <c r="E662" s="85" t="n"/>
      <c r="F662" s="86" t="n"/>
      <c r="G662" s="86" t="n"/>
      <c r="H662" s="85" t="n"/>
      <c r="I662" s="85" t="n"/>
      <c r="J662" s="85" t="n"/>
      <c r="K662" s="85" t="n"/>
      <c r="L662" s="85" t="n"/>
      <c r="M662" s="85" t="n"/>
      <c r="N662" s="85" t="n"/>
      <c r="O662" s="85" t="n"/>
      <c r="P662" s="85" t="n"/>
      <c r="Q662" s="85" t="n"/>
      <c r="R662" s="85" t="n"/>
      <c r="S662" s="85" t="n"/>
      <c r="T662" s="85" t="n"/>
      <c r="U662" s="85" t="n"/>
      <c r="V662" s="85" t="n"/>
      <c r="W662" s="85" t="n"/>
      <c r="X662" s="85" t="n"/>
      <c r="Y662" s="85" t="n"/>
      <c r="Z662" s="85" t="n"/>
      <c r="AA662" s="85" t="n"/>
      <c r="AB662" s="85" t="n"/>
      <c r="AC662" s="85" t="n"/>
      <c r="AD662" s="85" t="n"/>
      <c r="AE662" s="85" t="n"/>
      <c r="AF662" s="86" t="n"/>
      <c r="AG662" s="86" t="n"/>
      <c r="AH662" s="86" t="n"/>
      <c r="AI662" s="85" t="n"/>
      <c r="AJ662" s="85" t="n"/>
      <c r="AK662" s="85">
        <f>IF($A662="","",IF($M662&gt;0,"Yes","No"))</f>
        <v/>
      </c>
      <c r="AL662" s="85">
        <f>IF($A662="","",IF(AND($E662="Yes",OR($Y662="No",$Y662="NOT FOUND")),"YES",""))</f>
        <v/>
      </c>
      <c r="AM662" s="85">
        <f>IF($A662="","",TRIM(IF(AND($P662=0,$I662&lt;&gt;"Yes"),"T0-NoPhishResistant ","")&amp;IF($H662="No","NoMFA ","")&amp;IF(AND($P662=0,$M662&gt;0),"T0-Standing ","")&amp;IF(AND($P662=0,$Q662="Group only"),"T0-ViaGroupOnly ","")&amp;IF($W662="Yes","AlsoAzureRBAC ","")))</f>
        <v/>
      </c>
      <c r="AN662" s="85">
        <f>IF($A662="","",IF(AG662="","Not Enrolled",IF(TODAY()&gt;AG662,"Review Overdue",IF(AG662-TODAY()&lt;=30,"Review Due Soon","Active"))))</f>
        <v/>
      </c>
      <c r="AO662" s="85">
        <f>IF($A662="","",IF(AH662="","NOT REVIEWED",IF(TODAY()-AH662&gt;90,"OVERDUE",IF(TODAY()-AH662&gt;76,"Due Soon","Current"))))</f>
        <v/>
      </c>
    </row>
    <row r="663" ht="15" customHeight="1" s="39">
      <c r="A663" s="85" t="n"/>
      <c r="B663" s="85" t="n"/>
      <c r="C663" s="85" t="n"/>
      <c r="D663" s="85" t="n"/>
      <c r="E663" s="85" t="n"/>
      <c r="F663" s="86" t="n"/>
      <c r="G663" s="86" t="n"/>
      <c r="H663" s="85" t="n"/>
      <c r="I663" s="85" t="n"/>
      <c r="J663" s="85" t="n"/>
      <c r="K663" s="85" t="n"/>
      <c r="L663" s="85" t="n"/>
      <c r="M663" s="85" t="n"/>
      <c r="N663" s="85" t="n"/>
      <c r="O663" s="85" t="n"/>
      <c r="P663" s="85" t="n"/>
      <c r="Q663" s="85" t="n"/>
      <c r="R663" s="85" t="n"/>
      <c r="S663" s="85" t="n"/>
      <c r="T663" s="85" t="n"/>
      <c r="U663" s="85" t="n"/>
      <c r="V663" s="85" t="n"/>
      <c r="W663" s="85" t="n"/>
      <c r="X663" s="85" t="n"/>
      <c r="Y663" s="85" t="n"/>
      <c r="Z663" s="85" t="n"/>
      <c r="AA663" s="85" t="n"/>
      <c r="AB663" s="85" t="n"/>
      <c r="AC663" s="85" t="n"/>
      <c r="AD663" s="85" t="n"/>
      <c r="AE663" s="85" t="n"/>
      <c r="AF663" s="86" t="n"/>
      <c r="AG663" s="86" t="n"/>
      <c r="AH663" s="86" t="n"/>
      <c r="AI663" s="85" t="n"/>
      <c r="AJ663" s="85" t="n"/>
      <c r="AK663" s="85">
        <f>IF($A663="","",IF($M663&gt;0,"Yes","No"))</f>
        <v/>
      </c>
      <c r="AL663" s="85">
        <f>IF($A663="","",IF(AND($E663="Yes",OR($Y663="No",$Y663="NOT FOUND")),"YES",""))</f>
        <v/>
      </c>
      <c r="AM663" s="85">
        <f>IF($A663="","",TRIM(IF(AND($P663=0,$I663&lt;&gt;"Yes"),"T0-NoPhishResistant ","")&amp;IF($H663="No","NoMFA ","")&amp;IF(AND($P663=0,$M663&gt;0),"T0-Standing ","")&amp;IF(AND($P663=0,$Q663="Group only"),"T0-ViaGroupOnly ","")&amp;IF($W663="Yes","AlsoAzureRBAC ","")))</f>
        <v/>
      </c>
      <c r="AN663" s="85">
        <f>IF($A663="","",IF(AG663="","Not Enrolled",IF(TODAY()&gt;AG663,"Review Overdue",IF(AG663-TODAY()&lt;=30,"Review Due Soon","Active"))))</f>
        <v/>
      </c>
      <c r="AO663" s="85">
        <f>IF($A663="","",IF(AH663="","NOT REVIEWED",IF(TODAY()-AH663&gt;90,"OVERDUE",IF(TODAY()-AH663&gt;76,"Due Soon","Current"))))</f>
        <v/>
      </c>
    </row>
    <row r="664" ht="15" customHeight="1" s="39">
      <c r="A664" s="85" t="n"/>
      <c r="B664" s="85" t="n"/>
      <c r="C664" s="85" t="n"/>
      <c r="D664" s="85" t="n"/>
      <c r="E664" s="85" t="n"/>
      <c r="F664" s="86" t="n"/>
      <c r="G664" s="86" t="n"/>
      <c r="H664" s="85" t="n"/>
      <c r="I664" s="85" t="n"/>
      <c r="J664" s="85" t="n"/>
      <c r="K664" s="85" t="n"/>
      <c r="L664" s="85" t="n"/>
      <c r="M664" s="85" t="n"/>
      <c r="N664" s="85" t="n"/>
      <c r="O664" s="85" t="n"/>
      <c r="P664" s="85" t="n"/>
      <c r="Q664" s="85" t="n"/>
      <c r="R664" s="85" t="n"/>
      <c r="S664" s="85" t="n"/>
      <c r="T664" s="85" t="n"/>
      <c r="U664" s="85" t="n"/>
      <c r="V664" s="85" t="n"/>
      <c r="W664" s="85" t="n"/>
      <c r="X664" s="85" t="n"/>
      <c r="Y664" s="85" t="n"/>
      <c r="Z664" s="85" t="n"/>
      <c r="AA664" s="85" t="n"/>
      <c r="AB664" s="85" t="n"/>
      <c r="AC664" s="85" t="n"/>
      <c r="AD664" s="85" t="n"/>
      <c r="AE664" s="85" t="n"/>
      <c r="AF664" s="86" t="n"/>
      <c r="AG664" s="86" t="n"/>
      <c r="AH664" s="86" t="n"/>
      <c r="AI664" s="85" t="n"/>
      <c r="AJ664" s="85" t="n"/>
      <c r="AK664" s="85">
        <f>IF($A664="","",IF($M664&gt;0,"Yes","No"))</f>
        <v/>
      </c>
      <c r="AL664" s="85">
        <f>IF($A664="","",IF(AND($E664="Yes",OR($Y664="No",$Y664="NOT FOUND")),"YES",""))</f>
        <v/>
      </c>
      <c r="AM664" s="85">
        <f>IF($A664="","",TRIM(IF(AND($P664=0,$I664&lt;&gt;"Yes"),"T0-NoPhishResistant ","")&amp;IF($H664="No","NoMFA ","")&amp;IF(AND($P664=0,$M664&gt;0),"T0-Standing ","")&amp;IF(AND($P664=0,$Q664="Group only"),"T0-ViaGroupOnly ","")&amp;IF($W664="Yes","AlsoAzureRBAC ","")))</f>
        <v/>
      </c>
      <c r="AN664" s="85">
        <f>IF($A664="","",IF(AG664="","Not Enrolled",IF(TODAY()&gt;AG664,"Review Overdue",IF(AG664-TODAY()&lt;=30,"Review Due Soon","Active"))))</f>
        <v/>
      </c>
      <c r="AO664" s="85">
        <f>IF($A664="","",IF(AH664="","NOT REVIEWED",IF(TODAY()-AH664&gt;90,"OVERDUE",IF(TODAY()-AH664&gt;76,"Due Soon","Current"))))</f>
        <v/>
      </c>
    </row>
    <row r="665" ht="15" customHeight="1" s="39">
      <c r="A665" s="85" t="n"/>
      <c r="B665" s="85" t="n"/>
      <c r="C665" s="85" t="n"/>
      <c r="D665" s="85" t="n"/>
      <c r="E665" s="85" t="n"/>
      <c r="F665" s="86" t="n"/>
      <c r="G665" s="86" t="n"/>
      <c r="H665" s="85" t="n"/>
      <c r="I665" s="85" t="n"/>
      <c r="J665" s="85" t="n"/>
      <c r="K665" s="85" t="n"/>
      <c r="L665" s="85" t="n"/>
      <c r="M665" s="85" t="n"/>
      <c r="N665" s="85" t="n"/>
      <c r="O665" s="85" t="n"/>
      <c r="P665" s="85" t="n"/>
      <c r="Q665" s="85" t="n"/>
      <c r="R665" s="85" t="n"/>
      <c r="S665" s="85" t="n"/>
      <c r="T665" s="85" t="n"/>
      <c r="U665" s="85" t="n"/>
      <c r="V665" s="85" t="n"/>
      <c r="W665" s="85" t="n"/>
      <c r="X665" s="85" t="n"/>
      <c r="Y665" s="85" t="n"/>
      <c r="Z665" s="85" t="n"/>
      <c r="AA665" s="85" t="n"/>
      <c r="AB665" s="85" t="n"/>
      <c r="AC665" s="85" t="n"/>
      <c r="AD665" s="85" t="n"/>
      <c r="AE665" s="85" t="n"/>
      <c r="AF665" s="86" t="n"/>
      <c r="AG665" s="86" t="n"/>
      <c r="AH665" s="86" t="n"/>
      <c r="AI665" s="85" t="n"/>
      <c r="AJ665" s="85" t="n"/>
      <c r="AK665" s="85">
        <f>IF($A665="","",IF($M665&gt;0,"Yes","No"))</f>
        <v/>
      </c>
      <c r="AL665" s="85">
        <f>IF($A665="","",IF(AND($E665="Yes",OR($Y665="No",$Y665="NOT FOUND")),"YES",""))</f>
        <v/>
      </c>
      <c r="AM665" s="85">
        <f>IF($A665="","",TRIM(IF(AND($P665=0,$I665&lt;&gt;"Yes"),"T0-NoPhishResistant ","")&amp;IF($H665="No","NoMFA ","")&amp;IF(AND($P665=0,$M665&gt;0),"T0-Standing ","")&amp;IF(AND($P665=0,$Q665="Group only"),"T0-ViaGroupOnly ","")&amp;IF($W665="Yes","AlsoAzureRBAC ","")))</f>
        <v/>
      </c>
      <c r="AN665" s="85">
        <f>IF($A665="","",IF(AG665="","Not Enrolled",IF(TODAY()&gt;AG665,"Review Overdue",IF(AG665-TODAY()&lt;=30,"Review Due Soon","Active"))))</f>
        <v/>
      </c>
      <c r="AO665" s="85">
        <f>IF($A665="","",IF(AH665="","NOT REVIEWED",IF(TODAY()-AH665&gt;90,"OVERDUE",IF(TODAY()-AH665&gt;76,"Due Soon","Current"))))</f>
        <v/>
      </c>
    </row>
    <row r="666" ht="15" customHeight="1" s="39">
      <c r="A666" s="85" t="n"/>
      <c r="B666" s="85" t="n"/>
      <c r="C666" s="85" t="n"/>
      <c r="D666" s="85" t="n"/>
      <c r="E666" s="85" t="n"/>
      <c r="F666" s="86" t="n"/>
      <c r="G666" s="86" t="n"/>
      <c r="H666" s="85" t="n"/>
      <c r="I666" s="85" t="n"/>
      <c r="J666" s="85" t="n"/>
      <c r="K666" s="85" t="n"/>
      <c r="L666" s="85" t="n"/>
      <c r="M666" s="85" t="n"/>
      <c r="N666" s="85" t="n"/>
      <c r="O666" s="85" t="n"/>
      <c r="P666" s="85" t="n"/>
      <c r="Q666" s="85" t="n"/>
      <c r="R666" s="85" t="n"/>
      <c r="S666" s="85" t="n"/>
      <c r="T666" s="85" t="n"/>
      <c r="U666" s="85" t="n"/>
      <c r="V666" s="85" t="n"/>
      <c r="W666" s="85" t="n"/>
      <c r="X666" s="85" t="n"/>
      <c r="Y666" s="85" t="n"/>
      <c r="Z666" s="85" t="n"/>
      <c r="AA666" s="85" t="n"/>
      <c r="AB666" s="85" t="n"/>
      <c r="AC666" s="85" t="n"/>
      <c r="AD666" s="85" t="n"/>
      <c r="AE666" s="85" t="n"/>
      <c r="AF666" s="86" t="n"/>
      <c r="AG666" s="86" t="n"/>
      <c r="AH666" s="86" t="n"/>
      <c r="AI666" s="85" t="n"/>
      <c r="AJ666" s="85" t="n"/>
      <c r="AK666" s="85">
        <f>IF($A666="","",IF($M666&gt;0,"Yes","No"))</f>
        <v/>
      </c>
      <c r="AL666" s="85">
        <f>IF($A666="","",IF(AND($E666="Yes",OR($Y666="No",$Y666="NOT FOUND")),"YES",""))</f>
        <v/>
      </c>
      <c r="AM666" s="85">
        <f>IF($A666="","",TRIM(IF(AND($P666=0,$I666&lt;&gt;"Yes"),"T0-NoPhishResistant ","")&amp;IF($H666="No","NoMFA ","")&amp;IF(AND($P666=0,$M666&gt;0),"T0-Standing ","")&amp;IF(AND($P666=0,$Q666="Group only"),"T0-ViaGroupOnly ","")&amp;IF($W666="Yes","AlsoAzureRBAC ","")))</f>
        <v/>
      </c>
      <c r="AN666" s="85">
        <f>IF($A666="","",IF(AG666="","Not Enrolled",IF(TODAY()&gt;AG666,"Review Overdue",IF(AG666-TODAY()&lt;=30,"Review Due Soon","Active"))))</f>
        <v/>
      </c>
      <c r="AO666" s="85">
        <f>IF($A666="","",IF(AH666="","NOT REVIEWED",IF(TODAY()-AH666&gt;90,"OVERDUE",IF(TODAY()-AH666&gt;76,"Due Soon","Current"))))</f>
        <v/>
      </c>
    </row>
    <row r="667" ht="15" customHeight="1" s="39">
      <c r="A667" s="85" t="n"/>
      <c r="B667" s="85" t="n"/>
      <c r="C667" s="85" t="n"/>
      <c r="D667" s="85" t="n"/>
      <c r="E667" s="85" t="n"/>
      <c r="F667" s="86" t="n"/>
      <c r="G667" s="86" t="n"/>
      <c r="H667" s="85" t="n"/>
      <c r="I667" s="85" t="n"/>
      <c r="J667" s="85" t="n"/>
      <c r="K667" s="85" t="n"/>
      <c r="L667" s="85" t="n"/>
      <c r="M667" s="85" t="n"/>
      <c r="N667" s="85" t="n"/>
      <c r="O667" s="85" t="n"/>
      <c r="P667" s="85" t="n"/>
      <c r="Q667" s="85" t="n"/>
      <c r="R667" s="85" t="n"/>
      <c r="S667" s="85" t="n"/>
      <c r="T667" s="85" t="n"/>
      <c r="U667" s="85" t="n"/>
      <c r="V667" s="85" t="n"/>
      <c r="W667" s="85" t="n"/>
      <c r="X667" s="85" t="n"/>
      <c r="Y667" s="85" t="n"/>
      <c r="Z667" s="85" t="n"/>
      <c r="AA667" s="85" t="n"/>
      <c r="AB667" s="85" t="n"/>
      <c r="AC667" s="85" t="n"/>
      <c r="AD667" s="85" t="n"/>
      <c r="AE667" s="85" t="n"/>
      <c r="AF667" s="86" t="n"/>
      <c r="AG667" s="86" t="n"/>
      <c r="AH667" s="86" t="n"/>
      <c r="AI667" s="85" t="n"/>
      <c r="AJ667" s="85" t="n"/>
      <c r="AK667" s="85">
        <f>IF($A667="","",IF($M667&gt;0,"Yes","No"))</f>
        <v/>
      </c>
      <c r="AL667" s="85">
        <f>IF($A667="","",IF(AND($E667="Yes",OR($Y667="No",$Y667="NOT FOUND")),"YES",""))</f>
        <v/>
      </c>
      <c r="AM667" s="85">
        <f>IF($A667="","",TRIM(IF(AND($P667=0,$I667&lt;&gt;"Yes"),"T0-NoPhishResistant ","")&amp;IF($H667="No","NoMFA ","")&amp;IF(AND($P667=0,$M667&gt;0),"T0-Standing ","")&amp;IF(AND($P667=0,$Q667="Group only"),"T0-ViaGroupOnly ","")&amp;IF($W667="Yes","AlsoAzureRBAC ","")))</f>
        <v/>
      </c>
      <c r="AN667" s="85">
        <f>IF($A667="","",IF(AG667="","Not Enrolled",IF(TODAY()&gt;AG667,"Review Overdue",IF(AG667-TODAY()&lt;=30,"Review Due Soon","Active"))))</f>
        <v/>
      </c>
      <c r="AO667" s="85">
        <f>IF($A667="","",IF(AH667="","NOT REVIEWED",IF(TODAY()-AH667&gt;90,"OVERDUE",IF(TODAY()-AH667&gt;76,"Due Soon","Current"))))</f>
        <v/>
      </c>
    </row>
    <row r="668" ht="15" customHeight="1" s="39">
      <c r="A668" s="85" t="n"/>
      <c r="B668" s="85" t="n"/>
      <c r="C668" s="85" t="n"/>
      <c r="D668" s="85" t="n"/>
      <c r="E668" s="85" t="n"/>
      <c r="F668" s="86" t="n"/>
      <c r="G668" s="86" t="n"/>
      <c r="H668" s="85" t="n"/>
      <c r="I668" s="85" t="n"/>
      <c r="J668" s="85" t="n"/>
      <c r="K668" s="85" t="n"/>
      <c r="L668" s="85" t="n"/>
      <c r="M668" s="85" t="n"/>
      <c r="N668" s="85" t="n"/>
      <c r="O668" s="85" t="n"/>
      <c r="P668" s="85" t="n"/>
      <c r="Q668" s="85" t="n"/>
      <c r="R668" s="85" t="n"/>
      <c r="S668" s="85" t="n"/>
      <c r="T668" s="85" t="n"/>
      <c r="U668" s="85" t="n"/>
      <c r="V668" s="85" t="n"/>
      <c r="W668" s="85" t="n"/>
      <c r="X668" s="85" t="n"/>
      <c r="Y668" s="85" t="n"/>
      <c r="Z668" s="85" t="n"/>
      <c r="AA668" s="85" t="n"/>
      <c r="AB668" s="85" t="n"/>
      <c r="AC668" s="85" t="n"/>
      <c r="AD668" s="85" t="n"/>
      <c r="AE668" s="85" t="n"/>
      <c r="AF668" s="86" t="n"/>
      <c r="AG668" s="86" t="n"/>
      <c r="AH668" s="86" t="n"/>
      <c r="AI668" s="85" t="n"/>
      <c r="AJ668" s="85" t="n"/>
      <c r="AK668" s="85">
        <f>IF($A668="","",IF($M668&gt;0,"Yes","No"))</f>
        <v/>
      </c>
      <c r="AL668" s="85">
        <f>IF($A668="","",IF(AND($E668="Yes",OR($Y668="No",$Y668="NOT FOUND")),"YES",""))</f>
        <v/>
      </c>
      <c r="AM668" s="85">
        <f>IF($A668="","",TRIM(IF(AND($P668=0,$I668&lt;&gt;"Yes"),"T0-NoPhishResistant ","")&amp;IF($H668="No","NoMFA ","")&amp;IF(AND($P668=0,$M668&gt;0),"T0-Standing ","")&amp;IF(AND($P668=0,$Q668="Group only"),"T0-ViaGroupOnly ","")&amp;IF($W668="Yes","AlsoAzureRBAC ","")))</f>
        <v/>
      </c>
      <c r="AN668" s="85">
        <f>IF($A668="","",IF(AG668="","Not Enrolled",IF(TODAY()&gt;AG668,"Review Overdue",IF(AG668-TODAY()&lt;=30,"Review Due Soon","Active"))))</f>
        <v/>
      </c>
      <c r="AO668" s="85">
        <f>IF($A668="","",IF(AH668="","NOT REVIEWED",IF(TODAY()-AH668&gt;90,"OVERDUE",IF(TODAY()-AH668&gt;76,"Due Soon","Current"))))</f>
        <v/>
      </c>
    </row>
    <row r="669" ht="15" customHeight="1" s="39">
      <c r="A669" s="85" t="n"/>
      <c r="B669" s="85" t="n"/>
      <c r="C669" s="85" t="n"/>
      <c r="D669" s="85" t="n"/>
      <c r="E669" s="85" t="n"/>
      <c r="F669" s="86" t="n"/>
      <c r="G669" s="86" t="n"/>
      <c r="H669" s="85" t="n"/>
      <c r="I669" s="85" t="n"/>
      <c r="J669" s="85" t="n"/>
      <c r="K669" s="85" t="n"/>
      <c r="L669" s="85" t="n"/>
      <c r="M669" s="85" t="n"/>
      <c r="N669" s="85" t="n"/>
      <c r="O669" s="85" t="n"/>
      <c r="P669" s="85" t="n"/>
      <c r="Q669" s="85" t="n"/>
      <c r="R669" s="85" t="n"/>
      <c r="S669" s="85" t="n"/>
      <c r="T669" s="85" t="n"/>
      <c r="U669" s="85" t="n"/>
      <c r="V669" s="85" t="n"/>
      <c r="W669" s="85" t="n"/>
      <c r="X669" s="85" t="n"/>
      <c r="Y669" s="85" t="n"/>
      <c r="Z669" s="85" t="n"/>
      <c r="AA669" s="85" t="n"/>
      <c r="AB669" s="85" t="n"/>
      <c r="AC669" s="85" t="n"/>
      <c r="AD669" s="85" t="n"/>
      <c r="AE669" s="85" t="n"/>
      <c r="AF669" s="86" t="n"/>
      <c r="AG669" s="86" t="n"/>
      <c r="AH669" s="86" t="n"/>
      <c r="AI669" s="85" t="n"/>
      <c r="AJ669" s="85" t="n"/>
      <c r="AK669" s="85">
        <f>IF($A669="","",IF($M669&gt;0,"Yes","No"))</f>
        <v/>
      </c>
      <c r="AL669" s="85">
        <f>IF($A669="","",IF(AND($E669="Yes",OR($Y669="No",$Y669="NOT FOUND")),"YES",""))</f>
        <v/>
      </c>
      <c r="AM669" s="85">
        <f>IF($A669="","",TRIM(IF(AND($P669=0,$I669&lt;&gt;"Yes"),"T0-NoPhishResistant ","")&amp;IF($H669="No","NoMFA ","")&amp;IF(AND($P669=0,$M669&gt;0),"T0-Standing ","")&amp;IF(AND($P669=0,$Q669="Group only"),"T0-ViaGroupOnly ","")&amp;IF($W669="Yes","AlsoAzureRBAC ","")))</f>
        <v/>
      </c>
      <c r="AN669" s="85">
        <f>IF($A669="","",IF(AG669="","Not Enrolled",IF(TODAY()&gt;AG669,"Review Overdue",IF(AG669-TODAY()&lt;=30,"Review Due Soon","Active"))))</f>
        <v/>
      </c>
      <c r="AO669" s="85">
        <f>IF($A669="","",IF(AH669="","NOT REVIEWED",IF(TODAY()-AH669&gt;90,"OVERDUE",IF(TODAY()-AH669&gt;76,"Due Soon","Current"))))</f>
        <v/>
      </c>
    </row>
    <row r="670" ht="15" customHeight="1" s="39">
      <c r="A670" s="85" t="n"/>
      <c r="B670" s="85" t="n"/>
      <c r="C670" s="85" t="n"/>
      <c r="D670" s="85" t="n"/>
      <c r="E670" s="85" t="n"/>
      <c r="F670" s="86" t="n"/>
      <c r="G670" s="86" t="n"/>
      <c r="H670" s="85" t="n"/>
      <c r="I670" s="85" t="n"/>
      <c r="J670" s="85" t="n"/>
      <c r="K670" s="85" t="n"/>
      <c r="L670" s="85" t="n"/>
      <c r="M670" s="85" t="n"/>
      <c r="N670" s="85" t="n"/>
      <c r="O670" s="85" t="n"/>
      <c r="P670" s="85" t="n"/>
      <c r="Q670" s="85" t="n"/>
      <c r="R670" s="85" t="n"/>
      <c r="S670" s="85" t="n"/>
      <c r="T670" s="85" t="n"/>
      <c r="U670" s="85" t="n"/>
      <c r="V670" s="85" t="n"/>
      <c r="W670" s="85" t="n"/>
      <c r="X670" s="85" t="n"/>
      <c r="Y670" s="85" t="n"/>
      <c r="Z670" s="85" t="n"/>
      <c r="AA670" s="85" t="n"/>
      <c r="AB670" s="85" t="n"/>
      <c r="AC670" s="85" t="n"/>
      <c r="AD670" s="85" t="n"/>
      <c r="AE670" s="85" t="n"/>
      <c r="AF670" s="86" t="n"/>
      <c r="AG670" s="86" t="n"/>
      <c r="AH670" s="86" t="n"/>
      <c r="AI670" s="85" t="n"/>
      <c r="AJ670" s="85" t="n"/>
      <c r="AK670" s="85">
        <f>IF($A670="","",IF($M670&gt;0,"Yes","No"))</f>
        <v/>
      </c>
      <c r="AL670" s="85">
        <f>IF($A670="","",IF(AND($E670="Yes",OR($Y670="No",$Y670="NOT FOUND")),"YES",""))</f>
        <v/>
      </c>
      <c r="AM670" s="85">
        <f>IF($A670="","",TRIM(IF(AND($P670=0,$I670&lt;&gt;"Yes"),"T0-NoPhishResistant ","")&amp;IF($H670="No","NoMFA ","")&amp;IF(AND($P670=0,$M670&gt;0),"T0-Standing ","")&amp;IF(AND($P670=0,$Q670="Group only"),"T0-ViaGroupOnly ","")&amp;IF($W670="Yes","AlsoAzureRBAC ","")))</f>
        <v/>
      </c>
      <c r="AN670" s="85">
        <f>IF($A670="","",IF(AG670="","Not Enrolled",IF(TODAY()&gt;AG670,"Review Overdue",IF(AG670-TODAY()&lt;=30,"Review Due Soon","Active"))))</f>
        <v/>
      </c>
      <c r="AO670" s="85">
        <f>IF($A670="","",IF(AH670="","NOT REVIEWED",IF(TODAY()-AH670&gt;90,"OVERDUE",IF(TODAY()-AH670&gt;76,"Due Soon","Current"))))</f>
        <v/>
      </c>
    </row>
    <row r="671" ht="15" customHeight="1" s="39">
      <c r="A671" s="85" t="n"/>
      <c r="B671" s="85" t="n"/>
      <c r="C671" s="85" t="n"/>
      <c r="D671" s="85" t="n"/>
      <c r="E671" s="85" t="n"/>
      <c r="F671" s="86" t="n"/>
      <c r="G671" s="86" t="n"/>
      <c r="H671" s="85" t="n"/>
      <c r="I671" s="85" t="n"/>
      <c r="J671" s="85" t="n"/>
      <c r="K671" s="85" t="n"/>
      <c r="L671" s="85" t="n"/>
      <c r="M671" s="85" t="n"/>
      <c r="N671" s="85" t="n"/>
      <c r="O671" s="85" t="n"/>
      <c r="P671" s="85" t="n"/>
      <c r="Q671" s="85" t="n"/>
      <c r="R671" s="85" t="n"/>
      <c r="S671" s="85" t="n"/>
      <c r="T671" s="85" t="n"/>
      <c r="U671" s="85" t="n"/>
      <c r="V671" s="85" t="n"/>
      <c r="W671" s="85" t="n"/>
      <c r="X671" s="85" t="n"/>
      <c r="Y671" s="85" t="n"/>
      <c r="Z671" s="85" t="n"/>
      <c r="AA671" s="85" t="n"/>
      <c r="AB671" s="85" t="n"/>
      <c r="AC671" s="85" t="n"/>
      <c r="AD671" s="85" t="n"/>
      <c r="AE671" s="85" t="n"/>
      <c r="AF671" s="86" t="n"/>
      <c r="AG671" s="86" t="n"/>
      <c r="AH671" s="86" t="n"/>
      <c r="AI671" s="85" t="n"/>
      <c r="AJ671" s="85" t="n"/>
      <c r="AK671" s="85">
        <f>IF($A671="","",IF($M671&gt;0,"Yes","No"))</f>
        <v/>
      </c>
      <c r="AL671" s="85">
        <f>IF($A671="","",IF(AND($E671="Yes",OR($Y671="No",$Y671="NOT FOUND")),"YES",""))</f>
        <v/>
      </c>
      <c r="AM671" s="85">
        <f>IF($A671="","",TRIM(IF(AND($P671=0,$I671&lt;&gt;"Yes"),"T0-NoPhishResistant ","")&amp;IF($H671="No","NoMFA ","")&amp;IF(AND($P671=0,$M671&gt;0),"T0-Standing ","")&amp;IF(AND($P671=0,$Q671="Group only"),"T0-ViaGroupOnly ","")&amp;IF($W671="Yes","AlsoAzureRBAC ","")))</f>
        <v/>
      </c>
      <c r="AN671" s="85">
        <f>IF($A671="","",IF(AG671="","Not Enrolled",IF(TODAY()&gt;AG671,"Review Overdue",IF(AG671-TODAY()&lt;=30,"Review Due Soon","Active"))))</f>
        <v/>
      </c>
      <c r="AO671" s="85">
        <f>IF($A671="","",IF(AH671="","NOT REVIEWED",IF(TODAY()-AH671&gt;90,"OVERDUE",IF(TODAY()-AH671&gt;76,"Due Soon","Current"))))</f>
        <v/>
      </c>
    </row>
    <row r="672" ht="15" customHeight="1" s="39">
      <c r="A672" s="85" t="n"/>
      <c r="B672" s="85" t="n"/>
      <c r="C672" s="85" t="n"/>
      <c r="D672" s="85" t="n"/>
      <c r="E672" s="85" t="n"/>
      <c r="F672" s="86" t="n"/>
      <c r="G672" s="86" t="n"/>
      <c r="H672" s="85" t="n"/>
      <c r="I672" s="85" t="n"/>
      <c r="J672" s="85" t="n"/>
      <c r="K672" s="85" t="n"/>
      <c r="L672" s="85" t="n"/>
      <c r="M672" s="85" t="n"/>
      <c r="N672" s="85" t="n"/>
      <c r="O672" s="85" t="n"/>
      <c r="P672" s="85" t="n"/>
      <c r="Q672" s="85" t="n"/>
      <c r="R672" s="85" t="n"/>
      <c r="S672" s="85" t="n"/>
      <c r="T672" s="85" t="n"/>
      <c r="U672" s="85" t="n"/>
      <c r="V672" s="85" t="n"/>
      <c r="W672" s="85" t="n"/>
      <c r="X672" s="85" t="n"/>
      <c r="Y672" s="85" t="n"/>
      <c r="Z672" s="85" t="n"/>
      <c r="AA672" s="85" t="n"/>
      <c r="AB672" s="85" t="n"/>
      <c r="AC672" s="85" t="n"/>
      <c r="AD672" s="85" t="n"/>
      <c r="AE672" s="85" t="n"/>
      <c r="AF672" s="86" t="n"/>
      <c r="AG672" s="86" t="n"/>
      <c r="AH672" s="86" t="n"/>
      <c r="AI672" s="85" t="n"/>
      <c r="AJ672" s="85" t="n"/>
      <c r="AK672" s="85">
        <f>IF($A672="","",IF($M672&gt;0,"Yes","No"))</f>
        <v/>
      </c>
      <c r="AL672" s="85">
        <f>IF($A672="","",IF(AND($E672="Yes",OR($Y672="No",$Y672="NOT FOUND")),"YES",""))</f>
        <v/>
      </c>
      <c r="AM672" s="85">
        <f>IF($A672="","",TRIM(IF(AND($P672=0,$I672&lt;&gt;"Yes"),"T0-NoPhishResistant ","")&amp;IF($H672="No","NoMFA ","")&amp;IF(AND($P672=0,$M672&gt;0),"T0-Standing ","")&amp;IF(AND($P672=0,$Q672="Group only"),"T0-ViaGroupOnly ","")&amp;IF($W672="Yes","AlsoAzureRBAC ","")))</f>
        <v/>
      </c>
      <c r="AN672" s="85">
        <f>IF($A672="","",IF(AG672="","Not Enrolled",IF(TODAY()&gt;AG672,"Review Overdue",IF(AG672-TODAY()&lt;=30,"Review Due Soon","Active"))))</f>
        <v/>
      </c>
      <c r="AO672" s="85">
        <f>IF($A672="","",IF(AH672="","NOT REVIEWED",IF(TODAY()-AH672&gt;90,"OVERDUE",IF(TODAY()-AH672&gt;76,"Due Soon","Current"))))</f>
        <v/>
      </c>
    </row>
    <row r="673" ht="15" customHeight="1" s="39">
      <c r="A673" s="85" t="n"/>
      <c r="B673" s="85" t="n"/>
      <c r="C673" s="85" t="n"/>
      <c r="D673" s="85" t="n"/>
      <c r="E673" s="85" t="n"/>
      <c r="F673" s="86" t="n"/>
      <c r="G673" s="86" t="n"/>
      <c r="H673" s="85" t="n"/>
      <c r="I673" s="85" t="n"/>
      <c r="J673" s="85" t="n"/>
      <c r="K673" s="85" t="n"/>
      <c r="L673" s="85" t="n"/>
      <c r="M673" s="85" t="n"/>
      <c r="N673" s="85" t="n"/>
      <c r="O673" s="85" t="n"/>
      <c r="P673" s="85" t="n"/>
      <c r="Q673" s="85" t="n"/>
      <c r="R673" s="85" t="n"/>
      <c r="S673" s="85" t="n"/>
      <c r="T673" s="85" t="n"/>
      <c r="U673" s="85" t="n"/>
      <c r="V673" s="85" t="n"/>
      <c r="W673" s="85" t="n"/>
      <c r="X673" s="85" t="n"/>
      <c r="Y673" s="85" t="n"/>
      <c r="Z673" s="85" t="n"/>
      <c r="AA673" s="85" t="n"/>
      <c r="AB673" s="85" t="n"/>
      <c r="AC673" s="85" t="n"/>
      <c r="AD673" s="85" t="n"/>
      <c r="AE673" s="85" t="n"/>
      <c r="AF673" s="86" t="n"/>
      <c r="AG673" s="86" t="n"/>
      <c r="AH673" s="86" t="n"/>
      <c r="AI673" s="85" t="n"/>
      <c r="AJ673" s="85" t="n"/>
      <c r="AK673" s="85">
        <f>IF($A673="","",IF($M673&gt;0,"Yes","No"))</f>
        <v/>
      </c>
      <c r="AL673" s="85">
        <f>IF($A673="","",IF(AND($E673="Yes",OR($Y673="No",$Y673="NOT FOUND")),"YES",""))</f>
        <v/>
      </c>
      <c r="AM673" s="85">
        <f>IF($A673="","",TRIM(IF(AND($P673=0,$I673&lt;&gt;"Yes"),"T0-NoPhishResistant ","")&amp;IF($H673="No","NoMFA ","")&amp;IF(AND($P673=0,$M673&gt;0),"T0-Standing ","")&amp;IF(AND($P673=0,$Q673="Group only"),"T0-ViaGroupOnly ","")&amp;IF($W673="Yes","AlsoAzureRBAC ","")))</f>
        <v/>
      </c>
      <c r="AN673" s="85">
        <f>IF($A673="","",IF(AG673="","Not Enrolled",IF(TODAY()&gt;AG673,"Review Overdue",IF(AG673-TODAY()&lt;=30,"Review Due Soon","Active"))))</f>
        <v/>
      </c>
      <c r="AO673" s="85">
        <f>IF($A673="","",IF(AH673="","NOT REVIEWED",IF(TODAY()-AH673&gt;90,"OVERDUE",IF(TODAY()-AH673&gt;76,"Due Soon","Current"))))</f>
        <v/>
      </c>
    </row>
    <row r="674" ht="15" customHeight="1" s="39">
      <c r="A674" s="85" t="n"/>
      <c r="B674" s="85" t="n"/>
      <c r="C674" s="85" t="n"/>
      <c r="D674" s="85" t="n"/>
      <c r="E674" s="85" t="n"/>
      <c r="F674" s="86" t="n"/>
      <c r="G674" s="86" t="n"/>
      <c r="H674" s="85" t="n"/>
      <c r="I674" s="85" t="n"/>
      <c r="J674" s="85" t="n"/>
      <c r="K674" s="85" t="n"/>
      <c r="L674" s="85" t="n"/>
      <c r="M674" s="85" t="n"/>
      <c r="N674" s="85" t="n"/>
      <c r="O674" s="85" t="n"/>
      <c r="P674" s="85" t="n"/>
      <c r="Q674" s="85" t="n"/>
      <c r="R674" s="85" t="n"/>
      <c r="S674" s="85" t="n"/>
      <c r="T674" s="85" t="n"/>
      <c r="U674" s="85" t="n"/>
      <c r="V674" s="85" t="n"/>
      <c r="W674" s="85" t="n"/>
      <c r="X674" s="85" t="n"/>
      <c r="Y674" s="85" t="n"/>
      <c r="Z674" s="85" t="n"/>
      <c r="AA674" s="85" t="n"/>
      <c r="AB674" s="85" t="n"/>
      <c r="AC674" s="85" t="n"/>
      <c r="AD674" s="85" t="n"/>
      <c r="AE674" s="85" t="n"/>
      <c r="AF674" s="86" t="n"/>
      <c r="AG674" s="86" t="n"/>
      <c r="AH674" s="86" t="n"/>
      <c r="AI674" s="85" t="n"/>
      <c r="AJ674" s="85" t="n"/>
      <c r="AK674" s="85">
        <f>IF($A674="","",IF($M674&gt;0,"Yes","No"))</f>
        <v/>
      </c>
      <c r="AL674" s="85">
        <f>IF($A674="","",IF(AND($E674="Yes",OR($Y674="No",$Y674="NOT FOUND")),"YES",""))</f>
        <v/>
      </c>
      <c r="AM674" s="85">
        <f>IF($A674="","",TRIM(IF(AND($P674=0,$I674&lt;&gt;"Yes"),"T0-NoPhishResistant ","")&amp;IF($H674="No","NoMFA ","")&amp;IF(AND($P674=0,$M674&gt;0),"T0-Standing ","")&amp;IF(AND($P674=0,$Q674="Group only"),"T0-ViaGroupOnly ","")&amp;IF($W674="Yes","AlsoAzureRBAC ","")))</f>
        <v/>
      </c>
      <c r="AN674" s="85">
        <f>IF($A674="","",IF(AG674="","Not Enrolled",IF(TODAY()&gt;AG674,"Review Overdue",IF(AG674-TODAY()&lt;=30,"Review Due Soon","Active"))))</f>
        <v/>
      </c>
      <c r="AO674" s="85">
        <f>IF($A674="","",IF(AH674="","NOT REVIEWED",IF(TODAY()-AH674&gt;90,"OVERDUE",IF(TODAY()-AH674&gt;76,"Due Soon","Current"))))</f>
        <v/>
      </c>
    </row>
    <row r="675" ht="15" customHeight="1" s="39">
      <c r="A675" s="85" t="n"/>
      <c r="B675" s="85" t="n"/>
      <c r="C675" s="85" t="n"/>
      <c r="D675" s="85" t="n"/>
      <c r="E675" s="85" t="n"/>
      <c r="F675" s="86" t="n"/>
      <c r="G675" s="86" t="n"/>
      <c r="H675" s="85" t="n"/>
      <c r="I675" s="85" t="n"/>
      <c r="J675" s="85" t="n"/>
      <c r="K675" s="85" t="n"/>
      <c r="L675" s="85" t="n"/>
      <c r="M675" s="85" t="n"/>
      <c r="N675" s="85" t="n"/>
      <c r="O675" s="85" t="n"/>
      <c r="P675" s="85" t="n"/>
      <c r="Q675" s="85" t="n"/>
      <c r="R675" s="85" t="n"/>
      <c r="S675" s="85" t="n"/>
      <c r="T675" s="85" t="n"/>
      <c r="U675" s="85" t="n"/>
      <c r="V675" s="85" t="n"/>
      <c r="W675" s="85" t="n"/>
      <c r="X675" s="85" t="n"/>
      <c r="Y675" s="85" t="n"/>
      <c r="Z675" s="85" t="n"/>
      <c r="AA675" s="85" t="n"/>
      <c r="AB675" s="85" t="n"/>
      <c r="AC675" s="85" t="n"/>
      <c r="AD675" s="85" t="n"/>
      <c r="AE675" s="85" t="n"/>
      <c r="AF675" s="86" t="n"/>
      <c r="AG675" s="86" t="n"/>
      <c r="AH675" s="86" t="n"/>
      <c r="AI675" s="85" t="n"/>
      <c r="AJ675" s="85" t="n"/>
      <c r="AK675" s="85">
        <f>IF($A675="","",IF($M675&gt;0,"Yes","No"))</f>
        <v/>
      </c>
      <c r="AL675" s="85">
        <f>IF($A675="","",IF(AND($E675="Yes",OR($Y675="No",$Y675="NOT FOUND")),"YES",""))</f>
        <v/>
      </c>
      <c r="AM675" s="85">
        <f>IF($A675="","",TRIM(IF(AND($P675=0,$I675&lt;&gt;"Yes"),"T0-NoPhishResistant ","")&amp;IF($H675="No","NoMFA ","")&amp;IF(AND($P675=0,$M675&gt;0),"T0-Standing ","")&amp;IF(AND($P675=0,$Q675="Group only"),"T0-ViaGroupOnly ","")&amp;IF($W675="Yes","AlsoAzureRBAC ","")))</f>
        <v/>
      </c>
      <c r="AN675" s="85">
        <f>IF($A675="","",IF(AG675="","Not Enrolled",IF(TODAY()&gt;AG675,"Review Overdue",IF(AG675-TODAY()&lt;=30,"Review Due Soon","Active"))))</f>
        <v/>
      </c>
      <c r="AO675" s="85">
        <f>IF($A675="","",IF(AH675="","NOT REVIEWED",IF(TODAY()-AH675&gt;90,"OVERDUE",IF(TODAY()-AH675&gt;76,"Due Soon","Current"))))</f>
        <v/>
      </c>
    </row>
    <row r="676" ht="15" customHeight="1" s="39">
      <c r="A676" s="85" t="n"/>
      <c r="B676" s="85" t="n"/>
      <c r="C676" s="85" t="n"/>
      <c r="D676" s="85" t="n"/>
      <c r="E676" s="85" t="n"/>
      <c r="F676" s="86" t="n"/>
      <c r="G676" s="86" t="n"/>
      <c r="H676" s="85" t="n"/>
      <c r="I676" s="85" t="n"/>
      <c r="J676" s="85" t="n"/>
      <c r="K676" s="85" t="n"/>
      <c r="L676" s="85" t="n"/>
      <c r="M676" s="85" t="n"/>
      <c r="N676" s="85" t="n"/>
      <c r="O676" s="85" t="n"/>
      <c r="P676" s="85" t="n"/>
      <c r="Q676" s="85" t="n"/>
      <c r="R676" s="85" t="n"/>
      <c r="S676" s="85" t="n"/>
      <c r="T676" s="85" t="n"/>
      <c r="U676" s="85" t="n"/>
      <c r="V676" s="85" t="n"/>
      <c r="W676" s="85" t="n"/>
      <c r="X676" s="85" t="n"/>
      <c r="Y676" s="85" t="n"/>
      <c r="Z676" s="85" t="n"/>
      <c r="AA676" s="85" t="n"/>
      <c r="AB676" s="85" t="n"/>
      <c r="AC676" s="85" t="n"/>
      <c r="AD676" s="85" t="n"/>
      <c r="AE676" s="85" t="n"/>
      <c r="AF676" s="86" t="n"/>
      <c r="AG676" s="86" t="n"/>
      <c r="AH676" s="86" t="n"/>
      <c r="AI676" s="85" t="n"/>
      <c r="AJ676" s="85" t="n"/>
      <c r="AK676" s="85">
        <f>IF($A676="","",IF($M676&gt;0,"Yes","No"))</f>
        <v/>
      </c>
      <c r="AL676" s="85">
        <f>IF($A676="","",IF(AND($E676="Yes",OR($Y676="No",$Y676="NOT FOUND")),"YES",""))</f>
        <v/>
      </c>
      <c r="AM676" s="85">
        <f>IF($A676="","",TRIM(IF(AND($P676=0,$I676&lt;&gt;"Yes"),"T0-NoPhishResistant ","")&amp;IF($H676="No","NoMFA ","")&amp;IF(AND($P676=0,$M676&gt;0),"T0-Standing ","")&amp;IF(AND($P676=0,$Q676="Group only"),"T0-ViaGroupOnly ","")&amp;IF($W676="Yes","AlsoAzureRBAC ","")))</f>
        <v/>
      </c>
      <c r="AN676" s="85">
        <f>IF($A676="","",IF(AG676="","Not Enrolled",IF(TODAY()&gt;AG676,"Review Overdue",IF(AG676-TODAY()&lt;=30,"Review Due Soon","Active"))))</f>
        <v/>
      </c>
      <c r="AO676" s="85">
        <f>IF($A676="","",IF(AH676="","NOT REVIEWED",IF(TODAY()-AH676&gt;90,"OVERDUE",IF(TODAY()-AH676&gt;76,"Due Soon","Current"))))</f>
        <v/>
      </c>
    </row>
    <row r="677" ht="15" customHeight="1" s="39">
      <c r="A677" s="85" t="n"/>
      <c r="B677" s="85" t="n"/>
      <c r="C677" s="85" t="n"/>
      <c r="D677" s="85" t="n"/>
      <c r="E677" s="85" t="n"/>
      <c r="F677" s="86" t="n"/>
      <c r="G677" s="86" t="n"/>
      <c r="H677" s="85" t="n"/>
      <c r="I677" s="85" t="n"/>
      <c r="J677" s="85" t="n"/>
      <c r="K677" s="85" t="n"/>
      <c r="L677" s="85" t="n"/>
      <c r="M677" s="85" t="n"/>
      <c r="N677" s="85" t="n"/>
      <c r="O677" s="85" t="n"/>
      <c r="P677" s="85" t="n"/>
      <c r="Q677" s="85" t="n"/>
      <c r="R677" s="85" t="n"/>
      <c r="S677" s="85" t="n"/>
      <c r="T677" s="85" t="n"/>
      <c r="U677" s="85" t="n"/>
      <c r="V677" s="85" t="n"/>
      <c r="W677" s="85" t="n"/>
      <c r="X677" s="85" t="n"/>
      <c r="Y677" s="85" t="n"/>
      <c r="Z677" s="85" t="n"/>
      <c r="AA677" s="85" t="n"/>
      <c r="AB677" s="85" t="n"/>
      <c r="AC677" s="85" t="n"/>
      <c r="AD677" s="85" t="n"/>
      <c r="AE677" s="85" t="n"/>
      <c r="AF677" s="86" t="n"/>
      <c r="AG677" s="86" t="n"/>
      <c r="AH677" s="86" t="n"/>
      <c r="AI677" s="85" t="n"/>
      <c r="AJ677" s="85" t="n"/>
      <c r="AK677" s="85">
        <f>IF($A677="","",IF($M677&gt;0,"Yes","No"))</f>
        <v/>
      </c>
      <c r="AL677" s="85">
        <f>IF($A677="","",IF(AND($E677="Yes",OR($Y677="No",$Y677="NOT FOUND")),"YES",""))</f>
        <v/>
      </c>
      <c r="AM677" s="85">
        <f>IF($A677="","",TRIM(IF(AND($P677=0,$I677&lt;&gt;"Yes"),"T0-NoPhishResistant ","")&amp;IF($H677="No","NoMFA ","")&amp;IF(AND($P677=0,$M677&gt;0),"T0-Standing ","")&amp;IF(AND($P677=0,$Q677="Group only"),"T0-ViaGroupOnly ","")&amp;IF($W677="Yes","AlsoAzureRBAC ","")))</f>
        <v/>
      </c>
      <c r="AN677" s="85">
        <f>IF($A677="","",IF(AG677="","Not Enrolled",IF(TODAY()&gt;AG677,"Review Overdue",IF(AG677-TODAY()&lt;=30,"Review Due Soon","Active"))))</f>
        <v/>
      </c>
      <c r="AO677" s="85">
        <f>IF($A677="","",IF(AH677="","NOT REVIEWED",IF(TODAY()-AH677&gt;90,"OVERDUE",IF(TODAY()-AH677&gt;76,"Due Soon","Current"))))</f>
        <v/>
      </c>
    </row>
    <row r="678" ht="15" customHeight="1" s="39">
      <c r="A678" s="85" t="n"/>
      <c r="B678" s="85" t="n"/>
      <c r="C678" s="85" t="n"/>
      <c r="D678" s="85" t="n"/>
      <c r="E678" s="85" t="n"/>
      <c r="F678" s="86" t="n"/>
      <c r="G678" s="86" t="n"/>
      <c r="H678" s="85" t="n"/>
      <c r="I678" s="85" t="n"/>
      <c r="J678" s="85" t="n"/>
      <c r="K678" s="85" t="n"/>
      <c r="L678" s="85" t="n"/>
      <c r="M678" s="85" t="n"/>
      <c r="N678" s="85" t="n"/>
      <c r="O678" s="85" t="n"/>
      <c r="P678" s="85" t="n"/>
      <c r="Q678" s="85" t="n"/>
      <c r="R678" s="85" t="n"/>
      <c r="S678" s="85" t="n"/>
      <c r="T678" s="85" t="n"/>
      <c r="U678" s="85" t="n"/>
      <c r="V678" s="85" t="n"/>
      <c r="W678" s="85" t="n"/>
      <c r="X678" s="85" t="n"/>
      <c r="Y678" s="85" t="n"/>
      <c r="Z678" s="85" t="n"/>
      <c r="AA678" s="85" t="n"/>
      <c r="AB678" s="85" t="n"/>
      <c r="AC678" s="85" t="n"/>
      <c r="AD678" s="85" t="n"/>
      <c r="AE678" s="85" t="n"/>
      <c r="AF678" s="86" t="n"/>
      <c r="AG678" s="86" t="n"/>
      <c r="AH678" s="86" t="n"/>
      <c r="AI678" s="85" t="n"/>
      <c r="AJ678" s="85" t="n"/>
      <c r="AK678" s="85">
        <f>IF($A678="","",IF($M678&gt;0,"Yes","No"))</f>
        <v/>
      </c>
      <c r="AL678" s="85">
        <f>IF($A678="","",IF(AND($E678="Yes",OR($Y678="No",$Y678="NOT FOUND")),"YES",""))</f>
        <v/>
      </c>
      <c r="AM678" s="85">
        <f>IF($A678="","",TRIM(IF(AND($P678=0,$I678&lt;&gt;"Yes"),"T0-NoPhishResistant ","")&amp;IF($H678="No","NoMFA ","")&amp;IF(AND($P678=0,$M678&gt;0),"T0-Standing ","")&amp;IF(AND($P678=0,$Q678="Group only"),"T0-ViaGroupOnly ","")&amp;IF($W678="Yes","AlsoAzureRBAC ","")))</f>
        <v/>
      </c>
      <c r="AN678" s="85">
        <f>IF($A678="","",IF(AG678="","Not Enrolled",IF(TODAY()&gt;AG678,"Review Overdue",IF(AG678-TODAY()&lt;=30,"Review Due Soon","Active"))))</f>
        <v/>
      </c>
      <c r="AO678" s="85">
        <f>IF($A678="","",IF(AH678="","NOT REVIEWED",IF(TODAY()-AH678&gt;90,"OVERDUE",IF(TODAY()-AH678&gt;76,"Due Soon","Current"))))</f>
        <v/>
      </c>
    </row>
    <row r="679" ht="15" customHeight="1" s="39">
      <c r="A679" s="85" t="n"/>
      <c r="B679" s="85" t="n"/>
      <c r="C679" s="85" t="n"/>
      <c r="D679" s="85" t="n"/>
      <c r="E679" s="85" t="n"/>
      <c r="F679" s="86" t="n"/>
      <c r="G679" s="86" t="n"/>
      <c r="H679" s="85" t="n"/>
      <c r="I679" s="85" t="n"/>
      <c r="J679" s="85" t="n"/>
      <c r="K679" s="85" t="n"/>
      <c r="L679" s="85" t="n"/>
      <c r="M679" s="85" t="n"/>
      <c r="N679" s="85" t="n"/>
      <c r="O679" s="85" t="n"/>
      <c r="P679" s="85" t="n"/>
      <c r="Q679" s="85" t="n"/>
      <c r="R679" s="85" t="n"/>
      <c r="S679" s="85" t="n"/>
      <c r="T679" s="85" t="n"/>
      <c r="U679" s="85" t="n"/>
      <c r="V679" s="85" t="n"/>
      <c r="W679" s="85" t="n"/>
      <c r="X679" s="85" t="n"/>
      <c r="Y679" s="85" t="n"/>
      <c r="Z679" s="85" t="n"/>
      <c r="AA679" s="85" t="n"/>
      <c r="AB679" s="85" t="n"/>
      <c r="AC679" s="85" t="n"/>
      <c r="AD679" s="85" t="n"/>
      <c r="AE679" s="85" t="n"/>
      <c r="AF679" s="86" t="n"/>
      <c r="AG679" s="86" t="n"/>
      <c r="AH679" s="86" t="n"/>
      <c r="AI679" s="85" t="n"/>
      <c r="AJ679" s="85" t="n"/>
      <c r="AK679" s="85">
        <f>IF($A679="","",IF($M679&gt;0,"Yes","No"))</f>
        <v/>
      </c>
      <c r="AL679" s="85">
        <f>IF($A679="","",IF(AND($E679="Yes",OR($Y679="No",$Y679="NOT FOUND")),"YES",""))</f>
        <v/>
      </c>
      <c r="AM679" s="85">
        <f>IF($A679="","",TRIM(IF(AND($P679=0,$I679&lt;&gt;"Yes"),"T0-NoPhishResistant ","")&amp;IF($H679="No","NoMFA ","")&amp;IF(AND($P679=0,$M679&gt;0),"T0-Standing ","")&amp;IF(AND($P679=0,$Q679="Group only"),"T0-ViaGroupOnly ","")&amp;IF($W679="Yes","AlsoAzureRBAC ","")))</f>
        <v/>
      </c>
      <c r="AN679" s="85">
        <f>IF($A679="","",IF(AG679="","Not Enrolled",IF(TODAY()&gt;AG679,"Review Overdue",IF(AG679-TODAY()&lt;=30,"Review Due Soon","Active"))))</f>
        <v/>
      </c>
      <c r="AO679" s="85">
        <f>IF($A679="","",IF(AH679="","NOT REVIEWED",IF(TODAY()-AH679&gt;90,"OVERDUE",IF(TODAY()-AH679&gt;76,"Due Soon","Current"))))</f>
        <v/>
      </c>
    </row>
    <row r="680" ht="15" customHeight="1" s="39">
      <c r="A680" s="85" t="n"/>
      <c r="B680" s="85" t="n"/>
      <c r="C680" s="85" t="n"/>
      <c r="D680" s="85" t="n"/>
      <c r="E680" s="85" t="n"/>
      <c r="F680" s="86" t="n"/>
      <c r="G680" s="86" t="n"/>
      <c r="H680" s="85" t="n"/>
      <c r="I680" s="85" t="n"/>
      <c r="J680" s="85" t="n"/>
      <c r="K680" s="85" t="n"/>
      <c r="L680" s="85" t="n"/>
      <c r="M680" s="85" t="n"/>
      <c r="N680" s="85" t="n"/>
      <c r="O680" s="85" t="n"/>
      <c r="P680" s="85" t="n"/>
      <c r="Q680" s="85" t="n"/>
      <c r="R680" s="85" t="n"/>
      <c r="S680" s="85" t="n"/>
      <c r="T680" s="85" t="n"/>
      <c r="U680" s="85" t="n"/>
      <c r="V680" s="85" t="n"/>
      <c r="W680" s="85" t="n"/>
      <c r="X680" s="85" t="n"/>
      <c r="Y680" s="85" t="n"/>
      <c r="Z680" s="85" t="n"/>
      <c r="AA680" s="85" t="n"/>
      <c r="AB680" s="85" t="n"/>
      <c r="AC680" s="85" t="n"/>
      <c r="AD680" s="85" t="n"/>
      <c r="AE680" s="85" t="n"/>
      <c r="AF680" s="86" t="n"/>
      <c r="AG680" s="86" t="n"/>
      <c r="AH680" s="86" t="n"/>
      <c r="AI680" s="85" t="n"/>
      <c r="AJ680" s="85" t="n"/>
      <c r="AK680" s="85">
        <f>IF($A680="","",IF($M680&gt;0,"Yes","No"))</f>
        <v/>
      </c>
      <c r="AL680" s="85">
        <f>IF($A680="","",IF(AND($E680="Yes",OR($Y680="No",$Y680="NOT FOUND")),"YES",""))</f>
        <v/>
      </c>
      <c r="AM680" s="85">
        <f>IF($A680="","",TRIM(IF(AND($P680=0,$I680&lt;&gt;"Yes"),"T0-NoPhishResistant ","")&amp;IF($H680="No","NoMFA ","")&amp;IF(AND($P680=0,$M680&gt;0),"T0-Standing ","")&amp;IF(AND($P680=0,$Q680="Group only"),"T0-ViaGroupOnly ","")&amp;IF($W680="Yes","AlsoAzureRBAC ","")))</f>
        <v/>
      </c>
      <c r="AN680" s="85">
        <f>IF($A680="","",IF(AG680="","Not Enrolled",IF(TODAY()&gt;AG680,"Review Overdue",IF(AG680-TODAY()&lt;=30,"Review Due Soon","Active"))))</f>
        <v/>
      </c>
      <c r="AO680" s="85">
        <f>IF($A680="","",IF(AH680="","NOT REVIEWED",IF(TODAY()-AH680&gt;90,"OVERDUE",IF(TODAY()-AH680&gt;76,"Due Soon","Current"))))</f>
        <v/>
      </c>
    </row>
    <row r="681" ht="15" customHeight="1" s="39">
      <c r="A681" s="85" t="n"/>
      <c r="B681" s="85" t="n"/>
      <c r="C681" s="85" t="n"/>
      <c r="D681" s="85" t="n"/>
      <c r="E681" s="85" t="n"/>
      <c r="F681" s="86" t="n"/>
      <c r="G681" s="86" t="n"/>
      <c r="H681" s="85" t="n"/>
      <c r="I681" s="85" t="n"/>
      <c r="J681" s="85" t="n"/>
      <c r="K681" s="85" t="n"/>
      <c r="L681" s="85" t="n"/>
      <c r="M681" s="85" t="n"/>
      <c r="N681" s="85" t="n"/>
      <c r="O681" s="85" t="n"/>
      <c r="P681" s="85" t="n"/>
      <c r="Q681" s="85" t="n"/>
      <c r="R681" s="85" t="n"/>
      <c r="S681" s="85" t="n"/>
      <c r="T681" s="85" t="n"/>
      <c r="U681" s="85" t="n"/>
      <c r="V681" s="85" t="n"/>
      <c r="W681" s="85" t="n"/>
      <c r="X681" s="85" t="n"/>
      <c r="Y681" s="85" t="n"/>
      <c r="Z681" s="85" t="n"/>
      <c r="AA681" s="85" t="n"/>
      <c r="AB681" s="85" t="n"/>
      <c r="AC681" s="85" t="n"/>
      <c r="AD681" s="85" t="n"/>
      <c r="AE681" s="85" t="n"/>
      <c r="AF681" s="86" t="n"/>
      <c r="AG681" s="86" t="n"/>
      <c r="AH681" s="86" t="n"/>
      <c r="AI681" s="85" t="n"/>
      <c r="AJ681" s="85" t="n"/>
      <c r="AK681" s="85">
        <f>IF($A681="","",IF($M681&gt;0,"Yes","No"))</f>
        <v/>
      </c>
      <c r="AL681" s="85">
        <f>IF($A681="","",IF(AND($E681="Yes",OR($Y681="No",$Y681="NOT FOUND")),"YES",""))</f>
        <v/>
      </c>
      <c r="AM681" s="85">
        <f>IF($A681="","",TRIM(IF(AND($P681=0,$I681&lt;&gt;"Yes"),"T0-NoPhishResistant ","")&amp;IF($H681="No","NoMFA ","")&amp;IF(AND($P681=0,$M681&gt;0),"T0-Standing ","")&amp;IF(AND($P681=0,$Q681="Group only"),"T0-ViaGroupOnly ","")&amp;IF($W681="Yes","AlsoAzureRBAC ","")))</f>
        <v/>
      </c>
      <c r="AN681" s="85">
        <f>IF($A681="","",IF(AG681="","Not Enrolled",IF(TODAY()&gt;AG681,"Review Overdue",IF(AG681-TODAY()&lt;=30,"Review Due Soon","Active"))))</f>
        <v/>
      </c>
      <c r="AO681" s="85">
        <f>IF($A681="","",IF(AH681="","NOT REVIEWED",IF(TODAY()-AH681&gt;90,"OVERDUE",IF(TODAY()-AH681&gt;76,"Due Soon","Current"))))</f>
        <v/>
      </c>
    </row>
    <row r="682" ht="15" customHeight="1" s="39">
      <c r="A682" s="85" t="n"/>
      <c r="B682" s="85" t="n"/>
      <c r="C682" s="85" t="n"/>
      <c r="D682" s="85" t="n"/>
      <c r="E682" s="85" t="n"/>
      <c r="F682" s="86" t="n"/>
      <c r="G682" s="86" t="n"/>
      <c r="H682" s="85" t="n"/>
      <c r="I682" s="85" t="n"/>
      <c r="J682" s="85" t="n"/>
      <c r="K682" s="85" t="n"/>
      <c r="L682" s="85" t="n"/>
      <c r="M682" s="85" t="n"/>
      <c r="N682" s="85" t="n"/>
      <c r="O682" s="85" t="n"/>
      <c r="P682" s="85" t="n"/>
      <c r="Q682" s="85" t="n"/>
      <c r="R682" s="85" t="n"/>
      <c r="S682" s="85" t="n"/>
      <c r="T682" s="85" t="n"/>
      <c r="U682" s="85" t="n"/>
      <c r="V682" s="85" t="n"/>
      <c r="W682" s="85" t="n"/>
      <c r="X682" s="85" t="n"/>
      <c r="Y682" s="85" t="n"/>
      <c r="Z682" s="85" t="n"/>
      <c r="AA682" s="85" t="n"/>
      <c r="AB682" s="85" t="n"/>
      <c r="AC682" s="85" t="n"/>
      <c r="AD682" s="85" t="n"/>
      <c r="AE682" s="85" t="n"/>
      <c r="AF682" s="86" t="n"/>
      <c r="AG682" s="86" t="n"/>
      <c r="AH682" s="86" t="n"/>
      <c r="AI682" s="85" t="n"/>
      <c r="AJ682" s="85" t="n"/>
      <c r="AK682" s="85">
        <f>IF($A682="","",IF($M682&gt;0,"Yes","No"))</f>
        <v/>
      </c>
      <c r="AL682" s="85">
        <f>IF($A682="","",IF(AND($E682="Yes",OR($Y682="No",$Y682="NOT FOUND")),"YES",""))</f>
        <v/>
      </c>
      <c r="AM682" s="85">
        <f>IF($A682="","",TRIM(IF(AND($P682=0,$I682&lt;&gt;"Yes"),"T0-NoPhishResistant ","")&amp;IF($H682="No","NoMFA ","")&amp;IF(AND($P682=0,$M682&gt;0),"T0-Standing ","")&amp;IF(AND($P682=0,$Q682="Group only"),"T0-ViaGroupOnly ","")&amp;IF($W682="Yes","AlsoAzureRBAC ","")))</f>
        <v/>
      </c>
      <c r="AN682" s="85">
        <f>IF($A682="","",IF(AG682="","Not Enrolled",IF(TODAY()&gt;AG682,"Review Overdue",IF(AG682-TODAY()&lt;=30,"Review Due Soon","Active"))))</f>
        <v/>
      </c>
      <c r="AO682" s="85">
        <f>IF($A682="","",IF(AH682="","NOT REVIEWED",IF(TODAY()-AH682&gt;90,"OVERDUE",IF(TODAY()-AH682&gt;76,"Due Soon","Current"))))</f>
        <v/>
      </c>
    </row>
    <row r="683" ht="15" customHeight="1" s="39">
      <c r="A683" s="85" t="n"/>
      <c r="B683" s="85" t="n"/>
      <c r="C683" s="85" t="n"/>
      <c r="D683" s="85" t="n"/>
      <c r="E683" s="85" t="n"/>
      <c r="F683" s="86" t="n"/>
      <c r="G683" s="86" t="n"/>
      <c r="H683" s="85" t="n"/>
      <c r="I683" s="85" t="n"/>
      <c r="J683" s="85" t="n"/>
      <c r="K683" s="85" t="n"/>
      <c r="L683" s="85" t="n"/>
      <c r="M683" s="85" t="n"/>
      <c r="N683" s="85" t="n"/>
      <c r="O683" s="85" t="n"/>
      <c r="P683" s="85" t="n"/>
      <c r="Q683" s="85" t="n"/>
      <c r="R683" s="85" t="n"/>
      <c r="S683" s="85" t="n"/>
      <c r="T683" s="85" t="n"/>
      <c r="U683" s="85" t="n"/>
      <c r="V683" s="85" t="n"/>
      <c r="W683" s="85" t="n"/>
      <c r="X683" s="85" t="n"/>
      <c r="Y683" s="85" t="n"/>
      <c r="Z683" s="85" t="n"/>
      <c r="AA683" s="85" t="n"/>
      <c r="AB683" s="85" t="n"/>
      <c r="AC683" s="85" t="n"/>
      <c r="AD683" s="85" t="n"/>
      <c r="AE683" s="85" t="n"/>
      <c r="AF683" s="86" t="n"/>
      <c r="AG683" s="86" t="n"/>
      <c r="AH683" s="86" t="n"/>
      <c r="AI683" s="85" t="n"/>
      <c r="AJ683" s="85" t="n"/>
      <c r="AK683" s="85">
        <f>IF($A683="","",IF($M683&gt;0,"Yes","No"))</f>
        <v/>
      </c>
      <c r="AL683" s="85">
        <f>IF($A683="","",IF(AND($E683="Yes",OR($Y683="No",$Y683="NOT FOUND")),"YES",""))</f>
        <v/>
      </c>
      <c r="AM683" s="85">
        <f>IF($A683="","",TRIM(IF(AND($P683=0,$I683&lt;&gt;"Yes"),"T0-NoPhishResistant ","")&amp;IF($H683="No","NoMFA ","")&amp;IF(AND($P683=0,$M683&gt;0),"T0-Standing ","")&amp;IF(AND($P683=0,$Q683="Group only"),"T0-ViaGroupOnly ","")&amp;IF($W683="Yes","AlsoAzureRBAC ","")))</f>
        <v/>
      </c>
      <c r="AN683" s="85">
        <f>IF($A683="","",IF(AG683="","Not Enrolled",IF(TODAY()&gt;AG683,"Review Overdue",IF(AG683-TODAY()&lt;=30,"Review Due Soon","Active"))))</f>
        <v/>
      </c>
      <c r="AO683" s="85">
        <f>IF($A683="","",IF(AH683="","NOT REVIEWED",IF(TODAY()-AH683&gt;90,"OVERDUE",IF(TODAY()-AH683&gt;76,"Due Soon","Current"))))</f>
        <v/>
      </c>
    </row>
    <row r="684" ht="15" customHeight="1" s="39">
      <c r="A684" s="85" t="n"/>
      <c r="B684" s="85" t="n"/>
      <c r="C684" s="85" t="n"/>
      <c r="D684" s="85" t="n"/>
      <c r="E684" s="85" t="n"/>
      <c r="F684" s="86" t="n"/>
      <c r="G684" s="86" t="n"/>
      <c r="H684" s="85" t="n"/>
      <c r="I684" s="85" t="n"/>
      <c r="J684" s="85" t="n"/>
      <c r="K684" s="85" t="n"/>
      <c r="L684" s="85" t="n"/>
      <c r="M684" s="85" t="n"/>
      <c r="N684" s="85" t="n"/>
      <c r="O684" s="85" t="n"/>
      <c r="P684" s="85" t="n"/>
      <c r="Q684" s="85" t="n"/>
      <c r="R684" s="85" t="n"/>
      <c r="S684" s="85" t="n"/>
      <c r="T684" s="85" t="n"/>
      <c r="U684" s="85" t="n"/>
      <c r="V684" s="85" t="n"/>
      <c r="W684" s="85" t="n"/>
      <c r="X684" s="85" t="n"/>
      <c r="Y684" s="85" t="n"/>
      <c r="Z684" s="85" t="n"/>
      <c r="AA684" s="85" t="n"/>
      <c r="AB684" s="85" t="n"/>
      <c r="AC684" s="85" t="n"/>
      <c r="AD684" s="85" t="n"/>
      <c r="AE684" s="85" t="n"/>
      <c r="AF684" s="86" t="n"/>
      <c r="AG684" s="86" t="n"/>
      <c r="AH684" s="86" t="n"/>
      <c r="AI684" s="85" t="n"/>
      <c r="AJ684" s="85" t="n"/>
      <c r="AK684" s="85">
        <f>IF($A684="","",IF($M684&gt;0,"Yes","No"))</f>
        <v/>
      </c>
      <c r="AL684" s="85">
        <f>IF($A684="","",IF(AND($E684="Yes",OR($Y684="No",$Y684="NOT FOUND")),"YES",""))</f>
        <v/>
      </c>
      <c r="AM684" s="85">
        <f>IF($A684="","",TRIM(IF(AND($P684=0,$I684&lt;&gt;"Yes"),"T0-NoPhishResistant ","")&amp;IF($H684="No","NoMFA ","")&amp;IF(AND($P684=0,$M684&gt;0),"T0-Standing ","")&amp;IF(AND($P684=0,$Q684="Group only"),"T0-ViaGroupOnly ","")&amp;IF($W684="Yes","AlsoAzureRBAC ","")))</f>
        <v/>
      </c>
      <c r="AN684" s="85">
        <f>IF($A684="","",IF(AG684="","Not Enrolled",IF(TODAY()&gt;AG684,"Review Overdue",IF(AG684-TODAY()&lt;=30,"Review Due Soon","Active"))))</f>
        <v/>
      </c>
      <c r="AO684" s="85">
        <f>IF($A684="","",IF(AH684="","NOT REVIEWED",IF(TODAY()-AH684&gt;90,"OVERDUE",IF(TODAY()-AH684&gt;76,"Due Soon","Current"))))</f>
        <v/>
      </c>
    </row>
    <row r="685" ht="15" customHeight="1" s="39">
      <c r="A685" s="85" t="n"/>
      <c r="B685" s="85" t="n"/>
      <c r="C685" s="85" t="n"/>
      <c r="D685" s="85" t="n"/>
      <c r="E685" s="85" t="n"/>
      <c r="F685" s="86" t="n"/>
      <c r="G685" s="86" t="n"/>
      <c r="H685" s="85" t="n"/>
      <c r="I685" s="85" t="n"/>
      <c r="J685" s="85" t="n"/>
      <c r="K685" s="85" t="n"/>
      <c r="L685" s="85" t="n"/>
      <c r="M685" s="85" t="n"/>
      <c r="N685" s="85" t="n"/>
      <c r="O685" s="85" t="n"/>
      <c r="P685" s="85" t="n"/>
      <c r="Q685" s="85" t="n"/>
      <c r="R685" s="85" t="n"/>
      <c r="S685" s="85" t="n"/>
      <c r="T685" s="85" t="n"/>
      <c r="U685" s="85" t="n"/>
      <c r="V685" s="85" t="n"/>
      <c r="W685" s="85" t="n"/>
      <c r="X685" s="85" t="n"/>
      <c r="Y685" s="85" t="n"/>
      <c r="Z685" s="85" t="n"/>
      <c r="AA685" s="85" t="n"/>
      <c r="AB685" s="85" t="n"/>
      <c r="AC685" s="85" t="n"/>
      <c r="AD685" s="85" t="n"/>
      <c r="AE685" s="85" t="n"/>
      <c r="AF685" s="86" t="n"/>
      <c r="AG685" s="86" t="n"/>
      <c r="AH685" s="86" t="n"/>
      <c r="AI685" s="85" t="n"/>
      <c r="AJ685" s="85" t="n"/>
      <c r="AK685" s="85">
        <f>IF($A685="","",IF($M685&gt;0,"Yes","No"))</f>
        <v/>
      </c>
      <c r="AL685" s="85">
        <f>IF($A685="","",IF(AND($E685="Yes",OR($Y685="No",$Y685="NOT FOUND")),"YES",""))</f>
        <v/>
      </c>
      <c r="AM685" s="85">
        <f>IF($A685="","",TRIM(IF(AND($P685=0,$I685&lt;&gt;"Yes"),"T0-NoPhishResistant ","")&amp;IF($H685="No","NoMFA ","")&amp;IF(AND($P685=0,$M685&gt;0),"T0-Standing ","")&amp;IF(AND($P685=0,$Q685="Group only"),"T0-ViaGroupOnly ","")&amp;IF($W685="Yes","AlsoAzureRBAC ","")))</f>
        <v/>
      </c>
      <c r="AN685" s="85">
        <f>IF($A685="","",IF(AG685="","Not Enrolled",IF(TODAY()&gt;AG685,"Review Overdue",IF(AG685-TODAY()&lt;=30,"Review Due Soon","Active"))))</f>
        <v/>
      </c>
      <c r="AO685" s="85">
        <f>IF($A685="","",IF(AH685="","NOT REVIEWED",IF(TODAY()-AH685&gt;90,"OVERDUE",IF(TODAY()-AH685&gt;76,"Due Soon","Current"))))</f>
        <v/>
      </c>
    </row>
    <row r="686" ht="15" customHeight="1" s="39">
      <c r="A686" s="85" t="n"/>
      <c r="B686" s="85" t="n"/>
      <c r="C686" s="85" t="n"/>
      <c r="D686" s="85" t="n"/>
      <c r="E686" s="85" t="n"/>
      <c r="F686" s="86" t="n"/>
      <c r="G686" s="86" t="n"/>
      <c r="H686" s="85" t="n"/>
      <c r="I686" s="85" t="n"/>
      <c r="J686" s="85" t="n"/>
      <c r="K686" s="85" t="n"/>
      <c r="L686" s="85" t="n"/>
      <c r="M686" s="85" t="n"/>
      <c r="N686" s="85" t="n"/>
      <c r="O686" s="85" t="n"/>
      <c r="P686" s="85" t="n"/>
      <c r="Q686" s="85" t="n"/>
      <c r="R686" s="85" t="n"/>
      <c r="S686" s="85" t="n"/>
      <c r="T686" s="85" t="n"/>
      <c r="U686" s="85" t="n"/>
      <c r="V686" s="85" t="n"/>
      <c r="W686" s="85" t="n"/>
      <c r="X686" s="85" t="n"/>
      <c r="Y686" s="85" t="n"/>
      <c r="Z686" s="85" t="n"/>
      <c r="AA686" s="85" t="n"/>
      <c r="AB686" s="85" t="n"/>
      <c r="AC686" s="85" t="n"/>
      <c r="AD686" s="85" t="n"/>
      <c r="AE686" s="85" t="n"/>
      <c r="AF686" s="86" t="n"/>
      <c r="AG686" s="86" t="n"/>
      <c r="AH686" s="86" t="n"/>
      <c r="AI686" s="85" t="n"/>
      <c r="AJ686" s="85" t="n"/>
      <c r="AK686" s="85">
        <f>IF($A686="","",IF($M686&gt;0,"Yes","No"))</f>
        <v/>
      </c>
      <c r="AL686" s="85">
        <f>IF($A686="","",IF(AND($E686="Yes",OR($Y686="No",$Y686="NOT FOUND")),"YES",""))</f>
        <v/>
      </c>
      <c r="AM686" s="85">
        <f>IF($A686="","",TRIM(IF(AND($P686=0,$I686&lt;&gt;"Yes"),"T0-NoPhishResistant ","")&amp;IF($H686="No","NoMFA ","")&amp;IF(AND($P686=0,$M686&gt;0),"T0-Standing ","")&amp;IF(AND($P686=0,$Q686="Group only"),"T0-ViaGroupOnly ","")&amp;IF($W686="Yes","AlsoAzureRBAC ","")))</f>
        <v/>
      </c>
      <c r="AN686" s="85">
        <f>IF($A686="","",IF(AG686="","Not Enrolled",IF(TODAY()&gt;AG686,"Review Overdue",IF(AG686-TODAY()&lt;=30,"Review Due Soon","Active"))))</f>
        <v/>
      </c>
      <c r="AO686" s="85">
        <f>IF($A686="","",IF(AH686="","NOT REVIEWED",IF(TODAY()-AH686&gt;90,"OVERDUE",IF(TODAY()-AH686&gt;76,"Due Soon","Current"))))</f>
        <v/>
      </c>
    </row>
    <row r="687" ht="15" customHeight="1" s="39">
      <c r="A687" s="85" t="n"/>
      <c r="B687" s="85" t="n"/>
      <c r="C687" s="85" t="n"/>
      <c r="D687" s="85" t="n"/>
      <c r="E687" s="85" t="n"/>
      <c r="F687" s="86" t="n"/>
      <c r="G687" s="86" t="n"/>
      <c r="H687" s="85" t="n"/>
      <c r="I687" s="85" t="n"/>
      <c r="J687" s="85" t="n"/>
      <c r="K687" s="85" t="n"/>
      <c r="L687" s="85" t="n"/>
      <c r="M687" s="85" t="n"/>
      <c r="N687" s="85" t="n"/>
      <c r="O687" s="85" t="n"/>
      <c r="P687" s="85" t="n"/>
      <c r="Q687" s="85" t="n"/>
      <c r="R687" s="85" t="n"/>
      <c r="S687" s="85" t="n"/>
      <c r="T687" s="85" t="n"/>
      <c r="U687" s="85" t="n"/>
      <c r="V687" s="85" t="n"/>
      <c r="W687" s="85" t="n"/>
      <c r="X687" s="85" t="n"/>
      <c r="Y687" s="85" t="n"/>
      <c r="Z687" s="85" t="n"/>
      <c r="AA687" s="85" t="n"/>
      <c r="AB687" s="85" t="n"/>
      <c r="AC687" s="85" t="n"/>
      <c r="AD687" s="85" t="n"/>
      <c r="AE687" s="85" t="n"/>
      <c r="AF687" s="86" t="n"/>
      <c r="AG687" s="86" t="n"/>
      <c r="AH687" s="86" t="n"/>
      <c r="AI687" s="85" t="n"/>
      <c r="AJ687" s="85" t="n"/>
      <c r="AK687" s="85">
        <f>IF($A687="","",IF($M687&gt;0,"Yes","No"))</f>
        <v/>
      </c>
      <c r="AL687" s="85">
        <f>IF($A687="","",IF(AND($E687="Yes",OR($Y687="No",$Y687="NOT FOUND")),"YES",""))</f>
        <v/>
      </c>
      <c r="AM687" s="85">
        <f>IF($A687="","",TRIM(IF(AND($P687=0,$I687&lt;&gt;"Yes"),"T0-NoPhishResistant ","")&amp;IF($H687="No","NoMFA ","")&amp;IF(AND($P687=0,$M687&gt;0),"T0-Standing ","")&amp;IF(AND($P687=0,$Q687="Group only"),"T0-ViaGroupOnly ","")&amp;IF($W687="Yes","AlsoAzureRBAC ","")))</f>
        <v/>
      </c>
      <c r="AN687" s="85">
        <f>IF($A687="","",IF(AG687="","Not Enrolled",IF(TODAY()&gt;AG687,"Review Overdue",IF(AG687-TODAY()&lt;=30,"Review Due Soon","Active"))))</f>
        <v/>
      </c>
      <c r="AO687" s="85">
        <f>IF($A687="","",IF(AH687="","NOT REVIEWED",IF(TODAY()-AH687&gt;90,"OVERDUE",IF(TODAY()-AH687&gt;76,"Due Soon","Current"))))</f>
        <v/>
      </c>
    </row>
    <row r="688" ht="15" customHeight="1" s="39">
      <c r="A688" s="85" t="n"/>
      <c r="B688" s="85" t="n"/>
      <c r="C688" s="85" t="n"/>
      <c r="D688" s="85" t="n"/>
      <c r="E688" s="85" t="n"/>
      <c r="F688" s="86" t="n"/>
      <c r="G688" s="86" t="n"/>
      <c r="H688" s="85" t="n"/>
      <c r="I688" s="85" t="n"/>
      <c r="J688" s="85" t="n"/>
      <c r="K688" s="85" t="n"/>
      <c r="L688" s="85" t="n"/>
      <c r="M688" s="85" t="n"/>
      <c r="N688" s="85" t="n"/>
      <c r="O688" s="85" t="n"/>
      <c r="P688" s="85" t="n"/>
      <c r="Q688" s="85" t="n"/>
      <c r="R688" s="85" t="n"/>
      <c r="S688" s="85" t="n"/>
      <c r="T688" s="85" t="n"/>
      <c r="U688" s="85" t="n"/>
      <c r="V688" s="85" t="n"/>
      <c r="W688" s="85" t="n"/>
      <c r="X688" s="85" t="n"/>
      <c r="Y688" s="85" t="n"/>
      <c r="Z688" s="85" t="n"/>
      <c r="AA688" s="85" t="n"/>
      <c r="AB688" s="85" t="n"/>
      <c r="AC688" s="85" t="n"/>
      <c r="AD688" s="85" t="n"/>
      <c r="AE688" s="85" t="n"/>
      <c r="AF688" s="86" t="n"/>
      <c r="AG688" s="86" t="n"/>
      <c r="AH688" s="86" t="n"/>
      <c r="AI688" s="85" t="n"/>
      <c r="AJ688" s="85" t="n"/>
      <c r="AK688" s="85">
        <f>IF($A688="","",IF($M688&gt;0,"Yes","No"))</f>
        <v/>
      </c>
      <c r="AL688" s="85">
        <f>IF($A688="","",IF(AND($E688="Yes",OR($Y688="No",$Y688="NOT FOUND")),"YES",""))</f>
        <v/>
      </c>
      <c r="AM688" s="85">
        <f>IF($A688="","",TRIM(IF(AND($P688=0,$I688&lt;&gt;"Yes"),"T0-NoPhishResistant ","")&amp;IF($H688="No","NoMFA ","")&amp;IF(AND($P688=0,$M688&gt;0),"T0-Standing ","")&amp;IF(AND($P688=0,$Q688="Group only"),"T0-ViaGroupOnly ","")&amp;IF($W688="Yes","AlsoAzureRBAC ","")))</f>
        <v/>
      </c>
      <c r="AN688" s="85">
        <f>IF($A688="","",IF(AG688="","Not Enrolled",IF(TODAY()&gt;AG688,"Review Overdue",IF(AG688-TODAY()&lt;=30,"Review Due Soon","Active"))))</f>
        <v/>
      </c>
      <c r="AO688" s="85">
        <f>IF($A688="","",IF(AH688="","NOT REVIEWED",IF(TODAY()-AH688&gt;90,"OVERDUE",IF(TODAY()-AH688&gt;76,"Due Soon","Current"))))</f>
        <v/>
      </c>
    </row>
    <row r="689" ht="15" customHeight="1" s="39">
      <c r="A689" s="85" t="n"/>
      <c r="B689" s="85" t="n"/>
      <c r="C689" s="85" t="n"/>
      <c r="D689" s="85" t="n"/>
      <c r="E689" s="85" t="n"/>
      <c r="F689" s="86" t="n"/>
      <c r="G689" s="86" t="n"/>
      <c r="H689" s="85" t="n"/>
      <c r="I689" s="85" t="n"/>
      <c r="J689" s="85" t="n"/>
      <c r="K689" s="85" t="n"/>
      <c r="L689" s="85" t="n"/>
      <c r="M689" s="85" t="n"/>
      <c r="N689" s="85" t="n"/>
      <c r="O689" s="85" t="n"/>
      <c r="P689" s="85" t="n"/>
      <c r="Q689" s="85" t="n"/>
      <c r="R689" s="85" t="n"/>
      <c r="S689" s="85" t="n"/>
      <c r="T689" s="85" t="n"/>
      <c r="U689" s="85" t="n"/>
      <c r="V689" s="85" t="n"/>
      <c r="W689" s="85" t="n"/>
      <c r="X689" s="85" t="n"/>
      <c r="Y689" s="85" t="n"/>
      <c r="Z689" s="85" t="n"/>
      <c r="AA689" s="85" t="n"/>
      <c r="AB689" s="85" t="n"/>
      <c r="AC689" s="85" t="n"/>
      <c r="AD689" s="85" t="n"/>
      <c r="AE689" s="85" t="n"/>
      <c r="AF689" s="86" t="n"/>
      <c r="AG689" s="86" t="n"/>
      <c r="AH689" s="86" t="n"/>
      <c r="AI689" s="85" t="n"/>
      <c r="AJ689" s="85" t="n"/>
      <c r="AK689" s="85">
        <f>IF($A689="","",IF($M689&gt;0,"Yes","No"))</f>
        <v/>
      </c>
      <c r="AL689" s="85">
        <f>IF($A689="","",IF(AND($E689="Yes",OR($Y689="No",$Y689="NOT FOUND")),"YES",""))</f>
        <v/>
      </c>
      <c r="AM689" s="85">
        <f>IF($A689="","",TRIM(IF(AND($P689=0,$I689&lt;&gt;"Yes"),"T0-NoPhishResistant ","")&amp;IF($H689="No","NoMFA ","")&amp;IF(AND($P689=0,$M689&gt;0),"T0-Standing ","")&amp;IF(AND($P689=0,$Q689="Group only"),"T0-ViaGroupOnly ","")&amp;IF($W689="Yes","AlsoAzureRBAC ","")))</f>
        <v/>
      </c>
      <c r="AN689" s="85">
        <f>IF($A689="","",IF(AG689="","Not Enrolled",IF(TODAY()&gt;AG689,"Review Overdue",IF(AG689-TODAY()&lt;=30,"Review Due Soon","Active"))))</f>
        <v/>
      </c>
      <c r="AO689" s="85">
        <f>IF($A689="","",IF(AH689="","NOT REVIEWED",IF(TODAY()-AH689&gt;90,"OVERDUE",IF(TODAY()-AH689&gt;76,"Due Soon","Current"))))</f>
        <v/>
      </c>
    </row>
    <row r="690" ht="15" customHeight="1" s="39">
      <c r="A690" s="85" t="n"/>
      <c r="B690" s="85" t="n"/>
      <c r="C690" s="85" t="n"/>
      <c r="D690" s="85" t="n"/>
      <c r="E690" s="85" t="n"/>
      <c r="F690" s="86" t="n"/>
      <c r="G690" s="86" t="n"/>
      <c r="H690" s="85" t="n"/>
      <c r="I690" s="85" t="n"/>
      <c r="J690" s="85" t="n"/>
      <c r="K690" s="85" t="n"/>
      <c r="L690" s="85" t="n"/>
      <c r="M690" s="85" t="n"/>
      <c r="N690" s="85" t="n"/>
      <c r="O690" s="85" t="n"/>
      <c r="P690" s="85" t="n"/>
      <c r="Q690" s="85" t="n"/>
      <c r="R690" s="85" t="n"/>
      <c r="S690" s="85" t="n"/>
      <c r="T690" s="85" t="n"/>
      <c r="U690" s="85" t="n"/>
      <c r="V690" s="85" t="n"/>
      <c r="W690" s="85" t="n"/>
      <c r="X690" s="85" t="n"/>
      <c r="Y690" s="85" t="n"/>
      <c r="Z690" s="85" t="n"/>
      <c r="AA690" s="85" t="n"/>
      <c r="AB690" s="85" t="n"/>
      <c r="AC690" s="85" t="n"/>
      <c r="AD690" s="85" t="n"/>
      <c r="AE690" s="85" t="n"/>
      <c r="AF690" s="86" t="n"/>
      <c r="AG690" s="86" t="n"/>
      <c r="AH690" s="86" t="n"/>
      <c r="AI690" s="85" t="n"/>
      <c r="AJ690" s="85" t="n"/>
      <c r="AK690" s="85">
        <f>IF($A690="","",IF($M690&gt;0,"Yes","No"))</f>
        <v/>
      </c>
      <c r="AL690" s="85">
        <f>IF($A690="","",IF(AND($E690="Yes",OR($Y690="No",$Y690="NOT FOUND")),"YES",""))</f>
        <v/>
      </c>
      <c r="AM690" s="85">
        <f>IF($A690="","",TRIM(IF(AND($P690=0,$I690&lt;&gt;"Yes"),"T0-NoPhishResistant ","")&amp;IF($H690="No","NoMFA ","")&amp;IF(AND($P690=0,$M690&gt;0),"T0-Standing ","")&amp;IF(AND($P690=0,$Q690="Group only"),"T0-ViaGroupOnly ","")&amp;IF($W690="Yes","AlsoAzureRBAC ","")))</f>
        <v/>
      </c>
      <c r="AN690" s="85">
        <f>IF($A690="","",IF(AG690="","Not Enrolled",IF(TODAY()&gt;AG690,"Review Overdue",IF(AG690-TODAY()&lt;=30,"Review Due Soon","Active"))))</f>
        <v/>
      </c>
      <c r="AO690" s="85">
        <f>IF($A690="","",IF(AH690="","NOT REVIEWED",IF(TODAY()-AH690&gt;90,"OVERDUE",IF(TODAY()-AH690&gt;76,"Due Soon","Current"))))</f>
        <v/>
      </c>
    </row>
    <row r="691" ht="15" customHeight="1" s="39">
      <c r="A691" s="85" t="n"/>
      <c r="B691" s="85" t="n"/>
      <c r="C691" s="85" t="n"/>
      <c r="D691" s="85" t="n"/>
      <c r="E691" s="85" t="n"/>
      <c r="F691" s="86" t="n"/>
      <c r="G691" s="86" t="n"/>
      <c r="H691" s="85" t="n"/>
      <c r="I691" s="85" t="n"/>
      <c r="J691" s="85" t="n"/>
      <c r="K691" s="85" t="n"/>
      <c r="L691" s="85" t="n"/>
      <c r="M691" s="85" t="n"/>
      <c r="N691" s="85" t="n"/>
      <c r="O691" s="85" t="n"/>
      <c r="P691" s="85" t="n"/>
      <c r="Q691" s="85" t="n"/>
      <c r="R691" s="85" t="n"/>
      <c r="S691" s="85" t="n"/>
      <c r="T691" s="85" t="n"/>
      <c r="U691" s="85" t="n"/>
      <c r="V691" s="85" t="n"/>
      <c r="W691" s="85" t="n"/>
      <c r="X691" s="85" t="n"/>
      <c r="Y691" s="85" t="n"/>
      <c r="Z691" s="85" t="n"/>
      <c r="AA691" s="85" t="n"/>
      <c r="AB691" s="85" t="n"/>
      <c r="AC691" s="85" t="n"/>
      <c r="AD691" s="85" t="n"/>
      <c r="AE691" s="85" t="n"/>
      <c r="AF691" s="86" t="n"/>
      <c r="AG691" s="86" t="n"/>
      <c r="AH691" s="86" t="n"/>
      <c r="AI691" s="85" t="n"/>
      <c r="AJ691" s="85" t="n"/>
      <c r="AK691" s="85">
        <f>IF($A691="","",IF($M691&gt;0,"Yes","No"))</f>
        <v/>
      </c>
      <c r="AL691" s="85">
        <f>IF($A691="","",IF(AND($E691="Yes",OR($Y691="No",$Y691="NOT FOUND")),"YES",""))</f>
        <v/>
      </c>
      <c r="AM691" s="85">
        <f>IF($A691="","",TRIM(IF(AND($P691=0,$I691&lt;&gt;"Yes"),"T0-NoPhishResistant ","")&amp;IF($H691="No","NoMFA ","")&amp;IF(AND($P691=0,$M691&gt;0),"T0-Standing ","")&amp;IF(AND($P691=0,$Q691="Group only"),"T0-ViaGroupOnly ","")&amp;IF($W691="Yes","AlsoAzureRBAC ","")))</f>
        <v/>
      </c>
      <c r="AN691" s="85">
        <f>IF($A691="","",IF(AG691="","Not Enrolled",IF(TODAY()&gt;AG691,"Review Overdue",IF(AG691-TODAY()&lt;=30,"Review Due Soon","Active"))))</f>
        <v/>
      </c>
      <c r="AO691" s="85">
        <f>IF($A691="","",IF(AH691="","NOT REVIEWED",IF(TODAY()-AH691&gt;90,"OVERDUE",IF(TODAY()-AH691&gt;76,"Due Soon","Current"))))</f>
        <v/>
      </c>
    </row>
    <row r="692" ht="15" customHeight="1" s="39">
      <c r="A692" s="85" t="n"/>
      <c r="B692" s="85" t="n"/>
      <c r="C692" s="85" t="n"/>
      <c r="D692" s="85" t="n"/>
      <c r="E692" s="85" t="n"/>
      <c r="F692" s="86" t="n"/>
      <c r="G692" s="86" t="n"/>
      <c r="H692" s="85" t="n"/>
      <c r="I692" s="85" t="n"/>
      <c r="J692" s="85" t="n"/>
      <c r="K692" s="85" t="n"/>
      <c r="L692" s="85" t="n"/>
      <c r="M692" s="85" t="n"/>
      <c r="N692" s="85" t="n"/>
      <c r="O692" s="85" t="n"/>
      <c r="P692" s="85" t="n"/>
      <c r="Q692" s="85" t="n"/>
      <c r="R692" s="85" t="n"/>
      <c r="S692" s="85" t="n"/>
      <c r="T692" s="85" t="n"/>
      <c r="U692" s="85" t="n"/>
      <c r="V692" s="85" t="n"/>
      <c r="W692" s="85" t="n"/>
      <c r="X692" s="85" t="n"/>
      <c r="Y692" s="85" t="n"/>
      <c r="Z692" s="85" t="n"/>
      <c r="AA692" s="85" t="n"/>
      <c r="AB692" s="85" t="n"/>
      <c r="AC692" s="85" t="n"/>
      <c r="AD692" s="85" t="n"/>
      <c r="AE692" s="85" t="n"/>
      <c r="AF692" s="86" t="n"/>
      <c r="AG692" s="86" t="n"/>
      <c r="AH692" s="86" t="n"/>
      <c r="AI692" s="85" t="n"/>
      <c r="AJ692" s="85" t="n"/>
      <c r="AK692" s="85">
        <f>IF($A692="","",IF($M692&gt;0,"Yes","No"))</f>
        <v/>
      </c>
      <c r="AL692" s="85">
        <f>IF($A692="","",IF(AND($E692="Yes",OR($Y692="No",$Y692="NOT FOUND")),"YES",""))</f>
        <v/>
      </c>
      <c r="AM692" s="85">
        <f>IF($A692="","",TRIM(IF(AND($P692=0,$I692&lt;&gt;"Yes"),"T0-NoPhishResistant ","")&amp;IF($H692="No","NoMFA ","")&amp;IF(AND($P692=0,$M692&gt;0),"T0-Standing ","")&amp;IF(AND($P692=0,$Q692="Group only"),"T0-ViaGroupOnly ","")&amp;IF($W692="Yes","AlsoAzureRBAC ","")))</f>
        <v/>
      </c>
      <c r="AN692" s="85">
        <f>IF($A692="","",IF(AG692="","Not Enrolled",IF(TODAY()&gt;AG692,"Review Overdue",IF(AG692-TODAY()&lt;=30,"Review Due Soon","Active"))))</f>
        <v/>
      </c>
      <c r="AO692" s="85">
        <f>IF($A692="","",IF(AH692="","NOT REVIEWED",IF(TODAY()-AH692&gt;90,"OVERDUE",IF(TODAY()-AH692&gt;76,"Due Soon","Current"))))</f>
        <v/>
      </c>
    </row>
    <row r="693" ht="15" customHeight="1" s="39">
      <c r="A693" s="85" t="n"/>
      <c r="B693" s="85" t="n"/>
      <c r="C693" s="85" t="n"/>
      <c r="D693" s="85" t="n"/>
      <c r="E693" s="85" t="n"/>
      <c r="F693" s="86" t="n"/>
      <c r="G693" s="86" t="n"/>
      <c r="H693" s="85" t="n"/>
      <c r="I693" s="85" t="n"/>
      <c r="J693" s="85" t="n"/>
      <c r="K693" s="85" t="n"/>
      <c r="L693" s="85" t="n"/>
      <c r="M693" s="85" t="n"/>
      <c r="N693" s="85" t="n"/>
      <c r="O693" s="85" t="n"/>
      <c r="P693" s="85" t="n"/>
      <c r="Q693" s="85" t="n"/>
      <c r="R693" s="85" t="n"/>
      <c r="S693" s="85" t="n"/>
      <c r="T693" s="85" t="n"/>
      <c r="U693" s="85" t="n"/>
      <c r="V693" s="85" t="n"/>
      <c r="W693" s="85" t="n"/>
      <c r="X693" s="85" t="n"/>
      <c r="Y693" s="85" t="n"/>
      <c r="Z693" s="85" t="n"/>
      <c r="AA693" s="85" t="n"/>
      <c r="AB693" s="85" t="n"/>
      <c r="AC693" s="85" t="n"/>
      <c r="AD693" s="85" t="n"/>
      <c r="AE693" s="85" t="n"/>
      <c r="AF693" s="86" t="n"/>
      <c r="AG693" s="86" t="n"/>
      <c r="AH693" s="86" t="n"/>
      <c r="AI693" s="85" t="n"/>
      <c r="AJ693" s="85" t="n"/>
      <c r="AK693" s="85">
        <f>IF($A693="","",IF($M693&gt;0,"Yes","No"))</f>
        <v/>
      </c>
      <c r="AL693" s="85">
        <f>IF($A693="","",IF(AND($E693="Yes",OR($Y693="No",$Y693="NOT FOUND")),"YES",""))</f>
        <v/>
      </c>
      <c r="AM693" s="85">
        <f>IF($A693="","",TRIM(IF(AND($P693=0,$I693&lt;&gt;"Yes"),"T0-NoPhishResistant ","")&amp;IF($H693="No","NoMFA ","")&amp;IF(AND($P693=0,$M693&gt;0),"T0-Standing ","")&amp;IF(AND($P693=0,$Q693="Group only"),"T0-ViaGroupOnly ","")&amp;IF($W693="Yes","AlsoAzureRBAC ","")))</f>
        <v/>
      </c>
      <c r="AN693" s="85">
        <f>IF($A693="","",IF(AG693="","Not Enrolled",IF(TODAY()&gt;AG693,"Review Overdue",IF(AG693-TODAY()&lt;=30,"Review Due Soon","Active"))))</f>
        <v/>
      </c>
      <c r="AO693" s="85">
        <f>IF($A693="","",IF(AH693="","NOT REVIEWED",IF(TODAY()-AH693&gt;90,"OVERDUE",IF(TODAY()-AH693&gt;76,"Due Soon","Current"))))</f>
        <v/>
      </c>
    </row>
    <row r="694" ht="15" customHeight="1" s="39">
      <c r="A694" s="85" t="n"/>
      <c r="B694" s="85" t="n"/>
      <c r="C694" s="85" t="n"/>
      <c r="D694" s="85" t="n"/>
      <c r="E694" s="85" t="n"/>
      <c r="F694" s="86" t="n"/>
      <c r="G694" s="86" t="n"/>
      <c r="H694" s="85" t="n"/>
      <c r="I694" s="85" t="n"/>
      <c r="J694" s="85" t="n"/>
      <c r="K694" s="85" t="n"/>
      <c r="L694" s="85" t="n"/>
      <c r="M694" s="85" t="n"/>
      <c r="N694" s="85" t="n"/>
      <c r="O694" s="85" t="n"/>
      <c r="P694" s="85" t="n"/>
      <c r="Q694" s="85" t="n"/>
      <c r="R694" s="85" t="n"/>
      <c r="S694" s="85" t="n"/>
      <c r="T694" s="85" t="n"/>
      <c r="U694" s="85" t="n"/>
      <c r="V694" s="85" t="n"/>
      <c r="W694" s="85" t="n"/>
      <c r="X694" s="85" t="n"/>
      <c r="Y694" s="85" t="n"/>
      <c r="Z694" s="85" t="n"/>
      <c r="AA694" s="85" t="n"/>
      <c r="AB694" s="85" t="n"/>
      <c r="AC694" s="85" t="n"/>
      <c r="AD694" s="85" t="n"/>
      <c r="AE694" s="85" t="n"/>
      <c r="AF694" s="86" t="n"/>
      <c r="AG694" s="86" t="n"/>
      <c r="AH694" s="86" t="n"/>
      <c r="AI694" s="85" t="n"/>
      <c r="AJ694" s="85" t="n"/>
      <c r="AK694" s="85">
        <f>IF($A694="","",IF($M694&gt;0,"Yes","No"))</f>
        <v/>
      </c>
      <c r="AL694" s="85">
        <f>IF($A694="","",IF(AND($E694="Yes",OR($Y694="No",$Y694="NOT FOUND")),"YES",""))</f>
        <v/>
      </c>
      <c r="AM694" s="85">
        <f>IF($A694="","",TRIM(IF(AND($P694=0,$I694&lt;&gt;"Yes"),"T0-NoPhishResistant ","")&amp;IF($H694="No","NoMFA ","")&amp;IF(AND($P694=0,$M694&gt;0),"T0-Standing ","")&amp;IF(AND($P694=0,$Q694="Group only"),"T0-ViaGroupOnly ","")&amp;IF($W694="Yes","AlsoAzureRBAC ","")))</f>
        <v/>
      </c>
      <c r="AN694" s="85">
        <f>IF($A694="","",IF(AG694="","Not Enrolled",IF(TODAY()&gt;AG694,"Review Overdue",IF(AG694-TODAY()&lt;=30,"Review Due Soon","Active"))))</f>
        <v/>
      </c>
      <c r="AO694" s="85">
        <f>IF($A694="","",IF(AH694="","NOT REVIEWED",IF(TODAY()-AH694&gt;90,"OVERDUE",IF(TODAY()-AH694&gt;76,"Due Soon","Current"))))</f>
        <v/>
      </c>
    </row>
    <row r="695" ht="15" customHeight="1" s="39">
      <c r="A695" s="85" t="n"/>
      <c r="B695" s="85" t="n"/>
      <c r="C695" s="85" t="n"/>
      <c r="D695" s="85" t="n"/>
      <c r="E695" s="85" t="n"/>
      <c r="F695" s="86" t="n"/>
      <c r="G695" s="86" t="n"/>
      <c r="H695" s="85" t="n"/>
      <c r="I695" s="85" t="n"/>
      <c r="J695" s="85" t="n"/>
      <c r="K695" s="85" t="n"/>
      <c r="L695" s="85" t="n"/>
      <c r="M695" s="85" t="n"/>
      <c r="N695" s="85" t="n"/>
      <c r="O695" s="85" t="n"/>
      <c r="P695" s="85" t="n"/>
      <c r="Q695" s="85" t="n"/>
      <c r="R695" s="85" t="n"/>
      <c r="S695" s="85" t="n"/>
      <c r="T695" s="85" t="n"/>
      <c r="U695" s="85" t="n"/>
      <c r="V695" s="85" t="n"/>
      <c r="W695" s="85" t="n"/>
      <c r="X695" s="85" t="n"/>
      <c r="Y695" s="85" t="n"/>
      <c r="Z695" s="85" t="n"/>
      <c r="AA695" s="85" t="n"/>
      <c r="AB695" s="85" t="n"/>
      <c r="AC695" s="85" t="n"/>
      <c r="AD695" s="85" t="n"/>
      <c r="AE695" s="85" t="n"/>
      <c r="AF695" s="86" t="n"/>
      <c r="AG695" s="86" t="n"/>
      <c r="AH695" s="86" t="n"/>
      <c r="AI695" s="85" t="n"/>
      <c r="AJ695" s="85" t="n"/>
      <c r="AK695" s="85">
        <f>IF($A695="","",IF($M695&gt;0,"Yes","No"))</f>
        <v/>
      </c>
      <c r="AL695" s="85">
        <f>IF($A695="","",IF(AND($E695="Yes",OR($Y695="No",$Y695="NOT FOUND")),"YES",""))</f>
        <v/>
      </c>
      <c r="AM695" s="85">
        <f>IF($A695="","",TRIM(IF(AND($P695=0,$I695&lt;&gt;"Yes"),"T0-NoPhishResistant ","")&amp;IF($H695="No","NoMFA ","")&amp;IF(AND($P695=0,$M695&gt;0),"T0-Standing ","")&amp;IF(AND($P695=0,$Q695="Group only"),"T0-ViaGroupOnly ","")&amp;IF($W695="Yes","AlsoAzureRBAC ","")))</f>
        <v/>
      </c>
      <c r="AN695" s="85">
        <f>IF($A695="","",IF(AG695="","Not Enrolled",IF(TODAY()&gt;AG695,"Review Overdue",IF(AG695-TODAY()&lt;=30,"Review Due Soon","Active"))))</f>
        <v/>
      </c>
      <c r="AO695" s="85">
        <f>IF($A695="","",IF(AH695="","NOT REVIEWED",IF(TODAY()-AH695&gt;90,"OVERDUE",IF(TODAY()-AH695&gt;76,"Due Soon","Current"))))</f>
        <v/>
      </c>
    </row>
    <row r="696" ht="15" customHeight="1" s="39">
      <c r="A696" s="85" t="n"/>
      <c r="B696" s="85" t="n"/>
      <c r="C696" s="85" t="n"/>
      <c r="D696" s="85" t="n"/>
      <c r="E696" s="85" t="n"/>
      <c r="F696" s="86" t="n"/>
      <c r="G696" s="86" t="n"/>
      <c r="H696" s="85" t="n"/>
      <c r="I696" s="85" t="n"/>
      <c r="J696" s="85" t="n"/>
      <c r="K696" s="85" t="n"/>
      <c r="L696" s="85" t="n"/>
      <c r="M696" s="85" t="n"/>
      <c r="N696" s="85" t="n"/>
      <c r="O696" s="85" t="n"/>
      <c r="P696" s="85" t="n"/>
      <c r="Q696" s="85" t="n"/>
      <c r="R696" s="85" t="n"/>
      <c r="S696" s="85" t="n"/>
      <c r="T696" s="85" t="n"/>
      <c r="U696" s="85" t="n"/>
      <c r="V696" s="85" t="n"/>
      <c r="W696" s="85" t="n"/>
      <c r="X696" s="85" t="n"/>
      <c r="Y696" s="85" t="n"/>
      <c r="Z696" s="85" t="n"/>
      <c r="AA696" s="85" t="n"/>
      <c r="AB696" s="85" t="n"/>
      <c r="AC696" s="85" t="n"/>
      <c r="AD696" s="85" t="n"/>
      <c r="AE696" s="85" t="n"/>
      <c r="AF696" s="86" t="n"/>
      <c r="AG696" s="86" t="n"/>
      <c r="AH696" s="86" t="n"/>
      <c r="AI696" s="85" t="n"/>
      <c r="AJ696" s="85" t="n"/>
      <c r="AK696" s="85">
        <f>IF($A696="","",IF($M696&gt;0,"Yes","No"))</f>
        <v/>
      </c>
      <c r="AL696" s="85">
        <f>IF($A696="","",IF(AND($E696="Yes",OR($Y696="No",$Y696="NOT FOUND")),"YES",""))</f>
        <v/>
      </c>
      <c r="AM696" s="85">
        <f>IF($A696="","",TRIM(IF(AND($P696=0,$I696&lt;&gt;"Yes"),"T0-NoPhishResistant ","")&amp;IF($H696="No","NoMFA ","")&amp;IF(AND($P696=0,$M696&gt;0),"T0-Standing ","")&amp;IF(AND($P696=0,$Q696="Group only"),"T0-ViaGroupOnly ","")&amp;IF($W696="Yes","AlsoAzureRBAC ","")))</f>
        <v/>
      </c>
      <c r="AN696" s="85">
        <f>IF($A696="","",IF(AG696="","Not Enrolled",IF(TODAY()&gt;AG696,"Review Overdue",IF(AG696-TODAY()&lt;=30,"Review Due Soon","Active"))))</f>
        <v/>
      </c>
      <c r="AO696" s="85">
        <f>IF($A696="","",IF(AH696="","NOT REVIEWED",IF(TODAY()-AH696&gt;90,"OVERDUE",IF(TODAY()-AH696&gt;76,"Due Soon","Current"))))</f>
        <v/>
      </c>
    </row>
    <row r="697" ht="15" customHeight="1" s="39">
      <c r="A697" s="85" t="n"/>
      <c r="B697" s="85" t="n"/>
      <c r="C697" s="85" t="n"/>
      <c r="D697" s="85" t="n"/>
      <c r="E697" s="85" t="n"/>
      <c r="F697" s="86" t="n"/>
      <c r="G697" s="86" t="n"/>
      <c r="H697" s="85" t="n"/>
      <c r="I697" s="85" t="n"/>
      <c r="J697" s="85" t="n"/>
      <c r="K697" s="85" t="n"/>
      <c r="L697" s="85" t="n"/>
      <c r="M697" s="85" t="n"/>
      <c r="N697" s="85" t="n"/>
      <c r="O697" s="85" t="n"/>
      <c r="P697" s="85" t="n"/>
      <c r="Q697" s="85" t="n"/>
      <c r="R697" s="85" t="n"/>
      <c r="S697" s="85" t="n"/>
      <c r="T697" s="85" t="n"/>
      <c r="U697" s="85" t="n"/>
      <c r="V697" s="85" t="n"/>
      <c r="W697" s="85" t="n"/>
      <c r="X697" s="85" t="n"/>
      <c r="Y697" s="85" t="n"/>
      <c r="Z697" s="85" t="n"/>
      <c r="AA697" s="85" t="n"/>
      <c r="AB697" s="85" t="n"/>
      <c r="AC697" s="85" t="n"/>
      <c r="AD697" s="85" t="n"/>
      <c r="AE697" s="85" t="n"/>
      <c r="AF697" s="86" t="n"/>
      <c r="AG697" s="86" t="n"/>
      <c r="AH697" s="86" t="n"/>
      <c r="AI697" s="85" t="n"/>
      <c r="AJ697" s="85" t="n"/>
      <c r="AK697" s="85">
        <f>IF($A697="","",IF($M697&gt;0,"Yes","No"))</f>
        <v/>
      </c>
      <c r="AL697" s="85">
        <f>IF($A697="","",IF(AND($E697="Yes",OR($Y697="No",$Y697="NOT FOUND")),"YES",""))</f>
        <v/>
      </c>
      <c r="AM697" s="85">
        <f>IF($A697="","",TRIM(IF(AND($P697=0,$I697&lt;&gt;"Yes"),"T0-NoPhishResistant ","")&amp;IF($H697="No","NoMFA ","")&amp;IF(AND($P697=0,$M697&gt;0),"T0-Standing ","")&amp;IF(AND($P697=0,$Q697="Group only"),"T0-ViaGroupOnly ","")&amp;IF($W697="Yes","AlsoAzureRBAC ","")))</f>
        <v/>
      </c>
      <c r="AN697" s="85">
        <f>IF($A697="","",IF(AG697="","Not Enrolled",IF(TODAY()&gt;AG697,"Review Overdue",IF(AG697-TODAY()&lt;=30,"Review Due Soon","Active"))))</f>
        <v/>
      </c>
      <c r="AO697" s="85">
        <f>IF($A697="","",IF(AH697="","NOT REVIEWED",IF(TODAY()-AH697&gt;90,"OVERDUE",IF(TODAY()-AH697&gt;76,"Due Soon","Current"))))</f>
        <v/>
      </c>
    </row>
    <row r="698" ht="15" customHeight="1" s="39">
      <c r="A698" s="85" t="n"/>
      <c r="B698" s="85" t="n"/>
      <c r="C698" s="85" t="n"/>
      <c r="D698" s="85" t="n"/>
      <c r="E698" s="85" t="n"/>
      <c r="F698" s="86" t="n"/>
      <c r="G698" s="86" t="n"/>
      <c r="H698" s="85" t="n"/>
      <c r="I698" s="85" t="n"/>
      <c r="J698" s="85" t="n"/>
      <c r="K698" s="85" t="n"/>
      <c r="L698" s="85" t="n"/>
      <c r="M698" s="85" t="n"/>
      <c r="N698" s="85" t="n"/>
      <c r="O698" s="85" t="n"/>
      <c r="P698" s="85" t="n"/>
      <c r="Q698" s="85" t="n"/>
      <c r="R698" s="85" t="n"/>
      <c r="S698" s="85" t="n"/>
      <c r="T698" s="85" t="n"/>
      <c r="U698" s="85" t="n"/>
      <c r="V698" s="85" t="n"/>
      <c r="W698" s="85" t="n"/>
      <c r="X698" s="85" t="n"/>
      <c r="Y698" s="85" t="n"/>
      <c r="Z698" s="85" t="n"/>
      <c r="AA698" s="85" t="n"/>
      <c r="AB698" s="85" t="n"/>
      <c r="AC698" s="85" t="n"/>
      <c r="AD698" s="85" t="n"/>
      <c r="AE698" s="85" t="n"/>
      <c r="AF698" s="86" t="n"/>
      <c r="AG698" s="86" t="n"/>
      <c r="AH698" s="86" t="n"/>
      <c r="AI698" s="85" t="n"/>
      <c r="AJ698" s="85" t="n"/>
      <c r="AK698" s="85">
        <f>IF($A698="","",IF($M698&gt;0,"Yes","No"))</f>
        <v/>
      </c>
      <c r="AL698" s="85">
        <f>IF($A698="","",IF(AND($E698="Yes",OR($Y698="No",$Y698="NOT FOUND")),"YES",""))</f>
        <v/>
      </c>
      <c r="AM698" s="85">
        <f>IF($A698="","",TRIM(IF(AND($P698=0,$I698&lt;&gt;"Yes"),"T0-NoPhishResistant ","")&amp;IF($H698="No","NoMFA ","")&amp;IF(AND($P698=0,$M698&gt;0),"T0-Standing ","")&amp;IF(AND($P698=0,$Q698="Group only"),"T0-ViaGroupOnly ","")&amp;IF($W698="Yes","AlsoAzureRBAC ","")))</f>
        <v/>
      </c>
      <c r="AN698" s="85">
        <f>IF($A698="","",IF(AG698="","Not Enrolled",IF(TODAY()&gt;AG698,"Review Overdue",IF(AG698-TODAY()&lt;=30,"Review Due Soon","Active"))))</f>
        <v/>
      </c>
      <c r="AO698" s="85">
        <f>IF($A698="","",IF(AH698="","NOT REVIEWED",IF(TODAY()-AH698&gt;90,"OVERDUE",IF(TODAY()-AH698&gt;76,"Due Soon","Current"))))</f>
        <v/>
      </c>
    </row>
    <row r="699" ht="15" customHeight="1" s="39">
      <c r="A699" s="85" t="n"/>
      <c r="B699" s="85" t="n"/>
      <c r="C699" s="85" t="n"/>
      <c r="D699" s="85" t="n"/>
      <c r="E699" s="85" t="n"/>
      <c r="F699" s="86" t="n"/>
      <c r="G699" s="86" t="n"/>
      <c r="H699" s="85" t="n"/>
      <c r="I699" s="85" t="n"/>
      <c r="J699" s="85" t="n"/>
      <c r="K699" s="85" t="n"/>
      <c r="L699" s="85" t="n"/>
      <c r="M699" s="85" t="n"/>
      <c r="N699" s="85" t="n"/>
      <c r="O699" s="85" t="n"/>
      <c r="P699" s="85" t="n"/>
      <c r="Q699" s="85" t="n"/>
      <c r="R699" s="85" t="n"/>
      <c r="S699" s="85" t="n"/>
      <c r="T699" s="85" t="n"/>
      <c r="U699" s="85" t="n"/>
      <c r="V699" s="85" t="n"/>
      <c r="W699" s="85" t="n"/>
      <c r="X699" s="85" t="n"/>
      <c r="Y699" s="85" t="n"/>
      <c r="Z699" s="85" t="n"/>
      <c r="AA699" s="85" t="n"/>
      <c r="AB699" s="85" t="n"/>
      <c r="AC699" s="85" t="n"/>
      <c r="AD699" s="85" t="n"/>
      <c r="AE699" s="85" t="n"/>
      <c r="AF699" s="86" t="n"/>
      <c r="AG699" s="86" t="n"/>
      <c r="AH699" s="86" t="n"/>
      <c r="AI699" s="85" t="n"/>
      <c r="AJ699" s="85" t="n"/>
      <c r="AK699" s="85">
        <f>IF($A699="","",IF($M699&gt;0,"Yes","No"))</f>
        <v/>
      </c>
      <c r="AL699" s="85">
        <f>IF($A699="","",IF(AND($E699="Yes",OR($Y699="No",$Y699="NOT FOUND")),"YES",""))</f>
        <v/>
      </c>
      <c r="AM699" s="85">
        <f>IF($A699="","",TRIM(IF(AND($P699=0,$I699&lt;&gt;"Yes"),"T0-NoPhishResistant ","")&amp;IF($H699="No","NoMFA ","")&amp;IF(AND($P699=0,$M699&gt;0),"T0-Standing ","")&amp;IF(AND($P699=0,$Q699="Group only"),"T0-ViaGroupOnly ","")&amp;IF($W699="Yes","AlsoAzureRBAC ","")))</f>
        <v/>
      </c>
      <c r="AN699" s="85">
        <f>IF($A699="","",IF(AG699="","Not Enrolled",IF(TODAY()&gt;AG699,"Review Overdue",IF(AG699-TODAY()&lt;=30,"Review Due Soon","Active"))))</f>
        <v/>
      </c>
      <c r="AO699" s="85">
        <f>IF($A699="","",IF(AH699="","NOT REVIEWED",IF(TODAY()-AH699&gt;90,"OVERDUE",IF(TODAY()-AH699&gt;76,"Due Soon","Current"))))</f>
        <v/>
      </c>
    </row>
    <row r="700" ht="15" customHeight="1" s="39">
      <c r="A700" s="85" t="n"/>
      <c r="B700" s="85" t="n"/>
      <c r="C700" s="85" t="n"/>
      <c r="D700" s="85" t="n"/>
      <c r="E700" s="85" t="n"/>
      <c r="F700" s="86" t="n"/>
      <c r="G700" s="86" t="n"/>
      <c r="H700" s="85" t="n"/>
      <c r="I700" s="85" t="n"/>
      <c r="J700" s="85" t="n"/>
      <c r="K700" s="85" t="n"/>
      <c r="L700" s="85" t="n"/>
      <c r="M700" s="85" t="n"/>
      <c r="N700" s="85" t="n"/>
      <c r="O700" s="85" t="n"/>
      <c r="P700" s="85" t="n"/>
      <c r="Q700" s="85" t="n"/>
      <c r="R700" s="85" t="n"/>
      <c r="S700" s="85" t="n"/>
      <c r="T700" s="85" t="n"/>
      <c r="U700" s="85" t="n"/>
      <c r="V700" s="85" t="n"/>
      <c r="W700" s="85" t="n"/>
      <c r="X700" s="85" t="n"/>
      <c r="Y700" s="85" t="n"/>
      <c r="Z700" s="85" t="n"/>
      <c r="AA700" s="85" t="n"/>
      <c r="AB700" s="85" t="n"/>
      <c r="AC700" s="85" t="n"/>
      <c r="AD700" s="85" t="n"/>
      <c r="AE700" s="85" t="n"/>
      <c r="AF700" s="86" t="n"/>
      <c r="AG700" s="86" t="n"/>
      <c r="AH700" s="86" t="n"/>
      <c r="AI700" s="85" t="n"/>
      <c r="AJ700" s="85" t="n"/>
      <c r="AK700" s="85">
        <f>IF($A700="","",IF($M700&gt;0,"Yes","No"))</f>
        <v/>
      </c>
      <c r="AL700" s="85">
        <f>IF($A700="","",IF(AND($E700="Yes",OR($Y700="No",$Y700="NOT FOUND")),"YES",""))</f>
        <v/>
      </c>
      <c r="AM700" s="85">
        <f>IF($A700="","",TRIM(IF(AND($P700=0,$I700&lt;&gt;"Yes"),"T0-NoPhishResistant ","")&amp;IF($H700="No","NoMFA ","")&amp;IF(AND($P700=0,$M700&gt;0),"T0-Standing ","")&amp;IF(AND($P700=0,$Q700="Group only"),"T0-ViaGroupOnly ","")&amp;IF($W700="Yes","AlsoAzureRBAC ","")))</f>
        <v/>
      </c>
      <c r="AN700" s="85">
        <f>IF($A700="","",IF(AG700="","Not Enrolled",IF(TODAY()&gt;AG700,"Review Overdue",IF(AG700-TODAY()&lt;=30,"Review Due Soon","Active"))))</f>
        <v/>
      </c>
      <c r="AO700" s="85">
        <f>IF($A700="","",IF(AH700="","NOT REVIEWED",IF(TODAY()-AH700&gt;90,"OVERDUE",IF(TODAY()-AH700&gt;76,"Due Soon","Current"))))</f>
        <v/>
      </c>
    </row>
    <row r="701" ht="15" customHeight="1" s="39">
      <c r="A701" s="85" t="n"/>
      <c r="B701" s="85" t="n"/>
      <c r="C701" s="85" t="n"/>
      <c r="D701" s="85" t="n"/>
      <c r="E701" s="85" t="n"/>
      <c r="F701" s="86" t="n"/>
      <c r="G701" s="86" t="n"/>
      <c r="H701" s="85" t="n"/>
      <c r="I701" s="85" t="n"/>
      <c r="J701" s="85" t="n"/>
      <c r="K701" s="85" t="n"/>
      <c r="L701" s="85" t="n"/>
      <c r="M701" s="85" t="n"/>
      <c r="N701" s="85" t="n"/>
      <c r="O701" s="85" t="n"/>
      <c r="P701" s="85" t="n"/>
      <c r="Q701" s="85" t="n"/>
      <c r="R701" s="85" t="n"/>
      <c r="S701" s="85" t="n"/>
      <c r="T701" s="85" t="n"/>
      <c r="U701" s="85" t="n"/>
      <c r="V701" s="85" t="n"/>
      <c r="W701" s="85" t="n"/>
      <c r="X701" s="85" t="n"/>
      <c r="Y701" s="85" t="n"/>
      <c r="Z701" s="85" t="n"/>
      <c r="AA701" s="85" t="n"/>
      <c r="AB701" s="85" t="n"/>
      <c r="AC701" s="85" t="n"/>
      <c r="AD701" s="85" t="n"/>
      <c r="AE701" s="85" t="n"/>
      <c r="AF701" s="86" t="n"/>
      <c r="AG701" s="86" t="n"/>
      <c r="AH701" s="86" t="n"/>
      <c r="AI701" s="85" t="n"/>
      <c r="AJ701" s="85" t="n"/>
      <c r="AK701" s="85">
        <f>IF($A701="","",IF($M701&gt;0,"Yes","No"))</f>
        <v/>
      </c>
      <c r="AL701" s="85">
        <f>IF($A701="","",IF(AND($E701="Yes",OR($Y701="No",$Y701="NOT FOUND")),"YES",""))</f>
        <v/>
      </c>
      <c r="AM701" s="85">
        <f>IF($A701="","",TRIM(IF(AND($P701=0,$I701&lt;&gt;"Yes"),"T0-NoPhishResistant ","")&amp;IF($H701="No","NoMFA ","")&amp;IF(AND($P701=0,$M701&gt;0),"T0-Standing ","")&amp;IF(AND($P701=0,$Q701="Group only"),"T0-ViaGroupOnly ","")&amp;IF($W701="Yes","AlsoAzureRBAC ","")))</f>
        <v/>
      </c>
      <c r="AN701" s="85">
        <f>IF($A701="","",IF(AG701="","Not Enrolled",IF(TODAY()&gt;AG701,"Review Overdue",IF(AG701-TODAY()&lt;=30,"Review Due Soon","Active"))))</f>
        <v/>
      </c>
      <c r="AO701" s="85">
        <f>IF($A701="","",IF(AH701="","NOT REVIEWED",IF(TODAY()-AH701&gt;90,"OVERDUE",IF(TODAY()-AH701&gt;76,"Due Soon","Current"))))</f>
        <v/>
      </c>
    </row>
    <row r="702" ht="15" customHeight="1" s="39">
      <c r="A702" s="85" t="n"/>
      <c r="B702" s="85" t="n"/>
      <c r="C702" s="85" t="n"/>
      <c r="D702" s="85" t="n"/>
      <c r="E702" s="85" t="n"/>
      <c r="F702" s="86" t="n"/>
      <c r="G702" s="86" t="n"/>
      <c r="H702" s="85" t="n"/>
      <c r="I702" s="85" t="n"/>
      <c r="J702" s="85" t="n"/>
      <c r="K702" s="85" t="n"/>
      <c r="L702" s="85" t="n"/>
      <c r="M702" s="85" t="n"/>
      <c r="N702" s="85" t="n"/>
      <c r="O702" s="85" t="n"/>
      <c r="P702" s="85" t="n"/>
      <c r="Q702" s="85" t="n"/>
      <c r="R702" s="85" t="n"/>
      <c r="S702" s="85" t="n"/>
      <c r="T702" s="85" t="n"/>
      <c r="U702" s="85" t="n"/>
      <c r="V702" s="85" t="n"/>
      <c r="W702" s="85" t="n"/>
      <c r="X702" s="85" t="n"/>
      <c r="Y702" s="85" t="n"/>
      <c r="Z702" s="85" t="n"/>
      <c r="AA702" s="85" t="n"/>
      <c r="AB702" s="85" t="n"/>
      <c r="AC702" s="85" t="n"/>
      <c r="AD702" s="85" t="n"/>
      <c r="AE702" s="85" t="n"/>
      <c r="AF702" s="86" t="n"/>
      <c r="AG702" s="86" t="n"/>
      <c r="AH702" s="86" t="n"/>
      <c r="AI702" s="85" t="n"/>
      <c r="AJ702" s="85" t="n"/>
      <c r="AK702" s="85">
        <f>IF($A702="","",IF($M702&gt;0,"Yes","No"))</f>
        <v/>
      </c>
      <c r="AL702" s="85">
        <f>IF($A702="","",IF(AND($E702="Yes",OR($Y702="No",$Y702="NOT FOUND")),"YES",""))</f>
        <v/>
      </c>
      <c r="AM702" s="85">
        <f>IF($A702="","",TRIM(IF(AND($P702=0,$I702&lt;&gt;"Yes"),"T0-NoPhishResistant ","")&amp;IF($H702="No","NoMFA ","")&amp;IF(AND($P702=0,$M702&gt;0),"T0-Standing ","")&amp;IF(AND($P702=0,$Q702="Group only"),"T0-ViaGroupOnly ","")&amp;IF($W702="Yes","AlsoAzureRBAC ","")))</f>
        <v/>
      </c>
      <c r="AN702" s="85">
        <f>IF($A702="","",IF(AG702="","Not Enrolled",IF(TODAY()&gt;AG702,"Review Overdue",IF(AG702-TODAY()&lt;=30,"Review Due Soon","Active"))))</f>
        <v/>
      </c>
      <c r="AO702" s="85">
        <f>IF($A702="","",IF(AH702="","NOT REVIEWED",IF(TODAY()-AH702&gt;90,"OVERDUE",IF(TODAY()-AH702&gt;76,"Due Soon","Current"))))</f>
        <v/>
      </c>
    </row>
    <row r="703" ht="15" customHeight="1" s="39">
      <c r="A703" s="85" t="n"/>
      <c r="B703" s="85" t="n"/>
      <c r="C703" s="85" t="n"/>
      <c r="D703" s="85" t="n"/>
      <c r="E703" s="85" t="n"/>
      <c r="F703" s="86" t="n"/>
      <c r="G703" s="86" t="n"/>
      <c r="H703" s="85" t="n"/>
      <c r="I703" s="85" t="n"/>
      <c r="J703" s="85" t="n"/>
      <c r="K703" s="85" t="n"/>
      <c r="L703" s="85" t="n"/>
      <c r="M703" s="85" t="n"/>
      <c r="N703" s="85" t="n"/>
      <c r="O703" s="85" t="n"/>
      <c r="P703" s="85" t="n"/>
      <c r="Q703" s="85" t="n"/>
      <c r="R703" s="85" t="n"/>
      <c r="S703" s="85" t="n"/>
      <c r="T703" s="85" t="n"/>
      <c r="U703" s="85" t="n"/>
      <c r="V703" s="85" t="n"/>
      <c r="W703" s="85" t="n"/>
      <c r="X703" s="85" t="n"/>
      <c r="Y703" s="85" t="n"/>
      <c r="Z703" s="85" t="n"/>
      <c r="AA703" s="85" t="n"/>
      <c r="AB703" s="85" t="n"/>
      <c r="AC703" s="85" t="n"/>
      <c r="AD703" s="85" t="n"/>
      <c r="AE703" s="85" t="n"/>
      <c r="AF703" s="86" t="n"/>
      <c r="AG703" s="86" t="n"/>
      <c r="AH703" s="86" t="n"/>
      <c r="AI703" s="85" t="n"/>
      <c r="AJ703" s="85" t="n"/>
      <c r="AK703" s="85">
        <f>IF($A703="","",IF($M703&gt;0,"Yes","No"))</f>
        <v/>
      </c>
      <c r="AL703" s="85">
        <f>IF($A703="","",IF(AND($E703="Yes",OR($Y703="No",$Y703="NOT FOUND")),"YES",""))</f>
        <v/>
      </c>
      <c r="AM703" s="85">
        <f>IF($A703="","",TRIM(IF(AND($P703=0,$I703&lt;&gt;"Yes"),"T0-NoPhishResistant ","")&amp;IF($H703="No","NoMFA ","")&amp;IF(AND($P703=0,$M703&gt;0),"T0-Standing ","")&amp;IF(AND($P703=0,$Q703="Group only"),"T0-ViaGroupOnly ","")&amp;IF($W703="Yes","AlsoAzureRBAC ","")))</f>
        <v/>
      </c>
      <c r="AN703" s="85">
        <f>IF($A703="","",IF(AG703="","Not Enrolled",IF(TODAY()&gt;AG703,"Review Overdue",IF(AG703-TODAY()&lt;=30,"Review Due Soon","Active"))))</f>
        <v/>
      </c>
      <c r="AO703" s="85">
        <f>IF($A703="","",IF(AH703="","NOT REVIEWED",IF(TODAY()-AH703&gt;90,"OVERDUE",IF(TODAY()-AH703&gt;76,"Due Soon","Current"))))</f>
        <v/>
      </c>
    </row>
    <row r="704" ht="15" customHeight="1" s="39">
      <c r="A704" s="85" t="n"/>
      <c r="B704" s="85" t="n"/>
      <c r="C704" s="85" t="n"/>
      <c r="D704" s="85" t="n"/>
      <c r="E704" s="85" t="n"/>
      <c r="F704" s="86" t="n"/>
      <c r="G704" s="86" t="n"/>
      <c r="H704" s="85" t="n"/>
      <c r="I704" s="85" t="n"/>
      <c r="J704" s="85" t="n"/>
      <c r="K704" s="85" t="n"/>
      <c r="L704" s="85" t="n"/>
      <c r="M704" s="85" t="n"/>
      <c r="N704" s="85" t="n"/>
      <c r="O704" s="85" t="n"/>
      <c r="P704" s="85" t="n"/>
      <c r="Q704" s="85" t="n"/>
      <c r="R704" s="85" t="n"/>
      <c r="S704" s="85" t="n"/>
      <c r="T704" s="85" t="n"/>
      <c r="U704" s="85" t="n"/>
      <c r="V704" s="85" t="n"/>
      <c r="W704" s="85" t="n"/>
      <c r="X704" s="85" t="n"/>
      <c r="Y704" s="85" t="n"/>
      <c r="Z704" s="85" t="n"/>
      <c r="AA704" s="85" t="n"/>
      <c r="AB704" s="85" t="n"/>
      <c r="AC704" s="85" t="n"/>
      <c r="AD704" s="85" t="n"/>
      <c r="AE704" s="85" t="n"/>
      <c r="AF704" s="86" t="n"/>
      <c r="AG704" s="86" t="n"/>
      <c r="AH704" s="86" t="n"/>
      <c r="AI704" s="85" t="n"/>
      <c r="AJ704" s="85" t="n"/>
      <c r="AK704" s="85">
        <f>IF($A704="","",IF($M704&gt;0,"Yes","No"))</f>
        <v/>
      </c>
      <c r="AL704" s="85">
        <f>IF($A704="","",IF(AND($E704="Yes",OR($Y704="No",$Y704="NOT FOUND")),"YES",""))</f>
        <v/>
      </c>
      <c r="AM704" s="85">
        <f>IF($A704="","",TRIM(IF(AND($P704=0,$I704&lt;&gt;"Yes"),"T0-NoPhishResistant ","")&amp;IF($H704="No","NoMFA ","")&amp;IF(AND($P704=0,$M704&gt;0),"T0-Standing ","")&amp;IF(AND($P704=0,$Q704="Group only"),"T0-ViaGroupOnly ","")&amp;IF($W704="Yes","AlsoAzureRBAC ","")))</f>
        <v/>
      </c>
      <c r="AN704" s="85">
        <f>IF($A704="","",IF(AG704="","Not Enrolled",IF(TODAY()&gt;AG704,"Review Overdue",IF(AG704-TODAY()&lt;=30,"Review Due Soon","Active"))))</f>
        <v/>
      </c>
      <c r="AO704" s="85">
        <f>IF($A704="","",IF(AH704="","NOT REVIEWED",IF(TODAY()-AH704&gt;90,"OVERDUE",IF(TODAY()-AH704&gt;76,"Due Soon","Current"))))</f>
        <v/>
      </c>
    </row>
    <row r="705" ht="15" customHeight="1" s="39">
      <c r="A705" s="85" t="n"/>
      <c r="B705" s="85" t="n"/>
      <c r="C705" s="85" t="n"/>
      <c r="D705" s="85" t="n"/>
      <c r="E705" s="85" t="n"/>
      <c r="F705" s="86" t="n"/>
      <c r="G705" s="86" t="n"/>
      <c r="H705" s="85" t="n"/>
      <c r="I705" s="85" t="n"/>
      <c r="J705" s="85" t="n"/>
      <c r="K705" s="85" t="n"/>
      <c r="L705" s="85" t="n"/>
      <c r="M705" s="85" t="n"/>
      <c r="N705" s="85" t="n"/>
      <c r="O705" s="85" t="n"/>
      <c r="P705" s="85" t="n"/>
      <c r="Q705" s="85" t="n"/>
      <c r="R705" s="85" t="n"/>
      <c r="S705" s="85" t="n"/>
      <c r="T705" s="85" t="n"/>
      <c r="U705" s="85" t="n"/>
      <c r="V705" s="85" t="n"/>
      <c r="W705" s="85" t="n"/>
      <c r="X705" s="85" t="n"/>
      <c r="Y705" s="85" t="n"/>
      <c r="Z705" s="85" t="n"/>
      <c r="AA705" s="85" t="n"/>
      <c r="AB705" s="85" t="n"/>
      <c r="AC705" s="85" t="n"/>
      <c r="AD705" s="85" t="n"/>
      <c r="AE705" s="85" t="n"/>
      <c r="AF705" s="86" t="n"/>
      <c r="AG705" s="86" t="n"/>
      <c r="AH705" s="86" t="n"/>
      <c r="AI705" s="85" t="n"/>
      <c r="AJ705" s="85" t="n"/>
      <c r="AK705" s="85">
        <f>IF($A705="","",IF($M705&gt;0,"Yes","No"))</f>
        <v/>
      </c>
      <c r="AL705" s="85">
        <f>IF($A705="","",IF(AND($E705="Yes",OR($Y705="No",$Y705="NOT FOUND")),"YES",""))</f>
        <v/>
      </c>
      <c r="AM705" s="85">
        <f>IF($A705="","",TRIM(IF(AND($P705=0,$I705&lt;&gt;"Yes"),"T0-NoPhishResistant ","")&amp;IF($H705="No","NoMFA ","")&amp;IF(AND($P705=0,$M705&gt;0),"T0-Standing ","")&amp;IF(AND($P705=0,$Q705="Group only"),"T0-ViaGroupOnly ","")&amp;IF($W705="Yes","AlsoAzureRBAC ","")))</f>
        <v/>
      </c>
      <c r="AN705" s="85">
        <f>IF($A705="","",IF(AG705="","Not Enrolled",IF(TODAY()&gt;AG705,"Review Overdue",IF(AG705-TODAY()&lt;=30,"Review Due Soon","Active"))))</f>
        <v/>
      </c>
      <c r="AO705" s="85">
        <f>IF($A705="","",IF(AH705="","NOT REVIEWED",IF(TODAY()-AH705&gt;90,"OVERDUE",IF(TODAY()-AH705&gt;76,"Due Soon","Current"))))</f>
        <v/>
      </c>
    </row>
    <row r="706" ht="15" customHeight="1" s="39">
      <c r="A706" s="85" t="n"/>
      <c r="B706" s="85" t="n"/>
      <c r="C706" s="85" t="n"/>
      <c r="D706" s="85" t="n"/>
      <c r="E706" s="85" t="n"/>
      <c r="F706" s="86" t="n"/>
      <c r="G706" s="86" t="n"/>
      <c r="H706" s="85" t="n"/>
      <c r="I706" s="85" t="n"/>
      <c r="J706" s="85" t="n"/>
      <c r="K706" s="85" t="n"/>
      <c r="L706" s="85" t="n"/>
      <c r="M706" s="85" t="n"/>
      <c r="N706" s="85" t="n"/>
      <c r="O706" s="85" t="n"/>
      <c r="P706" s="85" t="n"/>
      <c r="Q706" s="85" t="n"/>
      <c r="R706" s="85" t="n"/>
      <c r="S706" s="85" t="n"/>
      <c r="T706" s="85" t="n"/>
      <c r="U706" s="85" t="n"/>
      <c r="V706" s="85" t="n"/>
      <c r="W706" s="85" t="n"/>
      <c r="X706" s="85" t="n"/>
      <c r="Y706" s="85" t="n"/>
      <c r="Z706" s="85" t="n"/>
      <c r="AA706" s="85" t="n"/>
      <c r="AB706" s="85" t="n"/>
      <c r="AC706" s="85" t="n"/>
      <c r="AD706" s="85" t="n"/>
      <c r="AE706" s="85" t="n"/>
      <c r="AF706" s="86" t="n"/>
      <c r="AG706" s="86" t="n"/>
      <c r="AH706" s="86" t="n"/>
      <c r="AI706" s="85" t="n"/>
      <c r="AJ706" s="85" t="n"/>
      <c r="AK706" s="85">
        <f>IF($A706="","",IF($M706&gt;0,"Yes","No"))</f>
        <v/>
      </c>
      <c r="AL706" s="85">
        <f>IF($A706="","",IF(AND($E706="Yes",OR($Y706="No",$Y706="NOT FOUND")),"YES",""))</f>
        <v/>
      </c>
      <c r="AM706" s="85">
        <f>IF($A706="","",TRIM(IF(AND($P706=0,$I706&lt;&gt;"Yes"),"T0-NoPhishResistant ","")&amp;IF($H706="No","NoMFA ","")&amp;IF(AND($P706=0,$M706&gt;0),"T0-Standing ","")&amp;IF(AND($P706=0,$Q706="Group only"),"T0-ViaGroupOnly ","")&amp;IF($W706="Yes","AlsoAzureRBAC ","")))</f>
        <v/>
      </c>
      <c r="AN706" s="85">
        <f>IF($A706="","",IF(AG706="","Not Enrolled",IF(TODAY()&gt;AG706,"Review Overdue",IF(AG706-TODAY()&lt;=30,"Review Due Soon","Active"))))</f>
        <v/>
      </c>
      <c r="AO706" s="85">
        <f>IF($A706="","",IF(AH706="","NOT REVIEWED",IF(TODAY()-AH706&gt;90,"OVERDUE",IF(TODAY()-AH706&gt;76,"Due Soon","Current"))))</f>
        <v/>
      </c>
    </row>
    <row r="707" ht="15" customHeight="1" s="39">
      <c r="A707" s="85" t="n"/>
      <c r="B707" s="85" t="n"/>
      <c r="C707" s="85" t="n"/>
      <c r="D707" s="85" t="n"/>
      <c r="E707" s="85" t="n"/>
      <c r="F707" s="86" t="n"/>
      <c r="G707" s="86" t="n"/>
      <c r="H707" s="85" t="n"/>
      <c r="I707" s="85" t="n"/>
      <c r="J707" s="85" t="n"/>
      <c r="K707" s="85" t="n"/>
      <c r="L707" s="85" t="n"/>
      <c r="M707" s="85" t="n"/>
      <c r="N707" s="85" t="n"/>
      <c r="O707" s="85" t="n"/>
      <c r="P707" s="85" t="n"/>
      <c r="Q707" s="85" t="n"/>
      <c r="R707" s="85" t="n"/>
      <c r="S707" s="85" t="n"/>
      <c r="T707" s="85" t="n"/>
      <c r="U707" s="85" t="n"/>
      <c r="V707" s="85" t="n"/>
      <c r="W707" s="85" t="n"/>
      <c r="X707" s="85" t="n"/>
      <c r="Y707" s="85" t="n"/>
      <c r="Z707" s="85" t="n"/>
      <c r="AA707" s="85" t="n"/>
      <c r="AB707" s="85" t="n"/>
      <c r="AC707" s="85" t="n"/>
      <c r="AD707" s="85" t="n"/>
      <c r="AE707" s="85" t="n"/>
      <c r="AF707" s="86" t="n"/>
      <c r="AG707" s="86" t="n"/>
      <c r="AH707" s="86" t="n"/>
      <c r="AI707" s="85" t="n"/>
      <c r="AJ707" s="85" t="n"/>
      <c r="AK707" s="85">
        <f>IF($A707="","",IF($M707&gt;0,"Yes","No"))</f>
        <v/>
      </c>
      <c r="AL707" s="85">
        <f>IF($A707="","",IF(AND($E707="Yes",OR($Y707="No",$Y707="NOT FOUND")),"YES",""))</f>
        <v/>
      </c>
      <c r="AM707" s="85">
        <f>IF($A707="","",TRIM(IF(AND($P707=0,$I707&lt;&gt;"Yes"),"T0-NoPhishResistant ","")&amp;IF($H707="No","NoMFA ","")&amp;IF(AND($P707=0,$M707&gt;0),"T0-Standing ","")&amp;IF(AND($P707=0,$Q707="Group only"),"T0-ViaGroupOnly ","")&amp;IF($W707="Yes","AlsoAzureRBAC ","")))</f>
        <v/>
      </c>
      <c r="AN707" s="85">
        <f>IF($A707="","",IF(AG707="","Not Enrolled",IF(TODAY()&gt;AG707,"Review Overdue",IF(AG707-TODAY()&lt;=30,"Review Due Soon","Active"))))</f>
        <v/>
      </c>
      <c r="AO707" s="85">
        <f>IF($A707="","",IF(AH707="","NOT REVIEWED",IF(TODAY()-AH707&gt;90,"OVERDUE",IF(TODAY()-AH707&gt;76,"Due Soon","Current"))))</f>
        <v/>
      </c>
    </row>
    <row r="708" ht="15" customHeight="1" s="39">
      <c r="A708" s="85" t="n"/>
      <c r="B708" s="85" t="n"/>
      <c r="C708" s="85" t="n"/>
      <c r="D708" s="85" t="n"/>
      <c r="E708" s="85" t="n"/>
      <c r="F708" s="86" t="n"/>
      <c r="G708" s="86" t="n"/>
      <c r="H708" s="85" t="n"/>
      <c r="I708" s="85" t="n"/>
      <c r="J708" s="85" t="n"/>
      <c r="K708" s="85" t="n"/>
      <c r="L708" s="85" t="n"/>
      <c r="M708" s="85" t="n"/>
      <c r="N708" s="85" t="n"/>
      <c r="O708" s="85" t="n"/>
      <c r="P708" s="85" t="n"/>
      <c r="Q708" s="85" t="n"/>
      <c r="R708" s="85" t="n"/>
      <c r="S708" s="85" t="n"/>
      <c r="T708" s="85" t="n"/>
      <c r="U708" s="85" t="n"/>
      <c r="V708" s="85" t="n"/>
      <c r="W708" s="85" t="n"/>
      <c r="X708" s="85" t="n"/>
      <c r="Y708" s="85" t="n"/>
      <c r="Z708" s="85" t="n"/>
      <c r="AA708" s="85" t="n"/>
      <c r="AB708" s="85" t="n"/>
      <c r="AC708" s="85" t="n"/>
      <c r="AD708" s="85" t="n"/>
      <c r="AE708" s="85" t="n"/>
      <c r="AF708" s="86" t="n"/>
      <c r="AG708" s="86" t="n"/>
      <c r="AH708" s="86" t="n"/>
      <c r="AI708" s="85" t="n"/>
      <c r="AJ708" s="85" t="n"/>
      <c r="AK708" s="85">
        <f>IF($A708="","",IF($M708&gt;0,"Yes","No"))</f>
        <v/>
      </c>
      <c r="AL708" s="85">
        <f>IF($A708="","",IF(AND($E708="Yes",OR($Y708="No",$Y708="NOT FOUND")),"YES",""))</f>
        <v/>
      </c>
      <c r="AM708" s="85">
        <f>IF($A708="","",TRIM(IF(AND($P708=0,$I708&lt;&gt;"Yes"),"T0-NoPhishResistant ","")&amp;IF($H708="No","NoMFA ","")&amp;IF(AND($P708=0,$M708&gt;0),"T0-Standing ","")&amp;IF(AND($P708=0,$Q708="Group only"),"T0-ViaGroupOnly ","")&amp;IF($W708="Yes","AlsoAzureRBAC ","")))</f>
        <v/>
      </c>
      <c r="AN708" s="85">
        <f>IF($A708="","",IF(AG708="","Not Enrolled",IF(TODAY()&gt;AG708,"Review Overdue",IF(AG708-TODAY()&lt;=30,"Review Due Soon","Active"))))</f>
        <v/>
      </c>
      <c r="AO708" s="85">
        <f>IF($A708="","",IF(AH708="","NOT REVIEWED",IF(TODAY()-AH708&gt;90,"OVERDUE",IF(TODAY()-AH708&gt;76,"Due Soon","Current"))))</f>
        <v/>
      </c>
    </row>
    <row r="709" ht="15" customHeight="1" s="39">
      <c r="A709" s="85" t="n"/>
      <c r="B709" s="85" t="n"/>
      <c r="C709" s="85" t="n"/>
      <c r="D709" s="85" t="n"/>
      <c r="E709" s="85" t="n"/>
      <c r="F709" s="86" t="n"/>
      <c r="G709" s="86" t="n"/>
      <c r="H709" s="85" t="n"/>
      <c r="I709" s="85" t="n"/>
      <c r="J709" s="85" t="n"/>
      <c r="K709" s="85" t="n"/>
      <c r="L709" s="85" t="n"/>
      <c r="M709" s="85" t="n"/>
      <c r="N709" s="85" t="n"/>
      <c r="O709" s="85" t="n"/>
      <c r="P709" s="85" t="n"/>
      <c r="Q709" s="85" t="n"/>
      <c r="R709" s="85" t="n"/>
      <c r="S709" s="85" t="n"/>
      <c r="T709" s="85" t="n"/>
      <c r="U709" s="85" t="n"/>
      <c r="V709" s="85" t="n"/>
      <c r="W709" s="85" t="n"/>
      <c r="X709" s="85" t="n"/>
      <c r="Y709" s="85" t="n"/>
      <c r="Z709" s="85" t="n"/>
      <c r="AA709" s="85" t="n"/>
      <c r="AB709" s="85" t="n"/>
      <c r="AC709" s="85" t="n"/>
      <c r="AD709" s="85" t="n"/>
      <c r="AE709" s="85" t="n"/>
      <c r="AF709" s="86" t="n"/>
      <c r="AG709" s="86" t="n"/>
      <c r="AH709" s="86" t="n"/>
      <c r="AI709" s="85" t="n"/>
      <c r="AJ709" s="85" t="n"/>
      <c r="AK709" s="85">
        <f>IF($A709="","",IF($M709&gt;0,"Yes","No"))</f>
        <v/>
      </c>
      <c r="AL709" s="85">
        <f>IF($A709="","",IF(AND($E709="Yes",OR($Y709="No",$Y709="NOT FOUND")),"YES",""))</f>
        <v/>
      </c>
      <c r="AM709" s="85">
        <f>IF($A709="","",TRIM(IF(AND($P709=0,$I709&lt;&gt;"Yes"),"T0-NoPhishResistant ","")&amp;IF($H709="No","NoMFA ","")&amp;IF(AND($P709=0,$M709&gt;0),"T0-Standing ","")&amp;IF(AND($P709=0,$Q709="Group only"),"T0-ViaGroupOnly ","")&amp;IF($W709="Yes","AlsoAzureRBAC ","")))</f>
        <v/>
      </c>
      <c r="AN709" s="85">
        <f>IF($A709="","",IF(AG709="","Not Enrolled",IF(TODAY()&gt;AG709,"Review Overdue",IF(AG709-TODAY()&lt;=30,"Review Due Soon","Active"))))</f>
        <v/>
      </c>
      <c r="AO709" s="85">
        <f>IF($A709="","",IF(AH709="","NOT REVIEWED",IF(TODAY()-AH709&gt;90,"OVERDUE",IF(TODAY()-AH709&gt;76,"Due Soon","Current"))))</f>
        <v/>
      </c>
    </row>
    <row r="710" ht="15" customHeight="1" s="39">
      <c r="A710" s="85" t="n"/>
      <c r="B710" s="85" t="n"/>
      <c r="C710" s="85" t="n"/>
      <c r="D710" s="85" t="n"/>
      <c r="E710" s="85" t="n"/>
      <c r="F710" s="86" t="n"/>
      <c r="G710" s="86" t="n"/>
      <c r="H710" s="85" t="n"/>
      <c r="I710" s="85" t="n"/>
      <c r="J710" s="85" t="n"/>
      <c r="K710" s="85" t="n"/>
      <c r="L710" s="85" t="n"/>
      <c r="M710" s="85" t="n"/>
      <c r="N710" s="85" t="n"/>
      <c r="O710" s="85" t="n"/>
      <c r="P710" s="85" t="n"/>
      <c r="Q710" s="85" t="n"/>
      <c r="R710" s="85" t="n"/>
      <c r="S710" s="85" t="n"/>
      <c r="T710" s="85" t="n"/>
      <c r="U710" s="85" t="n"/>
      <c r="V710" s="85" t="n"/>
      <c r="W710" s="85" t="n"/>
      <c r="X710" s="85" t="n"/>
      <c r="Y710" s="85" t="n"/>
      <c r="Z710" s="85" t="n"/>
      <c r="AA710" s="85" t="n"/>
      <c r="AB710" s="85" t="n"/>
      <c r="AC710" s="85" t="n"/>
      <c r="AD710" s="85" t="n"/>
      <c r="AE710" s="85" t="n"/>
      <c r="AF710" s="86" t="n"/>
      <c r="AG710" s="86" t="n"/>
      <c r="AH710" s="86" t="n"/>
      <c r="AI710" s="85" t="n"/>
      <c r="AJ710" s="85" t="n"/>
      <c r="AK710" s="85">
        <f>IF($A710="","",IF($M710&gt;0,"Yes","No"))</f>
        <v/>
      </c>
      <c r="AL710" s="85">
        <f>IF($A710="","",IF(AND($E710="Yes",OR($Y710="No",$Y710="NOT FOUND")),"YES",""))</f>
        <v/>
      </c>
      <c r="AM710" s="85">
        <f>IF($A710="","",TRIM(IF(AND($P710=0,$I710&lt;&gt;"Yes"),"T0-NoPhishResistant ","")&amp;IF($H710="No","NoMFA ","")&amp;IF(AND($P710=0,$M710&gt;0),"T0-Standing ","")&amp;IF(AND($P710=0,$Q710="Group only"),"T0-ViaGroupOnly ","")&amp;IF($W710="Yes","AlsoAzureRBAC ","")))</f>
        <v/>
      </c>
      <c r="AN710" s="85">
        <f>IF($A710="","",IF(AG710="","Not Enrolled",IF(TODAY()&gt;AG710,"Review Overdue",IF(AG710-TODAY()&lt;=30,"Review Due Soon","Active"))))</f>
        <v/>
      </c>
      <c r="AO710" s="85">
        <f>IF($A710="","",IF(AH710="","NOT REVIEWED",IF(TODAY()-AH710&gt;90,"OVERDUE",IF(TODAY()-AH710&gt;76,"Due Soon","Current"))))</f>
        <v/>
      </c>
    </row>
    <row r="711" ht="15" customHeight="1" s="39">
      <c r="A711" s="85" t="n"/>
      <c r="B711" s="85" t="n"/>
      <c r="C711" s="85" t="n"/>
      <c r="D711" s="85" t="n"/>
      <c r="E711" s="85" t="n"/>
      <c r="F711" s="86" t="n"/>
      <c r="G711" s="86" t="n"/>
      <c r="H711" s="85" t="n"/>
      <c r="I711" s="85" t="n"/>
      <c r="J711" s="85" t="n"/>
      <c r="K711" s="85" t="n"/>
      <c r="L711" s="85" t="n"/>
      <c r="M711" s="85" t="n"/>
      <c r="N711" s="85" t="n"/>
      <c r="O711" s="85" t="n"/>
      <c r="P711" s="85" t="n"/>
      <c r="Q711" s="85" t="n"/>
      <c r="R711" s="85" t="n"/>
      <c r="S711" s="85" t="n"/>
      <c r="T711" s="85" t="n"/>
      <c r="U711" s="85" t="n"/>
      <c r="V711" s="85" t="n"/>
      <c r="W711" s="85" t="n"/>
      <c r="X711" s="85" t="n"/>
      <c r="Y711" s="85" t="n"/>
      <c r="Z711" s="85" t="n"/>
      <c r="AA711" s="85" t="n"/>
      <c r="AB711" s="85" t="n"/>
      <c r="AC711" s="85" t="n"/>
      <c r="AD711" s="85" t="n"/>
      <c r="AE711" s="85" t="n"/>
      <c r="AF711" s="86" t="n"/>
      <c r="AG711" s="86" t="n"/>
      <c r="AH711" s="86" t="n"/>
      <c r="AI711" s="85" t="n"/>
      <c r="AJ711" s="85" t="n"/>
      <c r="AK711" s="85">
        <f>IF($A711="","",IF($M711&gt;0,"Yes","No"))</f>
        <v/>
      </c>
      <c r="AL711" s="85">
        <f>IF($A711="","",IF(AND($E711="Yes",OR($Y711="No",$Y711="NOT FOUND")),"YES",""))</f>
        <v/>
      </c>
      <c r="AM711" s="85">
        <f>IF($A711="","",TRIM(IF(AND($P711=0,$I711&lt;&gt;"Yes"),"T0-NoPhishResistant ","")&amp;IF($H711="No","NoMFA ","")&amp;IF(AND($P711=0,$M711&gt;0),"T0-Standing ","")&amp;IF(AND($P711=0,$Q711="Group only"),"T0-ViaGroupOnly ","")&amp;IF($W711="Yes","AlsoAzureRBAC ","")))</f>
        <v/>
      </c>
      <c r="AN711" s="85">
        <f>IF($A711="","",IF(AG711="","Not Enrolled",IF(TODAY()&gt;AG711,"Review Overdue",IF(AG711-TODAY()&lt;=30,"Review Due Soon","Active"))))</f>
        <v/>
      </c>
      <c r="AO711" s="85">
        <f>IF($A711="","",IF(AH711="","NOT REVIEWED",IF(TODAY()-AH711&gt;90,"OVERDUE",IF(TODAY()-AH711&gt;76,"Due Soon","Current"))))</f>
        <v/>
      </c>
    </row>
    <row r="712" ht="15" customHeight="1" s="39">
      <c r="A712" s="85" t="n"/>
      <c r="B712" s="85" t="n"/>
      <c r="C712" s="85" t="n"/>
      <c r="D712" s="85" t="n"/>
      <c r="E712" s="85" t="n"/>
      <c r="F712" s="86" t="n"/>
      <c r="G712" s="86" t="n"/>
      <c r="H712" s="85" t="n"/>
      <c r="I712" s="85" t="n"/>
      <c r="J712" s="85" t="n"/>
      <c r="K712" s="85" t="n"/>
      <c r="L712" s="85" t="n"/>
      <c r="M712" s="85" t="n"/>
      <c r="N712" s="85" t="n"/>
      <c r="O712" s="85" t="n"/>
      <c r="P712" s="85" t="n"/>
      <c r="Q712" s="85" t="n"/>
      <c r="R712" s="85" t="n"/>
      <c r="S712" s="85" t="n"/>
      <c r="T712" s="85" t="n"/>
      <c r="U712" s="85" t="n"/>
      <c r="V712" s="85" t="n"/>
      <c r="W712" s="85" t="n"/>
      <c r="X712" s="85" t="n"/>
      <c r="Y712" s="85" t="n"/>
      <c r="Z712" s="85" t="n"/>
      <c r="AA712" s="85" t="n"/>
      <c r="AB712" s="85" t="n"/>
      <c r="AC712" s="85" t="n"/>
      <c r="AD712" s="85" t="n"/>
      <c r="AE712" s="85" t="n"/>
      <c r="AF712" s="86" t="n"/>
      <c r="AG712" s="86" t="n"/>
      <c r="AH712" s="86" t="n"/>
      <c r="AI712" s="85" t="n"/>
      <c r="AJ712" s="85" t="n"/>
      <c r="AK712" s="85">
        <f>IF($A712="","",IF($M712&gt;0,"Yes","No"))</f>
        <v/>
      </c>
      <c r="AL712" s="85">
        <f>IF($A712="","",IF(AND($E712="Yes",OR($Y712="No",$Y712="NOT FOUND")),"YES",""))</f>
        <v/>
      </c>
      <c r="AM712" s="85">
        <f>IF($A712="","",TRIM(IF(AND($P712=0,$I712&lt;&gt;"Yes"),"T0-NoPhishResistant ","")&amp;IF($H712="No","NoMFA ","")&amp;IF(AND($P712=0,$M712&gt;0),"T0-Standing ","")&amp;IF(AND($P712=0,$Q712="Group only"),"T0-ViaGroupOnly ","")&amp;IF($W712="Yes","AlsoAzureRBAC ","")))</f>
        <v/>
      </c>
      <c r="AN712" s="85">
        <f>IF($A712="","",IF(AG712="","Not Enrolled",IF(TODAY()&gt;AG712,"Review Overdue",IF(AG712-TODAY()&lt;=30,"Review Due Soon","Active"))))</f>
        <v/>
      </c>
      <c r="AO712" s="85">
        <f>IF($A712="","",IF(AH712="","NOT REVIEWED",IF(TODAY()-AH712&gt;90,"OVERDUE",IF(TODAY()-AH712&gt;76,"Due Soon","Current"))))</f>
        <v/>
      </c>
    </row>
    <row r="713" ht="15" customHeight="1" s="39">
      <c r="A713" s="85" t="n"/>
      <c r="B713" s="85" t="n"/>
      <c r="C713" s="85" t="n"/>
      <c r="D713" s="85" t="n"/>
      <c r="E713" s="85" t="n"/>
      <c r="F713" s="86" t="n"/>
      <c r="G713" s="86" t="n"/>
      <c r="H713" s="85" t="n"/>
      <c r="I713" s="85" t="n"/>
      <c r="J713" s="85" t="n"/>
      <c r="K713" s="85" t="n"/>
      <c r="L713" s="85" t="n"/>
      <c r="M713" s="85" t="n"/>
      <c r="N713" s="85" t="n"/>
      <c r="O713" s="85" t="n"/>
      <c r="P713" s="85" t="n"/>
      <c r="Q713" s="85" t="n"/>
      <c r="R713" s="85" t="n"/>
      <c r="S713" s="85" t="n"/>
      <c r="T713" s="85" t="n"/>
      <c r="U713" s="85" t="n"/>
      <c r="V713" s="85" t="n"/>
      <c r="W713" s="85" t="n"/>
      <c r="X713" s="85" t="n"/>
      <c r="Y713" s="85" t="n"/>
      <c r="Z713" s="85" t="n"/>
      <c r="AA713" s="85" t="n"/>
      <c r="AB713" s="85" t="n"/>
      <c r="AC713" s="85" t="n"/>
      <c r="AD713" s="85" t="n"/>
      <c r="AE713" s="85" t="n"/>
      <c r="AF713" s="86" t="n"/>
      <c r="AG713" s="86" t="n"/>
      <c r="AH713" s="86" t="n"/>
      <c r="AI713" s="85" t="n"/>
      <c r="AJ713" s="85" t="n"/>
      <c r="AK713" s="85">
        <f>IF($A713="","",IF($M713&gt;0,"Yes","No"))</f>
        <v/>
      </c>
      <c r="AL713" s="85">
        <f>IF($A713="","",IF(AND($E713="Yes",OR($Y713="No",$Y713="NOT FOUND")),"YES",""))</f>
        <v/>
      </c>
      <c r="AM713" s="85">
        <f>IF($A713="","",TRIM(IF(AND($P713=0,$I713&lt;&gt;"Yes"),"T0-NoPhishResistant ","")&amp;IF($H713="No","NoMFA ","")&amp;IF(AND($P713=0,$M713&gt;0),"T0-Standing ","")&amp;IF(AND($P713=0,$Q713="Group only"),"T0-ViaGroupOnly ","")&amp;IF($W713="Yes","AlsoAzureRBAC ","")))</f>
        <v/>
      </c>
      <c r="AN713" s="85">
        <f>IF($A713="","",IF(AG713="","Not Enrolled",IF(TODAY()&gt;AG713,"Review Overdue",IF(AG713-TODAY()&lt;=30,"Review Due Soon","Active"))))</f>
        <v/>
      </c>
      <c r="AO713" s="85">
        <f>IF($A713="","",IF(AH713="","NOT REVIEWED",IF(TODAY()-AH713&gt;90,"OVERDUE",IF(TODAY()-AH713&gt;76,"Due Soon","Current"))))</f>
        <v/>
      </c>
    </row>
    <row r="714" ht="15" customHeight="1" s="39">
      <c r="A714" s="85" t="n"/>
      <c r="B714" s="85" t="n"/>
      <c r="C714" s="85" t="n"/>
      <c r="D714" s="85" t="n"/>
      <c r="E714" s="85" t="n"/>
      <c r="F714" s="86" t="n"/>
      <c r="G714" s="86" t="n"/>
      <c r="H714" s="85" t="n"/>
      <c r="I714" s="85" t="n"/>
      <c r="J714" s="85" t="n"/>
      <c r="K714" s="85" t="n"/>
      <c r="L714" s="85" t="n"/>
      <c r="M714" s="85" t="n"/>
      <c r="N714" s="85" t="n"/>
      <c r="O714" s="85" t="n"/>
      <c r="P714" s="85" t="n"/>
      <c r="Q714" s="85" t="n"/>
      <c r="R714" s="85" t="n"/>
      <c r="S714" s="85" t="n"/>
      <c r="T714" s="85" t="n"/>
      <c r="U714" s="85" t="n"/>
      <c r="V714" s="85" t="n"/>
      <c r="W714" s="85" t="n"/>
      <c r="X714" s="85" t="n"/>
      <c r="Y714" s="85" t="n"/>
      <c r="Z714" s="85" t="n"/>
      <c r="AA714" s="85" t="n"/>
      <c r="AB714" s="85" t="n"/>
      <c r="AC714" s="85" t="n"/>
      <c r="AD714" s="85" t="n"/>
      <c r="AE714" s="85" t="n"/>
      <c r="AF714" s="86" t="n"/>
      <c r="AG714" s="86" t="n"/>
      <c r="AH714" s="86" t="n"/>
      <c r="AI714" s="85" t="n"/>
      <c r="AJ714" s="85" t="n"/>
      <c r="AK714" s="85">
        <f>IF($A714="","",IF($M714&gt;0,"Yes","No"))</f>
        <v/>
      </c>
      <c r="AL714" s="85">
        <f>IF($A714="","",IF(AND($E714="Yes",OR($Y714="No",$Y714="NOT FOUND")),"YES",""))</f>
        <v/>
      </c>
      <c r="AM714" s="85">
        <f>IF($A714="","",TRIM(IF(AND($P714=0,$I714&lt;&gt;"Yes"),"T0-NoPhishResistant ","")&amp;IF($H714="No","NoMFA ","")&amp;IF(AND($P714=0,$M714&gt;0),"T0-Standing ","")&amp;IF(AND($P714=0,$Q714="Group only"),"T0-ViaGroupOnly ","")&amp;IF($W714="Yes","AlsoAzureRBAC ","")))</f>
        <v/>
      </c>
      <c r="AN714" s="85">
        <f>IF($A714="","",IF(AG714="","Not Enrolled",IF(TODAY()&gt;AG714,"Review Overdue",IF(AG714-TODAY()&lt;=30,"Review Due Soon","Active"))))</f>
        <v/>
      </c>
      <c r="AO714" s="85">
        <f>IF($A714="","",IF(AH714="","NOT REVIEWED",IF(TODAY()-AH714&gt;90,"OVERDUE",IF(TODAY()-AH714&gt;76,"Due Soon","Current"))))</f>
        <v/>
      </c>
    </row>
    <row r="715" ht="15" customHeight="1" s="39">
      <c r="A715" s="85" t="n"/>
      <c r="B715" s="85" t="n"/>
      <c r="C715" s="85" t="n"/>
      <c r="D715" s="85" t="n"/>
      <c r="E715" s="85" t="n"/>
      <c r="F715" s="86" t="n"/>
      <c r="G715" s="86" t="n"/>
      <c r="H715" s="85" t="n"/>
      <c r="I715" s="85" t="n"/>
      <c r="J715" s="85" t="n"/>
      <c r="K715" s="85" t="n"/>
      <c r="L715" s="85" t="n"/>
      <c r="M715" s="85" t="n"/>
      <c r="N715" s="85" t="n"/>
      <c r="O715" s="85" t="n"/>
      <c r="P715" s="85" t="n"/>
      <c r="Q715" s="85" t="n"/>
      <c r="R715" s="85" t="n"/>
      <c r="S715" s="85" t="n"/>
      <c r="T715" s="85" t="n"/>
      <c r="U715" s="85" t="n"/>
      <c r="V715" s="85" t="n"/>
      <c r="W715" s="85" t="n"/>
      <c r="X715" s="85" t="n"/>
      <c r="Y715" s="85" t="n"/>
      <c r="Z715" s="85" t="n"/>
      <c r="AA715" s="85" t="n"/>
      <c r="AB715" s="85" t="n"/>
      <c r="AC715" s="85" t="n"/>
      <c r="AD715" s="85" t="n"/>
      <c r="AE715" s="85" t="n"/>
      <c r="AF715" s="86" t="n"/>
      <c r="AG715" s="86" t="n"/>
      <c r="AH715" s="86" t="n"/>
      <c r="AI715" s="85" t="n"/>
      <c r="AJ715" s="85" t="n"/>
      <c r="AK715" s="85">
        <f>IF($A715="","",IF($M715&gt;0,"Yes","No"))</f>
        <v/>
      </c>
      <c r="AL715" s="85">
        <f>IF($A715="","",IF(AND($E715="Yes",OR($Y715="No",$Y715="NOT FOUND")),"YES",""))</f>
        <v/>
      </c>
      <c r="AM715" s="85">
        <f>IF($A715="","",TRIM(IF(AND($P715=0,$I715&lt;&gt;"Yes"),"T0-NoPhishResistant ","")&amp;IF($H715="No","NoMFA ","")&amp;IF(AND($P715=0,$M715&gt;0),"T0-Standing ","")&amp;IF(AND($P715=0,$Q715="Group only"),"T0-ViaGroupOnly ","")&amp;IF($W715="Yes","AlsoAzureRBAC ","")))</f>
        <v/>
      </c>
      <c r="AN715" s="85">
        <f>IF($A715="","",IF(AG715="","Not Enrolled",IF(TODAY()&gt;AG715,"Review Overdue",IF(AG715-TODAY()&lt;=30,"Review Due Soon","Active"))))</f>
        <v/>
      </c>
      <c r="AO715" s="85">
        <f>IF($A715="","",IF(AH715="","NOT REVIEWED",IF(TODAY()-AH715&gt;90,"OVERDUE",IF(TODAY()-AH715&gt;76,"Due Soon","Current"))))</f>
        <v/>
      </c>
    </row>
    <row r="716" ht="15" customHeight="1" s="39">
      <c r="A716" s="85" t="n"/>
      <c r="B716" s="85" t="n"/>
      <c r="C716" s="85" t="n"/>
      <c r="D716" s="85" t="n"/>
      <c r="E716" s="85" t="n"/>
      <c r="F716" s="86" t="n"/>
      <c r="G716" s="86" t="n"/>
      <c r="H716" s="85" t="n"/>
      <c r="I716" s="85" t="n"/>
      <c r="J716" s="85" t="n"/>
      <c r="K716" s="85" t="n"/>
      <c r="L716" s="85" t="n"/>
      <c r="M716" s="85" t="n"/>
      <c r="N716" s="85" t="n"/>
      <c r="O716" s="85" t="n"/>
      <c r="P716" s="85" t="n"/>
      <c r="Q716" s="85" t="n"/>
      <c r="R716" s="85" t="n"/>
      <c r="S716" s="85" t="n"/>
      <c r="T716" s="85" t="n"/>
      <c r="U716" s="85" t="n"/>
      <c r="V716" s="85" t="n"/>
      <c r="W716" s="85" t="n"/>
      <c r="X716" s="85" t="n"/>
      <c r="Y716" s="85" t="n"/>
      <c r="Z716" s="85" t="n"/>
      <c r="AA716" s="85" t="n"/>
      <c r="AB716" s="85" t="n"/>
      <c r="AC716" s="85" t="n"/>
      <c r="AD716" s="85" t="n"/>
      <c r="AE716" s="85" t="n"/>
      <c r="AF716" s="86" t="n"/>
      <c r="AG716" s="86" t="n"/>
      <c r="AH716" s="86" t="n"/>
      <c r="AI716" s="85" t="n"/>
      <c r="AJ716" s="85" t="n"/>
      <c r="AK716" s="85">
        <f>IF($A716="","",IF($M716&gt;0,"Yes","No"))</f>
        <v/>
      </c>
      <c r="AL716" s="85">
        <f>IF($A716="","",IF(AND($E716="Yes",OR($Y716="No",$Y716="NOT FOUND")),"YES",""))</f>
        <v/>
      </c>
      <c r="AM716" s="85">
        <f>IF($A716="","",TRIM(IF(AND($P716=0,$I716&lt;&gt;"Yes"),"T0-NoPhishResistant ","")&amp;IF($H716="No","NoMFA ","")&amp;IF(AND($P716=0,$M716&gt;0),"T0-Standing ","")&amp;IF(AND($P716=0,$Q716="Group only"),"T0-ViaGroupOnly ","")&amp;IF($W716="Yes","AlsoAzureRBAC ","")))</f>
        <v/>
      </c>
      <c r="AN716" s="85">
        <f>IF($A716="","",IF(AG716="","Not Enrolled",IF(TODAY()&gt;AG716,"Review Overdue",IF(AG716-TODAY()&lt;=30,"Review Due Soon","Active"))))</f>
        <v/>
      </c>
      <c r="AO716" s="85">
        <f>IF($A716="","",IF(AH716="","NOT REVIEWED",IF(TODAY()-AH716&gt;90,"OVERDUE",IF(TODAY()-AH716&gt;76,"Due Soon","Current"))))</f>
        <v/>
      </c>
    </row>
    <row r="717" ht="15" customHeight="1" s="39">
      <c r="A717" s="85" t="n"/>
      <c r="B717" s="85" t="n"/>
      <c r="C717" s="85" t="n"/>
      <c r="D717" s="85" t="n"/>
      <c r="E717" s="85" t="n"/>
      <c r="F717" s="86" t="n"/>
      <c r="G717" s="86" t="n"/>
      <c r="H717" s="85" t="n"/>
      <c r="I717" s="85" t="n"/>
      <c r="J717" s="85" t="n"/>
      <c r="K717" s="85" t="n"/>
      <c r="L717" s="85" t="n"/>
      <c r="M717" s="85" t="n"/>
      <c r="N717" s="85" t="n"/>
      <c r="O717" s="85" t="n"/>
      <c r="P717" s="85" t="n"/>
      <c r="Q717" s="85" t="n"/>
      <c r="R717" s="85" t="n"/>
      <c r="S717" s="85" t="n"/>
      <c r="T717" s="85" t="n"/>
      <c r="U717" s="85" t="n"/>
      <c r="V717" s="85" t="n"/>
      <c r="W717" s="85" t="n"/>
      <c r="X717" s="85" t="n"/>
      <c r="Y717" s="85" t="n"/>
      <c r="Z717" s="85" t="n"/>
      <c r="AA717" s="85" t="n"/>
      <c r="AB717" s="85" t="n"/>
      <c r="AC717" s="85" t="n"/>
      <c r="AD717" s="85" t="n"/>
      <c r="AE717" s="85" t="n"/>
      <c r="AF717" s="86" t="n"/>
      <c r="AG717" s="86" t="n"/>
      <c r="AH717" s="86" t="n"/>
      <c r="AI717" s="85" t="n"/>
      <c r="AJ717" s="85" t="n"/>
      <c r="AK717" s="85">
        <f>IF($A717="","",IF($M717&gt;0,"Yes","No"))</f>
        <v/>
      </c>
      <c r="AL717" s="85">
        <f>IF($A717="","",IF(AND($E717="Yes",OR($Y717="No",$Y717="NOT FOUND")),"YES",""))</f>
        <v/>
      </c>
      <c r="AM717" s="85">
        <f>IF($A717="","",TRIM(IF(AND($P717=0,$I717&lt;&gt;"Yes"),"T0-NoPhishResistant ","")&amp;IF($H717="No","NoMFA ","")&amp;IF(AND($P717=0,$M717&gt;0),"T0-Standing ","")&amp;IF(AND($P717=0,$Q717="Group only"),"T0-ViaGroupOnly ","")&amp;IF($W717="Yes","AlsoAzureRBAC ","")))</f>
        <v/>
      </c>
      <c r="AN717" s="85">
        <f>IF($A717="","",IF(AG717="","Not Enrolled",IF(TODAY()&gt;AG717,"Review Overdue",IF(AG717-TODAY()&lt;=30,"Review Due Soon","Active"))))</f>
        <v/>
      </c>
      <c r="AO717" s="85">
        <f>IF($A717="","",IF(AH717="","NOT REVIEWED",IF(TODAY()-AH717&gt;90,"OVERDUE",IF(TODAY()-AH717&gt;76,"Due Soon","Current"))))</f>
        <v/>
      </c>
    </row>
    <row r="718" ht="15" customHeight="1" s="39">
      <c r="A718" s="85" t="n"/>
      <c r="B718" s="85" t="n"/>
      <c r="C718" s="85" t="n"/>
      <c r="D718" s="85" t="n"/>
      <c r="E718" s="85" t="n"/>
      <c r="F718" s="86" t="n"/>
      <c r="G718" s="86" t="n"/>
      <c r="H718" s="85" t="n"/>
      <c r="I718" s="85" t="n"/>
      <c r="J718" s="85" t="n"/>
      <c r="K718" s="85" t="n"/>
      <c r="L718" s="85" t="n"/>
      <c r="M718" s="85" t="n"/>
      <c r="N718" s="85" t="n"/>
      <c r="O718" s="85" t="n"/>
      <c r="P718" s="85" t="n"/>
      <c r="Q718" s="85" t="n"/>
      <c r="R718" s="85" t="n"/>
      <c r="S718" s="85" t="n"/>
      <c r="T718" s="85" t="n"/>
      <c r="U718" s="85" t="n"/>
      <c r="V718" s="85" t="n"/>
      <c r="W718" s="85" t="n"/>
      <c r="X718" s="85" t="n"/>
      <c r="Y718" s="85" t="n"/>
      <c r="Z718" s="85" t="n"/>
      <c r="AA718" s="85" t="n"/>
      <c r="AB718" s="85" t="n"/>
      <c r="AC718" s="85" t="n"/>
      <c r="AD718" s="85" t="n"/>
      <c r="AE718" s="85" t="n"/>
      <c r="AF718" s="86" t="n"/>
      <c r="AG718" s="86" t="n"/>
      <c r="AH718" s="86" t="n"/>
      <c r="AI718" s="85" t="n"/>
      <c r="AJ718" s="85" t="n"/>
      <c r="AK718" s="85">
        <f>IF($A718="","",IF($M718&gt;0,"Yes","No"))</f>
        <v/>
      </c>
      <c r="AL718" s="85">
        <f>IF($A718="","",IF(AND($E718="Yes",OR($Y718="No",$Y718="NOT FOUND")),"YES",""))</f>
        <v/>
      </c>
      <c r="AM718" s="85">
        <f>IF($A718="","",TRIM(IF(AND($P718=0,$I718&lt;&gt;"Yes"),"T0-NoPhishResistant ","")&amp;IF($H718="No","NoMFA ","")&amp;IF(AND($P718=0,$M718&gt;0),"T0-Standing ","")&amp;IF(AND($P718=0,$Q718="Group only"),"T0-ViaGroupOnly ","")&amp;IF($W718="Yes","AlsoAzureRBAC ","")))</f>
        <v/>
      </c>
      <c r="AN718" s="85">
        <f>IF($A718="","",IF(AG718="","Not Enrolled",IF(TODAY()&gt;AG718,"Review Overdue",IF(AG718-TODAY()&lt;=30,"Review Due Soon","Active"))))</f>
        <v/>
      </c>
      <c r="AO718" s="85">
        <f>IF($A718="","",IF(AH718="","NOT REVIEWED",IF(TODAY()-AH718&gt;90,"OVERDUE",IF(TODAY()-AH718&gt;76,"Due Soon","Current"))))</f>
        <v/>
      </c>
    </row>
    <row r="719" ht="15" customHeight="1" s="39">
      <c r="A719" s="85" t="n"/>
      <c r="B719" s="85" t="n"/>
      <c r="C719" s="85" t="n"/>
      <c r="D719" s="85" t="n"/>
      <c r="E719" s="85" t="n"/>
      <c r="F719" s="86" t="n"/>
      <c r="G719" s="86" t="n"/>
      <c r="H719" s="85" t="n"/>
      <c r="I719" s="85" t="n"/>
      <c r="J719" s="85" t="n"/>
      <c r="K719" s="85" t="n"/>
      <c r="L719" s="85" t="n"/>
      <c r="M719" s="85" t="n"/>
      <c r="N719" s="85" t="n"/>
      <c r="O719" s="85" t="n"/>
      <c r="P719" s="85" t="n"/>
      <c r="Q719" s="85" t="n"/>
      <c r="R719" s="85" t="n"/>
      <c r="S719" s="85" t="n"/>
      <c r="T719" s="85" t="n"/>
      <c r="U719" s="85" t="n"/>
      <c r="V719" s="85" t="n"/>
      <c r="W719" s="85" t="n"/>
      <c r="X719" s="85" t="n"/>
      <c r="Y719" s="85" t="n"/>
      <c r="Z719" s="85" t="n"/>
      <c r="AA719" s="85" t="n"/>
      <c r="AB719" s="85" t="n"/>
      <c r="AC719" s="85" t="n"/>
      <c r="AD719" s="85" t="n"/>
      <c r="AE719" s="85" t="n"/>
      <c r="AF719" s="86" t="n"/>
      <c r="AG719" s="86" t="n"/>
      <c r="AH719" s="86" t="n"/>
      <c r="AI719" s="85" t="n"/>
      <c r="AJ719" s="85" t="n"/>
      <c r="AK719" s="85">
        <f>IF($A719="","",IF($M719&gt;0,"Yes","No"))</f>
        <v/>
      </c>
      <c r="AL719" s="85">
        <f>IF($A719="","",IF(AND($E719="Yes",OR($Y719="No",$Y719="NOT FOUND")),"YES",""))</f>
        <v/>
      </c>
      <c r="AM719" s="85">
        <f>IF($A719="","",TRIM(IF(AND($P719=0,$I719&lt;&gt;"Yes"),"T0-NoPhishResistant ","")&amp;IF($H719="No","NoMFA ","")&amp;IF(AND($P719=0,$M719&gt;0),"T0-Standing ","")&amp;IF(AND($P719=0,$Q719="Group only"),"T0-ViaGroupOnly ","")&amp;IF($W719="Yes","AlsoAzureRBAC ","")))</f>
        <v/>
      </c>
      <c r="AN719" s="85">
        <f>IF($A719="","",IF(AG719="","Not Enrolled",IF(TODAY()&gt;AG719,"Review Overdue",IF(AG719-TODAY()&lt;=30,"Review Due Soon","Active"))))</f>
        <v/>
      </c>
      <c r="AO719" s="85">
        <f>IF($A719="","",IF(AH719="","NOT REVIEWED",IF(TODAY()-AH719&gt;90,"OVERDUE",IF(TODAY()-AH719&gt;76,"Due Soon","Current"))))</f>
        <v/>
      </c>
    </row>
    <row r="720" ht="15" customHeight="1" s="39">
      <c r="A720" s="85" t="n"/>
      <c r="B720" s="85" t="n"/>
      <c r="C720" s="85" t="n"/>
      <c r="D720" s="85" t="n"/>
      <c r="E720" s="85" t="n"/>
      <c r="F720" s="86" t="n"/>
      <c r="G720" s="86" t="n"/>
      <c r="H720" s="85" t="n"/>
      <c r="I720" s="85" t="n"/>
      <c r="J720" s="85" t="n"/>
      <c r="K720" s="85" t="n"/>
      <c r="L720" s="85" t="n"/>
      <c r="M720" s="85" t="n"/>
      <c r="N720" s="85" t="n"/>
      <c r="O720" s="85" t="n"/>
      <c r="P720" s="85" t="n"/>
      <c r="Q720" s="85" t="n"/>
      <c r="R720" s="85" t="n"/>
      <c r="S720" s="85" t="n"/>
      <c r="T720" s="85" t="n"/>
      <c r="U720" s="85" t="n"/>
      <c r="V720" s="85" t="n"/>
      <c r="W720" s="85" t="n"/>
      <c r="X720" s="85" t="n"/>
      <c r="Y720" s="85" t="n"/>
      <c r="Z720" s="85" t="n"/>
      <c r="AA720" s="85" t="n"/>
      <c r="AB720" s="85" t="n"/>
      <c r="AC720" s="85" t="n"/>
      <c r="AD720" s="85" t="n"/>
      <c r="AE720" s="85" t="n"/>
      <c r="AF720" s="86" t="n"/>
      <c r="AG720" s="86" t="n"/>
      <c r="AH720" s="86" t="n"/>
      <c r="AI720" s="85" t="n"/>
      <c r="AJ720" s="85" t="n"/>
      <c r="AK720" s="85">
        <f>IF($A720="","",IF($M720&gt;0,"Yes","No"))</f>
        <v/>
      </c>
      <c r="AL720" s="85">
        <f>IF($A720="","",IF(AND($E720="Yes",OR($Y720="No",$Y720="NOT FOUND")),"YES",""))</f>
        <v/>
      </c>
      <c r="AM720" s="85">
        <f>IF($A720="","",TRIM(IF(AND($P720=0,$I720&lt;&gt;"Yes"),"T0-NoPhishResistant ","")&amp;IF($H720="No","NoMFA ","")&amp;IF(AND($P720=0,$M720&gt;0),"T0-Standing ","")&amp;IF(AND($P720=0,$Q720="Group only"),"T0-ViaGroupOnly ","")&amp;IF($W720="Yes","AlsoAzureRBAC ","")))</f>
        <v/>
      </c>
      <c r="AN720" s="85">
        <f>IF($A720="","",IF(AG720="","Not Enrolled",IF(TODAY()&gt;AG720,"Review Overdue",IF(AG720-TODAY()&lt;=30,"Review Due Soon","Active"))))</f>
        <v/>
      </c>
      <c r="AO720" s="85">
        <f>IF($A720="","",IF(AH720="","NOT REVIEWED",IF(TODAY()-AH720&gt;90,"OVERDUE",IF(TODAY()-AH720&gt;76,"Due Soon","Current"))))</f>
        <v/>
      </c>
    </row>
    <row r="721" ht="15" customHeight="1" s="39">
      <c r="A721" s="85" t="n"/>
      <c r="B721" s="85" t="n"/>
      <c r="C721" s="85" t="n"/>
      <c r="D721" s="85" t="n"/>
      <c r="E721" s="85" t="n"/>
      <c r="F721" s="86" t="n"/>
      <c r="G721" s="86" t="n"/>
      <c r="H721" s="85" t="n"/>
      <c r="I721" s="85" t="n"/>
      <c r="J721" s="85" t="n"/>
      <c r="K721" s="85" t="n"/>
      <c r="L721" s="85" t="n"/>
      <c r="M721" s="85" t="n"/>
      <c r="N721" s="85" t="n"/>
      <c r="O721" s="85" t="n"/>
      <c r="P721" s="85" t="n"/>
      <c r="Q721" s="85" t="n"/>
      <c r="R721" s="85" t="n"/>
      <c r="S721" s="85" t="n"/>
      <c r="T721" s="85" t="n"/>
      <c r="U721" s="85" t="n"/>
      <c r="V721" s="85" t="n"/>
      <c r="W721" s="85" t="n"/>
      <c r="X721" s="85" t="n"/>
      <c r="Y721" s="85" t="n"/>
      <c r="Z721" s="85" t="n"/>
      <c r="AA721" s="85" t="n"/>
      <c r="AB721" s="85" t="n"/>
      <c r="AC721" s="85" t="n"/>
      <c r="AD721" s="85" t="n"/>
      <c r="AE721" s="85" t="n"/>
      <c r="AF721" s="86" t="n"/>
      <c r="AG721" s="86" t="n"/>
      <c r="AH721" s="86" t="n"/>
      <c r="AI721" s="85" t="n"/>
      <c r="AJ721" s="85" t="n"/>
      <c r="AK721" s="85">
        <f>IF($A721="","",IF($M721&gt;0,"Yes","No"))</f>
        <v/>
      </c>
      <c r="AL721" s="85">
        <f>IF($A721="","",IF(AND($E721="Yes",OR($Y721="No",$Y721="NOT FOUND")),"YES",""))</f>
        <v/>
      </c>
      <c r="AM721" s="85">
        <f>IF($A721="","",TRIM(IF(AND($P721=0,$I721&lt;&gt;"Yes"),"T0-NoPhishResistant ","")&amp;IF($H721="No","NoMFA ","")&amp;IF(AND($P721=0,$M721&gt;0),"T0-Standing ","")&amp;IF(AND($P721=0,$Q721="Group only"),"T0-ViaGroupOnly ","")&amp;IF($W721="Yes","AlsoAzureRBAC ","")))</f>
        <v/>
      </c>
      <c r="AN721" s="85">
        <f>IF($A721="","",IF(AG721="","Not Enrolled",IF(TODAY()&gt;AG721,"Review Overdue",IF(AG721-TODAY()&lt;=30,"Review Due Soon","Active"))))</f>
        <v/>
      </c>
      <c r="AO721" s="85">
        <f>IF($A721="","",IF(AH721="","NOT REVIEWED",IF(TODAY()-AH721&gt;90,"OVERDUE",IF(TODAY()-AH721&gt;76,"Due Soon","Current"))))</f>
        <v/>
      </c>
    </row>
    <row r="722" ht="15" customHeight="1" s="39">
      <c r="A722" s="85" t="n"/>
      <c r="B722" s="85" t="n"/>
      <c r="C722" s="85" t="n"/>
      <c r="D722" s="85" t="n"/>
      <c r="E722" s="85" t="n"/>
      <c r="F722" s="86" t="n"/>
      <c r="G722" s="86" t="n"/>
      <c r="H722" s="85" t="n"/>
      <c r="I722" s="85" t="n"/>
      <c r="J722" s="85" t="n"/>
      <c r="K722" s="85" t="n"/>
      <c r="L722" s="85" t="n"/>
      <c r="M722" s="85" t="n"/>
      <c r="N722" s="85" t="n"/>
      <c r="O722" s="85" t="n"/>
      <c r="P722" s="85" t="n"/>
      <c r="Q722" s="85" t="n"/>
      <c r="R722" s="85" t="n"/>
      <c r="S722" s="85" t="n"/>
      <c r="T722" s="85" t="n"/>
      <c r="U722" s="85" t="n"/>
      <c r="V722" s="85" t="n"/>
      <c r="W722" s="85" t="n"/>
      <c r="X722" s="85" t="n"/>
      <c r="Y722" s="85" t="n"/>
      <c r="Z722" s="85" t="n"/>
      <c r="AA722" s="85" t="n"/>
      <c r="AB722" s="85" t="n"/>
      <c r="AC722" s="85" t="n"/>
      <c r="AD722" s="85" t="n"/>
      <c r="AE722" s="85" t="n"/>
      <c r="AF722" s="86" t="n"/>
      <c r="AG722" s="86" t="n"/>
      <c r="AH722" s="86" t="n"/>
      <c r="AI722" s="85" t="n"/>
      <c r="AJ722" s="85" t="n"/>
      <c r="AK722" s="85">
        <f>IF($A722="","",IF($M722&gt;0,"Yes","No"))</f>
        <v/>
      </c>
      <c r="AL722" s="85">
        <f>IF($A722="","",IF(AND($E722="Yes",OR($Y722="No",$Y722="NOT FOUND")),"YES",""))</f>
        <v/>
      </c>
      <c r="AM722" s="85">
        <f>IF($A722="","",TRIM(IF(AND($P722=0,$I722&lt;&gt;"Yes"),"T0-NoPhishResistant ","")&amp;IF($H722="No","NoMFA ","")&amp;IF(AND($P722=0,$M722&gt;0),"T0-Standing ","")&amp;IF(AND($P722=0,$Q722="Group only"),"T0-ViaGroupOnly ","")&amp;IF($W722="Yes","AlsoAzureRBAC ","")))</f>
        <v/>
      </c>
      <c r="AN722" s="85">
        <f>IF($A722="","",IF(AG722="","Not Enrolled",IF(TODAY()&gt;AG722,"Review Overdue",IF(AG722-TODAY()&lt;=30,"Review Due Soon","Active"))))</f>
        <v/>
      </c>
      <c r="AO722" s="85">
        <f>IF($A722="","",IF(AH722="","NOT REVIEWED",IF(TODAY()-AH722&gt;90,"OVERDUE",IF(TODAY()-AH722&gt;76,"Due Soon","Current"))))</f>
        <v/>
      </c>
    </row>
    <row r="723" ht="15" customHeight="1" s="39">
      <c r="A723" s="85" t="n"/>
      <c r="B723" s="85" t="n"/>
      <c r="C723" s="85" t="n"/>
      <c r="D723" s="85" t="n"/>
      <c r="E723" s="85" t="n"/>
      <c r="F723" s="86" t="n"/>
      <c r="G723" s="86" t="n"/>
      <c r="H723" s="85" t="n"/>
      <c r="I723" s="85" t="n"/>
      <c r="J723" s="85" t="n"/>
      <c r="K723" s="85" t="n"/>
      <c r="L723" s="85" t="n"/>
      <c r="M723" s="85" t="n"/>
      <c r="N723" s="85" t="n"/>
      <c r="O723" s="85" t="n"/>
      <c r="P723" s="85" t="n"/>
      <c r="Q723" s="85" t="n"/>
      <c r="R723" s="85" t="n"/>
      <c r="S723" s="85" t="n"/>
      <c r="T723" s="85" t="n"/>
      <c r="U723" s="85" t="n"/>
      <c r="V723" s="85" t="n"/>
      <c r="W723" s="85" t="n"/>
      <c r="X723" s="85" t="n"/>
      <c r="Y723" s="85" t="n"/>
      <c r="Z723" s="85" t="n"/>
      <c r="AA723" s="85" t="n"/>
      <c r="AB723" s="85" t="n"/>
      <c r="AC723" s="85" t="n"/>
      <c r="AD723" s="85" t="n"/>
      <c r="AE723" s="85" t="n"/>
      <c r="AF723" s="86" t="n"/>
      <c r="AG723" s="86" t="n"/>
      <c r="AH723" s="86" t="n"/>
      <c r="AI723" s="85" t="n"/>
      <c r="AJ723" s="85" t="n"/>
      <c r="AK723" s="85">
        <f>IF($A723="","",IF($M723&gt;0,"Yes","No"))</f>
        <v/>
      </c>
      <c r="AL723" s="85">
        <f>IF($A723="","",IF(AND($E723="Yes",OR($Y723="No",$Y723="NOT FOUND")),"YES",""))</f>
        <v/>
      </c>
      <c r="AM723" s="85">
        <f>IF($A723="","",TRIM(IF(AND($P723=0,$I723&lt;&gt;"Yes"),"T0-NoPhishResistant ","")&amp;IF($H723="No","NoMFA ","")&amp;IF(AND($P723=0,$M723&gt;0),"T0-Standing ","")&amp;IF(AND($P723=0,$Q723="Group only"),"T0-ViaGroupOnly ","")&amp;IF($W723="Yes","AlsoAzureRBAC ","")))</f>
        <v/>
      </c>
      <c r="AN723" s="85">
        <f>IF($A723="","",IF(AG723="","Not Enrolled",IF(TODAY()&gt;AG723,"Review Overdue",IF(AG723-TODAY()&lt;=30,"Review Due Soon","Active"))))</f>
        <v/>
      </c>
      <c r="AO723" s="85">
        <f>IF($A723="","",IF(AH723="","NOT REVIEWED",IF(TODAY()-AH723&gt;90,"OVERDUE",IF(TODAY()-AH723&gt;76,"Due Soon","Current"))))</f>
        <v/>
      </c>
    </row>
    <row r="724" ht="15" customHeight="1" s="39">
      <c r="A724" s="85" t="n"/>
      <c r="B724" s="85" t="n"/>
      <c r="C724" s="85" t="n"/>
      <c r="D724" s="85" t="n"/>
      <c r="E724" s="85" t="n"/>
      <c r="F724" s="86" t="n"/>
      <c r="G724" s="86" t="n"/>
      <c r="H724" s="85" t="n"/>
      <c r="I724" s="85" t="n"/>
      <c r="J724" s="85" t="n"/>
      <c r="K724" s="85" t="n"/>
      <c r="L724" s="85" t="n"/>
      <c r="M724" s="85" t="n"/>
      <c r="N724" s="85" t="n"/>
      <c r="O724" s="85" t="n"/>
      <c r="P724" s="85" t="n"/>
      <c r="Q724" s="85" t="n"/>
      <c r="R724" s="85" t="n"/>
      <c r="S724" s="85" t="n"/>
      <c r="T724" s="85" t="n"/>
      <c r="U724" s="85" t="n"/>
      <c r="V724" s="85" t="n"/>
      <c r="W724" s="85" t="n"/>
      <c r="X724" s="85" t="n"/>
      <c r="Y724" s="85" t="n"/>
      <c r="Z724" s="85" t="n"/>
      <c r="AA724" s="85" t="n"/>
      <c r="AB724" s="85" t="n"/>
      <c r="AC724" s="85" t="n"/>
      <c r="AD724" s="85" t="n"/>
      <c r="AE724" s="85" t="n"/>
      <c r="AF724" s="86" t="n"/>
      <c r="AG724" s="86" t="n"/>
      <c r="AH724" s="86" t="n"/>
      <c r="AI724" s="85" t="n"/>
      <c r="AJ724" s="85" t="n"/>
      <c r="AK724" s="85">
        <f>IF($A724="","",IF($M724&gt;0,"Yes","No"))</f>
        <v/>
      </c>
      <c r="AL724" s="85">
        <f>IF($A724="","",IF(AND($E724="Yes",OR($Y724="No",$Y724="NOT FOUND")),"YES",""))</f>
        <v/>
      </c>
      <c r="AM724" s="85">
        <f>IF($A724="","",TRIM(IF(AND($P724=0,$I724&lt;&gt;"Yes"),"T0-NoPhishResistant ","")&amp;IF($H724="No","NoMFA ","")&amp;IF(AND($P724=0,$M724&gt;0),"T0-Standing ","")&amp;IF(AND($P724=0,$Q724="Group only"),"T0-ViaGroupOnly ","")&amp;IF($W724="Yes","AlsoAzureRBAC ","")))</f>
        <v/>
      </c>
      <c r="AN724" s="85">
        <f>IF($A724="","",IF(AG724="","Not Enrolled",IF(TODAY()&gt;AG724,"Review Overdue",IF(AG724-TODAY()&lt;=30,"Review Due Soon","Active"))))</f>
        <v/>
      </c>
      <c r="AO724" s="85">
        <f>IF($A724="","",IF(AH724="","NOT REVIEWED",IF(TODAY()-AH724&gt;90,"OVERDUE",IF(TODAY()-AH724&gt;76,"Due Soon","Current"))))</f>
        <v/>
      </c>
    </row>
    <row r="725" ht="15" customHeight="1" s="39">
      <c r="A725" s="85" t="n"/>
      <c r="B725" s="85" t="n"/>
      <c r="C725" s="85" t="n"/>
      <c r="D725" s="85" t="n"/>
      <c r="E725" s="85" t="n"/>
      <c r="F725" s="86" t="n"/>
      <c r="G725" s="86" t="n"/>
      <c r="H725" s="85" t="n"/>
      <c r="I725" s="85" t="n"/>
      <c r="J725" s="85" t="n"/>
      <c r="K725" s="85" t="n"/>
      <c r="L725" s="85" t="n"/>
      <c r="M725" s="85" t="n"/>
      <c r="N725" s="85" t="n"/>
      <c r="O725" s="85" t="n"/>
      <c r="P725" s="85" t="n"/>
      <c r="Q725" s="85" t="n"/>
      <c r="R725" s="85" t="n"/>
      <c r="S725" s="85" t="n"/>
      <c r="T725" s="85" t="n"/>
      <c r="U725" s="85" t="n"/>
      <c r="V725" s="85" t="n"/>
      <c r="W725" s="85" t="n"/>
      <c r="X725" s="85" t="n"/>
      <c r="Y725" s="85" t="n"/>
      <c r="Z725" s="85" t="n"/>
      <c r="AA725" s="85" t="n"/>
      <c r="AB725" s="85" t="n"/>
      <c r="AC725" s="85" t="n"/>
      <c r="AD725" s="85" t="n"/>
      <c r="AE725" s="85" t="n"/>
      <c r="AF725" s="86" t="n"/>
      <c r="AG725" s="86" t="n"/>
      <c r="AH725" s="86" t="n"/>
      <c r="AI725" s="85" t="n"/>
      <c r="AJ725" s="85" t="n"/>
      <c r="AK725" s="85">
        <f>IF($A725="","",IF($M725&gt;0,"Yes","No"))</f>
        <v/>
      </c>
      <c r="AL725" s="85">
        <f>IF($A725="","",IF(AND($E725="Yes",OR($Y725="No",$Y725="NOT FOUND")),"YES",""))</f>
        <v/>
      </c>
      <c r="AM725" s="85">
        <f>IF($A725="","",TRIM(IF(AND($P725=0,$I725&lt;&gt;"Yes"),"T0-NoPhishResistant ","")&amp;IF($H725="No","NoMFA ","")&amp;IF(AND($P725=0,$M725&gt;0),"T0-Standing ","")&amp;IF(AND($P725=0,$Q725="Group only"),"T0-ViaGroupOnly ","")&amp;IF($W725="Yes","AlsoAzureRBAC ","")))</f>
        <v/>
      </c>
      <c r="AN725" s="85">
        <f>IF($A725="","",IF(AG725="","Not Enrolled",IF(TODAY()&gt;AG725,"Review Overdue",IF(AG725-TODAY()&lt;=30,"Review Due Soon","Active"))))</f>
        <v/>
      </c>
      <c r="AO725" s="85">
        <f>IF($A725="","",IF(AH725="","NOT REVIEWED",IF(TODAY()-AH725&gt;90,"OVERDUE",IF(TODAY()-AH725&gt;76,"Due Soon","Current"))))</f>
        <v/>
      </c>
    </row>
    <row r="726" ht="15" customHeight="1" s="39">
      <c r="A726" s="85" t="n"/>
      <c r="B726" s="85" t="n"/>
      <c r="C726" s="85" t="n"/>
      <c r="D726" s="85" t="n"/>
      <c r="E726" s="85" t="n"/>
      <c r="F726" s="86" t="n"/>
      <c r="G726" s="86" t="n"/>
      <c r="H726" s="85" t="n"/>
      <c r="I726" s="85" t="n"/>
      <c r="J726" s="85" t="n"/>
      <c r="K726" s="85" t="n"/>
      <c r="L726" s="85" t="n"/>
      <c r="M726" s="85" t="n"/>
      <c r="N726" s="85" t="n"/>
      <c r="O726" s="85" t="n"/>
      <c r="P726" s="85" t="n"/>
      <c r="Q726" s="85" t="n"/>
      <c r="R726" s="85" t="n"/>
      <c r="S726" s="85" t="n"/>
      <c r="T726" s="85" t="n"/>
      <c r="U726" s="85" t="n"/>
      <c r="V726" s="85" t="n"/>
      <c r="W726" s="85" t="n"/>
      <c r="X726" s="85" t="n"/>
      <c r="Y726" s="85" t="n"/>
      <c r="Z726" s="85" t="n"/>
      <c r="AA726" s="85" t="n"/>
      <c r="AB726" s="85" t="n"/>
      <c r="AC726" s="85" t="n"/>
      <c r="AD726" s="85" t="n"/>
      <c r="AE726" s="85" t="n"/>
      <c r="AF726" s="86" t="n"/>
      <c r="AG726" s="86" t="n"/>
      <c r="AH726" s="86" t="n"/>
      <c r="AI726" s="85" t="n"/>
      <c r="AJ726" s="85" t="n"/>
      <c r="AK726" s="85">
        <f>IF($A726="","",IF($M726&gt;0,"Yes","No"))</f>
        <v/>
      </c>
      <c r="AL726" s="85">
        <f>IF($A726="","",IF(AND($E726="Yes",OR($Y726="No",$Y726="NOT FOUND")),"YES",""))</f>
        <v/>
      </c>
      <c r="AM726" s="85">
        <f>IF($A726="","",TRIM(IF(AND($P726=0,$I726&lt;&gt;"Yes"),"T0-NoPhishResistant ","")&amp;IF($H726="No","NoMFA ","")&amp;IF(AND($P726=0,$M726&gt;0),"T0-Standing ","")&amp;IF(AND($P726=0,$Q726="Group only"),"T0-ViaGroupOnly ","")&amp;IF($W726="Yes","AlsoAzureRBAC ","")))</f>
        <v/>
      </c>
      <c r="AN726" s="85">
        <f>IF($A726="","",IF(AG726="","Not Enrolled",IF(TODAY()&gt;AG726,"Review Overdue",IF(AG726-TODAY()&lt;=30,"Review Due Soon","Active"))))</f>
        <v/>
      </c>
      <c r="AO726" s="85">
        <f>IF($A726="","",IF(AH726="","NOT REVIEWED",IF(TODAY()-AH726&gt;90,"OVERDUE",IF(TODAY()-AH726&gt;76,"Due Soon","Current"))))</f>
        <v/>
      </c>
    </row>
    <row r="727" ht="15" customHeight="1" s="39">
      <c r="A727" s="85" t="n"/>
      <c r="B727" s="85" t="n"/>
      <c r="C727" s="85" t="n"/>
      <c r="D727" s="85" t="n"/>
      <c r="E727" s="85" t="n"/>
      <c r="F727" s="86" t="n"/>
      <c r="G727" s="86" t="n"/>
      <c r="H727" s="85" t="n"/>
      <c r="I727" s="85" t="n"/>
      <c r="J727" s="85" t="n"/>
      <c r="K727" s="85" t="n"/>
      <c r="L727" s="85" t="n"/>
      <c r="M727" s="85" t="n"/>
      <c r="N727" s="85" t="n"/>
      <c r="O727" s="85" t="n"/>
      <c r="P727" s="85" t="n"/>
      <c r="Q727" s="85" t="n"/>
      <c r="R727" s="85" t="n"/>
      <c r="S727" s="85" t="n"/>
      <c r="T727" s="85" t="n"/>
      <c r="U727" s="85" t="n"/>
      <c r="V727" s="85" t="n"/>
      <c r="W727" s="85" t="n"/>
      <c r="X727" s="85" t="n"/>
      <c r="Y727" s="85" t="n"/>
      <c r="Z727" s="85" t="n"/>
      <c r="AA727" s="85" t="n"/>
      <c r="AB727" s="85" t="n"/>
      <c r="AC727" s="85" t="n"/>
      <c r="AD727" s="85" t="n"/>
      <c r="AE727" s="85" t="n"/>
      <c r="AF727" s="86" t="n"/>
      <c r="AG727" s="86" t="n"/>
      <c r="AH727" s="86" t="n"/>
      <c r="AI727" s="85" t="n"/>
      <c r="AJ727" s="85" t="n"/>
      <c r="AK727" s="85">
        <f>IF($A727="","",IF($M727&gt;0,"Yes","No"))</f>
        <v/>
      </c>
      <c r="AL727" s="85">
        <f>IF($A727="","",IF(AND($E727="Yes",OR($Y727="No",$Y727="NOT FOUND")),"YES",""))</f>
        <v/>
      </c>
      <c r="AM727" s="85">
        <f>IF($A727="","",TRIM(IF(AND($P727=0,$I727&lt;&gt;"Yes"),"T0-NoPhishResistant ","")&amp;IF($H727="No","NoMFA ","")&amp;IF(AND($P727=0,$M727&gt;0),"T0-Standing ","")&amp;IF(AND($P727=0,$Q727="Group only"),"T0-ViaGroupOnly ","")&amp;IF($W727="Yes","AlsoAzureRBAC ","")))</f>
        <v/>
      </c>
      <c r="AN727" s="85">
        <f>IF($A727="","",IF(AG727="","Not Enrolled",IF(TODAY()&gt;AG727,"Review Overdue",IF(AG727-TODAY()&lt;=30,"Review Due Soon","Active"))))</f>
        <v/>
      </c>
      <c r="AO727" s="85">
        <f>IF($A727="","",IF(AH727="","NOT REVIEWED",IF(TODAY()-AH727&gt;90,"OVERDUE",IF(TODAY()-AH727&gt;76,"Due Soon","Current"))))</f>
        <v/>
      </c>
    </row>
    <row r="728" ht="15" customHeight="1" s="39">
      <c r="A728" s="85" t="n"/>
      <c r="B728" s="85" t="n"/>
      <c r="C728" s="85" t="n"/>
      <c r="D728" s="85" t="n"/>
      <c r="E728" s="85" t="n"/>
      <c r="F728" s="86" t="n"/>
      <c r="G728" s="86" t="n"/>
      <c r="H728" s="85" t="n"/>
      <c r="I728" s="85" t="n"/>
      <c r="J728" s="85" t="n"/>
      <c r="K728" s="85" t="n"/>
      <c r="L728" s="85" t="n"/>
      <c r="M728" s="85" t="n"/>
      <c r="N728" s="85" t="n"/>
      <c r="O728" s="85" t="n"/>
      <c r="P728" s="85" t="n"/>
      <c r="Q728" s="85" t="n"/>
      <c r="R728" s="85" t="n"/>
      <c r="S728" s="85" t="n"/>
      <c r="T728" s="85" t="n"/>
      <c r="U728" s="85" t="n"/>
      <c r="V728" s="85" t="n"/>
      <c r="W728" s="85" t="n"/>
      <c r="X728" s="85" t="n"/>
      <c r="Y728" s="85" t="n"/>
      <c r="Z728" s="85" t="n"/>
      <c r="AA728" s="85" t="n"/>
      <c r="AB728" s="85" t="n"/>
      <c r="AC728" s="85" t="n"/>
      <c r="AD728" s="85" t="n"/>
      <c r="AE728" s="85" t="n"/>
      <c r="AF728" s="86" t="n"/>
      <c r="AG728" s="86" t="n"/>
      <c r="AH728" s="86" t="n"/>
      <c r="AI728" s="85" t="n"/>
      <c r="AJ728" s="85" t="n"/>
      <c r="AK728" s="85">
        <f>IF($A728="","",IF($M728&gt;0,"Yes","No"))</f>
        <v/>
      </c>
      <c r="AL728" s="85">
        <f>IF($A728="","",IF(AND($E728="Yes",OR($Y728="No",$Y728="NOT FOUND")),"YES",""))</f>
        <v/>
      </c>
      <c r="AM728" s="85">
        <f>IF($A728="","",TRIM(IF(AND($P728=0,$I728&lt;&gt;"Yes"),"T0-NoPhishResistant ","")&amp;IF($H728="No","NoMFA ","")&amp;IF(AND($P728=0,$M728&gt;0),"T0-Standing ","")&amp;IF(AND($P728=0,$Q728="Group only"),"T0-ViaGroupOnly ","")&amp;IF($W728="Yes","AlsoAzureRBAC ","")))</f>
        <v/>
      </c>
      <c r="AN728" s="85">
        <f>IF($A728="","",IF(AG728="","Not Enrolled",IF(TODAY()&gt;AG728,"Review Overdue",IF(AG728-TODAY()&lt;=30,"Review Due Soon","Active"))))</f>
        <v/>
      </c>
      <c r="AO728" s="85">
        <f>IF($A728="","",IF(AH728="","NOT REVIEWED",IF(TODAY()-AH728&gt;90,"OVERDUE",IF(TODAY()-AH728&gt;76,"Due Soon","Current"))))</f>
        <v/>
      </c>
    </row>
    <row r="729" ht="15" customHeight="1" s="39">
      <c r="A729" s="85" t="n"/>
      <c r="B729" s="85" t="n"/>
      <c r="C729" s="85" t="n"/>
      <c r="D729" s="85" t="n"/>
      <c r="E729" s="85" t="n"/>
      <c r="F729" s="86" t="n"/>
      <c r="G729" s="86" t="n"/>
      <c r="H729" s="85" t="n"/>
      <c r="I729" s="85" t="n"/>
      <c r="J729" s="85" t="n"/>
      <c r="K729" s="85" t="n"/>
      <c r="L729" s="85" t="n"/>
      <c r="M729" s="85" t="n"/>
      <c r="N729" s="85" t="n"/>
      <c r="O729" s="85" t="n"/>
      <c r="P729" s="85" t="n"/>
      <c r="Q729" s="85" t="n"/>
      <c r="R729" s="85" t="n"/>
      <c r="S729" s="85" t="n"/>
      <c r="T729" s="85" t="n"/>
      <c r="U729" s="85" t="n"/>
      <c r="V729" s="85" t="n"/>
      <c r="W729" s="85" t="n"/>
      <c r="X729" s="85" t="n"/>
      <c r="Y729" s="85" t="n"/>
      <c r="Z729" s="85" t="n"/>
      <c r="AA729" s="85" t="n"/>
      <c r="AB729" s="85" t="n"/>
      <c r="AC729" s="85" t="n"/>
      <c r="AD729" s="85" t="n"/>
      <c r="AE729" s="85" t="n"/>
      <c r="AF729" s="86" t="n"/>
      <c r="AG729" s="86" t="n"/>
      <c r="AH729" s="86" t="n"/>
      <c r="AI729" s="85" t="n"/>
      <c r="AJ729" s="85" t="n"/>
      <c r="AK729" s="85">
        <f>IF($A729="","",IF($M729&gt;0,"Yes","No"))</f>
        <v/>
      </c>
      <c r="AL729" s="85">
        <f>IF($A729="","",IF(AND($E729="Yes",OR($Y729="No",$Y729="NOT FOUND")),"YES",""))</f>
        <v/>
      </c>
      <c r="AM729" s="85">
        <f>IF($A729="","",TRIM(IF(AND($P729=0,$I729&lt;&gt;"Yes"),"T0-NoPhishResistant ","")&amp;IF($H729="No","NoMFA ","")&amp;IF(AND($P729=0,$M729&gt;0),"T0-Standing ","")&amp;IF(AND($P729=0,$Q729="Group only"),"T0-ViaGroupOnly ","")&amp;IF($W729="Yes","AlsoAzureRBAC ","")))</f>
        <v/>
      </c>
      <c r="AN729" s="85">
        <f>IF($A729="","",IF(AG729="","Not Enrolled",IF(TODAY()&gt;AG729,"Review Overdue",IF(AG729-TODAY()&lt;=30,"Review Due Soon","Active"))))</f>
        <v/>
      </c>
      <c r="AO729" s="85">
        <f>IF($A729="","",IF(AH729="","NOT REVIEWED",IF(TODAY()-AH729&gt;90,"OVERDUE",IF(TODAY()-AH729&gt;76,"Due Soon","Current"))))</f>
        <v/>
      </c>
    </row>
    <row r="730" ht="15" customHeight="1" s="39">
      <c r="A730" s="85" t="n"/>
      <c r="B730" s="85" t="n"/>
      <c r="C730" s="85" t="n"/>
      <c r="D730" s="85" t="n"/>
      <c r="E730" s="85" t="n"/>
      <c r="F730" s="86" t="n"/>
      <c r="G730" s="86" t="n"/>
      <c r="H730" s="85" t="n"/>
      <c r="I730" s="85" t="n"/>
      <c r="J730" s="85" t="n"/>
      <c r="K730" s="85" t="n"/>
      <c r="L730" s="85" t="n"/>
      <c r="M730" s="85" t="n"/>
      <c r="N730" s="85" t="n"/>
      <c r="O730" s="85" t="n"/>
      <c r="P730" s="85" t="n"/>
      <c r="Q730" s="85" t="n"/>
      <c r="R730" s="85" t="n"/>
      <c r="S730" s="85" t="n"/>
      <c r="T730" s="85" t="n"/>
      <c r="U730" s="85" t="n"/>
      <c r="V730" s="85" t="n"/>
      <c r="W730" s="85" t="n"/>
      <c r="X730" s="85" t="n"/>
      <c r="Y730" s="85" t="n"/>
      <c r="Z730" s="85" t="n"/>
      <c r="AA730" s="85" t="n"/>
      <c r="AB730" s="85" t="n"/>
      <c r="AC730" s="85" t="n"/>
      <c r="AD730" s="85" t="n"/>
      <c r="AE730" s="85" t="n"/>
      <c r="AF730" s="86" t="n"/>
      <c r="AG730" s="86" t="n"/>
      <c r="AH730" s="86" t="n"/>
      <c r="AI730" s="85" t="n"/>
      <c r="AJ730" s="85" t="n"/>
      <c r="AK730" s="85">
        <f>IF($A730="","",IF($M730&gt;0,"Yes","No"))</f>
        <v/>
      </c>
      <c r="AL730" s="85">
        <f>IF($A730="","",IF(AND($E730="Yes",OR($Y730="No",$Y730="NOT FOUND")),"YES",""))</f>
        <v/>
      </c>
      <c r="AM730" s="85">
        <f>IF($A730="","",TRIM(IF(AND($P730=0,$I730&lt;&gt;"Yes"),"T0-NoPhishResistant ","")&amp;IF($H730="No","NoMFA ","")&amp;IF(AND($P730=0,$M730&gt;0),"T0-Standing ","")&amp;IF(AND($P730=0,$Q730="Group only"),"T0-ViaGroupOnly ","")&amp;IF($W730="Yes","AlsoAzureRBAC ","")))</f>
        <v/>
      </c>
      <c r="AN730" s="85">
        <f>IF($A730="","",IF(AG730="","Not Enrolled",IF(TODAY()&gt;AG730,"Review Overdue",IF(AG730-TODAY()&lt;=30,"Review Due Soon","Active"))))</f>
        <v/>
      </c>
      <c r="AO730" s="85">
        <f>IF($A730="","",IF(AH730="","NOT REVIEWED",IF(TODAY()-AH730&gt;90,"OVERDUE",IF(TODAY()-AH730&gt;76,"Due Soon","Current"))))</f>
        <v/>
      </c>
    </row>
    <row r="731" ht="15" customHeight="1" s="39">
      <c r="A731" s="85" t="n"/>
      <c r="B731" s="85" t="n"/>
      <c r="C731" s="85" t="n"/>
      <c r="D731" s="85" t="n"/>
      <c r="E731" s="85" t="n"/>
      <c r="F731" s="86" t="n"/>
      <c r="G731" s="86" t="n"/>
      <c r="H731" s="85" t="n"/>
      <c r="I731" s="85" t="n"/>
      <c r="J731" s="85" t="n"/>
      <c r="K731" s="85" t="n"/>
      <c r="L731" s="85" t="n"/>
      <c r="M731" s="85" t="n"/>
      <c r="N731" s="85" t="n"/>
      <c r="O731" s="85" t="n"/>
      <c r="P731" s="85" t="n"/>
      <c r="Q731" s="85" t="n"/>
      <c r="R731" s="85" t="n"/>
      <c r="S731" s="85" t="n"/>
      <c r="T731" s="85" t="n"/>
      <c r="U731" s="85" t="n"/>
      <c r="V731" s="85" t="n"/>
      <c r="W731" s="85" t="n"/>
      <c r="X731" s="85" t="n"/>
      <c r="Y731" s="85" t="n"/>
      <c r="Z731" s="85" t="n"/>
      <c r="AA731" s="85" t="n"/>
      <c r="AB731" s="85" t="n"/>
      <c r="AC731" s="85" t="n"/>
      <c r="AD731" s="85" t="n"/>
      <c r="AE731" s="85" t="n"/>
      <c r="AF731" s="86" t="n"/>
      <c r="AG731" s="86" t="n"/>
      <c r="AH731" s="86" t="n"/>
      <c r="AI731" s="85" t="n"/>
      <c r="AJ731" s="85" t="n"/>
      <c r="AK731" s="85">
        <f>IF($A731="","",IF($M731&gt;0,"Yes","No"))</f>
        <v/>
      </c>
      <c r="AL731" s="85">
        <f>IF($A731="","",IF(AND($E731="Yes",OR($Y731="No",$Y731="NOT FOUND")),"YES",""))</f>
        <v/>
      </c>
      <c r="AM731" s="85">
        <f>IF($A731="","",TRIM(IF(AND($P731=0,$I731&lt;&gt;"Yes"),"T0-NoPhishResistant ","")&amp;IF($H731="No","NoMFA ","")&amp;IF(AND($P731=0,$M731&gt;0),"T0-Standing ","")&amp;IF(AND($P731=0,$Q731="Group only"),"T0-ViaGroupOnly ","")&amp;IF($W731="Yes","AlsoAzureRBAC ","")))</f>
        <v/>
      </c>
      <c r="AN731" s="85">
        <f>IF($A731="","",IF(AG731="","Not Enrolled",IF(TODAY()&gt;AG731,"Review Overdue",IF(AG731-TODAY()&lt;=30,"Review Due Soon","Active"))))</f>
        <v/>
      </c>
      <c r="AO731" s="85">
        <f>IF($A731="","",IF(AH731="","NOT REVIEWED",IF(TODAY()-AH731&gt;90,"OVERDUE",IF(TODAY()-AH731&gt;76,"Due Soon","Current"))))</f>
        <v/>
      </c>
    </row>
    <row r="732" ht="15" customHeight="1" s="39">
      <c r="A732" s="85" t="n"/>
      <c r="B732" s="85" t="n"/>
      <c r="C732" s="85" t="n"/>
      <c r="D732" s="85" t="n"/>
      <c r="E732" s="85" t="n"/>
      <c r="F732" s="86" t="n"/>
      <c r="G732" s="86" t="n"/>
      <c r="H732" s="85" t="n"/>
      <c r="I732" s="85" t="n"/>
      <c r="J732" s="85" t="n"/>
      <c r="K732" s="85" t="n"/>
      <c r="L732" s="85" t="n"/>
      <c r="M732" s="85" t="n"/>
      <c r="N732" s="85" t="n"/>
      <c r="O732" s="85" t="n"/>
      <c r="P732" s="85" t="n"/>
      <c r="Q732" s="85" t="n"/>
      <c r="R732" s="85" t="n"/>
      <c r="S732" s="85" t="n"/>
      <c r="T732" s="85" t="n"/>
      <c r="U732" s="85" t="n"/>
      <c r="V732" s="85" t="n"/>
      <c r="W732" s="85" t="n"/>
      <c r="X732" s="85" t="n"/>
      <c r="Y732" s="85" t="n"/>
      <c r="Z732" s="85" t="n"/>
      <c r="AA732" s="85" t="n"/>
      <c r="AB732" s="85" t="n"/>
      <c r="AC732" s="85" t="n"/>
      <c r="AD732" s="85" t="n"/>
      <c r="AE732" s="85" t="n"/>
      <c r="AF732" s="86" t="n"/>
      <c r="AG732" s="86" t="n"/>
      <c r="AH732" s="86" t="n"/>
      <c r="AI732" s="85" t="n"/>
      <c r="AJ732" s="85" t="n"/>
      <c r="AK732" s="85">
        <f>IF($A732="","",IF($M732&gt;0,"Yes","No"))</f>
        <v/>
      </c>
      <c r="AL732" s="85">
        <f>IF($A732="","",IF(AND($E732="Yes",OR($Y732="No",$Y732="NOT FOUND")),"YES",""))</f>
        <v/>
      </c>
      <c r="AM732" s="85">
        <f>IF($A732="","",TRIM(IF(AND($P732=0,$I732&lt;&gt;"Yes"),"T0-NoPhishResistant ","")&amp;IF($H732="No","NoMFA ","")&amp;IF(AND($P732=0,$M732&gt;0),"T0-Standing ","")&amp;IF(AND($P732=0,$Q732="Group only"),"T0-ViaGroupOnly ","")&amp;IF($W732="Yes","AlsoAzureRBAC ","")))</f>
        <v/>
      </c>
      <c r="AN732" s="85">
        <f>IF($A732="","",IF(AG732="","Not Enrolled",IF(TODAY()&gt;AG732,"Review Overdue",IF(AG732-TODAY()&lt;=30,"Review Due Soon","Active"))))</f>
        <v/>
      </c>
      <c r="AO732" s="85">
        <f>IF($A732="","",IF(AH732="","NOT REVIEWED",IF(TODAY()-AH732&gt;90,"OVERDUE",IF(TODAY()-AH732&gt;76,"Due Soon","Current"))))</f>
        <v/>
      </c>
    </row>
    <row r="733" ht="15" customHeight="1" s="39">
      <c r="A733" s="85" t="n"/>
      <c r="B733" s="85" t="n"/>
      <c r="C733" s="85" t="n"/>
      <c r="D733" s="85" t="n"/>
      <c r="E733" s="85" t="n"/>
      <c r="F733" s="86" t="n"/>
      <c r="G733" s="86" t="n"/>
      <c r="H733" s="85" t="n"/>
      <c r="I733" s="85" t="n"/>
      <c r="J733" s="85" t="n"/>
      <c r="K733" s="85" t="n"/>
      <c r="L733" s="85" t="n"/>
      <c r="M733" s="85" t="n"/>
      <c r="N733" s="85" t="n"/>
      <c r="O733" s="85" t="n"/>
      <c r="P733" s="85" t="n"/>
      <c r="Q733" s="85" t="n"/>
      <c r="R733" s="85" t="n"/>
      <c r="S733" s="85" t="n"/>
      <c r="T733" s="85" t="n"/>
      <c r="U733" s="85" t="n"/>
      <c r="V733" s="85" t="n"/>
      <c r="W733" s="85" t="n"/>
      <c r="X733" s="85" t="n"/>
      <c r="Y733" s="85" t="n"/>
      <c r="Z733" s="85" t="n"/>
      <c r="AA733" s="85" t="n"/>
      <c r="AB733" s="85" t="n"/>
      <c r="AC733" s="85" t="n"/>
      <c r="AD733" s="85" t="n"/>
      <c r="AE733" s="85" t="n"/>
      <c r="AF733" s="86" t="n"/>
      <c r="AG733" s="86" t="n"/>
      <c r="AH733" s="86" t="n"/>
      <c r="AI733" s="85" t="n"/>
      <c r="AJ733" s="85" t="n"/>
      <c r="AK733" s="85">
        <f>IF($A733="","",IF($M733&gt;0,"Yes","No"))</f>
        <v/>
      </c>
      <c r="AL733" s="85">
        <f>IF($A733="","",IF(AND($E733="Yes",OR($Y733="No",$Y733="NOT FOUND")),"YES",""))</f>
        <v/>
      </c>
      <c r="AM733" s="85">
        <f>IF($A733="","",TRIM(IF(AND($P733=0,$I733&lt;&gt;"Yes"),"T0-NoPhishResistant ","")&amp;IF($H733="No","NoMFA ","")&amp;IF(AND($P733=0,$M733&gt;0),"T0-Standing ","")&amp;IF(AND($P733=0,$Q733="Group only"),"T0-ViaGroupOnly ","")&amp;IF($W733="Yes","AlsoAzureRBAC ","")))</f>
        <v/>
      </c>
      <c r="AN733" s="85">
        <f>IF($A733="","",IF(AG733="","Not Enrolled",IF(TODAY()&gt;AG733,"Review Overdue",IF(AG733-TODAY()&lt;=30,"Review Due Soon","Active"))))</f>
        <v/>
      </c>
      <c r="AO733" s="85">
        <f>IF($A733="","",IF(AH733="","NOT REVIEWED",IF(TODAY()-AH733&gt;90,"OVERDUE",IF(TODAY()-AH733&gt;76,"Due Soon","Current"))))</f>
        <v/>
      </c>
    </row>
    <row r="734" ht="15" customHeight="1" s="39">
      <c r="A734" s="85" t="n"/>
      <c r="B734" s="85" t="n"/>
      <c r="C734" s="85" t="n"/>
      <c r="D734" s="85" t="n"/>
      <c r="E734" s="85" t="n"/>
      <c r="F734" s="86" t="n"/>
      <c r="G734" s="86" t="n"/>
      <c r="H734" s="85" t="n"/>
      <c r="I734" s="85" t="n"/>
      <c r="J734" s="85" t="n"/>
      <c r="K734" s="85" t="n"/>
      <c r="L734" s="85" t="n"/>
      <c r="M734" s="85" t="n"/>
      <c r="N734" s="85" t="n"/>
      <c r="O734" s="85" t="n"/>
      <c r="P734" s="85" t="n"/>
      <c r="Q734" s="85" t="n"/>
      <c r="R734" s="85" t="n"/>
      <c r="S734" s="85" t="n"/>
      <c r="T734" s="85" t="n"/>
      <c r="U734" s="85" t="n"/>
      <c r="V734" s="85" t="n"/>
      <c r="W734" s="85" t="n"/>
      <c r="X734" s="85" t="n"/>
      <c r="Y734" s="85" t="n"/>
      <c r="Z734" s="85" t="n"/>
      <c r="AA734" s="85" t="n"/>
      <c r="AB734" s="85" t="n"/>
      <c r="AC734" s="85" t="n"/>
      <c r="AD734" s="85" t="n"/>
      <c r="AE734" s="85" t="n"/>
      <c r="AF734" s="86" t="n"/>
      <c r="AG734" s="86" t="n"/>
      <c r="AH734" s="86" t="n"/>
      <c r="AI734" s="85" t="n"/>
      <c r="AJ734" s="85" t="n"/>
      <c r="AK734" s="85">
        <f>IF($A734="","",IF($M734&gt;0,"Yes","No"))</f>
        <v/>
      </c>
      <c r="AL734" s="85">
        <f>IF($A734="","",IF(AND($E734="Yes",OR($Y734="No",$Y734="NOT FOUND")),"YES",""))</f>
        <v/>
      </c>
      <c r="AM734" s="85">
        <f>IF($A734="","",TRIM(IF(AND($P734=0,$I734&lt;&gt;"Yes"),"T0-NoPhishResistant ","")&amp;IF($H734="No","NoMFA ","")&amp;IF(AND($P734=0,$M734&gt;0),"T0-Standing ","")&amp;IF(AND($P734=0,$Q734="Group only"),"T0-ViaGroupOnly ","")&amp;IF($W734="Yes","AlsoAzureRBAC ","")))</f>
        <v/>
      </c>
      <c r="AN734" s="85">
        <f>IF($A734="","",IF(AG734="","Not Enrolled",IF(TODAY()&gt;AG734,"Review Overdue",IF(AG734-TODAY()&lt;=30,"Review Due Soon","Active"))))</f>
        <v/>
      </c>
      <c r="AO734" s="85">
        <f>IF($A734="","",IF(AH734="","NOT REVIEWED",IF(TODAY()-AH734&gt;90,"OVERDUE",IF(TODAY()-AH734&gt;76,"Due Soon","Current"))))</f>
        <v/>
      </c>
    </row>
    <row r="735" ht="15" customHeight="1" s="39">
      <c r="A735" s="85" t="n"/>
      <c r="B735" s="85" t="n"/>
      <c r="C735" s="85" t="n"/>
      <c r="D735" s="85" t="n"/>
      <c r="E735" s="85" t="n"/>
      <c r="F735" s="86" t="n"/>
      <c r="G735" s="86" t="n"/>
      <c r="H735" s="85" t="n"/>
      <c r="I735" s="85" t="n"/>
      <c r="J735" s="85" t="n"/>
      <c r="K735" s="85" t="n"/>
      <c r="L735" s="85" t="n"/>
      <c r="M735" s="85" t="n"/>
      <c r="N735" s="85" t="n"/>
      <c r="O735" s="85" t="n"/>
      <c r="P735" s="85" t="n"/>
      <c r="Q735" s="85" t="n"/>
      <c r="R735" s="85" t="n"/>
      <c r="S735" s="85" t="n"/>
      <c r="T735" s="85" t="n"/>
      <c r="U735" s="85" t="n"/>
      <c r="V735" s="85" t="n"/>
      <c r="W735" s="85" t="n"/>
      <c r="X735" s="85" t="n"/>
      <c r="Y735" s="85" t="n"/>
      <c r="Z735" s="85" t="n"/>
      <c r="AA735" s="85" t="n"/>
      <c r="AB735" s="85" t="n"/>
      <c r="AC735" s="85" t="n"/>
      <c r="AD735" s="85" t="n"/>
      <c r="AE735" s="85" t="n"/>
      <c r="AF735" s="86" t="n"/>
      <c r="AG735" s="86" t="n"/>
      <c r="AH735" s="86" t="n"/>
      <c r="AI735" s="85" t="n"/>
      <c r="AJ735" s="85" t="n"/>
      <c r="AK735" s="85">
        <f>IF($A735="","",IF($M735&gt;0,"Yes","No"))</f>
        <v/>
      </c>
      <c r="AL735" s="85">
        <f>IF($A735="","",IF(AND($E735="Yes",OR($Y735="No",$Y735="NOT FOUND")),"YES",""))</f>
        <v/>
      </c>
      <c r="AM735" s="85">
        <f>IF($A735="","",TRIM(IF(AND($P735=0,$I735&lt;&gt;"Yes"),"T0-NoPhishResistant ","")&amp;IF($H735="No","NoMFA ","")&amp;IF(AND($P735=0,$M735&gt;0),"T0-Standing ","")&amp;IF(AND($P735=0,$Q735="Group only"),"T0-ViaGroupOnly ","")&amp;IF($W735="Yes","AlsoAzureRBAC ","")))</f>
        <v/>
      </c>
      <c r="AN735" s="85">
        <f>IF($A735="","",IF(AG735="","Not Enrolled",IF(TODAY()&gt;AG735,"Review Overdue",IF(AG735-TODAY()&lt;=30,"Review Due Soon","Active"))))</f>
        <v/>
      </c>
      <c r="AO735" s="85">
        <f>IF($A735="","",IF(AH735="","NOT REVIEWED",IF(TODAY()-AH735&gt;90,"OVERDUE",IF(TODAY()-AH735&gt;76,"Due Soon","Current"))))</f>
        <v/>
      </c>
    </row>
    <row r="736" ht="15" customHeight="1" s="39">
      <c r="A736" s="85" t="n"/>
      <c r="B736" s="85" t="n"/>
      <c r="C736" s="85" t="n"/>
      <c r="D736" s="85" t="n"/>
      <c r="E736" s="85" t="n"/>
      <c r="F736" s="86" t="n"/>
      <c r="G736" s="86" t="n"/>
      <c r="H736" s="85" t="n"/>
      <c r="I736" s="85" t="n"/>
      <c r="J736" s="85" t="n"/>
      <c r="K736" s="85" t="n"/>
      <c r="L736" s="85" t="n"/>
      <c r="M736" s="85" t="n"/>
      <c r="N736" s="85" t="n"/>
      <c r="O736" s="85" t="n"/>
      <c r="P736" s="85" t="n"/>
      <c r="Q736" s="85" t="n"/>
      <c r="R736" s="85" t="n"/>
      <c r="S736" s="85" t="n"/>
      <c r="T736" s="85" t="n"/>
      <c r="U736" s="85" t="n"/>
      <c r="V736" s="85" t="n"/>
      <c r="W736" s="85" t="n"/>
      <c r="X736" s="85" t="n"/>
      <c r="Y736" s="85" t="n"/>
      <c r="Z736" s="85" t="n"/>
      <c r="AA736" s="85" t="n"/>
      <c r="AB736" s="85" t="n"/>
      <c r="AC736" s="85" t="n"/>
      <c r="AD736" s="85" t="n"/>
      <c r="AE736" s="85" t="n"/>
      <c r="AF736" s="86" t="n"/>
      <c r="AG736" s="86" t="n"/>
      <c r="AH736" s="86" t="n"/>
      <c r="AI736" s="85" t="n"/>
      <c r="AJ736" s="85" t="n"/>
      <c r="AK736" s="85">
        <f>IF($A736="","",IF($M736&gt;0,"Yes","No"))</f>
        <v/>
      </c>
      <c r="AL736" s="85">
        <f>IF($A736="","",IF(AND($E736="Yes",OR($Y736="No",$Y736="NOT FOUND")),"YES",""))</f>
        <v/>
      </c>
      <c r="AM736" s="85">
        <f>IF($A736="","",TRIM(IF(AND($P736=0,$I736&lt;&gt;"Yes"),"T0-NoPhishResistant ","")&amp;IF($H736="No","NoMFA ","")&amp;IF(AND($P736=0,$M736&gt;0),"T0-Standing ","")&amp;IF(AND($P736=0,$Q736="Group only"),"T0-ViaGroupOnly ","")&amp;IF($W736="Yes","AlsoAzureRBAC ","")))</f>
        <v/>
      </c>
      <c r="AN736" s="85">
        <f>IF($A736="","",IF(AG736="","Not Enrolled",IF(TODAY()&gt;AG736,"Review Overdue",IF(AG736-TODAY()&lt;=30,"Review Due Soon","Active"))))</f>
        <v/>
      </c>
      <c r="AO736" s="85">
        <f>IF($A736="","",IF(AH736="","NOT REVIEWED",IF(TODAY()-AH736&gt;90,"OVERDUE",IF(TODAY()-AH736&gt;76,"Due Soon","Current"))))</f>
        <v/>
      </c>
    </row>
    <row r="737" ht="15" customHeight="1" s="39">
      <c r="A737" s="85" t="n"/>
      <c r="B737" s="85" t="n"/>
      <c r="C737" s="85" t="n"/>
      <c r="D737" s="85" t="n"/>
      <c r="E737" s="85" t="n"/>
      <c r="F737" s="86" t="n"/>
      <c r="G737" s="86" t="n"/>
      <c r="H737" s="85" t="n"/>
      <c r="I737" s="85" t="n"/>
      <c r="J737" s="85" t="n"/>
      <c r="K737" s="85" t="n"/>
      <c r="L737" s="85" t="n"/>
      <c r="M737" s="85" t="n"/>
      <c r="N737" s="85" t="n"/>
      <c r="O737" s="85" t="n"/>
      <c r="P737" s="85" t="n"/>
      <c r="Q737" s="85" t="n"/>
      <c r="R737" s="85" t="n"/>
      <c r="S737" s="85" t="n"/>
      <c r="T737" s="85" t="n"/>
      <c r="U737" s="85" t="n"/>
      <c r="V737" s="85" t="n"/>
      <c r="W737" s="85" t="n"/>
      <c r="X737" s="85" t="n"/>
      <c r="Y737" s="85" t="n"/>
      <c r="Z737" s="85" t="n"/>
      <c r="AA737" s="85" t="n"/>
      <c r="AB737" s="85" t="n"/>
      <c r="AC737" s="85" t="n"/>
      <c r="AD737" s="85" t="n"/>
      <c r="AE737" s="85" t="n"/>
      <c r="AF737" s="86" t="n"/>
      <c r="AG737" s="86" t="n"/>
      <c r="AH737" s="86" t="n"/>
      <c r="AI737" s="85" t="n"/>
      <c r="AJ737" s="85" t="n"/>
      <c r="AK737" s="85">
        <f>IF($A737="","",IF($M737&gt;0,"Yes","No"))</f>
        <v/>
      </c>
      <c r="AL737" s="85">
        <f>IF($A737="","",IF(AND($E737="Yes",OR($Y737="No",$Y737="NOT FOUND")),"YES",""))</f>
        <v/>
      </c>
      <c r="AM737" s="85">
        <f>IF($A737="","",TRIM(IF(AND($P737=0,$I737&lt;&gt;"Yes"),"T0-NoPhishResistant ","")&amp;IF($H737="No","NoMFA ","")&amp;IF(AND($P737=0,$M737&gt;0),"T0-Standing ","")&amp;IF(AND($P737=0,$Q737="Group only"),"T0-ViaGroupOnly ","")&amp;IF($W737="Yes","AlsoAzureRBAC ","")))</f>
        <v/>
      </c>
      <c r="AN737" s="85">
        <f>IF($A737="","",IF(AG737="","Not Enrolled",IF(TODAY()&gt;AG737,"Review Overdue",IF(AG737-TODAY()&lt;=30,"Review Due Soon","Active"))))</f>
        <v/>
      </c>
      <c r="AO737" s="85">
        <f>IF($A737="","",IF(AH737="","NOT REVIEWED",IF(TODAY()-AH737&gt;90,"OVERDUE",IF(TODAY()-AH737&gt;76,"Due Soon","Current"))))</f>
        <v/>
      </c>
    </row>
    <row r="738" ht="15" customHeight="1" s="39">
      <c r="A738" s="85" t="n"/>
      <c r="B738" s="85" t="n"/>
      <c r="C738" s="85" t="n"/>
      <c r="D738" s="85" t="n"/>
      <c r="E738" s="85" t="n"/>
      <c r="F738" s="86" t="n"/>
      <c r="G738" s="86" t="n"/>
      <c r="H738" s="85" t="n"/>
      <c r="I738" s="85" t="n"/>
      <c r="J738" s="85" t="n"/>
      <c r="K738" s="85" t="n"/>
      <c r="L738" s="85" t="n"/>
      <c r="M738" s="85" t="n"/>
      <c r="N738" s="85" t="n"/>
      <c r="O738" s="85" t="n"/>
      <c r="P738" s="85" t="n"/>
      <c r="Q738" s="85" t="n"/>
      <c r="R738" s="85" t="n"/>
      <c r="S738" s="85" t="n"/>
      <c r="T738" s="85" t="n"/>
      <c r="U738" s="85" t="n"/>
      <c r="V738" s="85" t="n"/>
      <c r="W738" s="85" t="n"/>
      <c r="X738" s="85" t="n"/>
      <c r="Y738" s="85" t="n"/>
      <c r="Z738" s="85" t="n"/>
      <c r="AA738" s="85" t="n"/>
      <c r="AB738" s="85" t="n"/>
      <c r="AC738" s="85" t="n"/>
      <c r="AD738" s="85" t="n"/>
      <c r="AE738" s="85" t="n"/>
      <c r="AF738" s="86" t="n"/>
      <c r="AG738" s="86" t="n"/>
      <c r="AH738" s="86" t="n"/>
      <c r="AI738" s="85" t="n"/>
      <c r="AJ738" s="85" t="n"/>
      <c r="AK738" s="85">
        <f>IF($A738="","",IF($M738&gt;0,"Yes","No"))</f>
        <v/>
      </c>
      <c r="AL738" s="85">
        <f>IF($A738="","",IF(AND($E738="Yes",OR($Y738="No",$Y738="NOT FOUND")),"YES",""))</f>
        <v/>
      </c>
      <c r="AM738" s="85">
        <f>IF($A738="","",TRIM(IF(AND($P738=0,$I738&lt;&gt;"Yes"),"T0-NoPhishResistant ","")&amp;IF($H738="No","NoMFA ","")&amp;IF(AND($P738=0,$M738&gt;0),"T0-Standing ","")&amp;IF(AND($P738=0,$Q738="Group only"),"T0-ViaGroupOnly ","")&amp;IF($W738="Yes","AlsoAzureRBAC ","")))</f>
        <v/>
      </c>
      <c r="AN738" s="85">
        <f>IF($A738="","",IF(AG738="","Not Enrolled",IF(TODAY()&gt;AG738,"Review Overdue",IF(AG738-TODAY()&lt;=30,"Review Due Soon","Active"))))</f>
        <v/>
      </c>
      <c r="AO738" s="85">
        <f>IF($A738="","",IF(AH738="","NOT REVIEWED",IF(TODAY()-AH738&gt;90,"OVERDUE",IF(TODAY()-AH738&gt;76,"Due Soon","Current"))))</f>
        <v/>
      </c>
    </row>
    <row r="739" ht="15" customHeight="1" s="39">
      <c r="A739" s="85" t="n"/>
      <c r="B739" s="85" t="n"/>
      <c r="C739" s="85" t="n"/>
      <c r="D739" s="85" t="n"/>
      <c r="E739" s="85" t="n"/>
      <c r="F739" s="86" t="n"/>
      <c r="G739" s="86" t="n"/>
      <c r="H739" s="85" t="n"/>
      <c r="I739" s="85" t="n"/>
      <c r="J739" s="85" t="n"/>
      <c r="K739" s="85" t="n"/>
      <c r="L739" s="85" t="n"/>
      <c r="M739" s="85" t="n"/>
      <c r="N739" s="85" t="n"/>
      <c r="O739" s="85" t="n"/>
      <c r="P739" s="85" t="n"/>
      <c r="Q739" s="85" t="n"/>
      <c r="R739" s="85" t="n"/>
      <c r="S739" s="85" t="n"/>
      <c r="T739" s="85" t="n"/>
      <c r="U739" s="85" t="n"/>
      <c r="V739" s="85" t="n"/>
      <c r="W739" s="85" t="n"/>
      <c r="X739" s="85" t="n"/>
      <c r="Y739" s="85" t="n"/>
      <c r="Z739" s="85" t="n"/>
      <c r="AA739" s="85" t="n"/>
      <c r="AB739" s="85" t="n"/>
      <c r="AC739" s="85" t="n"/>
      <c r="AD739" s="85" t="n"/>
      <c r="AE739" s="85" t="n"/>
      <c r="AF739" s="86" t="n"/>
      <c r="AG739" s="86" t="n"/>
      <c r="AH739" s="86" t="n"/>
      <c r="AI739" s="85" t="n"/>
      <c r="AJ739" s="85" t="n"/>
      <c r="AK739" s="85">
        <f>IF($A739="","",IF($M739&gt;0,"Yes","No"))</f>
        <v/>
      </c>
      <c r="AL739" s="85">
        <f>IF($A739="","",IF(AND($E739="Yes",OR($Y739="No",$Y739="NOT FOUND")),"YES",""))</f>
        <v/>
      </c>
      <c r="AM739" s="85">
        <f>IF($A739="","",TRIM(IF(AND($P739=0,$I739&lt;&gt;"Yes"),"T0-NoPhishResistant ","")&amp;IF($H739="No","NoMFA ","")&amp;IF(AND($P739=0,$M739&gt;0),"T0-Standing ","")&amp;IF(AND($P739=0,$Q739="Group only"),"T0-ViaGroupOnly ","")&amp;IF($W739="Yes","AlsoAzureRBAC ","")))</f>
        <v/>
      </c>
      <c r="AN739" s="85">
        <f>IF($A739="","",IF(AG739="","Not Enrolled",IF(TODAY()&gt;AG739,"Review Overdue",IF(AG739-TODAY()&lt;=30,"Review Due Soon","Active"))))</f>
        <v/>
      </c>
      <c r="AO739" s="85">
        <f>IF($A739="","",IF(AH739="","NOT REVIEWED",IF(TODAY()-AH739&gt;90,"OVERDUE",IF(TODAY()-AH739&gt;76,"Due Soon","Current"))))</f>
        <v/>
      </c>
    </row>
    <row r="740" ht="15" customHeight="1" s="39">
      <c r="A740" s="85" t="n"/>
      <c r="B740" s="85" t="n"/>
      <c r="C740" s="85" t="n"/>
      <c r="D740" s="85" t="n"/>
      <c r="E740" s="85" t="n"/>
      <c r="F740" s="86" t="n"/>
      <c r="G740" s="86" t="n"/>
      <c r="H740" s="85" t="n"/>
      <c r="I740" s="85" t="n"/>
      <c r="J740" s="85" t="n"/>
      <c r="K740" s="85" t="n"/>
      <c r="L740" s="85" t="n"/>
      <c r="M740" s="85" t="n"/>
      <c r="N740" s="85" t="n"/>
      <c r="O740" s="85" t="n"/>
      <c r="P740" s="85" t="n"/>
      <c r="Q740" s="85" t="n"/>
      <c r="R740" s="85" t="n"/>
      <c r="S740" s="85" t="n"/>
      <c r="T740" s="85" t="n"/>
      <c r="U740" s="85" t="n"/>
      <c r="V740" s="85" t="n"/>
      <c r="W740" s="85" t="n"/>
      <c r="X740" s="85" t="n"/>
      <c r="Y740" s="85" t="n"/>
      <c r="Z740" s="85" t="n"/>
      <c r="AA740" s="85" t="n"/>
      <c r="AB740" s="85" t="n"/>
      <c r="AC740" s="85" t="n"/>
      <c r="AD740" s="85" t="n"/>
      <c r="AE740" s="85" t="n"/>
      <c r="AF740" s="86" t="n"/>
      <c r="AG740" s="86" t="n"/>
      <c r="AH740" s="86" t="n"/>
      <c r="AI740" s="85" t="n"/>
      <c r="AJ740" s="85" t="n"/>
      <c r="AK740" s="85">
        <f>IF($A740="","",IF($M740&gt;0,"Yes","No"))</f>
        <v/>
      </c>
      <c r="AL740" s="85">
        <f>IF($A740="","",IF(AND($E740="Yes",OR($Y740="No",$Y740="NOT FOUND")),"YES",""))</f>
        <v/>
      </c>
      <c r="AM740" s="85">
        <f>IF($A740="","",TRIM(IF(AND($P740=0,$I740&lt;&gt;"Yes"),"T0-NoPhishResistant ","")&amp;IF($H740="No","NoMFA ","")&amp;IF(AND($P740=0,$M740&gt;0),"T0-Standing ","")&amp;IF(AND($P740=0,$Q740="Group only"),"T0-ViaGroupOnly ","")&amp;IF($W740="Yes","AlsoAzureRBAC ","")))</f>
        <v/>
      </c>
      <c r="AN740" s="85">
        <f>IF($A740="","",IF(AG740="","Not Enrolled",IF(TODAY()&gt;AG740,"Review Overdue",IF(AG740-TODAY()&lt;=30,"Review Due Soon","Active"))))</f>
        <v/>
      </c>
      <c r="AO740" s="85">
        <f>IF($A740="","",IF(AH740="","NOT REVIEWED",IF(TODAY()-AH740&gt;90,"OVERDUE",IF(TODAY()-AH740&gt;76,"Due Soon","Current"))))</f>
        <v/>
      </c>
    </row>
    <row r="741" ht="15" customHeight="1" s="39">
      <c r="A741" s="85" t="n"/>
      <c r="B741" s="85" t="n"/>
      <c r="C741" s="85" t="n"/>
      <c r="D741" s="85" t="n"/>
      <c r="E741" s="85" t="n"/>
      <c r="F741" s="86" t="n"/>
      <c r="G741" s="86" t="n"/>
      <c r="H741" s="85" t="n"/>
      <c r="I741" s="85" t="n"/>
      <c r="J741" s="85" t="n"/>
      <c r="K741" s="85" t="n"/>
      <c r="L741" s="85" t="n"/>
      <c r="M741" s="85" t="n"/>
      <c r="N741" s="85" t="n"/>
      <c r="O741" s="85" t="n"/>
      <c r="P741" s="85" t="n"/>
      <c r="Q741" s="85" t="n"/>
      <c r="R741" s="85" t="n"/>
      <c r="S741" s="85" t="n"/>
      <c r="T741" s="85" t="n"/>
      <c r="U741" s="85" t="n"/>
      <c r="V741" s="85" t="n"/>
      <c r="W741" s="85" t="n"/>
      <c r="X741" s="85" t="n"/>
      <c r="Y741" s="85" t="n"/>
      <c r="Z741" s="85" t="n"/>
      <c r="AA741" s="85" t="n"/>
      <c r="AB741" s="85" t="n"/>
      <c r="AC741" s="85" t="n"/>
      <c r="AD741" s="85" t="n"/>
      <c r="AE741" s="85" t="n"/>
      <c r="AF741" s="86" t="n"/>
      <c r="AG741" s="86" t="n"/>
      <c r="AH741" s="86" t="n"/>
      <c r="AI741" s="85" t="n"/>
      <c r="AJ741" s="85" t="n"/>
      <c r="AK741" s="85">
        <f>IF($A741="","",IF($M741&gt;0,"Yes","No"))</f>
        <v/>
      </c>
      <c r="AL741" s="85">
        <f>IF($A741="","",IF(AND($E741="Yes",OR($Y741="No",$Y741="NOT FOUND")),"YES",""))</f>
        <v/>
      </c>
      <c r="AM741" s="85">
        <f>IF($A741="","",TRIM(IF(AND($P741=0,$I741&lt;&gt;"Yes"),"T0-NoPhishResistant ","")&amp;IF($H741="No","NoMFA ","")&amp;IF(AND($P741=0,$M741&gt;0),"T0-Standing ","")&amp;IF(AND($P741=0,$Q741="Group only"),"T0-ViaGroupOnly ","")&amp;IF($W741="Yes","AlsoAzureRBAC ","")))</f>
        <v/>
      </c>
      <c r="AN741" s="85">
        <f>IF($A741="","",IF(AG741="","Not Enrolled",IF(TODAY()&gt;AG741,"Review Overdue",IF(AG741-TODAY()&lt;=30,"Review Due Soon","Active"))))</f>
        <v/>
      </c>
      <c r="AO741" s="85">
        <f>IF($A741="","",IF(AH741="","NOT REVIEWED",IF(TODAY()-AH741&gt;90,"OVERDUE",IF(TODAY()-AH741&gt;76,"Due Soon","Current"))))</f>
        <v/>
      </c>
    </row>
    <row r="742" ht="15" customHeight="1" s="39">
      <c r="A742" s="85" t="n"/>
      <c r="B742" s="85" t="n"/>
      <c r="C742" s="85" t="n"/>
      <c r="D742" s="85" t="n"/>
      <c r="E742" s="85" t="n"/>
      <c r="F742" s="86" t="n"/>
      <c r="G742" s="86" t="n"/>
      <c r="H742" s="85" t="n"/>
      <c r="I742" s="85" t="n"/>
      <c r="J742" s="85" t="n"/>
      <c r="K742" s="85" t="n"/>
      <c r="L742" s="85" t="n"/>
      <c r="M742" s="85" t="n"/>
      <c r="N742" s="85" t="n"/>
      <c r="O742" s="85" t="n"/>
      <c r="P742" s="85" t="n"/>
      <c r="Q742" s="85" t="n"/>
      <c r="R742" s="85" t="n"/>
      <c r="S742" s="85" t="n"/>
      <c r="T742" s="85" t="n"/>
      <c r="U742" s="85" t="n"/>
      <c r="V742" s="85" t="n"/>
      <c r="W742" s="85" t="n"/>
      <c r="X742" s="85" t="n"/>
      <c r="Y742" s="85" t="n"/>
      <c r="Z742" s="85" t="n"/>
      <c r="AA742" s="85" t="n"/>
      <c r="AB742" s="85" t="n"/>
      <c r="AC742" s="85" t="n"/>
      <c r="AD742" s="85" t="n"/>
      <c r="AE742" s="85" t="n"/>
      <c r="AF742" s="86" t="n"/>
      <c r="AG742" s="86" t="n"/>
      <c r="AH742" s="86" t="n"/>
      <c r="AI742" s="85" t="n"/>
      <c r="AJ742" s="85" t="n"/>
      <c r="AK742" s="85">
        <f>IF($A742="","",IF($M742&gt;0,"Yes","No"))</f>
        <v/>
      </c>
      <c r="AL742" s="85">
        <f>IF($A742="","",IF(AND($E742="Yes",OR($Y742="No",$Y742="NOT FOUND")),"YES",""))</f>
        <v/>
      </c>
      <c r="AM742" s="85">
        <f>IF($A742="","",TRIM(IF(AND($P742=0,$I742&lt;&gt;"Yes"),"T0-NoPhishResistant ","")&amp;IF($H742="No","NoMFA ","")&amp;IF(AND($P742=0,$M742&gt;0),"T0-Standing ","")&amp;IF(AND($P742=0,$Q742="Group only"),"T0-ViaGroupOnly ","")&amp;IF($W742="Yes","AlsoAzureRBAC ","")))</f>
        <v/>
      </c>
      <c r="AN742" s="85">
        <f>IF($A742="","",IF(AG742="","Not Enrolled",IF(TODAY()&gt;AG742,"Review Overdue",IF(AG742-TODAY()&lt;=30,"Review Due Soon","Active"))))</f>
        <v/>
      </c>
      <c r="AO742" s="85">
        <f>IF($A742="","",IF(AH742="","NOT REVIEWED",IF(TODAY()-AH742&gt;90,"OVERDUE",IF(TODAY()-AH742&gt;76,"Due Soon","Current"))))</f>
        <v/>
      </c>
    </row>
    <row r="743" ht="15" customHeight="1" s="39">
      <c r="A743" s="85" t="n"/>
      <c r="B743" s="85" t="n"/>
      <c r="C743" s="85" t="n"/>
      <c r="D743" s="85" t="n"/>
      <c r="E743" s="85" t="n"/>
      <c r="F743" s="86" t="n"/>
      <c r="G743" s="86" t="n"/>
      <c r="H743" s="85" t="n"/>
      <c r="I743" s="85" t="n"/>
      <c r="J743" s="85" t="n"/>
      <c r="K743" s="85" t="n"/>
      <c r="L743" s="85" t="n"/>
      <c r="M743" s="85" t="n"/>
      <c r="N743" s="85" t="n"/>
      <c r="O743" s="85" t="n"/>
      <c r="P743" s="85" t="n"/>
      <c r="Q743" s="85" t="n"/>
      <c r="R743" s="85" t="n"/>
      <c r="S743" s="85" t="n"/>
      <c r="T743" s="85" t="n"/>
      <c r="U743" s="85" t="n"/>
      <c r="V743" s="85" t="n"/>
      <c r="W743" s="85" t="n"/>
      <c r="X743" s="85" t="n"/>
      <c r="Y743" s="85" t="n"/>
      <c r="Z743" s="85" t="n"/>
      <c r="AA743" s="85" t="n"/>
      <c r="AB743" s="85" t="n"/>
      <c r="AC743" s="85" t="n"/>
      <c r="AD743" s="85" t="n"/>
      <c r="AE743" s="85" t="n"/>
      <c r="AF743" s="86" t="n"/>
      <c r="AG743" s="86" t="n"/>
      <c r="AH743" s="86" t="n"/>
      <c r="AI743" s="85" t="n"/>
      <c r="AJ743" s="85" t="n"/>
      <c r="AK743" s="85">
        <f>IF($A743="","",IF($M743&gt;0,"Yes","No"))</f>
        <v/>
      </c>
      <c r="AL743" s="85">
        <f>IF($A743="","",IF(AND($E743="Yes",OR($Y743="No",$Y743="NOT FOUND")),"YES",""))</f>
        <v/>
      </c>
      <c r="AM743" s="85">
        <f>IF($A743="","",TRIM(IF(AND($P743=0,$I743&lt;&gt;"Yes"),"T0-NoPhishResistant ","")&amp;IF($H743="No","NoMFA ","")&amp;IF(AND($P743=0,$M743&gt;0),"T0-Standing ","")&amp;IF(AND($P743=0,$Q743="Group only"),"T0-ViaGroupOnly ","")&amp;IF($W743="Yes","AlsoAzureRBAC ","")))</f>
        <v/>
      </c>
      <c r="AN743" s="85">
        <f>IF($A743="","",IF(AG743="","Not Enrolled",IF(TODAY()&gt;AG743,"Review Overdue",IF(AG743-TODAY()&lt;=30,"Review Due Soon","Active"))))</f>
        <v/>
      </c>
      <c r="AO743" s="85">
        <f>IF($A743="","",IF(AH743="","NOT REVIEWED",IF(TODAY()-AH743&gt;90,"OVERDUE",IF(TODAY()-AH743&gt;76,"Due Soon","Current"))))</f>
        <v/>
      </c>
    </row>
    <row r="744" ht="15" customHeight="1" s="39">
      <c r="A744" s="85" t="n"/>
      <c r="B744" s="85" t="n"/>
      <c r="C744" s="85" t="n"/>
      <c r="D744" s="85" t="n"/>
      <c r="E744" s="85" t="n"/>
      <c r="F744" s="86" t="n"/>
      <c r="G744" s="86" t="n"/>
      <c r="H744" s="85" t="n"/>
      <c r="I744" s="85" t="n"/>
      <c r="J744" s="85" t="n"/>
      <c r="K744" s="85" t="n"/>
      <c r="L744" s="85" t="n"/>
      <c r="M744" s="85" t="n"/>
      <c r="N744" s="85" t="n"/>
      <c r="O744" s="85" t="n"/>
      <c r="P744" s="85" t="n"/>
      <c r="Q744" s="85" t="n"/>
      <c r="R744" s="85" t="n"/>
      <c r="S744" s="85" t="n"/>
      <c r="T744" s="85" t="n"/>
      <c r="U744" s="85" t="n"/>
      <c r="V744" s="85" t="n"/>
      <c r="W744" s="85" t="n"/>
      <c r="X744" s="85" t="n"/>
      <c r="Y744" s="85" t="n"/>
      <c r="Z744" s="85" t="n"/>
      <c r="AA744" s="85" t="n"/>
      <c r="AB744" s="85" t="n"/>
      <c r="AC744" s="85" t="n"/>
      <c r="AD744" s="85" t="n"/>
      <c r="AE744" s="85" t="n"/>
      <c r="AF744" s="86" t="n"/>
      <c r="AG744" s="86" t="n"/>
      <c r="AH744" s="86" t="n"/>
      <c r="AI744" s="85" t="n"/>
      <c r="AJ744" s="85" t="n"/>
      <c r="AK744" s="85">
        <f>IF($A744="","",IF($M744&gt;0,"Yes","No"))</f>
        <v/>
      </c>
      <c r="AL744" s="85">
        <f>IF($A744="","",IF(AND($E744="Yes",OR($Y744="No",$Y744="NOT FOUND")),"YES",""))</f>
        <v/>
      </c>
      <c r="AM744" s="85">
        <f>IF($A744="","",TRIM(IF(AND($P744=0,$I744&lt;&gt;"Yes"),"T0-NoPhishResistant ","")&amp;IF($H744="No","NoMFA ","")&amp;IF(AND($P744=0,$M744&gt;0),"T0-Standing ","")&amp;IF(AND($P744=0,$Q744="Group only"),"T0-ViaGroupOnly ","")&amp;IF($W744="Yes","AlsoAzureRBAC ","")))</f>
        <v/>
      </c>
      <c r="AN744" s="85">
        <f>IF($A744="","",IF(AG744="","Not Enrolled",IF(TODAY()&gt;AG744,"Review Overdue",IF(AG744-TODAY()&lt;=30,"Review Due Soon","Active"))))</f>
        <v/>
      </c>
      <c r="AO744" s="85">
        <f>IF($A744="","",IF(AH744="","NOT REVIEWED",IF(TODAY()-AH744&gt;90,"OVERDUE",IF(TODAY()-AH744&gt;76,"Due Soon","Current"))))</f>
        <v/>
      </c>
    </row>
    <row r="745" ht="15" customHeight="1" s="39">
      <c r="A745" s="85" t="n"/>
      <c r="B745" s="85" t="n"/>
      <c r="C745" s="85" t="n"/>
      <c r="D745" s="85" t="n"/>
      <c r="E745" s="85" t="n"/>
      <c r="F745" s="86" t="n"/>
      <c r="G745" s="86" t="n"/>
      <c r="H745" s="85" t="n"/>
      <c r="I745" s="85" t="n"/>
      <c r="J745" s="85" t="n"/>
      <c r="K745" s="85" t="n"/>
      <c r="L745" s="85" t="n"/>
      <c r="M745" s="85" t="n"/>
      <c r="N745" s="85" t="n"/>
      <c r="O745" s="85" t="n"/>
      <c r="P745" s="85" t="n"/>
      <c r="Q745" s="85" t="n"/>
      <c r="R745" s="85" t="n"/>
      <c r="S745" s="85" t="n"/>
      <c r="T745" s="85" t="n"/>
      <c r="U745" s="85" t="n"/>
      <c r="V745" s="85" t="n"/>
      <c r="W745" s="85" t="n"/>
      <c r="X745" s="85" t="n"/>
      <c r="Y745" s="85" t="n"/>
      <c r="Z745" s="85" t="n"/>
      <c r="AA745" s="85" t="n"/>
      <c r="AB745" s="85" t="n"/>
      <c r="AC745" s="85" t="n"/>
      <c r="AD745" s="85" t="n"/>
      <c r="AE745" s="85" t="n"/>
      <c r="AF745" s="86" t="n"/>
      <c r="AG745" s="86" t="n"/>
      <c r="AH745" s="86" t="n"/>
      <c r="AI745" s="85" t="n"/>
      <c r="AJ745" s="85" t="n"/>
      <c r="AK745" s="85">
        <f>IF($A745="","",IF($M745&gt;0,"Yes","No"))</f>
        <v/>
      </c>
      <c r="AL745" s="85">
        <f>IF($A745="","",IF(AND($E745="Yes",OR($Y745="No",$Y745="NOT FOUND")),"YES",""))</f>
        <v/>
      </c>
      <c r="AM745" s="85">
        <f>IF($A745="","",TRIM(IF(AND($P745=0,$I745&lt;&gt;"Yes"),"T0-NoPhishResistant ","")&amp;IF($H745="No","NoMFA ","")&amp;IF(AND($P745=0,$M745&gt;0),"T0-Standing ","")&amp;IF(AND($P745=0,$Q745="Group only"),"T0-ViaGroupOnly ","")&amp;IF($W745="Yes","AlsoAzureRBAC ","")))</f>
        <v/>
      </c>
      <c r="AN745" s="85">
        <f>IF($A745="","",IF(AG745="","Not Enrolled",IF(TODAY()&gt;AG745,"Review Overdue",IF(AG745-TODAY()&lt;=30,"Review Due Soon","Active"))))</f>
        <v/>
      </c>
      <c r="AO745" s="85">
        <f>IF($A745="","",IF(AH745="","NOT REVIEWED",IF(TODAY()-AH745&gt;90,"OVERDUE",IF(TODAY()-AH745&gt;76,"Due Soon","Current"))))</f>
        <v/>
      </c>
    </row>
    <row r="746" ht="15" customHeight="1" s="39">
      <c r="A746" s="85" t="n"/>
      <c r="B746" s="85" t="n"/>
      <c r="C746" s="85" t="n"/>
      <c r="D746" s="85" t="n"/>
      <c r="E746" s="85" t="n"/>
      <c r="F746" s="86" t="n"/>
      <c r="G746" s="86" t="n"/>
      <c r="H746" s="85" t="n"/>
      <c r="I746" s="85" t="n"/>
      <c r="J746" s="85" t="n"/>
      <c r="K746" s="85" t="n"/>
      <c r="L746" s="85" t="n"/>
      <c r="M746" s="85" t="n"/>
      <c r="N746" s="85" t="n"/>
      <c r="O746" s="85" t="n"/>
      <c r="P746" s="85" t="n"/>
      <c r="Q746" s="85" t="n"/>
      <c r="R746" s="85" t="n"/>
      <c r="S746" s="85" t="n"/>
      <c r="T746" s="85" t="n"/>
      <c r="U746" s="85" t="n"/>
      <c r="V746" s="85" t="n"/>
      <c r="W746" s="85" t="n"/>
      <c r="X746" s="85" t="n"/>
      <c r="Y746" s="85" t="n"/>
      <c r="Z746" s="85" t="n"/>
      <c r="AA746" s="85" t="n"/>
      <c r="AB746" s="85" t="n"/>
      <c r="AC746" s="85" t="n"/>
      <c r="AD746" s="85" t="n"/>
      <c r="AE746" s="85" t="n"/>
      <c r="AF746" s="86" t="n"/>
      <c r="AG746" s="86" t="n"/>
      <c r="AH746" s="86" t="n"/>
      <c r="AI746" s="85" t="n"/>
      <c r="AJ746" s="85" t="n"/>
      <c r="AK746" s="85">
        <f>IF($A746="","",IF($M746&gt;0,"Yes","No"))</f>
        <v/>
      </c>
      <c r="AL746" s="85">
        <f>IF($A746="","",IF(AND($E746="Yes",OR($Y746="No",$Y746="NOT FOUND")),"YES",""))</f>
        <v/>
      </c>
      <c r="AM746" s="85">
        <f>IF($A746="","",TRIM(IF(AND($P746=0,$I746&lt;&gt;"Yes"),"T0-NoPhishResistant ","")&amp;IF($H746="No","NoMFA ","")&amp;IF(AND($P746=0,$M746&gt;0),"T0-Standing ","")&amp;IF(AND($P746=0,$Q746="Group only"),"T0-ViaGroupOnly ","")&amp;IF($W746="Yes","AlsoAzureRBAC ","")))</f>
        <v/>
      </c>
      <c r="AN746" s="85">
        <f>IF($A746="","",IF(AG746="","Not Enrolled",IF(TODAY()&gt;AG746,"Review Overdue",IF(AG746-TODAY()&lt;=30,"Review Due Soon","Active"))))</f>
        <v/>
      </c>
      <c r="AO746" s="85">
        <f>IF($A746="","",IF(AH746="","NOT REVIEWED",IF(TODAY()-AH746&gt;90,"OVERDUE",IF(TODAY()-AH746&gt;76,"Due Soon","Current"))))</f>
        <v/>
      </c>
    </row>
    <row r="747" ht="15" customHeight="1" s="39">
      <c r="A747" s="85" t="n"/>
      <c r="B747" s="85" t="n"/>
      <c r="C747" s="85" t="n"/>
      <c r="D747" s="85" t="n"/>
      <c r="E747" s="85" t="n"/>
      <c r="F747" s="86" t="n"/>
      <c r="G747" s="86" t="n"/>
      <c r="H747" s="85" t="n"/>
      <c r="I747" s="85" t="n"/>
      <c r="J747" s="85" t="n"/>
      <c r="K747" s="85" t="n"/>
      <c r="L747" s="85" t="n"/>
      <c r="M747" s="85" t="n"/>
      <c r="N747" s="85" t="n"/>
      <c r="O747" s="85" t="n"/>
      <c r="P747" s="85" t="n"/>
      <c r="Q747" s="85" t="n"/>
      <c r="R747" s="85" t="n"/>
      <c r="S747" s="85" t="n"/>
      <c r="T747" s="85" t="n"/>
      <c r="U747" s="85" t="n"/>
      <c r="V747" s="85" t="n"/>
      <c r="W747" s="85" t="n"/>
      <c r="X747" s="85" t="n"/>
      <c r="Y747" s="85" t="n"/>
      <c r="Z747" s="85" t="n"/>
      <c r="AA747" s="85" t="n"/>
      <c r="AB747" s="85" t="n"/>
      <c r="AC747" s="85" t="n"/>
      <c r="AD747" s="85" t="n"/>
      <c r="AE747" s="85" t="n"/>
      <c r="AF747" s="86" t="n"/>
      <c r="AG747" s="86" t="n"/>
      <c r="AH747" s="86" t="n"/>
      <c r="AI747" s="85" t="n"/>
      <c r="AJ747" s="85" t="n"/>
      <c r="AK747" s="85">
        <f>IF($A747="","",IF($M747&gt;0,"Yes","No"))</f>
        <v/>
      </c>
      <c r="AL747" s="85">
        <f>IF($A747="","",IF(AND($E747="Yes",OR($Y747="No",$Y747="NOT FOUND")),"YES",""))</f>
        <v/>
      </c>
      <c r="AM747" s="85">
        <f>IF($A747="","",TRIM(IF(AND($P747=0,$I747&lt;&gt;"Yes"),"T0-NoPhishResistant ","")&amp;IF($H747="No","NoMFA ","")&amp;IF(AND($P747=0,$M747&gt;0),"T0-Standing ","")&amp;IF(AND($P747=0,$Q747="Group only"),"T0-ViaGroupOnly ","")&amp;IF($W747="Yes","AlsoAzureRBAC ","")))</f>
        <v/>
      </c>
      <c r="AN747" s="85">
        <f>IF($A747="","",IF(AG747="","Not Enrolled",IF(TODAY()&gt;AG747,"Review Overdue",IF(AG747-TODAY()&lt;=30,"Review Due Soon","Active"))))</f>
        <v/>
      </c>
      <c r="AO747" s="85">
        <f>IF($A747="","",IF(AH747="","NOT REVIEWED",IF(TODAY()-AH747&gt;90,"OVERDUE",IF(TODAY()-AH747&gt;76,"Due Soon","Current"))))</f>
        <v/>
      </c>
    </row>
    <row r="748" ht="15" customHeight="1" s="39">
      <c r="A748" s="85" t="n"/>
      <c r="B748" s="85" t="n"/>
      <c r="C748" s="85" t="n"/>
      <c r="D748" s="85" t="n"/>
      <c r="E748" s="85" t="n"/>
      <c r="F748" s="86" t="n"/>
      <c r="G748" s="86" t="n"/>
      <c r="H748" s="85" t="n"/>
      <c r="I748" s="85" t="n"/>
      <c r="J748" s="85" t="n"/>
      <c r="K748" s="85" t="n"/>
      <c r="L748" s="85" t="n"/>
      <c r="M748" s="85" t="n"/>
      <c r="N748" s="85" t="n"/>
      <c r="O748" s="85" t="n"/>
      <c r="P748" s="85" t="n"/>
      <c r="Q748" s="85" t="n"/>
      <c r="R748" s="85" t="n"/>
      <c r="S748" s="85" t="n"/>
      <c r="T748" s="85" t="n"/>
      <c r="U748" s="85" t="n"/>
      <c r="V748" s="85" t="n"/>
      <c r="W748" s="85" t="n"/>
      <c r="X748" s="85" t="n"/>
      <c r="Y748" s="85" t="n"/>
      <c r="Z748" s="85" t="n"/>
      <c r="AA748" s="85" t="n"/>
      <c r="AB748" s="85" t="n"/>
      <c r="AC748" s="85" t="n"/>
      <c r="AD748" s="85" t="n"/>
      <c r="AE748" s="85" t="n"/>
      <c r="AF748" s="86" t="n"/>
      <c r="AG748" s="86" t="n"/>
      <c r="AH748" s="86" t="n"/>
      <c r="AI748" s="85" t="n"/>
      <c r="AJ748" s="85" t="n"/>
      <c r="AK748" s="85">
        <f>IF($A748="","",IF($M748&gt;0,"Yes","No"))</f>
        <v/>
      </c>
      <c r="AL748" s="85">
        <f>IF($A748="","",IF(AND($E748="Yes",OR($Y748="No",$Y748="NOT FOUND")),"YES",""))</f>
        <v/>
      </c>
      <c r="AM748" s="85">
        <f>IF($A748="","",TRIM(IF(AND($P748=0,$I748&lt;&gt;"Yes"),"T0-NoPhishResistant ","")&amp;IF($H748="No","NoMFA ","")&amp;IF(AND($P748=0,$M748&gt;0),"T0-Standing ","")&amp;IF(AND($P748=0,$Q748="Group only"),"T0-ViaGroupOnly ","")&amp;IF($W748="Yes","AlsoAzureRBAC ","")))</f>
        <v/>
      </c>
      <c r="AN748" s="85">
        <f>IF($A748="","",IF(AG748="","Not Enrolled",IF(TODAY()&gt;AG748,"Review Overdue",IF(AG748-TODAY()&lt;=30,"Review Due Soon","Active"))))</f>
        <v/>
      </c>
      <c r="AO748" s="85">
        <f>IF($A748="","",IF(AH748="","NOT REVIEWED",IF(TODAY()-AH748&gt;90,"OVERDUE",IF(TODAY()-AH748&gt;76,"Due Soon","Current"))))</f>
        <v/>
      </c>
    </row>
    <row r="749" ht="15" customHeight="1" s="39">
      <c r="A749" s="85" t="n"/>
      <c r="B749" s="85" t="n"/>
      <c r="C749" s="85" t="n"/>
      <c r="D749" s="85" t="n"/>
      <c r="E749" s="85" t="n"/>
      <c r="F749" s="86" t="n"/>
      <c r="G749" s="86" t="n"/>
      <c r="H749" s="85" t="n"/>
      <c r="I749" s="85" t="n"/>
      <c r="J749" s="85" t="n"/>
      <c r="K749" s="85" t="n"/>
      <c r="L749" s="85" t="n"/>
      <c r="M749" s="85" t="n"/>
      <c r="N749" s="85" t="n"/>
      <c r="O749" s="85" t="n"/>
      <c r="P749" s="85" t="n"/>
      <c r="Q749" s="85" t="n"/>
      <c r="R749" s="85" t="n"/>
      <c r="S749" s="85" t="n"/>
      <c r="T749" s="85" t="n"/>
      <c r="U749" s="85" t="n"/>
      <c r="V749" s="85" t="n"/>
      <c r="W749" s="85" t="n"/>
      <c r="X749" s="85" t="n"/>
      <c r="Y749" s="85" t="n"/>
      <c r="Z749" s="85" t="n"/>
      <c r="AA749" s="85" t="n"/>
      <c r="AB749" s="85" t="n"/>
      <c r="AC749" s="85" t="n"/>
      <c r="AD749" s="85" t="n"/>
      <c r="AE749" s="85" t="n"/>
      <c r="AF749" s="86" t="n"/>
      <c r="AG749" s="86" t="n"/>
      <c r="AH749" s="86" t="n"/>
      <c r="AI749" s="85" t="n"/>
      <c r="AJ749" s="85" t="n"/>
      <c r="AK749" s="85">
        <f>IF($A749="","",IF($M749&gt;0,"Yes","No"))</f>
        <v/>
      </c>
      <c r="AL749" s="85">
        <f>IF($A749="","",IF(AND($E749="Yes",OR($Y749="No",$Y749="NOT FOUND")),"YES",""))</f>
        <v/>
      </c>
      <c r="AM749" s="85">
        <f>IF($A749="","",TRIM(IF(AND($P749=0,$I749&lt;&gt;"Yes"),"T0-NoPhishResistant ","")&amp;IF($H749="No","NoMFA ","")&amp;IF(AND($P749=0,$M749&gt;0),"T0-Standing ","")&amp;IF(AND($P749=0,$Q749="Group only"),"T0-ViaGroupOnly ","")&amp;IF($W749="Yes","AlsoAzureRBAC ","")))</f>
        <v/>
      </c>
      <c r="AN749" s="85">
        <f>IF($A749="","",IF(AG749="","Not Enrolled",IF(TODAY()&gt;AG749,"Review Overdue",IF(AG749-TODAY()&lt;=30,"Review Due Soon","Active"))))</f>
        <v/>
      </c>
      <c r="AO749" s="85">
        <f>IF($A749="","",IF(AH749="","NOT REVIEWED",IF(TODAY()-AH749&gt;90,"OVERDUE",IF(TODAY()-AH749&gt;76,"Due Soon","Current"))))</f>
        <v/>
      </c>
    </row>
    <row r="750" ht="15" customHeight="1" s="39">
      <c r="A750" s="85" t="n"/>
      <c r="B750" s="85" t="n"/>
      <c r="C750" s="85" t="n"/>
      <c r="D750" s="85" t="n"/>
      <c r="E750" s="85" t="n"/>
      <c r="F750" s="86" t="n"/>
      <c r="G750" s="86" t="n"/>
      <c r="H750" s="85" t="n"/>
      <c r="I750" s="85" t="n"/>
      <c r="J750" s="85" t="n"/>
      <c r="K750" s="85" t="n"/>
      <c r="L750" s="85" t="n"/>
      <c r="M750" s="85" t="n"/>
      <c r="N750" s="85" t="n"/>
      <c r="O750" s="85" t="n"/>
      <c r="P750" s="85" t="n"/>
      <c r="Q750" s="85" t="n"/>
      <c r="R750" s="85" t="n"/>
      <c r="S750" s="85" t="n"/>
      <c r="T750" s="85" t="n"/>
      <c r="U750" s="85" t="n"/>
      <c r="V750" s="85" t="n"/>
      <c r="W750" s="85" t="n"/>
      <c r="X750" s="85" t="n"/>
      <c r="Y750" s="85" t="n"/>
      <c r="Z750" s="85" t="n"/>
      <c r="AA750" s="85" t="n"/>
      <c r="AB750" s="85" t="n"/>
      <c r="AC750" s="85" t="n"/>
      <c r="AD750" s="85" t="n"/>
      <c r="AE750" s="85" t="n"/>
      <c r="AF750" s="86" t="n"/>
      <c r="AG750" s="86" t="n"/>
      <c r="AH750" s="86" t="n"/>
      <c r="AI750" s="85" t="n"/>
      <c r="AJ750" s="85" t="n"/>
      <c r="AK750" s="85">
        <f>IF($A750="","",IF($M750&gt;0,"Yes","No"))</f>
        <v/>
      </c>
      <c r="AL750" s="85">
        <f>IF($A750="","",IF(AND($E750="Yes",OR($Y750="No",$Y750="NOT FOUND")),"YES",""))</f>
        <v/>
      </c>
      <c r="AM750" s="85">
        <f>IF($A750="","",TRIM(IF(AND($P750=0,$I750&lt;&gt;"Yes"),"T0-NoPhishResistant ","")&amp;IF($H750="No","NoMFA ","")&amp;IF(AND($P750=0,$M750&gt;0),"T0-Standing ","")&amp;IF(AND($P750=0,$Q750="Group only"),"T0-ViaGroupOnly ","")&amp;IF($W750="Yes","AlsoAzureRBAC ","")))</f>
        <v/>
      </c>
      <c r="AN750" s="85">
        <f>IF($A750="","",IF(AG750="","Not Enrolled",IF(TODAY()&gt;AG750,"Review Overdue",IF(AG750-TODAY()&lt;=30,"Review Due Soon","Active"))))</f>
        <v/>
      </c>
      <c r="AO750" s="85">
        <f>IF($A750="","",IF(AH750="","NOT REVIEWED",IF(TODAY()-AH750&gt;90,"OVERDUE",IF(TODAY()-AH750&gt;76,"Due Soon","Current"))))</f>
        <v/>
      </c>
    </row>
    <row r="751" ht="15" customHeight="1" s="39">
      <c r="A751" s="85" t="n"/>
      <c r="B751" s="85" t="n"/>
      <c r="C751" s="85" t="n"/>
      <c r="D751" s="85" t="n"/>
      <c r="E751" s="85" t="n"/>
      <c r="F751" s="86" t="n"/>
      <c r="G751" s="86" t="n"/>
      <c r="H751" s="85" t="n"/>
      <c r="I751" s="85" t="n"/>
      <c r="J751" s="85" t="n"/>
      <c r="K751" s="85" t="n"/>
      <c r="L751" s="85" t="n"/>
      <c r="M751" s="85" t="n"/>
      <c r="N751" s="85" t="n"/>
      <c r="O751" s="85" t="n"/>
      <c r="P751" s="85" t="n"/>
      <c r="Q751" s="85" t="n"/>
      <c r="R751" s="85" t="n"/>
      <c r="S751" s="85" t="n"/>
      <c r="T751" s="85" t="n"/>
      <c r="U751" s="85" t="n"/>
      <c r="V751" s="85" t="n"/>
      <c r="W751" s="85" t="n"/>
      <c r="X751" s="85" t="n"/>
      <c r="Y751" s="85" t="n"/>
      <c r="Z751" s="85" t="n"/>
      <c r="AA751" s="85" t="n"/>
      <c r="AB751" s="85" t="n"/>
      <c r="AC751" s="85" t="n"/>
      <c r="AD751" s="85" t="n"/>
      <c r="AE751" s="85" t="n"/>
      <c r="AF751" s="86" t="n"/>
      <c r="AG751" s="86" t="n"/>
      <c r="AH751" s="86" t="n"/>
      <c r="AI751" s="85" t="n"/>
      <c r="AJ751" s="85" t="n"/>
      <c r="AK751" s="85">
        <f>IF($A751="","",IF($M751&gt;0,"Yes","No"))</f>
        <v/>
      </c>
      <c r="AL751" s="85">
        <f>IF($A751="","",IF(AND($E751="Yes",OR($Y751="No",$Y751="NOT FOUND")),"YES",""))</f>
        <v/>
      </c>
      <c r="AM751" s="85">
        <f>IF($A751="","",TRIM(IF(AND($P751=0,$I751&lt;&gt;"Yes"),"T0-NoPhishResistant ","")&amp;IF($H751="No","NoMFA ","")&amp;IF(AND($P751=0,$M751&gt;0),"T0-Standing ","")&amp;IF(AND($P751=0,$Q751="Group only"),"T0-ViaGroupOnly ","")&amp;IF($W751="Yes","AlsoAzureRBAC ","")))</f>
        <v/>
      </c>
      <c r="AN751" s="85">
        <f>IF($A751="","",IF(AG751="","Not Enrolled",IF(TODAY()&gt;AG751,"Review Overdue",IF(AG751-TODAY()&lt;=30,"Review Due Soon","Active"))))</f>
        <v/>
      </c>
      <c r="AO751" s="85">
        <f>IF($A751="","",IF(AH751="","NOT REVIEWED",IF(TODAY()-AH751&gt;90,"OVERDUE",IF(TODAY()-AH751&gt;76,"Due Soon","Current"))))</f>
        <v/>
      </c>
    </row>
    <row r="752" ht="15" customHeight="1" s="39">
      <c r="A752" s="85" t="n"/>
      <c r="B752" s="85" t="n"/>
      <c r="C752" s="85" t="n"/>
      <c r="D752" s="85" t="n"/>
      <c r="E752" s="85" t="n"/>
      <c r="F752" s="86" t="n"/>
      <c r="G752" s="86" t="n"/>
      <c r="H752" s="85" t="n"/>
      <c r="I752" s="85" t="n"/>
      <c r="J752" s="85" t="n"/>
      <c r="K752" s="85" t="n"/>
      <c r="L752" s="85" t="n"/>
      <c r="M752" s="85" t="n"/>
      <c r="N752" s="85" t="n"/>
      <c r="O752" s="85" t="n"/>
      <c r="P752" s="85" t="n"/>
      <c r="Q752" s="85" t="n"/>
      <c r="R752" s="85" t="n"/>
      <c r="S752" s="85" t="n"/>
      <c r="T752" s="85" t="n"/>
      <c r="U752" s="85" t="n"/>
      <c r="V752" s="85" t="n"/>
      <c r="W752" s="85" t="n"/>
      <c r="X752" s="85" t="n"/>
      <c r="Y752" s="85" t="n"/>
      <c r="Z752" s="85" t="n"/>
      <c r="AA752" s="85" t="n"/>
      <c r="AB752" s="85" t="n"/>
      <c r="AC752" s="85" t="n"/>
      <c r="AD752" s="85" t="n"/>
      <c r="AE752" s="85" t="n"/>
      <c r="AF752" s="86" t="n"/>
      <c r="AG752" s="86" t="n"/>
      <c r="AH752" s="86" t="n"/>
      <c r="AI752" s="85" t="n"/>
      <c r="AJ752" s="85" t="n"/>
      <c r="AK752" s="85">
        <f>IF($A752="","",IF($M752&gt;0,"Yes","No"))</f>
        <v/>
      </c>
      <c r="AL752" s="85">
        <f>IF($A752="","",IF(AND($E752="Yes",OR($Y752="No",$Y752="NOT FOUND")),"YES",""))</f>
        <v/>
      </c>
      <c r="AM752" s="85">
        <f>IF($A752="","",TRIM(IF(AND($P752=0,$I752&lt;&gt;"Yes"),"T0-NoPhishResistant ","")&amp;IF($H752="No","NoMFA ","")&amp;IF(AND($P752=0,$M752&gt;0),"T0-Standing ","")&amp;IF(AND($P752=0,$Q752="Group only"),"T0-ViaGroupOnly ","")&amp;IF($W752="Yes","AlsoAzureRBAC ","")))</f>
        <v/>
      </c>
      <c r="AN752" s="85">
        <f>IF($A752="","",IF(AG752="","Not Enrolled",IF(TODAY()&gt;AG752,"Review Overdue",IF(AG752-TODAY()&lt;=30,"Review Due Soon","Active"))))</f>
        <v/>
      </c>
      <c r="AO752" s="85">
        <f>IF($A752="","",IF(AH752="","NOT REVIEWED",IF(TODAY()-AH752&gt;90,"OVERDUE",IF(TODAY()-AH752&gt;76,"Due Soon","Current"))))</f>
        <v/>
      </c>
    </row>
    <row r="753" ht="15" customHeight="1" s="39">
      <c r="A753" s="85" t="n"/>
      <c r="B753" s="85" t="n"/>
      <c r="C753" s="85" t="n"/>
      <c r="D753" s="85" t="n"/>
      <c r="E753" s="85" t="n"/>
      <c r="F753" s="86" t="n"/>
      <c r="G753" s="86" t="n"/>
      <c r="H753" s="85" t="n"/>
      <c r="I753" s="85" t="n"/>
      <c r="J753" s="85" t="n"/>
      <c r="K753" s="85" t="n"/>
      <c r="L753" s="85" t="n"/>
      <c r="M753" s="85" t="n"/>
      <c r="N753" s="85" t="n"/>
      <c r="O753" s="85" t="n"/>
      <c r="P753" s="85" t="n"/>
      <c r="Q753" s="85" t="n"/>
      <c r="R753" s="85" t="n"/>
      <c r="S753" s="85" t="n"/>
      <c r="T753" s="85" t="n"/>
      <c r="U753" s="85" t="n"/>
      <c r="V753" s="85" t="n"/>
      <c r="W753" s="85" t="n"/>
      <c r="X753" s="85" t="n"/>
      <c r="Y753" s="85" t="n"/>
      <c r="Z753" s="85" t="n"/>
      <c r="AA753" s="85" t="n"/>
      <c r="AB753" s="85" t="n"/>
      <c r="AC753" s="85" t="n"/>
      <c r="AD753" s="85" t="n"/>
      <c r="AE753" s="85" t="n"/>
      <c r="AF753" s="86" t="n"/>
      <c r="AG753" s="86" t="n"/>
      <c r="AH753" s="86" t="n"/>
      <c r="AI753" s="85" t="n"/>
      <c r="AJ753" s="85" t="n"/>
      <c r="AK753" s="85">
        <f>IF($A753="","",IF($M753&gt;0,"Yes","No"))</f>
        <v/>
      </c>
      <c r="AL753" s="85">
        <f>IF($A753="","",IF(AND($E753="Yes",OR($Y753="No",$Y753="NOT FOUND")),"YES",""))</f>
        <v/>
      </c>
      <c r="AM753" s="85">
        <f>IF($A753="","",TRIM(IF(AND($P753=0,$I753&lt;&gt;"Yes"),"T0-NoPhishResistant ","")&amp;IF($H753="No","NoMFA ","")&amp;IF(AND($P753=0,$M753&gt;0),"T0-Standing ","")&amp;IF(AND($P753=0,$Q753="Group only"),"T0-ViaGroupOnly ","")&amp;IF($W753="Yes","AlsoAzureRBAC ","")))</f>
        <v/>
      </c>
      <c r="AN753" s="85">
        <f>IF($A753="","",IF(AG753="","Not Enrolled",IF(TODAY()&gt;AG753,"Review Overdue",IF(AG753-TODAY()&lt;=30,"Review Due Soon","Active"))))</f>
        <v/>
      </c>
      <c r="AO753" s="85">
        <f>IF($A753="","",IF(AH753="","NOT REVIEWED",IF(TODAY()-AH753&gt;90,"OVERDUE",IF(TODAY()-AH753&gt;76,"Due Soon","Current"))))</f>
        <v/>
      </c>
    </row>
    <row r="754" ht="15" customHeight="1" s="39">
      <c r="A754" s="85" t="n"/>
      <c r="B754" s="85" t="n"/>
      <c r="C754" s="85" t="n"/>
      <c r="D754" s="85" t="n"/>
      <c r="E754" s="85" t="n"/>
      <c r="F754" s="86" t="n"/>
      <c r="G754" s="86" t="n"/>
      <c r="H754" s="85" t="n"/>
      <c r="I754" s="85" t="n"/>
      <c r="J754" s="85" t="n"/>
      <c r="K754" s="85" t="n"/>
      <c r="L754" s="85" t="n"/>
      <c r="M754" s="85" t="n"/>
      <c r="N754" s="85" t="n"/>
      <c r="O754" s="85" t="n"/>
      <c r="P754" s="85" t="n"/>
      <c r="Q754" s="85" t="n"/>
      <c r="R754" s="85" t="n"/>
      <c r="S754" s="85" t="n"/>
      <c r="T754" s="85" t="n"/>
      <c r="U754" s="85" t="n"/>
      <c r="V754" s="85" t="n"/>
      <c r="W754" s="85" t="n"/>
      <c r="X754" s="85" t="n"/>
      <c r="Y754" s="85" t="n"/>
      <c r="Z754" s="85" t="n"/>
      <c r="AA754" s="85" t="n"/>
      <c r="AB754" s="85" t="n"/>
      <c r="AC754" s="85" t="n"/>
      <c r="AD754" s="85" t="n"/>
      <c r="AE754" s="85" t="n"/>
      <c r="AF754" s="86" t="n"/>
      <c r="AG754" s="86" t="n"/>
      <c r="AH754" s="86" t="n"/>
      <c r="AI754" s="85" t="n"/>
      <c r="AJ754" s="85" t="n"/>
      <c r="AK754" s="85">
        <f>IF($A754="","",IF($M754&gt;0,"Yes","No"))</f>
        <v/>
      </c>
      <c r="AL754" s="85">
        <f>IF($A754="","",IF(AND($E754="Yes",OR($Y754="No",$Y754="NOT FOUND")),"YES",""))</f>
        <v/>
      </c>
      <c r="AM754" s="85">
        <f>IF($A754="","",TRIM(IF(AND($P754=0,$I754&lt;&gt;"Yes"),"T0-NoPhishResistant ","")&amp;IF($H754="No","NoMFA ","")&amp;IF(AND($P754=0,$M754&gt;0),"T0-Standing ","")&amp;IF(AND($P754=0,$Q754="Group only"),"T0-ViaGroupOnly ","")&amp;IF($W754="Yes","AlsoAzureRBAC ","")))</f>
        <v/>
      </c>
      <c r="AN754" s="85">
        <f>IF($A754="","",IF(AG754="","Not Enrolled",IF(TODAY()&gt;AG754,"Review Overdue",IF(AG754-TODAY()&lt;=30,"Review Due Soon","Active"))))</f>
        <v/>
      </c>
      <c r="AO754" s="85">
        <f>IF($A754="","",IF(AH754="","NOT REVIEWED",IF(TODAY()-AH754&gt;90,"OVERDUE",IF(TODAY()-AH754&gt;76,"Due Soon","Current"))))</f>
        <v/>
      </c>
    </row>
    <row r="755" ht="15" customHeight="1" s="39">
      <c r="A755" s="85" t="n"/>
      <c r="B755" s="85" t="n"/>
      <c r="C755" s="85" t="n"/>
      <c r="D755" s="85" t="n"/>
      <c r="E755" s="85" t="n"/>
      <c r="F755" s="86" t="n"/>
      <c r="G755" s="86" t="n"/>
      <c r="H755" s="85" t="n"/>
      <c r="I755" s="85" t="n"/>
      <c r="J755" s="85" t="n"/>
      <c r="K755" s="85" t="n"/>
      <c r="L755" s="85" t="n"/>
      <c r="M755" s="85" t="n"/>
      <c r="N755" s="85" t="n"/>
      <c r="O755" s="85" t="n"/>
      <c r="P755" s="85" t="n"/>
      <c r="Q755" s="85" t="n"/>
      <c r="R755" s="85" t="n"/>
      <c r="S755" s="85" t="n"/>
      <c r="T755" s="85" t="n"/>
      <c r="U755" s="85" t="n"/>
      <c r="V755" s="85" t="n"/>
      <c r="W755" s="85" t="n"/>
      <c r="X755" s="85" t="n"/>
      <c r="Y755" s="85" t="n"/>
      <c r="Z755" s="85" t="n"/>
      <c r="AA755" s="85" t="n"/>
      <c r="AB755" s="85" t="n"/>
      <c r="AC755" s="85" t="n"/>
      <c r="AD755" s="85" t="n"/>
      <c r="AE755" s="85" t="n"/>
      <c r="AF755" s="86" t="n"/>
      <c r="AG755" s="86" t="n"/>
      <c r="AH755" s="86" t="n"/>
      <c r="AI755" s="85" t="n"/>
      <c r="AJ755" s="85" t="n"/>
      <c r="AK755" s="85">
        <f>IF($A755="","",IF($M755&gt;0,"Yes","No"))</f>
        <v/>
      </c>
      <c r="AL755" s="85">
        <f>IF($A755="","",IF(AND($E755="Yes",OR($Y755="No",$Y755="NOT FOUND")),"YES",""))</f>
        <v/>
      </c>
      <c r="AM755" s="85">
        <f>IF($A755="","",TRIM(IF(AND($P755=0,$I755&lt;&gt;"Yes"),"T0-NoPhishResistant ","")&amp;IF($H755="No","NoMFA ","")&amp;IF(AND($P755=0,$M755&gt;0),"T0-Standing ","")&amp;IF(AND($P755=0,$Q755="Group only"),"T0-ViaGroupOnly ","")&amp;IF($W755="Yes","AlsoAzureRBAC ","")))</f>
        <v/>
      </c>
      <c r="AN755" s="85">
        <f>IF($A755="","",IF(AG755="","Not Enrolled",IF(TODAY()&gt;AG755,"Review Overdue",IF(AG755-TODAY()&lt;=30,"Review Due Soon","Active"))))</f>
        <v/>
      </c>
      <c r="AO755" s="85">
        <f>IF($A755="","",IF(AH755="","NOT REVIEWED",IF(TODAY()-AH755&gt;90,"OVERDUE",IF(TODAY()-AH755&gt;76,"Due Soon","Current"))))</f>
        <v/>
      </c>
    </row>
    <row r="756" ht="15" customHeight="1" s="39">
      <c r="A756" s="85" t="n"/>
      <c r="B756" s="85" t="n"/>
      <c r="C756" s="85" t="n"/>
      <c r="D756" s="85" t="n"/>
      <c r="E756" s="85" t="n"/>
      <c r="F756" s="86" t="n"/>
      <c r="G756" s="86" t="n"/>
      <c r="H756" s="85" t="n"/>
      <c r="I756" s="85" t="n"/>
      <c r="J756" s="85" t="n"/>
      <c r="K756" s="85" t="n"/>
      <c r="L756" s="85" t="n"/>
      <c r="M756" s="85" t="n"/>
      <c r="N756" s="85" t="n"/>
      <c r="O756" s="85" t="n"/>
      <c r="P756" s="85" t="n"/>
      <c r="Q756" s="85" t="n"/>
      <c r="R756" s="85" t="n"/>
      <c r="S756" s="85" t="n"/>
      <c r="T756" s="85" t="n"/>
      <c r="U756" s="85" t="n"/>
      <c r="V756" s="85" t="n"/>
      <c r="W756" s="85" t="n"/>
      <c r="X756" s="85" t="n"/>
      <c r="Y756" s="85" t="n"/>
      <c r="Z756" s="85" t="n"/>
      <c r="AA756" s="85" t="n"/>
      <c r="AB756" s="85" t="n"/>
      <c r="AC756" s="85" t="n"/>
      <c r="AD756" s="85" t="n"/>
      <c r="AE756" s="85" t="n"/>
      <c r="AF756" s="86" t="n"/>
      <c r="AG756" s="86" t="n"/>
      <c r="AH756" s="86" t="n"/>
      <c r="AI756" s="85" t="n"/>
      <c r="AJ756" s="85" t="n"/>
      <c r="AK756" s="85">
        <f>IF($A756="","",IF($M756&gt;0,"Yes","No"))</f>
        <v/>
      </c>
      <c r="AL756" s="85">
        <f>IF($A756="","",IF(AND($E756="Yes",OR($Y756="No",$Y756="NOT FOUND")),"YES",""))</f>
        <v/>
      </c>
      <c r="AM756" s="85">
        <f>IF($A756="","",TRIM(IF(AND($P756=0,$I756&lt;&gt;"Yes"),"T0-NoPhishResistant ","")&amp;IF($H756="No","NoMFA ","")&amp;IF(AND($P756=0,$M756&gt;0),"T0-Standing ","")&amp;IF(AND($P756=0,$Q756="Group only"),"T0-ViaGroupOnly ","")&amp;IF($W756="Yes","AlsoAzureRBAC ","")))</f>
        <v/>
      </c>
      <c r="AN756" s="85">
        <f>IF($A756="","",IF(AG756="","Not Enrolled",IF(TODAY()&gt;AG756,"Review Overdue",IF(AG756-TODAY()&lt;=30,"Review Due Soon","Active"))))</f>
        <v/>
      </c>
      <c r="AO756" s="85">
        <f>IF($A756="","",IF(AH756="","NOT REVIEWED",IF(TODAY()-AH756&gt;90,"OVERDUE",IF(TODAY()-AH756&gt;76,"Due Soon","Current"))))</f>
        <v/>
      </c>
    </row>
    <row r="757" ht="15" customHeight="1" s="39">
      <c r="A757" s="85" t="n"/>
      <c r="B757" s="85" t="n"/>
      <c r="C757" s="85" t="n"/>
      <c r="D757" s="85" t="n"/>
      <c r="E757" s="85" t="n"/>
      <c r="F757" s="86" t="n"/>
      <c r="G757" s="86" t="n"/>
      <c r="H757" s="85" t="n"/>
      <c r="I757" s="85" t="n"/>
      <c r="J757" s="85" t="n"/>
      <c r="K757" s="85" t="n"/>
      <c r="L757" s="85" t="n"/>
      <c r="M757" s="85" t="n"/>
      <c r="N757" s="85" t="n"/>
      <c r="O757" s="85" t="n"/>
      <c r="P757" s="85" t="n"/>
      <c r="Q757" s="85" t="n"/>
      <c r="R757" s="85" t="n"/>
      <c r="S757" s="85" t="n"/>
      <c r="T757" s="85" t="n"/>
      <c r="U757" s="85" t="n"/>
      <c r="V757" s="85" t="n"/>
      <c r="W757" s="85" t="n"/>
      <c r="X757" s="85" t="n"/>
      <c r="Y757" s="85" t="n"/>
      <c r="Z757" s="85" t="n"/>
      <c r="AA757" s="85" t="n"/>
      <c r="AB757" s="85" t="n"/>
      <c r="AC757" s="85" t="n"/>
      <c r="AD757" s="85" t="n"/>
      <c r="AE757" s="85" t="n"/>
      <c r="AF757" s="86" t="n"/>
      <c r="AG757" s="86" t="n"/>
      <c r="AH757" s="86" t="n"/>
      <c r="AI757" s="85" t="n"/>
      <c r="AJ757" s="85" t="n"/>
      <c r="AK757" s="85">
        <f>IF($A757="","",IF($M757&gt;0,"Yes","No"))</f>
        <v/>
      </c>
      <c r="AL757" s="85">
        <f>IF($A757="","",IF(AND($E757="Yes",OR($Y757="No",$Y757="NOT FOUND")),"YES",""))</f>
        <v/>
      </c>
      <c r="AM757" s="85">
        <f>IF($A757="","",TRIM(IF(AND($P757=0,$I757&lt;&gt;"Yes"),"T0-NoPhishResistant ","")&amp;IF($H757="No","NoMFA ","")&amp;IF(AND($P757=0,$M757&gt;0),"T0-Standing ","")&amp;IF(AND($P757=0,$Q757="Group only"),"T0-ViaGroupOnly ","")&amp;IF($W757="Yes","AlsoAzureRBAC ","")))</f>
        <v/>
      </c>
      <c r="AN757" s="85">
        <f>IF($A757="","",IF(AG757="","Not Enrolled",IF(TODAY()&gt;AG757,"Review Overdue",IF(AG757-TODAY()&lt;=30,"Review Due Soon","Active"))))</f>
        <v/>
      </c>
      <c r="AO757" s="85">
        <f>IF($A757="","",IF(AH757="","NOT REVIEWED",IF(TODAY()-AH757&gt;90,"OVERDUE",IF(TODAY()-AH757&gt;76,"Due Soon","Current"))))</f>
        <v/>
      </c>
    </row>
    <row r="758" ht="15" customHeight="1" s="39">
      <c r="A758" s="85" t="n"/>
      <c r="B758" s="85" t="n"/>
      <c r="C758" s="85" t="n"/>
      <c r="D758" s="85" t="n"/>
      <c r="E758" s="85" t="n"/>
      <c r="F758" s="86" t="n"/>
      <c r="G758" s="86" t="n"/>
      <c r="H758" s="85" t="n"/>
      <c r="I758" s="85" t="n"/>
      <c r="J758" s="85" t="n"/>
      <c r="K758" s="85" t="n"/>
      <c r="L758" s="85" t="n"/>
      <c r="M758" s="85" t="n"/>
      <c r="N758" s="85" t="n"/>
      <c r="O758" s="85" t="n"/>
      <c r="P758" s="85" t="n"/>
      <c r="Q758" s="85" t="n"/>
      <c r="R758" s="85" t="n"/>
      <c r="S758" s="85" t="n"/>
      <c r="T758" s="85" t="n"/>
      <c r="U758" s="85" t="n"/>
      <c r="V758" s="85" t="n"/>
      <c r="W758" s="85" t="n"/>
      <c r="X758" s="85" t="n"/>
      <c r="Y758" s="85" t="n"/>
      <c r="Z758" s="85" t="n"/>
      <c r="AA758" s="85" t="n"/>
      <c r="AB758" s="85" t="n"/>
      <c r="AC758" s="85" t="n"/>
      <c r="AD758" s="85" t="n"/>
      <c r="AE758" s="85" t="n"/>
      <c r="AF758" s="86" t="n"/>
      <c r="AG758" s="86" t="n"/>
      <c r="AH758" s="86" t="n"/>
      <c r="AI758" s="85" t="n"/>
      <c r="AJ758" s="85" t="n"/>
      <c r="AK758" s="85">
        <f>IF($A758="","",IF($M758&gt;0,"Yes","No"))</f>
        <v/>
      </c>
      <c r="AL758" s="85">
        <f>IF($A758="","",IF(AND($E758="Yes",OR($Y758="No",$Y758="NOT FOUND")),"YES",""))</f>
        <v/>
      </c>
      <c r="AM758" s="85">
        <f>IF($A758="","",TRIM(IF(AND($P758=0,$I758&lt;&gt;"Yes"),"T0-NoPhishResistant ","")&amp;IF($H758="No","NoMFA ","")&amp;IF(AND($P758=0,$M758&gt;0),"T0-Standing ","")&amp;IF(AND($P758=0,$Q758="Group only"),"T0-ViaGroupOnly ","")&amp;IF($W758="Yes","AlsoAzureRBAC ","")))</f>
        <v/>
      </c>
      <c r="AN758" s="85">
        <f>IF($A758="","",IF(AG758="","Not Enrolled",IF(TODAY()&gt;AG758,"Review Overdue",IF(AG758-TODAY()&lt;=30,"Review Due Soon","Active"))))</f>
        <v/>
      </c>
      <c r="AO758" s="85">
        <f>IF($A758="","",IF(AH758="","NOT REVIEWED",IF(TODAY()-AH758&gt;90,"OVERDUE",IF(TODAY()-AH758&gt;76,"Due Soon","Current"))))</f>
        <v/>
      </c>
    </row>
    <row r="759" ht="15" customHeight="1" s="39">
      <c r="A759" s="85" t="n"/>
      <c r="B759" s="85" t="n"/>
      <c r="C759" s="85" t="n"/>
      <c r="D759" s="85" t="n"/>
      <c r="E759" s="85" t="n"/>
      <c r="F759" s="86" t="n"/>
      <c r="G759" s="86" t="n"/>
      <c r="H759" s="85" t="n"/>
      <c r="I759" s="85" t="n"/>
      <c r="J759" s="85" t="n"/>
      <c r="K759" s="85" t="n"/>
      <c r="L759" s="85" t="n"/>
      <c r="M759" s="85" t="n"/>
      <c r="N759" s="85" t="n"/>
      <c r="O759" s="85" t="n"/>
      <c r="P759" s="85" t="n"/>
      <c r="Q759" s="85" t="n"/>
      <c r="R759" s="85" t="n"/>
      <c r="S759" s="85" t="n"/>
      <c r="T759" s="85" t="n"/>
      <c r="U759" s="85" t="n"/>
      <c r="V759" s="85" t="n"/>
      <c r="W759" s="85" t="n"/>
      <c r="X759" s="85" t="n"/>
      <c r="Y759" s="85" t="n"/>
      <c r="Z759" s="85" t="n"/>
      <c r="AA759" s="85" t="n"/>
      <c r="AB759" s="85" t="n"/>
      <c r="AC759" s="85" t="n"/>
      <c r="AD759" s="85" t="n"/>
      <c r="AE759" s="85" t="n"/>
      <c r="AF759" s="86" t="n"/>
      <c r="AG759" s="86" t="n"/>
      <c r="AH759" s="86" t="n"/>
      <c r="AI759" s="85" t="n"/>
      <c r="AJ759" s="85" t="n"/>
      <c r="AK759" s="85">
        <f>IF($A759="","",IF($M759&gt;0,"Yes","No"))</f>
        <v/>
      </c>
      <c r="AL759" s="85">
        <f>IF($A759="","",IF(AND($E759="Yes",OR($Y759="No",$Y759="NOT FOUND")),"YES",""))</f>
        <v/>
      </c>
      <c r="AM759" s="85">
        <f>IF($A759="","",TRIM(IF(AND($P759=0,$I759&lt;&gt;"Yes"),"T0-NoPhishResistant ","")&amp;IF($H759="No","NoMFA ","")&amp;IF(AND($P759=0,$M759&gt;0),"T0-Standing ","")&amp;IF(AND($P759=0,$Q759="Group only"),"T0-ViaGroupOnly ","")&amp;IF($W759="Yes","AlsoAzureRBAC ","")))</f>
        <v/>
      </c>
      <c r="AN759" s="85">
        <f>IF($A759="","",IF(AG759="","Not Enrolled",IF(TODAY()&gt;AG759,"Review Overdue",IF(AG759-TODAY()&lt;=30,"Review Due Soon","Active"))))</f>
        <v/>
      </c>
      <c r="AO759" s="85">
        <f>IF($A759="","",IF(AH759="","NOT REVIEWED",IF(TODAY()-AH759&gt;90,"OVERDUE",IF(TODAY()-AH759&gt;76,"Due Soon","Current"))))</f>
        <v/>
      </c>
    </row>
    <row r="760" ht="15" customHeight="1" s="39">
      <c r="A760" s="85" t="n"/>
      <c r="B760" s="85" t="n"/>
      <c r="C760" s="85" t="n"/>
      <c r="D760" s="85" t="n"/>
      <c r="E760" s="85" t="n"/>
      <c r="F760" s="86" t="n"/>
      <c r="G760" s="86" t="n"/>
      <c r="H760" s="85" t="n"/>
      <c r="I760" s="85" t="n"/>
      <c r="J760" s="85" t="n"/>
      <c r="K760" s="85" t="n"/>
      <c r="L760" s="85" t="n"/>
      <c r="M760" s="85" t="n"/>
      <c r="N760" s="85" t="n"/>
      <c r="O760" s="85" t="n"/>
      <c r="P760" s="85" t="n"/>
      <c r="Q760" s="85" t="n"/>
      <c r="R760" s="85" t="n"/>
      <c r="S760" s="85" t="n"/>
      <c r="T760" s="85" t="n"/>
      <c r="U760" s="85" t="n"/>
      <c r="V760" s="85" t="n"/>
      <c r="W760" s="85" t="n"/>
      <c r="X760" s="85" t="n"/>
      <c r="Y760" s="85" t="n"/>
      <c r="Z760" s="85" t="n"/>
      <c r="AA760" s="85" t="n"/>
      <c r="AB760" s="85" t="n"/>
      <c r="AC760" s="85" t="n"/>
      <c r="AD760" s="85" t="n"/>
      <c r="AE760" s="85" t="n"/>
      <c r="AF760" s="86" t="n"/>
      <c r="AG760" s="86" t="n"/>
      <c r="AH760" s="86" t="n"/>
      <c r="AI760" s="85" t="n"/>
      <c r="AJ760" s="85" t="n"/>
      <c r="AK760" s="85">
        <f>IF($A760="","",IF($M760&gt;0,"Yes","No"))</f>
        <v/>
      </c>
      <c r="AL760" s="85">
        <f>IF($A760="","",IF(AND($E760="Yes",OR($Y760="No",$Y760="NOT FOUND")),"YES",""))</f>
        <v/>
      </c>
      <c r="AM760" s="85">
        <f>IF($A760="","",TRIM(IF(AND($P760=0,$I760&lt;&gt;"Yes"),"T0-NoPhishResistant ","")&amp;IF($H760="No","NoMFA ","")&amp;IF(AND($P760=0,$M760&gt;0),"T0-Standing ","")&amp;IF(AND($P760=0,$Q760="Group only"),"T0-ViaGroupOnly ","")&amp;IF($W760="Yes","AlsoAzureRBAC ","")))</f>
        <v/>
      </c>
      <c r="AN760" s="85">
        <f>IF($A760="","",IF(AG760="","Not Enrolled",IF(TODAY()&gt;AG760,"Review Overdue",IF(AG760-TODAY()&lt;=30,"Review Due Soon","Active"))))</f>
        <v/>
      </c>
      <c r="AO760" s="85">
        <f>IF($A760="","",IF(AH760="","NOT REVIEWED",IF(TODAY()-AH760&gt;90,"OVERDUE",IF(TODAY()-AH760&gt;76,"Due Soon","Current"))))</f>
        <v/>
      </c>
    </row>
    <row r="761" ht="15" customHeight="1" s="39">
      <c r="A761" s="85" t="n"/>
      <c r="B761" s="85" t="n"/>
      <c r="C761" s="85" t="n"/>
      <c r="D761" s="85" t="n"/>
      <c r="E761" s="85" t="n"/>
      <c r="F761" s="86" t="n"/>
      <c r="G761" s="86" t="n"/>
      <c r="H761" s="85" t="n"/>
      <c r="I761" s="85" t="n"/>
      <c r="J761" s="85" t="n"/>
      <c r="K761" s="85" t="n"/>
      <c r="L761" s="85" t="n"/>
      <c r="M761" s="85" t="n"/>
      <c r="N761" s="85" t="n"/>
      <c r="O761" s="85" t="n"/>
      <c r="P761" s="85" t="n"/>
      <c r="Q761" s="85" t="n"/>
      <c r="R761" s="85" t="n"/>
      <c r="S761" s="85" t="n"/>
      <c r="T761" s="85" t="n"/>
      <c r="U761" s="85" t="n"/>
      <c r="V761" s="85" t="n"/>
      <c r="W761" s="85" t="n"/>
      <c r="X761" s="85" t="n"/>
      <c r="Y761" s="85" t="n"/>
      <c r="Z761" s="85" t="n"/>
      <c r="AA761" s="85" t="n"/>
      <c r="AB761" s="85" t="n"/>
      <c r="AC761" s="85" t="n"/>
      <c r="AD761" s="85" t="n"/>
      <c r="AE761" s="85" t="n"/>
      <c r="AF761" s="86" t="n"/>
      <c r="AG761" s="86" t="n"/>
      <c r="AH761" s="86" t="n"/>
      <c r="AI761" s="85" t="n"/>
      <c r="AJ761" s="85" t="n"/>
      <c r="AK761" s="85">
        <f>IF($A761="","",IF($M761&gt;0,"Yes","No"))</f>
        <v/>
      </c>
      <c r="AL761" s="85">
        <f>IF($A761="","",IF(AND($E761="Yes",OR($Y761="No",$Y761="NOT FOUND")),"YES",""))</f>
        <v/>
      </c>
      <c r="AM761" s="85">
        <f>IF($A761="","",TRIM(IF(AND($P761=0,$I761&lt;&gt;"Yes"),"T0-NoPhishResistant ","")&amp;IF($H761="No","NoMFA ","")&amp;IF(AND($P761=0,$M761&gt;0),"T0-Standing ","")&amp;IF(AND($P761=0,$Q761="Group only"),"T0-ViaGroupOnly ","")&amp;IF($W761="Yes","AlsoAzureRBAC ","")))</f>
        <v/>
      </c>
      <c r="AN761" s="85">
        <f>IF($A761="","",IF(AG761="","Not Enrolled",IF(TODAY()&gt;AG761,"Review Overdue",IF(AG761-TODAY()&lt;=30,"Review Due Soon","Active"))))</f>
        <v/>
      </c>
      <c r="AO761" s="85">
        <f>IF($A761="","",IF(AH761="","NOT REVIEWED",IF(TODAY()-AH761&gt;90,"OVERDUE",IF(TODAY()-AH761&gt;76,"Due Soon","Current"))))</f>
        <v/>
      </c>
    </row>
    <row r="762" ht="15" customHeight="1" s="39">
      <c r="A762" s="85" t="n"/>
      <c r="B762" s="85" t="n"/>
      <c r="C762" s="85" t="n"/>
      <c r="D762" s="85" t="n"/>
      <c r="E762" s="85" t="n"/>
      <c r="F762" s="86" t="n"/>
      <c r="G762" s="86" t="n"/>
      <c r="H762" s="85" t="n"/>
      <c r="I762" s="85" t="n"/>
      <c r="J762" s="85" t="n"/>
      <c r="K762" s="85" t="n"/>
      <c r="L762" s="85" t="n"/>
      <c r="M762" s="85" t="n"/>
      <c r="N762" s="85" t="n"/>
      <c r="O762" s="85" t="n"/>
      <c r="P762" s="85" t="n"/>
      <c r="Q762" s="85" t="n"/>
      <c r="R762" s="85" t="n"/>
      <c r="S762" s="85" t="n"/>
      <c r="T762" s="85" t="n"/>
      <c r="U762" s="85" t="n"/>
      <c r="V762" s="85" t="n"/>
      <c r="W762" s="85" t="n"/>
      <c r="X762" s="85" t="n"/>
      <c r="Y762" s="85" t="n"/>
      <c r="Z762" s="85" t="n"/>
      <c r="AA762" s="85" t="n"/>
      <c r="AB762" s="85" t="n"/>
      <c r="AC762" s="85" t="n"/>
      <c r="AD762" s="85" t="n"/>
      <c r="AE762" s="85" t="n"/>
      <c r="AF762" s="86" t="n"/>
      <c r="AG762" s="86" t="n"/>
      <c r="AH762" s="86" t="n"/>
      <c r="AI762" s="85" t="n"/>
      <c r="AJ762" s="85" t="n"/>
      <c r="AK762" s="85">
        <f>IF($A762="","",IF($M762&gt;0,"Yes","No"))</f>
        <v/>
      </c>
      <c r="AL762" s="85">
        <f>IF($A762="","",IF(AND($E762="Yes",OR($Y762="No",$Y762="NOT FOUND")),"YES",""))</f>
        <v/>
      </c>
      <c r="AM762" s="85">
        <f>IF($A762="","",TRIM(IF(AND($P762=0,$I762&lt;&gt;"Yes"),"T0-NoPhishResistant ","")&amp;IF($H762="No","NoMFA ","")&amp;IF(AND($P762=0,$M762&gt;0),"T0-Standing ","")&amp;IF(AND($P762=0,$Q762="Group only"),"T0-ViaGroupOnly ","")&amp;IF($W762="Yes","AlsoAzureRBAC ","")))</f>
        <v/>
      </c>
      <c r="AN762" s="85">
        <f>IF($A762="","",IF(AG762="","Not Enrolled",IF(TODAY()&gt;AG762,"Review Overdue",IF(AG762-TODAY()&lt;=30,"Review Due Soon","Active"))))</f>
        <v/>
      </c>
      <c r="AO762" s="85">
        <f>IF($A762="","",IF(AH762="","NOT REVIEWED",IF(TODAY()-AH762&gt;90,"OVERDUE",IF(TODAY()-AH762&gt;76,"Due Soon","Current"))))</f>
        <v/>
      </c>
    </row>
    <row r="763" ht="15" customHeight="1" s="39">
      <c r="A763" s="85" t="n"/>
      <c r="B763" s="85" t="n"/>
      <c r="C763" s="85" t="n"/>
      <c r="D763" s="85" t="n"/>
      <c r="E763" s="85" t="n"/>
      <c r="F763" s="86" t="n"/>
      <c r="G763" s="86" t="n"/>
      <c r="H763" s="85" t="n"/>
      <c r="I763" s="85" t="n"/>
      <c r="J763" s="85" t="n"/>
      <c r="K763" s="85" t="n"/>
      <c r="L763" s="85" t="n"/>
      <c r="M763" s="85" t="n"/>
      <c r="N763" s="85" t="n"/>
      <c r="O763" s="85" t="n"/>
      <c r="P763" s="85" t="n"/>
      <c r="Q763" s="85" t="n"/>
      <c r="R763" s="85" t="n"/>
      <c r="S763" s="85" t="n"/>
      <c r="T763" s="85" t="n"/>
      <c r="U763" s="85" t="n"/>
      <c r="V763" s="85" t="n"/>
      <c r="W763" s="85" t="n"/>
      <c r="X763" s="85" t="n"/>
      <c r="Y763" s="85" t="n"/>
      <c r="Z763" s="85" t="n"/>
      <c r="AA763" s="85" t="n"/>
      <c r="AB763" s="85" t="n"/>
      <c r="AC763" s="85" t="n"/>
      <c r="AD763" s="85" t="n"/>
      <c r="AE763" s="85" t="n"/>
      <c r="AF763" s="86" t="n"/>
      <c r="AG763" s="86" t="n"/>
      <c r="AH763" s="86" t="n"/>
      <c r="AI763" s="85" t="n"/>
      <c r="AJ763" s="85" t="n"/>
      <c r="AK763" s="85">
        <f>IF($A763="","",IF($M763&gt;0,"Yes","No"))</f>
        <v/>
      </c>
      <c r="AL763" s="85">
        <f>IF($A763="","",IF(AND($E763="Yes",OR($Y763="No",$Y763="NOT FOUND")),"YES",""))</f>
        <v/>
      </c>
      <c r="AM763" s="85">
        <f>IF($A763="","",TRIM(IF(AND($P763=0,$I763&lt;&gt;"Yes"),"T0-NoPhishResistant ","")&amp;IF($H763="No","NoMFA ","")&amp;IF(AND($P763=0,$M763&gt;0),"T0-Standing ","")&amp;IF(AND($P763=0,$Q763="Group only"),"T0-ViaGroupOnly ","")&amp;IF($W763="Yes","AlsoAzureRBAC ","")))</f>
        <v/>
      </c>
      <c r="AN763" s="85">
        <f>IF($A763="","",IF(AG763="","Not Enrolled",IF(TODAY()&gt;AG763,"Review Overdue",IF(AG763-TODAY()&lt;=30,"Review Due Soon","Active"))))</f>
        <v/>
      </c>
      <c r="AO763" s="85">
        <f>IF($A763="","",IF(AH763="","NOT REVIEWED",IF(TODAY()-AH763&gt;90,"OVERDUE",IF(TODAY()-AH763&gt;76,"Due Soon","Current"))))</f>
        <v/>
      </c>
    </row>
    <row r="764" ht="15" customHeight="1" s="39">
      <c r="A764" s="85" t="n"/>
      <c r="B764" s="85" t="n"/>
      <c r="C764" s="85" t="n"/>
      <c r="D764" s="85" t="n"/>
      <c r="E764" s="85" t="n"/>
      <c r="F764" s="86" t="n"/>
      <c r="G764" s="86" t="n"/>
      <c r="H764" s="85" t="n"/>
      <c r="I764" s="85" t="n"/>
      <c r="J764" s="85" t="n"/>
      <c r="K764" s="85" t="n"/>
      <c r="L764" s="85" t="n"/>
      <c r="M764" s="85" t="n"/>
      <c r="N764" s="85" t="n"/>
      <c r="O764" s="85" t="n"/>
      <c r="P764" s="85" t="n"/>
      <c r="Q764" s="85" t="n"/>
      <c r="R764" s="85" t="n"/>
      <c r="S764" s="85" t="n"/>
      <c r="T764" s="85" t="n"/>
      <c r="U764" s="85" t="n"/>
      <c r="V764" s="85" t="n"/>
      <c r="W764" s="85" t="n"/>
      <c r="X764" s="85" t="n"/>
      <c r="Y764" s="85" t="n"/>
      <c r="Z764" s="85" t="n"/>
      <c r="AA764" s="85" t="n"/>
      <c r="AB764" s="85" t="n"/>
      <c r="AC764" s="85" t="n"/>
      <c r="AD764" s="85" t="n"/>
      <c r="AE764" s="85" t="n"/>
      <c r="AF764" s="86" t="n"/>
      <c r="AG764" s="86" t="n"/>
      <c r="AH764" s="86" t="n"/>
      <c r="AI764" s="85" t="n"/>
      <c r="AJ764" s="85" t="n"/>
      <c r="AK764" s="85">
        <f>IF($A764="","",IF($M764&gt;0,"Yes","No"))</f>
        <v/>
      </c>
      <c r="AL764" s="85">
        <f>IF($A764="","",IF(AND($E764="Yes",OR($Y764="No",$Y764="NOT FOUND")),"YES",""))</f>
        <v/>
      </c>
      <c r="AM764" s="85">
        <f>IF($A764="","",TRIM(IF(AND($P764=0,$I764&lt;&gt;"Yes"),"T0-NoPhishResistant ","")&amp;IF($H764="No","NoMFA ","")&amp;IF(AND($P764=0,$M764&gt;0),"T0-Standing ","")&amp;IF(AND($P764=0,$Q764="Group only"),"T0-ViaGroupOnly ","")&amp;IF($W764="Yes","AlsoAzureRBAC ","")))</f>
        <v/>
      </c>
      <c r="AN764" s="85">
        <f>IF($A764="","",IF(AG764="","Not Enrolled",IF(TODAY()&gt;AG764,"Review Overdue",IF(AG764-TODAY()&lt;=30,"Review Due Soon","Active"))))</f>
        <v/>
      </c>
      <c r="AO764" s="85">
        <f>IF($A764="","",IF(AH764="","NOT REVIEWED",IF(TODAY()-AH764&gt;90,"OVERDUE",IF(TODAY()-AH764&gt;76,"Due Soon","Current"))))</f>
        <v/>
      </c>
    </row>
    <row r="765" ht="15" customHeight="1" s="39">
      <c r="A765" s="85" t="n"/>
      <c r="B765" s="85" t="n"/>
      <c r="C765" s="85" t="n"/>
      <c r="D765" s="85" t="n"/>
      <c r="E765" s="85" t="n"/>
      <c r="F765" s="86" t="n"/>
      <c r="G765" s="86" t="n"/>
      <c r="H765" s="85" t="n"/>
      <c r="I765" s="85" t="n"/>
      <c r="J765" s="85" t="n"/>
      <c r="K765" s="85" t="n"/>
      <c r="L765" s="85" t="n"/>
      <c r="M765" s="85" t="n"/>
      <c r="N765" s="85" t="n"/>
      <c r="O765" s="85" t="n"/>
      <c r="P765" s="85" t="n"/>
      <c r="Q765" s="85" t="n"/>
      <c r="R765" s="85" t="n"/>
      <c r="S765" s="85" t="n"/>
      <c r="T765" s="85" t="n"/>
      <c r="U765" s="85" t="n"/>
      <c r="V765" s="85" t="n"/>
      <c r="W765" s="85" t="n"/>
      <c r="X765" s="85" t="n"/>
      <c r="Y765" s="85" t="n"/>
      <c r="Z765" s="85" t="n"/>
      <c r="AA765" s="85" t="n"/>
      <c r="AB765" s="85" t="n"/>
      <c r="AC765" s="85" t="n"/>
      <c r="AD765" s="85" t="n"/>
      <c r="AE765" s="85" t="n"/>
      <c r="AF765" s="86" t="n"/>
      <c r="AG765" s="86" t="n"/>
      <c r="AH765" s="86" t="n"/>
      <c r="AI765" s="85" t="n"/>
      <c r="AJ765" s="85" t="n"/>
      <c r="AK765" s="85">
        <f>IF($A765="","",IF($M765&gt;0,"Yes","No"))</f>
        <v/>
      </c>
      <c r="AL765" s="85">
        <f>IF($A765="","",IF(AND($E765="Yes",OR($Y765="No",$Y765="NOT FOUND")),"YES",""))</f>
        <v/>
      </c>
      <c r="AM765" s="85">
        <f>IF($A765="","",TRIM(IF(AND($P765=0,$I765&lt;&gt;"Yes"),"T0-NoPhishResistant ","")&amp;IF($H765="No","NoMFA ","")&amp;IF(AND($P765=0,$M765&gt;0),"T0-Standing ","")&amp;IF(AND($P765=0,$Q765="Group only"),"T0-ViaGroupOnly ","")&amp;IF($W765="Yes","AlsoAzureRBAC ","")))</f>
        <v/>
      </c>
      <c r="AN765" s="85">
        <f>IF($A765="","",IF(AG765="","Not Enrolled",IF(TODAY()&gt;AG765,"Review Overdue",IF(AG765-TODAY()&lt;=30,"Review Due Soon","Active"))))</f>
        <v/>
      </c>
      <c r="AO765" s="85">
        <f>IF($A765="","",IF(AH765="","NOT REVIEWED",IF(TODAY()-AH765&gt;90,"OVERDUE",IF(TODAY()-AH765&gt;76,"Due Soon","Current"))))</f>
        <v/>
      </c>
    </row>
    <row r="766" ht="15" customHeight="1" s="39">
      <c r="A766" s="85" t="n"/>
      <c r="B766" s="85" t="n"/>
      <c r="C766" s="85" t="n"/>
      <c r="D766" s="85" t="n"/>
      <c r="E766" s="85" t="n"/>
      <c r="F766" s="86" t="n"/>
      <c r="G766" s="86" t="n"/>
      <c r="H766" s="85" t="n"/>
      <c r="I766" s="85" t="n"/>
      <c r="J766" s="85" t="n"/>
      <c r="K766" s="85" t="n"/>
      <c r="L766" s="85" t="n"/>
      <c r="M766" s="85" t="n"/>
      <c r="N766" s="85" t="n"/>
      <c r="O766" s="85" t="n"/>
      <c r="P766" s="85" t="n"/>
      <c r="Q766" s="85" t="n"/>
      <c r="R766" s="85" t="n"/>
      <c r="S766" s="85" t="n"/>
      <c r="T766" s="85" t="n"/>
      <c r="U766" s="85" t="n"/>
      <c r="V766" s="85" t="n"/>
      <c r="W766" s="85" t="n"/>
      <c r="X766" s="85" t="n"/>
      <c r="Y766" s="85" t="n"/>
      <c r="Z766" s="85" t="n"/>
      <c r="AA766" s="85" t="n"/>
      <c r="AB766" s="85" t="n"/>
      <c r="AC766" s="85" t="n"/>
      <c r="AD766" s="85" t="n"/>
      <c r="AE766" s="85" t="n"/>
      <c r="AF766" s="86" t="n"/>
      <c r="AG766" s="86" t="n"/>
      <c r="AH766" s="86" t="n"/>
      <c r="AI766" s="85" t="n"/>
      <c r="AJ766" s="85" t="n"/>
      <c r="AK766" s="85">
        <f>IF($A766="","",IF($M766&gt;0,"Yes","No"))</f>
        <v/>
      </c>
      <c r="AL766" s="85">
        <f>IF($A766="","",IF(AND($E766="Yes",OR($Y766="No",$Y766="NOT FOUND")),"YES",""))</f>
        <v/>
      </c>
      <c r="AM766" s="85">
        <f>IF($A766="","",TRIM(IF(AND($P766=0,$I766&lt;&gt;"Yes"),"T0-NoPhishResistant ","")&amp;IF($H766="No","NoMFA ","")&amp;IF(AND($P766=0,$M766&gt;0),"T0-Standing ","")&amp;IF(AND($P766=0,$Q766="Group only"),"T0-ViaGroupOnly ","")&amp;IF($W766="Yes","AlsoAzureRBAC ","")))</f>
        <v/>
      </c>
      <c r="AN766" s="85">
        <f>IF($A766="","",IF(AG766="","Not Enrolled",IF(TODAY()&gt;AG766,"Review Overdue",IF(AG766-TODAY()&lt;=30,"Review Due Soon","Active"))))</f>
        <v/>
      </c>
      <c r="AO766" s="85">
        <f>IF($A766="","",IF(AH766="","NOT REVIEWED",IF(TODAY()-AH766&gt;90,"OVERDUE",IF(TODAY()-AH766&gt;76,"Due Soon","Current"))))</f>
        <v/>
      </c>
    </row>
    <row r="767" ht="15" customHeight="1" s="39">
      <c r="A767" s="85" t="n"/>
      <c r="B767" s="85" t="n"/>
      <c r="C767" s="85" t="n"/>
      <c r="D767" s="85" t="n"/>
      <c r="E767" s="85" t="n"/>
      <c r="F767" s="86" t="n"/>
      <c r="G767" s="86" t="n"/>
      <c r="H767" s="85" t="n"/>
      <c r="I767" s="85" t="n"/>
      <c r="J767" s="85" t="n"/>
      <c r="K767" s="85" t="n"/>
      <c r="L767" s="85" t="n"/>
      <c r="M767" s="85" t="n"/>
      <c r="N767" s="85" t="n"/>
      <c r="O767" s="85" t="n"/>
      <c r="P767" s="85" t="n"/>
      <c r="Q767" s="85" t="n"/>
      <c r="R767" s="85" t="n"/>
      <c r="S767" s="85" t="n"/>
      <c r="T767" s="85" t="n"/>
      <c r="U767" s="85" t="n"/>
      <c r="V767" s="85" t="n"/>
      <c r="W767" s="85" t="n"/>
      <c r="X767" s="85" t="n"/>
      <c r="Y767" s="85" t="n"/>
      <c r="Z767" s="85" t="n"/>
      <c r="AA767" s="85" t="n"/>
      <c r="AB767" s="85" t="n"/>
      <c r="AC767" s="85" t="n"/>
      <c r="AD767" s="85" t="n"/>
      <c r="AE767" s="85" t="n"/>
      <c r="AF767" s="86" t="n"/>
      <c r="AG767" s="86" t="n"/>
      <c r="AH767" s="86" t="n"/>
      <c r="AI767" s="85" t="n"/>
      <c r="AJ767" s="85" t="n"/>
      <c r="AK767" s="85">
        <f>IF($A767="","",IF($M767&gt;0,"Yes","No"))</f>
        <v/>
      </c>
      <c r="AL767" s="85">
        <f>IF($A767="","",IF(AND($E767="Yes",OR($Y767="No",$Y767="NOT FOUND")),"YES",""))</f>
        <v/>
      </c>
      <c r="AM767" s="85">
        <f>IF($A767="","",TRIM(IF(AND($P767=0,$I767&lt;&gt;"Yes"),"T0-NoPhishResistant ","")&amp;IF($H767="No","NoMFA ","")&amp;IF(AND($P767=0,$M767&gt;0),"T0-Standing ","")&amp;IF(AND($P767=0,$Q767="Group only"),"T0-ViaGroupOnly ","")&amp;IF($W767="Yes","AlsoAzureRBAC ","")))</f>
        <v/>
      </c>
      <c r="AN767" s="85">
        <f>IF($A767="","",IF(AG767="","Not Enrolled",IF(TODAY()&gt;AG767,"Review Overdue",IF(AG767-TODAY()&lt;=30,"Review Due Soon","Active"))))</f>
        <v/>
      </c>
      <c r="AO767" s="85">
        <f>IF($A767="","",IF(AH767="","NOT REVIEWED",IF(TODAY()-AH767&gt;90,"OVERDUE",IF(TODAY()-AH767&gt;76,"Due Soon","Current"))))</f>
        <v/>
      </c>
    </row>
    <row r="768" ht="15" customHeight="1" s="39">
      <c r="A768" s="85" t="n"/>
      <c r="B768" s="85" t="n"/>
      <c r="C768" s="85" t="n"/>
      <c r="D768" s="85" t="n"/>
      <c r="E768" s="85" t="n"/>
      <c r="F768" s="86" t="n"/>
      <c r="G768" s="86" t="n"/>
      <c r="H768" s="85" t="n"/>
      <c r="I768" s="85" t="n"/>
      <c r="J768" s="85" t="n"/>
      <c r="K768" s="85" t="n"/>
      <c r="L768" s="85" t="n"/>
      <c r="M768" s="85" t="n"/>
      <c r="N768" s="85" t="n"/>
      <c r="O768" s="85" t="n"/>
      <c r="P768" s="85" t="n"/>
      <c r="Q768" s="85" t="n"/>
      <c r="R768" s="85" t="n"/>
      <c r="S768" s="85" t="n"/>
      <c r="T768" s="85" t="n"/>
      <c r="U768" s="85" t="n"/>
      <c r="V768" s="85" t="n"/>
      <c r="W768" s="85" t="n"/>
      <c r="X768" s="85" t="n"/>
      <c r="Y768" s="85" t="n"/>
      <c r="Z768" s="85" t="n"/>
      <c r="AA768" s="85" t="n"/>
      <c r="AB768" s="85" t="n"/>
      <c r="AC768" s="85" t="n"/>
      <c r="AD768" s="85" t="n"/>
      <c r="AE768" s="85" t="n"/>
      <c r="AF768" s="86" t="n"/>
      <c r="AG768" s="86" t="n"/>
      <c r="AH768" s="86" t="n"/>
      <c r="AI768" s="85" t="n"/>
      <c r="AJ768" s="85" t="n"/>
      <c r="AK768" s="85">
        <f>IF($A768="","",IF($M768&gt;0,"Yes","No"))</f>
        <v/>
      </c>
      <c r="AL768" s="85">
        <f>IF($A768="","",IF(AND($E768="Yes",OR($Y768="No",$Y768="NOT FOUND")),"YES",""))</f>
        <v/>
      </c>
      <c r="AM768" s="85">
        <f>IF($A768="","",TRIM(IF(AND($P768=0,$I768&lt;&gt;"Yes"),"T0-NoPhishResistant ","")&amp;IF($H768="No","NoMFA ","")&amp;IF(AND($P768=0,$M768&gt;0),"T0-Standing ","")&amp;IF(AND($P768=0,$Q768="Group only"),"T0-ViaGroupOnly ","")&amp;IF($W768="Yes","AlsoAzureRBAC ","")))</f>
        <v/>
      </c>
      <c r="AN768" s="85">
        <f>IF($A768="","",IF(AG768="","Not Enrolled",IF(TODAY()&gt;AG768,"Review Overdue",IF(AG768-TODAY()&lt;=30,"Review Due Soon","Active"))))</f>
        <v/>
      </c>
      <c r="AO768" s="85">
        <f>IF($A768="","",IF(AH768="","NOT REVIEWED",IF(TODAY()-AH768&gt;90,"OVERDUE",IF(TODAY()-AH768&gt;76,"Due Soon","Current"))))</f>
        <v/>
      </c>
    </row>
    <row r="769" ht="15" customHeight="1" s="39">
      <c r="A769" s="85" t="n"/>
      <c r="B769" s="85" t="n"/>
      <c r="C769" s="85" t="n"/>
      <c r="D769" s="85" t="n"/>
      <c r="E769" s="85" t="n"/>
      <c r="F769" s="86" t="n"/>
      <c r="G769" s="86" t="n"/>
      <c r="H769" s="85" t="n"/>
      <c r="I769" s="85" t="n"/>
      <c r="J769" s="85" t="n"/>
      <c r="K769" s="85" t="n"/>
      <c r="L769" s="85" t="n"/>
      <c r="M769" s="85" t="n"/>
      <c r="N769" s="85" t="n"/>
      <c r="O769" s="85" t="n"/>
      <c r="P769" s="85" t="n"/>
      <c r="Q769" s="85" t="n"/>
      <c r="R769" s="85" t="n"/>
      <c r="S769" s="85" t="n"/>
      <c r="T769" s="85" t="n"/>
      <c r="U769" s="85" t="n"/>
      <c r="V769" s="85" t="n"/>
      <c r="W769" s="85" t="n"/>
      <c r="X769" s="85" t="n"/>
      <c r="Y769" s="85" t="n"/>
      <c r="Z769" s="85" t="n"/>
      <c r="AA769" s="85" t="n"/>
      <c r="AB769" s="85" t="n"/>
      <c r="AC769" s="85" t="n"/>
      <c r="AD769" s="85" t="n"/>
      <c r="AE769" s="85" t="n"/>
      <c r="AF769" s="86" t="n"/>
      <c r="AG769" s="86" t="n"/>
      <c r="AH769" s="86" t="n"/>
      <c r="AI769" s="85" t="n"/>
      <c r="AJ769" s="85" t="n"/>
      <c r="AK769" s="85">
        <f>IF($A769="","",IF($M769&gt;0,"Yes","No"))</f>
        <v/>
      </c>
      <c r="AL769" s="85">
        <f>IF($A769="","",IF(AND($E769="Yes",OR($Y769="No",$Y769="NOT FOUND")),"YES",""))</f>
        <v/>
      </c>
      <c r="AM769" s="85">
        <f>IF($A769="","",TRIM(IF(AND($P769=0,$I769&lt;&gt;"Yes"),"T0-NoPhishResistant ","")&amp;IF($H769="No","NoMFA ","")&amp;IF(AND($P769=0,$M769&gt;0),"T0-Standing ","")&amp;IF(AND($P769=0,$Q769="Group only"),"T0-ViaGroupOnly ","")&amp;IF($W769="Yes","AlsoAzureRBAC ","")))</f>
        <v/>
      </c>
      <c r="AN769" s="85">
        <f>IF($A769="","",IF(AG769="","Not Enrolled",IF(TODAY()&gt;AG769,"Review Overdue",IF(AG769-TODAY()&lt;=30,"Review Due Soon","Active"))))</f>
        <v/>
      </c>
      <c r="AO769" s="85">
        <f>IF($A769="","",IF(AH769="","NOT REVIEWED",IF(TODAY()-AH769&gt;90,"OVERDUE",IF(TODAY()-AH769&gt;76,"Due Soon","Current"))))</f>
        <v/>
      </c>
    </row>
    <row r="770" ht="15" customHeight="1" s="39">
      <c r="A770" s="85" t="n"/>
      <c r="B770" s="85" t="n"/>
      <c r="C770" s="85" t="n"/>
      <c r="D770" s="85" t="n"/>
      <c r="E770" s="85" t="n"/>
      <c r="F770" s="86" t="n"/>
      <c r="G770" s="86" t="n"/>
      <c r="H770" s="85" t="n"/>
      <c r="I770" s="85" t="n"/>
      <c r="J770" s="85" t="n"/>
      <c r="K770" s="85" t="n"/>
      <c r="L770" s="85" t="n"/>
      <c r="M770" s="85" t="n"/>
      <c r="N770" s="85" t="n"/>
      <c r="O770" s="85" t="n"/>
      <c r="P770" s="85" t="n"/>
      <c r="Q770" s="85" t="n"/>
      <c r="R770" s="85" t="n"/>
      <c r="S770" s="85" t="n"/>
      <c r="T770" s="85" t="n"/>
      <c r="U770" s="85" t="n"/>
      <c r="V770" s="85" t="n"/>
      <c r="W770" s="85" t="n"/>
      <c r="X770" s="85" t="n"/>
      <c r="Y770" s="85" t="n"/>
      <c r="Z770" s="85" t="n"/>
      <c r="AA770" s="85" t="n"/>
      <c r="AB770" s="85" t="n"/>
      <c r="AC770" s="85" t="n"/>
      <c r="AD770" s="85" t="n"/>
      <c r="AE770" s="85" t="n"/>
      <c r="AF770" s="86" t="n"/>
      <c r="AG770" s="86" t="n"/>
      <c r="AH770" s="86" t="n"/>
      <c r="AI770" s="85" t="n"/>
      <c r="AJ770" s="85" t="n"/>
      <c r="AK770" s="85">
        <f>IF($A770="","",IF($M770&gt;0,"Yes","No"))</f>
        <v/>
      </c>
      <c r="AL770" s="85">
        <f>IF($A770="","",IF(AND($E770="Yes",OR($Y770="No",$Y770="NOT FOUND")),"YES",""))</f>
        <v/>
      </c>
      <c r="AM770" s="85">
        <f>IF($A770="","",TRIM(IF(AND($P770=0,$I770&lt;&gt;"Yes"),"T0-NoPhishResistant ","")&amp;IF($H770="No","NoMFA ","")&amp;IF(AND($P770=0,$M770&gt;0),"T0-Standing ","")&amp;IF(AND($P770=0,$Q770="Group only"),"T0-ViaGroupOnly ","")&amp;IF($W770="Yes","AlsoAzureRBAC ","")))</f>
        <v/>
      </c>
      <c r="AN770" s="85">
        <f>IF($A770="","",IF(AG770="","Not Enrolled",IF(TODAY()&gt;AG770,"Review Overdue",IF(AG770-TODAY()&lt;=30,"Review Due Soon","Active"))))</f>
        <v/>
      </c>
      <c r="AO770" s="85">
        <f>IF($A770="","",IF(AH770="","NOT REVIEWED",IF(TODAY()-AH770&gt;90,"OVERDUE",IF(TODAY()-AH770&gt;76,"Due Soon","Current"))))</f>
        <v/>
      </c>
    </row>
    <row r="771" ht="15" customHeight="1" s="39">
      <c r="A771" s="85" t="n"/>
      <c r="B771" s="85" t="n"/>
      <c r="C771" s="85" t="n"/>
      <c r="D771" s="85" t="n"/>
      <c r="E771" s="85" t="n"/>
      <c r="F771" s="86" t="n"/>
      <c r="G771" s="86" t="n"/>
      <c r="H771" s="85" t="n"/>
      <c r="I771" s="85" t="n"/>
      <c r="J771" s="85" t="n"/>
      <c r="K771" s="85" t="n"/>
      <c r="L771" s="85" t="n"/>
      <c r="M771" s="85" t="n"/>
      <c r="N771" s="85" t="n"/>
      <c r="O771" s="85" t="n"/>
      <c r="P771" s="85" t="n"/>
      <c r="Q771" s="85" t="n"/>
      <c r="R771" s="85" t="n"/>
      <c r="S771" s="85" t="n"/>
      <c r="T771" s="85" t="n"/>
      <c r="U771" s="85" t="n"/>
      <c r="V771" s="85" t="n"/>
      <c r="W771" s="85" t="n"/>
      <c r="X771" s="85" t="n"/>
      <c r="Y771" s="85" t="n"/>
      <c r="Z771" s="85" t="n"/>
      <c r="AA771" s="85" t="n"/>
      <c r="AB771" s="85" t="n"/>
      <c r="AC771" s="85" t="n"/>
      <c r="AD771" s="85" t="n"/>
      <c r="AE771" s="85" t="n"/>
      <c r="AF771" s="86" t="n"/>
      <c r="AG771" s="86" t="n"/>
      <c r="AH771" s="86" t="n"/>
      <c r="AI771" s="85" t="n"/>
      <c r="AJ771" s="85" t="n"/>
      <c r="AK771" s="85">
        <f>IF($A771="","",IF($M771&gt;0,"Yes","No"))</f>
        <v/>
      </c>
      <c r="AL771" s="85">
        <f>IF($A771="","",IF(AND($E771="Yes",OR($Y771="No",$Y771="NOT FOUND")),"YES",""))</f>
        <v/>
      </c>
      <c r="AM771" s="85">
        <f>IF($A771="","",TRIM(IF(AND($P771=0,$I771&lt;&gt;"Yes"),"T0-NoPhishResistant ","")&amp;IF($H771="No","NoMFA ","")&amp;IF(AND($P771=0,$M771&gt;0),"T0-Standing ","")&amp;IF(AND($P771=0,$Q771="Group only"),"T0-ViaGroupOnly ","")&amp;IF($W771="Yes","AlsoAzureRBAC ","")))</f>
        <v/>
      </c>
      <c r="AN771" s="85">
        <f>IF($A771="","",IF(AG771="","Not Enrolled",IF(TODAY()&gt;AG771,"Review Overdue",IF(AG771-TODAY()&lt;=30,"Review Due Soon","Active"))))</f>
        <v/>
      </c>
      <c r="AO771" s="85">
        <f>IF($A771="","",IF(AH771="","NOT REVIEWED",IF(TODAY()-AH771&gt;90,"OVERDUE",IF(TODAY()-AH771&gt;76,"Due Soon","Current"))))</f>
        <v/>
      </c>
    </row>
    <row r="772" ht="15" customHeight="1" s="39">
      <c r="A772" s="85" t="n"/>
      <c r="B772" s="85" t="n"/>
      <c r="C772" s="85" t="n"/>
      <c r="D772" s="85" t="n"/>
      <c r="E772" s="85" t="n"/>
      <c r="F772" s="86" t="n"/>
      <c r="G772" s="86" t="n"/>
      <c r="H772" s="85" t="n"/>
      <c r="I772" s="85" t="n"/>
      <c r="J772" s="85" t="n"/>
      <c r="K772" s="85" t="n"/>
      <c r="L772" s="85" t="n"/>
      <c r="M772" s="85" t="n"/>
      <c r="N772" s="85" t="n"/>
      <c r="O772" s="85" t="n"/>
      <c r="P772" s="85" t="n"/>
      <c r="Q772" s="85" t="n"/>
      <c r="R772" s="85" t="n"/>
      <c r="S772" s="85" t="n"/>
      <c r="T772" s="85" t="n"/>
      <c r="U772" s="85" t="n"/>
      <c r="V772" s="85" t="n"/>
      <c r="W772" s="85" t="n"/>
      <c r="X772" s="85" t="n"/>
      <c r="Y772" s="85" t="n"/>
      <c r="Z772" s="85" t="n"/>
      <c r="AA772" s="85" t="n"/>
      <c r="AB772" s="85" t="n"/>
      <c r="AC772" s="85" t="n"/>
      <c r="AD772" s="85" t="n"/>
      <c r="AE772" s="85" t="n"/>
      <c r="AF772" s="86" t="n"/>
      <c r="AG772" s="86" t="n"/>
      <c r="AH772" s="86" t="n"/>
      <c r="AI772" s="85" t="n"/>
      <c r="AJ772" s="85" t="n"/>
      <c r="AK772" s="85">
        <f>IF($A772="","",IF($M772&gt;0,"Yes","No"))</f>
        <v/>
      </c>
      <c r="AL772" s="85">
        <f>IF($A772="","",IF(AND($E772="Yes",OR($Y772="No",$Y772="NOT FOUND")),"YES",""))</f>
        <v/>
      </c>
      <c r="AM772" s="85">
        <f>IF($A772="","",TRIM(IF(AND($P772=0,$I772&lt;&gt;"Yes"),"T0-NoPhishResistant ","")&amp;IF($H772="No","NoMFA ","")&amp;IF(AND($P772=0,$M772&gt;0),"T0-Standing ","")&amp;IF(AND($P772=0,$Q772="Group only"),"T0-ViaGroupOnly ","")&amp;IF($W772="Yes","AlsoAzureRBAC ","")))</f>
        <v/>
      </c>
      <c r="AN772" s="85">
        <f>IF($A772="","",IF(AG772="","Not Enrolled",IF(TODAY()&gt;AG772,"Review Overdue",IF(AG772-TODAY()&lt;=30,"Review Due Soon","Active"))))</f>
        <v/>
      </c>
      <c r="AO772" s="85">
        <f>IF($A772="","",IF(AH772="","NOT REVIEWED",IF(TODAY()-AH772&gt;90,"OVERDUE",IF(TODAY()-AH772&gt;76,"Due Soon","Current"))))</f>
        <v/>
      </c>
    </row>
    <row r="773" ht="15" customHeight="1" s="39">
      <c r="A773" s="85" t="n"/>
      <c r="B773" s="85" t="n"/>
      <c r="C773" s="85" t="n"/>
      <c r="D773" s="85" t="n"/>
      <c r="E773" s="85" t="n"/>
      <c r="F773" s="86" t="n"/>
      <c r="G773" s="86" t="n"/>
      <c r="H773" s="85" t="n"/>
      <c r="I773" s="85" t="n"/>
      <c r="J773" s="85" t="n"/>
      <c r="K773" s="85" t="n"/>
      <c r="L773" s="85" t="n"/>
      <c r="M773" s="85" t="n"/>
      <c r="N773" s="85" t="n"/>
      <c r="O773" s="85" t="n"/>
      <c r="P773" s="85" t="n"/>
      <c r="Q773" s="85" t="n"/>
      <c r="R773" s="85" t="n"/>
      <c r="S773" s="85" t="n"/>
      <c r="T773" s="85" t="n"/>
      <c r="U773" s="85" t="n"/>
      <c r="V773" s="85" t="n"/>
      <c r="W773" s="85" t="n"/>
      <c r="X773" s="85" t="n"/>
      <c r="Y773" s="85" t="n"/>
      <c r="Z773" s="85" t="n"/>
      <c r="AA773" s="85" t="n"/>
      <c r="AB773" s="85" t="n"/>
      <c r="AC773" s="85" t="n"/>
      <c r="AD773" s="85" t="n"/>
      <c r="AE773" s="85" t="n"/>
      <c r="AF773" s="86" t="n"/>
      <c r="AG773" s="86" t="n"/>
      <c r="AH773" s="86" t="n"/>
      <c r="AI773" s="85" t="n"/>
      <c r="AJ773" s="85" t="n"/>
      <c r="AK773" s="85">
        <f>IF($A773="","",IF($M773&gt;0,"Yes","No"))</f>
        <v/>
      </c>
      <c r="AL773" s="85">
        <f>IF($A773="","",IF(AND($E773="Yes",OR($Y773="No",$Y773="NOT FOUND")),"YES",""))</f>
        <v/>
      </c>
      <c r="AM773" s="85">
        <f>IF($A773="","",TRIM(IF(AND($P773=0,$I773&lt;&gt;"Yes"),"T0-NoPhishResistant ","")&amp;IF($H773="No","NoMFA ","")&amp;IF(AND($P773=0,$M773&gt;0),"T0-Standing ","")&amp;IF(AND($P773=0,$Q773="Group only"),"T0-ViaGroupOnly ","")&amp;IF($W773="Yes","AlsoAzureRBAC ","")))</f>
        <v/>
      </c>
      <c r="AN773" s="85">
        <f>IF($A773="","",IF(AG773="","Not Enrolled",IF(TODAY()&gt;AG773,"Review Overdue",IF(AG773-TODAY()&lt;=30,"Review Due Soon","Active"))))</f>
        <v/>
      </c>
      <c r="AO773" s="85">
        <f>IF($A773="","",IF(AH773="","NOT REVIEWED",IF(TODAY()-AH773&gt;90,"OVERDUE",IF(TODAY()-AH773&gt;76,"Due Soon","Current"))))</f>
        <v/>
      </c>
    </row>
    <row r="774" ht="15" customHeight="1" s="39">
      <c r="A774" s="85" t="n"/>
      <c r="B774" s="85" t="n"/>
      <c r="C774" s="85" t="n"/>
      <c r="D774" s="85" t="n"/>
      <c r="E774" s="85" t="n"/>
      <c r="F774" s="86" t="n"/>
      <c r="G774" s="86" t="n"/>
      <c r="H774" s="85" t="n"/>
      <c r="I774" s="85" t="n"/>
      <c r="J774" s="85" t="n"/>
      <c r="K774" s="85" t="n"/>
      <c r="L774" s="85" t="n"/>
      <c r="M774" s="85" t="n"/>
      <c r="N774" s="85" t="n"/>
      <c r="O774" s="85" t="n"/>
      <c r="P774" s="85" t="n"/>
      <c r="Q774" s="85" t="n"/>
      <c r="R774" s="85" t="n"/>
      <c r="S774" s="85" t="n"/>
      <c r="T774" s="85" t="n"/>
      <c r="U774" s="85" t="n"/>
      <c r="V774" s="85" t="n"/>
      <c r="W774" s="85" t="n"/>
      <c r="X774" s="85" t="n"/>
      <c r="Y774" s="85" t="n"/>
      <c r="Z774" s="85" t="n"/>
      <c r="AA774" s="85" t="n"/>
      <c r="AB774" s="85" t="n"/>
      <c r="AC774" s="85" t="n"/>
      <c r="AD774" s="85" t="n"/>
      <c r="AE774" s="85" t="n"/>
      <c r="AF774" s="86" t="n"/>
      <c r="AG774" s="86" t="n"/>
      <c r="AH774" s="86" t="n"/>
      <c r="AI774" s="85" t="n"/>
      <c r="AJ774" s="85" t="n"/>
      <c r="AK774" s="85">
        <f>IF($A774="","",IF($M774&gt;0,"Yes","No"))</f>
        <v/>
      </c>
      <c r="AL774" s="85">
        <f>IF($A774="","",IF(AND($E774="Yes",OR($Y774="No",$Y774="NOT FOUND")),"YES",""))</f>
        <v/>
      </c>
      <c r="AM774" s="85">
        <f>IF($A774="","",TRIM(IF(AND($P774=0,$I774&lt;&gt;"Yes"),"T0-NoPhishResistant ","")&amp;IF($H774="No","NoMFA ","")&amp;IF(AND($P774=0,$M774&gt;0),"T0-Standing ","")&amp;IF(AND($P774=0,$Q774="Group only"),"T0-ViaGroupOnly ","")&amp;IF($W774="Yes","AlsoAzureRBAC ","")))</f>
        <v/>
      </c>
      <c r="AN774" s="85">
        <f>IF($A774="","",IF(AG774="","Not Enrolled",IF(TODAY()&gt;AG774,"Review Overdue",IF(AG774-TODAY()&lt;=30,"Review Due Soon","Active"))))</f>
        <v/>
      </c>
      <c r="AO774" s="85">
        <f>IF($A774="","",IF(AH774="","NOT REVIEWED",IF(TODAY()-AH774&gt;90,"OVERDUE",IF(TODAY()-AH774&gt;76,"Due Soon","Current"))))</f>
        <v/>
      </c>
    </row>
    <row r="775" ht="15" customHeight="1" s="39">
      <c r="A775" s="85" t="n"/>
      <c r="B775" s="85" t="n"/>
      <c r="C775" s="85" t="n"/>
      <c r="D775" s="85" t="n"/>
      <c r="E775" s="85" t="n"/>
      <c r="F775" s="86" t="n"/>
      <c r="G775" s="86" t="n"/>
      <c r="H775" s="85" t="n"/>
      <c r="I775" s="85" t="n"/>
      <c r="J775" s="85" t="n"/>
      <c r="K775" s="85" t="n"/>
      <c r="L775" s="85" t="n"/>
      <c r="M775" s="85" t="n"/>
      <c r="N775" s="85" t="n"/>
      <c r="O775" s="85" t="n"/>
      <c r="P775" s="85" t="n"/>
      <c r="Q775" s="85" t="n"/>
      <c r="R775" s="85" t="n"/>
      <c r="S775" s="85" t="n"/>
      <c r="T775" s="85" t="n"/>
      <c r="U775" s="85" t="n"/>
      <c r="V775" s="85" t="n"/>
      <c r="W775" s="85" t="n"/>
      <c r="X775" s="85" t="n"/>
      <c r="Y775" s="85" t="n"/>
      <c r="Z775" s="85" t="n"/>
      <c r="AA775" s="85" t="n"/>
      <c r="AB775" s="85" t="n"/>
      <c r="AC775" s="85" t="n"/>
      <c r="AD775" s="85" t="n"/>
      <c r="AE775" s="85" t="n"/>
      <c r="AF775" s="86" t="n"/>
      <c r="AG775" s="86" t="n"/>
      <c r="AH775" s="86" t="n"/>
      <c r="AI775" s="85" t="n"/>
      <c r="AJ775" s="85" t="n"/>
      <c r="AK775" s="85">
        <f>IF($A775="","",IF($M775&gt;0,"Yes","No"))</f>
        <v/>
      </c>
      <c r="AL775" s="85">
        <f>IF($A775="","",IF(AND($E775="Yes",OR($Y775="No",$Y775="NOT FOUND")),"YES",""))</f>
        <v/>
      </c>
      <c r="AM775" s="85">
        <f>IF($A775="","",TRIM(IF(AND($P775=0,$I775&lt;&gt;"Yes"),"T0-NoPhishResistant ","")&amp;IF($H775="No","NoMFA ","")&amp;IF(AND($P775=0,$M775&gt;0),"T0-Standing ","")&amp;IF(AND($P775=0,$Q775="Group only"),"T0-ViaGroupOnly ","")&amp;IF($W775="Yes","AlsoAzureRBAC ","")))</f>
        <v/>
      </c>
      <c r="AN775" s="85">
        <f>IF($A775="","",IF(AG775="","Not Enrolled",IF(TODAY()&gt;AG775,"Review Overdue",IF(AG775-TODAY()&lt;=30,"Review Due Soon","Active"))))</f>
        <v/>
      </c>
      <c r="AO775" s="85">
        <f>IF($A775="","",IF(AH775="","NOT REVIEWED",IF(TODAY()-AH775&gt;90,"OVERDUE",IF(TODAY()-AH775&gt;76,"Due Soon","Current"))))</f>
        <v/>
      </c>
    </row>
    <row r="776" ht="15" customHeight="1" s="39">
      <c r="A776" s="85" t="n"/>
      <c r="B776" s="85" t="n"/>
      <c r="C776" s="85" t="n"/>
      <c r="D776" s="85" t="n"/>
      <c r="E776" s="85" t="n"/>
      <c r="F776" s="86" t="n"/>
      <c r="G776" s="86" t="n"/>
      <c r="H776" s="85" t="n"/>
      <c r="I776" s="85" t="n"/>
      <c r="J776" s="85" t="n"/>
      <c r="K776" s="85" t="n"/>
      <c r="L776" s="85" t="n"/>
      <c r="M776" s="85" t="n"/>
      <c r="N776" s="85" t="n"/>
      <c r="O776" s="85" t="n"/>
      <c r="P776" s="85" t="n"/>
      <c r="Q776" s="85" t="n"/>
      <c r="R776" s="85" t="n"/>
      <c r="S776" s="85" t="n"/>
      <c r="T776" s="85" t="n"/>
      <c r="U776" s="85" t="n"/>
      <c r="V776" s="85" t="n"/>
      <c r="W776" s="85" t="n"/>
      <c r="X776" s="85" t="n"/>
      <c r="Y776" s="85" t="n"/>
      <c r="Z776" s="85" t="n"/>
      <c r="AA776" s="85" t="n"/>
      <c r="AB776" s="85" t="n"/>
      <c r="AC776" s="85" t="n"/>
      <c r="AD776" s="85" t="n"/>
      <c r="AE776" s="85" t="n"/>
      <c r="AF776" s="86" t="n"/>
      <c r="AG776" s="86" t="n"/>
      <c r="AH776" s="86" t="n"/>
      <c r="AI776" s="85" t="n"/>
      <c r="AJ776" s="85" t="n"/>
      <c r="AK776" s="85">
        <f>IF($A776="","",IF($M776&gt;0,"Yes","No"))</f>
        <v/>
      </c>
      <c r="AL776" s="85">
        <f>IF($A776="","",IF(AND($E776="Yes",OR($Y776="No",$Y776="NOT FOUND")),"YES",""))</f>
        <v/>
      </c>
      <c r="AM776" s="85">
        <f>IF($A776="","",TRIM(IF(AND($P776=0,$I776&lt;&gt;"Yes"),"T0-NoPhishResistant ","")&amp;IF($H776="No","NoMFA ","")&amp;IF(AND($P776=0,$M776&gt;0),"T0-Standing ","")&amp;IF(AND($P776=0,$Q776="Group only"),"T0-ViaGroupOnly ","")&amp;IF($W776="Yes","AlsoAzureRBAC ","")))</f>
        <v/>
      </c>
      <c r="AN776" s="85">
        <f>IF($A776="","",IF(AG776="","Not Enrolled",IF(TODAY()&gt;AG776,"Review Overdue",IF(AG776-TODAY()&lt;=30,"Review Due Soon","Active"))))</f>
        <v/>
      </c>
      <c r="AO776" s="85">
        <f>IF($A776="","",IF(AH776="","NOT REVIEWED",IF(TODAY()-AH776&gt;90,"OVERDUE",IF(TODAY()-AH776&gt;76,"Due Soon","Current"))))</f>
        <v/>
      </c>
    </row>
    <row r="777" ht="15" customHeight="1" s="39">
      <c r="A777" s="85" t="n"/>
      <c r="B777" s="85" t="n"/>
      <c r="C777" s="85" t="n"/>
      <c r="D777" s="85" t="n"/>
      <c r="E777" s="85" t="n"/>
      <c r="F777" s="86" t="n"/>
      <c r="G777" s="86" t="n"/>
      <c r="H777" s="85" t="n"/>
      <c r="I777" s="85" t="n"/>
      <c r="J777" s="85" t="n"/>
      <c r="K777" s="85" t="n"/>
      <c r="L777" s="85" t="n"/>
      <c r="M777" s="85" t="n"/>
      <c r="N777" s="85" t="n"/>
      <c r="O777" s="85" t="n"/>
      <c r="P777" s="85" t="n"/>
      <c r="Q777" s="85" t="n"/>
      <c r="R777" s="85" t="n"/>
      <c r="S777" s="85" t="n"/>
      <c r="T777" s="85" t="n"/>
      <c r="U777" s="85" t="n"/>
      <c r="V777" s="85" t="n"/>
      <c r="W777" s="85" t="n"/>
      <c r="X777" s="85" t="n"/>
      <c r="Y777" s="85" t="n"/>
      <c r="Z777" s="85" t="n"/>
      <c r="AA777" s="85" t="n"/>
      <c r="AB777" s="85" t="n"/>
      <c r="AC777" s="85" t="n"/>
      <c r="AD777" s="85" t="n"/>
      <c r="AE777" s="85" t="n"/>
      <c r="AF777" s="86" t="n"/>
      <c r="AG777" s="86" t="n"/>
      <c r="AH777" s="86" t="n"/>
      <c r="AI777" s="85" t="n"/>
      <c r="AJ777" s="85" t="n"/>
      <c r="AK777" s="85">
        <f>IF($A777="","",IF($M777&gt;0,"Yes","No"))</f>
        <v/>
      </c>
      <c r="AL777" s="85">
        <f>IF($A777="","",IF(AND($E777="Yes",OR($Y777="No",$Y777="NOT FOUND")),"YES",""))</f>
        <v/>
      </c>
      <c r="AM777" s="85">
        <f>IF($A777="","",TRIM(IF(AND($P777=0,$I777&lt;&gt;"Yes"),"T0-NoPhishResistant ","")&amp;IF($H777="No","NoMFA ","")&amp;IF(AND($P777=0,$M777&gt;0),"T0-Standing ","")&amp;IF(AND($P777=0,$Q777="Group only"),"T0-ViaGroupOnly ","")&amp;IF($W777="Yes","AlsoAzureRBAC ","")))</f>
        <v/>
      </c>
      <c r="AN777" s="85">
        <f>IF($A777="","",IF(AG777="","Not Enrolled",IF(TODAY()&gt;AG777,"Review Overdue",IF(AG777-TODAY()&lt;=30,"Review Due Soon","Active"))))</f>
        <v/>
      </c>
      <c r="AO777" s="85">
        <f>IF($A777="","",IF(AH777="","NOT REVIEWED",IF(TODAY()-AH777&gt;90,"OVERDUE",IF(TODAY()-AH777&gt;76,"Due Soon","Current"))))</f>
        <v/>
      </c>
    </row>
    <row r="778" ht="15" customHeight="1" s="39">
      <c r="A778" s="85" t="n"/>
      <c r="B778" s="85" t="n"/>
      <c r="C778" s="85" t="n"/>
      <c r="D778" s="85" t="n"/>
      <c r="E778" s="85" t="n"/>
      <c r="F778" s="86" t="n"/>
      <c r="G778" s="86" t="n"/>
      <c r="H778" s="85" t="n"/>
      <c r="I778" s="85" t="n"/>
      <c r="J778" s="85" t="n"/>
      <c r="K778" s="85" t="n"/>
      <c r="L778" s="85" t="n"/>
      <c r="M778" s="85" t="n"/>
      <c r="N778" s="85" t="n"/>
      <c r="O778" s="85" t="n"/>
      <c r="P778" s="85" t="n"/>
      <c r="Q778" s="85" t="n"/>
      <c r="R778" s="85" t="n"/>
      <c r="S778" s="85" t="n"/>
      <c r="T778" s="85" t="n"/>
      <c r="U778" s="85" t="n"/>
      <c r="V778" s="85" t="n"/>
      <c r="W778" s="85" t="n"/>
      <c r="X778" s="85" t="n"/>
      <c r="Y778" s="85" t="n"/>
      <c r="Z778" s="85" t="n"/>
      <c r="AA778" s="85" t="n"/>
      <c r="AB778" s="85" t="n"/>
      <c r="AC778" s="85" t="n"/>
      <c r="AD778" s="85" t="n"/>
      <c r="AE778" s="85" t="n"/>
      <c r="AF778" s="86" t="n"/>
      <c r="AG778" s="86" t="n"/>
      <c r="AH778" s="86" t="n"/>
      <c r="AI778" s="85" t="n"/>
      <c r="AJ778" s="85" t="n"/>
      <c r="AK778" s="85">
        <f>IF($A778="","",IF($M778&gt;0,"Yes","No"))</f>
        <v/>
      </c>
      <c r="AL778" s="85">
        <f>IF($A778="","",IF(AND($E778="Yes",OR($Y778="No",$Y778="NOT FOUND")),"YES",""))</f>
        <v/>
      </c>
      <c r="AM778" s="85">
        <f>IF($A778="","",TRIM(IF(AND($P778=0,$I778&lt;&gt;"Yes"),"T0-NoPhishResistant ","")&amp;IF($H778="No","NoMFA ","")&amp;IF(AND($P778=0,$M778&gt;0),"T0-Standing ","")&amp;IF(AND($P778=0,$Q778="Group only"),"T0-ViaGroupOnly ","")&amp;IF($W778="Yes","AlsoAzureRBAC ","")))</f>
        <v/>
      </c>
      <c r="AN778" s="85">
        <f>IF($A778="","",IF(AG778="","Not Enrolled",IF(TODAY()&gt;AG778,"Review Overdue",IF(AG778-TODAY()&lt;=30,"Review Due Soon","Active"))))</f>
        <v/>
      </c>
      <c r="AO778" s="85">
        <f>IF($A778="","",IF(AH778="","NOT REVIEWED",IF(TODAY()-AH778&gt;90,"OVERDUE",IF(TODAY()-AH778&gt;76,"Due Soon","Current"))))</f>
        <v/>
      </c>
    </row>
    <row r="779" ht="15" customHeight="1" s="39">
      <c r="A779" s="85" t="n"/>
      <c r="B779" s="85" t="n"/>
      <c r="C779" s="85" t="n"/>
      <c r="D779" s="85" t="n"/>
      <c r="E779" s="85" t="n"/>
      <c r="F779" s="86" t="n"/>
      <c r="G779" s="86" t="n"/>
      <c r="H779" s="85" t="n"/>
      <c r="I779" s="85" t="n"/>
      <c r="J779" s="85" t="n"/>
      <c r="K779" s="85" t="n"/>
      <c r="L779" s="85" t="n"/>
      <c r="M779" s="85" t="n"/>
      <c r="N779" s="85" t="n"/>
      <c r="O779" s="85" t="n"/>
      <c r="P779" s="85" t="n"/>
      <c r="Q779" s="85" t="n"/>
      <c r="R779" s="85" t="n"/>
      <c r="S779" s="85" t="n"/>
      <c r="T779" s="85" t="n"/>
      <c r="U779" s="85" t="n"/>
      <c r="V779" s="85" t="n"/>
      <c r="W779" s="85" t="n"/>
      <c r="X779" s="85" t="n"/>
      <c r="Y779" s="85" t="n"/>
      <c r="Z779" s="85" t="n"/>
      <c r="AA779" s="85" t="n"/>
      <c r="AB779" s="85" t="n"/>
      <c r="AC779" s="85" t="n"/>
      <c r="AD779" s="85" t="n"/>
      <c r="AE779" s="85" t="n"/>
      <c r="AF779" s="86" t="n"/>
      <c r="AG779" s="86" t="n"/>
      <c r="AH779" s="86" t="n"/>
      <c r="AI779" s="85" t="n"/>
      <c r="AJ779" s="85" t="n"/>
      <c r="AK779" s="85">
        <f>IF($A779="","",IF($M779&gt;0,"Yes","No"))</f>
        <v/>
      </c>
      <c r="AL779" s="85">
        <f>IF($A779="","",IF(AND($E779="Yes",OR($Y779="No",$Y779="NOT FOUND")),"YES",""))</f>
        <v/>
      </c>
      <c r="AM779" s="85">
        <f>IF($A779="","",TRIM(IF(AND($P779=0,$I779&lt;&gt;"Yes"),"T0-NoPhishResistant ","")&amp;IF($H779="No","NoMFA ","")&amp;IF(AND($P779=0,$M779&gt;0),"T0-Standing ","")&amp;IF(AND($P779=0,$Q779="Group only"),"T0-ViaGroupOnly ","")&amp;IF($W779="Yes","AlsoAzureRBAC ","")))</f>
        <v/>
      </c>
      <c r="AN779" s="85">
        <f>IF($A779="","",IF(AG779="","Not Enrolled",IF(TODAY()&gt;AG779,"Review Overdue",IF(AG779-TODAY()&lt;=30,"Review Due Soon","Active"))))</f>
        <v/>
      </c>
      <c r="AO779" s="85">
        <f>IF($A779="","",IF(AH779="","NOT REVIEWED",IF(TODAY()-AH779&gt;90,"OVERDUE",IF(TODAY()-AH779&gt;76,"Due Soon","Current"))))</f>
        <v/>
      </c>
    </row>
    <row r="780" ht="15" customHeight="1" s="39">
      <c r="A780" s="85" t="n"/>
      <c r="B780" s="85" t="n"/>
      <c r="C780" s="85" t="n"/>
      <c r="D780" s="85" t="n"/>
      <c r="E780" s="85" t="n"/>
      <c r="F780" s="86" t="n"/>
      <c r="G780" s="86" t="n"/>
      <c r="H780" s="85" t="n"/>
      <c r="I780" s="85" t="n"/>
      <c r="J780" s="85" t="n"/>
      <c r="K780" s="85" t="n"/>
      <c r="L780" s="85" t="n"/>
      <c r="M780" s="85" t="n"/>
      <c r="N780" s="85" t="n"/>
      <c r="O780" s="85" t="n"/>
      <c r="P780" s="85" t="n"/>
      <c r="Q780" s="85" t="n"/>
      <c r="R780" s="85" t="n"/>
      <c r="S780" s="85" t="n"/>
      <c r="T780" s="85" t="n"/>
      <c r="U780" s="85" t="n"/>
      <c r="V780" s="85" t="n"/>
      <c r="W780" s="85" t="n"/>
      <c r="X780" s="85" t="n"/>
      <c r="Y780" s="85" t="n"/>
      <c r="Z780" s="85" t="n"/>
      <c r="AA780" s="85" t="n"/>
      <c r="AB780" s="85" t="n"/>
      <c r="AC780" s="85" t="n"/>
      <c r="AD780" s="85" t="n"/>
      <c r="AE780" s="85" t="n"/>
      <c r="AF780" s="86" t="n"/>
      <c r="AG780" s="86" t="n"/>
      <c r="AH780" s="86" t="n"/>
      <c r="AI780" s="85" t="n"/>
      <c r="AJ780" s="85" t="n"/>
      <c r="AK780" s="85">
        <f>IF($A780="","",IF($M780&gt;0,"Yes","No"))</f>
        <v/>
      </c>
      <c r="AL780" s="85">
        <f>IF($A780="","",IF(AND($E780="Yes",OR($Y780="No",$Y780="NOT FOUND")),"YES",""))</f>
        <v/>
      </c>
      <c r="AM780" s="85">
        <f>IF($A780="","",TRIM(IF(AND($P780=0,$I780&lt;&gt;"Yes"),"T0-NoPhishResistant ","")&amp;IF($H780="No","NoMFA ","")&amp;IF(AND($P780=0,$M780&gt;0),"T0-Standing ","")&amp;IF(AND($P780=0,$Q780="Group only"),"T0-ViaGroupOnly ","")&amp;IF($W780="Yes","AlsoAzureRBAC ","")))</f>
        <v/>
      </c>
      <c r="AN780" s="85">
        <f>IF($A780="","",IF(AG780="","Not Enrolled",IF(TODAY()&gt;AG780,"Review Overdue",IF(AG780-TODAY()&lt;=30,"Review Due Soon","Active"))))</f>
        <v/>
      </c>
      <c r="AO780" s="85">
        <f>IF($A780="","",IF(AH780="","NOT REVIEWED",IF(TODAY()-AH780&gt;90,"OVERDUE",IF(TODAY()-AH780&gt;76,"Due Soon","Current"))))</f>
        <v/>
      </c>
    </row>
    <row r="781" ht="15" customHeight="1" s="39">
      <c r="A781" s="85" t="n"/>
      <c r="B781" s="85" t="n"/>
      <c r="C781" s="85" t="n"/>
      <c r="D781" s="85" t="n"/>
      <c r="E781" s="85" t="n"/>
      <c r="F781" s="86" t="n"/>
      <c r="G781" s="86" t="n"/>
      <c r="H781" s="85" t="n"/>
      <c r="I781" s="85" t="n"/>
      <c r="J781" s="85" t="n"/>
      <c r="K781" s="85" t="n"/>
      <c r="L781" s="85" t="n"/>
      <c r="M781" s="85" t="n"/>
      <c r="N781" s="85" t="n"/>
      <c r="O781" s="85" t="n"/>
      <c r="P781" s="85" t="n"/>
      <c r="Q781" s="85" t="n"/>
      <c r="R781" s="85" t="n"/>
      <c r="S781" s="85" t="n"/>
      <c r="T781" s="85" t="n"/>
      <c r="U781" s="85" t="n"/>
      <c r="V781" s="85" t="n"/>
      <c r="W781" s="85" t="n"/>
      <c r="X781" s="85" t="n"/>
      <c r="Y781" s="85" t="n"/>
      <c r="Z781" s="85" t="n"/>
      <c r="AA781" s="85" t="n"/>
      <c r="AB781" s="85" t="n"/>
      <c r="AC781" s="85" t="n"/>
      <c r="AD781" s="85" t="n"/>
      <c r="AE781" s="85" t="n"/>
      <c r="AF781" s="86" t="n"/>
      <c r="AG781" s="86" t="n"/>
      <c r="AH781" s="86" t="n"/>
      <c r="AI781" s="85" t="n"/>
      <c r="AJ781" s="85" t="n"/>
      <c r="AK781" s="85">
        <f>IF($A781="","",IF($M781&gt;0,"Yes","No"))</f>
        <v/>
      </c>
      <c r="AL781" s="85">
        <f>IF($A781="","",IF(AND($E781="Yes",OR($Y781="No",$Y781="NOT FOUND")),"YES",""))</f>
        <v/>
      </c>
      <c r="AM781" s="85">
        <f>IF($A781="","",TRIM(IF(AND($P781=0,$I781&lt;&gt;"Yes"),"T0-NoPhishResistant ","")&amp;IF($H781="No","NoMFA ","")&amp;IF(AND($P781=0,$M781&gt;0),"T0-Standing ","")&amp;IF(AND($P781=0,$Q781="Group only"),"T0-ViaGroupOnly ","")&amp;IF($W781="Yes","AlsoAzureRBAC ","")))</f>
        <v/>
      </c>
      <c r="AN781" s="85">
        <f>IF($A781="","",IF(AG781="","Not Enrolled",IF(TODAY()&gt;AG781,"Review Overdue",IF(AG781-TODAY()&lt;=30,"Review Due Soon","Active"))))</f>
        <v/>
      </c>
      <c r="AO781" s="85">
        <f>IF($A781="","",IF(AH781="","NOT REVIEWED",IF(TODAY()-AH781&gt;90,"OVERDUE",IF(TODAY()-AH781&gt;76,"Due Soon","Current"))))</f>
        <v/>
      </c>
    </row>
    <row r="782" ht="15" customHeight="1" s="39">
      <c r="A782" s="85" t="n"/>
      <c r="B782" s="85" t="n"/>
      <c r="C782" s="85" t="n"/>
      <c r="D782" s="85" t="n"/>
      <c r="E782" s="85" t="n"/>
      <c r="F782" s="86" t="n"/>
      <c r="G782" s="86" t="n"/>
      <c r="H782" s="85" t="n"/>
      <c r="I782" s="85" t="n"/>
      <c r="J782" s="85" t="n"/>
      <c r="K782" s="85" t="n"/>
      <c r="L782" s="85" t="n"/>
      <c r="M782" s="85" t="n"/>
      <c r="N782" s="85" t="n"/>
      <c r="O782" s="85" t="n"/>
      <c r="P782" s="85" t="n"/>
      <c r="Q782" s="85" t="n"/>
      <c r="R782" s="85" t="n"/>
      <c r="S782" s="85" t="n"/>
      <c r="T782" s="85" t="n"/>
      <c r="U782" s="85" t="n"/>
      <c r="V782" s="85" t="n"/>
      <c r="W782" s="85" t="n"/>
      <c r="X782" s="85" t="n"/>
      <c r="Y782" s="85" t="n"/>
      <c r="Z782" s="85" t="n"/>
      <c r="AA782" s="85" t="n"/>
      <c r="AB782" s="85" t="n"/>
      <c r="AC782" s="85" t="n"/>
      <c r="AD782" s="85" t="n"/>
      <c r="AE782" s="85" t="n"/>
      <c r="AF782" s="86" t="n"/>
      <c r="AG782" s="86" t="n"/>
      <c r="AH782" s="86" t="n"/>
      <c r="AI782" s="85" t="n"/>
      <c r="AJ782" s="85" t="n"/>
      <c r="AK782" s="85">
        <f>IF($A782="","",IF($M782&gt;0,"Yes","No"))</f>
        <v/>
      </c>
      <c r="AL782" s="85">
        <f>IF($A782="","",IF(AND($E782="Yes",OR($Y782="No",$Y782="NOT FOUND")),"YES",""))</f>
        <v/>
      </c>
      <c r="AM782" s="85">
        <f>IF($A782="","",TRIM(IF(AND($P782=0,$I782&lt;&gt;"Yes"),"T0-NoPhishResistant ","")&amp;IF($H782="No","NoMFA ","")&amp;IF(AND($P782=0,$M782&gt;0),"T0-Standing ","")&amp;IF(AND($P782=0,$Q782="Group only"),"T0-ViaGroupOnly ","")&amp;IF($W782="Yes","AlsoAzureRBAC ","")))</f>
        <v/>
      </c>
      <c r="AN782" s="85">
        <f>IF($A782="","",IF(AG782="","Not Enrolled",IF(TODAY()&gt;AG782,"Review Overdue",IF(AG782-TODAY()&lt;=30,"Review Due Soon","Active"))))</f>
        <v/>
      </c>
      <c r="AO782" s="85">
        <f>IF($A782="","",IF(AH782="","NOT REVIEWED",IF(TODAY()-AH782&gt;90,"OVERDUE",IF(TODAY()-AH782&gt;76,"Due Soon","Current"))))</f>
        <v/>
      </c>
    </row>
    <row r="783" ht="15" customHeight="1" s="39">
      <c r="A783" s="85" t="n"/>
      <c r="B783" s="85" t="n"/>
      <c r="C783" s="85" t="n"/>
      <c r="D783" s="85" t="n"/>
      <c r="E783" s="85" t="n"/>
      <c r="F783" s="86" t="n"/>
      <c r="G783" s="86" t="n"/>
      <c r="H783" s="85" t="n"/>
      <c r="I783" s="85" t="n"/>
      <c r="J783" s="85" t="n"/>
      <c r="K783" s="85" t="n"/>
      <c r="L783" s="85" t="n"/>
      <c r="M783" s="85" t="n"/>
      <c r="N783" s="85" t="n"/>
      <c r="O783" s="85" t="n"/>
      <c r="P783" s="85" t="n"/>
      <c r="Q783" s="85" t="n"/>
      <c r="R783" s="85" t="n"/>
      <c r="S783" s="85" t="n"/>
      <c r="T783" s="85" t="n"/>
      <c r="U783" s="85" t="n"/>
      <c r="V783" s="85" t="n"/>
      <c r="W783" s="85" t="n"/>
      <c r="X783" s="85" t="n"/>
      <c r="Y783" s="85" t="n"/>
      <c r="Z783" s="85" t="n"/>
      <c r="AA783" s="85" t="n"/>
      <c r="AB783" s="85" t="n"/>
      <c r="AC783" s="85" t="n"/>
      <c r="AD783" s="85" t="n"/>
      <c r="AE783" s="85" t="n"/>
      <c r="AF783" s="86" t="n"/>
      <c r="AG783" s="86" t="n"/>
      <c r="AH783" s="86" t="n"/>
      <c r="AI783" s="85" t="n"/>
      <c r="AJ783" s="85" t="n"/>
      <c r="AK783" s="85">
        <f>IF($A783="","",IF($M783&gt;0,"Yes","No"))</f>
        <v/>
      </c>
      <c r="AL783" s="85">
        <f>IF($A783="","",IF(AND($E783="Yes",OR($Y783="No",$Y783="NOT FOUND")),"YES",""))</f>
        <v/>
      </c>
      <c r="AM783" s="85">
        <f>IF($A783="","",TRIM(IF(AND($P783=0,$I783&lt;&gt;"Yes"),"T0-NoPhishResistant ","")&amp;IF($H783="No","NoMFA ","")&amp;IF(AND($P783=0,$M783&gt;0),"T0-Standing ","")&amp;IF(AND($P783=0,$Q783="Group only"),"T0-ViaGroupOnly ","")&amp;IF($W783="Yes","AlsoAzureRBAC ","")))</f>
        <v/>
      </c>
      <c r="AN783" s="85">
        <f>IF($A783="","",IF(AG783="","Not Enrolled",IF(TODAY()&gt;AG783,"Review Overdue",IF(AG783-TODAY()&lt;=30,"Review Due Soon","Active"))))</f>
        <v/>
      </c>
      <c r="AO783" s="85">
        <f>IF($A783="","",IF(AH783="","NOT REVIEWED",IF(TODAY()-AH783&gt;90,"OVERDUE",IF(TODAY()-AH783&gt;76,"Due Soon","Current"))))</f>
        <v/>
      </c>
    </row>
    <row r="784" ht="15" customHeight="1" s="39">
      <c r="A784" s="85" t="n"/>
      <c r="B784" s="85" t="n"/>
      <c r="C784" s="85" t="n"/>
      <c r="D784" s="85" t="n"/>
      <c r="E784" s="85" t="n"/>
      <c r="F784" s="86" t="n"/>
      <c r="G784" s="86" t="n"/>
      <c r="H784" s="85" t="n"/>
      <c r="I784" s="85" t="n"/>
      <c r="J784" s="85" t="n"/>
      <c r="K784" s="85" t="n"/>
      <c r="L784" s="85" t="n"/>
      <c r="M784" s="85" t="n"/>
      <c r="N784" s="85" t="n"/>
      <c r="O784" s="85" t="n"/>
      <c r="P784" s="85" t="n"/>
      <c r="Q784" s="85" t="n"/>
      <c r="R784" s="85" t="n"/>
      <c r="S784" s="85" t="n"/>
      <c r="T784" s="85" t="n"/>
      <c r="U784" s="85" t="n"/>
      <c r="V784" s="85" t="n"/>
      <c r="W784" s="85" t="n"/>
      <c r="X784" s="85" t="n"/>
      <c r="Y784" s="85" t="n"/>
      <c r="Z784" s="85" t="n"/>
      <c r="AA784" s="85" t="n"/>
      <c r="AB784" s="85" t="n"/>
      <c r="AC784" s="85" t="n"/>
      <c r="AD784" s="85" t="n"/>
      <c r="AE784" s="85" t="n"/>
      <c r="AF784" s="86" t="n"/>
      <c r="AG784" s="86" t="n"/>
      <c r="AH784" s="86" t="n"/>
      <c r="AI784" s="85" t="n"/>
      <c r="AJ784" s="85" t="n"/>
      <c r="AK784" s="85">
        <f>IF($A784="","",IF($M784&gt;0,"Yes","No"))</f>
        <v/>
      </c>
      <c r="AL784" s="85">
        <f>IF($A784="","",IF(AND($E784="Yes",OR($Y784="No",$Y784="NOT FOUND")),"YES",""))</f>
        <v/>
      </c>
      <c r="AM784" s="85">
        <f>IF($A784="","",TRIM(IF(AND($P784=0,$I784&lt;&gt;"Yes"),"T0-NoPhishResistant ","")&amp;IF($H784="No","NoMFA ","")&amp;IF(AND($P784=0,$M784&gt;0),"T0-Standing ","")&amp;IF(AND($P784=0,$Q784="Group only"),"T0-ViaGroupOnly ","")&amp;IF($W784="Yes","AlsoAzureRBAC ","")))</f>
        <v/>
      </c>
      <c r="AN784" s="85">
        <f>IF($A784="","",IF(AG784="","Not Enrolled",IF(TODAY()&gt;AG784,"Review Overdue",IF(AG784-TODAY()&lt;=30,"Review Due Soon","Active"))))</f>
        <v/>
      </c>
      <c r="AO784" s="85">
        <f>IF($A784="","",IF(AH784="","NOT REVIEWED",IF(TODAY()-AH784&gt;90,"OVERDUE",IF(TODAY()-AH784&gt;76,"Due Soon","Current"))))</f>
        <v/>
      </c>
    </row>
    <row r="785" ht="15" customHeight="1" s="39">
      <c r="A785" s="85" t="n"/>
      <c r="B785" s="85" t="n"/>
      <c r="C785" s="85" t="n"/>
      <c r="D785" s="85" t="n"/>
      <c r="E785" s="85" t="n"/>
      <c r="F785" s="86" t="n"/>
      <c r="G785" s="86" t="n"/>
      <c r="H785" s="85" t="n"/>
      <c r="I785" s="85" t="n"/>
      <c r="J785" s="85" t="n"/>
      <c r="K785" s="85" t="n"/>
      <c r="L785" s="85" t="n"/>
      <c r="M785" s="85" t="n"/>
      <c r="N785" s="85" t="n"/>
      <c r="O785" s="85" t="n"/>
      <c r="P785" s="85" t="n"/>
      <c r="Q785" s="85" t="n"/>
      <c r="R785" s="85" t="n"/>
      <c r="S785" s="85" t="n"/>
      <c r="T785" s="85" t="n"/>
      <c r="U785" s="85" t="n"/>
      <c r="V785" s="85" t="n"/>
      <c r="W785" s="85" t="n"/>
      <c r="X785" s="85" t="n"/>
      <c r="Y785" s="85" t="n"/>
      <c r="Z785" s="85" t="n"/>
      <c r="AA785" s="85" t="n"/>
      <c r="AB785" s="85" t="n"/>
      <c r="AC785" s="85" t="n"/>
      <c r="AD785" s="85" t="n"/>
      <c r="AE785" s="85" t="n"/>
      <c r="AF785" s="86" t="n"/>
      <c r="AG785" s="86" t="n"/>
      <c r="AH785" s="86" t="n"/>
      <c r="AI785" s="85" t="n"/>
      <c r="AJ785" s="85" t="n"/>
      <c r="AK785" s="85">
        <f>IF($A785="","",IF($M785&gt;0,"Yes","No"))</f>
        <v/>
      </c>
      <c r="AL785" s="85">
        <f>IF($A785="","",IF(AND($E785="Yes",OR($Y785="No",$Y785="NOT FOUND")),"YES",""))</f>
        <v/>
      </c>
      <c r="AM785" s="85">
        <f>IF($A785="","",TRIM(IF(AND($P785=0,$I785&lt;&gt;"Yes"),"T0-NoPhishResistant ","")&amp;IF($H785="No","NoMFA ","")&amp;IF(AND($P785=0,$M785&gt;0),"T0-Standing ","")&amp;IF(AND($P785=0,$Q785="Group only"),"T0-ViaGroupOnly ","")&amp;IF($W785="Yes","AlsoAzureRBAC ","")))</f>
        <v/>
      </c>
      <c r="AN785" s="85">
        <f>IF($A785="","",IF(AG785="","Not Enrolled",IF(TODAY()&gt;AG785,"Review Overdue",IF(AG785-TODAY()&lt;=30,"Review Due Soon","Active"))))</f>
        <v/>
      </c>
      <c r="AO785" s="85">
        <f>IF($A785="","",IF(AH785="","NOT REVIEWED",IF(TODAY()-AH785&gt;90,"OVERDUE",IF(TODAY()-AH785&gt;76,"Due Soon","Current"))))</f>
        <v/>
      </c>
    </row>
    <row r="786" ht="15" customHeight="1" s="39">
      <c r="A786" s="85" t="n"/>
      <c r="B786" s="85" t="n"/>
      <c r="C786" s="85" t="n"/>
      <c r="D786" s="85" t="n"/>
      <c r="E786" s="85" t="n"/>
      <c r="F786" s="86" t="n"/>
      <c r="G786" s="86" t="n"/>
      <c r="H786" s="85" t="n"/>
      <c r="I786" s="85" t="n"/>
      <c r="J786" s="85" t="n"/>
      <c r="K786" s="85" t="n"/>
      <c r="L786" s="85" t="n"/>
      <c r="M786" s="85" t="n"/>
      <c r="N786" s="85" t="n"/>
      <c r="O786" s="85" t="n"/>
      <c r="P786" s="85" t="n"/>
      <c r="Q786" s="85" t="n"/>
      <c r="R786" s="85" t="n"/>
      <c r="S786" s="85" t="n"/>
      <c r="T786" s="85" t="n"/>
      <c r="U786" s="85" t="n"/>
      <c r="V786" s="85" t="n"/>
      <c r="W786" s="85" t="n"/>
      <c r="X786" s="85" t="n"/>
      <c r="Y786" s="85" t="n"/>
      <c r="Z786" s="85" t="n"/>
      <c r="AA786" s="85" t="n"/>
      <c r="AB786" s="85" t="n"/>
      <c r="AC786" s="85" t="n"/>
      <c r="AD786" s="85" t="n"/>
      <c r="AE786" s="85" t="n"/>
      <c r="AF786" s="86" t="n"/>
      <c r="AG786" s="86" t="n"/>
      <c r="AH786" s="86" t="n"/>
      <c r="AI786" s="85" t="n"/>
      <c r="AJ786" s="85" t="n"/>
      <c r="AK786" s="85">
        <f>IF($A786="","",IF($M786&gt;0,"Yes","No"))</f>
        <v/>
      </c>
      <c r="AL786" s="85">
        <f>IF($A786="","",IF(AND($E786="Yes",OR($Y786="No",$Y786="NOT FOUND")),"YES",""))</f>
        <v/>
      </c>
      <c r="AM786" s="85">
        <f>IF($A786="","",TRIM(IF(AND($P786=0,$I786&lt;&gt;"Yes"),"T0-NoPhishResistant ","")&amp;IF($H786="No","NoMFA ","")&amp;IF(AND($P786=0,$M786&gt;0),"T0-Standing ","")&amp;IF(AND($P786=0,$Q786="Group only"),"T0-ViaGroupOnly ","")&amp;IF($W786="Yes","AlsoAzureRBAC ","")))</f>
        <v/>
      </c>
      <c r="AN786" s="85">
        <f>IF($A786="","",IF(AG786="","Not Enrolled",IF(TODAY()&gt;AG786,"Review Overdue",IF(AG786-TODAY()&lt;=30,"Review Due Soon","Active"))))</f>
        <v/>
      </c>
      <c r="AO786" s="85">
        <f>IF($A786="","",IF(AH786="","NOT REVIEWED",IF(TODAY()-AH786&gt;90,"OVERDUE",IF(TODAY()-AH786&gt;76,"Due Soon","Current"))))</f>
        <v/>
      </c>
    </row>
    <row r="787" ht="15" customHeight="1" s="39">
      <c r="A787" s="85" t="n"/>
      <c r="B787" s="85" t="n"/>
      <c r="C787" s="85" t="n"/>
      <c r="D787" s="85" t="n"/>
      <c r="E787" s="85" t="n"/>
      <c r="F787" s="86" t="n"/>
      <c r="G787" s="86" t="n"/>
      <c r="H787" s="85" t="n"/>
      <c r="I787" s="85" t="n"/>
      <c r="J787" s="85" t="n"/>
      <c r="K787" s="85" t="n"/>
      <c r="L787" s="85" t="n"/>
      <c r="M787" s="85" t="n"/>
      <c r="N787" s="85" t="n"/>
      <c r="O787" s="85" t="n"/>
      <c r="P787" s="85" t="n"/>
      <c r="Q787" s="85" t="n"/>
      <c r="R787" s="85" t="n"/>
      <c r="S787" s="85" t="n"/>
      <c r="T787" s="85" t="n"/>
      <c r="U787" s="85" t="n"/>
      <c r="V787" s="85" t="n"/>
      <c r="W787" s="85" t="n"/>
      <c r="X787" s="85" t="n"/>
      <c r="Y787" s="85" t="n"/>
      <c r="Z787" s="85" t="n"/>
      <c r="AA787" s="85" t="n"/>
      <c r="AB787" s="85" t="n"/>
      <c r="AC787" s="85" t="n"/>
      <c r="AD787" s="85" t="n"/>
      <c r="AE787" s="85" t="n"/>
      <c r="AF787" s="86" t="n"/>
      <c r="AG787" s="86" t="n"/>
      <c r="AH787" s="86" t="n"/>
      <c r="AI787" s="85" t="n"/>
      <c r="AJ787" s="85" t="n"/>
      <c r="AK787" s="85">
        <f>IF($A787="","",IF($M787&gt;0,"Yes","No"))</f>
        <v/>
      </c>
      <c r="AL787" s="85">
        <f>IF($A787="","",IF(AND($E787="Yes",OR($Y787="No",$Y787="NOT FOUND")),"YES",""))</f>
        <v/>
      </c>
      <c r="AM787" s="85">
        <f>IF($A787="","",TRIM(IF(AND($P787=0,$I787&lt;&gt;"Yes"),"T0-NoPhishResistant ","")&amp;IF($H787="No","NoMFA ","")&amp;IF(AND($P787=0,$M787&gt;0),"T0-Standing ","")&amp;IF(AND($P787=0,$Q787="Group only"),"T0-ViaGroupOnly ","")&amp;IF($W787="Yes","AlsoAzureRBAC ","")))</f>
        <v/>
      </c>
      <c r="AN787" s="85">
        <f>IF($A787="","",IF(AG787="","Not Enrolled",IF(TODAY()&gt;AG787,"Review Overdue",IF(AG787-TODAY()&lt;=30,"Review Due Soon","Active"))))</f>
        <v/>
      </c>
      <c r="AO787" s="85">
        <f>IF($A787="","",IF(AH787="","NOT REVIEWED",IF(TODAY()-AH787&gt;90,"OVERDUE",IF(TODAY()-AH787&gt;76,"Due Soon","Current"))))</f>
        <v/>
      </c>
    </row>
    <row r="788" ht="15" customHeight="1" s="39">
      <c r="A788" s="85" t="n"/>
      <c r="B788" s="85" t="n"/>
      <c r="C788" s="85" t="n"/>
      <c r="D788" s="85" t="n"/>
      <c r="E788" s="85" t="n"/>
      <c r="F788" s="86" t="n"/>
      <c r="G788" s="86" t="n"/>
      <c r="H788" s="85" t="n"/>
      <c r="I788" s="85" t="n"/>
      <c r="J788" s="85" t="n"/>
      <c r="K788" s="85" t="n"/>
      <c r="L788" s="85" t="n"/>
      <c r="M788" s="85" t="n"/>
      <c r="N788" s="85" t="n"/>
      <c r="O788" s="85" t="n"/>
      <c r="P788" s="85" t="n"/>
      <c r="Q788" s="85" t="n"/>
      <c r="R788" s="85" t="n"/>
      <c r="S788" s="85" t="n"/>
      <c r="T788" s="85" t="n"/>
      <c r="U788" s="85" t="n"/>
      <c r="V788" s="85" t="n"/>
      <c r="W788" s="85" t="n"/>
      <c r="X788" s="85" t="n"/>
      <c r="Y788" s="85" t="n"/>
      <c r="Z788" s="85" t="n"/>
      <c r="AA788" s="85" t="n"/>
      <c r="AB788" s="85" t="n"/>
      <c r="AC788" s="85" t="n"/>
      <c r="AD788" s="85" t="n"/>
      <c r="AE788" s="85" t="n"/>
      <c r="AF788" s="86" t="n"/>
      <c r="AG788" s="86" t="n"/>
      <c r="AH788" s="86" t="n"/>
      <c r="AI788" s="85" t="n"/>
      <c r="AJ788" s="85" t="n"/>
      <c r="AK788" s="85">
        <f>IF($A788="","",IF($M788&gt;0,"Yes","No"))</f>
        <v/>
      </c>
      <c r="AL788" s="85">
        <f>IF($A788="","",IF(AND($E788="Yes",OR($Y788="No",$Y788="NOT FOUND")),"YES",""))</f>
        <v/>
      </c>
      <c r="AM788" s="85">
        <f>IF($A788="","",TRIM(IF(AND($P788=0,$I788&lt;&gt;"Yes"),"T0-NoPhishResistant ","")&amp;IF($H788="No","NoMFA ","")&amp;IF(AND($P788=0,$M788&gt;0),"T0-Standing ","")&amp;IF(AND($P788=0,$Q788="Group only"),"T0-ViaGroupOnly ","")&amp;IF($W788="Yes","AlsoAzureRBAC ","")))</f>
        <v/>
      </c>
      <c r="AN788" s="85">
        <f>IF($A788="","",IF(AG788="","Not Enrolled",IF(TODAY()&gt;AG788,"Review Overdue",IF(AG788-TODAY()&lt;=30,"Review Due Soon","Active"))))</f>
        <v/>
      </c>
      <c r="AO788" s="85">
        <f>IF($A788="","",IF(AH788="","NOT REVIEWED",IF(TODAY()-AH788&gt;90,"OVERDUE",IF(TODAY()-AH788&gt;76,"Due Soon","Current"))))</f>
        <v/>
      </c>
    </row>
    <row r="789" ht="15" customHeight="1" s="39">
      <c r="A789" s="85" t="n"/>
      <c r="B789" s="85" t="n"/>
      <c r="C789" s="85" t="n"/>
      <c r="D789" s="85" t="n"/>
      <c r="E789" s="85" t="n"/>
      <c r="F789" s="86" t="n"/>
      <c r="G789" s="86" t="n"/>
      <c r="H789" s="85" t="n"/>
      <c r="I789" s="85" t="n"/>
      <c r="J789" s="85" t="n"/>
      <c r="K789" s="85" t="n"/>
      <c r="L789" s="85" t="n"/>
      <c r="M789" s="85" t="n"/>
      <c r="N789" s="85" t="n"/>
      <c r="O789" s="85" t="n"/>
      <c r="P789" s="85" t="n"/>
      <c r="Q789" s="85" t="n"/>
      <c r="R789" s="85" t="n"/>
      <c r="S789" s="85" t="n"/>
      <c r="T789" s="85" t="n"/>
      <c r="U789" s="85" t="n"/>
      <c r="V789" s="85" t="n"/>
      <c r="W789" s="85" t="n"/>
      <c r="X789" s="85" t="n"/>
      <c r="Y789" s="85" t="n"/>
      <c r="Z789" s="85" t="n"/>
      <c r="AA789" s="85" t="n"/>
      <c r="AB789" s="85" t="n"/>
      <c r="AC789" s="85" t="n"/>
      <c r="AD789" s="85" t="n"/>
      <c r="AE789" s="85" t="n"/>
      <c r="AF789" s="86" t="n"/>
      <c r="AG789" s="86" t="n"/>
      <c r="AH789" s="86" t="n"/>
      <c r="AI789" s="85" t="n"/>
      <c r="AJ789" s="85" t="n"/>
      <c r="AK789" s="85">
        <f>IF($A789="","",IF($M789&gt;0,"Yes","No"))</f>
        <v/>
      </c>
      <c r="AL789" s="85">
        <f>IF($A789="","",IF(AND($E789="Yes",OR($Y789="No",$Y789="NOT FOUND")),"YES",""))</f>
        <v/>
      </c>
      <c r="AM789" s="85">
        <f>IF($A789="","",TRIM(IF(AND($P789=0,$I789&lt;&gt;"Yes"),"T0-NoPhishResistant ","")&amp;IF($H789="No","NoMFA ","")&amp;IF(AND($P789=0,$M789&gt;0),"T0-Standing ","")&amp;IF(AND($P789=0,$Q789="Group only"),"T0-ViaGroupOnly ","")&amp;IF($W789="Yes","AlsoAzureRBAC ","")))</f>
        <v/>
      </c>
      <c r="AN789" s="85">
        <f>IF($A789="","",IF(AG789="","Not Enrolled",IF(TODAY()&gt;AG789,"Review Overdue",IF(AG789-TODAY()&lt;=30,"Review Due Soon","Active"))))</f>
        <v/>
      </c>
      <c r="AO789" s="85">
        <f>IF($A789="","",IF(AH789="","NOT REVIEWED",IF(TODAY()-AH789&gt;90,"OVERDUE",IF(TODAY()-AH789&gt;76,"Due Soon","Current"))))</f>
        <v/>
      </c>
    </row>
    <row r="790" ht="15" customHeight="1" s="39">
      <c r="A790" s="85" t="n"/>
      <c r="B790" s="85" t="n"/>
      <c r="C790" s="85" t="n"/>
      <c r="D790" s="85" t="n"/>
      <c r="E790" s="85" t="n"/>
      <c r="F790" s="86" t="n"/>
      <c r="G790" s="86" t="n"/>
      <c r="H790" s="85" t="n"/>
      <c r="I790" s="85" t="n"/>
      <c r="J790" s="85" t="n"/>
      <c r="K790" s="85" t="n"/>
      <c r="L790" s="85" t="n"/>
      <c r="M790" s="85" t="n"/>
      <c r="N790" s="85" t="n"/>
      <c r="O790" s="85" t="n"/>
      <c r="P790" s="85" t="n"/>
      <c r="Q790" s="85" t="n"/>
      <c r="R790" s="85" t="n"/>
      <c r="S790" s="85" t="n"/>
      <c r="T790" s="85" t="n"/>
      <c r="U790" s="85" t="n"/>
      <c r="V790" s="85" t="n"/>
      <c r="W790" s="85" t="n"/>
      <c r="X790" s="85" t="n"/>
      <c r="Y790" s="85" t="n"/>
      <c r="Z790" s="85" t="n"/>
      <c r="AA790" s="85" t="n"/>
      <c r="AB790" s="85" t="n"/>
      <c r="AC790" s="85" t="n"/>
      <c r="AD790" s="85" t="n"/>
      <c r="AE790" s="85" t="n"/>
      <c r="AF790" s="86" t="n"/>
      <c r="AG790" s="86" t="n"/>
      <c r="AH790" s="86" t="n"/>
      <c r="AI790" s="85" t="n"/>
      <c r="AJ790" s="85" t="n"/>
      <c r="AK790" s="85">
        <f>IF($A790="","",IF($M790&gt;0,"Yes","No"))</f>
        <v/>
      </c>
      <c r="AL790" s="85">
        <f>IF($A790="","",IF(AND($E790="Yes",OR($Y790="No",$Y790="NOT FOUND")),"YES",""))</f>
        <v/>
      </c>
      <c r="AM790" s="85">
        <f>IF($A790="","",TRIM(IF(AND($P790=0,$I790&lt;&gt;"Yes"),"T0-NoPhishResistant ","")&amp;IF($H790="No","NoMFA ","")&amp;IF(AND($P790=0,$M790&gt;0),"T0-Standing ","")&amp;IF(AND($P790=0,$Q790="Group only"),"T0-ViaGroupOnly ","")&amp;IF($W790="Yes","AlsoAzureRBAC ","")))</f>
        <v/>
      </c>
      <c r="AN790" s="85">
        <f>IF($A790="","",IF(AG790="","Not Enrolled",IF(TODAY()&gt;AG790,"Review Overdue",IF(AG790-TODAY()&lt;=30,"Review Due Soon","Active"))))</f>
        <v/>
      </c>
      <c r="AO790" s="85">
        <f>IF($A790="","",IF(AH790="","NOT REVIEWED",IF(TODAY()-AH790&gt;90,"OVERDUE",IF(TODAY()-AH790&gt;76,"Due Soon","Current"))))</f>
        <v/>
      </c>
    </row>
    <row r="791" ht="15" customHeight="1" s="39">
      <c r="A791" s="85" t="n"/>
      <c r="B791" s="85" t="n"/>
      <c r="C791" s="85" t="n"/>
      <c r="D791" s="85" t="n"/>
      <c r="E791" s="85" t="n"/>
      <c r="F791" s="86" t="n"/>
      <c r="G791" s="86" t="n"/>
      <c r="H791" s="85" t="n"/>
      <c r="I791" s="85" t="n"/>
      <c r="J791" s="85" t="n"/>
      <c r="K791" s="85" t="n"/>
      <c r="L791" s="85" t="n"/>
      <c r="M791" s="85" t="n"/>
      <c r="N791" s="85" t="n"/>
      <c r="O791" s="85" t="n"/>
      <c r="P791" s="85" t="n"/>
      <c r="Q791" s="85" t="n"/>
      <c r="R791" s="85" t="n"/>
      <c r="S791" s="85" t="n"/>
      <c r="T791" s="85" t="n"/>
      <c r="U791" s="85" t="n"/>
      <c r="V791" s="85" t="n"/>
      <c r="W791" s="85" t="n"/>
      <c r="X791" s="85" t="n"/>
      <c r="Y791" s="85" t="n"/>
      <c r="Z791" s="85" t="n"/>
      <c r="AA791" s="85" t="n"/>
      <c r="AB791" s="85" t="n"/>
      <c r="AC791" s="85" t="n"/>
      <c r="AD791" s="85" t="n"/>
      <c r="AE791" s="85" t="n"/>
      <c r="AF791" s="86" t="n"/>
      <c r="AG791" s="86" t="n"/>
      <c r="AH791" s="86" t="n"/>
      <c r="AI791" s="85" t="n"/>
      <c r="AJ791" s="85" t="n"/>
      <c r="AK791" s="85">
        <f>IF($A791="","",IF($M791&gt;0,"Yes","No"))</f>
        <v/>
      </c>
      <c r="AL791" s="85">
        <f>IF($A791="","",IF(AND($E791="Yes",OR($Y791="No",$Y791="NOT FOUND")),"YES",""))</f>
        <v/>
      </c>
      <c r="AM791" s="85">
        <f>IF($A791="","",TRIM(IF(AND($P791=0,$I791&lt;&gt;"Yes"),"T0-NoPhishResistant ","")&amp;IF($H791="No","NoMFA ","")&amp;IF(AND($P791=0,$M791&gt;0),"T0-Standing ","")&amp;IF(AND($P791=0,$Q791="Group only"),"T0-ViaGroupOnly ","")&amp;IF($W791="Yes","AlsoAzureRBAC ","")))</f>
        <v/>
      </c>
      <c r="AN791" s="85">
        <f>IF($A791="","",IF(AG791="","Not Enrolled",IF(TODAY()&gt;AG791,"Review Overdue",IF(AG791-TODAY()&lt;=30,"Review Due Soon","Active"))))</f>
        <v/>
      </c>
      <c r="AO791" s="85">
        <f>IF($A791="","",IF(AH791="","NOT REVIEWED",IF(TODAY()-AH791&gt;90,"OVERDUE",IF(TODAY()-AH791&gt;76,"Due Soon","Current"))))</f>
        <v/>
      </c>
    </row>
    <row r="792" ht="15" customHeight="1" s="39">
      <c r="A792" s="85" t="n"/>
      <c r="B792" s="85" t="n"/>
      <c r="C792" s="85" t="n"/>
      <c r="D792" s="85" t="n"/>
      <c r="E792" s="85" t="n"/>
      <c r="F792" s="86" t="n"/>
      <c r="G792" s="86" t="n"/>
      <c r="H792" s="85" t="n"/>
      <c r="I792" s="85" t="n"/>
      <c r="J792" s="85" t="n"/>
      <c r="K792" s="85" t="n"/>
      <c r="L792" s="85" t="n"/>
      <c r="M792" s="85" t="n"/>
      <c r="N792" s="85" t="n"/>
      <c r="O792" s="85" t="n"/>
      <c r="P792" s="85" t="n"/>
      <c r="Q792" s="85" t="n"/>
      <c r="R792" s="85" t="n"/>
      <c r="S792" s="85" t="n"/>
      <c r="T792" s="85" t="n"/>
      <c r="U792" s="85" t="n"/>
      <c r="V792" s="85" t="n"/>
      <c r="W792" s="85" t="n"/>
      <c r="X792" s="85" t="n"/>
      <c r="Y792" s="85" t="n"/>
      <c r="Z792" s="85" t="n"/>
      <c r="AA792" s="85" t="n"/>
      <c r="AB792" s="85" t="n"/>
      <c r="AC792" s="85" t="n"/>
      <c r="AD792" s="85" t="n"/>
      <c r="AE792" s="85" t="n"/>
      <c r="AF792" s="86" t="n"/>
      <c r="AG792" s="86" t="n"/>
      <c r="AH792" s="86" t="n"/>
      <c r="AI792" s="85" t="n"/>
      <c r="AJ792" s="85" t="n"/>
      <c r="AK792" s="85">
        <f>IF($A792="","",IF($M792&gt;0,"Yes","No"))</f>
        <v/>
      </c>
      <c r="AL792" s="85">
        <f>IF($A792="","",IF(AND($E792="Yes",OR($Y792="No",$Y792="NOT FOUND")),"YES",""))</f>
        <v/>
      </c>
      <c r="AM792" s="85">
        <f>IF($A792="","",TRIM(IF(AND($P792=0,$I792&lt;&gt;"Yes"),"T0-NoPhishResistant ","")&amp;IF($H792="No","NoMFA ","")&amp;IF(AND($P792=0,$M792&gt;0),"T0-Standing ","")&amp;IF(AND($P792=0,$Q792="Group only"),"T0-ViaGroupOnly ","")&amp;IF($W792="Yes","AlsoAzureRBAC ","")))</f>
        <v/>
      </c>
      <c r="AN792" s="85">
        <f>IF($A792="","",IF(AG792="","Not Enrolled",IF(TODAY()&gt;AG792,"Review Overdue",IF(AG792-TODAY()&lt;=30,"Review Due Soon","Active"))))</f>
        <v/>
      </c>
      <c r="AO792" s="85">
        <f>IF($A792="","",IF(AH792="","NOT REVIEWED",IF(TODAY()-AH792&gt;90,"OVERDUE",IF(TODAY()-AH792&gt;76,"Due Soon","Current"))))</f>
        <v/>
      </c>
    </row>
    <row r="793" ht="15" customHeight="1" s="39">
      <c r="A793" s="85" t="n"/>
      <c r="B793" s="85" t="n"/>
      <c r="C793" s="85" t="n"/>
      <c r="D793" s="85" t="n"/>
      <c r="E793" s="85" t="n"/>
      <c r="F793" s="86" t="n"/>
      <c r="G793" s="86" t="n"/>
      <c r="H793" s="85" t="n"/>
      <c r="I793" s="85" t="n"/>
      <c r="J793" s="85" t="n"/>
      <c r="K793" s="85" t="n"/>
      <c r="L793" s="85" t="n"/>
      <c r="M793" s="85" t="n"/>
      <c r="N793" s="85" t="n"/>
      <c r="O793" s="85" t="n"/>
      <c r="P793" s="85" t="n"/>
      <c r="Q793" s="85" t="n"/>
      <c r="R793" s="85" t="n"/>
      <c r="S793" s="85" t="n"/>
      <c r="T793" s="85" t="n"/>
      <c r="U793" s="85" t="n"/>
      <c r="V793" s="85" t="n"/>
      <c r="W793" s="85" t="n"/>
      <c r="X793" s="85" t="n"/>
      <c r="Y793" s="85" t="n"/>
      <c r="Z793" s="85" t="n"/>
      <c r="AA793" s="85" t="n"/>
      <c r="AB793" s="85" t="n"/>
      <c r="AC793" s="85" t="n"/>
      <c r="AD793" s="85" t="n"/>
      <c r="AE793" s="85" t="n"/>
      <c r="AF793" s="86" t="n"/>
      <c r="AG793" s="86" t="n"/>
      <c r="AH793" s="86" t="n"/>
      <c r="AI793" s="85" t="n"/>
      <c r="AJ793" s="85" t="n"/>
      <c r="AK793" s="85">
        <f>IF($A793="","",IF($M793&gt;0,"Yes","No"))</f>
        <v/>
      </c>
      <c r="AL793" s="85">
        <f>IF($A793="","",IF(AND($E793="Yes",OR($Y793="No",$Y793="NOT FOUND")),"YES",""))</f>
        <v/>
      </c>
      <c r="AM793" s="85">
        <f>IF($A793="","",TRIM(IF(AND($P793=0,$I793&lt;&gt;"Yes"),"T0-NoPhishResistant ","")&amp;IF($H793="No","NoMFA ","")&amp;IF(AND($P793=0,$M793&gt;0),"T0-Standing ","")&amp;IF(AND($P793=0,$Q793="Group only"),"T0-ViaGroupOnly ","")&amp;IF($W793="Yes","AlsoAzureRBAC ","")))</f>
        <v/>
      </c>
      <c r="AN793" s="85">
        <f>IF($A793="","",IF(AG793="","Not Enrolled",IF(TODAY()&gt;AG793,"Review Overdue",IF(AG793-TODAY()&lt;=30,"Review Due Soon","Active"))))</f>
        <v/>
      </c>
      <c r="AO793" s="85">
        <f>IF($A793="","",IF(AH793="","NOT REVIEWED",IF(TODAY()-AH793&gt;90,"OVERDUE",IF(TODAY()-AH793&gt;76,"Due Soon","Current"))))</f>
        <v/>
      </c>
    </row>
    <row r="794" ht="15" customHeight="1" s="39">
      <c r="A794" s="85" t="n"/>
      <c r="B794" s="85" t="n"/>
      <c r="C794" s="85" t="n"/>
      <c r="D794" s="85" t="n"/>
      <c r="E794" s="85" t="n"/>
      <c r="F794" s="86" t="n"/>
      <c r="G794" s="86" t="n"/>
      <c r="H794" s="85" t="n"/>
      <c r="I794" s="85" t="n"/>
      <c r="J794" s="85" t="n"/>
      <c r="K794" s="85" t="n"/>
      <c r="L794" s="85" t="n"/>
      <c r="M794" s="85" t="n"/>
      <c r="N794" s="85" t="n"/>
      <c r="O794" s="85" t="n"/>
      <c r="P794" s="85" t="n"/>
      <c r="Q794" s="85" t="n"/>
      <c r="R794" s="85" t="n"/>
      <c r="S794" s="85" t="n"/>
      <c r="T794" s="85" t="n"/>
      <c r="U794" s="85" t="n"/>
      <c r="V794" s="85" t="n"/>
      <c r="W794" s="85" t="n"/>
      <c r="X794" s="85" t="n"/>
      <c r="Y794" s="85" t="n"/>
      <c r="Z794" s="85" t="n"/>
      <c r="AA794" s="85" t="n"/>
      <c r="AB794" s="85" t="n"/>
      <c r="AC794" s="85" t="n"/>
      <c r="AD794" s="85" t="n"/>
      <c r="AE794" s="85" t="n"/>
      <c r="AF794" s="86" t="n"/>
      <c r="AG794" s="86" t="n"/>
      <c r="AH794" s="86" t="n"/>
      <c r="AI794" s="85" t="n"/>
      <c r="AJ794" s="85" t="n"/>
      <c r="AK794" s="85">
        <f>IF($A794="","",IF($M794&gt;0,"Yes","No"))</f>
        <v/>
      </c>
      <c r="AL794" s="85">
        <f>IF($A794="","",IF(AND($E794="Yes",OR($Y794="No",$Y794="NOT FOUND")),"YES",""))</f>
        <v/>
      </c>
      <c r="AM794" s="85">
        <f>IF($A794="","",TRIM(IF(AND($P794=0,$I794&lt;&gt;"Yes"),"T0-NoPhishResistant ","")&amp;IF($H794="No","NoMFA ","")&amp;IF(AND($P794=0,$M794&gt;0),"T0-Standing ","")&amp;IF(AND($P794=0,$Q794="Group only"),"T0-ViaGroupOnly ","")&amp;IF($W794="Yes","AlsoAzureRBAC ","")))</f>
        <v/>
      </c>
      <c r="AN794" s="85">
        <f>IF($A794="","",IF(AG794="","Not Enrolled",IF(TODAY()&gt;AG794,"Review Overdue",IF(AG794-TODAY()&lt;=30,"Review Due Soon","Active"))))</f>
        <v/>
      </c>
      <c r="AO794" s="85">
        <f>IF($A794="","",IF(AH794="","NOT REVIEWED",IF(TODAY()-AH794&gt;90,"OVERDUE",IF(TODAY()-AH794&gt;76,"Due Soon","Current"))))</f>
        <v/>
      </c>
    </row>
    <row r="795" ht="15" customHeight="1" s="39">
      <c r="A795" s="85" t="n"/>
      <c r="B795" s="85" t="n"/>
      <c r="C795" s="85" t="n"/>
      <c r="D795" s="85" t="n"/>
      <c r="E795" s="85" t="n"/>
      <c r="F795" s="86" t="n"/>
      <c r="G795" s="86" t="n"/>
      <c r="H795" s="85" t="n"/>
      <c r="I795" s="85" t="n"/>
      <c r="J795" s="85" t="n"/>
      <c r="K795" s="85" t="n"/>
      <c r="L795" s="85" t="n"/>
      <c r="M795" s="85" t="n"/>
      <c r="N795" s="85" t="n"/>
      <c r="O795" s="85" t="n"/>
      <c r="P795" s="85" t="n"/>
      <c r="Q795" s="85" t="n"/>
      <c r="R795" s="85" t="n"/>
      <c r="S795" s="85" t="n"/>
      <c r="T795" s="85" t="n"/>
      <c r="U795" s="85" t="n"/>
      <c r="V795" s="85" t="n"/>
      <c r="W795" s="85" t="n"/>
      <c r="X795" s="85" t="n"/>
      <c r="Y795" s="85" t="n"/>
      <c r="Z795" s="85" t="n"/>
      <c r="AA795" s="85" t="n"/>
      <c r="AB795" s="85" t="n"/>
      <c r="AC795" s="85" t="n"/>
      <c r="AD795" s="85" t="n"/>
      <c r="AE795" s="85" t="n"/>
      <c r="AF795" s="86" t="n"/>
      <c r="AG795" s="86" t="n"/>
      <c r="AH795" s="86" t="n"/>
      <c r="AI795" s="85" t="n"/>
      <c r="AJ795" s="85" t="n"/>
      <c r="AK795" s="85">
        <f>IF($A795="","",IF($M795&gt;0,"Yes","No"))</f>
        <v/>
      </c>
      <c r="AL795" s="85">
        <f>IF($A795="","",IF(AND($E795="Yes",OR($Y795="No",$Y795="NOT FOUND")),"YES",""))</f>
        <v/>
      </c>
      <c r="AM795" s="85">
        <f>IF($A795="","",TRIM(IF(AND($P795=0,$I795&lt;&gt;"Yes"),"T0-NoPhishResistant ","")&amp;IF($H795="No","NoMFA ","")&amp;IF(AND($P795=0,$M795&gt;0),"T0-Standing ","")&amp;IF(AND($P795=0,$Q795="Group only"),"T0-ViaGroupOnly ","")&amp;IF($W795="Yes","AlsoAzureRBAC ","")))</f>
        <v/>
      </c>
      <c r="AN795" s="85">
        <f>IF($A795="","",IF(AG795="","Not Enrolled",IF(TODAY()&gt;AG795,"Review Overdue",IF(AG795-TODAY()&lt;=30,"Review Due Soon","Active"))))</f>
        <v/>
      </c>
      <c r="AO795" s="85">
        <f>IF($A795="","",IF(AH795="","NOT REVIEWED",IF(TODAY()-AH795&gt;90,"OVERDUE",IF(TODAY()-AH795&gt;76,"Due Soon","Current"))))</f>
        <v/>
      </c>
    </row>
    <row r="796" ht="15" customHeight="1" s="39">
      <c r="A796" s="85" t="n"/>
      <c r="B796" s="85" t="n"/>
      <c r="C796" s="85" t="n"/>
      <c r="D796" s="85" t="n"/>
      <c r="E796" s="85" t="n"/>
      <c r="F796" s="86" t="n"/>
      <c r="G796" s="86" t="n"/>
      <c r="H796" s="85" t="n"/>
      <c r="I796" s="85" t="n"/>
      <c r="J796" s="85" t="n"/>
      <c r="K796" s="85" t="n"/>
      <c r="L796" s="85" t="n"/>
      <c r="M796" s="85" t="n"/>
      <c r="N796" s="85" t="n"/>
      <c r="O796" s="85" t="n"/>
      <c r="P796" s="85" t="n"/>
      <c r="Q796" s="85" t="n"/>
      <c r="R796" s="85" t="n"/>
      <c r="S796" s="85" t="n"/>
      <c r="T796" s="85" t="n"/>
      <c r="U796" s="85" t="n"/>
      <c r="V796" s="85" t="n"/>
      <c r="W796" s="85" t="n"/>
      <c r="X796" s="85" t="n"/>
      <c r="Y796" s="85" t="n"/>
      <c r="Z796" s="85" t="n"/>
      <c r="AA796" s="85" t="n"/>
      <c r="AB796" s="85" t="n"/>
      <c r="AC796" s="85" t="n"/>
      <c r="AD796" s="85" t="n"/>
      <c r="AE796" s="85" t="n"/>
      <c r="AF796" s="86" t="n"/>
      <c r="AG796" s="86" t="n"/>
      <c r="AH796" s="86" t="n"/>
      <c r="AI796" s="85" t="n"/>
      <c r="AJ796" s="85" t="n"/>
      <c r="AK796" s="85">
        <f>IF($A796="","",IF($M796&gt;0,"Yes","No"))</f>
        <v/>
      </c>
      <c r="AL796" s="85">
        <f>IF($A796="","",IF(AND($E796="Yes",OR($Y796="No",$Y796="NOT FOUND")),"YES",""))</f>
        <v/>
      </c>
      <c r="AM796" s="85">
        <f>IF($A796="","",TRIM(IF(AND($P796=0,$I796&lt;&gt;"Yes"),"T0-NoPhishResistant ","")&amp;IF($H796="No","NoMFA ","")&amp;IF(AND($P796=0,$M796&gt;0),"T0-Standing ","")&amp;IF(AND($P796=0,$Q796="Group only"),"T0-ViaGroupOnly ","")&amp;IF($W796="Yes","AlsoAzureRBAC ","")))</f>
        <v/>
      </c>
      <c r="AN796" s="85">
        <f>IF($A796="","",IF(AG796="","Not Enrolled",IF(TODAY()&gt;AG796,"Review Overdue",IF(AG796-TODAY()&lt;=30,"Review Due Soon","Active"))))</f>
        <v/>
      </c>
      <c r="AO796" s="85">
        <f>IF($A796="","",IF(AH796="","NOT REVIEWED",IF(TODAY()-AH796&gt;90,"OVERDUE",IF(TODAY()-AH796&gt;76,"Due Soon","Current"))))</f>
        <v/>
      </c>
    </row>
    <row r="797" ht="15" customHeight="1" s="39">
      <c r="A797" s="85" t="n"/>
      <c r="B797" s="85" t="n"/>
      <c r="C797" s="85" t="n"/>
      <c r="D797" s="85" t="n"/>
      <c r="E797" s="85" t="n"/>
      <c r="F797" s="86" t="n"/>
      <c r="G797" s="86" t="n"/>
      <c r="H797" s="85" t="n"/>
      <c r="I797" s="85" t="n"/>
      <c r="J797" s="85" t="n"/>
      <c r="K797" s="85" t="n"/>
      <c r="L797" s="85" t="n"/>
      <c r="M797" s="85" t="n"/>
      <c r="N797" s="85" t="n"/>
      <c r="O797" s="85" t="n"/>
      <c r="P797" s="85" t="n"/>
      <c r="Q797" s="85" t="n"/>
      <c r="R797" s="85" t="n"/>
      <c r="S797" s="85" t="n"/>
      <c r="T797" s="85" t="n"/>
      <c r="U797" s="85" t="n"/>
      <c r="V797" s="85" t="n"/>
      <c r="W797" s="85" t="n"/>
      <c r="X797" s="85" t="n"/>
      <c r="Y797" s="85" t="n"/>
      <c r="Z797" s="85" t="n"/>
      <c r="AA797" s="85" t="n"/>
      <c r="AB797" s="85" t="n"/>
      <c r="AC797" s="85" t="n"/>
      <c r="AD797" s="85" t="n"/>
      <c r="AE797" s="85" t="n"/>
      <c r="AF797" s="86" t="n"/>
      <c r="AG797" s="86" t="n"/>
      <c r="AH797" s="86" t="n"/>
      <c r="AI797" s="85" t="n"/>
      <c r="AJ797" s="85" t="n"/>
      <c r="AK797" s="85">
        <f>IF($A797="","",IF($M797&gt;0,"Yes","No"))</f>
        <v/>
      </c>
      <c r="AL797" s="85">
        <f>IF($A797="","",IF(AND($E797="Yes",OR($Y797="No",$Y797="NOT FOUND")),"YES",""))</f>
        <v/>
      </c>
      <c r="AM797" s="85">
        <f>IF($A797="","",TRIM(IF(AND($P797=0,$I797&lt;&gt;"Yes"),"T0-NoPhishResistant ","")&amp;IF($H797="No","NoMFA ","")&amp;IF(AND($P797=0,$M797&gt;0),"T0-Standing ","")&amp;IF(AND($P797=0,$Q797="Group only"),"T0-ViaGroupOnly ","")&amp;IF($W797="Yes","AlsoAzureRBAC ","")))</f>
        <v/>
      </c>
      <c r="AN797" s="85">
        <f>IF($A797="","",IF(AG797="","Not Enrolled",IF(TODAY()&gt;AG797,"Review Overdue",IF(AG797-TODAY()&lt;=30,"Review Due Soon","Active"))))</f>
        <v/>
      </c>
      <c r="AO797" s="85">
        <f>IF($A797="","",IF(AH797="","NOT REVIEWED",IF(TODAY()-AH797&gt;90,"OVERDUE",IF(TODAY()-AH797&gt;76,"Due Soon","Current"))))</f>
        <v/>
      </c>
    </row>
    <row r="798" ht="15" customHeight="1" s="39">
      <c r="A798" s="85" t="n"/>
      <c r="B798" s="85" t="n"/>
      <c r="C798" s="85" t="n"/>
      <c r="D798" s="85" t="n"/>
      <c r="E798" s="85" t="n"/>
      <c r="F798" s="86" t="n"/>
      <c r="G798" s="86" t="n"/>
      <c r="H798" s="85" t="n"/>
      <c r="I798" s="85" t="n"/>
      <c r="J798" s="85" t="n"/>
      <c r="K798" s="85" t="n"/>
      <c r="L798" s="85" t="n"/>
      <c r="M798" s="85" t="n"/>
      <c r="N798" s="85" t="n"/>
      <c r="O798" s="85" t="n"/>
      <c r="P798" s="85" t="n"/>
      <c r="Q798" s="85" t="n"/>
      <c r="R798" s="85" t="n"/>
      <c r="S798" s="85" t="n"/>
      <c r="T798" s="85" t="n"/>
      <c r="U798" s="85" t="n"/>
      <c r="V798" s="85" t="n"/>
      <c r="W798" s="85" t="n"/>
      <c r="X798" s="85" t="n"/>
      <c r="Y798" s="85" t="n"/>
      <c r="Z798" s="85" t="n"/>
      <c r="AA798" s="85" t="n"/>
      <c r="AB798" s="85" t="n"/>
      <c r="AC798" s="85" t="n"/>
      <c r="AD798" s="85" t="n"/>
      <c r="AE798" s="85" t="n"/>
      <c r="AF798" s="86" t="n"/>
      <c r="AG798" s="86" t="n"/>
      <c r="AH798" s="86" t="n"/>
      <c r="AI798" s="85" t="n"/>
      <c r="AJ798" s="85" t="n"/>
      <c r="AK798" s="85">
        <f>IF($A798="","",IF($M798&gt;0,"Yes","No"))</f>
        <v/>
      </c>
      <c r="AL798" s="85">
        <f>IF($A798="","",IF(AND($E798="Yes",OR($Y798="No",$Y798="NOT FOUND")),"YES",""))</f>
        <v/>
      </c>
      <c r="AM798" s="85">
        <f>IF($A798="","",TRIM(IF(AND($P798=0,$I798&lt;&gt;"Yes"),"T0-NoPhishResistant ","")&amp;IF($H798="No","NoMFA ","")&amp;IF(AND($P798=0,$M798&gt;0),"T0-Standing ","")&amp;IF(AND($P798=0,$Q798="Group only"),"T0-ViaGroupOnly ","")&amp;IF($W798="Yes","AlsoAzureRBAC ","")))</f>
        <v/>
      </c>
      <c r="AN798" s="85">
        <f>IF($A798="","",IF(AG798="","Not Enrolled",IF(TODAY()&gt;AG798,"Review Overdue",IF(AG798-TODAY()&lt;=30,"Review Due Soon","Active"))))</f>
        <v/>
      </c>
      <c r="AO798" s="85">
        <f>IF($A798="","",IF(AH798="","NOT REVIEWED",IF(TODAY()-AH798&gt;90,"OVERDUE",IF(TODAY()-AH798&gt;76,"Due Soon","Current"))))</f>
        <v/>
      </c>
    </row>
    <row r="799" ht="15" customHeight="1" s="39">
      <c r="A799" s="85" t="n"/>
      <c r="B799" s="85" t="n"/>
      <c r="C799" s="85" t="n"/>
      <c r="D799" s="85" t="n"/>
      <c r="E799" s="85" t="n"/>
      <c r="F799" s="86" t="n"/>
      <c r="G799" s="86" t="n"/>
      <c r="H799" s="85" t="n"/>
      <c r="I799" s="85" t="n"/>
      <c r="J799" s="85" t="n"/>
      <c r="K799" s="85" t="n"/>
      <c r="L799" s="85" t="n"/>
      <c r="M799" s="85" t="n"/>
      <c r="N799" s="85" t="n"/>
      <c r="O799" s="85" t="n"/>
      <c r="P799" s="85" t="n"/>
      <c r="Q799" s="85" t="n"/>
      <c r="R799" s="85" t="n"/>
      <c r="S799" s="85" t="n"/>
      <c r="T799" s="85" t="n"/>
      <c r="U799" s="85" t="n"/>
      <c r="V799" s="85" t="n"/>
      <c r="W799" s="85" t="n"/>
      <c r="X799" s="85" t="n"/>
      <c r="Y799" s="85" t="n"/>
      <c r="Z799" s="85" t="n"/>
      <c r="AA799" s="85" t="n"/>
      <c r="AB799" s="85" t="n"/>
      <c r="AC799" s="85" t="n"/>
      <c r="AD799" s="85" t="n"/>
      <c r="AE799" s="85" t="n"/>
      <c r="AF799" s="86" t="n"/>
      <c r="AG799" s="86" t="n"/>
      <c r="AH799" s="86" t="n"/>
      <c r="AI799" s="85" t="n"/>
      <c r="AJ799" s="85" t="n"/>
      <c r="AK799" s="85">
        <f>IF($A799="","",IF($M799&gt;0,"Yes","No"))</f>
        <v/>
      </c>
      <c r="AL799" s="85">
        <f>IF($A799="","",IF(AND($E799="Yes",OR($Y799="No",$Y799="NOT FOUND")),"YES",""))</f>
        <v/>
      </c>
      <c r="AM799" s="85">
        <f>IF($A799="","",TRIM(IF(AND($P799=0,$I799&lt;&gt;"Yes"),"T0-NoPhishResistant ","")&amp;IF($H799="No","NoMFA ","")&amp;IF(AND($P799=0,$M799&gt;0),"T0-Standing ","")&amp;IF(AND($P799=0,$Q799="Group only"),"T0-ViaGroupOnly ","")&amp;IF($W799="Yes","AlsoAzureRBAC ","")))</f>
        <v/>
      </c>
      <c r="AN799" s="85">
        <f>IF($A799="","",IF(AG799="","Not Enrolled",IF(TODAY()&gt;AG799,"Review Overdue",IF(AG799-TODAY()&lt;=30,"Review Due Soon","Active"))))</f>
        <v/>
      </c>
      <c r="AO799" s="85">
        <f>IF($A799="","",IF(AH799="","NOT REVIEWED",IF(TODAY()-AH799&gt;90,"OVERDUE",IF(TODAY()-AH799&gt;76,"Due Soon","Current"))))</f>
        <v/>
      </c>
    </row>
    <row r="800" ht="15" customHeight="1" s="39">
      <c r="A800" s="85" t="n"/>
      <c r="B800" s="85" t="n"/>
      <c r="C800" s="85" t="n"/>
      <c r="D800" s="85" t="n"/>
      <c r="E800" s="85" t="n"/>
      <c r="F800" s="86" t="n"/>
      <c r="G800" s="86" t="n"/>
      <c r="H800" s="85" t="n"/>
      <c r="I800" s="85" t="n"/>
      <c r="J800" s="85" t="n"/>
      <c r="K800" s="85" t="n"/>
      <c r="L800" s="85" t="n"/>
      <c r="M800" s="85" t="n"/>
      <c r="N800" s="85" t="n"/>
      <c r="O800" s="85" t="n"/>
      <c r="P800" s="85" t="n"/>
      <c r="Q800" s="85" t="n"/>
      <c r="R800" s="85" t="n"/>
      <c r="S800" s="85" t="n"/>
      <c r="T800" s="85" t="n"/>
      <c r="U800" s="85" t="n"/>
      <c r="V800" s="85" t="n"/>
      <c r="W800" s="85" t="n"/>
      <c r="X800" s="85" t="n"/>
      <c r="Y800" s="85" t="n"/>
      <c r="Z800" s="85" t="n"/>
      <c r="AA800" s="85" t="n"/>
      <c r="AB800" s="85" t="n"/>
      <c r="AC800" s="85" t="n"/>
      <c r="AD800" s="85" t="n"/>
      <c r="AE800" s="85" t="n"/>
      <c r="AF800" s="86" t="n"/>
      <c r="AG800" s="86" t="n"/>
      <c r="AH800" s="86" t="n"/>
      <c r="AI800" s="85" t="n"/>
      <c r="AJ800" s="85" t="n"/>
      <c r="AK800" s="85">
        <f>IF($A800="","",IF($M800&gt;0,"Yes","No"))</f>
        <v/>
      </c>
      <c r="AL800" s="85">
        <f>IF($A800="","",IF(AND($E800="Yes",OR($Y800="No",$Y800="NOT FOUND")),"YES",""))</f>
        <v/>
      </c>
      <c r="AM800" s="85">
        <f>IF($A800="","",TRIM(IF(AND($P800=0,$I800&lt;&gt;"Yes"),"T0-NoPhishResistant ","")&amp;IF($H800="No","NoMFA ","")&amp;IF(AND($P800=0,$M800&gt;0),"T0-Standing ","")&amp;IF(AND($P800=0,$Q800="Group only"),"T0-ViaGroupOnly ","")&amp;IF($W800="Yes","AlsoAzureRBAC ","")))</f>
        <v/>
      </c>
      <c r="AN800" s="85">
        <f>IF($A800="","",IF(AG800="","Not Enrolled",IF(TODAY()&gt;AG800,"Review Overdue",IF(AG800-TODAY()&lt;=30,"Review Due Soon","Active"))))</f>
        <v/>
      </c>
      <c r="AO800" s="85">
        <f>IF($A800="","",IF(AH800="","NOT REVIEWED",IF(TODAY()-AH800&gt;90,"OVERDUE",IF(TODAY()-AH800&gt;76,"Due Soon","Current"))))</f>
        <v/>
      </c>
    </row>
    <row r="801" ht="15" customHeight="1" s="39">
      <c r="A801" s="85" t="n"/>
      <c r="B801" s="85" t="n"/>
      <c r="C801" s="85" t="n"/>
      <c r="D801" s="85" t="n"/>
      <c r="E801" s="85" t="n"/>
      <c r="F801" s="86" t="n"/>
      <c r="G801" s="86" t="n"/>
      <c r="H801" s="85" t="n"/>
      <c r="I801" s="85" t="n"/>
      <c r="J801" s="85" t="n"/>
      <c r="K801" s="85" t="n"/>
      <c r="L801" s="85" t="n"/>
      <c r="M801" s="85" t="n"/>
      <c r="N801" s="85" t="n"/>
      <c r="O801" s="85" t="n"/>
      <c r="P801" s="85" t="n"/>
      <c r="Q801" s="85" t="n"/>
      <c r="R801" s="85" t="n"/>
      <c r="S801" s="85" t="n"/>
      <c r="T801" s="85" t="n"/>
      <c r="U801" s="85" t="n"/>
      <c r="V801" s="85" t="n"/>
      <c r="W801" s="85" t="n"/>
      <c r="X801" s="85" t="n"/>
      <c r="Y801" s="85" t="n"/>
      <c r="Z801" s="85" t="n"/>
      <c r="AA801" s="85" t="n"/>
      <c r="AB801" s="85" t="n"/>
      <c r="AC801" s="85" t="n"/>
      <c r="AD801" s="85" t="n"/>
      <c r="AE801" s="85" t="n"/>
      <c r="AF801" s="86" t="n"/>
      <c r="AG801" s="86" t="n"/>
      <c r="AH801" s="86" t="n"/>
      <c r="AI801" s="85" t="n"/>
      <c r="AJ801" s="85" t="n"/>
      <c r="AK801" s="85">
        <f>IF($A801="","",IF($M801&gt;0,"Yes","No"))</f>
        <v/>
      </c>
      <c r="AL801" s="85">
        <f>IF($A801="","",IF(AND($E801="Yes",OR($Y801="No",$Y801="NOT FOUND")),"YES",""))</f>
        <v/>
      </c>
      <c r="AM801" s="85">
        <f>IF($A801="","",TRIM(IF(AND($P801=0,$I801&lt;&gt;"Yes"),"T0-NoPhishResistant ","")&amp;IF($H801="No","NoMFA ","")&amp;IF(AND($P801=0,$M801&gt;0),"T0-Standing ","")&amp;IF(AND($P801=0,$Q801="Group only"),"T0-ViaGroupOnly ","")&amp;IF($W801="Yes","AlsoAzureRBAC ","")))</f>
        <v/>
      </c>
      <c r="AN801" s="85">
        <f>IF($A801="","",IF(AG801="","Not Enrolled",IF(TODAY()&gt;AG801,"Review Overdue",IF(AG801-TODAY()&lt;=30,"Review Due Soon","Active"))))</f>
        <v/>
      </c>
      <c r="AO801" s="85">
        <f>IF($A801="","",IF(AH801="","NOT REVIEWED",IF(TODAY()-AH801&gt;90,"OVERDUE",IF(TODAY()-AH801&gt;76,"Due Soon","Current"))))</f>
        <v/>
      </c>
    </row>
    <row r="802" ht="15" customHeight="1" s="39">
      <c r="A802" s="85" t="n"/>
      <c r="B802" s="85" t="n"/>
      <c r="C802" s="85" t="n"/>
      <c r="D802" s="85" t="n"/>
      <c r="E802" s="85" t="n"/>
      <c r="F802" s="86" t="n"/>
      <c r="G802" s="86" t="n"/>
      <c r="H802" s="85" t="n"/>
      <c r="I802" s="85" t="n"/>
      <c r="J802" s="85" t="n"/>
      <c r="K802" s="85" t="n"/>
      <c r="L802" s="85" t="n"/>
      <c r="M802" s="85" t="n"/>
      <c r="N802" s="85" t="n"/>
      <c r="O802" s="85" t="n"/>
      <c r="P802" s="85" t="n"/>
      <c r="Q802" s="85" t="n"/>
      <c r="R802" s="85" t="n"/>
      <c r="S802" s="85" t="n"/>
      <c r="T802" s="85" t="n"/>
      <c r="U802" s="85" t="n"/>
      <c r="V802" s="85" t="n"/>
      <c r="W802" s="85" t="n"/>
      <c r="X802" s="85" t="n"/>
      <c r="Y802" s="85" t="n"/>
      <c r="Z802" s="85" t="n"/>
      <c r="AA802" s="85" t="n"/>
      <c r="AB802" s="85" t="n"/>
      <c r="AC802" s="85" t="n"/>
      <c r="AD802" s="85" t="n"/>
      <c r="AE802" s="85" t="n"/>
      <c r="AF802" s="86" t="n"/>
      <c r="AG802" s="86" t="n"/>
      <c r="AH802" s="86" t="n"/>
      <c r="AI802" s="85" t="n"/>
      <c r="AJ802" s="85" t="n"/>
      <c r="AK802" s="85">
        <f>IF($A802="","",IF($M802&gt;0,"Yes","No"))</f>
        <v/>
      </c>
      <c r="AL802" s="85">
        <f>IF($A802="","",IF(AND($E802="Yes",OR($Y802="No",$Y802="NOT FOUND")),"YES",""))</f>
        <v/>
      </c>
      <c r="AM802" s="85">
        <f>IF($A802="","",TRIM(IF(AND($P802=0,$I802&lt;&gt;"Yes"),"T0-NoPhishResistant ","")&amp;IF($H802="No","NoMFA ","")&amp;IF(AND($P802=0,$M802&gt;0),"T0-Standing ","")&amp;IF(AND($P802=0,$Q802="Group only"),"T0-ViaGroupOnly ","")&amp;IF($W802="Yes","AlsoAzureRBAC ","")))</f>
        <v/>
      </c>
      <c r="AN802" s="85">
        <f>IF($A802="","",IF(AG802="","Not Enrolled",IF(TODAY()&gt;AG802,"Review Overdue",IF(AG802-TODAY()&lt;=30,"Review Due Soon","Active"))))</f>
        <v/>
      </c>
      <c r="AO802" s="85">
        <f>IF($A802="","",IF(AH802="","NOT REVIEWED",IF(TODAY()-AH802&gt;90,"OVERDUE",IF(TODAY()-AH802&gt;76,"Due Soon","Current"))))</f>
        <v/>
      </c>
    </row>
    <row r="803" ht="15" customHeight="1" s="39">
      <c r="A803" s="85" t="n"/>
      <c r="B803" s="85" t="n"/>
      <c r="C803" s="85" t="n"/>
      <c r="D803" s="85" t="n"/>
      <c r="E803" s="85" t="n"/>
      <c r="F803" s="86" t="n"/>
      <c r="G803" s="86" t="n"/>
      <c r="H803" s="85" t="n"/>
      <c r="I803" s="85" t="n"/>
      <c r="J803" s="85" t="n"/>
      <c r="K803" s="85" t="n"/>
      <c r="L803" s="85" t="n"/>
      <c r="M803" s="85" t="n"/>
      <c r="N803" s="85" t="n"/>
      <c r="O803" s="85" t="n"/>
      <c r="P803" s="85" t="n"/>
      <c r="Q803" s="85" t="n"/>
      <c r="R803" s="85" t="n"/>
      <c r="S803" s="85" t="n"/>
      <c r="T803" s="85" t="n"/>
      <c r="U803" s="85" t="n"/>
      <c r="V803" s="85" t="n"/>
      <c r="W803" s="85" t="n"/>
      <c r="X803" s="85" t="n"/>
      <c r="Y803" s="85" t="n"/>
      <c r="Z803" s="85" t="n"/>
      <c r="AA803" s="85" t="n"/>
      <c r="AB803" s="85" t="n"/>
      <c r="AC803" s="85" t="n"/>
      <c r="AD803" s="85" t="n"/>
      <c r="AE803" s="85" t="n"/>
      <c r="AF803" s="86" t="n"/>
      <c r="AG803" s="86" t="n"/>
      <c r="AH803" s="86" t="n"/>
      <c r="AI803" s="85" t="n"/>
      <c r="AJ803" s="85" t="n"/>
      <c r="AK803" s="85">
        <f>IF($A803="","",IF($M803&gt;0,"Yes","No"))</f>
        <v/>
      </c>
      <c r="AL803" s="85">
        <f>IF($A803="","",IF(AND($E803="Yes",OR($Y803="No",$Y803="NOT FOUND")),"YES",""))</f>
        <v/>
      </c>
      <c r="AM803" s="85">
        <f>IF($A803="","",TRIM(IF(AND($P803=0,$I803&lt;&gt;"Yes"),"T0-NoPhishResistant ","")&amp;IF($H803="No","NoMFA ","")&amp;IF(AND($P803=0,$M803&gt;0),"T0-Standing ","")&amp;IF(AND($P803=0,$Q803="Group only"),"T0-ViaGroupOnly ","")&amp;IF($W803="Yes","AlsoAzureRBAC ","")))</f>
        <v/>
      </c>
      <c r="AN803" s="85">
        <f>IF($A803="","",IF(AG803="","Not Enrolled",IF(TODAY()&gt;AG803,"Review Overdue",IF(AG803-TODAY()&lt;=30,"Review Due Soon","Active"))))</f>
        <v/>
      </c>
      <c r="AO803" s="85">
        <f>IF($A803="","",IF(AH803="","NOT REVIEWED",IF(TODAY()-AH803&gt;90,"OVERDUE",IF(TODAY()-AH803&gt;76,"Due Soon","Current"))))</f>
        <v/>
      </c>
    </row>
    <row r="804" ht="15" customHeight="1" s="39">
      <c r="A804" s="85" t="n"/>
      <c r="B804" s="85" t="n"/>
      <c r="C804" s="85" t="n"/>
      <c r="D804" s="85" t="n"/>
      <c r="E804" s="85" t="n"/>
      <c r="F804" s="86" t="n"/>
      <c r="G804" s="86" t="n"/>
      <c r="H804" s="85" t="n"/>
      <c r="I804" s="85" t="n"/>
      <c r="J804" s="85" t="n"/>
      <c r="K804" s="85" t="n"/>
      <c r="L804" s="85" t="n"/>
      <c r="M804" s="85" t="n"/>
      <c r="N804" s="85" t="n"/>
      <c r="O804" s="85" t="n"/>
      <c r="P804" s="85" t="n"/>
      <c r="Q804" s="85" t="n"/>
      <c r="R804" s="85" t="n"/>
      <c r="S804" s="85" t="n"/>
      <c r="T804" s="85" t="n"/>
      <c r="U804" s="85" t="n"/>
      <c r="V804" s="85" t="n"/>
      <c r="W804" s="85" t="n"/>
      <c r="X804" s="85" t="n"/>
      <c r="Y804" s="85" t="n"/>
      <c r="Z804" s="85" t="n"/>
      <c r="AA804" s="85" t="n"/>
      <c r="AB804" s="85" t="n"/>
      <c r="AC804" s="85" t="n"/>
      <c r="AD804" s="85" t="n"/>
      <c r="AE804" s="85" t="n"/>
      <c r="AF804" s="86" t="n"/>
      <c r="AG804" s="86" t="n"/>
      <c r="AH804" s="86" t="n"/>
      <c r="AI804" s="85" t="n"/>
      <c r="AJ804" s="85" t="n"/>
      <c r="AK804" s="85">
        <f>IF($A804="","",IF($M804&gt;0,"Yes","No"))</f>
        <v/>
      </c>
      <c r="AL804" s="85">
        <f>IF($A804="","",IF(AND($E804="Yes",OR($Y804="No",$Y804="NOT FOUND")),"YES",""))</f>
        <v/>
      </c>
      <c r="AM804" s="85">
        <f>IF($A804="","",TRIM(IF(AND($P804=0,$I804&lt;&gt;"Yes"),"T0-NoPhishResistant ","")&amp;IF($H804="No","NoMFA ","")&amp;IF(AND($P804=0,$M804&gt;0),"T0-Standing ","")&amp;IF(AND($P804=0,$Q804="Group only"),"T0-ViaGroupOnly ","")&amp;IF($W804="Yes","AlsoAzureRBAC ","")))</f>
        <v/>
      </c>
      <c r="AN804" s="85">
        <f>IF($A804="","",IF(AG804="","Not Enrolled",IF(TODAY()&gt;AG804,"Review Overdue",IF(AG804-TODAY()&lt;=30,"Review Due Soon","Active"))))</f>
        <v/>
      </c>
      <c r="AO804" s="85">
        <f>IF($A804="","",IF(AH804="","NOT REVIEWED",IF(TODAY()-AH804&gt;90,"OVERDUE",IF(TODAY()-AH804&gt;76,"Due Soon","Current"))))</f>
        <v/>
      </c>
    </row>
    <row r="805" ht="15" customHeight="1" s="39">
      <c r="A805" s="85" t="n"/>
      <c r="B805" s="85" t="n"/>
      <c r="C805" s="85" t="n"/>
      <c r="D805" s="85" t="n"/>
      <c r="E805" s="85" t="n"/>
      <c r="F805" s="86" t="n"/>
      <c r="G805" s="86" t="n"/>
      <c r="H805" s="85" t="n"/>
      <c r="I805" s="85" t="n"/>
      <c r="J805" s="85" t="n"/>
      <c r="K805" s="85" t="n"/>
      <c r="L805" s="85" t="n"/>
      <c r="M805" s="85" t="n"/>
      <c r="N805" s="85" t="n"/>
      <c r="O805" s="85" t="n"/>
      <c r="P805" s="85" t="n"/>
      <c r="Q805" s="85" t="n"/>
      <c r="R805" s="85" t="n"/>
      <c r="S805" s="85" t="n"/>
      <c r="T805" s="85" t="n"/>
      <c r="U805" s="85" t="n"/>
      <c r="V805" s="85" t="n"/>
      <c r="W805" s="85" t="n"/>
      <c r="X805" s="85" t="n"/>
      <c r="Y805" s="85" t="n"/>
      <c r="Z805" s="85" t="n"/>
      <c r="AA805" s="85" t="n"/>
      <c r="AB805" s="85" t="n"/>
      <c r="AC805" s="85" t="n"/>
      <c r="AD805" s="85" t="n"/>
      <c r="AE805" s="85" t="n"/>
      <c r="AF805" s="86" t="n"/>
      <c r="AG805" s="86" t="n"/>
      <c r="AH805" s="86" t="n"/>
      <c r="AI805" s="85" t="n"/>
      <c r="AJ805" s="85" t="n"/>
      <c r="AK805" s="85">
        <f>IF($A805="","",IF($M805&gt;0,"Yes","No"))</f>
        <v/>
      </c>
      <c r="AL805" s="85">
        <f>IF($A805="","",IF(AND($E805="Yes",OR($Y805="No",$Y805="NOT FOUND")),"YES",""))</f>
        <v/>
      </c>
      <c r="AM805" s="85">
        <f>IF($A805="","",TRIM(IF(AND($P805=0,$I805&lt;&gt;"Yes"),"T0-NoPhishResistant ","")&amp;IF($H805="No","NoMFA ","")&amp;IF(AND($P805=0,$M805&gt;0),"T0-Standing ","")&amp;IF(AND($P805=0,$Q805="Group only"),"T0-ViaGroupOnly ","")&amp;IF($W805="Yes","AlsoAzureRBAC ","")))</f>
        <v/>
      </c>
      <c r="AN805" s="85">
        <f>IF($A805="","",IF(AG805="","Not Enrolled",IF(TODAY()&gt;AG805,"Review Overdue",IF(AG805-TODAY()&lt;=30,"Review Due Soon","Active"))))</f>
        <v/>
      </c>
      <c r="AO805" s="85">
        <f>IF($A805="","",IF(AH805="","NOT REVIEWED",IF(TODAY()-AH805&gt;90,"OVERDUE",IF(TODAY()-AH805&gt;76,"Due Soon","Current"))))</f>
        <v/>
      </c>
    </row>
    <row r="806" ht="15" customHeight="1" s="39">
      <c r="A806" s="85" t="n"/>
      <c r="B806" s="85" t="n"/>
      <c r="C806" s="85" t="n"/>
      <c r="D806" s="85" t="n"/>
      <c r="E806" s="85" t="n"/>
      <c r="F806" s="86" t="n"/>
      <c r="G806" s="86" t="n"/>
      <c r="H806" s="85" t="n"/>
      <c r="I806" s="85" t="n"/>
      <c r="J806" s="85" t="n"/>
      <c r="K806" s="85" t="n"/>
      <c r="L806" s="85" t="n"/>
      <c r="M806" s="85" t="n"/>
      <c r="N806" s="85" t="n"/>
      <c r="O806" s="85" t="n"/>
      <c r="P806" s="85" t="n"/>
      <c r="Q806" s="85" t="n"/>
      <c r="R806" s="85" t="n"/>
      <c r="S806" s="85" t="n"/>
      <c r="T806" s="85" t="n"/>
      <c r="U806" s="85" t="n"/>
      <c r="V806" s="85" t="n"/>
      <c r="W806" s="85" t="n"/>
      <c r="X806" s="85" t="n"/>
      <c r="Y806" s="85" t="n"/>
      <c r="Z806" s="85" t="n"/>
      <c r="AA806" s="85" t="n"/>
      <c r="AB806" s="85" t="n"/>
      <c r="AC806" s="85" t="n"/>
      <c r="AD806" s="85" t="n"/>
      <c r="AE806" s="85" t="n"/>
      <c r="AF806" s="86" t="n"/>
      <c r="AG806" s="86" t="n"/>
      <c r="AH806" s="86" t="n"/>
      <c r="AI806" s="85" t="n"/>
      <c r="AJ806" s="85" t="n"/>
      <c r="AK806" s="85">
        <f>IF($A806="","",IF($M806&gt;0,"Yes","No"))</f>
        <v/>
      </c>
      <c r="AL806" s="85">
        <f>IF($A806="","",IF(AND($E806="Yes",OR($Y806="No",$Y806="NOT FOUND")),"YES",""))</f>
        <v/>
      </c>
      <c r="AM806" s="85">
        <f>IF($A806="","",TRIM(IF(AND($P806=0,$I806&lt;&gt;"Yes"),"T0-NoPhishResistant ","")&amp;IF($H806="No","NoMFA ","")&amp;IF(AND($P806=0,$M806&gt;0),"T0-Standing ","")&amp;IF(AND($P806=0,$Q806="Group only"),"T0-ViaGroupOnly ","")&amp;IF($W806="Yes","AlsoAzureRBAC ","")))</f>
        <v/>
      </c>
      <c r="AN806" s="85">
        <f>IF($A806="","",IF(AG806="","Not Enrolled",IF(TODAY()&gt;AG806,"Review Overdue",IF(AG806-TODAY()&lt;=30,"Review Due Soon","Active"))))</f>
        <v/>
      </c>
      <c r="AO806" s="85">
        <f>IF($A806="","",IF(AH806="","NOT REVIEWED",IF(TODAY()-AH806&gt;90,"OVERDUE",IF(TODAY()-AH806&gt;76,"Due Soon","Current"))))</f>
        <v/>
      </c>
    </row>
    <row r="807" ht="15" customHeight="1" s="39">
      <c r="A807" s="85" t="n"/>
      <c r="B807" s="85" t="n"/>
      <c r="C807" s="85" t="n"/>
      <c r="D807" s="85" t="n"/>
      <c r="E807" s="85" t="n"/>
      <c r="F807" s="86" t="n"/>
      <c r="G807" s="86" t="n"/>
      <c r="H807" s="85" t="n"/>
      <c r="I807" s="85" t="n"/>
      <c r="J807" s="85" t="n"/>
      <c r="K807" s="85" t="n"/>
      <c r="L807" s="85" t="n"/>
      <c r="M807" s="85" t="n"/>
      <c r="N807" s="85" t="n"/>
      <c r="O807" s="85" t="n"/>
      <c r="P807" s="85" t="n"/>
      <c r="Q807" s="85" t="n"/>
      <c r="R807" s="85" t="n"/>
      <c r="S807" s="85" t="n"/>
      <c r="T807" s="85" t="n"/>
      <c r="U807" s="85" t="n"/>
      <c r="V807" s="85" t="n"/>
      <c r="W807" s="85" t="n"/>
      <c r="X807" s="85" t="n"/>
      <c r="Y807" s="85" t="n"/>
      <c r="Z807" s="85" t="n"/>
      <c r="AA807" s="85" t="n"/>
      <c r="AB807" s="85" t="n"/>
      <c r="AC807" s="85" t="n"/>
      <c r="AD807" s="85" t="n"/>
      <c r="AE807" s="85" t="n"/>
      <c r="AF807" s="86" t="n"/>
      <c r="AG807" s="86" t="n"/>
      <c r="AH807" s="86" t="n"/>
      <c r="AI807" s="85" t="n"/>
      <c r="AJ807" s="85" t="n"/>
      <c r="AK807" s="85">
        <f>IF($A807="","",IF($M807&gt;0,"Yes","No"))</f>
        <v/>
      </c>
      <c r="AL807" s="85">
        <f>IF($A807="","",IF(AND($E807="Yes",OR($Y807="No",$Y807="NOT FOUND")),"YES",""))</f>
        <v/>
      </c>
      <c r="AM807" s="85">
        <f>IF($A807="","",TRIM(IF(AND($P807=0,$I807&lt;&gt;"Yes"),"T0-NoPhishResistant ","")&amp;IF($H807="No","NoMFA ","")&amp;IF(AND($P807=0,$M807&gt;0),"T0-Standing ","")&amp;IF(AND($P807=0,$Q807="Group only"),"T0-ViaGroupOnly ","")&amp;IF($W807="Yes","AlsoAzureRBAC ","")))</f>
        <v/>
      </c>
      <c r="AN807" s="85">
        <f>IF($A807="","",IF(AG807="","Not Enrolled",IF(TODAY()&gt;AG807,"Review Overdue",IF(AG807-TODAY()&lt;=30,"Review Due Soon","Active"))))</f>
        <v/>
      </c>
      <c r="AO807" s="85">
        <f>IF($A807="","",IF(AH807="","NOT REVIEWED",IF(TODAY()-AH807&gt;90,"OVERDUE",IF(TODAY()-AH807&gt;76,"Due Soon","Current"))))</f>
        <v/>
      </c>
    </row>
    <row r="808" ht="15" customHeight="1" s="39">
      <c r="A808" s="85" t="n"/>
      <c r="B808" s="85" t="n"/>
      <c r="C808" s="85" t="n"/>
      <c r="D808" s="85" t="n"/>
      <c r="E808" s="85" t="n"/>
      <c r="F808" s="86" t="n"/>
      <c r="G808" s="86" t="n"/>
      <c r="H808" s="85" t="n"/>
      <c r="I808" s="85" t="n"/>
      <c r="J808" s="85" t="n"/>
      <c r="K808" s="85" t="n"/>
      <c r="L808" s="85" t="n"/>
      <c r="M808" s="85" t="n"/>
      <c r="N808" s="85" t="n"/>
      <c r="O808" s="85" t="n"/>
      <c r="P808" s="85" t="n"/>
      <c r="Q808" s="85" t="n"/>
      <c r="R808" s="85" t="n"/>
      <c r="S808" s="85" t="n"/>
      <c r="T808" s="85" t="n"/>
      <c r="U808" s="85" t="n"/>
      <c r="V808" s="85" t="n"/>
      <c r="W808" s="85" t="n"/>
      <c r="X808" s="85" t="n"/>
      <c r="Y808" s="85" t="n"/>
      <c r="Z808" s="85" t="n"/>
      <c r="AA808" s="85" t="n"/>
      <c r="AB808" s="85" t="n"/>
      <c r="AC808" s="85" t="n"/>
      <c r="AD808" s="85" t="n"/>
      <c r="AE808" s="85" t="n"/>
      <c r="AF808" s="86" t="n"/>
      <c r="AG808" s="86" t="n"/>
      <c r="AH808" s="86" t="n"/>
      <c r="AI808" s="85" t="n"/>
      <c r="AJ808" s="85" t="n"/>
      <c r="AK808" s="85">
        <f>IF($A808="","",IF($M808&gt;0,"Yes","No"))</f>
        <v/>
      </c>
      <c r="AL808" s="85">
        <f>IF($A808="","",IF(AND($E808="Yes",OR($Y808="No",$Y808="NOT FOUND")),"YES",""))</f>
        <v/>
      </c>
      <c r="AM808" s="85">
        <f>IF($A808="","",TRIM(IF(AND($P808=0,$I808&lt;&gt;"Yes"),"T0-NoPhishResistant ","")&amp;IF($H808="No","NoMFA ","")&amp;IF(AND($P808=0,$M808&gt;0),"T0-Standing ","")&amp;IF(AND($P808=0,$Q808="Group only"),"T0-ViaGroupOnly ","")&amp;IF($W808="Yes","AlsoAzureRBAC ","")))</f>
        <v/>
      </c>
      <c r="AN808" s="85">
        <f>IF($A808="","",IF(AG808="","Not Enrolled",IF(TODAY()&gt;AG808,"Review Overdue",IF(AG808-TODAY()&lt;=30,"Review Due Soon","Active"))))</f>
        <v/>
      </c>
      <c r="AO808" s="85">
        <f>IF($A808="","",IF(AH808="","NOT REVIEWED",IF(TODAY()-AH808&gt;90,"OVERDUE",IF(TODAY()-AH808&gt;76,"Due Soon","Current"))))</f>
        <v/>
      </c>
    </row>
    <row r="809" ht="15" customHeight="1" s="39">
      <c r="A809" s="85" t="n"/>
      <c r="B809" s="85" t="n"/>
      <c r="C809" s="85" t="n"/>
      <c r="D809" s="85" t="n"/>
      <c r="E809" s="85" t="n"/>
      <c r="F809" s="86" t="n"/>
      <c r="G809" s="86" t="n"/>
      <c r="H809" s="85" t="n"/>
      <c r="I809" s="85" t="n"/>
      <c r="J809" s="85" t="n"/>
      <c r="K809" s="85" t="n"/>
      <c r="L809" s="85" t="n"/>
      <c r="M809" s="85" t="n"/>
      <c r="N809" s="85" t="n"/>
      <c r="O809" s="85" t="n"/>
      <c r="P809" s="85" t="n"/>
      <c r="Q809" s="85" t="n"/>
      <c r="R809" s="85" t="n"/>
      <c r="S809" s="85" t="n"/>
      <c r="T809" s="85" t="n"/>
      <c r="U809" s="85" t="n"/>
      <c r="V809" s="85" t="n"/>
      <c r="W809" s="85" t="n"/>
      <c r="X809" s="85" t="n"/>
      <c r="Y809" s="85" t="n"/>
      <c r="Z809" s="85" t="n"/>
      <c r="AA809" s="85" t="n"/>
      <c r="AB809" s="85" t="n"/>
      <c r="AC809" s="85" t="n"/>
      <c r="AD809" s="85" t="n"/>
      <c r="AE809" s="85" t="n"/>
      <c r="AF809" s="86" t="n"/>
      <c r="AG809" s="86" t="n"/>
      <c r="AH809" s="86" t="n"/>
      <c r="AI809" s="85" t="n"/>
      <c r="AJ809" s="85" t="n"/>
      <c r="AK809" s="85">
        <f>IF($A809="","",IF($M809&gt;0,"Yes","No"))</f>
        <v/>
      </c>
      <c r="AL809" s="85">
        <f>IF($A809="","",IF(AND($E809="Yes",OR($Y809="No",$Y809="NOT FOUND")),"YES",""))</f>
        <v/>
      </c>
      <c r="AM809" s="85">
        <f>IF($A809="","",TRIM(IF(AND($P809=0,$I809&lt;&gt;"Yes"),"T0-NoPhishResistant ","")&amp;IF($H809="No","NoMFA ","")&amp;IF(AND($P809=0,$M809&gt;0),"T0-Standing ","")&amp;IF(AND($P809=0,$Q809="Group only"),"T0-ViaGroupOnly ","")&amp;IF($W809="Yes","AlsoAzureRBAC ","")))</f>
        <v/>
      </c>
      <c r="AN809" s="85">
        <f>IF($A809="","",IF(AG809="","Not Enrolled",IF(TODAY()&gt;AG809,"Review Overdue",IF(AG809-TODAY()&lt;=30,"Review Due Soon","Active"))))</f>
        <v/>
      </c>
      <c r="AO809" s="85">
        <f>IF($A809="","",IF(AH809="","NOT REVIEWED",IF(TODAY()-AH809&gt;90,"OVERDUE",IF(TODAY()-AH809&gt;76,"Due Soon","Current"))))</f>
        <v/>
      </c>
    </row>
    <row r="810" ht="15" customHeight="1" s="39">
      <c r="A810" s="85" t="n"/>
      <c r="B810" s="85" t="n"/>
      <c r="C810" s="85" t="n"/>
      <c r="D810" s="85" t="n"/>
      <c r="E810" s="85" t="n"/>
      <c r="F810" s="86" t="n"/>
      <c r="G810" s="86" t="n"/>
      <c r="H810" s="85" t="n"/>
      <c r="I810" s="85" t="n"/>
      <c r="J810" s="85" t="n"/>
      <c r="K810" s="85" t="n"/>
      <c r="L810" s="85" t="n"/>
      <c r="M810" s="85" t="n"/>
      <c r="N810" s="85" t="n"/>
      <c r="O810" s="85" t="n"/>
      <c r="P810" s="85" t="n"/>
      <c r="Q810" s="85" t="n"/>
      <c r="R810" s="85" t="n"/>
      <c r="S810" s="85" t="n"/>
      <c r="T810" s="85" t="n"/>
      <c r="U810" s="85" t="n"/>
      <c r="V810" s="85" t="n"/>
      <c r="W810" s="85" t="n"/>
      <c r="X810" s="85" t="n"/>
      <c r="Y810" s="85" t="n"/>
      <c r="Z810" s="85" t="n"/>
      <c r="AA810" s="85" t="n"/>
      <c r="AB810" s="85" t="n"/>
      <c r="AC810" s="85" t="n"/>
      <c r="AD810" s="85" t="n"/>
      <c r="AE810" s="85" t="n"/>
      <c r="AF810" s="86" t="n"/>
      <c r="AG810" s="86" t="n"/>
      <c r="AH810" s="86" t="n"/>
      <c r="AI810" s="85" t="n"/>
      <c r="AJ810" s="85" t="n"/>
      <c r="AK810" s="85">
        <f>IF($A810="","",IF($M810&gt;0,"Yes","No"))</f>
        <v/>
      </c>
      <c r="AL810" s="85">
        <f>IF($A810="","",IF(AND($E810="Yes",OR($Y810="No",$Y810="NOT FOUND")),"YES",""))</f>
        <v/>
      </c>
      <c r="AM810" s="85">
        <f>IF($A810="","",TRIM(IF(AND($P810=0,$I810&lt;&gt;"Yes"),"T0-NoPhishResistant ","")&amp;IF($H810="No","NoMFA ","")&amp;IF(AND($P810=0,$M810&gt;0),"T0-Standing ","")&amp;IF(AND($P810=0,$Q810="Group only"),"T0-ViaGroupOnly ","")&amp;IF($W810="Yes","AlsoAzureRBAC ","")))</f>
        <v/>
      </c>
      <c r="AN810" s="85">
        <f>IF($A810="","",IF(AG810="","Not Enrolled",IF(TODAY()&gt;AG810,"Review Overdue",IF(AG810-TODAY()&lt;=30,"Review Due Soon","Active"))))</f>
        <v/>
      </c>
      <c r="AO810" s="85">
        <f>IF($A810="","",IF(AH810="","NOT REVIEWED",IF(TODAY()-AH810&gt;90,"OVERDUE",IF(TODAY()-AH810&gt;76,"Due Soon","Current"))))</f>
        <v/>
      </c>
    </row>
    <row r="811" ht="15" customHeight="1" s="39">
      <c r="A811" s="85" t="n"/>
      <c r="B811" s="85" t="n"/>
      <c r="C811" s="85" t="n"/>
      <c r="D811" s="85" t="n"/>
      <c r="E811" s="85" t="n"/>
      <c r="F811" s="86" t="n"/>
      <c r="G811" s="86" t="n"/>
      <c r="H811" s="85" t="n"/>
      <c r="I811" s="85" t="n"/>
      <c r="J811" s="85" t="n"/>
      <c r="K811" s="85" t="n"/>
      <c r="L811" s="85" t="n"/>
      <c r="M811" s="85" t="n"/>
      <c r="N811" s="85" t="n"/>
      <c r="O811" s="85" t="n"/>
      <c r="P811" s="85" t="n"/>
      <c r="Q811" s="85" t="n"/>
      <c r="R811" s="85" t="n"/>
      <c r="S811" s="85" t="n"/>
      <c r="T811" s="85" t="n"/>
      <c r="U811" s="85" t="n"/>
      <c r="V811" s="85" t="n"/>
      <c r="W811" s="85" t="n"/>
      <c r="X811" s="85" t="n"/>
      <c r="Y811" s="85" t="n"/>
      <c r="Z811" s="85" t="n"/>
      <c r="AA811" s="85" t="n"/>
      <c r="AB811" s="85" t="n"/>
      <c r="AC811" s="85" t="n"/>
      <c r="AD811" s="85" t="n"/>
      <c r="AE811" s="85" t="n"/>
      <c r="AF811" s="86" t="n"/>
      <c r="AG811" s="86" t="n"/>
      <c r="AH811" s="86" t="n"/>
      <c r="AI811" s="85" t="n"/>
      <c r="AJ811" s="85" t="n"/>
      <c r="AK811" s="85">
        <f>IF($A811="","",IF($M811&gt;0,"Yes","No"))</f>
        <v/>
      </c>
      <c r="AL811" s="85">
        <f>IF($A811="","",IF(AND($E811="Yes",OR($Y811="No",$Y811="NOT FOUND")),"YES",""))</f>
        <v/>
      </c>
      <c r="AM811" s="85">
        <f>IF($A811="","",TRIM(IF(AND($P811=0,$I811&lt;&gt;"Yes"),"T0-NoPhishResistant ","")&amp;IF($H811="No","NoMFA ","")&amp;IF(AND($P811=0,$M811&gt;0),"T0-Standing ","")&amp;IF(AND($P811=0,$Q811="Group only"),"T0-ViaGroupOnly ","")&amp;IF($W811="Yes","AlsoAzureRBAC ","")))</f>
        <v/>
      </c>
      <c r="AN811" s="85">
        <f>IF($A811="","",IF(AG811="","Not Enrolled",IF(TODAY()&gt;AG811,"Review Overdue",IF(AG811-TODAY()&lt;=30,"Review Due Soon","Active"))))</f>
        <v/>
      </c>
      <c r="AO811" s="85">
        <f>IF($A811="","",IF(AH811="","NOT REVIEWED",IF(TODAY()-AH811&gt;90,"OVERDUE",IF(TODAY()-AH811&gt;76,"Due Soon","Current"))))</f>
        <v/>
      </c>
    </row>
    <row r="812" ht="15" customHeight="1" s="39">
      <c r="A812" s="85" t="n"/>
      <c r="B812" s="85" t="n"/>
      <c r="C812" s="85" t="n"/>
      <c r="D812" s="85" t="n"/>
      <c r="E812" s="85" t="n"/>
      <c r="F812" s="86" t="n"/>
      <c r="G812" s="86" t="n"/>
      <c r="H812" s="85" t="n"/>
      <c r="I812" s="85" t="n"/>
      <c r="J812" s="85" t="n"/>
      <c r="K812" s="85" t="n"/>
      <c r="L812" s="85" t="n"/>
      <c r="M812" s="85" t="n"/>
      <c r="N812" s="85" t="n"/>
      <c r="O812" s="85" t="n"/>
      <c r="P812" s="85" t="n"/>
      <c r="Q812" s="85" t="n"/>
      <c r="R812" s="85" t="n"/>
      <c r="S812" s="85" t="n"/>
      <c r="T812" s="85" t="n"/>
      <c r="U812" s="85" t="n"/>
      <c r="V812" s="85" t="n"/>
      <c r="W812" s="85" t="n"/>
      <c r="X812" s="85" t="n"/>
      <c r="Y812" s="85" t="n"/>
      <c r="Z812" s="85" t="n"/>
      <c r="AA812" s="85" t="n"/>
      <c r="AB812" s="85" t="n"/>
      <c r="AC812" s="85" t="n"/>
      <c r="AD812" s="85" t="n"/>
      <c r="AE812" s="85" t="n"/>
      <c r="AF812" s="86" t="n"/>
      <c r="AG812" s="86" t="n"/>
      <c r="AH812" s="86" t="n"/>
      <c r="AI812" s="85" t="n"/>
      <c r="AJ812" s="85" t="n"/>
      <c r="AK812" s="85">
        <f>IF($A812="","",IF($M812&gt;0,"Yes","No"))</f>
        <v/>
      </c>
      <c r="AL812" s="85">
        <f>IF($A812="","",IF(AND($E812="Yes",OR($Y812="No",$Y812="NOT FOUND")),"YES",""))</f>
        <v/>
      </c>
      <c r="AM812" s="85">
        <f>IF($A812="","",TRIM(IF(AND($P812=0,$I812&lt;&gt;"Yes"),"T0-NoPhishResistant ","")&amp;IF($H812="No","NoMFA ","")&amp;IF(AND($P812=0,$M812&gt;0),"T0-Standing ","")&amp;IF(AND($P812=0,$Q812="Group only"),"T0-ViaGroupOnly ","")&amp;IF($W812="Yes","AlsoAzureRBAC ","")))</f>
        <v/>
      </c>
      <c r="AN812" s="85">
        <f>IF($A812="","",IF(AG812="","Not Enrolled",IF(TODAY()&gt;AG812,"Review Overdue",IF(AG812-TODAY()&lt;=30,"Review Due Soon","Active"))))</f>
        <v/>
      </c>
      <c r="AO812" s="85">
        <f>IF($A812="","",IF(AH812="","NOT REVIEWED",IF(TODAY()-AH812&gt;90,"OVERDUE",IF(TODAY()-AH812&gt;76,"Due Soon","Current"))))</f>
        <v/>
      </c>
    </row>
    <row r="813" ht="15" customHeight="1" s="39">
      <c r="A813" s="85" t="n"/>
      <c r="B813" s="85" t="n"/>
      <c r="C813" s="85" t="n"/>
      <c r="D813" s="85" t="n"/>
      <c r="E813" s="85" t="n"/>
      <c r="F813" s="86" t="n"/>
      <c r="G813" s="86" t="n"/>
      <c r="H813" s="85" t="n"/>
      <c r="I813" s="85" t="n"/>
      <c r="J813" s="85" t="n"/>
      <c r="K813" s="85" t="n"/>
      <c r="L813" s="85" t="n"/>
      <c r="M813" s="85" t="n"/>
      <c r="N813" s="85" t="n"/>
      <c r="O813" s="85" t="n"/>
      <c r="P813" s="85" t="n"/>
      <c r="Q813" s="85" t="n"/>
      <c r="R813" s="85" t="n"/>
      <c r="S813" s="85" t="n"/>
      <c r="T813" s="85" t="n"/>
      <c r="U813" s="85" t="n"/>
      <c r="V813" s="85" t="n"/>
      <c r="W813" s="85" t="n"/>
      <c r="X813" s="85" t="n"/>
      <c r="Y813" s="85" t="n"/>
      <c r="Z813" s="85" t="n"/>
      <c r="AA813" s="85" t="n"/>
      <c r="AB813" s="85" t="n"/>
      <c r="AC813" s="85" t="n"/>
      <c r="AD813" s="85" t="n"/>
      <c r="AE813" s="85" t="n"/>
      <c r="AF813" s="86" t="n"/>
      <c r="AG813" s="86" t="n"/>
      <c r="AH813" s="86" t="n"/>
      <c r="AI813" s="85" t="n"/>
      <c r="AJ813" s="85" t="n"/>
      <c r="AK813" s="85">
        <f>IF($A813="","",IF($M813&gt;0,"Yes","No"))</f>
        <v/>
      </c>
      <c r="AL813" s="85">
        <f>IF($A813="","",IF(AND($E813="Yes",OR($Y813="No",$Y813="NOT FOUND")),"YES",""))</f>
        <v/>
      </c>
      <c r="AM813" s="85">
        <f>IF($A813="","",TRIM(IF(AND($P813=0,$I813&lt;&gt;"Yes"),"T0-NoPhishResistant ","")&amp;IF($H813="No","NoMFA ","")&amp;IF(AND($P813=0,$M813&gt;0),"T0-Standing ","")&amp;IF(AND($P813=0,$Q813="Group only"),"T0-ViaGroupOnly ","")&amp;IF($W813="Yes","AlsoAzureRBAC ","")))</f>
        <v/>
      </c>
      <c r="AN813" s="85">
        <f>IF($A813="","",IF(AG813="","Not Enrolled",IF(TODAY()&gt;AG813,"Review Overdue",IF(AG813-TODAY()&lt;=30,"Review Due Soon","Active"))))</f>
        <v/>
      </c>
      <c r="AO813" s="85">
        <f>IF($A813="","",IF(AH813="","NOT REVIEWED",IF(TODAY()-AH813&gt;90,"OVERDUE",IF(TODAY()-AH813&gt;76,"Due Soon","Current"))))</f>
        <v/>
      </c>
    </row>
    <row r="814" ht="15" customHeight="1" s="39">
      <c r="A814" s="85" t="n"/>
      <c r="B814" s="85" t="n"/>
      <c r="C814" s="85" t="n"/>
      <c r="D814" s="85" t="n"/>
      <c r="E814" s="85" t="n"/>
      <c r="F814" s="86" t="n"/>
      <c r="G814" s="86" t="n"/>
      <c r="H814" s="85" t="n"/>
      <c r="I814" s="85" t="n"/>
      <c r="J814" s="85" t="n"/>
      <c r="K814" s="85" t="n"/>
      <c r="L814" s="85" t="n"/>
      <c r="M814" s="85" t="n"/>
      <c r="N814" s="85" t="n"/>
      <c r="O814" s="85" t="n"/>
      <c r="P814" s="85" t="n"/>
      <c r="Q814" s="85" t="n"/>
      <c r="R814" s="85" t="n"/>
      <c r="S814" s="85" t="n"/>
      <c r="T814" s="85" t="n"/>
      <c r="U814" s="85" t="n"/>
      <c r="V814" s="85" t="n"/>
      <c r="W814" s="85" t="n"/>
      <c r="X814" s="85" t="n"/>
      <c r="Y814" s="85" t="n"/>
      <c r="Z814" s="85" t="n"/>
      <c r="AA814" s="85" t="n"/>
      <c r="AB814" s="85" t="n"/>
      <c r="AC814" s="85" t="n"/>
      <c r="AD814" s="85" t="n"/>
      <c r="AE814" s="85" t="n"/>
      <c r="AF814" s="86" t="n"/>
      <c r="AG814" s="86" t="n"/>
      <c r="AH814" s="86" t="n"/>
      <c r="AI814" s="85" t="n"/>
      <c r="AJ814" s="85" t="n"/>
      <c r="AK814" s="85">
        <f>IF($A814="","",IF($M814&gt;0,"Yes","No"))</f>
        <v/>
      </c>
      <c r="AL814" s="85">
        <f>IF($A814="","",IF(AND($E814="Yes",OR($Y814="No",$Y814="NOT FOUND")),"YES",""))</f>
        <v/>
      </c>
      <c r="AM814" s="85">
        <f>IF($A814="","",TRIM(IF(AND($P814=0,$I814&lt;&gt;"Yes"),"T0-NoPhishResistant ","")&amp;IF($H814="No","NoMFA ","")&amp;IF(AND($P814=0,$M814&gt;0),"T0-Standing ","")&amp;IF(AND($P814=0,$Q814="Group only"),"T0-ViaGroupOnly ","")&amp;IF($W814="Yes","AlsoAzureRBAC ","")))</f>
        <v/>
      </c>
      <c r="AN814" s="85">
        <f>IF($A814="","",IF(AG814="","Not Enrolled",IF(TODAY()&gt;AG814,"Review Overdue",IF(AG814-TODAY()&lt;=30,"Review Due Soon","Active"))))</f>
        <v/>
      </c>
      <c r="AO814" s="85">
        <f>IF($A814="","",IF(AH814="","NOT REVIEWED",IF(TODAY()-AH814&gt;90,"OVERDUE",IF(TODAY()-AH814&gt;76,"Due Soon","Current"))))</f>
        <v/>
      </c>
    </row>
    <row r="815" ht="15" customHeight="1" s="39">
      <c r="A815" s="85" t="n"/>
      <c r="B815" s="85" t="n"/>
      <c r="C815" s="85" t="n"/>
      <c r="D815" s="85" t="n"/>
      <c r="E815" s="85" t="n"/>
      <c r="F815" s="86" t="n"/>
      <c r="G815" s="86" t="n"/>
      <c r="H815" s="85" t="n"/>
      <c r="I815" s="85" t="n"/>
      <c r="J815" s="85" t="n"/>
      <c r="K815" s="85" t="n"/>
      <c r="L815" s="85" t="n"/>
      <c r="M815" s="85" t="n"/>
      <c r="N815" s="85" t="n"/>
      <c r="O815" s="85" t="n"/>
      <c r="P815" s="85" t="n"/>
      <c r="Q815" s="85" t="n"/>
      <c r="R815" s="85" t="n"/>
      <c r="S815" s="85" t="n"/>
      <c r="T815" s="85" t="n"/>
      <c r="U815" s="85" t="n"/>
      <c r="V815" s="85" t="n"/>
      <c r="W815" s="85" t="n"/>
      <c r="X815" s="85" t="n"/>
      <c r="Y815" s="85" t="n"/>
      <c r="Z815" s="85" t="n"/>
      <c r="AA815" s="85" t="n"/>
      <c r="AB815" s="85" t="n"/>
      <c r="AC815" s="85" t="n"/>
      <c r="AD815" s="85" t="n"/>
      <c r="AE815" s="85" t="n"/>
      <c r="AF815" s="86" t="n"/>
      <c r="AG815" s="86" t="n"/>
      <c r="AH815" s="86" t="n"/>
      <c r="AI815" s="85" t="n"/>
      <c r="AJ815" s="85" t="n"/>
      <c r="AK815" s="85">
        <f>IF($A815="","",IF($M815&gt;0,"Yes","No"))</f>
        <v/>
      </c>
      <c r="AL815" s="85">
        <f>IF($A815="","",IF(AND($E815="Yes",OR($Y815="No",$Y815="NOT FOUND")),"YES",""))</f>
        <v/>
      </c>
      <c r="AM815" s="85">
        <f>IF($A815="","",TRIM(IF(AND($P815=0,$I815&lt;&gt;"Yes"),"T0-NoPhishResistant ","")&amp;IF($H815="No","NoMFA ","")&amp;IF(AND($P815=0,$M815&gt;0),"T0-Standing ","")&amp;IF(AND($P815=0,$Q815="Group only"),"T0-ViaGroupOnly ","")&amp;IF($W815="Yes","AlsoAzureRBAC ","")))</f>
        <v/>
      </c>
      <c r="AN815" s="85">
        <f>IF($A815="","",IF(AG815="","Not Enrolled",IF(TODAY()&gt;AG815,"Review Overdue",IF(AG815-TODAY()&lt;=30,"Review Due Soon","Active"))))</f>
        <v/>
      </c>
      <c r="AO815" s="85">
        <f>IF($A815="","",IF(AH815="","NOT REVIEWED",IF(TODAY()-AH815&gt;90,"OVERDUE",IF(TODAY()-AH815&gt;76,"Due Soon","Current"))))</f>
        <v/>
      </c>
    </row>
    <row r="816" ht="15" customHeight="1" s="39">
      <c r="A816" s="85" t="n"/>
      <c r="B816" s="85" t="n"/>
      <c r="C816" s="85" t="n"/>
      <c r="D816" s="85" t="n"/>
      <c r="E816" s="85" t="n"/>
      <c r="F816" s="86" t="n"/>
      <c r="G816" s="86" t="n"/>
      <c r="H816" s="85" t="n"/>
      <c r="I816" s="85" t="n"/>
      <c r="J816" s="85" t="n"/>
      <c r="K816" s="85" t="n"/>
      <c r="L816" s="85" t="n"/>
      <c r="M816" s="85" t="n"/>
      <c r="N816" s="85" t="n"/>
      <c r="O816" s="85" t="n"/>
      <c r="P816" s="85" t="n"/>
      <c r="Q816" s="85" t="n"/>
      <c r="R816" s="85" t="n"/>
      <c r="S816" s="85" t="n"/>
      <c r="T816" s="85" t="n"/>
      <c r="U816" s="85" t="n"/>
      <c r="V816" s="85" t="n"/>
      <c r="W816" s="85" t="n"/>
      <c r="X816" s="85" t="n"/>
      <c r="Y816" s="85" t="n"/>
      <c r="Z816" s="85" t="n"/>
      <c r="AA816" s="85" t="n"/>
      <c r="AB816" s="85" t="n"/>
      <c r="AC816" s="85" t="n"/>
      <c r="AD816" s="85" t="n"/>
      <c r="AE816" s="85" t="n"/>
      <c r="AF816" s="86" t="n"/>
      <c r="AG816" s="86" t="n"/>
      <c r="AH816" s="86" t="n"/>
      <c r="AI816" s="85" t="n"/>
      <c r="AJ816" s="85" t="n"/>
      <c r="AK816" s="85">
        <f>IF($A816="","",IF($M816&gt;0,"Yes","No"))</f>
        <v/>
      </c>
      <c r="AL816" s="85">
        <f>IF($A816="","",IF(AND($E816="Yes",OR($Y816="No",$Y816="NOT FOUND")),"YES",""))</f>
        <v/>
      </c>
      <c r="AM816" s="85">
        <f>IF($A816="","",TRIM(IF(AND($P816=0,$I816&lt;&gt;"Yes"),"T0-NoPhishResistant ","")&amp;IF($H816="No","NoMFA ","")&amp;IF(AND($P816=0,$M816&gt;0),"T0-Standing ","")&amp;IF(AND($P816=0,$Q816="Group only"),"T0-ViaGroupOnly ","")&amp;IF($W816="Yes","AlsoAzureRBAC ","")))</f>
        <v/>
      </c>
      <c r="AN816" s="85">
        <f>IF($A816="","",IF(AG816="","Not Enrolled",IF(TODAY()&gt;AG816,"Review Overdue",IF(AG816-TODAY()&lt;=30,"Review Due Soon","Active"))))</f>
        <v/>
      </c>
      <c r="AO816" s="85">
        <f>IF($A816="","",IF(AH816="","NOT REVIEWED",IF(TODAY()-AH816&gt;90,"OVERDUE",IF(TODAY()-AH816&gt;76,"Due Soon","Current"))))</f>
        <v/>
      </c>
    </row>
    <row r="817" ht="15" customHeight="1" s="39">
      <c r="A817" s="85" t="n"/>
      <c r="B817" s="85" t="n"/>
      <c r="C817" s="85" t="n"/>
      <c r="D817" s="85" t="n"/>
      <c r="E817" s="85" t="n"/>
      <c r="F817" s="86" t="n"/>
      <c r="G817" s="86" t="n"/>
      <c r="H817" s="85" t="n"/>
      <c r="I817" s="85" t="n"/>
      <c r="J817" s="85" t="n"/>
      <c r="K817" s="85" t="n"/>
      <c r="L817" s="85" t="n"/>
      <c r="M817" s="85" t="n"/>
      <c r="N817" s="85" t="n"/>
      <c r="O817" s="85" t="n"/>
      <c r="P817" s="85" t="n"/>
      <c r="Q817" s="85" t="n"/>
      <c r="R817" s="85" t="n"/>
      <c r="S817" s="85" t="n"/>
      <c r="T817" s="85" t="n"/>
      <c r="U817" s="85" t="n"/>
      <c r="V817" s="85" t="n"/>
      <c r="W817" s="85" t="n"/>
      <c r="X817" s="85" t="n"/>
      <c r="Y817" s="85" t="n"/>
      <c r="Z817" s="85" t="n"/>
      <c r="AA817" s="85" t="n"/>
      <c r="AB817" s="85" t="n"/>
      <c r="AC817" s="85" t="n"/>
      <c r="AD817" s="85" t="n"/>
      <c r="AE817" s="85" t="n"/>
      <c r="AF817" s="86" t="n"/>
      <c r="AG817" s="86" t="n"/>
      <c r="AH817" s="86" t="n"/>
      <c r="AI817" s="85" t="n"/>
      <c r="AJ817" s="85" t="n"/>
      <c r="AK817" s="85">
        <f>IF($A817="","",IF($M817&gt;0,"Yes","No"))</f>
        <v/>
      </c>
      <c r="AL817" s="85">
        <f>IF($A817="","",IF(AND($E817="Yes",OR($Y817="No",$Y817="NOT FOUND")),"YES",""))</f>
        <v/>
      </c>
      <c r="AM817" s="85">
        <f>IF($A817="","",TRIM(IF(AND($P817=0,$I817&lt;&gt;"Yes"),"T0-NoPhishResistant ","")&amp;IF($H817="No","NoMFA ","")&amp;IF(AND($P817=0,$M817&gt;0),"T0-Standing ","")&amp;IF(AND($P817=0,$Q817="Group only"),"T0-ViaGroupOnly ","")&amp;IF($W817="Yes","AlsoAzureRBAC ","")))</f>
        <v/>
      </c>
      <c r="AN817" s="85">
        <f>IF($A817="","",IF(AG817="","Not Enrolled",IF(TODAY()&gt;AG817,"Review Overdue",IF(AG817-TODAY()&lt;=30,"Review Due Soon","Active"))))</f>
        <v/>
      </c>
      <c r="AO817" s="85">
        <f>IF($A817="","",IF(AH817="","NOT REVIEWED",IF(TODAY()-AH817&gt;90,"OVERDUE",IF(TODAY()-AH817&gt;76,"Due Soon","Current"))))</f>
        <v/>
      </c>
    </row>
    <row r="818" ht="15" customHeight="1" s="39">
      <c r="A818" s="85" t="n"/>
      <c r="B818" s="85" t="n"/>
      <c r="C818" s="85" t="n"/>
      <c r="D818" s="85" t="n"/>
      <c r="E818" s="85" t="n"/>
      <c r="F818" s="86" t="n"/>
      <c r="G818" s="86" t="n"/>
      <c r="H818" s="85" t="n"/>
      <c r="I818" s="85" t="n"/>
      <c r="J818" s="85" t="n"/>
      <c r="K818" s="85" t="n"/>
      <c r="L818" s="85" t="n"/>
      <c r="M818" s="85" t="n"/>
      <c r="N818" s="85" t="n"/>
      <c r="O818" s="85" t="n"/>
      <c r="P818" s="85" t="n"/>
      <c r="Q818" s="85" t="n"/>
      <c r="R818" s="85" t="n"/>
      <c r="S818" s="85" t="n"/>
      <c r="T818" s="85" t="n"/>
      <c r="U818" s="85" t="n"/>
      <c r="V818" s="85" t="n"/>
      <c r="W818" s="85" t="n"/>
      <c r="X818" s="85" t="n"/>
      <c r="Y818" s="85" t="n"/>
      <c r="Z818" s="85" t="n"/>
      <c r="AA818" s="85" t="n"/>
      <c r="AB818" s="85" t="n"/>
      <c r="AC818" s="85" t="n"/>
      <c r="AD818" s="85" t="n"/>
      <c r="AE818" s="85" t="n"/>
      <c r="AF818" s="86" t="n"/>
      <c r="AG818" s="86" t="n"/>
      <c r="AH818" s="86" t="n"/>
      <c r="AI818" s="85" t="n"/>
      <c r="AJ818" s="85" t="n"/>
      <c r="AK818" s="85">
        <f>IF($A818="","",IF($M818&gt;0,"Yes","No"))</f>
        <v/>
      </c>
      <c r="AL818" s="85">
        <f>IF($A818="","",IF(AND($E818="Yes",OR($Y818="No",$Y818="NOT FOUND")),"YES",""))</f>
        <v/>
      </c>
      <c r="AM818" s="85">
        <f>IF($A818="","",TRIM(IF(AND($P818=0,$I818&lt;&gt;"Yes"),"T0-NoPhishResistant ","")&amp;IF($H818="No","NoMFA ","")&amp;IF(AND($P818=0,$M818&gt;0),"T0-Standing ","")&amp;IF(AND($P818=0,$Q818="Group only"),"T0-ViaGroupOnly ","")&amp;IF($W818="Yes","AlsoAzureRBAC ","")))</f>
        <v/>
      </c>
      <c r="AN818" s="85">
        <f>IF($A818="","",IF(AG818="","Not Enrolled",IF(TODAY()&gt;AG818,"Review Overdue",IF(AG818-TODAY()&lt;=30,"Review Due Soon","Active"))))</f>
        <v/>
      </c>
      <c r="AO818" s="85">
        <f>IF($A818="","",IF(AH818="","NOT REVIEWED",IF(TODAY()-AH818&gt;90,"OVERDUE",IF(TODAY()-AH818&gt;76,"Due Soon","Current"))))</f>
        <v/>
      </c>
    </row>
    <row r="819" ht="15" customHeight="1" s="39">
      <c r="A819" s="85" t="n"/>
      <c r="B819" s="85" t="n"/>
      <c r="C819" s="85" t="n"/>
      <c r="D819" s="85" t="n"/>
      <c r="E819" s="85" t="n"/>
      <c r="F819" s="86" t="n"/>
      <c r="G819" s="86" t="n"/>
      <c r="H819" s="85" t="n"/>
      <c r="I819" s="85" t="n"/>
      <c r="J819" s="85" t="n"/>
      <c r="K819" s="85" t="n"/>
      <c r="L819" s="85" t="n"/>
      <c r="M819" s="85" t="n"/>
      <c r="N819" s="85" t="n"/>
      <c r="O819" s="85" t="n"/>
      <c r="P819" s="85" t="n"/>
      <c r="Q819" s="85" t="n"/>
      <c r="R819" s="85" t="n"/>
      <c r="S819" s="85" t="n"/>
      <c r="T819" s="85" t="n"/>
      <c r="U819" s="85" t="n"/>
      <c r="V819" s="85" t="n"/>
      <c r="W819" s="85" t="n"/>
      <c r="X819" s="85" t="n"/>
      <c r="Y819" s="85" t="n"/>
      <c r="Z819" s="85" t="n"/>
      <c r="AA819" s="85" t="n"/>
      <c r="AB819" s="85" t="n"/>
      <c r="AC819" s="85" t="n"/>
      <c r="AD819" s="85" t="n"/>
      <c r="AE819" s="85" t="n"/>
      <c r="AF819" s="86" t="n"/>
      <c r="AG819" s="86" t="n"/>
      <c r="AH819" s="86" t="n"/>
      <c r="AI819" s="85" t="n"/>
      <c r="AJ819" s="85" t="n"/>
      <c r="AK819" s="85">
        <f>IF($A819="","",IF($M819&gt;0,"Yes","No"))</f>
        <v/>
      </c>
      <c r="AL819" s="85">
        <f>IF($A819="","",IF(AND($E819="Yes",OR($Y819="No",$Y819="NOT FOUND")),"YES",""))</f>
        <v/>
      </c>
      <c r="AM819" s="85">
        <f>IF($A819="","",TRIM(IF(AND($P819=0,$I819&lt;&gt;"Yes"),"T0-NoPhishResistant ","")&amp;IF($H819="No","NoMFA ","")&amp;IF(AND($P819=0,$M819&gt;0),"T0-Standing ","")&amp;IF(AND($P819=0,$Q819="Group only"),"T0-ViaGroupOnly ","")&amp;IF($W819="Yes","AlsoAzureRBAC ","")))</f>
        <v/>
      </c>
      <c r="AN819" s="85">
        <f>IF($A819="","",IF(AG819="","Not Enrolled",IF(TODAY()&gt;AG819,"Review Overdue",IF(AG819-TODAY()&lt;=30,"Review Due Soon","Active"))))</f>
        <v/>
      </c>
      <c r="AO819" s="85">
        <f>IF($A819="","",IF(AH819="","NOT REVIEWED",IF(TODAY()-AH819&gt;90,"OVERDUE",IF(TODAY()-AH819&gt;76,"Due Soon","Current"))))</f>
        <v/>
      </c>
    </row>
    <row r="820" ht="15" customHeight="1" s="39">
      <c r="A820" s="85" t="n"/>
      <c r="B820" s="85" t="n"/>
      <c r="C820" s="85" t="n"/>
      <c r="D820" s="85" t="n"/>
      <c r="E820" s="85" t="n"/>
      <c r="F820" s="86" t="n"/>
      <c r="G820" s="86" t="n"/>
      <c r="H820" s="85" t="n"/>
      <c r="I820" s="85" t="n"/>
      <c r="J820" s="85" t="n"/>
      <c r="K820" s="85" t="n"/>
      <c r="L820" s="85" t="n"/>
      <c r="M820" s="85" t="n"/>
      <c r="N820" s="85" t="n"/>
      <c r="O820" s="85" t="n"/>
      <c r="P820" s="85" t="n"/>
      <c r="Q820" s="85" t="n"/>
      <c r="R820" s="85" t="n"/>
      <c r="S820" s="85" t="n"/>
      <c r="T820" s="85" t="n"/>
      <c r="U820" s="85" t="n"/>
      <c r="V820" s="85" t="n"/>
      <c r="W820" s="85" t="n"/>
      <c r="X820" s="85" t="n"/>
      <c r="Y820" s="85" t="n"/>
      <c r="Z820" s="85" t="n"/>
      <c r="AA820" s="85" t="n"/>
      <c r="AB820" s="85" t="n"/>
      <c r="AC820" s="85" t="n"/>
      <c r="AD820" s="85" t="n"/>
      <c r="AE820" s="85" t="n"/>
      <c r="AF820" s="86" t="n"/>
      <c r="AG820" s="86" t="n"/>
      <c r="AH820" s="86" t="n"/>
      <c r="AI820" s="85" t="n"/>
      <c r="AJ820" s="85" t="n"/>
      <c r="AK820" s="85">
        <f>IF($A820="","",IF($M820&gt;0,"Yes","No"))</f>
        <v/>
      </c>
      <c r="AL820" s="85">
        <f>IF($A820="","",IF(AND($E820="Yes",OR($Y820="No",$Y820="NOT FOUND")),"YES",""))</f>
        <v/>
      </c>
      <c r="AM820" s="85">
        <f>IF($A820="","",TRIM(IF(AND($P820=0,$I820&lt;&gt;"Yes"),"T0-NoPhishResistant ","")&amp;IF($H820="No","NoMFA ","")&amp;IF(AND($P820=0,$M820&gt;0),"T0-Standing ","")&amp;IF(AND($P820=0,$Q820="Group only"),"T0-ViaGroupOnly ","")&amp;IF($W820="Yes","AlsoAzureRBAC ","")))</f>
        <v/>
      </c>
      <c r="AN820" s="85">
        <f>IF($A820="","",IF(AG820="","Not Enrolled",IF(TODAY()&gt;AG820,"Review Overdue",IF(AG820-TODAY()&lt;=30,"Review Due Soon","Active"))))</f>
        <v/>
      </c>
      <c r="AO820" s="85">
        <f>IF($A820="","",IF(AH820="","NOT REVIEWED",IF(TODAY()-AH820&gt;90,"OVERDUE",IF(TODAY()-AH820&gt;76,"Due Soon","Current"))))</f>
        <v/>
      </c>
    </row>
    <row r="821" ht="15" customHeight="1" s="39">
      <c r="A821" s="85" t="n"/>
      <c r="B821" s="85" t="n"/>
      <c r="C821" s="85" t="n"/>
      <c r="D821" s="85" t="n"/>
      <c r="E821" s="85" t="n"/>
      <c r="F821" s="86" t="n"/>
      <c r="G821" s="86" t="n"/>
      <c r="H821" s="85" t="n"/>
      <c r="I821" s="85" t="n"/>
      <c r="J821" s="85" t="n"/>
      <c r="K821" s="85" t="n"/>
      <c r="L821" s="85" t="n"/>
      <c r="M821" s="85" t="n"/>
      <c r="N821" s="85" t="n"/>
      <c r="O821" s="85" t="n"/>
      <c r="P821" s="85" t="n"/>
      <c r="Q821" s="85" t="n"/>
      <c r="R821" s="85" t="n"/>
      <c r="S821" s="85" t="n"/>
      <c r="T821" s="85" t="n"/>
      <c r="U821" s="85" t="n"/>
      <c r="V821" s="85" t="n"/>
      <c r="W821" s="85" t="n"/>
      <c r="X821" s="85" t="n"/>
      <c r="Y821" s="85" t="n"/>
      <c r="Z821" s="85" t="n"/>
      <c r="AA821" s="85" t="n"/>
      <c r="AB821" s="85" t="n"/>
      <c r="AC821" s="85" t="n"/>
      <c r="AD821" s="85" t="n"/>
      <c r="AE821" s="85" t="n"/>
      <c r="AF821" s="86" t="n"/>
      <c r="AG821" s="86" t="n"/>
      <c r="AH821" s="86" t="n"/>
      <c r="AI821" s="85" t="n"/>
      <c r="AJ821" s="85" t="n"/>
      <c r="AK821" s="85">
        <f>IF($A821="","",IF($M821&gt;0,"Yes","No"))</f>
        <v/>
      </c>
      <c r="AL821" s="85">
        <f>IF($A821="","",IF(AND($E821="Yes",OR($Y821="No",$Y821="NOT FOUND")),"YES",""))</f>
        <v/>
      </c>
      <c r="AM821" s="85">
        <f>IF($A821="","",TRIM(IF(AND($P821=0,$I821&lt;&gt;"Yes"),"T0-NoPhishResistant ","")&amp;IF($H821="No","NoMFA ","")&amp;IF(AND($P821=0,$M821&gt;0),"T0-Standing ","")&amp;IF(AND($P821=0,$Q821="Group only"),"T0-ViaGroupOnly ","")&amp;IF($W821="Yes","AlsoAzureRBAC ","")))</f>
        <v/>
      </c>
      <c r="AN821" s="85">
        <f>IF($A821="","",IF(AG821="","Not Enrolled",IF(TODAY()&gt;AG821,"Review Overdue",IF(AG821-TODAY()&lt;=30,"Review Due Soon","Active"))))</f>
        <v/>
      </c>
      <c r="AO821" s="85">
        <f>IF($A821="","",IF(AH821="","NOT REVIEWED",IF(TODAY()-AH821&gt;90,"OVERDUE",IF(TODAY()-AH821&gt;76,"Due Soon","Current"))))</f>
        <v/>
      </c>
    </row>
    <row r="822" ht="15" customHeight="1" s="39">
      <c r="A822" s="85" t="n"/>
      <c r="B822" s="85" t="n"/>
      <c r="C822" s="85" t="n"/>
      <c r="D822" s="85" t="n"/>
      <c r="E822" s="85" t="n"/>
      <c r="F822" s="86" t="n"/>
      <c r="G822" s="86" t="n"/>
      <c r="H822" s="85" t="n"/>
      <c r="I822" s="85" t="n"/>
      <c r="J822" s="85" t="n"/>
      <c r="K822" s="85" t="n"/>
      <c r="L822" s="85" t="n"/>
      <c r="M822" s="85" t="n"/>
      <c r="N822" s="85" t="n"/>
      <c r="O822" s="85" t="n"/>
      <c r="P822" s="85" t="n"/>
      <c r="Q822" s="85" t="n"/>
      <c r="R822" s="85" t="n"/>
      <c r="S822" s="85" t="n"/>
      <c r="T822" s="85" t="n"/>
      <c r="U822" s="85" t="n"/>
      <c r="V822" s="85" t="n"/>
      <c r="W822" s="85" t="n"/>
      <c r="X822" s="85" t="n"/>
      <c r="Y822" s="85" t="n"/>
      <c r="Z822" s="85" t="n"/>
      <c r="AA822" s="85" t="n"/>
      <c r="AB822" s="85" t="n"/>
      <c r="AC822" s="85" t="n"/>
      <c r="AD822" s="85" t="n"/>
      <c r="AE822" s="85" t="n"/>
      <c r="AF822" s="86" t="n"/>
      <c r="AG822" s="86" t="n"/>
      <c r="AH822" s="86" t="n"/>
      <c r="AI822" s="85" t="n"/>
      <c r="AJ822" s="85" t="n"/>
      <c r="AK822" s="85">
        <f>IF($A822="","",IF($M822&gt;0,"Yes","No"))</f>
        <v/>
      </c>
      <c r="AL822" s="85">
        <f>IF($A822="","",IF(AND($E822="Yes",OR($Y822="No",$Y822="NOT FOUND")),"YES",""))</f>
        <v/>
      </c>
      <c r="AM822" s="85">
        <f>IF($A822="","",TRIM(IF(AND($P822=0,$I822&lt;&gt;"Yes"),"T0-NoPhishResistant ","")&amp;IF($H822="No","NoMFA ","")&amp;IF(AND($P822=0,$M822&gt;0),"T0-Standing ","")&amp;IF(AND($P822=0,$Q822="Group only"),"T0-ViaGroupOnly ","")&amp;IF($W822="Yes","AlsoAzureRBAC ","")))</f>
        <v/>
      </c>
      <c r="AN822" s="85">
        <f>IF($A822="","",IF(AG822="","Not Enrolled",IF(TODAY()&gt;AG822,"Review Overdue",IF(AG822-TODAY()&lt;=30,"Review Due Soon","Active"))))</f>
        <v/>
      </c>
      <c r="AO822" s="85">
        <f>IF($A822="","",IF(AH822="","NOT REVIEWED",IF(TODAY()-AH822&gt;90,"OVERDUE",IF(TODAY()-AH822&gt;76,"Due Soon","Current"))))</f>
        <v/>
      </c>
    </row>
    <row r="823" ht="15" customHeight="1" s="39">
      <c r="A823" s="85" t="n"/>
      <c r="B823" s="85" t="n"/>
      <c r="C823" s="85" t="n"/>
      <c r="D823" s="85" t="n"/>
      <c r="E823" s="85" t="n"/>
      <c r="F823" s="86" t="n"/>
      <c r="G823" s="86" t="n"/>
      <c r="H823" s="85" t="n"/>
      <c r="I823" s="85" t="n"/>
      <c r="J823" s="85" t="n"/>
      <c r="K823" s="85" t="n"/>
      <c r="L823" s="85" t="n"/>
      <c r="M823" s="85" t="n"/>
      <c r="N823" s="85" t="n"/>
      <c r="O823" s="85" t="n"/>
      <c r="P823" s="85" t="n"/>
      <c r="Q823" s="85" t="n"/>
      <c r="R823" s="85" t="n"/>
      <c r="S823" s="85" t="n"/>
      <c r="T823" s="85" t="n"/>
      <c r="U823" s="85" t="n"/>
      <c r="V823" s="85" t="n"/>
      <c r="W823" s="85" t="n"/>
      <c r="X823" s="85" t="n"/>
      <c r="Y823" s="85" t="n"/>
      <c r="Z823" s="85" t="n"/>
      <c r="AA823" s="85" t="n"/>
      <c r="AB823" s="85" t="n"/>
      <c r="AC823" s="85" t="n"/>
      <c r="AD823" s="85" t="n"/>
      <c r="AE823" s="85" t="n"/>
      <c r="AF823" s="86" t="n"/>
      <c r="AG823" s="86" t="n"/>
      <c r="AH823" s="86" t="n"/>
      <c r="AI823" s="85" t="n"/>
      <c r="AJ823" s="85" t="n"/>
      <c r="AK823" s="85">
        <f>IF($A823="","",IF($M823&gt;0,"Yes","No"))</f>
        <v/>
      </c>
      <c r="AL823" s="85">
        <f>IF($A823="","",IF(AND($E823="Yes",OR($Y823="No",$Y823="NOT FOUND")),"YES",""))</f>
        <v/>
      </c>
      <c r="AM823" s="85">
        <f>IF($A823="","",TRIM(IF(AND($P823=0,$I823&lt;&gt;"Yes"),"T0-NoPhishResistant ","")&amp;IF($H823="No","NoMFA ","")&amp;IF(AND($P823=0,$M823&gt;0),"T0-Standing ","")&amp;IF(AND($P823=0,$Q823="Group only"),"T0-ViaGroupOnly ","")&amp;IF($W823="Yes","AlsoAzureRBAC ","")))</f>
        <v/>
      </c>
      <c r="AN823" s="85">
        <f>IF($A823="","",IF(AG823="","Not Enrolled",IF(TODAY()&gt;AG823,"Review Overdue",IF(AG823-TODAY()&lt;=30,"Review Due Soon","Active"))))</f>
        <v/>
      </c>
      <c r="AO823" s="85">
        <f>IF($A823="","",IF(AH823="","NOT REVIEWED",IF(TODAY()-AH823&gt;90,"OVERDUE",IF(TODAY()-AH823&gt;76,"Due Soon","Current"))))</f>
        <v/>
      </c>
    </row>
    <row r="824" ht="15" customHeight="1" s="39">
      <c r="A824" s="85" t="n"/>
      <c r="B824" s="85" t="n"/>
      <c r="C824" s="85" t="n"/>
      <c r="D824" s="85" t="n"/>
      <c r="E824" s="85" t="n"/>
      <c r="F824" s="86" t="n"/>
      <c r="G824" s="86" t="n"/>
      <c r="H824" s="85" t="n"/>
      <c r="I824" s="85" t="n"/>
      <c r="J824" s="85" t="n"/>
      <c r="K824" s="85" t="n"/>
      <c r="L824" s="85" t="n"/>
      <c r="M824" s="85" t="n"/>
      <c r="N824" s="85" t="n"/>
      <c r="O824" s="85" t="n"/>
      <c r="P824" s="85" t="n"/>
      <c r="Q824" s="85" t="n"/>
      <c r="R824" s="85" t="n"/>
      <c r="S824" s="85" t="n"/>
      <c r="T824" s="85" t="n"/>
      <c r="U824" s="85" t="n"/>
      <c r="V824" s="85" t="n"/>
      <c r="W824" s="85" t="n"/>
      <c r="X824" s="85" t="n"/>
      <c r="Y824" s="85" t="n"/>
      <c r="Z824" s="85" t="n"/>
      <c r="AA824" s="85" t="n"/>
      <c r="AB824" s="85" t="n"/>
      <c r="AC824" s="85" t="n"/>
      <c r="AD824" s="85" t="n"/>
      <c r="AE824" s="85" t="n"/>
      <c r="AF824" s="86" t="n"/>
      <c r="AG824" s="86" t="n"/>
      <c r="AH824" s="86" t="n"/>
      <c r="AI824" s="85" t="n"/>
      <c r="AJ824" s="85" t="n"/>
      <c r="AK824" s="85">
        <f>IF($A824="","",IF($M824&gt;0,"Yes","No"))</f>
        <v/>
      </c>
      <c r="AL824" s="85">
        <f>IF($A824="","",IF(AND($E824="Yes",OR($Y824="No",$Y824="NOT FOUND")),"YES",""))</f>
        <v/>
      </c>
      <c r="AM824" s="85">
        <f>IF($A824="","",TRIM(IF(AND($P824=0,$I824&lt;&gt;"Yes"),"T0-NoPhishResistant ","")&amp;IF($H824="No","NoMFA ","")&amp;IF(AND($P824=0,$M824&gt;0),"T0-Standing ","")&amp;IF(AND($P824=0,$Q824="Group only"),"T0-ViaGroupOnly ","")&amp;IF($W824="Yes","AlsoAzureRBAC ","")))</f>
        <v/>
      </c>
      <c r="AN824" s="85">
        <f>IF($A824="","",IF(AG824="","Not Enrolled",IF(TODAY()&gt;AG824,"Review Overdue",IF(AG824-TODAY()&lt;=30,"Review Due Soon","Active"))))</f>
        <v/>
      </c>
      <c r="AO824" s="85">
        <f>IF($A824="","",IF(AH824="","NOT REVIEWED",IF(TODAY()-AH824&gt;90,"OVERDUE",IF(TODAY()-AH824&gt;76,"Due Soon","Current"))))</f>
        <v/>
      </c>
    </row>
    <row r="825" ht="15" customHeight="1" s="39">
      <c r="A825" s="85" t="n"/>
      <c r="B825" s="85" t="n"/>
      <c r="C825" s="85" t="n"/>
      <c r="D825" s="85" t="n"/>
      <c r="E825" s="85" t="n"/>
      <c r="F825" s="86" t="n"/>
      <c r="G825" s="86" t="n"/>
      <c r="H825" s="85" t="n"/>
      <c r="I825" s="85" t="n"/>
      <c r="J825" s="85" t="n"/>
      <c r="K825" s="85" t="n"/>
      <c r="L825" s="85" t="n"/>
      <c r="M825" s="85" t="n"/>
      <c r="N825" s="85" t="n"/>
      <c r="O825" s="85" t="n"/>
      <c r="P825" s="85" t="n"/>
      <c r="Q825" s="85" t="n"/>
      <c r="R825" s="85" t="n"/>
      <c r="S825" s="85" t="n"/>
      <c r="T825" s="85" t="n"/>
      <c r="U825" s="85" t="n"/>
      <c r="V825" s="85" t="n"/>
      <c r="W825" s="85" t="n"/>
      <c r="X825" s="85" t="n"/>
      <c r="Y825" s="85" t="n"/>
      <c r="Z825" s="85" t="n"/>
      <c r="AA825" s="85" t="n"/>
      <c r="AB825" s="85" t="n"/>
      <c r="AC825" s="85" t="n"/>
      <c r="AD825" s="85" t="n"/>
      <c r="AE825" s="85" t="n"/>
      <c r="AF825" s="86" t="n"/>
      <c r="AG825" s="86" t="n"/>
      <c r="AH825" s="86" t="n"/>
      <c r="AI825" s="85" t="n"/>
      <c r="AJ825" s="85" t="n"/>
      <c r="AK825" s="85">
        <f>IF($A825="","",IF($M825&gt;0,"Yes","No"))</f>
        <v/>
      </c>
      <c r="AL825" s="85">
        <f>IF($A825="","",IF(AND($E825="Yes",OR($Y825="No",$Y825="NOT FOUND")),"YES",""))</f>
        <v/>
      </c>
      <c r="AM825" s="85">
        <f>IF($A825="","",TRIM(IF(AND($P825=0,$I825&lt;&gt;"Yes"),"T0-NoPhishResistant ","")&amp;IF($H825="No","NoMFA ","")&amp;IF(AND($P825=0,$M825&gt;0),"T0-Standing ","")&amp;IF(AND($P825=0,$Q825="Group only"),"T0-ViaGroupOnly ","")&amp;IF($W825="Yes","AlsoAzureRBAC ","")))</f>
        <v/>
      </c>
      <c r="AN825" s="85">
        <f>IF($A825="","",IF(AG825="","Not Enrolled",IF(TODAY()&gt;AG825,"Review Overdue",IF(AG825-TODAY()&lt;=30,"Review Due Soon","Active"))))</f>
        <v/>
      </c>
      <c r="AO825" s="85">
        <f>IF($A825="","",IF(AH825="","NOT REVIEWED",IF(TODAY()-AH825&gt;90,"OVERDUE",IF(TODAY()-AH825&gt;76,"Due Soon","Current"))))</f>
        <v/>
      </c>
    </row>
    <row r="826" ht="15" customHeight="1" s="39">
      <c r="A826" s="85" t="n"/>
      <c r="B826" s="85" t="n"/>
      <c r="C826" s="85" t="n"/>
      <c r="D826" s="85" t="n"/>
      <c r="E826" s="85" t="n"/>
      <c r="F826" s="86" t="n"/>
      <c r="G826" s="86" t="n"/>
      <c r="H826" s="85" t="n"/>
      <c r="I826" s="85" t="n"/>
      <c r="J826" s="85" t="n"/>
      <c r="K826" s="85" t="n"/>
      <c r="L826" s="85" t="n"/>
      <c r="M826" s="85" t="n"/>
      <c r="N826" s="85" t="n"/>
      <c r="O826" s="85" t="n"/>
      <c r="P826" s="85" t="n"/>
      <c r="Q826" s="85" t="n"/>
      <c r="R826" s="85" t="n"/>
      <c r="S826" s="85" t="n"/>
      <c r="T826" s="85" t="n"/>
      <c r="U826" s="85" t="n"/>
      <c r="V826" s="85" t="n"/>
      <c r="W826" s="85" t="n"/>
      <c r="X826" s="85" t="n"/>
      <c r="Y826" s="85" t="n"/>
      <c r="Z826" s="85" t="n"/>
      <c r="AA826" s="85" t="n"/>
      <c r="AB826" s="85" t="n"/>
      <c r="AC826" s="85" t="n"/>
      <c r="AD826" s="85" t="n"/>
      <c r="AE826" s="85" t="n"/>
      <c r="AF826" s="86" t="n"/>
      <c r="AG826" s="86" t="n"/>
      <c r="AH826" s="86" t="n"/>
      <c r="AI826" s="85" t="n"/>
      <c r="AJ826" s="85" t="n"/>
      <c r="AK826" s="85">
        <f>IF($A826="","",IF($M826&gt;0,"Yes","No"))</f>
        <v/>
      </c>
      <c r="AL826" s="85">
        <f>IF($A826="","",IF(AND($E826="Yes",OR($Y826="No",$Y826="NOT FOUND")),"YES",""))</f>
        <v/>
      </c>
      <c r="AM826" s="85">
        <f>IF($A826="","",TRIM(IF(AND($P826=0,$I826&lt;&gt;"Yes"),"T0-NoPhishResistant ","")&amp;IF($H826="No","NoMFA ","")&amp;IF(AND($P826=0,$M826&gt;0),"T0-Standing ","")&amp;IF(AND($P826=0,$Q826="Group only"),"T0-ViaGroupOnly ","")&amp;IF($W826="Yes","AlsoAzureRBAC ","")))</f>
        <v/>
      </c>
      <c r="AN826" s="85">
        <f>IF($A826="","",IF(AG826="","Not Enrolled",IF(TODAY()&gt;AG826,"Review Overdue",IF(AG826-TODAY()&lt;=30,"Review Due Soon","Active"))))</f>
        <v/>
      </c>
      <c r="AO826" s="85">
        <f>IF($A826="","",IF(AH826="","NOT REVIEWED",IF(TODAY()-AH826&gt;90,"OVERDUE",IF(TODAY()-AH826&gt;76,"Due Soon","Current"))))</f>
        <v/>
      </c>
    </row>
    <row r="827" ht="15" customHeight="1" s="39">
      <c r="A827" s="85" t="n"/>
      <c r="B827" s="85" t="n"/>
      <c r="C827" s="85" t="n"/>
      <c r="D827" s="85" t="n"/>
      <c r="E827" s="85" t="n"/>
      <c r="F827" s="86" t="n"/>
      <c r="G827" s="86" t="n"/>
      <c r="H827" s="85" t="n"/>
      <c r="I827" s="85" t="n"/>
      <c r="J827" s="85" t="n"/>
      <c r="K827" s="85" t="n"/>
      <c r="L827" s="85" t="n"/>
      <c r="M827" s="85" t="n"/>
      <c r="N827" s="85" t="n"/>
      <c r="O827" s="85" t="n"/>
      <c r="P827" s="85" t="n"/>
      <c r="Q827" s="85" t="n"/>
      <c r="R827" s="85" t="n"/>
      <c r="S827" s="85" t="n"/>
      <c r="T827" s="85" t="n"/>
      <c r="U827" s="85" t="n"/>
      <c r="V827" s="85" t="n"/>
      <c r="W827" s="85" t="n"/>
      <c r="X827" s="85" t="n"/>
      <c r="Y827" s="85" t="n"/>
      <c r="Z827" s="85" t="n"/>
      <c r="AA827" s="85" t="n"/>
      <c r="AB827" s="85" t="n"/>
      <c r="AC827" s="85" t="n"/>
      <c r="AD827" s="85" t="n"/>
      <c r="AE827" s="85" t="n"/>
      <c r="AF827" s="86" t="n"/>
      <c r="AG827" s="86" t="n"/>
      <c r="AH827" s="86" t="n"/>
      <c r="AI827" s="85" t="n"/>
      <c r="AJ827" s="85" t="n"/>
      <c r="AK827" s="85">
        <f>IF($A827="","",IF($M827&gt;0,"Yes","No"))</f>
        <v/>
      </c>
      <c r="AL827" s="85">
        <f>IF($A827="","",IF(AND($E827="Yes",OR($Y827="No",$Y827="NOT FOUND")),"YES",""))</f>
        <v/>
      </c>
      <c r="AM827" s="85">
        <f>IF($A827="","",TRIM(IF(AND($P827=0,$I827&lt;&gt;"Yes"),"T0-NoPhishResistant ","")&amp;IF($H827="No","NoMFA ","")&amp;IF(AND($P827=0,$M827&gt;0),"T0-Standing ","")&amp;IF(AND($P827=0,$Q827="Group only"),"T0-ViaGroupOnly ","")&amp;IF($W827="Yes","AlsoAzureRBAC ","")))</f>
        <v/>
      </c>
      <c r="AN827" s="85">
        <f>IF($A827="","",IF(AG827="","Not Enrolled",IF(TODAY()&gt;AG827,"Review Overdue",IF(AG827-TODAY()&lt;=30,"Review Due Soon","Active"))))</f>
        <v/>
      </c>
      <c r="AO827" s="85">
        <f>IF($A827="","",IF(AH827="","NOT REVIEWED",IF(TODAY()-AH827&gt;90,"OVERDUE",IF(TODAY()-AH827&gt;76,"Due Soon","Current"))))</f>
        <v/>
      </c>
    </row>
    <row r="828" ht="15" customHeight="1" s="39">
      <c r="A828" s="85" t="n"/>
      <c r="B828" s="85" t="n"/>
      <c r="C828" s="85" t="n"/>
      <c r="D828" s="85" t="n"/>
      <c r="E828" s="85" t="n"/>
      <c r="F828" s="86" t="n"/>
      <c r="G828" s="86" t="n"/>
      <c r="H828" s="85" t="n"/>
      <c r="I828" s="85" t="n"/>
      <c r="J828" s="85" t="n"/>
      <c r="K828" s="85" t="n"/>
      <c r="L828" s="85" t="n"/>
      <c r="M828" s="85" t="n"/>
      <c r="N828" s="85" t="n"/>
      <c r="O828" s="85" t="n"/>
      <c r="P828" s="85" t="n"/>
      <c r="Q828" s="85" t="n"/>
      <c r="R828" s="85" t="n"/>
      <c r="S828" s="85" t="n"/>
      <c r="T828" s="85" t="n"/>
      <c r="U828" s="85" t="n"/>
      <c r="V828" s="85" t="n"/>
      <c r="W828" s="85" t="n"/>
      <c r="X828" s="85" t="n"/>
      <c r="Y828" s="85" t="n"/>
      <c r="Z828" s="85" t="n"/>
      <c r="AA828" s="85" t="n"/>
      <c r="AB828" s="85" t="n"/>
      <c r="AC828" s="85" t="n"/>
      <c r="AD828" s="85" t="n"/>
      <c r="AE828" s="85" t="n"/>
      <c r="AF828" s="86" t="n"/>
      <c r="AG828" s="86" t="n"/>
      <c r="AH828" s="86" t="n"/>
      <c r="AI828" s="85" t="n"/>
      <c r="AJ828" s="85" t="n"/>
      <c r="AK828" s="85">
        <f>IF($A828="","",IF($M828&gt;0,"Yes","No"))</f>
        <v/>
      </c>
      <c r="AL828" s="85">
        <f>IF($A828="","",IF(AND($E828="Yes",OR($Y828="No",$Y828="NOT FOUND")),"YES",""))</f>
        <v/>
      </c>
      <c r="AM828" s="85">
        <f>IF($A828="","",TRIM(IF(AND($P828=0,$I828&lt;&gt;"Yes"),"T0-NoPhishResistant ","")&amp;IF($H828="No","NoMFA ","")&amp;IF(AND($P828=0,$M828&gt;0),"T0-Standing ","")&amp;IF(AND($P828=0,$Q828="Group only"),"T0-ViaGroupOnly ","")&amp;IF($W828="Yes","AlsoAzureRBAC ","")))</f>
        <v/>
      </c>
      <c r="AN828" s="85">
        <f>IF($A828="","",IF(AG828="","Not Enrolled",IF(TODAY()&gt;AG828,"Review Overdue",IF(AG828-TODAY()&lt;=30,"Review Due Soon","Active"))))</f>
        <v/>
      </c>
      <c r="AO828" s="85">
        <f>IF($A828="","",IF(AH828="","NOT REVIEWED",IF(TODAY()-AH828&gt;90,"OVERDUE",IF(TODAY()-AH828&gt;76,"Due Soon","Current"))))</f>
        <v/>
      </c>
    </row>
    <row r="829" ht="15" customHeight="1" s="39">
      <c r="A829" s="85" t="n"/>
      <c r="B829" s="85" t="n"/>
      <c r="C829" s="85" t="n"/>
      <c r="D829" s="85" t="n"/>
      <c r="E829" s="85" t="n"/>
      <c r="F829" s="86" t="n"/>
      <c r="G829" s="86" t="n"/>
      <c r="H829" s="85" t="n"/>
      <c r="I829" s="85" t="n"/>
      <c r="J829" s="85" t="n"/>
      <c r="K829" s="85" t="n"/>
      <c r="L829" s="85" t="n"/>
      <c r="M829" s="85" t="n"/>
      <c r="N829" s="85" t="n"/>
      <c r="O829" s="85" t="n"/>
      <c r="P829" s="85" t="n"/>
      <c r="Q829" s="85" t="n"/>
      <c r="R829" s="85" t="n"/>
      <c r="S829" s="85" t="n"/>
      <c r="T829" s="85" t="n"/>
      <c r="U829" s="85" t="n"/>
      <c r="V829" s="85" t="n"/>
      <c r="W829" s="85" t="n"/>
      <c r="X829" s="85" t="n"/>
      <c r="Y829" s="85" t="n"/>
      <c r="Z829" s="85" t="n"/>
      <c r="AA829" s="85" t="n"/>
      <c r="AB829" s="85" t="n"/>
      <c r="AC829" s="85" t="n"/>
      <c r="AD829" s="85" t="n"/>
      <c r="AE829" s="85" t="n"/>
      <c r="AF829" s="86" t="n"/>
      <c r="AG829" s="86" t="n"/>
      <c r="AH829" s="86" t="n"/>
      <c r="AI829" s="85" t="n"/>
      <c r="AJ829" s="85" t="n"/>
      <c r="AK829" s="85">
        <f>IF($A829="","",IF($M829&gt;0,"Yes","No"))</f>
        <v/>
      </c>
      <c r="AL829" s="85">
        <f>IF($A829="","",IF(AND($E829="Yes",OR($Y829="No",$Y829="NOT FOUND")),"YES",""))</f>
        <v/>
      </c>
      <c r="AM829" s="85">
        <f>IF($A829="","",TRIM(IF(AND($P829=0,$I829&lt;&gt;"Yes"),"T0-NoPhishResistant ","")&amp;IF($H829="No","NoMFA ","")&amp;IF(AND($P829=0,$M829&gt;0),"T0-Standing ","")&amp;IF(AND($P829=0,$Q829="Group only"),"T0-ViaGroupOnly ","")&amp;IF($W829="Yes","AlsoAzureRBAC ","")))</f>
        <v/>
      </c>
      <c r="AN829" s="85">
        <f>IF($A829="","",IF(AG829="","Not Enrolled",IF(TODAY()&gt;AG829,"Review Overdue",IF(AG829-TODAY()&lt;=30,"Review Due Soon","Active"))))</f>
        <v/>
      </c>
      <c r="AO829" s="85">
        <f>IF($A829="","",IF(AH829="","NOT REVIEWED",IF(TODAY()-AH829&gt;90,"OVERDUE",IF(TODAY()-AH829&gt;76,"Due Soon","Current"))))</f>
        <v/>
      </c>
    </row>
    <row r="830" ht="15" customHeight="1" s="39">
      <c r="A830" s="85" t="n"/>
      <c r="B830" s="85" t="n"/>
      <c r="C830" s="85" t="n"/>
      <c r="D830" s="85" t="n"/>
      <c r="E830" s="85" t="n"/>
      <c r="F830" s="86" t="n"/>
      <c r="G830" s="86" t="n"/>
      <c r="H830" s="85" t="n"/>
      <c r="I830" s="85" t="n"/>
      <c r="J830" s="85" t="n"/>
      <c r="K830" s="85" t="n"/>
      <c r="L830" s="85" t="n"/>
      <c r="M830" s="85" t="n"/>
      <c r="N830" s="85" t="n"/>
      <c r="O830" s="85" t="n"/>
      <c r="P830" s="85" t="n"/>
      <c r="Q830" s="85" t="n"/>
      <c r="R830" s="85" t="n"/>
      <c r="S830" s="85" t="n"/>
      <c r="T830" s="85" t="n"/>
      <c r="U830" s="85" t="n"/>
      <c r="V830" s="85" t="n"/>
      <c r="W830" s="85" t="n"/>
      <c r="X830" s="85" t="n"/>
      <c r="Y830" s="85" t="n"/>
      <c r="Z830" s="85" t="n"/>
      <c r="AA830" s="85" t="n"/>
      <c r="AB830" s="85" t="n"/>
      <c r="AC830" s="85" t="n"/>
      <c r="AD830" s="85" t="n"/>
      <c r="AE830" s="85" t="n"/>
      <c r="AF830" s="86" t="n"/>
      <c r="AG830" s="86" t="n"/>
      <c r="AH830" s="86" t="n"/>
      <c r="AI830" s="85" t="n"/>
      <c r="AJ830" s="85" t="n"/>
      <c r="AK830" s="85">
        <f>IF($A830="","",IF($M830&gt;0,"Yes","No"))</f>
        <v/>
      </c>
      <c r="AL830" s="85">
        <f>IF($A830="","",IF(AND($E830="Yes",OR($Y830="No",$Y830="NOT FOUND")),"YES",""))</f>
        <v/>
      </c>
      <c r="AM830" s="85">
        <f>IF($A830="","",TRIM(IF(AND($P830=0,$I830&lt;&gt;"Yes"),"T0-NoPhishResistant ","")&amp;IF($H830="No","NoMFA ","")&amp;IF(AND($P830=0,$M830&gt;0),"T0-Standing ","")&amp;IF(AND($P830=0,$Q830="Group only"),"T0-ViaGroupOnly ","")&amp;IF($W830="Yes","AlsoAzureRBAC ","")))</f>
        <v/>
      </c>
      <c r="AN830" s="85">
        <f>IF($A830="","",IF(AG830="","Not Enrolled",IF(TODAY()&gt;AG830,"Review Overdue",IF(AG830-TODAY()&lt;=30,"Review Due Soon","Active"))))</f>
        <v/>
      </c>
      <c r="AO830" s="85">
        <f>IF($A830="","",IF(AH830="","NOT REVIEWED",IF(TODAY()-AH830&gt;90,"OVERDUE",IF(TODAY()-AH830&gt;76,"Due Soon","Current"))))</f>
        <v/>
      </c>
    </row>
    <row r="831" ht="15" customHeight="1" s="39">
      <c r="A831" s="85" t="n"/>
      <c r="B831" s="85" t="n"/>
      <c r="C831" s="85" t="n"/>
      <c r="D831" s="85" t="n"/>
      <c r="E831" s="85" t="n"/>
      <c r="F831" s="86" t="n"/>
      <c r="G831" s="86" t="n"/>
      <c r="H831" s="85" t="n"/>
      <c r="I831" s="85" t="n"/>
      <c r="J831" s="85" t="n"/>
      <c r="K831" s="85" t="n"/>
      <c r="L831" s="85" t="n"/>
      <c r="M831" s="85" t="n"/>
      <c r="N831" s="85" t="n"/>
      <c r="O831" s="85" t="n"/>
      <c r="P831" s="85" t="n"/>
      <c r="Q831" s="85" t="n"/>
      <c r="R831" s="85" t="n"/>
      <c r="S831" s="85" t="n"/>
      <c r="T831" s="85" t="n"/>
      <c r="U831" s="85" t="n"/>
      <c r="V831" s="85" t="n"/>
      <c r="W831" s="85" t="n"/>
      <c r="X831" s="85" t="n"/>
      <c r="Y831" s="85" t="n"/>
      <c r="Z831" s="85" t="n"/>
      <c r="AA831" s="85" t="n"/>
      <c r="AB831" s="85" t="n"/>
      <c r="AC831" s="85" t="n"/>
      <c r="AD831" s="85" t="n"/>
      <c r="AE831" s="85" t="n"/>
      <c r="AF831" s="86" t="n"/>
      <c r="AG831" s="86" t="n"/>
      <c r="AH831" s="86" t="n"/>
      <c r="AI831" s="85" t="n"/>
      <c r="AJ831" s="85" t="n"/>
      <c r="AK831" s="85">
        <f>IF($A831="","",IF($M831&gt;0,"Yes","No"))</f>
        <v/>
      </c>
      <c r="AL831" s="85">
        <f>IF($A831="","",IF(AND($E831="Yes",OR($Y831="No",$Y831="NOT FOUND")),"YES",""))</f>
        <v/>
      </c>
      <c r="AM831" s="85">
        <f>IF($A831="","",TRIM(IF(AND($P831=0,$I831&lt;&gt;"Yes"),"T0-NoPhishResistant ","")&amp;IF($H831="No","NoMFA ","")&amp;IF(AND($P831=0,$M831&gt;0),"T0-Standing ","")&amp;IF(AND($P831=0,$Q831="Group only"),"T0-ViaGroupOnly ","")&amp;IF($W831="Yes","AlsoAzureRBAC ","")))</f>
        <v/>
      </c>
      <c r="AN831" s="85">
        <f>IF($A831="","",IF(AG831="","Not Enrolled",IF(TODAY()&gt;AG831,"Review Overdue",IF(AG831-TODAY()&lt;=30,"Review Due Soon","Active"))))</f>
        <v/>
      </c>
      <c r="AO831" s="85">
        <f>IF($A831="","",IF(AH831="","NOT REVIEWED",IF(TODAY()-AH831&gt;90,"OVERDUE",IF(TODAY()-AH831&gt;76,"Due Soon","Current"))))</f>
        <v/>
      </c>
    </row>
    <row r="832" ht="15" customHeight="1" s="39">
      <c r="A832" s="85" t="n"/>
      <c r="B832" s="85" t="n"/>
      <c r="C832" s="85" t="n"/>
      <c r="D832" s="85" t="n"/>
      <c r="E832" s="85" t="n"/>
      <c r="F832" s="86" t="n"/>
      <c r="G832" s="86" t="n"/>
      <c r="H832" s="85" t="n"/>
      <c r="I832" s="85" t="n"/>
      <c r="J832" s="85" t="n"/>
      <c r="K832" s="85" t="n"/>
      <c r="L832" s="85" t="n"/>
      <c r="M832" s="85" t="n"/>
      <c r="N832" s="85" t="n"/>
      <c r="O832" s="85" t="n"/>
      <c r="P832" s="85" t="n"/>
      <c r="Q832" s="85" t="n"/>
      <c r="R832" s="85" t="n"/>
      <c r="S832" s="85" t="n"/>
      <c r="T832" s="85" t="n"/>
      <c r="U832" s="85" t="n"/>
      <c r="V832" s="85" t="n"/>
      <c r="W832" s="85" t="n"/>
      <c r="X832" s="85" t="n"/>
      <c r="Y832" s="85" t="n"/>
      <c r="Z832" s="85" t="n"/>
      <c r="AA832" s="85" t="n"/>
      <c r="AB832" s="85" t="n"/>
      <c r="AC832" s="85" t="n"/>
      <c r="AD832" s="85" t="n"/>
      <c r="AE832" s="85" t="n"/>
      <c r="AF832" s="86" t="n"/>
      <c r="AG832" s="86" t="n"/>
      <c r="AH832" s="86" t="n"/>
      <c r="AI832" s="85" t="n"/>
      <c r="AJ832" s="85" t="n"/>
      <c r="AK832" s="85">
        <f>IF($A832="","",IF($M832&gt;0,"Yes","No"))</f>
        <v/>
      </c>
      <c r="AL832" s="85">
        <f>IF($A832="","",IF(AND($E832="Yes",OR($Y832="No",$Y832="NOT FOUND")),"YES",""))</f>
        <v/>
      </c>
      <c r="AM832" s="85">
        <f>IF($A832="","",TRIM(IF(AND($P832=0,$I832&lt;&gt;"Yes"),"T0-NoPhishResistant ","")&amp;IF($H832="No","NoMFA ","")&amp;IF(AND($P832=0,$M832&gt;0),"T0-Standing ","")&amp;IF(AND($P832=0,$Q832="Group only"),"T0-ViaGroupOnly ","")&amp;IF($W832="Yes","AlsoAzureRBAC ","")))</f>
        <v/>
      </c>
      <c r="AN832" s="85">
        <f>IF($A832="","",IF(AG832="","Not Enrolled",IF(TODAY()&gt;AG832,"Review Overdue",IF(AG832-TODAY()&lt;=30,"Review Due Soon","Active"))))</f>
        <v/>
      </c>
      <c r="AO832" s="85">
        <f>IF($A832="","",IF(AH832="","NOT REVIEWED",IF(TODAY()-AH832&gt;90,"OVERDUE",IF(TODAY()-AH832&gt;76,"Due Soon","Current"))))</f>
        <v/>
      </c>
    </row>
    <row r="833" ht="15" customHeight="1" s="39">
      <c r="A833" s="85" t="n"/>
      <c r="B833" s="85" t="n"/>
      <c r="C833" s="85" t="n"/>
      <c r="D833" s="85" t="n"/>
      <c r="E833" s="85" t="n"/>
      <c r="F833" s="86" t="n"/>
      <c r="G833" s="86" t="n"/>
      <c r="H833" s="85" t="n"/>
      <c r="I833" s="85" t="n"/>
      <c r="J833" s="85" t="n"/>
      <c r="K833" s="85" t="n"/>
      <c r="L833" s="85" t="n"/>
      <c r="M833" s="85" t="n"/>
      <c r="N833" s="85" t="n"/>
      <c r="O833" s="85" t="n"/>
      <c r="P833" s="85" t="n"/>
      <c r="Q833" s="85" t="n"/>
      <c r="R833" s="85" t="n"/>
      <c r="S833" s="85" t="n"/>
      <c r="T833" s="85" t="n"/>
      <c r="U833" s="85" t="n"/>
      <c r="V833" s="85" t="n"/>
      <c r="W833" s="85" t="n"/>
      <c r="X833" s="85" t="n"/>
      <c r="Y833" s="85" t="n"/>
      <c r="Z833" s="85" t="n"/>
      <c r="AA833" s="85" t="n"/>
      <c r="AB833" s="85" t="n"/>
      <c r="AC833" s="85" t="n"/>
      <c r="AD833" s="85" t="n"/>
      <c r="AE833" s="85" t="n"/>
      <c r="AF833" s="86" t="n"/>
      <c r="AG833" s="86" t="n"/>
      <c r="AH833" s="86" t="n"/>
      <c r="AI833" s="85" t="n"/>
      <c r="AJ833" s="85" t="n"/>
      <c r="AK833" s="85">
        <f>IF($A833="","",IF($M833&gt;0,"Yes","No"))</f>
        <v/>
      </c>
      <c r="AL833" s="85">
        <f>IF($A833="","",IF(AND($E833="Yes",OR($Y833="No",$Y833="NOT FOUND")),"YES",""))</f>
        <v/>
      </c>
      <c r="AM833" s="85">
        <f>IF($A833="","",TRIM(IF(AND($P833=0,$I833&lt;&gt;"Yes"),"T0-NoPhishResistant ","")&amp;IF($H833="No","NoMFA ","")&amp;IF(AND($P833=0,$M833&gt;0),"T0-Standing ","")&amp;IF(AND($P833=0,$Q833="Group only"),"T0-ViaGroupOnly ","")&amp;IF($W833="Yes","AlsoAzureRBAC ","")))</f>
        <v/>
      </c>
      <c r="AN833" s="85">
        <f>IF($A833="","",IF(AG833="","Not Enrolled",IF(TODAY()&gt;AG833,"Review Overdue",IF(AG833-TODAY()&lt;=30,"Review Due Soon","Active"))))</f>
        <v/>
      </c>
      <c r="AO833" s="85">
        <f>IF($A833="","",IF(AH833="","NOT REVIEWED",IF(TODAY()-AH833&gt;90,"OVERDUE",IF(TODAY()-AH833&gt;76,"Due Soon","Current"))))</f>
        <v/>
      </c>
    </row>
    <row r="834" ht="15" customHeight="1" s="39">
      <c r="A834" s="85" t="n"/>
      <c r="B834" s="85" t="n"/>
      <c r="C834" s="85" t="n"/>
      <c r="D834" s="85" t="n"/>
      <c r="E834" s="85" t="n"/>
      <c r="F834" s="86" t="n"/>
      <c r="G834" s="86" t="n"/>
      <c r="H834" s="85" t="n"/>
      <c r="I834" s="85" t="n"/>
      <c r="J834" s="85" t="n"/>
      <c r="K834" s="85" t="n"/>
      <c r="L834" s="85" t="n"/>
      <c r="M834" s="85" t="n"/>
      <c r="N834" s="85" t="n"/>
      <c r="O834" s="85" t="n"/>
      <c r="P834" s="85" t="n"/>
      <c r="Q834" s="85" t="n"/>
      <c r="R834" s="85" t="n"/>
      <c r="S834" s="85" t="n"/>
      <c r="T834" s="85" t="n"/>
      <c r="U834" s="85" t="n"/>
      <c r="V834" s="85" t="n"/>
      <c r="W834" s="85" t="n"/>
      <c r="X834" s="85" t="n"/>
      <c r="Y834" s="85" t="n"/>
      <c r="Z834" s="85" t="n"/>
      <c r="AA834" s="85" t="n"/>
      <c r="AB834" s="85" t="n"/>
      <c r="AC834" s="85" t="n"/>
      <c r="AD834" s="85" t="n"/>
      <c r="AE834" s="85" t="n"/>
      <c r="AF834" s="86" t="n"/>
      <c r="AG834" s="86" t="n"/>
      <c r="AH834" s="86" t="n"/>
      <c r="AI834" s="85" t="n"/>
      <c r="AJ834" s="85" t="n"/>
      <c r="AK834" s="85">
        <f>IF($A834="","",IF($M834&gt;0,"Yes","No"))</f>
        <v/>
      </c>
      <c r="AL834" s="85">
        <f>IF($A834="","",IF(AND($E834="Yes",OR($Y834="No",$Y834="NOT FOUND")),"YES",""))</f>
        <v/>
      </c>
      <c r="AM834" s="85">
        <f>IF($A834="","",TRIM(IF(AND($P834=0,$I834&lt;&gt;"Yes"),"T0-NoPhishResistant ","")&amp;IF($H834="No","NoMFA ","")&amp;IF(AND($P834=0,$M834&gt;0),"T0-Standing ","")&amp;IF(AND($P834=0,$Q834="Group only"),"T0-ViaGroupOnly ","")&amp;IF($W834="Yes","AlsoAzureRBAC ","")))</f>
        <v/>
      </c>
      <c r="AN834" s="85">
        <f>IF($A834="","",IF(AG834="","Not Enrolled",IF(TODAY()&gt;AG834,"Review Overdue",IF(AG834-TODAY()&lt;=30,"Review Due Soon","Active"))))</f>
        <v/>
      </c>
      <c r="AO834" s="85">
        <f>IF($A834="","",IF(AH834="","NOT REVIEWED",IF(TODAY()-AH834&gt;90,"OVERDUE",IF(TODAY()-AH834&gt;76,"Due Soon","Current"))))</f>
        <v/>
      </c>
    </row>
    <row r="835" ht="15" customHeight="1" s="39">
      <c r="A835" s="85" t="n"/>
      <c r="B835" s="85" t="n"/>
      <c r="C835" s="85" t="n"/>
      <c r="D835" s="85" t="n"/>
      <c r="E835" s="85" t="n"/>
      <c r="F835" s="86" t="n"/>
      <c r="G835" s="86" t="n"/>
      <c r="H835" s="85" t="n"/>
      <c r="I835" s="85" t="n"/>
      <c r="J835" s="85" t="n"/>
      <c r="K835" s="85" t="n"/>
      <c r="L835" s="85" t="n"/>
      <c r="M835" s="85" t="n"/>
      <c r="N835" s="85" t="n"/>
      <c r="O835" s="85" t="n"/>
      <c r="P835" s="85" t="n"/>
      <c r="Q835" s="85" t="n"/>
      <c r="R835" s="85" t="n"/>
      <c r="S835" s="85" t="n"/>
      <c r="T835" s="85" t="n"/>
      <c r="U835" s="85" t="n"/>
      <c r="V835" s="85" t="n"/>
      <c r="W835" s="85" t="n"/>
      <c r="X835" s="85" t="n"/>
      <c r="Y835" s="85" t="n"/>
      <c r="Z835" s="85" t="n"/>
      <c r="AA835" s="85" t="n"/>
      <c r="AB835" s="85" t="n"/>
      <c r="AC835" s="85" t="n"/>
      <c r="AD835" s="85" t="n"/>
      <c r="AE835" s="85" t="n"/>
      <c r="AF835" s="86" t="n"/>
      <c r="AG835" s="86" t="n"/>
      <c r="AH835" s="86" t="n"/>
      <c r="AI835" s="85" t="n"/>
      <c r="AJ835" s="85" t="n"/>
      <c r="AK835" s="85">
        <f>IF($A835="","",IF($M835&gt;0,"Yes","No"))</f>
        <v/>
      </c>
      <c r="AL835" s="85">
        <f>IF($A835="","",IF(AND($E835="Yes",OR($Y835="No",$Y835="NOT FOUND")),"YES",""))</f>
        <v/>
      </c>
      <c r="AM835" s="85">
        <f>IF($A835="","",TRIM(IF(AND($P835=0,$I835&lt;&gt;"Yes"),"T0-NoPhishResistant ","")&amp;IF($H835="No","NoMFA ","")&amp;IF(AND($P835=0,$M835&gt;0),"T0-Standing ","")&amp;IF(AND($P835=0,$Q835="Group only"),"T0-ViaGroupOnly ","")&amp;IF($W835="Yes","AlsoAzureRBAC ","")))</f>
        <v/>
      </c>
      <c r="AN835" s="85">
        <f>IF($A835="","",IF(AG835="","Not Enrolled",IF(TODAY()&gt;AG835,"Review Overdue",IF(AG835-TODAY()&lt;=30,"Review Due Soon","Active"))))</f>
        <v/>
      </c>
      <c r="AO835" s="85">
        <f>IF($A835="","",IF(AH835="","NOT REVIEWED",IF(TODAY()-AH835&gt;90,"OVERDUE",IF(TODAY()-AH835&gt;76,"Due Soon","Current"))))</f>
        <v/>
      </c>
    </row>
    <row r="836" ht="15" customHeight="1" s="39">
      <c r="A836" s="85" t="n"/>
      <c r="B836" s="85" t="n"/>
      <c r="C836" s="85" t="n"/>
      <c r="D836" s="85" t="n"/>
      <c r="E836" s="85" t="n"/>
      <c r="F836" s="86" t="n"/>
      <c r="G836" s="86" t="n"/>
      <c r="H836" s="85" t="n"/>
      <c r="I836" s="85" t="n"/>
      <c r="J836" s="85" t="n"/>
      <c r="K836" s="85" t="n"/>
      <c r="L836" s="85" t="n"/>
      <c r="M836" s="85" t="n"/>
      <c r="N836" s="85" t="n"/>
      <c r="O836" s="85" t="n"/>
      <c r="P836" s="85" t="n"/>
      <c r="Q836" s="85" t="n"/>
      <c r="R836" s="85" t="n"/>
      <c r="S836" s="85" t="n"/>
      <c r="T836" s="85" t="n"/>
      <c r="U836" s="85" t="n"/>
      <c r="V836" s="85" t="n"/>
      <c r="W836" s="85" t="n"/>
      <c r="X836" s="85" t="n"/>
      <c r="Y836" s="85" t="n"/>
      <c r="Z836" s="85" t="n"/>
      <c r="AA836" s="85" t="n"/>
      <c r="AB836" s="85" t="n"/>
      <c r="AC836" s="85" t="n"/>
      <c r="AD836" s="85" t="n"/>
      <c r="AE836" s="85" t="n"/>
      <c r="AF836" s="86" t="n"/>
      <c r="AG836" s="86" t="n"/>
      <c r="AH836" s="86" t="n"/>
      <c r="AI836" s="85" t="n"/>
      <c r="AJ836" s="85" t="n"/>
      <c r="AK836" s="85">
        <f>IF($A836="","",IF($M836&gt;0,"Yes","No"))</f>
        <v/>
      </c>
      <c r="AL836" s="85">
        <f>IF($A836="","",IF(AND($E836="Yes",OR($Y836="No",$Y836="NOT FOUND")),"YES",""))</f>
        <v/>
      </c>
      <c r="AM836" s="85">
        <f>IF($A836="","",TRIM(IF(AND($P836=0,$I836&lt;&gt;"Yes"),"T0-NoPhishResistant ","")&amp;IF($H836="No","NoMFA ","")&amp;IF(AND($P836=0,$M836&gt;0),"T0-Standing ","")&amp;IF(AND($P836=0,$Q836="Group only"),"T0-ViaGroupOnly ","")&amp;IF($W836="Yes","AlsoAzureRBAC ","")))</f>
        <v/>
      </c>
      <c r="AN836" s="85">
        <f>IF($A836="","",IF(AG836="","Not Enrolled",IF(TODAY()&gt;AG836,"Review Overdue",IF(AG836-TODAY()&lt;=30,"Review Due Soon","Active"))))</f>
        <v/>
      </c>
      <c r="AO836" s="85">
        <f>IF($A836="","",IF(AH836="","NOT REVIEWED",IF(TODAY()-AH836&gt;90,"OVERDUE",IF(TODAY()-AH836&gt;76,"Due Soon","Current"))))</f>
        <v/>
      </c>
    </row>
    <row r="837" ht="15" customHeight="1" s="39">
      <c r="A837" s="85" t="n"/>
      <c r="B837" s="85" t="n"/>
      <c r="C837" s="85" t="n"/>
      <c r="D837" s="85" t="n"/>
      <c r="E837" s="85" t="n"/>
      <c r="F837" s="86" t="n"/>
      <c r="G837" s="86" t="n"/>
      <c r="H837" s="85" t="n"/>
      <c r="I837" s="85" t="n"/>
      <c r="J837" s="85" t="n"/>
      <c r="K837" s="85" t="n"/>
      <c r="L837" s="85" t="n"/>
      <c r="M837" s="85" t="n"/>
      <c r="N837" s="85" t="n"/>
      <c r="O837" s="85" t="n"/>
      <c r="P837" s="85" t="n"/>
      <c r="Q837" s="85" t="n"/>
      <c r="R837" s="85" t="n"/>
      <c r="S837" s="85" t="n"/>
      <c r="T837" s="85" t="n"/>
      <c r="U837" s="85" t="n"/>
      <c r="V837" s="85" t="n"/>
      <c r="W837" s="85" t="n"/>
      <c r="X837" s="85" t="n"/>
      <c r="Y837" s="85" t="n"/>
      <c r="Z837" s="85" t="n"/>
      <c r="AA837" s="85" t="n"/>
      <c r="AB837" s="85" t="n"/>
      <c r="AC837" s="85" t="n"/>
      <c r="AD837" s="85" t="n"/>
      <c r="AE837" s="85" t="n"/>
      <c r="AF837" s="86" t="n"/>
      <c r="AG837" s="86" t="n"/>
      <c r="AH837" s="86" t="n"/>
      <c r="AI837" s="85" t="n"/>
      <c r="AJ837" s="85" t="n"/>
      <c r="AK837" s="85">
        <f>IF($A837="","",IF($M837&gt;0,"Yes","No"))</f>
        <v/>
      </c>
      <c r="AL837" s="85">
        <f>IF($A837="","",IF(AND($E837="Yes",OR($Y837="No",$Y837="NOT FOUND")),"YES",""))</f>
        <v/>
      </c>
      <c r="AM837" s="85">
        <f>IF($A837="","",TRIM(IF(AND($P837=0,$I837&lt;&gt;"Yes"),"T0-NoPhishResistant ","")&amp;IF($H837="No","NoMFA ","")&amp;IF(AND($P837=0,$M837&gt;0),"T0-Standing ","")&amp;IF(AND($P837=0,$Q837="Group only"),"T0-ViaGroupOnly ","")&amp;IF($W837="Yes","AlsoAzureRBAC ","")))</f>
        <v/>
      </c>
      <c r="AN837" s="85">
        <f>IF($A837="","",IF(AG837="","Not Enrolled",IF(TODAY()&gt;AG837,"Review Overdue",IF(AG837-TODAY()&lt;=30,"Review Due Soon","Active"))))</f>
        <v/>
      </c>
      <c r="AO837" s="85">
        <f>IF($A837="","",IF(AH837="","NOT REVIEWED",IF(TODAY()-AH837&gt;90,"OVERDUE",IF(TODAY()-AH837&gt;76,"Due Soon","Current"))))</f>
        <v/>
      </c>
    </row>
    <row r="838" ht="15" customHeight="1" s="39">
      <c r="A838" s="85" t="n"/>
      <c r="B838" s="85" t="n"/>
      <c r="C838" s="85" t="n"/>
      <c r="D838" s="85" t="n"/>
      <c r="E838" s="85" t="n"/>
      <c r="F838" s="86" t="n"/>
      <c r="G838" s="86" t="n"/>
      <c r="H838" s="85" t="n"/>
      <c r="I838" s="85" t="n"/>
      <c r="J838" s="85" t="n"/>
      <c r="K838" s="85" t="n"/>
      <c r="L838" s="85" t="n"/>
      <c r="M838" s="85" t="n"/>
      <c r="N838" s="85" t="n"/>
      <c r="O838" s="85" t="n"/>
      <c r="P838" s="85" t="n"/>
      <c r="Q838" s="85" t="n"/>
      <c r="R838" s="85" t="n"/>
      <c r="S838" s="85" t="n"/>
      <c r="T838" s="85" t="n"/>
      <c r="U838" s="85" t="n"/>
      <c r="V838" s="85" t="n"/>
      <c r="W838" s="85" t="n"/>
      <c r="X838" s="85" t="n"/>
      <c r="Y838" s="85" t="n"/>
      <c r="Z838" s="85" t="n"/>
      <c r="AA838" s="85" t="n"/>
      <c r="AB838" s="85" t="n"/>
      <c r="AC838" s="85" t="n"/>
      <c r="AD838" s="85" t="n"/>
      <c r="AE838" s="85" t="n"/>
      <c r="AF838" s="86" t="n"/>
      <c r="AG838" s="86" t="n"/>
      <c r="AH838" s="86" t="n"/>
      <c r="AI838" s="85" t="n"/>
      <c r="AJ838" s="85" t="n"/>
      <c r="AK838" s="85">
        <f>IF($A838="","",IF($M838&gt;0,"Yes","No"))</f>
        <v/>
      </c>
      <c r="AL838" s="85">
        <f>IF($A838="","",IF(AND($E838="Yes",OR($Y838="No",$Y838="NOT FOUND")),"YES",""))</f>
        <v/>
      </c>
      <c r="AM838" s="85">
        <f>IF($A838="","",TRIM(IF(AND($P838=0,$I838&lt;&gt;"Yes"),"T0-NoPhishResistant ","")&amp;IF($H838="No","NoMFA ","")&amp;IF(AND($P838=0,$M838&gt;0),"T0-Standing ","")&amp;IF(AND($P838=0,$Q838="Group only"),"T0-ViaGroupOnly ","")&amp;IF($W838="Yes","AlsoAzureRBAC ","")))</f>
        <v/>
      </c>
      <c r="AN838" s="85">
        <f>IF($A838="","",IF(AG838="","Not Enrolled",IF(TODAY()&gt;AG838,"Review Overdue",IF(AG838-TODAY()&lt;=30,"Review Due Soon","Active"))))</f>
        <v/>
      </c>
      <c r="AO838" s="85">
        <f>IF($A838="","",IF(AH838="","NOT REVIEWED",IF(TODAY()-AH838&gt;90,"OVERDUE",IF(TODAY()-AH838&gt;76,"Due Soon","Current"))))</f>
        <v/>
      </c>
    </row>
    <row r="839" ht="15" customHeight="1" s="39">
      <c r="A839" s="85" t="n"/>
      <c r="B839" s="85" t="n"/>
      <c r="C839" s="85" t="n"/>
      <c r="D839" s="85" t="n"/>
      <c r="E839" s="85" t="n"/>
      <c r="F839" s="86" t="n"/>
      <c r="G839" s="86" t="n"/>
      <c r="H839" s="85" t="n"/>
      <c r="I839" s="85" t="n"/>
      <c r="J839" s="85" t="n"/>
      <c r="K839" s="85" t="n"/>
      <c r="L839" s="85" t="n"/>
      <c r="M839" s="85" t="n"/>
      <c r="N839" s="85" t="n"/>
      <c r="O839" s="85" t="n"/>
      <c r="P839" s="85" t="n"/>
      <c r="Q839" s="85" t="n"/>
      <c r="R839" s="85" t="n"/>
      <c r="S839" s="85" t="n"/>
      <c r="T839" s="85" t="n"/>
      <c r="U839" s="85" t="n"/>
      <c r="V839" s="85" t="n"/>
      <c r="W839" s="85" t="n"/>
      <c r="X839" s="85" t="n"/>
      <c r="Y839" s="85" t="n"/>
      <c r="Z839" s="85" t="n"/>
      <c r="AA839" s="85" t="n"/>
      <c r="AB839" s="85" t="n"/>
      <c r="AC839" s="85" t="n"/>
      <c r="AD839" s="85" t="n"/>
      <c r="AE839" s="85" t="n"/>
      <c r="AF839" s="86" t="n"/>
      <c r="AG839" s="86" t="n"/>
      <c r="AH839" s="86" t="n"/>
      <c r="AI839" s="85" t="n"/>
      <c r="AJ839" s="85" t="n"/>
      <c r="AK839" s="85">
        <f>IF($A839="","",IF($M839&gt;0,"Yes","No"))</f>
        <v/>
      </c>
      <c r="AL839" s="85">
        <f>IF($A839="","",IF(AND($E839="Yes",OR($Y839="No",$Y839="NOT FOUND")),"YES",""))</f>
        <v/>
      </c>
      <c r="AM839" s="85">
        <f>IF($A839="","",TRIM(IF(AND($P839=0,$I839&lt;&gt;"Yes"),"T0-NoPhishResistant ","")&amp;IF($H839="No","NoMFA ","")&amp;IF(AND($P839=0,$M839&gt;0),"T0-Standing ","")&amp;IF(AND($P839=0,$Q839="Group only"),"T0-ViaGroupOnly ","")&amp;IF($W839="Yes","AlsoAzureRBAC ","")))</f>
        <v/>
      </c>
      <c r="AN839" s="85">
        <f>IF($A839="","",IF(AG839="","Not Enrolled",IF(TODAY()&gt;AG839,"Review Overdue",IF(AG839-TODAY()&lt;=30,"Review Due Soon","Active"))))</f>
        <v/>
      </c>
      <c r="AO839" s="85">
        <f>IF($A839="","",IF(AH839="","NOT REVIEWED",IF(TODAY()-AH839&gt;90,"OVERDUE",IF(TODAY()-AH839&gt;76,"Due Soon","Current"))))</f>
        <v/>
      </c>
    </row>
    <row r="840" ht="15" customHeight="1" s="39">
      <c r="A840" s="85" t="n"/>
      <c r="B840" s="85" t="n"/>
      <c r="C840" s="85" t="n"/>
      <c r="D840" s="85" t="n"/>
      <c r="E840" s="85" t="n"/>
      <c r="F840" s="86" t="n"/>
      <c r="G840" s="86" t="n"/>
      <c r="H840" s="85" t="n"/>
      <c r="I840" s="85" t="n"/>
      <c r="J840" s="85" t="n"/>
      <c r="K840" s="85" t="n"/>
      <c r="L840" s="85" t="n"/>
      <c r="M840" s="85" t="n"/>
      <c r="N840" s="85" t="n"/>
      <c r="O840" s="85" t="n"/>
      <c r="P840" s="85" t="n"/>
      <c r="Q840" s="85" t="n"/>
      <c r="R840" s="85" t="n"/>
      <c r="S840" s="85" t="n"/>
      <c r="T840" s="85" t="n"/>
      <c r="U840" s="85" t="n"/>
      <c r="V840" s="85" t="n"/>
      <c r="W840" s="85" t="n"/>
      <c r="X840" s="85" t="n"/>
      <c r="Y840" s="85" t="n"/>
      <c r="Z840" s="85" t="n"/>
      <c r="AA840" s="85" t="n"/>
      <c r="AB840" s="85" t="n"/>
      <c r="AC840" s="85" t="n"/>
      <c r="AD840" s="85" t="n"/>
      <c r="AE840" s="85" t="n"/>
      <c r="AF840" s="86" t="n"/>
      <c r="AG840" s="86" t="n"/>
      <c r="AH840" s="86" t="n"/>
      <c r="AI840" s="85" t="n"/>
      <c r="AJ840" s="85" t="n"/>
      <c r="AK840" s="85">
        <f>IF($A840="","",IF($M840&gt;0,"Yes","No"))</f>
        <v/>
      </c>
      <c r="AL840" s="85">
        <f>IF($A840="","",IF(AND($E840="Yes",OR($Y840="No",$Y840="NOT FOUND")),"YES",""))</f>
        <v/>
      </c>
      <c r="AM840" s="85">
        <f>IF($A840="","",TRIM(IF(AND($P840=0,$I840&lt;&gt;"Yes"),"T0-NoPhishResistant ","")&amp;IF($H840="No","NoMFA ","")&amp;IF(AND($P840=0,$M840&gt;0),"T0-Standing ","")&amp;IF(AND($P840=0,$Q840="Group only"),"T0-ViaGroupOnly ","")&amp;IF($W840="Yes","AlsoAzureRBAC ","")))</f>
        <v/>
      </c>
      <c r="AN840" s="85">
        <f>IF($A840="","",IF(AG840="","Not Enrolled",IF(TODAY()&gt;AG840,"Review Overdue",IF(AG840-TODAY()&lt;=30,"Review Due Soon","Active"))))</f>
        <v/>
      </c>
      <c r="AO840" s="85">
        <f>IF($A840="","",IF(AH840="","NOT REVIEWED",IF(TODAY()-AH840&gt;90,"OVERDUE",IF(TODAY()-AH840&gt;76,"Due Soon","Current"))))</f>
        <v/>
      </c>
    </row>
    <row r="841" ht="15" customHeight="1" s="39">
      <c r="A841" s="85" t="n"/>
      <c r="B841" s="85" t="n"/>
      <c r="C841" s="85" t="n"/>
      <c r="D841" s="85" t="n"/>
      <c r="E841" s="85" t="n"/>
      <c r="F841" s="86" t="n"/>
      <c r="G841" s="86" t="n"/>
      <c r="H841" s="85" t="n"/>
      <c r="I841" s="85" t="n"/>
      <c r="J841" s="85" t="n"/>
      <c r="K841" s="85" t="n"/>
      <c r="L841" s="85" t="n"/>
      <c r="M841" s="85" t="n"/>
      <c r="N841" s="85" t="n"/>
      <c r="O841" s="85" t="n"/>
      <c r="P841" s="85" t="n"/>
      <c r="Q841" s="85" t="n"/>
      <c r="R841" s="85" t="n"/>
      <c r="S841" s="85" t="n"/>
      <c r="T841" s="85" t="n"/>
      <c r="U841" s="85" t="n"/>
      <c r="V841" s="85" t="n"/>
      <c r="W841" s="85" t="n"/>
      <c r="X841" s="85" t="n"/>
      <c r="Y841" s="85" t="n"/>
      <c r="Z841" s="85" t="n"/>
      <c r="AA841" s="85" t="n"/>
      <c r="AB841" s="85" t="n"/>
      <c r="AC841" s="85" t="n"/>
      <c r="AD841" s="85" t="n"/>
      <c r="AE841" s="85" t="n"/>
      <c r="AF841" s="86" t="n"/>
      <c r="AG841" s="86" t="n"/>
      <c r="AH841" s="86" t="n"/>
      <c r="AI841" s="85" t="n"/>
      <c r="AJ841" s="85" t="n"/>
      <c r="AK841" s="85">
        <f>IF($A841="","",IF($M841&gt;0,"Yes","No"))</f>
        <v/>
      </c>
      <c r="AL841" s="85">
        <f>IF($A841="","",IF(AND($E841="Yes",OR($Y841="No",$Y841="NOT FOUND")),"YES",""))</f>
        <v/>
      </c>
      <c r="AM841" s="85">
        <f>IF($A841="","",TRIM(IF(AND($P841=0,$I841&lt;&gt;"Yes"),"T0-NoPhishResistant ","")&amp;IF($H841="No","NoMFA ","")&amp;IF(AND($P841=0,$M841&gt;0),"T0-Standing ","")&amp;IF(AND($P841=0,$Q841="Group only"),"T0-ViaGroupOnly ","")&amp;IF($W841="Yes","AlsoAzureRBAC ","")))</f>
        <v/>
      </c>
      <c r="AN841" s="85">
        <f>IF($A841="","",IF(AG841="","Not Enrolled",IF(TODAY()&gt;AG841,"Review Overdue",IF(AG841-TODAY()&lt;=30,"Review Due Soon","Active"))))</f>
        <v/>
      </c>
      <c r="AO841" s="85">
        <f>IF($A841="","",IF(AH841="","NOT REVIEWED",IF(TODAY()-AH841&gt;90,"OVERDUE",IF(TODAY()-AH841&gt;76,"Due Soon","Current"))))</f>
        <v/>
      </c>
    </row>
    <row r="842" ht="15" customHeight="1" s="39">
      <c r="A842" s="85" t="n"/>
      <c r="B842" s="85" t="n"/>
      <c r="C842" s="85" t="n"/>
      <c r="D842" s="85" t="n"/>
      <c r="E842" s="85" t="n"/>
      <c r="F842" s="86" t="n"/>
      <c r="G842" s="86" t="n"/>
      <c r="H842" s="85" t="n"/>
      <c r="I842" s="85" t="n"/>
      <c r="J842" s="85" t="n"/>
      <c r="K842" s="85" t="n"/>
      <c r="L842" s="85" t="n"/>
      <c r="M842" s="85" t="n"/>
      <c r="N842" s="85" t="n"/>
      <c r="O842" s="85" t="n"/>
      <c r="P842" s="85" t="n"/>
      <c r="Q842" s="85" t="n"/>
      <c r="R842" s="85" t="n"/>
      <c r="S842" s="85" t="n"/>
      <c r="T842" s="85" t="n"/>
      <c r="U842" s="85" t="n"/>
      <c r="V842" s="85" t="n"/>
      <c r="W842" s="85" t="n"/>
      <c r="X842" s="85" t="n"/>
      <c r="Y842" s="85" t="n"/>
      <c r="Z842" s="85" t="n"/>
      <c r="AA842" s="85" t="n"/>
      <c r="AB842" s="85" t="n"/>
      <c r="AC842" s="85" t="n"/>
      <c r="AD842" s="85" t="n"/>
      <c r="AE842" s="85" t="n"/>
      <c r="AF842" s="86" t="n"/>
      <c r="AG842" s="86" t="n"/>
      <c r="AH842" s="86" t="n"/>
      <c r="AI842" s="85" t="n"/>
      <c r="AJ842" s="85" t="n"/>
      <c r="AK842" s="85">
        <f>IF($A842="","",IF($M842&gt;0,"Yes","No"))</f>
        <v/>
      </c>
      <c r="AL842" s="85">
        <f>IF($A842="","",IF(AND($E842="Yes",OR($Y842="No",$Y842="NOT FOUND")),"YES",""))</f>
        <v/>
      </c>
      <c r="AM842" s="85">
        <f>IF($A842="","",TRIM(IF(AND($P842=0,$I842&lt;&gt;"Yes"),"T0-NoPhishResistant ","")&amp;IF($H842="No","NoMFA ","")&amp;IF(AND($P842=0,$M842&gt;0),"T0-Standing ","")&amp;IF(AND($P842=0,$Q842="Group only"),"T0-ViaGroupOnly ","")&amp;IF($W842="Yes","AlsoAzureRBAC ","")))</f>
        <v/>
      </c>
      <c r="AN842" s="85">
        <f>IF($A842="","",IF(AG842="","Not Enrolled",IF(TODAY()&gt;AG842,"Review Overdue",IF(AG842-TODAY()&lt;=30,"Review Due Soon","Active"))))</f>
        <v/>
      </c>
      <c r="AO842" s="85">
        <f>IF($A842="","",IF(AH842="","NOT REVIEWED",IF(TODAY()-AH842&gt;90,"OVERDUE",IF(TODAY()-AH842&gt;76,"Due Soon","Current"))))</f>
        <v/>
      </c>
    </row>
    <row r="843" ht="15" customHeight="1" s="39">
      <c r="A843" s="85" t="n"/>
      <c r="B843" s="85" t="n"/>
      <c r="C843" s="85" t="n"/>
      <c r="D843" s="85" t="n"/>
      <c r="E843" s="85" t="n"/>
      <c r="F843" s="86" t="n"/>
      <c r="G843" s="86" t="n"/>
      <c r="H843" s="85" t="n"/>
      <c r="I843" s="85" t="n"/>
      <c r="J843" s="85" t="n"/>
      <c r="K843" s="85" t="n"/>
      <c r="L843" s="85" t="n"/>
      <c r="M843" s="85" t="n"/>
      <c r="N843" s="85" t="n"/>
      <c r="O843" s="85" t="n"/>
      <c r="P843" s="85" t="n"/>
      <c r="Q843" s="85" t="n"/>
      <c r="R843" s="85" t="n"/>
      <c r="S843" s="85" t="n"/>
      <c r="T843" s="85" t="n"/>
      <c r="U843" s="85" t="n"/>
      <c r="V843" s="85" t="n"/>
      <c r="W843" s="85" t="n"/>
      <c r="X843" s="85" t="n"/>
      <c r="Y843" s="85" t="n"/>
      <c r="Z843" s="85" t="n"/>
      <c r="AA843" s="85" t="n"/>
      <c r="AB843" s="85" t="n"/>
      <c r="AC843" s="85" t="n"/>
      <c r="AD843" s="85" t="n"/>
      <c r="AE843" s="85" t="n"/>
      <c r="AF843" s="86" t="n"/>
      <c r="AG843" s="86" t="n"/>
      <c r="AH843" s="86" t="n"/>
      <c r="AI843" s="85" t="n"/>
      <c r="AJ843" s="85" t="n"/>
      <c r="AK843" s="85">
        <f>IF($A843="","",IF($M843&gt;0,"Yes","No"))</f>
        <v/>
      </c>
      <c r="AL843" s="85">
        <f>IF($A843="","",IF(AND($E843="Yes",OR($Y843="No",$Y843="NOT FOUND")),"YES",""))</f>
        <v/>
      </c>
      <c r="AM843" s="85">
        <f>IF($A843="","",TRIM(IF(AND($P843=0,$I843&lt;&gt;"Yes"),"T0-NoPhishResistant ","")&amp;IF($H843="No","NoMFA ","")&amp;IF(AND($P843=0,$M843&gt;0),"T0-Standing ","")&amp;IF(AND($P843=0,$Q843="Group only"),"T0-ViaGroupOnly ","")&amp;IF($W843="Yes","AlsoAzureRBAC ","")))</f>
        <v/>
      </c>
      <c r="AN843" s="85">
        <f>IF($A843="","",IF(AG843="","Not Enrolled",IF(TODAY()&gt;AG843,"Review Overdue",IF(AG843-TODAY()&lt;=30,"Review Due Soon","Active"))))</f>
        <v/>
      </c>
      <c r="AO843" s="85">
        <f>IF($A843="","",IF(AH843="","NOT REVIEWED",IF(TODAY()-AH843&gt;90,"OVERDUE",IF(TODAY()-AH843&gt;76,"Due Soon","Current"))))</f>
        <v/>
      </c>
    </row>
    <row r="844" ht="15" customHeight="1" s="39">
      <c r="A844" s="85" t="n"/>
      <c r="B844" s="85" t="n"/>
      <c r="C844" s="85" t="n"/>
      <c r="D844" s="85" t="n"/>
      <c r="E844" s="85" t="n"/>
      <c r="F844" s="86" t="n"/>
      <c r="G844" s="86" t="n"/>
      <c r="H844" s="85" t="n"/>
      <c r="I844" s="85" t="n"/>
      <c r="J844" s="85" t="n"/>
      <c r="K844" s="85" t="n"/>
      <c r="L844" s="85" t="n"/>
      <c r="M844" s="85" t="n"/>
      <c r="N844" s="85" t="n"/>
      <c r="O844" s="85" t="n"/>
      <c r="P844" s="85" t="n"/>
      <c r="Q844" s="85" t="n"/>
      <c r="R844" s="85" t="n"/>
      <c r="S844" s="85" t="n"/>
      <c r="T844" s="85" t="n"/>
      <c r="U844" s="85" t="n"/>
      <c r="V844" s="85" t="n"/>
      <c r="W844" s="85" t="n"/>
      <c r="X844" s="85" t="n"/>
      <c r="Y844" s="85" t="n"/>
      <c r="Z844" s="85" t="n"/>
      <c r="AA844" s="85" t="n"/>
      <c r="AB844" s="85" t="n"/>
      <c r="AC844" s="85" t="n"/>
      <c r="AD844" s="85" t="n"/>
      <c r="AE844" s="85" t="n"/>
      <c r="AF844" s="86" t="n"/>
      <c r="AG844" s="86" t="n"/>
      <c r="AH844" s="86" t="n"/>
      <c r="AI844" s="85" t="n"/>
      <c r="AJ844" s="85" t="n"/>
      <c r="AK844" s="85">
        <f>IF($A844="","",IF($M844&gt;0,"Yes","No"))</f>
        <v/>
      </c>
      <c r="AL844" s="85">
        <f>IF($A844="","",IF(AND($E844="Yes",OR($Y844="No",$Y844="NOT FOUND")),"YES",""))</f>
        <v/>
      </c>
      <c r="AM844" s="85">
        <f>IF($A844="","",TRIM(IF(AND($P844=0,$I844&lt;&gt;"Yes"),"T0-NoPhishResistant ","")&amp;IF($H844="No","NoMFA ","")&amp;IF(AND($P844=0,$M844&gt;0),"T0-Standing ","")&amp;IF(AND($P844=0,$Q844="Group only"),"T0-ViaGroupOnly ","")&amp;IF($W844="Yes","AlsoAzureRBAC ","")))</f>
        <v/>
      </c>
      <c r="AN844" s="85">
        <f>IF($A844="","",IF(AG844="","Not Enrolled",IF(TODAY()&gt;AG844,"Review Overdue",IF(AG844-TODAY()&lt;=30,"Review Due Soon","Active"))))</f>
        <v/>
      </c>
      <c r="AO844" s="85">
        <f>IF($A844="","",IF(AH844="","NOT REVIEWED",IF(TODAY()-AH844&gt;90,"OVERDUE",IF(TODAY()-AH844&gt;76,"Due Soon","Current"))))</f>
        <v/>
      </c>
    </row>
    <row r="845" ht="15" customHeight="1" s="39">
      <c r="A845" s="85" t="n"/>
      <c r="B845" s="85" t="n"/>
      <c r="C845" s="85" t="n"/>
      <c r="D845" s="85" t="n"/>
      <c r="E845" s="85" t="n"/>
      <c r="F845" s="86" t="n"/>
      <c r="G845" s="86" t="n"/>
      <c r="H845" s="85" t="n"/>
      <c r="I845" s="85" t="n"/>
      <c r="J845" s="85" t="n"/>
      <c r="K845" s="85" t="n"/>
      <c r="L845" s="85" t="n"/>
      <c r="M845" s="85" t="n"/>
      <c r="N845" s="85" t="n"/>
      <c r="O845" s="85" t="n"/>
      <c r="P845" s="85" t="n"/>
      <c r="Q845" s="85" t="n"/>
      <c r="R845" s="85" t="n"/>
      <c r="S845" s="85" t="n"/>
      <c r="T845" s="85" t="n"/>
      <c r="U845" s="85" t="n"/>
      <c r="V845" s="85" t="n"/>
      <c r="W845" s="85" t="n"/>
      <c r="X845" s="85" t="n"/>
      <c r="Y845" s="85" t="n"/>
      <c r="Z845" s="85" t="n"/>
      <c r="AA845" s="85" t="n"/>
      <c r="AB845" s="85" t="n"/>
      <c r="AC845" s="85" t="n"/>
      <c r="AD845" s="85" t="n"/>
      <c r="AE845" s="85" t="n"/>
      <c r="AF845" s="86" t="n"/>
      <c r="AG845" s="86" t="n"/>
      <c r="AH845" s="86" t="n"/>
      <c r="AI845" s="85" t="n"/>
      <c r="AJ845" s="85" t="n"/>
      <c r="AK845" s="85">
        <f>IF($A845="","",IF($M845&gt;0,"Yes","No"))</f>
        <v/>
      </c>
      <c r="AL845" s="85">
        <f>IF($A845="","",IF(AND($E845="Yes",OR($Y845="No",$Y845="NOT FOUND")),"YES",""))</f>
        <v/>
      </c>
      <c r="AM845" s="85">
        <f>IF($A845="","",TRIM(IF(AND($P845=0,$I845&lt;&gt;"Yes"),"T0-NoPhishResistant ","")&amp;IF($H845="No","NoMFA ","")&amp;IF(AND($P845=0,$M845&gt;0),"T0-Standing ","")&amp;IF(AND($P845=0,$Q845="Group only"),"T0-ViaGroupOnly ","")&amp;IF($W845="Yes","AlsoAzureRBAC ","")))</f>
        <v/>
      </c>
      <c r="AN845" s="85">
        <f>IF($A845="","",IF(AG845="","Not Enrolled",IF(TODAY()&gt;AG845,"Review Overdue",IF(AG845-TODAY()&lt;=30,"Review Due Soon","Active"))))</f>
        <v/>
      </c>
      <c r="AO845" s="85">
        <f>IF($A845="","",IF(AH845="","NOT REVIEWED",IF(TODAY()-AH845&gt;90,"OVERDUE",IF(TODAY()-AH845&gt;76,"Due Soon","Current"))))</f>
        <v/>
      </c>
    </row>
    <row r="846" ht="15" customHeight="1" s="39">
      <c r="A846" s="85" t="n"/>
      <c r="B846" s="85" t="n"/>
      <c r="C846" s="85" t="n"/>
      <c r="D846" s="85" t="n"/>
      <c r="E846" s="85" t="n"/>
      <c r="F846" s="86" t="n"/>
      <c r="G846" s="86" t="n"/>
      <c r="H846" s="85" t="n"/>
      <c r="I846" s="85" t="n"/>
      <c r="J846" s="85" t="n"/>
      <c r="K846" s="85" t="n"/>
      <c r="L846" s="85" t="n"/>
      <c r="M846" s="85" t="n"/>
      <c r="N846" s="85" t="n"/>
      <c r="O846" s="85" t="n"/>
      <c r="P846" s="85" t="n"/>
      <c r="Q846" s="85" t="n"/>
      <c r="R846" s="85" t="n"/>
      <c r="S846" s="85" t="n"/>
      <c r="T846" s="85" t="n"/>
      <c r="U846" s="85" t="n"/>
      <c r="V846" s="85" t="n"/>
      <c r="W846" s="85" t="n"/>
      <c r="X846" s="85" t="n"/>
      <c r="Y846" s="85" t="n"/>
      <c r="Z846" s="85" t="n"/>
      <c r="AA846" s="85" t="n"/>
      <c r="AB846" s="85" t="n"/>
      <c r="AC846" s="85" t="n"/>
      <c r="AD846" s="85" t="n"/>
      <c r="AE846" s="85" t="n"/>
      <c r="AF846" s="86" t="n"/>
      <c r="AG846" s="86" t="n"/>
      <c r="AH846" s="86" t="n"/>
      <c r="AI846" s="85" t="n"/>
      <c r="AJ846" s="85" t="n"/>
      <c r="AK846" s="85">
        <f>IF($A846="","",IF($M846&gt;0,"Yes","No"))</f>
        <v/>
      </c>
      <c r="AL846" s="85">
        <f>IF($A846="","",IF(AND($E846="Yes",OR($Y846="No",$Y846="NOT FOUND")),"YES",""))</f>
        <v/>
      </c>
      <c r="AM846" s="85">
        <f>IF($A846="","",TRIM(IF(AND($P846=0,$I846&lt;&gt;"Yes"),"T0-NoPhishResistant ","")&amp;IF($H846="No","NoMFA ","")&amp;IF(AND($P846=0,$M846&gt;0),"T0-Standing ","")&amp;IF(AND($P846=0,$Q846="Group only"),"T0-ViaGroupOnly ","")&amp;IF($W846="Yes","AlsoAzureRBAC ","")))</f>
        <v/>
      </c>
      <c r="AN846" s="85">
        <f>IF($A846="","",IF(AG846="","Not Enrolled",IF(TODAY()&gt;AG846,"Review Overdue",IF(AG846-TODAY()&lt;=30,"Review Due Soon","Active"))))</f>
        <v/>
      </c>
      <c r="AO846" s="85">
        <f>IF($A846="","",IF(AH846="","NOT REVIEWED",IF(TODAY()-AH846&gt;90,"OVERDUE",IF(TODAY()-AH846&gt;76,"Due Soon","Current"))))</f>
        <v/>
      </c>
    </row>
    <row r="847" ht="15" customHeight="1" s="39">
      <c r="A847" s="85" t="n"/>
      <c r="B847" s="85" t="n"/>
      <c r="C847" s="85" t="n"/>
      <c r="D847" s="85" t="n"/>
      <c r="E847" s="85" t="n"/>
      <c r="F847" s="86" t="n"/>
      <c r="G847" s="86" t="n"/>
      <c r="H847" s="85" t="n"/>
      <c r="I847" s="85" t="n"/>
      <c r="J847" s="85" t="n"/>
      <c r="K847" s="85" t="n"/>
      <c r="L847" s="85" t="n"/>
      <c r="M847" s="85" t="n"/>
      <c r="N847" s="85" t="n"/>
      <c r="O847" s="85" t="n"/>
      <c r="P847" s="85" t="n"/>
      <c r="Q847" s="85" t="n"/>
      <c r="R847" s="85" t="n"/>
      <c r="S847" s="85" t="n"/>
      <c r="T847" s="85" t="n"/>
      <c r="U847" s="85" t="n"/>
      <c r="V847" s="85" t="n"/>
      <c r="W847" s="85" t="n"/>
      <c r="X847" s="85" t="n"/>
      <c r="Y847" s="85" t="n"/>
      <c r="Z847" s="85" t="n"/>
      <c r="AA847" s="85" t="n"/>
      <c r="AB847" s="85" t="n"/>
      <c r="AC847" s="85" t="n"/>
      <c r="AD847" s="85" t="n"/>
      <c r="AE847" s="85" t="n"/>
      <c r="AF847" s="86" t="n"/>
      <c r="AG847" s="86" t="n"/>
      <c r="AH847" s="86" t="n"/>
      <c r="AI847" s="85" t="n"/>
      <c r="AJ847" s="85" t="n"/>
      <c r="AK847" s="85">
        <f>IF($A847="","",IF($M847&gt;0,"Yes","No"))</f>
        <v/>
      </c>
      <c r="AL847" s="85">
        <f>IF($A847="","",IF(AND($E847="Yes",OR($Y847="No",$Y847="NOT FOUND")),"YES",""))</f>
        <v/>
      </c>
      <c r="AM847" s="85">
        <f>IF($A847="","",TRIM(IF(AND($P847=0,$I847&lt;&gt;"Yes"),"T0-NoPhishResistant ","")&amp;IF($H847="No","NoMFA ","")&amp;IF(AND($P847=0,$M847&gt;0),"T0-Standing ","")&amp;IF(AND($P847=0,$Q847="Group only"),"T0-ViaGroupOnly ","")&amp;IF($W847="Yes","AlsoAzureRBAC ","")))</f>
        <v/>
      </c>
      <c r="AN847" s="85">
        <f>IF($A847="","",IF(AG847="","Not Enrolled",IF(TODAY()&gt;AG847,"Review Overdue",IF(AG847-TODAY()&lt;=30,"Review Due Soon","Active"))))</f>
        <v/>
      </c>
      <c r="AO847" s="85">
        <f>IF($A847="","",IF(AH847="","NOT REVIEWED",IF(TODAY()-AH847&gt;90,"OVERDUE",IF(TODAY()-AH847&gt;76,"Due Soon","Current"))))</f>
        <v/>
      </c>
    </row>
    <row r="848" ht="15" customHeight="1" s="39">
      <c r="A848" s="85" t="n"/>
      <c r="B848" s="85" t="n"/>
      <c r="C848" s="85" t="n"/>
      <c r="D848" s="85" t="n"/>
      <c r="E848" s="85" t="n"/>
      <c r="F848" s="86" t="n"/>
      <c r="G848" s="86" t="n"/>
      <c r="H848" s="85" t="n"/>
      <c r="I848" s="85" t="n"/>
      <c r="J848" s="85" t="n"/>
      <c r="K848" s="85" t="n"/>
      <c r="L848" s="85" t="n"/>
      <c r="M848" s="85" t="n"/>
      <c r="N848" s="85" t="n"/>
      <c r="O848" s="85" t="n"/>
      <c r="P848" s="85" t="n"/>
      <c r="Q848" s="85" t="n"/>
      <c r="R848" s="85" t="n"/>
      <c r="S848" s="85" t="n"/>
      <c r="T848" s="85" t="n"/>
      <c r="U848" s="85" t="n"/>
      <c r="V848" s="85" t="n"/>
      <c r="W848" s="85" t="n"/>
      <c r="X848" s="85" t="n"/>
      <c r="Y848" s="85" t="n"/>
      <c r="Z848" s="85" t="n"/>
      <c r="AA848" s="85" t="n"/>
      <c r="AB848" s="85" t="n"/>
      <c r="AC848" s="85" t="n"/>
      <c r="AD848" s="85" t="n"/>
      <c r="AE848" s="85" t="n"/>
      <c r="AF848" s="86" t="n"/>
      <c r="AG848" s="86" t="n"/>
      <c r="AH848" s="86" t="n"/>
      <c r="AI848" s="85" t="n"/>
      <c r="AJ848" s="85" t="n"/>
      <c r="AK848" s="85">
        <f>IF($A848="","",IF($M848&gt;0,"Yes","No"))</f>
        <v/>
      </c>
      <c r="AL848" s="85">
        <f>IF($A848="","",IF(AND($E848="Yes",OR($Y848="No",$Y848="NOT FOUND")),"YES",""))</f>
        <v/>
      </c>
      <c r="AM848" s="85">
        <f>IF($A848="","",TRIM(IF(AND($P848=0,$I848&lt;&gt;"Yes"),"T0-NoPhishResistant ","")&amp;IF($H848="No","NoMFA ","")&amp;IF(AND($P848=0,$M848&gt;0),"T0-Standing ","")&amp;IF(AND($P848=0,$Q848="Group only"),"T0-ViaGroupOnly ","")&amp;IF($W848="Yes","AlsoAzureRBAC ","")))</f>
        <v/>
      </c>
      <c r="AN848" s="85">
        <f>IF($A848="","",IF(AG848="","Not Enrolled",IF(TODAY()&gt;AG848,"Review Overdue",IF(AG848-TODAY()&lt;=30,"Review Due Soon","Active"))))</f>
        <v/>
      </c>
      <c r="AO848" s="85">
        <f>IF($A848="","",IF(AH848="","NOT REVIEWED",IF(TODAY()-AH848&gt;90,"OVERDUE",IF(TODAY()-AH848&gt;76,"Due Soon","Current"))))</f>
        <v/>
      </c>
    </row>
    <row r="849" ht="15" customHeight="1" s="39">
      <c r="A849" s="85" t="n"/>
      <c r="B849" s="85" t="n"/>
      <c r="C849" s="85" t="n"/>
      <c r="D849" s="85" t="n"/>
      <c r="E849" s="85" t="n"/>
      <c r="F849" s="86" t="n"/>
      <c r="G849" s="86" t="n"/>
      <c r="H849" s="85" t="n"/>
      <c r="I849" s="85" t="n"/>
      <c r="J849" s="85" t="n"/>
      <c r="K849" s="85" t="n"/>
      <c r="L849" s="85" t="n"/>
      <c r="M849" s="85" t="n"/>
      <c r="N849" s="85" t="n"/>
      <c r="O849" s="85" t="n"/>
      <c r="P849" s="85" t="n"/>
      <c r="Q849" s="85" t="n"/>
      <c r="R849" s="85" t="n"/>
      <c r="S849" s="85" t="n"/>
      <c r="T849" s="85" t="n"/>
      <c r="U849" s="85" t="n"/>
      <c r="V849" s="85" t="n"/>
      <c r="W849" s="85" t="n"/>
      <c r="X849" s="85" t="n"/>
      <c r="Y849" s="85" t="n"/>
      <c r="Z849" s="85" t="n"/>
      <c r="AA849" s="85" t="n"/>
      <c r="AB849" s="85" t="n"/>
      <c r="AC849" s="85" t="n"/>
      <c r="AD849" s="85" t="n"/>
      <c r="AE849" s="85" t="n"/>
      <c r="AF849" s="86" t="n"/>
      <c r="AG849" s="86" t="n"/>
      <c r="AH849" s="86" t="n"/>
      <c r="AI849" s="85" t="n"/>
      <c r="AJ849" s="85" t="n"/>
      <c r="AK849" s="85">
        <f>IF($A849="","",IF($M849&gt;0,"Yes","No"))</f>
        <v/>
      </c>
      <c r="AL849" s="85">
        <f>IF($A849="","",IF(AND($E849="Yes",OR($Y849="No",$Y849="NOT FOUND")),"YES",""))</f>
        <v/>
      </c>
      <c r="AM849" s="85">
        <f>IF($A849="","",TRIM(IF(AND($P849=0,$I849&lt;&gt;"Yes"),"T0-NoPhishResistant ","")&amp;IF($H849="No","NoMFA ","")&amp;IF(AND($P849=0,$M849&gt;0),"T0-Standing ","")&amp;IF(AND($P849=0,$Q849="Group only"),"T0-ViaGroupOnly ","")&amp;IF($W849="Yes","AlsoAzureRBAC ","")))</f>
        <v/>
      </c>
      <c r="AN849" s="85">
        <f>IF($A849="","",IF(AG849="","Not Enrolled",IF(TODAY()&gt;AG849,"Review Overdue",IF(AG849-TODAY()&lt;=30,"Review Due Soon","Active"))))</f>
        <v/>
      </c>
      <c r="AO849" s="85">
        <f>IF($A849="","",IF(AH849="","NOT REVIEWED",IF(TODAY()-AH849&gt;90,"OVERDUE",IF(TODAY()-AH849&gt;76,"Due Soon","Current"))))</f>
        <v/>
      </c>
    </row>
    <row r="850" ht="15" customHeight="1" s="39">
      <c r="A850" s="85" t="n"/>
      <c r="B850" s="85" t="n"/>
      <c r="C850" s="85" t="n"/>
      <c r="D850" s="85" t="n"/>
      <c r="E850" s="85" t="n"/>
      <c r="F850" s="86" t="n"/>
      <c r="G850" s="86" t="n"/>
      <c r="H850" s="85" t="n"/>
      <c r="I850" s="85" t="n"/>
      <c r="J850" s="85" t="n"/>
      <c r="K850" s="85" t="n"/>
      <c r="L850" s="85" t="n"/>
      <c r="M850" s="85" t="n"/>
      <c r="N850" s="85" t="n"/>
      <c r="O850" s="85" t="n"/>
      <c r="P850" s="85" t="n"/>
      <c r="Q850" s="85" t="n"/>
      <c r="R850" s="85" t="n"/>
      <c r="S850" s="85" t="n"/>
      <c r="T850" s="85" t="n"/>
      <c r="U850" s="85" t="n"/>
      <c r="V850" s="85" t="n"/>
      <c r="W850" s="85" t="n"/>
      <c r="X850" s="85" t="n"/>
      <c r="Y850" s="85" t="n"/>
      <c r="Z850" s="85" t="n"/>
      <c r="AA850" s="85" t="n"/>
      <c r="AB850" s="85" t="n"/>
      <c r="AC850" s="85" t="n"/>
      <c r="AD850" s="85" t="n"/>
      <c r="AE850" s="85" t="n"/>
      <c r="AF850" s="86" t="n"/>
      <c r="AG850" s="86" t="n"/>
      <c r="AH850" s="86" t="n"/>
      <c r="AI850" s="85" t="n"/>
      <c r="AJ850" s="85" t="n"/>
      <c r="AK850" s="85">
        <f>IF($A850="","",IF($M850&gt;0,"Yes","No"))</f>
        <v/>
      </c>
      <c r="AL850" s="85">
        <f>IF($A850="","",IF(AND($E850="Yes",OR($Y850="No",$Y850="NOT FOUND")),"YES",""))</f>
        <v/>
      </c>
      <c r="AM850" s="85">
        <f>IF($A850="","",TRIM(IF(AND($P850=0,$I850&lt;&gt;"Yes"),"T0-NoPhishResistant ","")&amp;IF($H850="No","NoMFA ","")&amp;IF(AND($P850=0,$M850&gt;0),"T0-Standing ","")&amp;IF(AND($P850=0,$Q850="Group only"),"T0-ViaGroupOnly ","")&amp;IF($W850="Yes","AlsoAzureRBAC ","")))</f>
        <v/>
      </c>
      <c r="AN850" s="85">
        <f>IF($A850="","",IF(AG850="","Not Enrolled",IF(TODAY()&gt;AG850,"Review Overdue",IF(AG850-TODAY()&lt;=30,"Review Due Soon","Active"))))</f>
        <v/>
      </c>
      <c r="AO850" s="85">
        <f>IF($A850="","",IF(AH850="","NOT REVIEWED",IF(TODAY()-AH850&gt;90,"OVERDUE",IF(TODAY()-AH850&gt;76,"Due Soon","Current"))))</f>
        <v/>
      </c>
    </row>
    <row r="851" ht="15" customHeight="1" s="39">
      <c r="A851" s="85" t="n"/>
      <c r="B851" s="85" t="n"/>
      <c r="C851" s="85" t="n"/>
      <c r="D851" s="85" t="n"/>
      <c r="E851" s="85" t="n"/>
      <c r="F851" s="86" t="n"/>
      <c r="G851" s="86" t="n"/>
      <c r="H851" s="85" t="n"/>
      <c r="I851" s="85" t="n"/>
      <c r="J851" s="85" t="n"/>
      <c r="K851" s="85" t="n"/>
      <c r="L851" s="85" t="n"/>
      <c r="M851" s="85" t="n"/>
      <c r="N851" s="85" t="n"/>
      <c r="O851" s="85" t="n"/>
      <c r="P851" s="85" t="n"/>
      <c r="Q851" s="85" t="n"/>
      <c r="R851" s="85" t="n"/>
      <c r="S851" s="85" t="n"/>
      <c r="T851" s="85" t="n"/>
      <c r="U851" s="85" t="n"/>
      <c r="V851" s="85" t="n"/>
      <c r="W851" s="85" t="n"/>
      <c r="X851" s="85" t="n"/>
      <c r="Y851" s="85" t="n"/>
      <c r="Z851" s="85" t="n"/>
      <c r="AA851" s="85" t="n"/>
      <c r="AB851" s="85" t="n"/>
      <c r="AC851" s="85" t="n"/>
      <c r="AD851" s="85" t="n"/>
      <c r="AE851" s="85" t="n"/>
      <c r="AF851" s="86" t="n"/>
      <c r="AG851" s="86" t="n"/>
      <c r="AH851" s="86" t="n"/>
      <c r="AI851" s="85" t="n"/>
      <c r="AJ851" s="85" t="n"/>
      <c r="AK851" s="85">
        <f>IF($A851="","",IF($M851&gt;0,"Yes","No"))</f>
        <v/>
      </c>
      <c r="AL851" s="85">
        <f>IF($A851="","",IF(AND($E851="Yes",OR($Y851="No",$Y851="NOT FOUND")),"YES",""))</f>
        <v/>
      </c>
      <c r="AM851" s="85">
        <f>IF($A851="","",TRIM(IF(AND($P851=0,$I851&lt;&gt;"Yes"),"T0-NoPhishResistant ","")&amp;IF($H851="No","NoMFA ","")&amp;IF(AND($P851=0,$M851&gt;0),"T0-Standing ","")&amp;IF(AND($P851=0,$Q851="Group only"),"T0-ViaGroupOnly ","")&amp;IF($W851="Yes","AlsoAzureRBAC ","")))</f>
        <v/>
      </c>
      <c r="AN851" s="85">
        <f>IF($A851="","",IF(AG851="","Not Enrolled",IF(TODAY()&gt;AG851,"Review Overdue",IF(AG851-TODAY()&lt;=30,"Review Due Soon","Active"))))</f>
        <v/>
      </c>
      <c r="AO851" s="85">
        <f>IF($A851="","",IF(AH851="","NOT REVIEWED",IF(TODAY()-AH851&gt;90,"OVERDUE",IF(TODAY()-AH851&gt;76,"Due Soon","Current"))))</f>
        <v/>
      </c>
    </row>
    <row r="852" ht="15" customHeight="1" s="39">
      <c r="A852" s="85" t="n"/>
      <c r="B852" s="85" t="n"/>
      <c r="C852" s="85" t="n"/>
      <c r="D852" s="85" t="n"/>
      <c r="E852" s="85" t="n"/>
      <c r="F852" s="86" t="n"/>
      <c r="G852" s="86" t="n"/>
      <c r="H852" s="85" t="n"/>
      <c r="I852" s="85" t="n"/>
      <c r="J852" s="85" t="n"/>
      <c r="K852" s="85" t="n"/>
      <c r="L852" s="85" t="n"/>
      <c r="M852" s="85" t="n"/>
      <c r="N852" s="85" t="n"/>
      <c r="O852" s="85" t="n"/>
      <c r="P852" s="85" t="n"/>
      <c r="Q852" s="85" t="n"/>
      <c r="R852" s="85" t="n"/>
      <c r="S852" s="85" t="n"/>
      <c r="T852" s="85" t="n"/>
      <c r="U852" s="85" t="n"/>
      <c r="V852" s="85" t="n"/>
      <c r="W852" s="85" t="n"/>
      <c r="X852" s="85" t="n"/>
      <c r="Y852" s="85" t="n"/>
      <c r="Z852" s="85" t="n"/>
      <c r="AA852" s="85" t="n"/>
      <c r="AB852" s="85" t="n"/>
      <c r="AC852" s="85" t="n"/>
      <c r="AD852" s="85" t="n"/>
      <c r="AE852" s="85" t="n"/>
      <c r="AF852" s="86" t="n"/>
      <c r="AG852" s="86" t="n"/>
      <c r="AH852" s="86" t="n"/>
      <c r="AI852" s="85" t="n"/>
      <c r="AJ852" s="85" t="n"/>
      <c r="AK852" s="85">
        <f>IF($A852="","",IF($M852&gt;0,"Yes","No"))</f>
        <v/>
      </c>
      <c r="AL852" s="85">
        <f>IF($A852="","",IF(AND($E852="Yes",OR($Y852="No",$Y852="NOT FOUND")),"YES",""))</f>
        <v/>
      </c>
      <c r="AM852" s="85">
        <f>IF($A852="","",TRIM(IF(AND($P852=0,$I852&lt;&gt;"Yes"),"T0-NoPhishResistant ","")&amp;IF($H852="No","NoMFA ","")&amp;IF(AND($P852=0,$M852&gt;0),"T0-Standing ","")&amp;IF(AND($P852=0,$Q852="Group only"),"T0-ViaGroupOnly ","")&amp;IF($W852="Yes","AlsoAzureRBAC ","")))</f>
        <v/>
      </c>
      <c r="AN852" s="85">
        <f>IF($A852="","",IF(AG852="","Not Enrolled",IF(TODAY()&gt;AG852,"Review Overdue",IF(AG852-TODAY()&lt;=30,"Review Due Soon","Active"))))</f>
        <v/>
      </c>
      <c r="AO852" s="85">
        <f>IF($A852="","",IF(AH852="","NOT REVIEWED",IF(TODAY()-AH852&gt;90,"OVERDUE",IF(TODAY()-AH852&gt;76,"Due Soon","Current"))))</f>
        <v/>
      </c>
    </row>
    <row r="853" ht="15" customHeight="1" s="39">
      <c r="A853" s="85" t="n"/>
      <c r="B853" s="85" t="n"/>
      <c r="C853" s="85" t="n"/>
      <c r="D853" s="85" t="n"/>
      <c r="E853" s="85" t="n"/>
      <c r="F853" s="86" t="n"/>
      <c r="G853" s="86" t="n"/>
      <c r="H853" s="85" t="n"/>
      <c r="I853" s="85" t="n"/>
      <c r="J853" s="85" t="n"/>
      <c r="K853" s="85" t="n"/>
      <c r="L853" s="85" t="n"/>
      <c r="M853" s="85" t="n"/>
      <c r="N853" s="85" t="n"/>
      <c r="O853" s="85" t="n"/>
      <c r="P853" s="85" t="n"/>
      <c r="Q853" s="85" t="n"/>
      <c r="R853" s="85" t="n"/>
      <c r="S853" s="85" t="n"/>
      <c r="T853" s="85" t="n"/>
      <c r="U853" s="85" t="n"/>
      <c r="V853" s="85" t="n"/>
      <c r="W853" s="85" t="n"/>
      <c r="X853" s="85" t="n"/>
      <c r="Y853" s="85" t="n"/>
      <c r="Z853" s="85" t="n"/>
      <c r="AA853" s="85" t="n"/>
      <c r="AB853" s="85" t="n"/>
      <c r="AC853" s="85" t="n"/>
      <c r="AD853" s="85" t="n"/>
      <c r="AE853" s="85" t="n"/>
      <c r="AF853" s="86" t="n"/>
      <c r="AG853" s="86" t="n"/>
      <c r="AH853" s="86" t="n"/>
      <c r="AI853" s="85" t="n"/>
      <c r="AJ853" s="85" t="n"/>
      <c r="AK853" s="85">
        <f>IF($A853="","",IF($M853&gt;0,"Yes","No"))</f>
        <v/>
      </c>
      <c r="AL853" s="85">
        <f>IF($A853="","",IF(AND($E853="Yes",OR($Y853="No",$Y853="NOT FOUND")),"YES",""))</f>
        <v/>
      </c>
      <c r="AM853" s="85">
        <f>IF($A853="","",TRIM(IF(AND($P853=0,$I853&lt;&gt;"Yes"),"T0-NoPhishResistant ","")&amp;IF($H853="No","NoMFA ","")&amp;IF(AND($P853=0,$M853&gt;0),"T0-Standing ","")&amp;IF(AND($P853=0,$Q853="Group only"),"T0-ViaGroupOnly ","")&amp;IF($W853="Yes","AlsoAzureRBAC ","")))</f>
        <v/>
      </c>
      <c r="AN853" s="85">
        <f>IF($A853="","",IF(AG853="","Not Enrolled",IF(TODAY()&gt;AG853,"Review Overdue",IF(AG853-TODAY()&lt;=30,"Review Due Soon","Active"))))</f>
        <v/>
      </c>
      <c r="AO853" s="85">
        <f>IF($A853="","",IF(AH853="","NOT REVIEWED",IF(TODAY()-AH853&gt;90,"OVERDUE",IF(TODAY()-AH853&gt;76,"Due Soon","Current"))))</f>
        <v/>
      </c>
    </row>
    <row r="854" ht="15" customHeight="1" s="39">
      <c r="A854" s="85" t="n"/>
      <c r="B854" s="85" t="n"/>
      <c r="C854" s="85" t="n"/>
      <c r="D854" s="85" t="n"/>
      <c r="E854" s="85" t="n"/>
      <c r="F854" s="86" t="n"/>
      <c r="G854" s="86" t="n"/>
      <c r="H854" s="85" t="n"/>
      <c r="I854" s="85" t="n"/>
      <c r="J854" s="85" t="n"/>
      <c r="K854" s="85" t="n"/>
      <c r="L854" s="85" t="n"/>
      <c r="M854" s="85" t="n"/>
      <c r="N854" s="85" t="n"/>
      <c r="O854" s="85" t="n"/>
      <c r="P854" s="85" t="n"/>
      <c r="Q854" s="85" t="n"/>
      <c r="R854" s="85" t="n"/>
      <c r="S854" s="85" t="n"/>
      <c r="T854" s="85" t="n"/>
      <c r="U854" s="85" t="n"/>
      <c r="V854" s="85" t="n"/>
      <c r="W854" s="85" t="n"/>
      <c r="X854" s="85" t="n"/>
      <c r="Y854" s="85" t="n"/>
      <c r="Z854" s="85" t="n"/>
      <c r="AA854" s="85" t="n"/>
      <c r="AB854" s="85" t="n"/>
      <c r="AC854" s="85" t="n"/>
      <c r="AD854" s="85" t="n"/>
      <c r="AE854" s="85" t="n"/>
      <c r="AF854" s="86" t="n"/>
      <c r="AG854" s="86" t="n"/>
      <c r="AH854" s="86" t="n"/>
      <c r="AI854" s="85" t="n"/>
      <c r="AJ854" s="85" t="n"/>
      <c r="AK854" s="85">
        <f>IF($A854="","",IF($M854&gt;0,"Yes","No"))</f>
        <v/>
      </c>
      <c r="AL854" s="85">
        <f>IF($A854="","",IF(AND($E854="Yes",OR($Y854="No",$Y854="NOT FOUND")),"YES",""))</f>
        <v/>
      </c>
      <c r="AM854" s="85">
        <f>IF($A854="","",TRIM(IF(AND($P854=0,$I854&lt;&gt;"Yes"),"T0-NoPhishResistant ","")&amp;IF($H854="No","NoMFA ","")&amp;IF(AND($P854=0,$M854&gt;0),"T0-Standing ","")&amp;IF(AND($P854=0,$Q854="Group only"),"T0-ViaGroupOnly ","")&amp;IF($W854="Yes","AlsoAzureRBAC ","")))</f>
        <v/>
      </c>
      <c r="AN854" s="85">
        <f>IF($A854="","",IF(AG854="","Not Enrolled",IF(TODAY()&gt;AG854,"Review Overdue",IF(AG854-TODAY()&lt;=30,"Review Due Soon","Active"))))</f>
        <v/>
      </c>
      <c r="AO854" s="85">
        <f>IF($A854="","",IF(AH854="","NOT REVIEWED",IF(TODAY()-AH854&gt;90,"OVERDUE",IF(TODAY()-AH854&gt;76,"Due Soon","Current"))))</f>
        <v/>
      </c>
    </row>
    <row r="855" ht="15" customHeight="1" s="39">
      <c r="A855" s="85" t="n"/>
      <c r="B855" s="85" t="n"/>
      <c r="C855" s="85" t="n"/>
      <c r="D855" s="85" t="n"/>
      <c r="E855" s="85" t="n"/>
      <c r="F855" s="86" t="n"/>
      <c r="G855" s="86" t="n"/>
      <c r="H855" s="85" t="n"/>
      <c r="I855" s="85" t="n"/>
      <c r="J855" s="85" t="n"/>
      <c r="K855" s="85" t="n"/>
      <c r="L855" s="85" t="n"/>
      <c r="M855" s="85" t="n"/>
      <c r="N855" s="85" t="n"/>
      <c r="O855" s="85" t="n"/>
      <c r="P855" s="85" t="n"/>
      <c r="Q855" s="85" t="n"/>
      <c r="R855" s="85" t="n"/>
      <c r="S855" s="85" t="n"/>
      <c r="T855" s="85" t="n"/>
      <c r="U855" s="85" t="n"/>
      <c r="V855" s="85" t="n"/>
      <c r="W855" s="85" t="n"/>
      <c r="X855" s="85" t="n"/>
      <c r="Y855" s="85" t="n"/>
      <c r="Z855" s="85" t="n"/>
      <c r="AA855" s="85" t="n"/>
      <c r="AB855" s="85" t="n"/>
      <c r="AC855" s="85" t="n"/>
      <c r="AD855" s="85" t="n"/>
      <c r="AE855" s="85" t="n"/>
      <c r="AF855" s="86" t="n"/>
      <c r="AG855" s="86" t="n"/>
      <c r="AH855" s="86" t="n"/>
      <c r="AI855" s="85" t="n"/>
      <c r="AJ855" s="85" t="n"/>
      <c r="AK855" s="85">
        <f>IF($A855="","",IF($M855&gt;0,"Yes","No"))</f>
        <v/>
      </c>
      <c r="AL855" s="85">
        <f>IF($A855="","",IF(AND($E855="Yes",OR($Y855="No",$Y855="NOT FOUND")),"YES",""))</f>
        <v/>
      </c>
      <c r="AM855" s="85">
        <f>IF($A855="","",TRIM(IF(AND($P855=0,$I855&lt;&gt;"Yes"),"T0-NoPhishResistant ","")&amp;IF($H855="No","NoMFA ","")&amp;IF(AND($P855=0,$M855&gt;0),"T0-Standing ","")&amp;IF(AND($P855=0,$Q855="Group only"),"T0-ViaGroupOnly ","")&amp;IF($W855="Yes","AlsoAzureRBAC ","")))</f>
        <v/>
      </c>
      <c r="AN855" s="85">
        <f>IF($A855="","",IF(AG855="","Not Enrolled",IF(TODAY()&gt;AG855,"Review Overdue",IF(AG855-TODAY()&lt;=30,"Review Due Soon","Active"))))</f>
        <v/>
      </c>
      <c r="AO855" s="85">
        <f>IF($A855="","",IF(AH855="","NOT REVIEWED",IF(TODAY()-AH855&gt;90,"OVERDUE",IF(TODAY()-AH855&gt;76,"Due Soon","Current"))))</f>
        <v/>
      </c>
    </row>
    <row r="856" ht="15" customHeight="1" s="39">
      <c r="A856" s="85" t="n"/>
      <c r="B856" s="85" t="n"/>
      <c r="C856" s="85" t="n"/>
      <c r="D856" s="85" t="n"/>
      <c r="E856" s="85" t="n"/>
      <c r="F856" s="86" t="n"/>
      <c r="G856" s="86" t="n"/>
      <c r="H856" s="85" t="n"/>
      <c r="I856" s="85" t="n"/>
      <c r="J856" s="85" t="n"/>
      <c r="K856" s="85" t="n"/>
      <c r="L856" s="85" t="n"/>
      <c r="M856" s="85" t="n"/>
      <c r="N856" s="85" t="n"/>
      <c r="O856" s="85" t="n"/>
      <c r="P856" s="85" t="n"/>
      <c r="Q856" s="85" t="n"/>
      <c r="R856" s="85" t="n"/>
      <c r="S856" s="85" t="n"/>
      <c r="T856" s="85" t="n"/>
      <c r="U856" s="85" t="n"/>
      <c r="V856" s="85" t="n"/>
      <c r="W856" s="85" t="n"/>
      <c r="X856" s="85" t="n"/>
      <c r="Y856" s="85" t="n"/>
      <c r="Z856" s="85" t="n"/>
      <c r="AA856" s="85" t="n"/>
      <c r="AB856" s="85" t="n"/>
      <c r="AC856" s="85" t="n"/>
      <c r="AD856" s="85" t="n"/>
      <c r="AE856" s="85" t="n"/>
      <c r="AF856" s="86" t="n"/>
      <c r="AG856" s="86" t="n"/>
      <c r="AH856" s="86" t="n"/>
      <c r="AI856" s="85" t="n"/>
      <c r="AJ856" s="85" t="n"/>
      <c r="AK856" s="85">
        <f>IF($A856="","",IF($M856&gt;0,"Yes","No"))</f>
        <v/>
      </c>
      <c r="AL856" s="85">
        <f>IF($A856="","",IF(AND($E856="Yes",OR($Y856="No",$Y856="NOT FOUND")),"YES",""))</f>
        <v/>
      </c>
      <c r="AM856" s="85">
        <f>IF($A856="","",TRIM(IF(AND($P856=0,$I856&lt;&gt;"Yes"),"T0-NoPhishResistant ","")&amp;IF($H856="No","NoMFA ","")&amp;IF(AND($P856=0,$M856&gt;0),"T0-Standing ","")&amp;IF(AND($P856=0,$Q856="Group only"),"T0-ViaGroupOnly ","")&amp;IF($W856="Yes","AlsoAzureRBAC ","")))</f>
        <v/>
      </c>
      <c r="AN856" s="85">
        <f>IF($A856="","",IF(AG856="","Not Enrolled",IF(TODAY()&gt;AG856,"Review Overdue",IF(AG856-TODAY()&lt;=30,"Review Due Soon","Active"))))</f>
        <v/>
      </c>
      <c r="AO856" s="85">
        <f>IF($A856="","",IF(AH856="","NOT REVIEWED",IF(TODAY()-AH856&gt;90,"OVERDUE",IF(TODAY()-AH856&gt;76,"Due Soon","Current"))))</f>
        <v/>
      </c>
    </row>
    <row r="857" ht="15" customHeight="1" s="39">
      <c r="A857" s="85" t="n"/>
      <c r="B857" s="85" t="n"/>
      <c r="C857" s="85" t="n"/>
      <c r="D857" s="85" t="n"/>
      <c r="E857" s="85" t="n"/>
      <c r="F857" s="86" t="n"/>
      <c r="G857" s="86" t="n"/>
      <c r="H857" s="85" t="n"/>
      <c r="I857" s="85" t="n"/>
      <c r="J857" s="85" t="n"/>
      <c r="K857" s="85" t="n"/>
      <c r="L857" s="85" t="n"/>
      <c r="M857" s="85" t="n"/>
      <c r="N857" s="85" t="n"/>
      <c r="O857" s="85" t="n"/>
      <c r="P857" s="85" t="n"/>
      <c r="Q857" s="85" t="n"/>
      <c r="R857" s="85" t="n"/>
      <c r="S857" s="85" t="n"/>
      <c r="T857" s="85" t="n"/>
      <c r="U857" s="85" t="n"/>
      <c r="V857" s="85" t="n"/>
      <c r="W857" s="85" t="n"/>
      <c r="X857" s="85" t="n"/>
      <c r="Y857" s="85" t="n"/>
      <c r="Z857" s="85" t="n"/>
      <c r="AA857" s="85" t="n"/>
      <c r="AB857" s="85" t="n"/>
      <c r="AC857" s="85" t="n"/>
      <c r="AD857" s="85" t="n"/>
      <c r="AE857" s="85" t="n"/>
      <c r="AF857" s="86" t="n"/>
      <c r="AG857" s="86" t="n"/>
      <c r="AH857" s="86" t="n"/>
      <c r="AI857" s="85" t="n"/>
      <c r="AJ857" s="85" t="n"/>
      <c r="AK857" s="85">
        <f>IF($A857="","",IF($M857&gt;0,"Yes","No"))</f>
        <v/>
      </c>
      <c r="AL857" s="85">
        <f>IF($A857="","",IF(AND($E857="Yes",OR($Y857="No",$Y857="NOT FOUND")),"YES",""))</f>
        <v/>
      </c>
      <c r="AM857" s="85">
        <f>IF($A857="","",TRIM(IF(AND($P857=0,$I857&lt;&gt;"Yes"),"T0-NoPhishResistant ","")&amp;IF($H857="No","NoMFA ","")&amp;IF(AND($P857=0,$M857&gt;0),"T0-Standing ","")&amp;IF(AND($P857=0,$Q857="Group only"),"T0-ViaGroupOnly ","")&amp;IF($W857="Yes","AlsoAzureRBAC ","")))</f>
        <v/>
      </c>
      <c r="AN857" s="85">
        <f>IF($A857="","",IF(AG857="","Not Enrolled",IF(TODAY()&gt;AG857,"Review Overdue",IF(AG857-TODAY()&lt;=30,"Review Due Soon","Active"))))</f>
        <v/>
      </c>
      <c r="AO857" s="85">
        <f>IF($A857="","",IF(AH857="","NOT REVIEWED",IF(TODAY()-AH857&gt;90,"OVERDUE",IF(TODAY()-AH857&gt;76,"Due Soon","Current"))))</f>
        <v/>
      </c>
    </row>
    <row r="858" ht="15" customHeight="1" s="39">
      <c r="A858" s="85" t="n"/>
      <c r="B858" s="85" t="n"/>
      <c r="C858" s="85" t="n"/>
      <c r="D858" s="85" t="n"/>
      <c r="E858" s="85" t="n"/>
      <c r="F858" s="86" t="n"/>
      <c r="G858" s="86" t="n"/>
      <c r="H858" s="85" t="n"/>
      <c r="I858" s="85" t="n"/>
      <c r="J858" s="85" t="n"/>
      <c r="K858" s="85" t="n"/>
      <c r="L858" s="85" t="n"/>
      <c r="M858" s="85" t="n"/>
      <c r="N858" s="85" t="n"/>
      <c r="O858" s="85" t="n"/>
      <c r="P858" s="85" t="n"/>
      <c r="Q858" s="85" t="n"/>
      <c r="R858" s="85" t="n"/>
      <c r="S858" s="85" t="n"/>
      <c r="T858" s="85" t="n"/>
      <c r="U858" s="85" t="n"/>
      <c r="V858" s="85" t="n"/>
      <c r="W858" s="85" t="n"/>
      <c r="X858" s="85" t="n"/>
      <c r="Y858" s="85" t="n"/>
      <c r="Z858" s="85" t="n"/>
      <c r="AA858" s="85" t="n"/>
      <c r="AB858" s="85" t="n"/>
      <c r="AC858" s="85" t="n"/>
      <c r="AD858" s="85" t="n"/>
      <c r="AE858" s="85" t="n"/>
      <c r="AF858" s="86" t="n"/>
      <c r="AG858" s="86" t="n"/>
      <c r="AH858" s="86" t="n"/>
      <c r="AI858" s="85" t="n"/>
      <c r="AJ858" s="85" t="n"/>
      <c r="AK858" s="85">
        <f>IF($A858="","",IF($M858&gt;0,"Yes","No"))</f>
        <v/>
      </c>
      <c r="AL858" s="85">
        <f>IF($A858="","",IF(AND($E858="Yes",OR($Y858="No",$Y858="NOT FOUND")),"YES",""))</f>
        <v/>
      </c>
      <c r="AM858" s="85">
        <f>IF($A858="","",TRIM(IF(AND($P858=0,$I858&lt;&gt;"Yes"),"T0-NoPhishResistant ","")&amp;IF($H858="No","NoMFA ","")&amp;IF(AND($P858=0,$M858&gt;0),"T0-Standing ","")&amp;IF(AND($P858=0,$Q858="Group only"),"T0-ViaGroupOnly ","")&amp;IF($W858="Yes","AlsoAzureRBAC ","")))</f>
        <v/>
      </c>
      <c r="AN858" s="85">
        <f>IF($A858="","",IF(AG858="","Not Enrolled",IF(TODAY()&gt;AG858,"Review Overdue",IF(AG858-TODAY()&lt;=30,"Review Due Soon","Active"))))</f>
        <v/>
      </c>
      <c r="AO858" s="85">
        <f>IF($A858="","",IF(AH858="","NOT REVIEWED",IF(TODAY()-AH858&gt;90,"OVERDUE",IF(TODAY()-AH858&gt;76,"Due Soon","Current"))))</f>
        <v/>
      </c>
    </row>
    <row r="859" ht="15" customHeight="1" s="39">
      <c r="A859" s="85" t="n"/>
      <c r="B859" s="85" t="n"/>
      <c r="C859" s="85" t="n"/>
      <c r="D859" s="85" t="n"/>
      <c r="E859" s="85" t="n"/>
      <c r="F859" s="86" t="n"/>
      <c r="G859" s="86" t="n"/>
      <c r="H859" s="85" t="n"/>
      <c r="I859" s="85" t="n"/>
      <c r="J859" s="85" t="n"/>
      <c r="K859" s="85" t="n"/>
      <c r="L859" s="85" t="n"/>
      <c r="M859" s="85" t="n"/>
      <c r="N859" s="85" t="n"/>
      <c r="O859" s="85" t="n"/>
      <c r="P859" s="85" t="n"/>
      <c r="Q859" s="85" t="n"/>
      <c r="R859" s="85" t="n"/>
      <c r="S859" s="85" t="n"/>
      <c r="T859" s="85" t="n"/>
      <c r="U859" s="85" t="n"/>
      <c r="V859" s="85" t="n"/>
      <c r="W859" s="85" t="n"/>
      <c r="X859" s="85" t="n"/>
      <c r="Y859" s="85" t="n"/>
      <c r="Z859" s="85" t="n"/>
      <c r="AA859" s="85" t="n"/>
      <c r="AB859" s="85" t="n"/>
      <c r="AC859" s="85" t="n"/>
      <c r="AD859" s="85" t="n"/>
      <c r="AE859" s="85" t="n"/>
      <c r="AF859" s="86" t="n"/>
      <c r="AG859" s="86" t="n"/>
      <c r="AH859" s="86" t="n"/>
      <c r="AI859" s="85" t="n"/>
      <c r="AJ859" s="85" t="n"/>
      <c r="AK859" s="85">
        <f>IF($A859="","",IF($M859&gt;0,"Yes","No"))</f>
        <v/>
      </c>
      <c r="AL859" s="85">
        <f>IF($A859="","",IF(AND($E859="Yes",OR($Y859="No",$Y859="NOT FOUND")),"YES",""))</f>
        <v/>
      </c>
      <c r="AM859" s="85">
        <f>IF($A859="","",TRIM(IF(AND($P859=0,$I859&lt;&gt;"Yes"),"T0-NoPhishResistant ","")&amp;IF($H859="No","NoMFA ","")&amp;IF(AND($P859=0,$M859&gt;0),"T0-Standing ","")&amp;IF(AND($P859=0,$Q859="Group only"),"T0-ViaGroupOnly ","")&amp;IF($W859="Yes","AlsoAzureRBAC ","")))</f>
        <v/>
      </c>
      <c r="AN859" s="85">
        <f>IF($A859="","",IF(AG859="","Not Enrolled",IF(TODAY()&gt;AG859,"Review Overdue",IF(AG859-TODAY()&lt;=30,"Review Due Soon","Active"))))</f>
        <v/>
      </c>
      <c r="AO859" s="85">
        <f>IF($A859="","",IF(AH859="","NOT REVIEWED",IF(TODAY()-AH859&gt;90,"OVERDUE",IF(TODAY()-AH859&gt;76,"Due Soon","Current"))))</f>
        <v/>
      </c>
    </row>
    <row r="860" ht="15" customHeight="1" s="39">
      <c r="A860" s="85" t="n"/>
      <c r="B860" s="85" t="n"/>
      <c r="C860" s="85" t="n"/>
      <c r="D860" s="85" t="n"/>
      <c r="E860" s="85" t="n"/>
      <c r="F860" s="86" t="n"/>
      <c r="G860" s="86" t="n"/>
      <c r="H860" s="85" t="n"/>
      <c r="I860" s="85" t="n"/>
      <c r="J860" s="85" t="n"/>
      <c r="K860" s="85" t="n"/>
      <c r="L860" s="85" t="n"/>
      <c r="M860" s="85" t="n"/>
      <c r="N860" s="85" t="n"/>
      <c r="O860" s="85" t="n"/>
      <c r="P860" s="85" t="n"/>
      <c r="Q860" s="85" t="n"/>
      <c r="R860" s="85" t="n"/>
      <c r="S860" s="85" t="n"/>
      <c r="T860" s="85" t="n"/>
      <c r="U860" s="85" t="n"/>
      <c r="V860" s="85" t="n"/>
      <c r="W860" s="85" t="n"/>
      <c r="X860" s="85" t="n"/>
      <c r="Y860" s="85" t="n"/>
      <c r="Z860" s="85" t="n"/>
      <c r="AA860" s="85" t="n"/>
      <c r="AB860" s="85" t="n"/>
      <c r="AC860" s="85" t="n"/>
      <c r="AD860" s="85" t="n"/>
      <c r="AE860" s="85" t="n"/>
      <c r="AF860" s="86" t="n"/>
      <c r="AG860" s="86" t="n"/>
      <c r="AH860" s="86" t="n"/>
      <c r="AI860" s="85" t="n"/>
      <c r="AJ860" s="85" t="n"/>
      <c r="AK860" s="85">
        <f>IF($A860="","",IF($M860&gt;0,"Yes","No"))</f>
        <v/>
      </c>
      <c r="AL860" s="85">
        <f>IF($A860="","",IF(AND($E860="Yes",OR($Y860="No",$Y860="NOT FOUND")),"YES",""))</f>
        <v/>
      </c>
      <c r="AM860" s="85">
        <f>IF($A860="","",TRIM(IF(AND($P860=0,$I860&lt;&gt;"Yes"),"T0-NoPhishResistant ","")&amp;IF($H860="No","NoMFA ","")&amp;IF(AND($P860=0,$M860&gt;0),"T0-Standing ","")&amp;IF(AND($P860=0,$Q860="Group only"),"T0-ViaGroupOnly ","")&amp;IF($W860="Yes","AlsoAzureRBAC ","")))</f>
        <v/>
      </c>
      <c r="AN860" s="85">
        <f>IF($A860="","",IF(AG860="","Not Enrolled",IF(TODAY()&gt;AG860,"Review Overdue",IF(AG860-TODAY()&lt;=30,"Review Due Soon","Active"))))</f>
        <v/>
      </c>
      <c r="AO860" s="85">
        <f>IF($A860="","",IF(AH860="","NOT REVIEWED",IF(TODAY()-AH860&gt;90,"OVERDUE",IF(TODAY()-AH860&gt;76,"Due Soon","Current"))))</f>
        <v/>
      </c>
    </row>
    <row r="861" ht="15" customHeight="1" s="39">
      <c r="A861" s="85" t="n"/>
      <c r="B861" s="85" t="n"/>
      <c r="C861" s="85" t="n"/>
      <c r="D861" s="85" t="n"/>
      <c r="E861" s="85" t="n"/>
      <c r="F861" s="86" t="n"/>
      <c r="G861" s="86" t="n"/>
      <c r="H861" s="85" t="n"/>
      <c r="I861" s="85" t="n"/>
      <c r="J861" s="85" t="n"/>
      <c r="K861" s="85" t="n"/>
      <c r="L861" s="85" t="n"/>
      <c r="M861" s="85" t="n"/>
      <c r="N861" s="85" t="n"/>
      <c r="O861" s="85" t="n"/>
      <c r="P861" s="85" t="n"/>
      <c r="Q861" s="85" t="n"/>
      <c r="R861" s="85" t="n"/>
      <c r="S861" s="85" t="n"/>
      <c r="T861" s="85" t="n"/>
      <c r="U861" s="85" t="n"/>
      <c r="V861" s="85" t="n"/>
      <c r="W861" s="85" t="n"/>
      <c r="X861" s="85" t="n"/>
      <c r="Y861" s="85" t="n"/>
      <c r="Z861" s="85" t="n"/>
      <c r="AA861" s="85" t="n"/>
      <c r="AB861" s="85" t="n"/>
      <c r="AC861" s="85" t="n"/>
      <c r="AD861" s="85" t="n"/>
      <c r="AE861" s="85" t="n"/>
      <c r="AF861" s="86" t="n"/>
      <c r="AG861" s="86" t="n"/>
      <c r="AH861" s="86" t="n"/>
      <c r="AI861" s="85" t="n"/>
      <c r="AJ861" s="85" t="n"/>
      <c r="AK861" s="85">
        <f>IF($A861="","",IF($M861&gt;0,"Yes","No"))</f>
        <v/>
      </c>
      <c r="AL861" s="85">
        <f>IF($A861="","",IF(AND($E861="Yes",OR($Y861="No",$Y861="NOT FOUND")),"YES",""))</f>
        <v/>
      </c>
      <c r="AM861" s="85">
        <f>IF($A861="","",TRIM(IF(AND($P861=0,$I861&lt;&gt;"Yes"),"T0-NoPhishResistant ","")&amp;IF($H861="No","NoMFA ","")&amp;IF(AND($P861=0,$M861&gt;0),"T0-Standing ","")&amp;IF(AND($P861=0,$Q861="Group only"),"T0-ViaGroupOnly ","")&amp;IF($W861="Yes","AlsoAzureRBAC ","")))</f>
        <v/>
      </c>
      <c r="AN861" s="85">
        <f>IF($A861="","",IF(AG861="","Not Enrolled",IF(TODAY()&gt;AG861,"Review Overdue",IF(AG861-TODAY()&lt;=30,"Review Due Soon","Active"))))</f>
        <v/>
      </c>
      <c r="AO861" s="85">
        <f>IF($A861="","",IF(AH861="","NOT REVIEWED",IF(TODAY()-AH861&gt;90,"OVERDUE",IF(TODAY()-AH861&gt;76,"Due Soon","Current"))))</f>
        <v/>
      </c>
    </row>
    <row r="862" ht="15" customHeight="1" s="39">
      <c r="A862" s="85" t="n"/>
      <c r="B862" s="85" t="n"/>
      <c r="C862" s="85" t="n"/>
      <c r="D862" s="85" t="n"/>
      <c r="E862" s="85" t="n"/>
      <c r="F862" s="86" t="n"/>
      <c r="G862" s="86" t="n"/>
      <c r="H862" s="85" t="n"/>
      <c r="I862" s="85" t="n"/>
      <c r="J862" s="85" t="n"/>
      <c r="K862" s="85" t="n"/>
      <c r="L862" s="85" t="n"/>
      <c r="M862" s="85" t="n"/>
      <c r="N862" s="85" t="n"/>
      <c r="O862" s="85" t="n"/>
      <c r="P862" s="85" t="n"/>
      <c r="Q862" s="85" t="n"/>
      <c r="R862" s="85" t="n"/>
      <c r="S862" s="85" t="n"/>
      <c r="T862" s="85" t="n"/>
      <c r="U862" s="85" t="n"/>
      <c r="V862" s="85" t="n"/>
      <c r="W862" s="85" t="n"/>
      <c r="X862" s="85" t="n"/>
      <c r="Y862" s="85" t="n"/>
      <c r="Z862" s="85" t="n"/>
      <c r="AA862" s="85" t="n"/>
      <c r="AB862" s="85" t="n"/>
      <c r="AC862" s="85" t="n"/>
      <c r="AD862" s="85" t="n"/>
      <c r="AE862" s="85" t="n"/>
      <c r="AF862" s="86" t="n"/>
      <c r="AG862" s="86" t="n"/>
      <c r="AH862" s="86" t="n"/>
      <c r="AI862" s="85" t="n"/>
      <c r="AJ862" s="85" t="n"/>
      <c r="AK862" s="85">
        <f>IF($A862="","",IF($M862&gt;0,"Yes","No"))</f>
        <v/>
      </c>
      <c r="AL862" s="85">
        <f>IF($A862="","",IF(AND($E862="Yes",OR($Y862="No",$Y862="NOT FOUND")),"YES",""))</f>
        <v/>
      </c>
      <c r="AM862" s="85">
        <f>IF($A862="","",TRIM(IF(AND($P862=0,$I862&lt;&gt;"Yes"),"T0-NoPhishResistant ","")&amp;IF($H862="No","NoMFA ","")&amp;IF(AND($P862=0,$M862&gt;0),"T0-Standing ","")&amp;IF(AND($P862=0,$Q862="Group only"),"T0-ViaGroupOnly ","")&amp;IF($W862="Yes","AlsoAzureRBAC ","")))</f>
        <v/>
      </c>
      <c r="AN862" s="85">
        <f>IF($A862="","",IF(AG862="","Not Enrolled",IF(TODAY()&gt;AG862,"Review Overdue",IF(AG862-TODAY()&lt;=30,"Review Due Soon","Active"))))</f>
        <v/>
      </c>
      <c r="AO862" s="85">
        <f>IF($A862="","",IF(AH862="","NOT REVIEWED",IF(TODAY()-AH862&gt;90,"OVERDUE",IF(TODAY()-AH862&gt;76,"Due Soon","Current"))))</f>
        <v/>
      </c>
    </row>
    <row r="863" ht="15" customHeight="1" s="39">
      <c r="A863" s="85" t="n"/>
      <c r="B863" s="85" t="n"/>
      <c r="C863" s="85" t="n"/>
      <c r="D863" s="85" t="n"/>
      <c r="E863" s="85" t="n"/>
      <c r="F863" s="86" t="n"/>
      <c r="G863" s="86" t="n"/>
      <c r="H863" s="85" t="n"/>
      <c r="I863" s="85" t="n"/>
      <c r="J863" s="85" t="n"/>
      <c r="K863" s="85" t="n"/>
      <c r="L863" s="85" t="n"/>
      <c r="M863" s="85" t="n"/>
      <c r="N863" s="85" t="n"/>
      <c r="O863" s="85" t="n"/>
      <c r="P863" s="85" t="n"/>
      <c r="Q863" s="85" t="n"/>
      <c r="R863" s="85" t="n"/>
      <c r="S863" s="85" t="n"/>
      <c r="T863" s="85" t="n"/>
      <c r="U863" s="85" t="n"/>
      <c r="V863" s="85" t="n"/>
      <c r="W863" s="85" t="n"/>
      <c r="X863" s="85" t="n"/>
      <c r="Y863" s="85" t="n"/>
      <c r="Z863" s="85" t="n"/>
      <c r="AA863" s="85" t="n"/>
      <c r="AB863" s="85" t="n"/>
      <c r="AC863" s="85" t="n"/>
      <c r="AD863" s="85" t="n"/>
      <c r="AE863" s="85" t="n"/>
      <c r="AF863" s="86" t="n"/>
      <c r="AG863" s="86" t="n"/>
      <c r="AH863" s="86" t="n"/>
      <c r="AI863" s="85" t="n"/>
      <c r="AJ863" s="85" t="n"/>
      <c r="AK863" s="85">
        <f>IF($A863="","",IF($M863&gt;0,"Yes","No"))</f>
        <v/>
      </c>
      <c r="AL863" s="85">
        <f>IF($A863="","",IF(AND($E863="Yes",OR($Y863="No",$Y863="NOT FOUND")),"YES",""))</f>
        <v/>
      </c>
      <c r="AM863" s="85">
        <f>IF($A863="","",TRIM(IF(AND($P863=0,$I863&lt;&gt;"Yes"),"T0-NoPhishResistant ","")&amp;IF($H863="No","NoMFA ","")&amp;IF(AND($P863=0,$M863&gt;0),"T0-Standing ","")&amp;IF(AND($P863=0,$Q863="Group only"),"T0-ViaGroupOnly ","")&amp;IF($W863="Yes","AlsoAzureRBAC ","")))</f>
        <v/>
      </c>
      <c r="AN863" s="85">
        <f>IF($A863="","",IF(AG863="","Not Enrolled",IF(TODAY()&gt;AG863,"Review Overdue",IF(AG863-TODAY()&lt;=30,"Review Due Soon","Active"))))</f>
        <v/>
      </c>
      <c r="AO863" s="85">
        <f>IF($A863="","",IF(AH863="","NOT REVIEWED",IF(TODAY()-AH863&gt;90,"OVERDUE",IF(TODAY()-AH863&gt;76,"Due Soon","Current"))))</f>
        <v/>
      </c>
    </row>
    <row r="864" ht="15" customHeight="1" s="39">
      <c r="A864" s="85" t="n"/>
      <c r="B864" s="85" t="n"/>
      <c r="C864" s="85" t="n"/>
      <c r="D864" s="85" t="n"/>
      <c r="E864" s="85" t="n"/>
      <c r="F864" s="86" t="n"/>
      <c r="G864" s="86" t="n"/>
      <c r="H864" s="85" t="n"/>
      <c r="I864" s="85" t="n"/>
      <c r="J864" s="85" t="n"/>
      <c r="K864" s="85" t="n"/>
      <c r="L864" s="85" t="n"/>
      <c r="M864" s="85" t="n"/>
      <c r="N864" s="85" t="n"/>
      <c r="O864" s="85" t="n"/>
      <c r="P864" s="85" t="n"/>
      <c r="Q864" s="85" t="n"/>
      <c r="R864" s="85" t="n"/>
      <c r="S864" s="85" t="n"/>
      <c r="T864" s="85" t="n"/>
      <c r="U864" s="85" t="n"/>
      <c r="V864" s="85" t="n"/>
      <c r="W864" s="85" t="n"/>
      <c r="X864" s="85" t="n"/>
      <c r="Y864" s="85" t="n"/>
      <c r="Z864" s="85" t="n"/>
      <c r="AA864" s="85" t="n"/>
      <c r="AB864" s="85" t="n"/>
      <c r="AC864" s="85" t="n"/>
      <c r="AD864" s="85" t="n"/>
      <c r="AE864" s="85" t="n"/>
      <c r="AF864" s="86" t="n"/>
      <c r="AG864" s="86" t="n"/>
      <c r="AH864" s="86" t="n"/>
      <c r="AI864" s="85" t="n"/>
      <c r="AJ864" s="85" t="n"/>
      <c r="AK864" s="85">
        <f>IF($A864="","",IF($M864&gt;0,"Yes","No"))</f>
        <v/>
      </c>
      <c r="AL864" s="85">
        <f>IF($A864="","",IF(AND($E864="Yes",OR($Y864="No",$Y864="NOT FOUND")),"YES",""))</f>
        <v/>
      </c>
      <c r="AM864" s="85">
        <f>IF($A864="","",TRIM(IF(AND($P864=0,$I864&lt;&gt;"Yes"),"T0-NoPhishResistant ","")&amp;IF($H864="No","NoMFA ","")&amp;IF(AND($P864=0,$M864&gt;0),"T0-Standing ","")&amp;IF(AND($P864=0,$Q864="Group only"),"T0-ViaGroupOnly ","")&amp;IF($W864="Yes","AlsoAzureRBAC ","")))</f>
        <v/>
      </c>
      <c r="AN864" s="85">
        <f>IF($A864="","",IF(AG864="","Not Enrolled",IF(TODAY()&gt;AG864,"Review Overdue",IF(AG864-TODAY()&lt;=30,"Review Due Soon","Active"))))</f>
        <v/>
      </c>
      <c r="AO864" s="85">
        <f>IF($A864="","",IF(AH864="","NOT REVIEWED",IF(TODAY()-AH864&gt;90,"OVERDUE",IF(TODAY()-AH864&gt;76,"Due Soon","Current"))))</f>
        <v/>
      </c>
    </row>
    <row r="865" ht="15" customHeight="1" s="39">
      <c r="A865" s="85" t="n"/>
      <c r="B865" s="85" t="n"/>
      <c r="C865" s="85" t="n"/>
      <c r="D865" s="85" t="n"/>
      <c r="E865" s="85" t="n"/>
      <c r="F865" s="86" t="n"/>
      <c r="G865" s="86" t="n"/>
      <c r="H865" s="85" t="n"/>
      <c r="I865" s="85" t="n"/>
      <c r="J865" s="85" t="n"/>
      <c r="K865" s="85" t="n"/>
      <c r="L865" s="85" t="n"/>
      <c r="M865" s="85" t="n"/>
      <c r="N865" s="85" t="n"/>
      <c r="O865" s="85" t="n"/>
      <c r="P865" s="85" t="n"/>
      <c r="Q865" s="85" t="n"/>
      <c r="R865" s="85" t="n"/>
      <c r="S865" s="85" t="n"/>
      <c r="T865" s="85" t="n"/>
      <c r="U865" s="85" t="n"/>
      <c r="V865" s="85" t="n"/>
      <c r="W865" s="85" t="n"/>
      <c r="X865" s="85" t="n"/>
      <c r="Y865" s="85" t="n"/>
      <c r="Z865" s="85" t="n"/>
      <c r="AA865" s="85" t="n"/>
      <c r="AB865" s="85" t="n"/>
      <c r="AC865" s="85" t="n"/>
      <c r="AD865" s="85" t="n"/>
      <c r="AE865" s="85" t="n"/>
      <c r="AF865" s="86" t="n"/>
      <c r="AG865" s="86" t="n"/>
      <c r="AH865" s="86" t="n"/>
      <c r="AI865" s="85" t="n"/>
      <c r="AJ865" s="85" t="n"/>
      <c r="AK865" s="85">
        <f>IF($A865="","",IF($M865&gt;0,"Yes","No"))</f>
        <v/>
      </c>
      <c r="AL865" s="85">
        <f>IF($A865="","",IF(AND($E865="Yes",OR($Y865="No",$Y865="NOT FOUND")),"YES",""))</f>
        <v/>
      </c>
      <c r="AM865" s="85">
        <f>IF($A865="","",TRIM(IF(AND($P865=0,$I865&lt;&gt;"Yes"),"T0-NoPhishResistant ","")&amp;IF($H865="No","NoMFA ","")&amp;IF(AND($P865=0,$M865&gt;0),"T0-Standing ","")&amp;IF(AND($P865=0,$Q865="Group only"),"T0-ViaGroupOnly ","")&amp;IF($W865="Yes","AlsoAzureRBAC ","")))</f>
        <v/>
      </c>
      <c r="AN865" s="85">
        <f>IF($A865="","",IF(AG865="","Not Enrolled",IF(TODAY()&gt;AG865,"Review Overdue",IF(AG865-TODAY()&lt;=30,"Review Due Soon","Active"))))</f>
        <v/>
      </c>
      <c r="AO865" s="85">
        <f>IF($A865="","",IF(AH865="","NOT REVIEWED",IF(TODAY()-AH865&gt;90,"OVERDUE",IF(TODAY()-AH865&gt;76,"Due Soon","Current"))))</f>
        <v/>
      </c>
    </row>
    <row r="866" ht="15" customHeight="1" s="39">
      <c r="A866" s="85" t="n"/>
      <c r="B866" s="85" t="n"/>
      <c r="C866" s="85" t="n"/>
      <c r="D866" s="85" t="n"/>
      <c r="E866" s="85" t="n"/>
      <c r="F866" s="86" t="n"/>
      <c r="G866" s="86" t="n"/>
      <c r="H866" s="85" t="n"/>
      <c r="I866" s="85" t="n"/>
      <c r="J866" s="85" t="n"/>
      <c r="K866" s="85" t="n"/>
      <c r="L866" s="85" t="n"/>
      <c r="M866" s="85" t="n"/>
      <c r="N866" s="85" t="n"/>
      <c r="O866" s="85" t="n"/>
      <c r="P866" s="85" t="n"/>
      <c r="Q866" s="85" t="n"/>
      <c r="R866" s="85" t="n"/>
      <c r="S866" s="85" t="n"/>
      <c r="T866" s="85" t="n"/>
      <c r="U866" s="85" t="n"/>
      <c r="V866" s="85" t="n"/>
      <c r="W866" s="85" t="n"/>
      <c r="X866" s="85" t="n"/>
      <c r="Y866" s="85" t="n"/>
      <c r="Z866" s="85" t="n"/>
      <c r="AA866" s="85" t="n"/>
      <c r="AB866" s="85" t="n"/>
      <c r="AC866" s="85" t="n"/>
      <c r="AD866" s="85" t="n"/>
      <c r="AE866" s="85" t="n"/>
      <c r="AF866" s="86" t="n"/>
      <c r="AG866" s="86" t="n"/>
      <c r="AH866" s="86" t="n"/>
      <c r="AI866" s="85" t="n"/>
      <c r="AJ866" s="85" t="n"/>
      <c r="AK866" s="85">
        <f>IF($A866="","",IF($M866&gt;0,"Yes","No"))</f>
        <v/>
      </c>
      <c r="AL866" s="85">
        <f>IF($A866="","",IF(AND($E866="Yes",OR($Y866="No",$Y866="NOT FOUND")),"YES",""))</f>
        <v/>
      </c>
      <c r="AM866" s="85">
        <f>IF($A866="","",TRIM(IF(AND($P866=0,$I866&lt;&gt;"Yes"),"T0-NoPhishResistant ","")&amp;IF($H866="No","NoMFA ","")&amp;IF(AND($P866=0,$M866&gt;0),"T0-Standing ","")&amp;IF(AND($P866=0,$Q866="Group only"),"T0-ViaGroupOnly ","")&amp;IF($W866="Yes","AlsoAzureRBAC ","")))</f>
        <v/>
      </c>
      <c r="AN866" s="85">
        <f>IF($A866="","",IF(AG866="","Not Enrolled",IF(TODAY()&gt;AG866,"Review Overdue",IF(AG866-TODAY()&lt;=30,"Review Due Soon","Active"))))</f>
        <v/>
      </c>
      <c r="AO866" s="85">
        <f>IF($A866="","",IF(AH866="","NOT REVIEWED",IF(TODAY()-AH866&gt;90,"OVERDUE",IF(TODAY()-AH866&gt;76,"Due Soon","Current"))))</f>
        <v/>
      </c>
    </row>
    <row r="867" ht="15" customHeight="1" s="39">
      <c r="A867" s="85" t="n"/>
      <c r="B867" s="85" t="n"/>
      <c r="C867" s="85" t="n"/>
      <c r="D867" s="85" t="n"/>
      <c r="E867" s="85" t="n"/>
      <c r="F867" s="86" t="n"/>
      <c r="G867" s="86" t="n"/>
      <c r="H867" s="85" t="n"/>
      <c r="I867" s="85" t="n"/>
      <c r="J867" s="85" t="n"/>
      <c r="K867" s="85" t="n"/>
      <c r="L867" s="85" t="n"/>
      <c r="M867" s="85" t="n"/>
      <c r="N867" s="85" t="n"/>
      <c r="O867" s="85" t="n"/>
      <c r="P867" s="85" t="n"/>
      <c r="Q867" s="85" t="n"/>
      <c r="R867" s="85" t="n"/>
      <c r="S867" s="85" t="n"/>
      <c r="T867" s="85" t="n"/>
      <c r="U867" s="85" t="n"/>
      <c r="V867" s="85" t="n"/>
      <c r="W867" s="85" t="n"/>
      <c r="X867" s="85" t="n"/>
      <c r="Y867" s="85" t="n"/>
      <c r="Z867" s="85" t="n"/>
      <c r="AA867" s="85" t="n"/>
      <c r="AB867" s="85" t="n"/>
      <c r="AC867" s="85" t="n"/>
      <c r="AD867" s="85" t="n"/>
      <c r="AE867" s="85" t="n"/>
      <c r="AF867" s="86" t="n"/>
      <c r="AG867" s="86" t="n"/>
      <c r="AH867" s="86" t="n"/>
      <c r="AI867" s="85" t="n"/>
      <c r="AJ867" s="85" t="n"/>
      <c r="AK867" s="85">
        <f>IF($A867="","",IF($M867&gt;0,"Yes","No"))</f>
        <v/>
      </c>
      <c r="AL867" s="85">
        <f>IF($A867="","",IF(AND($E867="Yes",OR($Y867="No",$Y867="NOT FOUND")),"YES",""))</f>
        <v/>
      </c>
      <c r="AM867" s="85">
        <f>IF($A867="","",TRIM(IF(AND($P867=0,$I867&lt;&gt;"Yes"),"T0-NoPhishResistant ","")&amp;IF($H867="No","NoMFA ","")&amp;IF(AND($P867=0,$M867&gt;0),"T0-Standing ","")&amp;IF(AND($P867=0,$Q867="Group only"),"T0-ViaGroupOnly ","")&amp;IF($W867="Yes","AlsoAzureRBAC ","")))</f>
        <v/>
      </c>
      <c r="AN867" s="85">
        <f>IF($A867="","",IF(AG867="","Not Enrolled",IF(TODAY()&gt;AG867,"Review Overdue",IF(AG867-TODAY()&lt;=30,"Review Due Soon","Active"))))</f>
        <v/>
      </c>
      <c r="AO867" s="85">
        <f>IF($A867="","",IF(AH867="","NOT REVIEWED",IF(TODAY()-AH867&gt;90,"OVERDUE",IF(TODAY()-AH867&gt;76,"Due Soon","Current"))))</f>
        <v/>
      </c>
    </row>
    <row r="868" ht="15" customHeight="1" s="39">
      <c r="A868" s="85" t="n"/>
      <c r="B868" s="85" t="n"/>
      <c r="C868" s="85" t="n"/>
      <c r="D868" s="85" t="n"/>
      <c r="E868" s="85" t="n"/>
      <c r="F868" s="86" t="n"/>
      <c r="G868" s="86" t="n"/>
      <c r="H868" s="85" t="n"/>
      <c r="I868" s="85" t="n"/>
      <c r="J868" s="85" t="n"/>
      <c r="K868" s="85" t="n"/>
      <c r="L868" s="85" t="n"/>
      <c r="M868" s="85" t="n"/>
      <c r="N868" s="85" t="n"/>
      <c r="O868" s="85" t="n"/>
      <c r="P868" s="85" t="n"/>
      <c r="Q868" s="85" t="n"/>
      <c r="R868" s="85" t="n"/>
      <c r="S868" s="85" t="n"/>
      <c r="T868" s="85" t="n"/>
      <c r="U868" s="85" t="n"/>
      <c r="V868" s="85" t="n"/>
      <c r="W868" s="85" t="n"/>
      <c r="X868" s="85" t="n"/>
      <c r="Y868" s="85" t="n"/>
      <c r="Z868" s="85" t="n"/>
      <c r="AA868" s="85" t="n"/>
      <c r="AB868" s="85" t="n"/>
      <c r="AC868" s="85" t="n"/>
      <c r="AD868" s="85" t="n"/>
      <c r="AE868" s="85" t="n"/>
      <c r="AF868" s="86" t="n"/>
      <c r="AG868" s="86" t="n"/>
      <c r="AH868" s="86" t="n"/>
      <c r="AI868" s="85" t="n"/>
      <c r="AJ868" s="85" t="n"/>
      <c r="AK868" s="85">
        <f>IF($A868="","",IF($M868&gt;0,"Yes","No"))</f>
        <v/>
      </c>
      <c r="AL868" s="85">
        <f>IF($A868="","",IF(AND($E868="Yes",OR($Y868="No",$Y868="NOT FOUND")),"YES",""))</f>
        <v/>
      </c>
      <c r="AM868" s="85">
        <f>IF($A868="","",TRIM(IF(AND($P868=0,$I868&lt;&gt;"Yes"),"T0-NoPhishResistant ","")&amp;IF($H868="No","NoMFA ","")&amp;IF(AND($P868=0,$M868&gt;0),"T0-Standing ","")&amp;IF(AND($P868=0,$Q868="Group only"),"T0-ViaGroupOnly ","")&amp;IF($W868="Yes","AlsoAzureRBAC ","")))</f>
        <v/>
      </c>
      <c r="AN868" s="85">
        <f>IF($A868="","",IF(AG868="","Not Enrolled",IF(TODAY()&gt;AG868,"Review Overdue",IF(AG868-TODAY()&lt;=30,"Review Due Soon","Active"))))</f>
        <v/>
      </c>
      <c r="AO868" s="85">
        <f>IF($A868="","",IF(AH868="","NOT REVIEWED",IF(TODAY()-AH868&gt;90,"OVERDUE",IF(TODAY()-AH868&gt;76,"Due Soon","Current"))))</f>
        <v/>
      </c>
    </row>
    <row r="869" ht="15" customHeight="1" s="39">
      <c r="A869" s="85" t="n"/>
      <c r="B869" s="85" t="n"/>
      <c r="C869" s="85" t="n"/>
      <c r="D869" s="85" t="n"/>
      <c r="E869" s="85" t="n"/>
      <c r="F869" s="86" t="n"/>
      <c r="G869" s="86" t="n"/>
      <c r="H869" s="85" t="n"/>
      <c r="I869" s="85" t="n"/>
      <c r="J869" s="85" t="n"/>
      <c r="K869" s="85" t="n"/>
      <c r="L869" s="85" t="n"/>
      <c r="M869" s="85" t="n"/>
      <c r="N869" s="85" t="n"/>
      <c r="O869" s="85" t="n"/>
      <c r="P869" s="85" t="n"/>
      <c r="Q869" s="85" t="n"/>
      <c r="R869" s="85" t="n"/>
      <c r="S869" s="85" t="n"/>
      <c r="T869" s="85" t="n"/>
      <c r="U869" s="85" t="n"/>
      <c r="V869" s="85" t="n"/>
      <c r="W869" s="85" t="n"/>
      <c r="X869" s="85" t="n"/>
      <c r="Y869" s="85" t="n"/>
      <c r="Z869" s="85" t="n"/>
      <c r="AA869" s="85" t="n"/>
      <c r="AB869" s="85" t="n"/>
      <c r="AC869" s="85" t="n"/>
      <c r="AD869" s="85" t="n"/>
      <c r="AE869" s="85" t="n"/>
      <c r="AF869" s="86" t="n"/>
      <c r="AG869" s="86" t="n"/>
      <c r="AH869" s="86" t="n"/>
      <c r="AI869" s="85" t="n"/>
      <c r="AJ869" s="85" t="n"/>
      <c r="AK869" s="85">
        <f>IF($A869="","",IF($M869&gt;0,"Yes","No"))</f>
        <v/>
      </c>
      <c r="AL869" s="85">
        <f>IF($A869="","",IF(AND($E869="Yes",OR($Y869="No",$Y869="NOT FOUND")),"YES",""))</f>
        <v/>
      </c>
      <c r="AM869" s="85">
        <f>IF($A869="","",TRIM(IF(AND($P869=0,$I869&lt;&gt;"Yes"),"T0-NoPhishResistant ","")&amp;IF($H869="No","NoMFA ","")&amp;IF(AND($P869=0,$M869&gt;0),"T0-Standing ","")&amp;IF(AND($P869=0,$Q869="Group only"),"T0-ViaGroupOnly ","")&amp;IF($W869="Yes","AlsoAzureRBAC ","")))</f>
        <v/>
      </c>
      <c r="AN869" s="85">
        <f>IF($A869="","",IF(AG869="","Not Enrolled",IF(TODAY()&gt;AG869,"Review Overdue",IF(AG869-TODAY()&lt;=30,"Review Due Soon","Active"))))</f>
        <v/>
      </c>
      <c r="AO869" s="85">
        <f>IF($A869="","",IF(AH869="","NOT REVIEWED",IF(TODAY()-AH869&gt;90,"OVERDUE",IF(TODAY()-AH869&gt;76,"Due Soon","Current"))))</f>
        <v/>
      </c>
    </row>
    <row r="870" ht="15" customHeight="1" s="39">
      <c r="A870" s="85" t="n"/>
      <c r="B870" s="85" t="n"/>
      <c r="C870" s="85" t="n"/>
      <c r="D870" s="85" t="n"/>
      <c r="E870" s="85" t="n"/>
      <c r="F870" s="86" t="n"/>
      <c r="G870" s="86" t="n"/>
      <c r="H870" s="85" t="n"/>
      <c r="I870" s="85" t="n"/>
      <c r="J870" s="85" t="n"/>
      <c r="K870" s="85" t="n"/>
      <c r="L870" s="85" t="n"/>
      <c r="M870" s="85" t="n"/>
      <c r="N870" s="85" t="n"/>
      <c r="O870" s="85" t="n"/>
      <c r="P870" s="85" t="n"/>
      <c r="Q870" s="85" t="n"/>
      <c r="R870" s="85" t="n"/>
      <c r="S870" s="85" t="n"/>
      <c r="T870" s="85" t="n"/>
      <c r="U870" s="85" t="n"/>
      <c r="V870" s="85" t="n"/>
      <c r="W870" s="85" t="n"/>
      <c r="X870" s="85" t="n"/>
      <c r="Y870" s="85" t="n"/>
      <c r="Z870" s="85" t="n"/>
      <c r="AA870" s="85" t="n"/>
      <c r="AB870" s="85" t="n"/>
      <c r="AC870" s="85" t="n"/>
      <c r="AD870" s="85" t="n"/>
      <c r="AE870" s="85" t="n"/>
      <c r="AF870" s="86" t="n"/>
      <c r="AG870" s="86" t="n"/>
      <c r="AH870" s="86" t="n"/>
      <c r="AI870" s="85" t="n"/>
      <c r="AJ870" s="85" t="n"/>
      <c r="AK870" s="85">
        <f>IF($A870="","",IF($M870&gt;0,"Yes","No"))</f>
        <v/>
      </c>
      <c r="AL870" s="85">
        <f>IF($A870="","",IF(AND($E870="Yes",OR($Y870="No",$Y870="NOT FOUND")),"YES",""))</f>
        <v/>
      </c>
      <c r="AM870" s="85">
        <f>IF($A870="","",TRIM(IF(AND($P870=0,$I870&lt;&gt;"Yes"),"T0-NoPhishResistant ","")&amp;IF($H870="No","NoMFA ","")&amp;IF(AND($P870=0,$M870&gt;0),"T0-Standing ","")&amp;IF(AND($P870=0,$Q870="Group only"),"T0-ViaGroupOnly ","")&amp;IF($W870="Yes","AlsoAzureRBAC ","")))</f>
        <v/>
      </c>
      <c r="AN870" s="85">
        <f>IF($A870="","",IF(AG870="","Not Enrolled",IF(TODAY()&gt;AG870,"Review Overdue",IF(AG870-TODAY()&lt;=30,"Review Due Soon","Active"))))</f>
        <v/>
      </c>
      <c r="AO870" s="85">
        <f>IF($A870="","",IF(AH870="","NOT REVIEWED",IF(TODAY()-AH870&gt;90,"OVERDUE",IF(TODAY()-AH870&gt;76,"Due Soon","Current"))))</f>
        <v/>
      </c>
    </row>
    <row r="871" ht="15" customHeight="1" s="39">
      <c r="A871" s="85" t="n"/>
      <c r="B871" s="85" t="n"/>
      <c r="C871" s="85" t="n"/>
      <c r="D871" s="85" t="n"/>
      <c r="E871" s="85" t="n"/>
      <c r="F871" s="86" t="n"/>
      <c r="G871" s="86" t="n"/>
      <c r="H871" s="85" t="n"/>
      <c r="I871" s="85" t="n"/>
      <c r="J871" s="85" t="n"/>
      <c r="K871" s="85" t="n"/>
      <c r="L871" s="85" t="n"/>
      <c r="M871" s="85" t="n"/>
      <c r="N871" s="85" t="n"/>
      <c r="O871" s="85" t="n"/>
      <c r="P871" s="85" t="n"/>
      <c r="Q871" s="85" t="n"/>
      <c r="R871" s="85" t="n"/>
      <c r="S871" s="85" t="n"/>
      <c r="T871" s="85" t="n"/>
      <c r="U871" s="85" t="n"/>
      <c r="V871" s="85" t="n"/>
      <c r="W871" s="85" t="n"/>
      <c r="X871" s="85" t="n"/>
      <c r="Y871" s="85" t="n"/>
      <c r="Z871" s="85" t="n"/>
      <c r="AA871" s="85" t="n"/>
      <c r="AB871" s="85" t="n"/>
      <c r="AC871" s="85" t="n"/>
      <c r="AD871" s="85" t="n"/>
      <c r="AE871" s="85" t="n"/>
      <c r="AF871" s="86" t="n"/>
      <c r="AG871" s="86" t="n"/>
      <c r="AH871" s="86" t="n"/>
      <c r="AI871" s="85" t="n"/>
      <c r="AJ871" s="85" t="n"/>
      <c r="AK871" s="85">
        <f>IF($A871="","",IF($M871&gt;0,"Yes","No"))</f>
        <v/>
      </c>
      <c r="AL871" s="85">
        <f>IF($A871="","",IF(AND($E871="Yes",OR($Y871="No",$Y871="NOT FOUND")),"YES",""))</f>
        <v/>
      </c>
      <c r="AM871" s="85">
        <f>IF($A871="","",TRIM(IF(AND($P871=0,$I871&lt;&gt;"Yes"),"T0-NoPhishResistant ","")&amp;IF($H871="No","NoMFA ","")&amp;IF(AND($P871=0,$M871&gt;0),"T0-Standing ","")&amp;IF(AND($P871=0,$Q871="Group only"),"T0-ViaGroupOnly ","")&amp;IF($W871="Yes","AlsoAzureRBAC ","")))</f>
        <v/>
      </c>
      <c r="AN871" s="85">
        <f>IF($A871="","",IF(AG871="","Not Enrolled",IF(TODAY()&gt;AG871,"Review Overdue",IF(AG871-TODAY()&lt;=30,"Review Due Soon","Active"))))</f>
        <v/>
      </c>
      <c r="AO871" s="85">
        <f>IF($A871="","",IF(AH871="","NOT REVIEWED",IF(TODAY()-AH871&gt;90,"OVERDUE",IF(TODAY()-AH871&gt;76,"Due Soon","Current"))))</f>
        <v/>
      </c>
    </row>
    <row r="872" ht="15" customHeight="1" s="39">
      <c r="A872" s="85" t="n"/>
      <c r="B872" s="85" t="n"/>
      <c r="C872" s="85" t="n"/>
      <c r="D872" s="85" t="n"/>
      <c r="E872" s="85" t="n"/>
      <c r="F872" s="86" t="n"/>
      <c r="G872" s="86" t="n"/>
      <c r="H872" s="85" t="n"/>
      <c r="I872" s="85" t="n"/>
      <c r="J872" s="85" t="n"/>
      <c r="K872" s="85" t="n"/>
      <c r="L872" s="85" t="n"/>
      <c r="M872" s="85" t="n"/>
      <c r="N872" s="85" t="n"/>
      <c r="O872" s="85" t="n"/>
      <c r="P872" s="85" t="n"/>
      <c r="Q872" s="85" t="n"/>
      <c r="R872" s="85" t="n"/>
      <c r="S872" s="85" t="n"/>
      <c r="T872" s="85" t="n"/>
      <c r="U872" s="85" t="n"/>
      <c r="V872" s="85" t="n"/>
      <c r="W872" s="85" t="n"/>
      <c r="X872" s="85" t="n"/>
      <c r="Y872" s="85" t="n"/>
      <c r="Z872" s="85" t="n"/>
      <c r="AA872" s="85" t="n"/>
      <c r="AB872" s="85" t="n"/>
      <c r="AC872" s="85" t="n"/>
      <c r="AD872" s="85" t="n"/>
      <c r="AE872" s="85" t="n"/>
      <c r="AF872" s="86" t="n"/>
      <c r="AG872" s="86" t="n"/>
      <c r="AH872" s="86" t="n"/>
      <c r="AI872" s="85" t="n"/>
      <c r="AJ872" s="85" t="n"/>
      <c r="AK872" s="85">
        <f>IF($A872="","",IF($M872&gt;0,"Yes","No"))</f>
        <v/>
      </c>
      <c r="AL872" s="85">
        <f>IF($A872="","",IF(AND($E872="Yes",OR($Y872="No",$Y872="NOT FOUND")),"YES",""))</f>
        <v/>
      </c>
      <c r="AM872" s="85">
        <f>IF($A872="","",TRIM(IF(AND($P872=0,$I872&lt;&gt;"Yes"),"T0-NoPhishResistant ","")&amp;IF($H872="No","NoMFA ","")&amp;IF(AND($P872=0,$M872&gt;0),"T0-Standing ","")&amp;IF(AND($P872=0,$Q872="Group only"),"T0-ViaGroupOnly ","")&amp;IF($W872="Yes","AlsoAzureRBAC ","")))</f>
        <v/>
      </c>
      <c r="AN872" s="85">
        <f>IF($A872="","",IF(AG872="","Not Enrolled",IF(TODAY()&gt;AG872,"Review Overdue",IF(AG872-TODAY()&lt;=30,"Review Due Soon","Active"))))</f>
        <v/>
      </c>
      <c r="AO872" s="85">
        <f>IF($A872="","",IF(AH872="","NOT REVIEWED",IF(TODAY()-AH872&gt;90,"OVERDUE",IF(TODAY()-AH872&gt;76,"Due Soon","Current"))))</f>
        <v/>
      </c>
    </row>
    <row r="873" ht="15" customHeight="1" s="39">
      <c r="A873" s="85" t="n"/>
      <c r="B873" s="85" t="n"/>
      <c r="C873" s="85" t="n"/>
      <c r="D873" s="85" t="n"/>
      <c r="E873" s="85" t="n"/>
      <c r="F873" s="86" t="n"/>
      <c r="G873" s="86" t="n"/>
      <c r="H873" s="85" t="n"/>
      <c r="I873" s="85" t="n"/>
      <c r="J873" s="85" t="n"/>
      <c r="K873" s="85" t="n"/>
      <c r="L873" s="85" t="n"/>
      <c r="M873" s="85" t="n"/>
      <c r="N873" s="85" t="n"/>
      <c r="O873" s="85" t="n"/>
      <c r="P873" s="85" t="n"/>
      <c r="Q873" s="85" t="n"/>
      <c r="R873" s="85" t="n"/>
      <c r="S873" s="85" t="n"/>
      <c r="T873" s="85" t="n"/>
      <c r="U873" s="85" t="n"/>
      <c r="V873" s="85" t="n"/>
      <c r="W873" s="85" t="n"/>
      <c r="X873" s="85" t="n"/>
      <c r="Y873" s="85" t="n"/>
      <c r="Z873" s="85" t="n"/>
      <c r="AA873" s="85" t="n"/>
      <c r="AB873" s="85" t="n"/>
      <c r="AC873" s="85" t="n"/>
      <c r="AD873" s="85" t="n"/>
      <c r="AE873" s="85" t="n"/>
      <c r="AF873" s="86" t="n"/>
      <c r="AG873" s="86" t="n"/>
      <c r="AH873" s="86" t="n"/>
      <c r="AI873" s="85" t="n"/>
      <c r="AJ873" s="85" t="n"/>
      <c r="AK873" s="85">
        <f>IF($A873="","",IF($M873&gt;0,"Yes","No"))</f>
        <v/>
      </c>
      <c r="AL873" s="85">
        <f>IF($A873="","",IF(AND($E873="Yes",OR($Y873="No",$Y873="NOT FOUND")),"YES",""))</f>
        <v/>
      </c>
      <c r="AM873" s="85">
        <f>IF($A873="","",TRIM(IF(AND($P873=0,$I873&lt;&gt;"Yes"),"T0-NoPhishResistant ","")&amp;IF($H873="No","NoMFA ","")&amp;IF(AND($P873=0,$M873&gt;0),"T0-Standing ","")&amp;IF(AND($P873=0,$Q873="Group only"),"T0-ViaGroupOnly ","")&amp;IF($W873="Yes","AlsoAzureRBAC ","")))</f>
        <v/>
      </c>
      <c r="AN873" s="85">
        <f>IF($A873="","",IF(AG873="","Not Enrolled",IF(TODAY()&gt;AG873,"Review Overdue",IF(AG873-TODAY()&lt;=30,"Review Due Soon","Active"))))</f>
        <v/>
      </c>
      <c r="AO873" s="85">
        <f>IF($A873="","",IF(AH873="","NOT REVIEWED",IF(TODAY()-AH873&gt;90,"OVERDUE",IF(TODAY()-AH873&gt;76,"Due Soon","Current"))))</f>
        <v/>
      </c>
    </row>
    <row r="874" ht="15" customHeight="1" s="39">
      <c r="A874" s="85" t="n"/>
      <c r="B874" s="85" t="n"/>
      <c r="C874" s="85" t="n"/>
      <c r="D874" s="85" t="n"/>
      <c r="E874" s="85" t="n"/>
      <c r="F874" s="86" t="n"/>
      <c r="G874" s="86" t="n"/>
      <c r="H874" s="85" t="n"/>
      <c r="I874" s="85" t="n"/>
      <c r="J874" s="85" t="n"/>
      <c r="K874" s="85" t="n"/>
      <c r="L874" s="85" t="n"/>
      <c r="M874" s="85" t="n"/>
      <c r="N874" s="85" t="n"/>
      <c r="O874" s="85" t="n"/>
      <c r="P874" s="85" t="n"/>
      <c r="Q874" s="85" t="n"/>
      <c r="R874" s="85" t="n"/>
      <c r="S874" s="85" t="n"/>
      <c r="T874" s="85" t="n"/>
      <c r="U874" s="85" t="n"/>
      <c r="V874" s="85" t="n"/>
      <c r="W874" s="85" t="n"/>
      <c r="X874" s="85" t="n"/>
      <c r="Y874" s="85" t="n"/>
      <c r="Z874" s="85" t="n"/>
      <c r="AA874" s="85" t="n"/>
      <c r="AB874" s="85" t="n"/>
      <c r="AC874" s="85" t="n"/>
      <c r="AD874" s="85" t="n"/>
      <c r="AE874" s="85" t="n"/>
      <c r="AF874" s="86" t="n"/>
      <c r="AG874" s="86" t="n"/>
      <c r="AH874" s="86" t="n"/>
      <c r="AI874" s="85" t="n"/>
      <c r="AJ874" s="85" t="n"/>
      <c r="AK874" s="85">
        <f>IF($A874="","",IF($M874&gt;0,"Yes","No"))</f>
        <v/>
      </c>
      <c r="AL874" s="85">
        <f>IF($A874="","",IF(AND($E874="Yes",OR($Y874="No",$Y874="NOT FOUND")),"YES",""))</f>
        <v/>
      </c>
      <c r="AM874" s="85">
        <f>IF($A874="","",TRIM(IF(AND($P874=0,$I874&lt;&gt;"Yes"),"T0-NoPhishResistant ","")&amp;IF($H874="No","NoMFA ","")&amp;IF(AND($P874=0,$M874&gt;0),"T0-Standing ","")&amp;IF(AND($P874=0,$Q874="Group only"),"T0-ViaGroupOnly ","")&amp;IF($W874="Yes","AlsoAzureRBAC ","")))</f>
        <v/>
      </c>
      <c r="AN874" s="85">
        <f>IF($A874="","",IF(AG874="","Not Enrolled",IF(TODAY()&gt;AG874,"Review Overdue",IF(AG874-TODAY()&lt;=30,"Review Due Soon","Active"))))</f>
        <v/>
      </c>
      <c r="AO874" s="85">
        <f>IF($A874="","",IF(AH874="","NOT REVIEWED",IF(TODAY()-AH874&gt;90,"OVERDUE",IF(TODAY()-AH874&gt;76,"Due Soon","Current"))))</f>
        <v/>
      </c>
    </row>
    <row r="875" ht="15" customHeight="1" s="39">
      <c r="A875" s="85" t="n"/>
      <c r="B875" s="85" t="n"/>
      <c r="C875" s="85" t="n"/>
      <c r="D875" s="85" t="n"/>
      <c r="E875" s="85" t="n"/>
      <c r="F875" s="86" t="n"/>
      <c r="G875" s="86" t="n"/>
      <c r="H875" s="85" t="n"/>
      <c r="I875" s="85" t="n"/>
      <c r="J875" s="85" t="n"/>
      <c r="K875" s="85" t="n"/>
      <c r="L875" s="85" t="n"/>
      <c r="M875" s="85" t="n"/>
      <c r="N875" s="85" t="n"/>
      <c r="O875" s="85" t="n"/>
      <c r="P875" s="85" t="n"/>
      <c r="Q875" s="85" t="n"/>
      <c r="R875" s="85" t="n"/>
      <c r="S875" s="85" t="n"/>
      <c r="T875" s="85" t="n"/>
      <c r="U875" s="85" t="n"/>
      <c r="V875" s="85" t="n"/>
      <c r="W875" s="85" t="n"/>
      <c r="X875" s="85" t="n"/>
      <c r="Y875" s="85" t="n"/>
      <c r="Z875" s="85" t="n"/>
      <c r="AA875" s="85" t="n"/>
      <c r="AB875" s="85" t="n"/>
      <c r="AC875" s="85" t="n"/>
      <c r="AD875" s="85" t="n"/>
      <c r="AE875" s="85" t="n"/>
      <c r="AF875" s="86" t="n"/>
      <c r="AG875" s="86" t="n"/>
      <c r="AH875" s="86" t="n"/>
      <c r="AI875" s="85" t="n"/>
      <c r="AJ875" s="85" t="n"/>
      <c r="AK875" s="85">
        <f>IF($A875="","",IF($M875&gt;0,"Yes","No"))</f>
        <v/>
      </c>
      <c r="AL875" s="85">
        <f>IF($A875="","",IF(AND($E875="Yes",OR($Y875="No",$Y875="NOT FOUND")),"YES",""))</f>
        <v/>
      </c>
      <c r="AM875" s="85">
        <f>IF($A875="","",TRIM(IF(AND($P875=0,$I875&lt;&gt;"Yes"),"T0-NoPhishResistant ","")&amp;IF($H875="No","NoMFA ","")&amp;IF(AND($P875=0,$M875&gt;0),"T0-Standing ","")&amp;IF(AND($P875=0,$Q875="Group only"),"T0-ViaGroupOnly ","")&amp;IF($W875="Yes","AlsoAzureRBAC ","")))</f>
        <v/>
      </c>
      <c r="AN875" s="85">
        <f>IF($A875="","",IF(AG875="","Not Enrolled",IF(TODAY()&gt;AG875,"Review Overdue",IF(AG875-TODAY()&lt;=30,"Review Due Soon","Active"))))</f>
        <v/>
      </c>
      <c r="AO875" s="85">
        <f>IF($A875="","",IF(AH875="","NOT REVIEWED",IF(TODAY()-AH875&gt;90,"OVERDUE",IF(TODAY()-AH875&gt;76,"Due Soon","Current"))))</f>
        <v/>
      </c>
    </row>
    <row r="876" ht="15" customHeight="1" s="39">
      <c r="A876" s="85" t="n"/>
      <c r="B876" s="85" t="n"/>
      <c r="C876" s="85" t="n"/>
      <c r="D876" s="85" t="n"/>
      <c r="E876" s="85" t="n"/>
      <c r="F876" s="86" t="n"/>
      <c r="G876" s="86" t="n"/>
      <c r="H876" s="85" t="n"/>
      <c r="I876" s="85" t="n"/>
      <c r="J876" s="85" t="n"/>
      <c r="K876" s="85" t="n"/>
      <c r="L876" s="85" t="n"/>
      <c r="M876" s="85" t="n"/>
      <c r="N876" s="85" t="n"/>
      <c r="O876" s="85" t="n"/>
      <c r="P876" s="85" t="n"/>
      <c r="Q876" s="85" t="n"/>
      <c r="R876" s="85" t="n"/>
      <c r="S876" s="85" t="n"/>
      <c r="T876" s="85" t="n"/>
      <c r="U876" s="85" t="n"/>
      <c r="V876" s="85" t="n"/>
      <c r="W876" s="85" t="n"/>
      <c r="X876" s="85" t="n"/>
      <c r="Y876" s="85" t="n"/>
      <c r="Z876" s="85" t="n"/>
      <c r="AA876" s="85" t="n"/>
      <c r="AB876" s="85" t="n"/>
      <c r="AC876" s="85" t="n"/>
      <c r="AD876" s="85" t="n"/>
      <c r="AE876" s="85" t="n"/>
      <c r="AF876" s="86" t="n"/>
      <c r="AG876" s="86" t="n"/>
      <c r="AH876" s="86" t="n"/>
      <c r="AI876" s="85" t="n"/>
      <c r="AJ876" s="85" t="n"/>
      <c r="AK876" s="85">
        <f>IF($A876="","",IF($M876&gt;0,"Yes","No"))</f>
        <v/>
      </c>
      <c r="AL876" s="85">
        <f>IF($A876="","",IF(AND($E876="Yes",OR($Y876="No",$Y876="NOT FOUND")),"YES",""))</f>
        <v/>
      </c>
      <c r="AM876" s="85">
        <f>IF($A876="","",TRIM(IF(AND($P876=0,$I876&lt;&gt;"Yes"),"T0-NoPhishResistant ","")&amp;IF($H876="No","NoMFA ","")&amp;IF(AND($P876=0,$M876&gt;0),"T0-Standing ","")&amp;IF(AND($P876=0,$Q876="Group only"),"T0-ViaGroupOnly ","")&amp;IF($W876="Yes","AlsoAzureRBAC ","")))</f>
        <v/>
      </c>
      <c r="AN876" s="85">
        <f>IF($A876="","",IF(AG876="","Not Enrolled",IF(TODAY()&gt;AG876,"Review Overdue",IF(AG876-TODAY()&lt;=30,"Review Due Soon","Active"))))</f>
        <v/>
      </c>
      <c r="AO876" s="85">
        <f>IF($A876="","",IF(AH876="","NOT REVIEWED",IF(TODAY()-AH876&gt;90,"OVERDUE",IF(TODAY()-AH876&gt;76,"Due Soon","Current"))))</f>
        <v/>
      </c>
    </row>
    <row r="877" ht="15" customHeight="1" s="39">
      <c r="A877" s="85" t="n"/>
      <c r="B877" s="85" t="n"/>
      <c r="C877" s="85" t="n"/>
      <c r="D877" s="85" t="n"/>
      <c r="E877" s="85" t="n"/>
      <c r="F877" s="86" t="n"/>
      <c r="G877" s="86" t="n"/>
      <c r="H877" s="85" t="n"/>
      <c r="I877" s="85" t="n"/>
      <c r="J877" s="85" t="n"/>
      <c r="K877" s="85" t="n"/>
      <c r="L877" s="85" t="n"/>
      <c r="M877" s="85" t="n"/>
      <c r="N877" s="85" t="n"/>
      <c r="O877" s="85" t="n"/>
      <c r="P877" s="85" t="n"/>
      <c r="Q877" s="85" t="n"/>
      <c r="R877" s="85" t="n"/>
      <c r="S877" s="85" t="n"/>
      <c r="T877" s="85" t="n"/>
      <c r="U877" s="85" t="n"/>
      <c r="V877" s="85" t="n"/>
      <c r="W877" s="85" t="n"/>
      <c r="X877" s="85" t="n"/>
      <c r="Y877" s="85" t="n"/>
      <c r="Z877" s="85" t="n"/>
      <c r="AA877" s="85" t="n"/>
      <c r="AB877" s="85" t="n"/>
      <c r="AC877" s="85" t="n"/>
      <c r="AD877" s="85" t="n"/>
      <c r="AE877" s="85" t="n"/>
      <c r="AF877" s="86" t="n"/>
      <c r="AG877" s="86" t="n"/>
      <c r="AH877" s="86" t="n"/>
      <c r="AI877" s="85" t="n"/>
      <c r="AJ877" s="85" t="n"/>
      <c r="AK877" s="85">
        <f>IF($A877="","",IF($M877&gt;0,"Yes","No"))</f>
        <v/>
      </c>
      <c r="AL877" s="85">
        <f>IF($A877="","",IF(AND($E877="Yes",OR($Y877="No",$Y877="NOT FOUND")),"YES",""))</f>
        <v/>
      </c>
      <c r="AM877" s="85">
        <f>IF($A877="","",TRIM(IF(AND($P877=0,$I877&lt;&gt;"Yes"),"T0-NoPhishResistant ","")&amp;IF($H877="No","NoMFA ","")&amp;IF(AND($P877=0,$M877&gt;0),"T0-Standing ","")&amp;IF(AND($P877=0,$Q877="Group only"),"T0-ViaGroupOnly ","")&amp;IF($W877="Yes","AlsoAzureRBAC ","")))</f>
        <v/>
      </c>
      <c r="AN877" s="85">
        <f>IF($A877="","",IF(AG877="","Not Enrolled",IF(TODAY()&gt;AG877,"Review Overdue",IF(AG877-TODAY()&lt;=30,"Review Due Soon","Active"))))</f>
        <v/>
      </c>
      <c r="AO877" s="85">
        <f>IF($A877="","",IF(AH877="","NOT REVIEWED",IF(TODAY()-AH877&gt;90,"OVERDUE",IF(TODAY()-AH877&gt;76,"Due Soon","Current"))))</f>
        <v/>
      </c>
    </row>
    <row r="878" ht="15" customHeight="1" s="39">
      <c r="A878" s="85" t="n"/>
      <c r="B878" s="85" t="n"/>
      <c r="C878" s="85" t="n"/>
      <c r="D878" s="85" t="n"/>
      <c r="E878" s="85" t="n"/>
      <c r="F878" s="86" t="n"/>
      <c r="G878" s="86" t="n"/>
      <c r="H878" s="85" t="n"/>
      <c r="I878" s="85" t="n"/>
      <c r="J878" s="85" t="n"/>
      <c r="K878" s="85" t="n"/>
      <c r="L878" s="85" t="n"/>
      <c r="M878" s="85" t="n"/>
      <c r="N878" s="85" t="n"/>
      <c r="O878" s="85" t="n"/>
      <c r="P878" s="85" t="n"/>
      <c r="Q878" s="85" t="n"/>
      <c r="R878" s="85" t="n"/>
      <c r="S878" s="85" t="n"/>
      <c r="T878" s="85" t="n"/>
      <c r="U878" s="85" t="n"/>
      <c r="V878" s="85" t="n"/>
      <c r="W878" s="85" t="n"/>
      <c r="X878" s="85" t="n"/>
      <c r="Y878" s="85" t="n"/>
      <c r="Z878" s="85" t="n"/>
      <c r="AA878" s="85" t="n"/>
      <c r="AB878" s="85" t="n"/>
      <c r="AC878" s="85" t="n"/>
      <c r="AD878" s="85" t="n"/>
      <c r="AE878" s="85" t="n"/>
      <c r="AF878" s="86" t="n"/>
      <c r="AG878" s="86" t="n"/>
      <c r="AH878" s="86" t="n"/>
      <c r="AI878" s="85" t="n"/>
      <c r="AJ878" s="85" t="n"/>
      <c r="AK878" s="85">
        <f>IF($A878="","",IF($M878&gt;0,"Yes","No"))</f>
        <v/>
      </c>
      <c r="AL878" s="85">
        <f>IF($A878="","",IF(AND($E878="Yes",OR($Y878="No",$Y878="NOT FOUND")),"YES",""))</f>
        <v/>
      </c>
      <c r="AM878" s="85">
        <f>IF($A878="","",TRIM(IF(AND($P878=0,$I878&lt;&gt;"Yes"),"T0-NoPhishResistant ","")&amp;IF($H878="No","NoMFA ","")&amp;IF(AND($P878=0,$M878&gt;0),"T0-Standing ","")&amp;IF(AND($P878=0,$Q878="Group only"),"T0-ViaGroupOnly ","")&amp;IF($W878="Yes","AlsoAzureRBAC ","")))</f>
        <v/>
      </c>
      <c r="AN878" s="85">
        <f>IF($A878="","",IF(AG878="","Not Enrolled",IF(TODAY()&gt;AG878,"Review Overdue",IF(AG878-TODAY()&lt;=30,"Review Due Soon","Active"))))</f>
        <v/>
      </c>
      <c r="AO878" s="85">
        <f>IF($A878="","",IF(AH878="","NOT REVIEWED",IF(TODAY()-AH878&gt;90,"OVERDUE",IF(TODAY()-AH878&gt;76,"Due Soon","Current"))))</f>
        <v/>
      </c>
    </row>
    <row r="879" ht="15" customHeight="1" s="39">
      <c r="A879" s="85" t="n"/>
      <c r="B879" s="85" t="n"/>
      <c r="C879" s="85" t="n"/>
      <c r="D879" s="85" t="n"/>
      <c r="E879" s="85" t="n"/>
      <c r="F879" s="86" t="n"/>
      <c r="G879" s="86" t="n"/>
      <c r="H879" s="85" t="n"/>
      <c r="I879" s="85" t="n"/>
      <c r="J879" s="85" t="n"/>
      <c r="K879" s="85" t="n"/>
      <c r="L879" s="85" t="n"/>
      <c r="M879" s="85" t="n"/>
      <c r="N879" s="85" t="n"/>
      <c r="O879" s="85" t="n"/>
      <c r="P879" s="85" t="n"/>
      <c r="Q879" s="85" t="n"/>
      <c r="R879" s="85" t="n"/>
      <c r="S879" s="85" t="n"/>
      <c r="T879" s="85" t="n"/>
      <c r="U879" s="85" t="n"/>
      <c r="V879" s="85" t="n"/>
      <c r="W879" s="85" t="n"/>
      <c r="X879" s="85" t="n"/>
      <c r="Y879" s="85" t="n"/>
      <c r="Z879" s="85" t="n"/>
      <c r="AA879" s="85" t="n"/>
      <c r="AB879" s="85" t="n"/>
      <c r="AC879" s="85" t="n"/>
      <c r="AD879" s="85" t="n"/>
      <c r="AE879" s="85" t="n"/>
      <c r="AF879" s="86" t="n"/>
      <c r="AG879" s="86" t="n"/>
      <c r="AH879" s="86" t="n"/>
      <c r="AI879" s="85" t="n"/>
      <c r="AJ879" s="85" t="n"/>
      <c r="AK879" s="85">
        <f>IF($A879="","",IF($M879&gt;0,"Yes","No"))</f>
        <v/>
      </c>
      <c r="AL879" s="85">
        <f>IF($A879="","",IF(AND($E879="Yes",OR($Y879="No",$Y879="NOT FOUND")),"YES",""))</f>
        <v/>
      </c>
      <c r="AM879" s="85">
        <f>IF($A879="","",TRIM(IF(AND($P879=0,$I879&lt;&gt;"Yes"),"T0-NoPhishResistant ","")&amp;IF($H879="No","NoMFA ","")&amp;IF(AND($P879=0,$M879&gt;0),"T0-Standing ","")&amp;IF(AND($P879=0,$Q879="Group only"),"T0-ViaGroupOnly ","")&amp;IF($W879="Yes","AlsoAzureRBAC ","")))</f>
        <v/>
      </c>
      <c r="AN879" s="85">
        <f>IF($A879="","",IF(AG879="","Not Enrolled",IF(TODAY()&gt;AG879,"Review Overdue",IF(AG879-TODAY()&lt;=30,"Review Due Soon","Active"))))</f>
        <v/>
      </c>
      <c r="AO879" s="85">
        <f>IF($A879="","",IF(AH879="","NOT REVIEWED",IF(TODAY()-AH879&gt;90,"OVERDUE",IF(TODAY()-AH879&gt;76,"Due Soon","Current"))))</f>
        <v/>
      </c>
    </row>
    <row r="880" ht="15" customHeight="1" s="39">
      <c r="A880" s="85" t="n"/>
      <c r="B880" s="85" t="n"/>
      <c r="C880" s="85" t="n"/>
      <c r="D880" s="85" t="n"/>
      <c r="E880" s="85" t="n"/>
      <c r="F880" s="86" t="n"/>
      <c r="G880" s="86" t="n"/>
      <c r="H880" s="85" t="n"/>
      <c r="I880" s="85" t="n"/>
      <c r="J880" s="85" t="n"/>
      <c r="K880" s="85" t="n"/>
      <c r="L880" s="85" t="n"/>
      <c r="M880" s="85" t="n"/>
      <c r="N880" s="85" t="n"/>
      <c r="O880" s="85" t="n"/>
      <c r="P880" s="85" t="n"/>
      <c r="Q880" s="85" t="n"/>
      <c r="R880" s="85" t="n"/>
      <c r="S880" s="85" t="n"/>
      <c r="T880" s="85" t="n"/>
      <c r="U880" s="85" t="n"/>
      <c r="V880" s="85" t="n"/>
      <c r="W880" s="85" t="n"/>
      <c r="X880" s="85" t="n"/>
      <c r="Y880" s="85" t="n"/>
      <c r="Z880" s="85" t="n"/>
      <c r="AA880" s="85" t="n"/>
      <c r="AB880" s="85" t="n"/>
      <c r="AC880" s="85" t="n"/>
      <c r="AD880" s="85" t="n"/>
      <c r="AE880" s="85" t="n"/>
      <c r="AF880" s="86" t="n"/>
      <c r="AG880" s="86" t="n"/>
      <c r="AH880" s="86" t="n"/>
      <c r="AI880" s="85" t="n"/>
      <c r="AJ880" s="85" t="n"/>
      <c r="AK880" s="85">
        <f>IF($A880="","",IF($M880&gt;0,"Yes","No"))</f>
        <v/>
      </c>
      <c r="AL880" s="85">
        <f>IF($A880="","",IF(AND($E880="Yes",OR($Y880="No",$Y880="NOT FOUND")),"YES",""))</f>
        <v/>
      </c>
      <c r="AM880" s="85">
        <f>IF($A880="","",TRIM(IF(AND($P880=0,$I880&lt;&gt;"Yes"),"T0-NoPhishResistant ","")&amp;IF($H880="No","NoMFA ","")&amp;IF(AND($P880=0,$M880&gt;0),"T0-Standing ","")&amp;IF(AND($P880=0,$Q880="Group only"),"T0-ViaGroupOnly ","")&amp;IF($W880="Yes","AlsoAzureRBAC ","")))</f>
        <v/>
      </c>
      <c r="AN880" s="85">
        <f>IF($A880="","",IF(AG880="","Not Enrolled",IF(TODAY()&gt;AG880,"Review Overdue",IF(AG880-TODAY()&lt;=30,"Review Due Soon","Active"))))</f>
        <v/>
      </c>
      <c r="AO880" s="85">
        <f>IF($A880="","",IF(AH880="","NOT REVIEWED",IF(TODAY()-AH880&gt;90,"OVERDUE",IF(TODAY()-AH880&gt;76,"Due Soon","Current"))))</f>
        <v/>
      </c>
    </row>
    <row r="881" ht="15" customHeight="1" s="39">
      <c r="A881" s="85" t="n"/>
      <c r="B881" s="85" t="n"/>
      <c r="C881" s="85" t="n"/>
      <c r="D881" s="85" t="n"/>
      <c r="E881" s="85" t="n"/>
      <c r="F881" s="86" t="n"/>
      <c r="G881" s="86" t="n"/>
      <c r="H881" s="85" t="n"/>
      <c r="I881" s="85" t="n"/>
      <c r="J881" s="85" t="n"/>
      <c r="K881" s="85" t="n"/>
      <c r="L881" s="85" t="n"/>
      <c r="M881" s="85" t="n"/>
      <c r="N881" s="85" t="n"/>
      <c r="O881" s="85" t="n"/>
      <c r="P881" s="85" t="n"/>
      <c r="Q881" s="85" t="n"/>
      <c r="R881" s="85" t="n"/>
      <c r="S881" s="85" t="n"/>
      <c r="T881" s="85" t="n"/>
      <c r="U881" s="85" t="n"/>
      <c r="V881" s="85" t="n"/>
      <c r="W881" s="85" t="n"/>
      <c r="X881" s="85" t="n"/>
      <c r="Y881" s="85" t="n"/>
      <c r="Z881" s="85" t="n"/>
      <c r="AA881" s="85" t="n"/>
      <c r="AB881" s="85" t="n"/>
      <c r="AC881" s="85" t="n"/>
      <c r="AD881" s="85" t="n"/>
      <c r="AE881" s="85" t="n"/>
      <c r="AF881" s="86" t="n"/>
      <c r="AG881" s="86" t="n"/>
      <c r="AH881" s="86" t="n"/>
      <c r="AI881" s="85" t="n"/>
      <c r="AJ881" s="85" t="n"/>
      <c r="AK881" s="85">
        <f>IF($A881="","",IF($M881&gt;0,"Yes","No"))</f>
        <v/>
      </c>
      <c r="AL881" s="85">
        <f>IF($A881="","",IF(AND($E881="Yes",OR($Y881="No",$Y881="NOT FOUND")),"YES",""))</f>
        <v/>
      </c>
      <c r="AM881" s="85">
        <f>IF($A881="","",TRIM(IF(AND($P881=0,$I881&lt;&gt;"Yes"),"T0-NoPhishResistant ","")&amp;IF($H881="No","NoMFA ","")&amp;IF(AND($P881=0,$M881&gt;0),"T0-Standing ","")&amp;IF(AND($P881=0,$Q881="Group only"),"T0-ViaGroupOnly ","")&amp;IF($W881="Yes","AlsoAzureRBAC ","")))</f>
        <v/>
      </c>
      <c r="AN881" s="85">
        <f>IF($A881="","",IF(AG881="","Not Enrolled",IF(TODAY()&gt;AG881,"Review Overdue",IF(AG881-TODAY()&lt;=30,"Review Due Soon","Active"))))</f>
        <v/>
      </c>
      <c r="AO881" s="85">
        <f>IF($A881="","",IF(AH881="","NOT REVIEWED",IF(TODAY()-AH881&gt;90,"OVERDUE",IF(TODAY()-AH881&gt;76,"Due Soon","Current"))))</f>
        <v/>
      </c>
    </row>
    <row r="882" ht="15" customHeight="1" s="39">
      <c r="A882" s="85" t="n"/>
      <c r="B882" s="85" t="n"/>
      <c r="C882" s="85" t="n"/>
      <c r="D882" s="85" t="n"/>
      <c r="E882" s="85" t="n"/>
      <c r="F882" s="86" t="n"/>
      <c r="G882" s="86" t="n"/>
      <c r="H882" s="85" t="n"/>
      <c r="I882" s="85" t="n"/>
      <c r="J882" s="85" t="n"/>
      <c r="K882" s="85" t="n"/>
      <c r="L882" s="85" t="n"/>
      <c r="M882" s="85" t="n"/>
      <c r="N882" s="85" t="n"/>
      <c r="O882" s="85" t="n"/>
      <c r="P882" s="85" t="n"/>
      <c r="Q882" s="85" t="n"/>
      <c r="R882" s="85" t="n"/>
      <c r="S882" s="85" t="n"/>
      <c r="T882" s="85" t="n"/>
      <c r="U882" s="85" t="n"/>
      <c r="V882" s="85" t="n"/>
      <c r="W882" s="85" t="n"/>
      <c r="X882" s="85" t="n"/>
      <c r="Y882" s="85" t="n"/>
      <c r="Z882" s="85" t="n"/>
      <c r="AA882" s="85" t="n"/>
      <c r="AB882" s="85" t="n"/>
      <c r="AC882" s="85" t="n"/>
      <c r="AD882" s="85" t="n"/>
      <c r="AE882" s="85" t="n"/>
      <c r="AF882" s="86" t="n"/>
      <c r="AG882" s="86" t="n"/>
      <c r="AH882" s="86" t="n"/>
      <c r="AI882" s="85" t="n"/>
      <c r="AJ882" s="85" t="n"/>
      <c r="AK882" s="85">
        <f>IF($A882="","",IF($M882&gt;0,"Yes","No"))</f>
        <v/>
      </c>
      <c r="AL882" s="85">
        <f>IF($A882="","",IF(AND($E882="Yes",OR($Y882="No",$Y882="NOT FOUND")),"YES",""))</f>
        <v/>
      </c>
      <c r="AM882" s="85">
        <f>IF($A882="","",TRIM(IF(AND($P882=0,$I882&lt;&gt;"Yes"),"T0-NoPhishResistant ","")&amp;IF($H882="No","NoMFA ","")&amp;IF(AND($P882=0,$M882&gt;0),"T0-Standing ","")&amp;IF(AND($P882=0,$Q882="Group only"),"T0-ViaGroupOnly ","")&amp;IF($W882="Yes","AlsoAzureRBAC ","")))</f>
        <v/>
      </c>
      <c r="AN882" s="85">
        <f>IF($A882="","",IF(AG882="","Not Enrolled",IF(TODAY()&gt;AG882,"Review Overdue",IF(AG882-TODAY()&lt;=30,"Review Due Soon","Active"))))</f>
        <v/>
      </c>
      <c r="AO882" s="85">
        <f>IF($A882="","",IF(AH882="","NOT REVIEWED",IF(TODAY()-AH882&gt;90,"OVERDUE",IF(TODAY()-AH882&gt;76,"Due Soon","Current"))))</f>
        <v/>
      </c>
    </row>
    <row r="883" ht="15" customHeight="1" s="39">
      <c r="A883" s="85" t="n"/>
      <c r="B883" s="85" t="n"/>
      <c r="C883" s="85" t="n"/>
      <c r="D883" s="85" t="n"/>
      <c r="E883" s="85" t="n"/>
      <c r="F883" s="86" t="n"/>
      <c r="G883" s="86" t="n"/>
      <c r="H883" s="85" t="n"/>
      <c r="I883" s="85" t="n"/>
      <c r="J883" s="85" t="n"/>
      <c r="K883" s="85" t="n"/>
      <c r="L883" s="85" t="n"/>
      <c r="M883" s="85" t="n"/>
      <c r="N883" s="85" t="n"/>
      <c r="O883" s="85" t="n"/>
      <c r="P883" s="85" t="n"/>
      <c r="Q883" s="85" t="n"/>
      <c r="R883" s="85" t="n"/>
      <c r="S883" s="85" t="n"/>
      <c r="T883" s="85" t="n"/>
      <c r="U883" s="85" t="n"/>
      <c r="V883" s="85" t="n"/>
      <c r="W883" s="85" t="n"/>
      <c r="X883" s="85" t="n"/>
      <c r="Y883" s="85" t="n"/>
      <c r="Z883" s="85" t="n"/>
      <c r="AA883" s="85" t="n"/>
      <c r="AB883" s="85" t="n"/>
      <c r="AC883" s="85" t="n"/>
      <c r="AD883" s="85" t="n"/>
      <c r="AE883" s="85" t="n"/>
      <c r="AF883" s="86" t="n"/>
      <c r="AG883" s="86" t="n"/>
      <c r="AH883" s="86" t="n"/>
      <c r="AI883" s="85" t="n"/>
      <c r="AJ883" s="85" t="n"/>
      <c r="AK883" s="85">
        <f>IF($A883="","",IF($M883&gt;0,"Yes","No"))</f>
        <v/>
      </c>
      <c r="AL883" s="85">
        <f>IF($A883="","",IF(AND($E883="Yes",OR($Y883="No",$Y883="NOT FOUND")),"YES",""))</f>
        <v/>
      </c>
      <c r="AM883" s="85">
        <f>IF($A883="","",TRIM(IF(AND($P883=0,$I883&lt;&gt;"Yes"),"T0-NoPhishResistant ","")&amp;IF($H883="No","NoMFA ","")&amp;IF(AND($P883=0,$M883&gt;0),"T0-Standing ","")&amp;IF(AND($P883=0,$Q883="Group only"),"T0-ViaGroupOnly ","")&amp;IF($W883="Yes","AlsoAzureRBAC ","")))</f>
        <v/>
      </c>
      <c r="AN883" s="85">
        <f>IF($A883="","",IF(AG883="","Not Enrolled",IF(TODAY()&gt;AG883,"Review Overdue",IF(AG883-TODAY()&lt;=30,"Review Due Soon","Active"))))</f>
        <v/>
      </c>
      <c r="AO883" s="85">
        <f>IF($A883="","",IF(AH883="","NOT REVIEWED",IF(TODAY()-AH883&gt;90,"OVERDUE",IF(TODAY()-AH883&gt;76,"Due Soon","Current"))))</f>
        <v/>
      </c>
    </row>
    <row r="884" ht="15" customHeight="1" s="39">
      <c r="A884" s="85" t="n"/>
      <c r="B884" s="85" t="n"/>
      <c r="C884" s="85" t="n"/>
      <c r="D884" s="85" t="n"/>
      <c r="E884" s="85" t="n"/>
      <c r="F884" s="86" t="n"/>
      <c r="G884" s="86" t="n"/>
      <c r="H884" s="85" t="n"/>
      <c r="I884" s="85" t="n"/>
      <c r="J884" s="85" t="n"/>
      <c r="K884" s="85" t="n"/>
      <c r="L884" s="85" t="n"/>
      <c r="M884" s="85" t="n"/>
      <c r="N884" s="85" t="n"/>
      <c r="O884" s="85" t="n"/>
      <c r="P884" s="85" t="n"/>
      <c r="Q884" s="85" t="n"/>
      <c r="R884" s="85" t="n"/>
      <c r="S884" s="85" t="n"/>
      <c r="T884" s="85" t="n"/>
      <c r="U884" s="85" t="n"/>
      <c r="V884" s="85" t="n"/>
      <c r="W884" s="85" t="n"/>
      <c r="X884" s="85" t="n"/>
      <c r="Y884" s="85" t="n"/>
      <c r="Z884" s="85" t="n"/>
      <c r="AA884" s="85" t="n"/>
      <c r="AB884" s="85" t="n"/>
      <c r="AC884" s="85" t="n"/>
      <c r="AD884" s="85" t="n"/>
      <c r="AE884" s="85" t="n"/>
      <c r="AF884" s="86" t="n"/>
      <c r="AG884" s="86" t="n"/>
      <c r="AH884" s="86" t="n"/>
      <c r="AI884" s="85" t="n"/>
      <c r="AJ884" s="85" t="n"/>
      <c r="AK884" s="85">
        <f>IF($A884="","",IF($M884&gt;0,"Yes","No"))</f>
        <v/>
      </c>
      <c r="AL884" s="85">
        <f>IF($A884="","",IF(AND($E884="Yes",OR($Y884="No",$Y884="NOT FOUND")),"YES",""))</f>
        <v/>
      </c>
      <c r="AM884" s="85">
        <f>IF($A884="","",TRIM(IF(AND($P884=0,$I884&lt;&gt;"Yes"),"T0-NoPhishResistant ","")&amp;IF($H884="No","NoMFA ","")&amp;IF(AND($P884=0,$M884&gt;0),"T0-Standing ","")&amp;IF(AND($P884=0,$Q884="Group only"),"T0-ViaGroupOnly ","")&amp;IF($W884="Yes","AlsoAzureRBAC ","")))</f>
        <v/>
      </c>
      <c r="AN884" s="85">
        <f>IF($A884="","",IF(AG884="","Not Enrolled",IF(TODAY()&gt;AG884,"Review Overdue",IF(AG884-TODAY()&lt;=30,"Review Due Soon","Active"))))</f>
        <v/>
      </c>
      <c r="AO884" s="85">
        <f>IF($A884="","",IF(AH884="","NOT REVIEWED",IF(TODAY()-AH884&gt;90,"OVERDUE",IF(TODAY()-AH884&gt;76,"Due Soon","Current"))))</f>
        <v/>
      </c>
    </row>
    <row r="885" ht="15" customHeight="1" s="39">
      <c r="A885" s="85" t="n"/>
      <c r="B885" s="85" t="n"/>
      <c r="C885" s="85" t="n"/>
      <c r="D885" s="85" t="n"/>
      <c r="E885" s="85" t="n"/>
      <c r="F885" s="86" t="n"/>
      <c r="G885" s="86" t="n"/>
      <c r="H885" s="85" t="n"/>
      <c r="I885" s="85" t="n"/>
      <c r="J885" s="85" t="n"/>
      <c r="K885" s="85" t="n"/>
      <c r="L885" s="85" t="n"/>
      <c r="M885" s="85" t="n"/>
      <c r="N885" s="85" t="n"/>
      <c r="O885" s="85" t="n"/>
      <c r="P885" s="85" t="n"/>
      <c r="Q885" s="85" t="n"/>
      <c r="R885" s="85" t="n"/>
      <c r="S885" s="85" t="n"/>
      <c r="T885" s="85" t="n"/>
      <c r="U885" s="85" t="n"/>
      <c r="V885" s="85" t="n"/>
      <c r="W885" s="85" t="n"/>
      <c r="X885" s="85" t="n"/>
      <c r="Y885" s="85" t="n"/>
      <c r="Z885" s="85" t="n"/>
      <c r="AA885" s="85" t="n"/>
      <c r="AB885" s="85" t="n"/>
      <c r="AC885" s="85" t="n"/>
      <c r="AD885" s="85" t="n"/>
      <c r="AE885" s="85" t="n"/>
      <c r="AF885" s="86" t="n"/>
      <c r="AG885" s="86" t="n"/>
      <c r="AH885" s="86" t="n"/>
      <c r="AI885" s="85" t="n"/>
      <c r="AJ885" s="85" t="n"/>
      <c r="AK885" s="85">
        <f>IF($A885="","",IF($M885&gt;0,"Yes","No"))</f>
        <v/>
      </c>
      <c r="AL885" s="85">
        <f>IF($A885="","",IF(AND($E885="Yes",OR($Y885="No",$Y885="NOT FOUND")),"YES",""))</f>
        <v/>
      </c>
      <c r="AM885" s="85">
        <f>IF($A885="","",TRIM(IF(AND($P885=0,$I885&lt;&gt;"Yes"),"T0-NoPhishResistant ","")&amp;IF($H885="No","NoMFA ","")&amp;IF(AND($P885=0,$M885&gt;0),"T0-Standing ","")&amp;IF(AND($P885=0,$Q885="Group only"),"T0-ViaGroupOnly ","")&amp;IF($W885="Yes","AlsoAzureRBAC ","")))</f>
        <v/>
      </c>
      <c r="AN885" s="85">
        <f>IF($A885="","",IF(AG885="","Not Enrolled",IF(TODAY()&gt;AG885,"Review Overdue",IF(AG885-TODAY()&lt;=30,"Review Due Soon","Active"))))</f>
        <v/>
      </c>
      <c r="AO885" s="85">
        <f>IF($A885="","",IF(AH885="","NOT REVIEWED",IF(TODAY()-AH885&gt;90,"OVERDUE",IF(TODAY()-AH885&gt;76,"Due Soon","Current"))))</f>
        <v/>
      </c>
    </row>
    <row r="886" ht="15" customHeight="1" s="39">
      <c r="A886" s="85" t="n"/>
      <c r="B886" s="85" t="n"/>
      <c r="C886" s="85" t="n"/>
      <c r="D886" s="85" t="n"/>
      <c r="E886" s="85" t="n"/>
      <c r="F886" s="86" t="n"/>
      <c r="G886" s="86" t="n"/>
      <c r="H886" s="85" t="n"/>
      <c r="I886" s="85" t="n"/>
      <c r="J886" s="85" t="n"/>
      <c r="K886" s="85" t="n"/>
      <c r="L886" s="85" t="n"/>
      <c r="M886" s="85" t="n"/>
      <c r="N886" s="85" t="n"/>
      <c r="O886" s="85" t="n"/>
      <c r="P886" s="85" t="n"/>
      <c r="Q886" s="85" t="n"/>
      <c r="R886" s="85" t="n"/>
      <c r="S886" s="85" t="n"/>
      <c r="T886" s="85" t="n"/>
      <c r="U886" s="85" t="n"/>
      <c r="V886" s="85" t="n"/>
      <c r="W886" s="85" t="n"/>
      <c r="X886" s="85" t="n"/>
      <c r="Y886" s="85" t="n"/>
      <c r="Z886" s="85" t="n"/>
      <c r="AA886" s="85" t="n"/>
      <c r="AB886" s="85" t="n"/>
      <c r="AC886" s="85" t="n"/>
      <c r="AD886" s="85" t="n"/>
      <c r="AE886" s="85" t="n"/>
      <c r="AF886" s="86" t="n"/>
      <c r="AG886" s="86" t="n"/>
      <c r="AH886" s="86" t="n"/>
      <c r="AI886" s="85" t="n"/>
      <c r="AJ886" s="85" t="n"/>
      <c r="AK886" s="85">
        <f>IF($A886="","",IF($M886&gt;0,"Yes","No"))</f>
        <v/>
      </c>
      <c r="AL886" s="85">
        <f>IF($A886="","",IF(AND($E886="Yes",OR($Y886="No",$Y886="NOT FOUND")),"YES",""))</f>
        <v/>
      </c>
      <c r="AM886" s="85">
        <f>IF($A886="","",TRIM(IF(AND($P886=0,$I886&lt;&gt;"Yes"),"T0-NoPhishResistant ","")&amp;IF($H886="No","NoMFA ","")&amp;IF(AND($P886=0,$M886&gt;0),"T0-Standing ","")&amp;IF(AND($P886=0,$Q886="Group only"),"T0-ViaGroupOnly ","")&amp;IF($W886="Yes","AlsoAzureRBAC ","")))</f>
        <v/>
      </c>
      <c r="AN886" s="85">
        <f>IF($A886="","",IF(AG886="","Not Enrolled",IF(TODAY()&gt;AG886,"Review Overdue",IF(AG886-TODAY()&lt;=30,"Review Due Soon","Active"))))</f>
        <v/>
      </c>
      <c r="AO886" s="85">
        <f>IF($A886="","",IF(AH886="","NOT REVIEWED",IF(TODAY()-AH886&gt;90,"OVERDUE",IF(TODAY()-AH886&gt;76,"Due Soon","Current"))))</f>
        <v/>
      </c>
    </row>
    <row r="887" ht="15" customHeight="1" s="39">
      <c r="A887" s="85" t="n"/>
      <c r="B887" s="85" t="n"/>
      <c r="C887" s="85" t="n"/>
      <c r="D887" s="85" t="n"/>
      <c r="E887" s="85" t="n"/>
      <c r="F887" s="86" t="n"/>
      <c r="G887" s="86" t="n"/>
      <c r="H887" s="85" t="n"/>
      <c r="I887" s="85" t="n"/>
      <c r="J887" s="85" t="n"/>
      <c r="K887" s="85" t="n"/>
      <c r="L887" s="85" t="n"/>
      <c r="M887" s="85" t="n"/>
      <c r="N887" s="85" t="n"/>
      <c r="O887" s="85" t="n"/>
      <c r="P887" s="85" t="n"/>
      <c r="Q887" s="85" t="n"/>
      <c r="R887" s="85" t="n"/>
      <c r="S887" s="85" t="n"/>
      <c r="T887" s="85" t="n"/>
      <c r="U887" s="85" t="n"/>
      <c r="V887" s="85" t="n"/>
      <c r="W887" s="85" t="n"/>
      <c r="X887" s="85" t="n"/>
      <c r="Y887" s="85" t="n"/>
      <c r="Z887" s="85" t="n"/>
      <c r="AA887" s="85" t="n"/>
      <c r="AB887" s="85" t="n"/>
      <c r="AC887" s="85" t="n"/>
      <c r="AD887" s="85" t="n"/>
      <c r="AE887" s="85" t="n"/>
      <c r="AF887" s="86" t="n"/>
      <c r="AG887" s="86" t="n"/>
      <c r="AH887" s="86" t="n"/>
      <c r="AI887" s="85" t="n"/>
      <c r="AJ887" s="85" t="n"/>
      <c r="AK887" s="85">
        <f>IF($A887="","",IF($M887&gt;0,"Yes","No"))</f>
        <v/>
      </c>
      <c r="AL887" s="85">
        <f>IF($A887="","",IF(AND($E887="Yes",OR($Y887="No",$Y887="NOT FOUND")),"YES",""))</f>
        <v/>
      </c>
      <c r="AM887" s="85">
        <f>IF($A887="","",TRIM(IF(AND($P887=0,$I887&lt;&gt;"Yes"),"T0-NoPhishResistant ","")&amp;IF($H887="No","NoMFA ","")&amp;IF(AND($P887=0,$M887&gt;0),"T0-Standing ","")&amp;IF(AND($P887=0,$Q887="Group only"),"T0-ViaGroupOnly ","")&amp;IF($W887="Yes","AlsoAzureRBAC ","")))</f>
        <v/>
      </c>
      <c r="AN887" s="85">
        <f>IF($A887="","",IF(AG887="","Not Enrolled",IF(TODAY()&gt;AG887,"Review Overdue",IF(AG887-TODAY()&lt;=30,"Review Due Soon","Active"))))</f>
        <v/>
      </c>
      <c r="AO887" s="85">
        <f>IF($A887="","",IF(AH887="","NOT REVIEWED",IF(TODAY()-AH887&gt;90,"OVERDUE",IF(TODAY()-AH887&gt;76,"Due Soon","Current"))))</f>
        <v/>
      </c>
    </row>
    <row r="888" ht="15" customHeight="1" s="39">
      <c r="A888" s="85" t="n"/>
      <c r="B888" s="85" t="n"/>
      <c r="C888" s="85" t="n"/>
      <c r="D888" s="85" t="n"/>
      <c r="E888" s="85" t="n"/>
      <c r="F888" s="86" t="n"/>
      <c r="G888" s="86" t="n"/>
      <c r="H888" s="85" t="n"/>
      <c r="I888" s="85" t="n"/>
      <c r="J888" s="85" t="n"/>
      <c r="K888" s="85" t="n"/>
      <c r="L888" s="85" t="n"/>
      <c r="M888" s="85" t="n"/>
      <c r="N888" s="85" t="n"/>
      <c r="O888" s="85" t="n"/>
      <c r="P888" s="85" t="n"/>
      <c r="Q888" s="85" t="n"/>
      <c r="R888" s="85" t="n"/>
      <c r="S888" s="85" t="n"/>
      <c r="T888" s="85" t="n"/>
      <c r="U888" s="85" t="n"/>
      <c r="V888" s="85" t="n"/>
      <c r="W888" s="85" t="n"/>
      <c r="X888" s="85" t="n"/>
      <c r="Y888" s="85" t="n"/>
      <c r="Z888" s="85" t="n"/>
      <c r="AA888" s="85" t="n"/>
      <c r="AB888" s="85" t="n"/>
      <c r="AC888" s="85" t="n"/>
      <c r="AD888" s="85" t="n"/>
      <c r="AE888" s="85" t="n"/>
      <c r="AF888" s="86" t="n"/>
      <c r="AG888" s="86" t="n"/>
      <c r="AH888" s="86" t="n"/>
      <c r="AI888" s="85" t="n"/>
      <c r="AJ888" s="85" t="n"/>
      <c r="AK888" s="85">
        <f>IF($A888="","",IF($M888&gt;0,"Yes","No"))</f>
        <v/>
      </c>
      <c r="AL888" s="85">
        <f>IF($A888="","",IF(AND($E888="Yes",OR($Y888="No",$Y888="NOT FOUND")),"YES",""))</f>
        <v/>
      </c>
      <c r="AM888" s="85">
        <f>IF($A888="","",TRIM(IF(AND($P888=0,$I888&lt;&gt;"Yes"),"T0-NoPhishResistant ","")&amp;IF($H888="No","NoMFA ","")&amp;IF(AND($P888=0,$M888&gt;0),"T0-Standing ","")&amp;IF(AND($P888=0,$Q888="Group only"),"T0-ViaGroupOnly ","")&amp;IF($W888="Yes","AlsoAzureRBAC ","")))</f>
        <v/>
      </c>
      <c r="AN888" s="85">
        <f>IF($A888="","",IF(AG888="","Not Enrolled",IF(TODAY()&gt;AG888,"Review Overdue",IF(AG888-TODAY()&lt;=30,"Review Due Soon","Active"))))</f>
        <v/>
      </c>
      <c r="AO888" s="85">
        <f>IF($A888="","",IF(AH888="","NOT REVIEWED",IF(TODAY()-AH888&gt;90,"OVERDUE",IF(TODAY()-AH888&gt;76,"Due Soon","Current"))))</f>
        <v/>
      </c>
    </row>
    <row r="889" ht="15" customHeight="1" s="39">
      <c r="A889" s="85" t="n"/>
      <c r="B889" s="85" t="n"/>
      <c r="C889" s="85" t="n"/>
      <c r="D889" s="85" t="n"/>
      <c r="E889" s="85" t="n"/>
      <c r="F889" s="86" t="n"/>
      <c r="G889" s="86" t="n"/>
      <c r="H889" s="85" t="n"/>
      <c r="I889" s="85" t="n"/>
      <c r="J889" s="85" t="n"/>
      <c r="K889" s="85" t="n"/>
      <c r="L889" s="85" t="n"/>
      <c r="M889" s="85" t="n"/>
      <c r="N889" s="85" t="n"/>
      <c r="O889" s="85" t="n"/>
      <c r="P889" s="85" t="n"/>
      <c r="Q889" s="85" t="n"/>
      <c r="R889" s="85" t="n"/>
      <c r="S889" s="85" t="n"/>
      <c r="T889" s="85" t="n"/>
      <c r="U889" s="85" t="n"/>
      <c r="V889" s="85" t="n"/>
      <c r="W889" s="85" t="n"/>
      <c r="X889" s="85" t="n"/>
      <c r="Y889" s="85" t="n"/>
      <c r="Z889" s="85" t="n"/>
      <c r="AA889" s="85" t="n"/>
      <c r="AB889" s="85" t="n"/>
      <c r="AC889" s="85" t="n"/>
      <c r="AD889" s="85" t="n"/>
      <c r="AE889" s="85" t="n"/>
      <c r="AF889" s="86" t="n"/>
      <c r="AG889" s="86" t="n"/>
      <c r="AH889" s="86" t="n"/>
      <c r="AI889" s="85" t="n"/>
      <c r="AJ889" s="85" t="n"/>
      <c r="AK889" s="85">
        <f>IF($A889="","",IF($M889&gt;0,"Yes","No"))</f>
        <v/>
      </c>
      <c r="AL889" s="85">
        <f>IF($A889="","",IF(AND($E889="Yes",OR($Y889="No",$Y889="NOT FOUND")),"YES",""))</f>
        <v/>
      </c>
      <c r="AM889" s="85">
        <f>IF($A889="","",TRIM(IF(AND($P889=0,$I889&lt;&gt;"Yes"),"T0-NoPhishResistant ","")&amp;IF($H889="No","NoMFA ","")&amp;IF(AND($P889=0,$M889&gt;0),"T0-Standing ","")&amp;IF(AND($P889=0,$Q889="Group only"),"T0-ViaGroupOnly ","")&amp;IF($W889="Yes","AlsoAzureRBAC ","")))</f>
        <v/>
      </c>
      <c r="AN889" s="85">
        <f>IF($A889="","",IF(AG889="","Not Enrolled",IF(TODAY()&gt;AG889,"Review Overdue",IF(AG889-TODAY()&lt;=30,"Review Due Soon","Active"))))</f>
        <v/>
      </c>
      <c r="AO889" s="85">
        <f>IF($A889="","",IF(AH889="","NOT REVIEWED",IF(TODAY()-AH889&gt;90,"OVERDUE",IF(TODAY()-AH889&gt;76,"Due Soon","Current"))))</f>
        <v/>
      </c>
    </row>
    <row r="890" ht="15" customHeight="1" s="39">
      <c r="A890" s="85" t="n"/>
      <c r="B890" s="85" t="n"/>
      <c r="C890" s="85" t="n"/>
      <c r="D890" s="85" t="n"/>
      <c r="E890" s="85" t="n"/>
      <c r="F890" s="86" t="n"/>
      <c r="G890" s="86" t="n"/>
      <c r="H890" s="85" t="n"/>
      <c r="I890" s="85" t="n"/>
      <c r="J890" s="85" t="n"/>
      <c r="K890" s="85" t="n"/>
      <c r="L890" s="85" t="n"/>
      <c r="M890" s="85" t="n"/>
      <c r="N890" s="85" t="n"/>
      <c r="O890" s="85" t="n"/>
      <c r="P890" s="85" t="n"/>
      <c r="Q890" s="85" t="n"/>
      <c r="R890" s="85" t="n"/>
      <c r="S890" s="85" t="n"/>
      <c r="T890" s="85" t="n"/>
      <c r="U890" s="85" t="n"/>
      <c r="V890" s="85" t="n"/>
      <c r="W890" s="85" t="n"/>
      <c r="X890" s="85" t="n"/>
      <c r="Y890" s="85" t="n"/>
      <c r="Z890" s="85" t="n"/>
      <c r="AA890" s="85" t="n"/>
      <c r="AB890" s="85" t="n"/>
      <c r="AC890" s="85" t="n"/>
      <c r="AD890" s="85" t="n"/>
      <c r="AE890" s="85" t="n"/>
      <c r="AF890" s="86" t="n"/>
      <c r="AG890" s="86" t="n"/>
      <c r="AH890" s="86" t="n"/>
      <c r="AI890" s="85" t="n"/>
      <c r="AJ890" s="85" t="n"/>
      <c r="AK890" s="85">
        <f>IF($A890="","",IF($M890&gt;0,"Yes","No"))</f>
        <v/>
      </c>
      <c r="AL890" s="85">
        <f>IF($A890="","",IF(AND($E890="Yes",OR($Y890="No",$Y890="NOT FOUND")),"YES",""))</f>
        <v/>
      </c>
      <c r="AM890" s="85">
        <f>IF($A890="","",TRIM(IF(AND($P890=0,$I890&lt;&gt;"Yes"),"T0-NoPhishResistant ","")&amp;IF($H890="No","NoMFA ","")&amp;IF(AND($P890=0,$M890&gt;0),"T0-Standing ","")&amp;IF(AND($P890=0,$Q890="Group only"),"T0-ViaGroupOnly ","")&amp;IF($W890="Yes","AlsoAzureRBAC ","")))</f>
        <v/>
      </c>
      <c r="AN890" s="85">
        <f>IF($A890="","",IF(AG890="","Not Enrolled",IF(TODAY()&gt;AG890,"Review Overdue",IF(AG890-TODAY()&lt;=30,"Review Due Soon","Active"))))</f>
        <v/>
      </c>
      <c r="AO890" s="85">
        <f>IF($A890="","",IF(AH890="","NOT REVIEWED",IF(TODAY()-AH890&gt;90,"OVERDUE",IF(TODAY()-AH890&gt;76,"Due Soon","Current"))))</f>
        <v/>
      </c>
    </row>
    <row r="891" ht="15" customHeight="1" s="39">
      <c r="A891" s="85" t="n"/>
      <c r="B891" s="85" t="n"/>
      <c r="C891" s="85" t="n"/>
      <c r="D891" s="85" t="n"/>
      <c r="E891" s="85" t="n"/>
      <c r="F891" s="86" t="n"/>
      <c r="G891" s="86" t="n"/>
      <c r="H891" s="85" t="n"/>
      <c r="I891" s="85" t="n"/>
      <c r="J891" s="85" t="n"/>
      <c r="K891" s="85" t="n"/>
      <c r="L891" s="85" t="n"/>
      <c r="M891" s="85" t="n"/>
      <c r="N891" s="85" t="n"/>
      <c r="O891" s="85" t="n"/>
      <c r="P891" s="85" t="n"/>
      <c r="Q891" s="85" t="n"/>
      <c r="R891" s="85" t="n"/>
      <c r="S891" s="85" t="n"/>
      <c r="T891" s="85" t="n"/>
      <c r="U891" s="85" t="n"/>
      <c r="V891" s="85" t="n"/>
      <c r="W891" s="85" t="n"/>
      <c r="X891" s="85" t="n"/>
      <c r="Y891" s="85" t="n"/>
      <c r="Z891" s="85" t="n"/>
      <c r="AA891" s="85" t="n"/>
      <c r="AB891" s="85" t="n"/>
      <c r="AC891" s="85" t="n"/>
      <c r="AD891" s="85" t="n"/>
      <c r="AE891" s="85" t="n"/>
      <c r="AF891" s="86" t="n"/>
      <c r="AG891" s="86" t="n"/>
      <c r="AH891" s="86" t="n"/>
      <c r="AI891" s="85" t="n"/>
      <c r="AJ891" s="85" t="n"/>
      <c r="AK891" s="85">
        <f>IF($A891="","",IF($M891&gt;0,"Yes","No"))</f>
        <v/>
      </c>
      <c r="AL891" s="85">
        <f>IF($A891="","",IF(AND($E891="Yes",OR($Y891="No",$Y891="NOT FOUND")),"YES",""))</f>
        <v/>
      </c>
      <c r="AM891" s="85">
        <f>IF($A891="","",TRIM(IF(AND($P891=0,$I891&lt;&gt;"Yes"),"T0-NoPhishResistant ","")&amp;IF($H891="No","NoMFA ","")&amp;IF(AND($P891=0,$M891&gt;0),"T0-Standing ","")&amp;IF(AND($P891=0,$Q891="Group only"),"T0-ViaGroupOnly ","")&amp;IF($W891="Yes","AlsoAzureRBAC ","")))</f>
        <v/>
      </c>
      <c r="AN891" s="85">
        <f>IF($A891="","",IF(AG891="","Not Enrolled",IF(TODAY()&gt;AG891,"Review Overdue",IF(AG891-TODAY()&lt;=30,"Review Due Soon","Active"))))</f>
        <v/>
      </c>
      <c r="AO891" s="85">
        <f>IF($A891="","",IF(AH891="","NOT REVIEWED",IF(TODAY()-AH891&gt;90,"OVERDUE",IF(TODAY()-AH891&gt;76,"Due Soon","Current"))))</f>
        <v/>
      </c>
    </row>
    <row r="892" ht="15" customHeight="1" s="39">
      <c r="A892" s="85" t="n"/>
      <c r="B892" s="85" t="n"/>
      <c r="C892" s="85" t="n"/>
      <c r="D892" s="85" t="n"/>
      <c r="E892" s="85" t="n"/>
      <c r="F892" s="86" t="n"/>
      <c r="G892" s="86" t="n"/>
      <c r="H892" s="85" t="n"/>
      <c r="I892" s="85" t="n"/>
      <c r="J892" s="85" t="n"/>
      <c r="K892" s="85" t="n"/>
      <c r="L892" s="85" t="n"/>
      <c r="M892" s="85" t="n"/>
      <c r="N892" s="85" t="n"/>
      <c r="O892" s="85" t="n"/>
      <c r="P892" s="85" t="n"/>
      <c r="Q892" s="85" t="n"/>
      <c r="R892" s="85" t="n"/>
      <c r="S892" s="85" t="n"/>
      <c r="T892" s="85" t="n"/>
      <c r="U892" s="85" t="n"/>
      <c r="V892" s="85" t="n"/>
      <c r="W892" s="85" t="n"/>
      <c r="X892" s="85" t="n"/>
      <c r="Y892" s="85" t="n"/>
      <c r="Z892" s="85" t="n"/>
      <c r="AA892" s="85" t="n"/>
      <c r="AB892" s="85" t="n"/>
      <c r="AC892" s="85" t="n"/>
      <c r="AD892" s="85" t="n"/>
      <c r="AE892" s="85" t="n"/>
      <c r="AF892" s="86" t="n"/>
      <c r="AG892" s="86" t="n"/>
      <c r="AH892" s="86" t="n"/>
      <c r="AI892" s="85" t="n"/>
      <c r="AJ892" s="85" t="n"/>
      <c r="AK892" s="85">
        <f>IF($A892="","",IF($M892&gt;0,"Yes","No"))</f>
        <v/>
      </c>
      <c r="AL892" s="85">
        <f>IF($A892="","",IF(AND($E892="Yes",OR($Y892="No",$Y892="NOT FOUND")),"YES",""))</f>
        <v/>
      </c>
      <c r="AM892" s="85">
        <f>IF($A892="","",TRIM(IF(AND($P892=0,$I892&lt;&gt;"Yes"),"T0-NoPhishResistant ","")&amp;IF($H892="No","NoMFA ","")&amp;IF(AND($P892=0,$M892&gt;0),"T0-Standing ","")&amp;IF(AND($P892=0,$Q892="Group only"),"T0-ViaGroupOnly ","")&amp;IF($W892="Yes","AlsoAzureRBAC ","")))</f>
        <v/>
      </c>
      <c r="AN892" s="85">
        <f>IF($A892="","",IF(AG892="","Not Enrolled",IF(TODAY()&gt;AG892,"Review Overdue",IF(AG892-TODAY()&lt;=30,"Review Due Soon","Active"))))</f>
        <v/>
      </c>
      <c r="AO892" s="85">
        <f>IF($A892="","",IF(AH892="","NOT REVIEWED",IF(TODAY()-AH892&gt;90,"OVERDUE",IF(TODAY()-AH892&gt;76,"Due Soon","Current"))))</f>
        <v/>
      </c>
    </row>
    <row r="893" ht="15" customHeight="1" s="39">
      <c r="A893" s="85" t="n"/>
      <c r="B893" s="85" t="n"/>
      <c r="C893" s="85" t="n"/>
      <c r="D893" s="85" t="n"/>
      <c r="E893" s="85" t="n"/>
      <c r="F893" s="86" t="n"/>
      <c r="G893" s="86" t="n"/>
      <c r="H893" s="85" t="n"/>
      <c r="I893" s="85" t="n"/>
      <c r="J893" s="85" t="n"/>
      <c r="K893" s="85" t="n"/>
      <c r="L893" s="85" t="n"/>
      <c r="M893" s="85" t="n"/>
      <c r="N893" s="85" t="n"/>
      <c r="O893" s="85" t="n"/>
      <c r="P893" s="85" t="n"/>
      <c r="Q893" s="85" t="n"/>
      <c r="R893" s="85" t="n"/>
      <c r="S893" s="85" t="n"/>
      <c r="T893" s="85" t="n"/>
      <c r="U893" s="85" t="n"/>
      <c r="V893" s="85" t="n"/>
      <c r="W893" s="85" t="n"/>
      <c r="X893" s="85" t="n"/>
      <c r="Y893" s="85" t="n"/>
      <c r="Z893" s="85" t="n"/>
      <c r="AA893" s="85" t="n"/>
      <c r="AB893" s="85" t="n"/>
      <c r="AC893" s="85" t="n"/>
      <c r="AD893" s="85" t="n"/>
      <c r="AE893" s="85" t="n"/>
      <c r="AF893" s="86" t="n"/>
      <c r="AG893" s="86" t="n"/>
      <c r="AH893" s="86" t="n"/>
      <c r="AI893" s="85" t="n"/>
      <c r="AJ893" s="85" t="n"/>
      <c r="AK893" s="85">
        <f>IF($A893="","",IF($M893&gt;0,"Yes","No"))</f>
        <v/>
      </c>
      <c r="AL893" s="85">
        <f>IF($A893="","",IF(AND($E893="Yes",OR($Y893="No",$Y893="NOT FOUND")),"YES",""))</f>
        <v/>
      </c>
      <c r="AM893" s="85">
        <f>IF($A893="","",TRIM(IF(AND($P893=0,$I893&lt;&gt;"Yes"),"T0-NoPhishResistant ","")&amp;IF($H893="No","NoMFA ","")&amp;IF(AND($P893=0,$M893&gt;0),"T0-Standing ","")&amp;IF(AND($P893=0,$Q893="Group only"),"T0-ViaGroupOnly ","")&amp;IF($W893="Yes","AlsoAzureRBAC ","")))</f>
        <v/>
      </c>
      <c r="AN893" s="85">
        <f>IF($A893="","",IF(AG893="","Not Enrolled",IF(TODAY()&gt;AG893,"Review Overdue",IF(AG893-TODAY()&lt;=30,"Review Due Soon","Active"))))</f>
        <v/>
      </c>
      <c r="AO893" s="85">
        <f>IF($A893="","",IF(AH893="","NOT REVIEWED",IF(TODAY()-AH893&gt;90,"OVERDUE",IF(TODAY()-AH893&gt;76,"Due Soon","Current"))))</f>
        <v/>
      </c>
    </row>
    <row r="894" ht="15" customHeight="1" s="39">
      <c r="A894" s="85" t="n"/>
      <c r="B894" s="85" t="n"/>
      <c r="C894" s="85" t="n"/>
      <c r="D894" s="85" t="n"/>
      <c r="E894" s="85" t="n"/>
      <c r="F894" s="86" t="n"/>
      <c r="G894" s="86" t="n"/>
      <c r="H894" s="85" t="n"/>
      <c r="I894" s="85" t="n"/>
      <c r="J894" s="85" t="n"/>
      <c r="K894" s="85" t="n"/>
      <c r="L894" s="85" t="n"/>
      <c r="M894" s="85" t="n"/>
      <c r="N894" s="85" t="n"/>
      <c r="O894" s="85" t="n"/>
      <c r="P894" s="85" t="n"/>
      <c r="Q894" s="85" t="n"/>
      <c r="R894" s="85" t="n"/>
      <c r="S894" s="85" t="n"/>
      <c r="T894" s="85" t="n"/>
      <c r="U894" s="85" t="n"/>
      <c r="V894" s="85" t="n"/>
      <c r="W894" s="85" t="n"/>
      <c r="X894" s="85" t="n"/>
      <c r="Y894" s="85" t="n"/>
      <c r="Z894" s="85" t="n"/>
      <c r="AA894" s="85" t="n"/>
      <c r="AB894" s="85" t="n"/>
      <c r="AC894" s="85" t="n"/>
      <c r="AD894" s="85" t="n"/>
      <c r="AE894" s="85" t="n"/>
      <c r="AF894" s="86" t="n"/>
      <c r="AG894" s="86" t="n"/>
      <c r="AH894" s="86" t="n"/>
      <c r="AI894" s="85" t="n"/>
      <c r="AJ894" s="85" t="n"/>
      <c r="AK894" s="85">
        <f>IF($A894="","",IF($M894&gt;0,"Yes","No"))</f>
        <v/>
      </c>
      <c r="AL894" s="85">
        <f>IF($A894="","",IF(AND($E894="Yes",OR($Y894="No",$Y894="NOT FOUND")),"YES",""))</f>
        <v/>
      </c>
      <c r="AM894" s="85">
        <f>IF($A894="","",TRIM(IF(AND($P894=0,$I894&lt;&gt;"Yes"),"T0-NoPhishResistant ","")&amp;IF($H894="No","NoMFA ","")&amp;IF(AND($P894=0,$M894&gt;0),"T0-Standing ","")&amp;IF(AND($P894=0,$Q894="Group only"),"T0-ViaGroupOnly ","")&amp;IF($W894="Yes","AlsoAzureRBAC ","")))</f>
        <v/>
      </c>
      <c r="AN894" s="85">
        <f>IF($A894="","",IF(AG894="","Not Enrolled",IF(TODAY()&gt;AG894,"Review Overdue",IF(AG894-TODAY()&lt;=30,"Review Due Soon","Active"))))</f>
        <v/>
      </c>
      <c r="AO894" s="85">
        <f>IF($A894="","",IF(AH894="","NOT REVIEWED",IF(TODAY()-AH894&gt;90,"OVERDUE",IF(TODAY()-AH894&gt;76,"Due Soon","Current"))))</f>
        <v/>
      </c>
    </row>
    <row r="895" ht="15" customHeight="1" s="39">
      <c r="A895" s="85" t="n"/>
      <c r="B895" s="85" t="n"/>
      <c r="C895" s="85" t="n"/>
      <c r="D895" s="85" t="n"/>
      <c r="E895" s="85" t="n"/>
      <c r="F895" s="86" t="n"/>
      <c r="G895" s="86" t="n"/>
      <c r="H895" s="85" t="n"/>
      <c r="I895" s="85" t="n"/>
      <c r="J895" s="85" t="n"/>
      <c r="K895" s="85" t="n"/>
      <c r="L895" s="85" t="n"/>
      <c r="M895" s="85" t="n"/>
      <c r="N895" s="85" t="n"/>
      <c r="O895" s="85" t="n"/>
      <c r="P895" s="85" t="n"/>
      <c r="Q895" s="85" t="n"/>
      <c r="R895" s="85" t="n"/>
      <c r="S895" s="85" t="n"/>
      <c r="T895" s="85" t="n"/>
      <c r="U895" s="85" t="n"/>
      <c r="V895" s="85" t="n"/>
      <c r="W895" s="85" t="n"/>
      <c r="X895" s="85" t="n"/>
      <c r="Y895" s="85" t="n"/>
      <c r="Z895" s="85" t="n"/>
      <c r="AA895" s="85" t="n"/>
      <c r="AB895" s="85" t="n"/>
      <c r="AC895" s="85" t="n"/>
      <c r="AD895" s="85" t="n"/>
      <c r="AE895" s="85" t="n"/>
      <c r="AF895" s="86" t="n"/>
      <c r="AG895" s="86" t="n"/>
      <c r="AH895" s="86" t="n"/>
      <c r="AI895" s="85" t="n"/>
      <c r="AJ895" s="85" t="n"/>
      <c r="AK895" s="85">
        <f>IF($A895="","",IF($M895&gt;0,"Yes","No"))</f>
        <v/>
      </c>
      <c r="AL895" s="85">
        <f>IF($A895="","",IF(AND($E895="Yes",OR($Y895="No",$Y895="NOT FOUND")),"YES",""))</f>
        <v/>
      </c>
      <c r="AM895" s="85">
        <f>IF($A895="","",TRIM(IF(AND($P895=0,$I895&lt;&gt;"Yes"),"T0-NoPhishResistant ","")&amp;IF($H895="No","NoMFA ","")&amp;IF(AND($P895=0,$M895&gt;0),"T0-Standing ","")&amp;IF(AND($P895=0,$Q895="Group only"),"T0-ViaGroupOnly ","")&amp;IF($W895="Yes","AlsoAzureRBAC ","")))</f>
        <v/>
      </c>
      <c r="AN895" s="85">
        <f>IF($A895="","",IF(AG895="","Not Enrolled",IF(TODAY()&gt;AG895,"Review Overdue",IF(AG895-TODAY()&lt;=30,"Review Due Soon","Active"))))</f>
        <v/>
      </c>
      <c r="AO895" s="85">
        <f>IF($A895="","",IF(AH895="","NOT REVIEWED",IF(TODAY()-AH895&gt;90,"OVERDUE",IF(TODAY()-AH895&gt;76,"Due Soon","Current"))))</f>
        <v/>
      </c>
    </row>
    <row r="896" ht="15" customHeight="1" s="39">
      <c r="A896" s="85" t="n"/>
      <c r="B896" s="85" t="n"/>
      <c r="C896" s="85" t="n"/>
      <c r="D896" s="85" t="n"/>
      <c r="E896" s="85" t="n"/>
      <c r="F896" s="86" t="n"/>
      <c r="G896" s="86" t="n"/>
      <c r="H896" s="85" t="n"/>
      <c r="I896" s="85" t="n"/>
      <c r="J896" s="85" t="n"/>
      <c r="K896" s="85" t="n"/>
      <c r="L896" s="85" t="n"/>
      <c r="M896" s="85" t="n"/>
      <c r="N896" s="85" t="n"/>
      <c r="O896" s="85" t="n"/>
      <c r="P896" s="85" t="n"/>
      <c r="Q896" s="85" t="n"/>
      <c r="R896" s="85" t="n"/>
      <c r="S896" s="85" t="n"/>
      <c r="T896" s="85" t="n"/>
      <c r="U896" s="85" t="n"/>
      <c r="V896" s="85" t="n"/>
      <c r="W896" s="85" t="n"/>
      <c r="X896" s="85" t="n"/>
      <c r="Y896" s="85" t="n"/>
      <c r="Z896" s="85" t="n"/>
      <c r="AA896" s="85" t="n"/>
      <c r="AB896" s="85" t="n"/>
      <c r="AC896" s="85" t="n"/>
      <c r="AD896" s="85" t="n"/>
      <c r="AE896" s="85" t="n"/>
      <c r="AF896" s="86" t="n"/>
      <c r="AG896" s="86" t="n"/>
      <c r="AH896" s="86" t="n"/>
      <c r="AI896" s="85" t="n"/>
      <c r="AJ896" s="85" t="n"/>
      <c r="AK896" s="85">
        <f>IF($A896="","",IF($M896&gt;0,"Yes","No"))</f>
        <v/>
      </c>
      <c r="AL896" s="85">
        <f>IF($A896="","",IF(AND($E896="Yes",OR($Y896="No",$Y896="NOT FOUND")),"YES",""))</f>
        <v/>
      </c>
      <c r="AM896" s="85">
        <f>IF($A896="","",TRIM(IF(AND($P896=0,$I896&lt;&gt;"Yes"),"T0-NoPhishResistant ","")&amp;IF($H896="No","NoMFA ","")&amp;IF(AND($P896=0,$M896&gt;0),"T0-Standing ","")&amp;IF(AND($P896=0,$Q896="Group only"),"T0-ViaGroupOnly ","")&amp;IF($W896="Yes","AlsoAzureRBAC ","")))</f>
        <v/>
      </c>
      <c r="AN896" s="85">
        <f>IF($A896="","",IF(AG896="","Not Enrolled",IF(TODAY()&gt;AG896,"Review Overdue",IF(AG896-TODAY()&lt;=30,"Review Due Soon","Active"))))</f>
        <v/>
      </c>
      <c r="AO896" s="85">
        <f>IF($A896="","",IF(AH896="","NOT REVIEWED",IF(TODAY()-AH896&gt;90,"OVERDUE",IF(TODAY()-AH896&gt;76,"Due Soon","Current"))))</f>
        <v/>
      </c>
    </row>
    <row r="897" ht="15" customHeight="1" s="39">
      <c r="A897" s="85" t="n"/>
      <c r="B897" s="85" t="n"/>
      <c r="C897" s="85" t="n"/>
      <c r="D897" s="85" t="n"/>
      <c r="E897" s="85" t="n"/>
      <c r="F897" s="86" t="n"/>
      <c r="G897" s="86" t="n"/>
      <c r="H897" s="85" t="n"/>
      <c r="I897" s="85" t="n"/>
      <c r="J897" s="85" t="n"/>
      <c r="K897" s="85" t="n"/>
      <c r="L897" s="85" t="n"/>
      <c r="M897" s="85" t="n"/>
      <c r="N897" s="85" t="n"/>
      <c r="O897" s="85" t="n"/>
      <c r="P897" s="85" t="n"/>
      <c r="Q897" s="85" t="n"/>
      <c r="R897" s="85" t="n"/>
      <c r="S897" s="85" t="n"/>
      <c r="T897" s="85" t="n"/>
      <c r="U897" s="85" t="n"/>
      <c r="V897" s="85" t="n"/>
      <c r="W897" s="85" t="n"/>
      <c r="X897" s="85" t="n"/>
      <c r="Y897" s="85" t="n"/>
      <c r="Z897" s="85" t="n"/>
      <c r="AA897" s="85" t="n"/>
      <c r="AB897" s="85" t="n"/>
      <c r="AC897" s="85" t="n"/>
      <c r="AD897" s="85" t="n"/>
      <c r="AE897" s="85" t="n"/>
      <c r="AF897" s="86" t="n"/>
      <c r="AG897" s="86" t="n"/>
      <c r="AH897" s="86" t="n"/>
      <c r="AI897" s="85" t="n"/>
      <c r="AJ897" s="85" t="n"/>
      <c r="AK897" s="85">
        <f>IF($A897="","",IF($M897&gt;0,"Yes","No"))</f>
        <v/>
      </c>
      <c r="AL897" s="85">
        <f>IF($A897="","",IF(AND($E897="Yes",OR($Y897="No",$Y897="NOT FOUND")),"YES",""))</f>
        <v/>
      </c>
      <c r="AM897" s="85">
        <f>IF($A897="","",TRIM(IF(AND($P897=0,$I897&lt;&gt;"Yes"),"T0-NoPhishResistant ","")&amp;IF($H897="No","NoMFA ","")&amp;IF(AND($P897=0,$M897&gt;0),"T0-Standing ","")&amp;IF(AND($P897=0,$Q897="Group only"),"T0-ViaGroupOnly ","")&amp;IF($W897="Yes","AlsoAzureRBAC ","")))</f>
        <v/>
      </c>
      <c r="AN897" s="85">
        <f>IF($A897="","",IF(AG897="","Not Enrolled",IF(TODAY()&gt;AG897,"Review Overdue",IF(AG897-TODAY()&lt;=30,"Review Due Soon","Active"))))</f>
        <v/>
      </c>
      <c r="AO897" s="85">
        <f>IF($A897="","",IF(AH897="","NOT REVIEWED",IF(TODAY()-AH897&gt;90,"OVERDUE",IF(TODAY()-AH897&gt;76,"Due Soon","Current"))))</f>
        <v/>
      </c>
    </row>
    <row r="898" ht="15" customHeight="1" s="39">
      <c r="A898" s="85" t="n"/>
      <c r="B898" s="85" t="n"/>
      <c r="C898" s="85" t="n"/>
      <c r="D898" s="85" t="n"/>
      <c r="E898" s="85" t="n"/>
      <c r="F898" s="86" t="n"/>
      <c r="G898" s="86" t="n"/>
      <c r="H898" s="85" t="n"/>
      <c r="I898" s="85" t="n"/>
      <c r="J898" s="85" t="n"/>
      <c r="K898" s="85" t="n"/>
      <c r="L898" s="85" t="n"/>
      <c r="M898" s="85" t="n"/>
      <c r="N898" s="85" t="n"/>
      <c r="O898" s="85" t="n"/>
      <c r="P898" s="85" t="n"/>
      <c r="Q898" s="85" t="n"/>
      <c r="R898" s="85" t="n"/>
      <c r="S898" s="85" t="n"/>
      <c r="T898" s="85" t="n"/>
      <c r="U898" s="85" t="n"/>
      <c r="V898" s="85" t="n"/>
      <c r="W898" s="85" t="n"/>
      <c r="X898" s="85" t="n"/>
      <c r="Y898" s="85" t="n"/>
      <c r="Z898" s="85" t="n"/>
      <c r="AA898" s="85" t="n"/>
      <c r="AB898" s="85" t="n"/>
      <c r="AC898" s="85" t="n"/>
      <c r="AD898" s="85" t="n"/>
      <c r="AE898" s="85" t="n"/>
      <c r="AF898" s="86" t="n"/>
      <c r="AG898" s="86" t="n"/>
      <c r="AH898" s="86" t="n"/>
      <c r="AI898" s="85" t="n"/>
      <c r="AJ898" s="85" t="n"/>
      <c r="AK898" s="85">
        <f>IF($A898="","",IF($M898&gt;0,"Yes","No"))</f>
        <v/>
      </c>
      <c r="AL898" s="85">
        <f>IF($A898="","",IF(AND($E898="Yes",OR($Y898="No",$Y898="NOT FOUND")),"YES",""))</f>
        <v/>
      </c>
      <c r="AM898" s="85">
        <f>IF($A898="","",TRIM(IF(AND($P898=0,$I898&lt;&gt;"Yes"),"T0-NoPhishResistant ","")&amp;IF($H898="No","NoMFA ","")&amp;IF(AND($P898=0,$M898&gt;0),"T0-Standing ","")&amp;IF(AND($P898=0,$Q898="Group only"),"T0-ViaGroupOnly ","")&amp;IF($W898="Yes","AlsoAzureRBAC ","")))</f>
        <v/>
      </c>
      <c r="AN898" s="85">
        <f>IF($A898="","",IF(AG898="","Not Enrolled",IF(TODAY()&gt;AG898,"Review Overdue",IF(AG898-TODAY()&lt;=30,"Review Due Soon","Active"))))</f>
        <v/>
      </c>
      <c r="AO898" s="85">
        <f>IF($A898="","",IF(AH898="","NOT REVIEWED",IF(TODAY()-AH898&gt;90,"OVERDUE",IF(TODAY()-AH898&gt;76,"Due Soon","Current"))))</f>
        <v/>
      </c>
    </row>
    <row r="899" ht="15" customHeight="1" s="39">
      <c r="A899" s="85" t="n"/>
      <c r="B899" s="85" t="n"/>
      <c r="C899" s="85" t="n"/>
      <c r="D899" s="85" t="n"/>
      <c r="E899" s="85" t="n"/>
      <c r="F899" s="86" t="n"/>
      <c r="G899" s="86" t="n"/>
      <c r="H899" s="85" t="n"/>
      <c r="I899" s="85" t="n"/>
      <c r="J899" s="85" t="n"/>
      <c r="K899" s="85" t="n"/>
      <c r="L899" s="85" t="n"/>
      <c r="M899" s="85" t="n"/>
      <c r="N899" s="85" t="n"/>
      <c r="O899" s="85" t="n"/>
      <c r="P899" s="85" t="n"/>
      <c r="Q899" s="85" t="n"/>
      <c r="R899" s="85" t="n"/>
      <c r="S899" s="85" t="n"/>
      <c r="T899" s="85" t="n"/>
      <c r="U899" s="85" t="n"/>
      <c r="V899" s="85" t="n"/>
      <c r="W899" s="85" t="n"/>
      <c r="X899" s="85" t="n"/>
      <c r="Y899" s="85" t="n"/>
      <c r="Z899" s="85" t="n"/>
      <c r="AA899" s="85" t="n"/>
      <c r="AB899" s="85" t="n"/>
      <c r="AC899" s="85" t="n"/>
      <c r="AD899" s="85" t="n"/>
      <c r="AE899" s="85" t="n"/>
      <c r="AF899" s="86" t="n"/>
      <c r="AG899" s="86" t="n"/>
      <c r="AH899" s="86" t="n"/>
      <c r="AI899" s="85" t="n"/>
      <c r="AJ899" s="85" t="n"/>
      <c r="AK899" s="85">
        <f>IF($A899="","",IF($M899&gt;0,"Yes","No"))</f>
        <v/>
      </c>
      <c r="AL899" s="85">
        <f>IF($A899="","",IF(AND($E899="Yes",OR($Y899="No",$Y899="NOT FOUND")),"YES",""))</f>
        <v/>
      </c>
      <c r="AM899" s="85">
        <f>IF($A899="","",TRIM(IF(AND($P899=0,$I899&lt;&gt;"Yes"),"T0-NoPhishResistant ","")&amp;IF($H899="No","NoMFA ","")&amp;IF(AND($P899=0,$M899&gt;0),"T0-Standing ","")&amp;IF(AND($P899=0,$Q899="Group only"),"T0-ViaGroupOnly ","")&amp;IF($W899="Yes","AlsoAzureRBAC ","")))</f>
        <v/>
      </c>
      <c r="AN899" s="85">
        <f>IF($A899="","",IF(AG899="","Not Enrolled",IF(TODAY()&gt;AG899,"Review Overdue",IF(AG899-TODAY()&lt;=30,"Review Due Soon","Active"))))</f>
        <v/>
      </c>
      <c r="AO899" s="85">
        <f>IF($A899="","",IF(AH899="","NOT REVIEWED",IF(TODAY()-AH899&gt;90,"OVERDUE",IF(TODAY()-AH899&gt;76,"Due Soon","Current"))))</f>
        <v/>
      </c>
    </row>
    <row r="900" ht="15" customHeight="1" s="39">
      <c r="A900" s="85" t="n"/>
      <c r="B900" s="85" t="n"/>
      <c r="C900" s="85" t="n"/>
      <c r="D900" s="85" t="n"/>
      <c r="E900" s="85" t="n"/>
      <c r="F900" s="86" t="n"/>
      <c r="G900" s="86" t="n"/>
      <c r="H900" s="85" t="n"/>
      <c r="I900" s="85" t="n"/>
      <c r="J900" s="85" t="n"/>
      <c r="K900" s="85" t="n"/>
      <c r="L900" s="85" t="n"/>
      <c r="M900" s="85" t="n"/>
      <c r="N900" s="85" t="n"/>
      <c r="O900" s="85" t="n"/>
      <c r="P900" s="85" t="n"/>
      <c r="Q900" s="85" t="n"/>
      <c r="R900" s="85" t="n"/>
      <c r="S900" s="85" t="n"/>
      <c r="T900" s="85" t="n"/>
      <c r="U900" s="85" t="n"/>
      <c r="V900" s="85" t="n"/>
      <c r="W900" s="85" t="n"/>
      <c r="X900" s="85" t="n"/>
      <c r="Y900" s="85" t="n"/>
      <c r="Z900" s="85" t="n"/>
      <c r="AA900" s="85" t="n"/>
      <c r="AB900" s="85" t="n"/>
      <c r="AC900" s="85" t="n"/>
      <c r="AD900" s="85" t="n"/>
      <c r="AE900" s="85" t="n"/>
      <c r="AF900" s="86" t="n"/>
      <c r="AG900" s="86" t="n"/>
      <c r="AH900" s="86" t="n"/>
      <c r="AI900" s="85" t="n"/>
      <c r="AJ900" s="85" t="n"/>
      <c r="AK900" s="85">
        <f>IF($A900="","",IF($M900&gt;0,"Yes","No"))</f>
        <v/>
      </c>
      <c r="AL900" s="85">
        <f>IF($A900="","",IF(AND($E900="Yes",OR($Y900="No",$Y900="NOT FOUND")),"YES",""))</f>
        <v/>
      </c>
      <c r="AM900" s="85">
        <f>IF($A900="","",TRIM(IF(AND($P900=0,$I900&lt;&gt;"Yes"),"T0-NoPhishResistant ","")&amp;IF($H900="No","NoMFA ","")&amp;IF(AND($P900=0,$M900&gt;0),"T0-Standing ","")&amp;IF(AND($P900=0,$Q900="Group only"),"T0-ViaGroupOnly ","")&amp;IF($W900="Yes","AlsoAzureRBAC ","")))</f>
        <v/>
      </c>
      <c r="AN900" s="85">
        <f>IF($A900="","",IF(AG900="","Not Enrolled",IF(TODAY()&gt;AG900,"Review Overdue",IF(AG900-TODAY()&lt;=30,"Review Due Soon","Active"))))</f>
        <v/>
      </c>
      <c r="AO900" s="85">
        <f>IF($A900="","",IF(AH900="","NOT REVIEWED",IF(TODAY()-AH900&gt;90,"OVERDUE",IF(TODAY()-AH900&gt;76,"Due Soon","Current"))))</f>
        <v/>
      </c>
    </row>
    <row r="901" ht="15" customHeight="1" s="39">
      <c r="A901" s="85" t="n"/>
      <c r="B901" s="85" t="n"/>
      <c r="C901" s="85" t="n"/>
      <c r="D901" s="85" t="n"/>
      <c r="E901" s="85" t="n"/>
      <c r="F901" s="86" t="n"/>
      <c r="G901" s="86" t="n"/>
      <c r="H901" s="85" t="n"/>
      <c r="I901" s="85" t="n"/>
      <c r="J901" s="85" t="n"/>
      <c r="K901" s="85" t="n"/>
      <c r="L901" s="85" t="n"/>
      <c r="M901" s="85" t="n"/>
      <c r="N901" s="85" t="n"/>
      <c r="O901" s="85" t="n"/>
      <c r="P901" s="85" t="n"/>
      <c r="Q901" s="85" t="n"/>
      <c r="R901" s="85" t="n"/>
      <c r="S901" s="85" t="n"/>
      <c r="T901" s="85" t="n"/>
      <c r="U901" s="85" t="n"/>
      <c r="V901" s="85" t="n"/>
      <c r="W901" s="85" t="n"/>
      <c r="X901" s="85" t="n"/>
      <c r="Y901" s="85" t="n"/>
      <c r="Z901" s="85" t="n"/>
      <c r="AA901" s="85" t="n"/>
      <c r="AB901" s="85" t="n"/>
      <c r="AC901" s="85" t="n"/>
      <c r="AD901" s="85" t="n"/>
      <c r="AE901" s="85" t="n"/>
      <c r="AF901" s="86" t="n"/>
      <c r="AG901" s="86" t="n"/>
      <c r="AH901" s="86" t="n"/>
      <c r="AI901" s="85" t="n"/>
      <c r="AJ901" s="85" t="n"/>
      <c r="AK901" s="85">
        <f>IF($A901="","",IF($M901&gt;0,"Yes","No"))</f>
        <v/>
      </c>
      <c r="AL901" s="85">
        <f>IF($A901="","",IF(AND($E901="Yes",OR($Y901="No",$Y901="NOT FOUND")),"YES",""))</f>
        <v/>
      </c>
      <c r="AM901" s="85">
        <f>IF($A901="","",TRIM(IF(AND($P901=0,$I901&lt;&gt;"Yes"),"T0-NoPhishResistant ","")&amp;IF($H901="No","NoMFA ","")&amp;IF(AND($P901=0,$M901&gt;0),"T0-Standing ","")&amp;IF(AND($P901=0,$Q901="Group only"),"T0-ViaGroupOnly ","")&amp;IF($W901="Yes","AlsoAzureRBAC ","")))</f>
        <v/>
      </c>
      <c r="AN901" s="85">
        <f>IF($A901="","",IF(AG901="","Not Enrolled",IF(TODAY()&gt;AG901,"Review Overdue",IF(AG901-TODAY()&lt;=30,"Review Due Soon","Active"))))</f>
        <v/>
      </c>
      <c r="AO901" s="85">
        <f>IF($A901="","",IF(AH901="","NOT REVIEWED",IF(TODAY()-AH901&gt;90,"OVERDUE",IF(TODAY()-AH901&gt;76,"Due Soon","Current"))))</f>
        <v/>
      </c>
    </row>
    <row r="902" ht="15" customHeight="1" s="39">
      <c r="A902" s="85" t="n"/>
      <c r="B902" s="85" t="n"/>
      <c r="C902" s="85" t="n"/>
      <c r="D902" s="85" t="n"/>
      <c r="E902" s="85" t="n"/>
      <c r="F902" s="86" t="n"/>
      <c r="G902" s="86" t="n"/>
      <c r="H902" s="85" t="n"/>
      <c r="I902" s="85" t="n"/>
      <c r="J902" s="85" t="n"/>
      <c r="K902" s="85" t="n"/>
      <c r="L902" s="85" t="n"/>
      <c r="M902" s="85" t="n"/>
      <c r="N902" s="85" t="n"/>
      <c r="O902" s="85" t="n"/>
      <c r="P902" s="85" t="n"/>
      <c r="Q902" s="85" t="n"/>
      <c r="R902" s="85" t="n"/>
      <c r="S902" s="85" t="n"/>
      <c r="T902" s="85" t="n"/>
      <c r="U902" s="85" t="n"/>
      <c r="V902" s="85" t="n"/>
      <c r="W902" s="85" t="n"/>
      <c r="X902" s="85" t="n"/>
      <c r="Y902" s="85" t="n"/>
      <c r="Z902" s="85" t="n"/>
      <c r="AA902" s="85" t="n"/>
      <c r="AB902" s="85" t="n"/>
      <c r="AC902" s="85" t="n"/>
      <c r="AD902" s="85" t="n"/>
      <c r="AE902" s="85" t="n"/>
      <c r="AF902" s="86" t="n"/>
      <c r="AG902" s="86" t="n"/>
      <c r="AH902" s="86" t="n"/>
      <c r="AI902" s="85" t="n"/>
      <c r="AJ902" s="85" t="n"/>
      <c r="AK902" s="85">
        <f>IF($A902="","",IF($M902&gt;0,"Yes","No"))</f>
        <v/>
      </c>
      <c r="AL902" s="85">
        <f>IF($A902="","",IF(AND($E902="Yes",OR($Y902="No",$Y902="NOT FOUND")),"YES",""))</f>
        <v/>
      </c>
      <c r="AM902" s="85">
        <f>IF($A902="","",TRIM(IF(AND($P902=0,$I902&lt;&gt;"Yes"),"T0-NoPhishResistant ","")&amp;IF($H902="No","NoMFA ","")&amp;IF(AND($P902=0,$M902&gt;0),"T0-Standing ","")&amp;IF(AND($P902=0,$Q902="Group only"),"T0-ViaGroupOnly ","")&amp;IF($W902="Yes","AlsoAzureRBAC ","")))</f>
        <v/>
      </c>
      <c r="AN902" s="85">
        <f>IF($A902="","",IF(AG902="","Not Enrolled",IF(TODAY()&gt;AG902,"Review Overdue",IF(AG902-TODAY()&lt;=30,"Review Due Soon","Active"))))</f>
        <v/>
      </c>
      <c r="AO902" s="85">
        <f>IF($A902="","",IF(AH902="","NOT REVIEWED",IF(TODAY()-AH902&gt;90,"OVERDUE",IF(TODAY()-AH902&gt;76,"Due Soon","Current"))))</f>
        <v/>
      </c>
    </row>
    <row r="903" ht="15" customHeight="1" s="39">
      <c r="A903" s="85" t="n"/>
      <c r="B903" s="85" t="n"/>
      <c r="C903" s="85" t="n"/>
      <c r="D903" s="85" t="n"/>
      <c r="E903" s="85" t="n"/>
      <c r="F903" s="86" t="n"/>
      <c r="G903" s="86" t="n"/>
      <c r="H903" s="85" t="n"/>
      <c r="I903" s="85" t="n"/>
      <c r="J903" s="85" t="n"/>
      <c r="K903" s="85" t="n"/>
      <c r="L903" s="85" t="n"/>
      <c r="M903" s="85" t="n"/>
      <c r="N903" s="85" t="n"/>
      <c r="O903" s="85" t="n"/>
      <c r="P903" s="85" t="n"/>
      <c r="Q903" s="85" t="n"/>
      <c r="R903" s="85" t="n"/>
      <c r="S903" s="85" t="n"/>
      <c r="T903" s="85" t="n"/>
      <c r="U903" s="85" t="n"/>
      <c r="V903" s="85" t="n"/>
      <c r="W903" s="85" t="n"/>
      <c r="X903" s="85" t="n"/>
      <c r="Y903" s="85" t="n"/>
      <c r="Z903" s="85" t="n"/>
      <c r="AA903" s="85" t="n"/>
      <c r="AB903" s="85" t="n"/>
      <c r="AC903" s="85" t="n"/>
      <c r="AD903" s="85" t="n"/>
      <c r="AE903" s="85" t="n"/>
      <c r="AF903" s="86" t="n"/>
      <c r="AG903" s="86" t="n"/>
      <c r="AH903" s="86" t="n"/>
      <c r="AI903" s="85" t="n"/>
      <c r="AJ903" s="85" t="n"/>
      <c r="AK903" s="85">
        <f>IF($A903="","",IF($M903&gt;0,"Yes","No"))</f>
        <v/>
      </c>
      <c r="AL903" s="85">
        <f>IF($A903="","",IF(AND($E903="Yes",OR($Y903="No",$Y903="NOT FOUND")),"YES",""))</f>
        <v/>
      </c>
      <c r="AM903" s="85">
        <f>IF($A903="","",TRIM(IF(AND($P903=0,$I903&lt;&gt;"Yes"),"T0-NoPhishResistant ","")&amp;IF($H903="No","NoMFA ","")&amp;IF(AND($P903=0,$M903&gt;0),"T0-Standing ","")&amp;IF(AND($P903=0,$Q903="Group only"),"T0-ViaGroupOnly ","")&amp;IF($W903="Yes","AlsoAzureRBAC ","")))</f>
        <v/>
      </c>
      <c r="AN903" s="85">
        <f>IF($A903="","",IF(AG903="","Not Enrolled",IF(TODAY()&gt;AG903,"Review Overdue",IF(AG903-TODAY()&lt;=30,"Review Due Soon","Active"))))</f>
        <v/>
      </c>
      <c r="AO903" s="85">
        <f>IF($A903="","",IF(AH903="","NOT REVIEWED",IF(TODAY()-AH903&gt;90,"OVERDUE",IF(TODAY()-AH903&gt;76,"Due Soon","Current"))))</f>
        <v/>
      </c>
    </row>
    <row r="904" ht="15" customHeight="1" s="39">
      <c r="A904" s="85" t="n"/>
      <c r="B904" s="85" t="n"/>
      <c r="C904" s="85" t="n"/>
      <c r="D904" s="85" t="n"/>
      <c r="E904" s="85" t="n"/>
      <c r="F904" s="86" t="n"/>
      <c r="G904" s="86" t="n"/>
      <c r="H904" s="85" t="n"/>
      <c r="I904" s="85" t="n"/>
      <c r="J904" s="85" t="n"/>
      <c r="K904" s="85" t="n"/>
      <c r="L904" s="85" t="n"/>
      <c r="M904" s="85" t="n"/>
      <c r="N904" s="85" t="n"/>
      <c r="O904" s="85" t="n"/>
      <c r="P904" s="85" t="n"/>
      <c r="Q904" s="85" t="n"/>
      <c r="R904" s="85" t="n"/>
      <c r="S904" s="85" t="n"/>
      <c r="T904" s="85" t="n"/>
      <c r="U904" s="85" t="n"/>
      <c r="V904" s="85" t="n"/>
      <c r="W904" s="85" t="n"/>
      <c r="X904" s="85" t="n"/>
      <c r="Y904" s="85" t="n"/>
      <c r="Z904" s="85" t="n"/>
      <c r="AA904" s="85" t="n"/>
      <c r="AB904" s="85" t="n"/>
      <c r="AC904" s="85" t="n"/>
      <c r="AD904" s="85" t="n"/>
      <c r="AE904" s="85" t="n"/>
      <c r="AF904" s="86" t="n"/>
      <c r="AG904" s="86" t="n"/>
      <c r="AH904" s="86" t="n"/>
      <c r="AI904" s="85" t="n"/>
      <c r="AJ904" s="85" t="n"/>
      <c r="AK904" s="85">
        <f>IF($A904="","",IF($M904&gt;0,"Yes","No"))</f>
        <v/>
      </c>
      <c r="AL904" s="85">
        <f>IF($A904="","",IF(AND($E904="Yes",OR($Y904="No",$Y904="NOT FOUND")),"YES",""))</f>
        <v/>
      </c>
      <c r="AM904" s="85">
        <f>IF($A904="","",TRIM(IF(AND($P904=0,$I904&lt;&gt;"Yes"),"T0-NoPhishResistant ","")&amp;IF($H904="No","NoMFA ","")&amp;IF(AND($P904=0,$M904&gt;0),"T0-Standing ","")&amp;IF(AND($P904=0,$Q904="Group only"),"T0-ViaGroupOnly ","")&amp;IF($W904="Yes","AlsoAzureRBAC ","")))</f>
        <v/>
      </c>
      <c r="AN904" s="85">
        <f>IF($A904="","",IF(AG904="","Not Enrolled",IF(TODAY()&gt;AG904,"Review Overdue",IF(AG904-TODAY()&lt;=30,"Review Due Soon","Active"))))</f>
        <v/>
      </c>
      <c r="AO904" s="85">
        <f>IF($A904="","",IF(AH904="","NOT REVIEWED",IF(TODAY()-AH904&gt;90,"OVERDUE",IF(TODAY()-AH904&gt;76,"Due Soon","Current"))))</f>
        <v/>
      </c>
    </row>
    <row r="905" ht="15" customHeight="1" s="39">
      <c r="A905" s="85" t="n"/>
      <c r="B905" s="85" t="n"/>
      <c r="C905" s="85" t="n"/>
      <c r="D905" s="85" t="n"/>
      <c r="E905" s="85" t="n"/>
      <c r="F905" s="86" t="n"/>
      <c r="G905" s="86" t="n"/>
      <c r="H905" s="85" t="n"/>
      <c r="I905" s="85" t="n"/>
      <c r="J905" s="85" t="n"/>
      <c r="K905" s="85" t="n"/>
      <c r="L905" s="85" t="n"/>
      <c r="M905" s="85" t="n"/>
      <c r="N905" s="85" t="n"/>
      <c r="O905" s="85" t="n"/>
      <c r="P905" s="85" t="n"/>
      <c r="Q905" s="85" t="n"/>
      <c r="R905" s="85" t="n"/>
      <c r="S905" s="85" t="n"/>
      <c r="T905" s="85" t="n"/>
      <c r="U905" s="85" t="n"/>
      <c r="V905" s="85" t="n"/>
      <c r="W905" s="85" t="n"/>
      <c r="X905" s="85" t="n"/>
      <c r="Y905" s="85" t="n"/>
      <c r="Z905" s="85" t="n"/>
      <c r="AA905" s="85" t="n"/>
      <c r="AB905" s="85" t="n"/>
      <c r="AC905" s="85" t="n"/>
      <c r="AD905" s="85" t="n"/>
      <c r="AE905" s="85" t="n"/>
      <c r="AF905" s="86" t="n"/>
      <c r="AG905" s="86" t="n"/>
      <c r="AH905" s="86" t="n"/>
      <c r="AI905" s="85" t="n"/>
      <c r="AJ905" s="85" t="n"/>
      <c r="AK905" s="85">
        <f>IF($A905="","",IF($M905&gt;0,"Yes","No"))</f>
        <v/>
      </c>
      <c r="AL905" s="85">
        <f>IF($A905="","",IF(AND($E905="Yes",OR($Y905="No",$Y905="NOT FOUND")),"YES",""))</f>
        <v/>
      </c>
      <c r="AM905" s="85">
        <f>IF($A905="","",TRIM(IF(AND($P905=0,$I905&lt;&gt;"Yes"),"T0-NoPhishResistant ","")&amp;IF($H905="No","NoMFA ","")&amp;IF(AND($P905=0,$M905&gt;0),"T0-Standing ","")&amp;IF(AND($P905=0,$Q905="Group only"),"T0-ViaGroupOnly ","")&amp;IF($W905="Yes","AlsoAzureRBAC ","")))</f>
        <v/>
      </c>
      <c r="AN905" s="85">
        <f>IF($A905="","",IF(AG905="","Not Enrolled",IF(TODAY()&gt;AG905,"Review Overdue",IF(AG905-TODAY()&lt;=30,"Review Due Soon","Active"))))</f>
        <v/>
      </c>
      <c r="AO905" s="85">
        <f>IF($A905="","",IF(AH905="","NOT REVIEWED",IF(TODAY()-AH905&gt;90,"OVERDUE",IF(TODAY()-AH905&gt;76,"Due Soon","Current"))))</f>
        <v/>
      </c>
    </row>
    <row r="906" ht="15" customHeight="1" s="39">
      <c r="A906" s="85" t="n"/>
      <c r="B906" s="85" t="n"/>
      <c r="C906" s="85" t="n"/>
      <c r="D906" s="85" t="n"/>
      <c r="E906" s="85" t="n"/>
      <c r="F906" s="86" t="n"/>
      <c r="G906" s="86" t="n"/>
      <c r="H906" s="85" t="n"/>
      <c r="I906" s="85" t="n"/>
      <c r="J906" s="85" t="n"/>
      <c r="K906" s="85" t="n"/>
      <c r="L906" s="85" t="n"/>
      <c r="M906" s="85" t="n"/>
      <c r="N906" s="85" t="n"/>
      <c r="O906" s="85" t="n"/>
      <c r="P906" s="85" t="n"/>
      <c r="Q906" s="85" t="n"/>
      <c r="R906" s="85" t="n"/>
      <c r="S906" s="85" t="n"/>
      <c r="T906" s="85" t="n"/>
      <c r="U906" s="85" t="n"/>
      <c r="V906" s="85" t="n"/>
      <c r="W906" s="85" t="n"/>
      <c r="X906" s="85" t="n"/>
      <c r="Y906" s="85" t="n"/>
      <c r="Z906" s="85" t="n"/>
      <c r="AA906" s="85" t="n"/>
      <c r="AB906" s="85" t="n"/>
      <c r="AC906" s="85" t="n"/>
      <c r="AD906" s="85" t="n"/>
      <c r="AE906" s="85" t="n"/>
      <c r="AF906" s="86" t="n"/>
      <c r="AG906" s="86" t="n"/>
      <c r="AH906" s="86" t="n"/>
      <c r="AI906" s="85" t="n"/>
      <c r="AJ906" s="85" t="n"/>
      <c r="AK906" s="85">
        <f>IF($A906="","",IF($M906&gt;0,"Yes","No"))</f>
        <v/>
      </c>
      <c r="AL906" s="85">
        <f>IF($A906="","",IF(AND($E906="Yes",OR($Y906="No",$Y906="NOT FOUND")),"YES",""))</f>
        <v/>
      </c>
      <c r="AM906" s="85">
        <f>IF($A906="","",TRIM(IF(AND($P906=0,$I906&lt;&gt;"Yes"),"T0-NoPhishResistant ","")&amp;IF($H906="No","NoMFA ","")&amp;IF(AND($P906=0,$M906&gt;0),"T0-Standing ","")&amp;IF(AND($P906=0,$Q906="Group only"),"T0-ViaGroupOnly ","")&amp;IF($W906="Yes","AlsoAzureRBAC ","")))</f>
        <v/>
      </c>
      <c r="AN906" s="85">
        <f>IF($A906="","",IF(AG906="","Not Enrolled",IF(TODAY()&gt;AG906,"Review Overdue",IF(AG906-TODAY()&lt;=30,"Review Due Soon","Active"))))</f>
        <v/>
      </c>
      <c r="AO906" s="85">
        <f>IF($A906="","",IF(AH906="","NOT REVIEWED",IF(TODAY()-AH906&gt;90,"OVERDUE",IF(TODAY()-AH906&gt;76,"Due Soon","Current"))))</f>
        <v/>
      </c>
    </row>
    <row r="907" ht="15" customHeight="1" s="39">
      <c r="A907" s="85" t="n"/>
      <c r="B907" s="85" t="n"/>
      <c r="C907" s="85" t="n"/>
      <c r="D907" s="85" t="n"/>
      <c r="E907" s="85" t="n"/>
      <c r="F907" s="86" t="n"/>
      <c r="G907" s="86" t="n"/>
      <c r="H907" s="85" t="n"/>
      <c r="I907" s="85" t="n"/>
      <c r="J907" s="85" t="n"/>
      <c r="K907" s="85" t="n"/>
      <c r="L907" s="85" t="n"/>
      <c r="M907" s="85" t="n"/>
      <c r="N907" s="85" t="n"/>
      <c r="O907" s="85" t="n"/>
      <c r="P907" s="85" t="n"/>
      <c r="Q907" s="85" t="n"/>
      <c r="R907" s="85" t="n"/>
      <c r="S907" s="85" t="n"/>
      <c r="T907" s="85" t="n"/>
      <c r="U907" s="85" t="n"/>
      <c r="V907" s="85" t="n"/>
      <c r="W907" s="85" t="n"/>
      <c r="X907" s="85" t="n"/>
      <c r="Y907" s="85" t="n"/>
      <c r="Z907" s="85" t="n"/>
      <c r="AA907" s="85" t="n"/>
      <c r="AB907" s="85" t="n"/>
      <c r="AC907" s="85" t="n"/>
      <c r="AD907" s="85" t="n"/>
      <c r="AE907" s="85" t="n"/>
      <c r="AF907" s="86" t="n"/>
      <c r="AG907" s="86" t="n"/>
      <c r="AH907" s="86" t="n"/>
      <c r="AI907" s="85" t="n"/>
      <c r="AJ907" s="85" t="n"/>
      <c r="AK907" s="85">
        <f>IF($A907="","",IF($M907&gt;0,"Yes","No"))</f>
        <v/>
      </c>
      <c r="AL907" s="85">
        <f>IF($A907="","",IF(AND($E907="Yes",OR($Y907="No",$Y907="NOT FOUND")),"YES",""))</f>
        <v/>
      </c>
      <c r="AM907" s="85">
        <f>IF($A907="","",TRIM(IF(AND($P907=0,$I907&lt;&gt;"Yes"),"T0-NoPhishResistant ","")&amp;IF($H907="No","NoMFA ","")&amp;IF(AND($P907=0,$M907&gt;0),"T0-Standing ","")&amp;IF(AND($P907=0,$Q907="Group only"),"T0-ViaGroupOnly ","")&amp;IF($W907="Yes","AlsoAzureRBAC ","")))</f>
        <v/>
      </c>
      <c r="AN907" s="85">
        <f>IF($A907="","",IF(AG907="","Not Enrolled",IF(TODAY()&gt;AG907,"Review Overdue",IF(AG907-TODAY()&lt;=30,"Review Due Soon","Active"))))</f>
        <v/>
      </c>
      <c r="AO907" s="85">
        <f>IF($A907="","",IF(AH907="","NOT REVIEWED",IF(TODAY()-AH907&gt;90,"OVERDUE",IF(TODAY()-AH907&gt;76,"Due Soon","Current"))))</f>
        <v/>
      </c>
    </row>
    <row r="908" ht="15" customHeight="1" s="39">
      <c r="A908" s="85" t="n"/>
      <c r="B908" s="85" t="n"/>
      <c r="C908" s="85" t="n"/>
      <c r="D908" s="85" t="n"/>
      <c r="E908" s="85" t="n"/>
      <c r="F908" s="86" t="n"/>
      <c r="G908" s="86" t="n"/>
      <c r="H908" s="85" t="n"/>
      <c r="I908" s="85" t="n"/>
      <c r="J908" s="85" t="n"/>
      <c r="K908" s="85" t="n"/>
      <c r="L908" s="85" t="n"/>
      <c r="M908" s="85" t="n"/>
      <c r="N908" s="85" t="n"/>
      <c r="O908" s="85" t="n"/>
      <c r="P908" s="85" t="n"/>
      <c r="Q908" s="85" t="n"/>
      <c r="R908" s="85" t="n"/>
      <c r="S908" s="85" t="n"/>
      <c r="T908" s="85" t="n"/>
      <c r="U908" s="85" t="n"/>
      <c r="V908" s="85" t="n"/>
      <c r="W908" s="85" t="n"/>
      <c r="X908" s="85" t="n"/>
      <c r="Y908" s="85" t="n"/>
      <c r="Z908" s="85" t="n"/>
      <c r="AA908" s="85" t="n"/>
      <c r="AB908" s="85" t="n"/>
      <c r="AC908" s="85" t="n"/>
      <c r="AD908" s="85" t="n"/>
      <c r="AE908" s="85" t="n"/>
      <c r="AF908" s="86" t="n"/>
      <c r="AG908" s="86" t="n"/>
      <c r="AH908" s="86" t="n"/>
      <c r="AI908" s="85" t="n"/>
      <c r="AJ908" s="85" t="n"/>
      <c r="AK908" s="85">
        <f>IF($A908="","",IF($M908&gt;0,"Yes","No"))</f>
        <v/>
      </c>
      <c r="AL908" s="85">
        <f>IF($A908="","",IF(AND($E908="Yes",OR($Y908="No",$Y908="NOT FOUND")),"YES",""))</f>
        <v/>
      </c>
      <c r="AM908" s="85">
        <f>IF($A908="","",TRIM(IF(AND($P908=0,$I908&lt;&gt;"Yes"),"T0-NoPhishResistant ","")&amp;IF($H908="No","NoMFA ","")&amp;IF(AND($P908=0,$M908&gt;0),"T0-Standing ","")&amp;IF(AND($P908=0,$Q908="Group only"),"T0-ViaGroupOnly ","")&amp;IF($W908="Yes","AlsoAzureRBAC ","")))</f>
        <v/>
      </c>
      <c r="AN908" s="85">
        <f>IF($A908="","",IF(AG908="","Not Enrolled",IF(TODAY()&gt;AG908,"Review Overdue",IF(AG908-TODAY()&lt;=30,"Review Due Soon","Active"))))</f>
        <v/>
      </c>
      <c r="AO908" s="85">
        <f>IF($A908="","",IF(AH908="","NOT REVIEWED",IF(TODAY()-AH908&gt;90,"OVERDUE",IF(TODAY()-AH908&gt;76,"Due Soon","Current"))))</f>
        <v/>
      </c>
    </row>
    <row r="909" ht="15" customHeight="1" s="39">
      <c r="A909" s="85" t="n"/>
      <c r="B909" s="85" t="n"/>
      <c r="C909" s="85" t="n"/>
      <c r="D909" s="85" t="n"/>
      <c r="E909" s="85" t="n"/>
      <c r="F909" s="86" t="n"/>
      <c r="G909" s="86" t="n"/>
      <c r="H909" s="85" t="n"/>
      <c r="I909" s="85" t="n"/>
      <c r="J909" s="85" t="n"/>
      <c r="K909" s="85" t="n"/>
      <c r="L909" s="85" t="n"/>
      <c r="M909" s="85" t="n"/>
      <c r="N909" s="85" t="n"/>
      <c r="O909" s="85" t="n"/>
      <c r="P909" s="85" t="n"/>
      <c r="Q909" s="85" t="n"/>
      <c r="R909" s="85" t="n"/>
      <c r="S909" s="85" t="n"/>
      <c r="T909" s="85" t="n"/>
      <c r="U909" s="85" t="n"/>
      <c r="V909" s="85" t="n"/>
      <c r="W909" s="85" t="n"/>
      <c r="X909" s="85" t="n"/>
      <c r="Y909" s="85" t="n"/>
      <c r="Z909" s="85" t="n"/>
      <c r="AA909" s="85" t="n"/>
      <c r="AB909" s="85" t="n"/>
      <c r="AC909" s="85" t="n"/>
      <c r="AD909" s="85" t="n"/>
      <c r="AE909" s="85" t="n"/>
      <c r="AF909" s="86" t="n"/>
      <c r="AG909" s="86" t="n"/>
      <c r="AH909" s="86" t="n"/>
      <c r="AI909" s="85" t="n"/>
      <c r="AJ909" s="85" t="n"/>
      <c r="AK909" s="85">
        <f>IF($A909="","",IF($M909&gt;0,"Yes","No"))</f>
        <v/>
      </c>
      <c r="AL909" s="85">
        <f>IF($A909="","",IF(AND($E909="Yes",OR($Y909="No",$Y909="NOT FOUND")),"YES",""))</f>
        <v/>
      </c>
      <c r="AM909" s="85">
        <f>IF($A909="","",TRIM(IF(AND($P909=0,$I909&lt;&gt;"Yes"),"T0-NoPhishResistant ","")&amp;IF($H909="No","NoMFA ","")&amp;IF(AND($P909=0,$M909&gt;0),"T0-Standing ","")&amp;IF(AND($P909=0,$Q909="Group only"),"T0-ViaGroupOnly ","")&amp;IF($W909="Yes","AlsoAzureRBAC ","")))</f>
        <v/>
      </c>
      <c r="AN909" s="85">
        <f>IF($A909="","",IF(AG909="","Not Enrolled",IF(TODAY()&gt;AG909,"Review Overdue",IF(AG909-TODAY()&lt;=30,"Review Due Soon","Active"))))</f>
        <v/>
      </c>
      <c r="AO909" s="85">
        <f>IF($A909="","",IF(AH909="","NOT REVIEWED",IF(TODAY()-AH909&gt;90,"OVERDUE",IF(TODAY()-AH909&gt;76,"Due Soon","Current"))))</f>
        <v/>
      </c>
    </row>
    <row r="910" ht="15" customHeight="1" s="39">
      <c r="A910" s="85" t="n"/>
      <c r="B910" s="85" t="n"/>
      <c r="C910" s="85" t="n"/>
      <c r="D910" s="85" t="n"/>
      <c r="E910" s="85" t="n"/>
      <c r="F910" s="86" t="n"/>
      <c r="G910" s="86" t="n"/>
      <c r="H910" s="85" t="n"/>
      <c r="I910" s="85" t="n"/>
      <c r="J910" s="85" t="n"/>
      <c r="K910" s="85" t="n"/>
      <c r="L910" s="85" t="n"/>
      <c r="M910" s="85" t="n"/>
      <c r="N910" s="85" t="n"/>
      <c r="O910" s="85" t="n"/>
      <c r="P910" s="85" t="n"/>
      <c r="Q910" s="85" t="n"/>
      <c r="R910" s="85" t="n"/>
      <c r="S910" s="85" t="n"/>
      <c r="T910" s="85" t="n"/>
      <c r="U910" s="85" t="n"/>
      <c r="V910" s="85" t="n"/>
      <c r="W910" s="85" t="n"/>
      <c r="X910" s="85" t="n"/>
      <c r="Y910" s="85" t="n"/>
      <c r="Z910" s="85" t="n"/>
      <c r="AA910" s="85" t="n"/>
      <c r="AB910" s="85" t="n"/>
      <c r="AC910" s="85" t="n"/>
      <c r="AD910" s="85" t="n"/>
      <c r="AE910" s="85" t="n"/>
      <c r="AF910" s="86" t="n"/>
      <c r="AG910" s="86" t="n"/>
      <c r="AH910" s="86" t="n"/>
      <c r="AI910" s="85" t="n"/>
      <c r="AJ910" s="85" t="n"/>
      <c r="AK910" s="85">
        <f>IF($A910="","",IF($M910&gt;0,"Yes","No"))</f>
        <v/>
      </c>
      <c r="AL910" s="85">
        <f>IF($A910="","",IF(AND($E910="Yes",OR($Y910="No",$Y910="NOT FOUND")),"YES",""))</f>
        <v/>
      </c>
      <c r="AM910" s="85">
        <f>IF($A910="","",TRIM(IF(AND($P910=0,$I910&lt;&gt;"Yes"),"T0-NoPhishResistant ","")&amp;IF($H910="No","NoMFA ","")&amp;IF(AND($P910=0,$M910&gt;0),"T0-Standing ","")&amp;IF(AND($P910=0,$Q910="Group only"),"T0-ViaGroupOnly ","")&amp;IF($W910="Yes","AlsoAzureRBAC ","")))</f>
        <v/>
      </c>
      <c r="AN910" s="85">
        <f>IF($A910="","",IF(AG910="","Not Enrolled",IF(TODAY()&gt;AG910,"Review Overdue",IF(AG910-TODAY()&lt;=30,"Review Due Soon","Active"))))</f>
        <v/>
      </c>
      <c r="AO910" s="85">
        <f>IF($A910="","",IF(AH910="","NOT REVIEWED",IF(TODAY()-AH910&gt;90,"OVERDUE",IF(TODAY()-AH910&gt;76,"Due Soon","Current"))))</f>
        <v/>
      </c>
    </row>
    <row r="911" ht="15" customHeight="1" s="39">
      <c r="A911" s="85" t="n"/>
      <c r="B911" s="85" t="n"/>
      <c r="C911" s="85" t="n"/>
      <c r="D911" s="85" t="n"/>
      <c r="E911" s="85" t="n"/>
      <c r="F911" s="86" t="n"/>
      <c r="G911" s="86" t="n"/>
      <c r="H911" s="85" t="n"/>
      <c r="I911" s="85" t="n"/>
      <c r="J911" s="85" t="n"/>
      <c r="K911" s="85" t="n"/>
      <c r="L911" s="85" t="n"/>
      <c r="M911" s="85" t="n"/>
      <c r="N911" s="85" t="n"/>
      <c r="O911" s="85" t="n"/>
      <c r="P911" s="85" t="n"/>
      <c r="Q911" s="85" t="n"/>
      <c r="R911" s="85" t="n"/>
      <c r="S911" s="85" t="n"/>
      <c r="T911" s="85" t="n"/>
      <c r="U911" s="85" t="n"/>
      <c r="V911" s="85" t="n"/>
      <c r="W911" s="85" t="n"/>
      <c r="X911" s="85" t="n"/>
      <c r="Y911" s="85" t="n"/>
      <c r="Z911" s="85" t="n"/>
      <c r="AA911" s="85" t="n"/>
      <c r="AB911" s="85" t="n"/>
      <c r="AC911" s="85" t="n"/>
      <c r="AD911" s="85" t="n"/>
      <c r="AE911" s="85" t="n"/>
      <c r="AF911" s="86" t="n"/>
      <c r="AG911" s="86" t="n"/>
      <c r="AH911" s="86" t="n"/>
      <c r="AI911" s="85" t="n"/>
      <c r="AJ911" s="85" t="n"/>
      <c r="AK911" s="85">
        <f>IF($A911="","",IF($M911&gt;0,"Yes","No"))</f>
        <v/>
      </c>
      <c r="AL911" s="85">
        <f>IF($A911="","",IF(AND($E911="Yes",OR($Y911="No",$Y911="NOT FOUND")),"YES",""))</f>
        <v/>
      </c>
      <c r="AM911" s="85">
        <f>IF($A911="","",TRIM(IF(AND($P911=0,$I911&lt;&gt;"Yes"),"T0-NoPhishResistant ","")&amp;IF($H911="No","NoMFA ","")&amp;IF(AND($P911=0,$M911&gt;0),"T0-Standing ","")&amp;IF(AND($P911=0,$Q911="Group only"),"T0-ViaGroupOnly ","")&amp;IF($W911="Yes","AlsoAzureRBAC ","")))</f>
        <v/>
      </c>
      <c r="AN911" s="85">
        <f>IF($A911="","",IF(AG911="","Not Enrolled",IF(TODAY()&gt;AG911,"Review Overdue",IF(AG911-TODAY()&lt;=30,"Review Due Soon","Active"))))</f>
        <v/>
      </c>
      <c r="AO911" s="85">
        <f>IF($A911="","",IF(AH911="","NOT REVIEWED",IF(TODAY()-AH911&gt;90,"OVERDUE",IF(TODAY()-AH911&gt;76,"Due Soon","Current"))))</f>
        <v/>
      </c>
    </row>
    <row r="912" ht="15" customHeight="1" s="39">
      <c r="A912" s="85" t="n"/>
      <c r="B912" s="85" t="n"/>
      <c r="C912" s="85" t="n"/>
      <c r="D912" s="85" t="n"/>
      <c r="E912" s="85" t="n"/>
      <c r="F912" s="86" t="n"/>
      <c r="G912" s="86" t="n"/>
      <c r="H912" s="85" t="n"/>
      <c r="I912" s="85" t="n"/>
      <c r="J912" s="85" t="n"/>
      <c r="K912" s="85" t="n"/>
      <c r="L912" s="85" t="n"/>
      <c r="M912" s="85" t="n"/>
      <c r="N912" s="85" t="n"/>
      <c r="O912" s="85" t="n"/>
      <c r="P912" s="85" t="n"/>
      <c r="Q912" s="85" t="n"/>
      <c r="R912" s="85" t="n"/>
      <c r="S912" s="85" t="n"/>
      <c r="T912" s="85" t="n"/>
      <c r="U912" s="85" t="n"/>
      <c r="V912" s="85" t="n"/>
      <c r="W912" s="85" t="n"/>
      <c r="X912" s="85" t="n"/>
      <c r="Y912" s="85" t="n"/>
      <c r="Z912" s="85" t="n"/>
      <c r="AA912" s="85" t="n"/>
      <c r="AB912" s="85" t="n"/>
      <c r="AC912" s="85" t="n"/>
      <c r="AD912" s="85" t="n"/>
      <c r="AE912" s="85" t="n"/>
      <c r="AF912" s="86" t="n"/>
      <c r="AG912" s="86" t="n"/>
      <c r="AH912" s="86" t="n"/>
      <c r="AI912" s="85" t="n"/>
      <c r="AJ912" s="85" t="n"/>
      <c r="AK912" s="85">
        <f>IF($A912="","",IF($M912&gt;0,"Yes","No"))</f>
        <v/>
      </c>
      <c r="AL912" s="85">
        <f>IF($A912="","",IF(AND($E912="Yes",OR($Y912="No",$Y912="NOT FOUND")),"YES",""))</f>
        <v/>
      </c>
      <c r="AM912" s="85">
        <f>IF($A912="","",TRIM(IF(AND($P912=0,$I912&lt;&gt;"Yes"),"T0-NoPhishResistant ","")&amp;IF($H912="No","NoMFA ","")&amp;IF(AND($P912=0,$M912&gt;0),"T0-Standing ","")&amp;IF(AND($P912=0,$Q912="Group only"),"T0-ViaGroupOnly ","")&amp;IF($W912="Yes","AlsoAzureRBAC ","")))</f>
        <v/>
      </c>
      <c r="AN912" s="85">
        <f>IF($A912="","",IF(AG912="","Not Enrolled",IF(TODAY()&gt;AG912,"Review Overdue",IF(AG912-TODAY()&lt;=30,"Review Due Soon","Active"))))</f>
        <v/>
      </c>
      <c r="AO912" s="85">
        <f>IF($A912="","",IF(AH912="","NOT REVIEWED",IF(TODAY()-AH912&gt;90,"OVERDUE",IF(TODAY()-AH912&gt;76,"Due Soon","Current"))))</f>
        <v/>
      </c>
    </row>
    <row r="913" ht="15" customHeight="1" s="39">
      <c r="A913" s="85" t="n"/>
      <c r="B913" s="85" t="n"/>
      <c r="C913" s="85" t="n"/>
      <c r="D913" s="85" t="n"/>
      <c r="E913" s="85" t="n"/>
      <c r="F913" s="86" t="n"/>
      <c r="G913" s="86" t="n"/>
      <c r="H913" s="85" t="n"/>
      <c r="I913" s="85" t="n"/>
      <c r="J913" s="85" t="n"/>
      <c r="K913" s="85" t="n"/>
      <c r="L913" s="85" t="n"/>
      <c r="M913" s="85" t="n"/>
      <c r="N913" s="85" t="n"/>
      <c r="O913" s="85" t="n"/>
      <c r="P913" s="85" t="n"/>
      <c r="Q913" s="85" t="n"/>
      <c r="R913" s="85" t="n"/>
      <c r="S913" s="85" t="n"/>
      <c r="T913" s="85" t="n"/>
      <c r="U913" s="85" t="n"/>
      <c r="V913" s="85" t="n"/>
      <c r="W913" s="85" t="n"/>
      <c r="X913" s="85" t="n"/>
      <c r="Y913" s="85" t="n"/>
      <c r="Z913" s="85" t="n"/>
      <c r="AA913" s="85" t="n"/>
      <c r="AB913" s="85" t="n"/>
      <c r="AC913" s="85" t="n"/>
      <c r="AD913" s="85" t="n"/>
      <c r="AE913" s="85" t="n"/>
      <c r="AF913" s="86" t="n"/>
      <c r="AG913" s="86" t="n"/>
      <c r="AH913" s="86" t="n"/>
      <c r="AI913" s="85" t="n"/>
      <c r="AJ913" s="85" t="n"/>
      <c r="AK913" s="85">
        <f>IF($A913="","",IF($M913&gt;0,"Yes","No"))</f>
        <v/>
      </c>
      <c r="AL913" s="85">
        <f>IF($A913="","",IF(AND($E913="Yes",OR($Y913="No",$Y913="NOT FOUND")),"YES",""))</f>
        <v/>
      </c>
      <c r="AM913" s="85">
        <f>IF($A913="","",TRIM(IF(AND($P913=0,$I913&lt;&gt;"Yes"),"T0-NoPhishResistant ","")&amp;IF($H913="No","NoMFA ","")&amp;IF(AND($P913=0,$M913&gt;0),"T0-Standing ","")&amp;IF(AND($P913=0,$Q913="Group only"),"T0-ViaGroupOnly ","")&amp;IF($W913="Yes","AlsoAzureRBAC ","")))</f>
        <v/>
      </c>
      <c r="AN913" s="85">
        <f>IF($A913="","",IF(AG913="","Not Enrolled",IF(TODAY()&gt;AG913,"Review Overdue",IF(AG913-TODAY()&lt;=30,"Review Due Soon","Active"))))</f>
        <v/>
      </c>
      <c r="AO913" s="85">
        <f>IF($A913="","",IF(AH913="","NOT REVIEWED",IF(TODAY()-AH913&gt;90,"OVERDUE",IF(TODAY()-AH913&gt;76,"Due Soon","Current"))))</f>
        <v/>
      </c>
    </row>
    <row r="914" ht="15" customHeight="1" s="39">
      <c r="A914" s="85" t="n"/>
      <c r="B914" s="85" t="n"/>
      <c r="C914" s="85" t="n"/>
      <c r="D914" s="85" t="n"/>
      <c r="E914" s="85" t="n"/>
      <c r="F914" s="86" t="n"/>
      <c r="G914" s="86" t="n"/>
      <c r="H914" s="85" t="n"/>
      <c r="I914" s="85" t="n"/>
      <c r="J914" s="85" t="n"/>
      <c r="K914" s="85" t="n"/>
      <c r="L914" s="85" t="n"/>
      <c r="M914" s="85" t="n"/>
      <c r="N914" s="85" t="n"/>
      <c r="O914" s="85" t="n"/>
      <c r="P914" s="85" t="n"/>
      <c r="Q914" s="85" t="n"/>
      <c r="R914" s="85" t="n"/>
      <c r="S914" s="85" t="n"/>
      <c r="T914" s="85" t="n"/>
      <c r="U914" s="85" t="n"/>
      <c r="V914" s="85" t="n"/>
      <c r="W914" s="85" t="n"/>
      <c r="X914" s="85" t="n"/>
      <c r="Y914" s="85" t="n"/>
      <c r="Z914" s="85" t="n"/>
      <c r="AA914" s="85" t="n"/>
      <c r="AB914" s="85" t="n"/>
      <c r="AC914" s="85" t="n"/>
      <c r="AD914" s="85" t="n"/>
      <c r="AE914" s="85" t="n"/>
      <c r="AF914" s="86" t="n"/>
      <c r="AG914" s="86" t="n"/>
      <c r="AH914" s="86" t="n"/>
      <c r="AI914" s="85" t="n"/>
      <c r="AJ914" s="85" t="n"/>
      <c r="AK914" s="85">
        <f>IF($A914="","",IF($M914&gt;0,"Yes","No"))</f>
        <v/>
      </c>
      <c r="AL914" s="85">
        <f>IF($A914="","",IF(AND($E914="Yes",OR($Y914="No",$Y914="NOT FOUND")),"YES",""))</f>
        <v/>
      </c>
      <c r="AM914" s="85">
        <f>IF($A914="","",TRIM(IF(AND($P914=0,$I914&lt;&gt;"Yes"),"T0-NoPhishResistant ","")&amp;IF($H914="No","NoMFA ","")&amp;IF(AND($P914=0,$M914&gt;0),"T0-Standing ","")&amp;IF(AND($P914=0,$Q914="Group only"),"T0-ViaGroupOnly ","")&amp;IF($W914="Yes","AlsoAzureRBAC ","")))</f>
        <v/>
      </c>
      <c r="AN914" s="85">
        <f>IF($A914="","",IF(AG914="","Not Enrolled",IF(TODAY()&gt;AG914,"Review Overdue",IF(AG914-TODAY()&lt;=30,"Review Due Soon","Active"))))</f>
        <v/>
      </c>
      <c r="AO914" s="85">
        <f>IF($A914="","",IF(AH914="","NOT REVIEWED",IF(TODAY()-AH914&gt;90,"OVERDUE",IF(TODAY()-AH914&gt;76,"Due Soon","Current"))))</f>
        <v/>
      </c>
    </row>
    <row r="915" ht="15" customHeight="1" s="39">
      <c r="A915" s="85" t="n"/>
      <c r="B915" s="85" t="n"/>
      <c r="C915" s="85" t="n"/>
      <c r="D915" s="85" t="n"/>
      <c r="E915" s="85" t="n"/>
      <c r="F915" s="86" t="n"/>
      <c r="G915" s="86" t="n"/>
      <c r="H915" s="85" t="n"/>
      <c r="I915" s="85" t="n"/>
      <c r="J915" s="85" t="n"/>
      <c r="K915" s="85" t="n"/>
      <c r="L915" s="85" t="n"/>
      <c r="M915" s="85" t="n"/>
      <c r="N915" s="85" t="n"/>
      <c r="O915" s="85" t="n"/>
      <c r="P915" s="85" t="n"/>
      <c r="Q915" s="85" t="n"/>
      <c r="R915" s="85" t="n"/>
      <c r="S915" s="85" t="n"/>
      <c r="T915" s="85" t="n"/>
      <c r="U915" s="85" t="n"/>
      <c r="V915" s="85" t="n"/>
      <c r="W915" s="85" t="n"/>
      <c r="X915" s="85" t="n"/>
      <c r="Y915" s="85" t="n"/>
      <c r="Z915" s="85" t="n"/>
      <c r="AA915" s="85" t="n"/>
      <c r="AB915" s="85" t="n"/>
      <c r="AC915" s="85" t="n"/>
      <c r="AD915" s="85" t="n"/>
      <c r="AE915" s="85" t="n"/>
      <c r="AF915" s="86" t="n"/>
      <c r="AG915" s="86" t="n"/>
      <c r="AH915" s="86" t="n"/>
      <c r="AI915" s="85" t="n"/>
      <c r="AJ915" s="85" t="n"/>
      <c r="AK915" s="85">
        <f>IF($A915="","",IF($M915&gt;0,"Yes","No"))</f>
        <v/>
      </c>
      <c r="AL915" s="85">
        <f>IF($A915="","",IF(AND($E915="Yes",OR($Y915="No",$Y915="NOT FOUND")),"YES",""))</f>
        <v/>
      </c>
      <c r="AM915" s="85">
        <f>IF($A915="","",TRIM(IF(AND($P915=0,$I915&lt;&gt;"Yes"),"T0-NoPhishResistant ","")&amp;IF($H915="No","NoMFA ","")&amp;IF(AND($P915=0,$M915&gt;0),"T0-Standing ","")&amp;IF(AND($P915=0,$Q915="Group only"),"T0-ViaGroupOnly ","")&amp;IF($W915="Yes","AlsoAzureRBAC ","")))</f>
        <v/>
      </c>
      <c r="AN915" s="85">
        <f>IF($A915="","",IF(AG915="","Not Enrolled",IF(TODAY()&gt;AG915,"Review Overdue",IF(AG915-TODAY()&lt;=30,"Review Due Soon","Active"))))</f>
        <v/>
      </c>
      <c r="AO915" s="85">
        <f>IF($A915="","",IF(AH915="","NOT REVIEWED",IF(TODAY()-AH915&gt;90,"OVERDUE",IF(TODAY()-AH915&gt;76,"Due Soon","Current"))))</f>
        <v/>
      </c>
    </row>
    <row r="916" ht="15" customHeight="1" s="39">
      <c r="A916" s="85" t="n"/>
      <c r="B916" s="85" t="n"/>
      <c r="C916" s="85" t="n"/>
      <c r="D916" s="85" t="n"/>
      <c r="E916" s="85" t="n"/>
      <c r="F916" s="86" t="n"/>
      <c r="G916" s="86" t="n"/>
      <c r="H916" s="85" t="n"/>
      <c r="I916" s="85" t="n"/>
      <c r="J916" s="85" t="n"/>
      <c r="K916" s="85" t="n"/>
      <c r="L916" s="85" t="n"/>
      <c r="M916" s="85" t="n"/>
      <c r="N916" s="85" t="n"/>
      <c r="O916" s="85" t="n"/>
      <c r="P916" s="85" t="n"/>
      <c r="Q916" s="85" t="n"/>
      <c r="R916" s="85" t="n"/>
      <c r="S916" s="85" t="n"/>
      <c r="T916" s="85" t="n"/>
      <c r="U916" s="85" t="n"/>
      <c r="V916" s="85" t="n"/>
      <c r="W916" s="85" t="n"/>
      <c r="X916" s="85" t="n"/>
      <c r="Y916" s="85" t="n"/>
      <c r="Z916" s="85" t="n"/>
      <c r="AA916" s="85" t="n"/>
      <c r="AB916" s="85" t="n"/>
      <c r="AC916" s="85" t="n"/>
      <c r="AD916" s="85" t="n"/>
      <c r="AE916" s="85" t="n"/>
      <c r="AF916" s="86" t="n"/>
      <c r="AG916" s="86" t="n"/>
      <c r="AH916" s="86" t="n"/>
      <c r="AI916" s="85" t="n"/>
      <c r="AJ916" s="85" t="n"/>
      <c r="AK916" s="85">
        <f>IF($A916="","",IF($M916&gt;0,"Yes","No"))</f>
        <v/>
      </c>
      <c r="AL916" s="85">
        <f>IF($A916="","",IF(AND($E916="Yes",OR($Y916="No",$Y916="NOT FOUND")),"YES",""))</f>
        <v/>
      </c>
      <c r="AM916" s="85">
        <f>IF($A916="","",TRIM(IF(AND($P916=0,$I916&lt;&gt;"Yes"),"T0-NoPhishResistant ","")&amp;IF($H916="No","NoMFA ","")&amp;IF(AND($P916=0,$M916&gt;0),"T0-Standing ","")&amp;IF(AND($P916=0,$Q916="Group only"),"T0-ViaGroupOnly ","")&amp;IF($W916="Yes","AlsoAzureRBAC ","")))</f>
        <v/>
      </c>
      <c r="AN916" s="85">
        <f>IF($A916="","",IF(AG916="","Not Enrolled",IF(TODAY()&gt;AG916,"Review Overdue",IF(AG916-TODAY()&lt;=30,"Review Due Soon","Active"))))</f>
        <v/>
      </c>
      <c r="AO916" s="85">
        <f>IF($A916="","",IF(AH916="","NOT REVIEWED",IF(TODAY()-AH916&gt;90,"OVERDUE",IF(TODAY()-AH916&gt;76,"Due Soon","Current"))))</f>
        <v/>
      </c>
    </row>
    <row r="917" ht="15" customHeight="1" s="39">
      <c r="A917" s="85" t="n"/>
      <c r="B917" s="85" t="n"/>
      <c r="C917" s="85" t="n"/>
      <c r="D917" s="85" t="n"/>
      <c r="E917" s="85" t="n"/>
      <c r="F917" s="86" t="n"/>
      <c r="G917" s="86" t="n"/>
      <c r="H917" s="85" t="n"/>
      <c r="I917" s="85" t="n"/>
      <c r="J917" s="85" t="n"/>
      <c r="K917" s="85" t="n"/>
      <c r="L917" s="85" t="n"/>
      <c r="M917" s="85" t="n"/>
      <c r="N917" s="85" t="n"/>
      <c r="O917" s="85" t="n"/>
      <c r="P917" s="85" t="n"/>
      <c r="Q917" s="85" t="n"/>
      <c r="R917" s="85" t="n"/>
      <c r="S917" s="85" t="n"/>
      <c r="T917" s="85" t="n"/>
      <c r="U917" s="85" t="n"/>
      <c r="V917" s="85" t="n"/>
      <c r="W917" s="85" t="n"/>
      <c r="X917" s="85" t="n"/>
      <c r="Y917" s="85" t="n"/>
      <c r="Z917" s="85" t="n"/>
      <c r="AA917" s="85" t="n"/>
      <c r="AB917" s="85" t="n"/>
      <c r="AC917" s="85" t="n"/>
      <c r="AD917" s="85" t="n"/>
      <c r="AE917" s="85" t="n"/>
      <c r="AF917" s="86" t="n"/>
      <c r="AG917" s="86" t="n"/>
      <c r="AH917" s="86" t="n"/>
      <c r="AI917" s="85" t="n"/>
      <c r="AJ917" s="85" t="n"/>
      <c r="AK917" s="85">
        <f>IF($A917="","",IF($M917&gt;0,"Yes","No"))</f>
        <v/>
      </c>
      <c r="AL917" s="85">
        <f>IF($A917="","",IF(AND($E917="Yes",OR($Y917="No",$Y917="NOT FOUND")),"YES",""))</f>
        <v/>
      </c>
      <c r="AM917" s="85">
        <f>IF($A917="","",TRIM(IF(AND($P917=0,$I917&lt;&gt;"Yes"),"T0-NoPhishResistant ","")&amp;IF($H917="No","NoMFA ","")&amp;IF(AND($P917=0,$M917&gt;0),"T0-Standing ","")&amp;IF(AND($P917=0,$Q917="Group only"),"T0-ViaGroupOnly ","")&amp;IF($W917="Yes","AlsoAzureRBAC ","")))</f>
        <v/>
      </c>
      <c r="AN917" s="85">
        <f>IF($A917="","",IF(AG917="","Not Enrolled",IF(TODAY()&gt;AG917,"Review Overdue",IF(AG917-TODAY()&lt;=30,"Review Due Soon","Active"))))</f>
        <v/>
      </c>
      <c r="AO917" s="85">
        <f>IF($A917="","",IF(AH917="","NOT REVIEWED",IF(TODAY()-AH917&gt;90,"OVERDUE",IF(TODAY()-AH917&gt;76,"Due Soon","Current"))))</f>
        <v/>
      </c>
    </row>
    <row r="918" ht="15" customHeight="1" s="39">
      <c r="A918" s="85" t="n"/>
      <c r="B918" s="85" t="n"/>
      <c r="C918" s="85" t="n"/>
      <c r="D918" s="85" t="n"/>
      <c r="E918" s="85" t="n"/>
      <c r="F918" s="86" t="n"/>
      <c r="G918" s="86" t="n"/>
      <c r="H918" s="85" t="n"/>
      <c r="I918" s="85" t="n"/>
      <c r="J918" s="85" t="n"/>
      <c r="K918" s="85" t="n"/>
      <c r="L918" s="85" t="n"/>
      <c r="M918" s="85" t="n"/>
      <c r="N918" s="85" t="n"/>
      <c r="O918" s="85" t="n"/>
      <c r="P918" s="85" t="n"/>
      <c r="Q918" s="85" t="n"/>
      <c r="R918" s="85" t="n"/>
      <c r="S918" s="85" t="n"/>
      <c r="T918" s="85" t="n"/>
      <c r="U918" s="85" t="n"/>
      <c r="V918" s="85" t="n"/>
      <c r="W918" s="85" t="n"/>
      <c r="X918" s="85" t="n"/>
      <c r="Y918" s="85" t="n"/>
      <c r="Z918" s="85" t="n"/>
      <c r="AA918" s="85" t="n"/>
      <c r="AB918" s="85" t="n"/>
      <c r="AC918" s="85" t="n"/>
      <c r="AD918" s="85" t="n"/>
      <c r="AE918" s="85" t="n"/>
      <c r="AF918" s="86" t="n"/>
      <c r="AG918" s="86" t="n"/>
      <c r="AH918" s="86" t="n"/>
      <c r="AI918" s="85" t="n"/>
      <c r="AJ918" s="85" t="n"/>
      <c r="AK918" s="85">
        <f>IF($A918="","",IF($M918&gt;0,"Yes","No"))</f>
        <v/>
      </c>
      <c r="AL918" s="85">
        <f>IF($A918="","",IF(AND($E918="Yes",OR($Y918="No",$Y918="NOT FOUND")),"YES",""))</f>
        <v/>
      </c>
      <c r="AM918" s="85">
        <f>IF($A918="","",TRIM(IF(AND($P918=0,$I918&lt;&gt;"Yes"),"T0-NoPhishResistant ","")&amp;IF($H918="No","NoMFA ","")&amp;IF(AND($P918=0,$M918&gt;0),"T0-Standing ","")&amp;IF(AND($P918=0,$Q918="Group only"),"T0-ViaGroupOnly ","")&amp;IF($W918="Yes","AlsoAzureRBAC ","")))</f>
        <v/>
      </c>
      <c r="AN918" s="85">
        <f>IF($A918="","",IF(AG918="","Not Enrolled",IF(TODAY()&gt;AG918,"Review Overdue",IF(AG918-TODAY()&lt;=30,"Review Due Soon","Active"))))</f>
        <v/>
      </c>
      <c r="AO918" s="85">
        <f>IF($A918="","",IF(AH918="","NOT REVIEWED",IF(TODAY()-AH918&gt;90,"OVERDUE",IF(TODAY()-AH918&gt;76,"Due Soon","Current"))))</f>
        <v/>
      </c>
    </row>
    <row r="919" ht="15" customHeight="1" s="39">
      <c r="A919" s="85" t="n"/>
      <c r="B919" s="85" t="n"/>
      <c r="C919" s="85" t="n"/>
      <c r="D919" s="85" t="n"/>
      <c r="E919" s="85" t="n"/>
      <c r="F919" s="86" t="n"/>
      <c r="G919" s="86" t="n"/>
      <c r="H919" s="85" t="n"/>
      <c r="I919" s="85" t="n"/>
      <c r="J919" s="85" t="n"/>
      <c r="K919" s="85" t="n"/>
      <c r="L919" s="85" t="n"/>
      <c r="M919" s="85" t="n"/>
      <c r="N919" s="85" t="n"/>
      <c r="O919" s="85" t="n"/>
      <c r="P919" s="85" t="n"/>
      <c r="Q919" s="85" t="n"/>
      <c r="R919" s="85" t="n"/>
      <c r="S919" s="85" t="n"/>
      <c r="T919" s="85" t="n"/>
      <c r="U919" s="85" t="n"/>
      <c r="V919" s="85" t="n"/>
      <c r="W919" s="85" t="n"/>
      <c r="X919" s="85" t="n"/>
      <c r="Y919" s="85" t="n"/>
      <c r="Z919" s="85" t="n"/>
      <c r="AA919" s="85" t="n"/>
      <c r="AB919" s="85" t="n"/>
      <c r="AC919" s="85" t="n"/>
      <c r="AD919" s="85" t="n"/>
      <c r="AE919" s="85" t="n"/>
      <c r="AF919" s="86" t="n"/>
      <c r="AG919" s="86" t="n"/>
      <c r="AH919" s="86" t="n"/>
      <c r="AI919" s="85" t="n"/>
      <c r="AJ919" s="85" t="n"/>
      <c r="AK919" s="85">
        <f>IF($A919="","",IF($M919&gt;0,"Yes","No"))</f>
        <v/>
      </c>
      <c r="AL919" s="85">
        <f>IF($A919="","",IF(AND($E919="Yes",OR($Y919="No",$Y919="NOT FOUND")),"YES",""))</f>
        <v/>
      </c>
      <c r="AM919" s="85">
        <f>IF($A919="","",TRIM(IF(AND($P919=0,$I919&lt;&gt;"Yes"),"T0-NoPhishResistant ","")&amp;IF($H919="No","NoMFA ","")&amp;IF(AND($P919=0,$M919&gt;0),"T0-Standing ","")&amp;IF(AND($P919=0,$Q919="Group only"),"T0-ViaGroupOnly ","")&amp;IF($W919="Yes","AlsoAzureRBAC ","")))</f>
        <v/>
      </c>
      <c r="AN919" s="85">
        <f>IF($A919="","",IF(AG919="","Not Enrolled",IF(TODAY()&gt;AG919,"Review Overdue",IF(AG919-TODAY()&lt;=30,"Review Due Soon","Active"))))</f>
        <v/>
      </c>
      <c r="AO919" s="85">
        <f>IF($A919="","",IF(AH919="","NOT REVIEWED",IF(TODAY()-AH919&gt;90,"OVERDUE",IF(TODAY()-AH919&gt;76,"Due Soon","Current"))))</f>
        <v/>
      </c>
    </row>
    <row r="920" ht="15" customHeight="1" s="39">
      <c r="A920" s="85" t="n"/>
      <c r="B920" s="85" t="n"/>
      <c r="C920" s="85" t="n"/>
      <c r="D920" s="85" t="n"/>
      <c r="E920" s="85" t="n"/>
      <c r="F920" s="86" t="n"/>
      <c r="G920" s="86" t="n"/>
      <c r="H920" s="85" t="n"/>
      <c r="I920" s="85" t="n"/>
      <c r="J920" s="85" t="n"/>
      <c r="K920" s="85" t="n"/>
      <c r="L920" s="85" t="n"/>
      <c r="M920" s="85" t="n"/>
      <c r="N920" s="85" t="n"/>
      <c r="O920" s="85" t="n"/>
      <c r="P920" s="85" t="n"/>
      <c r="Q920" s="85" t="n"/>
      <c r="R920" s="85" t="n"/>
      <c r="S920" s="85" t="n"/>
      <c r="T920" s="85" t="n"/>
      <c r="U920" s="85" t="n"/>
      <c r="V920" s="85" t="n"/>
      <c r="W920" s="85" t="n"/>
      <c r="X920" s="85" t="n"/>
      <c r="Y920" s="85" t="n"/>
      <c r="Z920" s="85" t="n"/>
      <c r="AA920" s="85" t="n"/>
      <c r="AB920" s="85" t="n"/>
      <c r="AC920" s="85" t="n"/>
      <c r="AD920" s="85" t="n"/>
      <c r="AE920" s="85" t="n"/>
      <c r="AF920" s="86" t="n"/>
      <c r="AG920" s="86" t="n"/>
      <c r="AH920" s="86" t="n"/>
      <c r="AI920" s="85" t="n"/>
      <c r="AJ920" s="85" t="n"/>
      <c r="AK920" s="85">
        <f>IF($A920="","",IF($M920&gt;0,"Yes","No"))</f>
        <v/>
      </c>
      <c r="AL920" s="85">
        <f>IF($A920="","",IF(AND($E920="Yes",OR($Y920="No",$Y920="NOT FOUND")),"YES",""))</f>
        <v/>
      </c>
      <c r="AM920" s="85">
        <f>IF($A920="","",TRIM(IF(AND($P920=0,$I920&lt;&gt;"Yes"),"T0-NoPhishResistant ","")&amp;IF($H920="No","NoMFA ","")&amp;IF(AND($P920=0,$M920&gt;0),"T0-Standing ","")&amp;IF(AND($P920=0,$Q920="Group only"),"T0-ViaGroupOnly ","")&amp;IF($W920="Yes","AlsoAzureRBAC ","")))</f>
        <v/>
      </c>
      <c r="AN920" s="85">
        <f>IF($A920="","",IF(AG920="","Not Enrolled",IF(TODAY()&gt;AG920,"Review Overdue",IF(AG920-TODAY()&lt;=30,"Review Due Soon","Active"))))</f>
        <v/>
      </c>
      <c r="AO920" s="85">
        <f>IF($A920="","",IF(AH920="","NOT REVIEWED",IF(TODAY()-AH920&gt;90,"OVERDUE",IF(TODAY()-AH920&gt;76,"Due Soon","Current"))))</f>
        <v/>
      </c>
    </row>
    <row r="921" ht="15" customHeight="1" s="39">
      <c r="A921" s="85" t="n"/>
      <c r="B921" s="85" t="n"/>
      <c r="C921" s="85" t="n"/>
      <c r="D921" s="85" t="n"/>
      <c r="E921" s="85" t="n"/>
      <c r="F921" s="86" t="n"/>
      <c r="G921" s="86" t="n"/>
      <c r="H921" s="85" t="n"/>
      <c r="I921" s="85" t="n"/>
      <c r="J921" s="85" t="n"/>
      <c r="K921" s="85" t="n"/>
      <c r="L921" s="85" t="n"/>
      <c r="M921" s="85" t="n"/>
      <c r="N921" s="85" t="n"/>
      <c r="O921" s="85" t="n"/>
      <c r="P921" s="85" t="n"/>
      <c r="Q921" s="85" t="n"/>
      <c r="R921" s="85" t="n"/>
      <c r="S921" s="85" t="n"/>
      <c r="T921" s="85" t="n"/>
      <c r="U921" s="85" t="n"/>
      <c r="V921" s="85" t="n"/>
      <c r="W921" s="85" t="n"/>
      <c r="X921" s="85" t="n"/>
      <c r="Y921" s="85" t="n"/>
      <c r="Z921" s="85" t="n"/>
      <c r="AA921" s="85" t="n"/>
      <c r="AB921" s="85" t="n"/>
      <c r="AC921" s="85" t="n"/>
      <c r="AD921" s="85" t="n"/>
      <c r="AE921" s="85" t="n"/>
      <c r="AF921" s="86" t="n"/>
      <c r="AG921" s="86" t="n"/>
      <c r="AH921" s="86" t="n"/>
      <c r="AI921" s="85" t="n"/>
      <c r="AJ921" s="85" t="n"/>
      <c r="AK921" s="85">
        <f>IF($A921="","",IF($M921&gt;0,"Yes","No"))</f>
        <v/>
      </c>
      <c r="AL921" s="85">
        <f>IF($A921="","",IF(AND($E921="Yes",OR($Y921="No",$Y921="NOT FOUND")),"YES",""))</f>
        <v/>
      </c>
      <c r="AM921" s="85">
        <f>IF($A921="","",TRIM(IF(AND($P921=0,$I921&lt;&gt;"Yes"),"T0-NoPhishResistant ","")&amp;IF($H921="No","NoMFA ","")&amp;IF(AND($P921=0,$M921&gt;0),"T0-Standing ","")&amp;IF(AND($P921=0,$Q921="Group only"),"T0-ViaGroupOnly ","")&amp;IF($W921="Yes","AlsoAzureRBAC ","")))</f>
        <v/>
      </c>
      <c r="AN921" s="85">
        <f>IF($A921="","",IF(AG921="","Not Enrolled",IF(TODAY()&gt;AG921,"Review Overdue",IF(AG921-TODAY()&lt;=30,"Review Due Soon","Active"))))</f>
        <v/>
      </c>
      <c r="AO921" s="85">
        <f>IF($A921="","",IF(AH921="","NOT REVIEWED",IF(TODAY()-AH921&gt;90,"OVERDUE",IF(TODAY()-AH921&gt;76,"Due Soon","Current"))))</f>
        <v/>
      </c>
    </row>
    <row r="922" ht="15" customHeight="1" s="39">
      <c r="A922" s="85" t="n"/>
      <c r="B922" s="85" t="n"/>
      <c r="C922" s="85" t="n"/>
      <c r="D922" s="85" t="n"/>
      <c r="E922" s="85" t="n"/>
      <c r="F922" s="86" t="n"/>
      <c r="G922" s="86" t="n"/>
      <c r="H922" s="85" t="n"/>
      <c r="I922" s="85" t="n"/>
      <c r="J922" s="85" t="n"/>
      <c r="K922" s="85" t="n"/>
      <c r="L922" s="85" t="n"/>
      <c r="M922" s="85" t="n"/>
      <c r="N922" s="85" t="n"/>
      <c r="O922" s="85" t="n"/>
      <c r="P922" s="85" t="n"/>
      <c r="Q922" s="85" t="n"/>
      <c r="R922" s="85" t="n"/>
      <c r="S922" s="85" t="n"/>
      <c r="T922" s="85" t="n"/>
      <c r="U922" s="85" t="n"/>
      <c r="V922" s="85" t="n"/>
      <c r="W922" s="85" t="n"/>
      <c r="X922" s="85" t="n"/>
      <c r="Y922" s="85" t="n"/>
      <c r="Z922" s="85" t="n"/>
      <c r="AA922" s="85" t="n"/>
      <c r="AB922" s="85" t="n"/>
      <c r="AC922" s="85" t="n"/>
      <c r="AD922" s="85" t="n"/>
      <c r="AE922" s="85" t="n"/>
      <c r="AF922" s="86" t="n"/>
      <c r="AG922" s="86" t="n"/>
      <c r="AH922" s="86" t="n"/>
      <c r="AI922" s="85" t="n"/>
      <c r="AJ922" s="85" t="n"/>
      <c r="AK922" s="85">
        <f>IF($A922="","",IF($M922&gt;0,"Yes","No"))</f>
        <v/>
      </c>
      <c r="AL922" s="85">
        <f>IF($A922="","",IF(AND($E922="Yes",OR($Y922="No",$Y922="NOT FOUND")),"YES",""))</f>
        <v/>
      </c>
      <c r="AM922" s="85">
        <f>IF($A922="","",TRIM(IF(AND($P922=0,$I922&lt;&gt;"Yes"),"T0-NoPhishResistant ","")&amp;IF($H922="No","NoMFA ","")&amp;IF(AND($P922=0,$M922&gt;0),"T0-Standing ","")&amp;IF(AND($P922=0,$Q922="Group only"),"T0-ViaGroupOnly ","")&amp;IF($W922="Yes","AlsoAzureRBAC ","")))</f>
        <v/>
      </c>
      <c r="AN922" s="85">
        <f>IF($A922="","",IF(AG922="","Not Enrolled",IF(TODAY()&gt;AG922,"Review Overdue",IF(AG922-TODAY()&lt;=30,"Review Due Soon","Active"))))</f>
        <v/>
      </c>
      <c r="AO922" s="85">
        <f>IF($A922="","",IF(AH922="","NOT REVIEWED",IF(TODAY()-AH922&gt;90,"OVERDUE",IF(TODAY()-AH922&gt;76,"Due Soon","Current"))))</f>
        <v/>
      </c>
    </row>
    <row r="923" ht="15" customHeight="1" s="39">
      <c r="A923" s="85" t="n"/>
      <c r="B923" s="85" t="n"/>
      <c r="C923" s="85" t="n"/>
      <c r="D923" s="85" t="n"/>
      <c r="E923" s="85" t="n"/>
      <c r="F923" s="86" t="n"/>
      <c r="G923" s="86" t="n"/>
      <c r="H923" s="85" t="n"/>
      <c r="I923" s="85" t="n"/>
      <c r="J923" s="85" t="n"/>
      <c r="K923" s="85" t="n"/>
      <c r="L923" s="85" t="n"/>
      <c r="M923" s="85" t="n"/>
      <c r="N923" s="85" t="n"/>
      <c r="O923" s="85" t="n"/>
      <c r="P923" s="85" t="n"/>
      <c r="Q923" s="85" t="n"/>
      <c r="R923" s="85" t="n"/>
      <c r="S923" s="85" t="n"/>
      <c r="T923" s="85" t="n"/>
      <c r="U923" s="85" t="n"/>
      <c r="V923" s="85" t="n"/>
      <c r="W923" s="85" t="n"/>
      <c r="X923" s="85" t="n"/>
      <c r="Y923" s="85" t="n"/>
      <c r="Z923" s="85" t="n"/>
      <c r="AA923" s="85" t="n"/>
      <c r="AB923" s="85" t="n"/>
      <c r="AC923" s="85" t="n"/>
      <c r="AD923" s="85" t="n"/>
      <c r="AE923" s="85" t="n"/>
      <c r="AF923" s="86" t="n"/>
      <c r="AG923" s="86" t="n"/>
      <c r="AH923" s="86" t="n"/>
      <c r="AI923" s="85" t="n"/>
      <c r="AJ923" s="85" t="n"/>
      <c r="AK923" s="85">
        <f>IF($A923="","",IF($M923&gt;0,"Yes","No"))</f>
        <v/>
      </c>
      <c r="AL923" s="85">
        <f>IF($A923="","",IF(AND($E923="Yes",OR($Y923="No",$Y923="NOT FOUND")),"YES",""))</f>
        <v/>
      </c>
      <c r="AM923" s="85">
        <f>IF($A923="","",TRIM(IF(AND($P923=0,$I923&lt;&gt;"Yes"),"T0-NoPhishResistant ","")&amp;IF($H923="No","NoMFA ","")&amp;IF(AND($P923=0,$M923&gt;0),"T0-Standing ","")&amp;IF(AND($P923=0,$Q923="Group only"),"T0-ViaGroupOnly ","")&amp;IF($W923="Yes","AlsoAzureRBAC ","")))</f>
        <v/>
      </c>
      <c r="AN923" s="85">
        <f>IF($A923="","",IF(AG923="","Not Enrolled",IF(TODAY()&gt;AG923,"Review Overdue",IF(AG923-TODAY()&lt;=30,"Review Due Soon","Active"))))</f>
        <v/>
      </c>
      <c r="AO923" s="85">
        <f>IF($A923="","",IF(AH923="","NOT REVIEWED",IF(TODAY()-AH923&gt;90,"OVERDUE",IF(TODAY()-AH923&gt;76,"Due Soon","Current"))))</f>
        <v/>
      </c>
    </row>
    <row r="924" ht="15" customHeight="1" s="39">
      <c r="A924" s="85" t="n"/>
      <c r="B924" s="85" t="n"/>
      <c r="C924" s="85" t="n"/>
      <c r="D924" s="85" t="n"/>
      <c r="E924" s="85" t="n"/>
      <c r="F924" s="86" t="n"/>
      <c r="G924" s="86" t="n"/>
      <c r="H924" s="85" t="n"/>
      <c r="I924" s="85" t="n"/>
      <c r="J924" s="85" t="n"/>
      <c r="K924" s="85" t="n"/>
      <c r="L924" s="85" t="n"/>
      <c r="M924" s="85" t="n"/>
      <c r="N924" s="85" t="n"/>
      <c r="O924" s="85" t="n"/>
      <c r="P924" s="85" t="n"/>
      <c r="Q924" s="85" t="n"/>
      <c r="R924" s="85" t="n"/>
      <c r="S924" s="85" t="n"/>
      <c r="T924" s="85" t="n"/>
      <c r="U924" s="85" t="n"/>
      <c r="V924" s="85" t="n"/>
      <c r="W924" s="85" t="n"/>
      <c r="X924" s="85" t="n"/>
      <c r="Y924" s="85" t="n"/>
      <c r="Z924" s="85" t="n"/>
      <c r="AA924" s="85" t="n"/>
      <c r="AB924" s="85" t="n"/>
      <c r="AC924" s="85" t="n"/>
      <c r="AD924" s="85" t="n"/>
      <c r="AE924" s="85" t="n"/>
      <c r="AF924" s="86" t="n"/>
      <c r="AG924" s="86" t="n"/>
      <c r="AH924" s="86" t="n"/>
      <c r="AI924" s="85" t="n"/>
      <c r="AJ924" s="85" t="n"/>
      <c r="AK924" s="85">
        <f>IF($A924="","",IF($M924&gt;0,"Yes","No"))</f>
        <v/>
      </c>
      <c r="AL924" s="85">
        <f>IF($A924="","",IF(AND($E924="Yes",OR($Y924="No",$Y924="NOT FOUND")),"YES",""))</f>
        <v/>
      </c>
      <c r="AM924" s="85">
        <f>IF($A924="","",TRIM(IF(AND($P924=0,$I924&lt;&gt;"Yes"),"T0-NoPhishResistant ","")&amp;IF($H924="No","NoMFA ","")&amp;IF(AND($P924=0,$M924&gt;0),"T0-Standing ","")&amp;IF(AND($P924=0,$Q924="Group only"),"T0-ViaGroupOnly ","")&amp;IF($W924="Yes","AlsoAzureRBAC ","")))</f>
        <v/>
      </c>
      <c r="AN924" s="85">
        <f>IF($A924="","",IF(AG924="","Not Enrolled",IF(TODAY()&gt;AG924,"Review Overdue",IF(AG924-TODAY()&lt;=30,"Review Due Soon","Active"))))</f>
        <v/>
      </c>
      <c r="AO924" s="85">
        <f>IF($A924="","",IF(AH924="","NOT REVIEWED",IF(TODAY()-AH924&gt;90,"OVERDUE",IF(TODAY()-AH924&gt;76,"Due Soon","Current"))))</f>
        <v/>
      </c>
    </row>
    <row r="925" ht="15" customHeight="1" s="39">
      <c r="A925" s="85" t="n"/>
      <c r="B925" s="85" t="n"/>
      <c r="C925" s="85" t="n"/>
      <c r="D925" s="85" t="n"/>
      <c r="E925" s="85" t="n"/>
      <c r="F925" s="86" t="n"/>
      <c r="G925" s="86" t="n"/>
      <c r="H925" s="85" t="n"/>
      <c r="I925" s="85" t="n"/>
      <c r="J925" s="85" t="n"/>
      <c r="K925" s="85" t="n"/>
      <c r="L925" s="85" t="n"/>
      <c r="M925" s="85" t="n"/>
      <c r="N925" s="85" t="n"/>
      <c r="O925" s="85" t="n"/>
      <c r="P925" s="85" t="n"/>
      <c r="Q925" s="85" t="n"/>
      <c r="R925" s="85" t="n"/>
      <c r="S925" s="85" t="n"/>
      <c r="T925" s="85" t="n"/>
      <c r="U925" s="85" t="n"/>
      <c r="V925" s="85" t="n"/>
      <c r="W925" s="85" t="n"/>
      <c r="X925" s="85" t="n"/>
      <c r="Y925" s="85" t="n"/>
      <c r="Z925" s="85" t="n"/>
      <c r="AA925" s="85" t="n"/>
      <c r="AB925" s="85" t="n"/>
      <c r="AC925" s="85" t="n"/>
      <c r="AD925" s="85" t="n"/>
      <c r="AE925" s="85" t="n"/>
      <c r="AF925" s="86" t="n"/>
      <c r="AG925" s="86" t="n"/>
      <c r="AH925" s="86" t="n"/>
      <c r="AI925" s="85" t="n"/>
      <c r="AJ925" s="85" t="n"/>
      <c r="AK925" s="85">
        <f>IF($A925="","",IF($M925&gt;0,"Yes","No"))</f>
        <v/>
      </c>
      <c r="AL925" s="85">
        <f>IF($A925="","",IF(AND($E925="Yes",OR($Y925="No",$Y925="NOT FOUND")),"YES",""))</f>
        <v/>
      </c>
      <c r="AM925" s="85">
        <f>IF($A925="","",TRIM(IF(AND($P925=0,$I925&lt;&gt;"Yes"),"T0-NoPhishResistant ","")&amp;IF($H925="No","NoMFA ","")&amp;IF(AND($P925=0,$M925&gt;0),"T0-Standing ","")&amp;IF(AND($P925=0,$Q925="Group only"),"T0-ViaGroupOnly ","")&amp;IF($W925="Yes","AlsoAzureRBAC ","")))</f>
        <v/>
      </c>
      <c r="AN925" s="85">
        <f>IF($A925="","",IF(AG925="","Not Enrolled",IF(TODAY()&gt;AG925,"Review Overdue",IF(AG925-TODAY()&lt;=30,"Review Due Soon","Active"))))</f>
        <v/>
      </c>
      <c r="AO925" s="85">
        <f>IF($A925="","",IF(AH925="","NOT REVIEWED",IF(TODAY()-AH925&gt;90,"OVERDUE",IF(TODAY()-AH925&gt;76,"Due Soon","Current"))))</f>
        <v/>
      </c>
    </row>
    <row r="926" ht="15" customHeight="1" s="39">
      <c r="A926" s="85" t="n"/>
      <c r="B926" s="85" t="n"/>
      <c r="C926" s="85" t="n"/>
      <c r="D926" s="85" t="n"/>
      <c r="E926" s="85" t="n"/>
      <c r="F926" s="86" t="n"/>
      <c r="G926" s="86" t="n"/>
      <c r="H926" s="85" t="n"/>
      <c r="I926" s="85" t="n"/>
      <c r="J926" s="85" t="n"/>
      <c r="K926" s="85" t="n"/>
      <c r="L926" s="85" t="n"/>
      <c r="M926" s="85" t="n"/>
      <c r="N926" s="85" t="n"/>
      <c r="O926" s="85" t="n"/>
      <c r="P926" s="85" t="n"/>
      <c r="Q926" s="85" t="n"/>
      <c r="R926" s="85" t="n"/>
      <c r="S926" s="85" t="n"/>
      <c r="T926" s="85" t="n"/>
      <c r="U926" s="85" t="n"/>
      <c r="V926" s="85" t="n"/>
      <c r="W926" s="85" t="n"/>
      <c r="X926" s="85" t="n"/>
      <c r="Y926" s="85" t="n"/>
      <c r="Z926" s="85" t="n"/>
      <c r="AA926" s="85" t="n"/>
      <c r="AB926" s="85" t="n"/>
      <c r="AC926" s="85" t="n"/>
      <c r="AD926" s="85" t="n"/>
      <c r="AE926" s="85" t="n"/>
      <c r="AF926" s="86" t="n"/>
      <c r="AG926" s="86" t="n"/>
      <c r="AH926" s="86" t="n"/>
      <c r="AI926" s="85" t="n"/>
      <c r="AJ926" s="85" t="n"/>
      <c r="AK926" s="85">
        <f>IF($A926="","",IF($M926&gt;0,"Yes","No"))</f>
        <v/>
      </c>
      <c r="AL926" s="85">
        <f>IF($A926="","",IF(AND($E926="Yes",OR($Y926="No",$Y926="NOT FOUND")),"YES",""))</f>
        <v/>
      </c>
      <c r="AM926" s="85">
        <f>IF($A926="","",TRIM(IF(AND($P926=0,$I926&lt;&gt;"Yes"),"T0-NoPhishResistant ","")&amp;IF($H926="No","NoMFA ","")&amp;IF(AND($P926=0,$M926&gt;0),"T0-Standing ","")&amp;IF(AND($P926=0,$Q926="Group only"),"T0-ViaGroupOnly ","")&amp;IF($W926="Yes","AlsoAzureRBAC ","")))</f>
        <v/>
      </c>
      <c r="AN926" s="85">
        <f>IF($A926="","",IF(AG926="","Not Enrolled",IF(TODAY()&gt;AG926,"Review Overdue",IF(AG926-TODAY()&lt;=30,"Review Due Soon","Active"))))</f>
        <v/>
      </c>
      <c r="AO926" s="85">
        <f>IF($A926="","",IF(AH926="","NOT REVIEWED",IF(TODAY()-AH926&gt;90,"OVERDUE",IF(TODAY()-AH926&gt;76,"Due Soon","Current"))))</f>
        <v/>
      </c>
    </row>
    <row r="927" ht="15" customHeight="1" s="39">
      <c r="A927" s="85" t="n"/>
      <c r="B927" s="85" t="n"/>
      <c r="C927" s="85" t="n"/>
      <c r="D927" s="85" t="n"/>
      <c r="E927" s="85" t="n"/>
      <c r="F927" s="86" t="n"/>
      <c r="G927" s="86" t="n"/>
      <c r="H927" s="85" t="n"/>
      <c r="I927" s="85" t="n"/>
      <c r="J927" s="85" t="n"/>
      <c r="K927" s="85" t="n"/>
      <c r="L927" s="85" t="n"/>
      <c r="M927" s="85" t="n"/>
      <c r="N927" s="85" t="n"/>
      <c r="O927" s="85" t="n"/>
      <c r="P927" s="85" t="n"/>
      <c r="Q927" s="85" t="n"/>
      <c r="R927" s="85" t="n"/>
      <c r="S927" s="85" t="n"/>
      <c r="T927" s="85" t="n"/>
      <c r="U927" s="85" t="n"/>
      <c r="V927" s="85" t="n"/>
      <c r="W927" s="85" t="n"/>
      <c r="X927" s="85" t="n"/>
      <c r="Y927" s="85" t="n"/>
      <c r="Z927" s="85" t="n"/>
      <c r="AA927" s="85" t="n"/>
      <c r="AB927" s="85" t="n"/>
      <c r="AC927" s="85" t="n"/>
      <c r="AD927" s="85" t="n"/>
      <c r="AE927" s="85" t="n"/>
      <c r="AF927" s="86" t="n"/>
      <c r="AG927" s="86" t="n"/>
      <c r="AH927" s="86" t="n"/>
      <c r="AI927" s="85" t="n"/>
      <c r="AJ927" s="85" t="n"/>
      <c r="AK927" s="85">
        <f>IF($A927="","",IF($M927&gt;0,"Yes","No"))</f>
        <v/>
      </c>
      <c r="AL927" s="85">
        <f>IF($A927="","",IF(AND($E927="Yes",OR($Y927="No",$Y927="NOT FOUND")),"YES",""))</f>
        <v/>
      </c>
      <c r="AM927" s="85">
        <f>IF($A927="","",TRIM(IF(AND($P927=0,$I927&lt;&gt;"Yes"),"T0-NoPhishResistant ","")&amp;IF($H927="No","NoMFA ","")&amp;IF(AND($P927=0,$M927&gt;0),"T0-Standing ","")&amp;IF(AND($P927=0,$Q927="Group only"),"T0-ViaGroupOnly ","")&amp;IF($W927="Yes","AlsoAzureRBAC ","")))</f>
        <v/>
      </c>
      <c r="AN927" s="85">
        <f>IF($A927="","",IF(AG927="","Not Enrolled",IF(TODAY()&gt;AG927,"Review Overdue",IF(AG927-TODAY()&lt;=30,"Review Due Soon","Active"))))</f>
        <v/>
      </c>
      <c r="AO927" s="85">
        <f>IF($A927="","",IF(AH927="","NOT REVIEWED",IF(TODAY()-AH927&gt;90,"OVERDUE",IF(TODAY()-AH927&gt;76,"Due Soon","Current"))))</f>
        <v/>
      </c>
    </row>
    <row r="928" ht="15" customHeight="1" s="39">
      <c r="A928" s="85" t="n"/>
      <c r="B928" s="85" t="n"/>
      <c r="C928" s="85" t="n"/>
      <c r="D928" s="85" t="n"/>
      <c r="E928" s="85" t="n"/>
      <c r="F928" s="86" t="n"/>
      <c r="G928" s="86" t="n"/>
      <c r="H928" s="85" t="n"/>
      <c r="I928" s="85" t="n"/>
      <c r="J928" s="85" t="n"/>
      <c r="K928" s="85" t="n"/>
      <c r="L928" s="85" t="n"/>
      <c r="M928" s="85" t="n"/>
      <c r="N928" s="85" t="n"/>
      <c r="O928" s="85" t="n"/>
      <c r="P928" s="85" t="n"/>
      <c r="Q928" s="85" t="n"/>
      <c r="R928" s="85" t="n"/>
      <c r="S928" s="85" t="n"/>
      <c r="T928" s="85" t="n"/>
      <c r="U928" s="85" t="n"/>
      <c r="V928" s="85" t="n"/>
      <c r="W928" s="85" t="n"/>
      <c r="X928" s="85" t="n"/>
      <c r="Y928" s="85" t="n"/>
      <c r="Z928" s="85" t="n"/>
      <c r="AA928" s="85" t="n"/>
      <c r="AB928" s="85" t="n"/>
      <c r="AC928" s="85" t="n"/>
      <c r="AD928" s="85" t="n"/>
      <c r="AE928" s="85" t="n"/>
      <c r="AF928" s="86" t="n"/>
      <c r="AG928" s="86" t="n"/>
      <c r="AH928" s="86" t="n"/>
      <c r="AI928" s="85" t="n"/>
      <c r="AJ928" s="85" t="n"/>
      <c r="AK928" s="85">
        <f>IF($A928="","",IF($M928&gt;0,"Yes","No"))</f>
        <v/>
      </c>
      <c r="AL928" s="85">
        <f>IF($A928="","",IF(AND($E928="Yes",OR($Y928="No",$Y928="NOT FOUND")),"YES",""))</f>
        <v/>
      </c>
      <c r="AM928" s="85">
        <f>IF($A928="","",TRIM(IF(AND($P928=0,$I928&lt;&gt;"Yes"),"T0-NoPhishResistant ","")&amp;IF($H928="No","NoMFA ","")&amp;IF(AND($P928=0,$M928&gt;0),"T0-Standing ","")&amp;IF(AND($P928=0,$Q928="Group only"),"T0-ViaGroupOnly ","")&amp;IF($W928="Yes","AlsoAzureRBAC ","")))</f>
        <v/>
      </c>
      <c r="AN928" s="85">
        <f>IF($A928="","",IF(AG928="","Not Enrolled",IF(TODAY()&gt;AG928,"Review Overdue",IF(AG928-TODAY()&lt;=30,"Review Due Soon","Active"))))</f>
        <v/>
      </c>
      <c r="AO928" s="85">
        <f>IF($A928="","",IF(AH928="","NOT REVIEWED",IF(TODAY()-AH928&gt;90,"OVERDUE",IF(TODAY()-AH928&gt;76,"Due Soon","Current"))))</f>
        <v/>
      </c>
    </row>
    <row r="929" ht="15" customHeight="1" s="39">
      <c r="A929" s="85" t="n"/>
      <c r="B929" s="85" t="n"/>
      <c r="C929" s="85" t="n"/>
      <c r="D929" s="85" t="n"/>
      <c r="E929" s="85" t="n"/>
      <c r="F929" s="86" t="n"/>
      <c r="G929" s="86" t="n"/>
      <c r="H929" s="85" t="n"/>
      <c r="I929" s="85" t="n"/>
      <c r="J929" s="85" t="n"/>
      <c r="K929" s="85" t="n"/>
      <c r="L929" s="85" t="n"/>
      <c r="M929" s="85" t="n"/>
      <c r="N929" s="85" t="n"/>
      <c r="O929" s="85" t="n"/>
      <c r="P929" s="85" t="n"/>
      <c r="Q929" s="85" t="n"/>
      <c r="R929" s="85" t="n"/>
      <c r="S929" s="85" t="n"/>
      <c r="T929" s="85" t="n"/>
      <c r="U929" s="85" t="n"/>
      <c r="V929" s="85" t="n"/>
      <c r="W929" s="85" t="n"/>
      <c r="X929" s="85" t="n"/>
      <c r="Y929" s="85" t="n"/>
      <c r="Z929" s="85" t="n"/>
      <c r="AA929" s="85" t="n"/>
      <c r="AB929" s="85" t="n"/>
      <c r="AC929" s="85" t="n"/>
      <c r="AD929" s="85" t="n"/>
      <c r="AE929" s="85" t="n"/>
      <c r="AF929" s="86" t="n"/>
      <c r="AG929" s="86" t="n"/>
      <c r="AH929" s="86" t="n"/>
      <c r="AI929" s="85" t="n"/>
      <c r="AJ929" s="85" t="n"/>
      <c r="AK929" s="85">
        <f>IF($A929="","",IF($M929&gt;0,"Yes","No"))</f>
        <v/>
      </c>
      <c r="AL929" s="85">
        <f>IF($A929="","",IF(AND($E929="Yes",OR($Y929="No",$Y929="NOT FOUND")),"YES",""))</f>
        <v/>
      </c>
      <c r="AM929" s="85">
        <f>IF($A929="","",TRIM(IF(AND($P929=0,$I929&lt;&gt;"Yes"),"T0-NoPhishResistant ","")&amp;IF($H929="No","NoMFA ","")&amp;IF(AND($P929=0,$M929&gt;0),"T0-Standing ","")&amp;IF(AND($P929=0,$Q929="Group only"),"T0-ViaGroupOnly ","")&amp;IF($W929="Yes","AlsoAzureRBAC ","")))</f>
        <v/>
      </c>
      <c r="AN929" s="85">
        <f>IF($A929="","",IF(AG929="","Not Enrolled",IF(TODAY()&gt;AG929,"Review Overdue",IF(AG929-TODAY()&lt;=30,"Review Due Soon","Active"))))</f>
        <v/>
      </c>
      <c r="AO929" s="85">
        <f>IF($A929="","",IF(AH929="","NOT REVIEWED",IF(TODAY()-AH929&gt;90,"OVERDUE",IF(TODAY()-AH929&gt;76,"Due Soon","Current"))))</f>
        <v/>
      </c>
    </row>
    <row r="930" ht="15" customHeight="1" s="39">
      <c r="A930" s="85" t="n"/>
      <c r="B930" s="85" t="n"/>
      <c r="C930" s="85" t="n"/>
      <c r="D930" s="85" t="n"/>
      <c r="E930" s="85" t="n"/>
      <c r="F930" s="86" t="n"/>
      <c r="G930" s="86" t="n"/>
      <c r="H930" s="85" t="n"/>
      <c r="I930" s="85" t="n"/>
      <c r="J930" s="85" t="n"/>
      <c r="K930" s="85" t="n"/>
      <c r="L930" s="85" t="n"/>
      <c r="M930" s="85" t="n"/>
      <c r="N930" s="85" t="n"/>
      <c r="O930" s="85" t="n"/>
      <c r="P930" s="85" t="n"/>
      <c r="Q930" s="85" t="n"/>
      <c r="R930" s="85" t="n"/>
      <c r="S930" s="85" t="n"/>
      <c r="T930" s="85" t="n"/>
      <c r="U930" s="85" t="n"/>
      <c r="V930" s="85" t="n"/>
      <c r="W930" s="85" t="n"/>
      <c r="X930" s="85" t="n"/>
      <c r="Y930" s="85" t="n"/>
      <c r="Z930" s="85" t="n"/>
      <c r="AA930" s="85" t="n"/>
      <c r="AB930" s="85" t="n"/>
      <c r="AC930" s="85" t="n"/>
      <c r="AD930" s="85" t="n"/>
      <c r="AE930" s="85" t="n"/>
      <c r="AF930" s="86" t="n"/>
      <c r="AG930" s="86" t="n"/>
      <c r="AH930" s="86" t="n"/>
      <c r="AI930" s="85" t="n"/>
      <c r="AJ930" s="85" t="n"/>
      <c r="AK930" s="85">
        <f>IF($A930="","",IF($M930&gt;0,"Yes","No"))</f>
        <v/>
      </c>
      <c r="AL930" s="85">
        <f>IF($A930="","",IF(AND($E930="Yes",OR($Y930="No",$Y930="NOT FOUND")),"YES",""))</f>
        <v/>
      </c>
      <c r="AM930" s="85">
        <f>IF($A930="","",TRIM(IF(AND($P930=0,$I930&lt;&gt;"Yes"),"T0-NoPhishResistant ","")&amp;IF($H930="No","NoMFA ","")&amp;IF(AND($P930=0,$M930&gt;0),"T0-Standing ","")&amp;IF(AND($P930=0,$Q930="Group only"),"T0-ViaGroupOnly ","")&amp;IF($W930="Yes","AlsoAzureRBAC ","")))</f>
        <v/>
      </c>
      <c r="AN930" s="85">
        <f>IF($A930="","",IF(AG930="","Not Enrolled",IF(TODAY()&gt;AG930,"Review Overdue",IF(AG930-TODAY()&lt;=30,"Review Due Soon","Active"))))</f>
        <v/>
      </c>
      <c r="AO930" s="85">
        <f>IF($A930="","",IF(AH930="","NOT REVIEWED",IF(TODAY()-AH930&gt;90,"OVERDUE",IF(TODAY()-AH930&gt;76,"Due Soon","Current"))))</f>
        <v/>
      </c>
    </row>
    <row r="931" ht="15" customHeight="1" s="39">
      <c r="A931" s="85" t="n"/>
      <c r="B931" s="85" t="n"/>
      <c r="C931" s="85" t="n"/>
      <c r="D931" s="85" t="n"/>
      <c r="E931" s="85" t="n"/>
      <c r="F931" s="86" t="n"/>
      <c r="G931" s="86" t="n"/>
      <c r="H931" s="85" t="n"/>
      <c r="I931" s="85" t="n"/>
      <c r="J931" s="85" t="n"/>
      <c r="K931" s="85" t="n"/>
      <c r="L931" s="85" t="n"/>
      <c r="M931" s="85" t="n"/>
      <c r="N931" s="85" t="n"/>
      <c r="O931" s="85" t="n"/>
      <c r="P931" s="85" t="n"/>
      <c r="Q931" s="85" t="n"/>
      <c r="R931" s="85" t="n"/>
      <c r="S931" s="85" t="n"/>
      <c r="T931" s="85" t="n"/>
      <c r="U931" s="85" t="n"/>
      <c r="V931" s="85" t="n"/>
      <c r="W931" s="85" t="n"/>
      <c r="X931" s="85" t="n"/>
      <c r="Y931" s="85" t="n"/>
      <c r="Z931" s="85" t="n"/>
      <c r="AA931" s="85" t="n"/>
      <c r="AB931" s="85" t="n"/>
      <c r="AC931" s="85" t="n"/>
      <c r="AD931" s="85" t="n"/>
      <c r="AE931" s="85" t="n"/>
      <c r="AF931" s="86" t="n"/>
      <c r="AG931" s="86" t="n"/>
      <c r="AH931" s="86" t="n"/>
      <c r="AI931" s="85" t="n"/>
      <c r="AJ931" s="85" t="n"/>
      <c r="AK931" s="85">
        <f>IF($A931="","",IF($M931&gt;0,"Yes","No"))</f>
        <v/>
      </c>
      <c r="AL931" s="85">
        <f>IF($A931="","",IF(AND($E931="Yes",OR($Y931="No",$Y931="NOT FOUND")),"YES",""))</f>
        <v/>
      </c>
      <c r="AM931" s="85">
        <f>IF($A931="","",TRIM(IF(AND($P931=0,$I931&lt;&gt;"Yes"),"T0-NoPhishResistant ","")&amp;IF($H931="No","NoMFA ","")&amp;IF(AND($P931=0,$M931&gt;0),"T0-Standing ","")&amp;IF(AND($P931=0,$Q931="Group only"),"T0-ViaGroupOnly ","")&amp;IF($W931="Yes","AlsoAzureRBAC ","")))</f>
        <v/>
      </c>
      <c r="AN931" s="85">
        <f>IF($A931="","",IF(AG931="","Not Enrolled",IF(TODAY()&gt;AG931,"Review Overdue",IF(AG931-TODAY()&lt;=30,"Review Due Soon","Active"))))</f>
        <v/>
      </c>
      <c r="AO931" s="85">
        <f>IF($A931="","",IF(AH931="","NOT REVIEWED",IF(TODAY()-AH931&gt;90,"OVERDUE",IF(TODAY()-AH931&gt;76,"Due Soon","Current"))))</f>
        <v/>
      </c>
    </row>
    <row r="932" ht="15" customHeight="1" s="39">
      <c r="A932" s="85" t="n"/>
      <c r="B932" s="85" t="n"/>
      <c r="C932" s="85" t="n"/>
      <c r="D932" s="85" t="n"/>
      <c r="E932" s="85" t="n"/>
      <c r="F932" s="86" t="n"/>
      <c r="G932" s="86" t="n"/>
      <c r="H932" s="85" t="n"/>
      <c r="I932" s="85" t="n"/>
      <c r="J932" s="85" t="n"/>
      <c r="K932" s="85" t="n"/>
      <c r="L932" s="85" t="n"/>
      <c r="M932" s="85" t="n"/>
      <c r="N932" s="85" t="n"/>
      <c r="O932" s="85" t="n"/>
      <c r="P932" s="85" t="n"/>
      <c r="Q932" s="85" t="n"/>
      <c r="R932" s="85" t="n"/>
      <c r="S932" s="85" t="n"/>
      <c r="T932" s="85" t="n"/>
      <c r="U932" s="85" t="n"/>
      <c r="V932" s="85" t="n"/>
      <c r="W932" s="85" t="n"/>
      <c r="X932" s="85" t="n"/>
      <c r="Y932" s="85" t="n"/>
      <c r="Z932" s="85" t="n"/>
      <c r="AA932" s="85" t="n"/>
      <c r="AB932" s="85" t="n"/>
      <c r="AC932" s="85" t="n"/>
      <c r="AD932" s="85" t="n"/>
      <c r="AE932" s="85" t="n"/>
      <c r="AF932" s="86" t="n"/>
      <c r="AG932" s="86" t="n"/>
      <c r="AH932" s="86" t="n"/>
      <c r="AI932" s="85" t="n"/>
      <c r="AJ932" s="85" t="n"/>
      <c r="AK932" s="85">
        <f>IF($A932="","",IF($M932&gt;0,"Yes","No"))</f>
        <v/>
      </c>
      <c r="AL932" s="85">
        <f>IF($A932="","",IF(AND($E932="Yes",OR($Y932="No",$Y932="NOT FOUND")),"YES",""))</f>
        <v/>
      </c>
      <c r="AM932" s="85">
        <f>IF($A932="","",TRIM(IF(AND($P932=0,$I932&lt;&gt;"Yes"),"T0-NoPhishResistant ","")&amp;IF($H932="No","NoMFA ","")&amp;IF(AND($P932=0,$M932&gt;0),"T0-Standing ","")&amp;IF(AND($P932=0,$Q932="Group only"),"T0-ViaGroupOnly ","")&amp;IF($W932="Yes","AlsoAzureRBAC ","")))</f>
        <v/>
      </c>
      <c r="AN932" s="85">
        <f>IF($A932="","",IF(AG932="","Not Enrolled",IF(TODAY()&gt;AG932,"Review Overdue",IF(AG932-TODAY()&lt;=30,"Review Due Soon","Active"))))</f>
        <v/>
      </c>
      <c r="AO932" s="85">
        <f>IF($A932="","",IF(AH932="","NOT REVIEWED",IF(TODAY()-AH932&gt;90,"OVERDUE",IF(TODAY()-AH932&gt;76,"Due Soon","Current"))))</f>
        <v/>
      </c>
    </row>
    <row r="933" ht="15" customHeight="1" s="39">
      <c r="A933" s="85" t="n"/>
      <c r="B933" s="85" t="n"/>
      <c r="C933" s="85" t="n"/>
      <c r="D933" s="85" t="n"/>
      <c r="E933" s="85" t="n"/>
      <c r="F933" s="86" t="n"/>
      <c r="G933" s="86" t="n"/>
      <c r="H933" s="85" t="n"/>
      <c r="I933" s="85" t="n"/>
      <c r="J933" s="85" t="n"/>
      <c r="K933" s="85" t="n"/>
      <c r="L933" s="85" t="n"/>
      <c r="M933" s="85" t="n"/>
      <c r="N933" s="85" t="n"/>
      <c r="O933" s="85" t="n"/>
      <c r="P933" s="85" t="n"/>
      <c r="Q933" s="85" t="n"/>
      <c r="R933" s="85" t="n"/>
      <c r="S933" s="85" t="n"/>
      <c r="T933" s="85" t="n"/>
      <c r="U933" s="85" t="n"/>
      <c r="V933" s="85" t="n"/>
      <c r="W933" s="85" t="n"/>
      <c r="X933" s="85" t="n"/>
      <c r="Y933" s="85" t="n"/>
      <c r="Z933" s="85" t="n"/>
      <c r="AA933" s="85" t="n"/>
      <c r="AB933" s="85" t="n"/>
      <c r="AC933" s="85" t="n"/>
      <c r="AD933" s="85" t="n"/>
      <c r="AE933" s="85" t="n"/>
      <c r="AF933" s="86" t="n"/>
      <c r="AG933" s="86" t="n"/>
      <c r="AH933" s="86" t="n"/>
      <c r="AI933" s="85" t="n"/>
      <c r="AJ933" s="85" t="n"/>
      <c r="AK933" s="85">
        <f>IF($A933="","",IF($M933&gt;0,"Yes","No"))</f>
        <v/>
      </c>
      <c r="AL933" s="85">
        <f>IF($A933="","",IF(AND($E933="Yes",OR($Y933="No",$Y933="NOT FOUND")),"YES",""))</f>
        <v/>
      </c>
      <c r="AM933" s="85">
        <f>IF($A933="","",TRIM(IF(AND($P933=0,$I933&lt;&gt;"Yes"),"T0-NoPhishResistant ","")&amp;IF($H933="No","NoMFA ","")&amp;IF(AND($P933=0,$M933&gt;0),"T0-Standing ","")&amp;IF(AND($P933=0,$Q933="Group only"),"T0-ViaGroupOnly ","")&amp;IF($W933="Yes","AlsoAzureRBAC ","")))</f>
        <v/>
      </c>
      <c r="AN933" s="85">
        <f>IF($A933="","",IF(AG933="","Not Enrolled",IF(TODAY()&gt;AG933,"Review Overdue",IF(AG933-TODAY()&lt;=30,"Review Due Soon","Active"))))</f>
        <v/>
      </c>
      <c r="AO933" s="85">
        <f>IF($A933="","",IF(AH933="","NOT REVIEWED",IF(TODAY()-AH933&gt;90,"OVERDUE",IF(TODAY()-AH933&gt;76,"Due Soon","Current"))))</f>
        <v/>
      </c>
    </row>
    <row r="934" ht="15" customHeight="1" s="39">
      <c r="A934" s="85" t="n"/>
      <c r="B934" s="85" t="n"/>
      <c r="C934" s="85" t="n"/>
      <c r="D934" s="85" t="n"/>
      <c r="E934" s="85" t="n"/>
      <c r="F934" s="86" t="n"/>
      <c r="G934" s="86" t="n"/>
      <c r="H934" s="85" t="n"/>
      <c r="I934" s="85" t="n"/>
      <c r="J934" s="85" t="n"/>
      <c r="K934" s="85" t="n"/>
      <c r="L934" s="85" t="n"/>
      <c r="M934" s="85" t="n"/>
      <c r="N934" s="85" t="n"/>
      <c r="O934" s="85" t="n"/>
      <c r="P934" s="85" t="n"/>
      <c r="Q934" s="85" t="n"/>
      <c r="R934" s="85" t="n"/>
      <c r="S934" s="85" t="n"/>
      <c r="T934" s="85" t="n"/>
      <c r="U934" s="85" t="n"/>
      <c r="V934" s="85" t="n"/>
      <c r="W934" s="85" t="n"/>
      <c r="X934" s="85" t="n"/>
      <c r="Y934" s="85" t="n"/>
      <c r="Z934" s="85" t="n"/>
      <c r="AA934" s="85" t="n"/>
      <c r="AB934" s="85" t="n"/>
      <c r="AC934" s="85" t="n"/>
      <c r="AD934" s="85" t="n"/>
      <c r="AE934" s="85" t="n"/>
      <c r="AF934" s="86" t="n"/>
      <c r="AG934" s="86" t="n"/>
      <c r="AH934" s="86" t="n"/>
      <c r="AI934" s="85" t="n"/>
      <c r="AJ934" s="85" t="n"/>
      <c r="AK934" s="85">
        <f>IF($A934="","",IF($M934&gt;0,"Yes","No"))</f>
        <v/>
      </c>
      <c r="AL934" s="85">
        <f>IF($A934="","",IF(AND($E934="Yes",OR($Y934="No",$Y934="NOT FOUND")),"YES",""))</f>
        <v/>
      </c>
      <c r="AM934" s="85">
        <f>IF($A934="","",TRIM(IF(AND($P934=0,$I934&lt;&gt;"Yes"),"T0-NoPhishResistant ","")&amp;IF($H934="No","NoMFA ","")&amp;IF(AND($P934=0,$M934&gt;0),"T0-Standing ","")&amp;IF(AND($P934=0,$Q934="Group only"),"T0-ViaGroupOnly ","")&amp;IF($W934="Yes","AlsoAzureRBAC ","")))</f>
        <v/>
      </c>
      <c r="AN934" s="85">
        <f>IF($A934="","",IF(AG934="","Not Enrolled",IF(TODAY()&gt;AG934,"Review Overdue",IF(AG934-TODAY()&lt;=30,"Review Due Soon","Active"))))</f>
        <v/>
      </c>
      <c r="AO934" s="85">
        <f>IF($A934="","",IF(AH934="","NOT REVIEWED",IF(TODAY()-AH934&gt;90,"OVERDUE",IF(TODAY()-AH934&gt;76,"Due Soon","Current"))))</f>
        <v/>
      </c>
    </row>
    <row r="935" ht="15" customHeight="1" s="39">
      <c r="A935" s="85" t="n"/>
      <c r="B935" s="85" t="n"/>
      <c r="C935" s="85" t="n"/>
      <c r="D935" s="85" t="n"/>
      <c r="E935" s="85" t="n"/>
      <c r="F935" s="86" t="n"/>
      <c r="G935" s="86" t="n"/>
      <c r="H935" s="85" t="n"/>
      <c r="I935" s="85" t="n"/>
      <c r="J935" s="85" t="n"/>
      <c r="K935" s="85" t="n"/>
      <c r="L935" s="85" t="n"/>
      <c r="M935" s="85" t="n"/>
      <c r="N935" s="85" t="n"/>
      <c r="O935" s="85" t="n"/>
      <c r="P935" s="85" t="n"/>
      <c r="Q935" s="85" t="n"/>
      <c r="R935" s="85" t="n"/>
      <c r="S935" s="85" t="n"/>
      <c r="T935" s="85" t="n"/>
      <c r="U935" s="85" t="n"/>
      <c r="V935" s="85" t="n"/>
      <c r="W935" s="85" t="n"/>
      <c r="X935" s="85" t="n"/>
      <c r="Y935" s="85" t="n"/>
      <c r="Z935" s="85" t="n"/>
      <c r="AA935" s="85" t="n"/>
      <c r="AB935" s="85" t="n"/>
      <c r="AC935" s="85" t="n"/>
      <c r="AD935" s="85" t="n"/>
      <c r="AE935" s="85" t="n"/>
      <c r="AF935" s="86" t="n"/>
      <c r="AG935" s="86" t="n"/>
      <c r="AH935" s="86" t="n"/>
      <c r="AI935" s="85" t="n"/>
      <c r="AJ935" s="85" t="n"/>
      <c r="AK935" s="85">
        <f>IF($A935="","",IF($M935&gt;0,"Yes","No"))</f>
        <v/>
      </c>
      <c r="AL935" s="85">
        <f>IF($A935="","",IF(AND($E935="Yes",OR($Y935="No",$Y935="NOT FOUND")),"YES",""))</f>
        <v/>
      </c>
      <c r="AM935" s="85">
        <f>IF($A935="","",TRIM(IF(AND($P935=0,$I935&lt;&gt;"Yes"),"T0-NoPhishResistant ","")&amp;IF($H935="No","NoMFA ","")&amp;IF(AND($P935=0,$M935&gt;0),"T0-Standing ","")&amp;IF(AND($P935=0,$Q935="Group only"),"T0-ViaGroupOnly ","")&amp;IF($W935="Yes","AlsoAzureRBAC ","")))</f>
        <v/>
      </c>
      <c r="AN935" s="85">
        <f>IF($A935="","",IF(AG935="","Not Enrolled",IF(TODAY()&gt;AG935,"Review Overdue",IF(AG935-TODAY()&lt;=30,"Review Due Soon","Active"))))</f>
        <v/>
      </c>
      <c r="AO935" s="85">
        <f>IF($A935="","",IF(AH935="","NOT REVIEWED",IF(TODAY()-AH935&gt;90,"OVERDUE",IF(TODAY()-AH935&gt;76,"Due Soon","Current"))))</f>
        <v/>
      </c>
    </row>
    <row r="936" ht="15" customHeight="1" s="39">
      <c r="A936" s="85" t="n"/>
      <c r="B936" s="85" t="n"/>
      <c r="C936" s="85" t="n"/>
      <c r="D936" s="85" t="n"/>
      <c r="E936" s="85" t="n"/>
      <c r="F936" s="86" t="n"/>
      <c r="G936" s="86" t="n"/>
      <c r="H936" s="85" t="n"/>
      <c r="I936" s="85" t="n"/>
      <c r="J936" s="85" t="n"/>
      <c r="K936" s="85" t="n"/>
      <c r="L936" s="85" t="n"/>
      <c r="M936" s="85" t="n"/>
      <c r="N936" s="85" t="n"/>
      <c r="O936" s="85" t="n"/>
      <c r="P936" s="85" t="n"/>
      <c r="Q936" s="85" t="n"/>
      <c r="R936" s="85" t="n"/>
      <c r="S936" s="85" t="n"/>
      <c r="T936" s="85" t="n"/>
      <c r="U936" s="85" t="n"/>
      <c r="V936" s="85" t="n"/>
      <c r="W936" s="85" t="n"/>
      <c r="X936" s="85" t="n"/>
      <c r="Y936" s="85" t="n"/>
      <c r="Z936" s="85" t="n"/>
      <c r="AA936" s="85" t="n"/>
      <c r="AB936" s="85" t="n"/>
      <c r="AC936" s="85" t="n"/>
      <c r="AD936" s="85" t="n"/>
      <c r="AE936" s="85" t="n"/>
      <c r="AF936" s="86" t="n"/>
      <c r="AG936" s="86" t="n"/>
      <c r="AH936" s="86" t="n"/>
      <c r="AI936" s="85" t="n"/>
      <c r="AJ936" s="85" t="n"/>
      <c r="AK936" s="85">
        <f>IF($A936="","",IF($M936&gt;0,"Yes","No"))</f>
        <v/>
      </c>
      <c r="AL936" s="85">
        <f>IF($A936="","",IF(AND($E936="Yes",OR($Y936="No",$Y936="NOT FOUND")),"YES",""))</f>
        <v/>
      </c>
      <c r="AM936" s="85">
        <f>IF($A936="","",TRIM(IF(AND($P936=0,$I936&lt;&gt;"Yes"),"T0-NoPhishResistant ","")&amp;IF($H936="No","NoMFA ","")&amp;IF(AND($P936=0,$M936&gt;0),"T0-Standing ","")&amp;IF(AND($P936=0,$Q936="Group only"),"T0-ViaGroupOnly ","")&amp;IF($W936="Yes","AlsoAzureRBAC ","")))</f>
        <v/>
      </c>
      <c r="AN936" s="85">
        <f>IF($A936="","",IF(AG936="","Not Enrolled",IF(TODAY()&gt;AG936,"Review Overdue",IF(AG936-TODAY()&lt;=30,"Review Due Soon","Active"))))</f>
        <v/>
      </c>
      <c r="AO936" s="85">
        <f>IF($A936="","",IF(AH936="","NOT REVIEWED",IF(TODAY()-AH936&gt;90,"OVERDUE",IF(TODAY()-AH936&gt;76,"Due Soon","Current"))))</f>
        <v/>
      </c>
    </row>
    <row r="937" ht="15" customHeight="1" s="39">
      <c r="A937" s="85" t="n"/>
      <c r="B937" s="85" t="n"/>
      <c r="C937" s="85" t="n"/>
      <c r="D937" s="85" t="n"/>
      <c r="E937" s="85" t="n"/>
      <c r="F937" s="86" t="n"/>
      <c r="G937" s="86" t="n"/>
      <c r="H937" s="85" t="n"/>
      <c r="I937" s="85" t="n"/>
      <c r="J937" s="85" t="n"/>
      <c r="K937" s="85" t="n"/>
      <c r="L937" s="85" t="n"/>
      <c r="M937" s="85" t="n"/>
      <c r="N937" s="85" t="n"/>
      <c r="O937" s="85" t="n"/>
      <c r="P937" s="85" t="n"/>
      <c r="Q937" s="85" t="n"/>
      <c r="R937" s="85" t="n"/>
      <c r="S937" s="85" t="n"/>
      <c r="T937" s="85" t="n"/>
      <c r="U937" s="85" t="n"/>
      <c r="V937" s="85" t="n"/>
      <c r="W937" s="85" t="n"/>
      <c r="X937" s="85" t="n"/>
      <c r="Y937" s="85" t="n"/>
      <c r="Z937" s="85" t="n"/>
      <c r="AA937" s="85" t="n"/>
      <c r="AB937" s="85" t="n"/>
      <c r="AC937" s="85" t="n"/>
      <c r="AD937" s="85" t="n"/>
      <c r="AE937" s="85" t="n"/>
      <c r="AF937" s="86" t="n"/>
      <c r="AG937" s="86" t="n"/>
      <c r="AH937" s="86" t="n"/>
      <c r="AI937" s="85" t="n"/>
      <c r="AJ937" s="85" t="n"/>
      <c r="AK937" s="85">
        <f>IF($A937="","",IF($M937&gt;0,"Yes","No"))</f>
        <v/>
      </c>
      <c r="AL937" s="85">
        <f>IF($A937="","",IF(AND($E937="Yes",OR($Y937="No",$Y937="NOT FOUND")),"YES",""))</f>
        <v/>
      </c>
      <c r="AM937" s="85">
        <f>IF($A937="","",TRIM(IF(AND($P937=0,$I937&lt;&gt;"Yes"),"T0-NoPhishResistant ","")&amp;IF($H937="No","NoMFA ","")&amp;IF(AND($P937=0,$M937&gt;0),"T0-Standing ","")&amp;IF(AND($P937=0,$Q937="Group only"),"T0-ViaGroupOnly ","")&amp;IF($W937="Yes","AlsoAzureRBAC ","")))</f>
        <v/>
      </c>
      <c r="AN937" s="85">
        <f>IF($A937="","",IF(AG937="","Not Enrolled",IF(TODAY()&gt;AG937,"Review Overdue",IF(AG937-TODAY()&lt;=30,"Review Due Soon","Active"))))</f>
        <v/>
      </c>
      <c r="AO937" s="85">
        <f>IF($A937="","",IF(AH937="","NOT REVIEWED",IF(TODAY()-AH937&gt;90,"OVERDUE",IF(TODAY()-AH937&gt;76,"Due Soon","Current"))))</f>
        <v/>
      </c>
    </row>
    <row r="938" ht="15" customHeight="1" s="39">
      <c r="A938" s="85" t="n"/>
      <c r="B938" s="85" t="n"/>
      <c r="C938" s="85" t="n"/>
      <c r="D938" s="85" t="n"/>
      <c r="E938" s="85" t="n"/>
      <c r="F938" s="86" t="n"/>
      <c r="G938" s="86" t="n"/>
      <c r="H938" s="85" t="n"/>
      <c r="I938" s="85" t="n"/>
      <c r="J938" s="85" t="n"/>
      <c r="K938" s="85" t="n"/>
      <c r="L938" s="85" t="n"/>
      <c r="M938" s="85" t="n"/>
      <c r="N938" s="85" t="n"/>
      <c r="O938" s="85" t="n"/>
      <c r="P938" s="85" t="n"/>
      <c r="Q938" s="85" t="n"/>
      <c r="R938" s="85" t="n"/>
      <c r="S938" s="85" t="n"/>
      <c r="T938" s="85" t="n"/>
      <c r="U938" s="85" t="n"/>
      <c r="V938" s="85" t="n"/>
      <c r="W938" s="85" t="n"/>
      <c r="X938" s="85" t="n"/>
      <c r="Y938" s="85" t="n"/>
      <c r="Z938" s="85" t="n"/>
      <c r="AA938" s="85" t="n"/>
      <c r="AB938" s="85" t="n"/>
      <c r="AC938" s="85" t="n"/>
      <c r="AD938" s="85" t="n"/>
      <c r="AE938" s="85" t="n"/>
      <c r="AF938" s="86" t="n"/>
      <c r="AG938" s="86" t="n"/>
      <c r="AH938" s="86" t="n"/>
      <c r="AI938" s="85" t="n"/>
      <c r="AJ938" s="85" t="n"/>
      <c r="AK938" s="85">
        <f>IF($A938="","",IF($M938&gt;0,"Yes","No"))</f>
        <v/>
      </c>
      <c r="AL938" s="85">
        <f>IF($A938="","",IF(AND($E938="Yes",OR($Y938="No",$Y938="NOT FOUND")),"YES",""))</f>
        <v/>
      </c>
      <c r="AM938" s="85">
        <f>IF($A938="","",TRIM(IF(AND($P938=0,$I938&lt;&gt;"Yes"),"T0-NoPhishResistant ","")&amp;IF($H938="No","NoMFA ","")&amp;IF(AND($P938=0,$M938&gt;0),"T0-Standing ","")&amp;IF(AND($P938=0,$Q938="Group only"),"T0-ViaGroupOnly ","")&amp;IF($W938="Yes","AlsoAzureRBAC ","")))</f>
        <v/>
      </c>
      <c r="AN938" s="85">
        <f>IF($A938="","",IF(AG938="","Not Enrolled",IF(TODAY()&gt;AG938,"Review Overdue",IF(AG938-TODAY()&lt;=30,"Review Due Soon","Active"))))</f>
        <v/>
      </c>
      <c r="AO938" s="85">
        <f>IF($A938="","",IF(AH938="","NOT REVIEWED",IF(TODAY()-AH938&gt;90,"OVERDUE",IF(TODAY()-AH938&gt;76,"Due Soon","Current"))))</f>
        <v/>
      </c>
    </row>
    <row r="939" ht="15" customHeight="1" s="39">
      <c r="A939" s="85" t="n"/>
      <c r="B939" s="85" t="n"/>
      <c r="C939" s="85" t="n"/>
      <c r="D939" s="85" t="n"/>
      <c r="E939" s="85" t="n"/>
      <c r="F939" s="86" t="n"/>
      <c r="G939" s="86" t="n"/>
      <c r="H939" s="85" t="n"/>
      <c r="I939" s="85" t="n"/>
      <c r="J939" s="85" t="n"/>
      <c r="K939" s="85" t="n"/>
      <c r="L939" s="85" t="n"/>
      <c r="M939" s="85" t="n"/>
      <c r="N939" s="85" t="n"/>
      <c r="O939" s="85" t="n"/>
      <c r="P939" s="85" t="n"/>
      <c r="Q939" s="85" t="n"/>
      <c r="R939" s="85" t="n"/>
      <c r="S939" s="85" t="n"/>
      <c r="T939" s="85" t="n"/>
      <c r="U939" s="85" t="n"/>
      <c r="V939" s="85" t="n"/>
      <c r="W939" s="85" t="n"/>
      <c r="X939" s="85" t="n"/>
      <c r="Y939" s="85" t="n"/>
      <c r="Z939" s="85" t="n"/>
      <c r="AA939" s="85" t="n"/>
      <c r="AB939" s="85" t="n"/>
      <c r="AC939" s="85" t="n"/>
      <c r="AD939" s="85" t="n"/>
      <c r="AE939" s="85" t="n"/>
      <c r="AF939" s="86" t="n"/>
      <c r="AG939" s="86" t="n"/>
      <c r="AH939" s="86" t="n"/>
      <c r="AI939" s="85" t="n"/>
      <c r="AJ939" s="85" t="n"/>
      <c r="AK939" s="85">
        <f>IF($A939="","",IF($M939&gt;0,"Yes","No"))</f>
        <v/>
      </c>
      <c r="AL939" s="85">
        <f>IF($A939="","",IF(AND($E939="Yes",OR($Y939="No",$Y939="NOT FOUND")),"YES",""))</f>
        <v/>
      </c>
      <c r="AM939" s="85">
        <f>IF($A939="","",TRIM(IF(AND($P939=0,$I939&lt;&gt;"Yes"),"T0-NoPhishResistant ","")&amp;IF($H939="No","NoMFA ","")&amp;IF(AND($P939=0,$M939&gt;0),"T0-Standing ","")&amp;IF(AND($P939=0,$Q939="Group only"),"T0-ViaGroupOnly ","")&amp;IF($W939="Yes","AlsoAzureRBAC ","")))</f>
        <v/>
      </c>
      <c r="AN939" s="85">
        <f>IF($A939="","",IF(AG939="","Not Enrolled",IF(TODAY()&gt;AG939,"Review Overdue",IF(AG939-TODAY()&lt;=30,"Review Due Soon","Active"))))</f>
        <v/>
      </c>
      <c r="AO939" s="85">
        <f>IF($A939="","",IF(AH939="","NOT REVIEWED",IF(TODAY()-AH939&gt;90,"OVERDUE",IF(TODAY()-AH939&gt;76,"Due Soon","Current"))))</f>
        <v/>
      </c>
    </row>
    <row r="940" ht="15" customHeight="1" s="39">
      <c r="A940" s="85" t="n"/>
      <c r="B940" s="85" t="n"/>
      <c r="C940" s="85" t="n"/>
      <c r="D940" s="85" t="n"/>
      <c r="E940" s="85" t="n"/>
      <c r="F940" s="86" t="n"/>
      <c r="G940" s="86" t="n"/>
      <c r="H940" s="85" t="n"/>
      <c r="I940" s="85" t="n"/>
      <c r="J940" s="85" t="n"/>
      <c r="K940" s="85" t="n"/>
      <c r="L940" s="85" t="n"/>
      <c r="M940" s="85" t="n"/>
      <c r="N940" s="85" t="n"/>
      <c r="O940" s="85" t="n"/>
      <c r="P940" s="85" t="n"/>
      <c r="Q940" s="85" t="n"/>
      <c r="R940" s="85" t="n"/>
      <c r="S940" s="85" t="n"/>
      <c r="T940" s="85" t="n"/>
      <c r="U940" s="85" t="n"/>
      <c r="V940" s="85" t="n"/>
      <c r="W940" s="85" t="n"/>
      <c r="X940" s="85" t="n"/>
      <c r="Y940" s="85" t="n"/>
      <c r="Z940" s="85" t="n"/>
      <c r="AA940" s="85" t="n"/>
      <c r="AB940" s="85" t="n"/>
      <c r="AC940" s="85" t="n"/>
      <c r="AD940" s="85" t="n"/>
      <c r="AE940" s="85" t="n"/>
      <c r="AF940" s="86" t="n"/>
      <c r="AG940" s="86" t="n"/>
      <c r="AH940" s="86" t="n"/>
      <c r="AI940" s="85" t="n"/>
      <c r="AJ940" s="85" t="n"/>
      <c r="AK940" s="85">
        <f>IF($A940="","",IF($M940&gt;0,"Yes","No"))</f>
        <v/>
      </c>
      <c r="AL940" s="85">
        <f>IF($A940="","",IF(AND($E940="Yes",OR($Y940="No",$Y940="NOT FOUND")),"YES",""))</f>
        <v/>
      </c>
      <c r="AM940" s="85">
        <f>IF($A940="","",TRIM(IF(AND($P940=0,$I940&lt;&gt;"Yes"),"T0-NoPhishResistant ","")&amp;IF($H940="No","NoMFA ","")&amp;IF(AND($P940=0,$M940&gt;0),"T0-Standing ","")&amp;IF(AND($P940=0,$Q940="Group only"),"T0-ViaGroupOnly ","")&amp;IF($W940="Yes","AlsoAzureRBAC ","")))</f>
        <v/>
      </c>
      <c r="AN940" s="85">
        <f>IF($A940="","",IF(AG940="","Not Enrolled",IF(TODAY()&gt;AG940,"Review Overdue",IF(AG940-TODAY()&lt;=30,"Review Due Soon","Active"))))</f>
        <v/>
      </c>
      <c r="AO940" s="85">
        <f>IF($A940="","",IF(AH940="","NOT REVIEWED",IF(TODAY()-AH940&gt;90,"OVERDUE",IF(TODAY()-AH940&gt;76,"Due Soon","Current"))))</f>
        <v/>
      </c>
    </row>
    <row r="941" ht="15" customHeight="1" s="39">
      <c r="A941" s="85" t="n"/>
      <c r="B941" s="85" t="n"/>
      <c r="C941" s="85" t="n"/>
      <c r="D941" s="85" t="n"/>
      <c r="E941" s="85" t="n"/>
      <c r="F941" s="86" t="n"/>
      <c r="G941" s="86" t="n"/>
      <c r="H941" s="85" t="n"/>
      <c r="I941" s="85" t="n"/>
      <c r="J941" s="85" t="n"/>
      <c r="K941" s="85" t="n"/>
      <c r="L941" s="85" t="n"/>
      <c r="M941" s="85" t="n"/>
      <c r="N941" s="85" t="n"/>
      <c r="O941" s="85" t="n"/>
      <c r="P941" s="85" t="n"/>
      <c r="Q941" s="85" t="n"/>
      <c r="R941" s="85" t="n"/>
      <c r="S941" s="85" t="n"/>
      <c r="T941" s="85" t="n"/>
      <c r="U941" s="85" t="n"/>
      <c r="V941" s="85" t="n"/>
      <c r="W941" s="85" t="n"/>
      <c r="X941" s="85" t="n"/>
      <c r="Y941" s="85" t="n"/>
      <c r="Z941" s="85" t="n"/>
      <c r="AA941" s="85" t="n"/>
      <c r="AB941" s="85" t="n"/>
      <c r="AC941" s="85" t="n"/>
      <c r="AD941" s="85" t="n"/>
      <c r="AE941" s="85" t="n"/>
      <c r="AF941" s="86" t="n"/>
      <c r="AG941" s="86" t="n"/>
      <c r="AH941" s="86" t="n"/>
      <c r="AI941" s="85" t="n"/>
      <c r="AJ941" s="85" t="n"/>
      <c r="AK941" s="85">
        <f>IF($A941="","",IF($M941&gt;0,"Yes","No"))</f>
        <v/>
      </c>
      <c r="AL941" s="85">
        <f>IF($A941="","",IF(AND($E941="Yes",OR($Y941="No",$Y941="NOT FOUND")),"YES",""))</f>
        <v/>
      </c>
      <c r="AM941" s="85">
        <f>IF($A941="","",TRIM(IF(AND($P941=0,$I941&lt;&gt;"Yes"),"T0-NoPhishResistant ","")&amp;IF($H941="No","NoMFA ","")&amp;IF(AND($P941=0,$M941&gt;0),"T0-Standing ","")&amp;IF(AND($P941=0,$Q941="Group only"),"T0-ViaGroupOnly ","")&amp;IF($W941="Yes","AlsoAzureRBAC ","")))</f>
        <v/>
      </c>
      <c r="AN941" s="85">
        <f>IF($A941="","",IF(AG941="","Not Enrolled",IF(TODAY()&gt;AG941,"Review Overdue",IF(AG941-TODAY()&lt;=30,"Review Due Soon","Active"))))</f>
        <v/>
      </c>
      <c r="AO941" s="85">
        <f>IF($A941="","",IF(AH941="","NOT REVIEWED",IF(TODAY()-AH941&gt;90,"OVERDUE",IF(TODAY()-AH941&gt;76,"Due Soon","Current"))))</f>
        <v/>
      </c>
    </row>
    <row r="942" ht="15" customHeight="1" s="39">
      <c r="A942" s="85" t="n"/>
      <c r="B942" s="85" t="n"/>
      <c r="C942" s="85" t="n"/>
      <c r="D942" s="85" t="n"/>
      <c r="E942" s="85" t="n"/>
      <c r="F942" s="86" t="n"/>
      <c r="G942" s="86" t="n"/>
      <c r="H942" s="85" t="n"/>
      <c r="I942" s="85" t="n"/>
      <c r="J942" s="85" t="n"/>
      <c r="K942" s="85" t="n"/>
      <c r="L942" s="85" t="n"/>
      <c r="M942" s="85" t="n"/>
      <c r="N942" s="85" t="n"/>
      <c r="O942" s="85" t="n"/>
      <c r="P942" s="85" t="n"/>
      <c r="Q942" s="85" t="n"/>
      <c r="R942" s="85" t="n"/>
      <c r="S942" s="85" t="n"/>
      <c r="T942" s="85" t="n"/>
      <c r="U942" s="85" t="n"/>
      <c r="V942" s="85" t="n"/>
      <c r="W942" s="85" t="n"/>
      <c r="X942" s="85" t="n"/>
      <c r="Y942" s="85" t="n"/>
      <c r="Z942" s="85" t="n"/>
      <c r="AA942" s="85" t="n"/>
      <c r="AB942" s="85" t="n"/>
      <c r="AC942" s="85" t="n"/>
      <c r="AD942" s="85" t="n"/>
      <c r="AE942" s="85" t="n"/>
      <c r="AF942" s="86" t="n"/>
      <c r="AG942" s="86" t="n"/>
      <c r="AH942" s="86" t="n"/>
      <c r="AI942" s="85" t="n"/>
      <c r="AJ942" s="85" t="n"/>
      <c r="AK942" s="85">
        <f>IF($A942="","",IF($M942&gt;0,"Yes","No"))</f>
        <v/>
      </c>
      <c r="AL942" s="85">
        <f>IF($A942="","",IF(AND($E942="Yes",OR($Y942="No",$Y942="NOT FOUND")),"YES",""))</f>
        <v/>
      </c>
      <c r="AM942" s="85">
        <f>IF($A942="","",TRIM(IF(AND($P942=0,$I942&lt;&gt;"Yes"),"T0-NoPhishResistant ","")&amp;IF($H942="No","NoMFA ","")&amp;IF(AND($P942=0,$M942&gt;0),"T0-Standing ","")&amp;IF(AND($P942=0,$Q942="Group only"),"T0-ViaGroupOnly ","")&amp;IF($W942="Yes","AlsoAzureRBAC ","")))</f>
        <v/>
      </c>
      <c r="AN942" s="85">
        <f>IF($A942="","",IF(AG942="","Not Enrolled",IF(TODAY()&gt;AG942,"Review Overdue",IF(AG942-TODAY()&lt;=30,"Review Due Soon","Active"))))</f>
        <v/>
      </c>
      <c r="AO942" s="85">
        <f>IF($A942="","",IF(AH942="","NOT REVIEWED",IF(TODAY()-AH942&gt;90,"OVERDUE",IF(TODAY()-AH942&gt;76,"Due Soon","Current"))))</f>
        <v/>
      </c>
    </row>
    <row r="943" ht="15" customHeight="1" s="39">
      <c r="A943" s="85" t="n"/>
      <c r="B943" s="85" t="n"/>
      <c r="C943" s="85" t="n"/>
      <c r="D943" s="85" t="n"/>
      <c r="E943" s="85" t="n"/>
      <c r="F943" s="86" t="n"/>
      <c r="G943" s="86" t="n"/>
      <c r="H943" s="85" t="n"/>
      <c r="I943" s="85" t="n"/>
      <c r="J943" s="85" t="n"/>
      <c r="K943" s="85" t="n"/>
      <c r="L943" s="85" t="n"/>
      <c r="M943" s="85" t="n"/>
      <c r="N943" s="85" t="n"/>
      <c r="O943" s="85" t="n"/>
      <c r="P943" s="85" t="n"/>
      <c r="Q943" s="85" t="n"/>
      <c r="R943" s="85" t="n"/>
      <c r="S943" s="85" t="n"/>
      <c r="T943" s="85" t="n"/>
      <c r="U943" s="85" t="n"/>
      <c r="V943" s="85" t="n"/>
      <c r="W943" s="85" t="n"/>
      <c r="X943" s="85" t="n"/>
      <c r="Y943" s="85" t="n"/>
      <c r="Z943" s="85" t="n"/>
      <c r="AA943" s="85" t="n"/>
      <c r="AB943" s="85" t="n"/>
      <c r="AC943" s="85" t="n"/>
      <c r="AD943" s="85" t="n"/>
      <c r="AE943" s="85" t="n"/>
      <c r="AF943" s="86" t="n"/>
      <c r="AG943" s="86" t="n"/>
      <c r="AH943" s="86" t="n"/>
      <c r="AI943" s="85" t="n"/>
      <c r="AJ943" s="85" t="n"/>
      <c r="AK943" s="85">
        <f>IF($A943="","",IF($M943&gt;0,"Yes","No"))</f>
        <v/>
      </c>
      <c r="AL943" s="85">
        <f>IF($A943="","",IF(AND($E943="Yes",OR($Y943="No",$Y943="NOT FOUND")),"YES",""))</f>
        <v/>
      </c>
      <c r="AM943" s="85">
        <f>IF($A943="","",TRIM(IF(AND($P943=0,$I943&lt;&gt;"Yes"),"T0-NoPhishResistant ","")&amp;IF($H943="No","NoMFA ","")&amp;IF(AND($P943=0,$M943&gt;0),"T0-Standing ","")&amp;IF(AND($P943=0,$Q943="Group only"),"T0-ViaGroupOnly ","")&amp;IF($W943="Yes","AlsoAzureRBAC ","")))</f>
        <v/>
      </c>
      <c r="AN943" s="85">
        <f>IF($A943="","",IF(AG943="","Not Enrolled",IF(TODAY()&gt;AG943,"Review Overdue",IF(AG943-TODAY()&lt;=30,"Review Due Soon","Active"))))</f>
        <v/>
      </c>
      <c r="AO943" s="85">
        <f>IF($A943="","",IF(AH943="","NOT REVIEWED",IF(TODAY()-AH943&gt;90,"OVERDUE",IF(TODAY()-AH943&gt;76,"Due Soon","Current"))))</f>
        <v/>
      </c>
    </row>
    <row r="944" ht="15" customHeight="1" s="39">
      <c r="A944" s="85" t="n"/>
      <c r="B944" s="85" t="n"/>
      <c r="C944" s="85" t="n"/>
      <c r="D944" s="85" t="n"/>
      <c r="E944" s="85" t="n"/>
      <c r="F944" s="86" t="n"/>
      <c r="G944" s="86" t="n"/>
      <c r="H944" s="85" t="n"/>
      <c r="I944" s="85" t="n"/>
      <c r="J944" s="85" t="n"/>
      <c r="K944" s="85" t="n"/>
      <c r="L944" s="85" t="n"/>
      <c r="M944" s="85" t="n"/>
      <c r="N944" s="85" t="n"/>
      <c r="O944" s="85" t="n"/>
      <c r="P944" s="85" t="n"/>
      <c r="Q944" s="85" t="n"/>
      <c r="R944" s="85" t="n"/>
      <c r="S944" s="85" t="n"/>
      <c r="T944" s="85" t="n"/>
      <c r="U944" s="85" t="n"/>
      <c r="V944" s="85" t="n"/>
      <c r="W944" s="85" t="n"/>
      <c r="X944" s="85" t="n"/>
      <c r="Y944" s="85" t="n"/>
      <c r="Z944" s="85" t="n"/>
      <c r="AA944" s="85" t="n"/>
      <c r="AB944" s="85" t="n"/>
      <c r="AC944" s="85" t="n"/>
      <c r="AD944" s="85" t="n"/>
      <c r="AE944" s="85" t="n"/>
      <c r="AF944" s="86" t="n"/>
      <c r="AG944" s="86" t="n"/>
      <c r="AH944" s="86" t="n"/>
      <c r="AI944" s="85" t="n"/>
      <c r="AJ944" s="85" t="n"/>
      <c r="AK944" s="85">
        <f>IF($A944="","",IF($M944&gt;0,"Yes","No"))</f>
        <v/>
      </c>
      <c r="AL944" s="85">
        <f>IF($A944="","",IF(AND($E944="Yes",OR($Y944="No",$Y944="NOT FOUND")),"YES",""))</f>
        <v/>
      </c>
      <c r="AM944" s="85">
        <f>IF($A944="","",TRIM(IF(AND($P944=0,$I944&lt;&gt;"Yes"),"T0-NoPhishResistant ","")&amp;IF($H944="No","NoMFA ","")&amp;IF(AND($P944=0,$M944&gt;0),"T0-Standing ","")&amp;IF(AND($P944=0,$Q944="Group only"),"T0-ViaGroupOnly ","")&amp;IF($W944="Yes","AlsoAzureRBAC ","")))</f>
        <v/>
      </c>
      <c r="AN944" s="85">
        <f>IF($A944="","",IF(AG944="","Not Enrolled",IF(TODAY()&gt;AG944,"Review Overdue",IF(AG944-TODAY()&lt;=30,"Review Due Soon","Active"))))</f>
        <v/>
      </c>
      <c r="AO944" s="85">
        <f>IF($A944="","",IF(AH944="","NOT REVIEWED",IF(TODAY()-AH944&gt;90,"OVERDUE",IF(TODAY()-AH944&gt;76,"Due Soon","Current"))))</f>
        <v/>
      </c>
    </row>
    <row r="945" ht="15" customHeight="1" s="39">
      <c r="A945" s="85" t="n"/>
      <c r="B945" s="85" t="n"/>
      <c r="C945" s="85" t="n"/>
      <c r="D945" s="85" t="n"/>
      <c r="E945" s="85" t="n"/>
      <c r="F945" s="86" t="n"/>
      <c r="G945" s="86" t="n"/>
      <c r="H945" s="85" t="n"/>
      <c r="I945" s="85" t="n"/>
      <c r="J945" s="85" t="n"/>
      <c r="K945" s="85" t="n"/>
      <c r="L945" s="85" t="n"/>
      <c r="M945" s="85" t="n"/>
      <c r="N945" s="85" t="n"/>
      <c r="O945" s="85" t="n"/>
      <c r="P945" s="85" t="n"/>
      <c r="Q945" s="85" t="n"/>
      <c r="R945" s="85" t="n"/>
      <c r="S945" s="85" t="n"/>
      <c r="T945" s="85" t="n"/>
      <c r="U945" s="85" t="n"/>
      <c r="V945" s="85" t="n"/>
      <c r="W945" s="85" t="n"/>
      <c r="X945" s="85" t="n"/>
      <c r="Y945" s="85" t="n"/>
      <c r="Z945" s="85" t="n"/>
      <c r="AA945" s="85" t="n"/>
      <c r="AB945" s="85" t="n"/>
      <c r="AC945" s="85" t="n"/>
      <c r="AD945" s="85" t="n"/>
      <c r="AE945" s="85" t="n"/>
      <c r="AF945" s="86" t="n"/>
      <c r="AG945" s="86" t="n"/>
      <c r="AH945" s="86" t="n"/>
      <c r="AI945" s="85" t="n"/>
      <c r="AJ945" s="85" t="n"/>
      <c r="AK945" s="85">
        <f>IF($A945="","",IF($M945&gt;0,"Yes","No"))</f>
        <v/>
      </c>
      <c r="AL945" s="85">
        <f>IF($A945="","",IF(AND($E945="Yes",OR($Y945="No",$Y945="NOT FOUND")),"YES",""))</f>
        <v/>
      </c>
      <c r="AM945" s="85">
        <f>IF($A945="","",TRIM(IF(AND($P945=0,$I945&lt;&gt;"Yes"),"T0-NoPhishResistant ","")&amp;IF($H945="No","NoMFA ","")&amp;IF(AND($P945=0,$M945&gt;0),"T0-Standing ","")&amp;IF(AND($P945=0,$Q945="Group only"),"T0-ViaGroupOnly ","")&amp;IF($W945="Yes","AlsoAzureRBAC ","")))</f>
        <v/>
      </c>
      <c r="AN945" s="85">
        <f>IF($A945="","",IF(AG945="","Not Enrolled",IF(TODAY()&gt;AG945,"Review Overdue",IF(AG945-TODAY()&lt;=30,"Review Due Soon","Active"))))</f>
        <v/>
      </c>
      <c r="AO945" s="85">
        <f>IF($A945="","",IF(AH945="","NOT REVIEWED",IF(TODAY()-AH945&gt;90,"OVERDUE",IF(TODAY()-AH945&gt;76,"Due Soon","Current"))))</f>
        <v/>
      </c>
    </row>
    <row r="946" ht="15" customHeight="1" s="39">
      <c r="A946" s="85" t="n"/>
      <c r="B946" s="85" t="n"/>
      <c r="C946" s="85" t="n"/>
      <c r="D946" s="85" t="n"/>
      <c r="E946" s="85" t="n"/>
      <c r="F946" s="86" t="n"/>
      <c r="G946" s="86" t="n"/>
      <c r="H946" s="85" t="n"/>
      <c r="I946" s="85" t="n"/>
      <c r="J946" s="85" t="n"/>
      <c r="K946" s="85" t="n"/>
      <c r="L946" s="85" t="n"/>
      <c r="M946" s="85" t="n"/>
      <c r="N946" s="85" t="n"/>
      <c r="O946" s="85" t="n"/>
      <c r="P946" s="85" t="n"/>
      <c r="Q946" s="85" t="n"/>
      <c r="R946" s="85" t="n"/>
      <c r="S946" s="85" t="n"/>
      <c r="T946" s="85" t="n"/>
      <c r="U946" s="85" t="n"/>
      <c r="V946" s="85" t="n"/>
      <c r="W946" s="85" t="n"/>
      <c r="X946" s="85" t="n"/>
      <c r="Y946" s="85" t="n"/>
      <c r="Z946" s="85" t="n"/>
      <c r="AA946" s="85" t="n"/>
      <c r="AB946" s="85" t="n"/>
      <c r="AC946" s="85" t="n"/>
      <c r="AD946" s="85" t="n"/>
      <c r="AE946" s="85" t="n"/>
      <c r="AF946" s="86" t="n"/>
      <c r="AG946" s="86" t="n"/>
      <c r="AH946" s="86" t="n"/>
      <c r="AI946" s="85" t="n"/>
      <c r="AJ946" s="85" t="n"/>
      <c r="AK946" s="85">
        <f>IF($A946="","",IF($M946&gt;0,"Yes","No"))</f>
        <v/>
      </c>
      <c r="AL946" s="85">
        <f>IF($A946="","",IF(AND($E946="Yes",OR($Y946="No",$Y946="NOT FOUND")),"YES",""))</f>
        <v/>
      </c>
      <c r="AM946" s="85">
        <f>IF($A946="","",TRIM(IF(AND($P946=0,$I946&lt;&gt;"Yes"),"T0-NoPhishResistant ","")&amp;IF($H946="No","NoMFA ","")&amp;IF(AND($P946=0,$M946&gt;0),"T0-Standing ","")&amp;IF(AND($P946=0,$Q946="Group only"),"T0-ViaGroupOnly ","")&amp;IF($W946="Yes","AlsoAzureRBAC ","")))</f>
        <v/>
      </c>
      <c r="AN946" s="85">
        <f>IF($A946="","",IF(AG946="","Not Enrolled",IF(TODAY()&gt;AG946,"Review Overdue",IF(AG946-TODAY()&lt;=30,"Review Due Soon","Active"))))</f>
        <v/>
      </c>
      <c r="AO946" s="85">
        <f>IF($A946="","",IF(AH946="","NOT REVIEWED",IF(TODAY()-AH946&gt;90,"OVERDUE",IF(TODAY()-AH946&gt;76,"Due Soon","Current"))))</f>
        <v/>
      </c>
    </row>
    <row r="947" ht="15" customHeight="1" s="39">
      <c r="A947" s="85" t="n"/>
      <c r="B947" s="85" t="n"/>
      <c r="C947" s="85" t="n"/>
      <c r="D947" s="85" t="n"/>
      <c r="E947" s="85" t="n"/>
      <c r="F947" s="86" t="n"/>
      <c r="G947" s="86" t="n"/>
      <c r="H947" s="85" t="n"/>
      <c r="I947" s="85" t="n"/>
      <c r="J947" s="85" t="n"/>
      <c r="K947" s="85" t="n"/>
      <c r="L947" s="85" t="n"/>
      <c r="M947" s="85" t="n"/>
      <c r="N947" s="85" t="n"/>
      <c r="O947" s="85" t="n"/>
      <c r="P947" s="85" t="n"/>
      <c r="Q947" s="85" t="n"/>
      <c r="R947" s="85" t="n"/>
      <c r="S947" s="85" t="n"/>
      <c r="T947" s="85" t="n"/>
      <c r="U947" s="85" t="n"/>
      <c r="V947" s="85" t="n"/>
      <c r="W947" s="85" t="n"/>
      <c r="X947" s="85" t="n"/>
      <c r="Y947" s="85" t="n"/>
      <c r="Z947" s="85" t="n"/>
      <c r="AA947" s="85" t="n"/>
      <c r="AB947" s="85" t="n"/>
      <c r="AC947" s="85" t="n"/>
      <c r="AD947" s="85" t="n"/>
      <c r="AE947" s="85" t="n"/>
      <c r="AF947" s="86" t="n"/>
      <c r="AG947" s="86" t="n"/>
      <c r="AH947" s="86" t="n"/>
      <c r="AI947" s="85" t="n"/>
      <c r="AJ947" s="85" t="n"/>
      <c r="AK947" s="85">
        <f>IF($A947="","",IF($M947&gt;0,"Yes","No"))</f>
        <v/>
      </c>
      <c r="AL947" s="85">
        <f>IF($A947="","",IF(AND($E947="Yes",OR($Y947="No",$Y947="NOT FOUND")),"YES",""))</f>
        <v/>
      </c>
      <c r="AM947" s="85">
        <f>IF($A947="","",TRIM(IF(AND($P947=0,$I947&lt;&gt;"Yes"),"T0-NoPhishResistant ","")&amp;IF($H947="No","NoMFA ","")&amp;IF(AND($P947=0,$M947&gt;0),"T0-Standing ","")&amp;IF(AND($P947=0,$Q947="Group only"),"T0-ViaGroupOnly ","")&amp;IF($W947="Yes","AlsoAzureRBAC ","")))</f>
        <v/>
      </c>
      <c r="AN947" s="85">
        <f>IF($A947="","",IF(AG947="","Not Enrolled",IF(TODAY()&gt;AG947,"Review Overdue",IF(AG947-TODAY()&lt;=30,"Review Due Soon","Active"))))</f>
        <v/>
      </c>
      <c r="AO947" s="85">
        <f>IF($A947="","",IF(AH947="","NOT REVIEWED",IF(TODAY()-AH947&gt;90,"OVERDUE",IF(TODAY()-AH947&gt;76,"Due Soon","Current"))))</f>
        <v/>
      </c>
    </row>
    <row r="948" ht="15" customHeight="1" s="39">
      <c r="A948" s="85" t="n"/>
      <c r="B948" s="85" t="n"/>
      <c r="C948" s="85" t="n"/>
      <c r="D948" s="85" t="n"/>
      <c r="E948" s="85" t="n"/>
      <c r="F948" s="86" t="n"/>
      <c r="G948" s="86" t="n"/>
      <c r="H948" s="85" t="n"/>
      <c r="I948" s="85" t="n"/>
      <c r="J948" s="85" t="n"/>
      <c r="K948" s="85" t="n"/>
      <c r="L948" s="85" t="n"/>
      <c r="M948" s="85" t="n"/>
      <c r="N948" s="85" t="n"/>
      <c r="O948" s="85" t="n"/>
      <c r="P948" s="85" t="n"/>
      <c r="Q948" s="85" t="n"/>
      <c r="R948" s="85" t="n"/>
      <c r="S948" s="85" t="n"/>
      <c r="T948" s="85" t="n"/>
      <c r="U948" s="85" t="n"/>
      <c r="V948" s="85" t="n"/>
      <c r="W948" s="85" t="n"/>
      <c r="X948" s="85" t="n"/>
      <c r="Y948" s="85" t="n"/>
      <c r="Z948" s="85" t="n"/>
      <c r="AA948" s="85" t="n"/>
      <c r="AB948" s="85" t="n"/>
      <c r="AC948" s="85" t="n"/>
      <c r="AD948" s="85" t="n"/>
      <c r="AE948" s="85" t="n"/>
      <c r="AF948" s="86" t="n"/>
      <c r="AG948" s="86" t="n"/>
      <c r="AH948" s="86" t="n"/>
      <c r="AI948" s="85" t="n"/>
      <c r="AJ948" s="85" t="n"/>
      <c r="AK948" s="85">
        <f>IF($A948="","",IF($M948&gt;0,"Yes","No"))</f>
        <v/>
      </c>
      <c r="AL948" s="85">
        <f>IF($A948="","",IF(AND($E948="Yes",OR($Y948="No",$Y948="NOT FOUND")),"YES",""))</f>
        <v/>
      </c>
      <c r="AM948" s="85">
        <f>IF($A948="","",TRIM(IF(AND($P948=0,$I948&lt;&gt;"Yes"),"T0-NoPhishResistant ","")&amp;IF($H948="No","NoMFA ","")&amp;IF(AND($P948=0,$M948&gt;0),"T0-Standing ","")&amp;IF(AND($P948=0,$Q948="Group only"),"T0-ViaGroupOnly ","")&amp;IF($W948="Yes","AlsoAzureRBAC ","")))</f>
        <v/>
      </c>
      <c r="AN948" s="85">
        <f>IF($A948="","",IF(AG948="","Not Enrolled",IF(TODAY()&gt;AG948,"Review Overdue",IF(AG948-TODAY()&lt;=30,"Review Due Soon","Active"))))</f>
        <v/>
      </c>
      <c r="AO948" s="85">
        <f>IF($A948="","",IF(AH948="","NOT REVIEWED",IF(TODAY()-AH948&gt;90,"OVERDUE",IF(TODAY()-AH948&gt;76,"Due Soon","Current"))))</f>
        <v/>
      </c>
    </row>
    <row r="949" ht="15" customHeight="1" s="39">
      <c r="A949" s="85" t="n"/>
      <c r="B949" s="85" t="n"/>
      <c r="C949" s="85" t="n"/>
      <c r="D949" s="85" t="n"/>
      <c r="E949" s="85" t="n"/>
      <c r="F949" s="86" t="n"/>
      <c r="G949" s="86" t="n"/>
      <c r="H949" s="85" t="n"/>
      <c r="I949" s="85" t="n"/>
      <c r="J949" s="85" t="n"/>
      <c r="K949" s="85" t="n"/>
      <c r="L949" s="85" t="n"/>
      <c r="M949" s="85" t="n"/>
      <c r="N949" s="85" t="n"/>
      <c r="O949" s="85" t="n"/>
      <c r="P949" s="85" t="n"/>
      <c r="Q949" s="85" t="n"/>
      <c r="R949" s="85" t="n"/>
      <c r="S949" s="85" t="n"/>
      <c r="T949" s="85" t="n"/>
      <c r="U949" s="85" t="n"/>
      <c r="V949" s="85" t="n"/>
      <c r="W949" s="85" t="n"/>
      <c r="X949" s="85" t="n"/>
      <c r="Y949" s="85" t="n"/>
      <c r="Z949" s="85" t="n"/>
      <c r="AA949" s="85" t="n"/>
      <c r="AB949" s="85" t="n"/>
      <c r="AC949" s="85" t="n"/>
      <c r="AD949" s="85" t="n"/>
      <c r="AE949" s="85" t="n"/>
      <c r="AF949" s="86" t="n"/>
      <c r="AG949" s="86" t="n"/>
      <c r="AH949" s="86" t="n"/>
      <c r="AI949" s="85" t="n"/>
      <c r="AJ949" s="85" t="n"/>
      <c r="AK949" s="85">
        <f>IF($A949="","",IF($M949&gt;0,"Yes","No"))</f>
        <v/>
      </c>
      <c r="AL949" s="85">
        <f>IF($A949="","",IF(AND($E949="Yes",OR($Y949="No",$Y949="NOT FOUND")),"YES",""))</f>
        <v/>
      </c>
      <c r="AM949" s="85">
        <f>IF($A949="","",TRIM(IF(AND($P949=0,$I949&lt;&gt;"Yes"),"T0-NoPhishResistant ","")&amp;IF($H949="No","NoMFA ","")&amp;IF(AND($P949=0,$M949&gt;0),"T0-Standing ","")&amp;IF(AND($P949=0,$Q949="Group only"),"T0-ViaGroupOnly ","")&amp;IF($W949="Yes","AlsoAzureRBAC ","")))</f>
        <v/>
      </c>
      <c r="AN949" s="85">
        <f>IF($A949="","",IF(AG949="","Not Enrolled",IF(TODAY()&gt;AG949,"Review Overdue",IF(AG949-TODAY()&lt;=30,"Review Due Soon","Active"))))</f>
        <v/>
      </c>
      <c r="AO949" s="85">
        <f>IF($A949="","",IF(AH949="","NOT REVIEWED",IF(TODAY()-AH949&gt;90,"OVERDUE",IF(TODAY()-AH949&gt;76,"Due Soon","Current"))))</f>
        <v/>
      </c>
    </row>
    <row r="950" ht="15" customHeight="1" s="39">
      <c r="A950" s="85" t="n"/>
      <c r="B950" s="85" t="n"/>
      <c r="C950" s="85" t="n"/>
      <c r="D950" s="85" t="n"/>
      <c r="E950" s="85" t="n"/>
      <c r="F950" s="86" t="n"/>
      <c r="G950" s="86" t="n"/>
      <c r="H950" s="85" t="n"/>
      <c r="I950" s="85" t="n"/>
      <c r="J950" s="85" t="n"/>
      <c r="K950" s="85" t="n"/>
      <c r="L950" s="85" t="n"/>
      <c r="M950" s="85" t="n"/>
      <c r="N950" s="85" t="n"/>
      <c r="O950" s="85" t="n"/>
      <c r="P950" s="85" t="n"/>
      <c r="Q950" s="85" t="n"/>
      <c r="R950" s="85" t="n"/>
      <c r="S950" s="85" t="n"/>
      <c r="T950" s="85" t="n"/>
      <c r="U950" s="85" t="n"/>
      <c r="V950" s="85" t="n"/>
      <c r="W950" s="85" t="n"/>
      <c r="X950" s="85" t="n"/>
      <c r="Y950" s="85" t="n"/>
      <c r="Z950" s="85" t="n"/>
      <c r="AA950" s="85" t="n"/>
      <c r="AB950" s="85" t="n"/>
      <c r="AC950" s="85" t="n"/>
      <c r="AD950" s="85" t="n"/>
      <c r="AE950" s="85" t="n"/>
      <c r="AF950" s="86" t="n"/>
      <c r="AG950" s="86" t="n"/>
      <c r="AH950" s="86" t="n"/>
      <c r="AI950" s="85" t="n"/>
      <c r="AJ950" s="85" t="n"/>
      <c r="AK950" s="85">
        <f>IF($A950="","",IF($M950&gt;0,"Yes","No"))</f>
        <v/>
      </c>
      <c r="AL950" s="85">
        <f>IF($A950="","",IF(AND($E950="Yes",OR($Y950="No",$Y950="NOT FOUND")),"YES",""))</f>
        <v/>
      </c>
      <c r="AM950" s="85">
        <f>IF($A950="","",TRIM(IF(AND($P950=0,$I950&lt;&gt;"Yes"),"T0-NoPhishResistant ","")&amp;IF($H950="No","NoMFA ","")&amp;IF(AND($P950=0,$M950&gt;0),"T0-Standing ","")&amp;IF(AND($P950=0,$Q950="Group only"),"T0-ViaGroupOnly ","")&amp;IF($W950="Yes","AlsoAzureRBAC ","")))</f>
        <v/>
      </c>
      <c r="AN950" s="85">
        <f>IF($A950="","",IF(AG950="","Not Enrolled",IF(TODAY()&gt;AG950,"Review Overdue",IF(AG950-TODAY()&lt;=30,"Review Due Soon","Active"))))</f>
        <v/>
      </c>
      <c r="AO950" s="85">
        <f>IF($A950="","",IF(AH950="","NOT REVIEWED",IF(TODAY()-AH950&gt;90,"OVERDUE",IF(TODAY()-AH950&gt;76,"Due Soon","Current"))))</f>
        <v/>
      </c>
    </row>
    <row r="951" ht="15" customHeight="1" s="39">
      <c r="A951" s="85" t="n"/>
      <c r="B951" s="85" t="n"/>
      <c r="C951" s="85" t="n"/>
      <c r="D951" s="85" t="n"/>
      <c r="E951" s="85" t="n"/>
      <c r="F951" s="86" t="n"/>
      <c r="G951" s="86" t="n"/>
      <c r="H951" s="85" t="n"/>
      <c r="I951" s="85" t="n"/>
      <c r="J951" s="85" t="n"/>
      <c r="K951" s="85" t="n"/>
      <c r="L951" s="85" t="n"/>
      <c r="M951" s="85" t="n"/>
      <c r="N951" s="85" t="n"/>
      <c r="O951" s="85" t="n"/>
      <c r="P951" s="85" t="n"/>
      <c r="Q951" s="85" t="n"/>
      <c r="R951" s="85" t="n"/>
      <c r="S951" s="85" t="n"/>
      <c r="T951" s="85" t="n"/>
      <c r="U951" s="85" t="n"/>
      <c r="V951" s="85" t="n"/>
      <c r="W951" s="85" t="n"/>
      <c r="X951" s="85" t="n"/>
      <c r="Y951" s="85" t="n"/>
      <c r="Z951" s="85" t="n"/>
      <c r="AA951" s="85" t="n"/>
      <c r="AB951" s="85" t="n"/>
      <c r="AC951" s="85" t="n"/>
      <c r="AD951" s="85" t="n"/>
      <c r="AE951" s="85" t="n"/>
      <c r="AF951" s="86" t="n"/>
      <c r="AG951" s="86" t="n"/>
      <c r="AH951" s="86" t="n"/>
      <c r="AI951" s="85" t="n"/>
      <c r="AJ951" s="85" t="n"/>
      <c r="AK951" s="85">
        <f>IF($A951="","",IF($M951&gt;0,"Yes","No"))</f>
        <v/>
      </c>
      <c r="AL951" s="85">
        <f>IF($A951="","",IF(AND($E951="Yes",OR($Y951="No",$Y951="NOT FOUND")),"YES",""))</f>
        <v/>
      </c>
      <c r="AM951" s="85">
        <f>IF($A951="","",TRIM(IF(AND($P951=0,$I951&lt;&gt;"Yes"),"T0-NoPhishResistant ","")&amp;IF($H951="No","NoMFA ","")&amp;IF(AND($P951=0,$M951&gt;0),"T0-Standing ","")&amp;IF(AND($P951=0,$Q951="Group only"),"T0-ViaGroupOnly ","")&amp;IF($W951="Yes","AlsoAzureRBAC ","")))</f>
        <v/>
      </c>
      <c r="AN951" s="85">
        <f>IF($A951="","",IF(AG951="","Not Enrolled",IF(TODAY()&gt;AG951,"Review Overdue",IF(AG951-TODAY()&lt;=30,"Review Due Soon","Active"))))</f>
        <v/>
      </c>
      <c r="AO951" s="85">
        <f>IF($A951="","",IF(AH951="","NOT REVIEWED",IF(TODAY()-AH951&gt;90,"OVERDUE",IF(TODAY()-AH951&gt;76,"Due Soon","Current"))))</f>
        <v/>
      </c>
    </row>
    <row r="952" ht="15" customHeight="1" s="39">
      <c r="A952" s="85" t="n"/>
      <c r="B952" s="85" t="n"/>
      <c r="C952" s="85" t="n"/>
      <c r="D952" s="85" t="n"/>
      <c r="E952" s="85" t="n"/>
      <c r="F952" s="86" t="n"/>
      <c r="G952" s="86" t="n"/>
      <c r="H952" s="85" t="n"/>
      <c r="I952" s="85" t="n"/>
      <c r="J952" s="85" t="n"/>
      <c r="K952" s="85" t="n"/>
      <c r="L952" s="85" t="n"/>
      <c r="M952" s="85" t="n"/>
      <c r="N952" s="85" t="n"/>
      <c r="O952" s="85" t="n"/>
      <c r="P952" s="85" t="n"/>
      <c r="Q952" s="85" t="n"/>
      <c r="R952" s="85" t="n"/>
      <c r="S952" s="85" t="n"/>
      <c r="T952" s="85" t="n"/>
      <c r="U952" s="85" t="n"/>
      <c r="V952" s="85" t="n"/>
      <c r="W952" s="85" t="n"/>
      <c r="X952" s="85" t="n"/>
      <c r="Y952" s="85" t="n"/>
      <c r="Z952" s="85" t="n"/>
      <c r="AA952" s="85" t="n"/>
      <c r="AB952" s="85" t="n"/>
      <c r="AC952" s="85" t="n"/>
      <c r="AD952" s="85" t="n"/>
      <c r="AE952" s="85" t="n"/>
      <c r="AF952" s="86" t="n"/>
      <c r="AG952" s="86" t="n"/>
      <c r="AH952" s="86" t="n"/>
      <c r="AI952" s="85" t="n"/>
      <c r="AJ952" s="85" t="n"/>
      <c r="AK952" s="85">
        <f>IF($A952="","",IF($M952&gt;0,"Yes","No"))</f>
        <v/>
      </c>
      <c r="AL952" s="85">
        <f>IF($A952="","",IF(AND($E952="Yes",OR($Y952="No",$Y952="NOT FOUND")),"YES",""))</f>
        <v/>
      </c>
      <c r="AM952" s="85">
        <f>IF($A952="","",TRIM(IF(AND($P952=0,$I952&lt;&gt;"Yes"),"T0-NoPhishResistant ","")&amp;IF($H952="No","NoMFA ","")&amp;IF(AND($P952=0,$M952&gt;0),"T0-Standing ","")&amp;IF(AND($P952=0,$Q952="Group only"),"T0-ViaGroupOnly ","")&amp;IF($W952="Yes","AlsoAzureRBAC ","")))</f>
        <v/>
      </c>
      <c r="AN952" s="85">
        <f>IF($A952="","",IF(AG952="","Not Enrolled",IF(TODAY()&gt;AG952,"Review Overdue",IF(AG952-TODAY()&lt;=30,"Review Due Soon","Active"))))</f>
        <v/>
      </c>
      <c r="AO952" s="85">
        <f>IF($A952="","",IF(AH952="","NOT REVIEWED",IF(TODAY()-AH952&gt;90,"OVERDUE",IF(TODAY()-AH952&gt;76,"Due Soon","Current"))))</f>
        <v/>
      </c>
    </row>
    <row r="953" ht="15" customHeight="1" s="39">
      <c r="A953" s="85" t="n"/>
      <c r="B953" s="85" t="n"/>
      <c r="C953" s="85" t="n"/>
      <c r="D953" s="85" t="n"/>
      <c r="E953" s="85" t="n"/>
      <c r="F953" s="86" t="n"/>
      <c r="G953" s="86" t="n"/>
      <c r="H953" s="85" t="n"/>
      <c r="I953" s="85" t="n"/>
      <c r="J953" s="85" t="n"/>
      <c r="K953" s="85" t="n"/>
      <c r="L953" s="85" t="n"/>
      <c r="M953" s="85" t="n"/>
      <c r="N953" s="85" t="n"/>
      <c r="O953" s="85" t="n"/>
      <c r="P953" s="85" t="n"/>
      <c r="Q953" s="85" t="n"/>
      <c r="R953" s="85" t="n"/>
      <c r="S953" s="85" t="n"/>
      <c r="T953" s="85" t="n"/>
      <c r="U953" s="85" t="n"/>
      <c r="V953" s="85" t="n"/>
      <c r="W953" s="85" t="n"/>
      <c r="X953" s="85" t="n"/>
      <c r="Y953" s="85" t="n"/>
      <c r="Z953" s="85" t="n"/>
      <c r="AA953" s="85" t="n"/>
      <c r="AB953" s="85" t="n"/>
      <c r="AC953" s="85" t="n"/>
      <c r="AD953" s="85" t="n"/>
      <c r="AE953" s="85" t="n"/>
      <c r="AF953" s="86" t="n"/>
      <c r="AG953" s="86" t="n"/>
      <c r="AH953" s="86" t="n"/>
      <c r="AI953" s="85" t="n"/>
      <c r="AJ953" s="85" t="n"/>
      <c r="AK953" s="85">
        <f>IF($A953="","",IF($M953&gt;0,"Yes","No"))</f>
        <v/>
      </c>
      <c r="AL953" s="85">
        <f>IF($A953="","",IF(AND($E953="Yes",OR($Y953="No",$Y953="NOT FOUND")),"YES",""))</f>
        <v/>
      </c>
      <c r="AM953" s="85">
        <f>IF($A953="","",TRIM(IF(AND($P953=0,$I953&lt;&gt;"Yes"),"T0-NoPhishResistant ","")&amp;IF($H953="No","NoMFA ","")&amp;IF(AND($P953=0,$M953&gt;0),"T0-Standing ","")&amp;IF(AND($P953=0,$Q953="Group only"),"T0-ViaGroupOnly ","")&amp;IF($W953="Yes","AlsoAzureRBAC ","")))</f>
        <v/>
      </c>
      <c r="AN953" s="85">
        <f>IF($A953="","",IF(AG953="","Not Enrolled",IF(TODAY()&gt;AG953,"Review Overdue",IF(AG953-TODAY()&lt;=30,"Review Due Soon","Active"))))</f>
        <v/>
      </c>
      <c r="AO953" s="85">
        <f>IF($A953="","",IF(AH953="","NOT REVIEWED",IF(TODAY()-AH953&gt;90,"OVERDUE",IF(TODAY()-AH953&gt;76,"Due Soon","Current"))))</f>
        <v/>
      </c>
    </row>
    <row r="954" ht="15" customHeight="1" s="39">
      <c r="A954" s="85" t="n"/>
      <c r="B954" s="85" t="n"/>
      <c r="C954" s="85" t="n"/>
      <c r="D954" s="85" t="n"/>
      <c r="E954" s="85" t="n"/>
      <c r="F954" s="86" t="n"/>
      <c r="G954" s="86" t="n"/>
      <c r="H954" s="85" t="n"/>
      <c r="I954" s="85" t="n"/>
      <c r="J954" s="85" t="n"/>
      <c r="K954" s="85" t="n"/>
      <c r="L954" s="85" t="n"/>
      <c r="M954" s="85" t="n"/>
      <c r="N954" s="85" t="n"/>
      <c r="O954" s="85" t="n"/>
      <c r="P954" s="85" t="n"/>
      <c r="Q954" s="85" t="n"/>
      <c r="R954" s="85" t="n"/>
      <c r="S954" s="85" t="n"/>
      <c r="T954" s="85" t="n"/>
      <c r="U954" s="85" t="n"/>
      <c r="V954" s="85" t="n"/>
      <c r="W954" s="85" t="n"/>
      <c r="X954" s="85" t="n"/>
      <c r="Y954" s="85" t="n"/>
      <c r="Z954" s="85" t="n"/>
      <c r="AA954" s="85" t="n"/>
      <c r="AB954" s="85" t="n"/>
      <c r="AC954" s="85" t="n"/>
      <c r="AD954" s="85" t="n"/>
      <c r="AE954" s="85" t="n"/>
      <c r="AF954" s="86" t="n"/>
      <c r="AG954" s="86" t="n"/>
      <c r="AH954" s="86" t="n"/>
      <c r="AI954" s="85" t="n"/>
      <c r="AJ954" s="85" t="n"/>
      <c r="AK954" s="85">
        <f>IF($A954="","",IF($M954&gt;0,"Yes","No"))</f>
        <v/>
      </c>
      <c r="AL954" s="85">
        <f>IF($A954="","",IF(AND($E954="Yes",OR($Y954="No",$Y954="NOT FOUND")),"YES",""))</f>
        <v/>
      </c>
      <c r="AM954" s="85">
        <f>IF($A954="","",TRIM(IF(AND($P954=0,$I954&lt;&gt;"Yes"),"T0-NoPhishResistant ","")&amp;IF($H954="No","NoMFA ","")&amp;IF(AND($P954=0,$M954&gt;0),"T0-Standing ","")&amp;IF(AND($P954=0,$Q954="Group only"),"T0-ViaGroupOnly ","")&amp;IF($W954="Yes","AlsoAzureRBAC ","")))</f>
        <v/>
      </c>
      <c r="AN954" s="85">
        <f>IF($A954="","",IF(AG954="","Not Enrolled",IF(TODAY()&gt;AG954,"Review Overdue",IF(AG954-TODAY()&lt;=30,"Review Due Soon","Active"))))</f>
        <v/>
      </c>
      <c r="AO954" s="85">
        <f>IF($A954="","",IF(AH954="","NOT REVIEWED",IF(TODAY()-AH954&gt;90,"OVERDUE",IF(TODAY()-AH954&gt;76,"Due Soon","Current"))))</f>
        <v/>
      </c>
    </row>
    <row r="955" ht="15" customHeight="1" s="39">
      <c r="A955" s="85" t="n"/>
      <c r="B955" s="85" t="n"/>
      <c r="C955" s="85" t="n"/>
      <c r="D955" s="85" t="n"/>
      <c r="E955" s="85" t="n"/>
      <c r="F955" s="86" t="n"/>
      <c r="G955" s="86" t="n"/>
      <c r="H955" s="85" t="n"/>
      <c r="I955" s="85" t="n"/>
      <c r="J955" s="85" t="n"/>
      <c r="K955" s="85" t="n"/>
      <c r="L955" s="85" t="n"/>
      <c r="M955" s="85" t="n"/>
      <c r="N955" s="85" t="n"/>
      <c r="O955" s="85" t="n"/>
      <c r="P955" s="85" t="n"/>
      <c r="Q955" s="85" t="n"/>
      <c r="R955" s="85" t="n"/>
      <c r="S955" s="85" t="n"/>
      <c r="T955" s="85" t="n"/>
      <c r="U955" s="85" t="n"/>
      <c r="V955" s="85" t="n"/>
      <c r="W955" s="85" t="n"/>
      <c r="X955" s="85" t="n"/>
      <c r="Y955" s="85" t="n"/>
      <c r="Z955" s="85" t="n"/>
      <c r="AA955" s="85" t="n"/>
      <c r="AB955" s="85" t="n"/>
      <c r="AC955" s="85" t="n"/>
      <c r="AD955" s="85" t="n"/>
      <c r="AE955" s="85" t="n"/>
      <c r="AF955" s="86" t="n"/>
      <c r="AG955" s="86" t="n"/>
      <c r="AH955" s="86" t="n"/>
      <c r="AI955" s="85" t="n"/>
      <c r="AJ955" s="85" t="n"/>
      <c r="AK955" s="85">
        <f>IF($A955="","",IF($M955&gt;0,"Yes","No"))</f>
        <v/>
      </c>
      <c r="AL955" s="85">
        <f>IF($A955="","",IF(AND($E955="Yes",OR($Y955="No",$Y955="NOT FOUND")),"YES",""))</f>
        <v/>
      </c>
      <c r="AM955" s="85">
        <f>IF($A955="","",TRIM(IF(AND($P955=0,$I955&lt;&gt;"Yes"),"T0-NoPhishResistant ","")&amp;IF($H955="No","NoMFA ","")&amp;IF(AND($P955=0,$M955&gt;0),"T0-Standing ","")&amp;IF(AND($P955=0,$Q955="Group only"),"T0-ViaGroupOnly ","")&amp;IF($W955="Yes","AlsoAzureRBAC ","")))</f>
        <v/>
      </c>
      <c r="AN955" s="85">
        <f>IF($A955="","",IF(AG955="","Not Enrolled",IF(TODAY()&gt;AG955,"Review Overdue",IF(AG955-TODAY()&lt;=30,"Review Due Soon","Active"))))</f>
        <v/>
      </c>
      <c r="AO955" s="85">
        <f>IF($A955="","",IF(AH955="","NOT REVIEWED",IF(TODAY()-AH955&gt;90,"OVERDUE",IF(TODAY()-AH955&gt;76,"Due Soon","Current"))))</f>
        <v/>
      </c>
    </row>
    <row r="956" ht="15" customHeight="1" s="39">
      <c r="A956" s="85" t="n"/>
      <c r="B956" s="85" t="n"/>
      <c r="C956" s="85" t="n"/>
      <c r="D956" s="85" t="n"/>
      <c r="E956" s="85" t="n"/>
      <c r="F956" s="86" t="n"/>
      <c r="G956" s="86" t="n"/>
      <c r="H956" s="85" t="n"/>
      <c r="I956" s="85" t="n"/>
      <c r="J956" s="85" t="n"/>
      <c r="K956" s="85" t="n"/>
      <c r="L956" s="85" t="n"/>
      <c r="M956" s="85" t="n"/>
      <c r="N956" s="85" t="n"/>
      <c r="O956" s="85" t="n"/>
      <c r="P956" s="85" t="n"/>
      <c r="Q956" s="85" t="n"/>
      <c r="R956" s="85" t="n"/>
      <c r="S956" s="85" t="n"/>
      <c r="T956" s="85" t="n"/>
      <c r="U956" s="85" t="n"/>
      <c r="V956" s="85" t="n"/>
      <c r="W956" s="85" t="n"/>
      <c r="X956" s="85" t="n"/>
      <c r="Y956" s="85" t="n"/>
      <c r="Z956" s="85" t="n"/>
      <c r="AA956" s="85" t="n"/>
      <c r="AB956" s="85" t="n"/>
      <c r="AC956" s="85" t="n"/>
      <c r="AD956" s="85" t="n"/>
      <c r="AE956" s="85" t="n"/>
      <c r="AF956" s="86" t="n"/>
      <c r="AG956" s="86" t="n"/>
      <c r="AH956" s="86" t="n"/>
      <c r="AI956" s="85" t="n"/>
      <c r="AJ956" s="85" t="n"/>
      <c r="AK956" s="85">
        <f>IF($A956="","",IF($M956&gt;0,"Yes","No"))</f>
        <v/>
      </c>
      <c r="AL956" s="85">
        <f>IF($A956="","",IF(AND($E956="Yes",OR($Y956="No",$Y956="NOT FOUND")),"YES",""))</f>
        <v/>
      </c>
      <c r="AM956" s="85">
        <f>IF($A956="","",TRIM(IF(AND($P956=0,$I956&lt;&gt;"Yes"),"T0-NoPhishResistant ","")&amp;IF($H956="No","NoMFA ","")&amp;IF(AND($P956=0,$M956&gt;0),"T0-Standing ","")&amp;IF(AND($P956=0,$Q956="Group only"),"T0-ViaGroupOnly ","")&amp;IF($W956="Yes","AlsoAzureRBAC ","")))</f>
        <v/>
      </c>
      <c r="AN956" s="85">
        <f>IF($A956="","",IF(AG956="","Not Enrolled",IF(TODAY()&gt;AG956,"Review Overdue",IF(AG956-TODAY()&lt;=30,"Review Due Soon","Active"))))</f>
        <v/>
      </c>
      <c r="AO956" s="85">
        <f>IF($A956="","",IF(AH956="","NOT REVIEWED",IF(TODAY()-AH956&gt;90,"OVERDUE",IF(TODAY()-AH956&gt;76,"Due Soon","Current"))))</f>
        <v/>
      </c>
    </row>
    <row r="957" ht="15" customHeight="1" s="39">
      <c r="A957" s="85" t="n"/>
      <c r="B957" s="85" t="n"/>
      <c r="C957" s="85" t="n"/>
      <c r="D957" s="85" t="n"/>
      <c r="E957" s="85" t="n"/>
      <c r="F957" s="86" t="n"/>
      <c r="G957" s="86" t="n"/>
      <c r="H957" s="85" t="n"/>
      <c r="I957" s="85" t="n"/>
      <c r="J957" s="85" t="n"/>
      <c r="K957" s="85" t="n"/>
      <c r="L957" s="85" t="n"/>
      <c r="M957" s="85" t="n"/>
      <c r="N957" s="85" t="n"/>
      <c r="O957" s="85" t="n"/>
      <c r="P957" s="85" t="n"/>
      <c r="Q957" s="85" t="n"/>
      <c r="R957" s="85" t="n"/>
      <c r="S957" s="85" t="n"/>
      <c r="T957" s="85" t="n"/>
      <c r="U957" s="85" t="n"/>
      <c r="V957" s="85" t="n"/>
      <c r="W957" s="85" t="n"/>
      <c r="X957" s="85" t="n"/>
      <c r="Y957" s="85" t="n"/>
      <c r="Z957" s="85" t="n"/>
      <c r="AA957" s="85" t="n"/>
      <c r="AB957" s="85" t="n"/>
      <c r="AC957" s="85" t="n"/>
      <c r="AD957" s="85" t="n"/>
      <c r="AE957" s="85" t="n"/>
      <c r="AF957" s="86" t="n"/>
      <c r="AG957" s="86" t="n"/>
      <c r="AH957" s="86" t="n"/>
      <c r="AI957" s="85" t="n"/>
      <c r="AJ957" s="85" t="n"/>
      <c r="AK957" s="85">
        <f>IF($A957="","",IF($M957&gt;0,"Yes","No"))</f>
        <v/>
      </c>
      <c r="AL957" s="85">
        <f>IF($A957="","",IF(AND($E957="Yes",OR($Y957="No",$Y957="NOT FOUND")),"YES",""))</f>
        <v/>
      </c>
      <c r="AM957" s="85">
        <f>IF($A957="","",TRIM(IF(AND($P957=0,$I957&lt;&gt;"Yes"),"T0-NoPhishResistant ","")&amp;IF($H957="No","NoMFA ","")&amp;IF(AND($P957=0,$M957&gt;0),"T0-Standing ","")&amp;IF(AND($P957=0,$Q957="Group only"),"T0-ViaGroupOnly ","")&amp;IF($W957="Yes","AlsoAzureRBAC ","")))</f>
        <v/>
      </c>
      <c r="AN957" s="85">
        <f>IF($A957="","",IF(AG957="","Not Enrolled",IF(TODAY()&gt;AG957,"Review Overdue",IF(AG957-TODAY()&lt;=30,"Review Due Soon","Active"))))</f>
        <v/>
      </c>
      <c r="AO957" s="85">
        <f>IF($A957="","",IF(AH957="","NOT REVIEWED",IF(TODAY()-AH957&gt;90,"OVERDUE",IF(TODAY()-AH957&gt;76,"Due Soon","Current"))))</f>
        <v/>
      </c>
    </row>
    <row r="958" ht="15" customHeight="1" s="39">
      <c r="A958" s="85" t="n"/>
      <c r="B958" s="85" t="n"/>
      <c r="C958" s="85" t="n"/>
      <c r="D958" s="85" t="n"/>
      <c r="E958" s="85" t="n"/>
      <c r="F958" s="86" t="n"/>
      <c r="G958" s="86" t="n"/>
      <c r="H958" s="85" t="n"/>
      <c r="I958" s="85" t="n"/>
      <c r="J958" s="85" t="n"/>
      <c r="K958" s="85" t="n"/>
      <c r="L958" s="85" t="n"/>
      <c r="M958" s="85" t="n"/>
      <c r="N958" s="85" t="n"/>
      <c r="O958" s="85" t="n"/>
      <c r="P958" s="85" t="n"/>
      <c r="Q958" s="85" t="n"/>
      <c r="R958" s="85" t="n"/>
      <c r="S958" s="85" t="n"/>
      <c r="T958" s="85" t="n"/>
      <c r="U958" s="85" t="n"/>
      <c r="V958" s="85" t="n"/>
      <c r="W958" s="85" t="n"/>
      <c r="X958" s="85" t="n"/>
      <c r="Y958" s="85" t="n"/>
      <c r="Z958" s="85" t="n"/>
      <c r="AA958" s="85" t="n"/>
      <c r="AB958" s="85" t="n"/>
      <c r="AC958" s="85" t="n"/>
      <c r="AD958" s="85" t="n"/>
      <c r="AE958" s="85" t="n"/>
      <c r="AF958" s="86" t="n"/>
      <c r="AG958" s="86" t="n"/>
      <c r="AH958" s="86" t="n"/>
      <c r="AI958" s="85" t="n"/>
      <c r="AJ958" s="85" t="n"/>
      <c r="AK958" s="85">
        <f>IF($A958="","",IF($M958&gt;0,"Yes","No"))</f>
        <v/>
      </c>
      <c r="AL958" s="85">
        <f>IF($A958="","",IF(AND($E958="Yes",OR($Y958="No",$Y958="NOT FOUND")),"YES",""))</f>
        <v/>
      </c>
      <c r="AM958" s="85">
        <f>IF($A958="","",TRIM(IF(AND($P958=0,$I958&lt;&gt;"Yes"),"T0-NoPhishResistant ","")&amp;IF($H958="No","NoMFA ","")&amp;IF(AND($P958=0,$M958&gt;0),"T0-Standing ","")&amp;IF(AND($P958=0,$Q958="Group only"),"T0-ViaGroupOnly ","")&amp;IF($W958="Yes","AlsoAzureRBAC ","")))</f>
        <v/>
      </c>
      <c r="AN958" s="85">
        <f>IF($A958="","",IF(AG958="","Not Enrolled",IF(TODAY()&gt;AG958,"Review Overdue",IF(AG958-TODAY()&lt;=30,"Review Due Soon","Active"))))</f>
        <v/>
      </c>
      <c r="AO958" s="85">
        <f>IF($A958="","",IF(AH958="","NOT REVIEWED",IF(TODAY()-AH958&gt;90,"OVERDUE",IF(TODAY()-AH958&gt;76,"Due Soon","Current"))))</f>
        <v/>
      </c>
    </row>
    <row r="959" ht="15" customHeight="1" s="39">
      <c r="A959" s="85" t="n"/>
      <c r="B959" s="85" t="n"/>
      <c r="C959" s="85" t="n"/>
      <c r="D959" s="85" t="n"/>
      <c r="E959" s="85" t="n"/>
      <c r="F959" s="86" t="n"/>
      <c r="G959" s="86" t="n"/>
      <c r="H959" s="85" t="n"/>
      <c r="I959" s="85" t="n"/>
      <c r="J959" s="85" t="n"/>
      <c r="K959" s="85" t="n"/>
      <c r="L959" s="85" t="n"/>
      <c r="M959" s="85" t="n"/>
      <c r="N959" s="85" t="n"/>
      <c r="O959" s="85" t="n"/>
      <c r="P959" s="85" t="n"/>
      <c r="Q959" s="85" t="n"/>
      <c r="R959" s="85" t="n"/>
      <c r="S959" s="85" t="n"/>
      <c r="T959" s="85" t="n"/>
      <c r="U959" s="85" t="n"/>
      <c r="V959" s="85" t="n"/>
      <c r="W959" s="85" t="n"/>
      <c r="X959" s="85" t="n"/>
      <c r="Y959" s="85" t="n"/>
      <c r="Z959" s="85" t="n"/>
      <c r="AA959" s="85" t="n"/>
      <c r="AB959" s="85" t="n"/>
      <c r="AC959" s="85" t="n"/>
      <c r="AD959" s="85" t="n"/>
      <c r="AE959" s="85" t="n"/>
      <c r="AF959" s="86" t="n"/>
      <c r="AG959" s="86" t="n"/>
      <c r="AH959" s="86" t="n"/>
      <c r="AI959" s="85" t="n"/>
      <c r="AJ959" s="85" t="n"/>
      <c r="AK959" s="85">
        <f>IF($A959="","",IF($M959&gt;0,"Yes","No"))</f>
        <v/>
      </c>
      <c r="AL959" s="85">
        <f>IF($A959="","",IF(AND($E959="Yes",OR($Y959="No",$Y959="NOT FOUND")),"YES",""))</f>
        <v/>
      </c>
      <c r="AM959" s="85">
        <f>IF($A959="","",TRIM(IF(AND($P959=0,$I959&lt;&gt;"Yes"),"T0-NoPhishResistant ","")&amp;IF($H959="No","NoMFA ","")&amp;IF(AND($P959=0,$M959&gt;0),"T0-Standing ","")&amp;IF(AND($P959=0,$Q959="Group only"),"T0-ViaGroupOnly ","")&amp;IF($W959="Yes","AlsoAzureRBAC ","")))</f>
        <v/>
      </c>
      <c r="AN959" s="85">
        <f>IF($A959="","",IF(AG959="","Not Enrolled",IF(TODAY()&gt;AG959,"Review Overdue",IF(AG959-TODAY()&lt;=30,"Review Due Soon","Active"))))</f>
        <v/>
      </c>
      <c r="AO959" s="85">
        <f>IF($A959="","",IF(AH959="","NOT REVIEWED",IF(TODAY()-AH959&gt;90,"OVERDUE",IF(TODAY()-AH959&gt;76,"Due Soon","Current"))))</f>
        <v/>
      </c>
    </row>
    <row r="960" ht="15" customHeight="1" s="39">
      <c r="A960" s="85" t="n"/>
      <c r="B960" s="85" t="n"/>
      <c r="C960" s="85" t="n"/>
      <c r="D960" s="85" t="n"/>
      <c r="E960" s="85" t="n"/>
      <c r="F960" s="86" t="n"/>
      <c r="G960" s="86" t="n"/>
      <c r="H960" s="85" t="n"/>
      <c r="I960" s="85" t="n"/>
      <c r="J960" s="85" t="n"/>
      <c r="K960" s="85" t="n"/>
      <c r="L960" s="85" t="n"/>
      <c r="M960" s="85" t="n"/>
      <c r="N960" s="85" t="n"/>
      <c r="O960" s="85" t="n"/>
      <c r="P960" s="85" t="n"/>
      <c r="Q960" s="85" t="n"/>
      <c r="R960" s="85" t="n"/>
      <c r="S960" s="85" t="n"/>
      <c r="T960" s="85" t="n"/>
      <c r="U960" s="85" t="n"/>
      <c r="V960" s="85" t="n"/>
      <c r="W960" s="85" t="n"/>
      <c r="X960" s="85" t="n"/>
      <c r="Y960" s="85" t="n"/>
      <c r="Z960" s="85" t="n"/>
      <c r="AA960" s="85" t="n"/>
      <c r="AB960" s="85" t="n"/>
      <c r="AC960" s="85" t="n"/>
      <c r="AD960" s="85" t="n"/>
      <c r="AE960" s="85" t="n"/>
      <c r="AF960" s="86" t="n"/>
      <c r="AG960" s="86" t="n"/>
      <c r="AH960" s="86" t="n"/>
      <c r="AI960" s="85" t="n"/>
      <c r="AJ960" s="85" t="n"/>
      <c r="AK960" s="85">
        <f>IF($A960="","",IF($M960&gt;0,"Yes","No"))</f>
        <v/>
      </c>
      <c r="AL960" s="85">
        <f>IF($A960="","",IF(AND($E960="Yes",OR($Y960="No",$Y960="NOT FOUND")),"YES",""))</f>
        <v/>
      </c>
      <c r="AM960" s="85">
        <f>IF($A960="","",TRIM(IF(AND($P960=0,$I960&lt;&gt;"Yes"),"T0-NoPhishResistant ","")&amp;IF($H960="No","NoMFA ","")&amp;IF(AND($P960=0,$M960&gt;0),"T0-Standing ","")&amp;IF(AND($P960=0,$Q960="Group only"),"T0-ViaGroupOnly ","")&amp;IF($W960="Yes","AlsoAzureRBAC ","")))</f>
        <v/>
      </c>
      <c r="AN960" s="85">
        <f>IF($A960="","",IF(AG960="","Not Enrolled",IF(TODAY()&gt;AG960,"Review Overdue",IF(AG960-TODAY()&lt;=30,"Review Due Soon","Active"))))</f>
        <v/>
      </c>
      <c r="AO960" s="85">
        <f>IF($A960="","",IF(AH960="","NOT REVIEWED",IF(TODAY()-AH960&gt;90,"OVERDUE",IF(TODAY()-AH960&gt;76,"Due Soon","Current"))))</f>
        <v/>
      </c>
    </row>
    <row r="961" ht="15" customHeight="1" s="39">
      <c r="A961" s="85" t="n"/>
      <c r="B961" s="85" t="n"/>
      <c r="C961" s="85" t="n"/>
      <c r="D961" s="85" t="n"/>
      <c r="E961" s="85" t="n"/>
      <c r="F961" s="86" t="n"/>
      <c r="G961" s="86" t="n"/>
      <c r="H961" s="85" t="n"/>
      <c r="I961" s="85" t="n"/>
      <c r="J961" s="85" t="n"/>
      <c r="K961" s="85" t="n"/>
      <c r="L961" s="85" t="n"/>
      <c r="M961" s="85" t="n"/>
      <c r="N961" s="85" t="n"/>
      <c r="O961" s="85" t="n"/>
      <c r="P961" s="85" t="n"/>
      <c r="Q961" s="85" t="n"/>
      <c r="R961" s="85" t="n"/>
      <c r="S961" s="85" t="n"/>
      <c r="T961" s="85" t="n"/>
      <c r="U961" s="85" t="n"/>
      <c r="V961" s="85" t="n"/>
      <c r="W961" s="85" t="n"/>
      <c r="X961" s="85" t="n"/>
      <c r="Y961" s="85" t="n"/>
      <c r="Z961" s="85" t="n"/>
      <c r="AA961" s="85" t="n"/>
      <c r="AB961" s="85" t="n"/>
      <c r="AC961" s="85" t="n"/>
      <c r="AD961" s="85" t="n"/>
      <c r="AE961" s="85" t="n"/>
      <c r="AF961" s="86" t="n"/>
      <c r="AG961" s="86" t="n"/>
      <c r="AH961" s="86" t="n"/>
      <c r="AI961" s="85" t="n"/>
      <c r="AJ961" s="85" t="n"/>
      <c r="AK961" s="85">
        <f>IF($A961="","",IF($M961&gt;0,"Yes","No"))</f>
        <v/>
      </c>
      <c r="AL961" s="85">
        <f>IF($A961="","",IF(AND($E961="Yes",OR($Y961="No",$Y961="NOT FOUND")),"YES",""))</f>
        <v/>
      </c>
      <c r="AM961" s="85">
        <f>IF($A961="","",TRIM(IF(AND($P961=0,$I961&lt;&gt;"Yes"),"T0-NoPhishResistant ","")&amp;IF($H961="No","NoMFA ","")&amp;IF(AND($P961=0,$M961&gt;0),"T0-Standing ","")&amp;IF(AND($P961=0,$Q961="Group only"),"T0-ViaGroupOnly ","")&amp;IF($W961="Yes","AlsoAzureRBAC ","")))</f>
        <v/>
      </c>
      <c r="AN961" s="85">
        <f>IF($A961="","",IF(AG961="","Not Enrolled",IF(TODAY()&gt;AG961,"Review Overdue",IF(AG961-TODAY()&lt;=30,"Review Due Soon","Active"))))</f>
        <v/>
      </c>
      <c r="AO961" s="85">
        <f>IF($A961="","",IF(AH961="","NOT REVIEWED",IF(TODAY()-AH961&gt;90,"OVERDUE",IF(TODAY()-AH961&gt;76,"Due Soon","Current"))))</f>
        <v/>
      </c>
    </row>
    <row r="962" ht="15" customHeight="1" s="39">
      <c r="A962" s="85" t="n"/>
      <c r="B962" s="85" t="n"/>
      <c r="C962" s="85" t="n"/>
      <c r="D962" s="85" t="n"/>
      <c r="E962" s="85" t="n"/>
      <c r="F962" s="86" t="n"/>
      <c r="G962" s="86" t="n"/>
      <c r="H962" s="85" t="n"/>
      <c r="I962" s="85" t="n"/>
      <c r="J962" s="85" t="n"/>
      <c r="K962" s="85" t="n"/>
      <c r="L962" s="85" t="n"/>
      <c r="M962" s="85" t="n"/>
      <c r="N962" s="85" t="n"/>
      <c r="O962" s="85" t="n"/>
      <c r="P962" s="85" t="n"/>
      <c r="Q962" s="85" t="n"/>
      <c r="R962" s="85" t="n"/>
      <c r="S962" s="85" t="n"/>
      <c r="T962" s="85" t="n"/>
      <c r="U962" s="85" t="n"/>
      <c r="V962" s="85" t="n"/>
      <c r="W962" s="85" t="n"/>
      <c r="X962" s="85" t="n"/>
      <c r="Y962" s="85" t="n"/>
      <c r="Z962" s="85" t="n"/>
      <c r="AA962" s="85" t="n"/>
      <c r="AB962" s="85" t="n"/>
      <c r="AC962" s="85" t="n"/>
      <c r="AD962" s="85" t="n"/>
      <c r="AE962" s="85" t="n"/>
      <c r="AF962" s="86" t="n"/>
      <c r="AG962" s="86" t="n"/>
      <c r="AH962" s="86" t="n"/>
      <c r="AI962" s="85" t="n"/>
      <c r="AJ962" s="85" t="n"/>
      <c r="AK962" s="85">
        <f>IF($A962="","",IF($M962&gt;0,"Yes","No"))</f>
        <v/>
      </c>
      <c r="AL962" s="85">
        <f>IF($A962="","",IF(AND($E962="Yes",OR($Y962="No",$Y962="NOT FOUND")),"YES",""))</f>
        <v/>
      </c>
      <c r="AM962" s="85">
        <f>IF($A962="","",TRIM(IF(AND($P962=0,$I962&lt;&gt;"Yes"),"T0-NoPhishResistant ","")&amp;IF($H962="No","NoMFA ","")&amp;IF(AND($P962=0,$M962&gt;0),"T0-Standing ","")&amp;IF(AND($P962=0,$Q962="Group only"),"T0-ViaGroupOnly ","")&amp;IF($W962="Yes","AlsoAzureRBAC ","")))</f>
        <v/>
      </c>
      <c r="AN962" s="85">
        <f>IF($A962="","",IF(AG962="","Not Enrolled",IF(TODAY()&gt;AG962,"Review Overdue",IF(AG962-TODAY()&lt;=30,"Review Due Soon","Active"))))</f>
        <v/>
      </c>
      <c r="AO962" s="85">
        <f>IF($A962="","",IF(AH962="","NOT REVIEWED",IF(TODAY()-AH962&gt;90,"OVERDUE",IF(TODAY()-AH962&gt;76,"Due Soon","Current"))))</f>
        <v/>
      </c>
    </row>
    <row r="963" ht="15" customHeight="1" s="39">
      <c r="A963" s="85" t="n"/>
      <c r="B963" s="85" t="n"/>
      <c r="C963" s="85" t="n"/>
      <c r="D963" s="85" t="n"/>
      <c r="E963" s="85" t="n"/>
      <c r="F963" s="86" t="n"/>
      <c r="G963" s="86" t="n"/>
      <c r="H963" s="85" t="n"/>
      <c r="I963" s="85" t="n"/>
      <c r="J963" s="85" t="n"/>
      <c r="K963" s="85" t="n"/>
      <c r="L963" s="85" t="n"/>
      <c r="M963" s="85" t="n"/>
      <c r="N963" s="85" t="n"/>
      <c r="O963" s="85" t="n"/>
      <c r="P963" s="85" t="n"/>
      <c r="Q963" s="85" t="n"/>
      <c r="R963" s="85" t="n"/>
      <c r="S963" s="85" t="n"/>
      <c r="T963" s="85" t="n"/>
      <c r="U963" s="85" t="n"/>
      <c r="V963" s="85" t="n"/>
      <c r="W963" s="85" t="n"/>
      <c r="X963" s="85" t="n"/>
      <c r="Y963" s="85" t="n"/>
      <c r="Z963" s="85" t="n"/>
      <c r="AA963" s="85" t="n"/>
      <c r="AB963" s="85" t="n"/>
      <c r="AC963" s="85" t="n"/>
      <c r="AD963" s="85" t="n"/>
      <c r="AE963" s="85" t="n"/>
      <c r="AF963" s="86" t="n"/>
      <c r="AG963" s="86" t="n"/>
      <c r="AH963" s="86" t="n"/>
      <c r="AI963" s="85" t="n"/>
      <c r="AJ963" s="85" t="n"/>
      <c r="AK963" s="85">
        <f>IF($A963="","",IF($M963&gt;0,"Yes","No"))</f>
        <v/>
      </c>
      <c r="AL963" s="85">
        <f>IF($A963="","",IF(AND($E963="Yes",OR($Y963="No",$Y963="NOT FOUND")),"YES",""))</f>
        <v/>
      </c>
      <c r="AM963" s="85">
        <f>IF($A963="","",TRIM(IF(AND($P963=0,$I963&lt;&gt;"Yes"),"T0-NoPhishResistant ","")&amp;IF($H963="No","NoMFA ","")&amp;IF(AND($P963=0,$M963&gt;0),"T0-Standing ","")&amp;IF(AND($P963=0,$Q963="Group only"),"T0-ViaGroupOnly ","")&amp;IF($W963="Yes","AlsoAzureRBAC ","")))</f>
        <v/>
      </c>
      <c r="AN963" s="85">
        <f>IF($A963="","",IF(AG963="","Not Enrolled",IF(TODAY()&gt;AG963,"Review Overdue",IF(AG963-TODAY()&lt;=30,"Review Due Soon","Active"))))</f>
        <v/>
      </c>
      <c r="AO963" s="85">
        <f>IF($A963="","",IF(AH963="","NOT REVIEWED",IF(TODAY()-AH963&gt;90,"OVERDUE",IF(TODAY()-AH963&gt;76,"Due Soon","Current"))))</f>
        <v/>
      </c>
    </row>
    <row r="964" ht="15" customHeight="1" s="39">
      <c r="A964" s="85" t="n"/>
      <c r="B964" s="85" t="n"/>
      <c r="C964" s="85" t="n"/>
      <c r="D964" s="85" t="n"/>
      <c r="E964" s="85" t="n"/>
      <c r="F964" s="86" t="n"/>
      <c r="G964" s="86" t="n"/>
      <c r="H964" s="85" t="n"/>
      <c r="I964" s="85" t="n"/>
      <c r="J964" s="85" t="n"/>
      <c r="K964" s="85" t="n"/>
      <c r="L964" s="85" t="n"/>
      <c r="M964" s="85" t="n"/>
      <c r="N964" s="85" t="n"/>
      <c r="O964" s="85" t="n"/>
      <c r="P964" s="85" t="n"/>
      <c r="Q964" s="85" t="n"/>
      <c r="R964" s="85" t="n"/>
      <c r="S964" s="85" t="n"/>
      <c r="T964" s="85" t="n"/>
      <c r="U964" s="85" t="n"/>
      <c r="V964" s="85" t="n"/>
      <c r="W964" s="85" t="n"/>
      <c r="X964" s="85" t="n"/>
      <c r="Y964" s="85" t="n"/>
      <c r="Z964" s="85" t="n"/>
      <c r="AA964" s="85" t="n"/>
      <c r="AB964" s="85" t="n"/>
      <c r="AC964" s="85" t="n"/>
      <c r="AD964" s="85" t="n"/>
      <c r="AE964" s="85" t="n"/>
      <c r="AF964" s="86" t="n"/>
      <c r="AG964" s="86" t="n"/>
      <c r="AH964" s="86" t="n"/>
      <c r="AI964" s="85" t="n"/>
      <c r="AJ964" s="85" t="n"/>
      <c r="AK964" s="85">
        <f>IF($A964="","",IF($M964&gt;0,"Yes","No"))</f>
        <v/>
      </c>
      <c r="AL964" s="85">
        <f>IF($A964="","",IF(AND($E964="Yes",OR($Y964="No",$Y964="NOT FOUND")),"YES",""))</f>
        <v/>
      </c>
      <c r="AM964" s="85">
        <f>IF($A964="","",TRIM(IF(AND($P964=0,$I964&lt;&gt;"Yes"),"T0-NoPhishResistant ","")&amp;IF($H964="No","NoMFA ","")&amp;IF(AND($P964=0,$M964&gt;0),"T0-Standing ","")&amp;IF(AND($P964=0,$Q964="Group only"),"T0-ViaGroupOnly ","")&amp;IF($W964="Yes","AlsoAzureRBAC ","")))</f>
        <v/>
      </c>
      <c r="AN964" s="85">
        <f>IF($A964="","",IF(AG964="","Not Enrolled",IF(TODAY()&gt;AG964,"Review Overdue",IF(AG964-TODAY()&lt;=30,"Review Due Soon","Active"))))</f>
        <v/>
      </c>
      <c r="AO964" s="85">
        <f>IF($A964="","",IF(AH964="","NOT REVIEWED",IF(TODAY()-AH964&gt;90,"OVERDUE",IF(TODAY()-AH964&gt;76,"Due Soon","Current"))))</f>
        <v/>
      </c>
    </row>
    <row r="965" ht="15" customHeight="1" s="39">
      <c r="A965" s="85" t="n"/>
      <c r="B965" s="85" t="n"/>
      <c r="C965" s="85" t="n"/>
      <c r="D965" s="85" t="n"/>
      <c r="E965" s="85" t="n"/>
      <c r="F965" s="86" t="n"/>
      <c r="G965" s="86" t="n"/>
      <c r="H965" s="85" t="n"/>
      <c r="I965" s="85" t="n"/>
      <c r="J965" s="85" t="n"/>
      <c r="K965" s="85" t="n"/>
      <c r="L965" s="85" t="n"/>
      <c r="M965" s="85" t="n"/>
      <c r="N965" s="85" t="n"/>
      <c r="O965" s="85" t="n"/>
      <c r="P965" s="85" t="n"/>
      <c r="Q965" s="85" t="n"/>
      <c r="R965" s="85" t="n"/>
      <c r="S965" s="85" t="n"/>
      <c r="T965" s="85" t="n"/>
      <c r="U965" s="85" t="n"/>
      <c r="V965" s="85" t="n"/>
      <c r="W965" s="85" t="n"/>
      <c r="X965" s="85" t="n"/>
      <c r="Y965" s="85" t="n"/>
      <c r="Z965" s="85" t="n"/>
      <c r="AA965" s="85" t="n"/>
      <c r="AB965" s="85" t="n"/>
      <c r="AC965" s="85" t="n"/>
      <c r="AD965" s="85" t="n"/>
      <c r="AE965" s="85" t="n"/>
      <c r="AF965" s="86" t="n"/>
      <c r="AG965" s="86" t="n"/>
      <c r="AH965" s="86" t="n"/>
      <c r="AI965" s="85" t="n"/>
      <c r="AJ965" s="85" t="n"/>
      <c r="AK965" s="85">
        <f>IF($A965="","",IF($M965&gt;0,"Yes","No"))</f>
        <v/>
      </c>
      <c r="AL965" s="85">
        <f>IF($A965="","",IF(AND($E965="Yes",OR($Y965="No",$Y965="NOT FOUND")),"YES",""))</f>
        <v/>
      </c>
      <c r="AM965" s="85">
        <f>IF($A965="","",TRIM(IF(AND($P965=0,$I965&lt;&gt;"Yes"),"T0-NoPhishResistant ","")&amp;IF($H965="No","NoMFA ","")&amp;IF(AND($P965=0,$M965&gt;0),"T0-Standing ","")&amp;IF(AND($P965=0,$Q965="Group only"),"T0-ViaGroupOnly ","")&amp;IF($W965="Yes","AlsoAzureRBAC ","")))</f>
        <v/>
      </c>
      <c r="AN965" s="85">
        <f>IF($A965="","",IF(AG965="","Not Enrolled",IF(TODAY()&gt;AG965,"Review Overdue",IF(AG965-TODAY()&lt;=30,"Review Due Soon","Active"))))</f>
        <v/>
      </c>
      <c r="AO965" s="85">
        <f>IF($A965="","",IF(AH965="","NOT REVIEWED",IF(TODAY()-AH965&gt;90,"OVERDUE",IF(TODAY()-AH965&gt;76,"Due Soon","Current"))))</f>
        <v/>
      </c>
    </row>
    <row r="966" ht="15" customHeight="1" s="39">
      <c r="A966" s="85" t="n"/>
      <c r="B966" s="85" t="n"/>
      <c r="C966" s="85" t="n"/>
      <c r="D966" s="85" t="n"/>
      <c r="E966" s="85" t="n"/>
      <c r="F966" s="86" t="n"/>
      <c r="G966" s="86" t="n"/>
      <c r="H966" s="85" t="n"/>
      <c r="I966" s="85" t="n"/>
      <c r="J966" s="85" t="n"/>
      <c r="K966" s="85" t="n"/>
      <c r="L966" s="85" t="n"/>
      <c r="M966" s="85" t="n"/>
      <c r="N966" s="85" t="n"/>
      <c r="O966" s="85" t="n"/>
      <c r="P966" s="85" t="n"/>
      <c r="Q966" s="85" t="n"/>
      <c r="R966" s="85" t="n"/>
      <c r="S966" s="85" t="n"/>
      <c r="T966" s="85" t="n"/>
      <c r="U966" s="85" t="n"/>
      <c r="V966" s="85" t="n"/>
      <c r="W966" s="85" t="n"/>
      <c r="X966" s="85" t="n"/>
      <c r="Y966" s="85" t="n"/>
      <c r="Z966" s="85" t="n"/>
      <c r="AA966" s="85" t="n"/>
      <c r="AB966" s="85" t="n"/>
      <c r="AC966" s="85" t="n"/>
      <c r="AD966" s="85" t="n"/>
      <c r="AE966" s="85" t="n"/>
      <c r="AF966" s="86" t="n"/>
      <c r="AG966" s="86" t="n"/>
      <c r="AH966" s="86" t="n"/>
      <c r="AI966" s="85" t="n"/>
      <c r="AJ966" s="85" t="n"/>
      <c r="AK966" s="85">
        <f>IF($A966="","",IF($M966&gt;0,"Yes","No"))</f>
        <v/>
      </c>
      <c r="AL966" s="85">
        <f>IF($A966="","",IF(AND($E966="Yes",OR($Y966="No",$Y966="NOT FOUND")),"YES",""))</f>
        <v/>
      </c>
      <c r="AM966" s="85">
        <f>IF($A966="","",TRIM(IF(AND($P966=0,$I966&lt;&gt;"Yes"),"T0-NoPhishResistant ","")&amp;IF($H966="No","NoMFA ","")&amp;IF(AND($P966=0,$M966&gt;0),"T0-Standing ","")&amp;IF(AND($P966=0,$Q966="Group only"),"T0-ViaGroupOnly ","")&amp;IF($W966="Yes","AlsoAzureRBAC ","")))</f>
        <v/>
      </c>
      <c r="AN966" s="85">
        <f>IF($A966="","",IF(AG966="","Not Enrolled",IF(TODAY()&gt;AG966,"Review Overdue",IF(AG966-TODAY()&lt;=30,"Review Due Soon","Active"))))</f>
        <v/>
      </c>
      <c r="AO966" s="85">
        <f>IF($A966="","",IF(AH966="","NOT REVIEWED",IF(TODAY()-AH966&gt;90,"OVERDUE",IF(TODAY()-AH966&gt;76,"Due Soon","Current"))))</f>
        <v/>
      </c>
    </row>
    <row r="967" ht="15" customHeight="1" s="39">
      <c r="A967" s="85" t="n"/>
      <c r="B967" s="85" t="n"/>
      <c r="C967" s="85" t="n"/>
      <c r="D967" s="85" t="n"/>
      <c r="E967" s="85" t="n"/>
      <c r="F967" s="86" t="n"/>
      <c r="G967" s="86" t="n"/>
      <c r="H967" s="85" t="n"/>
      <c r="I967" s="85" t="n"/>
      <c r="J967" s="85" t="n"/>
      <c r="K967" s="85" t="n"/>
      <c r="L967" s="85" t="n"/>
      <c r="M967" s="85" t="n"/>
      <c r="N967" s="85" t="n"/>
      <c r="O967" s="85" t="n"/>
      <c r="P967" s="85" t="n"/>
      <c r="Q967" s="85" t="n"/>
      <c r="R967" s="85" t="n"/>
      <c r="S967" s="85" t="n"/>
      <c r="T967" s="85" t="n"/>
      <c r="U967" s="85" t="n"/>
      <c r="V967" s="85" t="n"/>
      <c r="W967" s="85" t="n"/>
      <c r="X967" s="85" t="n"/>
      <c r="Y967" s="85" t="n"/>
      <c r="Z967" s="85" t="n"/>
      <c r="AA967" s="85" t="n"/>
      <c r="AB967" s="85" t="n"/>
      <c r="AC967" s="85" t="n"/>
      <c r="AD967" s="85" t="n"/>
      <c r="AE967" s="85" t="n"/>
      <c r="AF967" s="86" t="n"/>
      <c r="AG967" s="86" t="n"/>
      <c r="AH967" s="86" t="n"/>
      <c r="AI967" s="85" t="n"/>
      <c r="AJ967" s="85" t="n"/>
      <c r="AK967" s="85">
        <f>IF($A967="","",IF($M967&gt;0,"Yes","No"))</f>
        <v/>
      </c>
      <c r="AL967" s="85">
        <f>IF($A967="","",IF(AND($E967="Yes",OR($Y967="No",$Y967="NOT FOUND")),"YES",""))</f>
        <v/>
      </c>
      <c r="AM967" s="85">
        <f>IF($A967="","",TRIM(IF(AND($P967=0,$I967&lt;&gt;"Yes"),"T0-NoPhishResistant ","")&amp;IF($H967="No","NoMFA ","")&amp;IF(AND($P967=0,$M967&gt;0),"T0-Standing ","")&amp;IF(AND($P967=0,$Q967="Group only"),"T0-ViaGroupOnly ","")&amp;IF($W967="Yes","AlsoAzureRBAC ","")))</f>
        <v/>
      </c>
      <c r="AN967" s="85">
        <f>IF($A967="","",IF(AG967="","Not Enrolled",IF(TODAY()&gt;AG967,"Review Overdue",IF(AG967-TODAY()&lt;=30,"Review Due Soon","Active"))))</f>
        <v/>
      </c>
      <c r="AO967" s="85">
        <f>IF($A967="","",IF(AH967="","NOT REVIEWED",IF(TODAY()-AH967&gt;90,"OVERDUE",IF(TODAY()-AH967&gt;76,"Due Soon","Current"))))</f>
        <v/>
      </c>
    </row>
    <row r="968" ht="15" customHeight="1" s="39">
      <c r="A968" s="85" t="n"/>
      <c r="B968" s="85" t="n"/>
      <c r="C968" s="85" t="n"/>
      <c r="D968" s="85" t="n"/>
      <c r="E968" s="85" t="n"/>
      <c r="F968" s="86" t="n"/>
      <c r="G968" s="86" t="n"/>
      <c r="H968" s="85" t="n"/>
      <c r="I968" s="85" t="n"/>
      <c r="J968" s="85" t="n"/>
      <c r="K968" s="85" t="n"/>
      <c r="L968" s="85" t="n"/>
      <c r="M968" s="85" t="n"/>
      <c r="N968" s="85" t="n"/>
      <c r="O968" s="85" t="n"/>
      <c r="P968" s="85" t="n"/>
      <c r="Q968" s="85" t="n"/>
      <c r="R968" s="85" t="n"/>
      <c r="S968" s="85" t="n"/>
      <c r="T968" s="85" t="n"/>
      <c r="U968" s="85" t="n"/>
      <c r="V968" s="85" t="n"/>
      <c r="W968" s="85" t="n"/>
      <c r="X968" s="85" t="n"/>
      <c r="Y968" s="85" t="n"/>
      <c r="Z968" s="85" t="n"/>
      <c r="AA968" s="85" t="n"/>
      <c r="AB968" s="85" t="n"/>
      <c r="AC968" s="85" t="n"/>
      <c r="AD968" s="85" t="n"/>
      <c r="AE968" s="85" t="n"/>
      <c r="AF968" s="86" t="n"/>
      <c r="AG968" s="86" t="n"/>
      <c r="AH968" s="86" t="n"/>
      <c r="AI968" s="85" t="n"/>
      <c r="AJ968" s="85" t="n"/>
      <c r="AK968" s="85">
        <f>IF($A968="","",IF($M968&gt;0,"Yes","No"))</f>
        <v/>
      </c>
      <c r="AL968" s="85">
        <f>IF($A968="","",IF(AND($E968="Yes",OR($Y968="No",$Y968="NOT FOUND")),"YES",""))</f>
        <v/>
      </c>
      <c r="AM968" s="85">
        <f>IF($A968="","",TRIM(IF(AND($P968=0,$I968&lt;&gt;"Yes"),"T0-NoPhishResistant ","")&amp;IF($H968="No","NoMFA ","")&amp;IF(AND($P968=0,$M968&gt;0),"T0-Standing ","")&amp;IF(AND($P968=0,$Q968="Group only"),"T0-ViaGroupOnly ","")&amp;IF($W968="Yes","AlsoAzureRBAC ","")))</f>
        <v/>
      </c>
      <c r="AN968" s="85">
        <f>IF($A968="","",IF(AG968="","Not Enrolled",IF(TODAY()&gt;AG968,"Review Overdue",IF(AG968-TODAY()&lt;=30,"Review Due Soon","Active"))))</f>
        <v/>
      </c>
      <c r="AO968" s="85">
        <f>IF($A968="","",IF(AH968="","NOT REVIEWED",IF(TODAY()-AH968&gt;90,"OVERDUE",IF(TODAY()-AH968&gt;76,"Due Soon","Current"))))</f>
        <v/>
      </c>
    </row>
    <row r="969" ht="15" customHeight="1" s="39">
      <c r="A969" s="85" t="n"/>
      <c r="B969" s="85" t="n"/>
      <c r="C969" s="85" t="n"/>
      <c r="D969" s="85" t="n"/>
      <c r="E969" s="85" t="n"/>
      <c r="F969" s="86" t="n"/>
      <c r="G969" s="86" t="n"/>
      <c r="H969" s="85" t="n"/>
      <c r="I969" s="85" t="n"/>
      <c r="J969" s="85" t="n"/>
      <c r="K969" s="85" t="n"/>
      <c r="L969" s="85" t="n"/>
      <c r="M969" s="85" t="n"/>
      <c r="N969" s="85" t="n"/>
      <c r="O969" s="85" t="n"/>
      <c r="P969" s="85" t="n"/>
      <c r="Q969" s="85" t="n"/>
      <c r="R969" s="85" t="n"/>
      <c r="S969" s="85" t="n"/>
      <c r="T969" s="85" t="n"/>
      <c r="U969" s="85" t="n"/>
      <c r="V969" s="85" t="n"/>
      <c r="W969" s="85" t="n"/>
      <c r="X969" s="85" t="n"/>
      <c r="Y969" s="85" t="n"/>
      <c r="Z969" s="85" t="n"/>
      <c r="AA969" s="85" t="n"/>
      <c r="AB969" s="85" t="n"/>
      <c r="AC969" s="85" t="n"/>
      <c r="AD969" s="85" t="n"/>
      <c r="AE969" s="85" t="n"/>
      <c r="AF969" s="86" t="n"/>
      <c r="AG969" s="86" t="n"/>
      <c r="AH969" s="86" t="n"/>
      <c r="AI969" s="85" t="n"/>
      <c r="AJ969" s="85" t="n"/>
      <c r="AK969" s="85">
        <f>IF($A969="","",IF($M969&gt;0,"Yes","No"))</f>
        <v/>
      </c>
      <c r="AL969" s="85">
        <f>IF($A969="","",IF(AND($E969="Yes",OR($Y969="No",$Y969="NOT FOUND")),"YES",""))</f>
        <v/>
      </c>
      <c r="AM969" s="85">
        <f>IF($A969="","",TRIM(IF(AND($P969=0,$I969&lt;&gt;"Yes"),"T0-NoPhishResistant ","")&amp;IF($H969="No","NoMFA ","")&amp;IF(AND($P969=0,$M969&gt;0),"T0-Standing ","")&amp;IF(AND($P969=0,$Q969="Group only"),"T0-ViaGroupOnly ","")&amp;IF($W969="Yes","AlsoAzureRBAC ","")))</f>
        <v/>
      </c>
      <c r="AN969" s="85">
        <f>IF($A969="","",IF(AG969="","Not Enrolled",IF(TODAY()&gt;AG969,"Review Overdue",IF(AG969-TODAY()&lt;=30,"Review Due Soon","Active"))))</f>
        <v/>
      </c>
      <c r="AO969" s="85">
        <f>IF($A969="","",IF(AH969="","NOT REVIEWED",IF(TODAY()-AH969&gt;90,"OVERDUE",IF(TODAY()-AH969&gt;76,"Due Soon","Current"))))</f>
        <v/>
      </c>
    </row>
    <row r="970" ht="15" customHeight="1" s="39">
      <c r="A970" s="85" t="n"/>
      <c r="B970" s="85" t="n"/>
      <c r="C970" s="85" t="n"/>
      <c r="D970" s="85" t="n"/>
      <c r="E970" s="85" t="n"/>
      <c r="F970" s="86" t="n"/>
      <c r="G970" s="86" t="n"/>
      <c r="H970" s="85" t="n"/>
      <c r="I970" s="85" t="n"/>
      <c r="J970" s="85" t="n"/>
      <c r="K970" s="85" t="n"/>
      <c r="L970" s="85" t="n"/>
      <c r="M970" s="85" t="n"/>
      <c r="N970" s="85" t="n"/>
      <c r="O970" s="85" t="n"/>
      <c r="P970" s="85" t="n"/>
      <c r="Q970" s="85" t="n"/>
      <c r="R970" s="85" t="n"/>
      <c r="S970" s="85" t="n"/>
      <c r="T970" s="85" t="n"/>
      <c r="U970" s="85" t="n"/>
      <c r="V970" s="85" t="n"/>
      <c r="W970" s="85" t="n"/>
      <c r="X970" s="85" t="n"/>
      <c r="Y970" s="85" t="n"/>
      <c r="Z970" s="85" t="n"/>
      <c r="AA970" s="85" t="n"/>
      <c r="AB970" s="85" t="n"/>
      <c r="AC970" s="85" t="n"/>
      <c r="AD970" s="85" t="n"/>
      <c r="AE970" s="85" t="n"/>
      <c r="AF970" s="86" t="n"/>
      <c r="AG970" s="86" t="n"/>
      <c r="AH970" s="86" t="n"/>
      <c r="AI970" s="85" t="n"/>
      <c r="AJ970" s="85" t="n"/>
      <c r="AK970" s="85">
        <f>IF($A970="","",IF($M970&gt;0,"Yes","No"))</f>
        <v/>
      </c>
      <c r="AL970" s="85">
        <f>IF($A970="","",IF(AND($E970="Yes",OR($Y970="No",$Y970="NOT FOUND")),"YES",""))</f>
        <v/>
      </c>
      <c r="AM970" s="85">
        <f>IF($A970="","",TRIM(IF(AND($P970=0,$I970&lt;&gt;"Yes"),"T0-NoPhishResistant ","")&amp;IF($H970="No","NoMFA ","")&amp;IF(AND($P970=0,$M970&gt;0),"T0-Standing ","")&amp;IF(AND($P970=0,$Q970="Group only"),"T0-ViaGroupOnly ","")&amp;IF($W970="Yes","AlsoAzureRBAC ","")))</f>
        <v/>
      </c>
      <c r="AN970" s="85">
        <f>IF($A970="","",IF(AG970="","Not Enrolled",IF(TODAY()&gt;AG970,"Review Overdue",IF(AG970-TODAY()&lt;=30,"Review Due Soon","Active"))))</f>
        <v/>
      </c>
      <c r="AO970" s="85">
        <f>IF($A970="","",IF(AH970="","NOT REVIEWED",IF(TODAY()-AH970&gt;90,"OVERDUE",IF(TODAY()-AH970&gt;76,"Due Soon","Current"))))</f>
        <v/>
      </c>
    </row>
    <row r="971" ht="15" customHeight="1" s="39">
      <c r="A971" s="85" t="n"/>
      <c r="B971" s="85" t="n"/>
      <c r="C971" s="85" t="n"/>
      <c r="D971" s="85" t="n"/>
      <c r="E971" s="85" t="n"/>
      <c r="F971" s="86" t="n"/>
      <c r="G971" s="86" t="n"/>
      <c r="H971" s="85" t="n"/>
      <c r="I971" s="85" t="n"/>
      <c r="J971" s="85" t="n"/>
      <c r="K971" s="85" t="n"/>
      <c r="L971" s="85" t="n"/>
      <c r="M971" s="85" t="n"/>
      <c r="N971" s="85" t="n"/>
      <c r="O971" s="85" t="n"/>
      <c r="P971" s="85" t="n"/>
      <c r="Q971" s="85" t="n"/>
      <c r="R971" s="85" t="n"/>
      <c r="S971" s="85" t="n"/>
      <c r="T971" s="85" t="n"/>
      <c r="U971" s="85" t="n"/>
      <c r="V971" s="85" t="n"/>
      <c r="W971" s="85" t="n"/>
      <c r="X971" s="85" t="n"/>
      <c r="Y971" s="85" t="n"/>
      <c r="Z971" s="85" t="n"/>
      <c r="AA971" s="85" t="n"/>
      <c r="AB971" s="85" t="n"/>
      <c r="AC971" s="85" t="n"/>
      <c r="AD971" s="85" t="n"/>
      <c r="AE971" s="85" t="n"/>
      <c r="AF971" s="86" t="n"/>
      <c r="AG971" s="86" t="n"/>
      <c r="AH971" s="86" t="n"/>
      <c r="AI971" s="85" t="n"/>
      <c r="AJ971" s="85" t="n"/>
      <c r="AK971" s="85">
        <f>IF($A971="","",IF($M971&gt;0,"Yes","No"))</f>
        <v/>
      </c>
      <c r="AL971" s="85">
        <f>IF($A971="","",IF(AND($E971="Yes",OR($Y971="No",$Y971="NOT FOUND")),"YES",""))</f>
        <v/>
      </c>
      <c r="AM971" s="85">
        <f>IF($A971="","",TRIM(IF(AND($P971=0,$I971&lt;&gt;"Yes"),"T0-NoPhishResistant ","")&amp;IF($H971="No","NoMFA ","")&amp;IF(AND($P971=0,$M971&gt;0),"T0-Standing ","")&amp;IF(AND($P971=0,$Q971="Group only"),"T0-ViaGroupOnly ","")&amp;IF($W971="Yes","AlsoAzureRBAC ","")))</f>
        <v/>
      </c>
      <c r="AN971" s="85">
        <f>IF($A971="","",IF(AG971="","Not Enrolled",IF(TODAY()&gt;AG971,"Review Overdue",IF(AG971-TODAY()&lt;=30,"Review Due Soon","Active"))))</f>
        <v/>
      </c>
      <c r="AO971" s="85">
        <f>IF($A971="","",IF(AH971="","NOT REVIEWED",IF(TODAY()-AH971&gt;90,"OVERDUE",IF(TODAY()-AH971&gt;76,"Due Soon","Current"))))</f>
        <v/>
      </c>
    </row>
    <row r="972" ht="15" customHeight="1" s="39">
      <c r="A972" s="85" t="n"/>
      <c r="B972" s="85" t="n"/>
      <c r="C972" s="85" t="n"/>
      <c r="D972" s="85" t="n"/>
      <c r="E972" s="85" t="n"/>
      <c r="F972" s="86" t="n"/>
      <c r="G972" s="86" t="n"/>
      <c r="H972" s="85" t="n"/>
      <c r="I972" s="85" t="n"/>
      <c r="J972" s="85" t="n"/>
      <c r="K972" s="85" t="n"/>
      <c r="L972" s="85" t="n"/>
      <c r="M972" s="85" t="n"/>
      <c r="N972" s="85" t="n"/>
      <c r="O972" s="85" t="n"/>
      <c r="P972" s="85" t="n"/>
      <c r="Q972" s="85" t="n"/>
      <c r="R972" s="85" t="n"/>
      <c r="S972" s="85" t="n"/>
      <c r="T972" s="85" t="n"/>
      <c r="U972" s="85" t="n"/>
      <c r="V972" s="85" t="n"/>
      <c r="W972" s="85" t="n"/>
      <c r="X972" s="85" t="n"/>
      <c r="Y972" s="85" t="n"/>
      <c r="Z972" s="85" t="n"/>
      <c r="AA972" s="85" t="n"/>
      <c r="AB972" s="85" t="n"/>
      <c r="AC972" s="85" t="n"/>
      <c r="AD972" s="85" t="n"/>
      <c r="AE972" s="85" t="n"/>
      <c r="AF972" s="86" t="n"/>
      <c r="AG972" s="86" t="n"/>
      <c r="AH972" s="86" t="n"/>
      <c r="AI972" s="85" t="n"/>
      <c r="AJ972" s="85" t="n"/>
      <c r="AK972" s="85">
        <f>IF($A972="","",IF($M972&gt;0,"Yes","No"))</f>
        <v/>
      </c>
      <c r="AL972" s="85">
        <f>IF($A972="","",IF(AND($E972="Yes",OR($Y972="No",$Y972="NOT FOUND")),"YES",""))</f>
        <v/>
      </c>
      <c r="AM972" s="85">
        <f>IF($A972="","",TRIM(IF(AND($P972=0,$I972&lt;&gt;"Yes"),"T0-NoPhishResistant ","")&amp;IF($H972="No","NoMFA ","")&amp;IF(AND($P972=0,$M972&gt;0),"T0-Standing ","")&amp;IF(AND($P972=0,$Q972="Group only"),"T0-ViaGroupOnly ","")&amp;IF($W972="Yes","AlsoAzureRBAC ","")))</f>
        <v/>
      </c>
      <c r="AN972" s="85">
        <f>IF($A972="","",IF(AG972="","Not Enrolled",IF(TODAY()&gt;AG972,"Review Overdue",IF(AG972-TODAY()&lt;=30,"Review Due Soon","Active"))))</f>
        <v/>
      </c>
      <c r="AO972" s="85">
        <f>IF($A972="","",IF(AH972="","NOT REVIEWED",IF(TODAY()-AH972&gt;90,"OVERDUE",IF(TODAY()-AH972&gt;76,"Due Soon","Current"))))</f>
        <v/>
      </c>
    </row>
    <row r="973" ht="15" customHeight="1" s="39">
      <c r="A973" s="85" t="n"/>
      <c r="B973" s="85" t="n"/>
      <c r="C973" s="85" t="n"/>
      <c r="D973" s="85" t="n"/>
      <c r="E973" s="85" t="n"/>
      <c r="F973" s="86" t="n"/>
      <c r="G973" s="86" t="n"/>
      <c r="H973" s="85" t="n"/>
      <c r="I973" s="85" t="n"/>
      <c r="J973" s="85" t="n"/>
      <c r="K973" s="85" t="n"/>
      <c r="L973" s="85" t="n"/>
      <c r="M973" s="85" t="n"/>
      <c r="N973" s="85" t="n"/>
      <c r="O973" s="85" t="n"/>
      <c r="P973" s="85" t="n"/>
      <c r="Q973" s="85" t="n"/>
      <c r="R973" s="85" t="n"/>
      <c r="S973" s="85" t="n"/>
      <c r="T973" s="85" t="n"/>
      <c r="U973" s="85" t="n"/>
      <c r="V973" s="85" t="n"/>
      <c r="W973" s="85" t="n"/>
      <c r="X973" s="85" t="n"/>
      <c r="Y973" s="85" t="n"/>
      <c r="Z973" s="85" t="n"/>
      <c r="AA973" s="85" t="n"/>
      <c r="AB973" s="85" t="n"/>
      <c r="AC973" s="85" t="n"/>
      <c r="AD973" s="85" t="n"/>
      <c r="AE973" s="85" t="n"/>
      <c r="AF973" s="86" t="n"/>
      <c r="AG973" s="86" t="n"/>
      <c r="AH973" s="86" t="n"/>
      <c r="AI973" s="85" t="n"/>
      <c r="AJ973" s="85" t="n"/>
      <c r="AK973" s="85">
        <f>IF($A973="","",IF($M973&gt;0,"Yes","No"))</f>
        <v/>
      </c>
      <c r="AL973" s="85">
        <f>IF($A973="","",IF(AND($E973="Yes",OR($Y973="No",$Y973="NOT FOUND")),"YES",""))</f>
        <v/>
      </c>
      <c r="AM973" s="85">
        <f>IF($A973="","",TRIM(IF(AND($P973=0,$I973&lt;&gt;"Yes"),"T0-NoPhishResistant ","")&amp;IF($H973="No","NoMFA ","")&amp;IF(AND($P973=0,$M973&gt;0),"T0-Standing ","")&amp;IF(AND($P973=0,$Q973="Group only"),"T0-ViaGroupOnly ","")&amp;IF($W973="Yes","AlsoAzureRBAC ","")))</f>
        <v/>
      </c>
      <c r="AN973" s="85">
        <f>IF($A973="","",IF(AG973="","Not Enrolled",IF(TODAY()&gt;AG973,"Review Overdue",IF(AG973-TODAY()&lt;=30,"Review Due Soon","Active"))))</f>
        <v/>
      </c>
      <c r="AO973" s="85">
        <f>IF($A973="","",IF(AH973="","NOT REVIEWED",IF(TODAY()-AH973&gt;90,"OVERDUE",IF(TODAY()-AH973&gt;76,"Due Soon","Current"))))</f>
        <v/>
      </c>
    </row>
    <row r="974" ht="15" customHeight="1" s="39">
      <c r="A974" s="85" t="n"/>
      <c r="B974" s="85" t="n"/>
      <c r="C974" s="85" t="n"/>
      <c r="D974" s="85" t="n"/>
      <c r="E974" s="85" t="n"/>
      <c r="F974" s="86" t="n"/>
      <c r="G974" s="86" t="n"/>
      <c r="H974" s="85" t="n"/>
      <c r="I974" s="85" t="n"/>
      <c r="J974" s="85" t="n"/>
      <c r="K974" s="85" t="n"/>
      <c r="L974" s="85" t="n"/>
      <c r="M974" s="85" t="n"/>
      <c r="N974" s="85" t="n"/>
      <c r="O974" s="85" t="n"/>
      <c r="P974" s="85" t="n"/>
      <c r="Q974" s="85" t="n"/>
      <c r="R974" s="85" t="n"/>
      <c r="S974" s="85" t="n"/>
      <c r="T974" s="85" t="n"/>
      <c r="U974" s="85" t="n"/>
      <c r="V974" s="85" t="n"/>
      <c r="W974" s="85" t="n"/>
      <c r="X974" s="85" t="n"/>
      <c r="Y974" s="85" t="n"/>
      <c r="Z974" s="85" t="n"/>
      <c r="AA974" s="85" t="n"/>
      <c r="AB974" s="85" t="n"/>
      <c r="AC974" s="85" t="n"/>
      <c r="AD974" s="85" t="n"/>
      <c r="AE974" s="85" t="n"/>
      <c r="AF974" s="86" t="n"/>
      <c r="AG974" s="86" t="n"/>
      <c r="AH974" s="86" t="n"/>
      <c r="AI974" s="85" t="n"/>
      <c r="AJ974" s="85" t="n"/>
      <c r="AK974" s="85">
        <f>IF($A974="","",IF($M974&gt;0,"Yes","No"))</f>
        <v/>
      </c>
      <c r="AL974" s="85">
        <f>IF($A974="","",IF(AND($E974="Yes",OR($Y974="No",$Y974="NOT FOUND")),"YES",""))</f>
        <v/>
      </c>
      <c r="AM974" s="85">
        <f>IF($A974="","",TRIM(IF(AND($P974=0,$I974&lt;&gt;"Yes"),"T0-NoPhishResistant ","")&amp;IF($H974="No","NoMFA ","")&amp;IF(AND($P974=0,$M974&gt;0),"T0-Standing ","")&amp;IF(AND($P974=0,$Q974="Group only"),"T0-ViaGroupOnly ","")&amp;IF($W974="Yes","AlsoAzureRBAC ","")))</f>
        <v/>
      </c>
      <c r="AN974" s="85">
        <f>IF($A974="","",IF(AG974="","Not Enrolled",IF(TODAY()&gt;AG974,"Review Overdue",IF(AG974-TODAY()&lt;=30,"Review Due Soon","Active"))))</f>
        <v/>
      </c>
      <c r="AO974" s="85">
        <f>IF($A974="","",IF(AH974="","NOT REVIEWED",IF(TODAY()-AH974&gt;90,"OVERDUE",IF(TODAY()-AH974&gt;76,"Due Soon","Current"))))</f>
        <v/>
      </c>
    </row>
    <row r="975" ht="15" customHeight="1" s="39">
      <c r="A975" s="85" t="n"/>
      <c r="B975" s="85" t="n"/>
      <c r="C975" s="85" t="n"/>
      <c r="D975" s="85" t="n"/>
      <c r="E975" s="85" t="n"/>
      <c r="F975" s="86" t="n"/>
      <c r="G975" s="86" t="n"/>
      <c r="H975" s="85" t="n"/>
      <c r="I975" s="85" t="n"/>
      <c r="J975" s="85" t="n"/>
      <c r="K975" s="85" t="n"/>
      <c r="L975" s="85" t="n"/>
      <c r="M975" s="85" t="n"/>
      <c r="N975" s="85" t="n"/>
      <c r="O975" s="85" t="n"/>
      <c r="P975" s="85" t="n"/>
      <c r="Q975" s="85" t="n"/>
      <c r="R975" s="85" t="n"/>
      <c r="S975" s="85" t="n"/>
      <c r="T975" s="85" t="n"/>
      <c r="U975" s="85" t="n"/>
      <c r="V975" s="85" t="n"/>
      <c r="W975" s="85" t="n"/>
      <c r="X975" s="85" t="n"/>
      <c r="Y975" s="85" t="n"/>
      <c r="Z975" s="85" t="n"/>
      <c r="AA975" s="85" t="n"/>
      <c r="AB975" s="85" t="n"/>
      <c r="AC975" s="85" t="n"/>
      <c r="AD975" s="85" t="n"/>
      <c r="AE975" s="85" t="n"/>
      <c r="AF975" s="86" t="n"/>
      <c r="AG975" s="86" t="n"/>
      <c r="AH975" s="86" t="n"/>
      <c r="AI975" s="85" t="n"/>
      <c r="AJ975" s="85" t="n"/>
      <c r="AK975" s="85">
        <f>IF($A975="","",IF($M975&gt;0,"Yes","No"))</f>
        <v/>
      </c>
      <c r="AL975" s="85">
        <f>IF($A975="","",IF(AND($E975="Yes",OR($Y975="No",$Y975="NOT FOUND")),"YES",""))</f>
        <v/>
      </c>
      <c r="AM975" s="85">
        <f>IF($A975="","",TRIM(IF(AND($P975=0,$I975&lt;&gt;"Yes"),"T0-NoPhishResistant ","")&amp;IF($H975="No","NoMFA ","")&amp;IF(AND($P975=0,$M975&gt;0),"T0-Standing ","")&amp;IF(AND($P975=0,$Q975="Group only"),"T0-ViaGroupOnly ","")&amp;IF($W975="Yes","AlsoAzureRBAC ","")))</f>
        <v/>
      </c>
      <c r="AN975" s="85">
        <f>IF($A975="","",IF(AG975="","Not Enrolled",IF(TODAY()&gt;AG975,"Review Overdue",IF(AG975-TODAY()&lt;=30,"Review Due Soon","Active"))))</f>
        <v/>
      </c>
      <c r="AO975" s="85">
        <f>IF($A975="","",IF(AH975="","NOT REVIEWED",IF(TODAY()-AH975&gt;90,"OVERDUE",IF(TODAY()-AH975&gt;76,"Due Soon","Current"))))</f>
        <v/>
      </c>
    </row>
    <row r="976" ht="15" customHeight="1" s="39">
      <c r="A976" s="85" t="n"/>
      <c r="B976" s="85" t="n"/>
      <c r="C976" s="85" t="n"/>
      <c r="D976" s="85" t="n"/>
      <c r="E976" s="85" t="n"/>
      <c r="F976" s="86" t="n"/>
      <c r="G976" s="86" t="n"/>
      <c r="H976" s="85" t="n"/>
      <c r="I976" s="85" t="n"/>
      <c r="J976" s="85" t="n"/>
      <c r="K976" s="85" t="n"/>
      <c r="L976" s="85" t="n"/>
      <c r="M976" s="85" t="n"/>
      <c r="N976" s="85" t="n"/>
      <c r="O976" s="85" t="n"/>
      <c r="P976" s="85" t="n"/>
      <c r="Q976" s="85" t="n"/>
      <c r="R976" s="85" t="n"/>
      <c r="S976" s="85" t="n"/>
      <c r="T976" s="85" t="n"/>
      <c r="U976" s="85" t="n"/>
      <c r="V976" s="85" t="n"/>
      <c r="W976" s="85" t="n"/>
      <c r="X976" s="85" t="n"/>
      <c r="Y976" s="85" t="n"/>
      <c r="Z976" s="85" t="n"/>
      <c r="AA976" s="85" t="n"/>
      <c r="AB976" s="85" t="n"/>
      <c r="AC976" s="85" t="n"/>
      <c r="AD976" s="85" t="n"/>
      <c r="AE976" s="85" t="n"/>
      <c r="AF976" s="86" t="n"/>
      <c r="AG976" s="86" t="n"/>
      <c r="AH976" s="86" t="n"/>
      <c r="AI976" s="85" t="n"/>
      <c r="AJ976" s="85" t="n"/>
      <c r="AK976" s="85">
        <f>IF($A976="","",IF($M976&gt;0,"Yes","No"))</f>
        <v/>
      </c>
      <c r="AL976" s="85">
        <f>IF($A976="","",IF(AND($E976="Yes",OR($Y976="No",$Y976="NOT FOUND")),"YES",""))</f>
        <v/>
      </c>
      <c r="AM976" s="85">
        <f>IF($A976="","",TRIM(IF(AND($P976=0,$I976&lt;&gt;"Yes"),"T0-NoPhishResistant ","")&amp;IF($H976="No","NoMFA ","")&amp;IF(AND($P976=0,$M976&gt;0),"T0-Standing ","")&amp;IF(AND($P976=0,$Q976="Group only"),"T0-ViaGroupOnly ","")&amp;IF($W976="Yes","AlsoAzureRBAC ","")))</f>
        <v/>
      </c>
      <c r="AN976" s="85">
        <f>IF($A976="","",IF(AG976="","Not Enrolled",IF(TODAY()&gt;AG976,"Review Overdue",IF(AG976-TODAY()&lt;=30,"Review Due Soon","Active"))))</f>
        <v/>
      </c>
      <c r="AO976" s="85">
        <f>IF($A976="","",IF(AH976="","NOT REVIEWED",IF(TODAY()-AH976&gt;90,"OVERDUE",IF(TODAY()-AH976&gt;76,"Due Soon","Current"))))</f>
        <v/>
      </c>
    </row>
    <row r="977" ht="15" customHeight="1" s="39">
      <c r="A977" s="85" t="n"/>
      <c r="B977" s="85" t="n"/>
      <c r="C977" s="85" t="n"/>
      <c r="D977" s="85" t="n"/>
      <c r="E977" s="85" t="n"/>
      <c r="F977" s="86" t="n"/>
      <c r="G977" s="86" t="n"/>
      <c r="H977" s="85" t="n"/>
      <c r="I977" s="85" t="n"/>
      <c r="J977" s="85" t="n"/>
      <c r="K977" s="85" t="n"/>
      <c r="L977" s="85" t="n"/>
      <c r="M977" s="85" t="n"/>
      <c r="N977" s="85" t="n"/>
      <c r="O977" s="85" t="n"/>
      <c r="P977" s="85" t="n"/>
      <c r="Q977" s="85" t="n"/>
      <c r="R977" s="85" t="n"/>
      <c r="S977" s="85" t="n"/>
      <c r="T977" s="85" t="n"/>
      <c r="U977" s="85" t="n"/>
      <c r="V977" s="85" t="n"/>
      <c r="W977" s="85" t="n"/>
      <c r="X977" s="85" t="n"/>
      <c r="Y977" s="85" t="n"/>
      <c r="Z977" s="85" t="n"/>
      <c r="AA977" s="85" t="n"/>
      <c r="AB977" s="85" t="n"/>
      <c r="AC977" s="85" t="n"/>
      <c r="AD977" s="85" t="n"/>
      <c r="AE977" s="85" t="n"/>
      <c r="AF977" s="86" t="n"/>
      <c r="AG977" s="86" t="n"/>
      <c r="AH977" s="86" t="n"/>
      <c r="AI977" s="85" t="n"/>
      <c r="AJ977" s="85" t="n"/>
      <c r="AK977" s="85">
        <f>IF($A977="","",IF($M977&gt;0,"Yes","No"))</f>
        <v/>
      </c>
      <c r="AL977" s="85">
        <f>IF($A977="","",IF(AND($E977="Yes",OR($Y977="No",$Y977="NOT FOUND")),"YES",""))</f>
        <v/>
      </c>
      <c r="AM977" s="85">
        <f>IF($A977="","",TRIM(IF(AND($P977=0,$I977&lt;&gt;"Yes"),"T0-NoPhishResistant ","")&amp;IF($H977="No","NoMFA ","")&amp;IF(AND($P977=0,$M977&gt;0),"T0-Standing ","")&amp;IF(AND($P977=0,$Q977="Group only"),"T0-ViaGroupOnly ","")&amp;IF($W977="Yes","AlsoAzureRBAC ","")))</f>
        <v/>
      </c>
      <c r="AN977" s="85">
        <f>IF($A977="","",IF(AG977="","Not Enrolled",IF(TODAY()&gt;AG977,"Review Overdue",IF(AG977-TODAY()&lt;=30,"Review Due Soon","Active"))))</f>
        <v/>
      </c>
      <c r="AO977" s="85">
        <f>IF($A977="","",IF(AH977="","NOT REVIEWED",IF(TODAY()-AH977&gt;90,"OVERDUE",IF(TODAY()-AH977&gt;76,"Due Soon","Current"))))</f>
        <v/>
      </c>
    </row>
    <row r="978" ht="15" customHeight="1" s="39">
      <c r="A978" s="85" t="n"/>
      <c r="B978" s="85" t="n"/>
      <c r="C978" s="85" t="n"/>
      <c r="D978" s="85" t="n"/>
      <c r="E978" s="85" t="n"/>
      <c r="F978" s="86" t="n"/>
      <c r="G978" s="86" t="n"/>
      <c r="H978" s="85" t="n"/>
      <c r="I978" s="85" t="n"/>
      <c r="J978" s="85" t="n"/>
      <c r="K978" s="85" t="n"/>
      <c r="L978" s="85" t="n"/>
      <c r="M978" s="85" t="n"/>
      <c r="N978" s="85" t="n"/>
      <c r="O978" s="85" t="n"/>
      <c r="P978" s="85" t="n"/>
      <c r="Q978" s="85" t="n"/>
      <c r="R978" s="85" t="n"/>
      <c r="S978" s="85" t="n"/>
      <c r="T978" s="85" t="n"/>
      <c r="U978" s="85" t="n"/>
      <c r="V978" s="85" t="n"/>
      <c r="W978" s="85" t="n"/>
      <c r="X978" s="85" t="n"/>
      <c r="Y978" s="85" t="n"/>
      <c r="Z978" s="85" t="n"/>
      <c r="AA978" s="85" t="n"/>
      <c r="AB978" s="85" t="n"/>
      <c r="AC978" s="85" t="n"/>
      <c r="AD978" s="85" t="n"/>
      <c r="AE978" s="85" t="n"/>
      <c r="AF978" s="86" t="n"/>
      <c r="AG978" s="86" t="n"/>
      <c r="AH978" s="86" t="n"/>
      <c r="AI978" s="85" t="n"/>
      <c r="AJ978" s="85" t="n"/>
      <c r="AK978" s="85">
        <f>IF($A978="","",IF($M978&gt;0,"Yes","No"))</f>
        <v/>
      </c>
      <c r="AL978" s="85">
        <f>IF($A978="","",IF(AND($E978="Yes",OR($Y978="No",$Y978="NOT FOUND")),"YES",""))</f>
        <v/>
      </c>
      <c r="AM978" s="85">
        <f>IF($A978="","",TRIM(IF(AND($P978=0,$I978&lt;&gt;"Yes"),"T0-NoPhishResistant ","")&amp;IF($H978="No","NoMFA ","")&amp;IF(AND($P978=0,$M978&gt;0),"T0-Standing ","")&amp;IF(AND($P978=0,$Q978="Group only"),"T0-ViaGroupOnly ","")&amp;IF($W978="Yes","AlsoAzureRBAC ","")))</f>
        <v/>
      </c>
      <c r="AN978" s="85">
        <f>IF($A978="","",IF(AG978="","Not Enrolled",IF(TODAY()&gt;AG978,"Review Overdue",IF(AG978-TODAY()&lt;=30,"Review Due Soon","Active"))))</f>
        <v/>
      </c>
      <c r="AO978" s="85">
        <f>IF($A978="","",IF(AH978="","NOT REVIEWED",IF(TODAY()-AH978&gt;90,"OVERDUE",IF(TODAY()-AH978&gt;76,"Due Soon","Current"))))</f>
        <v/>
      </c>
    </row>
    <row r="979" ht="15" customHeight="1" s="39">
      <c r="A979" s="85" t="n"/>
      <c r="B979" s="85" t="n"/>
      <c r="C979" s="85" t="n"/>
      <c r="D979" s="85" t="n"/>
      <c r="E979" s="85" t="n"/>
      <c r="F979" s="86" t="n"/>
      <c r="G979" s="86" t="n"/>
      <c r="H979" s="85" t="n"/>
      <c r="I979" s="85" t="n"/>
      <c r="J979" s="85" t="n"/>
      <c r="K979" s="85" t="n"/>
      <c r="L979" s="85" t="n"/>
      <c r="M979" s="85" t="n"/>
      <c r="N979" s="85" t="n"/>
      <c r="O979" s="85" t="n"/>
      <c r="P979" s="85" t="n"/>
      <c r="Q979" s="85" t="n"/>
      <c r="R979" s="85" t="n"/>
      <c r="S979" s="85" t="n"/>
      <c r="T979" s="85" t="n"/>
      <c r="U979" s="85" t="n"/>
      <c r="V979" s="85" t="n"/>
      <c r="W979" s="85" t="n"/>
      <c r="X979" s="85" t="n"/>
      <c r="Y979" s="85" t="n"/>
      <c r="Z979" s="85" t="n"/>
      <c r="AA979" s="85" t="n"/>
      <c r="AB979" s="85" t="n"/>
      <c r="AC979" s="85" t="n"/>
      <c r="AD979" s="85" t="n"/>
      <c r="AE979" s="85" t="n"/>
      <c r="AF979" s="86" t="n"/>
      <c r="AG979" s="86" t="n"/>
      <c r="AH979" s="86" t="n"/>
      <c r="AI979" s="85" t="n"/>
      <c r="AJ979" s="85" t="n"/>
      <c r="AK979" s="85">
        <f>IF($A979="","",IF($M979&gt;0,"Yes","No"))</f>
        <v/>
      </c>
      <c r="AL979" s="85">
        <f>IF($A979="","",IF(AND($E979="Yes",OR($Y979="No",$Y979="NOT FOUND")),"YES",""))</f>
        <v/>
      </c>
      <c r="AM979" s="85">
        <f>IF($A979="","",TRIM(IF(AND($P979=0,$I979&lt;&gt;"Yes"),"T0-NoPhishResistant ","")&amp;IF($H979="No","NoMFA ","")&amp;IF(AND($P979=0,$M979&gt;0),"T0-Standing ","")&amp;IF(AND($P979=0,$Q979="Group only"),"T0-ViaGroupOnly ","")&amp;IF($W979="Yes","AlsoAzureRBAC ","")))</f>
        <v/>
      </c>
      <c r="AN979" s="85">
        <f>IF($A979="","",IF(AG979="","Not Enrolled",IF(TODAY()&gt;AG979,"Review Overdue",IF(AG979-TODAY()&lt;=30,"Review Due Soon","Active"))))</f>
        <v/>
      </c>
      <c r="AO979" s="85">
        <f>IF($A979="","",IF(AH979="","NOT REVIEWED",IF(TODAY()-AH979&gt;90,"OVERDUE",IF(TODAY()-AH979&gt;76,"Due Soon","Current"))))</f>
        <v/>
      </c>
    </row>
    <row r="980" ht="15" customHeight="1" s="39">
      <c r="A980" s="85" t="n"/>
      <c r="B980" s="85" t="n"/>
      <c r="C980" s="85" t="n"/>
      <c r="D980" s="85" t="n"/>
      <c r="E980" s="85" t="n"/>
      <c r="F980" s="86" t="n"/>
      <c r="G980" s="86" t="n"/>
      <c r="H980" s="85" t="n"/>
      <c r="I980" s="85" t="n"/>
      <c r="J980" s="85" t="n"/>
      <c r="K980" s="85" t="n"/>
      <c r="L980" s="85" t="n"/>
      <c r="M980" s="85" t="n"/>
      <c r="N980" s="85" t="n"/>
      <c r="O980" s="85" t="n"/>
      <c r="P980" s="85" t="n"/>
      <c r="Q980" s="85" t="n"/>
      <c r="R980" s="85" t="n"/>
      <c r="S980" s="85" t="n"/>
      <c r="T980" s="85" t="n"/>
      <c r="U980" s="85" t="n"/>
      <c r="V980" s="85" t="n"/>
      <c r="W980" s="85" t="n"/>
      <c r="X980" s="85" t="n"/>
      <c r="Y980" s="85" t="n"/>
      <c r="Z980" s="85" t="n"/>
      <c r="AA980" s="85" t="n"/>
      <c r="AB980" s="85" t="n"/>
      <c r="AC980" s="85" t="n"/>
      <c r="AD980" s="85" t="n"/>
      <c r="AE980" s="85" t="n"/>
      <c r="AF980" s="86" t="n"/>
      <c r="AG980" s="86" t="n"/>
      <c r="AH980" s="86" t="n"/>
      <c r="AI980" s="85" t="n"/>
      <c r="AJ980" s="85" t="n"/>
      <c r="AK980" s="85">
        <f>IF($A980="","",IF($M980&gt;0,"Yes","No"))</f>
        <v/>
      </c>
      <c r="AL980" s="85">
        <f>IF($A980="","",IF(AND($E980="Yes",OR($Y980="No",$Y980="NOT FOUND")),"YES",""))</f>
        <v/>
      </c>
      <c r="AM980" s="85">
        <f>IF($A980="","",TRIM(IF(AND($P980=0,$I980&lt;&gt;"Yes"),"T0-NoPhishResistant ","")&amp;IF($H980="No","NoMFA ","")&amp;IF(AND($P980=0,$M980&gt;0),"T0-Standing ","")&amp;IF(AND($P980=0,$Q980="Group only"),"T0-ViaGroupOnly ","")&amp;IF($W980="Yes","AlsoAzureRBAC ","")))</f>
        <v/>
      </c>
      <c r="AN980" s="85">
        <f>IF($A980="","",IF(AG980="","Not Enrolled",IF(TODAY()&gt;AG980,"Review Overdue",IF(AG980-TODAY()&lt;=30,"Review Due Soon","Active"))))</f>
        <v/>
      </c>
      <c r="AO980" s="85">
        <f>IF($A980="","",IF(AH980="","NOT REVIEWED",IF(TODAY()-AH980&gt;90,"OVERDUE",IF(TODAY()-AH980&gt;76,"Due Soon","Current"))))</f>
        <v/>
      </c>
    </row>
    <row r="981" ht="15" customHeight="1" s="39">
      <c r="A981" s="85" t="n"/>
      <c r="B981" s="85" t="n"/>
      <c r="C981" s="85" t="n"/>
      <c r="D981" s="85" t="n"/>
      <c r="E981" s="85" t="n"/>
      <c r="F981" s="86" t="n"/>
      <c r="G981" s="86" t="n"/>
      <c r="H981" s="85" t="n"/>
      <c r="I981" s="85" t="n"/>
      <c r="J981" s="85" t="n"/>
      <c r="K981" s="85" t="n"/>
      <c r="L981" s="85" t="n"/>
      <c r="M981" s="85" t="n"/>
      <c r="N981" s="85" t="n"/>
      <c r="O981" s="85" t="n"/>
      <c r="P981" s="85" t="n"/>
      <c r="Q981" s="85" t="n"/>
      <c r="R981" s="85" t="n"/>
      <c r="S981" s="85" t="n"/>
      <c r="T981" s="85" t="n"/>
      <c r="U981" s="85" t="n"/>
      <c r="V981" s="85" t="n"/>
      <c r="W981" s="85" t="n"/>
      <c r="X981" s="85" t="n"/>
      <c r="Y981" s="85" t="n"/>
      <c r="Z981" s="85" t="n"/>
      <c r="AA981" s="85" t="n"/>
      <c r="AB981" s="85" t="n"/>
      <c r="AC981" s="85" t="n"/>
      <c r="AD981" s="85" t="n"/>
      <c r="AE981" s="85" t="n"/>
      <c r="AF981" s="86" t="n"/>
      <c r="AG981" s="86" t="n"/>
      <c r="AH981" s="86" t="n"/>
      <c r="AI981" s="85" t="n"/>
      <c r="AJ981" s="85" t="n"/>
      <c r="AK981" s="85">
        <f>IF($A981="","",IF($M981&gt;0,"Yes","No"))</f>
        <v/>
      </c>
      <c r="AL981" s="85">
        <f>IF($A981="","",IF(AND($E981="Yes",OR($Y981="No",$Y981="NOT FOUND")),"YES",""))</f>
        <v/>
      </c>
      <c r="AM981" s="85">
        <f>IF($A981="","",TRIM(IF(AND($P981=0,$I981&lt;&gt;"Yes"),"T0-NoPhishResistant ","")&amp;IF($H981="No","NoMFA ","")&amp;IF(AND($P981=0,$M981&gt;0),"T0-Standing ","")&amp;IF(AND($P981=0,$Q981="Group only"),"T0-ViaGroupOnly ","")&amp;IF($W981="Yes","AlsoAzureRBAC ","")))</f>
        <v/>
      </c>
      <c r="AN981" s="85">
        <f>IF($A981="","",IF(AG981="","Not Enrolled",IF(TODAY()&gt;AG981,"Review Overdue",IF(AG981-TODAY()&lt;=30,"Review Due Soon","Active"))))</f>
        <v/>
      </c>
      <c r="AO981" s="85">
        <f>IF($A981="","",IF(AH981="","NOT REVIEWED",IF(TODAY()-AH981&gt;90,"OVERDUE",IF(TODAY()-AH981&gt;76,"Due Soon","Current"))))</f>
        <v/>
      </c>
    </row>
    <row r="982" ht="15" customHeight="1" s="39">
      <c r="A982" s="85" t="n"/>
      <c r="B982" s="85" t="n"/>
      <c r="C982" s="85" t="n"/>
      <c r="D982" s="85" t="n"/>
      <c r="E982" s="85" t="n"/>
      <c r="F982" s="86" t="n"/>
      <c r="G982" s="86" t="n"/>
      <c r="H982" s="85" t="n"/>
      <c r="I982" s="85" t="n"/>
      <c r="J982" s="85" t="n"/>
      <c r="K982" s="85" t="n"/>
      <c r="L982" s="85" t="n"/>
      <c r="M982" s="85" t="n"/>
      <c r="N982" s="85" t="n"/>
      <c r="O982" s="85" t="n"/>
      <c r="P982" s="85" t="n"/>
      <c r="Q982" s="85" t="n"/>
      <c r="R982" s="85" t="n"/>
      <c r="S982" s="85" t="n"/>
      <c r="T982" s="85" t="n"/>
      <c r="U982" s="85" t="n"/>
      <c r="V982" s="85" t="n"/>
      <c r="W982" s="85" t="n"/>
      <c r="X982" s="85" t="n"/>
      <c r="Y982" s="85" t="n"/>
      <c r="Z982" s="85" t="n"/>
      <c r="AA982" s="85" t="n"/>
      <c r="AB982" s="85" t="n"/>
      <c r="AC982" s="85" t="n"/>
      <c r="AD982" s="85" t="n"/>
      <c r="AE982" s="85" t="n"/>
      <c r="AF982" s="86" t="n"/>
      <c r="AG982" s="86" t="n"/>
      <c r="AH982" s="86" t="n"/>
      <c r="AI982" s="85" t="n"/>
      <c r="AJ982" s="85" t="n"/>
      <c r="AK982" s="85">
        <f>IF($A982="","",IF($M982&gt;0,"Yes","No"))</f>
        <v/>
      </c>
      <c r="AL982" s="85">
        <f>IF($A982="","",IF(AND($E982="Yes",OR($Y982="No",$Y982="NOT FOUND")),"YES",""))</f>
        <v/>
      </c>
      <c r="AM982" s="85">
        <f>IF($A982="","",TRIM(IF(AND($P982=0,$I982&lt;&gt;"Yes"),"T0-NoPhishResistant ","")&amp;IF($H982="No","NoMFA ","")&amp;IF(AND($P982=0,$M982&gt;0),"T0-Standing ","")&amp;IF(AND($P982=0,$Q982="Group only"),"T0-ViaGroupOnly ","")&amp;IF($W982="Yes","AlsoAzureRBAC ","")))</f>
        <v/>
      </c>
      <c r="AN982" s="85">
        <f>IF($A982="","",IF(AG982="","Not Enrolled",IF(TODAY()&gt;AG982,"Review Overdue",IF(AG982-TODAY()&lt;=30,"Review Due Soon","Active"))))</f>
        <v/>
      </c>
      <c r="AO982" s="85">
        <f>IF($A982="","",IF(AH982="","NOT REVIEWED",IF(TODAY()-AH982&gt;90,"OVERDUE",IF(TODAY()-AH982&gt;76,"Due Soon","Current"))))</f>
        <v/>
      </c>
    </row>
    <row r="983" ht="15" customHeight="1" s="39">
      <c r="A983" s="85" t="n"/>
      <c r="B983" s="85" t="n"/>
      <c r="C983" s="85" t="n"/>
      <c r="D983" s="85" t="n"/>
      <c r="E983" s="85" t="n"/>
      <c r="F983" s="86" t="n"/>
      <c r="G983" s="86" t="n"/>
      <c r="H983" s="85" t="n"/>
      <c r="I983" s="85" t="n"/>
      <c r="J983" s="85" t="n"/>
      <c r="K983" s="85" t="n"/>
      <c r="L983" s="85" t="n"/>
      <c r="M983" s="85" t="n"/>
      <c r="N983" s="85" t="n"/>
      <c r="O983" s="85" t="n"/>
      <c r="P983" s="85" t="n"/>
      <c r="Q983" s="85" t="n"/>
      <c r="R983" s="85" t="n"/>
      <c r="S983" s="85" t="n"/>
      <c r="T983" s="85" t="n"/>
      <c r="U983" s="85" t="n"/>
      <c r="V983" s="85" t="n"/>
      <c r="W983" s="85" t="n"/>
      <c r="X983" s="85" t="n"/>
      <c r="Y983" s="85" t="n"/>
      <c r="Z983" s="85" t="n"/>
      <c r="AA983" s="85" t="n"/>
      <c r="AB983" s="85" t="n"/>
      <c r="AC983" s="85" t="n"/>
      <c r="AD983" s="85" t="n"/>
      <c r="AE983" s="85" t="n"/>
      <c r="AF983" s="86" t="n"/>
      <c r="AG983" s="86" t="n"/>
      <c r="AH983" s="86" t="n"/>
      <c r="AI983" s="85" t="n"/>
      <c r="AJ983" s="85" t="n"/>
      <c r="AK983" s="85">
        <f>IF($A983="","",IF($M983&gt;0,"Yes","No"))</f>
        <v/>
      </c>
      <c r="AL983" s="85">
        <f>IF($A983="","",IF(AND($E983="Yes",OR($Y983="No",$Y983="NOT FOUND")),"YES",""))</f>
        <v/>
      </c>
      <c r="AM983" s="85">
        <f>IF($A983="","",TRIM(IF(AND($P983=0,$I983&lt;&gt;"Yes"),"T0-NoPhishResistant ","")&amp;IF($H983="No","NoMFA ","")&amp;IF(AND($P983=0,$M983&gt;0),"T0-Standing ","")&amp;IF(AND($P983=0,$Q983="Group only"),"T0-ViaGroupOnly ","")&amp;IF($W983="Yes","AlsoAzureRBAC ","")))</f>
        <v/>
      </c>
      <c r="AN983" s="85">
        <f>IF($A983="","",IF(AG983="","Not Enrolled",IF(TODAY()&gt;AG983,"Review Overdue",IF(AG983-TODAY()&lt;=30,"Review Due Soon","Active"))))</f>
        <v/>
      </c>
      <c r="AO983" s="85">
        <f>IF($A983="","",IF(AH983="","NOT REVIEWED",IF(TODAY()-AH983&gt;90,"OVERDUE",IF(TODAY()-AH983&gt;76,"Due Soon","Current"))))</f>
        <v/>
      </c>
    </row>
    <row r="984" ht="15" customHeight="1" s="39">
      <c r="A984" s="85" t="n"/>
      <c r="B984" s="85" t="n"/>
      <c r="C984" s="85" t="n"/>
      <c r="D984" s="85" t="n"/>
      <c r="E984" s="85" t="n"/>
      <c r="F984" s="86" t="n"/>
      <c r="G984" s="86" t="n"/>
      <c r="H984" s="85" t="n"/>
      <c r="I984" s="85" t="n"/>
      <c r="J984" s="85" t="n"/>
      <c r="K984" s="85" t="n"/>
      <c r="L984" s="85" t="n"/>
      <c r="M984" s="85" t="n"/>
      <c r="N984" s="85" t="n"/>
      <c r="O984" s="85" t="n"/>
      <c r="P984" s="85" t="n"/>
      <c r="Q984" s="85" t="n"/>
      <c r="R984" s="85" t="n"/>
      <c r="S984" s="85" t="n"/>
      <c r="T984" s="85" t="n"/>
      <c r="U984" s="85" t="n"/>
      <c r="V984" s="85" t="n"/>
      <c r="W984" s="85" t="n"/>
      <c r="X984" s="85" t="n"/>
      <c r="Y984" s="85" t="n"/>
      <c r="Z984" s="85" t="n"/>
      <c r="AA984" s="85" t="n"/>
      <c r="AB984" s="85" t="n"/>
      <c r="AC984" s="85" t="n"/>
      <c r="AD984" s="85" t="n"/>
      <c r="AE984" s="85" t="n"/>
      <c r="AF984" s="86" t="n"/>
      <c r="AG984" s="86" t="n"/>
      <c r="AH984" s="86" t="n"/>
      <c r="AI984" s="85" t="n"/>
      <c r="AJ984" s="85" t="n"/>
      <c r="AK984" s="85">
        <f>IF($A984="","",IF($M984&gt;0,"Yes","No"))</f>
        <v/>
      </c>
      <c r="AL984" s="85">
        <f>IF($A984="","",IF(AND($E984="Yes",OR($Y984="No",$Y984="NOT FOUND")),"YES",""))</f>
        <v/>
      </c>
      <c r="AM984" s="85">
        <f>IF($A984="","",TRIM(IF(AND($P984=0,$I984&lt;&gt;"Yes"),"T0-NoPhishResistant ","")&amp;IF($H984="No","NoMFA ","")&amp;IF(AND($P984=0,$M984&gt;0),"T0-Standing ","")&amp;IF(AND($P984=0,$Q984="Group only"),"T0-ViaGroupOnly ","")&amp;IF($W984="Yes","AlsoAzureRBAC ","")))</f>
        <v/>
      </c>
      <c r="AN984" s="85">
        <f>IF($A984="","",IF(AG984="","Not Enrolled",IF(TODAY()&gt;AG984,"Review Overdue",IF(AG984-TODAY()&lt;=30,"Review Due Soon","Active"))))</f>
        <v/>
      </c>
      <c r="AO984" s="85">
        <f>IF($A984="","",IF(AH984="","NOT REVIEWED",IF(TODAY()-AH984&gt;90,"OVERDUE",IF(TODAY()-AH984&gt;76,"Due Soon","Current"))))</f>
        <v/>
      </c>
    </row>
    <row r="985" ht="15" customHeight="1" s="39">
      <c r="A985" s="85" t="n"/>
      <c r="B985" s="85" t="n"/>
      <c r="C985" s="85" t="n"/>
      <c r="D985" s="85" t="n"/>
      <c r="E985" s="85" t="n"/>
      <c r="F985" s="86" t="n"/>
      <c r="G985" s="86" t="n"/>
      <c r="H985" s="85" t="n"/>
      <c r="I985" s="85" t="n"/>
      <c r="J985" s="85" t="n"/>
      <c r="K985" s="85" t="n"/>
      <c r="L985" s="85" t="n"/>
      <c r="M985" s="85" t="n"/>
      <c r="N985" s="85" t="n"/>
      <c r="O985" s="85" t="n"/>
      <c r="P985" s="85" t="n"/>
      <c r="Q985" s="85" t="n"/>
      <c r="R985" s="85" t="n"/>
      <c r="S985" s="85" t="n"/>
      <c r="T985" s="85" t="n"/>
      <c r="U985" s="85" t="n"/>
      <c r="V985" s="85" t="n"/>
      <c r="W985" s="85" t="n"/>
      <c r="X985" s="85" t="n"/>
      <c r="Y985" s="85" t="n"/>
      <c r="Z985" s="85" t="n"/>
      <c r="AA985" s="85" t="n"/>
      <c r="AB985" s="85" t="n"/>
      <c r="AC985" s="85" t="n"/>
      <c r="AD985" s="85" t="n"/>
      <c r="AE985" s="85" t="n"/>
      <c r="AF985" s="86" t="n"/>
      <c r="AG985" s="86" t="n"/>
      <c r="AH985" s="86" t="n"/>
      <c r="AI985" s="85" t="n"/>
      <c r="AJ985" s="85" t="n"/>
      <c r="AK985" s="85">
        <f>IF($A985="","",IF($M985&gt;0,"Yes","No"))</f>
        <v/>
      </c>
      <c r="AL985" s="85">
        <f>IF($A985="","",IF(AND($E985="Yes",OR($Y985="No",$Y985="NOT FOUND")),"YES",""))</f>
        <v/>
      </c>
      <c r="AM985" s="85">
        <f>IF($A985="","",TRIM(IF(AND($P985=0,$I985&lt;&gt;"Yes"),"T0-NoPhishResistant ","")&amp;IF($H985="No","NoMFA ","")&amp;IF(AND($P985=0,$M985&gt;0),"T0-Standing ","")&amp;IF(AND($P985=0,$Q985="Group only"),"T0-ViaGroupOnly ","")&amp;IF($W985="Yes","AlsoAzureRBAC ","")))</f>
        <v/>
      </c>
      <c r="AN985" s="85">
        <f>IF($A985="","",IF(AG985="","Not Enrolled",IF(TODAY()&gt;AG985,"Review Overdue",IF(AG985-TODAY()&lt;=30,"Review Due Soon","Active"))))</f>
        <v/>
      </c>
      <c r="AO985" s="85">
        <f>IF($A985="","",IF(AH985="","NOT REVIEWED",IF(TODAY()-AH985&gt;90,"OVERDUE",IF(TODAY()-AH985&gt;76,"Due Soon","Current"))))</f>
        <v/>
      </c>
    </row>
    <row r="986" ht="15" customHeight="1" s="39">
      <c r="A986" s="85" t="n"/>
      <c r="B986" s="85" t="n"/>
      <c r="C986" s="85" t="n"/>
      <c r="D986" s="85" t="n"/>
      <c r="E986" s="85" t="n"/>
      <c r="F986" s="86" t="n"/>
      <c r="G986" s="86" t="n"/>
      <c r="H986" s="85" t="n"/>
      <c r="I986" s="85" t="n"/>
      <c r="J986" s="85" t="n"/>
      <c r="K986" s="85" t="n"/>
      <c r="L986" s="85" t="n"/>
      <c r="M986" s="85" t="n"/>
      <c r="N986" s="85" t="n"/>
      <c r="O986" s="85" t="n"/>
      <c r="P986" s="85" t="n"/>
      <c r="Q986" s="85" t="n"/>
      <c r="R986" s="85" t="n"/>
      <c r="S986" s="85" t="n"/>
      <c r="T986" s="85" t="n"/>
      <c r="U986" s="85" t="n"/>
      <c r="V986" s="85" t="n"/>
      <c r="W986" s="85" t="n"/>
      <c r="X986" s="85" t="n"/>
      <c r="Y986" s="85" t="n"/>
      <c r="Z986" s="85" t="n"/>
      <c r="AA986" s="85" t="n"/>
      <c r="AB986" s="85" t="n"/>
      <c r="AC986" s="85" t="n"/>
      <c r="AD986" s="85" t="n"/>
      <c r="AE986" s="85" t="n"/>
      <c r="AF986" s="86" t="n"/>
      <c r="AG986" s="86" t="n"/>
      <c r="AH986" s="86" t="n"/>
      <c r="AI986" s="85" t="n"/>
      <c r="AJ986" s="85" t="n"/>
      <c r="AK986" s="85">
        <f>IF($A986="","",IF($M986&gt;0,"Yes","No"))</f>
        <v/>
      </c>
      <c r="AL986" s="85">
        <f>IF($A986="","",IF(AND($E986="Yes",OR($Y986="No",$Y986="NOT FOUND")),"YES",""))</f>
        <v/>
      </c>
      <c r="AM986" s="85">
        <f>IF($A986="","",TRIM(IF(AND($P986=0,$I986&lt;&gt;"Yes"),"T0-NoPhishResistant ","")&amp;IF($H986="No","NoMFA ","")&amp;IF(AND($P986=0,$M986&gt;0),"T0-Standing ","")&amp;IF(AND($P986=0,$Q986="Group only"),"T0-ViaGroupOnly ","")&amp;IF($W986="Yes","AlsoAzureRBAC ","")))</f>
        <v/>
      </c>
      <c r="AN986" s="85">
        <f>IF($A986="","",IF(AG986="","Not Enrolled",IF(TODAY()&gt;AG986,"Review Overdue",IF(AG986-TODAY()&lt;=30,"Review Due Soon","Active"))))</f>
        <v/>
      </c>
      <c r="AO986" s="85">
        <f>IF($A986="","",IF(AH986="","NOT REVIEWED",IF(TODAY()-AH986&gt;90,"OVERDUE",IF(TODAY()-AH986&gt;76,"Due Soon","Current"))))</f>
        <v/>
      </c>
    </row>
    <row r="987" ht="15" customHeight="1" s="39">
      <c r="A987" s="85" t="n"/>
      <c r="B987" s="85" t="n"/>
      <c r="C987" s="85" t="n"/>
      <c r="D987" s="85" t="n"/>
      <c r="E987" s="85" t="n"/>
      <c r="F987" s="86" t="n"/>
      <c r="G987" s="86" t="n"/>
      <c r="H987" s="85" t="n"/>
      <c r="I987" s="85" t="n"/>
      <c r="J987" s="85" t="n"/>
      <c r="K987" s="85" t="n"/>
      <c r="L987" s="85" t="n"/>
      <c r="M987" s="85" t="n"/>
      <c r="N987" s="85" t="n"/>
      <c r="O987" s="85" t="n"/>
      <c r="P987" s="85" t="n"/>
      <c r="Q987" s="85" t="n"/>
      <c r="R987" s="85" t="n"/>
      <c r="S987" s="85" t="n"/>
      <c r="T987" s="85" t="n"/>
      <c r="U987" s="85" t="n"/>
      <c r="V987" s="85" t="n"/>
      <c r="W987" s="85" t="n"/>
      <c r="X987" s="85" t="n"/>
      <c r="Y987" s="85" t="n"/>
      <c r="Z987" s="85" t="n"/>
      <c r="AA987" s="85" t="n"/>
      <c r="AB987" s="85" t="n"/>
      <c r="AC987" s="85" t="n"/>
      <c r="AD987" s="85" t="n"/>
      <c r="AE987" s="85" t="n"/>
      <c r="AF987" s="86" t="n"/>
      <c r="AG987" s="86" t="n"/>
      <c r="AH987" s="86" t="n"/>
      <c r="AI987" s="85" t="n"/>
      <c r="AJ987" s="85" t="n"/>
      <c r="AK987" s="85">
        <f>IF($A987="","",IF($M987&gt;0,"Yes","No"))</f>
        <v/>
      </c>
      <c r="AL987" s="85">
        <f>IF($A987="","",IF(AND($E987="Yes",OR($Y987="No",$Y987="NOT FOUND")),"YES",""))</f>
        <v/>
      </c>
      <c r="AM987" s="85">
        <f>IF($A987="","",TRIM(IF(AND($P987=0,$I987&lt;&gt;"Yes"),"T0-NoPhishResistant ","")&amp;IF($H987="No","NoMFA ","")&amp;IF(AND($P987=0,$M987&gt;0),"T0-Standing ","")&amp;IF(AND($P987=0,$Q987="Group only"),"T0-ViaGroupOnly ","")&amp;IF($W987="Yes","AlsoAzureRBAC ","")))</f>
        <v/>
      </c>
      <c r="AN987" s="85">
        <f>IF($A987="","",IF(AG987="","Not Enrolled",IF(TODAY()&gt;AG987,"Review Overdue",IF(AG987-TODAY()&lt;=30,"Review Due Soon","Active"))))</f>
        <v/>
      </c>
      <c r="AO987" s="85">
        <f>IF($A987="","",IF(AH987="","NOT REVIEWED",IF(TODAY()-AH987&gt;90,"OVERDUE",IF(TODAY()-AH987&gt;76,"Due Soon","Current"))))</f>
        <v/>
      </c>
    </row>
    <row r="988" ht="15" customHeight="1" s="39">
      <c r="A988" s="85" t="n"/>
      <c r="B988" s="85" t="n"/>
      <c r="C988" s="85" t="n"/>
      <c r="D988" s="85" t="n"/>
      <c r="E988" s="85" t="n"/>
      <c r="F988" s="86" t="n"/>
      <c r="G988" s="86" t="n"/>
      <c r="H988" s="85" t="n"/>
      <c r="I988" s="85" t="n"/>
      <c r="J988" s="85" t="n"/>
      <c r="K988" s="85" t="n"/>
      <c r="L988" s="85" t="n"/>
      <c r="M988" s="85" t="n"/>
      <c r="N988" s="85" t="n"/>
      <c r="O988" s="85" t="n"/>
      <c r="P988" s="85" t="n"/>
      <c r="Q988" s="85" t="n"/>
      <c r="R988" s="85" t="n"/>
      <c r="S988" s="85" t="n"/>
      <c r="T988" s="85" t="n"/>
      <c r="U988" s="85" t="n"/>
      <c r="V988" s="85" t="n"/>
      <c r="W988" s="85" t="n"/>
      <c r="X988" s="85" t="n"/>
      <c r="Y988" s="85" t="n"/>
      <c r="Z988" s="85" t="n"/>
      <c r="AA988" s="85" t="n"/>
      <c r="AB988" s="85" t="n"/>
      <c r="AC988" s="85" t="n"/>
      <c r="AD988" s="85" t="n"/>
      <c r="AE988" s="85" t="n"/>
      <c r="AF988" s="86" t="n"/>
      <c r="AG988" s="86" t="n"/>
      <c r="AH988" s="86" t="n"/>
      <c r="AI988" s="85" t="n"/>
      <c r="AJ988" s="85" t="n"/>
      <c r="AK988" s="85">
        <f>IF($A988="","",IF($M988&gt;0,"Yes","No"))</f>
        <v/>
      </c>
      <c r="AL988" s="85">
        <f>IF($A988="","",IF(AND($E988="Yes",OR($Y988="No",$Y988="NOT FOUND")),"YES",""))</f>
        <v/>
      </c>
      <c r="AM988" s="85">
        <f>IF($A988="","",TRIM(IF(AND($P988=0,$I988&lt;&gt;"Yes"),"T0-NoPhishResistant ","")&amp;IF($H988="No","NoMFA ","")&amp;IF(AND($P988=0,$M988&gt;0),"T0-Standing ","")&amp;IF(AND($P988=0,$Q988="Group only"),"T0-ViaGroupOnly ","")&amp;IF($W988="Yes","AlsoAzureRBAC ","")))</f>
        <v/>
      </c>
      <c r="AN988" s="85">
        <f>IF($A988="","",IF(AG988="","Not Enrolled",IF(TODAY()&gt;AG988,"Review Overdue",IF(AG988-TODAY()&lt;=30,"Review Due Soon","Active"))))</f>
        <v/>
      </c>
      <c r="AO988" s="85">
        <f>IF($A988="","",IF(AH988="","NOT REVIEWED",IF(TODAY()-AH988&gt;90,"OVERDUE",IF(TODAY()-AH988&gt;76,"Due Soon","Current"))))</f>
        <v/>
      </c>
    </row>
    <row r="989" ht="15" customHeight="1" s="39">
      <c r="A989" s="85" t="n"/>
      <c r="B989" s="85" t="n"/>
      <c r="C989" s="85" t="n"/>
      <c r="D989" s="85" t="n"/>
      <c r="E989" s="85" t="n"/>
      <c r="F989" s="86" t="n"/>
      <c r="G989" s="86" t="n"/>
      <c r="H989" s="85" t="n"/>
      <c r="I989" s="85" t="n"/>
      <c r="J989" s="85" t="n"/>
      <c r="K989" s="85" t="n"/>
      <c r="L989" s="85" t="n"/>
      <c r="M989" s="85" t="n"/>
      <c r="N989" s="85" t="n"/>
      <c r="O989" s="85" t="n"/>
      <c r="P989" s="85" t="n"/>
      <c r="Q989" s="85" t="n"/>
      <c r="R989" s="85" t="n"/>
      <c r="S989" s="85" t="n"/>
      <c r="T989" s="85" t="n"/>
      <c r="U989" s="85" t="n"/>
      <c r="V989" s="85" t="n"/>
      <c r="W989" s="85" t="n"/>
      <c r="X989" s="85" t="n"/>
      <c r="Y989" s="85" t="n"/>
      <c r="Z989" s="85" t="n"/>
      <c r="AA989" s="85" t="n"/>
      <c r="AB989" s="85" t="n"/>
      <c r="AC989" s="85" t="n"/>
      <c r="AD989" s="85" t="n"/>
      <c r="AE989" s="85" t="n"/>
      <c r="AF989" s="86" t="n"/>
      <c r="AG989" s="86" t="n"/>
      <c r="AH989" s="86" t="n"/>
      <c r="AI989" s="85" t="n"/>
      <c r="AJ989" s="85" t="n"/>
      <c r="AK989" s="85">
        <f>IF($A989="","",IF($M989&gt;0,"Yes","No"))</f>
        <v/>
      </c>
      <c r="AL989" s="85">
        <f>IF($A989="","",IF(AND($E989="Yes",OR($Y989="No",$Y989="NOT FOUND")),"YES",""))</f>
        <v/>
      </c>
      <c r="AM989" s="85">
        <f>IF($A989="","",TRIM(IF(AND($P989=0,$I989&lt;&gt;"Yes"),"T0-NoPhishResistant ","")&amp;IF($H989="No","NoMFA ","")&amp;IF(AND($P989=0,$M989&gt;0),"T0-Standing ","")&amp;IF(AND($P989=0,$Q989="Group only"),"T0-ViaGroupOnly ","")&amp;IF($W989="Yes","AlsoAzureRBAC ","")))</f>
        <v/>
      </c>
      <c r="AN989" s="85">
        <f>IF($A989="","",IF(AG989="","Not Enrolled",IF(TODAY()&gt;AG989,"Review Overdue",IF(AG989-TODAY()&lt;=30,"Review Due Soon","Active"))))</f>
        <v/>
      </c>
      <c r="AO989" s="85">
        <f>IF($A989="","",IF(AH989="","NOT REVIEWED",IF(TODAY()-AH989&gt;90,"OVERDUE",IF(TODAY()-AH989&gt;76,"Due Soon","Current"))))</f>
        <v/>
      </c>
    </row>
    <row r="990" ht="15" customHeight="1" s="39">
      <c r="A990" s="85" t="n"/>
      <c r="B990" s="85" t="n"/>
      <c r="C990" s="85" t="n"/>
      <c r="D990" s="85" t="n"/>
      <c r="E990" s="85" t="n"/>
      <c r="F990" s="86" t="n"/>
      <c r="G990" s="86" t="n"/>
      <c r="H990" s="85" t="n"/>
      <c r="I990" s="85" t="n"/>
      <c r="J990" s="85" t="n"/>
      <c r="K990" s="85" t="n"/>
      <c r="L990" s="85" t="n"/>
      <c r="M990" s="85" t="n"/>
      <c r="N990" s="85" t="n"/>
      <c r="O990" s="85" t="n"/>
      <c r="P990" s="85" t="n"/>
      <c r="Q990" s="85" t="n"/>
      <c r="R990" s="85" t="n"/>
      <c r="S990" s="85" t="n"/>
      <c r="T990" s="85" t="n"/>
      <c r="U990" s="85" t="n"/>
      <c r="V990" s="85" t="n"/>
      <c r="W990" s="85" t="n"/>
      <c r="X990" s="85" t="n"/>
      <c r="Y990" s="85" t="n"/>
      <c r="Z990" s="85" t="n"/>
      <c r="AA990" s="85" t="n"/>
      <c r="AB990" s="85" t="n"/>
      <c r="AC990" s="85" t="n"/>
      <c r="AD990" s="85" t="n"/>
      <c r="AE990" s="85" t="n"/>
      <c r="AF990" s="86" t="n"/>
      <c r="AG990" s="86" t="n"/>
      <c r="AH990" s="86" t="n"/>
      <c r="AI990" s="85" t="n"/>
      <c r="AJ990" s="85" t="n"/>
      <c r="AK990" s="85">
        <f>IF($A990="","",IF($M990&gt;0,"Yes","No"))</f>
        <v/>
      </c>
      <c r="AL990" s="85">
        <f>IF($A990="","",IF(AND($E990="Yes",OR($Y990="No",$Y990="NOT FOUND")),"YES",""))</f>
        <v/>
      </c>
      <c r="AM990" s="85">
        <f>IF($A990="","",TRIM(IF(AND($P990=0,$I990&lt;&gt;"Yes"),"T0-NoPhishResistant ","")&amp;IF($H990="No","NoMFA ","")&amp;IF(AND($P990=0,$M990&gt;0),"T0-Standing ","")&amp;IF(AND($P990=0,$Q990="Group only"),"T0-ViaGroupOnly ","")&amp;IF($W990="Yes","AlsoAzureRBAC ","")))</f>
        <v/>
      </c>
      <c r="AN990" s="85">
        <f>IF($A990="","",IF(AG990="","Not Enrolled",IF(TODAY()&gt;AG990,"Review Overdue",IF(AG990-TODAY()&lt;=30,"Review Due Soon","Active"))))</f>
        <v/>
      </c>
      <c r="AO990" s="85">
        <f>IF($A990="","",IF(AH990="","NOT REVIEWED",IF(TODAY()-AH990&gt;90,"OVERDUE",IF(TODAY()-AH990&gt;76,"Due Soon","Current"))))</f>
        <v/>
      </c>
    </row>
    <row r="991" ht="15" customHeight="1" s="39">
      <c r="A991" s="85" t="n"/>
      <c r="B991" s="85" t="n"/>
      <c r="C991" s="85" t="n"/>
      <c r="D991" s="85" t="n"/>
      <c r="E991" s="85" t="n"/>
      <c r="F991" s="86" t="n"/>
      <c r="G991" s="86" t="n"/>
      <c r="H991" s="85" t="n"/>
      <c r="I991" s="85" t="n"/>
      <c r="J991" s="85" t="n"/>
      <c r="K991" s="85" t="n"/>
      <c r="L991" s="85" t="n"/>
      <c r="M991" s="85" t="n"/>
      <c r="N991" s="85" t="n"/>
      <c r="O991" s="85" t="n"/>
      <c r="P991" s="85" t="n"/>
      <c r="Q991" s="85" t="n"/>
      <c r="R991" s="85" t="n"/>
      <c r="S991" s="85" t="n"/>
      <c r="T991" s="85" t="n"/>
      <c r="U991" s="85" t="n"/>
      <c r="V991" s="85" t="n"/>
      <c r="W991" s="85" t="n"/>
      <c r="X991" s="85" t="n"/>
      <c r="Y991" s="85" t="n"/>
      <c r="Z991" s="85" t="n"/>
      <c r="AA991" s="85" t="n"/>
      <c r="AB991" s="85" t="n"/>
      <c r="AC991" s="85" t="n"/>
      <c r="AD991" s="85" t="n"/>
      <c r="AE991" s="85" t="n"/>
      <c r="AF991" s="86" t="n"/>
      <c r="AG991" s="86" t="n"/>
      <c r="AH991" s="86" t="n"/>
      <c r="AI991" s="85" t="n"/>
      <c r="AJ991" s="85" t="n"/>
      <c r="AK991" s="85">
        <f>IF($A991="","",IF($M991&gt;0,"Yes","No"))</f>
        <v/>
      </c>
      <c r="AL991" s="85">
        <f>IF($A991="","",IF(AND($E991="Yes",OR($Y991="No",$Y991="NOT FOUND")),"YES",""))</f>
        <v/>
      </c>
      <c r="AM991" s="85">
        <f>IF($A991="","",TRIM(IF(AND($P991=0,$I991&lt;&gt;"Yes"),"T0-NoPhishResistant ","")&amp;IF($H991="No","NoMFA ","")&amp;IF(AND($P991=0,$M991&gt;0),"T0-Standing ","")&amp;IF(AND($P991=0,$Q991="Group only"),"T0-ViaGroupOnly ","")&amp;IF($W991="Yes","AlsoAzureRBAC ","")))</f>
        <v/>
      </c>
      <c r="AN991" s="85">
        <f>IF($A991="","",IF(AG991="","Not Enrolled",IF(TODAY()&gt;AG991,"Review Overdue",IF(AG991-TODAY()&lt;=30,"Review Due Soon","Active"))))</f>
        <v/>
      </c>
      <c r="AO991" s="85">
        <f>IF($A991="","",IF(AH991="","NOT REVIEWED",IF(TODAY()-AH991&gt;90,"OVERDUE",IF(TODAY()-AH991&gt;76,"Due Soon","Current"))))</f>
        <v/>
      </c>
    </row>
    <row r="992" ht="15" customHeight="1" s="39">
      <c r="A992" s="85" t="n"/>
      <c r="B992" s="85" t="n"/>
      <c r="C992" s="85" t="n"/>
      <c r="D992" s="85" t="n"/>
      <c r="E992" s="85" t="n"/>
      <c r="F992" s="86" t="n"/>
      <c r="G992" s="86" t="n"/>
      <c r="H992" s="85" t="n"/>
      <c r="I992" s="85" t="n"/>
      <c r="J992" s="85" t="n"/>
      <c r="K992" s="85" t="n"/>
      <c r="L992" s="85" t="n"/>
      <c r="M992" s="85" t="n"/>
      <c r="N992" s="85" t="n"/>
      <c r="O992" s="85" t="n"/>
      <c r="P992" s="85" t="n"/>
      <c r="Q992" s="85" t="n"/>
      <c r="R992" s="85" t="n"/>
      <c r="S992" s="85" t="n"/>
      <c r="T992" s="85" t="n"/>
      <c r="U992" s="85" t="n"/>
      <c r="V992" s="85" t="n"/>
      <c r="W992" s="85" t="n"/>
      <c r="X992" s="85" t="n"/>
      <c r="Y992" s="85" t="n"/>
      <c r="Z992" s="85" t="n"/>
      <c r="AA992" s="85" t="n"/>
      <c r="AB992" s="85" t="n"/>
      <c r="AC992" s="85" t="n"/>
      <c r="AD992" s="85" t="n"/>
      <c r="AE992" s="85" t="n"/>
      <c r="AF992" s="86" t="n"/>
      <c r="AG992" s="86" t="n"/>
      <c r="AH992" s="86" t="n"/>
      <c r="AI992" s="85" t="n"/>
      <c r="AJ992" s="85" t="n"/>
      <c r="AK992" s="85">
        <f>IF($A992="","",IF($M992&gt;0,"Yes","No"))</f>
        <v/>
      </c>
      <c r="AL992" s="85">
        <f>IF($A992="","",IF(AND($E992="Yes",OR($Y992="No",$Y992="NOT FOUND")),"YES",""))</f>
        <v/>
      </c>
      <c r="AM992" s="85">
        <f>IF($A992="","",TRIM(IF(AND($P992=0,$I992&lt;&gt;"Yes"),"T0-NoPhishResistant ","")&amp;IF($H992="No","NoMFA ","")&amp;IF(AND($P992=0,$M992&gt;0),"T0-Standing ","")&amp;IF(AND($P992=0,$Q992="Group only"),"T0-ViaGroupOnly ","")&amp;IF($W992="Yes","AlsoAzureRBAC ","")))</f>
        <v/>
      </c>
      <c r="AN992" s="85">
        <f>IF($A992="","",IF(AG992="","Not Enrolled",IF(TODAY()&gt;AG992,"Review Overdue",IF(AG992-TODAY()&lt;=30,"Review Due Soon","Active"))))</f>
        <v/>
      </c>
      <c r="AO992" s="85">
        <f>IF($A992="","",IF(AH992="","NOT REVIEWED",IF(TODAY()-AH992&gt;90,"OVERDUE",IF(TODAY()-AH992&gt;76,"Due Soon","Current"))))</f>
        <v/>
      </c>
    </row>
    <row r="993" ht="15" customHeight="1" s="39">
      <c r="A993" s="85" t="n"/>
      <c r="B993" s="85" t="n"/>
      <c r="C993" s="85" t="n"/>
      <c r="D993" s="85" t="n"/>
      <c r="E993" s="85" t="n"/>
      <c r="F993" s="86" t="n"/>
      <c r="G993" s="86" t="n"/>
      <c r="H993" s="85" t="n"/>
      <c r="I993" s="85" t="n"/>
      <c r="J993" s="85" t="n"/>
      <c r="K993" s="85" t="n"/>
      <c r="L993" s="85" t="n"/>
      <c r="M993" s="85" t="n"/>
      <c r="N993" s="85" t="n"/>
      <c r="O993" s="85" t="n"/>
      <c r="P993" s="85" t="n"/>
      <c r="Q993" s="85" t="n"/>
      <c r="R993" s="85" t="n"/>
      <c r="S993" s="85" t="n"/>
      <c r="T993" s="85" t="n"/>
      <c r="U993" s="85" t="n"/>
      <c r="V993" s="85" t="n"/>
      <c r="W993" s="85" t="n"/>
      <c r="X993" s="85" t="n"/>
      <c r="Y993" s="85" t="n"/>
      <c r="Z993" s="85" t="n"/>
      <c r="AA993" s="85" t="n"/>
      <c r="AB993" s="85" t="n"/>
      <c r="AC993" s="85" t="n"/>
      <c r="AD993" s="85" t="n"/>
      <c r="AE993" s="85" t="n"/>
      <c r="AF993" s="86" t="n"/>
      <c r="AG993" s="86" t="n"/>
      <c r="AH993" s="86" t="n"/>
      <c r="AI993" s="85" t="n"/>
      <c r="AJ993" s="85" t="n"/>
      <c r="AK993" s="85">
        <f>IF($A993="","",IF($M993&gt;0,"Yes","No"))</f>
        <v/>
      </c>
      <c r="AL993" s="85">
        <f>IF($A993="","",IF(AND($E993="Yes",OR($Y993="No",$Y993="NOT FOUND")),"YES",""))</f>
        <v/>
      </c>
      <c r="AM993" s="85">
        <f>IF($A993="","",TRIM(IF(AND($P993=0,$I993&lt;&gt;"Yes"),"T0-NoPhishResistant ","")&amp;IF($H993="No","NoMFA ","")&amp;IF(AND($P993=0,$M993&gt;0),"T0-Standing ","")&amp;IF(AND($P993=0,$Q993="Group only"),"T0-ViaGroupOnly ","")&amp;IF($W993="Yes","AlsoAzureRBAC ","")))</f>
        <v/>
      </c>
      <c r="AN993" s="85">
        <f>IF($A993="","",IF(AG993="","Not Enrolled",IF(TODAY()&gt;AG993,"Review Overdue",IF(AG993-TODAY()&lt;=30,"Review Due Soon","Active"))))</f>
        <v/>
      </c>
      <c r="AO993" s="85">
        <f>IF($A993="","",IF(AH993="","NOT REVIEWED",IF(TODAY()-AH993&gt;90,"OVERDUE",IF(TODAY()-AH993&gt;76,"Due Soon","Current"))))</f>
        <v/>
      </c>
    </row>
    <row r="994" ht="15" customHeight="1" s="39">
      <c r="A994" s="85" t="n"/>
      <c r="B994" s="85" t="n"/>
      <c r="C994" s="85" t="n"/>
      <c r="D994" s="85" t="n"/>
      <c r="E994" s="85" t="n"/>
      <c r="F994" s="86" t="n"/>
      <c r="G994" s="86" t="n"/>
      <c r="H994" s="85" t="n"/>
      <c r="I994" s="85" t="n"/>
      <c r="J994" s="85" t="n"/>
      <c r="K994" s="85" t="n"/>
      <c r="L994" s="85" t="n"/>
      <c r="M994" s="85" t="n"/>
      <c r="N994" s="85" t="n"/>
      <c r="O994" s="85" t="n"/>
      <c r="P994" s="85" t="n"/>
      <c r="Q994" s="85" t="n"/>
      <c r="R994" s="85" t="n"/>
      <c r="S994" s="85" t="n"/>
      <c r="T994" s="85" t="n"/>
      <c r="U994" s="85" t="n"/>
      <c r="V994" s="85" t="n"/>
      <c r="W994" s="85" t="n"/>
      <c r="X994" s="85" t="n"/>
      <c r="Y994" s="85" t="n"/>
      <c r="Z994" s="85" t="n"/>
      <c r="AA994" s="85" t="n"/>
      <c r="AB994" s="85" t="n"/>
      <c r="AC994" s="85" t="n"/>
      <c r="AD994" s="85" t="n"/>
      <c r="AE994" s="85" t="n"/>
      <c r="AF994" s="86" t="n"/>
      <c r="AG994" s="86" t="n"/>
      <c r="AH994" s="86" t="n"/>
      <c r="AI994" s="85" t="n"/>
      <c r="AJ994" s="85" t="n"/>
      <c r="AK994" s="85">
        <f>IF($A994="","",IF($M994&gt;0,"Yes","No"))</f>
        <v/>
      </c>
      <c r="AL994" s="85">
        <f>IF($A994="","",IF(AND($E994="Yes",OR($Y994="No",$Y994="NOT FOUND")),"YES",""))</f>
        <v/>
      </c>
      <c r="AM994" s="85">
        <f>IF($A994="","",TRIM(IF(AND($P994=0,$I994&lt;&gt;"Yes"),"T0-NoPhishResistant ","")&amp;IF($H994="No","NoMFA ","")&amp;IF(AND($P994=0,$M994&gt;0),"T0-Standing ","")&amp;IF(AND($P994=0,$Q994="Group only"),"T0-ViaGroupOnly ","")&amp;IF($W994="Yes","AlsoAzureRBAC ","")))</f>
        <v/>
      </c>
      <c r="AN994" s="85">
        <f>IF($A994="","",IF(AG994="","Not Enrolled",IF(TODAY()&gt;AG994,"Review Overdue",IF(AG994-TODAY()&lt;=30,"Review Due Soon","Active"))))</f>
        <v/>
      </c>
      <c r="AO994" s="85">
        <f>IF($A994="","",IF(AH994="","NOT REVIEWED",IF(TODAY()-AH994&gt;90,"OVERDUE",IF(TODAY()-AH994&gt;76,"Due Soon","Current"))))</f>
        <v/>
      </c>
    </row>
    <row r="995" ht="15" customHeight="1" s="39">
      <c r="A995" s="85" t="n"/>
      <c r="B995" s="85" t="n"/>
      <c r="C995" s="85" t="n"/>
      <c r="D995" s="85" t="n"/>
      <c r="E995" s="85" t="n"/>
      <c r="F995" s="86" t="n"/>
      <c r="G995" s="86" t="n"/>
      <c r="H995" s="85" t="n"/>
      <c r="I995" s="85" t="n"/>
      <c r="J995" s="85" t="n"/>
      <c r="K995" s="85" t="n"/>
      <c r="L995" s="85" t="n"/>
      <c r="M995" s="85" t="n"/>
      <c r="N995" s="85" t="n"/>
      <c r="O995" s="85" t="n"/>
      <c r="P995" s="85" t="n"/>
      <c r="Q995" s="85" t="n"/>
      <c r="R995" s="85" t="n"/>
      <c r="S995" s="85" t="n"/>
      <c r="T995" s="85" t="n"/>
      <c r="U995" s="85" t="n"/>
      <c r="V995" s="85" t="n"/>
      <c r="W995" s="85" t="n"/>
      <c r="X995" s="85" t="n"/>
      <c r="Y995" s="85" t="n"/>
      <c r="Z995" s="85" t="n"/>
      <c r="AA995" s="85" t="n"/>
      <c r="AB995" s="85" t="n"/>
      <c r="AC995" s="85" t="n"/>
      <c r="AD995" s="85" t="n"/>
      <c r="AE995" s="85" t="n"/>
      <c r="AF995" s="86" t="n"/>
      <c r="AG995" s="86" t="n"/>
      <c r="AH995" s="86" t="n"/>
      <c r="AI995" s="85" t="n"/>
      <c r="AJ995" s="85" t="n"/>
      <c r="AK995" s="85">
        <f>IF($A995="","",IF($M995&gt;0,"Yes","No"))</f>
        <v/>
      </c>
      <c r="AL995" s="85">
        <f>IF($A995="","",IF(AND($E995="Yes",OR($Y995="No",$Y995="NOT FOUND")),"YES",""))</f>
        <v/>
      </c>
      <c r="AM995" s="85">
        <f>IF($A995="","",TRIM(IF(AND($P995=0,$I995&lt;&gt;"Yes"),"T0-NoPhishResistant ","")&amp;IF($H995="No","NoMFA ","")&amp;IF(AND($P995=0,$M995&gt;0),"T0-Standing ","")&amp;IF(AND($P995=0,$Q995="Group only"),"T0-ViaGroupOnly ","")&amp;IF($W995="Yes","AlsoAzureRBAC ","")))</f>
        <v/>
      </c>
      <c r="AN995" s="85">
        <f>IF($A995="","",IF(AG995="","Not Enrolled",IF(TODAY()&gt;AG995,"Review Overdue",IF(AG995-TODAY()&lt;=30,"Review Due Soon","Active"))))</f>
        <v/>
      </c>
      <c r="AO995" s="85">
        <f>IF($A995="","",IF(AH995="","NOT REVIEWED",IF(TODAY()-AH995&gt;90,"OVERDUE",IF(TODAY()-AH995&gt;76,"Due Soon","Current"))))</f>
        <v/>
      </c>
    </row>
    <row r="996" ht="15" customHeight="1" s="39">
      <c r="A996" s="85" t="n"/>
      <c r="B996" s="85" t="n"/>
      <c r="C996" s="85" t="n"/>
      <c r="D996" s="85" t="n"/>
      <c r="E996" s="85" t="n"/>
      <c r="F996" s="86" t="n"/>
      <c r="G996" s="86" t="n"/>
      <c r="H996" s="85" t="n"/>
      <c r="I996" s="85" t="n"/>
      <c r="J996" s="85" t="n"/>
      <c r="K996" s="85" t="n"/>
      <c r="L996" s="85" t="n"/>
      <c r="M996" s="85" t="n"/>
      <c r="N996" s="85" t="n"/>
      <c r="O996" s="85" t="n"/>
      <c r="P996" s="85" t="n"/>
      <c r="Q996" s="85" t="n"/>
      <c r="R996" s="85" t="n"/>
      <c r="S996" s="85" t="n"/>
      <c r="T996" s="85" t="n"/>
      <c r="U996" s="85" t="n"/>
      <c r="V996" s="85" t="n"/>
      <c r="W996" s="85" t="n"/>
      <c r="X996" s="85" t="n"/>
      <c r="Y996" s="85" t="n"/>
      <c r="Z996" s="85" t="n"/>
      <c r="AA996" s="85" t="n"/>
      <c r="AB996" s="85" t="n"/>
      <c r="AC996" s="85" t="n"/>
      <c r="AD996" s="85" t="n"/>
      <c r="AE996" s="85" t="n"/>
      <c r="AF996" s="86" t="n"/>
      <c r="AG996" s="86" t="n"/>
      <c r="AH996" s="86" t="n"/>
      <c r="AI996" s="85" t="n"/>
      <c r="AJ996" s="85" t="n"/>
      <c r="AK996" s="85">
        <f>IF($A996="","",IF($M996&gt;0,"Yes","No"))</f>
        <v/>
      </c>
      <c r="AL996" s="85">
        <f>IF($A996="","",IF(AND($E996="Yes",OR($Y996="No",$Y996="NOT FOUND")),"YES",""))</f>
        <v/>
      </c>
      <c r="AM996" s="85">
        <f>IF($A996="","",TRIM(IF(AND($P996=0,$I996&lt;&gt;"Yes"),"T0-NoPhishResistant ","")&amp;IF($H996="No","NoMFA ","")&amp;IF(AND($P996=0,$M996&gt;0),"T0-Standing ","")&amp;IF(AND($P996=0,$Q996="Group only"),"T0-ViaGroupOnly ","")&amp;IF($W996="Yes","AlsoAzureRBAC ","")))</f>
        <v/>
      </c>
      <c r="AN996" s="85">
        <f>IF($A996="","",IF(AG996="","Not Enrolled",IF(TODAY()&gt;AG996,"Review Overdue",IF(AG996-TODAY()&lt;=30,"Review Due Soon","Active"))))</f>
        <v/>
      </c>
      <c r="AO996" s="85">
        <f>IF($A996="","",IF(AH996="","NOT REVIEWED",IF(TODAY()-AH996&gt;90,"OVERDUE",IF(TODAY()-AH996&gt;76,"Due Soon","Current"))))</f>
        <v/>
      </c>
    </row>
    <row r="997" ht="15" customHeight="1" s="39">
      <c r="A997" s="85" t="n"/>
      <c r="B997" s="85" t="n"/>
      <c r="C997" s="85" t="n"/>
      <c r="D997" s="85" t="n"/>
      <c r="E997" s="85" t="n"/>
      <c r="F997" s="86" t="n"/>
      <c r="G997" s="86" t="n"/>
      <c r="H997" s="85" t="n"/>
      <c r="I997" s="85" t="n"/>
      <c r="J997" s="85" t="n"/>
      <c r="K997" s="85" t="n"/>
      <c r="L997" s="85" t="n"/>
      <c r="M997" s="85" t="n"/>
      <c r="N997" s="85" t="n"/>
      <c r="O997" s="85" t="n"/>
      <c r="P997" s="85" t="n"/>
      <c r="Q997" s="85" t="n"/>
      <c r="R997" s="85" t="n"/>
      <c r="S997" s="85" t="n"/>
      <c r="T997" s="85" t="n"/>
      <c r="U997" s="85" t="n"/>
      <c r="V997" s="85" t="n"/>
      <c r="W997" s="85" t="n"/>
      <c r="X997" s="85" t="n"/>
      <c r="Y997" s="85" t="n"/>
      <c r="Z997" s="85" t="n"/>
      <c r="AA997" s="85" t="n"/>
      <c r="AB997" s="85" t="n"/>
      <c r="AC997" s="85" t="n"/>
      <c r="AD997" s="85" t="n"/>
      <c r="AE997" s="85" t="n"/>
      <c r="AF997" s="86" t="n"/>
      <c r="AG997" s="86" t="n"/>
      <c r="AH997" s="86" t="n"/>
      <c r="AI997" s="85" t="n"/>
      <c r="AJ997" s="85" t="n"/>
      <c r="AK997" s="85">
        <f>IF($A997="","",IF($M997&gt;0,"Yes","No"))</f>
        <v/>
      </c>
      <c r="AL997" s="85">
        <f>IF($A997="","",IF(AND($E997="Yes",OR($Y997="No",$Y997="NOT FOUND")),"YES",""))</f>
        <v/>
      </c>
      <c r="AM997" s="85">
        <f>IF($A997="","",TRIM(IF(AND($P997=0,$I997&lt;&gt;"Yes"),"T0-NoPhishResistant ","")&amp;IF($H997="No","NoMFA ","")&amp;IF(AND($P997=0,$M997&gt;0),"T0-Standing ","")&amp;IF(AND($P997=0,$Q997="Group only"),"T0-ViaGroupOnly ","")&amp;IF($W997="Yes","AlsoAzureRBAC ","")))</f>
        <v/>
      </c>
      <c r="AN997" s="85">
        <f>IF($A997="","",IF(AG997="","Not Enrolled",IF(TODAY()&gt;AG997,"Review Overdue",IF(AG997-TODAY()&lt;=30,"Review Due Soon","Active"))))</f>
        <v/>
      </c>
      <c r="AO997" s="85">
        <f>IF($A997="","",IF(AH997="","NOT REVIEWED",IF(TODAY()-AH997&gt;90,"OVERDUE",IF(TODAY()-AH997&gt;76,"Due Soon","Current"))))</f>
        <v/>
      </c>
    </row>
    <row r="998" ht="15" customHeight="1" s="39">
      <c r="A998" s="85" t="n"/>
      <c r="B998" s="85" t="n"/>
      <c r="C998" s="85" t="n"/>
      <c r="D998" s="85" t="n"/>
      <c r="E998" s="85" t="n"/>
      <c r="F998" s="86" t="n"/>
      <c r="G998" s="86" t="n"/>
      <c r="H998" s="85" t="n"/>
      <c r="I998" s="85" t="n"/>
      <c r="J998" s="85" t="n"/>
      <c r="K998" s="85" t="n"/>
      <c r="L998" s="85" t="n"/>
      <c r="M998" s="85" t="n"/>
      <c r="N998" s="85" t="n"/>
      <c r="O998" s="85" t="n"/>
      <c r="P998" s="85" t="n"/>
      <c r="Q998" s="85" t="n"/>
      <c r="R998" s="85" t="n"/>
      <c r="S998" s="85" t="n"/>
      <c r="T998" s="85" t="n"/>
      <c r="U998" s="85" t="n"/>
      <c r="V998" s="85" t="n"/>
      <c r="W998" s="85" t="n"/>
      <c r="X998" s="85" t="n"/>
      <c r="Y998" s="85" t="n"/>
      <c r="Z998" s="85" t="n"/>
      <c r="AA998" s="85" t="n"/>
      <c r="AB998" s="85" t="n"/>
      <c r="AC998" s="85" t="n"/>
      <c r="AD998" s="85" t="n"/>
      <c r="AE998" s="85" t="n"/>
      <c r="AF998" s="86" t="n"/>
      <c r="AG998" s="86" t="n"/>
      <c r="AH998" s="86" t="n"/>
      <c r="AI998" s="85" t="n"/>
      <c r="AJ998" s="85" t="n"/>
      <c r="AK998" s="85">
        <f>IF($A998="","",IF($M998&gt;0,"Yes","No"))</f>
        <v/>
      </c>
      <c r="AL998" s="85">
        <f>IF($A998="","",IF(AND($E998="Yes",OR($Y998="No",$Y998="NOT FOUND")),"YES",""))</f>
        <v/>
      </c>
      <c r="AM998" s="85">
        <f>IF($A998="","",TRIM(IF(AND($P998=0,$I998&lt;&gt;"Yes"),"T0-NoPhishResistant ","")&amp;IF($H998="No","NoMFA ","")&amp;IF(AND($P998=0,$M998&gt;0),"T0-Standing ","")&amp;IF(AND($P998=0,$Q998="Group only"),"T0-ViaGroupOnly ","")&amp;IF($W998="Yes","AlsoAzureRBAC ","")))</f>
        <v/>
      </c>
      <c r="AN998" s="85">
        <f>IF($A998="","",IF(AG998="","Not Enrolled",IF(TODAY()&gt;AG998,"Review Overdue",IF(AG998-TODAY()&lt;=30,"Review Due Soon","Active"))))</f>
        <v/>
      </c>
      <c r="AO998" s="85">
        <f>IF($A998="","",IF(AH998="","NOT REVIEWED",IF(TODAY()-AH998&gt;90,"OVERDUE",IF(TODAY()-AH998&gt;76,"Due Soon","Current"))))</f>
        <v/>
      </c>
    </row>
    <row r="999" ht="15" customHeight="1" s="39">
      <c r="A999" s="85" t="n"/>
      <c r="B999" s="85" t="n"/>
      <c r="C999" s="85" t="n"/>
      <c r="D999" s="85" t="n"/>
      <c r="E999" s="85" t="n"/>
      <c r="F999" s="86" t="n"/>
      <c r="G999" s="86" t="n"/>
      <c r="H999" s="85" t="n"/>
      <c r="I999" s="85" t="n"/>
      <c r="J999" s="85" t="n"/>
      <c r="K999" s="85" t="n"/>
      <c r="L999" s="85" t="n"/>
      <c r="M999" s="85" t="n"/>
      <c r="N999" s="85" t="n"/>
      <c r="O999" s="85" t="n"/>
      <c r="P999" s="85" t="n"/>
      <c r="Q999" s="85" t="n"/>
      <c r="R999" s="85" t="n"/>
      <c r="S999" s="85" t="n"/>
      <c r="T999" s="85" t="n"/>
      <c r="U999" s="85" t="n"/>
      <c r="V999" s="85" t="n"/>
      <c r="W999" s="85" t="n"/>
      <c r="X999" s="85" t="n"/>
      <c r="Y999" s="85" t="n"/>
      <c r="Z999" s="85" t="n"/>
      <c r="AA999" s="85" t="n"/>
      <c r="AB999" s="85" t="n"/>
      <c r="AC999" s="85" t="n"/>
      <c r="AD999" s="85" t="n"/>
      <c r="AE999" s="85" t="n"/>
      <c r="AF999" s="86" t="n"/>
      <c r="AG999" s="86" t="n"/>
      <c r="AH999" s="86" t="n"/>
      <c r="AI999" s="85" t="n"/>
      <c r="AJ999" s="85" t="n"/>
      <c r="AK999" s="85">
        <f>IF($A999="","",IF($M999&gt;0,"Yes","No"))</f>
        <v/>
      </c>
      <c r="AL999" s="85">
        <f>IF($A999="","",IF(AND($E999="Yes",OR($Y999="No",$Y999="NOT FOUND")),"YES",""))</f>
        <v/>
      </c>
      <c r="AM999" s="85">
        <f>IF($A999="","",TRIM(IF(AND($P999=0,$I999&lt;&gt;"Yes"),"T0-NoPhishResistant ","")&amp;IF($H999="No","NoMFA ","")&amp;IF(AND($P999=0,$M999&gt;0),"T0-Standing ","")&amp;IF(AND($P999=0,$Q999="Group only"),"T0-ViaGroupOnly ","")&amp;IF($W999="Yes","AlsoAzureRBAC ","")))</f>
        <v/>
      </c>
      <c r="AN999" s="85">
        <f>IF($A999="","",IF(AG999="","Not Enrolled",IF(TODAY()&gt;AG999,"Review Overdue",IF(AG999-TODAY()&lt;=30,"Review Due Soon","Active"))))</f>
        <v/>
      </c>
      <c r="AO999" s="85">
        <f>IF($A999="","",IF(AH999="","NOT REVIEWED",IF(TODAY()-AH999&gt;90,"OVERDUE",IF(TODAY()-AH999&gt;76,"Due Soon","Current"))))</f>
        <v/>
      </c>
    </row>
    <row r="1000" ht="15" customHeight="1" s="39">
      <c r="A1000" s="85" t="n"/>
      <c r="B1000" s="85" t="n"/>
      <c r="C1000" s="85" t="n"/>
      <c r="D1000" s="85" t="n"/>
      <c r="E1000" s="85" t="n"/>
      <c r="F1000" s="86" t="n"/>
      <c r="G1000" s="86" t="n"/>
      <c r="H1000" s="85" t="n"/>
      <c r="I1000" s="85" t="n"/>
      <c r="J1000" s="85" t="n"/>
      <c r="K1000" s="85" t="n"/>
      <c r="L1000" s="85" t="n"/>
      <c r="M1000" s="85" t="n"/>
      <c r="N1000" s="85" t="n"/>
      <c r="O1000" s="85" t="n"/>
      <c r="P1000" s="85" t="n"/>
      <c r="Q1000" s="85" t="n"/>
      <c r="R1000" s="85" t="n"/>
      <c r="S1000" s="85" t="n"/>
      <c r="T1000" s="85" t="n"/>
      <c r="U1000" s="85" t="n"/>
      <c r="V1000" s="85" t="n"/>
      <c r="W1000" s="85" t="n"/>
      <c r="X1000" s="85" t="n"/>
      <c r="Y1000" s="85" t="n"/>
      <c r="Z1000" s="85" t="n"/>
      <c r="AA1000" s="85" t="n"/>
      <c r="AB1000" s="85" t="n"/>
      <c r="AC1000" s="85" t="n"/>
      <c r="AD1000" s="85" t="n"/>
      <c r="AE1000" s="85" t="n"/>
      <c r="AF1000" s="86" t="n"/>
      <c r="AG1000" s="86" t="n"/>
      <c r="AH1000" s="86" t="n"/>
      <c r="AI1000" s="85" t="n"/>
      <c r="AJ1000" s="85" t="n"/>
      <c r="AK1000" s="85">
        <f>IF($A1000="","",IF($M1000&gt;0,"Yes","No"))</f>
        <v/>
      </c>
      <c r="AL1000" s="85">
        <f>IF($A1000="","",IF(AND($E1000="Yes",OR($Y1000="No",$Y1000="NOT FOUND")),"YES",""))</f>
        <v/>
      </c>
      <c r="AM1000" s="85">
        <f>IF($A1000="","",TRIM(IF(AND($P1000=0,$I1000&lt;&gt;"Yes"),"T0-NoPhishResistant ","")&amp;IF($H1000="No","NoMFA ","")&amp;IF(AND($P1000=0,$M1000&gt;0),"T0-Standing ","")&amp;IF(AND($P1000=0,$Q1000="Group only"),"T0-ViaGroupOnly ","")&amp;IF($W1000="Yes","AlsoAzureRBAC ","")))</f>
        <v/>
      </c>
      <c r="AN1000" s="85">
        <f>IF($A1000="","",IF(AG1000="","Not Enrolled",IF(TODAY()&gt;AG1000,"Review Overdue",IF(AG1000-TODAY()&lt;=30,"Review Due Soon","Active"))))</f>
        <v/>
      </c>
      <c r="AO1000" s="85">
        <f>IF($A1000="","",IF(AH1000="","NOT REVIEWED",IF(TODAY()-AH1000&gt;90,"OVERDUE",IF(TODAY()-AH1000&gt;76,"Due Soon","Current"))))</f>
        <v/>
      </c>
    </row>
    <row r="1001" ht="15" customHeight="1" s="39">
      <c r="A1001" s="85" t="n"/>
      <c r="B1001" s="85" t="n"/>
      <c r="C1001" s="85" t="n"/>
      <c r="D1001" s="85" t="n"/>
      <c r="E1001" s="85" t="n"/>
      <c r="F1001" s="86" t="n"/>
      <c r="G1001" s="86" t="n"/>
      <c r="H1001" s="85" t="n"/>
      <c r="I1001" s="85" t="n"/>
      <c r="J1001" s="85" t="n"/>
      <c r="K1001" s="85" t="n"/>
      <c r="L1001" s="85" t="n"/>
      <c r="M1001" s="85" t="n"/>
      <c r="N1001" s="85" t="n"/>
      <c r="O1001" s="85" t="n"/>
      <c r="P1001" s="85" t="n"/>
      <c r="Q1001" s="85" t="n"/>
      <c r="R1001" s="85" t="n"/>
      <c r="S1001" s="85" t="n"/>
      <c r="T1001" s="85" t="n"/>
      <c r="U1001" s="85" t="n"/>
      <c r="V1001" s="85" t="n"/>
      <c r="W1001" s="85" t="n"/>
      <c r="X1001" s="85" t="n"/>
      <c r="Y1001" s="85" t="n"/>
      <c r="Z1001" s="85" t="n"/>
      <c r="AA1001" s="85" t="n"/>
      <c r="AB1001" s="85" t="n"/>
      <c r="AC1001" s="85" t="n"/>
      <c r="AD1001" s="85" t="n"/>
      <c r="AE1001" s="85" t="n"/>
      <c r="AF1001" s="86" t="n"/>
      <c r="AG1001" s="86" t="n"/>
      <c r="AH1001" s="86" t="n"/>
      <c r="AI1001" s="85" t="n"/>
      <c r="AJ1001" s="85" t="n"/>
      <c r="AK1001" s="85">
        <f>IF($A1001="","",IF($M1001&gt;0,"Yes","No"))</f>
        <v/>
      </c>
      <c r="AL1001" s="85">
        <f>IF($A1001="","",IF(AND($E1001="Yes",OR($Y1001="No",$Y1001="NOT FOUND")),"YES",""))</f>
        <v/>
      </c>
      <c r="AM1001" s="85">
        <f>IF($A1001="","",TRIM(IF(AND($P1001=0,$I1001&lt;&gt;"Yes"),"T0-NoPhishResistant ","")&amp;IF($H1001="No","NoMFA ","")&amp;IF(AND($P1001=0,$M1001&gt;0),"T0-Standing ","")&amp;IF(AND($P1001=0,$Q1001="Group only"),"T0-ViaGroupOnly ","")&amp;IF($W1001="Yes","AlsoAzureRBAC ","")))</f>
        <v/>
      </c>
      <c r="AN1001" s="85">
        <f>IF($A1001="","",IF(AG1001="","Not Enrolled",IF(TODAY()&gt;AG1001,"Review Overdue",IF(AG1001-TODAY()&lt;=30,"Review Due Soon","Active"))))</f>
        <v/>
      </c>
      <c r="AO1001" s="85">
        <f>IF($A1001="","",IF(AH1001="","NOT REVIEWED",IF(TODAY()-AH1001&gt;90,"OVERDUE",IF(TODAY()-AH1001&gt;76,"Due Soon","Current"))))</f>
        <v/>
      </c>
    </row>
  </sheetData>
  <autoFilter ref="A1:AO1001"/>
  <conditionalFormatting sqref="P2:P1001">
    <cfRule type="expression" priority="1" dxfId="16">
      <formula>P2=0</formula>
    </cfRule>
    <cfRule type="expression" priority="2" dxfId="17">
      <formula>P2=1</formula>
    </cfRule>
  </conditionalFormatting>
  <conditionalFormatting sqref="I2:I1001">
    <cfRule type="expression" priority="3" dxfId="16">
      <formula>AND(I2="No",$P2&lt;=1)</formula>
    </cfRule>
  </conditionalFormatting>
  <conditionalFormatting sqref="Q2:Q1001">
    <cfRule type="expression" priority="4" dxfId="17">
      <formula>Q2="Group only"</formula>
    </cfRule>
  </conditionalFormatting>
  <conditionalFormatting sqref="W2:W1001">
    <cfRule type="expression" priority="5" dxfId="17">
      <formula>W2="Yes"</formula>
    </cfRule>
  </conditionalFormatting>
  <conditionalFormatting sqref="AK2:AK1001">
    <cfRule type="expression" priority="6" dxfId="17">
      <formula>AK2="Yes"</formula>
    </cfRule>
  </conditionalFormatting>
  <conditionalFormatting sqref="AL2:AL1001">
    <cfRule type="expression" priority="7" dxfId="16">
      <formula>AL2="YES"</formula>
    </cfRule>
  </conditionalFormatting>
  <conditionalFormatting sqref="AM2:AM1001">
    <cfRule type="expression" priority="8" dxfId="16">
      <formula>ISNUMBER(SEARCH("T0-",AM2))</formula>
    </cfRule>
    <cfRule type="expression" priority="9" dxfId="17">
      <formula>AND(AM2&lt;&gt;"",NOT(ISNUMBER(SEARCH("T0-",AM2))))</formula>
    </cfRule>
  </conditionalFormatting>
  <conditionalFormatting sqref="AN2:AN1001">
    <cfRule type="expression" priority="10" dxfId="16">
      <formula>OR(AN2="Review Overdue",AN2="Not Enrolled")</formula>
    </cfRule>
    <cfRule type="expression" priority="11" dxfId="17">
      <formula>AN2="Review Due Soon"</formula>
    </cfRule>
    <cfRule type="expression" priority="12" dxfId="18">
      <formula>AN2="Active"</formula>
    </cfRule>
  </conditionalFormatting>
  <conditionalFormatting sqref="AO2:AO1001">
    <cfRule type="expression" priority="13" dxfId="16">
      <formula>OR(AO2="OVERDUE",AO2="NOT REVIEWED")</formula>
    </cfRule>
    <cfRule type="expression" priority="14" dxfId="17">
      <formula>AO2="Due Soon"</formula>
    </cfRule>
  </conditionalFormatting>
  <dataValidations count="3">
    <dataValidation sqref="AC2:AC1001" showDropDown="0" showInputMessage="0" showErrorMessage="0" allowBlank="1" type="list">
      <formula1>Reference!$C$2:$C$7</formula1>
    </dataValidation>
    <dataValidation sqref="AE2:AE1001" showDropDown="0" showInputMessage="0" showErrorMessage="0" allowBlank="1" type="list">
      <formula1>Reference!$D$2:$D$7</formula1>
    </dataValidation>
    <dataValidation sqref="AI2:AI1001" showDropDown="0" showInputMessage="0" showErrorMessage="0" allowBlank="1" type="list">
      <formula1>Reference!$B$2:$B$8</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0F6CBD"/>
    <outlinePr summaryBelow="1" summaryRight="1"/>
    <pageSetUpPr/>
  </sheetPr>
  <dimension ref="A1:AK10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34" customWidth="1" style="39" min="1" max="1"/>
    <col width="26" customWidth="1" style="39" min="2" max="2"/>
    <col width="36" customWidth="1" style="39" min="3" max="3"/>
    <col width="18" customWidth="1" style="39" min="4" max="4"/>
    <col width="11" customWidth="1" style="39" min="5" max="5"/>
    <col width="13" customWidth="1" style="39" min="6" max="6"/>
    <col width="14" customWidth="1" style="39" min="7" max="7"/>
    <col width="15" customWidth="1" style="39" min="8" max="8"/>
    <col width="15" customWidth="1" style="39" min="9" max="9"/>
    <col width="30" customWidth="1" style="39" min="10" max="10"/>
    <col width="34" customWidth="1" style="39" min="11" max="11"/>
    <col width="22" customWidth="1" style="39" min="12" max="12"/>
    <col width="13" customWidth="1" style="39" min="13" max="13"/>
    <col width="15" customWidth="1" style="39" min="14" max="14"/>
    <col width="15" customWidth="1" style="39" min="15" max="15"/>
    <col width="30" customWidth="1" style="39" min="16" max="16"/>
    <col width="34" customWidth="1" style="39" min="17" max="17"/>
    <col width="13" customWidth="1" style="39" min="18" max="18"/>
    <col width="13" customWidth="1" style="39" min="19" max="19"/>
    <col width="18" customWidth="1" style="39" min="20" max="20"/>
    <col width="30" customWidth="1" style="39" min="21" max="21"/>
    <col width="15" customWidth="1" style="39" min="22" max="22"/>
    <col width="24" customWidth="1" style="39" min="23" max="23"/>
    <col width="22" customWidth="1" style="39" min="24" max="24"/>
    <col width="24" customWidth="1" style="39" min="25" max="25"/>
    <col width="22" customWidth="1" style="39" min="26" max="26"/>
    <col width="40" customWidth="1" style="39" min="27" max="27"/>
    <col width="20" customWidth="1" style="39" min="28" max="28"/>
    <col width="14" customWidth="1" style="39" min="29" max="29"/>
    <col width="14" customWidth="1" style="39" min="30" max="30"/>
    <col width="14" customWidth="1" style="39" min="31" max="31"/>
    <col width="26" customWidth="1" style="39" min="32" max="32"/>
    <col width="38" customWidth="1" style="39" min="33" max="33"/>
    <col width="13" customWidth="1" style="39" min="34" max="34"/>
    <col width="34" customWidth="1" style="39" min="35" max="35"/>
    <col width="16" customWidth="1" style="39" min="36" max="36"/>
    <col width="15" customWidth="1" style="39" min="37" max="37"/>
  </cols>
  <sheetData>
    <row r="1" ht="49.5" customHeight="1" s="39">
      <c r="A1" s="89" t="inlineStr">
        <is>
          <t>Admin UPN</t>
        </is>
      </c>
      <c r="B1" s="89" t="inlineStr">
        <is>
          <t>Display Name</t>
        </is>
      </c>
      <c r="C1" s="89" t="inlineStr">
        <is>
          <t>Object ID</t>
        </is>
      </c>
      <c r="D1" s="89" t="inlineStr">
        <is>
          <t>Base Username</t>
        </is>
      </c>
      <c r="E1" s="89" t="inlineStr">
        <is>
          <t>Enabled</t>
        </is>
      </c>
      <c r="F1" s="89" t="inlineStr">
        <is>
          <t>Created</t>
        </is>
      </c>
      <c r="G1" s="89" t="inlineStr">
        <is>
          <t>Last Sign-In</t>
        </is>
      </c>
      <c r="H1" s="89" t="inlineStr">
        <is>
          <t>MFA Registered</t>
        </is>
      </c>
      <c r="I1" s="89" t="inlineStr">
        <is>
          <t>Phishing Resistant</t>
        </is>
      </c>
      <c r="J1" s="89" t="inlineStr">
        <is>
          <t>Auth Methods</t>
        </is>
      </c>
      <c r="K1" s="89" t="inlineStr">
        <is>
          <t>Azure RBAC Roles</t>
        </is>
      </c>
      <c r="L1" s="89" t="inlineStr">
        <is>
          <t>Highest Azure Role</t>
        </is>
      </c>
      <c r="M1" s="89" t="inlineStr">
        <is>
          <t>Azure Tier</t>
        </is>
      </c>
      <c r="N1" s="89" t="inlineStr">
        <is>
          <t>Sub or MG Scoped</t>
        </is>
      </c>
      <c r="O1" s="89" t="inlineStr">
        <is>
          <t>Assignment Route</t>
        </is>
      </c>
      <c r="P1" s="89" t="inlineStr">
        <is>
          <t>Granting Groups</t>
        </is>
      </c>
      <c r="Q1" s="89" t="inlineStr">
        <is>
          <t>Granting Group IDs</t>
        </is>
      </c>
      <c r="R1" s="89" t="inlineStr">
        <is>
          <t>Direct Assignments</t>
        </is>
      </c>
      <c r="S1" s="89" t="inlineStr">
        <is>
          <t>Group Assignments</t>
        </is>
      </c>
      <c r="T1" s="89" t="inlineStr">
        <is>
          <t>Also Holds Entra Role</t>
        </is>
      </c>
      <c r="U1" s="89" t="inlineStr">
        <is>
          <t>Standard Account UPN</t>
        </is>
      </c>
      <c r="V1" s="89" t="inlineStr">
        <is>
          <t>Standard Acct Enabled</t>
        </is>
      </c>
      <c r="W1" s="89" t="inlineStr">
        <is>
          <t>Person Display Name</t>
        </is>
      </c>
      <c r="X1" s="89" t="inlineStr">
        <is>
          <t>Department</t>
        </is>
      </c>
      <c r="Y1" s="89" t="inlineStr">
        <is>
          <t>Job Title</t>
        </is>
      </c>
      <c r="Z1" s="89" t="inlineStr">
        <is>
          <t>Access Type</t>
        </is>
      </c>
      <c r="AA1" s="89" t="inlineStr">
        <is>
          <t>Business Justification</t>
        </is>
      </c>
      <c r="AB1" s="89" t="inlineStr">
        <is>
          <t>Decided By</t>
        </is>
      </c>
      <c r="AC1" s="89" t="inlineStr">
        <is>
          <t>Review Decision Date</t>
        </is>
      </c>
      <c r="AD1" s="89" t="inlineStr">
        <is>
          <t>Next Review Due</t>
        </is>
      </c>
      <c r="AE1" s="89" t="inlineStr">
        <is>
          <t>Last Reviewed</t>
        </is>
      </c>
      <c r="AF1" s="89" t="inlineStr">
        <is>
          <t>Review Decision</t>
        </is>
      </c>
      <c r="AG1" s="89" t="inlineStr">
        <is>
          <t>Notes</t>
        </is>
      </c>
      <c r="AH1" s="89" t="inlineStr">
        <is>
          <t>ORPHANED?</t>
        </is>
      </c>
      <c r="AI1" s="89" t="inlineStr">
        <is>
          <t>Risk Flags</t>
        </is>
      </c>
      <c r="AJ1" s="89" t="inlineStr">
        <is>
          <t>Access Status</t>
        </is>
      </c>
      <c r="AK1" s="89" t="inlineStr">
        <is>
          <t>Review Status</t>
        </is>
      </c>
    </row>
    <row r="2" ht="35.05" customHeight="1" s="39">
      <c r="A2" s="83" t="inlineStr">
        <is>
          <t>jsmith.azr@corp.onmicrosoft.com</t>
        </is>
      </c>
      <c r="B2" s="83" t="inlineStr">
        <is>
          <t>Jane Smith (Cloud Admin)</t>
        </is>
      </c>
      <c r="C2" s="83" t="inlineStr">
        <is>
          <t>4c8e1f2a-9b3d-4e6f-a1c5-7d2e8f3a9b4c</t>
        </is>
      </c>
      <c r="D2" s="83" t="inlineStr">
        <is>
          <t>jsmith</t>
        </is>
      </c>
      <c r="E2" s="83" t="inlineStr">
        <is>
          <t>Yes</t>
        </is>
      </c>
      <c r="F2" s="84" t="n">
        <v>45173</v>
      </c>
      <c r="G2" s="84" t="n">
        <v>46246</v>
      </c>
      <c r="H2" s="83" t="inlineStr">
        <is>
          <t>Yes</t>
        </is>
      </c>
      <c r="I2" s="83" t="inlineStr">
        <is>
          <t>No</t>
        </is>
      </c>
      <c r="J2" s="83" t="inlineStr">
        <is>
          <t>microsoftAuthenticatorPush; sms</t>
        </is>
      </c>
      <c r="K2" s="83" t="inlineStr">
        <is>
          <t>Owner @ SUBSCRIPTION:prod-platform</t>
        </is>
      </c>
      <c r="L2" s="83" t="inlineStr">
        <is>
          <t>Owner</t>
        </is>
      </c>
      <c r="M2" s="83" t="n">
        <v>0</v>
      </c>
      <c r="N2" s="83" t="inlineStr">
        <is>
          <t>Yes</t>
        </is>
      </c>
      <c r="O2" s="83" t="inlineStr">
        <is>
          <t>Direct + Group</t>
        </is>
      </c>
      <c r="P2" s="83" t="inlineStr">
        <is>
          <t>SG-Azure-Platform-Owners</t>
        </is>
      </c>
      <c r="Q2" s="83" t="inlineStr">
        <is>
          <t>7e1d4b92-3a6c-4f8e-b1d5-2c9a8f4e6b3d</t>
        </is>
      </c>
      <c r="R2" s="83" t="n">
        <v>1</v>
      </c>
      <c r="S2" s="83" t="n">
        <v>1</v>
      </c>
      <c r="T2" s="83" t="inlineStr">
        <is>
          <t>Yes</t>
        </is>
      </c>
      <c r="U2" s="83" t="inlineStr">
        <is>
          <t>jsmith@corp.com.au</t>
        </is>
      </c>
      <c r="V2" s="83" t="inlineStr">
        <is>
          <t>Yes</t>
        </is>
      </c>
      <c r="W2" s="83" t="inlineStr">
        <is>
          <t>Jane Smith</t>
        </is>
      </c>
      <c r="X2" s="83" t="inlineStr">
        <is>
          <t>Cloud Platform Engineering</t>
        </is>
      </c>
      <c r="Y2" s="83" t="inlineStr">
        <is>
          <t>Principal Engineer</t>
        </is>
      </c>
      <c r="Z2" s="83" t="inlineStr">
        <is>
          <t>Permanent (BAU duty)</t>
        </is>
      </c>
      <c r="AA2" s="83" t="inlineStr">
        <is>
          <t>Subscription ownership for platform infrastructure.</t>
        </is>
      </c>
      <c r="AB2" s="83" t="inlineStr">
        <is>
          <t>CISO</t>
        </is>
      </c>
      <c r="AC2" s="84" t="n"/>
      <c r="AD2" s="84" t="n"/>
      <c r="AE2" s="84" t="n">
        <v>46152</v>
      </c>
      <c r="AF2" s="83" t="inlineStr">
        <is>
          <t>Convert to PIM eligible</t>
        </is>
      </c>
      <c r="AG2" s="83" t="inlineStr">
        <is>
          <t>EXAMPLE ROW - delete before use. Standing Owner at subscription scope; also holds Entra Global Admin - coordinate with Entra Admins tab.</t>
        </is>
      </c>
      <c r="AH2" s="83">
        <f>IF($A2="","",IF(AND($E2="Yes",OR($V2="No",$V2="NOT FOUND")),"YES",""))</f>
        <v/>
      </c>
      <c r="AI2" s="83">
        <f>IF($A2="","",TRIM(IF(AND($M2=0,$I2&lt;&gt;"Yes"),"T0-NoPhishResistant ","")&amp;IF($H2="No","NoMFA ","")&amp;IF(AND($M2=0,$O2="Group only"),"T0-ViaGroupOnly ","")&amp;IF($N2="Yes","BroadAzureScope ","")&amp;IF($T2="Yes","AlsoEntraRole ","")))</f>
        <v/>
      </c>
      <c r="AJ2" s="83">
        <f>IF($A2="","",IF(AD2="","Not Enrolled",IF(TODAY()&gt;AD2,"Review Overdue",IF(AD2-TODAY()&lt;=30,"Review Due Soon","Active"))))</f>
        <v/>
      </c>
      <c r="AK2" s="83">
        <f>IF($A2="","",IF(AE2="","NOT REVIEWED",IF(TODAY()-AE2&gt;90,"OVERDUE",IF(TODAY()-AE2&gt;76,"Due Soon","Current"))))</f>
        <v/>
      </c>
    </row>
    <row r="3" ht="15" customHeight="1" s="39">
      <c r="A3" s="85" t="n"/>
      <c r="B3" s="85" t="n"/>
      <c r="C3" s="85" t="n"/>
      <c r="D3" s="85" t="n"/>
      <c r="E3" s="85" t="n"/>
      <c r="F3" s="86" t="n"/>
      <c r="G3" s="86" t="n"/>
      <c r="H3" s="85" t="n"/>
      <c r="I3" s="85" t="n"/>
      <c r="J3" s="85" t="n"/>
      <c r="K3" s="85" t="n"/>
      <c r="L3" s="85" t="n"/>
      <c r="M3" s="85" t="n"/>
      <c r="N3" s="85" t="n"/>
      <c r="O3" s="85" t="n"/>
      <c r="P3" s="85" t="n"/>
      <c r="Q3" s="85" t="n"/>
      <c r="R3" s="85" t="n"/>
      <c r="S3" s="85" t="n"/>
      <c r="T3" s="85" t="n"/>
      <c r="U3" s="85" t="n"/>
      <c r="V3" s="85" t="n"/>
      <c r="W3" s="85" t="n"/>
      <c r="X3" s="85" t="n"/>
      <c r="Y3" s="85" t="n"/>
      <c r="Z3" s="85" t="n"/>
      <c r="AA3" s="85" t="n"/>
      <c r="AB3" s="85" t="n"/>
      <c r="AC3" s="86" t="n"/>
      <c r="AD3" s="86" t="n"/>
      <c r="AE3" s="86" t="n"/>
      <c r="AF3" s="85" t="n"/>
      <c r="AG3" s="85" t="n"/>
      <c r="AH3" s="85">
        <f>IF($A3="","",IF(AND($E3="Yes",OR($V3="No",$V3="NOT FOUND")),"YES",""))</f>
        <v/>
      </c>
      <c r="AI3" s="85">
        <f>IF($A3="","",TRIM(IF(AND($M3=0,$I3&lt;&gt;"Yes"),"T0-NoPhishResistant ","")&amp;IF($H3="No","NoMFA ","")&amp;IF(AND($M3=0,$O3="Group only"),"T0-ViaGroupOnly ","")&amp;IF($N3="Yes","BroadAzureScope ","")&amp;IF($T3="Yes","AlsoEntraRole ","")))</f>
        <v/>
      </c>
      <c r="AJ3" s="85">
        <f>IF($A3="","",IF(AD3="","Not Enrolled",IF(TODAY()&gt;AD3,"Review Overdue",IF(AD3-TODAY()&lt;=30,"Review Due Soon","Active"))))</f>
        <v/>
      </c>
      <c r="AK3" s="85">
        <f>IF($A3="","",IF(AE3="","NOT REVIEWED",IF(TODAY()-AE3&gt;90,"OVERDUE",IF(TODAY()-AE3&gt;76,"Due Soon","Current"))))</f>
        <v/>
      </c>
    </row>
    <row r="4" ht="15" customHeight="1" s="39">
      <c r="A4" s="85" t="n"/>
      <c r="B4" s="85" t="n"/>
      <c r="C4" s="85" t="n"/>
      <c r="D4" s="85" t="n"/>
      <c r="E4" s="85" t="n"/>
      <c r="F4" s="86" t="n"/>
      <c r="G4" s="86" t="n"/>
      <c r="H4" s="85" t="n"/>
      <c r="I4" s="85" t="n"/>
      <c r="J4" s="85" t="n"/>
      <c r="K4" s="85" t="n"/>
      <c r="L4" s="85" t="n"/>
      <c r="M4" s="85" t="n"/>
      <c r="N4" s="85" t="n"/>
      <c r="O4" s="85" t="n"/>
      <c r="P4" s="85" t="n"/>
      <c r="Q4" s="85" t="n"/>
      <c r="R4" s="85" t="n"/>
      <c r="S4" s="85" t="n"/>
      <c r="T4" s="85" t="n"/>
      <c r="U4" s="85" t="n"/>
      <c r="V4" s="85" t="n"/>
      <c r="W4" s="85" t="n"/>
      <c r="X4" s="85" t="n"/>
      <c r="Y4" s="85" t="n"/>
      <c r="Z4" s="85" t="n"/>
      <c r="AA4" s="85" t="n"/>
      <c r="AB4" s="85" t="n"/>
      <c r="AC4" s="86" t="n"/>
      <c r="AD4" s="86" t="n"/>
      <c r="AE4" s="86" t="n"/>
      <c r="AF4" s="85" t="n"/>
      <c r="AG4" s="85" t="n"/>
      <c r="AH4" s="85">
        <f>IF($A4="","",IF(AND($E4="Yes",OR($V4="No",$V4="NOT FOUND")),"YES",""))</f>
        <v/>
      </c>
      <c r="AI4" s="85">
        <f>IF($A4="","",TRIM(IF(AND($M4=0,$I4&lt;&gt;"Yes"),"T0-NoPhishResistant ","")&amp;IF($H4="No","NoMFA ","")&amp;IF(AND($M4=0,$O4="Group only"),"T0-ViaGroupOnly ","")&amp;IF($N4="Yes","BroadAzureScope ","")&amp;IF($T4="Yes","AlsoEntraRole ","")))</f>
        <v/>
      </c>
      <c r="AJ4" s="85">
        <f>IF($A4="","",IF(AD4="","Not Enrolled",IF(TODAY()&gt;AD4,"Review Overdue",IF(AD4-TODAY()&lt;=30,"Review Due Soon","Active"))))</f>
        <v/>
      </c>
      <c r="AK4" s="85">
        <f>IF($A4="","",IF(AE4="","NOT REVIEWED",IF(TODAY()-AE4&gt;90,"OVERDUE",IF(TODAY()-AE4&gt;76,"Due Soon","Current"))))</f>
        <v/>
      </c>
    </row>
    <row r="5" ht="15" customHeight="1" s="39">
      <c r="A5" s="85" t="n"/>
      <c r="B5" s="85" t="n"/>
      <c r="C5" s="85" t="n"/>
      <c r="D5" s="85" t="n"/>
      <c r="E5" s="85" t="n"/>
      <c r="F5" s="86" t="n"/>
      <c r="G5" s="86" t="n"/>
      <c r="H5" s="85" t="n"/>
      <c r="I5" s="85" t="n"/>
      <c r="J5" s="85" t="n"/>
      <c r="K5" s="85" t="n"/>
      <c r="L5" s="85" t="n"/>
      <c r="M5" s="85" t="n"/>
      <c r="N5" s="85" t="n"/>
      <c r="O5" s="85" t="n"/>
      <c r="P5" s="85" t="n"/>
      <c r="Q5" s="85" t="n"/>
      <c r="R5" s="85" t="n"/>
      <c r="S5" s="85" t="n"/>
      <c r="T5" s="85" t="n"/>
      <c r="U5" s="85" t="n"/>
      <c r="V5" s="85" t="n"/>
      <c r="W5" s="85" t="n"/>
      <c r="X5" s="85" t="n"/>
      <c r="Y5" s="85" t="n"/>
      <c r="Z5" s="85" t="n"/>
      <c r="AA5" s="85" t="n"/>
      <c r="AB5" s="85" t="n"/>
      <c r="AC5" s="86" t="n"/>
      <c r="AD5" s="86" t="n"/>
      <c r="AE5" s="86" t="n"/>
      <c r="AF5" s="85" t="n"/>
      <c r="AG5" s="85" t="n"/>
      <c r="AH5" s="85">
        <f>IF($A5="","",IF(AND($E5="Yes",OR($V5="No",$V5="NOT FOUND")),"YES",""))</f>
        <v/>
      </c>
      <c r="AI5" s="85">
        <f>IF($A5="","",TRIM(IF(AND($M5=0,$I5&lt;&gt;"Yes"),"T0-NoPhishResistant ","")&amp;IF($H5="No","NoMFA ","")&amp;IF(AND($M5=0,$O5="Group only"),"T0-ViaGroupOnly ","")&amp;IF($N5="Yes","BroadAzureScope ","")&amp;IF($T5="Yes","AlsoEntraRole ","")))</f>
        <v/>
      </c>
      <c r="AJ5" s="85">
        <f>IF($A5="","",IF(AD5="","Not Enrolled",IF(TODAY()&gt;AD5,"Review Overdue",IF(AD5-TODAY()&lt;=30,"Review Due Soon","Active"))))</f>
        <v/>
      </c>
      <c r="AK5" s="85">
        <f>IF($A5="","",IF(AE5="","NOT REVIEWED",IF(TODAY()-AE5&gt;90,"OVERDUE",IF(TODAY()-AE5&gt;76,"Due Soon","Current"))))</f>
        <v/>
      </c>
    </row>
    <row r="6" ht="15" customHeight="1" s="39">
      <c r="A6" s="85" t="n"/>
      <c r="B6" s="85" t="n"/>
      <c r="C6" s="85" t="n"/>
      <c r="D6" s="85" t="n"/>
      <c r="E6" s="85" t="n"/>
      <c r="F6" s="86" t="n"/>
      <c r="G6" s="86" t="n"/>
      <c r="H6" s="85" t="n"/>
      <c r="I6" s="85" t="n"/>
      <c r="J6" s="85" t="n"/>
      <c r="K6" s="85" t="n"/>
      <c r="L6" s="85" t="n"/>
      <c r="M6" s="85" t="n"/>
      <c r="N6" s="85" t="n"/>
      <c r="O6" s="85" t="n"/>
      <c r="P6" s="85" t="n"/>
      <c r="Q6" s="85" t="n"/>
      <c r="R6" s="85" t="n"/>
      <c r="S6" s="85" t="n"/>
      <c r="T6" s="85" t="n"/>
      <c r="U6" s="85" t="n"/>
      <c r="V6" s="85" t="n"/>
      <c r="W6" s="85" t="n"/>
      <c r="X6" s="85" t="n"/>
      <c r="Y6" s="85" t="n"/>
      <c r="Z6" s="85" t="n"/>
      <c r="AA6" s="85" t="n"/>
      <c r="AB6" s="85" t="n"/>
      <c r="AC6" s="86" t="n"/>
      <c r="AD6" s="86" t="n"/>
      <c r="AE6" s="86" t="n"/>
      <c r="AF6" s="85" t="n"/>
      <c r="AG6" s="85" t="n"/>
      <c r="AH6" s="85">
        <f>IF($A6="","",IF(AND($E6="Yes",OR($V6="No",$V6="NOT FOUND")),"YES",""))</f>
        <v/>
      </c>
      <c r="AI6" s="85">
        <f>IF($A6="","",TRIM(IF(AND($M6=0,$I6&lt;&gt;"Yes"),"T0-NoPhishResistant ","")&amp;IF($H6="No","NoMFA ","")&amp;IF(AND($M6=0,$O6="Group only"),"T0-ViaGroupOnly ","")&amp;IF($N6="Yes","BroadAzureScope ","")&amp;IF($T6="Yes","AlsoEntraRole ","")))</f>
        <v/>
      </c>
      <c r="AJ6" s="85">
        <f>IF($A6="","",IF(AD6="","Not Enrolled",IF(TODAY()&gt;AD6,"Review Overdue",IF(AD6-TODAY()&lt;=30,"Review Due Soon","Active"))))</f>
        <v/>
      </c>
      <c r="AK6" s="85">
        <f>IF($A6="","",IF(AE6="","NOT REVIEWED",IF(TODAY()-AE6&gt;90,"OVERDUE",IF(TODAY()-AE6&gt;76,"Due Soon","Current"))))</f>
        <v/>
      </c>
    </row>
    <row r="7" ht="15" customHeight="1" s="39">
      <c r="A7" s="85" t="n"/>
      <c r="B7" s="85" t="n"/>
      <c r="C7" s="85" t="n"/>
      <c r="D7" s="85" t="n"/>
      <c r="E7" s="85" t="n"/>
      <c r="F7" s="86" t="n"/>
      <c r="G7" s="86" t="n"/>
      <c r="H7" s="85" t="n"/>
      <c r="I7" s="85" t="n"/>
      <c r="J7" s="85" t="n"/>
      <c r="K7" s="85" t="n"/>
      <c r="L7" s="85" t="n"/>
      <c r="M7" s="85" t="n"/>
      <c r="N7" s="85" t="n"/>
      <c r="O7" s="85" t="n"/>
      <c r="P7" s="85" t="n"/>
      <c r="Q7" s="85" t="n"/>
      <c r="R7" s="85" t="n"/>
      <c r="S7" s="85" t="n"/>
      <c r="T7" s="85" t="n"/>
      <c r="U7" s="85" t="n"/>
      <c r="V7" s="85" t="n"/>
      <c r="W7" s="85" t="n"/>
      <c r="X7" s="85" t="n"/>
      <c r="Y7" s="85" t="n"/>
      <c r="Z7" s="85" t="n"/>
      <c r="AA7" s="85" t="n"/>
      <c r="AB7" s="85" t="n"/>
      <c r="AC7" s="86" t="n"/>
      <c r="AD7" s="86" t="n"/>
      <c r="AE7" s="86" t="n"/>
      <c r="AF7" s="85" t="n"/>
      <c r="AG7" s="85" t="n"/>
      <c r="AH7" s="85">
        <f>IF($A7="","",IF(AND($E7="Yes",OR($V7="No",$V7="NOT FOUND")),"YES",""))</f>
        <v/>
      </c>
      <c r="AI7" s="85">
        <f>IF($A7="","",TRIM(IF(AND($M7=0,$I7&lt;&gt;"Yes"),"T0-NoPhishResistant ","")&amp;IF($H7="No","NoMFA ","")&amp;IF(AND($M7=0,$O7="Group only"),"T0-ViaGroupOnly ","")&amp;IF($N7="Yes","BroadAzureScope ","")&amp;IF($T7="Yes","AlsoEntraRole ","")))</f>
        <v/>
      </c>
      <c r="AJ7" s="85">
        <f>IF($A7="","",IF(AD7="","Not Enrolled",IF(TODAY()&gt;AD7,"Review Overdue",IF(AD7-TODAY()&lt;=30,"Review Due Soon","Active"))))</f>
        <v/>
      </c>
      <c r="AK7" s="85">
        <f>IF($A7="","",IF(AE7="","NOT REVIEWED",IF(TODAY()-AE7&gt;90,"OVERDUE",IF(TODAY()-AE7&gt;76,"Due Soon","Current"))))</f>
        <v/>
      </c>
    </row>
    <row r="8" ht="15" customHeight="1" s="39">
      <c r="A8" s="85" t="n"/>
      <c r="B8" s="85" t="n"/>
      <c r="C8" s="85" t="n"/>
      <c r="D8" s="85" t="n"/>
      <c r="E8" s="85" t="n"/>
      <c r="F8" s="86" t="n"/>
      <c r="G8" s="86" t="n"/>
      <c r="H8" s="85" t="n"/>
      <c r="I8" s="85" t="n"/>
      <c r="J8" s="85" t="n"/>
      <c r="K8" s="85" t="n"/>
      <c r="L8" s="85" t="n"/>
      <c r="M8" s="85" t="n"/>
      <c r="N8" s="85" t="n"/>
      <c r="O8" s="85" t="n"/>
      <c r="P8" s="85" t="n"/>
      <c r="Q8" s="85" t="n"/>
      <c r="R8" s="85" t="n"/>
      <c r="S8" s="85" t="n"/>
      <c r="T8" s="85" t="n"/>
      <c r="U8" s="85" t="n"/>
      <c r="V8" s="85" t="n"/>
      <c r="W8" s="85" t="n"/>
      <c r="X8" s="85" t="n"/>
      <c r="Y8" s="85" t="n"/>
      <c r="Z8" s="85" t="n"/>
      <c r="AA8" s="85" t="n"/>
      <c r="AB8" s="85" t="n"/>
      <c r="AC8" s="86" t="n"/>
      <c r="AD8" s="86" t="n"/>
      <c r="AE8" s="86" t="n"/>
      <c r="AF8" s="85" t="n"/>
      <c r="AG8" s="85" t="n"/>
      <c r="AH8" s="85">
        <f>IF($A8="","",IF(AND($E8="Yes",OR($V8="No",$V8="NOT FOUND")),"YES",""))</f>
        <v/>
      </c>
      <c r="AI8" s="85">
        <f>IF($A8="","",TRIM(IF(AND($M8=0,$I8&lt;&gt;"Yes"),"T0-NoPhishResistant ","")&amp;IF($H8="No","NoMFA ","")&amp;IF(AND($M8=0,$O8="Group only"),"T0-ViaGroupOnly ","")&amp;IF($N8="Yes","BroadAzureScope ","")&amp;IF($T8="Yes","AlsoEntraRole ","")))</f>
        <v/>
      </c>
      <c r="AJ8" s="85">
        <f>IF($A8="","",IF(AD8="","Not Enrolled",IF(TODAY()&gt;AD8,"Review Overdue",IF(AD8-TODAY()&lt;=30,"Review Due Soon","Active"))))</f>
        <v/>
      </c>
      <c r="AK8" s="85">
        <f>IF($A8="","",IF(AE8="","NOT REVIEWED",IF(TODAY()-AE8&gt;90,"OVERDUE",IF(TODAY()-AE8&gt;76,"Due Soon","Current"))))</f>
        <v/>
      </c>
    </row>
    <row r="9" ht="15" customHeight="1" s="39">
      <c r="A9" s="85" t="n"/>
      <c r="B9" s="85" t="n"/>
      <c r="C9" s="85" t="n"/>
      <c r="D9" s="85" t="n"/>
      <c r="E9" s="85" t="n"/>
      <c r="F9" s="86" t="n"/>
      <c r="G9" s="86" t="n"/>
      <c r="H9" s="85" t="n"/>
      <c r="I9" s="85" t="n"/>
      <c r="J9" s="85" t="n"/>
      <c r="K9" s="85" t="n"/>
      <c r="L9" s="85" t="n"/>
      <c r="M9" s="85" t="n"/>
      <c r="N9" s="85" t="n"/>
      <c r="O9" s="85" t="n"/>
      <c r="P9" s="85" t="n"/>
      <c r="Q9" s="85" t="n"/>
      <c r="R9" s="85" t="n"/>
      <c r="S9" s="85" t="n"/>
      <c r="T9" s="85" t="n"/>
      <c r="U9" s="85" t="n"/>
      <c r="V9" s="85" t="n"/>
      <c r="W9" s="85" t="n"/>
      <c r="X9" s="85" t="n"/>
      <c r="Y9" s="85" t="n"/>
      <c r="Z9" s="85" t="n"/>
      <c r="AA9" s="85" t="n"/>
      <c r="AB9" s="85" t="n"/>
      <c r="AC9" s="86" t="n"/>
      <c r="AD9" s="86" t="n"/>
      <c r="AE9" s="86" t="n"/>
      <c r="AF9" s="85" t="n"/>
      <c r="AG9" s="85" t="n"/>
      <c r="AH9" s="85">
        <f>IF($A9="","",IF(AND($E9="Yes",OR($V9="No",$V9="NOT FOUND")),"YES",""))</f>
        <v/>
      </c>
      <c r="AI9" s="85">
        <f>IF($A9="","",TRIM(IF(AND($M9=0,$I9&lt;&gt;"Yes"),"T0-NoPhishResistant ","")&amp;IF($H9="No","NoMFA ","")&amp;IF(AND($M9=0,$O9="Group only"),"T0-ViaGroupOnly ","")&amp;IF($N9="Yes","BroadAzureScope ","")&amp;IF($T9="Yes","AlsoEntraRole ","")))</f>
        <v/>
      </c>
      <c r="AJ9" s="85">
        <f>IF($A9="","",IF(AD9="","Not Enrolled",IF(TODAY()&gt;AD9,"Review Overdue",IF(AD9-TODAY()&lt;=30,"Review Due Soon","Active"))))</f>
        <v/>
      </c>
      <c r="AK9" s="85">
        <f>IF($A9="","",IF(AE9="","NOT REVIEWED",IF(TODAY()-AE9&gt;90,"OVERDUE",IF(TODAY()-AE9&gt;76,"Due Soon","Current"))))</f>
        <v/>
      </c>
    </row>
    <row r="10" ht="15" customHeight="1" s="39">
      <c r="A10" s="85" t="n"/>
      <c r="B10" s="85" t="n"/>
      <c r="C10" s="85" t="n"/>
      <c r="D10" s="85" t="n"/>
      <c r="E10" s="85" t="n"/>
      <c r="F10" s="86" t="n"/>
      <c r="G10" s="86" t="n"/>
      <c r="H10" s="85" t="n"/>
      <c r="I10" s="85" t="n"/>
      <c r="J10" s="85" t="n"/>
      <c r="K10" s="85" t="n"/>
      <c r="L10" s="85" t="n"/>
      <c r="M10" s="85" t="n"/>
      <c r="N10" s="85" t="n"/>
      <c r="O10" s="85" t="n"/>
      <c r="P10" s="85" t="n"/>
      <c r="Q10" s="85" t="n"/>
      <c r="R10" s="85" t="n"/>
      <c r="S10" s="85" t="n"/>
      <c r="T10" s="85" t="n"/>
      <c r="U10" s="85" t="n"/>
      <c r="V10" s="85" t="n"/>
      <c r="W10" s="85" t="n"/>
      <c r="X10" s="85" t="n"/>
      <c r="Y10" s="85" t="n"/>
      <c r="Z10" s="85" t="n"/>
      <c r="AA10" s="85" t="n"/>
      <c r="AB10" s="85" t="n"/>
      <c r="AC10" s="86" t="n"/>
      <c r="AD10" s="86" t="n"/>
      <c r="AE10" s="86" t="n"/>
      <c r="AF10" s="85" t="n"/>
      <c r="AG10" s="85" t="n"/>
      <c r="AH10" s="85">
        <f>IF($A10="","",IF(AND($E10="Yes",OR($V10="No",$V10="NOT FOUND")),"YES",""))</f>
        <v/>
      </c>
      <c r="AI10" s="85">
        <f>IF($A10="","",TRIM(IF(AND($M10=0,$I10&lt;&gt;"Yes"),"T0-NoPhishResistant ","")&amp;IF($H10="No","NoMFA ","")&amp;IF(AND($M10=0,$O10="Group only"),"T0-ViaGroupOnly ","")&amp;IF($N10="Yes","BroadAzureScope ","")&amp;IF($T10="Yes","AlsoEntraRole ","")))</f>
        <v/>
      </c>
      <c r="AJ10" s="85">
        <f>IF($A10="","",IF(AD10="","Not Enrolled",IF(TODAY()&gt;AD10,"Review Overdue",IF(AD10-TODAY()&lt;=30,"Review Due Soon","Active"))))</f>
        <v/>
      </c>
      <c r="AK10" s="85">
        <f>IF($A10="","",IF(AE10="","NOT REVIEWED",IF(TODAY()-AE10&gt;90,"OVERDUE",IF(TODAY()-AE10&gt;76,"Due Soon","Current"))))</f>
        <v/>
      </c>
    </row>
    <row r="11" ht="15" customHeight="1" s="39">
      <c r="A11" s="85" t="n"/>
      <c r="B11" s="85" t="n"/>
      <c r="C11" s="85" t="n"/>
      <c r="D11" s="85" t="n"/>
      <c r="E11" s="85" t="n"/>
      <c r="F11" s="86" t="n"/>
      <c r="G11" s="86" t="n"/>
      <c r="H11" s="85" t="n"/>
      <c r="I11" s="85" t="n"/>
      <c r="J11" s="85" t="n"/>
      <c r="K11" s="85" t="n"/>
      <c r="L11" s="85" t="n"/>
      <c r="M11" s="85" t="n"/>
      <c r="N11" s="85" t="n"/>
      <c r="O11" s="85" t="n"/>
      <c r="P11" s="85" t="n"/>
      <c r="Q11" s="85" t="n"/>
      <c r="R11" s="85" t="n"/>
      <c r="S11" s="85" t="n"/>
      <c r="T11" s="85" t="n"/>
      <c r="U11" s="85" t="n"/>
      <c r="V11" s="85" t="n"/>
      <c r="W11" s="85" t="n"/>
      <c r="X11" s="85" t="n"/>
      <c r="Y11" s="85" t="n"/>
      <c r="Z11" s="85" t="n"/>
      <c r="AA11" s="85" t="n"/>
      <c r="AB11" s="85" t="n"/>
      <c r="AC11" s="86" t="n"/>
      <c r="AD11" s="86" t="n"/>
      <c r="AE11" s="86" t="n"/>
      <c r="AF11" s="85" t="n"/>
      <c r="AG11" s="85" t="n"/>
      <c r="AH11" s="85">
        <f>IF($A11="","",IF(AND($E11="Yes",OR($V11="No",$V11="NOT FOUND")),"YES",""))</f>
        <v/>
      </c>
      <c r="AI11" s="85">
        <f>IF($A11="","",TRIM(IF(AND($M11=0,$I11&lt;&gt;"Yes"),"T0-NoPhishResistant ","")&amp;IF($H11="No","NoMFA ","")&amp;IF(AND($M11=0,$O11="Group only"),"T0-ViaGroupOnly ","")&amp;IF($N11="Yes","BroadAzureScope ","")&amp;IF($T11="Yes","AlsoEntraRole ","")))</f>
        <v/>
      </c>
      <c r="AJ11" s="85">
        <f>IF($A11="","",IF(AD11="","Not Enrolled",IF(TODAY()&gt;AD11,"Review Overdue",IF(AD11-TODAY()&lt;=30,"Review Due Soon","Active"))))</f>
        <v/>
      </c>
      <c r="AK11" s="85">
        <f>IF($A11="","",IF(AE11="","NOT REVIEWED",IF(TODAY()-AE11&gt;90,"OVERDUE",IF(TODAY()-AE11&gt;76,"Due Soon","Current"))))</f>
        <v/>
      </c>
    </row>
    <row r="12" ht="15" customHeight="1" s="39">
      <c r="A12" s="85" t="n"/>
      <c r="B12" s="85" t="n"/>
      <c r="C12" s="85" t="n"/>
      <c r="D12" s="85" t="n"/>
      <c r="E12" s="85" t="n"/>
      <c r="F12" s="86" t="n"/>
      <c r="G12" s="86" t="n"/>
      <c r="H12" s="85" t="n"/>
      <c r="I12" s="85" t="n"/>
      <c r="J12" s="85" t="n"/>
      <c r="K12" s="85" t="n"/>
      <c r="L12" s="85" t="n"/>
      <c r="M12" s="85" t="n"/>
      <c r="N12" s="85" t="n"/>
      <c r="O12" s="85" t="n"/>
      <c r="P12" s="85" t="n"/>
      <c r="Q12" s="85" t="n"/>
      <c r="R12" s="85" t="n"/>
      <c r="S12" s="85" t="n"/>
      <c r="T12" s="85" t="n"/>
      <c r="U12" s="85" t="n"/>
      <c r="V12" s="85" t="n"/>
      <c r="W12" s="85" t="n"/>
      <c r="X12" s="85" t="n"/>
      <c r="Y12" s="85" t="n"/>
      <c r="Z12" s="85" t="n"/>
      <c r="AA12" s="85" t="n"/>
      <c r="AB12" s="85" t="n"/>
      <c r="AC12" s="86" t="n"/>
      <c r="AD12" s="86" t="n"/>
      <c r="AE12" s="86" t="n"/>
      <c r="AF12" s="85" t="n"/>
      <c r="AG12" s="85" t="n"/>
      <c r="AH12" s="85">
        <f>IF($A12="","",IF(AND($E12="Yes",OR($V12="No",$V12="NOT FOUND")),"YES",""))</f>
        <v/>
      </c>
      <c r="AI12" s="85">
        <f>IF($A12="","",TRIM(IF(AND($M12=0,$I12&lt;&gt;"Yes"),"T0-NoPhishResistant ","")&amp;IF($H12="No","NoMFA ","")&amp;IF(AND($M12=0,$O12="Group only"),"T0-ViaGroupOnly ","")&amp;IF($N12="Yes","BroadAzureScope ","")&amp;IF($T12="Yes","AlsoEntraRole ","")))</f>
        <v/>
      </c>
      <c r="AJ12" s="85">
        <f>IF($A12="","",IF(AD12="","Not Enrolled",IF(TODAY()&gt;AD12,"Review Overdue",IF(AD12-TODAY()&lt;=30,"Review Due Soon","Active"))))</f>
        <v/>
      </c>
      <c r="AK12" s="85">
        <f>IF($A12="","",IF(AE12="","NOT REVIEWED",IF(TODAY()-AE12&gt;90,"OVERDUE",IF(TODAY()-AE12&gt;76,"Due Soon","Current"))))</f>
        <v/>
      </c>
    </row>
    <row r="13" ht="15" customHeight="1" s="39">
      <c r="A13" s="85" t="n"/>
      <c r="B13" s="85" t="n"/>
      <c r="C13" s="85" t="n"/>
      <c r="D13" s="85" t="n"/>
      <c r="E13" s="85" t="n"/>
      <c r="F13" s="86" t="n"/>
      <c r="G13" s="86"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6" t="n"/>
      <c r="AD13" s="86" t="n"/>
      <c r="AE13" s="86" t="n"/>
      <c r="AF13" s="85" t="n"/>
      <c r="AG13" s="85" t="n"/>
      <c r="AH13" s="85">
        <f>IF($A13="","",IF(AND($E13="Yes",OR($V13="No",$V13="NOT FOUND")),"YES",""))</f>
        <v/>
      </c>
      <c r="AI13" s="85">
        <f>IF($A13="","",TRIM(IF(AND($M13=0,$I13&lt;&gt;"Yes"),"T0-NoPhishResistant ","")&amp;IF($H13="No","NoMFA ","")&amp;IF(AND($M13=0,$O13="Group only"),"T0-ViaGroupOnly ","")&amp;IF($N13="Yes","BroadAzureScope ","")&amp;IF($T13="Yes","AlsoEntraRole ","")))</f>
        <v/>
      </c>
      <c r="AJ13" s="85">
        <f>IF($A13="","",IF(AD13="","Not Enrolled",IF(TODAY()&gt;AD13,"Review Overdue",IF(AD13-TODAY()&lt;=30,"Review Due Soon","Active"))))</f>
        <v/>
      </c>
      <c r="AK13" s="85">
        <f>IF($A13="","",IF(AE13="","NOT REVIEWED",IF(TODAY()-AE13&gt;90,"OVERDUE",IF(TODAY()-AE13&gt;76,"Due Soon","Current"))))</f>
        <v/>
      </c>
    </row>
    <row r="14" ht="15" customHeight="1" s="39">
      <c r="A14" s="85" t="n"/>
      <c r="B14" s="85" t="n"/>
      <c r="C14" s="85" t="n"/>
      <c r="D14" s="85" t="n"/>
      <c r="E14" s="85" t="n"/>
      <c r="F14" s="86" t="n"/>
      <c r="G14" s="86" t="n"/>
      <c r="H14" s="85" t="n"/>
      <c r="I14" s="85" t="n"/>
      <c r="J14" s="85" t="n"/>
      <c r="K14" s="85" t="n"/>
      <c r="L14" s="85" t="n"/>
      <c r="M14" s="85" t="n"/>
      <c r="N14" s="85" t="n"/>
      <c r="O14" s="85" t="n"/>
      <c r="P14" s="85" t="n"/>
      <c r="Q14" s="85" t="n"/>
      <c r="R14" s="85" t="n"/>
      <c r="S14" s="85" t="n"/>
      <c r="T14" s="85" t="n"/>
      <c r="U14" s="85" t="n"/>
      <c r="V14" s="85" t="n"/>
      <c r="W14" s="85" t="n"/>
      <c r="X14" s="85" t="n"/>
      <c r="Y14" s="85" t="n"/>
      <c r="Z14" s="85" t="n"/>
      <c r="AA14" s="85" t="n"/>
      <c r="AB14" s="85" t="n"/>
      <c r="AC14" s="86" t="n"/>
      <c r="AD14" s="86" t="n"/>
      <c r="AE14" s="86" t="n"/>
      <c r="AF14" s="85" t="n"/>
      <c r="AG14" s="85" t="n"/>
      <c r="AH14" s="85">
        <f>IF($A14="","",IF(AND($E14="Yes",OR($V14="No",$V14="NOT FOUND")),"YES",""))</f>
        <v/>
      </c>
      <c r="AI14" s="85">
        <f>IF($A14="","",TRIM(IF(AND($M14=0,$I14&lt;&gt;"Yes"),"T0-NoPhishResistant ","")&amp;IF($H14="No","NoMFA ","")&amp;IF(AND($M14=0,$O14="Group only"),"T0-ViaGroupOnly ","")&amp;IF($N14="Yes","BroadAzureScope ","")&amp;IF($T14="Yes","AlsoEntraRole ","")))</f>
        <v/>
      </c>
      <c r="AJ14" s="85">
        <f>IF($A14="","",IF(AD14="","Not Enrolled",IF(TODAY()&gt;AD14,"Review Overdue",IF(AD14-TODAY()&lt;=30,"Review Due Soon","Active"))))</f>
        <v/>
      </c>
      <c r="AK14" s="85">
        <f>IF($A14="","",IF(AE14="","NOT REVIEWED",IF(TODAY()-AE14&gt;90,"OVERDUE",IF(TODAY()-AE14&gt;76,"Due Soon","Current"))))</f>
        <v/>
      </c>
    </row>
    <row r="15" ht="15" customHeight="1" s="39">
      <c r="A15" s="85" t="n"/>
      <c r="B15" s="85" t="n"/>
      <c r="C15" s="85" t="n"/>
      <c r="D15" s="85" t="n"/>
      <c r="E15" s="85" t="n"/>
      <c r="F15" s="86" t="n"/>
      <c r="G15" s="86" t="n"/>
      <c r="H15" s="85" t="n"/>
      <c r="I15" s="85" t="n"/>
      <c r="J15" s="85" t="n"/>
      <c r="K15" s="85" t="n"/>
      <c r="L15" s="85" t="n"/>
      <c r="M15" s="85" t="n"/>
      <c r="N15" s="85" t="n"/>
      <c r="O15" s="85" t="n"/>
      <c r="P15" s="85" t="n"/>
      <c r="Q15" s="85" t="n"/>
      <c r="R15" s="85" t="n"/>
      <c r="S15" s="85" t="n"/>
      <c r="T15" s="85" t="n"/>
      <c r="U15" s="85" t="n"/>
      <c r="V15" s="85" t="n"/>
      <c r="W15" s="85" t="n"/>
      <c r="X15" s="85" t="n"/>
      <c r="Y15" s="85" t="n"/>
      <c r="Z15" s="85" t="n"/>
      <c r="AA15" s="85" t="n"/>
      <c r="AB15" s="85" t="n"/>
      <c r="AC15" s="86" t="n"/>
      <c r="AD15" s="86" t="n"/>
      <c r="AE15" s="86" t="n"/>
      <c r="AF15" s="85" t="n"/>
      <c r="AG15" s="85" t="n"/>
      <c r="AH15" s="85">
        <f>IF($A15="","",IF(AND($E15="Yes",OR($V15="No",$V15="NOT FOUND")),"YES",""))</f>
        <v/>
      </c>
      <c r="AI15" s="85">
        <f>IF($A15="","",TRIM(IF(AND($M15=0,$I15&lt;&gt;"Yes"),"T0-NoPhishResistant ","")&amp;IF($H15="No","NoMFA ","")&amp;IF(AND($M15=0,$O15="Group only"),"T0-ViaGroupOnly ","")&amp;IF($N15="Yes","BroadAzureScope ","")&amp;IF($T15="Yes","AlsoEntraRole ","")))</f>
        <v/>
      </c>
      <c r="AJ15" s="85">
        <f>IF($A15="","",IF(AD15="","Not Enrolled",IF(TODAY()&gt;AD15,"Review Overdue",IF(AD15-TODAY()&lt;=30,"Review Due Soon","Active"))))</f>
        <v/>
      </c>
      <c r="AK15" s="85">
        <f>IF($A15="","",IF(AE15="","NOT REVIEWED",IF(TODAY()-AE15&gt;90,"OVERDUE",IF(TODAY()-AE15&gt;76,"Due Soon","Current"))))</f>
        <v/>
      </c>
    </row>
    <row r="16" ht="15" customHeight="1" s="39">
      <c r="A16" s="85" t="n"/>
      <c r="B16" s="85" t="n"/>
      <c r="C16" s="85" t="n"/>
      <c r="D16" s="85" t="n"/>
      <c r="E16" s="85" t="n"/>
      <c r="F16" s="86" t="n"/>
      <c r="G16" s="86" t="n"/>
      <c r="H16" s="85" t="n"/>
      <c r="I16" s="85" t="n"/>
      <c r="J16" s="85" t="n"/>
      <c r="K16" s="85" t="n"/>
      <c r="L16" s="85" t="n"/>
      <c r="M16" s="85" t="n"/>
      <c r="N16" s="85" t="n"/>
      <c r="O16" s="85" t="n"/>
      <c r="P16" s="85" t="n"/>
      <c r="Q16" s="85" t="n"/>
      <c r="R16" s="85" t="n"/>
      <c r="S16" s="85" t="n"/>
      <c r="T16" s="85" t="n"/>
      <c r="U16" s="85" t="n"/>
      <c r="V16" s="85" t="n"/>
      <c r="W16" s="85" t="n"/>
      <c r="X16" s="85" t="n"/>
      <c r="Y16" s="85" t="n"/>
      <c r="Z16" s="85" t="n"/>
      <c r="AA16" s="85" t="n"/>
      <c r="AB16" s="85" t="n"/>
      <c r="AC16" s="86" t="n"/>
      <c r="AD16" s="86" t="n"/>
      <c r="AE16" s="86" t="n"/>
      <c r="AF16" s="85" t="n"/>
      <c r="AG16" s="85" t="n"/>
      <c r="AH16" s="85">
        <f>IF($A16="","",IF(AND($E16="Yes",OR($V16="No",$V16="NOT FOUND")),"YES",""))</f>
        <v/>
      </c>
      <c r="AI16" s="85">
        <f>IF($A16="","",TRIM(IF(AND($M16=0,$I16&lt;&gt;"Yes"),"T0-NoPhishResistant ","")&amp;IF($H16="No","NoMFA ","")&amp;IF(AND($M16=0,$O16="Group only"),"T0-ViaGroupOnly ","")&amp;IF($N16="Yes","BroadAzureScope ","")&amp;IF($T16="Yes","AlsoEntraRole ","")))</f>
        <v/>
      </c>
      <c r="AJ16" s="85">
        <f>IF($A16="","",IF(AD16="","Not Enrolled",IF(TODAY()&gt;AD16,"Review Overdue",IF(AD16-TODAY()&lt;=30,"Review Due Soon","Active"))))</f>
        <v/>
      </c>
      <c r="AK16" s="85">
        <f>IF($A16="","",IF(AE16="","NOT REVIEWED",IF(TODAY()-AE16&gt;90,"OVERDUE",IF(TODAY()-AE16&gt;76,"Due Soon","Current"))))</f>
        <v/>
      </c>
    </row>
    <row r="17" ht="15" customHeight="1" s="39">
      <c r="A17" s="85" t="n"/>
      <c r="B17" s="85" t="n"/>
      <c r="C17" s="85" t="n"/>
      <c r="D17" s="85" t="n"/>
      <c r="E17" s="85" t="n"/>
      <c r="F17" s="86" t="n"/>
      <c r="G17" s="86" t="n"/>
      <c r="H17" s="85" t="n"/>
      <c r="I17" s="85" t="n"/>
      <c r="J17" s="85" t="n"/>
      <c r="K17" s="85" t="n"/>
      <c r="L17" s="85" t="n"/>
      <c r="M17" s="85" t="n"/>
      <c r="N17" s="85" t="n"/>
      <c r="O17" s="85" t="n"/>
      <c r="P17" s="85" t="n"/>
      <c r="Q17" s="85" t="n"/>
      <c r="R17" s="85" t="n"/>
      <c r="S17" s="85" t="n"/>
      <c r="T17" s="85" t="n"/>
      <c r="U17" s="85" t="n"/>
      <c r="V17" s="85" t="n"/>
      <c r="W17" s="85" t="n"/>
      <c r="X17" s="85" t="n"/>
      <c r="Y17" s="85" t="n"/>
      <c r="Z17" s="85" t="n"/>
      <c r="AA17" s="85" t="n"/>
      <c r="AB17" s="85" t="n"/>
      <c r="AC17" s="86" t="n"/>
      <c r="AD17" s="86" t="n"/>
      <c r="AE17" s="86" t="n"/>
      <c r="AF17" s="85" t="n"/>
      <c r="AG17" s="85" t="n"/>
      <c r="AH17" s="85">
        <f>IF($A17="","",IF(AND($E17="Yes",OR($V17="No",$V17="NOT FOUND")),"YES",""))</f>
        <v/>
      </c>
      <c r="AI17" s="85">
        <f>IF($A17="","",TRIM(IF(AND($M17=0,$I17&lt;&gt;"Yes"),"T0-NoPhishResistant ","")&amp;IF($H17="No","NoMFA ","")&amp;IF(AND($M17=0,$O17="Group only"),"T0-ViaGroupOnly ","")&amp;IF($N17="Yes","BroadAzureScope ","")&amp;IF($T17="Yes","AlsoEntraRole ","")))</f>
        <v/>
      </c>
      <c r="AJ17" s="85">
        <f>IF($A17="","",IF(AD17="","Not Enrolled",IF(TODAY()&gt;AD17,"Review Overdue",IF(AD17-TODAY()&lt;=30,"Review Due Soon","Active"))))</f>
        <v/>
      </c>
      <c r="AK17" s="85">
        <f>IF($A17="","",IF(AE17="","NOT REVIEWED",IF(TODAY()-AE17&gt;90,"OVERDUE",IF(TODAY()-AE17&gt;76,"Due Soon","Current"))))</f>
        <v/>
      </c>
    </row>
    <row r="18" ht="15" customHeight="1" s="39">
      <c r="A18" s="85" t="n"/>
      <c r="B18" s="85" t="n"/>
      <c r="C18" s="85" t="n"/>
      <c r="D18" s="85" t="n"/>
      <c r="E18" s="85" t="n"/>
      <c r="F18" s="86" t="n"/>
      <c r="G18" s="86" t="n"/>
      <c r="H18" s="85" t="n"/>
      <c r="I18" s="85" t="n"/>
      <c r="J18" s="85" t="n"/>
      <c r="K18" s="85" t="n"/>
      <c r="L18" s="85" t="n"/>
      <c r="M18" s="85" t="n"/>
      <c r="N18" s="85" t="n"/>
      <c r="O18" s="85" t="n"/>
      <c r="P18" s="85" t="n"/>
      <c r="Q18" s="85" t="n"/>
      <c r="R18" s="85" t="n"/>
      <c r="S18" s="85" t="n"/>
      <c r="T18" s="85" t="n"/>
      <c r="U18" s="85" t="n"/>
      <c r="V18" s="85" t="n"/>
      <c r="W18" s="85" t="n"/>
      <c r="X18" s="85" t="n"/>
      <c r="Y18" s="85" t="n"/>
      <c r="Z18" s="85" t="n"/>
      <c r="AA18" s="85" t="n"/>
      <c r="AB18" s="85" t="n"/>
      <c r="AC18" s="86" t="n"/>
      <c r="AD18" s="86" t="n"/>
      <c r="AE18" s="86" t="n"/>
      <c r="AF18" s="85" t="n"/>
      <c r="AG18" s="85" t="n"/>
      <c r="AH18" s="85">
        <f>IF($A18="","",IF(AND($E18="Yes",OR($V18="No",$V18="NOT FOUND")),"YES",""))</f>
        <v/>
      </c>
      <c r="AI18" s="85">
        <f>IF($A18="","",TRIM(IF(AND($M18=0,$I18&lt;&gt;"Yes"),"T0-NoPhishResistant ","")&amp;IF($H18="No","NoMFA ","")&amp;IF(AND($M18=0,$O18="Group only"),"T0-ViaGroupOnly ","")&amp;IF($N18="Yes","BroadAzureScope ","")&amp;IF($T18="Yes","AlsoEntraRole ","")))</f>
        <v/>
      </c>
      <c r="AJ18" s="85">
        <f>IF($A18="","",IF(AD18="","Not Enrolled",IF(TODAY()&gt;AD18,"Review Overdue",IF(AD18-TODAY()&lt;=30,"Review Due Soon","Active"))))</f>
        <v/>
      </c>
      <c r="AK18" s="85">
        <f>IF($A18="","",IF(AE18="","NOT REVIEWED",IF(TODAY()-AE18&gt;90,"OVERDUE",IF(TODAY()-AE18&gt;76,"Due Soon","Current"))))</f>
        <v/>
      </c>
    </row>
    <row r="19" ht="15" customHeight="1" s="39">
      <c r="A19" s="85" t="n"/>
      <c r="B19" s="85" t="n"/>
      <c r="C19" s="85" t="n"/>
      <c r="D19" s="85" t="n"/>
      <c r="E19" s="85" t="n"/>
      <c r="F19" s="86" t="n"/>
      <c r="G19" s="86" t="n"/>
      <c r="H19" s="85" t="n"/>
      <c r="I19" s="85" t="n"/>
      <c r="J19" s="85" t="n"/>
      <c r="K19" s="85" t="n"/>
      <c r="L19" s="85" t="n"/>
      <c r="M19" s="85" t="n"/>
      <c r="N19" s="85" t="n"/>
      <c r="O19" s="85" t="n"/>
      <c r="P19" s="85" t="n"/>
      <c r="Q19" s="85" t="n"/>
      <c r="R19" s="85" t="n"/>
      <c r="S19" s="85" t="n"/>
      <c r="T19" s="85" t="n"/>
      <c r="U19" s="85" t="n"/>
      <c r="V19" s="85" t="n"/>
      <c r="W19" s="85" t="n"/>
      <c r="X19" s="85" t="n"/>
      <c r="Y19" s="85" t="n"/>
      <c r="Z19" s="85" t="n"/>
      <c r="AA19" s="85" t="n"/>
      <c r="AB19" s="85" t="n"/>
      <c r="AC19" s="86" t="n"/>
      <c r="AD19" s="86" t="n"/>
      <c r="AE19" s="86" t="n"/>
      <c r="AF19" s="85" t="n"/>
      <c r="AG19" s="85" t="n"/>
      <c r="AH19" s="85">
        <f>IF($A19="","",IF(AND($E19="Yes",OR($V19="No",$V19="NOT FOUND")),"YES",""))</f>
        <v/>
      </c>
      <c r="AI19" s="85">
        <f>IF($A19="","",TRIM(IF(AND($M19=0,$I19&lt;&gt;"Yes"),"T0-NoPhishResistant ","")&amp;IF($H19="No","NoMFA ","")&amp;IF(AND($M19=0,$O19="Group only"),"T0-ViaGroupOnly ","")&amp;IF($N19="Yes","BroadAzureScope ","")&amp;IF($T19="Yes","AlsoEntraRole ","")))</f>
        <v/>
      </c>
      <c r="AJ19" s="85">
        <f>IF($A19="","",IF(AD19="","Not Enrolled",IF(TODAY()&gt;AD19,"Review Overdue",IF(AD19-TODAY()&lt;=30,"Review Due Soon","Active"))))</f>
        <v/>
      </c>
      <c r="AK19" s="85">
        <f>IF($A19="","",IF(AE19="","NOT REVIEWED",IF(TODAY()-AE19&gt;90,"OVERDUE",IF(TODAY()-AE19&gt;76,"Due Soon","Current"))))</f>
        <v/>
      </c>
    </row>
    <row r="20" ht="15" customHeight="1" s="39">
      <c r="A20" s="85" t="n"/>
      <c r="B20" s="85" t="n"/>
      <c r="C20" s="85" t="n"/>
      <c r="D20" s="85" t="n"/>
      <c r="E20" s="85" t="n"/>
      <c r="F20" s="86" t="n"/>
      <c r="G20" s="86" t="n"/>
      <c r="H20" s="85" t="n"/>
      <c r="I20" s="85" t="n"/>
      <c r="J20" s="85" t="n"/>
      <c r="K20" s="85" t="n"/>
      <c r="L20" s="85" t="n"/>
      <c r="M20" s="85" t="n"/>
      <c r="N20" s="85" t="n"/>
      <c r="O20" s="85" t="n"/>
      <c r="P20" s="85" t="n"/>
      <c r="Q20" s="85" t="n"/>
      <c r="R20" s="85" t="n"/>
      <c r="S20" s="85" t="n"/>
      <c r="T20" s="85" t="n"/>
      <c r="U20" s="85" t="n"/>
      <c r="V20" s="85" t="n"/>
      <c r="W20" s="85" t="n"/>
      <c r="X20" s="85" t="n"/>
      <c r="Y20" s="85" t="n"/>
      <c r="Z20" s="85" t="n"/>
      <c r="AA20" s="85" t="n"/>
      <c r="AB20" s="85" t="n"/>
      <c r="AC20" s="86" t="n"/>
      <c r="AD20" s="86" t="n"/>
      <c r="AE20" s="86" t="n"/>
      <c r="AF20" s="85" t="n"/>
      <c r="AG20" s="85" t="n"/>
      <c r="AH20" s="85">
        <f>IF($A20="","",IF(AND($E20="Yes",OR($V20="No",$V20="NOT FOUND")),"YES",""))</f>
        <v/>
      </c>
      <c r="AI20" s="85">
        <f>IF($A20="","",TRIM(IF(AND($M20=0,$I20&lt;&gt;"Yes"),"T0-NoPhishResistant ","")&amp;IF($H20="No","NoMFA ","")&amp;IF(AND($M20=0,$O20="Group only"),"T0-ViaGroupOnly ","")&amp;IF($N20="Yes","BroadAzureScope ","")&amp;IF($T20="Yes","AlsoEntraRole ","")))</f>
        <v/>
      </c>
      <c r="AJ20" s="85">
        <f>IF($A20="","",IF(AD20="","Not Enrolled",IF(TODAY()&gt;AD20,"Review Overdue",IF(AD20-TODAY()&lt;=30,"Review Due Soon","Active"))))</f>
        <v/>
      </c>
      <c r="AK20" s="85">
        <f>IF($A20="","",IF(AE20="","NOT REVIEWED",IF(TODAY()-AE20&gt;90,"OVERDUE",IF(TODAY()-AE20&gt;76,"Due Soon","Current"))))</f>
        <v/>
      </c>
    </row>
    <row r="21" ht="15" customHeight="1" s="39">
      <c r="A21" s="85" t="n"/>
      <c r="B21" s="85" t="n"/>
      <c r="C21" s="85" t="n"/>
      <c r="D21" s="85" t="n"/>
      <c r="E21" s="85" t="n"/>
      <c r="F21" s="86" t="n"/>
      <c r="G21" s="86" t="n"/>
      <c r="H21" s="85" t="n"/>
      <c r="I21" s="85" t="n"/>
      <c r="J21" s="85" t="n"/>
      <c r="K21" s="85" t="n"/>
      <c r="L21" s="85" t="n"/>
      <c r="M21" s="85" t="n"/>
      <c r="N21" s="85" t="n"/>
      <c r="O21" s="85" t="n"/>
      <c r="P21" s="85" t="n"/>
      <c r="Q21" s="85" t="n"/>
      <c r="R21" s="85" t="n"/>
      <c r="S21" s="85" t="n"/>
      <c r="T21" s="85" t="n"/>
      <c r="U21" s="85" t="n"/>
      <c r="V21" s="85" t="n"/>
      <c r="W21" s="85" t="n"/>
      <c r="X21" s="85" t="n"/>
      <c r="Y21" s="85" t="n"/>
      <c r="Z21" s="85" t="n"/>
      <c r="AA21" s="85" t="n"/>
      <c r="AB21" s="85" t="n"/>
      <c r="AC21" s="86" t="n"/>
      <c r="AD21" s="86" t="n"/>
      <c r="AE21" s="86" t="n"/>
      <c r="AF21" s="85" t="n"/>
      <c r="AG21" s="85" t="n"/>
      <c r="AH21" s="85">
        <f>IF($A21="","",IF(AND($E21="Yes",OR($V21="No",$V21="NOT FOUND")),"YES",""))</f>
        <v/>
      </c>
      <c r="AI21" s="85">
        <f>IF($A21="","",TRIM(IF(AND($M21=0,$I21&lt;&gt;"Yes"),"T0-NoPhishResistant ","")&amp;IF($H21="No","NoMFA ","")&amp;IF(AND($M21=0,$O21="Group only"),"T0-ViaGroupOnly ","")&amp;IF($N21="Yes","BroadAzureScope ","")&amp;IF($T21="Yes","AlsoEntraRole ","")))</f>
        <v/>
      </c>
      <c r="AJ21" s="85">
        <f>IF($A21="","",IF(AD21="","Not Enrolled",IF(TODAY()&gt;AD21,"Review Overdue",IF(AD21-TODAY()&lt;=30,"Review Due Soon","Active"))))</f>
        <v/>
      </c>
      <c r="AK21" s="85">
        <f>IF($A21="","",IF(AE21="","NOT REVIEWED",IF(TODAY()-AE21&gt;90,"OVERDUE",IF(TODAY()-AE21&gt;76,"Due Soon","Current"))))</f>
        <v/>
      </c>
    </row>
    <row r="22" ht="15" customHeight="1" s="39">
      <c r="A22" s="85" t="n"/>
      <c r="B22" s="85" t="n"/>
      <c r="C22" s="85" t="n"/>
      <c r="D22" s="85" t="n"/>
      <c r="E22" s="85" t="n"/>
      <c r="F22" s="86" t="n"/>
      <c r="G22" s="86" t="n"/>
      <c r="H22" s="85" t="n"/>
      <c r="I22" s="85" t="n"/>
      <c r="J22" s="85" t="n"/>
      <c r="K22" s="85" t="n"/>
      <c r="L22" s="85" t="n"/>
      <c r="M22" s="85" t="n"/>
      <c r="N22" s="85" t="n"/>
      <c r="O22" s="85" t="n"/>
      <c r="P22" s="85" t="n"/>
      <c r="Q22" s="85" t="n"/>
      <c r="R22" s="85" t="n"/>
      <c r="S22" s="85" t="n"/>
      <c r="T22" s="85" t="n"/>
      <c r="U22" s="85" t="n"/>
      <c r="V22" s="85" t="n"/>
      <c r="W22" s="85" t="n"/>
      <c r="X22" s="85" t="n"/>
      <c r="Y22" s="85" t="n"/>
      <c r="Z22" s="85" t="n"/>
      <c r="AA22" s="85" t="n"/>
      <c r="AB22" s="85" t="n"/>
      <c r="AC22" s="86" t="n"/>
      <c r="AD22" s="86" t="n"/>
      <c r="AE22" s="86" t="n"/>
      <c r="AF22" s="85" t="n"/>
      <c r="AG22" s="85" t="n"/>
      <c r="AH22" s="85">
        <f>IF($A22="","",IF(AND($E22="Yes",OR($V22="No",$V22="NOT FOUND")),"YES",""))</f>
        <v/>
      </c>
      <c r="AI22" s="85">
        <f>IF($A22="","",TRIM(IF(AND($M22=0,$I22&lt;&gt;"Yes"),"T0-NoPhishResistant ","")&amp;IF($H22="No","NoMFA ","")&amp;IF(AND($M22=0,$O22="Group only"),"T0-ViaGroupOnly ","")&amp;IF($N22="Yes","BroadAzureScope ","")&amp;IF($T22="Yes","AlsoEntraRole ","")))</f>
        <v/>
      </c>
      <c r="AJ22" s="85">
        <f>IF($A22="","",IF(AD22="","Not Enrolled",IF(TODAY()&gt;AD22,"Review Overdue",IF(AD22-TODAY()&lt;=30,"Review Due Soon","Active"))))</f>
        <v/>
      </c>
      <c r="AK22" s="85">
        <f>IF($A22="","",IF(AE22="","NOT REVIEWED",IF(TODAY()-AE22&gt;90,"OVERDUE",IF(TODAY()-AE22&gt;76,"Due Soon","Current"))))</f>
        <v/>
      </c>
    </row>
    <row r="23" ht="15" customHeight="1" s="39">
      <c r="A23" s="85" t="n"/>
      <c r="B23" s="85" t="n"/>
      <c r="C23" s="85" t="n"/>
      <c r="D23" s="85" t="n"/>
      <c r="E23" s="85" t="n"/>
      <c r="F23" s="86" t="n"/>
      <c r="G23" s="86" t="n"/>
      <c r="H23" s="85" t="n"/>
      <c r="I23" s="85" t="n"/>
      <c r="J23" s="85" t="n"/>
      <c r="K23" s="85" t="n"/>
      <c r="L23" s="85" t="n"/>
      <c r="M23" s="85" t="n"/>
      <c r="N23" s="85" t="n"/>
      <c r="O23" s="85" t="n"/>
      <c r="P23" s="85" t="n"/>
      <c r="Q23" s="85" t="n"/>
      <c r="R23" s="85" t="n"/>
      <c r="S23" s="85" t="n"/>
      <c r="T23" s="85" t="n"/>
      <c r="U23" s="85" t="n"/>
      <c r="V23" s="85" t="n"/>
      <c r="W23" s="85" t="n"/>
      <c r="X23" s="85" t="n"/>
      <c r="Y23" s="85" t="n"/>
      <c r="Z23" s="85" t="n"/>
      <c r="AA23" s="85" t="n"/>
      <c r="AB23" s="85" t="n"/>
      <c r="AC23" s="86" t="n"/>
      <c r="AD23" s="86" t="n"/>
      <c r="AE23" s="86" t="n"/>
      <c r="AF23" s="85" t="n"/>
      <c r="AG23" s="85" t="n"/>
      <c r="AH23" s="85">
        <f>IF($A23="","",IF(AND($E23="Yes",OR($V23="No",$V23="NOT FOUND")),"YES",""))</f>
        <v/>
      </c>
      <c r="AI23" s="85">
        <f>IF($A23="","",TRIM(IF(AND($M23=0,$I23&lt;&gt;"Yes"),"T0-NoPhishResistant ","")&amp;IF($H23="No","NoMFA ","")&amp;IF(AND($M23=0,$O23="Group only"),"T0-ViaGroupOnly ","")&amp;IF($N23="Yes","BroadAzureScope ","")&amp;IF($T23="Yes","AlsoEntraRole ","")))</f>
        <v/>
      </c>
      <c r="AJ23" s="85">
        <f>IF($A23="","",IF(AD23="","Not Enrolled",IF(TODAY()&gt;AD23,"Review Overdue",IF(AD23-TODAY()&lt;=30,"Review Due Soon","Active"))))</f>
        <v/>
      </c>
      <c r="AK23" s="85">
        <f>IF($A23="","",IF(AE23="","NOT REVIEWED",IF(TODAY()-AE23&gt;90,"OVERDUE",IF(TODAY()-AE23&gt;76,"Due Soon","Current"))))</f>
        <v/>
      </c>
    </row>
    <row r="24" ht="15" customHeight="1" s="39">
      <c r="A24" s="85" t="n"/>
      <c r="B24" s="85" t="n"/>
      <c r="C24" s="85" t="n"/>
      <c r="D24" s="85" t="n"/>
      <c r="E24" s="85" t="n"/>
      <c r="F24" s="86" t="n"/>
      <c r="G24" s="86" t="n"/>
      <c r="H24" s="85" t="n"/>
      <c r="I24" s="85" t="n"/>
      <c r="J24" s="85" t="n"/>
      <c r="K24" s="85" t="n"/>
      <c r="L24" s="85" t="n"/>
      <c r="M24" s="85" t="n"/>
      <c r="N24" s="85" t="n"/>
      <c r="O24" s="85" t="n"/>
      <c r="P24" s="85" t="n"/>
      <c r="Q24" s="85" t="n"/>
      <c r="R24" s="85" t="n"/>
      <c r="S24" s="85" t="n"/>
      <c r="T24" s="85" t="n"/>
      <c r="U24" s="85" t="n"/>
      <c r="V24" s="85" t="n"/>
      <c r="W24" s="85" t="n"/>
      <c r="X24" s="85" t="n"/>
      <c r="Y24" s="85" t="n"/>
      <c r="Z24" s="85" t="n"/>
      <c r="AA24" s="85" t="n"/>
      <c r="AB24" s="85" t="n"/>
      <c r="AC24" s="86" t="n"/>
      <c r="AD24" s="86" t="n"/>
      <c r="AE24" s="86" t="n"/>
      <c r="AF24" s="85" t="n"/>
      <c r="AG24" s="85" t="n"/>
      <c r="AH24" s="85">
        <f>IF($A24="","",IF(AND($E24="Yes",OR($V24="No",$V24="NOT FOUND")),"YES",""))</f>
        <v/>
      </c>
      <c r="AI24" s="85">
        <f>IF($A24="","",TRIM(IF(AND($M24=0,$I24&lt;&gt;"Yes"),"T0-NoPhishResistant ","")&amp;IF($H24="No","NoMFA ","")&amp;IF(AND($M24=0,$O24="Group only"),"T0-ViaGroupOnly ","")&amp;IF($N24="Yes","BroadAzureScope ","")&amp;IF($T24="Yes","AlsoEntraRole ","")))</f>
        <v/>
      </c>
      <c r="AJ24" s="85">
        <f>IF($A24="","",IF(AD24="","Not Enrolled",IF(TODAY()&gt;AD24,"Review Overdue",IF(AD24-TODAY()&lt;=30,"Review Due Soon","Active"))))</f>
        <v/>
      </c>
      <c r="AK24" s="85">
        <f>IF($A24="","",IF(AE24="","NOT REVIEWED",IF(TODAY()-AE24&gt;90,"OVERDUE",IF(TODAY()-AE24&gt;76,"Due Soon","Current"))))</f>
        <v/>
      </c>
    </row>
    <row r="25" ht="15" customHeight="1" s="39">
      <c r="A25" s="85" t="n"/>
      <c r="B25" s="85" t="n"/>
      <c r="C25" s="85" t="n"/>
      <c r="D25" s="85" t="n"/>
      <c r="E25" s="85" t="n"/>
      <c r="F25" s="86" t="n"/>
      <c r="G25" s="86" t="n"/>
      <c r="H25" s="85" t="n"/>
      <c r="I25" s="85" t="n"/>
      <c r="J25" s="85" t="n"/>
      <c r="K25" s="85" t="n"/>
      <c r="L25" s="85" t="n"/>
      <c r="M25" s="85" t="n"/>
      <c r="N25" s="85" t="n"/>
      <c r="O25" s="85" t="n"/>
      <c r="P25" s="85" t="n"/>
      <c r="Q25" s="85" t="n"/>
      <c r="R25" s="85" t="n"/>
      <c r="S25" s="85" t="n"/>
      <c r="T25" s="85" t="n"/>
      <c r="U25" s="85" t="n"/>
      <c r="V25" s="85" t="n"/>
      <c r="W25" s="85" t="n"/>
      <c r="X25" s="85" t="n"/>
      <c r="Y25" s="85" t="n"/>
      <c r="Z25" s="85" t="n"/>
      <c r="AA25" s="85" t="n"/>
      <c r="AB25" s="85" t="n"/>
      <c r="AC25" s="86" t="n"/>
      <c r="AD25" s="86" t="n"/>
      <c r="AE25" s="86" t="n"/>
      <c r="AF25" s="85" t="n"/>
      <c r="AG25" s="85" t="n"/>
      <c r="AH25" s="85">
        <f>IF($A25="","",IF(AND($E25="Yes",OR($V25="No",$V25="NOT FOUND")),"YES",""))</f>
        <v/>
      </c>
      <c r="AI25" s="85">
        <f>IF($A25="","",TRIM(IF(AND($M25=0,$I25&lt;&gt;"Yes"),"T0-NoPhishResistant ","")&amp;IF($H25="No","NoMFA ","")&amp;IF(AND($M25=0,$O25="Group only"),"T0-ViaGroupOnly ","")&amp;IF($N25="Yes","BroadAzureScope ","")&amp;IF($T25="Yes","AlsoEntraRole ","")))</f>
        <v/>
      </c>
      <c r="AJ25" s="85">
        <f>IF($A25="","",IF(AD25="","Not Enrolled",IF(TODAY()&gt;AD25,"Review Overdue",IF(AD25-TODAY()&lt;=30,"Review Due Soon","Active"))))</f>
        <v/>
      </c>
      <c r="AK25" s="85">
        <f>IF($A25="","",IF(AE25="","NOT REVIEWED",IF(TODAY()-AE25&gt;90,"OVERDUE",IF(TODAY()-AE25&gt;76,"Due Soon","Current"))))</f>
        <v/>
      </c>
    </row>
    <row r="26" ht="15" customHeight="1" s="39">
      <c r="A26" s="85" t="n"/>
      <c r="B26" s="85" t="n"/>
      <c r="C26" s="85" t="n"/>
      <c r="D26" s="85" t="n"/>
      <c r="E26" s="85" t="n"/>
      <c r="F26" s="86" t="n"/>
      <c r="G26" s="86" t="n"/>
      <c r="H26" s="85" t="n"/>
      <c r="I26" s="85" t="n"/>
      <c r="J26" s="85" t="n"/>
      <c r="K26" s="85" t="n"/>
      <c r="L26" s="85" t="n"/>
      <c r="M26" s="85" t="n"/>
      <c r="N26" s="85" t="n"/>
      <c r="O26" s="85" t="n"/>
      <c r="P26" s="85" t="n"/>
      <c r="Q26" s="85" t="n"/>
      <c r="R26" s="85" t="n"/>
      <c r="S26" s="85" t="n"/>
      <c r="T26" s="85" t="n"/>
      <c r="U26" s="85" t="n"/>
      <c r="V26" s="85" t="n"/>
      <c r="W26" s="85" t="n"/>
      <c r="X26" s="85" t="n"/>
      <c r="Y26" s="85" t="n"/>
      <c r="Z26" s="85" t="n"/>
      <c r="AA26" s="85" t="n"/>
      <c r="AB26" s="85" t="n"/>
      <c r="AC26" s="86" t="n"/>
      <c r="AD26" s="86" t="n"/>
      <c r="AE26" s="86" t="n"/>
      <c r="AF26" s="85" t="n"/>
      <c r="AG26" s="85" t="n"/>
      <c r="AH26" s="85">
        <f>IF($A26="","",IF(AND($E26="Yes",OR($V26="No",$V26="NOT FOUND")),"YES",""))</f>
        <v/>
      </c>
      <c r="AI26" s="85">
        <f>IF($A26="","",TRIM(IF(AND($M26=0,$I26&lt;&gt;"Yes"),"T0-NoPhishResistant ","")&amp;IF($H26="No","NoMFA ","")&amp;IF(AND($M26=0,$O26="Group only"),"T0-ViaGroupOnly ","")&amp;IF($N26="Yes","BroadAzureScope ","")&amp;IF($T26="Yes","AlsoEntraRole ","")))</f>
        <v/>
      </c>
      <c r="AJ26" s="85">
        <f>IF($A26="","",IF(AD26="","Not Enrolled",IF(TODAY()&gt;AD26,"Review Overdue",IF(AD26-TODAY()&lt;=30,"Review Due Soon","Active"))))</f>
        <v/>
      </c>
      <c r="AK26" s="85">
        <f>IF($A26="","",IF(AE26="","NOT REVIEWED",IF(TODAY()-AE26&gt;90,"OVERDUE",IF(TODAY()-AE26&gt;76,"Due Soon","Current"))))</f>
        <v/>
      </c>
    </row>
    <row r="27" ht="15" customHeight="1" s="39">
      <c r="A27" s="85" t="n"/>
      <c r="B27" s="85" t="n"/>
      <c r="C27" s="85" t="n"/>
      <c r="D27" s="85" t="n"/>
      <c r="E27" s="85" t="n"/>
      <c r="F27" s="86" t="n"/>
      <c r="G27" s="86" t="n"/>
      <c r="H27" s="85" t="n"/>
      <c r="I27" s="85" t="n"/>
      <c r="J27" s="85" t="n"/>
      <c r="K27" s="85" t="n"/>
      <c r="L27" s="85" t="n"/>
      <c r="M27" s="85" t="n"/>
      <c r="N27" s="85" t="n"/>
      <c r="O27" s="85" t="n"/>
      <c r="P27" s="85" t="n"/>
      <c r="Q27" s="85" t="n"/>
      <c r="R27" s="85" t="n"/>
      <c r="S27" s="85" t="n"/>
      <c r="T27" s="85" t="n"/>
      <c r="U27" s="85" t="n"/>
      <c r="V27" s="85" t="n"/>
      <c r="W27" s="85" t="n"/>
      <c r="X27" s="85" t="n"/>
      <c r="Y27" s="85" t="n"/>
      <c r="Z27" s="85" t="n"/>
      <c r="AA27" s="85" t="n"/>
      <c r="AB27" s="85" t="n"/>
      <c r="AC27" s="86" t="n"/>
      <c r="AD27" s="86" t="n"/>
      <c r="AE27" s="86" t="n"/>
      <c r="AF27" s="85" t="n"/>
      <c r="AG27" s="85" t="n"/>
      <c r="AH27" s="85">
        <f>IF($A27="","",IF(AND($E27="Yes",OR($V27="No",$V27="NOT FOUND")),"YES",""))</f>
        <v/>
      </c>
      <c r="AI27" s="85">
        <f>IF($A27="","",TRIM(IF(AND($M27=0,$I27&lt;&gt;"Yes"),"T0-NoPhishResistant ","")&amp;IF($H27="No","NoMFA ","")&amp;IF(AND($M27=0,$O27="Group only"),"T0-ViaGroupOnly ","")&amp;IF($N27="Yes","BroadAzureScope ","")&amp;IF($T27="Yes","AlsoEntraRole ","")))</f>
        <v/>
      </c>
      <c r="AJ27" s="85">
        <f>IF($A27="","",IF(AD27="","Not Enrolled",IF(TODAY()&gt;AD27,"Review Overdue",IF(AD27-TODAY()&lt;=30,"Review Due Soon","Active"))))</f>
        <v/>
      </c>
      <c r="AK27" s="85">
        <f>IF($A27="","",IF(AE27="","NOT REVIEWED",IF(TODAY()-AE27&gt;90,"OVERDUE",IF(TODAY()-AE27&gt;76,"Due Soon","Current"))))</f>
        <v/>
      </c>
    </row>
    <row r="28" ht="15" customHeight="1" s="39">
      <c r="A28" s="85" t="n"/>
      <c r="B28" s="85" t="n"/>
      <c r="C28" s="85" t="n"/>
      <c r="D28" s="85" t="n"/>
      <c r="E28" s="85" t="n"/>
      <c r="F28" s="86" t="n"/>
      <c r="G28" s="86" t="n"/>
      <c r="H28" s="85" t="n"/>
      <c r="I28" s="85" t="n"/>
      <c r="J28" s="85" t="n"/>
      <c r="K28" s="85" t="n"/>
      <c r="L28" s="85" t="n"/>
      <c r="M28" s="85" t="n"/>
      <c r="N28" s="85" t="n"/>
      <c r="O28" s="85" t="n"/>
      <c r="P28" s="85" t="n"/>
      <c r="Q28" s="85" t="n"/>
      <c r="R28" s="85" t="n"/>
      <c r="S28" s="85" t="n"/>
      <c r="T28" s="85" t="n"/>
      <c r="U28" s="85" t="n"/>
      <c r="V28" s="85" t="n"/>
      <c r="W28" s="85" t="n"/>
      <c r="X28" s="85" t="n"/>
      <c r="Y28" s="85" t="n"/>
      <c r="Z28" s="85" t="n"/>
      <c r="AA28" s="85" t="n"/>
      <c r="AB28" s="85" t="n"/>
      <c r="AC28" s="86" t="n"/>
      <c r="AD28" s="86" t="n"/>
      <c r="AE28" s="86" t="n"/>
      <c r="AF28" s="85" t="n"/>
      <c r="AG28" s="85" t="n"/>
      <c r="AH28" s="85">
        <f>IF($A28="","",IF(AND($E28="Yes",OR($V28="No",$V28="NOT FOUND")),"YES",""))</f>
        <v/>
      </c>
      <c r="AI28" s="85">
        <f>IF($A28="","",TRIM(IF(AND($M28=0,$I28&lt;&gt;"Yes"),"T0-NoPhishResistant ","")&amp;IF($H28="No","NoMFA ","")&amp;IF(AND($M28=0,$O28="Group only"),"T0-ViaGroupOnly ","")&amp;IF($N28="Yes","BroadAzureScope ","")&amp;IF($T28="Yes","AlsoEntraRole ","")))</f>
        <v/>
      </c>
      <c r="AJ28" s="85">
        <f>IF($A28="","",IF(AD28="","Not Enrolled",IF(TODAY()&gt;AD28,"Review Overdue",IF(AD28-TODAY()&lt;=30,"Review Due Soon","Active"))))</f>
        <v/>
      </c>
      <c r="AK28" s="85">
        <f>IF($A28="","",IF(AE28="","NOT REVIEWED",IF(TODAY()-AE28&gt;90,"OVERDUE",IF(TODAY()-AE28&gt;76,"Due Soon","Current"))))</f>
        <v/>
      </c>
    </row>
    <row r="29" ht="15" customHeight="1" s="39">
      <c r="A29" s="85" t="n"/>
      <c r="B29" s="85" t="n"/>
      <c r="C29" s="85" t="n"/>
      <c r="D29" s="85" t="n"/>
      <c r="E29" s="85" t="n"/>
      <c r="F29" s="86" t="n"/>
      <c r="G29" s="86" t="n"/>
      <c r="H29" s="85" t="n"/>
      <c r="I29" s="85" t="n"/>
      <c r="J29" s="85" t="n"/>
      <c r="K29" s="85" t="n"/>
      <c r="L29" s="85" t="n"/>
      <c r="M29" s="85" t="n"/>
      <c r="N29" s="85" t="n"/>
      <c r="O29" s="85" t="n"/>
      <c r="P29" s="85" t="n"/>
      <c r="Q29" s="85" t="n"/>
      <c r="R29" s="85" t="n"/>
      <c r="S29" s="85" t="n"/>
      <c r="T29" s="85" t="n"/>
      <c r="U29" s="85" t="n"/>
      <c r="V29" s="85" t="n"/>
      <c r="W29" s="85" t="n"/>
      <c r="X29" s="85" t="n"/>
      <c r="Y29" s="85" t="n"/>
      <c r="Z29" s="85" t="n"/>
      <c r="AA29" s="85" t="n"/>
      <c r="AB29" s="85" t="n"/>
      <c r="AC29" s="86" t="n"/>
      <c r="AD29" s="86" t="n"/>
      <c r="AE29" s="86" t="n"/>
      <c r="AF29" s="85" t="n"/>
      <c r="AG29" s="85" t="n"/>
      <c r="AH29" s="85">
        <f>IF($A29="","",IF(AND($E29="Yes",OR($V29="No",$V29="NOT FOUND")),"YES",""))</f>
        <v/>
      </c>
      <c r="AI29" s="85">
        <f>IF($A29="","",TRIM(IF(AND($M29=0,$I29&lt;&gt;"Yes"),"T0-NoPhishResistant ","")&amp;IF($H29="No","NoMFA ","")&amp;IF(AND($M29=0,$O29="Group only"),"T0-ViaGroupOnly ","")&amp;IF($N29="Yes","BroadAzureScope ","")&amp;IF($T29="Yes","AlsoEntraRole ","")))</f>
        <v/>
      </c>
      <c r="AJ29" s="85">
        <f>IF($A29="","",IF(AD29="","Not Enrolled",IF(TODAY()&gt;AD29,"Review Overdue",IF(AD29-TODAY()&lt;=30,"Review Due Soon","Active"))))</f>
        <v/>
      </c>
      <c r="AK29" s="85">
        <f>IF($A29="","",IF(AE29="","NOT REVIEWED",IF(TODAY()-AE29&gt;90,"OVERDUE",IF(TODAY()-AE29&gt;76,"Due Soon","Current"))))</f>
        <v/>
      </c>
    </row>
    <row r="30" ht="15" customHeight="1" s="39">
      <c r="A30" s="85" t="n"/>
      <c r="B30" s="85" t="n"/>
      <c r="C30" s="85" t="n"/>
      <c r="D30" s="85" t="n"/>
      <c r="E30" s="85" t="n"/>
      <c r="F30" s="86" t="n"/>
      <c r="G30" s="86" t="n"/>
      <c r="H30" s="85" t="n"/>
      <c r="I30" s="85" t="n"/>
      <c r="J30" s="85" t="n"/>
      <c r="K30" s="85" t="n"/>
      <c r="L30" s="85" t="n"/>
      <c r="M30" s="85" t="n"/>
      <c r="N30" s="85" t="n"/>
      <c r="O30" s="85" t="n"/>
      <c r="P30" s="85" t="n"/>
      <c r="Q30" s="85" t="n"/>
      <c r="R30" s="85" t="n"/>
      <c r="S30" s="85" t="n"/>
      <c r="T30" s="85" t="n"/>
      <c r="U30" s="85" t="n"/>
      <c r="V30" s="85" t="n"/>
      <c r="W30" s="85" t="n"/>
      <c r="X30" s="85" t="n"/>
      <c r="Y30" s="85" t="n"/>
      <c r="Z30" s="85" t="n"/>
      <c r="AA30" s="85" t="n"/>
      <c r="AB30" s="85" t="n"/>
      <c r="AC30" s="86" t="n"/>
      <c r="AD30" s="86" t="n"/>
      <c r="AE30" s="86" t="n"/>
      <c r="AF30" s="85" t="n"/>
      <c r="AG30" s="85" t="n"/>
      <c r="AH30" s="85">
        <f>IF($A30="","",IF(AND($E30="Yes",OR($V30="No",$V30="NOT FOUND")),"YES",""))</f>
        <v/>
      </c>
      <c r="AI30" s="85">
        <f>IF($A30="","",TRIM(IF(AND($M30=0,$I30&lt;&gt;"Yes"),"T0-NoPhishResistant ","")&amp;IF($H30="No","NoMFA ","")&amp;IF(AND($M30=0,$O30="Group only"),"T0-ViaGroupOnly ","")&amp;IF($N30="Yes","BroadAzureScope ","")&amp;IF($T30="Yes","AlsoEntraRole ","")))</f>
        <v/>
      </c>
      <c r="AJ30" s="85">
        <f>IF($A30="","",IF(AD30="","Not Enrolled",IF(TODAY()&gt;AD30,"Review Overdue",IF(AD30-TODAY()&lt;=30,"Review Due Soon","Active"))))</f>
        <v/>
      </c>
      <c r="AK30" s="85">
        <f>IF($A30="","",IF(AE30="","NOT REVIEWED",IF(TODAY()-AE30&gt;90,"OVERDUE",IF(TODAY()-AE30&gt;76,"Due Soon","Current"))))</f>
        <v/>
      </c>
    </row>
    <row r="31" ht="15" customHeight="1" s="39">
      <c r="A31" s="85" t="n"/>
      <c r="B31" s="85" t="n"/>
      <c r="C31" s="85" t="n"/>
      <c r="D31" s="85" t="n"/>
      <c r="E31" s="85" t="n"/>
      <c r="F31" s="86" t="n"/>
      <c r="G31" s="86" t="n"/>
      <c r="H31" s="85" t="n"/>
      <c r="I31" s="85" t="n"/>
      <c r="J31" s="85" t="n"/>
      <c r="K31" s="85" t="n"/>
      <c r="L31" s="85" t="n"/>
      <c r="M31" s="85" t="n"/>
      <c r="N31" s="85" t="n"/>
      <c r="O31" s="85" t="n"/>
      <c r="P31" s="85" t="n"/>
      <c r="Q31" s="85" t="n"/>
      <c r="R31" s="85" t="n"/>
      <c r="S31" s="85" t="n"/>
      <c r="T31" s="85" t="n"/>
      <c r="U31" s="85" t="n"/>
      <c r="V31" s="85" t="n"/>
      <c r="W31" s="85" t="n"/>
      <c r="X31" s="85" t="n"/>
      <c r="Y31" s="85" t="n"/>
      <c r="Z31" s="85" t="n"/>
      <c r="AA31" s="85" t="n"/>
      <c r="AB31" s="85" t="n"/>
      <c r="AC31" s="86" t="n"/>
      <c r="AD31" s="86" t="n"/>
      <c r="AE31" s="86" t="n"/>
      <c r="AF31" s="85" t="n"/>
      <c r="AG31" s="85" t="n"/>
      <c r="AH31" s="85">
        <f>IF($A31="","",IF(AND($E31="Yes",OR($V31="No",$V31="NOT FOUND")),"YES",""))</f>
        <v/>
      </c>
      <c r="AI31" s="85">
        <f>IF($A31="","",TRIM(IF(AND($M31=0,$I31&lt;&gt;"Yes"),"T0-NoPhishResistant ","")&amp;IF($H31="No","NoMFA ","")&amp;IF(AND($M31=0,$O31="Group only"),"T0-ViaGroupOnly ","")&amp;IF($N31="Yes","BroadAzureScope ","")&amp;IF($T31="Yes","AlsoEntraRole ","")))</f>
        <v/>
      </c>
      <c r="AJ31" s="85">
        <f>IF($A31="","",IF(AD31="","Not Enrolled",IF(TODAY()&gt;AD31,"Review Overdue",IF(AD31-TODAY()&lt;=30,"Review Due Soon","Active"))))</f>
        <v/>
      </c>
      <c r="AK31" s="85">
        <f>IF($A31="","",IF(AE31="","NOT REVIEWED",IF(TODAY()-AE31&gt;90,"OVERDUE",IF(TODAY()-AE31&gt;76,"Due Soon","Current"))))</f>
        <v/>
      </c>
    </row>
    <row r="32" ht="15" customHeight="1" s="39">
      <c r="A32" s="85" t="n"/>
      <c r="B32" s="85" t="n"/>
      <c r="C32" s="85" t="n"/>
      <c r="D32" s="85" t="n"/>
      <c r="E32" s="85" t="n"/>
      <c r="F32" s="86" t="n"/>
      <c r="G32" s="86" t="n"/>
      <c r="H32" s="85" t="n"/>
      <c r="I32" s="85" t="n"/>
      <c r="J32" s="85" t="n"/>
      <c r="K32" s="85" t="n"/>
      <c r="L32" s="85" t="n"/>
      <c r="M32" s="85" t="n"/>
      <c r="N32" s="85" t="n"/>
      <c r="O32" s="85" t="n"/>
      <c r="P32" s="85" t="n"/>
      <c r="Q32" s="85" t="n"/>
      <c r="R32" s="85" t="n"/>
      <c r="S32" s="85" t="n"/>
      <c r="T32" s="85" t="n"/>
      <c r="U32" s="85" t="n"/>
      <c r="V32" s="85" t="n"/>
      <c r="W32" s="85" t="n"/>
      <c r="X32" s="85" t="n"/>
      <c r="Y32" s="85" t="n"/>
      <c r="Z32" s="85" t="n"/>
      <c r="AA32" s="85" t="n"/>
      <c r="AB32" s="85" t="n"/>
      <c r="AC32" s="86" t="n"/>
      <c r="AD32" s="86" t="n"/>
      <c r="AE32" s="86" t="n"/>
      <c r="AF32" s="85" t="n"/>
      <c r="AG32" s="85" t="n"/>
      <c r="AH32" s="85">
        <f>IF($A32="","",IF(AND($E32="Yes",OR($V32="No",$V32="NOT FOUND")),"YES",""))</f>
        <v/>
      </c>
      <c r="AI32" s="85">
        <f>IF($A32="","",TRIM(IF(AND($M32=0,$I32&lt;&gt;"Yes"),"T0-NoPhishResistant ","")&amp;IF($H32="No","NoMFA ","")&amp;IF(AND($M32=0,$O32="Group only"),"T0-ViaGroupOnly ","")&amp;IF($N32="Yes","BroadAzureScope ","")&amp;IF($T32="Yes","AlsoEntraRole ","")))</f>
        <v/>
      </c>
      <c r="AJ32" s="85">
        <f>IF($A32="","",IF(AD32="","Not Enrolled",IF(TODAY()&gt;AD32,"Review Overdue",IF(AD32-TODAY()&lt;=30,"Review Due Soon","Active"))))</f>
        <v/>
      </c>
      <c r="AK32" s="85">
        <f>IF($A32="","",IF(AE32="","NOT REVIEWED",IF(TODAY()-AE32&gt;90,"OVERDUE",IF(TODAY()-AE32&gt;76,"Due Soon","Current"))))</f>
        <v/>
      </c>
    </row>
    <row r="33" ht="15" customHeight="1" s="39">
      <c r="A33" s="85" t="n"/>
      <c r="B33" s="85" t="n"/>
      <c r="C33" s="85" t="n"/>
      <c r="D33" s="85" t="n"/>
      <c r="E33" s="85" t="n"/>
      <c r="F33" s="86" t="n"/>
      <c r="G33" s="86" t="n"/>
      <c r="H33" s="85" t="n"/>
      <c r="I33" s="85" t="n"/>
      <c r="J33" s="85" t="n"/>
      <c r="K33" s="85" t="n"/>
      <c r="L33" s="85" t="n"/>
      <c r="M33" s="85" t="n"/>
      <c r="N33" s="85" t="n"/>
      <c r="O33" s="85" t="n"/>
      <c r="P33" s="85" t="n"/>
      <c r="Q33" s="85" t="n"/>
      <c r="R33" s="85" t="n"/>
      <c r="S33" s="85" t="n"/>
      <c r="T33" s="85" t="n"/>
      <c r="U33" s="85" t="n"/>
      <c r="V33" s="85" t="n"/>
      <c r="W33" s="85" t="n"/>
      <c r="X33" s="85" t="n"/>
      <c r="Y33" s="85" t="n"/>
      <c r="Z33" s="85" t="n"/>
      <c r="AA33" s="85" t="n"/>
      <c r="AB33" s="85" t="n"/>
      <c r="AC33" s="86" t="n"/>
      <c r="AD33" s="86" t="n"/>
      <c r="AE33" s="86" t="n"/>
      <c r="AF33" s="85" t="n"/>
      <c r="AG33" s="85" t="n"/>
      <c r="AH33" s="85">
        <f>IF($A33="","",IF(AND($E33="Yes",OR($V33="No",$V33="NOT FOUND")),"YES",""))</f>
        <v/>
      </c>
      <c r="AI33" s="85">
        <f>IF($A33="","",TRIM(IF(AND($M33=0,$I33&lt;&gt;"Yes"),"T0-NoPhishResistant ","")&amp;IF($H33="No","NoMFA ","")&amp;IF(AND($M33=0,$O33="Group only"),"T0-ViaGroupOnly ","")&amp;IF($N33="Yes","BroadAzureScope ","")&amp;IF($T33="Yes","AlsoEntraRole ","")))</f>
        <v/>
      </c>
      <c r="AJ33" s="85">
        <f>IF($A33="","",IF(AD33="","Not Enrolled",IF(TODAY()&gt;AD33,"Review Overdue",IF(AD33-TODAY()&lt;=30,"Review Due Soon","Active"))))</f>
        <v/>
      </c>
      <c r="AK33" s="85">
        <f>IF($A33="","",IF(AE33="","NOT REVIEWED",IF(TODAY()-AE33&gt;90,"OVERDUE",IF(TODAY()-AE33&gt;76,"Due Soon","Current"))))</f>
        <v/>
      </c>
    </row>
    <row r="34" ht="15" customHeight="1" s="39">
      <c r="A34" s="85" t="n"/>
      <c r="B34" s="85" t="n"/>
      <c r="C34" s="85" t="n"/>
      <c r="D34" s="85" t="n"/>
      <c r="E34" s="85" t="n"/>
      <c r="F34" s="86" t="n"/>
      <c r="G34" s="86" t="n"/>
      <c r="H34" s="85" t="n"/>
      <c r="I34" s="85" t="n"/>
      <c r="J34" s="85" t="n"/>
      <c r="K34" s="85" t="n"/>
      <c r="L34" s="85" t="n"/>
      <c r="M34" s="85" t="n"/>
      <c r="N34" s="85" t="n"/>
      <c r="O34" s="85" t="n"/>
      <c r="P34" s="85" t="n"/>
      <c r="Q34" s="85" t="n"/>
      <c r="R34" s="85" t="n"/>
      <c r="S34" s="85" t="n"/>
      <c r="T34" s="85" t="n"/>
      <c r="U34" s="85" t="n"/>
      <c r="V34" s="85" t="n"/>
      <c r="W34" s="85" t="n"/>
      <c r="X34" s="85" t="n"/>
      <c r="Y34" s="85" t="n"/>
      <c r="Z34" s="85" t="n"/>
      <c r="AA34" s="85" t="n"/>
      <c r="AB34" s="85" t="n"/>
      <c r="AC34" s="86" t="n"/>
      <c r="AD34" s="86" t="n"/>
      <c r="AE34" s="86" t="n"/>
      <c r="AF34" s="85" t="n"/>
      <c r="AG34" s="85" t="n"/>
      <c r="AH34" s="85">
        <f>IF($A34="","",IF(AND($E34="Yes",OR($V34="No",$V34="NOT FOUND")),"YES",""))</f>
        <v/>
      </c>
      <c r="AI34" s="85">
        <f>IF($A34="","",TRIM(IF(AND($M34=0,$I34&lt;&gt;"Yes"),"T0-NoPhishResistant ","")&amp;IF($H34="No","NoMFA ","")&amp;IF(AND($M34=0,$O34="Group only"),"T0-ViaGroupOnly ","")&amp;IF($N34="Yes","BroadAzureScope ","")&amp;IF($T34="Yes","AlsoEntraRole ","")))</f>
        <v/>
      </c>
      <c r="AJ34" s="85">
        <f>IF($A34="","",IF(AD34="","Not Enrolled",IF(TODAY()&gt;AD34,"Review Overdue",IF(AD34-TODAY()&lt;=30,"Review Due Soon","Active"))))</f>
        <v/>
      </c>
      <c r="AK34" s="85">
        <f>IF($A34="","",IF(AE34="","NOT REVIEWED",IF(TODAY()-AE34&gt;90,"OVERDUE",IF(TODAY()-AE34&gt;76,"Due Soon","Current"))))</f>
        <v/>
      </c>
    </row>
    <row r="35" ht="15" customHeight="1" s="39">
      <c r="A35" s="85" t="n"/>
      <c r="B35" s="85" t="n"/>
      <c r="C35" s="85" t="n"/>
      <c r="D35" s="85" t="n"/>
      <c r="E35" s="85" t="n"/>
      <c r="F35" s="86" t="n"/>
      <c r="G35" s="86" t="n"/>
      <c r="H35" s="85" t="n"/>
      <c r="I35" s="85" t="n"/>
      <c r="J35" s="85" t="n"/>
      <c r="K35" s="85" t="n"/>
      <c r="L35" s="85" t="n"/>
      <c r="M35" s="85" t="n"/>
      <c r="N35" s="85" t="n"/>
      <c r="O35" s="85" t="n"/>
      <c r="P35" s="85" t="n"/>
      <c r="Q35" s="85" t="n"/>
      <c r="R35" s="85" t="n"/>
      <c r="S35" s="85" t="n"/>
      <c r="T35" s="85" t="n"/>
      <c r="U35" s="85" t="n"/>
      <c r="V35" s="85" t="n"/>
      <c r="W35" s="85" t="n"/>
      <c r="X35" s="85" t="n"/>
      <c r="Y35" s="85" t="n"/>
      <c r="Z35" s="85" t="n"/>
      <c r="AA35" s="85" t="n"/>
      <c r="AB35" s="85" t="n"/>
      <c r="AC35" s="86" t="n"/>
      <c r="AD35" s="86" t="n"/>
      <c r="AE35" s="86" t="n"/>
      <c r="AF35" s="85" t="n"/>
      <c r="AG35" s="85" t="n"/>
      <c r="AH35" s="85">
        <f>IF($A35="","",IF(AND($E35="Yes",OR($V35="No",$V35="NOT FOUND")),"YES",""))</f>
        <v/>
      </c>
      <c r="AI35" s="85">
        <f>IF($A35="","",TRIM(IF(AND($M35=0,$I35&lt;&gt;"Yes"),"T0-NoPhishResistant ","")&amp;IF($H35="No","NoMFA ","")&amp;IF(AND($M35=0,$O35="Group only"),"T0-ViaGroupOnly ","")&amp;IF($N35="Yes","BroadAzureScope ","")&amp;IF($T35="Yes","AlsoEntraRole ","")))</f>
        <v/>
      </c>
      <c r="AJ35" s="85">
        <f>IF($A35="","",IF(AD35="","Not Enrolled",IF(TODAY()&gt;AD35,"Review Overdue",IF(AD35-TODAY()&lt;=30,"Review Due Soon","Active"))))</f>
        <v/>
      </c>
      <c r="AK35" s="85">
        <f>IF($A35="","",IF(AE35="","NOT REVIEWED",IF(TODAY()-AE35&gt;90,"OVERDUE",IF(TODAY()-AE35&gt;76,"Due Soon","Current"))))</f>
        <v/>
      </c>
    </row>
    <row r="36" ht="15" customHeight="1" s="39">
      <c r="A36" s="85" t="n"/>
      <c r="B36" s="85" t="n"/>
      <c r="C36" s="85" t="n"/>
      <c r="D36" s="85" t="n"/>
      <c r="E36" s="85" t="n"/>
      <c r="F36" s="86" t="n"/>
      <c r="G36" s="86" t="n"/>
      <c r="H36" s="85" t="n"/>
      <c r="I36" s="85" t="n"/>
      <c r="J36" s="85" t="n"/>
      <c r="K36" s="85" t="n"/>
      <c r="L36" s="85" t="n"/>
      <c r="M36" s="85" t="n"/>
      <c r="N36" s="85" t="n"/>
      <c r="O36" s="85" t="n"/>
      <c r="P36" s="85" t="n"/>
      <c r="Q36" s="85" t="n"/>
      <c r="R36" s="85" t="n"/>
      <c r="S36" s="85" t="n"/>
      <c r="T36" s="85" t="n"/>
      <c r="U36" s="85" t="n"/>
      <c r="V36" s="85" t="n"/>
      <c r="W36" s="85" t="n"/>
      <c r="X36" s="85" t="n"/>
      <c r="Y36" s="85" t="n"/>
      <c r="Z36" s="85" t="n"/>
      <c r="AA36" s="85" t="n"/>
      <c r="AB36" s="85" t="n"/>
      <c r="AC36" s="86" t="n"/>
      <c r="AD36" s="86" t="n"/>
      <c r="AE36" s="86" t="n"/>
      <c r="AF36" s="85" t="n"/>
      <c r="AG36" s="85" t="n"/>
      <c r="AH36" s="85">
        <f>IF($A36="","",IF(AND($E36="Yes",OR($V36="No",$V36="NOT FOUND")),"YES",""))</f>
        <v/>
      </c>
      <c r="AI36" s="85">
        <f>IF($A36="","",TRIM(IF(AND($M36=0,$I36&lt;&gt;"Yes"),"T0-NoPhishResistant ","")&amp;IF($H36="No","NoMFA ","")&amp;IF(AND($M36=0,$O36="Group only"),"T0-ViaGroupOnly ","")&amp;IF($N36="Yes","BroadAzureScope ","")&amp;IF($T36="Yes","AlsoEntraRole ","")))</f>
        <v/>
      </c>
      <c r="AJ36" s="85">
        <f>IF($A36="","",IF(AD36="","Not Enrolled",IF(TODAY()&gt;AD36,"Review Overdue",IF(AD36-TODAY()&lt;=30,"Review Due Soon","Active"))))</f>
        <v/>
      </c>
      <c r="AK36" s="85">
        <f>IF($A36="","",IF(AE36="","NOT REVIEWED",IF(TODAY()-AE36&gt;90,"OVERDUE",IF(TODAY()-AE36&gt;76,"Due Soon","Current"))))</f>
        <v/>
      </c>
    </row>
    <row r="37" ht="15" customHeight="1" s="39">
      <c r="A37" s="85" t="n"/>
      <c r="B37" s="85" t="n"/>
      <c r="C37" s="85" t="n"/>
      <c r="D37" s="85" t="n"/>
      <c r="E37" s="85" t="n"/>
      <c r="F37" s="86" t="n"/>
      <c r="G37" s="86" t="n"/>
      <c r="H37" s="85" t="n"/>
      <c r="I37" s="85" t="n"/>
      <c r="J37" s="85" t="n"/>
      <c r="K37" s="85" t="n"/>
      <c r="L37" s="85" t="n"/>
      <c r="M37" s="85" t="n"/>
      <c r="N37" s="85" t="n"/>
      <c r="O37" s="85" t="n"/>
      <c r="P37" s="85" t="n"/>
      <c r="Q37" s="85" t="n"/>
      <c r="R37" s="85" t="n"/>
      <c r="S37" s="85" t="n"/>
      <c r="T37" s="85" t="n"/>
      <c r="U37" s="85" t="n"/>
      <c r="V37" s="85" t="n"/>
      <c r="W37" s="85" t="n"/>
      <c r="X37" s="85" t="n"/>
      <c r="Y37" s="85" t="n"/>
      <c r="Z37" s="85" t="n"/>
      <c r="AA37" s="85" t="n"/>
      <c r="AB37" s="85" t="n"/>
      <c r="AC37" s="86" t="n"/>
      <c r="AD37" s="86" t="n"/>
      <c r="AE37" s="86" t="n"/>
      <c r="AF37" s="85" t="n"/>
      <c r="AG37" s="85" t="n"/>
      <c r="AH37" s="85">
        <f>IF($A37="","",IF(AND($E37="Yes",OR($V37="No",$V37="NOT FOUND")),"YES",""))</f>
        <v/>
      </c>
      <c r="AI37" s="85">
        <f>IF($A37="","",TRIM(IF(AND($M37=0,$I37&lt;&gt;"Yes"),"T0-NoPhishResistant ","")&amp;IF($H37="No","NoMFA ","")&amp;IF(AND($M37=0,$O37="Group only"),"T0-ViaGroupOnly ","")&amp;IF($N37="Yes","BroadAzureScope ","")&amp;IF($T37="Yes","AlsoEntraRole ","")))</f>
        <v/>
      </c>
      <c r="AJ37" s="85">
        <f>IF($A37="","",IF(AD37="","Not Enrolled",IF(TODAY()&gt;AD37,"Review Overdue",IF(AD37-TODAY()&lt;=30,"Review Due Soon","Active"))))</f>
        <v/>
      </c>
      <c r="AK37" s="85">
        <f>IF($A37="","",IF(AE37="","NOT REVIEWED",IF(TODAY()-AE37&gt;90,"OVERDUE",IF(TODAY()-AE37&gt;76,"Due Soon","Current"))))</f>
        <v/>
      </c>
    </row>
    <row r="38" ht="15" customHeight="1" s="39">
      <c r="A38" s="85" t="n"/>
      <c r="B38" s="85" t="n"/>
      <c r="C38" s="85" t="n"/>
      <c r="D38" s="85" t="n"/>
      <c r="E38" s="85" t="n"/>
      <c r="F38" s="86" t="n"/>
      <c r="G38" s="86" t="n"/>
      <c r="H38" s="85" t="n"/>
      <c r="I38" s="85" t="n"/>
      <c r="J38" s="85" t="n"/>
      <c r="K38" s="85" t="n"/>
      <c r="L38" s="85" t="n"/>
      <c r="M38" s="85" t="n"/>
      <c r="N38" s="85" t="n"/>
      <c r="O38" s="85" t="n"/>
      <c r="P38" s="85" t="n"/>
      <c r="Q38" s="85" t="n"/>
      <c r="R38" s="85" t="n"/>
      <c r="S38" s="85" t="n"/>
      <c r="T38" s="85" t="n"/>
      <c r="U38" s="85" t="n"/>
      <c r="V38" s="85" t="n"/>
      <c r="W38" s="85" t="n"/>
      <c r="X38" s="85" t="n"/>
      <c r="Y38" s="85" t="n"/>
      <c r="Z38" s="85" t="n"/>
      <c r="AA38" s="85" t="n"/>
      <c r="AB38" s="85" t="n"/>
      <c r="AC38" s="86" t="n"/>
      <c r="AD38" s="86" t="n"/>
      <c r="AE38" s="86" t="n"/>
      <c r="AF38" s="85" t="n"/>
      <c r="AG38" s="85" t="n"/>
      <c r="AH38" s="85">
        <f>IF($A38="","",IF(AND($E38="Yes",OR($V38="No",$V38="NOT FOUND")),"YES",""))</f>
        <v/>
      </c>
      <c r="AI38" s="85">
        <f>IF($A38="","",TRIM(IF(AND($M38=0,$I38&lt;&gt;"Yes"),"T0-NoPhishResistant ","")&amp;IF($H38="No","NoMFA ","")&amp;IF(AND($M38=0,$O38="Group only"),"T0-ViaGroupOnly ","")&amp;IF($N38="Yes","BroadAzureScope ","")&amp;IF($T38="Yes","AlsoEntraRole ","")))</f>
        <v/>
      </c>
      <c r="AJ38" s="85">
        <f>IF($A38="","",IF(AD38="","Not Enrolled",IF(TODAY()&gt;AD38,"Review Overdue",IF(AD38-TODAY()&lt;=30,"Review Due Soon","Active"))))</f>
        <v/>
      </c>
      <c r="AK38" s="85">
        <f>IF($A38="","",IF(AE38="","NOT REVIEWED",IF(TODAY()-AE38&gt;90,"OVERDUE",IF(TODAY()-AE38&gt;76,"Due Soon","Current"))))</f>
        <v/>
      </c>
    </row>
    <row r="39" ht="15" customHeight="1" s="39">
      <c r="A39" s="85" t="n"/>
      <c r="B39" s="85" t="n"/>
      <c r="C39" s="85" t="n"/>
      <c r="D39" s="85" t="n"/>
      <c r="E39" s="85" t="n"/>
      <c r="F39" s="86" t="n"/>
      <c r="G39" s="86" t="n"/>
      <c r="H39" s="85" t="n"/>
      <c r="I39" s="85" t="n"/>
      <c r="J39" s="85" t="n"/>
      <c r="K39" s="85" t="n"/>
      <c r="L39" s="85" t="n"/>
      <c r="M39" s="85" t="n"/>
      <c r="N39" s="85" t="n"/>
      <c r="O39" s="85" t="n"/>
      <c r="P39" s="85" t="n"/>
      <c r="Q39" s="85" t="n"/>
      <c r="R39" s="85" t="n"/>
      <c r="S39" s="85" t="n"/>
      <c r="T39" s="85" t="n"/>
      <c r="U39" s="85" t="n"/>
      <c r="V39" s="85" t="n"/>
      <c r="W39" s="85" t="n"/>
      <c r="X39" s="85" t="n"/>
      <c r="Y39" s="85" t="n"/>
      <c r="Z39" s="85" t="n"/>
      <c r="AA39" s="85" t="n"/>
      <c r="AB39" s="85" t="n"/>
      <c r="AC39" s="86" t="n"/>
      <c r="AD39" s="86" t="n"/>
      <c r="AE39" s="86" t="n"/>
      <c r="AF39" s="85" t="n"/>
      <c r="AG39" s="85" t="n"/>
      <c r="AH39" s="85">
        <f>IF($A39="","",IF(AND($E39="Yes",OR($V39="No",$V39="NOT FOUND")),"YES",""))</f>
        <v/>
      </c>
      <c r="AI39" s="85">
        <f>IF($A39="","",TRIM(IF(AND($M39=0,$I39&lt;&gt;"Yes"),"T0-NoPhishResistant ","")&amp;IF($H39="No","NoMFA ","")&amp;IF(AND($M39=0,$O39="Group only"),"T0-ViaGroupOnly ","")&amp;IF($N39="Yes","BroadAzureScope ","")&amp;IF($T39="Yes","AlsoEntraRole ","")))</f>
        <v/>
      </c>
      <c r="AJ39" s="85">
        <f>IF($A39="","",IF(AD39="","Not Enrolled",IF(TODAY()&gt;AD39,"Review Overdue",IF(AD39-TODAY()&lt;=30,"Review Due Soon","Active"))))</f>
        <v/>
      </c>
      <c r="AK39" s="85">
        <f>IF($A39="","",IF(AE39="","NOT REVIEWED",IF(TODAY()-AE39&gt;90,"OVERDUE",IF(TODAY()-AE39&gt;76,"Due Soon","Current"))))</f>
        <v/>
      </c>
    </row>
    <row r="40" ht="15" customHeight="1" s="39">
      <c r="A40" s="85" t="n"/>
      <c r="B40" s="85" t="n"/>
      <c r="C40" s="85" t="n"/>
      <c r="D40" s="85" t="n"/>
      <c r="E40" s="85" t="n"/>
      <c r="F40" s="86" t="n"/>
      <c r="G40" s="86" t="n"/>
      <c r="H40" s="85" t="n"/>
      <c r="I40" s="85" t="n"/>
      <c r="J40" s="85" t="n"/>
      <c r="K40" s="85" t="n"/>
      <c r="L40" s="85" t="n"/>
      <c r="M40" s="85" t="n"/>
      <c r="N40" s="85" t="n"/>
      <c r="O40" s="85" t="n"/>
      <c r="P40" s="85" t="n"/>
      <c r="Q40" s="85" t="n"/>
      <c r="R40" s="85" t="n"/>
      <c r="S40" s="85" t="n"/>
      <c r="T40" s="85" t="n"/>
      <c r="U40" s="85" t="n"/>
      <c r="V40" s="85" t="n"/>
      <c r="W40" s="85" t="n"/>
      <c r="X40" s="85" t="n"/>
      <c r="Y40" s="85" t="n"/>
      <c r="Z40" s="85" t="n"/>
      <c r="AA40" s="85" t="n"/>
      <c r="AB40" s="85" t="n"/>
      <c r="AC40" s="86" t="n"/>
      <c r="AD40" s="86" t="n"/>
      <c r="AE40" s="86" t="n"/>
      <c r="AF40" s="85" t="n"/>
      <c r="AG40" s="85" t="n"/>
      <c r="AH40" s="85">
        <f>IF($A40="","",IF(AND($E40="Yes",OR($V40="No",$V40="NOT FOUND")),"YES",""))</f>
        <v/>
      </c>
      <c r="AI40" s="85">
        <f>IF($A40="","",TRIM(IF(AND($M40=0,$I40&lt;&gt;"Yes"),"T0-NoPhishResistant ","")&amp;IF($H40="No","NoMFA ","")&amp;IF(AND($M40=0,$O40="Group only"),"T0-ViaGroupOnly ","")&amp;IF($N40="Yes","BroadAzureScope ","")&amp;IF($T40="Yes","AlsoEntraRole ","")))</f>
        <v/>
      </c>
      <c r="AJ40" s="85">
        <f>IF($A40="","",IF(AD40="","Not Enrolled",IF(TODAY()&gt;AD40,"Review Overdue",IF(AD40-TODAY()&lt;=30,"Review Due Soon","Active"))))</f>
        <v/>
      </c>
      <c r="AK40" s="85">
        <f>IF($A40="","",IF(AE40="","NOT REVIEWED",IF(TODAY()-AE40&gt;90,"OVERDUE",IF(TODAY()-AE40&gt;76,"Due Soon","Current"))))</f>
        <v/>
      </c>
    </row>
    <row r="41" ht="15" customHeight="1" s="39">
      <c r="A41" s="85" t="n"/>
      <c r="B41" s="85" t="n"/>
      <c r="C41" s="85" t="n"/>
      <c r="D41" s="85" t="n"/>
      <c r="E41" s="85" t="n"/>
      <c r="F41" s="86" t="n"/>
      <c r="G41" s="86" t="n"/>
      <c r="H41" s="85" t="n"/>
      <c r="I41" s="85" t="n"/>
      <c r="J41" s="85" t="n"/>
      <c r="K41" s="85" t="n"/>
      <c r="L41" s="85" t="n"/>
      <c r="M41" s="85" t="n"/>
      <c r="N41" s="85" t="n"/>
      <c r="O41" s="85" t="n"/>
      <c r="P41" s="85" t="n"/>
      <c r="Q41" s="85" t="n"/>
      <c r="R41" s="85" t="n"/>
      <c r="S41" s="85" t="n"/>
      <c r="T41" s="85" t="n"/>
      <c r="U41" s="85" t="n"/>
      <c r="V41" s="85" t="n"/>
      <c r="W41" s="85" t="n"/>
      <c r="X41" s="85" t="n"/>
      <c r="Y41" s="85" t="n"/>
      <c r="Z41" s="85" t="n"/>
      <c r="AA41" s="85" t="n"/>
      <c r="AB41" s="85" t="n"/>
      <c r="AC41" s="86" t="n"/>
      <c r="AD41" s="86" t="n"/>
      <c r="AE41" s="86" t="n"/>
      <c r="AF41" s="85" t="n"/>
      <c r="AG41" s="85" t="n"/>
      <c r="AH41" s="85">
        <f>IF($A41="","",IF(AND($E41="Yes",OR($V41="No",$V41="NOT FOUND")),"YES",""))</f>
        <v/>
      </c>
      <c r="AI41" s="85">
        <f>IF($A41="","",TRIM(IF(AND($M41=0,$I41&lt;&gt;"Yes"),"T0-NoPhishResistant ","")&amp;IF($H41="No","NoMFA ","")&amp;IF(AND($M41=0,$O41="Group only"),"T0-ViaGroupOnly ","")&amp;IF($N41="Yes","BroadAzureScope ","")&amp;IF($T41="Yes","AlsoEntraRole ","")))</f>
        <v/>
      </c>
      <c r="AJ41" s="85">
        <f>IF($A41="","",IF(AD41="","Not Enrolled",IF(TODAY()&gt;AD41,"Review Overdue",IF(AD41-TODAY()&lt;=30,"Review Due Soon","Active"))))</f>
        <v/>
      </c>
      <c r="AK41" s="85">
        <f>IF($A41="","",IF(AE41="","NOT REVIEWED",IF(TODAY()-AE41&gt;90,"OVERDUE",IF(TODAY()-AE41&gt;76,"Due Soon","Current"))))</f>
        <v/>
      </c>
    </row>
    <row r="42" ht="15" customHeight="1" s="39">
      <c r="A42" s="85" t="n"/>
      <c r="B42" s="85" t="n"/>
      <c r="C42" s="85" t="n"/>
      <c r="D42" s="85" t="n"/>
      <c r="E42" s="85" t="n"/>
      <c r="F42" s="86" t="n"/>
      <c r="G42" s="86" t="n"/>
      <c r="H42" s="85" t="n"/>
      <c r="I42" s="85" t="n"/>
      <c r="J42" s="85" t="n"/>
      <c r="K42" s="85" t="n"/>
      <c r="L42" s="85" t="n"/>
      <c r="M42" s="85" t="n"/>
      <c r="N42" s="85" t="n"/>
      <c r="O42" s="85" t="n"/>
      <c r="P42" s="85" t="n"/>
      <c r="Q42" s="85" t="n"/>
      <c r="R42" s="85" t="n"/>
      <c r="S42" s="85" t="n"/>
      <c r="T42" s="85" t="n"/>
      <c r="U42" s="85" t="n"/>
      <c r="V42" s="85" t="n"/>
      <c r="W42" s="85" t="n"/>
      <c r="X42" s="85" t="n"/>
      <c r="Y42" s="85" t="n"/>
      <c r="Z42" s="85" t="n"/>
      <c r="AA42" s="85" t="n"/>
      <c r="AB42" s="85" t="n"/>
      <c r="AC42" s="86" t="n"/>
      <c r="AD42" s="86" t="n"/>
      <c r="AE42" s="86" t="n"/>
      <c r="AF42" s="85" t="n"/>
      <c r="AG42" s="85" t="n"/>
      <c r="AH42" s="85">
        <f>IF($A42="","",IF(AND($E42="Yes",OR($V42="No",$V42="NOT FOUND")),"YES",""))</f>
        <v/>
      </c>
      <c r="AI42" s="85">
        <f>IF($A42="","",TRIM(IF(AND($M42=0,$I42&lt;&gt;"Yes"),"T0-NoPhishResistant ","")&amp;IF($H42="No","NoMFA ","")&amp;IF(AND($M42=0,$O42="Group only"),"T0-ViaGroupOnly ","")&amp;IF($N42="Yes","BroadAzureScope ","")&amp;IF($T42="Yes","AlsoEntraRole ","")))</f>
        <v/>
      </c>
      <c r="AJ42" s="85">
        <f>IF($A42="","",IF(AD42="","Not Enrolled",IF(TODAY()&gt;AD42,"Review Overdue",IF(AD42-TODAY()&lt;=30,"Review Due Soon","Active"))))</f>
        <v/>
      </c>
      <c r="AK42" s="85">
        <f>IF($A42="","",IF(AE42="","NOT REVIEWED",IF(TODAY()-AE42&gt;90,"OVERDUE",IF(TODAY()-AE42&gt;76,"Due Soon","Current"))))</f>
        <v/>
      </c>
    </row>
    <row r="43" ht="15" customHeight="1" s="39">
      <c r="A43" s="85" t="n"/>
      <c r="B43" s="85" t="n"/>
      <c r="C43" s="85" t="n"/>
      <c r="D43" s="85" t="n"/>
      <c r="E43" s="85" t="n"/>
      <c r="F43" s="86" t="n"/>
      <c r="G43" s="86" t="n"/>
      <c r="H43" s="85" t="n"/>
      <c r="I43" s="85" t="n"/>
      <c r="J43" s="85" t="n"/>
      <c r="K43" s="85" t="n"/>
      <c r="L43" s="85" t="n"/>
      <c r="M43" s="85" t="n"/>
      <c r="N43" s="85" t="n"/>
      <c r="O43" s="85" t="n"/>
      <c r="P43" s="85" t="n"/>
      <c r="Q43" s="85" t="n"/>
      <c r="R43" s="85" t="n"/>
      <c r="S43" s="85" t="n"/>
      <c r="T43" s="85" t="n"/>
      <c r="U43" s="85" t="n"/>
      <c r="V43" s="85" t="n"/>
      <c r="W43" s="85" t="n"/>
      <c r="X43" s="85" t="n"/>
      <c r="Y43" s="85" t="n"/>
      <c r="Z43" s="85" t="n"/>
      <c r="AA43" s="85" t="n"/>
      <c r="AB43" s="85" t="n"/>
      <c r="AC43" s="86" t="n"/>
      <c r="AD43" s="86" t="n"/>
      <c r="AE43" s="86" t="n"/>
      <c r="AF43" s="85" t="n"/>
      <c r="AG43" s="85" t="n"/>
      <c r="AH43" s="85">
        <f>IF($A43="","",IF(AND($E43="Yes",OR($V43="No",$V43="NOT FOUND")),"YES",""))</f>
        <v/>
      </c>
      <c r="AI43" s="85">
        <f>IF($A43="","",TRIM(IF(AND($M43=0,$I43&lt;&gt;"Yes"),"T0-NoPhishResistant ","")&amp;IF($H43="No","NoMFA ","")&amp;IF(AND($M43=0,$O43="Group only"),"T0-ViaGroupOnly ","")&amp;IF($N43="Yes","BroadAzureScope ","")&amp;IF($T43="Yes","AlsoEntraRole ","")))</f>
        <v/>
      </c>
      <c r="AJ43" s="85">
        <f>IF($A43="","",IF(AD43="","Not Enrolled",IF(TODAY()&gt;AD43,"Review Overdue",IF(AD43-TODAY()&lt;=30,"Review Due Soon","Active"))))</f>
        <v/>
      </c>
      <c r="AK43" s="85">
        <f>IF($A43="","",IF(AE43="","NOT REVIEWED",IF(TODAY()-AE43&gt;90,"OVERDUE",IF(TODAY()-AE43&gt;76,"Due Soon","Current"))))</f>
        <v/>
      </c>
    </row>
    <row r="44" ht="15" customHeight="1" s="39">
      <c r="A44" s="85" t="n"/>
      <c r="B44" s="85" t="n"/>
      <c r="C44" s="85" t="n"/>
      <c r="D44" s="85" t="n"/>
      <c r="E44" s="85" t="n"/>
      <c r="F44" s="86" t="n"/>
      <c r="G44" s="86" t="n"/>
      <c r="H44" s="85" t="n"/>
      <c r="I44" s="85" t="n"/>
      <c r="J44" s="85" t="n"/>
      <c r="K44" s="85" t="n"/>
      <c r="L44" s="85" t="n"/>
      <c r="M44" s="85" t="n"/>
      <c r="N44" s="85" t="n"/>
      <c r="O44" s="85" t="n"/>
      <c r="P44" s="85" t="n"/>
      <c r="Q44" s="85" t="n"/>
      <c r="R44" s="85" t="n"/>
      <c r="S44" s="85" t="n"/>
      <c r="T44" s="85" t="n"/>
      <c r="U44" s="85" t="n"/>
      <c r="V44" s="85" t="n"/>
      <c r="W44" s="85" t="n"/>
      <c r="X44" s="85" t="n"/>
      <c r="Y44" s="85" t="n"/>
      <c r="Z44" s="85" t="n"/>
      <c r="AA44" s="85" t="n"/>
      <c r="AB44" s="85" t="n"/>
      <c r="AC44" s="86" t="n"/>
      <c r="AD44" s="86" t="n"/>
      <c r="AE44" s="86" t="n"/>
      <c r="AF44" s="85" t="n"/>
      <c r="AG44" s="85" t="n"/>
      <c r="AH44" s="85">
        <f>IF($A44="","",IF(AND($E44="Yes",OR($V44="No",$V44="NOT FOUND")),"YES",""))</f>
        <v/>
      </c>
      <c r="AI44" s="85">
        <f>IF($A44="","",TRIM(IF(AND($M44=0,$I44&lt;&gt;"Yes"),"T0-NoPhishResistant ","")&amp;IF($H44="No","NoMFA ","")&amp;IF(AND($M44=0,$O44="Group only"),"T0-ViaGroupOnly ","")&amp;IF($N44="Yes","BroadAzureScope ","")&amp;IF($T44="Yes","AlsoEntraRole ","")))</f>
        <v/>
      </c>
      <c r="AJ44" s="85">
        <f>IF($A44="","",IF(AD44="","Not Enrolled",IF(TODAY()&gt;AD44,"Review Overdue",IF(AD44-TODAY()&lt;=30,"Review Due Soon","Active"))))</f>
        <v/>
      </c>
      <c r="AK44" s="85">
        <f>IF($A44="","",IF(AE44="","NOT REVIEWED",IF(TODAY()-AE44&gt;90,"OVERDUE",IF(TODAY()-AE44&gt;76,"Due Soon","Current"))))</f>
        <v/>
      </c>
    </row>
    <row r="45" ht="15" customHeight="1" s="39">
      <c r="A45" s="85" t="n"/>
      <c r="B45" s="85" t="n"/>
      <c r="C45" s="85" t="n"/>
      <c r="D45" s="85" t="n"/>
      <c r="E45" s="85" t="n"/>
      <c r="F45" s="86" t="n"/>
      <c r="G45" s="86" t="n"/>
      <c r="H45" s="85" t="n"/>
      <c r="I45" s="85" t="n"/>
      <c r="J45" s="85" t="n"/>
      <c r="K45" s="85" t="n"/>
      <c r="L45" s="85" t="n"/>
      <c r="M45" s="85" t="n"/>
      <c r="N45" s="85" t="n"/>
      <c r="O45" s="85" t="n"/>
      <c r="P45" s="85" t="n"/>
      <c r="Q45" s="85" t="n"/>
      <c r="R45" s="85" t="n"/>
      <c r="S45" s="85" t="n"/>
      <c r="T45" s="85" t="n"/>
      <c r="U45" s="85" t="n"/>
      <c r="V45" s="85" t="n"/>
      <c r="W45" s="85" t="n"/>
      <c r="X45" s="85" t="n"/>
      <c r="Y45" s="85" t="n"/>
      <c r="Z45" s="85" t="n"/>
      <c r="AA45" s="85" t="n"/>
      <c r="AB45" s="85" t="n"/>
      <c r="AC45" s="86" t="n"/>
      <c r="AD45" s="86" t="n"/>
      <c r="AE45" s="86" t="n"/>
      <c r="AF45" s="85" t="n"/>
      <c r="AG45" s="85" t="n"/>
      <c r="AH45" s="85">
        <f>IF($A45="","",IF(AND($E45="Yes",OR($V45="No",$V45="NOT FOUND")),"YES",""))</f>
        <v/>
      </c>
      <c r="AI45" s="85">
        <f>IF($A45="","",TRIM(IF(AND($M45=0,$I45&lt;&gt;"Yes"),"T0-NoPhishResistant ","")&amp;IF($H45="No","NoMFA ","")&amp;IF(AND($M45=0,$O45="Group only"),"T0-ViaGroupOnly ","")&amp;IF($N45="Yes","BroadAzureScope ","")&amp;IF($T45="Yes","AlsoEntraRole ","")))</f>
        <v/>
      </c>
      <c r="AJ45" s="85">
        <f>IF($A45="","",IF(AD45="","Not Enrolled",IF(TODAY()&gt;AD45,"Review Overdue",IF(AD45-TODAY()&lt;=30,"Review Due Soon","Active"))))</f>
        <v/>
      </c>
      <c r="AK45" s="85">
        <f>IF($A45="","",IF(AE45="","NOT REVIEWED",IF(TODAY()-AE45&gt;90,"OVERDUE",IF(TODAY()-AE45&gt;76,"Due Soon","Current"))))</f>
        <v/>
      </c>
    </row>
    <row r="46" ht="15" customHeight="1" s="39">
      <c r="A46" s="85" t="n"/>
      <c r="B46" s="85" t="n"/>
      <c r="C46" s="85" t="n"/>
      <c r="D46" s="85" t="n"/>
      <c r="E46" s="85" t="n"/>
      <c r="F46" s="86" t="n"/>
      <c r="G46" s="86" t="n"/>
      <c r="H46" s="85" t="n"/>
      <c r="I46" s="85" t="n"/>
      <c r="J46" s="85" t="n"/>
      <c r="K46" s="85" t="n"/>
      <c r="L46" s="85" t="n"/>
      <c r="M46" s="85" t="n"/>
      <c r="N46" s="85" t="n"/>
      <c r="O46" s="85" t="n"/>
      <c r="P46" s="85" t="n"/>
      <c r="Q46" s="85" t="n"/>
      <c r="R46" s="85" t="n"/>
      <c r="S46" s="85" t="n"/>
      <c r="T46" s="85" t="n"/>
      <c r="U46" s="85" t="n"/>
      <c r="V46" s="85" t="n"/>
      <c r="W46" s="85" t="n"/>
      <c r="X46" s="85" t="n"/>
      <c r="Y46" s="85" t="n"/>
      <c r="Z46" s="85" t="n"/>
      <c r="AA46" s="85" t="n"/>
      <c r="AB46" s="85" t="n"/>
      <c r="AC46" s="86" t="n"/>
      <c r="AD46" s="86" t="n"/>
      <c r="AE46" s="86" t="n"/>
      <c r="AF46" s="85" t="n"/>
      <c r="AG46" s="85" t="n"/>
      <c r="AH46" s="85">
        <f>IF($A46="","",IF(AND($E46="Yes",OR($V46="No",$V46="NOT FOUND")),"YES",""))</f>
        <v/>
      </c>
      <c r="AI46" s="85">
        <f>IF($A46="","",TRIM(IF(AND($M46=0,$I46&lt;&gt;"Yes"),"T0-NoPhishResistant ","")&amp;IF($H46="No","NoMFA ","")&amp;IF(AND($M46=0,$O46="Group only"),"T0-ViaGroupOnly ","")&amp;IF($N46="Yes","BroadAzureScope ","")&amp;IF($T46="Yes","AlsoEntraRole ","")))</f>
        <v/>
      </c>
      <c r="AJ46" s="85">
        <f>IF($A46="","",IF(AD46="","Not Enrolled",IF(TODAY()&gt;AD46,"Review Overdue",IF(AD46-TODAY()&lt;=30,"Review Due Soon","Active"))))</f>
        <v/>
      </c>
      <c r="AK46" s="85">
        <f>IF($A46="","",IF(AE46="","NOT REVIEWED",IF(TODAY()-AE46&gt;90,"OVERDUE",IF(TODAY()-AE46&gt;76,"Due Soon","Current"))))</f>
        <v/>
      </c>
    </row>
    <row r="47" ht="15" customHeight="1" s="39">
      <c r="A47" s="85" t="n"/>
      <c r="B47" s="85" t="n"/>
      <c r="C47" s="85" t="n"/>
      <c r="D47" s="85" t="n"/>
      <c r="E47" s="85" t="n"/>
      <c r="F47" s="86" t="n"/>
      <c r="G47" s="86" t="n"/>
      <c r="H47" s="85" t="n"/>
      <c r="I47" s="85" t="n"/>
      <c r="J47" s="85" t="n"/>
      <c r="K47" s="85" t="n"/>
      <c r="L47" s="85" t="n"/>
      <c r="M47" s="85" t="n"/>
      <c r="N47" s="85" t="n"/>
      <c r="O47" s="85" t="n"/>
      <c r="P47" s="85" t="n"/>
      <c r="Q47" s="85" t="n"/>
      <c r="R47" s="85" t="n"/>
      <c r="S47" s="85" t="n"/>
      <c r="T47" s="85" t="n"/>
      <c r="U47" s="85" t="n"/>
      <c r="V47" s="85" t="n"/>
      <c r="W47" s="85" t="n"/>
      <c r="X47" s="85" t="n"/>
      <c r="Y47" s="85" t="n"/>
      <c r="Z47" s="85" t="n"/>
      <c r="AA47" s="85" t="n"/>
      <c r="AB47" s="85" t="n"/>
      <c r="AC47" s="86" t="n"/>
      <c r="AD47" s="86" t="n"/>
      <c r="AE47" s="86" t="n"/>
      <c r="AF47" s="85" t="n"/>
      <c r="AG47" s="85" t="n"/>
      <c r="AH47" s="85">
        <f>IF($A47="","",IF(AND($E47="Yes",OR($V47="No",$V47="NOT FOUND")),"YES",""))</f>
        <v/>
      </c>
      <c r="AI47" s="85">
        <f>IF($A47="","",TRIM(IF(AND($M47=0,$I47&lt;&gt;"Yes"),"T0-NoPhishResistant ","")&amp;IF($H47="No","NoMFA ","")&amp;IF(AND($M47=0,$O47="Group only"),"T0-ViaGroupOnly ","")&amp;IF($N47="Yes","BroadAzureScope ","")&amp;IF($T47="Yes","AlsoEntraRole ","")))</f>
        <v/>
      </c>
      <c r="AJ47" s="85">
        <f>IF($A47="","",IF(AD47="","Not Enrolled",IF(TODAY()&gt;AD47,"Review Overdue",IF(AD47-TODAY()&lt;=30,"Review Due Soon","Active"))))</f>
        <v/>
      </c>
      <c r="AK47" s="85">
        <f>IF($A47="","",IF(AE47="","NOT REVIEWED",IF(TODAY()-AE47&gt;90,"OVERDUE",IF(TODAY()-AE47&gt;76,"Due Soon","Current"))))</f>
        <v/>
      </c>
    </row>
    <row r="48" ht="15" customHeight="1" s="39">
      <c r="A48" s="85" t="n"/>
      <c r="B48" s="85" t="n"/>
      <c r="C48" s="85" t="n"/>
      <c r="D48" s="85" t="n"/>
      <c r="E48" s="85" t="n"/>
      <c r="F48" s="86" t="n"/>
      <c r="G48" s="86" t="n"/>
      <c r="H48" s="85" t="n"/>
      <c r="I48" s="85" t="n"/>
      <c r="J48" s="85" t="n"/>
      <c r="K48" s="85" t="n"/>
      <c r="L48" s="85" t="n"/>
      <c r="M48" s="85" t="n"/>
      <c r="N48" s="85" t="n"/>
      <c r="O48" s="85" t="n"/>
      <c r="P48" s="85" t="n"/>
      <c r="Q48" s="85" t="n"/>
      <c r="R48" s="85" t="n"/>
      <c r="S48" s="85" t="n"/>
      <c r="T48" s="85" t="n"/>
      <c r="U48" s="85" t="n"/>
      <c r="V48" s="85" t="n"/>
      <c r="W48" s="85" t="n"/>
      <c r="X48" s="85" t="n"/>
      <c r="Y48" s="85" t="n"/>
      <c r="Z48" s="85" t="n"/>
      <c r="AA48" s="85" t="n"/>
      <c r="AB48" s="85" t="n"/>
      <c r="AC48" s="86" t="n"/>
      <c r="AD48" s="86" t="n"/>
      <c r="AE48" s="86" t="n"/>
      <c r="AF48" s="85" t="n"/>
      <c r="AG48" s="85" t="n"/>
      <c r="AH48" s="85">
        <f>IF($A48="","",IF(AND($E48="Yes",OR($V48="No",$V48="NOT FOUND")),"YES",""))</f>
        <v/>
      </c>
      <c r="AI48" s="85">
        <f>IF($A48="","",TRIM(IF(AND($M48=0,$I48&lt;&gt;"Yes"),"T0-NoPhishResistant ","")&amp;IF($H48="No","NoMFA ","")&amp;IF(AND($M48=0,$O48="Group only"),"T0-ViaGroupOnly ","")&amp;IF($N48="Yes","BroadAzureScope ","")&amp;IF($T48="Yes","AlsoEntraRole ","")))</f>
        <v/>
      </c>
      <c r="AJ48" s="85">
        <f>IF($A48="","",IF(AD48="","Not Enrolled",IF(TODAY()&gt;AD48,"Review Overdue",IF(AD48-TODAY()&lt;=30,"Review Due Soon","Active"))))</f>
        <v/>
      </c>
      <c r="AK48" s="85">
        <f>IF($A48="","",IF(AE48="","NOT REVIEWED",IF(TODAY()-AE48&gt;90,"OVERDUE",IF(TODAY()-AE48&gt;76,"Due Soon","Current"))))</f>
        <v/>
      </c>
    </row>
    <row r="49" ht="15" customHeight="1" s="39">
      <c r="A49" s="85" t="n"/>
      <c r="B49" s="85" t="n"/>
      <c r="C49" s="85" t="n"/>
      <c r="D49" s="85" t="n"/>
      <c r="E49" s="85" t="n"/>
      <c r="F49" s="86" t="n"/>
      <c r="G49" s="86" t="n"/>
      <c r="H49" s="85" t="n"/>
      <c r="I49" s="85" t="n"/>
      <c r="J49" s="85" t="n"/>
      <c r="K49" s="85" t="n"/>
      <c r="L49" s="85" t="n"/>
      <c r="M49" s="85" t="n"/>
      <c r="N49" s="85" t="n"/>
      <c r="O49" s="85" t="n"/>
      <c r="P49" s="85" t="n"/>
      <c r="Q49" s="85" t="n"/>
      <c r="R49" s="85" t="n"/>
      <c r="S49" s="85" t="n"/>
      <c r="T49" s="85" t="n"/>
      <c r="U49" s="85" t="n"/>
      <c r="V49" s="85" t="n"/>
      <c r="W49" s="85" t="n"/>
      <c r="X49" s="85" t="n"/>
      <c r="Y49" s="85" t="n"/>
      <c r="Z49" s="85" t="n"/>
      <c r="AA49" s="85" t="n"/>
      <c r="AB49" s="85" t="n"/>
      <c r="AC49" s="86" t="n"/>
      <c r="AD49" s="86" t="n"/>
      <c r="AE49" s="86" t="n"/>
      <c r="AF49" s="85" t="n"/>
      <c r="AG49" s="85" t="n"/>
      <c r="AH49" s="85">
        <f>IF($A49="","",IF(AND($E49="Yes",OR($V49="No",$V49="NOT FOUND")),"YES",""))</f>
        <v/>
      </c>
      <c r="AI49" s="85">
        <f>IF($A49="","",TRIM(IF(AND($M49=0,$I49&lt;&gt;"Yes"),"T0-NoPhishResistant ","")&amp;IF($H49="No","NoMFA ","")&amp;IF(AND($M49=0,$O49="Group only"),"T0-ViaGroupOnly ","")&amp;IF($N49="Yes","BroadAzureScope ","")&amp;IF($T49="Yes","AlsoEntraRole ","")))</f>
        <v/>
      </c>
      <c r="AJ49" s="85">
        <f>IF($A49="","",IF(AD49="","Not Enrolled",IF(TODAY()&gt;AD49,"Review Overdue",IF(AD49-TODAY()&lt;=30,"Review Due Soon","Active"))))</f>
        <v/>
      </c>
      <c r="AK49" s="85">
        <f>IF($A49="","",IF(AE49="","NOT REVIEWED",IF(TODAY()-AE49&gt;90,"OVERDUE",IF(TODAY()-AE49&gt;76,"Due Soon","Current"))))</f>
        <v/>
      </c>
    </row>
    <row r="50" ht="15" customHeight="1" s="39">
      <c r="A50" s="85" t="n"/>
      <c r="B50" s="85" t="n"/>
      <c r="C50" s="85" t="n"/>
      <c r="D50" s="85" t="n"/>
      <c r="E50" s="85" t="n"/>
      <c r="F50" s="86" t="n"/>
      <c r="G50" s="86" t="n"/>
      <c r="H50" s="85" t="n"/>
      <c r="I50" s="85" t="n"/>
      <c r="J50" s="85" t="n"/>
      <c r="K50" s="85" t="n"/>
      <c r="L50" s="85" t="n"/>
      <c r="M50" s="85" t="n"/>
      <c r="N50" s="85" t="n"/>
      <c r="O50" s="85" t="n"/>
      <c r="P50" s="85" t="n"/>
      <c r="Q50" s="85" t="n"/>
      <c r="R50" s="85" t="n"/>
      <c r="S50" s="85" t="n"/>
      <c r="T50" s="85" t="n"/>
      <c r="U50" s="85" t="n"/>
      <c r="V50" s="85" t="n"/>
      <c r="W50" s="85" t="n"/>
      <c r="X50" s="85" t="n"/>
      <c r="Y50" s="85" t="n"/>
      <c r="Z50" s="85" t="n"/>
      <c r="AA50" s="85" t="n"/>
      <c r="AB50" s="85" t="n"/>
      <c r="AC50" s="86" t="n"/>
      <c r="AD50" s="86" t="n"/>
      <c r="AE50" s="86" t="n"/>
      <c r="AF50" s="85" t="n"/>
      <c r="AG50" s="85" t="n"/>
      <c r="AH50" s="85">
        <f>IF($A50="","",IF(AND($E50="Yes",OR($V50="No",$V50="NOT FOUND")),"YES",""))</f>
        <v/>
      </c>
      <c r="AI50" s="85">
        <f>IF($A50="","",TRIM(IF(AND($M50=0,$I50&lt;&gt;"Yes"),"T0-NoPhishResistant ","")&amp;IF($H50="No","NoMFA ","")&amp;IF(AND($M50=0,$O50="Group only"),"T0-ViaGroupOnly ","")&amp;IF($N50="Yes","BroadAzureScope ","")&amp;IF($T50="Yes","AlsoEntraRole ","")))</f>
        <v/>
      </c>
      <c r="AJ50" s="85">
        <f>IF($A50="","",IF(AD50="","Not Enrolled",IF(TODAY()&gt;AD50,"Review Overdue",IF(AD50-TODAY()&lt;=30,"Review Due Soon","Active"))))</f>
        <v/>
      </c>
      <c r="AK50" s="85">
        <f>IF($A50="","",IF(AE50="","NOT REVIEWED",IF(TODAY()-AE50&gt;90,"OVERDUE",IF(TODAY()-AE50&gt;76,"Due Soon","Current"))))</f>
        <v/>
      </c>
    </row>
    <row r="51" ht="15" customHeight="1" s="39">
      <c r="A51" s="85" t="n"/>
      <c r="B51" s="85" t="n"/>
      <c r="C51" s="85" t="n"/>
      <c r="D51" s="85" t="n"/>
      <c r="E51" s="85" t="n"/>
      <c r="F51" s="86" t="n"/>
      <c r="G51" s="86" t="n"/>
      <c r="H51" s="85" t="n"/>
      <c r="I51" s="85" t="n"/>
      <c r="J51" s="85" t="n"/>
      <c r="K51" s="85" t="n"/>
      <c r="L51" s="85" t="n"/>
      <c r="M51" s="85" t="n"/>
      <c r="N51" s="85" t="n"/>
      <c r="O51" s="85" t="n"/>
      <c r="P51" s="85" t="n"/>
      <c r="Q51" s="85" t="n"/>
      <c r="R51" s="85" t="n"/>
      <c r="S51" s="85" t="n"/>
      <c r="T51" s="85" t="n"/>
      <c r="U51" s="85" t="n"/>
      <c r="V51" s="85" t="n"/>
      <c r="W51" s="85" t="n"/>
      <c r="X51" s="85" t="n"/>
      <c r="Y51" s="85" t="n"/>
      <c r="Z51" s="85" t="n"/>
      <c r="AA51" s="85" t="n"/>
      <c r="AB51" s="85" t="n"/>
      <c r="AC51" s="86" t="n"/>
      <c r="AD51" s="86" t="n"/>
      <c r="AE51" s="86" t="n"/>
      <c r="AF51" s="85" t="n"/>
      <c r="AG51" s="85" t="n"/>
      <c r="AH51" s="85">
        <f>IF($A51="","",IF(AND($E51="Yes",OR($V51="No",$V51="NOT FOUND")),"YES",""))</f>
        <v/>
      </c>
      <c r="AI51" s="85">
        <f>IF($A51="","",TRIM(IF(AND($M51=0,$I51&lt;&gt;"Yes"),"T0-NoPhishResistant ","")&amp;IF($H51="No","NoMFA ","")&amp;IF(AND($M51=0,$O51="Group only"),"T0-ViaGroupOnly ","")&amp;IF($N51="Yes","BroadAzureScope ","")&amp;IF($T51="Yes","AlsoEntraRole ","")))</f>
        <v/>
      </c>
      <c r="AJ51" s="85">
        <f>IF($A51="","",IF(AD51="","Not Enrolled",IF(TODAY()&gt;AD51,"Review Overdue",IF(AD51-TODAY()&lt;=30,"Review Due Soon","Active"))))</f>
        <v/>
      </c>
      <c r="AK51" s="85">
        <f>IF($A51="","",IF(AE51="","NOT REVIEWED",IF(TODAY()-AE51&gt;90,"OVERDUE",IF(TODAY()-AE51&gt;76,"Due Soon","Current"))))</f>
        <v/>
      </c>
    </row>
    <row r="52" ht="15" customHeight="1" s="39">
      <c r="A52" s="85" t="n"/>
      <c r="B52" s="85" t="n"/>
      <c r="C52" s="85" t="n"/>
      <c r="D52" s="85" t="n"/>
      <c r="E52" s="85" t="n"/>
      <c r="F52" s="86" t="n"/>
      <c r="G52" s="86" t="n"/>
      <c r="H52" s="85" t="n"/>
      <c r="I52" s="85" t="n"/>
      <c r="J52" s="85" t="n"/>
      <c r="K52" s="85" t="n"/>
      <c r="L52" s="85" t="n"/>
      <c r="M52" s="85" t="n"/>
      <c r="N52" s="85" t="n"/>
      <c r="O52" s="85" t="n"/>
      <c r="P52" s="85" t="n"/>
      <c r="Q52" s="85" t="n"/>
      <c r="R52" s="85" t="n"/>
      <c r="S52" s="85" t="n"/>
      <c r="T52" s="85" t="n"/>
      <c r="U52" s="85" t="n"/>
      <c r="V52" s="85" t="n"/>
      <c r="W52" s="85" t="n"/>
      <c r="X52" s="85" t="n"/>
      <c r="Y52" s="85" t="n"/>
      <c r="Z52" s="85" t="n"/>
      <c r="AA52" s="85" t="n"/>
      <c r="AB52" s="85" t="n"/>
      <c r="AC52" s="86" t="n"/>
      <c r="AD52" s="86" t="n"/>
      <c r="AE52" s="86" t="n"/>
      <c r="AF52" s="85" t="n"/>
      <c r="AG52" s="85" t="n"/>
      <c r="AH52" s="85">
        <f>IF($A52="","",IF(AND($E52="Yes",OR($V52="No",$V52="NOT FOUND")),"YES",""))</f>
        <v/>
      </c>
      <c r="AI52" s="85">
        <f>IF($A52="","",TRIM(IF(AND($M52=0,$I52&lt;&gt;"Yes"),"T0-NoPhishResistant ","")&amp;IF($H52="No","NoMFA ","")&amp;IF(AND($M52=0,$O52="Group only"),"T0-ViaGroupOnly ","")&amp;IF($N52="Yes","BroadAzureScope ","")&amp;IF($T52="Yes","AlsoEntraRole ","")))</f>
        <v/>
      </c>
      <c r="AJ52" s="85">
        <f>IF($A52="","",IF(AD52="","Not Enrolled",IF(TODAY()&gt;AD52,"Review Overdue",IF(AD52-TODAY()&lt;=30,"Review Due Soon","Active"))))</f>
        <v/>
      </c>
      <c r="AK52" s="85">
        <f>IF($A52="","",IF(AE52="","NOT REVIEWED",IF(TODAY()-AE52&gt;90,"OVERDUE",IF(TODAY()-AE52&gt;76,"Due Soon","Current"))))</f>
        <v/>
      </c>
    </row>
    <row r="53" ht="15" customHeight="1" s="39">
      <c r="A53" s="85" t="n"/>
      <c r="B53" s="85" t="n"/>
      <c r="C53" s="85" t="n"/>
      <c r="D53" s="85" t="n"/>
      <c r="E53" s="85" t="n"/>
      <c r="F53" s="86" t="n"/>
      <c r="G53" s="86" t="n"/>
      <c r="H53" s="85" t="n"/>
      <c r="I53" s="85" t="n"/>
      <c r="J53" s="85" t="n"/>
      <c r="K53" s="85" t="n"/>
      <c r="L53" s="85" t="n"/>
      <c r="M53" s="85" t="n"/>
      <c r="N53" s="85" t="n"/>
      <c r="O53" s="85" t="n"/>
      <c r="P53" s="85" t="n"/>
      <c r="Q53" s="85" t="n"/>
      <c r="R53" s="85" t="n"/>
      <c r="S53" s="85" t="n"/>
      <c r="T53" s="85" t="n"/>
      <c r="U53" s="85" t="n"/>
      <c r="V53" s="85" t="n"/>
      <c r="W53" s="85" t="n"/>
      <c r="X53" s="85" t="n"/>
      <c r="Y53" s="85" t="n"/>
      <c r="Z53" s="85" t="n"/>
      <c r="AA53" s="85" t="n"/>
      <c r="AB53" s="85" t="n"/>
      <c r="AC53" s="86" t="n"/>
      <c r="AD53" s="86" t="n"/>
      <c r="AE53" s="86" t="n"/>
      <c r="AF53" s="85" t="n"/>
      <c r="AG53" s="85" t="n"/>
      <c r="AH53" s="85">
        <f>IF($A53="","",IF(AND($E53="Yes",OR($V53="No",$V53="NOT FOUND")),"YES",""))</f>
        <v/>
      </c>
      <c r="AI53" s="85">
        <f>IF($A53="","",TRIM(IF(AND($M53=0,$I53&lt;&gt;"Yes"),"T0-NoPhishResistant ","")&amp;IF($H53="No","NoMFA ","")&amp;IF(AND($M53=0,$O53="Group only"),"T0-ViaGroupOnly ","")&amp;IF($N53="Yes","BroadAzureScope ","")&amp;IF($T53="Yes","AlsoEntraRole ","")))</f>
        <v/>
      </c>
      <c r="AJ53" s="85">
        <f>IF($A53="","",IF(AD53="","Not Enrolled",IF(TODAY()&gt;AD53,"Review Overdue",IF(AD53-TODAY()&lt;=30,"Review Due Soon","Active"))))</f>
        <v/>
      </c>
      <c r="AK53" s="85">
        <f>IF($A53="","",IF(AE53="","NOT REVIEWED",IF(TODAY()-AE53&gt;90,"OVERDUE",IF(TODAY()-AE53&gt;76,"Due Soon","Current"))))</f>
        <v/>
      </c>
    </row>
    <row r="54" ht="15" customHeight="1" s="39">
      <c r="A54" s="85" t="n"/>
      <c r="B54" s="85" t="n"/>
      <c r="C54" s="85" t="n"/>
      <c r="D54" s="85" t="n"/>
      <c r="E54" s="85" t="n"/>
      <c r="F54" s="86" t="n"/>
      <c r="G54" s="86" t="n"/>
      <c r="H54" s="85" t="n"/>
      <c r="I54" s="85" t="n"/>
      <c r="J54" s="85" t="n"/>
      <c r="K54" s="85" t="n"/>
      <c r="L54" s="85" t="n"/>
      <c r="M54" s="85" t="n"/>
      <c r="N54" s="85" t="n"/>
      <c r="O54" s="85" t="n"/>
      <c r="P54" s="85" t="n"/>
      <c r="Q54" s="85" t="n"/>
      <c r="R54" s="85" t="n"/>
      <c r="S54" s="85" t="n"/>
      <c r="T54" s="85" t="n"/>
      <c r="U54" s="85" t="n"/>
      <c r="V54" s="85" t="n"/>
      <c r="W54" s="85" t="n"/>
      <c r="X54" s="85" t="n"/>
      <c r="Y54" s="85" t="n"/>
      <c r="Z54" s="85" t="n"/>
      <c r="AA54" s="85" t="n"/>
      <c r="AB54" s="85" t="n"/>
      <c r="AC54" s="86" t="n"/>
      <c r="AD54" s="86" t="n"/>
      <c r="AE54" s="86" t="n"/>
      <c r="AF54" s="85" t="n"/>
      <c r="AG54" s="85" t="n"/>
      <c r="AH54" s="85">
        <f>IF($A54="","",IF(AND($E54="Yes",OR($V54="No",$V54="NOT FOUND")),"YES",""))</f>
        <v/>
      </c>
      <c r="AI54" s="85">
        <f>IF($A54="","",TRIM(IF(AND($M54=0,$I54&lt;&gt;"Yes"),"T0-NoPhishResistant ","")&amp;IF($H54="No","NoMFA ","")&amp;IF(AND($M54=0,$O54="Group only"),"T0-ViaGroupOnly ","")&amp;IF($N54="Yes","BroadAzureScope ","")&amp;IF($T54="Yes","AlsoEntraRole ","")))</f>
        <v/>
      </c>
      <c r="AJ54" s="85">
        <f>IF($A54="","",IF(AD54="","Not Enrolled",IF(TODAY()&gt;AD54,"Review Overdue",IF(AD54-TODAY()&lt;=30,"Review Due Soon","Active"))))</f>
        <v/>
      </c>
      <c r="AK54" s="85">
        <f>IF($A54="","",IF(AE54="","NOT REVIEWED",IF(TODAY()-AE54&gt;90,"OVERDUE",IF(TODAY()-AE54&gt;76,"Due Soon","Current"))))</f>
        <v/>
      </c>
    </row>
    <row r="55" ht="15" customHeight="1" s="39">
      <c r="A55" s="85" t="n"/>
      <c r="B55" s="85" t="n"/>
      <c r="C55" s="85" t="n"/>
      <c r="D55" s="85" t="n"/>
      <c r="E55" s="85" t="n"/>
      <c r="F55" s="86" t="n"/>
      <c r="G55" s="86" t="n"/>
      <c r="H55" s="85" t="n"/>
      <c r="I55" s="85" t="n"/>
      <c r="J55" s="85" t="n"/>
      <c r="K55" s="85" t="n"/>
      <c r="L55" s="85" t="n"/>
      <c r="M55" s="85" t="n"/>
      <c r="N55" s="85" t="n"/>
      <c r="O55" s="85" t="n"/>
      <c r="P55" s="85" t="n"/>
      <c r="Q55" s="85" t="n"/>
      <c r="R55" s="85" t="n"/>
      <c r="S55" s="85" t="n"/>
      <c r="T55" s="85" t="n"/>
      <c r="U55" s="85" t="n"/>
      <c r="V55" s="85" t="n"/>
      <c r="W55" s="85" t="n"/>
      <c r="X55" s="85" t="n"/>
      <c r="Y55" s="85" t="n"/>
      <c r="Z55" s="85" t="n"/>
      <c r="AA55" s="85" t="n"/>
      <c r="AB55" s="85" t="n"/>
      <c r="AC55" s="86" t="n"/>
      <c r="AD55" s="86" t="n"/>
      <c r="AE55" s="86" t="n"/>
      <c r="AF55" s="85" t="n"/>
      <c r="AG55" s="85" t="n"/>
      <c r="AH55" s="85">
        <f>IF($A55="","",IF(AND($E55="Yes",OR($V55="No",$V55="NOT FOUND")),"YES",""))</f>
        <v/>
      </c>
      <c r="AI55" s="85">
        <f>IF($A55="","",TRIM(IF(AND($M55=0,$I55&lt;&gt;"Yes"),"T0-NoPhishResistant ","")&amp;IF($H55="No","NoMFA ","")&amp;IF(AND($M55=0,$O55="Group only"),"T0-ViaGroupOnly ","")&amp;IF($N55="Yes","BroadAzureScope ","")&amp;IF($T55="Yes","AlsoEntraRole ","")))</f>
        <v/>
      </c>
      <c r="AJ55" s="85">
        <f>IF($A55="","",IF(AD55="","Not Enrolled",IF(TODAY()&gt;AD55,"Review Overdue",IF(AD55-TODAY()&lt;=30,"Review Due Soon","Active"))))</f>
        <v/>
      </c>
      <c r="AK55" s="85">
        <f>IF($A55="","",IF(AE55="","NOT REVIEWED",IF(TODAY()-AE55&gt;90,"OVERDUE",IF(TODAY()-AE55&gt;76,"Due Soon","Current"))))</f>
        <v/>
      </c>
    </row>
    <row r="56" ht="15" customHeight="1" s="39">
      <c r="A56" s="85" t="n"/>
      <c r="B56" s="85" t="n"/>
      <c r="C56" s="85" t="n"/>
      <c r="D56" s="85" t="n"/>
      <c r="E56" s="85" t="n"/>
      <c r="F56" s="86" t="n"/>
      <c r="G56" s="86" t="n"/>
      <c r="H56" s="85" t="n"/>
      <c r="I56" s="85" t="n"/>
      <c r="J56" s="85" t="n"/>
      <c r="K56" s="85" t="n"/>
      <c r="L56" s="85" t="n"/>
      <c r="M56" s="85" t="n"/>
      <c r="N56" s="85" t="n"/>
      <c r="O56" s="85" t="n"/>
      <c r="P56" s="85" t="n"/>
      <c r="Q56" s="85" t="n"/>
      <c r="R56" s="85" t="n"/>
      <c r="S56" s="85" t="n"/>
      <c r="T56" s="85" t="n"/>
      <c r="U56" s="85" t="n"/>
      <c r="V56" s="85" t="n"/>
      <c r="W56" s="85" t="n"/>
      <c r="X56" s="85" t="n"/>
      <c r="Y56" s="85" t="n"/>
      <c r="Z56" s="85" t="n"/>
      <c r="AA56" s="85" t="n"/>
      <c r="AB56" s="85" t="n"/>
      <c r="AC56" s="86" t="n"/>
      <c r="AD56" s="86" t="n"/>
      <c r="AE56" s="86" t="n"/>
      <c r="AF56" s="85" t="n"/>
      <c r="AG56" s="85" t="n"/>
      <c r="AH56" s="85">
        <f>IF($A56="","",IF(AND($E56="Yes",OR($V56="No",$V56="NOT FOUND")),"YES",""))</f>
        <v/>
      </c>
      <c r="AI56" s="85">
        <f>IF($A56="","",TRIM(IF(AND($M56=0,$I56&lt;&gt;"Yes"),"T0-NoPhishResistant ","")&amp;IF($H56="No","NoMFA ","")&amp;IF(AND($M56=0,$O56="Group only"),"T0-ViaGroupOnly ","")&amp;IF($N56="Yes","BroadAzureScope ","")&amp;IF($T56="Yes","AlsoEntraRole ","")))</f>
        <v/>
      </c>
      <c r="AJ56" s="85">
        <f>IF($A56="","",IF(AD56="","Not Enrolled",IF(TODAY()&gt;AD56,"Review Overdue",IF(AD56-TODAY()&lt;=30,"Review Due Soon","Active"))))</f>
        <v/>
      </c>
      <c r="AK56" s="85">
        <f>IF($A56="","",IF(AE56="","NOT REVIEWED",IF(TODAY()-AE56&gt;90,"OVERDUE",IF(TODAY()-AE56&gt;76,"Due Soon","Current"))))</f>
        <v/>
      </c>
    </row>
    <row r="57" ht="15" customHeight="1" s="39">
      <c r="A57" s="85" t="n"/>
      <c r="B57" s="85" t="n"/>
      <c r="C57" s="85" t="n"/>
      <c r="D57" s="85" t="n"/>
      <c r="E57" s="85" t="n"/>
      <c r="F57" s="86" t="n"/>
      <c r="G57" s="86" t="n"/>
      <c r="H57" s="85" t="n"/>
      <c r="I57" s="85" t="n"/>
      <c r="J57" s="85" t="n"/>
      <c r="K57" s="85" t="n"/>
      <c r="L57" s="85" t="n"/>
      <c r="M57" s="85" t="n"/>
      <c r="N57" s="85" t="n"/>
      <c r="O57" s="85" t="n"/>
      <c r="P57" s="85" t="n"/>
      <c r="Q57" s="85" t="n"/>
      <c r="R57" s="85" t="n"/>
      <c r="S57" s="85" t="n"/>
      <c r="T57" s="85" t="n"/>
      <c r="U57" s="85" t="n"/>
      <c r="V57" s="85" t="n"/>
      <c r="W57" s="85" t="n"/>
      <c r="X57" s="85" t="n"/>
      <c r="Y57" s="85" t="n"/>
      <c r="Z57" s="85" t="n"/>
      <c r="AA57" s="85" t="n"/>
      <c r="AB57" s="85" t="n"/>
      <c r="AC57" s="86" t="n"/>
      <c r="AD57" s="86" t="n"/>
      <c r="AE57" s="86" t="n"/>
      <c r="AF57" s="85" t="n"/>
      <c r="AG57" s="85" t="n"/>
      <c r="AH57" s="85">
        <f>IF($A57="","",IF(AND($E57="Yes",OR($V57="No",$V57="NOT FOUND")),"YES",""))</f>
        <v/>
      </c>
      <c r="AI57" s="85">
        <f>IF($A57="","",TRIM(IF(AND($M57=0,$I57&lt;&gt;"Yes"),"T0-NoPhishResistant ","")&amp;IF($H57="No","NoMFA ","")&amp;IF(AND($M57=0,$O57="Group only"),"T0-ViaGroupOnly ","")&amp;IF($N57="Yes","BroadAzureScope ","")&amp;IF($T57="Yes","AlsoEntraRole ","")))</f>
        <v/>
      </c>
      <c r="AJ57" s="85">
        <f>IF($A57="","",IF(AD57="","Not Enrolled",IF(TODAY()&gt;AD57,"Review Overdue",IF(AD57-TODAY()&lt;=30,"Review Due Soon","Active"))))</f>
        <v/>
      </c>
      <c r="AK57" s="85">
        <f>IF($A57="","",IF(AE57="","NOT REVIEWED",IF(TODAY()-AE57&gt;90,"OVERDUE",IF(TODAY()-AE57&gt;76,"Due Soon","Current"))))</f>
        <v/>
      </c>
    </row>
    <row r="58" ht="15" customHeight="1" s="39">
      <c r="A58" s="85" t="n"/>
      <c r="B58" s="85" t="n"/>
      <c r="C58" s="85" t="n"/>
      <c r="D58" s="85" t="n"/>
      <c r="E58" s="85" t="n"/>
      <c r="F58" s="86" t="n"/>
      <c r="G58" s="86" t="n"/>
      <c r="H58" s="85" t="n"/>
      <c r="I58" s="85" t="n"/>
      <c r="J58" s="85" t="n"/>
      <c r="K58" s="85" t="n"/>
      <c r="L58" s="85" t="n"/>
      <c r="M58" s="85" t="n"/>
      <c r="N58" s="85" t="n"/>
      <c r="O58" s="85" t="n"/>
      <c r="P58" s="85" t="n"/>
      <c r="Q58" s="85" t="n"/>
      <c r="R58" s="85" t="n"/>
      <c r="S58" s="85" t="n"/>
      <c r="T58" s="85" t="n"/>
      <c r="U58" s="85" t="n"/>
      <c r="V58" s="85" t="n"/>
      <c r="W58" s="85" t="n"/>
      <c r="X58" s="85" t="n"/>
      <c r="Y58" s="85" t="n"/>
      <c r="Z58" s="85" t="n"/>
      <c r="AA58" s="85" t="n"/>
      <c r="AB58" s="85" t="n"/>
      <c r="AC58" s="86" t="n"/>
      <c r="AD58" s="86" t="n"/>
      <c r="AE58" s="86" t="n"/>
      <c r="AF58" s="85" t="n"/>
      <c r="AG58" s="85" t="n"/>
      <c r="AH58" s="85">
        <f>IF($A58="","",IF(AND($E58="Yes",OR($V58="No",$V58="NOT FOUND")),"YES",""))</f>
        <v/>
      </c>
      <c r="AI58" s="85">
        <f>IF($A58="","",TRIM(IF(AND($M58=0,$I58&lt;&gt;"Yes"),"T0-NoPhishResistant ","")&amp;IF($H58="No","NoMFA ","")&amp;IF(AND($M58=0,$O58="Group only"),"T0-ViaGroupOnly ","")&amp;IF($N58="Yes","BroadAzureScope ","")&amp;IF($T58="Yes","AlsoEntraRole ","")))</f>
        <v/>
      </c>
      <c r="AJ58" s="85">
        <f>IF($A58="","",IF(AD58="","Not Enrolled",IF(TODAY()&gt;AD58,"Review Overdue",IF(AD58-TODAY()&lt;=30,"Review Due Soon","Active"))))</f>
        <v/>
      </c>
      <c r="AK58" s="85">
        <f>IF($A58="","",IF(AE58="","NOT REVIEWED",IF(TODAY()-AE58&gt;90,"OVERDUE",IF(TODAY()-AE58&gt;76,"Due Soon","Current"))))</f>
        <v/>
      </c>
    </row>
    <row r="59" ht="15" customHeight="1" s="39">
      <c r="A59" s="85" t="n"/>
      <c r="B59" s="85" t="n"/>
      <c r="C59" s="85" t="n"/>
      <c r="D59" s="85" t="n"/>
      <c r="E59" s="85" t="n"/>
      <c r="F59" s="86" t="n"/>
      <c r="G59" s="86" t="n"/>
      <c r="H59" s="85" t="n"/>
      <c r="I59" s="85" t="n"/>
      <c r="J59" s="85" t="n"/>
      <c r="K59" s="85" t="n"/>
      <c r="L59" s="85" t="n"/>
      <c r="M59" s="85" t="n"/>
      <c r="N59" s="85" t="n"/>
      <c r="O59" s="85" t="n"/>
      <c r="P59" s="85" t="n"/>
      <c r="Q59" s="85" t="n"/>
      <c r="R59" s="85" t="n"/>
      <c r="S59" s="85" t="n"/>
      <c r="T59" s="85" t="n"/>
      <c r="U59" s="85" t="n"/>
      <c r="V59" s="85" t="n"/>
      <c r="W59" s="85" t="n"/>
      <c r="X59" s="85" t="n"/>
      <c r="Y59" s="85" t="n"/>
      <c r="Z59" s="85" t="n"/>
      <c r="AA59" s="85" t="n"/>
      <c r="AB59" s="85" t="n"/>
      <c r="AC59" s="86" t="n"/>
      <c r="AD59" s="86" t="n"/>
      <c r="AE59" s="86" t="n"/>
      <c r="AF59" s="85" t="n"/>
      <c r="AG59" s="85" t="n"/>
      <c r="AH59" s="85">
        <f>IF($A59="","",IF(AND($E59="Yes",OR($V59="No",$V59="NOT FOUND")),"YES",""))</f>
        <v/>
      </c>
      <c r="AI59" s="85">
        <f>IF($A59="","",TRIM(IF(AND($M59=0,$I59&lt;&gt;"Yes"),"T0-NoPhishResistant ","")&amp;IF($H59="No","NoMFA ","")&amp;IF(AND($M59=0,$O59="Group only"),"T0-ViaGroupOnly ","")&amp;IF($N59="Yes","BroadAzureScope ","")&amp;IF($T59="Yes","AlsoEntraRole ","")))</f>
        <v/>
      </c>
      <c r="AJ59" s="85">
        <f>IF($A59="","",IF(AD59="","Not Enrolled",IF(TODAY()&gt;AD59,"Review Overdue",IF(AD59-TODAY()&lt;=30,"Review Due Soon","Active"))))</f>
        <v/>
      </c>
      <c r="AK59" s="85">
        <f>IF($A59="","",IF(AE59="","NOT REVIEWED",IF(TODAY()-AE59&gt;90,"OVERDUE",IF(TODAY()-AE59&gt;76,"Due Soon","Current"))))</f>
        <v/>
      </c>
    </row>
    <row r="60" ht="15" customHeight="1" s="39">
      <c r="A60" s="85" t="n"/>
      <c r="B60" s="85" t="n"/>
      <c r="C60" s="85" t="n"/>
      <c r="D60" s="85" t="n"/>
      <c r="E60" s="85" t="n"/>
      <c r="F60" s="86" t="n"/>
      <c r="G60" s="86" t="n"/>
      <c r="H60" s="85" t="n"/>
      <c r="I60" s="85" t="n"/>
      <c r="J60" s="85" t="n"/>
      <c r="K60" s="85" t="n"/>
      <c r="L60" s="85" t="n"/>
      <c r="M60" s="85" t="n"/>
      <c r="N60" s="85" t="n"/>
      <c r="O60" s="85" t="n"/>
      <c r="P60" s="85" t="n"/>
      <c r="Q60" s="85" t="n"/>
      <c r="R60" s="85" t="n"/>
      <c r="S60" s="85" t="n"/>
      <c r="T60" s="85" t="n"/>
      <c r="U60" s="85" t="n"/>
      <c r="V60" s="85" t="n"/>
      <c r="W60" s="85" t="n"/>
      <c r="X60" s="85" t="n"/>
      <c r="Y60" s="85" t="n"/>
      <c r="Z60" s="85" t="n"/>
      <c r="AA60" s="85" t="n"/>
      <c r="AB60" s="85" t="n"/>
      <c r="AC60" s="86" t="n"/>
      <c r="AD60" s="86" t="n"/>
      <c r="AE60" s="86" t="n"/>
      <c r="AF60" s="85" t="n"/>
      <c r="AG60" s="85" t="n"/>
      <c r="AH60" s="85">
        <f>IF($A60="","",IF(AND($E60="Yes",OR($V60="No",$V60="NOT FOUND")),"YES",""))</f>
        <v/>
      </c>
      <c r="AI60" s="85">
        <f>IF($A60="","",TRIM(IF(AND($M60=0,$I60&lt;&gt;"Yes"),"T0-NoPhishResistant ","")&amp;IF($H60="No","NoMFA ","")&amp;IF(AND($M60=0,$O60="Group only"),"T0-ViaGroupOnly ","")&amp;IF($N60="Yes","BroadAzureScope ","")&amp;IF($T60="Yes","AlsoEntraRole ","")))</f>
        <v/>
      </c>
      <c r="AJ60" s="85">
        <f>IF($A60="","",IF(AD60="","Not Enrolled",IF(TODAY()&gt;AD60,"Review Overdue",IF(AD60-TODAY()&lt;=30,"Review Due Soon","Active"))))</f>
        <v/>
      </c>
      <c r="AK60" s="85">
        <f>IF($A60="","",IF(AE60="","NOT REVIEWED",IF(TODAY()-AE60&gt;90,"OVERDUE",IF(TODAY()-AE60&gt;76,"Due Soon","Current"))))</f>
        <v/>
      </c>
    </row>
    <row r="61" ht="15" customHeight="1" s="39">
      <c r="A61" s="85" t="n"/>
      <c r="B61" s="85" t="n"/>
      <c r="C61" s="85" t="n"/>
      <c r="D61" s="85" t="n"/>
      <c r="E61" s="85" t="n"/>
      <c r="F61" s="86" t="n"/>
      <c r="G61" s="86" t="n"/>
      <c r="H61" s="85" t="n"/>
      <c r="I61" s="85" t="n"/>
      <c r="J61" s="85" t="n"/>
      <c r="K61" s="85" t="n"/>
      <c r="L61" s="85" t="n"/>
      <c r="M61" s="85" t="n"/>
      <c r="N61" s="85" t="n"/>
      <c r="O61" s="85" t="n"/>
      <c r="P61" s="85" t="n"/>
      <c r="Q61" s="85" t="n"/>
      <c r="R61" s="85" t="n"/>
      <c r="S61" s="85" t="n"/>
      <c r="T61" s="85" t="n"/>
      <c r="U61" s="85" t="n"/>
      <c r="V61" s="85" t="n"/>
      <c r="W61" s="85" t="n"/>
      <c r="X61" s="85" t="n"/>
      <c r="Y61" s="85" t="n"/>
      <c r="Z61" s="85" t="n"/>
      <c r="AA61" s="85" t="n"/>
      <c r="AB61" s="85" t="n"/>
      <c r="AC61" s="86" t="n"/>
      <c r="AD61" s="86" t="n"/>
      <c r="AE61" s="86" t="n"/>
      <c r="AF61" s="85" t="n"/>
      <c r="AG61" s="85" t="n"/>
      <c r="AH61" s="85">
        <f>IF($A61="","",IF(AND($E61="Yes",OR($V61="No",$V61="NOT FOUND")),"YES",""))</f>
        <v/>
      </c>
      <c r="AI61" s="85">
        <f>IF($A61="","",TRIM(IF(AND($M61=0,$I61&lt;&gt;"Yes"),"T0-NoPhishResistant ","")&amp;IF($H61="No","NoMFA ","")&amp;IF(AND($M61=0,$O61="Group only"),"T0-ViaGroupOnly ","")&amp;IF($N61="Yes","BroadAzureScope ","")&amp;IF($T61="Yes","AlsoEntraRole ","")))</f>
        <v/>
      </c>
      <c r="AJ61" s="85">
        <f>IF($A61="","",IF(AD61="","Not Enrolled",IF(TODAY()&gt;AD61,"Review Overdue",IF(AD61-TODAY()&lt;=30,"Review Due Soon","Active"))))</f>
        <v/>
      </c>
      <c r="AK61" s="85">
        <f>IF($A61="","",IF(AE61="","NOT REVIEWED",IF(TODAY()-AE61&gt;90,"OVERDUE",IF(TODAY()-AE61&gt;76,"Due Soon","Current"))))</f>
        <v/>
      </c>
    </row>
    <row r="62" ht="15" customHeight="1" s="39">
      <c r="A62" s="85" t="n"/>
      <c r="B62" s="85" t="n"/>
      <c r="C62" s="85" t="n"/>
      <c r="D62" s="85" t="n"/>
      <c r="E62" s="85" t="n"/>
      <c r="F62" s="86" t="n"/>
      <c r="G62" s="86" t="n"/>
      <c r="H62" s="85" t="n"/>
      <c r="I62" s="85" t="n"/>
      <c r="J62" s="85" t="n"/>
      <c r="K62" s="85" t="n"/>
      <c r="L62" s="85" t="n"/>
      <c r="M62" s="85" t="n"/>
      <c r="N62" s="85" t="n"/>
      <c r="O62" s="85" t="n"/>
      <c r="P62" s="85" t="n"/>
      <c r="Q62" s="85" t="n"/>
      <c r="R62" s="85" t="n"/>
      <c r="S62" s="85" t="n"/>
      <c r="T62" s="85" t="n"/>
      <c r="U62" s="85" t="n"/>
      <c r="V62" s="85" t="n"/>
      <c r="W62" s="85" t="n"/>
      <c r="X62" s="85" t="n"/>
      <c r="Y62" s="85" t="n"/>
      <c r="Z62" s="85" t="n"/>
      <c r="AA62" s="85" t="n"/>
      <c r="AB62" s="85" t="n"/>
      <c r="AC62" s="86" t="n"/>
      <c r="AD62" s="86" t="n"/>
      <c r="AE62" s="86" t="n"/>
      <c r="AF62" s="85" t="n"/>
      <c r="AG62" s="85" t="n"/>
      <c r="AH62" s="85">
        <f>IF($A62="","",IF(AND($E62="Yes",OR($V62="No",$V62="NOT FOUND")),"YES",""))</f>
        <v/>
      </c>
      <c r="AI62" s="85">
        <f>IF($A62="","",TRIM(IF(AND($M62=0,$I62&lt;&gt;"Yes"),"T0-NoPhishResistant ","")&amp;IF($H62="No","NoMFA ","")&amp;IF(AND($M62=0,$O62="Group only"),"T0-ViaGroupOnly ","")&amp;IF($N62="Yes","BroadAzureScope ","")&amp;IF($T62="Yes","AlsoEntraRole ","")))</f>
        <v/>
      </c>
      <c r="AJ62" s="85">
        <f>IF($A62="","",IF(AD62="","Not Enrolled",IF(TODAY()&gt;AD62,"Review Overdue",IF(AD62-TODAY()&lt;=30,"Review Due Soon","Active"))))</f>
        <v/>
      </c>
      <c r="AK62" s="85">
        <f>IF($A62="","",IF(AE62="","NOT REVIEWED",IF(TODAY()-AE62&gt;90,"OVERDUE",IF(TODAY()-AE62&gt;76,"Due Soon","Current"))))</f>
        <v/>
      </c>
    </row>
    <row r="63" ht="15" customHeight="1" s="39">
      <c r="A63" s="85" t="n"/>
      <c r="B63" s="85" t="n"/>
      <c r="C63" s="85" t="n"/>
      <c r="D63" s="85" t="n"/>
      <c r="E63" s="85" t="n"/>
      <c r="F63" s="86" t="n"/>
      <c r="G63" s="86" t="n"/>
      <c r="H63" s="85" t="n"/>
      <c r="I63" s="85" t="n"/>
      <c r="J63" s="85" t="n"/>
      <c r="K63" s="85" t="n"/>
      <c r="L63" s="85" t="n"/>
      <c r="M63" s="85" t="n"/>
      <c r="N63" s="85" t="n"/>
      <c r="O63" s="85" t="n"/>
      <c r="P63" s="85" t="n"/>
      <c r="Q63" s="85" t="n"/>
      <c r="R63" s="85" t="n"/>
      <c r="S63" s="85" t="n"/>
      <c r="T63" s="85" t="n"/>
      <c r="U63" s="85" t="n"/>
      <c r="V63" s="85" t="n"/>
      <c r="W63" s="85" t="n"/>
      <c r="X63" s="85" t="n"/>
      <c r="Y63" s="85" t="n"/>
      <c r="Z63" s="85" t="n"/>
      <c r="AA63" s="85" t="n"/>
      <c r="AB63" s="85" t="n"/>
      <c r="AC63" s="86" t="n"/>
      <c r="AD63" s="86" t="n"/>
      <c r="AE63" s="86" t="n"/>
      <c r="AF63" s="85" t="n"/>
      <c r="AG63" s="85" t="n"/>
      <c r="AH63" s="85">
        <f>IF($A63="","",IF(AND($E63="Yes",OR($V63="No",$V63="NOT FOUND")),"YES",""))</f>
        <v/>
      </c>
      <c r="AI63" s="85">
        <f>IF($A63="","",TRIM(IF(AND($M63=0,$I63&lt;&gt;"Yes"),"T0-NoPhishResistant ","")&amp;IF($H63="No","NoMFA ","")&amp;IF(AND($M63=0,$O63="Group only"),"T0-ViaGroupOnly ","")&amp;IF($N63="Yes","BroadAzureScope ","")&amp;IF($T63="Yes","AlsoEntraRole ","")))</f>
        <v/>
      </c>
      <c r="AJ63" s="85">
        <f>IF($A63="","",IF(AD63="","Not Enrolled",IF(TODAY()&gt;AD63,"Review Overdue",IF(AD63-TODAY()&lt;=30,"Review Due Soon","Active"))))</f>
        <v/>
      </c>
      <c r="AK63" s="85">
        <f>IF($A63="","",IF(AE63="","NOT REVIEWED",IF(TODAY()-AE63&gt;90,"OVERDUE",IF(TODAY()-AE63&gt;76,"Due Soon","Current"))))</f>
        <v/>
      </c>
    </row>
    <row r="64" ht="15" customHeight="1" s="39">
      <c r="A64" s="85" t="n"/>
      <c r="B64" s="85" t="n"/>
      <c r="C64" s="85" t="n"/>
      <c r="D64" s="85" t="n"/>
      <c r="E64" s="85" t="n"/>
      <c r="F64" s="86" t="n"/>
      <c r="G64" s="86" t="n"/>
      <c r="H64" s="85" t="n"/>
      <c r="I64" s="85" t="n"/>
      <c r="J64" s="85" t="n"/>
      <c r="K64" s="85" t="n"/>
      <c r="L64" s="85" t="n"/>
      <c r="M64" s="85" t="n"/>
      <c r="N64" s="85" t="n"/>
      <c r="O64" s="85" t="n"/>
      <c r="P64" s="85" t="n"/>
      <c r="Q64" s="85" t="n"/>
      <c r="R64" s="85" t="n"/>
      <c r="S64" s="85" t="n"/>
      <c r="T64" s="85" t="n"/>
      <c r="U64" s="85" t="n"/>
      <c r="V64" s="85" t="n"/>
      <c r="W64" s="85" t="n"/>
      <c r="X64" s="85" t="n"/>
      <c r="Y64" s="85" t="n"/>
      <c r="Z64" s="85" t="n"/>
      <c r="AA64" s="85" t="n"/>
      <c r="AB64" s="85" t="n"/>
      <c r="AC64" s="86" t="n"/>
      <c r="AD64" s="86" t="n"/>
      <c r="AE64" s="86" t="n"/>
      <c r="AF64" s="85" t="n"/>
      <c r="AG64" s="85" t="n"/>
      <c r="AH64" s="85">
        <f>IF($A64="","",IF(AND($E64="Yes",OR($V64="No",$V64="NOT FOUND")),"YES",""))</f>
        <v/>
      </c>
      <c r="AI64" s="85">
        <f>IF($A64="","",TRIM(IF(AND($M64=0,$I64&lt;&gt;"Yes"),"T0-NoPhishResistant ","")&amp;IF($H64="No","NoMFA ","")&amp;IF(AND($M64=0,$O64="Group only"),"T0-ViaGroupOnly ","")&amp;IF($N64="Yes","BroadAzureScope ","")&amp;IF($T64="Yes","AlsoEntraRole ","")))</f>
        <v/>
      </c>
      <c r="AJ64" s="85">
        <f>IF($A64="","",IF(AD64="","Not Enrolled",IF(TODAY()&gt;AD64,"Review Overdue",IF(AD64-TODAY()&lt;=30,"Review Due Soon","Active"))))</f>
        <v/>
      </c>
      <c r="AK64" s="85">
        <f>IF($A64="","",IF(AE64="","NOT REVIEWED",IF(TODAY()-AE64&gt;90,"OVERDUE",IF(TODAY()-AE64&gt;76,"Due Soon","Current"))))</f>
        <v/>
      </c>
    </row>
    <row r="65" ht="15" customHeight="1" s="39">
      <c r="A65" s="85" t="n"/>
      <c r="B65" s="85" t="n"/>
      <c r="C65" s="85" t="n"/>
      <c r="D65" s="85" t="n"/>
      <c r="E65" s="85" t="n"/>
      <c r="F65" s="86" t="n"/>
      <c r="G65" s="86" t="n"/>
      <c r="H65" s="85" t="n"/>
      <c r="I65" s="85" t="n"/>
      <c r="J65" s="85" t="n"/>
      <c r="K65" s="85" t="n"/>
      <c r="L65" s="85" t="n"/>
      <c r="M65" s="85" t="n"/>
      <c r="N65" s="85" t="n"/>
      <c r="O65" s="85" t="n"/>
      <c r="P65" s="85" t="n"/>
      <c r="Q65" s="85" t="n"/>
      <c r="R65" s="85" t="n"/>
      <c r="S65" s="85" t="n"/>
      <c r="T65" s="85" t="n"/>
      <c r="U65" s="85" t="n"/>
      <c r="V65" s="85" t="n"/>
      <c r="W65" s="85" t="n"/>
      <c r="X65" s="85" t="n"/>
      <c r="Y65" s="85" t="n"/>
      <c r="Z65" s="85" t="n"/>
      <c r="AA65" s="85" t="n"/>
      <c r="AB65" s="85" t="n"/>
      <c r="AC65" s="86" t="n"/>
      <c r="AD65" s="86" t="n"/>
      <c r="AE65" s="86" t="n"/>
      <c r="AF65" s="85" t="n"/>
      <c r="AG65" s="85" t="n"/>
      <c r="AH65" s="85">
        <f>IF($A65="","",IF(AND($E65="Yes",OR($V65="No",$V65="NOT FOUND")),"YES",""))</f>
        <v/>
      </c>
      <c r="AI65" s="85">
        <f>IF($A65="","",TRIM(IF(AND($M65=0,$I65&lt;&gt;"Yes"),"T0-NoPhishResistant ","")&amp;IF($H65="No","NoMFA ","")&amp;IF(AND($M65=0,$O65="Group only"),"T0-ViaGroupOnly ","")&amp;IF($N65="Yes","BroadAzureScope ","")&amp;IF($T65="Yes","AlsoEntraRole ","")))</f>
        <v/>
      </c>
      <c r="AJ65" s="85">
        <f>IF($A65="","",IF(AD65="","Not Enrolled",IF(TODAY()&gt;AD65,"Review Overdue",IF(AD65-TODAY()&lt;=30,"Review Due Soon","Active"))))</f>
        <v/>
      </c>
      <c r="AK65" s="85">
        <f>IF($A65="","",IF(AE65="","NOT REVIEWED",IF(TODAY()-AE65&gt;90,"OVERDUE",IF(TODAY()-AE65&gt;76,"Due Soon","Current"))))</f>
        <v/>
      </c>
    </row>
    <row r="66" ht="15" customHeight="1" s="39">
      <c r="A66" s="85" t="n"/>
      <c r="B66" s="85" t="n"/>
      <c r="C66" s="85" t="n"/>
      <c r="D66" s="85" t="n"/>
      <c r="E66" s="85" t="n"/>
      <c r="F66" s="86" t="n"/>
      <c r="G66" s="86" t="n"/>
      <c r="H66" s="85" t="n"/>
      <c r="I66" s="85" t="n"/>
      <c r="J66" s="85" t="n"/>
      <c r="K66" s="85" t="n"/>
      <c r="L66" s="85" t="n"/>
      <c r="M66" s="85" t="n"/>
      <c r="N66" s="85" t="n"/>
      <c r="O66" s="85" t="n"/>
      <c r="P66" s="85" t="n"/>
      <c r="Q66" s="85" t="n"/>
      <c r="R66" s="85" t="n"/>
      <c r="S66" s="85" t="n"/>
      <c r="T66" s="85" t="n"/>
      <c r="U66" s="85" t="n"/>
      <c r="V66" s="85" t="n"/>
      <c r="W66" s="85" t="n"/>
      <c r="X66" s="85" t="n"/>
      <c r="Y66" s="85" t="n"/>
      <c r="Z66" s="85" t="n"/>
      <c r="AA66" s="85" t="n"/>
      <c r="AB66" s="85" t="n"/>
      <c r="AC66" s="86" t="n"/>
      <c r="AD66" s="86" t="n"/>
      <c r="AE66" s="86" t="n"/>
      <c r="AF66" s="85" t="n"/>
      <c r="AG66" s="85" t="n"/>
      <c r="AH66" s="85">
        <f>IF($A66="","",IF(AND($E66="Yes",OR($V66="No",$V66="NOT FOUND")),"YES",""))</f>
        <v/>
      </c>
      <c r="AI66" s="85">
        <f>IF($A66="","",TRIM(IF(AND($M66=0,$I66&lt;&gt;"Yes"),"T0-NoPhishResistant ","")&amp;IF($H66="No","NoMFA ","")&amp;IF(AND($M66=0,$O66="Group only"),"T0-ViaGroupOnly ","")&amp;IF($N66="Yes","BroadAzureScope ","")&amp;IF($T66="Yes","AlsoEntraRole ","")))</f>
        <v/>
      </c>
      <c r="AJ66" s="85">
        <f>IF($A66="","",IF(AD66="","Not Enrolled",IF(TODAY()&gt;AD66,"Review Overdue",IF(AD66-TODAY()&lt;=30,"Review Due Soon","Active"))))</f>
        <v/>
      </c>
      <c r="AK66" s="85">
        <f>IF($A66="","",IF(AE66="","NOT REVIEWED",IF(TODAY()-AE66&gt;90,"OVERDUE",IF(TODAY()-AE66&gt;76,"Due Soon","Current"))))</f>
        <v/>
      </c>
    </row>
    <row r="67" ht="15" customHeight="1" s="39">
      <c r="A67" s="85" t="n"/>
      <c r="B67" s="85" t="n"/>
      <c r="C67" s="85" t="n"/>
      <c r="D67" s="85" t="n"/>
      <c r="E67" s="85" t="n"/>
      <c r="F67" s="86" t="n"/>
      <c r="G67" s="86" t="n"/>
      <c r="H67" s="85" t="n"/>
      <c r="I67" s="85" t="n"/>
      <c r="J67" s="85" t="n"/>
      <c r="K67" s="85" t="n"/>
      <c r="L67" s="85" t="n"/>
      <c r="M67" s="85" t="n"/>
      <c r="N67" s="85" t="n"/>
      <c r="O67" s="85" t="n"/>
      <c r="P67" s="85" t="n"/>
      <c r="Q67" s="85" t="n"/>
      <c r="R67" s="85" t="n"/>
      <c r="S67" s="85" t="n"/>
      <c r="T67" s="85" t="n"/>
      <c r="U67" s="85" t="n"/>
      <c r="V67" s="85" t="n"/>
      <c r="W67" s="85" t="n"/>
      <c r="X67" s="85" t="n"/>
      <c r="Y67" s="85" t="n"/>
      <c r="Z67" s="85" t="n"/>
      <c r="AA67" s="85" t="n"/>
      <c r="AB67" s="85" t="n"/>
      <c r="AC67" s="86" t="n"/>
      <c r="AD67" s="86" t="n"/>
      <c r="AE67" s="86" t="n"/>
      <c r="AF67" s="85" t="n"/>
      <c r="AG67" s="85" t="n"/>
      <c r="AH67" s="85">
        <f>IF($A67="","",IF(AND($E67="Yes",OR($V67="No",$V67="NOT FOUND")),"YES",""))</f>
        <v/>
      </c>
      <c r="AI67" s="85">
        <f>IF($A67="","",TRIM(IF(AND($M67=0,$I67&lt;&gt;"Yes"),"T0-NoPhishResistant ","")&amp;IF($H67="No","NoMFA ","")&amp;IF(AND($M67=0,$O67="Group only"),"T0-ViaGroupOnly ","")&amp;IF($N67="Yes","BroadAzureScope ","")&amp;IF($T67="Yes","AlsoEntraRole ","")))</f>
        <v/>
      </c>
      <c r="AJ67" s="85">
        <f>IF($A67="","",IF(AD67="","Not Enrolled",IF(TODAY()&gt;AD67,"Review Overdue",IF(AD67-TODAY()&lt;=30,"Review Due Soon","Active"))))</f>
        <v/>
      </c>
      <c r="AK67" s="85">
        <f>IF($A67="","",IF(AE67="","NOT REVIEWED",IF(TODAY()-AE67&gt;90,"OVERDUE",IF(TODAY()-AE67&gt;76,"Due Soon","Current"))))</f>
        <v/>
      </c>
    </row>
    <row r="68" ht="15" customHeight="1" s="39">
      <c r="A68" s="85" t="n"/>
      <c r="B68" s="85" t="n"/>
      <c r="C68" s="85" t="n"/>
      <c r="D68" s="85" t="n"/>
      <c r="E68" s="85" t="n"/>
      <c r="F68" s="86" t="n"/>
      <c r="G68" s="86" t="n"/>
      <c r="H68" s="85" t="n"/>
      <c r="I68" s="85" t="n"/>
      <c r="J68" s="85" t="n"/>
      <c r="K68" s="85" t="n"/>
      <c r="L68" s="85" t="n"/>
      <c r="M68" s="85" t="n"/>
      <c r="N68" s="85" t="n"/>
      <c r="O68" s="85" t="n"/>
      <c r="P68" s="85" t="n"/>
      <c r="Q68" s="85" t="n"/>
      <c r="R68" s="85" t="n"/>
      <c r="S68" s="85" t="n"/>
      <c r="T68" s="85" t="n"/>
      <c r="U68" s="85" t="n"/>
      <c r="V68" s="85" t="n"/>
      <c r="W68" s="85" t="n"/>
      <c r="X68" s="85" t="n"/>
      <c r="Y68" s="85" t="n"/>
      <c r="Z68" s="85" t="n"/>
      <c r="AA68" s="85" t="n"/>
      <c r="AB68" s="85" t="n"/>
      <c r="AC68" s="86" t="n"/>
      <c r="AD68" s="86" t="n"/>
      <c r="AE68" s="86" t="n"/>
      <c r="AF68" s="85" t="n"/>
      <c r="AG68" s="85" t="n"/>
      <c r="AH68" s="85">
        <f>IF($A68="","",IF(AND($E68="Yes",OR($V68="No",$V68="NOT FOUND")),"YES",""))</f>
        <v/>
      </c>
      <c r="AI68" s="85">
        <f>IF($A68="","",TRIM(IF(AND($M68=0,$I68&lt;&gt;"Yes"),"T0-NoPhishResistant ","")&amp;IF($H68="No","NoMFA ","")&amp;IF(AND($M68=0,$O68="Group only"),"T0-ViaGroupOnly ","")&amp;IF($N68="Yes","BroadAzureScope ","")&amp;IF($T68="Yes","AlsoEntraRole ","")))</f>
        <v/>
      </c>
      <c r="AJ68" s="85">
        <f>IF($A68="","",IF(AD68="","Not Enrolled",IF(TODAY()&gt;AD68,"Review Overdue",IF(AD68-TODAY()&lt;=30,"Review Due Soon","Active"))))</f>
        <v/>
      </c>
      <c r="AK68" s="85">
        <f>IF($A68="","",IF(AE68="","NOT REVIEWED",IF(TODAY()-AE68&gt;90,"OVERDUE",IF(TODAY()-AE68&gt;76,"Due Soon","Current"))))</f>
        <v/>
      </c>
    </row>
    <row r="69" ht="15" customHeight="1" s="39">
      <c r="A69" s="85" t="n"/>
      <c r="B69" s="85" t="n"/>
      <c r="C69" s="85" t="n"/>
      <c r="D69" s="85" t="n"/>
      <c r="E69" s="85" t="n"/>
      <c r="F69" s="86" t="n"/>
      <c r="G69" s="86" t="n"/>
      <c r="H69" s="85" t="n"/>
      <c r="I69" s="85" t="n"/>
      <c r="J69" s="85" t="n"/>
      <c r="K69" s="85" t="n"/>
      <c r="L69" s="85" t="n"/>
      <c r="M69" s="85" t="n"/>
      <c r="N69" s="85" t="n"/>
      <c r="O69" s="85" t="n"/>
      <c r="P69" s="85" t="n"/>
      <c r="Q69" s="85" t="n"/>
      <c r="R69" s="85" t="n"/>
      <c r="S69" s="85" t="n"/>
      <c r="T69" s="85" t="n"/>
      <c r="U69" s="85" t="n"/>
      <c r="V69" s="85" t="n"/>
      <c r="W69" s="85" t="n"/>
      <c r="X69" s="85" t="n"/>
      <c r="Y69" s="85" t="n"/>
      <c r="Z69" s="85" t="n"/>
      <c r="AA69" s="85" t="n"/>
      <c r="AB69" s="85" t="n"/>
      <c r="AC69" s="86" t="n"/>
      <c r="AD69" s="86" t="n"/>
      <c r="AE69" s="86" t="n"/>
      <c r="AF69" s="85" t="n"/>
      <c r="AG69" s="85" t="n"/>
      <c r="AH69" s="85">
        <f>IF($A69="","",IF(AND($E69="Yes",OR($V69="No",$V69="NOT FOUND")),"YES",""))</f>
        <v/>
      </c>
      <c r="AI69" s="85">
        <f>IF($A69="","",TRIM(IF(AND($M69=0,$I69&lt;&gt;"Yes"),"T0-NoPhishResistant ","")&amp;IF($H69="No","NoMFA ","")&amp;IF(AND($M69=0,$O69="Group only"),"T0-ViaGroupOnly ","")&amp;IF($N69="Yes","BroadAzureScope ","")&amp;IF($T69="Yes","AlsoEntraRole ","")))</f>
        <v/>
      </c>
      <c r="AJ69" s="85">
        <f>IF($A69="","",IF(AD69="","Not Enrolled",IF(TODAY()&gt;AD69,"Review Overdue",IF(AD69-TODAY()&lt;=30,"Review Due Soon","Active"))))</f>
        <v/>
      </c>
      <c r="AK69" s="85">
        <f>IF($A69="","",IF(AE69="","NOT REVIEWED",IF(TODAY()-AE69&gt;90,"OVERDUE",IF(TODAY()-AE69&gt;76,"Due Soon","Current"))))</f>
        <v/>
      </c>
    </row>
    <row r="70" ht="15" customHeight="1" s="39">
      <c r="A70" s="85" t="n"/>
      <c r="B70" s="85" t="n"/>
      <c r="C70" s="85" t="n"/>
      <c r="D70" s="85" t="n"/>
      <c r="E70" s="85" t="n"/>
      <c r="F70" s="86" t="n"/>
      <c r="G70" s="86" t="n"/>
      <c r="H70" s="85" t="n"/>
      <c r="I70" s="85" t="n"/>
      <c r="J70" s="85" t="n"/>
      <c r="K70" s="85" t="n"/>
      <c r="L70" s="85" t="n"/>
      <c r="M70" s="85" t="n"/>
      <c r="N70" s="85" t="n"/>
      <c r="O70" s="85" t="n"/>
      <c r="P70" s="85" t="n"/>
      <c r="Q70" s="85" t="n"/>
      <c r="R70" s="85" t="n"/>
      <c r="S70" s="85" t="n"/>
      <c r="T70" s="85" t="n"/>
      <c r="U70" s="85" t="n"/>
      <c r="V70" s="85" t="n"/>
      <c r="W70" s="85" t="n"/>
      <c r="X70" s="85" t="n"/>
      <c r="Y70" s="85" t="n"/>
      <c r="Z70" s="85" t="n"/>
      <c r="AA70" s="85" t="n"/>
      <c r="AB70" s="85" t="n"/>
      <c r="AC70" s="86" t="n"/>
      <c r="AD70" s="86" t="n"/>
      <c r="AE70" s="86" t="n"/>
      <c r="AF70" s="85" t="n"/>
      <c r="AG70" s="85" t="n"/>
      <c r="AH70" s="85">
        <f>IF($A70="","",IF(AND($E70="Yes",OR($V70="No",$V70="NOT FOUND")),"YES",""))</f>
        <v/>
      </c>
      <c r="AI70" s="85">
        <f>IF($A70="","",TRIM(IF(AND($M70=0,$I70&lt;&gt;"Yes"),"T0-NoPhishResistant ","")&amp;IF($H70="No","NoMFA ","")&amp;IF(AND($M70=0,$O70="Group only"),"T0-ViaGroupOnly ","")&amp;IF($N70="Yes","BroadAzureScope ","")&amp;IF($T70="Yes","AlsoEntraRole ","")))</f>
        <v/>
      </c>
      <c r="AJ70" s="85">
        <f>IF($A70="","",IF(AD70="","Not Enrolled",IF(TODAY()&gt;AD70,"Review Overdue",IF(AD70-TODAY()&lt;=30,"Review Due Soon","Active"))))</f>
        <v/>
      </c>
      <c r="AK70" s="85">
        <f>IF($A70="","",IF(AE70="","NOT REVIEWED",IF(TODAY()-AE70&gt;90,"OVERDUE",IF(TODAY()-AE70&gt;76,"Due Soon","Current"))))</f>
        <v/>
      </c>
    </row>
    <row r="71" ht="15" customHeight="1" s="39">
      <c r="A71" s="85" t="n"/>
      <c r="B71" s="85" t="n"/>
      <c r="C71" s="85" t="n"/>
      <c r="D71" s="85" t="n"/>
      <c r="E71" s="85" t="n"/>
      <c r="F71" s="86" t="n"/>
      <c r="G71" s="86" t="n"/>
      <c r="H71" s="85" t="n"/>
      <c r="I71" s="85" t="n"/>
      <c r="J71" s="85" t="n"/>
      <c r="K71" s="85" t="n"/>
      <c r="L71" s="85" t="n"/>
      <c r="M71" s="85" t="n"/>
      <c r="N71" s="85" t="n"/>
      <c r="O71" s="85" t="n"/>
      <c r="P71" s="85" t="n"/>
      <c r="Q71" s="85" t="n"/>
      <c r="R71" s="85" t="n"/>
      <c r="S71" s="85" t="n"/>
      <c r="T71" s="85" t="n"/>
      <c r="U71" s="85" t="n"/>
      <c r="V71" s="85" t="n"/>
      <c r="W71" s="85" t="n"/>
      <c r="X71" s="85" t="n"/>
      <c r="Y71" s="85" t="n"/>
      <c r="Z71" s="85" t="n"/>
      <c r="AA71" s="85" t="n"/>
      <c r="AB71" s="85" t="n"/>
      <c r="AC71" s="86" t="n"/>
      <c r="AD71" s="86" t="n"/>
      <c r="AE71" s="86" t="n"/>
      <c r="AF71" s="85" t="n"/>
      <c r="AG71" s="85" t="n"/>
      <c r="AH71" s="85">
        <f>IF($A71="","",IF(AND($E71="Yes",OR($V71="No",$V71="NOT FOUND")),"YES",""))</f>
        <v/>
      </c>
      <c r="AI71" s="85">
        <f>IF($A71="","",TRIM(IF(AND($M71=0,$I71&lt;&gt;"Yes"),"T0-NoPhishResistant ","")&amp;IF($H71="No","NoMFA ","")&amp;IF(AND($M71=0,$O71="Group only"),"T0-ViaGroupOnly ","")&amp;IF($N71="Yes","BroadAzureScope ","")&amp;IF($T71="Yes","AlsoEntraRole ","")))</f>
        <v/>
      </c>
      <c r="AJ71" s="85">
        <f>IF($A71="","",IF(AD71="","Not Enrolled",IF(TODAY()&gt;AD71,"Review Overdue",IF(AD71-TODAY()&lt;=30,"Review Due Soon","Active"))))</f>
        <v/>
      </c>
      <c r="AK71" s="85">
        <f>IF($A71="","",IF(AE71="","NOT REVIEWED",IF(TODAY()-AE71&gt;90,"OVERDUE",IF(TODAY()-AE71&gt;76,"Due Soon","Current"))))</f>
        <v/>
      </c>
    </row>
    <row r="72" ht="15" customHeight="1" s="39">
      <c r="A72" s="85" t="n"/>
      <c r="B72" s="85" t="n"/>
      <c r="C72" s="85" t="n"/>
      <c r="D72" s="85" t="n"/>
      <c r="E72" s="85" t="n"/>
      <c r="F72" s="86" t="n"/>
      <c r="G72" s="86" t="n"/>
      <c r="H72" s="85" t="n"/>
      <c r="I72" s="85" t="n"/>
      <c r="J72" s="85" t="n"/>
      <c r="K72" s="85" t="n"/>
      <c r="L72" s="85" t="n"/>
      <c r="M72" s="85" t="n"/>
      <c r="N72" s="85" t="n"/>
      <c r="O72" s="85" t="n"/>
      <c r="P72" s="85" t="n"/>
      <c r="Q72" s="85" t="n"/>
      <c r="R72" s="85" t="n"/>
      <c r="S72" s="85" t="n"/>
      <c r="T72" s="85" t="n"/>
      <c r="U72" s="85" t="n"/>
      <c r="V72" s="85" t="n"/>
      <c r="W72" s="85" t="n"/>
      <c r="X72" s="85" t="n"/>
      <c r="Y72" s="85" t="n"/>
      <c r="Z72" s="85" t="n"/>
      <c r="AA72" s="85" t="n"/>
      <c r="AB72" s="85" t="n"/>
      <c r="AC72" s="86" t="n"/>
      <c r="AD72" s="86" t="n"/>
      <c r="AE72" s="86" t="n"/>
      <c r="AF72" s="85" t="n"/>
      <c r="AG72" s="85" t="n"/>
      <c r="AH72" s="85">
        <f>IF($A72="","",IF(AND($E72="Yes",OR($V72="No",$V72="NOT FOUND")),"YES",""))</f>
        <v/>
      </c>
      <c r="AI72" s="85">
        <f>IF($A72="","",TRIM(IF(AND($M72=0,$I72&lt;&gt;"Yes"),"T0-NoPhishResistant ","")&amp;IF($H72="No","NoMFA ","")&amp;IF(AND($M72=0,$O72="Group only"),"T0-ViaGroupOnly ","")&amp;IF($N72="Yes","BroadAzureScope ","")&amp;IF($T72="Yes","AlsoEntraRole ","")))</f>
        <v/>
      </c>
      <c r="AJ72" s="85">
        <f>IF($A72="","",IF(AD72="","Not Enrolled",IF(TODAY()&gt;AD72,"Review Overdue",IF(AD72-TODAY()&lt;=30,"Review Due Soon","Active"))))</f>
        <v/>
      </c>
      <c r="AK72" s="85">
        <f>IF($A72="","",IF(AE72="","NOT REVIEWED",IF(TODAY()-AE72&gt;90,"OVERDUE",IF(TODAY()-AE72&gt;76,"Due Soon","Current"))))</f>
        <v/>
      </c>
    </row>
    <row r="73" ht="15" customHeight="1" s="39">
      <c r="A73" s="85" t="n"/>
      <c r="B73" s="85" t="n"/>
      <c r="C73" s="85" t="n"/>
      <c r="D73" s="85" t="n"/>
      <c r="E73" s="85" t="n"/>
      <c r="F73" s="86" t="n"/>
      <c r="G73" s="86" t="n"/>
      <c r="H73" s="85" t="n"/>
      <c r="I73" s="85" t="n"/>
      <c r="J73" s="85" t="n"/>
      <c r="K73" s="85" t="n"/>
      <c r="L73" s="85" t="n"/>
      <c r="M73" s="85" t="n"/>
      <c r="N73" s="85" t="n"/>
      <c r="O73" s="85" t="n"/>
      <c r="P73" s="85" t="n"/>
      <c r="Q73" s="85" t="n"/>
      <c r="R73" s="85" t="n"/>
      <c r="S73" s="85" t="n"/>
      <c r="T73" s="85" t="n"/>
      <c r="U73" s="85" t="n"/>
      <c r="V73" s="85" t="n"/>
      <c r="W73" s="85" t="n"/>
      <c r="X73" s="85" t="n"/>
      <c r="Y73" s="85" t="n"/>
      <c r="Z73" s="85" t="n"/>
      <c r="AA73" s="85" t="n"/>
      <c r="AB73" s="85" t="n"/>
      <c r="AC73" s="86" t="n"/>
      <c r="AD73" s="86" t="n"/>
      <c r="AE73" s="86" t="n"/>
      <c r="AF73" s="85" t="n"/>
      <c r="AG73" s="85" t="n"/>
      <c r="AH73" s="85">
        <f>IF($A73="","",IF(AND($E73="Yes",OR($V73="No",$V73="NOT FOUND")),"YES",""))</f>
        <v/>
      </c>
      <c r="AI73" s="85">
        <f>IF($A73="","",TRIM(IF(AND($M73=0,$I73&lt;&gt;"Yes"),"T0-NoPhishResistant ","")&amp;IF($H73="No","NoMFA ","")&amp;IF(AND($M73=0,$O73="Group only"),"T0-ViaGroupOnly ","")&amp;IF($N73="Yes","BroadAzureScope ","")&amp;IF($T73="Yes","AlsoEntraRole ","")))</f>
        <v/>
      </c>
      <c r="AJ73" s="85">
        <f>IF($A73="","",IF(AD73="","Not Enrolled",IF(TODAY()&gt;AD73,"Review Overdue",IF(AD73-TODAY()&lt;=30,"Review Due Soon","Active"))))</f>
        <v/>
      </c>
      <c r="AK73" s="85">
        <f>IF($A73="","",IF(AE73="","NOT REVIEWED",IF(TODAY()-AE73&gt;90,"OVERDUE",IF(TODAY()-AE73&gt;76,"Due Soon","Current"))))</f>
        <v/>
      </c>
    </row>
    <row r="74" ht="15" customHeight="1" s="39">
      <c r="A74" s="85" t="n"/>
      <c r="B74" s="85" t="n"/>
      <c r="C74" s="85" t="n"/>
      <c r="D74" s="85" t="n"/>
      <c r="E74" s="85" t="n"/>
      <c r="F74" s="86" t="n"/>
      <c r="G74" s="86" t="n"/>
      <c r="H74" s="85" t="n"/>
      <c r="I74" s="85" t="n"/>
      <c r="J74" s="85" t="n"/>
      <c r="K74" s="85" t="n"/>
      <c r="L74" s="85" t="n"/>
      <c r="M74" s="85" t="n"/>
      <c r="N74" s="85" t="n"/>
      <c r="O74" s="85" t="n"/>
      <c r="P74" s="85" t="n"/>
      <c r="Q74" s="85" t="n"/>
      <c r="R74" s="85" t="n"/>
      <c r="S74" s="85" t="n"/>
      <c r="T74" s="85" t="n"/>
      <c r="U74" s="85" t="n"/>
      <c r="V74" s="85" t="n"/>
      <c r="W74" s="85" t="n"/>
      <c r="X74" s="85" t="n"/>
      <c r="Y74" s="85" t="n"/>
      <c r="Z74" s="85" t="n"/>
      <c r="AA74" s="85" t="n"/>
      <c r="AB74" s="85" t="n"/>
      <c r="AC74" s="86" t="n"/>
      <c r="AD74" s="86" t="n"/>
      <c r="AE74" s="86" t="n"/>
      <c r="AF74" s="85" t="n"/>
      <c r="AG74" s="85" t="n"/>
      <c r="AH74" s="85">
        <f>IF($A74="","",IF(AND($E74="Yes",OR($V74="No",$V74="NOT FOUND")),"YES",""))</f>
        <v/>
      </c>
      <c r="AI74" s="85">
        <f>IF($A74="","",TRIM(IF(AND($M74=0,$I74&lt;&gt;"Yes"),"T0-NoPhishResistant ","")&amp;IF($H74="No","NoMFA ","")&amp;IF(AND($M74=0,$O74="Group only"),"T0-ViaGroupOnly ","")&amp;IF($N74="Yes","BroadAzureScope ","")&amp;IF($T74="Yes","AlsoEntraRole ","")))</f>
        <v/>
      </c>
      <c r="AJ74" s="85">
        <f>IF($A74="","",IF(AD74="","Not Enrolled",IF(TODAY()&gt;AD74,"Review Overdue",IF(AD74-TODAY()&lt;=30,"Review Due Soon","Active"))))</f>
        <v/>
      </c>
      <c r="AK74" s="85">
        <f>IF($A74="","",IF(AE74="","NOT REVIEWED",IF(TODAY()-AE74&gt;90,"OVERDUE",IF(TODAY()-AE74&gt;76,"Due Soon","Current"))))</f>
        <v/>
      </c>
    </row>
    <row r="75" ht="15" customHeight="1" s="39">
      <c r="A75" s="85" t="n"/>
      <c r="B75" s="85" t="n"/>
      <c r="C75" s="85" t="n"/>
      <c r="D75" s="85" t="n"/>
      <c r="E75" s="85" t="n"/>
      <c r="F75" s="86" t="n"/>
      <c r="G75" s="86" t="n"/>
      <c r="H75" s="85" t="n"/>
      <c r="I75" s="85" t="n"/>
      <c r="J75" s="85" t="n"/>
      <c r="K75" s="85" t="n"/>
      <c r="L75" s="85" t="n"/>
      <c r="M75" s="85" t="n"/>
      <c r="N75" s="85" t="n"/>
      <c r="O75" s="85" t="n"/>
      <c r="P75" s="85" t="n"/>
      <c r="Q75" s="85" t="n"/>
      <c r="R75" s="85" t="n"/>
      <c r="S75" s="85" t="n"/>
      <c r="T75" s="85" t="n"/>
      <c r="U75" s="85" t="n"/>
      <c r="V75" s="85" t="n"/>
      <c r="W75" s="85" t="n"/>
      <c r="X75" s="85" t="n"/>
      <c r="Y75" s="85" t="n"/>
      <c r="Z75" s="85" t="n"/>
      <c r="AA75" s="85" t="n"/>
      <c r="AB75" s="85" t="n"/>
      <c r="AC75" s="86" t="n"/>
      <c r="AD75" s="86" t="n"/>
      <c r="AE75" s="86" t="n"/>
      <c r="AF75" s="85" t="n"/>
      <c r="AG75" s="85" t="n"/>
      <c r="AH75" s="85">
        <f>IF($A75="","",IF(AND($E75="Yes",OR($V75="No",$V75="NOT FOUND")),"YES",""))</f>
        <v/>
      </c>
      <c r="AI75" s="85">
        <f>IF($A75="","",TRIM(IF(AND($M75=0,$I75&lt;&gt;"Yes"),"T0-NoPhishResistant ","")&amp;IF($H75="No","NoMFA ","")&amp;IF(AND($M75=0,$O75="Group only"),"T0-ViaGroupOnly ","")&amp;IF($N75="Yes","BroadAzureScope ","")&amp;IF($T75="Yes","AlsoEntraRole ","")))</f>
        <v/>
      </c>
      <c r="AJ75" s="85">
        <f>IF($A75="","",IF(AD75="","Not Enrolled",IF(TODAY()&gt;AD75,"Review Overdue",IF(AD75-TODAY()&lt;=30,"Review Due Soon","Active"))))</f>
        <v/>
      </c>
      <c r="AK75" s="85">
        <f>IF($A75="","",IF(AE75="","NOT REVIEWED",IF(TODAY()-AE75&gt;90,"OVERDUE",IF(TODAY()-AE75&gt;76,"Due Soon","Current"))))</f>
        <v/>
      </c>
    </row>
    <row r="76" ht="15" customHeight="1" s="39">
      <c r="A76" s="85" t="n"/>
      <c r="B76" s="85" t="n"/>
      <c r="C76" s="85" t="n"/>
      <c r="D76" s="85" t="n"/>
      <c r="E76" s="85" t="n"/>
      <c r="F76" s="86" t="n"/>
      <c r="G76" s="86" t="n"/>
      <c r="H76" s="85" t="n"/>
      <c r="I76" s="85" t="n"/>
      <c r="J76" s="85" t="n"/>
      <c r="K76" s="85" t="n"/>
      <c r="L76" s="85" t="n"/>
      <c r="M76" s="85" t="n"/>
      <c r="N76" s="85" t="n"/>
      <c r="O76" s="85" t="n"/>
      <c r="P76" s="85" t="n"/>
      <c r="Q76" s="85" t="n"/>
      <c r="R76" s="85" t="n"/>
      <c r="S76" s="85" t="n"/>
      <c r="T76" s="85" t="n"/>
      <c r="U76" s="85" t="n"/>
      <c r="V76" s="85" t="n"/>
      <c r="W76" s="85" t="n"/>
      <c r="X76" s="85" t="n"/>
      <c r="Y76" s="85" t="n"/>
      <c r="Z76" s="85" t="n"/>
      <c r="AA76" s="85" t="n"/>
      <c r="AB76" s="85" t="n"/>
      <c r="AC76" s="86" t="n"/>
      <c r="AD76" s="86" t="n"/>
      <c r="AE76" s="86" t="n"/>
      <c r="AF76" s="85" t="n"/>
      <c r="AG76" s="85" t="n"/>
      <c r="AH76" s="85">
        <f>IF($A76="","",IF(AND($E76="Yes",OR($V76="No",$V76="NOT FOUND")),"YES",""))</f>
        <v/>
      </c>
      <c r="AI76" s="85">
        <f>IF($A76="","",TRIM(IF(AND($M76=0,$I76&lt;&gt;"Yes"),"T0-NoPhishResistant ","")&amp;IF($H76="No","NoMFA ","")&amp;IF(AND($M76=0,$O76="Group only"),"T0-ViaGroupOnly ","")&amp;IF($N76="Yes","BroadAzureScope ","")&amp;IF($T76="Yes","AlsoEntraRole ","")))</f>
        <v/>
      </c>
      <c r="AJ76" s="85">
        <f>IF($A76="","",IF(AD76="","Not Enrolled",IF(TODAY()&gt;AD76,"Review Overdue",IF(AD76-TODAY()&lt;=30,"Review Due Soon","Active"))))</f>
        <v/>
      </c>
      <c r="AK76" s="85">
        <f>IF($A76="","",IF(AE76="","NOT REVIEWED",IF(TODAY()-AE76&gt;90,"OVERDUE",IF(TODAY()-AE76&gt;76,"Due Soon","Current"))))</f>
        <v/>
      </c>
    </row>
    <row r="77" ht="15" customHeight="1" s="39">
      <c r="A77" s="85" t="n"/>
      <c r="B77" s="85" t="n"/>
      <c r="C77" s="85" t="n"/>
      <c r="D77" s="85" t="n"/>
      <c r="E77" s="85" t="n"/>
      <c r="F77" s="86" t="n"/>
      <c r="G77" s="86" t="n"/>
      <c r="H77" s="85" t="n"/>
      <c r="I77" s="85" t="n"/>
      <c r="J77" s="85" t="n"/>
      <c r="K77" s="85" t="n"/>
      <c r="L77" s="85" t="n"/>
      <c r="M77" s="85" t="n"/>
      <c r="N77" s="85" t="n"/>
      <c r="O77" s="85" t="n"/>
      <c r="P77" s="85" t="n"/>
      <c r="Q77" s="85" t="n"/>
      <c r="R77" s="85" t="n"/>
      <c r="S77" s="85" t="n"/>
      <c r="T77" s="85" t="n"/>
      <c r="U77" s="85" t="n"/>
      <c r="V77" s="85" t="n"/>
      <c r="W77" s="85" t="n"/>
      <c r="X77" s="85" t="n"/>
      <c r="Y77" s="85" t="n"/>
      <c r="Z77" s="85" t="n"/>
      <c r="AA77" s="85" t="n"/>
      <c r="AB77" s="85" t="n"/>
      <c r="AC77" s="86" t="n"/>
      <c r="AD77" s="86" t="n"/>
      <c r="AE77" s="86" t="n"/>
      <c r="AF77" s="85" t="n"/>
      <c r="AG77" s="85" t="n"/>
      <c r="AH77" s="85">
        <f>IF($A77="","",IF(AND($E77="Yes",OR($V77="No",$V77="NOT FOUND")),"YES",""))</f>
        <v/>
      </c>
      <c r="AI77" s="85">
        <f>IF($A77="","",TRIM(IF(AND($M77=0,$I77&lt;&gt;"Yes"),"T0-NoPhishResistant ","")&amp;IF($H77="No","NoMFA ","")&amp;IF(AND($M77=0,$O77="Group only"),"T0-ViaGroupOnly ","")&amp;IF($N77="Yes","BroadAzureScope ","")&amp;IF($T77="Yes","AlsoEntraRole ","")))</f>
        <v/>
      </c>
      <c r="AJ77" s="85">
        <f>IF($A77="","",IF(AD77="","Not Enrolled",IF(TODAY()&gt;AD77,"Review Overdue",IF(AD77-TODAY()&lt;=30,"Review Due Soon","Active"))))</f>
        <v/>
      </c>
      <c r="AK77" s="85">
        <f>IF($A77="","",IF(AE77="","NOT REVIEWED",IF(TODAY()-AE77&gt;90,"OVERDUE",IF(TODAY()-AE77&gt;76,"Due Soon","Current"))))</f>
        <v/>
      </c>
    </row>
    <row r="78" ht="15" customHeight="1" s="39">
      <c r="A78" s="85" t="n"/>
      <c r="B78" s="85" t="n"/>
      <c r="C78" s="85" t="n"/>
      <c r="D78" s="85" t="n"/>
      <c r="E78" s="85" t="n"/>
      <c r="F78" s="86" t="n"/>
      <c r="G78" s="86" t="n"/>
      <c r="H78" s="85" t="n"/>
      <c r="I78" s="85" t="n"/>
      <c r="J78" s="85" t="n"/>
      <c r="K78" s="85" t="n"/>
      <c r="L78" s="85" t="n"/>
      <c r="M78" s="85" t="n"/>
      <c r="N78" s="85" t="n"/>
      <c r="O78" s="85" t="n"/>
      <c r="P78" s="85" t="n"/>
      <c r="Q78" s="85" t="n"/>
      <c r="R78" s="85" t="n"/>
      <c r="S78" s="85" t="n"/>
      <c r="T78" s="85" t="n"/>
      <c r="U78" s="85" t="n"/>
      <c r="V78" s="85" t="n"/>
      <c r="W78" s="85" t="n"/>
      <c r="X78" s="85" t="n"/>
      <c r="Y78" s="85" t="n"/>
      <c r="Z78" s="85" t="n"/>
      <c r="AA78" s="85" t="n"/>
      <c r="AB78" s="85" t="n"/>
      <c r="AC78" s="86" t="n"/>
      <c r="AD78" s="86" t="n"/>
      <c r="AE78" s="86" t="n"/>
      <c r="AF78" s="85" t="n"/>
      <c r="AG78" s="85" t="n"/>
      <c r="AH78" s="85">
        <f>IF($A78="","",IF(AND($E78="Yes",OR($V78="No",$V78="NOT FOUND")),"YES",""))</f>
        <v/>
      </c>
      <c r="AI78" s="85">
        <f>IF($A78="","",TRIM(IF(AND($M78=0,$I78&lt;&gt;"Yes"),"T0-NoPhishResistant ","")&amp;IF($H78="No","NoMFA ","")&amp;IF(AND($M78=0,$O78="Group only"),"T0-ViaGroupOnly ","")&amp;IF($N78="Yes","BroadAzureScope ","")&amp;IF($T78="Yes","AlsoEntraRole ","")))</f>
        <v/>
      </c>
      <c r="AJ78" s="85">
        <f>IF($A78="","",IF(AD78="","Not Enrolled",IF(TODAY()&gt;AD78,"Review Overdue",IF(AD78-TODAY()&lt;=30,"Review Due Soon","Active"))))</f>
        <v/>
      </c>
      <c r="AK78" s="85">
        <f>IF($A78="","",IF(AE78="","NOT REVIEWED",IF(TODAY()-AE78&gt;90,"OVERDUE",IF(TODAY()-AE78&gt;76,"Due Soon","Current"))))</f>
        <v/>
      </c>
    </row>
    <row r="79" ht="15" customHeight="1" s="39">
      <c r="A79" s="85" t="n"/>
      <c r="B79" s="85" t="n"/>
      <c r="C79" s="85" t="n"/>
      <c r="D79" s="85" t="n"/>
      <c r="E79" s="85" t="n"/>
      <c r="F79" s="86" t="n"/>
      <c r="G79" s="86" t="n"/>
      <c r="H79" s="85" t="n"/>
      <c r="I79" s="85" t="n"/>
      <c r="J79" s="85" t="n"/>
      <c r="K79" s="85" t="n"/>
      <c r="L79" s="85" t="n"/>
      <c r="M79" s="85" t="n"/>
      <c r="N79" s="85" t="n"/>
      <c r="O79" s="85" t="n"/>
      <c r="P79" s="85" t="n"/>
      <c r="Q79" s="85" t="n"/>
      <c r="R79" s="85" t="n"/>
      <c r="S79" s="85" t="n"/>
      <c r="T79" s="85" t="n"/>
      <c r="U79" s="85" t="n"/>
      <c r="V79" s="85" t="n"/>
      <c r="W79" s="85" t="n"/>
      <c r="X79" s="85" t="n"/>
      <c r="Y79" s="85" t="n"/>
      <c r="Z79" s="85" t="n"/>
      <c r="AA79" s="85" t="n"/>
      <c r="AB79" s="85" t="n"/>
      <c r="AC79" s="86" t="n"/>
      <c r="AD79" s="86" t="n"/>
      <c r="AE79" s="86" t="n"/>
      <c r="AF79" s="85" t="n"/>
      <c r="AG79" s="85" t="n"/>
      <c r="AH79" s="85">
        <f>IF($A79="","",IF(AND($E79="Yes",OR($V79="No",$V79="NOT FOUND")),"YES",""))</f>
        <v/>
      </c>
      <c r="AI79" s="85">
        <f>IF($A79="","",TRIM(IF(AND($M79=0,$I79&lt;&gt;"Yes"),"T0-NoPhishResistant ","")&amp;IF($H79="No","NoMFA ","")&amp;IF(AND($M79=0,$O79="Group only"),"T0-ViaGroupOnly ","")&amp;IF($N79="Yes","BroadAzureScope ","")&amp;IF($T79="Yes","AlsoEntraRole ","")))</f>
        <v/>
      </c>
      <c r="AJ79" s="85">
        <f>IF($A79="","",IF(AD79="","Not Enrolled",IF(TODAY()&gt;AD79,"Review Overdue",IF(AD79-TODAY()&lt;=30,"Review Due Soon","Active"))))</f>
        <v/>
      </c>
      <c r="AK79" s="85">
        <f>IF($A79="","",IF(AE79="","NOT REVIEWED",IF(TODAY()-AE79&gt;90,"OVERDUE",IF(TODAY()-AE79&gt;76,"Due Soon","Current"))))</f>
        <v/>
      </c>
    </row>
    <row r="80" ht="15" customHeight="1" s="39">
      <c r="A80" s="85" t="n"/>
      <c r="B80" s="85" t="n"/>
      <c r="C80" s="85" t="n"/>
      <c r="D80" s="85" t="n"/>
      <c r="E80" s="85" t="n"/>
      <c r="F80" s="86" t="n"/>
      <c r="G80" s="86" t="n"/>
      <c r="H80" s="85" t="n"/>
      <c r="I80" s="85" t="n"/>
      <c r="J80" s="85" t="n"/>
      <c r="K80" s="85" t="n"/>
      <c r="L80" s="85" t="n"/>
      <c r="M80" s="85" t="n"/>
      <c r="N80" s="85" t="n"/>
      <c r="O80" s="85" t="n"/>
      <c r="P80" s="85" t="n"/>
      <c r="Q80" s="85" t="n"/>
      <c r="R80" s="85" t="n"/>
      <c r="S80" s="85" t="n"/>
      <c r="T80" s="85" t="n"/>
      <c r="U80" s="85" t="n"/>
      <c r="V80" s="85" t="n"/>
      <c r="W80" s="85" t="n"/>
      <c r="X80" s="85" t="n"/>
      <c r="Y80" s="85" t="n"/>
      <c r="Z80" s="85" t="n"/>
      <c r="AA80" s="85" t="n"/>
      <c r="AB80" s="85" t="n"/>
      <c r="AC80" s="86" t="n"/>
      <c r="AD80" s="86" t="n"/>
      <c r="AE80" s="86" t="n"/>
      <c r="AF80" s="85" t="n"/>
      <c r="AG80" s="85" t="n"/>
      <c r="AH80" s="85">
        <f>IF($A80="","",IF(AND($E80="Yes",OR($V80="No",$V80="NOT FOUND")),"YES",""))</f>
        <v/>
      </c>
      <c r="AI80" s="85">
        <f>IF($A80="","",TRIM(IF(AND($M80=0,$I80&lt;&gt;"Yes"),"T0-NoPhishResistant ","")&amp;IF($H80="No","NoMFA ","")&amp;IF(AND($M80=0,$O80="Group only"),"T0-ViaGroupOnly ","")&amp;IF($N80="Yes","BroadAzureScope ","")&amp;IF($T80="Yes","AlsoEntraRole ","")))</f>
        <v/>
      </c>
      <c r="AJ80" s="85">
        <f>IF($A80="","",IF(AD80="","Not Enrolled",IF(TODAY()&gt;AD80,"Review Overdue",IF(AD80-TODAY()&lt;=30,"Review Due Soon","Active"))))</f>
        <v/>
      </c>
      <c r="AK80" s="85">
        <f>IF($A80="","",IF(AE80="","NOT REVIEWED",IF(TODAY()-AE80&gt;90,"OVERDUE",IF(TODAY()-AE80&gt;76,"Due Soon","Current"))))</f>
        <v/>
      </c>
    </row>
    <row r="81" ht="15" customHeight="1" s="39">
      <c r="A81" s="85" t="n"/>
      <c r="B81" s="85" t="n"/>
      <c r="C81" s="85" t="n"/>
      <c r="D81" s="85" t="n"/>
      <c r="E81" s="85" t="n"/>
      <c r="F81" s="86" t="n"/>
      <c r="G81" s="86" t="n"/>
      <c r="H81" s="85" t="n"/>
      <c r="I81" s="85" t="n"/>
      <c r="J81" s="85" t="n"/>
      <c r="K81" s="85" t="n"/>
      <c r="L81" s="85" t="n"/>
      <c r="M81" s="85" t="n"/>
      <c r="N81" s="85" t="n"/>
      <c r="O81" s="85" t="n"/>
      <c r="P81" s="85" t="n"/>
      <c r="Q81" s="85" t="n"/>
      <c r="R81" s="85" t="n"/>
      <c r="S81" s="85" t="n"/>
      <c r="T81" s="85" t="n"/>
      <c r="U81" s="85" t="n"/>
      <c r="V81" s="85" t="n"/>
      <c r="W81" s="85" t="n"/>
      <c r="X81" s="85" t="n"/>
      <c r="Y81" s="85" t="n"/>
      <c r="Z81" s="85" t="n"/>
      <c r="AA81" s="85" t="n"/>
      <c r="AB81" s="85" t="n"/>
      <c r="AC81" s="86" t="n"/>
      <c r="AD81" s="86" t="n"/>
      <c r="AE81" s="86" t="n"/>
      <c r="AF81" s="85" t="n"/>
      <c r="AG81" s="85" t="n"/>
      <c r="AH81" s="85">
        <f>IF($A81="","",IF(AND($E81="Yes",OR($V81="No",$V81="NOT FOUND")),"YES",""))</f>
        <v/>
      </c>
      <c r="AI81" s="85">
        <f>IF($A81="","",TRIM(IF(AND($M81=0,$I81&lt;&gt;"Yes"),"T0-NoPhishResistant ","")&amp;IF($H81="No","NoMFA ","")&amp;IF(AND($M81=0,$O81="Group only"),"T0-ViaGroupOnly ","")&amp;IF($N81="Yes","BroadAzureScope ","")&amp;IF($T81="Yes","AlsoEntraRole ","")))</f>
        <v/>
      </c>
      <c r="AJ81" s="85">
        <f>IF($A81="","",IF(AD81="","Not Enrolled",IF(TODAY()&gt;AD81,"Review Overdue",IF(AD81-TODAY()&lt;=30,"Review Due Soon","Active"))))</f>
        <v/>
      </c>
      <c r="AK81" s="85">
        <f>IF($A81="","",IF(AE81="","NOT REVIEWED",IF(TODAY()-AE81&gt;90,"OVERDUE",IF(TODAY()-AE81&gt;76,"Due Soon","Current"))))</f>
        <v/>
      </c>
    </row>
    <row r="82" ht="15" customHeight="1" s="39">
      <c r="A82" s="85" t="n"/>
      <c r="B82" s="85" t="n"/>
      <c r="C82" s="85" t="n"/>
      <c r="D82" s="85" t="n"/>
      <c r="E82" s="85" t="n"/>
      <c r="F82" s="86" t="n"/>
      <c r="G82" s="86" t="n"/>
      <c r="H82" s="85" t="n"/>
      <c r="I82" s="85" t="n"/>
      <c r="J82" s="85" t="n"/>
      <c r="K82" s="85" t="n"/>
      <c r="L82" s="85" t="n"/>
      <c r="M82" s="85" t="n"/>
      <c r="N82" s="85" t="n"/>
      <c r="O82" s="85" t="n"/>
      <c r="P82" s="85" t="n"/>
      <c r="Q82" s="85" t="n"/>
      <c r="R82" s="85" t="n"/>
      <c r="S82" s="85" t="n"/>
      <c r="T82" s="85" t="n"/>
      <c r="U82" s="85" t="n"/>
      <c r="V82" s="85" t="n"/>
      <c r="W82" s="85" t="n"/>
      <c r="X82" s="85" t="n"/>
      <c r="Y82" s="85" t="n"/>
      <c r="Z82" s="85" t="n"/>
      <c r="AA82" s="85" t="n"/>
      <c r="AB82" s="85" t="n"/>
      <c r="AC82" s="86" t="n"/>
      <c r="AD82" s="86" t="n"/>
      <c r="AE82" s="86" t="n"/>
      <c r="AF82" s="85" t="n"/>
      <c r="AG82" s="85" t="n"/>
      <c r="AH82" s="85">
        <f>IF($A82="","",IF(AND($E82="Yes",OR($V82="No",$V82="NOT FOUND")),"YES",""))</f>
        <v/>
      </c>
      <c r="AI82" s="85">
        <f>IF($A82="","",TRIM(IF(AND($M82=0,$I82&lt;&gt;"Yes"),"T0-NoPhishResistant ","")&amp;IF($H82="No","NoMFA ","")&amp;IF(AND($M82=0,$O82="Group only"),"T0-ViaGroupOnly ","")&amp;IF($N82="Yes","BroadAzureScope ","")&amp;IF($T82="Yes","AlsoEntraRole ","")))</f>
        <v/>
      </c>
      <c r="AJ82" s="85">
        <f>IF($A82="","",IF(AD82="","Not Enrolled",IF(TODAY()&gt;AD82,"Review Overdue",IF(AD82-TODAY()&lt;=30,"Review Due Soon","Active"))))</f>
        <v/>
      </c>
      <c r="AK82" s="85">
        <f>IF($A82="","",IF(AE82="","NOT REVIEWED",IF(TODAY()-AE82&gt;90,"OVERDUE",IF(TODAY()-AE82&gt;76,"Due Soon","Current"))))</f>
        <v/>
      </c>
    </row>
    <row r="83" ht="15" customHeight="1" s="39">
      <c r="A83" s="85" t="n"/>
      <c r="B83" s="85" t="n"/>
      <c r="C83" s="85" t="n"/>
      <c r="D83" s="85" t="n"/>
      <c r="E83" s="85" t="n"/>
      <c r="F83" s="86" t="n"/>
      <c r="G83" s="86" t="n"/>
      <c r="H83" s="85" t="n"/>
      <c r="I83" s="85" t="n"/>
      <c r="J83" s="85" t="n"/>
      <c r="K83" s="85" t="n"/>
      <c r="L83" s="85" t="n"/>
      <c r="M83" s="85" t="n"/>
      <c r="N83" s="85" t="n"/>
      <c r="O83" s="85" t="n"/>
      <c r="P83" s="85" t="n"/>
      <c r="Q83" s="85" t="n"/>
      <c r="R83" s="85" t="n"/>
      <c r="S83" s="85" t="n"/>
      <c r="T83" s="85" t="n"/>
      <c r="U83" s="85" t="n"/>
      <c r="V83" s="85" t="n"/>
      <c r="W83" s="85" t="n"/>
      <c r="X83" s="85" t="n"/>
      <c r="Y83" s="85" t="n"/>
      <c r="Z83" s="85" t="n"/>
      <c r="AA83" s="85" t="n"/>
      <c r="AB83" s="85" t="n"/>
      <c r="AC83" s="86" t="n"/>
      <c r="AD83" s="86" t="n"/>
      <c r="AE83" s="86" t="n"/>
      <c r="AF83" s="85" t="n"/>
      <c r="AG83" s="85" t="n"/>
      <c r="AH83" s="85">
        <f>IF($A83="","",IF(AND($E83="Yes",OR($V83="No",$V83="NOT FOUND")),"YES",""))</f>
        <v/>
      </c>
      <c r="AI83" s="85">
        <f>IF($A83="","",TRIM(IF(AND($M83=0,$I83&lt;&gt;"Yes"),"T0-NoPhishResistant ","")&amp;IF($H83="No","NoMFA ","")&amp;IF(AND($M83=0,$O83="Group only"),"T0-ViaGroupOnly ","")&amp;IF($N83="Yes","BroadAzureScope ","")&amp;IF($T83="Yes","AlsoEntraRole ","")))</f>
        <v/>
      </c>
      <c r="AJ83" s="85">
        <f>IF($A83="","",IF(AD83="","Not Enrolled",IF(TODAY()&gt;AD83,"Review Overdue",IF(AD83-TODAY()&lt;=30,"Review Due Soon","Active"))))</f>
        <v/>
      </c>
      <c r="AK83" s="85">
        <f>IF($A83="","",IF(AE83="","NOT REVIEWED",IF(TODAY()-AE83&gt;90,"OVERDUE",IF(TODAY()-AE83&gt;76,"Due Soon","Current"))))</f>
        <v/>
      </c>
    </row>
    <row r="84" ht="15" customHeight="1" s="39">
      <c r="A84" s="85" t="n"/>
      <c r="B84" s="85" t="n"/>
      <c r="C84" s="85" t="n"/>
      <c r="D84" s="85" t="n"/>
      <c r="E84" s="85" t="n"/>
      <c r="F84" s="86" t="n"/>
      <c r="G84" s="86" t="n"/>
      <c r="H84" s="85" t="n"/>
      <c r="I84" s="85" t="n"/>
      <c r="J84" s="85" t="n"/>
      <c r="K84" s="85" t="n"/>
      <c r="L84" s="85" t="n"/>
      <c r="M84" s="85" t="n"/>
      <c r="N84" s="85" t="n"/>
      <c r="O84" s="85" t="n"/>
      <c r="P84" s="85" t="n"/>
      <c r="Q84" s="85" t="n"/>
      <c r="R84" s="85" t="n"/>
      <c r="S84" s="85" t="n"/>
      <c r="T84" s="85" t="n"/>
      <c r="U84" s="85" t="n"/>
      <c r="V84" s="85" t="n"/>
      <c r="W84" s="85" t="n"/>
      <c r="X84" s="85" t="n"/>
      <c r="Y84" s="85" t="n"/>
      <c r="Z84" s="85" t="n"/>
      <c r="AA84" s="85" t="n"/>
      <c r="AB84" s="85" t="n"/>
      <c r="AC84" s="86" t="n"/>
      <c r="AD84" s="86" t="n"/>
      <c r="AE84" s="86" t="n"/>
      <c r="AF84" s="85" t="n"/>
      <c r="AG84" s="85" t="n"/>
      <c r="AH84" s="85">
        <f>IF($A84="","",IF(AND($E84="Yes",OR($V84="No",$V84="NOT FOUND")),"YES",""))</f>
        <v/>
      </c>
      <c r="AI84" s="85">
        <f>IF($A84="","",TRIM(IF(AND($M84=0,$I84&lt;&gt;"Yes"),"T0-NoPhishResistant ","")&amp;IF($H84="No","NoMFA ","")&amp;IF(AND($M84=0,$O84="Group only"),"T0-ViaGroupOnly ","")&amp;IF($N84="Yes","BroadAzureScope ","")&amp;IF($T84="Yes","AlsoEntraRole ","")))</f>
        <v/>
      </c>
      <c r="AJ84" s="85">
        <f>IF($A84="","",IF(AD84="","Not Enrolled",IF(TODAY()&gt;AD84,"Review Overdue",IF(AD84-TODAY()&lt;=30,"Review Due Soon","Active"))))</f>
        <v/>
      </c>
      <c r="AK84" s="85">
        <f>IF($A84="","",IF(AE84="","NOT REVIEWED",IF(TODAY()-AE84&gt;90,"OVERDUE",IF(TODAY()-AE84&gt;76,"Due Soon","Current"))))</f>
        <v/>
      </c>
    </row>
    <row r="85" ht="15" customHeight="1" s="39">
      <c r="A85" s="85" t="n"/>
      <c r="B85" s="85" t="n"/>
      <c r="C85" s="85" t="n"/>
      <c r="D85" s="85" t="n"/>
      <c r="E85" s="85" t="n"/>
      <c r="F85" s="86" t="n"/>
      <c r="G85" s="86" t="n"/>
      <c r="H85" s="85" t="n"/>
      <c r="I85" s="85" t="n"/>
      <c r="J85" s="85" t="n"/>
      <c r="K85" s="85" t="n"/>
      <c r="L85" s="85" t="n"/>
      <c r="M85" s="85" t="n"/>
      <c r="N85" s="85" t="n"/>
      <c r="O85" s="85" t="n"/>
      <c r="P85" s="85" t="n"/>
      <c r="Q85" s="85" t="n"/>
      <c r="R85" s="85" t="n"/>
      <c r="S85" s="85" t="n"/>
      <c r="T85" s="85" t="n"/>
      <c r="U85" s="85" t="n"/>
      <c r="V85" s="85" t="n"/>
      <c r="W85" s="85" t="n"/>
      <c r="X85" s="85" t="n"/>
      <c r="Y85" s="85" t="n"/>
      <c r="Z85" s="85" t="n"/>
      <c r="AA85" s="85" t="n"/>
      <c r="AB85" s="85" t="n"/>
      <c r="AC85" s="86" t="n"/>
      <c r="AD85" s="86" t="n"/>
      <c r="AE85" s="86" t="n"/>
      <c r="AF85" s="85" t="n"/>
      <c r="AG85" s="85" t="n"/>
      <c r="AH85" s="85">
        <f>IF($A85="","",IF(AND($E85="Yes",OR($V85="No",$V85="NOT FOUND")),"YES",""))</f>
        <v/>
      </c>
      <c r="AI85" s="85">
        <f>IF($A85="","",TRIM(IF(AND($M85=0,$I85&lt;&gt;"Yes"),"T0-NoPhishResistant ","")&amp;IF($H85="No","NoMFA ","")&amp;IF(AND($M85=0,$O85="Group only"),"T0-ViaGroupOnly ","")&amp;IF($N85="Yes","BroadAzureScope ","")&amp;IF($T85="Yes","AlsoEntraRole ","")))</f>
        <v/>
      </c>
      <c r="AJ85" s="85">
        <f>IF($A85="","",IF(AD85="","Not Enrolled",IF(TODAY()&gt;AD85,"Review Overdue",IF(AD85-TODAY()&lt;=30,"Review Due Soon","Active"))))</f>
        <v/>
      </c>
      <c r="AK85" s="85">
        <f>IF($A85="","",IF(AE85="","NOT REVIEWED",IF(TODAY()-AE85&gt;90,"OVERDUE",IF(TODAY()-AE85&gt;76,"Due Soon","Current"))))</f>
        <v/>
      </c>
    </row>
    <row r="86" ht="15" customHeight="1" s="39">
      <c r="A86" s="85" t="n"/>
      <c r="B86" s="85" t="n"/>
      <c r="C86" s="85" t="n"/>
      <c r="D86" s="85" t="n"/>
      <c r="E86" s="85" t="n"/>
      <c r="F86" s="86" t="n"/>
      <c r="G86" s="86" t="n"/>
      <c r="H86" s="85" t="n"/>
      <c r="I86" s="85" t="n"/>
      <c r="J86" s="85" t="n"/>
      <c r="K86" s="85" t="n"/>
      <c r="L86" s="85" t="n"/>
      <c r="M86" s="85" t="n"/>
      <c r="N86" s="85" t="n"/>
      <c r="O86" s="85" t="n"/>
      <c r="P86" s="85" t="n"/>
      <c r="Q86" s="85" t="n"/>
      <c r="R86" s="85" t="n"/>
      <c r="S86" s="85" t="n"/>
      <c r="T86" s="85" t="n"/>
      <c r="U86" s="85" t="n"/>
      <c r="V86" s="85" t="n"/>
      <c r="W86" s="85" t="n"/>
      <c r="X86" s="85" t="n"/>
      <c r="Y86" s="85" t="n"/>
      <c r="Z86" s="85" t="n"/>
      <c r="AA86" s="85" t="n"/>
      <c r="AB86" s="85" t="n"/>
      <c r="AC86" s="86" t="n"/>
      <c r="AD86" s="86" t="n"/>
      <c r="AE86" s="86" t="n"/>
      <c r="AF86" s="85" t="n"/>
      <c r="AG86" s="85" t="n"/>
      <c r="AH86" s="85">
        <f>IF($A86="","",IF(AND($E86="Yes",OR($V86="No",$V86="NOT FOUND")),"YES",""))</f>
        <v/>
      </c>
      <c r="AI86" s="85">
        <f>IF($A86="","",TRIM(IF(AND($M86=0,$I86&lt;&gt;"Yes"),"T0-NoPhishResistant ","")&amp;IF($H86="No","NoMFA ","")&amp;IF(AND($M86=0,$O86="Group only"),"T0-ViaGroupOnly ","")&amp;IF($N86="Yes","BroadAzureScope ","")&amp;IF($T86="Yes","AlsoEntraRole ","")))</f>
        <v/>
      </c>
      <c r="AJ86" s="85">
        <f>IF($A86="","",IF(AD86="","Not Enrolled",IF(TODAY()&gt;AD86,"Review Overdue",IF(AD86-TODAY()&lt;=30,"Review Due Soon","Active"))))</f>
        <v/>
      </c>
      <c r="AK86" s="85">
        <f>IF($A86="","",IF(AE86="","NOT REVIEWED",IF(TODAY()-AE86&gt;90,"OVERDUE",IF(TODAY()-AE86&gt;76,"Due Soon","Current"))))</f>
        <v/>
      </c>
    </row>
    <row r="87" ht="15" customHeight="1" s="39">
      <c r="A87" s="85" t="n"/>
      <c r="B87" s="85" t="n"/>
      <c r="C87" s="85" t="n"/>
      <c r="D87" s="85" t="n"/>
      <c r="E87" s="85" t="n"/>
      <c r="F87" s="86" t="n"/>
      <c r="G87" s="86" t="n"/>
      <c r="H87" s="85" t="n"/>
      <c r="I87" s="85" t="n"/>
      <c r="J87" s="85" t="n"/>
      <c r="K87" s="85" t="n"/>
      <c r="L87" s="85" t="n"/>
      <c r="M87" s="85" t="n"/>
      <c r="N87" s="85" t="n"/>
      <c r="O87" s="85" t="n"/>
      <c r="P87" s="85" t="n"/>
      <c r="Q87" s="85" t="n"/>
      <c r="R87" s="85" t="n"/>
      <c r="S87" s="85" t="n"/>
      <c r="T87" s="85" t="n"/>
      <c r="U87" s="85" t="n"/>
      <c r="V87" s="85" t="n"/>
      <c r="W87" s="85" t="n"/>
      <c r="X87" s="85" t="n"/>
      <c r="Y87" s="85" t="n"/>
      <c r="Z87" s="85" t="n"/>
      <c r="AA87" s="85" t="n"/>
      <c r="AB87" s="85" t="n"/>
      <c r="AC87" s="86" t="n"/>
      <c r="AD87" s="86" t="n"/>
      <c r="AE87" s="86" t="n"/>
      <c r="AF87" s="85" t="n"/>
      <c r="AG87" s="85" t="n"/>
      <c r="AH87" s="85">
        <f>IF($A87="","",IF(AND($E87="Yes",OR($V87="No",$V87="NOT FOUND")),"YES",""))</f>
        <v/>
      </c>
      <c r="AI87" s="85">
        <f>IF($A87="","",TRIM(IF(AND($M87=0,$I87&lt;&gt;"Yes"),"T0-NoPhishResistant ","")&amp;IF($H87="No","NoMFA ","")&amp;IF(AND($M87=0,$O87="Group only"),"T0-ViaGroupOnly ","")&amp;IF($N87="Yes","BroadAzureScope ","")&amp;IF($T87="Yes","AlsoEntraRole ","")))</f>
        <v/>
      </c>
      <c r="AJ87" s="85">
        <f>IF($A87="","",IF(AD87="","Not Enrolled",IF(TODAY()&gt;AD87,"Review Overdue",IF(AD87-TODAY()&lt;=30,"Review Due Soon","Active"))))</f>
        <v/>
      </c>
      <c r="AK87" s="85">
        <f>IF($A87="","",IF(AE87="","NOT REVIEWED",IF(TODAY()-AE87&gt;90,"OVERDUE",IF(TODAY()-AE87&gt;76,"Due Soon","Current"))))</f>
        <v/>
      </c>
    </row>
    <row r="88" ht="15" customHeight="1" s="39">
      <c r="A88" s="85" t="n"/>
      <c r="B88" s="85" t="n"/>
      <c r="C88" s="85" t="n"/>
      <c r="D88" s="85" t="n"/>
      <c r="E88" s="85" t="n"/>
      <c r="F88" s="86" t="n"/>
      <c r="G88" s="86" t="n"/>
      <c r="H88" s="85" t="n"/>
      <c r="I88" s="85" t="n"/>
      <c r="J88" s="85" t="n"/>
      <c r="K88" s="85" t="n"/>
      <c r="L88" s="85" t="n"/>
      <c r="M88" s="85" t="n"/>
      <c r="N88" s="85" t="n"/>
      <c r="O88" s="85" t="n"/>
      <c r="P88" s="85" t="n"/>
      <c r="Q88" s="85" t="n"/>
      <c r="R88" s="85" t="n"/>
      <c r="S88" s="85" t="n"/>
      <c r="T88" s="85" t="n"/>
      <c r="U88" s="85" t="n"/>
      <c r="V88" s="85" t="n"/>
      <c r="W88" s="85" t="n"/>
      <c r="X88" s="85" t="n"/>
      <c r="Y88" s="85" t="n"/>
      <c r="Z88" s="85" t="n"/>
      <c r="AA88" s="85" t="n"/>
      <c r="AB88" s="85" t="n"/>
      <c r="AC88" s="86" t="n"/>
      <c r="AD88" s="86" t="n"/>
      <c r="AE88" s="86" t="n"/>
      <c r="AF88" s="85" t="n"/>
      <c r="AG88" s="85" t="n"/>
      <c r="AH88" s="85">
        <f>IF($A88="","",IF(AND($E88="Yes",OR($V88="No",$V88="NOT FOUND")),"YES",""))</f>
        <v/>
      </c>
      <c r="AI88" s="85">
        <f>IF($A88="","",TRIM(IF(AND($M88=0,$I88&lt;&gt;"Yes"),"T0-NoPhishResistant ","")&amp;IF($H88="No","NoMFA ","")&amp;IF(AND($M88=0,$O88="Group only"),"T0-ViaGroupOnly ","")&amp;IF($N88="Yes","BroadAzureScope ","")&amp;IF($T88="Yes","AlsoEntraRole ","")))</f>
        <v/>
      </c>
      <c r="AJ88" s="85">
        <f>IF($A88="","",IF(AD88="","Not Enrolled",IF(TODAY()&gt;AD88,"Review Overdue",IF(AD88-TODAY()&lt;=30,"Review Due Soon","Active"))))</f>
        <v/>
      </c>
      <c r="AK88" s="85">
        <f>IF($A88="","",IF(AE88="","NOT REVIEWED",IF(TODAY()-AE88&gt;90,"OVERDUE",IF(TODAY()-AE88&gt;76,"Due Soon","Current"))))</f>
        <v/>
      </c>
    </row>
    <row r="89" ht="15" customHeight="1" s="39">
      <c r="A89" s="85" t="n"/>
      <c r="B89" s="85" t="n"/>
      <c r="C89" s="85" t="n"/>
      <c r="D89" s="85" t="n"/>
      <c r="E89" s="85" t="n"/>
      <c r="F89" s="86" t="n"/>
      <c r="G89" s="86" t="n"/>
      <c r="H89" s="85" t="n"/>
      <c r="I89" s="85" t="n"/>
      <c r="J89" s="85" t="n"/>
      <c r="K89" s="85" t="n"/>
      <c r="L89" s="85" t="n"/>
      <c r="M89" s="85" t="n"/>
      <c r="N89" s="85" t="n"/>
      <c r="O89" s="85" t="n"/>
      <c r="P89" s="85" t="n"/>
      <c r="Q89" s="85" t="n"/>
      <c r="R89" s="85" t="n"/>
      <c r="S89" s="85" t="n"/>
      <c r="T89" s="85" t="n"/>
      <c r="U89" s="85" t="n"/>
      <c r="V89" s="85" t="n"/>
      <c r="W89" s="85" t="n"/>
      <c r="X89" s="85" t="n"/>
      <c r="Y89" s="85" t="n"/>
      <c r="Z89" s="85" t="n"/>
      <c r="AA89" s="85" t="n"/>
      <c r="AB89" s="85" t="n"/>
      <c r="AC89" s="86" t="n"/>
      <c r="AD89" s="86" t="n"/>
      <c r="AE89" s="86" t="n"/>
      <c r="AF89" s="85" t="n"/>
      <c r="AG89" s="85" t="n"/>
      <c r="AH89" s="85">
        <f>IF($A89="","",IF(AND($E89="Yes",OR($V89="No",$V89="NOT FOUND")),"YES",""))</f>
        <v/>
      </c>
      <c r="AI89" s="85">
        <f>IF($A89="","",TRIM(IF(AND($M89=0,$I89&lt;&gt;"Yes"),"T0-NoPhishResistant ","")&amp;IF($H89="No","NoMFA ","")&amp;IF(AND($M89=0,$O89="Group only"),"T0-ViaGroupOnly ","")&amp;IF($N89="Yes","BroadAzureScope ","")&amp;IF($T89="Yes","AlsoEntraRole ","")))</f>
        <v/>
      </c>
      <c r="AJ89" s="85">
        <f>IF($A89="","",IF(AD89="","Not Enrolled",IF(TODAY()&gt;AD89,"Review Overdue",IF(AD89-TODAY()&lt;=30,"Review Due Soon","Active"))))</f>
        <v/>
      </c>
      <c r="AK89" s="85">
        <f>IF($A89="","",IF(AE89="","NOT REVIEWED",IF(TODAY()-AE89&gt;90,"OVERDUE",IF(TODAY()-AE89&gt;76,"Due Soon","Current"))))</f>
        <v/>
      </c>
    </row>
    <row r="90" ht="15" customHeight="1" s="39">
      <c r="A90" s="85" t="n"/>
      <c r="B90" s="85" t="n"/>
      <c r="C90" s="85" t="n"/>
      <c r="D90" s="85" t="n"/>
      <c r="E90" s="85" t="n"/>
      <c r="F90" s="86" t="n"/>
      <c r="G90" s="86" t="n"/>
      <c r="H90" s="85" t="n"/>
      <c r="I90" s="85" t="n"/>
      <c r="J90" s="85" t="n"/>
      <c r="K90" s="85" t="n"/>
      <c r="L90" s="85" t="n"/>
      <c r="M90" s="85" t="n"/>
      <c r="N90" s="85" t="n"/>
      <c r="O90" s="85" t="n"/>
      <c r="P90" s="85" t="n"/>
      <c r="Q90" s="85" t="n"/>
      <c r="R90" s="85" t="n"/>
      <c r="S90" s="85" t="n"/>
      <c r="T90" s="85" t="n"/>
      <c r="U90" s="85" t="n"/>
      <c r="V90" s="85" t="n"/>
      <c r="W90" s="85" t="n"/>
      <c r="X90" s="85" t="n"/>
      <c r="Y90" s="85" t="n"/>
      <c r="Z90" s="85" t="n"/>
      <c r="AA90" s="85" t="n"/>
      <c r="AB90" s="85" t="n"/>
      <c r="AC90" s="86" t="n"/>
      <c r="AD90" s="86" t="n"/>
      <c r="AE90" s="86" t="n"/>
      <c r="AF90" s="85" t="n"/>
      <c r="AG90" s="85" t="n"/>
      <c r="AH90" s="85">
        <f>IF($A90="","",IF(AND($E90="Yes",OR($V90="No",$V90="NOT FOUND")),"YES",""))</f>
        <v/>
      </c>
      <c r="AI90" s="85">
        <f>IF($A90="","",TRIM(IF(AND($M90=0,$I90&lt;&gt;"Yes"),"T0-NoPhishResistant ","")&amp;IF($H90="No","NoMFA ","")&amp;IF(AND($M90=0,$O90="Group only"),"T0-ViaGroupOnly ","")&amp;IF($N90="Yes","BroadAzureScope ","")&amp;IF($T90="Yes","AlsoEntraRole ","")))</f>
        <v/>
      </c>
      <c r="AJ90" s="85">
        <f>IF($A90="","",IF(AD90="","Not Enrolled",IF(TODAY()&gt;AD90,"Review Overdue",IF(AD90-TODAY()&lt;=30,"Review Due Soon","Active"))))</f>
        <v/>
      </c>
      <c r="AK90" s="85">
        <f>IF($A90="","",IF(AE90="","NOT REVIEWED",IF(TODAY()-AE90&gt;90,"OVERDUE",IF(TODAY()-AE90&gt;76,"Due Soon","Current"))))</f>
        <v/>
      </c>
    </row>
    <row r="91" ht="15" customHeight="1" s="39">
      <c r="A91" s="85" t="n"/>
      <c r="B91" s="85" t="n"/>
      <c r="C91" s="85" t="n"/>
      <c r="D91" s="85" t="n"/>
      <c r="E91" s="85" t="n"/>
      <c r="F91" s="86" t="n"/>
      <c r="G91" s="86" t="n"/>
      <c r="H91" s="85" t="n"/>
      <c r="I91" s="85" t="n"/>
      <c r="J91" s="85" t="n"/>
      <c r="K91" s="85" t="n"/>
      <c r="L91" s="85" t="n"/>
      <c r="M91" s="85" t="n"/>
      <c r="N91" s="85" t="n"/>
      <c r="O91" s="85" t="n"/>
      <c r="P91" s="85" t="n"/>
      <c r="Q91" s="85" t="n"/>
      <c r="R91" s="85" t="n"/>
      <c r="S91" s="85" t="n"/>
      <c r="T91" s="85" t="n"/>
      <c r="U91" s="85" t="n"/>
      <c r="V91" s="85" t="n"/>
      <c r="W91" s="85" t="n"/>
      <c r="X91" s="85" t="n"/>
      <c r="Y91" s="85" t="n"/>
      <c r="Z91" s="85" t="n"/>
      <c r="AA91" s="85" t="n"/>
      <c r="AB91" s="85" t="n"/>
      <c r="AC91" s="86" t="n"/>
      <c r="AD91" s="86" t="n"/>
      <c r="AE91" s="86" t="n"/>
      <c r="AF91" s="85" t="n"/>
      <c r="AG91" s="85" t="n"/>
      <c r="AH91" s="85">
        <f>IF($A91="","",IF(AND($E91="Yes",OR($V91="No",$V91="NOT FOUND")),"YES",""))</f>
        <v/>
      </c>
      <c r="AI91" s="85">
        <f>IF($A91="","",TRIM(IF(AND($M91=0,$I91&lt;&gt;"Yes"),"T0-NoPhishResistant ","")&amp;IF($H91="No","NoMFA ","")&amp;IF(AND($M91=0,$O91="Group only"),"T0-ViaGroupOnly ","")&amp;IF($N91="Yes","BroadAzureScope ","")&amp;IF($T91="Yes","AlsoEntraRole ","")))</f>
        <v/>
      </c>
      <c r="AJ91" s="85">
        <f>IF($A91="","",IF(AD91="","Not Enrolled",IF(TODAY()&gt;AD91,"Review Overdue",IF(AD91-TODAY()&lt;=30,"Review Due Soon","Active"))))</f>
        <v/>
      </c>
      <c r="AK91" s="85">
        <f>IF($A91="","",IF(AE91="","NOT REVIEWED",IF(TODAY()-AE91&gt;90,"OVERDUE",IF(TODAY()-AE91&gt;76,"Due Soon","Current"))))</f>
        <v/>
      </c>
    </row>
    <row r="92" ht="15" customHeight="1" s="39">
      <c r="A92" s="85" t="n"/>
      <c r="B92" s="85" t="n"/>
      <c r="C92" s="85" t="n"/>
      <c r="D92" s="85" t="n"/>
      <c r="E92" s="85" t="n"/>
      <c r="F92" s="86" t="n"/>
      <c r="G92" s="86" t="n"/>
      <c r="H92" s="85" t="n"/>
      <c r="I92" s="85" t="n"/>
      <c r="J92" s="85" t="n"/>
      <c r="K92" s="85" t="n"/>
      <c r="L92" s="85" t="n"/>
      <c r="M92" s="85" t="n"/>
      <c r="N92" s="85" t="n"/>
      <c r="O92" s="85" t="n"/>
      <c r="P92" s="85" t="n"/>
      <c r="Q92" s="85" t="n"/>
      <c r="R92" s="85" t="n"/>
      <c r="S92" s="85" t="n"/>
      <c r="T92" s="85" t="n"/>
      <c r="U92" s="85" t="n"/>
      <c r="V92" s="85" t="n"/>
      <c r="W92" s="85" t="n"/>
      <c r="X92" s="85" t="n"/>
      <c r="Y92" s="85" t="n"/>
      <c r="Z92" s="85" t="n"/>
      <c r="AA92" s="85" t="n"/>
      <c r="AB92" s="85" t="n"/>
      <c r="AC92" s="86" t="n"/>
      <c r="AD92" s="86" t="n"/>
      <c r="AE92" s="86" t="n"/>
      <c r="AF92" s="85" t="n"/>
      <c r="AG92" s="85" t="n"/>
      <c r="AH92" s="85">
        <f>IF($A92="","",IF(AND($E92="Yes",OR($V92="No",$V92="NOT FOUND")),"YES",""))</f>
        <v/>
      </c>
      <c r="AI92" s="85">
        <f>IF($A92="","",TRIM(IF(AND($M92=0,$I92&lt;&gt;"Yes"),"T0-NoPhishResistant ","")&amp;IF($H92="No","NoMFA ","")&amp;IF(AND($M92=0,$O92="Group only"),"T0-ViaGroupOnly ","")&amp;IF($N92="Yes","BroadAzureScope ","")&amp;IF($T92="Yes","AlsoEntraRole ","")))</f>
        <v/>
      </c>
      <c r="AJ92" s="85">
        <f>IF($A92="","",IF(AD92="","Not Enrolled",IF(TODAY()&gt;AD92,"Review Overdue",IF(AD92-TODAY()&lt;=30,"Review Due Soon","Active"))))</f>
        <v/>
      </c>
      <c r="AK92" s="85">
        <f>IF($A92="","",IF(AE92="","NOT REVIEWED",IF(TODAY()-AE92&gt;90,"OVERDUE",IF(TODAY()-AE92&gt;76,"Due Soon","Current"))))</f>
        <v/>
      </c>
    </row>
    <row r="93" ht="15" customHeight="1" s="39">
      <c r="A93" s="85" t="n"/>
      <c r="B93" s="85" t="n"/>
      <c r="C93" s="85" t="n"/>
      <c r="D93" s="85" t="n"/>
      <c r="E93" s="85" t="n"/>
      <c r="F93" s="86" t="n"/>
      <c r="G93" s="86" t="n"/>
      <c r="H93" s="85" t="n"/>
      <c r="I93" s="85" t="n"/>
      <c r="J93" s="85" t="n"/>
      <c r="K93" s="85" t="n"/>
      <c r="L93" s="85" t="n"/>
      <c r="M93" s="85" t="n"/>
      <c r="N93" s="85" t="n"/>
      <c r="O93" s="85" t="n"/>
      <c r="P93" s="85" t="n"/>
      <c r="Q93" s="85" t="n"/>
      <c r="R93" s="85" t="n"/>
      <c r="S93" s="85" t="n"/>
      <c r="T93" s="85" t="n"/>
      <c r="U93" s="85" t="n"/>
      <c r="V93" s="85" t="n"/>
      <c r="W93" s="85" t="n"/>
      <c r="X93" s="85" t="n"/>
      <c r="Y93" s="85" t="n"/>
      <c r="Z93" s="85" t="n"/>
      <c r="AA93" s="85" t="n"/>
      <c r="AB93" s="85" t="n"/>
      <c r="AC93" s="86" t="n"/>
      <c r="AD93" s="86" t="n"/>
      <c r="AE93" s="86" t="n"/>
      <c r="AF93" s="85" t="n"/>
      <c r="AG93" s="85" t="n"/>
      <c r="AH93" s="85">
        <f>IF($A93="","",IF(AND($E93="Yes",OR($V93="No",$V93="NOT FOUND")),"YES",""))</f>
        <v/>
      </c>
      <c r="AI93" s="85">
        <f>IF($A93="","",TRIM(IF(AND($M93=0,$I93&lt;&gt;"Yes"),"T0-NoPhishResistant ","")&amp;IF($H93="No","NoMFA ","")&amp;IF(AND($M93=0,$O93="Group only"),"T0-ViaGroupOnly ","")&amp;IF($N93="Yes","BroadAzureScope ","")&amp;IF($T93="Yes","AlsoEntraRole ","")))</f>
        <v/>
      </c>
      <c r="AJ93" s="85">
        <f>IF($A93="","",IF(AD93="","Not Enrolled",IF(TODAY()&gt;AD93,"Review Overdue",IF(AD93-TODAY()&lt;=30,"Review Due Soon","Active"))))</f>
        <v/>
      </c>
      <c r="AK93" s="85">
        <f>IF($A93="","",IF(AE93="","NOT REVIEWED",IF(TODAY()-AE93&gt;90,"OVERDUE",IF(TODAY()-AE93&gt;76,"Due Soon","Current"))))</f>
        <v/>
      </c>
    </row>
    <row r="94" ht="15" customHeight="1" s="39">
      <c r="A94" s="85" t="n"/>
      <c r="B94" s="85" t="n"/>
      <c r="C94" s="85" t="n"/>
      <c r="D94" s="85" t="n"/>
      <c r="E94" s="85" t="n"/>
      <c r="F94" s="86" t="n"/>
      <c r="G94" s="86" t="n"/>
      <c r="H94" s="85" t="n"/>
      <c r="I94" s="85" t="n"/>
      <c r="J94" s="85" t="n"/>
      <c r="K94" s="85" t="n"/>
      <c r="L94" s="85" t="n"/>
      <c r="M94" s="85" t="n"/>
      <c r="N94" s="85" t="n"/>
      <c r="O94" s="85" t="n"/>
      <c r="P94" s="85" t="n"/>
      <c r="Q94" s="85" t="n"/>
      <c r="R94" s="85" t="n"/>
      <c r="S94" s="85" t="n"/>
      <c r="T94" s="85" t="n"/>
      <c r="U94" s="85" t="n"/>
      <c r="V94" s="85" t="n"/>
      <c r="W94" s="85" t="n"/>
      <c r="X94" s="85" t="n"/>
      <c r="Y94" s="85" t="n"/>
      <c r="Z94" s="85" t="n"/>
      <c r="AA94" s="85" t="n"/>
      <c r="AB94" s="85" t="n"/>
      <c r="AC94" s="86" t="n"/>
      <c r="AD94" s="86" t="n"/>
      <c r="AE94" s="86" t="n"/>
      <c r="AF94" s="85" t="n"/>
      <c r="AG94" s="85" t="n"/>
      <c r="AH94" s="85">
        <f>IF($A94="","",IF(AND($E94="Yes",OR($V94="No",$V94="NOT FOUND")),"YES",""))</f>
        <v/>
      </c>
      <c r="AI94" s="85">
        <f>IF($A94="","",TRIM(IF(AND($M94=0,$I94&lt;&gt;"Yes"),"T0-NoPhishResistant ","")&amp;IF($H94="No","NoMFA ","")&amp;IF(AND($M94=0,$O94="Group only"),"T0-ViaGroupOnly ","")&amp;IF($N94="Yes","BroadAzureScope ","")&amp;IF($T94="Yes","AlsoEntraRole ","")))</f>
        <v/>
      </c>
      <c r="AJ94" s="85">
        <f>IF($A94="","",IF(AD94="","Not Enrolled",IF(TODAY()&gt;AD94,"Review Overdue",IF(AD94-TODAY()&lt;=30,"Review Due Soon","Active"))))</f>
        <v/>
      </c>
      <c r="AK94" s="85">
        <f>IF($A94="","",IF(AE94="","NOT REVIEWED",IF(TODAY()-AE94&gt;90,"OVERDUE",IF(TODAY()-AE94&gt;76,"Due Soon","Current"))))</f>
        <v/>
      </c>
    </row>
    <row r="95" ht="15" customHeight="1" s="39">
      <c r="A95" s="85" t="n"/>
      <c r="B95" s="85" t="n"/>
      <c r="C95" s="85" t="n"/>
      <c r="D95" s="85" t="n"/>
      <c r="E95" s="85" t="n"/>
      <c r="F95" s="86" t="n"/>
      <c r="G95" s="86" t="n"/>
      <c r="H95" s="85" t="n"/>
      <c r="I95" s="85" t="n"/>
      <c r="J95" s="85" t="n"/>
      <c r="K95" s="85" t="n"/>
      <c r="L95" s="85" t="n"/>
      <c r="M95" s="85" t="n"/>
      <c r="N95" s="85" t="n"/>
      <c r="O95" s="85" t="n"/>
      <c r="P95" s="85" t="n"/>
      <c r="Q95" s="85" t="n"/>
      <c r="R95" s="85" t="n"/>
      <c r="S95" s="85" t="n"/>
      <c r="T95" s="85" t="n"/>
      <c r="U95" s="85" t="n"/>
      <c r="V95" s="85" t="n"/>
      <c r="W95" s="85" t="n"/>
      <c r="X95" s="85" t="n"/>
      <c r="Y95" s="85" t="n"/>
      <c r="Z95" s="85" t="n"/>
      <c r="AA95" s="85" t="n"/>
      <c r="AB95" s="85" t="n"/>
      <c r="AC95" s="86" t="n"/>
      <c r="AD95" s="86" t="n"/>
      <c r="AE95" s="86" t="n"/>
      <c r="AF95" s="85" t="n"/>
      <c r="AG95" s="85" t="n"/>
      <c r="AH95" s="85">
        <f>IF($A95="","",IF(AND($E95="Yes",OR($V95="No",$V95="NOT FOUND")),"YES",""))</f>
        <v/>
      </c>
      <c r="AI95" s="85">
        <f>IF($A95="","",TRIM(IF(AND($M95=0,$I95&lt;&gt;"Yes"),"T0-NoPhishResistant ","")&amp;IF($H95="No","NoMFA ","")&amp;IF(AND($M95=0,$O95="Group only"),"T0-ViaGroupOnly ","")&amp;IF($N95="Yes","BroadAzureScope ","")&amp;IF($T95="Yes","AlsoEntraRole ","")))</f>
        <v/>
      </c>
      <c r="AJ95" s="85">
        <f>IF($A95="","",IF(AD95="","Not Enrolled",IF(TODAY()&gt;AD95,"Review Overdue",IF(AD95-TODAY()&lt;=30,"Review Due Soon","Active"))))</f>
        <v/>
      </c>
      <c r="AK95" s="85">
        <f>IF($A95="","",IF(AE95="","NOT REVIEWED",IF(TODAY()-AE95&gt;90,"OVERDUE",IF(TODAY()-AE95&gt;76,"Due Soon","Current"))))</f>
        <v/>
      </c>
    </row>
    <row r="96" ht="15" customHeight="1" s="39">
      <c r="A96" s="85" t="n"/>
      <c r="B96" s="85" t="n"/>
      <c r="C96" s="85" t="n"/>
      <c r="D96" s="85" t="n"/>
      <c r="E96" s="85" t="n"/>
      <c r="F96" s="86" t="n"/>
      <c r="G96" s="86" t="n"/>
      <c r="H96" s="85" t="n"/>
      <c r="I96" s="85" t="n"/>
      <c r="J96" s="85" t="n"/>
      <c r="K96" s="85" t="n"/>
      <c r="L96" s="85" t="n"/>
      <c r="M96" s="85" t="n"/>
      <c r="N96" s="85" t="n"/>
      <c r="O96" s="85" t="n"/>
      <c r="P96" s="85" t="n"/>
      <c r="Q96" s="85" t="n"/>
      <c r="R96" s="85" t="n"/>
      <c r="S96" s="85" t="n"/>
      <c r="T96" s="85" t="n"/>
      <c r="U96" s="85" t="n"/>
      <c r="V96" s="85" t="n"/>
      <c r="W96" s="85" t="n"/>
      <c r="X96" s="85" t="n"/>
      <c r="Y96" s="85" t="n"/>
      <c r="Z96" s="85" t="n"/>
      <c r="AA96" s="85" t="n"/>
      <c r="AB96" s="85" t="n"/>
      <c r="AC96" s="86" t="n"/>
      <c r="AD96" s="86" t="n"/>
      <c r="AE96" s="86" t="n"/>
      <c r="AF96" s="85" t="n"/>
      <c r="AG96" s="85" t="n"/>
      <c r="AH96" s="85">
        <f>IF($A96="","",IF(AND($E96="Yes",OR($V96="No",$V96="NOT FOUND")),"YES",""))</f>
        <v/>
      </c>
      <c r="AI96" s="85">
        <f>IF($A96="","",TRIM(IF(AND($M96=0,$I96&lt;&gt;"Yes"),"T0-NoPhishResistant ","")&amp;IF($H96="No","NoMFA ","")&amp;IF(AND($M96=0,$O96="Group only"),"T0-ViaGroupOnly ","")&amp;IF($N96="Yes","BroadAzureScope ","")&amp;IF($T96="Yes","AlsoEntraRole ","")))</f>
        <v/>
      </c>
      <c r="AJ96" s="85">
        <f>IF($A96="","",IF(AD96="","Not Enrolled",IF(TODAY()&gt;AD96,"Review Overdue",IF(AD96-TODAY()&lt;=30,"Review Due Soon","Active"))))</f>
        <v/>
      </c>
      <c r="AK96" s="85">
        <f>IF($A96="","",IF(AE96="","NOT REVIEWED",IF(TODAY()-AE96&gt;90,"OVERDUE",IF(TODAY()-AE96&gt;76,"Due Soon","Current"))))</f>
        <v/>
      </c>
    </row>
    <row r="97" ht="15" customHeight="1" s="39">
      <c r="A97" s="85" t="n"/>
      <c r="B97" s="85" t="n"/>
      <c r="C97" s="85" t="n"/>
      <c r="D97" s="85" t="n"/>
      <c r="E97" s="85" t="n"/>
      <c r="F97" s="86" t="n"/>
      <c r="G97" s="86" t="n"/>
      <c r="H97" s="85" t="n"/>
      <c r="I97" s="85" t="n"/>
      <c r="J97" s="85" t="n"/>
      <c r="K97" s="85" t="n"/>
      <c r="L97" s="85" t="n"/>
      <c r="M97" s="85" t="n"/>
      <c r="N97" s="85" t="n"/>
      <c r="O97" s="85" t="n"/>
      <c r="P97" s="85" t="n"/>
      <c r="Q97" s="85" t="n"/>
      <c r="R97" s="85" t="n"/>
      <c r="S97" s="85" t="n"/>
      <c r="T97" s="85" t="n"/>
      <c r="U97" s="85" t="n"/>
      <c r="V97" s="85" t="n"/>
      <c r="W97" s="85" t="n"/>
      <c r="X97" s="85" t="n"/>
      <c r="Y97" s="85" t="n"/>
      <c r="Z97" s="85" t="n"/>
      <c r="AA97" s="85" t="n"/>
      <c r="AB97" s="85" t="n"/>
      <c r="AC97" s="86" t="n"/>
      <c r="AD97" s="86" t="n"/>
      <c r="AE97" s="86" t="n"/>
      <c r="AF97" s="85" t="n"/>
      <c r="AG97" s="85" t="n"/>
      <c r="AH97" s="85">
        <f>IF($A97="","",IF(AND($E97="Yes",OR($V97="No",$V97="NOT FOUND")),"YES",""))</f>
        <v/>
      </c>
      <c r="AI97" s="85">
        <f>IF($A97="","",TRIM(IF(AND($M97=0,$I97&lt;&gt;"Yes"),"T0-NoPhishResistant ","")&amp;IF($H97="No","NoMFA ","")&amp;IF(AND($M97=0,$O97="Group only"),"T0-ViaGroupOnly ","")&amp;IF($N97="Yes","BroadAzureScope ","")&amp;IF($T97="Yes","AlsoEntraRole ","")))</f>
        <v/>
      </c>
      <c r="AJ97" s="85">
        <f>IF($A97="","",IF(AD97="","Not Enrolled",IF(TODAY()&gt;AD97,"Review Overdue",IF(AD97-TODAY()&lt;=30,"Review Due Soon","Active"))))</f>
        <v/>
      </c>
      <c r="AK97" s="85">
        <f>IF($A97="","",IF(AE97="","NOT REVIEWED",IF(TODAY()-AE97&gt;90,"OVERDUE",IF(TODAY()-AE97&gt;76,"Due Soon","Current"))))</f>
        <v/>
      </c>
    </row>
    <row r="98" ht="15" customHeight="1" s="39">
      <c r="A98" s="85" t="n"/>
      <c r="B98" s="85" t="n"/>
      <c r="C98" s="85" t="n"/>
      <c r="D98" s="85" t="n"/>
      <c r="E98" s="85" t="n"/>
      <c r="F98" s="86" t="n"/>
      <c r="G98" s="86" t="n"/>
      <c r="H98" s="85" t="n"/>
      <c r="I98" s="85" t="n"/>
      <c r="J98" s="85" t="n"/>
      <c r="K98" s="85" t="n"/>
      <c r="L98" s="85" t="n"/>
      <c r="M98" s="85" t="n"/>
      <c r="N98" s="85" t="n"/>
      <c r="O98" s="85" t="n"/>
      <c r="P98" s="85" t="n"/>
      <c r="Q98" s="85" t="n"/>
      <c r="R98" s="85" t="n"/>
      <c r="S98" s="85" t="n"/>
      <c r="T98" s="85" t="n"/>
      <c r="U98" s="85" t="n"/>
      <c r="V98" s="85" t="n"/>
      <c r="W98" s="85" t="n"/>
      <c r="X98" s="85" t="n"/>
      <c r="Y98" s="85" t="n"/>
      <c r="Z98" s="85" t="n"/>
      <c r="AA98" s="85" t="n"/>
      <c r="AB98" s="85" t="n"/>
      <c r="AC98" s="86" t="n"/>
      <c r="AD98" s="86" t="n"/>
      <c r="AE98" s="86" t="n"/>
      <c r="AF98" s="85" t="n"/>
      <c r="AG98" s="85" t="n"/>
      <c r="AH98" s="85">
        <f>IF($A98="","",IF(AND($E98="Yes",OR($V98="No",$V98="NOT FOUND")),"YES",""))</f>
        <v/>
      </c>
      <c r="AI98" s="85">
        <f>IF($A98="","",TRIM(IF(AND($M98=0,$I98&lt;&gt;"Yes"),"T0-NoPhishResistant ","")&amp;IF($H98="No","NoMFA ","")&amp;IF(AND($M98=0,$O98="Group only"),"T0-ViaGroupOnly ","")&amp;IF($N98="Yes","BroadAzureScope ","")&amp;IF($T98="Yes","AlsoEntraRole ","")))</f>
        <v/>
      </c>
      <c r="AJ98" s="85">
        <f>IF($A98="","",IF(AD98="","Not Enrolled",IF(TODAY()&gt;AD98,"Review Overdue",IF(AD98-TODAY()&lt;=30,"Review Due Soon","Active"))))</f>
        <v/>
      </c>
      <c r="AK98" s="85">
        <f>IF($A98="","",IF(AE98="","NOT REVIEWED",IF(TODAY()-AE98&gt;90,"OVERDUE",IF(TODAY()-AE98&gt;76,"Due Soon","Current"))))</f>
        <v/>
      </c>
    </row>
    <row r="99" ht="15" customHeight="1" s="39">
      <c r="A99" s="85" t="n"/>
      <c r="B99" s="85" t="n"/>
      <c r="C99" s="85" t="n"/>
      <c r="D99" s="85" t="n"/>
      <c r="E99" s="85" t="n"/>
      <c r="F99" s="86" t="n"/>
      <c r="G99" s="86" t="n"/>
      <c r="H99" s="85" t="n"/>
      <c r="I99" s="85" t="n"/>
      <c r="J99" s="85" t="n"/>
      <c r="K99" s="85" t="n"/>
      <c r="L99" s="85" t="n"/>
      <c r="M99" s="85" t="n"/>
      <c r="N99" s="85" t="n"/>
      <c r="O99" s="85" t="n"/>
      <c r="P99" s="85" t="n"/>
      <c r="Q99" s="85" t="n"/>
      <c r="R99" s="85" t="n"/>
      <c r="S99" s="85" t="n"/>
      <c r="T99" s="85" t="n"/>
      <c r="U99" s="85" t="n"/>
      <c r="V99" s="85" t="n"/>
      <c r="W99" s="85" t="n"/>
      <c r="X99" s="85" t="n"/>
      <c r="Y99" s="85" t="n"/>
      <c r="Z99" s="85" t="n"/>
      <c r="AA99" s="85" t="n"/>
      <c r="AB99" s="85" t="n"/>
      <c r="AC99" s="86" t="n"/>
      <c r="AD99" s="86" t="n"/>
      <c r="AE99" s="86" t="n"/>
      <c r="AF99" s="85" t="n"/>
      <c r="AG99" s="85" t="n"/>
      <c r="AH99" s="85">
        <f>IF($A99="","",IF(AND($E99="Yes",OR($V99="No",$V99="NOT FOUND")),"YES",""))</f>
        <v/>
      </c>
      <c r="AI99" s="85">
        <f>IF($A99="","",TRIM(IF(AND($M99=0,$I99&lt;&gt;"Yes"),"T0-NoPhishResistant ","")&amp;IF($H99="No","NoMFA ","")&amp;IF(AND($M99=0,$O99="Group only"),"T0-ViaGroupOnly ","")&amp;IF($N99="Yes","BroadAzureScope ","")&amp;IF($T99="Yes","AlsoEntraRole ","")))</f>
        <v/>
      </c>
      <c r="AJ99" s="85">
        <f>IF($A99="","",IF(AD99="","Not Enrolled",IF(TODAY()&gt;AD99,"Review Overdue",IF(AD99-TODAY()&lt;=30,"Review Due Soon","Active"))))</f>
        <v/>
      </c>
      <c r="AK99" s="85">
        <f>IF($A99="","",IF(AE99="","NOT REVIEWED",IF(TODAY()-AE99&gt;90,"OVERDUE",IF(TODAY()-AE99&gt;76,"Due Soon","Current"))))</f>
        <v/>
      </c>
    </row>
    <row r="100" ht="15" customHeight="1" s="39">
      <c r="A100" s="85" t="n"/>
      <c r="B100" s="85" t="n"/>
      <c r="C100" s="85" t="n"/>
      <c r="D100" s="85" t="n"/>
      <c r="E100" s="85" t="n"/>
      <c r="F100" s="86" t="n"/>
      <c r="G100" s="86" t="n"/>
      <c r="H100" s="85" t="n"/>
      <c r="I100" s="85" t="n"/>
      <c r="J100" s="85" t="n"/>
      <c r="K100" s="85" t="n"/>
      <c r="L100" s="85" t="n"/>
      <c r="M100" s="85" t="n"/>
      <c r="N100" s="85" t="n"/>
      <c r="O100" s="85" t="n"/>
      <c r="P100" s="85" t="n"/>
      <c r="Q100" s="85" t="n"/>
      <c r="R100" s="85" t="n"/>
      <c r="S100" s="85" t="n"/>
      <c r="T100" s="85" t="n"/>
      <c r="U100" s="85" t="n"/>
      <c r="V100" s="85" t="n"/>
      <c r="W100" s="85" t="n"/>
      <c r="X100" s="85" t="n"/>
      <c r="Y100" s="85" t="n"/>
      <c r="Z100" s="85" t="n"/>
      <c r="AA100" s="85" t="n"/>
      <c r="AB100" s="85" t="n"/>
      <c r="AC100" s="86" t="n"/>
      <c r="AD100" s="86" t="n"/>
      <c r="AE100" s="86" t="n"/>
      <c r="AF100" s="85" t="n"/>
      <c r="AG100" s="85" t="n"/>
      <c r="AH100" s="85">
        <f>IF($A100="","",IF(AND($E100="Yes",OR($V100="No",$V100="NOT FOUND")),"YES",""))</f>
        <v/>
      </c>
      <c r="AI100" s="85">
        <f>IF($A100="","",TRIM(IF(AND($M100=0,$I100&lt;&gt;"Yes"),"T0-NoPhishResistant ","")&amp;IF($H100="No","NoMFA ","")&amp;IF(AND($M100=0,$O100="Group only"),"T0-ViaGroupOnly ","")&amp;IF($N100="Yes","BroadAzureScope ","")&amp;IF($T100="Yes","AlsoEntraRole ","")))</f>
        <v/>
      </c>
      <c r="AJ100" s="85">
        <f>IF($A100="","",IF(AD100="","Not Enrolled",IF(TODAY()&gt;AD100,"Review Overdue",IF(AD100-TODAY()&lt;=30,"Review Due Soon","Active"))))</f>
        <v/>
      </c>
      <c r="AK100" s="85">
        <f>IF($A100="","",IF(AE100="","NOT REVIEWED",IF(TODAY()-AE100&gt;90,"OVERDUE",IF(TODAY()-AE100&gt;76,"Due Soon","Current"))))</f>
        <v/>
      </c>
    </row>
    <row r="101" ht="15" customHeight="1" s="39">
      <c r="A101" s="85" t="n"/>
      <c r="B101" s="85" t="n"/>
      <c r="C101" s="85" t="n"/>
      <c r="D101" s="85" t="n"/>
      <c r="E101" s="85" t="n"/>
      <c r="F101" s="86" t="n"/>
      <c r="G101" s="86" t="n"/>
      <c r="H101" s="85" t="n"/>
      <c r="I101" s="85" t="n"/>
      <c r="J101" s="85" t="n"/>
      <c r="K101" s="85" t="n"/>
      <c r="L101" s="85" t="n"/>
      <c r="M101" s="85" t="n"/>
      <c r="N101" s="85" t="n"/>
      <c r="O101" s="85" t="n"/>
      <c r="P101" s="85" t="n"/>
      <c r="Q101" s="85" t="n"/>
      <c r="R101" s="85" t="n"/>
      <c r="S101" s="85" t="n"/>
      <c r="T101" s="85" t="n"/>
      <c r="U101" s="85" t="n"/>
      <c r="V101" s="85" t="n"/>
      <c r="W101" s="85" t="n"/>
      <c r="X101" s="85" t="n"/>
      <c r="Y101" s="85" t="n"/>
      <c r="Z101" s="85" t="n"/>
      <c r="AA101" s="85" t="n"/>
      <c r="AB101" s="85" t="n"/>
      <c r="AC101" s="86" t="n"/>
      <c r="AD101" s="86" t="n"/>
      <c r="AE101" s="86" t="n"/>
      <c r="AF101" s="85" t="n"/>
      <c r="AG101" s="85" t="n"/>
      <c r="AH101" s="85">
        <f>IF($A101="","",IF(AND($E101="Yes",OR($V101="No",$V101="NOT FOUND")),"YES",""))</f>
        <v/>
      </c>
      <c r="AI101" s="85">
        <f>IF($A101="","",TRIM(IF(AND($M101=0,$I101&lt;&gt;"Yes"),"T0-NoPhishResistant ","")&amp;IF($H101="No","NoMFA ","")&amp;IF(AND($M101=0,$O101="Group only"),"T0-ViaGroupOnly ","")&amp;IF($N101="Yes","BroadAzureScope ","")&amp;IF($T101="Yes","AlsoEntraRole ","")))</f>
        <v/>
      </c>
      <c r="AJ101" s="85">
        <f>IF($A101="","",IF(AD101="","Not Enrolled",IF(TODAY()&gt;AD101,"Review Overdue",IF(AD101-TODAY()&lt;=30,"Review Due Soon","Active"))))</f>
        <v/>
      </c>
      <c r="AK101" s="85">
        <f>IF($A101="","",IF(AE101="","NOT REVIEWED",IF(TODAY()-AE101&gt;90,"OVERDUE",IF(TODAY()-AE101&gt;76,"Due Soon","Current"))))</f>
        <v/>
      </c>
    </row>
    <row r="102" ht="15" customHeight="1" s="39">
      <c r="A102" s="85" t="n"/>
      <c r="B102" s="85" t="n"/>
      <c r="C102" s="85" t="n"/>
      <c r="D102" s="85" t="n"/>
      <c r="E102" s="85" t="n"/>
      <c r="F102" s="86" t="n"/>
      <c r="G102" s="86" t="n"/>
      <c r="H102" s="85" t="n"/>
      <c r="I102" s="85" t="n"/>
      <c r="J102" s="85" t="n"/>
      <c r="K102" s="85" t="n"/>
      <c r="L102" s="85" t="n"/>
      <c r="M102" s="85" t="n"/>
      <c r="N102" s="85" t="n"/>
      <c r="O102" s="85" t="n"/>
      <c r="P102" s="85" t="n"/>
      <c r="Q102" s="85" t="n"/>
      <c r="R102" s="85" t="n"/>
      <c r="S102" s="85" t="n"/>
      <c r="T102" s="85" t="n"/>
      <c r="U102" s="85" t="n"/>
      <c r="V102" s="85" t="n"/>
      <c r="W102" s="85" t="n"/>
      <c r="X102" s="85" t="n"/>
      <c r="Y102" s="85" t="n"/>
      <c r="Z102" s="85" t="n"/>
      <c r="AA102" s="85" t="n"/>
      <c r="AB102" s="85" t="n"/>
      <c r="AC102" s="86" t="n"/>
      <c r="AD102" s="86" t="n"/>
      <c r="AE102" s="86" t="n"/>
      <c r="AF102" s="85" t="n"/>
      <c r="AG102" s="85" t="n"/>
      <c r="AH102" s="85">
        <f>IF($A102="","",IF(AND($E102="Yes",OR($V102="No",$V102="NOT FOUND")),"YES",""))</f>
        <v/>
      </c>
      <c r="AI102" s="85">
        <f>IF($A102="","",TRIM(IF(AND($M102=0,$I102&lt;&gt;"Yes"),"T0-NoPhishResistant ","")&amp;IF($H102="No","NoMFA ","")&amp;IF(AND($M102=0,$O102="Group only"),"T0-ViaGroupOnly ","")&amp;IF($N102="Yes","BroadAzureScope ","")&amp;IF($T102="Yes","AlsoEntraRole ","")))</f>
        <v/>
      </c>
      <c r="AJ102" s="85">
        <f>IF($A102="","",IF(AD102="","Not Enrolled",IF(TODAY()&gt;AD102,"Review Overdue",IF(AD102-TODAY()&lt;=30,"Review Due Soon","Active"))))</f>
        <v/>
      </c>
      <c r="AK102" s="85">
        <f>IF($A102="","",IF(AE102="","NOT REVIEWED",IF(TODAY()-AE102&gt;90,"OVERDUE",IF(TODAY()-AE102&gt;76,"Due Soon","Current"))))</f>
        <v/>
      </c>
    </row>
    <row r="103" ht="15" customHeight="1" s="39">
      <c r="A103" s="85" t="n"/>
      <c r="B103" s="85" t="n"/>
      <c r="C103" s="85" t="n"/>
      <c r="D103" s="85" t="n"/>
      <c r="E103" s="85" t="n"/>
      <c r="F103" s="86" t="n"/>
      <c r="G103" s="86" t="n"/>
      <c r="H103" s="85" t="n"/>
      <c r="I103" s="85" t="n"/>
      <c r="J103" s="85" t="n"/>
      <c r="K103" s="85" t="n"/>
      <c r="L103" s="85" t="n"/>
      <c r="M103" s="85" t="n"/>
      <c r="N103" s="85" t="n"/>
      <c r="O103" s="85" t="n"/>
      <c r="P103" s="85" t="n"/>
      <c r="Q103" s="85" t="n"/>
      <c r="R103" s="85" t="n"/>
      <c r="S103" s="85" t="n"/>
      <c r="T103" s="85" t="n"/>
      <c r="U103" s="85" t="n"/>
      <c r="V103" s="85" t="n"/>
      <c r="W103" s="85" t="n"/>
      <c r="X103" s="85" t="n"/>
      <c r="Y103" s="85" t="n"/>
      <c r="Z103" s="85" t="n"/>
      <c r="AA103" s="85" t="n"/>
      <c r="AB103" s="85" t="n"/>
      <c r="AC103" s="86" t="n"/>
      <c r="AD103" s="86" t="n"/>
      <c r="AE103" s="86" t="n"/>
      <c r="AF103" s="85" t="n"/>
      <c r="AG103" s="85" t="n"/>
      <c r="AH103" s="85">
        <f>IF($A103="","",IF(AND($E103="Yes",OR($V103="No",$V103="NOT FOUND")),"YES",""))</f>
        <v/>
      </c>
      <c r="AI103" s="85">
        <f>IF($A103="","",TRIM(IF(AND($M103=0,$I103&lt;&gt;"Yes"),"T0-NoPhishResistant ","")&amp;IF($H103="No","NoMFA ","")&amp;IF(AND($M103=0,$O103="Group only"),"T0-ViaGroupOnly ","")&amp;IF($N103="Yes","BroadAzureScope ","")&amp;IF($T103="Yes","AlsoEntraRole ","")))</f>
        <v/>
      </c>
      <c r="AJ103" s="85">
        <f>IF($A103="","",IF(AD103="","Not Enrolled",IF(TODAY()&gt;AD103,"Review Overdue",IF(AD103-TODAY()&lt;=30,"Review Due Soon","Active"))))</f>
        <v/>
      </c>
      <c r="AK103" s="85">
        <f>IF($A103="","",IF(AE103="","NOT REVIEWED",IF(TODAY()-AE103&gt;90,"OVERDUE",IF(TODAY()-AE103&gt;76,"Due Soon","Current"))))</f>
        <v/>
      </c>
    </row>
    <row r="104" ht="15" customHeight="1" s="39">
      <c r="A104" s="85" t="n"/>
      <c r="B104" s="85" t="n"/>
      <c r="C104" s="85" t="n"/>
      <c r="D104" s="85" t="n"/>
      <c r="E104" s="85" t="n"/>
      <c r="F104" s="86" t="n"/>
      <c r="G104" s="86" t="n"/>
      <c r="H104" s="85" t="n"/>
      <c r="I104" s="85" t="n"/>
      <c r="J104" s="85" t="n"/>
      <c r="K104" s="85" t="n"/>
      <c r="L104" s="85" t="n"/>
      <c r="M104" s="85" t="n"/>
      <c r="N104" s="85" t="n"/>
      <c r="O104" s="85" t="n"/>
      <c r="P104" s="85" t="n"/>
      <c r="Q104" s="85" t="n"/>
      <c r="R104" s="85" t="n"/>
      <c r="S104" s="85" t="n"/>
      <c r="T104" s="85" t="n"/>
      <c r="U104" s="85" t="n"/>
      <c r="V104" s="85" t="n"/>
      <c r="W104" s="85" t="n"/>
      <c r="X104" s="85" t="n"/>
      <c r="Y104" s="85" t="n"/>
      <c r="Z104" s="85" t="n"/>
      <c r="AA104" s="85" t="n"/>
      <c r="AB104" s="85" t="n"/>
      <c r="AC104" s="86" t="n"/>
      <c r="AD104" s="86" t="n"/>
      <c r="AE104" s="86" t="n"/>
      <c r="AF104" s="85" t="n"/>
      <c r="AG104" s="85" t="n"/>
      <c r="AH104" s="85">
        <f>IF($A104="","",IF(AND($E104="Yes",OR($V104="No",$V104="NOT FOUND")),"YES",""))</f>
        <v/>
      </c>
      <c r="AI104" s="85">
        <f>IF($A104="","",TRIM(IF(AND($M104=0,$I104&lt;&gt;"Yes"),"T0-NoPhishResistant ","")&amp;IF($H104="No","NoMFA ","")&amp;IF(AND($M104=0,$O104="Group only"),"T0-ViaGroupOnly ","")&amp;IF($N104="Yes","BroadAzureScope ","")&amp;IF($T104="Yes","AlsoEntraRole ","")))</f>
        <v/>
      </c>
      <c r="AJ104" s="85">
        <f>IF($A104="","",IF(AD104="","Not Enrolled",IF(TODAY()&gt;AD104,"Review Overdue",IF(AD104-TODAY()&lt;=30,"Review Due Soon","Active"))))</f>
        <v/>
      </c>
      <c r="AK104" s="85">
        <f>IF($A104="","",IF(AE104="","NOT REVIEWED",IF(TODAY()-AE104&gt;90,"OVERDUE",IF(TODAY()-AE104&gt;76,"Due Soon","Current"))))</f>
        <v/>
      </c>
    </row>
    <row r="105" ht="15" customHeight="1" s="39">
      <c r="A105" s="85" t="n"/>
      <c r="B105" s="85" t="n"/>
      <c r="C105" s="85" t="n"/>
      <c r="D105" s="85" t="n"/>
      <c r="E105" s="85" t="n"/>
      <c r="F105" s="86" t="n"/>
      <c r="G105" s="86" t="n"/>
      <c r="H105" s="85" t="n"/>
      <c r="I105" s="85" t="n"/>
      <c r="J105" s="85" t="n"/>
      <c r="K105" s="85" t="n"/>
      <c r="L105" s="85" t="n"/>
      <c r="M105" s="85" t="n"/>
      <c r="N105" s="85" t="n"/>
      <c r="O105" s="85" t="n"/>
      <c r="P105" s="85" t="n"/>
      <c r="Q105" s="85" t="n"/>
      <c r="R105" s="85" t="n"/>
      <c r="S105" s="85" t="n"/>
      <c r="T105" s="85" t="n"/>
      <c r="U105" s="85" t="n"/>
      <c r="V105" s="85" t="n"/>
      <c r="W105" s="85" t="n"/>
      <c r="X105" s="85" t="n"/>
      <c r="Y105" s="85" t="n"/>
      <c r="Z105" s="85" t="n"/>
      <c r="AA105" s="85" t="n"/>
      <c r="AB105" s="85" t="n"/>
      <c r="AC105" s="86" t="n"/>
      <c r="AD105" s="86" t="n"/>
      <c r="AE105" s="86" t="n"/>
      <c r="AF105" s="85" t="n"/>
      <c r="AG105" s="85" t="n"/>
      <c r="AH105" s="85">
        <f>IF($A105="","",IF(AND($E105="Yes",OR($V105="No",$V105="NOT FOUND")),"YES",""))</f>
        <v/>
      </c>
      <c r="AI105" s="85">
        <f>IF($A105="","",TRIM(IF(AND($M105=0,$I105&lt;&gt;"Yes"),"T0-NoPhishResistant ","")&amp;IF($H105="No","NoMFA ","")&amp;IF(AND($M105=0,$O105="Group only"),"T0-ViaGroupOnly ","")&amp;IF($N105="Yes","BroadAzureScope ","")&amp;IF($T105="Yes","AlsoEntraRole ","")))</f>
        <v/>
      </c>
      <c r="AJ105" s="85">
        <f>IF($A105="","",IF(AD105="","Not Enrolled",IF(TODAY()&gt;AD105,"Review Overdue",IF(AD105-TODAY()&lt;=30,"Review Due Soon","Active"))))</f>
        <v/>
      </c>
      <c r="AK105" s="85">
        <f>IF($A105="","",IF(AE105="","NOT REVIEWED",IF(TODAY()-AE105&gt;90,"OVERDUE",IF(TODAY()-AE105&gt;76,"Due Soon","Current"))))</f>
        <v/>
      </c>
    </row>
    <row r="106" ht="15" customHeight="1" s="39">
      <c r="A106" s="85" t="n"/>
      <c r="B106" s="85" t="n"/>
      <c r="C106" s="85" t="n"/>
      <c r="D106" s="85" t="n"/>
      <c r="E106" s="85" t="n"/>
      <c r="F106" s="86" t="n"/>
      <c r="G106" s="86" t="n"/>
      <c r="H106" s="85" t="n"/>
      <c r="I106" s="85" t="n"/>
      <c r="J106" s="85" t="n"/>
      <c r="K106" s="85" t="n"/>
      <c r="L106" s="85" t="n"/>
      <c r="M106" s="85" t="n"/>
      <c r="N106" s="85" t="n"/>
      <c r="O106" s="85" t="n"/>
      <c r="P106" s="85" t="n"/>
      <c r="Q106" s="85" t="n"/>
      <c r="R106" s="85" t="n"/>
      <c r="S106" s="85" t="n"/>
      <c r="T106" s="85" t="n"/>
      <c r="U106" s="85" t="n"/>
      <c r="V106" s="85" t="n"/>
      <c r="W106" s="85" t="n"/>
      <c r="X106" s="85" t="n"/>
      <c r="Y106" s="85" t="n"/>
      <c r="Z106" s="85" t="n"/>
      <c r="AA106" s="85" t="n"/>
      <c r="AB106" s="85" t="n"/>
      <c r="AC106" s="86" t="n"/>
      <c r="AD106" s="86" t="n"/>
      <c r="AE106" s="86" t="n"/>
      <c r="AF106" s="85" t="n"/>
      <c r="AG106" s="85" t="n"/>
      <c r="AH106" s="85">
        <f>IF($A106="","",IF(AND($E106="Yes",OR($V106="No",$V106="NOT FOUND")),"YES",""))</f>
        <v/>
      </c>
      <c r="AI106" s="85">
        <f>IF($A106="","",TRIM(IF(AND($M106=0,$I106&lt;&gt;"Yes"),"T0-NoPhishResistant ","")&amp;IF($H106="No","NoMFA ","")&amp;IF(AND($M106=0,$O106="Group only"),"T0-ViaGroupOnly ","")&amp;IF($N106="Yes","BroadAzureScope ","")&amp;IF($T106="Yes","AlsoEntraRole ","")))</f>
        <v/>
      </c>
      <c r="AJ106" s="85">
        <f>IF($A106="","",IF(AD106="","Not Enrolled",IF(TODAY()&gt;AD106,"Review Overdue",IF(AD106-TODAY()&lt;=30,"Review Due Soon","Active"))))</f>
        <v/>
      </c>
      <c r="AK106" s="85">
        <f>IF($A106="","",IF(AE106="","NOT REVIEWED",IF(TODAY()-AE106&gt;90,"OVERDUE",IF(TODAY()-AE106&gt;76,"Due Soon","Current"))))</f>
        <v/>
      </c>
    </row>
    <row r="107" ht="15" customHeight="1" s="39">
      <c r="A107" s="85" t="n"/>
      <c r="B107" s="85" t="n"/>
      <c r="C107" s="85" t="n"/>
      <c r="D107" s="85" t="n"/>
      <c r="E107" s="85" t="n"/>
      <c r="F107" s="86" t="n"/>
      <c r="G107" s="86" t="n"/>
      <c r="H107" s="85" t="n"/>
      <c r="I107" s="85" t="n"/>
      <c r="J107" s="85" t="n"/>
      <c r="K107" s="85" t="n"/>
      <c r="L107" s="85" t="n"/>
      <c r="M107" s="85" t="n"/>
      <c r="N107" s="85" t="n"/>
      <c r="O107" s="85" t="n"/>
      <c r="P107" s="85" t="n"/>
      <c r="Q107" s="85" t="n"/>
      <c r="R107" s="85" t="n"/>
      <c r="S107" s="85" t="n"/>
      <c r="T107" s="85" t="n"/>
      <c r="U107" s="85" t="n"/>
      <c r="V107" s="85" t="n"/>
      <c r="W107" s="85" t="n"/>
      <c r="X107" s="85" t="n"/>
      <c r="Y107" s="85" t="n"/>
      <c r="Z107" s="85" t="n"/>
      <c r="AA107" s="85" t="n"/>
      <c r="AB107" s="85" t="n"/>
      <c r="AC107" s="86" t="n"/>
      <c r="AD107" s="86" t="n"/>
      <c r="AE107" s="86" t="n"/>
      <c r="AF107" s="85" t="n"/>
      <c r="AG107" s="85" t="n"/>
      <c r="AH107" s="85">
        <f>IF($A107="","",IF(AND($E107="Yes",OR($V107="No",$V107="NOT FOUND")),"YES",""))</f>
        <v/>
      </c>
      <c r="AI107" s="85">
        <f>IF($A107="","",TRIM(IF(AND($M107=0,$I107&lt;&gt;"Yes"),"T0-NoPhishResistant ","")&amp;IF($H107="No","NoMFA ","")&amp;IF(AND($M107=0,$O107="Group only"),"T0-ViaGroupOnly ","")&amp;IF($N107="Yes","BroadAzureScope ","")&amp;IF($T107="Yes","AlsoEntraRole ","")))</f>
        <v/>
      </c>
      <c r="AJ107" s="85">
        <f>IF($A107="","",IF(AD107="","Not Enrolled",IF(TODAY()&gt;AD107,"Review Overdue",IF(AD107-TODAY()&lt;=30,"Review Due Soon","Active"))))</f>
        <v/>
      </c>
      <c r="AK107" s="85">
        <f>IF($A107="","",IF(AE107="","NOT REVIEWED",IF(TODAY()-AE107&gt;90,"OVERDUE",IF(TODAY()-AE107&gt;76,"Due Soon","Current"))))</f>
        <v/>
      </c>
    </row>
    <row r="108" ht="15" customHeight="1" s="39">
      <c r="A108" s="85" t="n"/>
      <c r="B108" s="85" t="n"/>
      <c r="C108" s="85" t="n"/>
      <c r="D108" s="85" t="n"/>
      <c r="E108" s="85" t="n"/>
      <c r="F108" s="86" t="n"/>
      <c r="G108" s="86" t="n"/>
      <c r="H108" s="85" t="n"/>
      <c r="I108" s="85" t="n"/>
      <c r="J108" s="85" t="n"/>
      <c r="K108" s="85" t="n"/>
      <c r="L108" s="85" t="n"/>
      <c r="M108" s="85" t="n"/>
      <c r="N108" s="85" t="n"/>
      <c r="O108" s="85" t="n"/>
      <c r="P108" s="85" t="n"/>
      <c r="Q108" s="85" t="n"/>
      <c r="R108" s="85" t="n"/>
      <c r="S108" s="85" t="n"/>
      <c r="T108" s="85" t="n"/>
      <c r="U108" s="85" t="n"/>
      <c r="V108" s="85" t="n"/>
      <c r="W108" s="85" t="n"/>
      <c r="X108" s="85" t="n"/>
      <c r="Y108" s="85" t="n"/>
      <c r="Z108" s="85" t="n"/>
      <c r="AA108" s="85" t="n"/>
      <c r="AB108" s="85" t="n"/>
      <c r="AC108" s="86" t="n"/>
      <c r="AD108" s="86" t="n"/>
      <c r="AE108" s="86" t="n"/>
      <c r="AF108" s="85" t="n"/>
      <c r="AG108" s="85" t="n"/>
      <c r="AH108" s="85">
        <f>IF($A108="","",IF(AND($E108="Yes",OR($V108="No",$V108="NOT FOUND")),"YES",""))</f>
        <v/>
      </c>
      <c r="AI108" s="85">
        <f>IF($A108="","",TRIM(IF(AND($M108=0,$I108&lt;&gt;"Yes"),"T0-NoPhishResistant ","")&amp;IF($H108="No","NoMFA ","")&amp;IF(AND($M108=0,$O108="Group only"),"T0-ViaGroupOnly ","")&amp;IF($N108="Yes","BroadAzureScope ","")&amp;IF($T108="Yes","AlsoEntraRole ","")))</f>
        <v/>
      </c>
      <c r="AJ108" s="85">
        <f>IF($A108="","",IF(AD108="","Not Enrolled",IF(TODAY()&gt;AD108,"Review Overdue",IF(AD108-TODAY()&lt;=30,"Review Due Soon","Active"))))</f>
        <v/>
      </c>
      <c r="AK108" s="85">
        <f>IF($A108="","",IF(AE108="","NOT REVIEWED",IF(TODAY()-AE108&gt;90,"OVERDUE",IF(TODAY()-AE108&gt;76,"Due Soon","Current"))))</f>
        <v/>
      </c>
    </row>
    <row r="109" ht="15" customHeight="1" s="39">
      <c r="A109" s="85" t="n"/>
      <c r="B109" s="85" t="n"/>
      <c r="C109" s="85" t="n"/>
      <c r="D109" s="85" t="n"/>
      <c r="E109" s="85" t="n"/>
      <c r="F109" s="86" t="n"/>
      <c r="G109" s="86" t="n"/>
      <c r="H109" s="85" t="n"/>
      <c r="I109" s="85" t="n"/>
      <c r="J109" s="85" t="n"/>
      <c r="K109" s="85" t="n"/>
      <c r="L109" s="85" t="n"/>
      <c r="M109" s="85" t="n"/>
      <c r="N109" s="85" t="n"/>
      <c r="O109" s="85" t="n"/>
      <c r="P109" s="85" t="n"/>
      <c r="Q109" s="85" t="n"/>
      <c r="R109" s="85" t="n"/>
      <c r="S109" s="85" t="n"/>
      <c r="T109" s="85" t="n"/>
      <c r="U109" s="85" t="n"/>
      <c r="V109" s="85" t="n"/>
      <c r="W109" s="85" t="n"/>
      <c r="X109" s="85" t="n"/>
      <c r="Y109" s="85" t="n"/>
      <c r="Z109" s="85" t="n"/>
      <c r="AA109" s="85" t="n"/>
      <c r="AB109" s="85" t="n"/>
      <c r="AC109" s="86" t="n"/>
      <c r="AD109" s="86" t="n"/>
      <c r="AE109" s="86" t="n"/>
      <c r="AF109" s="85" t="n"/>
      <c r="AG109" s="85" t="n"/>
      <c r="AH109" s="85">
        <f>IF($A109="","",IF(AND($E109="Yes",OR($V109="No",$V109="NOT FOUND")),"YES",""))</f>
        <v/>
      </c>
      <c r="AI109" s="85">
        <f>IF($A109="","",TRIM(IF(AND($M109=0,$I109&lt;&gt;"Yes"),"T0-NoPhishResistant ","")&amp;IF($H109="No","NoMFA ","")&amp;IF(AND($M109=0,$O109="Group only"),"T0-ViaGroupOnly ","")&amp;IF($N109="Yes","BroadAzureScope ","")&amp;IF($T109="Yes","AlsoEntraRole ","")))</f>
        <v/>
      </c>
      <c r="AJ109" s="85">
        <f>IF($A109="","",IF(AD109="","Not Enrolled",IF(TODAY()&gt;AD109,"Review Overdue",IF(AD109-TODAY()&lt;=30,"Review Due Soon","Active"))))</f>
        <v/>
      </c>
      <c r="AK109" s="85">
        <f>IF($A109="","",IF(AE109="","NOT REVIEWED",IF(TODAY()-AE109&gt;90,"OVERDUE",IF(TODAY()-AE109&gt;76,"Due Soon","Current"))))</f>
        <v/>
      </c>
    </row>
    <row r="110" ht="15" customHeight="1" s="39">
      <c r="A110" s="85" t="n"/>
      <c r="B110" s="85" t="n"/>
      <c r="C110" s="85" t="n"/>
      <c r="D110" s="85" t="n"/>
      <c r="E110" s="85" t="n"/>
      <c r="F110" s="86" t="n"/>
      <c r="G110" s="86" t="n"/>
      <c r="H110" s="85" t="n"/>
      <c r="I110" s="85" t="n"/>
      <c r="J110" s="85" t="n"/>
      <c r="K110" s="85" t="n"/>
      <c r="L110" s="85" t="n"/>
      <c r="M110" s="85" t="n"/>
      <c r="N110" s="85" t="n"/>
      <c r="O110" s="85" t="n"/>
      <c r="P110" s="85" t="n"/>
      <c r="Q110" s="85" t="n"/>
      <c r="R110" s="85" t="n"/>
      <c r="S110" s="85" t="n"/>
      <c r="T110" s="85" t="n"/>
      <c r="U110" s="85" t="n"/>
      <c r="V110" s="85" t="n"/>
      <c r="W110" s="85" t="n"/>
      <c r="X110" s="85" t="n"/>
      <c r="Y110" s="85" t="n"/>
      <c r="Z110" s="85" t="n"/>
      <c r="AA110" s="85" t="n"/>
      <c r="AB110" s="85" t="n"/>
      <c r="AC110" s="86" t="n"/>
      <c r="AD110" s="86" t="n"/>
      <c r="AE110" s="86" t="n"/>
      <c r="AF110" s="85" t="n"/>
      <c r="AG110" s="85" t="n"/>
      <c r="AH110" s="85">
        <f>IF($A110="","",IF(AND($E110="Yes",OR($V110="No",$V110="NOT FOUND")),"YES",""))</f>
        <v/>
      </c>
      <c r="AI110" s="85">
        <f>IF($A110="","",TRIM(IF(AND($M110=0,$I110&lt;&gt;"Yes"),"T0-NoPhishResistant ","")&amp;IF($H110="No","NoMFA ","")&amp;IF(AND($M110=0,$O110="Group only"),"T0-ViaGroupOnly ","")&amp;IF($N110="Yes","BroadAzureScope ","")&amp;IF($T110="Yes","AlsoEntraRole ","")))</f>
        <v/>
      </c>
      <c r="AJ110" s="85">
        <f>IF($A110="","",IF(AD110="","Not Enrolled",IF(TODAY()&gt;AD110,"Review Overdue",IF(AD110-TODAY()&lt;=30,"Review Due Soon","Active"))))</f>
        <v/>
      </c>
      <c r="AK110" s="85">
        <f>IF($A110="","",IF(AE110="","NOT REVIEWED",IF(TODAY()-AE110&gt;90,"OVERDUE",IF(TODAY()-AE110&gt;76,"Due Soon","Current"))))</f>
        <v/>
      </c>
    </row>
    <row r="111" ht="15" customHeight="1" s="39">
      <c r="A111" s="85" t="n"/>
      <c r="B111" s="85" t="n"/>
      <c r="C111" s="85" t="n"/>
      <c r="D111" s="85" t="n"/>
      <c r="E111" s="85" t="n"/>
      <c r="F111" s="86" t="n"/>
      <c r="G111" s="86" t="n"/>
      <c r="H111" s="85" t="n"/>
      <c r="I111" s="85" t="n"/>
      <c r="J111" s="85" t="n"/>
      <c r="K111" s="85" t="n"/>
      <c r="L111" s="85" t="n"/>
      <c r="M111" s="85" t="n"/>
      <c r="N111" s="85" t="n"/>
      <c r="O111" s="85" t="n"/>
      <c r="P111" s="85" t="n"/>
      <c r="Q111" s="85" t="n"/>
      <c r="R111" s="85" t="n"/>
      <c r="S111" s="85" t="n"/>
      <c r="T111" s="85" t="n"/>
      <c r="U111" s="85" t="n"/>
      <c r="V111" s="85" t="n"/>
      <c r="W111" s="85" t="n"/>
      <c r="X111" s="85" t="n"/>
      <c r="Y111" s="85" t="n"/>
      <c r="Z111" s="85" t="n"/>
      <c r="AA111" s="85" t="n"/>
      <c r="AB111" s="85" t="n"/>
      <c r="AC111" s="86" t="n"/>
      <c r="AD111" s="86" t="n"/>
      <c r="AE111" s="86" t="n"/>
      <c r="AF111" s="85" t="n"/>
      <c r="AG111" s="85" t="n"/>
      <c r="AH111" s="85">
        <f>IF($A111="","",IF(AND($E111="Yes",OR($V111="No",$V111="NOT FOUND")),"YES",""))</f>
        <v/>
      </c>
      <c r="AI111" s="85">
        <f>IF($A111="","",TRIM(IF(AND($M111=0,$I111&lt;&gt;"Yes"),"T0-NoPhishResistant ","")&amp;IF($H111="No","NoMFA ","")&amp;IF(AND($M111=0,$O111="Group only"),"T0-ViaGroupOnly ","")&amp;IF($N111="Yes","BroadAzureScope ","")&amp;IF($T111="Yes","AlsoEntraRole ","")))</f>
        <v/>
      </c>
      <c r="AJ111" s="85">
        <f>IF($A111="","",IF(AD111="","Not Enrolled",IF(TODAY()&gt;AD111,"Review Overdue",IF(AD111-TODAY()&lt;=30,"Review Due Soon","Active"))))</f>
        <v/>
      </c>
      <c r="AK111" s="85">
        <f>IF($A111="","",IF(AE111="","NOT REVIEWED",IF(TODAY()-AE111&gt;90,"OVERDUE",IF(TODAY()-AE111&gt;76,"Due Soon","Current"))))</f>
        <v/>
      </c>
    </row>
    <row r="112" ht="15" customHeight="1" s="39">
      <c r="A112" s="85" t="n"/>
      <c r="B112" s="85" t="n"/>
      <c r="C112" s="85" t="n"/>
      <c r="D112" s="85" t="n"/>
      <c r="E112" s="85" t="n"/>
      <c r="F112" s="86" t="n"/>
      <c r="G112" s="86" t="n"/>
      <c r="H112" s="85" t="n"/>
      <c r="I112" s="85" t="n"/>
      <c r="J112" s="85" t="n"/>
      <c r="K112" s="85" t="n"/>
      <c r="L112" s="85" t="n"/>
      <c r="M112" s="85" t="n"/>
      <c r="N112" s="85" t="n"/>
      <c r="O112" s="85" t="n"/>
      <c r="P112" s="85" t="n"/>
      <c r="Q112" s="85" t="n"/>
      <c r="R112" s="85" t="n"/>
      <c r="S112" s="85" t="n"/>
      <c r="T112" s="85" t="n"/>
      <c r="U112" s="85" t="n"/>
      <c r="V112" s="85" t="n"/>
      <c r="W112" s="85" t="n"/>
      <c r="X112" s="85" t="n"/>
      <c r="Y112" s="85" t="n"/>
      <c r="Z112" s="85" t="n"/>
      <c r="AA112" s="85" t="n"/>
      <c r="AB112" s="85" t="n"/>
      <c r="AC112" s="86" t="n"/>
      <c r="AD112" s="86" t="n"/>
      <c r="AE112" s="86" t="n"/>
      <c r="AF112" s="85" t="n"/>
      <c r="AG112" s="85" t="n"/>
      <c r="AH112" s="85">
        <f>IF($A112="","",IF(AND($E112="Yes",OR($V112="No",$V112="NOT FOUND")),"YES",""))</f>
        <v/>
      </c>
      <c r="AI112" s="85">
        <f>IF($A112="","",TRIM(IF(AND($M112=0,$I112&lt;&gt;"Yes"),"T0-NoPhishResistant ","")&amp;IF($H112="No","NoMFA ","")&amp;IF(AND($M112=0,$O112="Group only"),"T0-ViaGroupOnly ","")&amp;IF($N112="Yes","BroadAzureScope ","")&amp;IF($T112="Yes","AlsoEntraRole ","")))</f>
        <v/>
      </c>
      <c r="AJ112" s="85">
        <f>IF($A112="","",IF(AD112="","Not Enrolled",IF(TODAY()&gt;AD112,"Review Overdue",IF(AD112-TODAY()&lt;=30,"Review Due Soon","Active"))))</f>
        <v/>
      </c>
      <c r="AK112" s="85">
        <f>IF($A112="","",IF(AE112="","NOT REVIEWED",IF(TODAY()-AE112&gt;90,"OVERDUE",IF(TODAY()-AE112&gt;76,"Due Soon","Current"))))</f>
        <v/>
      </c>
    </row>
    <row r="113" ht="15" customHeight="1" s="39">
      <c r="A113" s="85" t="n"/>
      <c r="B113" s="85" t="n"/>
      <c r="C113" s="85" t="n"/>
      <c r="D113" s="85" t="n"/>
      <c r="E113" s="85" t="n"/>
      <c r="F113" s="86" t="n"/>
      <c r="G113" s="86" t="n"/>
      <c r="H113" s="85" t="n"/>
      <c r="I113" s="85" t="n"/>
      <c r="J113" s="85" t="n"/>
      <c r="K113" s="85" t="n"/>
      <c r="L113" s="85" t="n"/>
      <c r="M113" s="85" t="n"/>
      <c r="N113" s="85" t="n"/>
      <c r="O113" s="85" t="n"/>
      <c r="P113" s="85" t="n"/>
      <c r="Q113" s="85" t="n"/>
      <c r="R113" s="85" t="n"/>
      <c r="S113" s="85" t="n"/>
      <c r="T113" s="85" t="n"/>
      <c r="U113" s="85" t="n"/>
      <c r="V113" s="85" t="n"/>
      <c r="W113" s="85" t="n"/>
      <c r="X113" s="85" t="n"/>
      <c r="Y113" s="85" t="n"/>
      <c r="Z113" s="85" t="n"/>
      <c r="AA113" s="85" t="n"/>
      <c r="AB113" s="85" t="n"/>
      <c r="AC113" s="86" t="n"/>
      <c r="AD113" s="86" t="n"/>
      <c r="AE113" s="86" t="n"/>
      <c r="AF113" s="85" t="n"/>
      <c r="AG113" s="85" t="n"/>
      <c r="AH113" s="85">
        <f>IF($A113="","",IF(AND($E113="Yes",OR($V113="No",$V113="NOT FOUND")),"YES",""))</f>
        <v/>
      </c>
      <c r="AI113" s="85">
        <f>IF($A113="","",TRIM(IF(AND($M113=0,$I113&lt;&gt;"Yes"),"T0-NoPhishResistant ","")&amp;IF($H113="No","NoMFA ","")&amp;IF(AND($M113=0,$O113="Group only"),"T0-ViaGroupOnly ","")&amp;IF($N113="Yes","BroadAzureScope ","")&amp;IF($T113="Yes","AlsoEntraRole ","")))</f>
        <v/>
      </c>
      <c r="AJ113" s="85">
        <f>IF($A113="","",IF(AD113="","Not Enrolled",IF(TODAY()&gt;AD113,"Review Overdue",IF(AD113-TODAY()&lt;=30,"Review Due Soon","Active"))))</f>
        <v/>
      </c>
      <c r="AK113" s="85">
        <f>IF($A113="","",IF(AE113="","NOT REVIEWED",IF(TODAY()-AE113&gt;90,"OVERDUE",IF(TODAY()-AE113&gt;76,"Due Soon","Current"))))</f>
        <v/>
      </c>
    </row>
    <row r="114" ht="15" customHeight="1" s="39">
      <c r="A114" s="85" t="n"/>
      <c r="B114" s="85" t="n"/>
      <c r="C114" s="85" t="n"/>
      <c r="D114" s="85" t="n"/>
      <c r="E114" s="85" t="n"/>
      <c r="F114" s="86" t="n"/>
      <c r="G114" s="86" t="n"/>
      <c r="H114" s="85" t="n"/>
      <c r="I114" s="85" t="n"/>
      <c r="J114" s="85" t="n"/>
      <c r="K114" s="85" t="n"/>
      <c r="L114" s="85" t="n"/>
      <c r="M114" s="85" t="n"/>
      <c r="N114" s="85" t="n"/>
      <c r="O114" s="85" t="n"/>
      <c r="P114" s="85" t="n"/>
      <c r="Q114" s="85" t="n"/>
      <c r="R114" s="85" t="n"/>
      <c r="S114" s="85" t="n"/>
      <c r="T114" s="85" t="n"/>
      <c r="U114" s="85" t="n"/>
      <c r="V114" s="85" t="n"/>
      <c r="W114" s="85" t="n"/>
      <c r="X114" s="85" t="n"/>
      <c r="Y114" s="85" t="n"/>
      <c r="Z114" s="85" t="n"/>
      <c r="AA114" s="85" t="n"/>
      <c r="AB114" s="85" t="n"/>
      <c r="AC114" s="86" t="n"/>
      <c r="AD114" s="86" t="n"/>
      <c r="AE114" s="86" t="n"/>
      <c r="AF114" s="85" t="n"/>
      <c r="AG114" s="85" t="n"/>
      <c r="AH114" s="85">
        <f>IF($A114="","",IF(AND($E114="Yes",OR($V114="No",$V114="NOT FOUND")),"YES",""))</f>
        <v/>
      </c>
      <c r="AI114" s="85">
        <f>IF($A114="","",TRIM(IF(AND($M114=0,$I114&lt;&gt;"Yes"),"T0-NoPhishResistant ","")&amp;IF($H114="No","NoMFA ","")&amp;IF(AND($M114=0,$O114="Group only"),"T0-ViaGroupOnly ","")&amp;IF($N114="Yes","BroadAzureScope ","")&amp;IF($T114="Yes","AlsoEntraRole ","")))</f>
        <v/>
      </c>
      <c r="AJ114" s="85">
        <f>IF($A114="","",IF(AD114="","Not Enrolled",IF(TODAY()&gt;AD114,"Review Overdue",IF(AD114-TODAY()&lt;=30,"Review Due Soon","Active"))))</f>
        <v/>
      </c>
      <c r="AK114" s="85">
        <f>IF($A114="","",IF(AE114="","NOT REVIEWED",IF(TODAY()-AE114&gt;90,"OVERDUE",IF(TODAY()-AE114&gt;76,"Due Soon","Current"))))</f>
        <v/>
      </c>
    </row>
    <row r="115" ht="15" customHeight="1" s="39">
      <c r="A115" s="85" t="n"/>
      <c r="B115" s="85" t="n"/>
      <c r="C115" s="85" t="n"/>
      <c r="D115" s="85" t="n"/>
      <c r="E115" s="85" t="n"/>
      <c r="F115" s="86" t="n"/>
      <c r="G115" s="86" t="n"/>
      <c r="H115" s="85" t="n"/>
      <c r="I115" s="85" t="n"/>
      <c r="J115" s="85" t="n"/>
      <c r="K115" s="85" t="n"/>
      <c r="L115" s="85" t="n"/>
      <c r="M115" s="85" t="n"/>
      <c r="N115" s="85" t="n"/>
      <c r="O115" s="85" t="n"/>
      <c r="P115" s="85" t="n"/>
      <c r="Q115" s="85" t="n"/>
      <c r="R115" s="85" t="n"/>
      <c r="S115" s="85" t="n"/>
      <c r="T115" s="85" t="n"/>
      <c r="U115" s="85" t="n"/>
      <c r="V115" s="85" t="n"/>
      <c r="W115" s="85" t="n"/>
      <c r="X115" s="85" t="n"/>
      <c r="Y115" s="85" t="n"/>
      <c r="Z115" s="85" t="n"/>
      <c r="AA115" s="85" t="n"/>
      <c r="AB115" s="85" t="n"/>
      <c r="AC115" s="86" t="n"/>
      <c r="AD115" s="86" t="n"/>
      <c r="AE115" s="86" t="n"/>
      <c r="AF115" s="85" t="n"/>
      <c r="AG115" s="85" t="n"/>
      <c r="AH115" s="85">
        <f>IF($A115="","",IF(AND($E115="Yes",OR($V115="No",$V115="NOT FOUND")),"YES",""))</f>
        <v/>
      </c>
      <c r="AI115" s="85">
        <f>IF($A115="","",TRIM(IF(AND($M115=0,$I115&lt;&gt;"Yes"),"T0-NoPhishResistant ","")&amp;IF($H115="No","NoMFA ","")&amp;IF(AND($M115=0,$O115="Group only"),"T0-ViaGroupOnly ","")&amp;IF($N115="Yes","BroadAzureScope ","")&amp;IF($T115="Yes","AlsoEntraRole ","")))</f>
        <v/>
      </c>
      <c r="AJ115" s="85">
        <f>IF($A115="","",IF(AD115="","Not Enrolled",IF(TODAY()&gt;AD115,"Review Overdue",IF(AD115-TODAY()&lt;=30,"Review Due Soon","Active"))))</f>
        <v/>
      </c>
      <c r="AK115" s="85">
        <f>IF($A115="","",IF(AE115="","NOT REVIEWED",IF(TODAY()-AE115&gt;90,"OVERDUE",IF(TODAY()-AE115&gt;76,"Due Soon","Current"))))</f>
        <v/>
      </c>
    </row>
    <row r="116" ht="15" customHeight="1" s="39">
      <c r="A116" s="85" t="n"/>
      <c r="B116" s="85" t="n"/>
      <c r="C116" s="85" t="n"/>
      <c r="D116" s="85" t="n"/>
      <c r="E116" s="85" t="n"/>
      <c r="F116" s="86" t="n"/>
      <c r="G116" s="86" t="n"/>
      <c r="H116" s="85" t="n"/>
      <c r="I116" s="85" t="n"/>
      <c r="J116" s="85" t="n"/>
      <c r="K116" s="85" t="n"/>
      <c r="L116" s="85" t="n"/>
      <c r="M116" s="85" t="n"/>
      <c r="N116" s="85" t="n"/>
      <c r="O116" s="85" t="n"/>
      <c r="P116" s="85" t="n"/>
      <c r="Q116" s="85" t="n"/>
      <c r="R116" s="85" t="n"/>
      <c r="S116" s="85" t="n"/>
      <c r="T116" s="85" t="n"/>
      <c r="U116" s="85" t="n"/>
      <c r="V116" s="85" t="n"/>
      <c r="W116" s="85" t="n"/>
      <c r="X116" s="85" t="n"/>
      <c r="Y116" s="85" t="n"/>
      <c r="Z116" s="85" t="n"/>
      <c r="AA116" s="85" t="n"/>
      <c r="AB116" s="85" t="n"/>
      <c r="AC116" s="86" t="n"/>
      <c r="AD116" s="86" t="n"/>
      <c r="AE116" s="86" t="n"/>
      <c r="AF116" s="85" t="n"/>
      <c r="AG116" s="85" t="n"/>
      <c r="AH116" s="85">
        <f>IF($A116="","",IF(AND($E116="Yes",OR($V116="No",$V116="NOT FOUND")),"YES",""))</f>
        <v/>
      </c>
      <c r="AI116" s="85">
        <f>IF($A116="","",TRIM(IF(AND($M116=0,$I116&lt;&gt;"Yes"),"T0-NoPhishResistant ","")&amp;IF($H116="No","NoMFA ","")&amp;IF(AND($M116=0,$O116="Group only"),"T0-ViaGroupOnly ","")&amp;IF($N116="Yes","BroadAzureScope ","")&amp;IF($T116="Yes","AlsoEntraRole ","")))</f>
        <v/>
      </c>
      <c r="AJ116" s="85">
        <f>IF($A116="","",IF(AD116="","Not Enrolled",IF(TODAY()&gt;AD116,"Review Overdue",IF(AD116-TODAY()&lt;=30,"Review Due Soon","Active"))))</f>
        <v/>
      </c>
      <c r="AK116" s="85">
        <f>IF($A116="","",IF(AE116="","NOT REVIEWED",IF(TODAY()-AE116&gt;90,"OVERDUE",IF(TODAY()-AE116&gt;76,"Due Soon","Current"))))</f>
        <v/>
      </c>
    </row>
    <row r="117" ht="15" customHeight="1" s="39">
      <c r="A117" s="85" t="n"/>
      <c r="B117" s="85" t="n"/>
      <c r="C117" s="85" t="n"/>
      <c r="D117" s="85" t="n"/>
      <c r="E117" s="85" t="n"/>
      <c r="F117" s="86" t="n"/>
      <c r="G117" s="86" t="n"/>
      <c r="H117" s="85" t="n"/>
      <c r="I117" s="85" t="n"/>
      <c r="J117" s="85" t="n"/>
      <c r="K117" s="85" t="n"/>
      <c r="L117" s="85" t="n"/>
      <c r="M117" s="85" t="n"/>
      <c r="N117" s="85" t="n"/>
      <c r="O117" s="85" t="n"/>
      <c r="P117" s="85" t="n"/>
      <c r="Q117" s="85" t="n"/>
      <c r="R117" s="85" t="n"/>
      <c r="S117" s="85" t="n"/>
      <c r="T117" s="85" t="n"/>
      <c r="U117" s="85" t="n"/>
      <c r="V117" s="85" t="n"/>
      <c r="W117" s="85" t="n"/>
      <c r="X117" s="85" t="n"/>
      <c r="Y117" s="85" t="n"/>
      <c r="Z117" s="85" t="n"/>
      <c r="AA117" s="85" t="n"/>
      <c r="AB117" s="85" t="n"/>
      <c r="AC117" s="86" t="n"/>
      <c r="AD117" s="86" t="n"/>
      <c r="AE117" s="86" t="n"/>
      <c r="AF117" s="85" t="n"/>
      <c r="AG117" s="85" t="n"/>
      <c r="AH117" s="85">
        <f>IF($A117="","",IF(AND($E117="Yes",OR($V117="No",$V117="NOT FOUND")),"YES",""))</f>
        <v/>
      </c>
      <c r="AI117" s="85">
        <f>IF($A117="","",TRIM(IF(AND($M117=0,$I117&lt;&gt;"Yes"),"T0-NoPhishResistant ","")&amp;IF($H117="No","NoMFA ","")&amp;IF(AND($M117=0,$O117="Group only"),"T0-ViaGroupOnly ","")&amp;IF($N117="Yes","BroadAzureScope ","")&amp;IF($T117="Yes","AlsoEntraRole ","")))</f>
        <v/>
      </c>
      <c r="AJ117" s="85">
        <f>IF($A117="","",IF(AD117="","Not Enrolled",IF(TODAY()&gt;AD117,"Review Overdue",IF(AD117-TODAY()&lt;=30,"Review Due Soon","Active"))))</f>
        <v/>
      </c>
      <c r="AK117" s="85">
        <f>IF($A117="","",IF(AE117="","NOT REVIEWED",IF(TODAY()-AE117&gt;90,"OVERDUE",IF(TODAY()-AE117&gt;76,"Due Soon","Current"))))</f>
        <v/>
      </c>
    </row>
    <row r="118" ht="15" customHeight="1" s="39">
      <c r="A118" s="85" t="n"/>
      <c r="B118" s="85" t="n"/>
      <c r="C118" s="85" t="n"/>
      <c r="D118" s="85" t="n"/>
      <c r="E118" s="85" t="n"/>
      <c r="F118" s="86" t="n"/>
      <c r="G118" s="86" t="n"/>
      <c r="H118" s="85" t="n"/>
      <c r="I118" s="85" t="n"/>
      <c r="J118" s="85" t="n"/>
      <c r="K118" s="85" t="n"/>
      <c r="L118" s="85" t="n"/>
      <c r="M118" s="85" t="n"/>
      <c r="N118" s="85" t="n"/>
      <c r="O118" s="85" t="n"/>
      <c r="P118" s="85" t="n"/>
      <c r="Q118" s="85" t="n"/>
      <c r="R118" s="85" t="n"/>
      <c r="S118" s="85" t="n"/>
      <c r="T118" s="85" t="n"/>
      <c r="U118" s="85" t="n"/>
      <c r="V118" s="85" t="n"/>
      <c r="W118" s="85" t="n"/>
      <c r="X118" s="85" t="n"/>
      <c r="Y118" s="85" t="n"/>
      <c r="Z118" s="85" t="n"/>
      <c r="AA118" s="85" t="n"/>
      <c r="AB118" s="85" t="n"/>
      <c r="AC118" s="86" t="n"/>
      <c r="AD118" s="86" t="n"/>
      <c r="AE118" s="86" t="n"/>
      <c r="AF118" s="85" t="n"/>
      <c r="AG118" s="85" t="n"/>
      <c r="AH118" s="85">
        <f>IF($A118="","",IF(AND($E118="Yes",OR($V118="No",$V118="NOT FOUND")),"YES",""))</f>
        <v/>
      </c>
      <c r="AI118" s="85">
        <f>IF($A118="","",TRIM(IF(AND($M118=0,$I118&lt;&gt;"Yes"),"T0-NoPhishResistant ","")&amp;IF($H118="No","NoMFA ","")&amp;IF(AND($M118=0,$O118="Group only"),"T0-ViaGroupOnly ","")&amp;IF($N118="Yes","BroadAzureScope ","")&amp;IF($T118="Yes","AlsoEntraRole ","")))</f>
        <v/>
      </c>
      <c r="AJ118" s="85">
        <f>IF($A118="","",IF(AD118="","Not Enrolled",IF(TODAY()&gt;AD118,"Review Overdue",IF(AD118-TODAY()&lt;=30,"Review Due Soon","Active"))))</f>
        <v/>
      </c>
      <c r="AK118" s="85">
        <f>IF($A118="","",IF(AE118="","NOT REVIEWED",IF(TODAY()-AE118&gt;90,"OVERDUE",IF(TODAY()-AE118&gt;76,"Due Soon","Current"))))</f>
        <v/>
      </c>
    </row>
    <row r="119" ht="15" customHeight="1" s="39">
      <c r="A119" s="85" t="n"/>
      <c r="B119" s="85" t="n"/>
      <c r="C119" s="85" t="n"/>
      <c r="D119" s="85" t="n"/>
      <c r="E119" s="85" t="n"/>
      <c r="F119" s="86" t="n"/>
      <c r="G119" s="86" t="n"/>
      <c r="H119" s="85" t="n"/>
      <c r="I119" s="85" t="n"/>
      <c r="J119" s="85" t="n"/>
      <c r="K119" s="85" t="n"/>
      <c r="L119" s="85" t="n"/>
      <c r="M119" s="85" t="n"/>
      <c r="N119" s="85" t="n"/>
      <c r="O119" s="85" t="n"/>
      <c r="P119" s="85" t="n"/>
      <c r="Q119" s="85" t="n"/>
      <c r="R119" s="85" t="n"/>
      <c r="S119" s="85" t="n"/>
      <c r="T119" s="85" t="n"/>
      <c r="U119" s="85" t="n"/>
      <c r="V119" s="85" t="n"/>
      <c r="W119" s="85" t="n"/>
      <c r="X119" s="85" t="n"/>
      <c r="Y119" s="85" t="n"/>
      <c r="Z119" s="85" t="n"/>
      <c r="AA119" s="85" t="n"/>
      <c r="AB119" s="85" t="n"/>
      <c r="AC119" s="86" t="n"/>
      <c r="AD119" s="86" t="n"/>
      <c r="AE119" s="86" t="n"/>
      <c r="AF119" s="85" t="n"/>
      <c r="AG119" s="85" t="n"/>
      <c r="AH119" s="85">
        <f>IF($A119="","",IF(AND($E119="Yes",OR($V119="No",$V119="NOT FOUND")),"YES",""))</f>
        <v/>
      </c>
      <c r="AI119" s="85">
        <f>IF($A119="","",TRIM(IF(AND($M119=0,$I119&lt;&gt;"Yes"),"T0-NoPhishResistant ","")&amp;IF($H119="No","NoMFA ","")&amp;IF(AND($M119=0,$O119="Group only"),"T0-ViaGroupOnly ","")&amp;IF($N119="Yes","BroadAzureScope ","")&amp;IF($T119="Yes","AlsoEntraRole ","")))</f>
        <v/>
      </c>
      <c r="AJ119" s="85">
        <f>IF($A119="","",IF(AD119="","Not Enrolled",IF(TODAY()&gt;AD119,"Review Overdue",IF(AD119-TODAY()&lt;=30,"Review Due Soon","Active"))))</f>
        <v/>
      </c>
      <c r="AK119" s="85">
        <f>IF($A119="","",IF(AE119="","NOT REVIEWED",IF(TODAY()-AE119&gt;90,"OVERDUE",IF(TODAY()-AE119&gt;76,"Due Soon","Current"))))</f>
        <v/>
      </c>
    </row>
    <row r="120" ht="15" customHeight="1" s="39">
      <c r="A120" s="85" t="n"/>
      <c r="B120" s="85" t="n"/>
      <c r="C120" s="85" t="n"/>
      <c r="D120" s="85" t="n"/>
      <c r="E120" s="85" t="n"/>
      <c r="F120" s="86" t="n"/>
      <c r="G120" s="86" t="n"/>
      <c r="H120" s="85" t="n"/>
      <c r="I120" s="85" t="n"/>
      <c r="J120" s="85" t="n"/>
      <c r="K120" s="85" t="n"/>
      <c r="L120" s="85" t="n"/>
      <c r="M120" s="85" t="n"/>
      <c r="N120" s="85" t="n"/>
      <c r="O120" s="85" t="n"/>
      <c r="P120" s="85" t="n"/>
      <c r="Q120" s="85" t="n"/>
      <c r="R120" s="85" t="n"/>
      <c r="S120" s="85" t="n"/>
      <c r="T120" s="85" t="n"/>
      <c r="U120" s="85" t="n"/>
      <c r="V120" s="85" t="n"/>
      <c r="W120" s="85" t="n"/>
      <c r="X120" s="85" t="n"/>
      <c r="Y120" s="85" t="n"/>
      <c r="Z120" s="85" t="n"/>
      <c r="AA120" s="85" t="n"/>
      <c r="AB120" s="85" t="n"/>
      <c r="AC120" s="86" t="n"/>
      <c r="AD120" s="86" t="n"/>
      <c r="AE120" s="86" t="n"/>
      <c r="AF120" s="85" t="n"/>
      <c r="AG120" s="85" t="n"/>
      <c r="AH120" s="85">
        <f>IF($A120="","",IF(AND($E120="Yes",OR($V120="No",$V120="NOT FOUND")),"YES",""))</f>
        <v/>
      </c>
      <c r="AI120" s="85">
        <f>IF($A120="","",TRIM(IF(AND($M120=0,$I120&lt;&gt;"Yes"),"T0-NoPhishResistant ","")&amp;IF($H120="No","NoMFA ","")&amp;IF(AND($M120=0,$O120="Group only"),"T0-ViaGroupOnly ","")&amp;IF($N120="Yes","BroadAzureScope ","")&amp;IF($T120="Yes","AlsoEntraRole ","")))</f>
        <v/>
      </c>
      <c r="AJ120" s="85">
        <f>IF($A120="","",IF(AD120="","Not Enrolled",IF(TODAY()&gt;AD120,"Review Overdue",IF(AD120-TODAY()&lt;=30,"Review Due Soon","Active"))))</f>
        <v/>
      </c>
      <c r="AK120" s="85">
        <f>IF($A120="","",IF(AE120="","NOT REVIEWED",IF(TODAY()-AE120&gt;90,"OVERDUE",IF(TODAY()-AE120&gt;76,"Due Soon","Current"))))</f>
        <v/>
      </c>
    </row>
    <row r="121" ht="15" customHeight="1" s="39">
      <c r="A121" s="85" t="n"/>
      <c r="B121" s="85" t="n"/>
      <c r="C121" s="85" t="n"/>
      <c r="D121" s="85" t="n"/>
      <c r="E121" s="85" t="n"/>
      <c r="F121" s="86" t="n"/>
      <c r="G121" s="86" t="n"/>
      <c r="H121" s="85" t="n"/>
      <c r="I121" s="85" t="n"/>
      <c r="J121" s="85" t="n"/>
      <c r="K121" s="85" t="n"/>
      <c r="L121" s="85" t="n"/>
      <c r="M121" s="85" t="n"/>
      <c r="N121" s="85" t="n"/>
      <c r="O121" s="85" t="n"/>
      <c r="P121" s="85" t="n"/>
      <c r="Q121" s="85" t="n"/>
      <c r="R121" s="85" t="n"/>
      <c r="S121" s="85" t="n"/>
      <c r="T121" s="85" t="n"/>
      <c r="U121" s="85" t="n"/>
      <c r="V121" s="85" t="n"/>
      <c r="W121" s="85" t="n"/>
      <c r="X121" s="85" t="n"/>
      <c r="Y121" s="85" t="n"/>
      <c r="Z121" s="85" t="n"/>
      <c r="AA121" s="85" t="n"/>
      <c r="AB121" s="85" t="n"/>
      <c r="AC121" s="86" t="n"/>
      <c r="AD121" s="86" t="n"/>
      <c r="AE121" s="86" t="n"/>
      <c r="AF121" s="85" t="n"/>
      <c r="AG121" s="85" t="n"/>
      <c r="AH121" s="85">
        <f>IF($A121="","",IF(AND($E121="Yes",OR($V121="No",$V121="NOT FOUND")),"YES",""))</f>
        <v/>
      </c>
      <c r="AI121" s="85">
        <f>IF($A121="","",TRIM(IF(AND($M121=0,$I121&lt;&gt;"Yes"),"T0-NoPhishResistant ","")&amp;IF($H121="No","NoMFA ","")&amp;IF(AND($M121=0,$O121="Group only"),"T0-ViaGroupOnly ","")&amp;IF($N121="Yes","BroadAzureScope ","")&amp;IF($T121="Yes","AlsoEntraRole ","")))</f>
        <v/>
      </c>
      <c r="AJ121" s="85">
        <f>IF($A121="","",IF(AD121="","Not Enrolled",IF(TODAY()&gt;AD121,"Review Overdue",IF(AD121-TODAY()&lt;=30,"Review Due Soon","Active"))))</f>
        <v/>
      </c>
      <c r="AK121" s="85">
        <f>IF($A121="","",IF(AE121="","NOT REVIEWED",IF(TODAY()-AE121&gt;90,"OVERDUE",IF(TODAY()-AE121&gt;76,"Due Soon","Current"))))</f>
        <v/>
      </c>
    </row>
    <row r="122" ht="15" customHeight="1" s="39">
      <c r="A122" s="85" t="n"/>
      <c r="B122" s="85" t="n"/>
      <c r="C122" s="85" t="n"/>
      <c r="D122" s="85" t="n"/>
      <c r="E122" s="85" t="n"/>
      <c r="F122" s="86" t="n"/>
      <c r="G122" s="86" t="n"/>
      <c r="H122" s="85" t="n"/>
      <c r="I122" s="85" t="n"/>
      <c r="J122" s="85" t="n"/>
      <c r="K122" s="85" t="n"/>
      <c r="L122" s="85" t="n"/>
      <c r="M122" s="85" t="n"/>
      <c r="N122" s="85" t="n"/>
      <c r="O122" s="85" t="n"/>
      <c r="P122" s="85" t="n"/>
      <c r="Q122" s="85" t="n"/>
      <c r="R122" s="85" t="n"/>
      <c r="S122" s="85" t="n"/>
      <c r="T122" s="85" t="n"/>
      <c r="U122" s="85" t="n"/>
      <c r="V122" s="85" t="n"/>
      <c r="W122" s="85" t="n"/>
      <c r="X122" s="85" t="n"/>
      <c r="Y122" s="85" t="n"/>
      <c r="Z122" s="85" t="n"/>
      <c r="AA122" s="85" t="n"/>
      <c r="AB122" s="85" t="n"/>
      <c r="AC122" s="86" t="n"/>
      <c r="AD122" s="86" t="n"/>
      <c r="AE122" s="86" t="n"/>
      <c r="AF122" s="85" t="n"/>
      <c r="AG122" s="85" t="n"/>
      <c r="AH122" s="85">
        <f>IF($A122="","",IF(AND($E122="Yes",OR($V122="No",$V122="NOT FOUND")),"YES",""))</f>
        <v/>
      </c>
      <c r="AI122" s="85">
        <f>IF($A122="","",TRIM(IF(AND($M122=0,$I122&lt;&gt;"Yes"),"T0-NoPhishResistant ","")&amp;IF($H122="No","NoMFA ","")&amp;IF(AND($M122=0,$O122="Group only"),"T0-ViaGroupOnly ","")&amp;IF($N122="Yes","BroadAzureScope ","")&amp;IF($T122="Yes","AlsoEntraRole ","")))</f>
        <v/>
      </c>
      <c r="AJ122" s="85">
        <f>IF($A122="","",IF(AD122="","Not Enrolled",IF(TODAY()&gt;AD122,"Review Overdue",IF(AD122-TODAY()&lt;=30,"Review Due Soon","Active"))))</f>
        <v/>
      </c>
      <c r="AK122" s="85">
        <f>IF($A122="","",IF(AE122="","NOT REVIEWED",IF(TODAY()-AE122&gt;90,"OVERDUE",IF(TODAY()-AE122&gt;76,"Due Soon","Current"))))</f>
        <v/>
      </c>
    </row>
    <row r="123" ht="15" customHeight="1" s="39">
      <c r="A123" s="85" t="n"/>
      <c r="B123" s="85" t="n"/>
      <c r="C123" s="85" t="n"/>
      <c r="D123" s="85" t="n"/>
      <c r="E123" s="85" t="n"/>
      <c r="F123" s="86" t="n"/>
      <c r="G123" s="86" t="n"/>
      <c r="H123" s="85" t="n"/>
      <c r="I123" s="85" t="n"/>
      <c r="J123" s="85" t="n"/>
      <c r="K123" s="85" t="n"/>
      <c r="L123" s="85" t="n"/>
      <c r="M123" s="85" t="n"/>
      <c r="N123" s="85" t="n"/>
      <c r="O123" s="85" t="n"/>
      <c r="P123" s="85" t="n"/>
      <c r="Q123" s="85" t="n"/>
      <c r="R123" s="85" t="n"/>
      <c r="S123" s="85" t="n"/>
      <c r="T123" s="85" t="n"/>
      <c r="U123" s="85" t="n"/>
      <c r="V123" s="85" t="n"/>
      <c r="W123" s="85" t="n"/>
      <c r="X123" s="85" t="n"/>
      <c r="Y123" s="85" t="n"/>
      <c r="Z123" s="85" t="n"/>
      <c r="AA123" s="85" t="n"/>
      <c r="AB123" s="85" t="n"/>
      <c r="AC123" s="86" t="n"/>
      <c r="AD123" s="86" t="n"/>
      <c r="AE123" s="86" t="n"/>
      <c r="AF123" s="85" t="n"/>
      <c r="AG123" s="85" t="n"/>
      <c r="AH123" s="85">
        <f>IF($A123="","",IF(AND($E123="Yes",OR($V123="No",$V123="NOT FOUND")),"YES",""))</f>
        <v/>
      </c>
      <c r="AI123" s="85">
        <f>IF($A123="","",TRIM(IF(AND($M123=0,$I123&lt;&gt;"Yes"),"T0-NoPhishResistant ","")&amp;IF($H123="No","NoMFA ","")&amp;IF(AND($M123=0,$O123="Group only"),"T0-ViaGroupOnly ","")&amp;IF($N123="Yes","BroadAzureScope ","")&amp;IF($T123="Yes","AlsoEntraRole ","")))</f>
        <v/>
      </c>
      <c r="AJ123" s="85">
        <f>IF($A123="","",IF(AD123="","Not Enrolled",IF(TODAY()&gt;AD123,"Review Overdue",IF(AD123-TODAY()&lt;=30,"Review Due Soon","Active"))))</f>
        <v/>
      </c>
      <c r="AK123" s="85">
        <f>IF($A123="","",IF(AE123="","NOT REVIEWED",IF(TODAY()-AE123&gt;90,"OVERDUE",IF(TODAY()-AE123&gt;76,"Due Soon","Current"))))</f>
        <v/>
      </c>
    </row>
    <row r="124" ht="15" customHeight="1" s="39">
      <c r="A124" s="85" t="n"/>
      <c r="B124" s="85" t="n"/>
      <c r="C124" s="85" t="n"/>
      <c r="D124" s="85" t="n"/>
      <c r="E124" s="85" t="n"/>
      <c r="F124" s="86" t="n"/>
      <c r="G124" s="86" t="n"/>
      <c r="H124" s="85" t="n"/>
      <c r="I124" s="85" t="n"/>
      <c r="J124" s="85" t="n"/>
      <c r="K124" s="85" t="n"/>
      <c r="L124" s="85" t="n"/>
      <c r="M124" s="85" t="n"/>
      <c r="N124" s="85" t="n"/>
      <c r="O124" s="85" t="n"/>
      <c r="P124" s="85" t="n"/>
      <c r="Q124" s="85" t="n"/>
      <c r="R124" s="85" t="n"/>
      <c r="S124" s="85" t="n"/>
      <c r="T124" s="85" t="n"/>
      <c r="U124" s="85" t="n"/>
      <c r="V124" s="85" t="n"/>
      <c r="W124" s="85" t="n"/>
      <c r="X124" s="85" t="n"/>
      <c r="Y124" s="85" t="n"/>
      <c r="Z124" s="85" t="n"/>
      <c r="AA124" s="85" t="n"/>
      <c r="AB124" s="85" t="n"/>
      <c r="AC124" s="86" t="n"/>
      <c r="AD124" s="86" t="n"/>
      <c r="AE124" s="86" t="n"/>
      <c r="AF124" s="85" t="n"/>
      <c r="AG124" s="85" t="n"/>
      <c r="AH124" s="85">
        <f>IF($A124="","",IF(AND($E124="Yes",OR($V124="No",$V124="NOT FOUND")),"YES",""))</f>
        <v/>
      </c>
      <c r="AI124" s="85">
        <f>IF($A124="","",TRIM(IF(AND($M124=0,$I124&lt;&gt;"Yes"),"T0-NoPhishResistant ","")&amp;IF($H124="No","NoMFA ","")&amp;IF(AND($M124=0,$O124="Group only"),"T0-ViaGroupOnly ","")&amp;IF($N124="Yes","BroadAzureScope ","")&amp;IF($T124="Yes","AlsoEntraRole ","")))</f>
        <v/>
      </c>
      <c r="AJ124" s="85">
        <f>IF($A124="","",IF(AD124="","Not Enrolled",IF(TODAY()&gt;AD124,"Review Overdue",IF(AD124-TODAY()&lt;=30,"Review Due Soon","Active"))))</f>
        <v/>
      </c>
      <c r="AK124" s="85">
        <f>IF($A124="","",IF(AE124="","NOT REVIEWED",IF(TODAY()-AE124&gt;90,"OVERDUE",IF(TODAY()-AE124&gt;76,"Due Soon","Current"))))</f>
        <v/>
      </c>
    </row>
    <row r="125" ht="15" customHeight="1" s="39">
      <c r="A125" s="85" t="n"/>
      <c r="B125" s="85" t="n"/>
      <c r="C125" s="85" t="n"/>
      <c r="D125" s="85" t="n"/>
      <c r="E125" s="85" t="n"/>
      <c r="F125" s="86" t="n"/>
      <c r="G125" s="86" t="n"/>
      <c r="H125" s="85" t="n"/>
      <c r="I125" s="85" t="n"/>
      <c r="J125" s="85" t="n"/>
      <c r="K125" s="85" t="n"/>
      <c r="L125" s="85" t="n"/>
      <c r="M125" s="85" t="n"/>
      <c r="N125" s="85" t="n"/>
      <c r="O125" s="85" t="n"/>
      <c r="P125" s="85" t="n"/>
      <c r="Q125" s="85" t="n"/>
      <c r="R125" s="85" t="n"/>
      <c r="S125" s="85" t="n"/>
      <c r="T125" s="85" t="n"/>
      <c r="U125" s="85" t="n"/>
      <c r="V125" s="85" t="n"/>
      <c r="W125" s="85" t="n"/>
      <c r="X125" s="85" t="n"/>
      <c r="Y125" s="85" t="n"/>
      <c r="Z125" s="85" t="n"/>
      <c r="AA125" s="85" t="n"/>
      <c r="AB125" s="85" t="n"/>
      <c r="AC125" s="86" t="n"/>
      <c r="AD125" s="86" t="n"/>
      <c r="AE125" s="86" t="n"/>
      <c r="AF125" s="85" t="n"/>
      <c r="AG125" s="85" t="n"/>
      <c r="AH125" s="85">
        <f>IF($A125="","",IF(AND($E125="Yes",OR($V125="No",$V125="NOT FOUND")),"YES",""))</f>
        <v/>
      </c>
      <c r="AI125" s="85">
        <f>IF($A125="","",TRIM(IF(AND($M125=0,$I125&lt;&gt;"Yes"),"T0-NoPhishResistant ","")&amp;IF($H125="No","NoMFA ","")&amp;IF(AND($M125=0,$O125="Group only"),"T0-ViaGroupOnly ","")&amp;IF($N125="Yes","BroadAzureScope ","")&amp;IF($T125="Yes","AlsoEntraRole ","")))</f>
        <v/>
      </c>
      <c r="AJ125" s="85">
        <f>IF($A125="","",IF(AD125="","Not Enrolled",IF(TODAY()&gt;AD125,"Review Overdue",IF(AD125-TODAY()&lt;=30,"Review Due Soon","Active"))))</f>
        <v/>
      </c>
      <c r="AK125" s="85">
        <f>IF($A125="","",IF(AE125="","NOT REVIEWED",IF(TODAY()-AE125&gt;90,"OVERDUE",IF(TODAY()-AE125&gt;76,"Due Soon","Current"))))</f>
        <v/>
      </c>
    </row>
    <row r="126" ht="15" customHeight="1" s="39">
      <c r="A126" s="85" t="n"/>
      <c r="B126" s="85" t="n"/>
      <c r="C126" s="85" t="n"/>
      <c r="D126" s="85" t="n"/>
      <c r="E126" s="85" t="n"/>
      <c r="F126" s="86" t="n"/>
      <c r="G126" s="86" t="n"/>
      <c r="H126" s="85" t="n"/>
      <c r="I126" s="85" t="n"/>
      <c r="J126" s="85" t="n"/>
      <c r="K126" s="85" t="n"/>
      <c r="L126" s="85" t="n"/>
      <c r="M126" s="85" t="n"/>
      <c r="N126" s="85" t="n"/>
      <c r="O126" s="85" t="n"/>
      <c r="P126" s="85" t="n"/>
      <c r="Q126" s="85" t="n"/>
      <c r="R126" s="85" t="n"/>
      <c r="S126" s="85" t="n"/>
      <c r="T126" s="85" t="n"/>
      <c r="U126" s="85" t="n"/>
      <c r="V126" s="85" t="n"/>
      <c r="W126" s="85" t="n"/>
      <c r="X126" s="85" t="n"/>
      <c r="Y126" s="85" t="n"/>
      <c r="Z126" s="85" t="n"/>
      <c r="AA126" s="85" t="n"/>
      <c r="AB126" s="85" t="n"/>
      <c r="AC126" s="86" t="n"/>
      <c r="AD126" s="86" t="n"/>
      <c r="AE126" s="86" t="n"/>
      <c r="AF126" s="85" t="n"/>
      <c r="AG126" s="85" t="n"/>
      <c r="AH126" s="85">
        <f>IF($A126="","",IF(AND($E126="Yes",OR($V126="No",$V126="NOT FOUND")),"YES",""))</f>
        <v/>
      </c>
      <c r="AI126" s="85">
        <f>IF($A126="","",TRIM(IF(AND($M126=0,$I126&lt;&gt;"Yes"),"T0-NoPhishResistant ","")&amp;IF($H126="No","NoMFA ","")&amp;IF(AND($M126=0,$O126="Group only"),"T0-ViaGroupOnly ","")&amp;IF($N126="Yes","BroadAzureScope ","")&amp;IF($T126="Yes","AlsoEntraRole ","")))</f>
        <v/>
      </c>
      <c r="AJ126" s="85">
        <f>IF($A126="","",IF(AD126="","Not Enrolled",IF(TODAY()&gt;AD126,"Review Overdue",IF(AD126-TODAY()&lt;=30,"Review Due Soon","Active"))))</f>
        <v/>
      </c>
      <c r="AK126" s="85">
        <f>IF($A126="","",IF(AE126="","NOT REVIEWED",IF(TODAY()-AE126&gt;90,"OVERDUE",IF(TODAY()-AE126&gt;76,"Due Soon","Current"))))</f>
        <v/>
      </c>
    </row>
    <row r="127" ht="15" customHeight="1" s="39">
      <c r="A127" s="85" t="n"/>
      <c r="B127" s="85" t="n"/>
      <c r="C127" s="85" t="n"/>
      <c r="D127" s="85" t="n"/>
      <c r="E127" s="85" t="n"/>
      <c r="F127" s="86" t="n"/>
      <c r="G127" s="86" t="n"/>
      <c r="H127" s="85" t="n"/>
      <c r="I127" s="85" t="n"/>
      <c r="J127" s="85" t="n"/>
      <c r="K127" s="85" t="n"/>
      <c r="L127" s="85" t="n"/>
      <c r="M127" s="85" t="n"/>
      <c r="N127" s="85" t="n"/>
      <c r="O127" s="85" t="n"/>
      <c r="P127" s="85" t="n"/>
      <c r="Q127" s="85" t="n"/>
      <c r="R127" s="85" t="n"/>
      <c r="S127" s="85" t="n"/>
      <c r="T127" s="85" t="n"/>
      <c r="U127" s="85" t="n"/>
      <c r="V127" s="85" t="n"/>
      <c r="W127" s="85" t="n"/>
      <c r="X127" s="85" t="n"/>
      <c r="Y127" s="85" t="n"/>
      <c r="Z127" s="85" t="n"/>
      <c r="AA127" s="85" t="n"/>
      <c r="AB127" s="85" t="n"/>
      <c r="AC127" s="86" t="n"/>
      <c r="AD127" s="86" t="n"/>
      <c r="AE127" s="86" t="n"/>
      <c r="AF127" s="85" t="n"/>
      <c r="AG127" s="85" t="n"/>
      <c r="AH127" s="85">
        <f>IF($A127="","",IF(AND($E127="Yes",OR($V127="No",$V127="NOT FOUND")),"YES",""))</f>
        <v/>
      </c>
      <c r="AI127" s="85">
        <f>IF($A127="","",TRIM(IF(AND($M127=0,$I127&lt;&gt;"Yes"),"T0-NoPhishResistant ","")&amp;IF($H127="No","NoMFA ","")&amp;IF(AND($M127=0,$O127="Group only"),"T0-ViaGroupOnly ","")&amp;IF($N127="Yes","BroadAzureScope ","")&amp;IF($T127="Yes","AlsoEntraRole ","")))</f>
        <v/>
      </c>
      <c r="AJ127" s="85">
        <f>IF($A127="","",IF(AD127="","Not Enrolled",IF(TODAY()&gt;AD127,"Review Overdue",IF(AD127-TODAY()&lt;=30,"Review Due Soon","Active"))))</f>
        <v/>
      </c>
      <c r="AK127" s="85">
        <f>IF($A127="","",IF(AE127="","NOT REVIEWED",IF(TODAY()-AE127&gt;90,"OVERDUE",IF(TODAY()-AE127&gt;76,"Due Soon","Current"))))</f>
        <v/>
      </c>
    </row>
    <row r="128" ht="15" customHeight="1" s="39">
      <c r="A128" s="85" t="n"/>
      <c r="B128" s="85" t="n"/>
      <c r="C128" s="85" t="n"/>
      <c r="D128" s="85" t="n"/>
      <c r="E128" s="85" t="n"/>
      <c r="F128" s="86" t="n"/>
      <c r="G128" s="86" t="n"/>
      <c r="H128" s="85" t="n"/>
      <c r="I128" s="85" t="n"/>
      <c r="J128" s="85" t="n"/>
      <c r="K128" s="85" t="n"/>
      <c r="L128" s="85" t="n"/>
      <c r="M128" s="85" t="n"/>
      <c r="N128" s="85" t="n"/>
      <c r="O128" s="85" t="n"/>
      <c r="P128" s="85" t="n"/>
      <c r="Q128" s="85" t="n"/>
      <c r="R128" s="85" t="n"/>
      <c r="S128" s="85" t="n"/>
      <c r="T128" s="85" t="n"/>
      <c r="U128" s="85" t="n"/>
      <c r="V128" s="85" t="n"/>
      <c r="W128" s="85" t="n"/>
      <c r="X128" s="85" t="n"/>
      <c r="Y128" s="85" t="n"/>
      <c r="Z128" s="85" t="n"/>
      <c r="AA128" s="85" t="n"/>
      <c r="AB128" s="85" t="n"/>
      <c r="AC128" s="86" t="n"/>
      <c r="AD128" s="86" t="n"/>
      <c r="AE128" s="86" t="n"/>
      <c r="AF128" s="85" t="n"/>
      <c r="AG128" s="85" t="n"/>
      <c r="AH128" s="85">
        <f>IF($A128="","",IF(AND($E128="Yes",OR($V128="No",$V128="NOT FOUND")),"YES",""))</f>
        <v/>
      </c>
      <c r="AI128" s="85">
        <f>IF($A128="","",TRIM(IF(AND($M128=0,$I128&lt;&gt;"Yes"),"T0-NoPhishResistant ","")&amp;IF($H128="No","NoMFA ","")&amp;IF(AND($M128=0,$O128="Group only"),"T0-ViaGroupOnly ","")&amp;IF($N128="Yes","BroadAzureScope ","")&amp;IF($T128="Yes","AlsoEntraRole ","")))</f>
        <v/>
      </c>
      <c r="AJ128" s="85">
        <f>IF($A128="","",IF(AD128="","Not Enrolled",IF(TODAY()&gt;AD128,"Review Overdue",IF(AD128-TODAY()&lt;=30,"Review Due Soon","Active"))))</f>
        <v/>
      </c>
      <c r="AK128" s="85">
        <f>IF($A128="","",IF(AE128="","NOT REVIEWED",IF(TODAY()-AE128&gt;90,"OVERDUE",IF(TODAY()-AE128&gt;76,"Due Soon","Current"))))</f>
        <v/>
      </c>
    </row>
    <row r="129" ht="15" customHeight="1" s="39">
      <c r="A129" s="85" t="n"/>
      <c r="B129" s="85" t="n"/>
      <c r="C129" s="85" t="n"/>
      <c r="D129" s="85" t="n"/>
      <c r="E129" s="85" t="n"/>
      <c r="F129" s="86" t="n"/>
      <c r="G129" s="86" t="n"/>
      <c r="H129" s="85" t="n"/>
      <c r="I129" s="85" t="n"/>
      <c r="J129" s="85" t="n"/>
      <c r="K129" s="85" t="n"/>
      <c r="L129" s="85" t="n"/>
      <c r="M129" s="85" t="n"/>
      <c r="N129" s="85" t="n"/>
      <c r="O129" s="85" t="n"/>
      <c r="P129" s="85" t="n"/>
      <c r="Q129" s="85" t="n"/>
      <c r="R129" s="85" t="n"/>
      <c r="S129" s="85" t="n"/>
      <c r="T129" s="85" t="n"/>
      <c r="U129" s="85" t="n"/>
      <c r="V129" s="85" t="n"/>
      <c r="W129" s="85" t="n"/>
      <c r="X129" s="85" t="n"/>
      <c r="Y129" s="85" t="n"/>
      <c r="Z129" s="85" t="n"/>
      <c r="AA129" s="85" t="n"/>
      <c r="AB129" s="85" t="n"/>
      <c r="AC129" s="86" t="n"/>
      <c r="AD129" s="86" t="n"/>
      <c r="AE129" s="86" t="n"/>
      <c r="AF129" s="85" t="n"/>
      <c r="AG129" s="85" t="n"/>
      <c r="AH129" s="85">
        <f>IF($A129="","",IF(AND($E129="Yes",OR($V129="No",$V129="NOT FOUND")),"YES",""))</f>
        <v/>
      </c>
      <c r="AI129" s="85">
        <f>IF($A129="","",TRIM(IF(AND($M129=0,$I129&lt;&gt;"Yes"),"T0-NoPhishResistant ","")&amp;IF($H129="No","NoMFA ","")&amp;IF(AND($M129=0,$O129="Group only"),"T0-ViaGroupOnly ","")&amp;IF($N129="Yes","BroadAzureScope ","")&amp;IF($T129="Yes","AlsoEntraRole ","")))</f>
        <v/>
      </c>
      <c r="AJ129" s="85">
        <f>IF($A129="","",IF(AD129="","Not Enrolled",IF(TODAY()&gt;AD129,"Review Overdue",IF(AD129-TODAY()&lt;=30,"Review Due Soon","Active"))))</f>
        <v/>
      </c>
      <c r="AK129" s="85">
        <f>IF($A129="","",IF(AE129="","NOT REVIEWED",IF(TODAY()-AE129&gt;90,"OVERDUE",IF(TODAY()-AE129&gt;76,"Due Soon","Current"))))</f>
        <v/>
      </c>
    </row>
    <row r="130" ht="15" customHeight="1" s="39">
      <c r="A130" s="85" t="n"/>
      <c r="B130" s="85" t="n"/>
      <c r="C130" s="85" t="n"/>
      <c r="D130" s="85" t="n"/>
      <c r="E130" s="85" t="n"/>
      <c r="F130" s="86" t="n"/>
      <c r="G130" s="86" t="n"/>
      <c r="H130" s="85" t="n"/>
      <c r="I130" s="85" t="n"/>
      <c r="J130" s="85" t="n"/>
      <c r="K130" s="85" t="n"/>
      <c r="L130" s="85" t="n"/>
      <c r="M130" s="85" t="n"/>
      <c r="N130" s="85" t="n"/>
      <c r="O130" s="85" t="n"/>
      <c r="P130" s="85" t="n"/>
      <c r="Q130" s="85" t="n"/>
      <c r="R130" s="85" t="n"/>
      <c r="S130" s="85" t="n"/>
      <c r="T130" s="85" t="n"/>
      <c r="U130" s="85" t="n"/>
      <c r="V130" s="85" t="n"/>
      <c r="W130" s="85" t="n"/>
      <c r="X130" s="85" t="n"/>
      <c r="Y130" s="85" t="n"/>
      <c r="Z130" s="85" t="n"/>
      <c r="AA130" s="85" t="n"/>
      <c r="AB130" s="85" t="n"/>
      <c r="AC130" s="86" t="n"/>
      <c r="AD130" s="86" t="n"/>
      <c r="AE130" s="86" t="n"/>
      <c r="AF130" s="85" t="n"/>
      <c r="AG130" s="85" t="n"/>
      <c r="AH130" s="85">
        <f>IF($A130="","",IF(AND($E130="Yes",OR($V130="No",$V130="NOT FOUND")),"YES",""))</f>
        <v/>
      </c>
      <c r="AI130" s="85">
        <f>IF($A130="","",TRIM(IF(AND($M130=0,$I130&lt;&gt;"Yes"),"T0-NoPhishResistant ","")&amp;IF($H130="No","NoMFA ","")&amp;IF(AND($M130=0,$O130="Group only"),"T0-ViaGroupOnly ","")&amp;IF($N130="Yes","BroadAzureScope ","")&amp;IF($T130="Yes","AlsoEntraRole ","")))</f>
        <v/>
      </c>
      <c r="AJ130" s="85">
        <f>IF($A130="","",IF(AD130="","Not Enrolled",IF(TODAY()&gt;AD130,"Review Overdue",IF(AD130-TODAY()&lt;=30,"Review Due Soon","Active"))))</f>
        <v/>
      </c>
      <c r="AK130" s="85">
        <f>IF($A130="","",IF(AE130="","NOT REVIEWED",IF(TODAY()-AE130&gt;90,"OVERDUE",IF(TODAY()-AE130&gt;76,"Due Soon","Current"))))</f>
        <v/>
      </c>
    </row>
    <row r="131" ht="15" customHeight="1" s="39">
      <c r="A131" s="85" t="n"/>
      <c r="B131" s="85" t="n"/>
      <c r="C131" s="85" t="n"/>
      <c r="D131" s="85" t="n"/>
      <c r="E131" s="85" t="n"/>
      <c r="F131" s="86" t="n"/>
      <c r="G131" s="86" t="n"/>
      <c r="H131" s="85" t="n"/>
      <c r="I131" s="85" t="n"/>
      <c r="J131" s="85" t="n"/>
      <c r="K131" s="85" t="n"/>
      <c r="L131" s="85" t="n"/>
      <c r="M131" s="85" t="n"/>
      <c r="N131" s="85" t="n"/>
      <c r="O131" s="85" t="n"/>
      <c r="P131" s="85" t="n"/>
      <c r="Q131" s="85" t="n"/>
      <c r="R131" s="85" t="n"/>
      <c r="S131" s="85" t="n"/>
      <c r="T131" s="85" t="n"/>
      <c r="U131" s="85" t="n"/>
      <c r="V131" s="85" t="n"/>
      <c r="W131" s="85" t="n"/>
      <c r="X131" s="85" t="n"/>
      <c r="Y131" s="85" t="n"/>
      <c r="Z131" s="85" t="n"/>
      <c r="AA131" s="85" t="n"/>
      <c r="AB131" s="85" t="n"/>
      <c r="AC131" s="86" t="n"/>
      <c r="AD131" s="86" t="n"/>
      <c r="AE131" s="86" t="n"/>
      <c r="AF131" s="85" t="n"/>
      <c r="AG131" s="85" t="n"/>
      <c r="AH131" s="85">
        <f>IF($A131="","",IF(AND($E131="Yes",OR($V131="No",$V131="NOT FOUND")),"YES",""))</f>
        <v/>
      </c>
      <c r="AI131" s="85">
        <f>IF($A131="","",TRIM(IF(AND($M131=0,$I131&lt;&gt;"Yes"),"T0-NoPhishResistant ","")&amp;IF($H131="No","NoMFA ","")&amp;IF(AND($M131=0,$O131="Group only"),"T0-ViaGroupOnly ","")&amp;IF($N131="Yes","BroadAzureScope ","")&amp;IF($T131="Yes","AlsoEntraRole ","")))</f>
        <v/>
      </c>
      <c r="AJ131" s="85">
        <f>IF($A131="","",IF(AD131="","Not Enrolled",IF(TODAY()&gt;AD131,"Review Overdue",IF(AD131-TODAY()&lt;=30,"Review Due Soon","Active"))))</f>
        <v/>
      </c>
      <c r="AK131" s="85">
        <f>IF($A131="","",IF(AE131="","NOT REVIEWED",IF(TODAY()-AE131&gt;90,"OVERDUE",IF(TODAY()-AE131&gt;76,"Due Soon","Current"))))</f>
        <v/>
      </c>
    </row>
    <row r="132" ht="15" customHeight="1" s="39">
      <c r="A132" s="85" t="n"/>
      <c r="B132" s="85" t="n"/>
      <c r="C132" s="85" t="n"/>
      <c r="D132" s="85" t="n"/>
      <c r="E132" s="85" t="n"/>
      <c r="F132" s="86" t="n"/>
      <c r="G132" s="86" t="n"/>
      <c r="H132" s="85" t="n"/>
      <c r="I132" s="85" t="n"/>
      <c r="J132" s="85" t="n"/>
      <c r="K132" s="85" t="n"/>
      <c r="L132" s="85" t="n"/>
      <c r="M132" s="85" t="n"/>
      <c r="N132" s="85" t="n"/>
      <c r="O132" s="85" t="n"/>
      <c r="P132" s="85" t="n"/>
      <c r="Q132" s="85" t="n"/>
      <c r="R132" s="85" t="n"/>
      <c r="S132" s="85" t="n"/>
      <c r="T132" s="85" t="n"/>
      <c r="U132" s="85" t="n"/>
      <c r="V132" s="85" t="n"/>
      <c r="W132" s="85" t="n"/>
      <c r="X132" s="85" t="n"/>
      <c r="Y132" s="85" t="n"/>
      <c r="Z132" s="85" t="n"/>
      <c r="AA132" s="85" t="n"/>
      <c r="AB132" s="85" t="n"/>
      <c r="AC132" s="86" t="n"/>
      <c r="AD132" s="86" t="n"/>
      <c r="AE132" s="86" t="n"/>
      <c r="AF132" s="85" t="n"/>
      <c r="AG132" s="85" t="n"/>
      <c r="AH132" s="85">
        <f>IF($A132="","",IF(AND($E132="Yes",OR($V132="No",$V132="NOT FOUND")),"YES",""))</f>
        <v/>
      </c>
      <c r="AI132" s="85">
        <f>IF($A132="","",TRIM(IF(AND($M132=0,$I132&lt;&gt;"Yes"),"T0-NoPhishResistant ","")&amp;IF($H132="No","NoMFA ","")&amp;IF(AND($M132=0,$O132="Group only"),"T0-ViaGroupOnly ","")&amp;IF($N132="Yes","BroadAzureScope ","")&amp;IF($T132="Yes","AlsoEntraRole ","")))</f>
        <v/>
      </c>
      <c r="AJ132" s="85">
        <f>IF($A132="","",IF(AD132="","Not Enrolled",IF(TODAY()&gt;AD132,"Review Overdue",IF(AD132-TODAY()&lt;=30,"Review Due Soon","Active"))))</f>
        <v/>
      </c>
      <c r="AK132" s="85">
        <f>IF($A132="","",IF(AE132="","NOT REVIEWED",IF(TODAY()-AE132&gt;90,"OVERDUE",IF(TODAY()-AE132&gt;76,"Due Soon","Current"))))</f>
        <v/>
      </c>
    </row>
    <row r="133" ht="15" customHeight="1" s="39">
      <c r="A133" s="85" t="n"/>
      <c r="B133" s="85" t="n"/>
      <c r="C133" s="85" t="n"/>
      <c r="D133" s="85" t="n"/>
      <c r="E133" s="85" t="n"/>
      <c r="F133" s="86" t="n"/>
      <c r="G133" s="86" t="n"/>
      <c r="H133" s="85" t="n"/>
      <c r="I133" s="85" t="n"/>
      <c r="J133" s="85" t="n"/>
      <c r="K133" s="85" t="n"/>
      <c r="L133" s="85" t="n"/>
      <c r="M133" s="85" t="n"/>
      <c r="N133" s="85" t="n"/>
      <c r="O133" s="85" t="n"/>
      <c r="P133" s="85" t="n"/>
      <c r="Q133" s="85" t="n"/>
      <c r="R133" s="85" t="n"/>
      <c r="S133" s="85" t="n"/>
      <c r="T133" s="85" t="n"/>
      <c r="U133" s="85" t="n"/>
      <c r="V133" s="85" t="n"/>
      <c r="W133" s="85" t="n"/>
      <c r="X133" s="85" t="n"/>
      <c r="Y133" s="85" t="n"/>
      <c r="Z133" s="85" t="n"/>
      <c r="AA133" s="85" t="n"/>
      <c r="AB133" s="85" t="n"/>
      <c r="AC133" s="86" t="n"/>
      <c r="AD133" s="86" t="n"/>
      <c r="AE133" s="86" t="n"/>
      <c r="AF133" s="85" t="n"/>
      <c r="AG133" s="85" t="n"/>
      <c r="AH133" s="85">
        <f>IF($A133="","",IF(AND($E133="Yes",OR($V133="No",$V133="NOT FOUND")),"YES",""))</f>
        <v/>
      </c>
      <c r="AI133" s="85">
        <f>IF($A133="","",TRIM(IF(AND($M133=0,$I133&lt;&gt;"Yes"),"T0-NoPhishResistant ","")&amp;IF($H133="No","NoMFA ","")&amp;IF(AND($M133=0,$O133="Group only"),"T0-ViaGroupOnly ","")&amp;IF($N133="Yes","BroadAzureScope ","")&amp;IF($T133="Yes","AlsoEntraRole ","")))</f>
        <v/>
      </c>
      <c r="AJ133" s="85">
        <f>IF($A133="","",IF(AD133="","Not Enrolled",IF(TODAY()&gt;AD133,"Review Overdue",IF(AD133-TODAY()&lt;=30,"Review Due Soon","Active"))))</f>
        <v/>
      </c>
      <c r="AK133" s="85">
        <f>IF($A133="","",IF(AE133="","NOT REVIEWED",IF(TODAY()-AE133&gt;90,"OVERDUE",IF(TODAY()-AE133&gt;76,"Due Soon","Current"))))</f>
        <v/>
      </c>
    </row>
    <row r="134" ht="15" customHeight="1" s="39">
      <c r="A134" s="85" t="n"/>
      <c r="B134" s="85" t="n"/>
      <c r="C134" s="85" t="n"/>
      <c r="D134" s="85" t="n"/>
      <c r="E134" s="85" t="n"/>
      <c r="F134" s="86" t="n"/>
      <c r="G134" s="86" t="n"/>
      <c r="H134" s="85" t="n"/>
      <c r="I134" s="85" t="n"/>
      <c r="J134" s="85" t="n"/>
      <c r="K134" s="85" t="n"/>
      <c r="L134" s="85" t="n"/>
      <c r="M134" s="85" t="n"/>
      <c r="N134" s="85" t="n"/>
      <c r="O134" s="85" t="n"/>
      <c r="P134" s="85" t="n"/>
      <c r="Q134" s="85" t="n"/>
      <c r="R134" s="85" t="n"/>
      <c r="S134" s="85" t="n"/>
      <c r="T134" s="85" t="n"/>
      <c r="U134" s="85" t="n"/>
      <c r="V134" s="85" t="n"/>
      <c r="W134" s="85" t="n"/>
      <c r="X134" s="85" t="n"/>
      <c r="Y134" s="85" t="n"/>
      <c r="Z134" s="85" t="n"/>
      <c r="AA134" s="85" t="n"/>
      <c r="AB134" s="85" t="n"/>
      <c r="AC134" s="86" t="n"/>
      <c r="AD134" s="86" t="n"/>
      <c r="AE134" s="86" t="n"/>
      <c r="AF134" s="85" t="n"/>
      <c r="AG134" s="85" t="n"/>
      <c r="AH134" s="85">
        <f>IF($A134="","",IF(AND($E134="Yes",OR($V134="No",$V134="NOT FOUND")),"YES",""))</f>
        <v/>
      </c>
      <c r="AI134" s="85">
        <f>IF($A134="","",TRIM(IF(AND($M134=0,$I134&lt;&gt;"Yes"),"T0-NoPhishResistant ","")&amp;IF($H134="No","NoMFA ","")&amp;IF(AND($M134=0,$O134="Group only"),"T0-ViaGroupOnly ","")&amp;IF($N134="Yes","BroadAzureScope ","")&amp;IF($T134="Yes","AlsoEntraRole ","")))</f>
        <v/>
      </c>
      <c r="AJ134" s="85">
        <f>IF($A134="","",IF(AD134="","Not Enrolled",IF(TODAY()&gt;AD134,"Review Overdue",IF(AD134-TODAY()&lt;=30,"Review Due Soon","Active"))))</f>
        <v/>
      </c>
      <c r="AK134" s="85">
        <f>IF($A134="","",IF(AE134="","NOT REVIEWED",IF(TODAY()-AE134&gt;90,"OVERDUE",IF(TODAY()-AE134&gt;76,"Due Soon","Current"))))</f>
        <v/>
      </c>
    </row>
    <row r="135" ht="15" customHeight="1" s="39">
      <c r="A135" s="85" t="n"/>
      <c r="B135" s="85" t="n"/>
      <c r="C135" s="85" t="n"/>
      <c r="D135" s="85" t="n"/>
      <c r="E135" s="85" t="n"/>
      <c r="F135" s="86" t="n"/>
      <c r="G135" s="86"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6" t="n"/>
      <c r="AD135" s="86" t="n"/>
      <c r="AE135" s="86" t="n"/>
      <c r="AF135" s="85" t="n"/>
      <c r="AG135" s="85" t="n"/>
      <c r="AH135" s="85">
        <f>IF($A135="","",IF(AND($E135="Yes",OR($V135="No",$V135="NOT FOUND")),"YES",""))</f>
        <v/>
      </c>
      <c r="AI135" s="85">
        <f>IF($A135="","",TRIM(IF(AND($M135=0,$I135&lt;&gt;"Yes"),"T0-NoPhishResistant ","")&amp;IF($H135="No","NoMFA ","")&amp;IF(AND($M135=0,$O135="Group only"),"T0-ViaGroupOnly ","")&amp;IF($N135="Yes","BroadAzureScope ","")&amp;IF($T135="Yes","AlsoEntraRole ","")))</f>
        <v/>
      </c>
      <c r="AJ135" s="85">
        <f>IF($A135="","",IF(AD135="","Not Enrolled",IF(TODAY()&gt;AD135,"Review Overdue",IF(AD135-TODAY()&lt;=30,"Review Due Soon","Active"))))</f>
        <v/>
      </c>
      <c r="AK135" s="85">
        <f>IF($A135="","",IF(AE135="","NOT REVIEWED",IF(TODAY()-AE135&gt;90,"OVERDUE",IF(TODAY()-AE135&gt;76,"Due Soon","Current"))))</f>
        <v/>
      </c>
    </row>
    <row r="136" ht="15" customHeight="1" s="39">
      <c r="A136" s="85" t="n"/>
      <c r="B136" s="85" t="n"/>
      <c r="C136" s="85" t="n"/>
      <c r="D136" s="85" t="n"/>
      <c r="E136" s="85" t="n"/>
      <c r="F136" s="86" t="n"/>
      <c r="G136" s="86" t="n"/>
      <c r="H136" s="85" t="n"/>
      <c r="I136" s="85" t="n"/>
      <c r="J136" s="85" t="n"/>
      <c r="K136" s="85" t="n"/>
      <c r="L136" s="85" t="n"/>
      <c r="M136" s="85" t="n"/>
      <c r="N136" s="85" t="n"/>
      <c r="O136" s="85" t="n"/>
      <c r="P136" s="85" t="n"/>
      <c r="Q136" s="85" t="n"/>
      <c r="R136" s="85" t="n"/>
      <c r="S136" s="85" t="n"/>
      <c r="T136" s="85" t="n"/>
      <c r="U136" s="85" t="n"/>
      <c r="V136" s="85" t="n"/>
      <c r="W136" s="85" t="n"/>
      <c r="X136" s="85" t="n"/>
      <c r="Y136" s="85" t="n"/>
      <c r="Z136" s="85" t="n"/>
      <c r="AA136" s="85" t="n"/>
      <c r="AB136" s="85" t="n"/>
      <c r="AC136" s="86" t="n"/>
      <c r="AD136" s="86" t="n"/>
      <c r="AE136" s="86" t="n"/>
      <c r="AF136" s="85" t="n"/>
      <c r="AG136" s="85" t="n"/>
      <c r="AH136" s="85">
        <f>IF($A136="","",IF(AND($E136="Yes",OR($V136="No",$V136="NOT FOUND")),"YES",""))</f>
        <v/>
      </c>
      <c r="AI136" s="85">
        <f>IF($A136="","",TRIM(IF(AND($M136=0,$I136&lt;&gt;"Yes"),"T0-NoPhishResistant ","")&amp;IF($H136="No","NoMFA ","")&amp;IF(AND($M136=0,$O136="Group only"),"T0-ViaGroupOnly ","")&amp;IF($N136="Yes","BroadAzureScope ","")&amp;IF($T136="Yes","AlsoEntraRole ","")))</f>
        <v/>
      </c>
      <c r="AJ136" s="85">
        <f>IF($A136="","",IF(AD136="","Not Enrolled",IF(TODAY()&gt;AD136,"Review Overdue",IF(AD136-TODAY()&lt;=30,"Review Due Soon","Active"))))</f>
        <v/>
      </c>
      <c r="AK136" s="85">
        <f>IF($A136="","",IF(AE136="","NOT REVIEWED",IF(TODAY()-AE136&gt;90,"OVERDUE",IF(TODAY()-AE136&gt;76,"Due Soon","Current"))))</f>
        <v/>
      </c>
    </row>
    <row r="137" ht="15" customHeight="1" s="39">
      <c r="A137" s="85" t="n"/>
      <c r="B137" s="85" t="n"/>
      <c r="C137" s="85" t="n"/>
      <c r="D137" s="85" t="n"/>
      <c r="E137" s="85" t="n"/>
      <c r="F137" s="86" t="n"/>
      <c r="G137" s="86" t="n"/>
      <c r="H137" s="85" t="n"/>
      <c r="I137" s="85" t="n"/>
      <c r="J137" s="85" t="n"/>
      <c r="K137" s="85" t="n"/>
      <c r="L137" s="85" t="n"/>
      <c r="M137" s="85" t="n"/>
      <c r="N137" s="85" t="n"/>
      <c r="O137" s="85" t="n"/>
      <c r="P137" s="85" t="n"/>
      <c r="Q137" s="85" t="n"/>
      <c r="R137" s="85" t="n"/>
      <c r="S137" s="85" t="n"/>
      <c r="T137" s="85" t="n"/>
      <c r="U137" s="85" t="n"/>
      <c r="V137" s="85" t="n"/>
      <c r="W137" s="85" t="n"/>
      <c r="X137" s="85" t="n"/>
      <c r="Y137" s="85" t="n"/>
      <c r="Z137" s="85" t="n"/>
      <c r="AA137" s="85" t="n"/>
      <c r="AB137" s="85" t="n"/>
      <c r="AC137" s="86" t="n"/>
      <c r="AD137" s="86" t="n"/>
      <c r="AE137" s="86" t="n"/>
      <c r="AF137" s="85" t="n"/>
      <c r="AG137" s="85" t="n"/>
      <c r="AH137" s="85">
        <f>IF($A137="","",IF(AND($E137="Yes",OR($V137="No",$V137="NOT FOUND")),"YES",""))</f>
        <v/>
      </c>
      <c r="AI137" s="85">
        <f>IF($A137="","",TRIM(IF(AND($M137=0,$I137&lt;&gt;"Yes"),"T0-NoPhishResistant ","")&amp;IF($H137="No","NoMFA ","")&amp;IF(AND($M137=0,$O137="Group only"),"T0-ViaGroupOnly ","")&amp;IF($N137="Yes","BroadAzureScope ","")&amp;IF($T137="Yes","AlsoEntraRole ","")))</f>
        <v/>
      </c>
      <c r="AJ137" s="85">
        <f>IF($A137="","",IF(AD137="","Not Enrolled",IF(TODAY()&gt;AD137,"Review Overdue",IF(AD137-TODAY()&lt;=30,"Review Due Soon","Active"))))</f>
        <v/>
      </c>
      <c r="AK137" s="85">
        <f>IF($A137="","",IF(AE137="","NOT REVIEWED",IF(TODAY()-AE137&gt;90,"OVERDUE",IF(TODAY()-AE137&gt;76,"Due Soon","Current"))))</f>
        <v/>
      </c>
    </row>
    <row r="138" ht="15" customHeight="1" s="39">
      <c r="A138" s="85" t="n"/>
      <c r="B138" s="85" t="n"/>
      <c r="C138" s="85" t="n"/>
      <c r="D138" s="85" t="n"/>
      <c r="E138" s="85" t="n"/>
      <c r="F138" s="86" t="n"/>
      <c r="G138" s="86" t="n"/>
      <c r="H138" s="85" t="n"/>
      <c r="I138" s="85" t="n"/>
      <c r="J138" s="85" t="n"/>
      <c r="K138" s="85" t="n"/>
      <c r="L138" s="85" t="n"/>
      <c r="M138" s="85" t="n"/>
      <c r="N138" s="85" t="n"/>
      <c r="O138" s="85" t="n"/>
      <c r="P138" s="85" t="n"/>
      <c r="Q138" s="85" t="n"/>
      <c r="R138" s="85" t="n"/>
      <c r="S138" s="85" t="n"/>
      <c r="T138" s="85" t="n"/>
      <c r="U138" s="85" t="n"/>
      <c r="V138" s="85" t="n"/>
      <c r="W138" s="85" t="n"/>
      <c r="X138" s="85" t="n"/>
      <c r="Y138" s="85" t="n"/>
      <c r="Z138" s="85" t="n"/>
      <c r="AA138" s="85" t="n"/>
      <c r="AB138" s="85" t="n"/>
      <c r="AC138" s="86" t="n"/>
      <c r="AD138" s="86" t="n"/>
      <c r="AE138" s="86" t="n"/>
      <c r="AF138" s="85" t="n"/>
      <c r="AG138" s="85" t="n"/>
      <c r="AH138" s="85">
        <f>IF($A138="","",IF(AND($E138="Yes",OR($V138="No",$V138="NOT FOUND")),"YES",""))</f>
        <v/>
      </c>
      <c r="AI138" s="85">
        <f>IF($A138="","",TRIM(IF(AND($M138=0,$I138&lt;&gt;"Yes"),"T0-NoPhishResistant ","")&amp;IF($H138="No","NoMFA ","")&amp;IF(AND($M138=0,$O138="Group only"),"T0-ViaGroupOnly ","")&amp;IF($N138="Yes","BroadAzureScope ","")&amp;IF($T138="Yes","AlsoEntraRole ","")))</f>
        <v/>
      </c>
      <c r="AJ138" s="85">
        <f>IF($A138="","",IF(AD138="","Not Enrolled",IF(TODAY()&gt;AD138,"Review Overdue",IF(AD138-TODAY()&lt;=30,"Review Due Soon","Active"))))</f>
        <v/>
      </c>
      <c r="AK138" s="85">
        <f>IF($A138="","",IF(AE138="","NOT REVIEWED",IF(TODAY()-AE138&gt;90,"OVERDUE",IF(TODAY()-AE138&gt;76,"Due Soon","Current"))))</f>
        <v/>
      </c>
    </row>
    <row r="139" ht="15" customHeight="1" s="39">
      <c r="A139" s="85" t="n"/>
      <c r="B139" s="85" t="n"/>
      <c r="C139" s="85" t="n"/>
      <c r="D139" s="85" t="n"/>
      <c r="E139" s="85" t="n"/>
      <c r="F139" s="86" t="n"/>
      <c r="G139" s="86" t="n"/>
      <c r="H139" s="85" t="n"/>
      <c r="I139" s="85" t="n"/>
      <c r="J139" s="85" t="n"/>
      <c r="K139" s="85" t="n"/>
      <c r="L139" s="85" t="n"/>
      <c r="M139" s="85" t="n"/>
      <c r="N139" s="85" t="n"/>
      <c r="O139" s="85" t="n"/>
      <c r="P139" s="85" t="n"/>
      <c r="Q139" s="85" t="n"/>
      <c r="R139" s="85" t="n"/>
      <c r="S139" s="85" t="n"/>
      <c r="T139" s="85" t="n"/>
      <c r="U139" s="85" t="n"/>
      <c r="V139" s="85" t="n"/>
      <c r="W139" s="85" t="n"/>
      <c r="X139" s="85" t="n"/>
      <c r="Y139" s="85" t="n"/>
      <c r="Z139" s="85" t="n"/>
      <c r="AA139" s="85" t="n"/>
      <c r="AB139" s="85" t="n"/>
      <c r="AC139" s="86" t="n"/>
      <c r="AD139" s="86" t="n"/>
      <c r="AE139" s="86" t="n"/>
      <c r="AF139" s="85" t="n"/>
      <c r="AG139" s="85" t="n"/>
      <c r="AH139" s="85">
        <f>IF($A139="","",IF(AND($E139="Yes",OR($V139="No",$V139="NOT FOUND")),"YES",""))</f>
        <v/>
      </c>
      <c r="AI139" s="85">
        <f>IF($A139="","",TRIM(IF(AND($M139=0,$I139&lt;&gt;"Yes"),"T0-NoPhishResistant ","")&amp;IF($H139="No","NoMFA ","")&amp;IF(AND($M139=0,$O139="Group only"),"T0-ViaGroupOnly ","")&amp;IF($N139="Yes","BroadAzureScope ","")&amp;IF($T139="Yes","AlsoEntraRole ","")))</f>
        <v/>
      </c>
      <c r="AJ139" s="85">
        <f>IF($A139="","",IF(AD139="","Not Enrolled",IF(TODAY()&gt;AD139,"Review Overdue",IF(AD139-TODAY()&lt;=30,"Review Due Soon","Active"))))</f>
        <v/>
      </c>
      <c r="AK139" s="85">
        <f>IF($A139="","",IF(AE139="","NOT REVIEWED",IF(TODAY()-AE139&gt;90,"OVERDUE",IF(TODAY()-AE139&gt;76,"Due Soon","Current"))))</f>
        <v/>
      </c>
    </row>
    <row r="140" ht="15" customHeight="1" s="39">
      <c r="A140" s="85" t="n"/>
      <c r="B140" s="85" t="n"/>
      <c r="C140" s="85" t="n"/>
      <c r="D140" s="85" t="n"/>
      <c r="E140" s="85" t="n"/>
      <c r="F140" s="86" t="n"/>
      <c r="G140" s="86" t="n"/>
      <c r="H140" s="85" t="n"/>
      <c r="I140" s="85" t="n"/>
      <c r="J140" s="85" t="n"/>
      <c r="K140" s="85" t="n"/>
      <c r="L140" s="85" t="n"/>
      <c r="M140" s="85" t="n"/>
      <c r="N140" s="85" t="n"/>
      <c r="O140" s="85" t="n"/>
      <c r="P140" s="85" t="n"/>
      <c r="Q140" s="85" t="n"/>
      <c r="R140" s="85" t="n"/>
      <c r="S140" s="85" t="n"/>
      <c r="T140" s="85" t="n"/>
      <c r="U140" s="85" t="n"/>
      <c r="V140" s="85" t="n"/>
      <c r="W140" s="85" t="n"/>
      <c r="X140" s="85" t="n"/>
      <c r="Y140" s="85" t="n"/>
      <c r="Z140" s="85" t="n"/>
      <c r="AA140" s="85" t="n"/>
      <c r="AB140" s="85" t="n"/>
      <c r="AC140" s="86" t="n"/>
      <c r="AD140" s="86" t="n"/>
      <c r="AE140" s="86" t="n"/>
      <c r="AF140" s="85" t="n"/>
      <c r="AG140" s="85" t="n"/>
      <c r="AH140" s="85">
        <f>IF($A140="","",IF(AND($E140="Yes",OR($V140="No",$V140="NOT FOUND")),"YES",""))</f>
        <v/>
      </c>
      <c r="AI140" s="85">
        <f>IF($A140="","",TRIM(IF(AND($M140=0,$I140&lt;&gt;"Yes"),"T0-NoPhishResistant ","")&amp;IF($H140="No","NoMFA ","")&amp;IF(AND($M140=0,$O140="Group only"),"T0-ViaGroupOnly ","")&amp;IF($N140="Yes","BroadAzureScope ","")&amp;IF($T140="Yes","AlsoEntraRole ","")))</f>
        <v/>
      </c>
      <c r="AJ140" s="85">
        <f>IF($A140="","",IF(AD140="","Not Enrolled",IF(TODAY()&gt;AD140,"Review Overdue",IF(AD140-TODAY()&lt;=30,"Review Due Soon","Active"))))</f>
        <v/>
      </c>
      <c r="AK140" s="85">
        <f>IF($A140="","",IF(AE140="","NOT REVIEWED",IF(TODAY()-AE140&gt;90,"OVERDUE",IF(TODAY()-AE140&gt;76,"Due Soon","Current"))))</f>
        <v/>
      </c>
    </row>
    <row r="141" ht="15" customHeight="1" s="39">
      <c r="A141" s="85" t="n"/>
      <c r="B141" s="85" t="n"/>
      <c r="C141" s="85" t="n"/>
      <c r="D141" s="85" t="n"/>
      <c r="E141" s="85" t="n"/>
      <c r="F141" s="86" t="n"/>
      <c r="G141" s="86" t="n"/>
      <c r="H141" s="85" t="n"/>
      <c r="I141" s="85" t="n"/>
      <c r="J141" s="85" t="n"/>
      <c r="K141" s="85" t="n"/>
      <c r="L141" s="85" t="n"/>
      <c r="M141" s="85" t="n"/>
      <c r="N141" s="85" t="n"/>
      <c r="O141" s="85" t="n"/>
      <c r="P141" s="85" t="n"/>
      <c r="Q141" s="85" t="n"/>
      <c r="R141" s="85" t="n"/>
      <c r="S141" s="85" t="n"/>
      <c r="T141" s="85" t="n"/>
      <c r="U141" s="85" t="n"/>
      <c r="V141" s="85" t="n"/>
      <c r="W141" s="85" t="n"/>
      <c r="X141" s="85" t="n"/>
      <c r="Y141" s="85" t="n"/>
      <c r="Z141" s="85" t="n"/>
      <c r="AA141" s="85" t="n"/>
      <c r="AB141" s="85" t="n"/>
      <c r="AC141" s="86" t="n"/>
      <c r="AD141" s="86" t="n"/>
      <c r="AE141" s="86" t="n"/>
      <c r="AF141" s="85" t="n"/>
      <c r="AG141" s="85" t="n"/>
      <c r="AH141" s="85">
        <f>IF($A141="","",IF(AND($E141="Yes",OR($V141="No",$V141="NOT FOUND")),"YES",""))</f>
        <v/>
      </c>
      <c r="AI141" s="85">
        <f>IF($A141="","",TRIM(IF(AND($M141=0,$I141&lt;&gt;"Yes"),"T0-NoPhishResistant ","")&amp;IF($H141="No","NoMFA ","")&amp;IF(AND($M141=0,$O141="Group only"),"T0-ViaGroupOnly ","")&amp;IF($N141="Yes","BroadAzureScope ","")&amp;IF($T141="Yes","AlsoEntraRole ","")))</f>
        <v/>
      </c>
      <c r="AJ141" s="85">
        <f>IF($A141="","",IF(AD141="","Not Enrolled",IF(TODAY()&gt;AD141,"Review Overdue",IF(AD141-TODAY()&lt;=30,"Review Due Soon","Active"))))</f>
        <v/>
      </c>
      <c r="AK141" s="85">
        <f>IF($A141="","",IF(AE141="","NOT REVIEWED",IF(TODAY()-AE141&gt;90,"OVERDUE",IF(TODAY()-AE141&gt;76,"Due Soon","Current"))))</f>
        <v/>
      </c>
    </row>
    <row r="142" ht="15" customHeight="1" s="39">
      <c r="A142" s="85" t="n"/>
      <c r="B142" s="85" t="n"/>
      <c r="C142" s="85" t="n"/>
      <c r="D142" s="85" t="n"/>
      <c r="E142" s="85" t="n"/>
      <c r="F142" s="86" t="n"/>
      <c r="G142" s="86" t="n"/>
      <c r="H142" s="85" t="n"/>
      <c r="I142" s="85" t="n"/>
      <c r="J142" s="85" t="n"/>
      <c r="K142" s="85" t="n"/>
      <c r="L142" s="85" t="n"/>
      <c r="M142" s="85" t="n"/>
      <c r="N142" s="85" t="n"/>
      <c r="O142" s="85" t="n"/>
      <c r="P142" s="85" t="n"/>
      <c r="Q142" s="85" t="n"/>
      <c r="R142" s="85" t="n"/>
      <c r="S142" s="85" t="n"/>
      <c r="T142" s="85" t="n"/>
      <c r="U142" s="85" t="n"/>
      <c r="V142" s="85" t="n"/>
      <c r="W142" s="85" t="n"/>
      <c r="X142" s="85" t="n"/>
      <c r="Y142" s="85" t="n"/>
      <c r="Z142" s="85" t="n"/>
      <c r="AA142" s="85" t="n"/>
      <c r="AB142" s="85" t="n"/>
      <c r="AC142" s="86" t="n"/>
      <c r="AD142" s="86" t="n"/>
      <c r="AE142" s="86" t="n"/>
      <c r="AF142" s="85" t="n"/>
      <c r="AG142" s="85" t="n"/>
      <c r="AH142" s="85">
        <f>IF($A142="","",IF(AND($E142="Yes",OR($V142="No",$V142="NOT FOUND")),"YES",""))</f>
        <v/>
      </c>
      <c r="AI142" s="85">
        <f>IF($A142="","",TRIM(IF(AND($M142=0,$I142&lt;&gt;"Yes"),"T0-NoPhishResistant ","")&amp;IF($H142="No","NoMFA ","")&amp;IF(AND($M142=0,$O142="Group only"),"T0-ViaGroupOnly ","")&amp;IF($N142="Yes","BroadAzureScope ","")&amp;IF($T142="Yes","AlsoEntraRole ","")))</f>
        <v/>
      </c>
      <c r="AJ142" s="85">
        <f>IF($A142="","",IF(AD142="","Not Enrolled",IF(TODAY()&gt;AD142,"Review Overdue",IF(AD142-TODAY()&lt;=30,"Review Due Soon","Active"))))</f>
        <v/>
      </c>
      <c r="AK142" s="85">
        <f>IF($A142="","",IF(AE142="","NOT REVIEWED",IF(TODAY()-AE142&gt;90,"OVERDUE",IF(TODAY()-AE142&gt;76,"Due Soon","Current"))))</f>
        <v/>
      </c>
    </row>
    <row r="143" ht="15" customHeight="1" s="39">
      <c r="A143" s="85" t="n"/>
      <c r="B143" s="85" t="n"/>
      <c r="C143" s="85" t="n"/>
      <c r="D143" s="85" t="n"/>
      <c r="E143" s="85" t="n"/>
      <c r="F143" s="86" t="n"/>
      <c r="G143" s="86" t="n"/>
      <c r="H143" s="85" t="n"/>
      <c r="I143" s="85" t="n"/>
      <c r="J143" s="85" t="n"/>
      <c r="K143" s="85" t="n"/>
      <c r="L143" s="85" t="n"/>
      <c r="M143" s="85" t="n"/>
      <c r="N143" s="85" t="n"/>
      <c r="O143" s="85" t="n"/>
      <c r="P143" s="85" t="n"/>
      <c r="Q143" s="85" t="n"/>
      <c r="R143" s="85" t="n"/>
      <c r="S143" s="85" t="n"/>
      <c r="T143" s="85" t="n"/>
      <c r="U143" s="85" t="n"/>
      <c r="V143" s="85" t="n"/>
      <c r="W143" s="85" t="n"/>
      <c r="X143" s="85" t="n"/>
      <c r="Y143" s="85" t="n"/>
      <c r="Z143" s="85" t="n"/>
      <c r="AA143" s="85" t="n"/>
      <c r="AB143" s="85" t="n"/>
      <c r="AC143" s="86" t="n"/>
      <c r="AD143" s="86" t="n"/>
      <c r="AE143" s="86" t="n"/>
      <c r="AF143" s="85" t="n"/>
      <c r="AG143" s="85" t="n"/>
      <c r="AH143" s="85">
        <f>IF($A143="","",IF(AND($E143="Yes",OR($V143="No",$V143="NOT FOUND")),"YES",""))</f>
        <v/>
      </c>
      <c r="AI143" s="85">
        <f>IF($A143="","",TRIM(IF(AND($M143=0,$I143&lt;&gt;"Yes"),"T0-NoPhishResistant ","")&amp;IF($H143="No","NoMFA ","")&amp;IF(AND($M143=0,$O143="Group only"),"T0-ViaGroupOnly ","")&amp;IF($N143="Yes","BroadAzureScope ","")&amp;IF($T143="Yes","AlsoEntraRole ","")))</f>
        <v/>
      </c>
      <c r="AJ143" s="85">
        <f>IF($A143="","",IF(AD143="","Not Enrolled",IF(TODAY()&gt;AD143,"Review Overdue",IF(AD143-TODAY()&lt;=30,"Review Due Soon","Active"))))</f>
        <v/>
      </c>
      <c r="AK143" s="85">
        <f>IF($A143="","",IF(AE143="","NOT REVIEWED",IF(TODAY()-AE143&gt;90,"OVERDUE",IF(TODAY()-AE143&gt;76,"Due Soon","Current"))))</f>
        <v/>
      </c>
    </row>
    <row r="144" ht="15" customHeight="1" s="39">
      <c r="A144" s="85" t="n"/>
      <c r="B144" s="85" t="n"/>
      <c r="C144" s="85" t="n"/>
      <c r="D144" s="85" t="n"/>
      <c r="E144" s="85" t="n"/>
      <c r="F144" s="86" t="n"/>
      <c r="G144" s="86" t="n"/>
      <c r="H144" s="85" t="n"/>
      <c r="I144" s="85" t="n"/>
      <c r="J144" s="85" t="n"/>
      <c r="K144" s="85" t="n"/>
      <c r="L144" s="85" t="n"/>
      <c r="M144" s="85" t="n"/>
      <c r="N144" s="85" t="n"/>
      <c r="O144" s="85" t="n"/>
      <c r="P144" s="85" t="n"/>
      <c r="Q144" s="85" t="n"/>
      <c r="R144" s="85" t="n"/>
      <c r="S144" s="85" t="n"/>
      <c r="T144" s="85" t="n"/>
      <c r="U144" s="85" t="n"/>
      <c r="V144" s="85" t="n"/>
      <c r="W144" s="85" t="n"/>
      <c r="X144" s="85" t="n"/>
      <c r="Y144" s="85" t="n"/>
      <c r="Z144" s="85" t="n"/>
      <c r="AA144" s="85" t="n"/>
      <c r="AB144" s="85" t="n"/>
      <c r="AC144" s="86" t="n"/>
      <c r="AD144" s="86" t="n"/>
      <c r="AE144" s="86" t="n"/>
      <c r="AF144" s="85" t="n"/>
      <c r="AG144" s="85" t="n"/>
      <c r="AH144" s="85">
        <f>IF($A144="","",IF(AND($E144="Yes",OR($V144="No",$V144="NOT FOUND")),"YES",""))</f>
        <v/>
      </c>
      <c r="AI144" s="85">
        <f>IF($A144="","",TRIM(IF(AND($M144=0,$I144&lt;&gt;"Yes"),"T0-NoPhishResistant ","")&amp;IF($H144="No","NoMFA ","")&amp;IF(AND($M144=0,$O144="Group only"),"T0-ViaGroupOnly ","")&amp;IF($N144="Yes","BroadAzureScope ","")&amp;IF($T144="Yes","AlsoEntraRole ","")))</f>
        <v/>
      </c>
      <c r="AJ144" s="85">
        <f>IF($A144="","",IF(AD144="","Not Enrolled",IF(TODAY()&gt;AD144,"Review Overdue",IF(AD144-TODAY()&lt;=30,"Review Due Soon","Active"))))</f>
        <v/>
      </c>
      <c r="AK144" s="85">
        <f>IF($A144="","",IF(AE144="","NOT REVIEWED",IF(TODAY()-AE144&gt;90,"OVERDUE",IF(TODAY()-AE144&gt;76,"Due Soon","Current"))))</f>
        <v/>
      </c>
    </row>
    <row r="145" ht="15" customHeight="1" s="39">
      <c r="A145" s="85" t="n"/>
      <c r="B145" s="85" t="n"/>
      <c r="C145" s="85" t="n"/>
      <c r="D145" s="85" t="n"/>
      <c r="E145" s="85" t="n"/>
      <c r="F145" s="86" t="n"/>
      <c r="G145" s="86" t="n"/>
      <c r="H145" s="85" t="n"/>
      <c r="I145" s="85" t="n"/>
      <c r="J145" s="85" t="n"/>
      <c r="K145" s="85" t="n"/>
      <c r="L145" s="85" t="n"/>
      <c r="M145" s="85" t="n"/>
      <c r="N145" s="85" t="n"/>
      <c r="O145" s="85" t="n"/>
      <c r="P145" s="85" t="n"/>
      <c r="Q145" s="85" t="n"/>
      <c r="R145" s="85" t="n"/>
      <c r="S145" s="85" t="n"/>
      <c r="T145" s="85" t="n"/>
      <c r="U145" s="85" t="n"/>
      <c r="V145" s="85" t="n"/>
      <c r="W145" s="85" t="n"/>
      <c r="X145" s="85" t="n"/>
      <c r="Y145" s="85" t="n"/>
      <c r="Z145" s="85" t="n"/>
      <c r="AA145" s="85" t="n"/>
      <c r="AB145" s="85" t="n"/>
      <c r="AC145" s="86" t="n"/>
      <c r="AD145" s="86" t="n"/>
      <c r="AE145" s="86" t="n"/>
      <c r="AF145" s="85" t="n"/>
      <c r="AG145" s="85" t="n"/>
      <c r="AH145" s="85">
        <f>IF($A145="","",IF(AND($E145="Yes",OR($V145="No",$V145="NOT FOUND")),"YES",""))</f>
        <v/>
      </c>
      <c r="AI145" s="85">
        <f>IF($A145="","",TRIM(IF(AND($M145=0,$I145&lt;&gt;"Yes"),"T0-NoPhishResistant ","")&amp;IF($H145="No","NoMFA ","")&amp;IF(AND($M145=0,$O145="Group only"),"T0-ViaGroupOnly ","")&amp;IF($N145="Yes","BroadAzureScope ","")&amp;IF($T145="Yes","AlsoEntraRole ","")))</f>
        <v/>
      </c>
      <c r="AJ145" s="85">
        <f>IF($A145="","",IF(AD145="","Not Enrolled",IF(TODAY()&gt;AD145,"Review Overdue",IF(AD145-TODAY()&lt;=30,"Review Due Soon","Active"))))</f>
        <v/>
      </c>
      <c r="AK145" s="85">
        <f>IF($A145="","",IF(AE145="","NOT REVIEWED",IF(TODAY()-AE145&gt;90,"OVERDUE",IF(TODAY()-AE145&gt;76,"Due Soon","Current"))))</f>
        <v/>
      </c>
    </row>
    <row r="146" ht="15" customHeight="1" s="39">
      <c r="A146" s="85" t="n"/>
      <c r="B146" s="85" t="n"/>
      <c r="C146" s="85" t="n"/>
      <c r="D146" s="85" t="n"/>
      <c r="E146" s="85" t="n"/>
      <c r="F146" s="86" t="n"/>
      <c r="G146" s="86" t="n"/>
      <c r="H146" s="85" t="n"/>
      <c r="I146" s="85" t="n"/>
      <c r="J146" s="85" t="n"/>
      <c r="K146" s="85" t="n"/>
      <c r="L146" s="85" t="n"/>
      <c r="M146" s="85" t="n"/>
      <c r="N146" s="85" t="n"/>
      <c r="O146" s="85" t="n"/>
      <c r="P146" s="85" t="n"/>
      <c r="Q146" s="85" t="n"/>
      <c r="R146" s="85" t="n"/>
      <c r="S146" s="85" t="n"/>
      <c r="T146" s="85" t="n"/>
      <c r="U146" s="85" t="n"/>
      <c r="V146" s="85" t="n"/>
      <c r="W146" s="85" t="n"/>
      <c r="X146" s="85" t="n"/>
      <c r="Y146" s="85" t="n"/>
      <c r="Z146" s="85" t="n"/>
      <c r="AA146" s="85" t="n"/>
      <c r="AB146" s="85" t="n"/>
      <c r="AC146" s="86" t="n"/>
      <c r="AD146" s="86" t="n"/>
      <c r="AE146" s="86" t="n"/>
      <c r="AF146" s="85" t="n"/>
      <c r="AG146" s="85" t="n"/>
      <c r="AH146" s="85">
        <f>IF($A146="","",IF(AND($E146="Yes",OR($V146="No",$V146="NOT FOUND")),"YES",""))</f>
        <v/>
      </c>
      <c r="AI146" s="85">
        <f>IF($A146="","",TRIM(IF(AND($M146=0,$I146&lt;&gt;"Yes"),"T0-NoPhishResistant ","")&amp;IF($H146="No","NoMFA ","")&amp;IF(AND($M146=0,$O146="Group only"),"T0-ViaGroupOnly ","")&amp;IF($N146="Yes","BroadAzureScope ","")&amp;IF($T146="Yes","AlsoEntraRole ","")))</f>
        <v/>
      </c>
      <c r="AJ146" s="85">
        <f>IF($A146="","",IF(AD146="","Not Enrolled",IF(TODAY()&gt;AD146,"Review Overdue",IF(AD146-TODAY()&lt;=30,"Review Due Soon","Active"))))</f>
        <v/>
      </c>
      <c r="AK146" s="85">
        <f>IF($A146="","",IF(AE146="","NOT REVIEWED",IF(TODAY()-AE146&gt;90,"OVERDUE",IF(TODAY()-AE146&gt;76,"Due Soon","Current"))))</f>
        <v/>
      </c>
    </row>
    <row r="147" ht="15" customHeight="1" s="39">
      <c r="A147" s="85" t="n"/>
      <c r="B147" s="85" t="n"/>
      <c r="C147" s="85" t="n"/>
      <c r="D147" s="85" t="n"/>
      <c r="E147" s="85" t="n"/>
      <c r="F147" s="86" t="n"/>
      <c r="G147" s="86" t="n"/>
      <c r="H147" s="85" t="n"/>
      <c r="I147" s="85" t="n"/>
      <c r="J147" s="85" t="n"/>
      <c r="K147" s="85" t="n"/>
      <c r="L147" s="85" t="n"/>
      <c r="M147" s="85" t="n"/>
      <c r="N147" s="85" t="n"/>
      <c r="O147" s="85" t="n"/>
      <c r="P147" s="85" t="n"/>
      <c r="Q147" s="85" t="n"/>
      <c r="R147" s="85" t="n"/>
      <c r="S147" s="85" t="n"/>
      <c r="T147" s="85" t="n"/>
      <c r="U147" s="85" t="n"/>
      <c r="V147" s="85" t="n"/>
      <c r="W147" s="85" t="n"/>
      <c r="X147" s="85" t="n"/>
      <c r="Y147" s="85" t="n"/>
      <c r="Z147" s="85" t="n"/>
      <c r="AA147" s="85" t="n"/>
      <c r="AB147" s="85" t="n"/>
      <c r="AC147" s="86" t="n"/>
      <c r="AD147" s="86" t="n"/>
      <c r="AE147" s="86" t="n"/>
      <c r="AF147" s="85" t="n"/>
      <c r="AG147" s="85" t="n"/>
      <c r="AH147" s="85">
        <f>IF($A147="","",IF(AND($E147="Yes",OR($V147="No",$V147="NOT FOUND")),"YES",""))</f>
        <v/>
      </c>
      <c r="AI147" s="85">
        <f>IF($A147="","",TRIM(IF(AND($M147=0,$I147&lt;&gt;"Yes"),"T0-NoPhishResistant ","")&amp;IF($H147="No","NoMFA ","")&amp;IF(AND($M147=0,$O147="Group only"),"T0-ViaGroupOnly ","")&amp;IF($N147="Yes","BroadAzureScope ","")&amp;IF($T147="Yes","AlsoEntraRole ","")))</f>
        <v/>
      </c>
      <c r="AJ147" s="85">
        <f>IF($A147="","",IF(AD147="","Not Enrolled",IF(TODAY()&gt;AD147,"Review Overdue",IF(AD147-TODAY()&lt;=30,"Review Due Soon","Active"))))</f>
        <v/>
      </c>
      <c r="AK147" s="85">
        <f>IF($A147="","",IF(AE147="","NOT REVIEWED",IF(TODAY()-AE147&gt;90,"OVERDUE",IF(TODAY()-AE147&gt;76,"Due Soon","Current"))))</f>
        <v/>
      </c>
    </row>
    <row r="148" ht="15" customHeight="1" s="39">
      <c r="A148" s="85" t="n"/>
      <c r="B148" s="85" t="n"/>
      <c r="C148" s="85" t="n"/>
      <c r="D148" s="85" t="n"/>
      <c r="E148" s="85" t="n"/>
      <c r="F148" s="86" t="n"/>
      <c r="G148" s="86" t="n"/>
      <c r="H148" s="85" t="n"/>
      <c r="I148" s="85" t="n"/>
      <c r="J148" s="85" t="n"/>
      <c r="K148" s="85" t="n"/>
      <c r="L148" s="85" t="n"/>
      <c r="M148" s="85" t="n"/>
      <c r="N148" s="85" t="n"/>
      <c r="O148" s="85" t="n"/>
      <c r="P148" s="85" t="n"/>
      <c r="Q148" s="85" t="n"/>
      <c r="R148" s="85" t="n"/>
      <c r="S148" s="85" t="n"/>
      <c r="T148" s="85" t="n"/>
      <c r="U148" s="85" t="n"/>
      <c r="V148" s="85" t="n"/>
      <c r="W148" s="85" t="n"/>
      <c r="X148" s="85" t="n"/>
      <c r="Y148" s="85" t="n"/>
      <c r="Z148" s="85" t="n"/>
      <c r="AA148" s="85" t="n"/>
      <c r="AB148" s="85" t="n"/>
      <c r="AC148" s="86" t="n"/>
      <c r="AD148" s="86" t="n"/>
      <c r="AE148" s="86" t="n"/>
      <c r="AF148" s="85" t="n"/>
      <c r="AG148" s="85" t="n"/>
      <c r="AH148" s="85">
        <f>IF($A148="","",IF(AND($E148="Yes",OR($V148="No",$V148="NOT FOUND")),"YES",""))</f>
        <v/>
      </c>
      <c r="AI148" s="85">
        <f>IF($A148="","",TRIM(IF(AND($M148=0,$I148&lt;&gt;"Yes"),"T0-NoPhishResistant ","")&amp;IF($H148="No","NoMFA ","")&amp;IF(AND($M148=0,$O148="Group only"),"T0-ViaGroupOnly ","")&amp;IF($N148="Yes","BroadAzureScope ","")&amp;IF($T148="Yes","AlsoEntraRole ","")))</f>
        <v/>
      </c>
      <c r="AJ148" s="85">
        <f>IF($A148="","",IF(AD148="","Not Enrolled",IF(TODAY()&gt;AD148,"Review Overdue",IF(AD148-TODAY()&lt;=30,"Review Due Soon","Active"))))</f>
        <v/>
      </c>
      <c r="AK148" s="85">
        <f>IF($A148="","",IF(AE148="","NOT REVIEWED",IF(TODAY()-AE148&gt;90,"OVERDUE",IF(TODAY()-AE148&gt;76,"Due Soon","Current"))))</f>
        <v/>
      </c>
    </row>
    <row r="149" ht="15" customHeight="1" s="39">
      <c r="A149" s="85" t="n"/>
      <c r="B149" s="85" t="n"/>
      <c r="C149" s="85" t="n"/>
      <c r="D149" s="85" t="n"/>
      <c r="E149" s="85" t="n"/>
      <c r="F149" s="86" t="n"/>
      <c r="G149" s="86" t="n"/>
      <c r="H149" s="85" t="n"/>
      <c r="I149" s="85" t="n"/>
      <c r="J149" s="85" t="n"/>
      <c r="K149" s="85" t="n"/>
      <c r="L149" s="85" t="n"/>
      <c r="M149" s="85" t="n"/>
      <c r="N149" s="85" t="n"/>
      <c r="O149" s="85" t="n"/>
      <c r="P149" s="85" t="n"/>
      <c r="Q149" s="85" t="n"/>
      <c r="R149" s="85" t="n"/>
      <c r="S149" s="85" t="n"/>
      <c r="T149" s="85" t="n"/>
      <c r="U149" s="85" t="n"/>
      <c r="V149" s="85" t="n"/>
      <c r="W149" s="85" t="n"/>
      <c r="X149" s="85" t="n"/>
      <c r="Y149" s="85" t="n"/>
      <c r="Z149" s="85" t="n"/>
      <c r="AA149" s="85" t="n"/>
      <c r="AB149" s="85" t="n"/>
      <c r="AC149" s="86" t="n"/>
      <c r="AD149" s="86" t="n"/>
      <c r="AE149" s="86" t="n"/>
      <c r="AF149" s="85" t="n"/>
      <c r="AG149" s="85" t="n"/>
      <c r="AH149" s="85">
        <f>IF($A149="","",IF(AND($E149="Yes",OR($V149="No",$V149="NOT FOUND")),"YES",""))</f>
        <v/>
      </c>
      <c r="AI149" s="85">
        <f>IF($A149="","",TRIM(IF(AND($M149=0,$I149&lt;&gt;"Yes"),"T0-NoPhishResistant ","")&amp;IF($H149="No","NoMFA ","")&amp;IF(AND($M149=0,$O149="Group only"),"T0-ViaGroupOnly ","")&amp;IF($N149="Yes","BroadAzureScope ","")&amp;IF($T149="Yes","AlsoEntraRole ","")))</f>
        <v/>
      </c>
      <c r="AJ149" s="85">
        <f>IF($A149="","",IF(AD149="","Not Enrolled",IF(TODAY()&gt;AD149,"Review Overdue",IF(AD149-TODAY()&lt;=30,"Review Due Soon","Active"))))</f>
        <v/>
      </c>
      <c r="AK149" s="85">
        <f>IF($A149="","",IF(AE149="","NOT REVIEWED",IF(TODAY()-AE149&gt;90,"OVERDUE",IF(TODAY()-AE149&gt;76,"Due Soon","Current"))))</f>
        <v/>
      </c>
    </row>
    <row r="150" ht="15" customHeight="1" s="39">
      <c r="A150" s="85" t="n"/>
      <c r="B150" s="85" t="n"/>
      <c r="C150" s="85" t="n"/>
      <c r="D150" s="85" t="n"/>
      <c r="E150" s="85" t="n"/>
      <c r="F150" s="86" t="n"/>
      <c r="G150" s="86" t="n"/>
      <c r="H150" s="85" t="n"/>
      <c r="I150" s="85" t="n"/>
      <c r="J150" s="85" t="n"/>
      <c r="K150" s="85" t="n"/>
      <c r="L150" s="85" t="n"/>
      <c r="M150" s="85" t="n"/>
      <c r="N150" s="85" t="n"/>
      <c r="O150" s="85" t="n"/>
      <c r="P150" s="85" t="n"/>
      <c r="Q150" s="85" t="n"/>
      <c r="R150" s="85" t="n"/>
      <c r="S150" s="85" t="n"/>
      <c r="T150" s="85" t="n"/>
      <c r="U150" s="85" t="n"/>
      <c r="V150" s="85" t="n"/>
      <c r="W150" s="85" t="n"/>
      <c r="X150" s="85" t="n"/>
      <c r="Y150" s="85" t="n"/>
      <c r="Z150" s="85" t="n"/>
      <c r="AA150" s="85" t="n"/>
      <c r="AB150" s="85" t="n"/>
      <c r="AC150" s="86" t="n"/>
      <c r="AD150" s="86" t="n"/>
      <c r="AE150" s="86" t="n"/>
      <c r="AF150" s="85" t="n"/>
      <c r="AG150" s="85" t="n"/>
      <c r="AH150" s="85">
        <f>IF($A150="","",IF(AND($E150="Yes",OR($V150="No",$V150="NOT FOUND")),"YES",""))</f>
        <v/>
      </c>
      <c r="AI150" s="85">
        <f>IF($A150="","",TRIM(IF(AND($M150=0,$I150&lt;&gt;"Yes"),"T0-NoPhishResistant ","")&amp;IF($H150="No","NoMFA ","")&amp;IF(AND($M150=0,$O150="Group only"),"T0-ViaGroupOnly ","")&amp;IF($N150="Yes","BroadAzureScope ","")&amp;IF($T150="Yes","AlsoEntraRole ","")))</f>
        <v/>
      </c>
      <c r="AJ150" s="85">
        <f>IF($A150="","",IF(AD150="","Not Enrolled",IF(TODAY()&gt;AD150,"Review Overdue",IF(AD150-TODAY()&lt;=30,"Review Due Soon","Active"))))</f>
        <v/>
      </c>
      <c r="AK150" s="85">
        <f>IF($A150="","",IF(AE150="","NOT REVIEWED",IF(TODAY()-AE150&gt;90,"OVERDUE",IF(TODAY()-AE150&gt;76,"Due Soon","Current"))))</f>
        <v/>
      </c>
    </row>
    <row r="151" ht="15" customHeight="1" s="39">
      <c r="A151" s="85" t="n"/>
      <c r="B151" s="85" t="n"/>
      <c r="C151" s="85" t="n"/>
      <c r="D151" s="85" t="n"/>
      <c r="E151" s="85" t="n"/>
      <c r="F151" s="86" t="n"/>
      <c r="G151" s="86" t="n"/>
      <c r="H151" s="85" t="n"/>
      <c r="I151" s="85" t="n"/>
      <c r="J151" s="85" t="n"/>
      <c r="K151" s="85" t="n"/>
      <c r="L151" s="85" t="n"/>
      <c r="M151" s="85" t="n"/>
      <c r="N151" s="85" t="n"/>
      <c r="O151" s="85" t="n"/>
      <c r="P151" s="85" t="n"/>
      <c r="Q151" s="85" t="n"/>
      <c r="R151" s="85" t="n"/>
      <c r="S151" s="85" t="n"/>
      <c r="T151" s="85" t="n"/>
      <c r="U151" s="85" t="n"/>
      <c r="V151" s="85" t="n"/>
      <c r="W151" s="85" t="n"/>
      <c r="X151" s="85" t="n"/>
      <c r="Y151" s="85" t="n"/>
      <c r="Z151" s="85" t="n"/>
      <c r="AA151" s="85" t="n"/>
      <c r="AB151" s="85" t="n"/>
      <c r="AC151" s="86" t="n"/>
      <c r="AD151" s="86" t="n"/>
      <c r="AE151" s="86" t="n"/>
      <c r="AF151" s="85" t="n"/>
      <c r="AG151" s="85" t="n"/>
      <c r="AH151" s="85">
        <f>IF($A151="","",IF(AND($E151="Yes",OR($V151="No",$V151="NOT FOUND")),"YES",""))</f>
        <v/>
      </c>
      <c r="AI151" s="85">
        <f>IF($A151="","",TRIM(IF(AND($M151=0,$I151&lt;&gt;"Yes"),"T0-NoPhishResistant ","")&amp;IF($H151="No","NoMFA ","")&amp;IF(AND($M151=0,$O151="Group only"),"T0-ViaGroupOnly ","")&amp;IF($N151="Yes","BroadAzureScope ","")&amp;IF($T151="Yes","AlsoEntraRole ","")))</f>
        <v/>
      </c>
      <c r="AJ151" s="85">
        <f>IF($A151="","",IF(AD151="","Not Enrolled",IF(TODAY()&gt;AD151,"Review Overdue",IF(AD151-TODAY()&lt;=30,"Review Due Soon","Active"))))</f>
        <v/>
      </c>
      <c r="AK151" s="85">
        <f>IF($A151="","",IF(AE151="","NOT REVIEWED",IF(TODAY()-AE151&gt;90,"OVERDUE",IF(TODAY()-AE151&gt;76,"Due Soon","Current"))))</f>
        <v/>
      </c>
    </row>
    <row r="152" ht="15" customHeight="1" s="39">
      <c r="A152" s="85" t="n"/>
      <c r="B152" s="85" t="n"/>
      <c r="C152" s="85" t="n"/>
      <c r="D152" s="85" t="n"/>
      <c r="E152" s="85" t="n"/>
      <c r="F152" s="86" t="n"/>
      <c r="G152" s="86" t="n"/>
      <c r="H152" s="85" t="n"/>
      <c r="I152" s="85" t="n"/>
      <c r="J152" s="85" t="n"/>
      <c r="K152" s="85" t="n"/>
      <c r="L152" s="85" t="n"/>
      <c r="M152" s="85" t="n"/>
      <c r="N152" s="85" t="n"/>
      <c r="O152" s="85" t="n"/>
      <c r="P152" s="85" t="n"/>
      <c r="Q152" s="85" t="n"/>
      <c r="R152" s="85" t="n"/>
      <c r="S152" s="85" t="n"/>
      <c r="T152" s="85" t="n"/>
      <c r="U152" s="85" t="n"/>
      <c r="V152" s="85" t="n"/>
      <c r="W152" s="85" t="n"/>
      <c r="X152" s="85" t="n"/>
      <c r="Y152" s="85" t="n"/>
      <c r="Z152" s="85" t="n"/>
      <c r="AA152" s="85" t="n"/>
      <c r="AB152" s="85" t="n"/>
      <c r="AC152" s="86" t="n"/>
      <c r="AD152" s="86" t="n"/>
      <c r="AE152" s="86" t="n"/>
      <c r="AF152" s="85" t="n"/>
      <c r="AG152" s="85" t="n"/>
      <c r="AH152" s="85">
        <f>IF($A152="","",IF(AND($E152="Yes",OR($V152="No",$V152="NOT FOUND")),"YES",""))</f>
        <v/>
      </c>
      <c r="AI152" s="85">
        <f>IF($A152="","",TRIM(IF(AND($M152=0,$I152&lt;&gt;"Yes"),"T0-NoPhishResistant ","")&amp;IF($H152="No","NoMFA ","")&amp;IF(AND($M152=0,$O152="Group only"),"T0-ViaGroupOnly ","")&amp;IF($N152="Yes","BroadAzureScope ","")&amp;IF($T152="Yes","AlsoEntraRole ","")))</f>
        <v/>
      </c>
      <c r="AJ152" s="85">
        <f>IF($A152="","",IF(AD152="","Not Enrolled",IF(TODAY()&gt;AD152,"Review Overdue",IF(AD152-TODAY()&lt;=30,"Review Due Soon","Active"))))</f>
        <v/>
      </c>
      <c r="AK152" s="85">
        <f>IF($A152="","",IF(AE152="","NOT REVIEWED",IF(TODAY()-AE152&gt;90,"OVERDUE",IF(TODAY()-AE152&gt;76,"Due Soon","Current"))))</f>
        <v/>
      </c>
    </row>
    <row r="153" ht="15" customHeight="1" s="39">
      <c r="A153" s="85" t="n"/>
      <c r="B153" s="85" t="n"/>
      <c r="C153" s="85" t="n"/>
      <c r="D153" s="85" t="n"/>
      <c r="E153" s="85" t="n"/>
      <c r="F153" s="86" t="n"/>
      <c r="G153" s="86" t="n"/>
      <c r="H153" s="85" t="n"/>
      <c r="I153" s="85" t="n"/>
      <c r="J153" s="85" t="n"/>
      <c r="K153" s="85" t="n"/>
      <c r="L153" s="85" t="n"/>
      <c r="M153" s="85" t="n"/>
      <c r="N153" s="85" t="n"/>
      <c r="O153" s="85" t="n"/>
      <c r="P153" s="85" t="n"/>
      <c r="Q153" s="85" t="n"/>
      <c r="R153" s="85" t="n"/>
      <c r="S153" s="85" t="n"/>
      <c r="T153" s="85" t="n"/>
      <c r="U153" s="85" t="n"/>
      <c r="V153" s="85" t="n"/>
      <c r="W153" s="85" t="n"/>
      <c r="X153" s="85" t="n"/>
      <c r="Y153" s="85" t="n"/>
      <c r="Z153" s="85" t="n"/>
      <c r="AA153" s="85" t="n"/>
      <c r="AB153" s="85" t="n"/>
      <c r="AC153" s="86" t="n"/>
      <c r="AD153" s="86" t="n"/>
      <c r="AE153" s="86" t="n"/>
      <c r="AF153" s="85" t="n"/>
      <c r="AG153" s="85" t="n"/>
      <c r="AH153" s="85">
        <f>IF($A153="","",IF(AND($E153="Yes",OR($V153="No",$V153="NOT FOUND")),"YES",""))</f>
        <v/>
      </c>
      <c r="AI153" s="85">
        <f>IF($A153="","",TRIM(IF(AND($M153=0,$I153&lt;&gt;"Yes"),"T0-NoPhishResistant ","")&amp;IF($H153="No","NoMFA ","")&amp;IF(AND($M153=0,$O153="Group only"),"T0-ViaGroupOnly ","")&amp;IF($N153="Yes","BroadAzureScope ","")&amp;IF($T153="Yes","AlsoEntraRole ","")))</f>
        <v/>
      </c>
      <c r="AJ153" s="85">
        <f>IF($A153="","",IF(AD153="","Not Enrolled",IF(TODAY()&gt;AD153,"Review Overdue",IF(AD153-TODAY()&lt;=30,"Review Due Soon","Active"))))</f>
        <v/>
      </c>
      <c r="AK153" s="85">
        <f>IF($A153="","",IF(AE153="","NOT REVIEWED",IF(TODAY()-AE153&gt;90,"OVERDUE",IF(TODAY()-AE153&gt;76,"Due Soon","Current"))))</f>
        <v/>
      </c>
    </row>
    <row r="154" ht="15" customHeight="1" s="39">
      <c r="A154" s="85" t="n"/>
      <c r="B154" s="85" t="n"/>
      <c r="C154" s="85" t="n"/>
      <c r="D154" s="85" t="n"/>
      <c r="E154" s="85" t="n"/>
      <c r="F154" s="86" t="n"/>
      <c r="G154" s="86" t="n"/>
      <c r="H154" s="85" t="n"/>
      <c r="I154" s="85" t="n"/>
      <c r="J154" s="85" t="n"/>
      <c r="K154" s="85" t="n"/>
      <c r="L154" s="85" t="n"/>
      <c r="M154" s="85" t="n"/>
      <c r="N154" s="85" t="n"/>
      <c r="O154" s="85" t="n"/>
      <c r="P154" s="85" t="n"/>
      <c r="Q154" s="85" t="n"/>
      <c r="R154" s="85" t="n"/>
      <c r="S154" s="85" t="n"/>
      <c r="T154" s="85" t="n"/>
      <c r="U154" s="85" t="n"/>
      <c r="V154" s="85" t="n"/>
      <c r="W154" s="85" t="n"/>
      <c r="X154" s="85" t="n"/>
      <c r="Y154" s="85" t="n"/>
      <c r="Z154" s="85" t="n"/>
      <c r="AA154" s="85" t="n"/>
      <c r="AB154" s="85" t="n"/>
      <c r="AC154" s="86" t="n"/>
      <c r="AD154" s="86" t="n"/>
      <c r="AE154" s="86" t="n"/>
      <c r="AF154" s="85" t="n"/>
      <c r="AG154" s="85" t="n"/>
      <c r="AH154" s="85">
        <f>IF($A154="","",IF(AND($E154="Yes",OR($V154="No",$V154="NOT FOUND")),"YES",""))</f>
        <v/>
      </c>
      <c r="AI154" s="85">
        <f>IF($A154="","",TRIM(IF(AND($M154=0,$I154&lt;&gt;"Yes"),"T0-NoPhishResistant ","")&amp;IF($H154="No","NoMFA ","")&amp;IF(AND($M154=0,$O154="Group only"),"T0-ViaGroupOnly ","")&amp;IF($N154="Yes","BroadAzureScope ","")&amp;IF($T154="Yes","AlsoEntraRole ","")))</f>
        <v/>
      </c>
      <c r="AJ154" s="85">
        <f>IF($A154="","",IF(AD154="","Not Enrolled",IF(TODAY()&gt;AD154,"Review Overdue",IF(AD154-TODAY()&lt;=30,"Review Due Soon","Active"))))</f>
        <v/>
      </c>
      <c r="AK154" s="85">
        <f>IF($A154="","",IF(AE154="","NOT REVIEWED",IF(TODAY()-AE154&gt;90,"OVERDUE",IF(TODAY()-AE154&gt;76,"Due Soon","Current"))))</f>
        <v/>
      </c>
    </row>
    <row r="155" ht="15" customHeight="1" s="39">
      <c r="A155" s="85" t="n"/>
      <c r="B155" s="85" t="n"/>
      <c r="C155" s="85" t="n"/>
      <c r="D155" s="85" t="n"/>
      <c r="E155" s="85" t="n"/>
      <c r="F155" s="86" t="n"/>
      <c r="G155" s="86" t="n"/>
      <c r="H155" s="85" t="n"/>
      <c r="I155" s="85" t="n"/>
      <c r="J155" s="85" t="n"/>
      <c r="K155" s="85" t="n"/>
      <c r="L155" s="85" t="n"/>
      <c r="M155" s="85" t="n"/>
      <c r="N155" s="85" t="n"/>
      <c r="O155" s="85" t="n"/>
      <c r="P155" s="85" t="n"/>
      <c r="Q155" s="85" t="n"/>
      <c r="R155" s="85" t="n"/>
      <c r="S155" s="85" t="n"/>
      <c r="T155" s="85" t="n"/>
      <c r="U155" s="85" t="n"/>
      <c r="V155" s="85" t="n"/>
      <c r="W155" s="85" t="n"/>
      <c r="X155" s="85" t="n"/>
      <c r="Y155" s="85" t="n"/>
      <c r="Z155" s="85" t="n"/>
      <c r="AA155" s="85" t="n"/>
      <c r="AB155" s="85" t="n"/>
      <c r="AC155" s="86" t="n"/>
      <c r="AD155" s="86" t="n"/>
      <c r="AE155" s="86" t="n"/>
      <c r="AF155" s="85" t="n"/>
      <c r="AG155" s="85" t="n"/>
      <c r="AH155" s="85">
        <f>IF($A155="","",IF(AND($E155="Yes",OR($V155="No",$V155="NOT FOUND")),"YES",""))</f>
        <v/>
      </c>
      <c r="AI155" s="85">
        <f>IF($A155="","",TRIM(IF(AND($M155=0,$I155&lt;&gt;"Yes"),"T0-NoPhishResistant ","")&amp;IF($H155="No","NoMFA ","")&amp;IF(AND($M155=0,$O155="Group only"),"T0-ViaGroupOnly ","")&amp;IF($N155="Yes","BroadAzureScope ","")&amp;IF($T155="Yes","AlsoEntraRole ","")))</f>
        <v/>
      </c>
      <c r="AJ155" s="85">
        <f>IF($A155="","",IF(AD155="","Not Enrolled",IF(TODAY()&gt;AD155,"Review Overdue",IF(AD155-TODAY()&lt;=30,"Review Due Soon","Active"))))</f>
        <v/>
      </c>
      <c r="AK155" s="85">
        <f>IF($A155="","",IF(AE155="","NOT REVIEWED",IF(TODAY()-AE155&gt;90,"OVERDUE",IF(TODAY()-AE155&gt;76,"Due Soon","Current"))))</f>
        <v/>
      </c>
    </row>
    <row r="156" ht="15" customHeight="1" s="39">
      <c r="A156" s="85" t="n"/>
      <c r="B156" s="85" t="n"/>
      <c r="C156" s="85" t="n"/>
      <c r="D156" s="85" t="n"/>
      <c r="E156" s="85" t="n"/>
      <c r="F156" s="86" t="n"/>
      <c r="G156" s="86" t="n"/>
      <c r="H156" s="85" t="n"/>
      <c r="I156" s="85" t="n"/>
      <c r="J156" s="85" t="n"/>
      <c r="K156" s="85" t="n"/>
      <c r="L156" s="85" t="n"/>
      <c r="M156" s="85" t="n"/>
      <c r="N156" s="85" t="n"/>
      <c r="O156" s="85" t="n"/>
      <c r="P156" s="85" t="n"/>
      <c r="Q156" s="85" t="n"/>
      <c r="R156" s="85" t="n"/>
      <c r="S156" s="85" t="n"/>
      <c r="T156" s="85" t="n"/>
      <c r="U156" s="85" t="n"/>
      <c r="V156" s="85" t="n"/>
      <c r="W156" s="85" t="n"/>
      <c r="X156" s="85" t="n"/>
      <c r="Y156" s="85" t="n"/>
      <c r="Z156" s="85" t="n"/>
      <c r="AA156" s="85" t="n"/>
      <c r="AB156" s="85" t="n"/>
      <c r="AC156" s="86" t="n"/>
      <c r="AD156" s="86" t="n"/>
      <c r="AE156" s="86" t="n"/>
      <c r="AF156" s="85" t="n"/>
      <c r="AG156" s="85" t="n"/>
      <c r="AH156" s="85">
        <f>IF($A156="","",IF(AND($E156="Yes",OR($V156="No",$V156="NOT FOUND")),"YES",""))</f>
        <v/>
      </c>
      <c r="AI156" s="85">
        <f>IF($A156="","",TRIM(IF(AND($M156=0,$I156&lt;&gt;"Yes"),"T0-NoPhishResistant ","")&amp;IF($H156="No","NoMFA ","")&amp;IF(AND($M156=0,$O156="Group only"),"T0-ViaGroupOnly ","")&amp;IF($N156="Yes","BroadAzureScope ","")&amp;IF($T156="Yes","AlsoEntraRole ","")))</f>
        <v/>
      </c>
      <c r="AJ156" s="85">
        <f>IF($A156="","",IF(AD156="","Not Enrolled",IF(TODAY()&gt;AD156,"Review Overdue",IF(AD156-TODAY()&lt;=30,"Review Due Soon","Active"))))</f>
        <v/>
      </c>
      <c r="AK156" s="85">
        <f>IF($A156="","",IF(AE156="","NOT REVIEWED",IF(TODAY()-AE156&gt;90,"OVERDUE",IF(TODAY()-AE156&gt;76,"Due Soon","Current"))))</f>
        <v/>
      </c>
    </row>
    <row r="157" ht="15" customHeight="1" s="39">
      <c r="A157" s="85" t="n"/>
      <c r="B157" s="85" t="n"/>
      <c r="C157" s="85" t="n"/>
      <c r="D157" s="85" t="n"/>
      <c r="E157" s="85" t="n"/>
      <c r="F157" s="86" t="n"/>
      <c r="G157" s="86" t="n"/>
      <c r="H157" s="85" t="n"/>
      <c r="I157" s="85" t="n"/>
      <c r="J157" s="85" t="n"/>
      <c r="K157" s="85" t="n"/>
      <c r="L157" s="85" t="n"/>
      <c r="M157" s="85" t="n"/>
      <c r="N157" s="85" t="n"/>
      <c r="O157" s="85" t="n"/>
      <c r="P157" s="85" t="n"/>
      <c r="Q157" s="85" t="n"/>
      <c r="R157" s="85" t="n"/>
      <c r="S157" s="85" t="n"/>
      <c r="T157" s="85" t="n"/>
      <c r="U157" s="85" t="n"/>
      <c r="V157" s="85" t="n"/>
      <c r="W157" s="85" t="n"/>
      <c r="X157" s="85" t="n"/>
      <c r="Y157" s="85" t="n"/>
      <c r="Z157" s="85" t="n"/>
      <c r="AA157" s="85" t="n"/>
      <c r="AB157" s="85" t="n"/>
      <c r="AC157" s="86" t="n"/>
      <c r="AD157" s="86" t="n"/>
      <c r="AE157" s="86" t="n"/>
      <c r="AF157" s="85" t="n"/>
      <c r="AG157" s="85" t="n"/>
      <c r="AH157" s="85">
        <f>IF($A157="","",IF(AND($E157="Yes",OR($V157="No",$V157="NOT FOUND")),"YES",""))</f>
        <v/>
      </c>
      <c r="AI157" s="85">
        <f>IF($A157="","",TRIM(IF(AND($M157=0,$I157&lt;&gt;"Yes"),"T0-NoPhishResistant ","")&amp;IF($H157="No","NoMFA ","")&amp;IF(AND($M157=0,$O157="Group only"),"T0-ViaGroupOnly ","")&amp;IF($N157="Yes","BroadAzureScope ","")&amp;IF($T157="Yes","AlsoEntraRole ","")))</f>
        <v/>
      </c>
      <c r="AJ157" s="85">
        <f>IF($A157="","",IF(AD157="","Not Enrolled",IF(TODAY()&gt;AD157,"Review Overdue",IF(AD157-TODAY()&lt;=30,"Review Due Soon","Active"))))</f>
        <v/>
      </c>
      <c r="AK157" s="85">
        <f>IF($A157="","",IF(AE157="","NOT REVIEWED",IF(TODAY()-AE157&gt;90,"OVERDUE",IF(TODAY()-AE157&gt;76,"Due Soon","Current"))))</f>
        <v/>
      </c>
    </row>
    <row r="158" ht="15" customHeight="1" s="39">
      <c r="A158" s="85" t="n"/>
      <c r="B158" s="85" t="n"/>
      <c r="C158" s="85" t="n"/>
      <c r="D158" s="85" t="n"/>
      <c r="E158" s="85" t="n"/>
      <c r="F158" s="86" t="n"/>
      <c r="G158" s="86" t="n"/>
      <c r="H158" s="85" t="n"/>
      <c r="I158" s="85" t="n"/>
      <c r="J158" s="85" t="n"/>
      <c r="K158" s="85" t="n"/>
      <c r="L158" s="85" t="n"/>
      <c r="M158" s="85" t="n"/>
      <c r="N158" s="85" t="n"/>
      <c r="O158" s="85" t="n"/>
      <c r="P158" s="85" t="n"/>
      <c r="Q158" s="85" t="n"/>
      <c r="R158" s="85" t="n"/>
      <c r="S158" s="85" t="n"/>
      <c r="T158" s="85" t="n"/>
      <c r="U158" s="85" t="n"/>
      <c r="V158" s="85" t="n"/>
      <c r="W158" s="85" t="n"/>
      <c r="X158" s="85" t="n"/>
      <c r="Y158" s="85" t="n"/>
      <c r="Z158" s="85" t="n"/>
      <c r="AA158" s="85" t="n"/>
      <c r="AB158" s="85" t="n"/>
      <c r="AC158" s="86" t="n"/>
      <c r="AD158" s="86" t="n"/>
      <c r="AE158" s="86" t="n"/>
      <c r="AF158" s="85" t="n"/>
      <c r="AG158" s="85" t="n"/>
      <c r="AH158" s="85">
        <f>IF($A158="","",IF(AND($E158="Yes",OR($V158="No",$V158="NOT FOUND")),"YES",""))</f>
        <v/>
      </c>
      <c r="AI158" s="85">
        <f>IF($A158="","",TRIM(IF(AND($M158=0,$I158&lt;&gt;"Yes"),"T0-NoPhishResistant ","")&amp;IF($H158="No","NoMFA ","")&amp;IF(AND($M158=0,$O158="Group only"),"T0-ViaGroupOnly ","")&amp;IF($N158="Yes","BroadAzureScope ","")&amp;IF($T158="Yes","AlsoEntraRole ","")))</f>
        <v/>
      </c>
      <c r="AJ158" s="85">
        <f>IF($A158="","",IF(AD158="","Not Enrolled",IF(TODAY()&gt;AD158,"Review Overdue",IF(AD158-TODAY()&lt;=30,"Review Due Soon","Active"))))</f>
        <v/>
      </c>
      <c r="AK158" s="85">
        <f>IF($A158="","",IF(AE158="","NOT REVIEWED",IF(TODAY()-AE158&gt;90,"OVERDUE",IF(TODAY()-AE158&gt;76,"Due Soon","Current"))))</f>
        <v/>
      </c>
    </row>
    <row r="159" ht="15" customHeight="1" s="39">
      <c r="A159" s="85" t="n"/>
      <c r="B159" s="85" t="n"/>
      <c r="C159" s="85" t="n"/>
      <c r="D159" s="85" t="n"/>
      <c r="E159" s="85" t="n"/>
      <c r="F159" s="86" t="n"/>
      <c r="G159" s="86" t="n"/>
      <c r="H159" s="85" t="n"/>
      <c r="I159" s="85" t="n"/>
      <c r="J159" s="85" t="n"/>
      <c r="K159" s="85" t="n"/>
      <c r="L159" s="85" t="n"/>
      <c r="M159" s="85" t="n"/>
      <c r="N159" s="85" t="n"/>
      <c r="O159" s="85" t="n"/>
      <c r="P159" s="85" t="n"/>
      <c r="Q159" s="85" t="n"/>
      <c r="R159" s="85" t="n"/>
      <c r="S159" s="85" t="n"/>
      <c r="T159" s="85" t="n"/>
      <c r="U159" s="85" t="n"/>
      <c r="V159" s="85" t="n"/>
      <c r="W159" s="85" t="n"/>
      <c r="X159" s="85" t="n"/>
      <c r="Y159" s="85" t="n"/>
      <c r="Z159" s="85" t="n"/>
      <c r="AA159" s="85" t="n"/>
      <c r="AB159" s="85" t="n"/>
      <c r="AC159" s="86" t="n"/>
      <c r="AD159" s="86" t="n"/>
      <c r="AE159" s="86" t="n"/>
      <c r="AF159" s="85" t="n"/>
      <c r="AG159" s="85" t="n"/>
      <c r="AH159" s="85">
        <f>IF($A159="","",IF(AND($E159="Yes",OR($V159="No",$V159="NOT FOUND")),"YES",""))</f>
        <v/>
      </c>
      <c r="AI159" s="85">
        <f>IF($A159="","",TRIM(IF(AND($M159=0,$I159&lt;&gt;"Yes"),"T0-NoPhishResistant ","")&amp;IF($H159="No","NoMFA ","")&amp;IF(AND($M159=0,$O159="Group only"),"T0-ViaGroupOnly ","")&amp;IF($N159="Yes","BroadAzureScope ","")&amp;IF($T159="Yes","AlsoEntraRole ","")))</f>
        <v/>
      </c>
      <c r="AJ159" s="85">
        <f>IF($A159="","",IF(AD159="","Not Enrolled",IF(TODAY()&gt;AD159,"Review Overdue",IF(AD159-TODAY()&lt;=30,"Review Due Soon","Active"))))</f>
        <v/>
      </c>
      <c r="AK159" s="85">
        <f>IF($A159="","",IF(AE159="","NOT REVIEWED",IF(TODAY()-AE159&gt;90,"OVERDUE",IF(TODAY()-AE159&gt;76,"Due Soon","Current"))))</f>
        <v/>
      </c>
    </row>
    <row r="160" ht="15" customHeight="1" s="39">
      <c r="A160" s="85" t="n"/>
      <c r="B160" s="85" t="n"/>
      <c r="C160" s="85" t="n"/>
      <c r="D160" s="85" t="n"/>
      <c r="E160" s="85" t="n"/>
      <c r="F160" s="86" t="n"/>
      <c r="G160" s="86" t="n"/>
      <c r="H160" s="85" t="n"/>
      <c r="I160" s="85" t="n"/>
      <c r="J160" s="85" t="n"/>
      <c r="K160" s="85" t="n"/>
      <c r="L160" s="85" t="n"/>
      <c r="M160" s="85" t="n"/>
      <c r="N160" s="85" t="n"/>
      <c r="O160" s="85" t="n"/>
      <c r="P160" s="85" t="n"/>
      <c r="Q160" s="85" t="n"/>
      <c r="R160" s="85" t="n"/>
      <c r="S160" s="85" t="n"/>
      <c r="T160" s="85" t="n"/>
      <c r="U160" s="85" t="n"/>
      <c r="V160" s="85" t="n"/>
      <c r="W160" s="85" t="n"/>
      <c r="X160" s="85" t="n"/>
      <c r="Y160" s="85" t="n"/>
      <c r="Z160" s="85" t="n"/>
      <c r="AA160" s="85" t="n"/>
      <c r="AB160" s="85" t="n"/>
      <c r="AC160" s="86" t="n"/>
      <c r="AD160" s="86" t="n"/>
      <c r="AE160" s="86" t="n"/>
      <c r="AF160" s="85" t="n"/>
      <c r="AG160" s="85" t="n"/>
      <c r="AH160" s="85">
        <f>IF($A160="","",IF(AND($E160="Yes",OR($V160="No",$V160="NOT FOUND")),"YES",""))</f>
        <v/>
      </c>
      <c r="AI160" s="85">
        <f>IF($A160="","",TRIM(IF(AND($M160=0,$I160&lt;&gt;"Yes"),"T0-NoPhishResistant ","")&amp;IF($H160="No","NoMFA ","")&amp;IF(AND($M160=0,$O160="Group only"),"T0-ViaGroupOnly ","")&amp;IF($N160="Yes","BroadAzureScope ","")&amp;IF($T160="Yes","AlsoEntraRole ","")))</f>
        <v/>
      </c>
      <c r="AJ160" s="85">
        <f>IF($A160="","",IF(AD160="","Not Enrolled",IF(TODAY()&gt;AD160,"Review Overdue",IF(AD160-TODAY()&lt;=30,"Review Due Soon","Active"))))</f>
        <v/>
      </c>
      <c r="AK160" s="85">
        <f>IF($A160="","",IF(AE160="","NOT REVIEWED",IF(TODAY()-AE160&gt;90,"OVERDUE",IF(TODAY()-AE160&gt;76,"Due Soon","Current"))))</f>
        <v/>
      </c>
    </row>
    <row r="161" ht="15" customHeight="1" s="39">
      <c r="A161" s="85" t="n"/>
      <c r="B161" s="85" t="n"/>
      <c r="C161" s="85" t="n"/>
      <c r="D161" s="85" t="n"/>
      <c r="E161" s="85" t="n"/>
      <c r="F161" s="86" t="n"/>
      <c r="G161" s="86" t="n"/>
      <c r="H161" s="85" t="n"/>
      <c r="I161" s="85" t="n"/>
      <c r="J161" s="85" t="n"/>
      <c r="K161" s="85" t="n"/>
      <c r="L161" s="85" t="n"/>
      <c r="M161" s="85" t="n"/>
      <c r="N161" s="85" t="n"/>
      <c r="O161" s="85" t="n"/>
      <c r="P161" s="85" t="n"/>
      <c r="Q161" s="85" t="n"/>
      <c r="R161" s="85" t="n"/>
      <c r="S161" s="85" t="n"/>
      <c r="T161" s="85" t="n"/>
      <c r="U161" s="85" t="n"/>
      <c r="V161" s="85" t="n"/>
      <c r="W161" s="85" t="n"/>
      <c r="X161" s="85" t="n"/>
      <c r="Y161" s="85" t="n"/>
      <c r="Z161" s="85" t="n"/>
      <c r="AA161" s="85" t="n"/>
      <c r="AB161" s="85" t="n"/>
      <c r="AC161" s="86" t="n"/>
      <c r="AD161" s="86" t="n"/>
      <c r="AE161" s="86" t="n"/>
      <c r="AF161" s="85" t="n"/>
      <c r="AG161" s="85" t="n"/>
      <c r="AH161" s="85">
        <f>IF($A161="","",IF(AND($E161="Yes",OR($V161="No",$V161="NOT FOUND")),"YES",""))</f>
        <v/>
      </c>
      <c r="AI161" s="85">
        <f>IF($A161="","",TRIM(IF(AND($M161=0,$I161&lt;&gt;"Yes"),"T0-NoPhishResistant ","")&amp;IF($H161="No","NoMFA ","")&amp;IF(AND($M161=0,$O161="Group only"),"T0-ViaGroupOnly ","")&amp;IF($N161="Yes","BroadAzureScope ","")&amp;IF($T161="Yes","AlsoEntraRole ","")))</f>
        <v/>
      </c>
      <c r="AJ161" s="85">
        <f>IF($A161="","",IF(AD161="","Not Enrolled",IF(TODAY()&gt;AD161,"Review Overdue",IF(AD161-TODAY()&lt;=30,"Review Due Soon","Active"))))</f>
        <v/>
      </c>
      <c r="AK161" s="85">
        <f>IF($A161="","",IF(AE161="","NOT REVIEWED",IF(TODAY()-AE161&gt;90,"OVERDUE",IF(TODAY()-AE161&gt;76,"Due Soon","Current"))))</f>
        <v/>
      </c>
    </row>
    <row r="162" ht="15" customHeight="1" s="39">
      <c r="A162" s="85" t="n"/>
      <c r="B162" s="85" t="n"/>
      <c r="C162" s="85" t="n"/>
      <c r="D162" s="85" t="n"/>
      <c r="E162" s="85" t="n"/>
      <c r="F162" s="86" t="n"/>
      <c r="G162" s="86" t="n"/>
      <c r="H162" s="85" t="n"/>
      <c r="I162" s="85" t="n"/>
      <c r="J162" s="85" t="n"/>
      <c r="K162" s="85" t="n"/>
      <c r="L162" s="85" t="n"/>
      <c r="M162" s="85" t="n"/>
      <c r="N162" s="85" t="n"/>
      <c r="O162" s="85" t="n"/>
      <c r="P162" s="85" t="n"/>
      <c r="Q162" s="85" t="n"/>
      <c r="R162" s="85" t="n"/>
      <c r="S162" s="85" t="n"/>
      <c r="T162" s="85" t="n"/>
      <c r="U162" s="85" t="n"/>
      <c r="V162" s="85" t="n"/>
      <c r="W162" s="85" t="n"/>
      <c r="X162" s="85" t="n"/>
      <c r="Y162" s="85" t="n"/>
      <c r="Z162" s="85" t="n"/>
      <c r="AA162" s="85" t="n"/>
      <c r="AB162" s="85" t="n"/>
      <c r="AC162" s="86" t="n"/>
      <c r="AD162" s="86" t="n"/>
      <c r="AE162" s="86" t="n"/>
      <c r="AF162" s="85" t="n"/>
      <c r="AG162" s="85" t="n"/>
      <c r="AH162" s="85">
        <f>IF($A162="","",IF(AND($E162="Yes",OR($V162="No",$V162="NOT FOUND")),"YES",""))</f>
        <v/>
      </c>
      <c r="AI162" s="85">
        <f>IF($A162="","",TRIM(IF(AND($M162=0,$I162&lt;&gt;"Yes"),"T0-NoPhishResistant ","")&amp;IF($H162="No","NoMFA ","")&amp;IF(AND($M162=0,$O162="Group only"),"T0-ViaGroupOnly ","")&amp;IF($N162="Yes","BroadAzureScope ","")&amp;IF($T162="Yes","AlsoEntraRole ","")))</f>
        <v/>
      </c>
      <c r="AJ162" s="85">
        <f>IF($A162="","",IF(AD162="","Not Enrolled",IF(TODAY()&gt;AD162,"Review Overdue",IF(AD162-TODAY()&lt;=30,"Review Due Soon","Active"))))</f>
        <v/>
      </c>
      <c r="AK162" s="85">
        <f>IF($A162="","",IF(AE162="","NOT REVIEWED",IF(TODAY()-AE162&gt;90,"OVERDUE",IF(TODAY()-AE162&gt;76,"Due Soon","Current"))))</f>
        <v/>
      </c>
    </row>
    <row r="163" ht="15" customHeight="1" s="39">
      <c r="A163" s="85" t="n"/>
      <c r="B163" s="85" t="n"/>
      <c r="C163" s="85" t="n"/>
      <c r="D163" s="85" t="n"/>
      <c r="E163" s="85" t="n"/>
      <c r="F163" s="86" t="n"/>
      <c r="G163" s="86" t="n"/>
      <c r="H163" s="85" t="n"/>
      <c r="I163" s="85" t="n"/>
      <c r="J163" s="85" t="n"/>
      <c r="K163" s="85" t="n"/>
      <c r="L163" s="85" t="n"/>
      <c r="M163" s="85" t="n"/>
      <c r="N163" s="85" t="n"/>
      <c r="O163" s="85" t="n"/>
      <c r="P163" s="85" t="n"/>
      <c r="Q163" s="85" t="n"/>
      <c r="R163" s="85" t="n"/>
      <c r="S163" s="85" t="n"/>
      <c r="T163" s="85" t="n"/>
      <c r="U163" s="85" t="n"/>
      <c r="V163" s="85" t="n"/>
      <c r="W163" s="85" t="n"/>
      <c r="X163" s="85" t="n"/>
      <c r="Y163" s="85" t="n"/>
      <c r="Z163" s="85" t="n"/>
      <c r="AA163" s="85" t="n"/>
      <c r="AB163" s="85" t="n"/>
      <c r="AC163" s="86" t="n"/>
      <c r="AD163" s="86" t="n"/>
      <c r="AE163" s="86" t="n"/>
      <c r="AF163" s="85" t="n"/>
      <c r="AG163" s="85" t="n"/>
      <c r="AH163" s="85">
        <f>IF($A163="","",IF(AND($E163="Yes",OR($V163="No",$V163="NOT FOUND")),"YES",""))</f>
        <v/>
      </c>
      <c r="AI163" s="85">
        <f>IF($A163="","",TRIM(IF(AND($M163=0,$I163&lt;&gt;"Yes"),"T0-NoPhishResistant ","")&amp;IF($H163="No","NoMFA ","")&amp;IF(AND($M163=0,$O163="Group only"),"T0-ViaGroupOnly ","")&amp;IF($N163="Yes","BroadAzureScope ","")&amp;IF($T163="Yes","AlsoEntraRole ","")))</f>
        <v/>
      </c>
      <c r="AJ163" s="85">
        <f>IF($A163="","",IF(AD163="","Not Enrolled",IF(TODAY()&gt;AD163,"Review Overdue",IF(AD163-TODAY()&lt;=30,"Review Due Soon","Active"))))</f>
        <v/>
      </c>
      <c r="AK163" s="85">
        <f>IF($A163="","",IF(AE163="","NOT REVIEWED",IF(TODAY()-AE163&gt;90,"OVERDUE",IF(TODAY()-AE163&gt;76,"Due Soon","Current"))))</f>
        <v/>
      </c>
    </row>
    <row r="164" ht="15" customHeight="1" s="39">
      <c r="A164" s="85" t="n"/>
      <c r="B164" s="85" t="n"/>
      <c r="C164" s="85" t="n"/>
      <c r="D164" s="85" t="n"/>
      <c r="E164" s="85" t="n"/>
      <c r="F164" s="86" t="n"/>
      <c r="G164" s="86" t="n"/>
      <c r="H164" s="85" t="n"/>
      <c r="I164" s="85" t="n"/>
      <c r="J164" s="85" t="n"/>
      <c r="K164" s="85" t="n"/>
      <c r="L164" s="85" t="n"/>
      <c r="M164" s="85" t="n"/>
      <c r="N164" s="85" t="n"/>
      <c r="O164" s="85" t="n"/>
      <c r="P164" s="85" t="n"/>
      <c r="Q164" s="85" t="n"/>
      <c r="R164" s="85" t="n"/>
      <c r="S164" s="85" t="n"/>
      <c r="T164" s="85" t="n"/>
      <c r="U164" s="85" t="n"/>
      <c r="V164" s="85" t="n"/>
      <c r="W164" s="85" t="n"/>
      <c r="X164" s="85" t="n"/>
      <c r="Y164" s="85" t="n"/>
      <c r="Z164" s="85" t="n"/>
      <c r="AA164" s="85" t="n"/>
      <c r="AB164" s="85" t="n"/>
      <c r="AC164" s="86" t="n"/>
      <c r="AD164" s="86" t="n"/>
      <c r="AE164" s="86" t="n"/>
      <c r="AF164" s="85" t="n"/>
      <c r="AG164" s="85" t="n"/>
      <c r="AH164" s="85">
        <f>IF($A164="","",IF(AND($E164="Yes",OR($V164="No",$V164="NOT FOUND")),"YES",""))</f>
        <v/>
      </c>
      <c r="AI164" s="85">
        <f>IF($A164="","",TRIM(IF(AND($M164=0,$I164&lt;&gt;"Yes"),"T0-NoPhishResistant ","")&amp;IF($H164="No","NoMFA ","")&amp;IF(AND($M164=0,$O164="Group only"),"T0-ViaGroupOnly ","")&amp;IF($N164="Yes","BroadAzureScope ","")&amp;IF($T164="Yes","AlsoEntraRole ","")))</f>
        <v/>
      </c>
      <c r="AJ164" s="85">
        <f>IF($A164="","",IF(AD164="","Not Enrolled",IF(TODAY()&gt;AD164,"Review Overdue",IF(AD164-TODAY()&lt;=30,"Review Due Soon","Active"))))</f>
        <v/>
      </c>
      <c r="AK164" s="85">
        <f>IF($A164="","",IF(AE164="","NOT REVIEWED",IF(TODAY()-AE164&gt;90,"OVERDUE",IF(TODAY()-AE164&gt;76,"Due Soon","Current"))))</f>
        <v/>
      </c>
    </row>
    <row r="165" ht="15" customHeight="1" s="39">
      <c r="A165" s="85" t="n"/>
      <c r="B165" s="85" t="n"/>
      <c r="C165" s="85" t="n"/>
      <c r="D165" s="85" t="n"/>
      <c r="E165" s="85" t="n"/>
      <c r="F165" s="86" t="n"/>
      <c r="G165" s="86" t="n"/>
      <c r="H165" s="85" t="n"/>
      <c r="I165" s="85" t="n"/>
      <c r="J165" s="85" t="n"/>
      <c r="K165" s="85" t="n"/>
      <c r="L165" s="85" t="n"/>
      <c r="M165" s="85" t="n"/>
      <c r="N165" s="85" t="n"/>
      <c r="O165" s="85" t="n"/>
      <c r="P165" s="85" t="n"/>
      <c r="Q165" s="85" t="n"/>
      <c r="R165" s="85" t="n"/>
      <c r="S165" s="85" t="n"/>
      <c r="T165" s="85" t="n"/>
      <c r="U165" s="85" t="n"/>
      <c r="V165" s="85" t="n"/>
      <c r="W165" s="85" t="n"/>
      <c r="X165" s="85" t="n"/>
      <c r="Y165" s="85" t="n"/>
      <c r="Z165" s="85" t="n"/>
      <c r="AA165" s="85" t="n"/>
      <c r="AB165" s="85" t="n"/>
      <c r="AC165" s="86" t="n"/>
      <c r="AD165" s="86" t="n"/>
      <c r="AE165" s="86" t="n"/>
      <c r="AF165" s="85" t="n"/>
      <c r="AG165" s="85" t="n"/>
      <c r="AH165" s="85">
        <f>IF($A165="","",IF(AND($E165="Yes",OR($V165="No",$V165="NOT FOUND")),"YES",""))</f>
        <v/>
      </c>
      <c r="AI165" s="85">
        <f>IF($A165="","",TRIM(IF(AND($M165=0,$I165&lt;&gt;"Yes"),"T0-NoPhishResistant ","")&amp;IF($H165="No","NoMFA ","")&amp;IF(AND($M165=0,$O165="Group only"),"T0-ViaGroupOnly ","")&amp;IF($N165="Yes","BroadAzureScope ","")&amp;IF($T165="Yes","AlsoEntraRole ","")))</f>
        <v/>
      </c>
      <c r="AJ165" s="85">
        <f>IF($A165="","",IF(AD165="","Not Enrolled",IF(TODAY()&gt;AD165,"Review Overdue",IF(AD165-TODAY()&lt;=30,"Review Due Soon","Active"))))</f>
        <v/>
      </c>
      <c r="AK165" s="85">
        <f>IF($A165="","",IF(AE165="","NOT REVIEWED",IF(TODAY()-AE165&gt;90,"OVERDUE",IF(TODAY()-AE165&gt;76,"Due Soon","Current"))))</f>
        <v/>
      </c>
    </row>
    <row r="166" ht="15" customHeight="1" s="39">
      <c r="A166" s="85" t="n"/>
      <c r="B166" s="85" t="n"/>
      <c r="C166" s="85" t="n"/>
      <c r="D166" s="85" t="n"/>
      <c r="E166" s="85" t="n"/>
      <c r="F166" s="86" t="n"/>
      <c r="G166" s="86" t="n"/>
      <c r="H166" s="85" t="n"/>
      <c r="I166" s="85" t="n"/>
      <c r="J166" s="85" t="n"/>
      <c r="K166" s="85" t="n"/>
      <c r="L166" s="85" t="n"/>
      <c r="M166" s="85" t="n"/>
      <c r="N166" s="85" t="n"/>
      <c r="O166" s="85" t="n"/>
      <c r="P166" s="85" t="n"/>
      <c r="Q166" s="85" t="n"/>
      <c r="R166" s="85" t="n"/>
      <c r="S166" s="85" t="n"/>
      <c r="T166" s="85" t="n"/>
      <c r="U166" s="85" t="n"/>
      <c r="V166" s="85" t="n"/>
      <c r="W166" s="85" t="n"/>
      <c r="X166" s="85" t="n"/>
      <c r="Y166" s="85" t="n"/>
      <c r="Z166" s="85" t="n"/>
      <c r="AA166" s="85" t="n"/>
      <c r="AB166" s="85" t="n"/>
      <c r="AC166" s="86" t="n"/>
      <c r="AD166" s="86" t="n"/>
      <c r="AE166" s="86" t="n"/>
      <c r="AF166" s="85" t="n"/>
      <c r="AG166" s="85" t="n"/>
      <c r="AH166" s="85">
        <f>IF($A166="","",IF(AND($E166="Yes",OR($V166="No",$V166="NOT FOUND")),"YES",""))</f>
        <v/>
      </c>
      <c r="AI166" s="85">
        <f>IF($A166="","",TRIM(IF(AND($M166=0,$I166&lt;&gt;"Yes"),"T0-NoPhishResistant ","")&amp;IF($H166="No","NoMFA ","")&amp;IF(AND($M166=0,$O166="Group only"),"T0-ViaGroupOnly ","")&amp;IF($N166="Yes","BroadAzureScope ","")&amp;IF($T166="Yes","AlsoEntraRole ","")))</f>
        <v/>
      </c>
      <c r="AJ166" s="85">
        <f>IF($A166="","",IF(AD166="","Not Enrolled",IF(TODAY()&gt;AD166,"Review Overdue",IF(AD166-TODAY()&lt;=30,"Review Due Soon","Active"))))</f>
        <v/>
      </c>
      <c r="AK166" s="85">
        <f>IF($A166="","",IF(AE166="","NOT REVIEWED",IF(TODAY()-AE166&gt;90,"OVERDUE",IF(TODAY()-AE166&gt;76,"Due Soon","Current"))))</f>
        <v/>
      </c>
    </row>
    <row r="167" ht="15" customHeight="1" s="39">
      <c r="A167" s="85" t="n"/>
      <c r="B167" s="85" t="n"/>
      <c r="C167" s="85" t="n"/>
      <c r="D167" s="85" t="n"/>
      <c r="E167" s="85" t="n"/>
      <c r="F167" s="86" t="n"/>
      <c r="G167" s="86" t="n"/>
      <c r="H167" s="85" t="n"/>
      <c r="I167" s="85" t="n"/>
      <c r="J167" s="85" t="n"/>
      <c r="K167" s="85" t="n"/>
      <c r="L167" s="85" t="n"/>
      <c r="M167" s="85" t="n"/>
      <c r="N167" s="85" t="n"/>
      <c r="O167" s="85" t="n"/>
      <c r="P167" s="85" t="n"/>
      <c r="Q167" s="85" t="n"/>
      <c r="R167" s="85" t="n"/>
      <c r="S167" s="85" t="n"/>
      <c r="T167" s="85" t="n"/>
      <c r="U167" s="85" t="n"/>
      <c r="V167" s="85" t="n"/>
      <c r="W167" s="85" t="n"/>
      <c r="X167" s="85" t="n"/>
      <c r="Y167" s="85" t="n"/>
      <c r="Z167" s="85" t="n"/>
      <c r="AA167" s="85" t="n"/>
      <c r="AB167" s="85" t="n"/>
      <c r="AC167" s="86" t="n"/>
      <c r="AD167" s="86" t="n"/>
      <c r="AE167" s="86" t="n"/>
      <c r="AF167" s="85" t="n"/>
      <c r="AG167" s="85" t="n"/>
      <c r="AH167" s="85">
        <f>IF($A167="","",IF(AND($E167="Yes",OR($V167="No",$V167="NOT FOUND")),"YES",""))</f>
        <v/>
      </c>
      <c r="AI167" s="85">
        <f>IF($A167="","",TRIM(IF(AND($M167=0,$I167&lt;&gt;"Yes"),"T0-NoPhishResistant ","")&amp;IF($H167="No","NoMFA ","")&amp;IF(AND($M167=0,$O167="Group only"),"T0-ViaGroupOnly ","")&amp;IF($N167="Yes","BroadAzureScope ","")&amp;IF($T167="Yes","AlsoEntraRole ","")))</f>
        <v/>
      </c>
      <c r="AJ167" s="85">
        <f>IF($A167="","",IF(AD167="","Not Enrolled",IF(TODAY()&gt;AD167,"Review Overdue",IF(AD167-TODAY()&lt;=30,"Review Due Soon","Active"))))</f>
        <v/>
      </c>
      <c r="AK167" s="85">
        <f>IF($A167="","",IF(AE167="","NOT REVIEWED",IF(TODAY()-AE167&gt;90,"OVERDUE",IF(TODAY()-AE167&gt;76,"Due Soon","Current"))))</f>
        <v/>
      </c>
    </row>
    <row r="168" ht="15" customHeight="1" s="39">
      <c r="A168" s="85" t="n"/>
      <c r="B168" s="85" t="n"/>
      <c r="C168" s="85" t="n"/>
      <c r="D168" s="85" t="n"/>
      <c r="E168" s="85" t="n"/>
      <c r="F168" s="86" t="n"/>
      <c r="G168" s="86" t="n"/>
      <c r="H168" s="85" t="n"/>
      <c r="I168" s="85" t="n"/>
      <c r="J168" s="85" t="n"/>
      <c r="K168" s="85" t="n"/>
      <c r="L168" s="85" t="n"/>
      <c r="M168" s="85" t="n"/>
      <c r="N168" s="85" t="n"/>
      <c r="O168" s="85" t="n"/>
      <c r="P168" s="85" t="n"/>
      <c r="Q168" s="85" t="n"/>
      <c r="R168" s="85" t="n"/>
      <c r="S168" s="85" t="n"/>
      <c r="T168" s="85" t="n"/>
      <c r="U168" s="85" t="n"/>
      <c r="V168" s="85" t="n"/>
      <c r="W168" s="85" t="n"/>
      <c r="X168" s="85" t="n"/>
      <c r="Y168" s="85" t="n"/>
      <c r="Z168" s="85" t="n"/>
      <c r="AA168" s="85" t="n"/>
      <c r="AB168" s="85" t="n"/>
      <c r="AC168" s="86" t="n"/>
      <c r="AD168" s="86" t="n"/>
      <c r="AE168" s="86" t="n"/>
      <c r="AF168" s="85" t="n"/>
      <c r="AG168" s="85" t="n"/>
      <c r="AH168" s="85">
        <f>IF($A168="","",IF(AND($E168="Yes",OR($V168="No",$V168="NOT FOUND")),"YES",""))</f>
        <v/>
      </c>
      <c r="AI168" s="85">
        <f>IF($A168="","",TRIM(IF(AND($M168=0,$I168&lt;&gt;"Yes"),"T0-NoPhishResistant ","")&amp;IF($H168="No","NoMFA ","")&amp;IF(AND($M168=0,$O168="Group only"),"T0-ViaGroupOnly ","")&amp;IF($N168="Yes","BroadAzureScope ","")&amp;IF($T168="Yes","AlsoEntraRole ","")))</f>
        <v/>
      </c>
      <c r="AJ168" s="85">
        <f>IF($A168="","",IF(AD168="","Not Enrolled",IF(TODAY()&gt;AD168,"Review Overdue",IF(AD168-TODAY()&lt;=30,"Review Due Soon","Active"))))</f>
        <v/>
      </c>
      <c r="AK168" s="85">
        <f>IF($A168="","",IF(AE168="","NOT REVIEWED",IF(TODAY()-AE168&gt;90,"OVERDUE",IF(TODAY()-AE168&gt;76,"Due Soon","Current"))))</f>
        <v/>
      </c>
    </row>
    <row r="169" ht="15" customHeight="1" s="39">
      <c r="A169" s="85" t="n"/>
      <c r="B169" s="85" t="n"/>
      <c r="C169" s="85" t="n"/>
      <c r="D169" s="85" t="n"/>
      <c r="E169" s="85" t="n"/>
      <c r="F169" s="86" t="n"/>
      <c r="G169" s="86" t="n"/>
      <c r="H169" s="85" t="n"/>
      <c r="I169" s="85" t="n"/>
      <c r="J169" s="85" t="n"/>
      <c r="K169" s="85" t="n"/>
      <c r="L169" s="85" t="n"/>
      <c r="M169" s="85" t="n"/>
      <c r="N169" s="85" t="n"/>
      <c r="O169" s="85" t="n"/>
      <c r="P169" s="85" t="n"/>
      <c r="Q169" s="85" t="n"/>
      <c r="R169" s="85" t="n"/>
      <c r="S169" s="85" t="n"/>
      <c r="T169" s="85" t="n"/>
      <c r="U169" s="85" t="n"/>
      <c r="V169" s="85" t="n"/>
      <c r="W169" s="85" t="n"/>
      <c r="X169" s="85" t="n"/>
      <c r="Y169" s="85" t="n"/>
      <c r="Z169" s="85" t="n"/>
      <c r="AA169" s="85" t="n"/>
      <c r="AB169" s="85" t="n"/>
      <c r="AC169" s="86" t="n"/>
      <c r="AD169" s="86" t="n"/>
      <c r="AE169" s="86" t="n"/>
      <c r="AF169" s="85" t="n"/>
      <c r="AG169" s="85" t="n"/>
      <c r="AH169" s="85">
        <f>IF($A169="","",IF(AND($E169="Yes",OR($V169="No",$V169="NOT FOUND")),"YES",""))</f>
        <v/>
      </c>
      <c r="AI169" s="85">
        <f>IF($A169="","",TRIM(IF(AND($M169=0,$I169&lt;&gt;"Yes"),"T0-NoPhishResistant ","")&amp;IF($H169="No","NoMFA ","")&amp;IF(AND($M169=0,$O169="Group only"),"T0-ViaGroupOnly ","")&amp;IF($N169="Yes","BroadAzureScope ","")&amp;IF($T169="Yes","AlsoEntraRole ","")))</f>
        <v/>
      </c>
      <c r="AJ169" s="85">
        <f>IF($A169="","",IF(AD169="","Not Enrolled",IF(TODAY()&gt;AD169,"Review Overdue",IF(AD169-TODAY()&lt;=30,"Review Due Soon","Active"))))</f>
        <v/>
      </c>
      <c r="AK169" s="85">
        <f>IF($A169="","",IF(AE169="","NOT REVIEWED",IF(TODAY()-AE169&gt;90,"OVERDUE",IF(TODAY()-AE169&gt;76,"Due Soon","Current"))))</f>
        <v/>
      </c>
    </row>
    <row r="170" ht="15" customHeight="1" s="39">
      <c r="A170" s="85" t="n"/>
      <c r="B170" s="85" t="n"/>
      <c r="C170" s="85" t="n"/>
      <c r="D170" s="85" t="n"/>
      <c r="E170" s="85" t="n"/>
      <c r="F170" s="86" t="n"/>
      <c r="G170" s="86" t="n"/>
      <c r="H170" s="85" t="n"/>
      <c r="I170" s="85" t="n"/>
      <c r="J170" s="85" t="n"/>
      <c r="K170" s="85" t="n"/>
      <c r="L170" s="85" t="n"/>
      <c r="M170" s="85" t="n"/>
      <c r="N170" s="85" t="n"/>
      <c r="O170" s="85" t="n"/>
      <c r="P170" s="85" t="n"/>
      <c r="Q170" s="85" t="n"/>
      <c r="R170" s="85" t="n"/>
      <c r="S170" s="85" t="n"/>
      <c r="T170" s="85" t="n"/>
      <c r="U170" s="85" t="n"/>
      <c r="V170" s="85" t="n"/>
      <c r="W170" s="85" t="n"/>
      <c r="X170" s="85" t="n"/>
      <c r="Y170" s="85" t="n"/>
      <c r="Z170" s="85" t="n"/>
      <c r="AA170" s="85" t="n"/>
      <c r="AB170" s="85" t="n"/>
      <c r="AC170" s="86" t="n"/>
      <c r="AD170" s="86" t="n"/>
      <c r="AE170" s="86" t="n"/>
      <c r="AF170" s="85" t="n"/>
      <c r="AG170" s="85" t="n"/>
      <c r="AH170" s="85">
        <f>IF($A170="","",IF(AND($E170="Yes",OR($V170="No",$V170="NOT FOUND")),"YES",""))</f>
        <v/>
      </c>
      <c r="AI170" s="85">
        <f>IF($A170="","",TRIM(IF(AND($M170=0,$I170&lt;&gt;"Yes"),"T0-NoPhishResistant ","")&amp;IF($H170="No","NoMFA ","")&amp;IF(AND($M170=0,$O170="Group only"),"T0-ViaGroupOnly ","")&amp;IF($N170="Yes","BroadAzureScope ","")&amp;IF($T170="Yes","AlsoEntraRole ","")))</f>
        <v/>
      </c>
      <c r="AJ170" s="85">
        <f>IF($A170="","",IF(AD170="","Not Enrolled",IF(TODAY()&gt;AD170,"Review Overdue",IF(AD170-TODAY()&lt;=30,"Review Due Soon","Active"))))</f>
        <v/>
      </c>
      <c r="AK170" s="85">
        <f>IF($A170="","",IF(AE170="","NOT REVIEWED",IF(TODAY()-AE170&gt;90,"OVERDUE",IF(TODAY()-AE170&gt;76,"Due Soon","Current"))))</f>
        <v/>
      </c>
    </row>
    <row r="171" ht="15" customHeight="1" s="39">
      <c r="A171" s="85" t="n"/>
      <c r="B171" s="85" t="n"/>
      <c r="C171" s="85" t="n"/>
      <c r="D171" s="85" t="n"/>
      <c r="E171" s="85" t="n"/>
      <c r="F171" s="86" t="n"/>
      <c r="G171" s="86" t="n"/>
      <c r="H171" s="85" t="n"/>
      <c r="I171" s="85" t="n"/>
      <c r="J171" s="85" t="n"/>
      <c r="K171" s="85" t="n"/>
      <c r="L171" s="85" t="n"/>
      <c r="M171" s="85" t="n"/>
      <c r="N171" s="85" t="n"/>
      <c r="O171" s="85" t="n"/>
      <c r="P171" s="85" t="n"/>
      <c r="Q171" s="85" t="n"/>
      <c r="R171" s="85" t="n"/>
      <c r="S171" s="85" t="n"/>
      <c r="T171" s="85" t="n"/>
      <c r="U171" s="85" t="n"/>
      <c r="V171" s="85" t="n"/>
      <c r="W171" s="85" t="n"/>
      <c r="X171" s="85" t="n"/>
      <c r="Y171" s="85" t="n"/>
      <c r="Z171" s="85" t="n"/>
      <c r="AA171" s="85" t="n"/>
      <c r="AB171" s="85" t="n"/>
      <c r="AC171" s="86" t="n"/>
      <c r="AD171" s="86" t="n"/>
      <c r="AE171" s="86" t="n"/>
      <c r="AF171" s="85" t="n"/>
      <c r="AG171" s="85" t="n"/>
      <c r="AH171" s="85">
        <f>IF($A171="","",IF(AND($E171="Yes",OR($V171="No",$V171="NOT FOUND")),"YES",""))</f>
        <v/>
      </c>
      <c r="AI171" s="85">
        <f>IF($A171="","",TRIM(IF(AND($M171=0,$I171&lt;&gt;"Yes"),"T0-NoPhishResistant ","")&amp;IF($H171="No","NoMFA ","")&amp;IF(AND($M171=0,$O171="Group only"),"T0-ViaGroupOnly ","")&amp;IF($N171="Yes","BroadAzureScope ","")&amp;IF($T171="Yes","AlsoEntraRole ","")))</f>
        <v/>
      </c>
      <c r="AJ171" s="85">
        <f>IF($A171="","",IF(AD171="","Not Enrolled",IF(TODAY()&gt;AD171,"Review Overdue",IF(AD171-TODAY()&lt;=30,"Review Due Soon","Active"))))</f>
        <v/>
      </c>
      <c r="AK171" s="85">
        <f>IF($A171="","",IF(AE171="","NOT REVIEWED",IF(TODAY()-AE171&gt;90,"OVERDUE",IF(TODAY()-AE171&gt;76,"Due Soon","Current"))))</f>
        <v/>
      </c>
    </row>
    <row r="172" ht="15" customHeight="1" s="39">
      <c r="A172" s="85" t="n"/>
      <c r="B172" s="85" t="n"/>
      <c r="C172" s="85" t="n"/>
      <c r="D172" s="85" t="n"/>
      <c r="E172" s="85" t="n"/>
      <c r="F172" s="86" t="n"/>
      <c r="G172" s="86" t="n"/>
      <c r="H172" s="85" t="n"/>
      <c r="I172" s="85" t="n"/>
      <c r="J172" s="85" t="n"/>
      <c r="K172" s="85" t="n"/>
      <c r="L172" s="85" t="n"/>
      <c r="M172" s="85" t="n"/>
      <c r="N172" s="85" t="n"/>
      <c r="O172" s="85" t="n"/>
      <c r="P172" s="85" t="n"/>
      <c r="Q172" s="85" t="n"/>
      <c r="R172" s="85" t="n"/>
      <c r="S172" s="85" t="n"/>
      <c r="T172" s="85" t="n"/>
      <c r="U172" s="85" t="n"/>
      <c r="V172" s="85" t="n"/>
      <c r="W172" s="85" t="n"/>
      <c r="X172" s="85" t="n"/>
      <c r="Y172" s="85" t="n"/>
      <c r="Z172" s="85" t="n"/>
      <c r="AA172" s="85" t="n"/>
      <c r="AB172" s="85" t="n"/>
      <c r="AC172" s="86" t="n"/>
      <c r="AD172" s="86" t="n"/>
      <c r="AE172" s="86" t="n"/>
      <c r="AF172" s="85" t="n"/>
      <c r="AG172" s="85" t="n"/>
      <c r="AH172" s="85">
        <f>IF($A172="","",IF(AND($E172="Yes",OR($V172="No",$V172="NOT FOUND")),"YES",""))</f>
        <v/>
      </c>
      <c r="AI172" s="85">
        <f>IF($A172="","",TRIM(IF(AND($M172=0,$I172&lt;&gt;"Yes"),"T0-NoPhishResistant ","")&amp;IF($H172="No","NoMFA ","")&amp;IF(AND($M172=0,$O172="Group only"),"T0-ViaGroupOnly ","")&amp;IF($N172="Yes","BroadAzureScope ","")&amp;IF($T172="Yes","AlsoEntraRole ","")))</f>
        <v/>
      </c>
      <c r="AJ172" s="85">
        <f>IF($A172="","",IF(AD172="","Not Enrolled",IF(TODAY()&gt;AD172,"Review Overdue",IF(AD172-TODAY()&lt;=30,"Review Due Soon","Active"))))</f>
        <v/>
      </c>
      <c r="AK172" s="85">
        <f>IF($A172="","",IF(AE172="","NOT REVIEWED",IF(TODAY()-AE172&gt;90,"OVERDUE",IF(TODAY()-AE172&gt;76,"Due Soon","Current"))))</f>
        <v/>
      </c>
    </row>
    <row r="173" ht="15" customHeight="1" s="39">
      <c r="A173" s="85" t="n"/>
      <c r="B173" s="85" t="n"/>
      <c r="C173" s="85" t="n"/>
      <c r="D173" s="85" t="n"/>
      <c r="E173" s="85" t="n"/>
      <c r="F173" s="86" t="n"/>
      <c r="G173" s="86" t="n"/>
      <c r="H173" s="85" t="n"/>
      <c r="I173" s="85" t="n"/>
      <c r="J173" s="85" t="n"/>
      <c r="K173" s="85" t="n"/>
      <c r="L173" s="85" t="n"/>
      <c r="M173" s="85" t="n"/>
      <c r="N173" s="85" t="n"/>
      <c r="O173" s="85" t="n"/>
      <c r="P173" s="85" t="n"/>
      <c r="Q173" s="85" t="n"/>
      <c r="R173" s="85" t="n"/>
      <c r="S173" s="85" t="n"/>
      <c r="T173" s="85" t="n"/>
      <c r="U173" s="85" t="n"/>
      <c r="V173" s="85" t="n"/>
      <c r="W173" s="85" t="n"/>
      <c r="X173" s="85" t="n"/>
      <c r="Y173" s="85" t="n"/>
      <c r="Z173" s="85" t="n"/>
      <c r="AA173" s="85" t="n"/>
      <c r="AB173" s="85" t="n"/>
      <c r="AC173" s="86" t="n"/>
      <c r="AD173" s="86" t="n"/>
      <c r="AE173" s="86" t="n"/>
      <c r="AF173" s="85" t="n"/>
      <c r="AG173" s="85" t="n"/>
      <c r="AH173" s="85">
        <f>IF($A173="","",IF(AND($E173="Yes",OR($V173="No",$V173="NOT FOUND")),"YES",""))</f>
        <v/>
      </c>
      <c r="AI173" s="85">
        <f>IF($A173="","",TRIM(IF(AND($M173=0,$I173&lt;&gt;"Yes"),"T0-NoPhishResistant ","")&amp;IF($H173="No","NoMFA ","")&amp;IF(AND($M173=0,$O173="Group only"),"T0-ViaGroupOnly ","")&amp;IF($N173="Yes","BroadAzureScope ","")&amp;IF($T173="Yes","AlsoEntraRole ","")))</f>
        <v/>
      </c>
      <c r="AJ173" s="85">
        <f>IF($A173="","",IF(AD173="","Not Enrolled",IF(TODAY()&gt;AD173,"Review Overdue",IF(AD173-TODAY()&lt;=30,"Review Due Soon","Active"))))</f>
        <v/>
      </c>
      <c r="AK173" s="85">
        <f>IF($A173="","",IF(AE173="","NOT REVIEWED",IF(TODAY()-AE173&gt;90,"OVERDUE",IF(TODAY()-AE173&gt;76,"Due Soon","Current"))))</f>
        <v/>
      </c>
    </row>
    <row r="174" ht="15" customHeight="1" s="39">
      <c r="A174" s="85" t="n"/>
      <c r="B174" s="85" t="n"/>
      <c r="C174" s="85" t="n"/>
      <c r="D174" s="85" t="n"/>
      <c r="E174" s="85" t="n"/>
      <c r="F174" s="86" t="n"/>
      <c r="G174" s="86" t="n"/>
      <c r="H174" s="85" t="n"/>
      <c r="I174" s="85" t="n"/>
      <c r="J174" s="85" t="n"/>
      <c r="K174" s="85" t="n"/>
      <c r="L174" s="85" t="n"/>
      <c r="M174" s="85" t="n"/>
      <c r="N174" s="85" t="n"/>
      <c r="O174" s="85" t="n"/>
      <c r="P174" s="85" t="n"/>
      <c r="Q174" s="85" t="n"/>
      <c r="R174" s="85" t="n"/>
      <c r="S174" s="85" t="n"/>
      <c r="T174" s="85" t="n"/>
      <c r="U174" s="85" t="n"/>
      <c r="V174" s="85" t="n"/>
      <c r="W174" s="85" t="n"/>
      <c r="X174" s="85" t="n"/>
      <c r="Y174" s="85" t="n"/>
      <c r="Z174" s="85" t="n"/>
      <c r="AA174" s="85" t="n"/>
      <c r="AB174" s="85" t="n"/>
      <c r="AC174" s="86" t="n"/>
      <c r="AD174" s="86" t="n"/>
      <c r="AE174" s="86" t="n"/>
      <c r="AF174" s="85" t="n"/>
      <c r="AG174" s="85" t="n"/>
      <c r="AH174" s="85">
        <f>IF($A174="","",IF(AND($E174="Yes",OR($V174="No",$V174="NOT FOUND")),"YES",""))</f>
        <v/>
      </c>
      <c r="AI174" s="85">
        <f>IF($A174="","",TRIM(IF(AND($M174=0,$I174&lt;&gt;"Yes"),"T0-NoPhishResistant ","")&amp;IF($H174="No","NoMFA ","")&amp;IF(AND($M174=0,$O174="Group only"),"T0-ViaGroupOnly ","")&amp;IF($N174="Yes","BroadAzureScope ","")&amp;IF($T174="Yes","AlsoEntraRole ","")))</f>
        <v/>
      </c>
      <c r="AJ174" s="85">
        <f>IF($A174="","",IF(AD174="","Not Enrolled",IF(TODAY()&gt;AD174,"Review Overdue",IF(AD174-TODAY()&lt;=30,"Review Due Soon","Active"))))</f>
        <v/>
      </c>
      <c r="AK174" s="85">
        <f>IF($A174="","",IF(AE174="","NOT REVIEWED",IF(TODAY()-AE174&gt;90,"OVERDUE",IF(TODAY()-AE174&gt;76,"Due Soon","Current"))))</f>
        <v/>
      </c>
    </row>
    <row r="175" ht="15" customHeight="1" s="39">
      <c r="A175" s="85" t="n"/>
      <c r="B175" s="85" t="n"/>
      <c r="C175" s="85" t="n"/>
      <c r="D175" s="85" t="n"/>
      <c r="E175" s="85" t="n"/>
      <c r="F175" s="86" t="n"/>
      <c r="G175" s="86" t="n"/>
      <c r="H175" s="85" t="n"/>
      <c r="I175" s="85" t="n"/>
      <c r="J175" s="85" t="n"/>
      <c r="K175" s="85" t="n"/>
      <c r="L175" s="85" t="n"/>
      <c r="M175" s="85" t="n"/>
      <c r="N175" s="85" t="n"/>
      <c r="O175" s="85" t="n"/>
      <c r="P175" s="85" t="n"/>
      <c r="Q175" s="85" t="n"/>
      <c r="R175" s="85" t="n"/>
      <c r="S175" s="85" t="n"/>
      <c r="T175" s="85" t="n"/>
      <c r="U175" s="85" t="n"/>
      <c r="V175" s="85" t="n"/>
      <c r="W175" s="85" t="n"/>
      <c r="X175" s="85" t="n"/>
      <c r="Y175" s="85" t="n"/>
      <c r="Z175" s="85" t="n"/>
      <c r="AA175" s="85" t="n"/>
      <c r="AB175" s="85" t="n"/>
      <c r="AC175" s="86" t="n"/>
      <c r="AD175" s="86" t="n"/>
      <c r="AE175" s="86" t="n"/>
      <c r="AF175" s="85" t="n"/>
      <c r="AG175" s="85" t="n"/>
      <c r="AH175" s="85">
        <f>IF($A175="","",IF(AND($E175="Yes",OR($V175="No",$V175="NOT FOUND")),"YES",""))</f>
        <v/>
      </c>
      <c r="AI175" s="85">
        <f>IF($A175="","",TRIM(IF(AND($M175=0,$I175&lt;&gt;"Yes"),"T0-NoPhishResistant ","")&amp;IF($H175="No","NoMFA ","")&amp;IF(AND($M175=0,$O175="Group only"),"T0-ViaGroupOnly ","")&amp;IF($N175="Yes","BroadAzureScope ","")&amp;IF($T175="Yes","AlsoEntraRole ","")))</f>
        <v/>
      </c>
      <c r="AJ175" s="85">
        <f>IF($A175="","",IF(AD175="","Not Enrolled",IF(TODAY()&gt;AD175,"Review Overdue",IF(AD175-TODAY()&lt;=30,"Review Due Soon","Active"))))</f>
        <v/>
      </c>
      <c r="AK175" s="85">
        <f>IF($A175="","",IF(AE175="","NOT REVIEWED",IF(TODAY()-AE175&gt;90,"OVERDUE",IF(TODAY()-AE175&gt;76,"Due Soon","Current"))))</f>
        <v/>
      </c>
    </row>
    <row r="176" ht="15" customHeight="1" s="39">
      <c r="A176" s="85" t="n"/>
      <c r="B176" s="85" t="n"/>
      <c r="C176" s="85" t="n"/>
      <c r="D176" s="85" t="n"/>
      <c r="E176" s="85" t="n"/>
      <c r="F176" s="86" t="n"/>
      <c r="G176" s="86" t="n"/>
      <c r="H176" s="85" t="n"/>
      <c r="I176" s="85" t="n"/>
      <c r="J176" s="85" t="n"/>
      <c r="K176" s="85" t="n"/>
      <c r="L176" s="85" t="n"/>
      <c r="M176" s="85" t="n"/>
      <c r="N176" s="85" t="n"/>
      <c r="O176" s="85" t="n"/>
      <c r="P176" s="85" t="n"/>
      <c r="Q176" s="85" t="n"/>
      <c r="R176" s="85" t="n"/>
      <c r="S176" s="85" t="n"/>
      <c r="T176" s="85" t="n"/>
      <c r="U176" s="85" t="n"/>
      <c r="V176" s="85" t="n"/>
      <c r="W176" s="85" t="n"/>
      <c r="X176" s="85" t="n"/>
      <c r="Y176" s="85" t="n"/>
      <c r="Z176" s="85" t="n"/>
      <c r="AA176" s="85" t="n"/>
      <c r="AB176" s="85" t="n"/>
      <c r="AC176" s="86" t="n"/>
      <c r="AD176" s="86" t="n"/>
      <c r="AE176" s="86" t="n"/>
      <c r="AF176" s="85" t="n"/>
      <c r="AG176" s="85" t="n"/>
      <c r="AH176" s="85">
        <f>IF($A176="","",IF(AND($E176="Yes",OR($V176="No",$V176="NOT FOUND")),"YES",""))</f>
        <v/>
      </c>
      <c r="AI176" s="85">
        <f>IF($A176="","",TRIM(IF(AND($M176=0,$I176&lt;&gt;"Yes"),"T0-NoPhishResistant ","")&amp;IF($H176="No","NoMFA ","")&amp;IF(AND($M176=0,$O176="Group only"),"T0-ViaGroupOnly ","")&amp;IF($N176="Yes","BroadAzureScope ","")&amp;IF($T176="Yes","AlsoEntraRole ","")))</f>
        <v/>
      </c>
      <c r="AJ176" s="85">
        <f>IF($A176="","",IF(AD176="","Not Enrolled",IF(TODAY()&gt;AD176,"Review Overdue",IF(AD176-TODAY()&lt;=30,"Review Due Soon","Active"))))</f>
        <v/>
      </c>
      <c r="AK176" s="85">
        <f>IF($A176="","",IF(AE176="","NOT REVIEWED",IF(TODAY()-AE176&gt;90,"OVERDUE",IF(TODAY()-AE176&gt;76,"Due Soon","Current"))))</f>
        <v/>
      </c>
    </row>
    <row r="177" ht="15" customHeight="1" s="39">
      <c r="A177" s="85" t="n"/>
      <c r="B177" s="85" t="n"/>
      <c r="C177" s="85" t="n"/>
      <c r="D177" s="85" t="n"/>
      <c r="E177" s="85" t="n"/>
      <c r="F177" s="86" t="n"/>
      <c r="G177" s="86" t="n"/>
      <c r="H177" s="85" t="n"/>
      <c r="I177" s="85" t="n"/>
      <c r="J177" s="85" t="n"/>
      <c r="K177" s="85" t="n"/>
      <c r="L177" s="85" t="n"/>
      <c r="M177" s="85" t="n"/>
      <c r="N177" s="85" t="n"/>
      <c r="O177" s="85" t="n"/>
      <c r="P177" s="85" t="n"/>
      <c r="Q177" s="85" t="n"/>
      <c r="R177" s="85" t="n"/>
      <c r="S177" s="85" t="n"/>
      <c r="T177" s="85" t="n"/>
      <c r="U177" s="85" t="n"/>
      <c r="V177" s="85" t="n"/>
      <c r="W177" s="85" t="n"/>
      <c r="X177" s="85" t="n"/>
      <c r="Y177" s="85" t="n"/>
      <c r="Z177" s="85" t="n"/>
      <c r="AA177" s="85" t="n"/>
      <c r="AB177" s="85" t="n"/>
      <c r="AC177" s="86" t="n"/>
      <c r="AD177" s="86" t="n"/>
      <c r="AE177" s="86" t="n"/>
      <c r="AF177" s="85" t="n"/>
      <c r="AG177" s="85" t="n"/>
      <c r="AH177" s="85">
        <f>IF($A177="","",IF(AND($E177="Yes",OR($V177="No",$V177="NOT FOUND")),"YES",""))</f>
        <v/>
      </c>
      <c r="AI177" s="85">
        <f>IF($A177="","",TRIM(IF(AND($M177=0,$I177&lt;&gt;"Yes"),"T0-NoPhishResistant ","")&amp;IF($H177="No","NoMFA ","")&amp;IF(AND($M177=0,$O177="Group only"),"T0-ViaGroupOnly ","")&amp;IF($N177="Yes","BroadAzureScope ","")&amp;IF($T177="Yes","AlsoEntraRole ","")))</f>
        <v/>
      </c>
      <c r="AJ177" s="85">
        <f>IF($A177="","",IF(AD177="","Not Enrolled",IF(TODAY()&gt;AD177,"Review Overdue",IF(AD177-TODAY()&lt;=30,"Review Due Soon","Active"))))</f>
        <v/>
      </c>
      <c r="AK177" s="85">
        <f>IF($A177="","",IF(AE177="","NOT REVIEWED",IF(TODAY()-AE177&gt;90,"OVERDUE",IF(TODAY()-AE177&gt;76,"Due Soon","Current"))))</f>
        <v/>
      </c>
    </row>
    <row r="178" ht="15" customHeight="1" s="39">
      <c r="A178" s="85" t="n"/>
      <c r="B178" s="85" t="n"/>
      <c r="C178" s="85" t="n"/>
      <c r="D178" s="85" t="n"/>
      <c r="E178" s="85" t="n"/>
      <c r="F178" s="86" t="n"/>
      <c r="G178" s="86" t="n"/>
      <c r="H178" s="85" t="n"/>
      <c r="I178" s="85" t="n"/>
      <c r="J178" s="85" t="n"/>
      <c r="K178" s="85" t="n"/>
      <c r="L178" s="85" t="n"/>
      <c r="M178" s="85" t="n"/>
      <c r="N178" s="85" t="n"/>
      <c r="O178" s="85" t="n"/>
      <c r="P178" s="85" t="n"/>
      <c r="Q178" s="85" t="n"/>
      <c r="R178" s="85" t="n"/>
      <c r="S178" s="85" t="n"/>
      <c r="T178" s="85" t="n"/>
      <c r="U178" s="85" t="n"/>
      <c r="V178" s="85" t="n"/>
      <c r="W178" s="85" t="n"/>
      <c r="X178" s="85" t="n"/>
      <c r="Y178" s="85" t="n"/>
      <c r="Z178" s="85" t="n"/>
      <c r="AA178" s="85" t="n"/>
      <c r="AB178" s="85" t="n"/>
      <c r="AC178" s="86" t="n"/>
      <c r="AD178" s="86" t="n"/>
      <c r="AE178" s="86" t="n"/>
      <c r="AF178" s="85" t="n"/>
      <c r="AG178" s="85" t="n"/>
      <c r="AH178" s="85">
        <f>IF($A178="","",IF(AND($E178="Yes",OR($V178="No",$V178="NOT FOUND")),"YES",""))</f>
        <v/>
      </c>
      <c r="AI178" s="85">
        <f>IF($A178="","",TRIM(IF(AND($M178=0,$I178&lt;&gt;"Yes"),"T0-NoPhishResistant ","")&amp;IF($H178="No","NoMFA ","")&amp;IF(AND($M178=0,$O178="Group only"),"T0-ViaGroupOnly ","")&amp;IF($N178="Yes","BroadAzureScope ","")&amp;IF($T178="Yes","AlsoEntraRole ","")))</f>
        <v/>
      </c>
      <c r="AJ178" s="85">
        <f>IF($A178="","",IF(AD178="","Not Enrolled",IF(TODAY()&gt;AD178,"Review Overdue",IF(AD178-TODAY()&lt;=30,"Review Due Soon","Active"))))</f>
        <v/>
      </c>
      <c r="AK178" s="85">
        <f>IF($A178="","",IF(AE178="","NOT REVIEWED",IF(TODAY()-AE178&gt;90,"OVERDUE",IF(TODAY()-AE178&gt;76,"Due Soon","Current"))))</f>
        <v/>
      </c>
    </row>
    <row r="179" ht="15" customHeight="1" s="39">
      <c r="A179" s="85" t="n"/>
      <c r="B179" s="85" t="n"/>
      <c r="C179" s="85" t="n"/>
      <c r="D179" s="85" t="n"/>
      <c r="E179" s="85" t="n"/>
      <c r="F179" s="86" t="n"/>
      <c r="G179" s="86" t="n"/>
      <c r="H179" s="85" t="n"/>
      <c r="I179" s="85" t="n"/>
      <c r="J179" s="85" t="n"/>
      <c r="K179" s="85" t="n"/>
      <c r="L179" s="85" t="n"/>
      <c r="M179" s="85" t="n"/>
      <c r="N179" s="85" t="n"/>
      <c r="O179" s="85" t="n"/>
      <c r="P179" s="85" t="n"/>
      <c r="Q179" s="85" t="n"/>
      <c r="R179" s="85" t="n"/>
      <c r="S179" s="85" t="n"/>
      <c r="T179" s="85" t="n"/>
      <c r="U179" s="85" t="n"/>
      <c r="V179" s="85" t="n"/>
      <c r="W179" s="85" t="n"/>
      <c r="X179" s="85" t="n"/>
      <c r="Y179" s="85" t="n"/>
      <c r="Z179" s="85" t="n"/>
      <c r="AA179" s="85" t="n"/>
      <c r="AB179" s="85" t="n"/>
      <c r="AC179" s="86" t="n"/>
      <c r="AD179" s="86" t="n"/>
      <c r="AE179" s="86" t="n"/>
      <c r="AF179" s="85" t="n"/>
      <c r="AG179" s="85" t="n"/>
      <c r="AH179" s="85">
        <f>IF($A179="","",IF(AND($E179="Yes",OR($V179="No",$V179="NOT FOUND")),"YES",""))</f>
        <v/>
      </c>
      <c r="AI179" s="85">
        <f>IF($A179="","",TRIM(IF(AND($M179=0,$I179&lt;&gt;"Yes"),"T0-NoPhishResistant ","")&amp;IF($H179="No","NoMFA ","")&amp;IF(AND($M179=0,$O179="Group only"),"T0-ViaGroupOnly ","")&amp;IF($N179="Yes","BroadAzureScope ","")&amp;IF($T179="Yes","AlsoEntraRole ","")))</f>
        <v/>
      </c>
      <c r="AJ179" s="85">
        <f>IF($A179="","",IF(AD179="","Not Enrolled",IF(TODAY()&gt;AD179,"Review Overdue",IF(AD179-TODAY()&lt;=30,"Review Due Soon","Active"))))</f>
        <v/>
      </c>
      <c r="AK179" s="85">
        <f>IF($A179="","",IF(AE179="","NOT REVIEWED",IF(TODAY()-AE179&gt;90,"OVERDUE",IF(TODAY()-AE179&gt;76,"Due Soon","Current"))))</f>
        <v/>
      </c>
    </row>
    <row r="180" ht="15" customHeight="1" s="39">
      <c r="A180" s="85" t="n"/>
      <c r="B180" s="85" t="n"/>
      <c r="C180" s="85" t="n"/>
      <c r="D180" s="85" t="n"/>
      <c r="E180" s="85" t="n"/>
      <c r="F180" s="86" t="n"/>
      <c r="G180" s="86" t="n"/>
      <c r="H180" s="85" t="n"/>
      <c r="I180" s="85" t="n"/>
      <c r="J180" s="85" t="n"/>
      <c r="K180" s="85" t="n"/>
      <c r="L180" s="85" t="n"/>
      <c r="M180" s="85" t="n"/>
      <c r="N180" s="85" t="n"/>
      <c r="O180" s="85" t="n"/>
      <c r="P180" s="85" t="n"/>
      <c r="Q180" s="85" t="n"/>
      <c r="R180" s="85" t="n"/>
      <c r="S180" s="85" t="n"/>
      <c r="T180" s="85" t="n"/>
      <c r="U180" s="85" t="n"/>
      <c r="V180" s="85" t="n"/>
      <c r="W180" s="85" t="n"/>
      <c r="X180" s="85" t="n"/>
      <c r="Y180" s="85" t="n"/>
      <c r="Z180" s="85" t="n"/>
      <c r="AA180" s="85" t="n"/>
      <c r="AB180" s="85" t="n"/>
      <c r="AC180" s="86" t="n"/>
      <c r="AD180" s="86" t="n"/>
      <c r="AE180" s="86" t="n"/>
      <c r="AF180" s="85" t="n"/>
      <c r="AG180" s="85" t="n"/>
      <c r="AH180" s="85">
        <f>IF($A180="","",IF(AND($E180="Yes",OR($V180="No",$V180="NOT FOUND")),"YES",""))</f>
        <v/>
      </c>
      <c r="AI180" s="85">
        <f>IF($A180="","",TRIM(IF(AND($M180=0,$I180&lt;&gt;"Yes"),"T0-NoPhishResistant ","")&amp;IF($H180="No","NoMFA ","")&amp;IF(AND($M180=0,$O180="Group only"),"T0-ViaGroupOnly ","")&amp;IF($N180="Yes","BroadAzureScope ","")&amp;IF($T180="Yes","AlsoEntraRole ","")))</f>
        <v/>
      </c>
      <c r="AJ180" s="85">
        <f>IF($A180="","",IF(AD180="","Not Enrolled",IF(TODAY()&gt;AD180,"Review Overdue",IF(AD180-TODAY()&lt;=30,"Review Due Soon","Active"))))</f>
        <v/>
      </c>
      <c r="AK180" s="85">
        <f>IF($A180="","",IF(AE180="","NOT REVIEWED",IF(TODAY()-AE180&gt;90,"OVERDUE",IF(TODAY()-AE180&gt;76,"Due Soon","Current"))))</f>
        <v/>
      </c>
    </row>
    <row r="181" ht="15" customHeight="1" s="39">
      <c r="A181" s="85" t="n"/>
      <c r="B181" s="85" t="n"/>
      <c r="C181" s="85" t="n"/>
      <c r="D181" s="85" t="n"/>
      <c r="E181" s="85" t="n"/>
      <c r="F181" s="86" t="n"/>
      <c r="G181" s="86" t="n"/>
      <c r="H181" s="85" t="n"/>
      <c r="I181" s="85" t="n"/>
      <c r="J181" s="85" t="n"/>
      <c r="K181" s="85" t="n"/>
      <c r="L181" s="85" t="n"/>
      <c r="M181" s="85" t="n"/>
      <c r="N181" s="85" t="n"/>
      <c r="O181" s="85" t="n"/>
      <c r="P181" s="85" t="n"/>
      <c r="Q181" s="85" t="n"/>
      <c r="R181" s="85" t="n"/>
      <c r="S181" s="85" t="n"/>
      <c r="T181" s="85" t="n"/>
      <c r="U181" s="85" t="n"/>
      <c r="V181" s="85" t="n"/>
      <c r="W181" s="85" t="n"/>
      <c r="X181" s="85" t="n"/>
      <c r="Y181" s="85" t="n"/>
      <c r="Z181" s="85" t="n"/>
      <c r="AA181" s="85" t="n"/>
      <c r="AB181" s="85" t="n"/>
      <c r="AC181" s="86" t="n"/>
      <c r="AD181" s="86" t="n"/>
      <c r="AE181" s="86" t="n"/>
      <c r="AF181" s="85" t="n"/>
      <c r="AG181" s="85" t="n"/>
      <c r="AH181" s="85">
        <f>IF($A181="","",IF(AND($E181="Yes",OR($V181="No",$V181="NOT FOUND")),"YES",""))</f>
        <v/>
      </c>
      <c r="AI181" s="85">
        <f>IF($A181="","",TRIM(IF(AND($M181=0,$I181&lt;&gt;"Yes"),"T0-NoPhishResistant ","")&amp;IF($H181="No","NoMFA ","")&amp;IF(AND($M181=0,$O181="Group only"),"T0-ViaGroupOnly ","")&amp;IF($N181="Yes","BroadAzureScope ","")&amp;IF($T181="Yes","AlsoEntraRole ","")))</f>
        <v/>
      </c>
      <c r="AJ181" s="85">
        <f>IF($A181="","",IF(AD181="","Not Enrolled",IF(TODAY()&gt;AD181,"Review Overdue",IF(AD181-TODAY()&lt;=30,"Review Due Soon","Active"))))</f>
        <v/>
      </c>
      <c r="AK181" s="85">
        <f>IF($A181="","",IF(AE181="","NOT REVIEWED",IF(TODAY()-AE181&gt;90,"OVERDUE",IF(TODAY()-AE181&gt;76,"Due Soon","Current"))))</f>
        <v/>
      </c>
    </row>
    <row r="182" ht="15" customHeight="1" s="39">
      <c r="A182" s="85" t="n"/>
      <c r="B182" s="85" t="n"/>
      <c r="C182" s="85" t="n"/>
      <c r="D182" s="85" t="n"/>
      <c r="E182" s="85" t="n"/>
      <c r="F182" s="86" t="n"/>
      <c r="G182" s="86" t="n"/>
      <c r="H182" s="85" t="n"/>
      <c r="I182" s="85" t="n"/>
      <c r="J182" s="85" t="n"/>
      <c r="K182" s="85" t="n"/>
      <c r="L182" s="85" t="n"/>
      <c r="M182" s="85" t="n"/>
      <c r="N182" s="85" t="n"/>
      <c r="O182" s="85" t="n"/>
      <c r="P182" s="85" t="n"/>
      <c r="Q182" s="85" t="n"/>
      <c r="R182" s="85" t="n"/>
      <c r="S182" s="85" t="n"/>
      <c r="T182" s="85" t="n"/>
      <c r="U182" s="85" t="n"/>
      <c r="V182" s="85" t="n"/>
      <c r="W182" s="85" t="n"/>
      <c r="X182" s="85" t="n"/>
      <c r="Y182" s="85" t="n"/>
      <c r="Z182" s="85" t="n"/>
      <c r="AA182" s="85" t="n"/>
      <c r="AB182" s="85" t="n"/>
      <c r="AC182" s="86" t="n"/>
      <c r="AD182" s="86" t="n"/>
      <c r="AE182" s="86" t="n"/>
      <c r="AF182" s="85" t="n"/>
      <c r="AG182" s="85" t="n"/>
      <c r="AH182" s="85">
        <f>IF($A182="","",IF(AND($E182="Yes",OR($V182="No",$V182="NOT FOUND")),"YES",""))</f>
        <v/>
      </c>
      <c r="AI182" s="85">
        <f>IF($A182="","",TRIM(IF(AND($M182=0,$I182&lt;&gt;"Yes"),"T0-NoPhishResistant ","")&amp;IF($H182="No","NoMFA ","")&amp;IF(AND($M182=0,$O182="Group only"),"T0-ViaGroupOnly ","")&amp;IF($N182="Yes","BroadAzureScope ","")&amp;IF($T182="Yes","AlsoEntraRole ","")))</f>
        <v/>
      </c>
      <c r="AJ182" s="85">
        <f>IF($A182="","",IF(AD182="","Not Enrolled",IF(TODAY()&gt;AD182,"Review Overdue",IF(AD182-TODAY()&lt;=30,"Review Due Soon","Active"))))</f>
        <v/>
      </c>
      <c r="AK182" s="85">
        <f>IF($A182="","",IF(AE182="","NOT REVIEWED",IF(TODAY()-AE182&gt;90,"OVERDUE",IF(TODAY()-AE182&gt;76,"Due Soon","Current"))))</f>
        <v/>
      </c>
    </row>
    <row r="183" ht="15" customHeight="1" s="39">
      <c r="A183" s="85" t="n"/>
      <c r="B183" s="85" t="n"/>
      <c r="C183" s="85" t="n"/>
      <c r="D183" s="85" t="n"/>
      <c r="E183" s="85" t="n"/>
      <c r="F183" s="86" t="n"/>
      <c r="G183" s="86" t="n"/>
      <c r="H183" s="85" t="n"/>
      <c r="I183" s="85" t="n"/>
      <c r="J183" s="85" t="n"/>
      <c r="K183" s="85" t="n"/>
      <c r="L183" s="85" t="n"/>
      <c r="M183" s="85" t="n"/>
      <c r="N183" s="85" t="n"/>
      <c r="O183" s="85" t="n"/>
      <c r="P183" s="85" t="n"/>
      <c r="Q183" s="85" t="n"/>
      <c r="R183" s="85" t="n"/>
      <c r="S183" s="85" t="n"/>
      <c r="T183" s="85" t="n"/>
      <c r="U183" s="85" t="n"/>
      <c r="V183" s="85" t="n"/>
      <c r="W183" s="85" t="n"/>
      <c r="X183" s="85" t="n"/>
      <c r="Y183" s="85" t="n"/>
      <c r="Z183" s="85" t="n"/>
      <c r="AA183" s="85" t="n"/>
      <c r="AB183" s="85" t="n"/>
      <c r="AC183" s="86" t="n"/>
      <c r="AD183" s="86" t="n"/>
      <c r="AE183" s="86" t="n"/>
      <c r="AF183" s="85" t="n"/>
      <c r="AG183" s="85" t="n"/>
      <c r="AH183" s="85">
        <f>IF($A183="","",IF(AND($E183="Yes",OR($V183="No",$V183="NOT FOUND")),"YES",""))</f>
        <v/>
      </c>
      <c r="AI183" s="85">
        <f>IF($A183="","",TRIM(IF(AND($M183=0,$I183&lt;&gt;"Yes"),"T0-NoPhishResistant ","")&amp;IF($H183="No","NoMFA ","")&amp;IF(AND($M183=0,$O183="Group only"),"T0-ViaGroupOnly ","")&amp;IF($N183="Yes","BroadAzureScope ","")&amp;IF($T183="Yes","AlsoEntraRole ","")))</f>
        <v/>
      </c>
      <c r="AJ183" s="85">
        <f>IF($A183="","",IF(AD183="","Not Enrolled",IF(TODAY()&gt;AD183,"Review Overdue",IF(AD183-TODAY()&lt;=30,"Review Due Soon","Active"))))</f>
        <v/>
      </c>
      <c r="AK183" s="85">
        <f>IF($A183="","",IF(AE183="","NOT REVIEWED",IF(TODAY()-AE183&gt;90,"OVERDUE",IF(TODAY()-AE183&gt;76,"Due Soon","Current"))))</f>
        <v/>
      </c>
    </row>
    <row r="184" ht="15" customHeight="1" s="39">
      <c r="A184" s="85" t="n"/>
      <c r="B184" s="85" t="n"/>
      <c r="C184" s="85" t="n"/>
      <c r="D184" s="85" t="n"/>
      <c r="E184" s="85" t="n"/>
      <c r="F184" s="86" t="n"/>
      <c r="G184" s="86" t="n"/>
      <c r="H184" s="85" t="n"/>
      <c r="I184" s="85" t="n"/>
      <c r="J184" s="85" t="n"/>
      <c r="K184" s="85" t="n"/>
      <c r="L184" s="85" t="n"/>
      <c r="M184" s="85" t="n"/>
      <c r="N184" s="85" t="n"/>
      <c r="O184" s="85" t="n"/>
      <c r="P184" s="85" t="n"/>
      <c r="Q184" s="85" t="n"/>
      <c r="R184" s="85" t="n"/>
      <c r="S184" s="85" t="n"/>
      <c r="T184" s="85" t="n"/>
      <c r="U184" s="85" t="n"/>
      <c r="V184" s="85" t="n"/>
      <c r="W184" s="85" t="n"/>
      <c r="X184" s="85" t="n"/>
      <c r="Y184" s="85" t="n"/>
      <c r="Z184" s="85" t="n"/>
      <c r="AA184" s="85" t="n"/>
      <c r="AB184" s="85" t="n"/>
      <c r="AC184" s="86" t="n"/>
      <c r="AD184" s="86" t="n"/>
      <c r="AE184" s="86" t="n"/>
      <c r="AF184" s="85" t="n"/>
      <c r="AG184" s="85" t="n"/>
      <c r="AH184" s="85">
        <f>IF($A184="","",IF(AND($E184="Yes",OR($V184="No",$V184="NOT FOUND")),"YES",""))</f>
        <v/>
      </c>
      <c r="AI184" s="85">
        <f>IF($A184="","",TRIM(IF(AND($M184=0,$I184&lt;&gt;"Yes"),"T0-NoPhishResistant ","")&amp;IF($H184="No","NoMFA ","")&amp;IF(AND($M184=0,$O184="Group only"),"T0-ViaGroupOnly ","")&amp;IF($N184="Yes","BroadAzureScope ","")&amp;IF($T184="Yes","AlsoEntraRole ","")))</f>
        <v/>
      </c>
      <c r="AJ184" s="85">
        <f>IF($A184="","",IF(AD184="","Not Enrolled",IF(TODAY()&gt;AD184,"Review Overdue",IF(AD184-TODAY()&lt;=30,"Review Due Soon","Active"))))</f>
        <v/>
      </c>
      <c r="AK184" s="85">
        <f>IF($A184="","",IF(AE184="","NOT REVIEWED",IF(TODAY()-AE184&gt;90,"OVERDUE",IF(TODAY()-AE184&gt;76,"Due Soon","Current"))))</f>
        <v/>
      </c>
    </row>
    <row r="185" ht="15" customHeight="1" s="39">
      <c r="A185" s="85" t="n"/>
      <c r="B185" s="85" t="n"/>
      <c r="C185" s="85" t="n"/>
      <c r="D185" s="85" t="n"/>
      <c r="E185" s="85" t="n"/>
      <c r="F185" s="86" t="n"/>
      <c r="G185" s="86" t="n"/>
      <c r="H185" s="85" t="n"/>
      <c r="I185" s="85" t="n"/>
      <c r="J185" s="85" t="n"/>
      <c r="K185" s="85" t="n"/>
      <c r="L185" s="85" t="n"/>
      <c r="M185" s="85" t="n"/>
      <c r="N185" s="85" t="n"/>
      <c r="O185" s="85" t="n"/>
      <c r="P185" s="85" t="n"/>
      <c r="Q185" s="85" t="n"/>
      <c r="R185" s="85" t="n"/>
      <c r="S185" s="85" t="n"/>
      <c r="T185" s="85" t="n"/>
      <c r="U185" s="85" t="n"/>
      <c r="V185" s="85" t="n"/>
      <c r="W185" s="85" t="n"/>
      <c r="X185" s="85" t="n"/>
      <c r="Y185" s="85" t="n"/>
      <c r="Z185" s="85" t="n"/>
      <c r="AA185" s="85" t="n"/>
      <c r="AB185" s="85" t="n"/>
      <c r="AC185" s="86" t="n"/>
      <c r="AD185" s="86" t="n"/>
      <c r="AE185" s="86" t="n"/>
      <c r="AF185" s="85" t="n"/>
      <c r="AG185" s="85" t="n"/>
      <c r="AH185" s="85">
        <f>IF($A185="","",IF(AND($E185="Yes",OR($V185="No",$V185="NOT FOUND")),"YES",""))</f>
        <v/>
      </c>
      <c r="AI185" s="85">
        <f>IF($A185="","",TRIM(IF(AND($M185=0,$I185&lt;&gt;"Yes"),"T0-NoPhishResistant ","")&amp;IF($H185="No","NoMFA ","")&amp;IF(AND($M185=0,$O185="Group only"),"T0-ViaGroupOnly ","")&amp;IF($N185="Yes","BroadAzureScope ","")&amp;IF($T185="Yes","AlsoEntraRole ","")))</f>
        <v/>
      </c>
      <c r="AJ185" s="85">
        <f>IF($A185="","",IF(AD185="","Not Enrolled",IF(TODAY()&gt;AD185,"Review Overdue",IF(AD185-TODAY()&lt;=30,"Review Due Soon","Active"))))</f>
        <v/>
      </c>
      <c r="AK185" s="85">
        <f>IF($A185="","",IF(AE185="","NOT REVIEWED",IF(TODAY()-AE185&gt;90,"OVERDUE",IF(TODAY()-AE185&gt;76,"Due Soon","Current"))))</f>
        <v/>
      </c>
    </row>
    <row r="186" ht="15" customHeight="1" s="39">
      <c r="A186" s="85" t="n"/>
      <c r="B186" s="85" t="n"/>
      <c r="C186" s="85" t="n"/>
      <c r="D186" s="85" t="n"/>
      <c r="E186" s="85" t="n"/>
      <c r="F186" s="86" t="n"/>
      <c r="G186" s="86" t="n"/>
      <c r="H186" s="85" t="n"/>
      <c r="I186" s="85" t="n"/>
      <c r="J186" s="85" t="n"/>
      <c r="K186" s="85" t="n"/>
      <c r="L186" s="85" t="n"/>
      <c r="M186" s="85" t="n"/>
      <c r="N186" s="85" t="n"/>
      <c r="O186" s="85" t="n"/>
      <c r="P186" s="85" t="n"/>
      <c r="Q186" s="85" t="n"/>
      <c r="R186" s="85" t="n"/>
      <c r="S186" s="85" t="n"/>
      <c r="T186" s="85" t="n"/>
      <c r="U186" s="85" t="n"/>
      <c r="V186" s="85" t="n"/>
      <c r="W186" s="85" t="n"/>
      <c r="X186" s="85" t="n"/>
      <c r="Y186" s="85" t="n"/>
      <c r="Z186" s="85" t="n"/>
      <c r="AA186" s="85" t="n"/>
      <c r="AB186" s="85" t="n"/>
      <c r="AC186" s="86" t="n"/>
      <c r="AD186" s="86" t="n"/>
      <c r="AE186" s="86" t="n"/>
      <c r="AF186" s="85" t="n"/>
      <c r="AG186" s="85" t="n"/>
      <c r="AH186" s="85">
        <f>IF($A186="","",IF(AND($E186="Yes",OR($V186="No",$V186="NOT FOUND")),"YES",""))</f>
        <v/>
      </c>
      <c r="AI186" s="85">
        <f>IF($A186="","",TRIM(IF(AND($M186=0,$I186&lt;&gt;"Yes"),"T0-NoPhishResistant ","")&amp;IF($H186="No","NoMFA ","")&amp;IF(AND($M186=0,$O186="Group only"),"T0-ViaGroupOnly ","")&amp;IF($N186="Yes","BroadAzureScope ","")&amp;IF($T186="Yes","AlsoEntraRole ","")))</f>
        <v/>
      </c>
      <c r="AJ186" s="85">
        <f>IF($A186="","",IF(AD186="","Not Enrolled",IF(TODAY()&gt;AD186,"Review Overdue",IF(AD186-TODAY()&lt;=30,"Review Due Soon","Active"))))</f>
        <v/>
      </c>
      <c r="AK186" s="85">
        <f>IF($A186="","",IF(AE186="","NOT REVIEWED",IF(TODAY()-AE186&gt;90,"OVERDUE",IF(TODAY()-AE186&gt;76,"Due Soon","Current"))))</f>
        <v/>
      </c>
    </row>
    <row r="187" ht="15" customHeight="1" s="39">
      <c r="A187" s="85" t="n"/>
      <c r="B187" s="85" t="n"/>
      <c r="C187" s="85" t="n"/>
      <c r="D187" s="85" t="n"/>
      <c r="E187" s="85" t="n"/>
      <c r="F187" s="86" t="n"/>
      <c r="G187" s="86" t="n"/>
      <c r="H187" s="85" t="n"/>
      <c r="I187" s="85" t="n"/>
      <c r="J187" s="85" t="n"/>
      <c r="K187" s="85" t="n"/>
      <c r="L187" s="85" t="n"/>
      <c r="M187" s="85" t="n"/>
      <c r="N187" s="85" t="n"/>
      <c r="O187" s="85" t="n"/>
      <c r="P187" s="85" t="n"/>
      <c r="Q187" s="85" t="n"/>
      <c r="R187" s="85" t="n"/>
      <c r="S187" s="85" t="n"/>
      <c r="T187" s="85" t="n"/>
      <c r="U187" s="85" t="n"/>
      <c r="V187" s="85" t="n"/>
      <c r="W187" s="85" t="n"/>
      <c r="X187" s="85" t="n"/>
      <c r="Y187" s="85" t="n"/>
      <c r="Z187" s="85" t="n"/>
      <c r="AA187" s="85" t="n"/>
      <c r="AB187" s="85" t="n"/>
      <c r="AC187" s="86" t="n"/>
      <c r="AD187" s="86" t="n"/>
      <c r="AE187" s="86" t="n"/>
      <c r="AF187" s="85" t="n"/>
      <c r="AG187" s="85" t="n"/>
      <c r="AH187" s="85">
        <f>IF($A187="","",IF(AND($E187="Yes",OR($V187="No",$V187="NOT FOUND")),"YES",""))</f>
        <v/>
      </c>
      <c r="AI187" s="85">
        <f>IF($A187="","",TRIM(IF(AND($M187=0,$I187&lt;&gt;"Yes"),"T0-NoPhishResistant ","")&amp;IF($H187="No","NoMFA ","")&amp;IF(AND($M187=0,$O187="Group only"),"T0-ViaGroupOnly ","")&amp;IF($N187="Yes","BroadAzureScope ","")&amp;IF($T187="Yes","AlsoEntraRole ","")))</f>
        <v/>
      </c>
      <c r="AJ187" s="85">
        <f>IF($A187="","",IF(AD187="","Not Enrolled",IF(TODAY()&gt;AD187,"Review Overdue",IF(AD187-TODAY()&lt;=30,"Review Due Soon","Active"))))</f>
        <v/>
      </c>
      <c r="AK187" s="85">
        <f>IF($A187="","",IF(AE187="","NOT REVIEWED",IF(TODAY()-AE187&gt;90,"OVERDUE",IF(TODAY()-AE187&gt;76,"Due Soon","Current"))))</f>
        <v/>
      </c>
    </row>
    <row r="188" ht="15" customHeight="1" s="39">
      <c r="A188" s="85" t="n"/>
      <c r="B188" s="85" t="n"/>
      <c r="C188" s="85" t="n"/>
      <c r="D188" s="85" t="n"/>
      <c r="E188" s="85" t="n"/>
      <c r="F188" s="86" t="n"/>
      <c r="G188" s="86" t="n"/>
      <c r="H188" s="85" t="n"/>
      <c r="I188" s="85" t="n"/>
      <c r="J188" s="85" t="n"/>
      <c r="K188" s="85" t="n"/>
      <c r="L188" s="85" t="n"/>
      <c r="M188" s="85" t="n"/>
      <c r="N188" s="85" t="n"/>
      <c r="O188" s="85" t="n"/>
      <c r="P188" s="85" t="n"/>
      <c r="Q188" s="85" t="n"/>
      <c r="R188" s="85" t="n"/>
      <c r="S188" s="85" t="n"/>
      <c r="T188" s="85" t="n"/>
      <c r="U188" s="85" t="n"/>
      <c r="V188" s="85" t="n"/>
      <c r="W188" s="85" t="n"/>
      <c r="X188" s="85" t="n"/>
      <c r="Y188" s="85" t="n"/>
      <c r="Z188" s="85" t="n"/>
      <c r="AA188" s="85" t="n"/>
      <c r="AB188" s="85" t="n"/>
      <c r="AC188" s="86" t="n"/>
      <c r="AD188" s="86" t="n"/>
      <c r="AE188" s="86" t="n"/>
      <c r="AF188" s="85" t="n"/>
      <c r="AG188" s="85" t="n"/>
      <c r="AH188" s="85">
        <f>IF($A188="","",IF(AND($E188="Yes",OR($V188="No",$V188="NOT FOUND")),"YES",""))</f>
        <v/>
      </c>
      <c r="AI188" s="85">
        <f>IF($A188="","",TRIM(IF(AND($M188=0,$I188&lt;&gt;"Yes"),"T0-NoPhishResistant ","")&amp;IF($H188="No","NoMFA ","")&amp;IF(AND($M188=0,$O188="Group only"),"T0-ViaGroupOnly ","")&amp;IF($N188="Yes","BroadAzureScope ","")&amp;IF($T188="Yes","AlsoEntraRole ","")))</f>
        <v/>
      </c>
      <c r="AJ188" s="85">
        <f>IF($A188="","",IF(AD188="","Not Enrolled",IF(TODAY()&gt;AD188,"Review Overdue",IF(AD188-TODAY()&lt;=30,"Review Due Soon","Active"))))</f>
        <v/>
      </c>
      <c r="AK188" s="85">
        <f>IF($A188="","",IF(AE188="","NOT REVIEWED",IF(TODAY()-AE188&gt;90,"OVERDUE",IF(TODAY()-AE188&gt;76,"Due Soon","Current"))))</f>
        <v/>
      </c>
    </row>
    <row r="189" ht="15" customHeight="1" s="39">
      <c r="A189" s="85" t="n"/>
      <c r="B189" s="85" t="n"/>
      <c r="C189" s="85" t="n"/>
      <c r="D189" s="85" t="n"/>
      <c r="E189" s="85" t="n"/>
      <c r="F189" s="86" t="n"/>
      <c r="G189" s="86" t="n"/>
      <c r="H189" s="85" t="n"/>
      <c r="I189" s="85" t="n"/>
      <c r="J189" s="85" t="n"/>
      <c r="K189" s="85" t="n"/>
      <c r="L189" s="85" t="n"/>
      <c r="M189" s="85" t="n"/>
      <c r="N189" s="85" t="n"/>
      <c r="O189" s="85" t="n"/>
      <c r="P189" s="85" t="n"/>
      <c r="Q189" s="85" t="n"/>
      <c r="R189" s="85" t="n"/>
      <c r="S189" s="85" t="n"/>
      <c r="T189" s="85" t="n"/>
      <c r="U189" s="85" t="n"/>
      <c r="V189" s="85" t="n"/>
      <c r="W189" s="85" t="n"/>
      <c r="X189" s="85" t="n"/>
      <c r="Y189" s="85" t="n"/>
      <c r="Z189" s="85" t="n"/>
      <c r="AA189" s="85" t="n"/>
      <c r="AB189" s="85" t="n"/>
      <c r="AC189" s="86" t="n"/>
      <c r="AD189" s="86" t="n"/>
      <c r="AE189" s="86" t="n"/>
      <c r="AF189" s="85" t="n"/>
      <c r="AG189" s="85" t="n"/>
      <c r="AH189" s="85">
        <f>IF($A189="","",IF(AND($E189="Yes",OR($V189="No",$V189="NOT FOUND")),"YES",""))</f>
        <v/>
      </c>
      <c r="AI189" s="85">
        <f>IF($A189="","",TRIM(IF(AND($M189=0,$I189&lt;&gt;"Yes"),"T0-NoPhishResistant ","")&amp;IF($H189="No","NoMFA ","")&amp;IF(AND($M189=0,$O189="Group only"),"T0-ViaGroupOnly ","")&amp;IF($N189="Yes","BroadAzureScope ","")&amp;IF($T189="Yes","AlsoEntraRole ","")))</f>
        <v/>
      </c>
      <c r="AJ189" s="85">
        <f>IF($A189="","",IF(AD189="","Not Enrolled",IF(TODAY()&gt;AD189,"Review Overdue",IF(AD189-TODAY()&lt;=30,"Review Due Soon","Active"))))</f>
        <v/>
      </c>
      <c r="AK189" s="85">
        <f>IF($A189="","",IF(AE189="","NOT REVIEWED",IF(TODAY()-AE189&gt;90,"OVERDUE",IF(TODAY()-AE189&gt;76,"Due Soon","Current"))))</f>
        <v/>
      </c>
    </row>
    <row r="190" ht="15" customHeight="1" s="39">
      <c r="A190" s="85" t="n"/>
      <c r="B190" s="85" t="n"/>
      <c r="C190" s="85" t="n"/>
      <c r="D190" s="85" t="n"/>
      <c r="E190" s="85" t="n"/>
      <c r="F190" s="86" t="n"/>
      <c r="G190" s="86" t="n"/>
      <c r="H190" s="85" t="n"/>
      <c r="I190" s="85" t="n"/>
      <c r="J190" s="85" t="n"/>
      <c r="K190" s="85" t="n"/>
      <c r="L190" s="85" t="n"/>
      <c r="M190" s="85" t="n"/>
      <c r="N190" s="85" t="n"/>
      <c r="O190" s="85" t="n"/>
      <c r="P190" s="85" t="n"/>
      <c r="Q190" s="85" t="n"/>
      <c r="R190" s="85" t="n"/>
      <c r="S190" s="85" t="n"/>
      <c r="T190" s="85" t="n"/>
      <c r="U190" s="85" t="n"/>
      <c r="V190" s="85" t="n"/>
      <c r="W190" s="85" t="n"/>
      <c r="X190" s="85" t="n"/>
      <c r="Y190" s="85" t="n"/>
      <c r="Z190" s="85" t="n"/>
      <c r="AA190" s="85" t="n"/>
      <c r="AB190" s="85" t="n"/>
      <c r="AC190" s="86" t="n"/>
      <c r="AD190" s="86" t="n"/>
      <c r="AE190" s="86" t="n"/>
      <c r="AF190" s="85" t="n"/>
      <c r="AG190" s="85" t="n"/>
      <c r="AH190" s="85">
        <f>IF($A190="","",IF(AND($E190="Yes",OR($V190="No",$V190="NOT FOUND")),"YES",""))</f>
        <v/>
      </c>
      <c r="AI190" s="85">
        <f>IF($A190="","",TRIM(IF(AND($M190=0,$I190&lt;&gt;"Yes"),"T0-NoPhishResistant ","")&amp;IF($H190="No","NoMFA ","")&amp;IF(AND($M190=0,$O190="Group only"),"T0-ViaGroupOnly ","")&amp;IF($N190="Yes","BroadAzureScope ","")&amp;IF($T190="Yes","AlsoEntraRole ","")))</f>
        <v/>
      </c>
      <c r="AJ190" s="85">
        <f>IF($A190="","",IF(AD190="","Not Enrolled",IF(TODAY()&gt;AD190,"Review Overdue",IF(AD190-TODAY()&lt;=30,"Review Due Soon","Active"))))</f>
        <v/>
      </c>
      <c r="AK190" s="85">
        <f>IF($A190="","",IF(AE190="","NOT REVIEWED",IF(TODAY()-AE190&gt;90,"OVERDUE",IF(TODAY()-AE190&gt;76,"Due Soon","Current"))))</f>
        <v/>
      </c>
    </row>
    <row r="191" ht="15" customHeight="1" s="39">
      <c r="A191" s="85" t="n"/>
      <c r="B191" s="85" t="n"/>
      <c r="C191" s="85" t="n"/>
      <c r="D191" s="85" t="n"/>
      <c r="E191" s="85" t="n"/>
      <c r="F191" s="86" t="n"/>
      <c r="G191" s="86" t="n"/>
      <c r="H191" s="85" t="n"/>
      <c r="I191" s="85" t="n"/>
      <c r="J191" s="85" t="n"/>
      <c r="K191" s="85" t="n"/>
      <c r="L191" s="85" t="n"/>
      <c r="M191" s="85" t="n"/>
      <c r="N191" s="85" t="n"/>
      <c r="O191" s="85" t="n"/>
      <c r="P191" s="85" t="n"/>
      <c r="Q191" s="85" t="n"/>
      <c r="R191" s="85" t="n"/>
      <c r="S191" s="85" t="n"/>
      <c r="T191" s="85" t="n"/>
      <c r="U191" s="85" t="n"/>
      <c r="V191" s="85" t="n"/>
      <c r="W191" s="85" t="n"/>
      <c r="X191" s="85" t="n"/>
      <c r="Y191" s="85" t="n"/>
      <c r="Z191" s="85" t="n"/>
      <c r="AA191" s="85" t="n"/>
      <c r="AB191" s="85" t="n"/>
      <c r="AC191" s="86" t="n"/>
      <c r="AD191" s="86" t="n"/>
      <c r="AE191" s="86" t="n"/>
      <c r="AF191" s="85" t="n"/>
      <c r="AG191" s="85" t="n"/>
      <c r="AH191" s="85">
        <f>IF($A191="","",IF(AND($E191="Yes",OR($V191="No",$V191="NOT FOUND")),"YES",""))</f>
        <v/>
      </c>
      <c r="AI191" s="85">
        <f>IF($A191="","",TRIM(IF(AND($M191=0,$I191&lt;&gt;"Yes"),"T0-NoPhishResistant ","")&amp;IF($H191="No","NoMFA ","")&amp;IF(AND($M191=0,$O191="Group only"),"T0-ViaGroupOnly ","")&amp;IF($N191="Yes","BroadAzureScope ","")&amp;IF($T191="Yes","AlsoEntraRole ","")))</f>
        <v/>
      </c>
      <c r="AJ191" s="85">
        <f>IF($A191="","",IF(AD191="","Not Enrolled",IF(TODAY()&gt;AD191,"Review Overdue",IF(AD191-TODAY()&lt;=30,"Review Due Soon","Active"))))</f>
        <v/>
      </c>
      <c r="AK191" s="85">
        <f>IF($A191="","",IF(AE191="","NOT REVIEWED",IF(TODAY()-AE191&gt;90,"OVERDUE",IF(TODAY()-AE191&gt;76,"Due Soon","Current"))))</f>
        <v/>
      </c>
    </row>
    <row r="192" ht="15" customHeight="1" s="39">
      <c r="A192" s="85" t="n"/>
      <c r="B192" s="85" t="n"/>
      <c r="C192" s="85" t="n"/>
      <c r="D192" s="85" t="n"/>
      <c r="E192" s="85" t="n"/>
      <c r="F192" s="86" t="n"/>
      <c r="G192" s="86" t="n"/>
      <c r="H192" s="85" t="n"/>
      <c r="I192" s="85" t="n"/>
      <c r="J192" s="85" t="n"/>
      <c r="K192" s="85" t="n"/>
      <c r="L192" s="85" t="n"/>
      <c r="M192" s="85" t="n"/>
      <c r="N192" s="85" t="n"/>
      <c r="O192" s="85" t="n"/>
      <c r="P192" s="85" t="n"/>
      <c r="Q192" s="85" t="n"/>
      <c r="R192" s="85" t="n"/>
      <c r="S192" s="85" t="n"/>
      <c r="T192" s="85" t="n"/>
      <c r="U192" s="85" t="n"/>
      <c r="V192" s="85" t="n"/>
      <c r="W192" s="85" t="n"/>
      <c r="X192" s="85" t="n"/>
      <c r="Y192" s="85" t="n"/>
      <c r="Z192" s="85" t="n"/>
      <c r="AA192" s="85" t="n"/>
      <c r="AB192" s="85" t="n"/>
      <c r="AC192" s="86" t="n"/>
      <c r="AD192" s="86" t="n"/>
      <c r="AE192" s="86" t="n"/>
      <c r="AF192" s="85" t="n"/>
      <c r="AG192" s="85" t="n"/>
      <c r="AH192" s="85">
        <f>IF($A192="","",IF(AND($E192="Yes",OR($V192="No",$V192="NOT FOUND")),"YES",""))</f>
        <v/>
      </c>
      <c r="AI192" s="85">
        <f>IF($A192="","",TRIM(IF(AND($M192=0,$I192&lt;&gt;"Yes"),"T0-NoPhishResistant ","")&amp;IF($H192="No","NoMFA ","")&amp;IF(AND($M192=0,$O192="Group only"),"T0-ViaGroupOnly ","")&amp;IF($N192="Yes","BroadAzureScope ","")&amp;IF($T192="Yes","AlsoEntraRole ","")))</f>
        <v/>
      </c>
      <c r="AJ192" s="85">
        <f>IF($A192="","",IF(AD192="","Not Enrolled",IF(TODAY()&gt;AD192,"Review Overdue",IF(AD192-TODAY()&lt;=30,"Review Due Soon","Active"))))</f>
        <v/>
      </c>
      <c r="AK192" s="85">
        <f>IF($A192="","",IF(AE192="","NOT REVIEWED",IF(TODAY()-AE192&gt;90,"OVERDUE",IF(TODAY()-AE192&gt;76,"Due Soon","Current"))))</f>
        <v/>
      </c>
    </row>
    <row r="193" ht="15" customHeight="1" s="39">
      <c r="A193" s="85" t="n"/>
      <c r="B193" s="85" t="n"/>
      <c r="C193" s="85" t="n"/>
      <c r="D193" s="85" t="n"/>
      <c r="E193" s="85" t="n"/>
      <c r="F193" s="86" t="n"/>
      <c r="G193" s="86" t="n"/>
      <c r="H193" s="85" t="n"/>
      <c r="I193" s="85" t="n"/>
      <c r="J193" s="85" t="n"/>
      <c r="K193" s="85" t="n"/>
      <c r="L193" s="85" t="n"/>
      <c r="M193" s="85" t="n"/>
      <c r="N193" s="85" t="n"/>
      <c r="O193" s="85" t="n"/>
      <c r="P193" s="85" t="n"/>
      <c r="Q193" s="85" t="n"/>
      <c r="R193" s="85" t="n"/>
      <c r="S193" s="85" t="n"/>
      <c r="T193" s="85" t="n"/>
      <c r="U193" s="85" t="n"/>
      <c r="V193" s="85" t="n"/>
      <c r="W193" s="85" t="n"/>
      <c r="X193" s="85" t="n"/>
      <c r="Y193" s="85" t="n"/>
      <c r="Z193" s="85" t="n"/>
      <c r="AA193" s="85" t="n"/>
      <c r="AB193" s="85" t="n"/>
      <c r="AC193" s="86" t="n"/>
      <c r="AD193" s="86" t="n"/>
      <c r="AE193" s="86" t="n"/>
      <c r="AF193" s="85" t="n"/>
      <c r="AG193" s="85" t="n"/>
      <c r="AH193" s="85">
        <f>IF($A193="","",IF(AND($E193="Yes",OR($V193="No",$V193="NOT FOUND")),"YES",""))</f>
        <v/>
      </c>
      <c r="AI193" s="85">
        <f>IF($A193="","",TRIM(IF(AND($M193=0,$I193&lt;&gt;"Yes"),"T0-NoPhishResistant ","")&amp;IF($H193="No","NoMFA ","")&amp;IF(AND($M193=0,$O193="Group only"),"T0-ViaGroupOnly ","")&amp;IF($N193="Yes","BroadAzureScope ","")&amp;IF($T193="Yes","AlsoEntraRole ","")))</f>
        <v/>
      </c>
      <c r="AJ193" s="85">
        <f>IF($A193="","",IF(AD193="","Not Enrolled",IF(TODAY()&gt;AD193,"Review Overdue",IF(AD193-TODAY()&lt;=30,"Review Due Soon","Active"))))</f>
        <v/>
      </c>
      <c r="AK193" s="85">
        <f>IF($A193="","",IF(AE193="","NOT REVIEWED",IF(TODAY()-AE193&gt;90,"OVERDUE",IF(TODAY()-AE193&gt;76,"Due Soon","Current"))))</f>
        <v/>
      </c>
    </row>
    <row r="194" ht="15" customHeight="1" s="39">
      <c r="A194" s="85" t="n"/>
      <c r="B194" s="85" t="n"/>
      <c r="C194" s="85" t="n"/>
      <c r="D194" s="85" t="n"/>
      <c r="E194" s="85" t="n"/>
      <c r="F194" s="86" t="n"/>
      <c r="G194" s="86" t="n"/>
      <c r="H194" s="85" t="n"/>
      <c r="I194" s="85" t="n"/>
      <c r="J194" s="85" t="n"/>
      <c r="K194" s="85" t="n"/>
      <c r="L194" s="85" t="n"/>
      <c r="M194" s="85" t="n"/>
      <c r="N194" s="85" t="n"/>
      <c r="O194" s="85" t="n"/>
      <c r="P194" s="85" t="n"/>
      <c r="Q194" s="85" t="n"/>
      <c r="R194" s="85" t="n"/>
      <c r="S194" s="85" t="n"/>
      <c r="T194" s="85" t="n"/>
      <c r="U194" s="85" t="n"/>
      <c r="V194" s="85" t="n"/>
      <c r="W194" s="85" t="n"/>
      <c r="X194" s="85" t="n"/>
      <c r="Y194" s="85" t="n"/>
      <c r="Z194" s="85" t="n"/>
      <c r="AA194" s="85" t="n"/>
      <c r="AB194" s="85" t="n"/>
      <c r="AC194" s="86" t="n"/>
      <c r="AD194" s="86" t="n"/>
      <c r="AE194" s="86" t="n"/>
      <c r="AF194" s="85" t="n"/>
      <c r="AG194" s="85" t="n"/>
      <c r="AH194" s="85">
        <f>IF($A194="","",IF(AND($E194="Yes",OR($V194="No",$V194="NOT FOUND")),"YES",""))</f>
        <v/>
      </c>
      <c r="AI194" s="85">
        <f>IF($A194="","",TRIM(IF(AND($M194=0,$I194&lt;&gt;"Yes"),"T0-NoPhishResistant ","")&amp;IF($H194="No","NoMFA ","")&amp;IF(AND($M194=0,$O194="Group only"),"T0-ViaGroupOnly ","")&amp;IF($N194="Yes","BroadAzureScope ","")&amp;IF($T194="Yes","AlsoEntraRole ","")))</f>
        <v/>
      </c>
      <c r="AJ194" s="85">
        <f>IF($A194="","",IF(AD194="","Not Enrolled",IF(TODAY()&gt;AD194,"Review Overdue",IF(AD194-TODAY()&lt;=30,"Review Due Soon","Active"))))</f>
        <v/>
      </c>
      <c r="AK194" s="85">
        <f>IF($A194="","",IF(AE194="","NOT REVIEWED",IF(TODAY()-AE194&gt;90,"OVERDUE",IF(TODAY()-AE194&gt;76,"Due Soon","Current"))))</f>
        <v/>
      </c>
    </row>
    <row r="195" ht="15" customHeight="1" s="39">
      <c r="A195" s="85" t="n"/>
      <c r="B195" s="85" t="n"/>
      <c r="C195" s="85" t="n"/>
      <c r="D195" s="85" t="n"/>
      <c r="E195" s="85" t="n"/>
      <c r="F195" s="86" t="n"/>
      <c r="G195" s="86" t="n"/>
      <c r="H195" s="85" t="n"/>
      <c r="I195" s="85" t="n"/>
      <c r="J195" s="85" t="n"/>
      <c r="K195" s="85" t="n"/>
      <c r="L195" s="85" t="n"/>
      <c r="M195" s="85" t="n"/>
      <c r="N195" s="85" t="n"/>
      <c r="O195" s="85" t="n"/>
      <c r="P195" s="85" t="n"/>
      <c r="Q195" s="85" t="n"/>
      <c r="R195" s="85" t="n"/>
      <c r="S195" s="85" t="n"/>
      <c r="T195" s="85" t="n"/>
      <c r="U195" s="85" t="n"/>
      <c r="V195" s="85" t="n"/>
      <c r="W195" s="85" t="n"/>
      <c r="X195" s="85" t="n"/>
      <c r="Y195" s="85" t="n"/>
      <c r="Z195" s="85" t="n"/>
      <c r="AA195" s="85" t="n"/>
      <c r="AB195" s="85" t="n"/>
      <c r="AC195" s="86" t="n"/>
      <c r="AD195" s="86" t="n"/>
      <c r="AE195" s="86" t="n"/>
      <c r="AF195" s="85" t="n"/>
      <c r="AG195" s="85" t="n"/>
      <c r="AH195" s="85">
        <f>IF($A195="","",IF(AND($E195="Yes",OR($V195="No",$V195="NOT FOUND")),"YES",""))</f>
        <v/>
      </c>
      <c r="AI195" s="85">
        <f>IF($A195="","",TRIM(IF(AND($M195=0,$I195&lt;&gt;"Yes"),"T0-NoPhishResistant ","")&amp;IF($H195="No","NoMFA ","")&amp;IF(AND($M195=0,$O195="Group only"),"T0-ViaGroupOnly ","")&amp;IF($N195="Yes","BroadAzureScope ","")&amp;IF($T195="Yes","AlsoEntraRole ","")))</f>
        <v/>
      </c>
      <c r="AJ195" s="85">
        <f>IF($A195="","",IF(AD195="","Not Enrolled",IF(TODAY()&gt;AD195,"Review Overdue",IF(AD195-TODAY()&lt;=30,"Review Due Soon","Active"))))</f>
        <v/>
      </c>
      <c r="AK195" s="85">
        <f>IF($A195="","",IF(AE195="","NOT REVIEWED",IF(TODAY()-AE195&gt;90,"OVERDUE",IF(TODAY()-AE195&gt;76,"Due Soon","Current"))))</f>
        <v/>
      </c>
    </row>
    <row r="196" ht="15" customHeight="1" s="39">
      <c r="A196" s="85" t="n"/>
      <c r="B196" s="85" t="n"/>
      <c r="C196" s="85" t="n"/>
      <c r="D196" s="85" t="n"/>
      <c r="E196" s="85" t="n"/>
      <c r="F196" s="86" t="n"/>
      <c r="G196" s="86" t="n"/>
      <c r="H196" s="85" t="n"/>
      <c r="I196" s="85" t="n"/>
      <c r="J196" s="85" t="n"/>
      <c r="K196" s="85" t="n"/>
      <c r="L196" s="85" t="n"/>
      <c r="M196" s="85" t="n"/>
      <c r="N196" s="85" t="n"/>
      <c r="O196" s="85" t="n"/>
      <c r="P196" s="85" t="n"/>
      <c r="Q196" s="85" t="n"/>
      <c r="R196" s="85" t="n"/>
      <c r="S196" s="85" t="n"/>
      <c r="T196" s="85" t="n"/>
      <c r="U196" s="85" t="n"/>
      <c r="V196" s="85" t="n"/>
      <c r="W196" s="85" t="n"/>
      <c r="X196" s="85" t="n"/>
      <c r="Y196" s="85" t="n"/>
      <c r="Z196" s="85" t="n"/>
      <c r="AA196" s="85" t="n"/>
      <c r="AB196" s="85" t="n"/>
      <c r="AC196" s="86" t="n"/>
      <c r="AD196" s="86" t="n"/>
      <c r="AE196" s="86" t="n"/>
      <c r="AF196" s="85" t="n"/>
      <c r="AG196" s="85" t="n"/>
      <c r="AH196" s="85">
        <f>IF($A196="","",IF(AND($E196="Yes",OR($V196="No",$V196="NOT FOUND")),"YES",""))</f>
        <v/>
      </c>
      <c r="AI196" s="85">
        <f>IF($A196="","",TRIM(IF(AND($M196=0,$I196&lt;&gt;"Yes"),"T0-NoPhishResistant ","")&amp;IF($H196="No","NoMFA ","")&amp;IF(AND($M196=0,$O196="Group only"),"T0-ViaGroupOnly ","")&amp;IF($N196="Yes","BroadAzureScope ","")&amp;IF($T196="Yes","AlsoEntraRole ","")))</f>
        <v/>
      </c>
      <c r="AJ196" s="85">
        <f>IF($A196="","",IF(AD196="","Not Enrolled",IF(TODAY()&gt;AD196,"Review Overdue",IF(AD196-TODAY()&lt;=30,"Review Due Soon","Active"))))</f>
        <v/>
      </c>
      <c r="AK196" s="85">
        <f>IF($A196="","",IF(AE196="","NOT REVIEWED",IF(TODAY()-AE196&gt;90,"OVERDUE",IF(TODAY()-AE196&gt;76,"Due Soon","Current"))))</f>
        <v/>
      </c>
    </row>
    <row r="197" ht="15" customHeight="1" s="39">
      <c r="A197" s="85" t="n"/>
      <c r="B197" s="85" t="n"/>
      <c r="C197" s="85" t="n"/>
      <c r="D197" s="85" t="n"/>
      <c r="E197" s="85" t="n"/>
      <c r="F197" s="86" t="n"/>
      <c r="G197" s="86" t="n"/>
      <c r="H197" s="85" t="n"/>
      <c r="I197" s="85" t="n"/>
      <c r="J197" s="85" t="n"/>
      <c r="K197" s="85" t="n"/>
      <c r="L197" s="85" t="n"/>
      <c r="M197" s="85" t="n"/>
      <c r="N197" s="85" t="n"/>
      <c r="O197" s="85" t="n"/>
      <c r="P197" s="85" t="n"/>
      <c r="Q197" s="85" t="n"/>
      <c r="R197" s="85" t="n"/>
      <c r="S197" s="85" t="n"/>
      <c r="T197" s="85" t="n"/>
      <c r="U197" s="85" t="n"/>
      <c r="V197" s="85" t="n"/>
      <c r="W197" s="85" t="n"/>
      <c r="X197" s="85" t="n"/>
      <c r="Y197" s="85" t="n"/>
      <c r="Z197" s="85" t="n"/>
      <c r="AA197" s="85" t="n"/>
      <c r="AB197" s="85" t="n"/>
      <c r="AC197" s="86" t="n"/>
      <c r="AD197" s="86" t="n"/>
      <c r="AE197" s="86" t="n"/>
      <c r="AF197" s="85" t="n"/>
      <c r="AG197" s="85" t="n"/>
      <c r="AH197" s="85">
        <f>IF($A197="","",IF(AND($E197="Yes",OR($V197="No",$V197="NOT FOUND")),"YES",""))</f>
        <v/>
      </c>
      <c r="AI197" s="85">
        <f>IF($A197="","",TRIM(IF(AND($M197=0,$I197&lt;&gt;"Yes"),"T0-NoPhishResistant ","")&amp;IF($H197="No","NoMFA ","")&amp;IF(AND($M197=0,$O197="Group only"),"T0-ViaGroupOnly ","")&amp;IF($N197="Yes","BroadAzureScope ","")&amp;IF($T197="Yes","AlsoEntraRole ","")))</f>
        <v/>
      </c>
      <c r="AJ197" s="85">
        <f>IF($A197="","",IF(AD197="","Not Enrolled",IF(TODAY()&gt;AD197,"Review Overdue",IF(AD197-TODAY()&lt;=30,"Review Due Soon","Active"))))</f>
        <v/>
      </c>
      <c r="AK197" s="85">
        <f>IF($A197="","",IF(AE197="","NOT REVIEWED",IF(TODAY()-AE197&gt;90,"OVERDUE",IF(TODAY()-AE197&gt;76,"Due Soon","Current"))))</f>
        <v/>
      </c>
    </row>
    <row r="198" ht="15" customHeight="1" s="39">
      <c r="A198" s="85" t="n"/>
      <c r="B198" s="85" t="n"/>
      <c r="C198" s="85" t="n"/>
      <c r="D198" s="85" t="n"/>
      <c r="E198" s="85" t="n"/>
      <c r="F198" s="86" t="n"/>
      <c r="G198" s="86" t="n"/>
      <c r="H198" s="85" t="n"/>
      <c r="I198" s="85" t="n"/>
      <c r="J198" s="85" t="n"/>
      <c r="K198" s="85" t="n"/>
      <c r="L198" s="85" t="n"/>
      <c r="M198" s="85" t="n"/>
      <c r="N198" s="85" t="n"/>
      <c r="O198" s="85" t="n"/>
      <c r="P198" s="85" t="n"/>
      <c r="Q198" s="85" t="n"/>
      <c r="R198" s="85" t="n"/>
      <c r="S198" s="85" t="n"/>
      <c r="T198" s="85" t="n"/>
      <c r="U198" s="85" t="n"/>
      <c r="V198" s="85" t="n"/>
      <c r="W198" s="85" t="n"/>
      <c r="X198" s="85" t="n"/>
      <c r="Y198" s="85" t="n"/>
      <c r="Z198" s="85" t="n"/>
      <c r="AA198" s="85" t="n"/>
      <c r="AB198" s="85" t="n"/>
      <c r="AC198" s="86" t="n"/>
      <c r="AD198" s="86" t="n"/>
      <c r="AE198" s="86" t="n"/>
      <c r="AF198" s="85" t="n"/>
      <c r="AG198" s="85" t="n"/>
      <c r="AH198" s="85">
        <f>IF($A198="","",IF(AND($E198="Yes",OR($V198="No",$V198="NOT FOUND")),"YES",""))</f>
        <v/>
      </c>
      <c r="AI198" s="85">
        <f>IF($A198="","",TRIM(IF(AND($M198=0,$I198&lt;&gt;"Yes"),"T0-NoPhishResistant ","")&amp;IF($H198="No","NoMFA ","")&amp;IF(AND($M198=0,$O198="Group only"),"T0-ViaGroupOnly ","")&amp;IF($N198="Yes","BroadAzureScope ","")&amp;IF($T198="Yes","AlsoEntraRole ","")))</f>
        <v/>
      </c>
      <c r="AJ198" s="85">
        <f>IF($A198="","",IF(AD198="","Not Enrolled",IF(TODAY()&gt;AD198,"Review Overdue",IF(AD198-TODAY()&lt;=30,"Review Due Soon","Active"))))</f>
        <v/>
      </c>
      <c r="AK198" s="85">
        <f>IF($A198="","",IF(AE198="","NOT REVIEWED",IF(TODAY()-AE198&gt;90,"OVERDUE",IF(TODAY()-AE198&gt;76,"Due Soon","Current"))))</f>
        <v/>
      </c>
    </row>
    <row r="199" ht="15" customHeight="1" s="39">
      <c r="A199" s="85" t="n"/>
      <c r="B199" s="85" t="n"/>
      <c r="C199" s="85" t="n"/>
      <c r="D199" s="85" t="n"/>
      <c r="E199" s="85" t="n"/>
      <c r="F199" s="86" t="n"/>
      <c r="G199" s="86" t="n"/>
      <c r="H199" s="85" t="n"/>
      <c r="I199" s="85" t="n"/>
      <c r="J199" s="85" t="n"/>
      <c r="K199" s="85" t="n"/>
      <c r="L199" s="85" t="n"/>
      <c r="M199" s="85" t="n"/>
      <c r="N199" s="85" t="n"/>
      <c r="O199" s="85" t="n"/>
      <c r="P199" s="85" t="n"/>
      <c r="Q199" s="85" t="n"/>
      <c r="R199" s="85" t="n"/>
      <c r="S199" s="85" t="n"/>
      <c r="T199" s="85" t="n"/>
      <c r="U199" s="85" t="n"/>
      <c r="V199" s="85" t="n"/>
      <c r="W199" s="85" t="n"/>
      <c r="X199" s="85" t="n"/>
      <c r="Y199" s="85" t="n"/>
      <c r="Z199" s="85" t="n"/>
      <c r="AA199" s="85" t="n"/>
      <c r="AB199" s="85" t="n"/>
      <c r="AC199" s="86" t="n"/>
      <c r="AD199" s="86" t="n"/>
      <c r="AE199" s="86" t="n"/>
      <c r="AF199" s="85" t="n"/>
      <c r="AG199" s="85" t="n"/>
      <c r="AH199" s="85">
        <f>IF($A199="","",IF(AND($E199="Yes",OR($V199="No",$V199="NOT FOUND")),"YES",""))</f>
        <v/>
      </c>
      <c r="AI199" s="85">
        <f>IF($A199="","",TRIM(IF(AND($M199=0,$I199&lt;&gt;"Yes"),"T0-NoPhishResistant ","")&amp;IF($H199="No","NoMFA ","")&amp;IF(AND($M199=0,$O199="Group only"),"T0-ViaGroupOnly ","")&amp;IF($N199="Yes","BroadAzureScope ","")&amp;IF($T199="Yes","AlsoEntraRole ","")))</f>
        <v/>
      </c>
      <c r="AJ199" s="85">
        <f>IF($A199="","",IF(AD199="","Not Enrolled",IF(TODAY()&gt;AD199,"Review Overdue",IF(AD199-TODAY()&lt;=30,"Review Due Soon","Active"))))</f>
        <v/>
      </c>
      <c r="AK199" s="85">
        <f>IF($A199="","",IF(AE199="","NOT REVIEWED",IF(TODAY()-AE199&gt;90,"OVERDUE",IF(TODAY()-AE199&gt;76,"Due Soon","Current"))))</f>
        <v/>
      </c>
    </row>
    <row r="200" ht="15" customHeight="1" s="39">
      <c r="A200" s="85" t="n"/>
      <c r="B200" s="85" t="n"/>
      <c r="C200" s="85" t="n"/>
      <c r="D200" s="85" t="n"/>
      <c r="E200" s="85" t="n"/>
      <c r="F200" s="86" t="n"/>
      <c r="G200" s="86" t="n"/>
      <c r="H200" s="85" t="n"/>
      <c r="I200" s="85" t="n"/>
      <c r="J200" s="85" t="n"/>
      <c r="K200" s="85" t="n"/>
      <c r="L200" s="85" t="n"/>
      <c r="M200" s="85" t="n"/>
      <c r="N200" s="85" t="n"/>
      <c r="O200" s="85" t="n"/>
      <c r="P200" s="85" t="n"/>
      <c r="Q200" s="85" t="n"/>
      <c r="R200" s="85" t="n"/>
      <c r="S200" s="85" t="n"/>
      <c r="T200" s="85" t="n"/>
      <c r="U200" s="85" t="n"/>
      <c r="V200" s="85" t="n"/>
      <c r="W200" s="85" t="n"/>
      <c r="X200" s="85" t="n"/>
      <c r="Y200" s="85" t="n"/>
      <c r="Z200" s="85" t="n"/>
      <c r="AA200" s="85" t="n"/>
      <c r="AB200" s="85" t="n"/>
      <c r="AC200" s="86" t="n"/>
      <c r="AD200" s="86" t="n"/>
      <c r="AE200" s="86" t="n"/>
      <c r="AF200" s="85" t="n"/>
      <c r="AG200" s="85" t="n"/>
      <c r="AH200" s="85">
        <f>IF($A200="","",IF(AND($E200="Yes",OR($V200="No",$V200="NOT FOUND")),"YES",""))</f>
        <v/>
      </c>
      <c r="AI200" s="85">
        <f>IF($A200="","",TRIM(IF(AND($M200=0,$I200&lt;&gt;"Yes"),"T0-NoPhishResistant ","")&amp;IF($H200="No","NoMFA ","")&amp;IF(AND($M200=0,$O200="Group only"),"T0-ViaGroupOnly ","")&amp;IF($N200="Yes","BroadAzureScope ","")&amp;IF($T200="Yes","AlsoEntraRole ","")))</f>
        <v/>
      </c>
      <c r="AJ200" s="85">
        <f>IF($A200="","",IF(AD200="","Not Enrolled",IF(TODAY()&gt;AD200,"Review Overdue",IF(AD200-TODAY()&lt;=30,"Review Due Soon","Active"))))</f>
        <v/>
      </c>
      <c r="AK200" s="85">
        <f>IF($A200="","",IF(AE200="","NOT REVIEWED",IF(TODAY()-AE200&gt;90,"OVERDUE",IF(TODAY()-AE200&gt;76,"Due Soon","Current"))))</f>
        <v/>
      </c>
    </row>
    <row r="201" ht="15" customHeight="1" s="39">
      <c r="A201" s="85" t="n"/>
      <c r="B201" s="85" t="n"/>
      <c r="C201" s="85" t="n"/>
      <c r="D201" s="85" t="n"/>
      <c r="E201" s="85" t="n"/>
      <c r="F201" s="86" t="n"/>
      <c r="G201" s="86" t="n"/>
      <c r="H201" s="85" t="n"/>
      <c r="I201" s="85" t="n"/>
      <c r="J201" s="85" t="n"/>
      <c r="K201" s="85" t="n"/>
      <c r="L201" s="85" t="n"/>
      <c r="M201" s="85" t="n"/>
      <c r="N201" s="85" t="n"/>
      <c r="O201" s="85" t="n"/>
      <c r="P201" s="85" t="n"/>
      <c r="Q201" s="85" t="n"/>
      <c r="R201" s="85" t="n"/>
      <c r="S201" s="85" t="n"/>
      <c r="T201" s="85" t="n"/>
      <c r="U201" s="85" t="n"/>
      <c r="V201" s="85" t="n"/>
      <c r="W201" s="85" t="n"/>
      <c r="X201" s="85" t="n"/>
      <c r="Y201" s="85" t="n"/>
      <c r="Z201" s="85" t="n"/>
      <c r="AA201" s="85" t="n"/>
      <c r="AB201" s="85" t="n"/>
      <c r="AC201" s="86" t="n"/>
      <c r="AD201" s="86" t="n"/>
      <c r="AE201" s="86" t="n"/>
      <c r="AF201" s="85" t="n"/>
      <c r="AG201" s="85" t="n"/>
      <c r="AH201" s="85">
        <f>IF($A201="","",IF(AND($E201="Yes",OR($V201="No",$V201="NOT FOUND")),"YES",""))</f>
        <v/>
      </c>
      <c r="AI201" s="85">
        <f>IF($A201="","",TRIM(IF(AND($M201=0,$I201&lt;&gt;"Yes"),"T0-NoPhishResistant ","")&amp;IF($H201="No","NoMFA ","")&amp;IF(AND($M201=0,$O201="Group only"),"T0-ViaGroupOnly ","")&amp;IF($N201="Yes","BroadAzureScope ","")&amp;IF($T201="Yes","AlsoEntraRole ","")))</f>
        <v/>
      </c>
      <c r="AJ201" s="85">
        <f>IF($A201="","",IF(AD201="","Not Enrolled",IF(TODAY()&gt;AD201,"Review Overdue",IF(AD201-TODAY()&lt;=30,"Review Due Soon","Active"))))</f>
        <v/>
      </c>
      <c r="AK201" s="85">
        <f>IF($A201="","",IF(AE201="","NOT REVIEWED",IF(TODAY()-AE201&gt;90,"OVERDUE",IF(TODAY()-AE201&gt;76,"Due Soon","Current"))))</f>
        <v/>
      </c>
    </row>
    <row r="202" ht="15" customHeight="1" s="39">
      <c r="A202" s="85" t="n"/>
      <c r="B202" s="85" t="n"/>
      <c r="C202" s="85" t="n"/>
      <c r="D202" s="85" t="n"/>
      <c r="E202" s="85" t="n"/>
      <c r="F202" s="86" t="n"/>
      <c r="G202" s="86" t="n"/>
      <c r="H202" s="85" t="n"/>
      <c r="I202" s="85" t="n"/>
      <c r="J202" s="85" t="n"/>
      <c r="K202" s="85" t="n"/>
      <c r="L202" s="85" t="n"/>
      <c r="M202" s="85" t="n"/>
      <c r="N202" s="85" t="n"/>
      <c r="O202" s="85" t="n"/>
      <c r="P202" s="85" t="n"/>
      <c r="Q202" s="85" t="n"/>
      <c r="R202" s="85" t="n"/>
      <c r="S202" s="85" t="n"/>
      <c r="T202" s="85" t="n"/>
      <c r="U202" s="85" t="n"/>
      <c r="V202" s="85" t="n"/>
      <c r="W202" s="85" t="n"/>
      <c r="X202" s="85" t="n"/>
      <c r="Y202" s="85" t="n"/>
      <c r="Z202" s="85" t="n"/>
      <c r="AA202" s="85" t="n"/>
      <c r="AB202" s="85" t="n"/>
      <c r="AC202" s="86" t="n"/>
      <c r="AD202" s="86" t="n"/>
      <c r="AE202" s="86" t="n"/>
      <c r="AF202" s="85" t="n"/>
      <c r="AG202" s="85" t="n"/>
      <c r="AH202" s="85">
        <f>IF($A202="","",IF(AND($E202="Yes",OR($V202="No",$V202="NOT FOUND")),"YES",""))</f>
        <v/>
      </c>
      <c r="AI202" s="85">
        <f>IF($A202="","",TRIM(IF(AND($M202=0,$I202&lt;&gt;"Yes"),"T0-NoPhishResistant ","")&amp;IF($H202="No","NoMFA ","")&amp;IF(AND($M202=0,$O202="Group only"),"T0-ViaGroupOnly ","")&amp;IF($N202="Yes","BroadAzureScope ","")&amp;IF($T202="Yes","AlsoEntraRole ","")))</f>
        <v/>
      </c>
      <c r="AJ202" s="85">
        <f>IF($A202="","",IF(AD202="","Not Enrolled",IF(TODAY()&gt;AD202,"Review Overdue",IF(AD202-TODAY()&lt;=30,"Review Due Soon","Active"))))</f>
        <v/>
      </c>
      <c r="AK202" s="85">
        <f>IF($A202="","",IF(AE202="","NOT REVIEWED",IF(TODAY()-AE202&gt;90,"OVERDUE",IF(TODAY()-AE202&gt;76,"Due Soon","Current"))))</f>
        <v/>
      </c>
    </row>
    <row r="203" ht="15" customHeight="1" s="39">
      <c r="A203" s="85" t="n"/>
      <c r="B203" s="85" t="n"/>
      <c r="C203" s="85" t="n"/>
      <c r="D203" s="85" t="n"/>
      <c r="E203" s="85" t="n"/>
      <c r="F203" s="86" t="n"/>
      <c r="G203" s="86" t="n"/>
      <c r="H203" s="85" t="n"/>
      <c r="I203" s="85" t="n"/>
      <c r="J203" s="85" t="n"/>
      <c r="K203" s="85" t="n"/>
      <c r="L203" s="85" t="n"/>
      <c r="M203" s="85" t="n"/>
      <c r="N203" s="85" t="n"/>
      <c r="O203" s="85" t="n"/>
      <c r="P203" s="85" t="n"/>
      <c r="Q203" s="85" t="n"/>
      <c r="R203" s="85" t="n"/>
      <c r="S203" s="85" t="n"/>
      <c r="T203" s="85" t="n"/>
      <c r="U203" s="85" t="n"/>
      <c r="V203" s="85" t="n"/>
      <c r="W203" s="85" t="n"/>
      <c r="X203" s="85" t="n"/>
      <c r="Y203" s="85" t="n"/>
      <c r="Z203" s="85" t="n"/>
      <c r="AA203" s="85" t="n"/>
      <c r="AB203" s="85" t="n"/>
      <c r="AC203" s="86" t="n"/>
      <c r="AD203" s="86" t="n"/>
      <c r="AE203" s="86" t="n"/>
      <c r="AF203" s="85" t="n"/>
      <c r="AG203" s="85" t="n"/>
      <c r="AH203" s="85">
        <f>IF($A203="","",IF(AND($E203="Yes",OR($V203="No",$V203="NOT FOUND")),"YES",""))</f>
        <v/>
      </c>
      <c r="AI203" s="85">
        <f>IF($A203="","",TRIM(IF(AND($M203=0,$I203&lt;&gt;"Yes"),"T0-NoPhishResistant ","")&amp;IF($H203="No","NoMFA ","")&amp;IF(AND($M203=0,$O203="Group only"),"T0-ViaGroupOnly ","")&amp;IF($N203="Yes","BroadAzureScope ","")&amp;IF($T203="Yes","AlsoEntraRole ","")))</f>
        <v/>
      </c>
      <c r="AJ203" s="85">
        <f>IF($A203="","",IF(AD203="","Not Enrolled",IF(TODAY()&gt;AD203,"Review Overdue",IF(AD203-TODAY()&lt;=30,"Review Due Soon","Active"))))</f>
        <v/>
      </c>
      <c r="AK203" s="85">
        <f>IF($A203="","",IF(AE203="","NOT REVIEWED",IF(TODAY()-AE203&gt;90,"OVERDUE",IF(TODAY()-AE203&gt;76,"Due Soon","Current"))))</f>
        <v/>
      </c>
    </row>
    <row r="204" ht="15" customHeight="1" s="39">
      <c r="A204" s="85" t="n"/>
      <c r="B204" s="85" t="n"/>
      <c r="C204" s="85" t="n"/>
      <c r="D204" s="85" t="n"/>
      <c r="E204" s="85" t="n"/>
      <c r="F204" s="86" t="n"/>
      <c r="G204" s="86" t="n"/>
      <c r="H204" s="85" t="n"/>
      <c r="I204" s="85" t="n"/>
      <c r="J204" s="85" t="n"/>
      <c r="K204" s="85" t="n"/>
      <c r="L204" s="85" t="n"/>
      <c r="M204" s="85" t="n"/>
      <c r="N204" s="85" t="n"/>
      <c r="O204" s="85" t="n"/>
      <c r="P204" s="85" t="n"/>
      <c r="Q204" s="85" t="n"/>
      <c r="R204" s="85" t="n"/>
      <c r="S204" s="85" t="n"/>
      <c r="T204" s="85" t="n"/>
      <c r="U204" s="85" t="n"/>
      <c r="V204" s="85" t="n"/>
      <c r="W204" s="85" t="n"/>
      <c r="X204" s="85" t="n"/>
      <c r="Y204" s="85" t="n"/>
      <c r="Z204" s="85" t="n"/>
      <c r="AA204" s="85" t="n"/>
      <c r="AB204" s="85" t="n"/>
      <c r="AC204" s="86" t="n"/>
      <c r="AD204" s="86" t="n"/>
      <c r="AE204" s="86" t="n"/>
      <c r="AF204" s="85" t="n"/>
      <c r="AG204" s="85" t="n"/>
      <c r="AH204" s="85">
        <f>IF($A204="","",IF(AND($E204="Yes",OR($V204="No",$V204="NOT FOUND")),"YES",""))</f>
        <v/>
      </c>
      <c r="AI204" s="85">
        <f>IF($A204="","",TRIM(IF(AND($M204=0,$I204&lt;&gt;"Yes"),"T0-NoPhishResistant ","")&amp;IF($H204="No","NoMFA ","")&amp;IF(AND($M204=0,$O204="Group only"),"T0-ViaGroupOnly ","")&amp;IF($N204="Yes","BroadAzureScope ","")&amp;IF($T204="Yes","AlsoEntraRole ","")))</f>
        <v/>
      </c>
      <c r="AJ204" s="85">
        <f>IF($A204="","",IF(AD204="","Not Enrolled",IF(TODAY()&gt;AD204,"Review Overdue",IF(AD204-TODAY()&lt;=30,"Review Due Soon","Active"))))</f>
        <v/>
      </c>
      <c r="AK204" s="85">
        <f>IF($A204="","",IF(AE204="","NOT REVIEWED",IF(TODAY()-AE204&gt;90,"OVERDUE",IF(TODAY()-AE204&gt;76,"Due Soon","Current"))))</f>
        <v/>
      </c>
    </row>
    <row r="205" ht="15" customHeight="1" s="39">
      <c r="A205" s="85" t="n"/>
      <c r="B205" s="85" t="n"/>
      <c r="C205" s="85" t="n"/>
      <c r="D205" s="85" t="n"/>
      <c r="E205" s="85" t="n"/>
      <c r="F205" s="86" t="n"/>
      <c r="G205" s="86" t="n"/>
      <c r="H205" s="85" t="n"/>
      <c r="I205" s="85" t="n"/>
      <c r="J205" s="85" t="n"/>
      <c r="K205" s="85" t="n"/>
      <c r="L205" s="85" t="n"/>
      <c r="M205" s="85" t="n"/>
      <c r="N205" s="85" t="n"/>
      <c r="O205" s="85" t="n"/>
      <c r="P205" s="85" t="n"/>
      <c r="Q205" s="85" t="n"/>
      <c r="R205" s="85" t="n"/>
      <c r="S205" s="85" t="n"/>
      <c r="T205" s="85" t="n"/>
      <c r="U205" s="85" t="n"/>
      <c r="V205" s="85" t="n"/>
      <c r="W205" s="85" t="n"/>
      <c r="X205" s="85" t="n"/>
      <c r="Y205" s="85" t="n"/>
      <c r="Z205" s="85" t="n"/>
      <c r="AA205" s="85" t="n"/>
      <c r="AB205" s="85" t="n"/>
      <c r="AC205" s="86" t="n"/>
      <c r="AD205" s="86" t="n"/>
      <c r="AE205" s="86" t="n"/>
      <c r="AF205" s="85" t="n"/>
      <c r="AG205" s="85" t="n"/>
      <c r="AH205" s="85">
        <f>IF($A205="","",IF(AND($E205="Yes",OR($V205="No",$V205="NOT FOUND")),"YES",""))</f>
        <v/>
      </c>
      <c r="AI205" s="85">
        <f>IF($A205="","",TRIM(IF(AND($M205=0,$I205&lt;&gt;"Yes"),"T0-NoPhishResistant ","")&amp;IF($H205="No","NoMFA ","")&amp;IF(AND($M205=0,$O205="Group only"),"T0-ViaGroupOnly ","")&amp;IF($N205="Yes","BroadAzureScope ","")&amp;IF($T205="Yes","AlsoEntraRole ","")))</f>
        <v/>
      </c>
      <c r="AJ205" s="85">
        <f>IF($A205="","",IF(AD205="","Not Enrolled",IF(TODAY()&gt;AD205,"Review Overdue",IF(AD205-TODAY()&lt;=30,"Review Due Soon","Active"))))</f>
        <v/>
      </c>
      <c r="AK205" s="85">
        <f>IF($A205="","",IF(AE205="","NOT REVIEWED",IF(TODAY()-AE205&gt;90,"OVERDUE",IF(TODAY()-AE205&gt;76,"Due Soon","Current"))))</f>
        <v/>
      </c>
    </row>
    <row r="206" ht="15" customHeight="1" s="39">
      <c r="A206" s="85" t="n"/>
      <c r="B206" s="85" t="n"/>
      <c r="C206" s="85" t="n"/>
      <c r="D206" s="85" t="n"/>
      <c r="E206" s="85" t="n"/>
      <c r="F206" s="86" t="n"/>
      <c r="G206" s="86" t="n"/>
      <c r="H206" s="85" t="n"/>
      <c r="I206" s="85" t="n"/>
      <c r="J206" s="85" t="n"/>
      <c r="K206" s="85" t="n"/>
      <c r="L206" s="85" t="n"/>
      <c r="M206" s="85" t="n"/>
      <c r="N206" s="85" t="n"/>
      <c r="O206" s="85" t="n"/>
      <c r="P206" s="85" t="n"/>
      <c r="Q206" s="85" t="n"/>
      <c r="R206" s="85" t="n"/>
      <c r="S206" s="85" t="n"/>
      <c r="T206" s="85" t="n"/>
      <c r="U206" s="85" t="n"/>
      <c r="V206" s="85" t="n"/>
      <c r="W206" s="85" t="n"/>
      <c r="X206" s="85" t="n"/>
      <c r="Y206" s="85" t="n"/>
      <c r="Z206" s="85" t="n"/>
      <c r="AA206" s="85" t="n"/>
      <c r="AB206" s="85" t="n"/>
      <c r="AC206" s="86" t="n"/>
      <c r="AD206" s="86" t="n"/>
      <c r="AE206" s="86" t="n"/>
      <c r="AF206" s="85" t="n"/>
      <c r="AG206" s="85" t="n"/>
      <c r="AH206" s="85">
        <f>IF($A206="","",IF(AND($E206="Yes",OR($V206="No",$V206="NOT FOUND")),"YES",""))</f>
        <v/>
      </c>
      <c r="AI206" s="85">
        <f>IF($A206="","",TRIM(IF(AND($M206=0,$I206&lt;&gt;"Yes"),"T0-NoPhishResistant ","")&amp;IF($H206="No","NoMFA ","")&amp;IF(AND($M206=0,$O206="Group only"),"T0-ViaGroupOnly ","")&amp;IF($N206="Yes","BroadAzureScope ","")&amp;IF($T206="Yes","AlsoEntraRole ","")))</f>
        <v/>
      </c>
      <c r="AJ206" s="85">
        <f>IF($A206="","",IF(AD206="","Not Enrolled",IF(TODAY()&gt;AD206,"Review Overdue",IF(AD206-TODAY()&lt;=30,"Review Due Soon","Active"))))</f>
        <v/>
      </c>
      <c r="AK206" s="85">
        <f>IF($A206="","",IF(AE206="","NOT REVIEWED",IF(TODAY()-AE206&gt;90,"OVERDUE",IF(TODAY()-AE206&gt;76,"Due Soon","Current"))))</f>
        <v/>
      </c>
    </row>
    <row r="207" ht="15" customHeight="1" s="39">
      <c r="A207" s="85" t="n"/>
      <c r="B207" s="85" t="n"/>
      <c r="C207" s="85" t="n"/>
      <c r="D207" s="85" t="n"/>
      <c r="E207" s="85" t="n"/>
      <c r="F207" s="86" t="n"/>
      <c r="G207" s="86" t="n"/>
      <c r="H207" s="85" t="n"/>
      <c r="I207" s="85" t="n"/>
      <c r="J207" s="85" t="n"/>
      <c r="K207" s="85" t="n"/>
      <c r="L207" s="85" t="n"/>
      <c r="M207" s="85" t="n"/>
      <c r="N207" s="85" t="n"/>
      <c r="O207" s="85" t="n"/>
      <c r="P207" s="85" t="n"/>
      <c r="Q207" s="85" t="n"/>
      <c r="R207" s="85" t="n"/>
      <c r="S207" s="85" t="n"/>
      <c r="T207" s="85" t="n"/>
      <c r="U207" s="85" t="n"/>
      <c r="V207" s="85" t="n"/>
      <c r="W207" s="85" t="n"/>
      <c r="X207" s="85" t="n"/>
      <c r="Y207" s="85" t="n"/>
      <c r="Z207" s="85" t="n"/>
      <c r="AA207" s="85" t="n"/>
      <c r="AB207" s="85" t="n"/>
      <c r="AC207" s="86" t="n"/>
      <c r="AD207" s="86" t="n"/>
      <c r="AE207" s="86" t="n"/>
      <c r="AF207" s="85" t="n"/>
      <c r="AG207" s="85" t="n"/>
      <c r="AH207" s="85">
        <f>IF($A207="","",IF(AND($E207="Yes",OR($V207="No",$V207="NOT FOUND")),"YES",""))</f>
        <v/>
      </c>
      <c r="AI207" s="85">
        <f>IF($A207="","",TRIM(IF(AND($M207=0,$I207&lt;&gt;"Yes"),"T0-NoPhishResistant ","")&amp;IF($H207="No","NoMFA ","")&amp;IF(AND($M207=0,$O207="Group only"),"T0-ViaGroupOnly ","")&amp;IF($N207="Yes","BroadAzureScope ","")&amp;IF($T207="Yes","AlsoEntraRole ","")))</f>
        <v/>
      </c>
      <c r="AJ207" s="85">
        <f>IF($A207="","",IF(AD207="","Not Enrolled",IF(TODAY()&gt;AD207,"Review Overdue",IF(AD207-TODAY()&lt;=30,"Review Due Soon","Active"))))</f>
        <v/>
      </c>
      <c r="AK207" s="85">
        <f>IF($A207="","",IF(AE207="","NOT REVIEWED",IF(TODAY()-AE207&gt;90,"OVERDUE",IF(TODAY()-AE207&gt;76,"Due Soon","Current"))))</f>
        <v/>
      </c>
    </row>
    <row r="208" ht="15" customHeight="1" s="39">
      <c r="A208" s="85" t="n"/>
      <c r="B208" s="85" t="n"/>
      <c r="C208" s="85" t="n"/>
      <c r="D208" s="85" t="n"/>
      <c r="E208" s="85" t="n"/>
      <c r="F208" s="86" t="n"/>
      <c r="G208" s="86" t="n"/>
      <c r="H208" s="85" t="n"/>
      <c r="I208" s="85" t="n"/>
      <c r="J208" s="85" t="n"/>
      <c r="K208" s="85" t="n"/>
      <c r="L208" s="85" t="n"/>
      <c r="M208" s="85" t="n"/>
      <c r="N208" s="85" t="n"/>
      <c r="O208" s="85" t="n"/>
      <c r="P208" s="85" t="n"/>
      <c r="Q208" s="85" t="n"/>
      <c r="R208" s="85" t="n"/>
      <c r="S208" s="85" t="n"/>
      <c r="T208" s="85" t="n"/>
      <c r="U208" s="85" t="n"/>
      <c r="V208" s="85" t="n"/>
      <c r="W208" s="85" t="n"/>
      <c r="X208" s="85" t="n"/>
      <c r="Y208" s="85" t="n"/>
      <c r="Z208" s="85" t="n"/>
      <c r="AA208" s="85" t="n"/>
      <c r="AB208" s="85" t="n"/>
      <c r="AC208" s="86" t="n"/>
      <c r="AD208" s="86" t="n"/>
      <c r="AE208" s="86" t="n"/>
      <c r="AF208" s="85" t="n"/>
      <c r="AG208" s="85" t="n"/>
      <c r="AH208" s="85">
        <f>IF($A208="","",IF(AND($E208="Yes",OR($V208="No",$V208="NOT FOUND")),"YES",""))</f>
        <v/>
      </c>
      <c r="AI208" s="85">
        <f>IF($A208="","",TRIM(IF(AND($M208=0,$I208&lt;&gt;"Yes"),"T0-NoPhishResistant ","")&amp;IF($H208="No","NoMFA ","")&amp;IF(AND($M208=0,$O208="Group only"),"T0-ViaGroupOnly ","")&amp;IF($N208="Yes","BroadAzureScope ","")&amp;IF($T208="Yes","AlsoEntraRole ","")))</f>
        <v/>
      </c>
      <c r="AJ208" s="85">
        <f>IF($A208="","",IF(AD208="","Not Enrolled",IF(TODAY()&gt;AD208,"Review Overdue",IF(AD208-TODAY()&lt;=30,"Review Due Soon","Active"))))</f>
        <v/>
      </c>
      <c r="AK208" s="85">
        <f>IF($A208="","",IF(AE208="","NOT REVIEWED",IF(TODAY()-AE208&gt;90,"OVERDUE",IF(TODAY()-AE208&gt;76,"Due Soon","Current"))))</f>
        <v/>
      </c>
    </row>
    <row r="209" ht="15" customHeight="1" s="39">
      <c r="A209" s="85" t="n"/>
      <c r="B209" s="85" t="n"/>
      <c r="C209" s="85" t="n"/>
      <c r="D209" s="85" t="n"/>
      <c r="E209" s="85" t="n"/>
      <c r="F209" s="86" t="n"/>
      <c r="G209" s="86" t="n"/>
      <c r="H209" s="85" t="n"/>
      <c r="I209" s="85" t="n"/>
      <c r="J209" s="85" t="n"/>
      <c r="K209" s="85" t="n"/>
      <c r="L209" s="85" t="n"/>
      <c r="M209" s="85" t="n"/>
      <c r="N209" s="85" t="n"/>
      <c r="O209" s="85" t="n"/>
      <c r="P209" s="85" t="n"/>
      <c r="Q209" s="85" t="n"/>
      <c r="R209" s="85" t="n"/>
      <c r="S209" s="85" t="n"/>
      <c r="T209" s="85" t="n"/>
      <c r="U209" s="85" t="n"/>
      <c r="V209" s="85" t="n"/>
      <c r="W209" s="85" t="n"/>
      <c r="X209" s="85" t="n"/>
      <c r="Y209" s="85" t="n"/>
      <c r="Z209" s="85" t="n"/>
      <c r="AA209" s="85" t="n"/>
      <c r="AB209" s="85" t="n"/>
      <c r="AC209" s="86" t="n"/>
      <c r="AD209" s="86" t="n"/>
      <c r="AE209" s="86" t="n"/>
      <c r="AF209" s="85" t="n"/>
      <c r="AG209" s="85" t="n"/>
      <c r="AH209" s="85">
        <f>IF($A209="","",IF(AND($E209="Yes",OR($V209="No",$V209="NOT FOUND")),"YES",""))</f>
        <v/>
      </c>
      <c r="AI209" s="85">
        <f>IF($A209="","",TRIM(IF(AND($M209=0,$I209&lt;&gt;"Yes"),"T0-NoPhishResistant ","")&amp;IF($H209="No","NoMFA ","")&amp;IF(AND($M209=0,$O209="Group only"),"T0-ViaGroupOnly ","")&amp;IF($N209="Yes","BroadAzureScope ","")&amp;IF($T209="Yes","AlsoEntraRole ","")))</f>
        <v/>
      </c>
      <c r="AJ209" s="85">
        <f>IF($A209="","",IF(AD209="","Not Enrolled",IF(TODAY()&gt;AD209,"Review Overdue",IF(AD209-TODAY()&lt;=30,"Review Due Soon","Active"))))</f>
        <v/>
      </c>
      <c r="AK209" s="85">
        <f>IF($A209="","",IF(AE209="","NOT REVIEWED",IF(TODAY()-AE209&gt;90,"OVERDUE",IF(TODAY()-AE209&gt;76,"Due Soon","Current"))))</f>
        <v/>
      </c>
    </row>
    <row r="210" ht="15" customHeight="1" s="39">
      <c r="A210" s="85" t="n"/>
      <c r="B210" s="85" t="n"/>
      <c r="C210" s="85" t="n"/>
      <c r="D210" s="85" t="n"/>
      <c r="E210" s="85" t="n"/>
      <c r="F210" s="86" t="n"/>
      <c r="G210" s="86" t="n"/>
      <c r="H210" s="85" t="n"/>
      <c r="I210" s="85" t="n"/>
      <c r="J210" s="85" t="n"/>
      <c r="K210" s="85" t="n"/>
      <c r="L210" s="85" t="n"/>
      <c r="M210" s="85" t="n"/>
      <c r="N210" s="85" t="n"/>
      <c r="O210" s="85" t="n"/>
      <c r="P210" s="85" t="n"/>
      <c r="Q210" s="85" t="n"/>
      <c r="R210" s="85" t="n"/>
      <c r="S210" s="85" t="n"/>
      <c r="T210" s="85" t="n"/>
      <c r="U210" s="85" t="n"/>
      <c r="V210" s="85" t="n"/>
      <c r="W210" s="85" t="n"/>
      <c r="X210" s="85" t="n"/>
      <c r="Y210" s="85" t="n"/>
      <c r="Z210" s="85" t="n"/>
      <c r="AA210" s="85" t="n"/>
      <c r="AB210" s="85" t="n"/>
      <c r="AC210" s="86" t="n"/>
      <c r="AD210" s="86" t="n"/>
      <c r="AE210" s="86" t="n"/>
      <c r="AF210" s="85" t="n"/>
      <c r="AG210" s="85" t="n"/>
      <c r="AH210" s="85">
        <f>IF($A210="","",IF(AND($E210="Yes",OR($V210="No",$V210="NOT FOUND")),"YES",""))</f>
        <v/>
      </c>
      <c r="AI210" s="85">
        <f>IF($A210="","",TRIM(IF(AND($M210=0,$I210&lt;&gt;"Yes"),"T0-NoPhishResistant ","")&amp;IF($H210="No","NoMFA ","")&amp;IF(AND($M210=0,$O210="Group only"),"T0-ViaGroupOnly ","")&amp;IF($N210="Yes","BroadAzureScope ","")&amp;IF($T210="Yes","AlsoEntraRole ","")))</f>
        <v/>
      </c>
      <c r="AJ210" s="85">
        <f>IF($A210="","",IF(AD210="","Not Enrolled",IF(TODAY()&gt;AD210,"Review Overdue",IF(AD210-TODAY()&lt;=30,"Review Due Soon","Active"))))</f>
        <v/>
      </c>
      <c r="AK210" s="85">
        <f>IF($A210="","",IF(AE210="","NOT REVIEWED",IF(TODAY()-AE210&gt;90,"OVERDUE",IF(TODAY()-AE210&gt;76,"Due Soon","Current"))))</f>
        <v/>
      </c>
    </row>
    <row r="211" ht="15" customHeight="1" s="39">
      <c r="A211" s="85" t="n"/>
      <c r="B211" s="85" t="n"/>
      <c r="C211" s="85" t="n"/>
      <c r="D211" s="85" t="n"/>
      <c r="E211" s="85" t="n"/>
      <c r="F211" s="86" t="n"/>
      <c r="G211" s="86" t="n"/>
      <c r="H211" s="85" t="n"/>
      <c r="I211" s="85" t="n"/>
      <c r="J211" s="85" t="n"/>
      <c r="K211" s="85" t="n"/>
      <c r="L211" s="85" t="n"/>
      <c r="M211" s="85" t="n"/>
      <c r="N211" s="85" t="n"/>
      <c r="O211" s="85" t="n"/>
      <c r="P211" s="85" t="n"/>
      <c r="Q211" s="85" t="n"/>
      <c r="R211" s="85" t="n"/>
      <c r="S211" s="85" t="n"/>
      <c r="T211" s="85" t="n"/>
      <c r="U211" s="85" t="n"/>
      <c r="V211" s="85" t="n"/>
      <c r="W211" s="85" t="n"/>
      <c r="X211" s="85" t="n"/>
      <c r="Y211" s="85" t="n"/>
      <c r="Z211" s="85" t="n"/>
      <c r="AA211" s="85" t="n"/>
      <c r="AB211" s="85" t="n"/>
      <c r="AC211" s="86" t="n"/>
      <c r="AD211" s="86" t="n"/>
      <c r="AE211" s="86" t="n"/>
      <c r="AF211" s="85" t="n"/>
      <c r="AG211" s="85" t="n"/>
      <c r="AH211" s="85">
        <f>IF($A211="","",IF(AND($E211="Yes",OR($V211="No",$V211="NOT FOUND")),"YES",""))</f>
        <v/>
      </c>
      <c r="AI211" s="85">
        <f>IF($A211="","",TRIM(IF(AND($M211=0,$I211&lt;&gt;"Yes"),"T0-NoPhishResistant ","")&amp;IF($H211="No","NoMFA ","")&amp;IF(AND($M211=0,$O211="Group only"),"T0-ViaGroupOnly ","")&amp;IF($N211="Yes","BroadAzureScope ","")&amp;IF($T211="Yes","AlsoEntraRole ","")))</f>
        <v/>
      </c>
      <c r="AJ211" s="85">
        <f>IF($A211="","",IF(AD211="","Not Enrolled",IF(TODAY()&gt;AD211,"Review Overdue",IF(AD211-TODAY()&lt;=30,"Review Due Soon","Active"))))</f>
        <v/>
      </c>
      <c r="AK211" s="85">
        <f>IF($A211="","",IF(AE211="","NOT REVIEWED",IF(TODAY()-AE211&gt;90,"OVERDUE",IF(TODAY()-AE211&gt;76,"Due Soon","Current"))))</f>
        <v/>
      </c>
    </row>
    <row r="212" ht="15" customHeight="1" s="39">
      <c r="A212" s="85" t="n"/>
      <c r="B212" s="85" t="n"/>
      <c r="C212" s="85" t="n"/>
      <c r="D212" s="85" t="n"/>
      <c r="E212" s="85" t="n"/>
      <c r="F212" s="86" t="n"/>
      <c r="G212" s="86" t="n"/>
      <c r="H212" s="85" t="n"/>
      <c r="I212" s="85" t="n"/>
      <c r="J212" s="85" t="n"/>
      <c r="K212" s="85" t="n"/>
      <c r="L212" s="85" t="n"/>
      <c r="M212" s="85" t="n"/>
      <c r="N212" s="85" t="n"/>
      <c r="O212" s="85" t="n"/>
      <c r="P212" s="85" t="n"/>
      <c r="Q212" s="85" t="n"/>
      <c r="R212" s="85" t="n"/>
      <c r="S212" s="85" t="n"/>
      <c r="T212" s="85" t="n"/>
      <c r="U212" s="85" t="n"/>
      <c r="V212" s="85" t="n"/>
      <c r="W212" s="85" t="n"/>
      <c r="X212" s="85" t="n"/>
      <c r="Y212" s="85" t="n"/>
      <c r="Z212" s="85" t="n"/>
      <c r="AA212" s="85" t="n"/>
      <c r="AB212" s="85" t="n"/>
      <c r="AC212" s="86" t="n"/>
      <c r="AD212" s="86" t="n"/>
      <c r="AE212" s="86" t="n"/>
      <c r="AF212" s="85" t="n"/>
      <c r="AG212" s="85" t="n"/>
      <c r="AH212" s="85">
        <f>IF($A212="","",IF(AND($E212="Yes",OR($V212="No",$V212="NOT FOUND")),"YES",""))</f>
        <v/>
      </c>
      <c r="AI212" s="85">
        <f>IF($A212="","",TRIM(IF(AND($M212=0,$I212&lt;&gt;"Yes"),"T0-NoPhishResistant ","")&amp;IF($H212="No","NoMFA ","")&amp;IF(AND($M212=0,$O212="Group only"),"T0-ViaGroupOnly ","")&amp;IF($N212="Yes","BroadAzureScope ","")&amp;IF($T212="Yes","AlsoEntraRole ","")))</f>
        <v/>
      </c>
      <c r="AJ212" s="85">
        <f>IF($A212="","",IF(AD212="","Not Enrolled",IF(TODAY()&gt;AD212,"Review Overdue",IF(AD212-TODAY()&lt;=30,"Review Due Soon","Active"))))</f>
        <v/>
      </c>
      <c r="AK212" s="85">
        <f>IF($A212="","",IF(AE212="","NOT REVIEWED",IF(TODAY()-AE212&gt;90,"OVERDUE",IF(TODAY()-AE212&gt;76,"Due Soon","Current"))))</f>
        <v/>
      </c>
    </row>
    <row r="213" ht="15" customHeight="1" s="39">
      <c r="A213" s="85" t="n"/>
      <c r="B213" s="85" t="n"/>
      <c r="C213" s="85" t="n"/>
      <c r="D213" s="85" t="n"/>
      <c r="E213" s="85" t="n"/>
      <c r="F213" s="86" t="n"/>
      <c r="G213" s="86" t="n"/>
      <c r="H213" s="85" t="n"/>
      <c r="I213" s="85" t="n"/>
      <c r="J213" s="85" t="n"/>
      <c r="K213" s="85" t="n"/>
      <c r="L213" s="85" t="n"/>
      <c r="M213" s="85" t="n"/>
      <c r="N213" s="85" t="n"/>
      <c r="O213" s="85" t="n"/>
      <c r="P213" s="85" t="n"/>
      <c r="Q213" s="85" t="n"/>
      <c r="R213" s="85" t="n"/>
      <c r="S213" s="85" t="n"/>
      <c r="T213" s="85" t="n"/>
      <c r="U213" s="85" t="n"/>
      <c r="V213" s="85" t="n"/>
      <c r="W213" s="85" t="n"/>
      <c r="X213" s="85" t="n"/>
      <c r="Y213" s="85" t="n"/>
      <c r="Z213" s="85" t="n"/>
      <c r="AA213" s="85" t="n"/>
      <c r="AB213" s="85" t="n"/>
      <c r="AC213" s="86" t="n"/>
      <c r="AD213" s="86" t="n"/>
      <c r="AE213" s="86" t="n"/>
      <c r="AF213" s="85" t="n"/>
      <c r="AG213" s="85" t="n"/>
      <c r="AH213" s="85">
        <f>IF($A213="","",IF(AND($E213="Yes",OR($V213="No",$V213="NOT FOUND")),"YES",""))</f>
        <v/>
      </c>
      <c r="AI213" s="85">
        <f>IF($A213="","",TRIM(IF(AND($M213=0,$I213&lt;&gt;"Yes"),"T0-NoPhishResistant ","")&amp;IF($H213="No","NoMFA ","")&amp;IF(AND($M213=0,$O213="Group only"),"T0-ViaGroupOnly ","")&amp;IF($N213="Yes","BroadAzureScope ","")&amp;IF($T213="Yes","AlsoEntraRole ","")))</f>
        <v/>
      </c>
      <c r="AJ213" s="85">
        <f>IF($A213="","",IF(AD213="","Not Enrolled",IF(TODAY()&gt;AD213,"Review Overdue",IF(AD213-TODAY()&lt;=30,"Review Due Soon","Active"))))</f>
        <v/>
      </c>
      <c r="AK213" s="85">
        <f>IF($A213="","",IF(AE213="","NOT REVIEWED",IF(TODAY()-AE213&gt;90,"OVERDUE",IF(TODAY()-AE213&gt;76,"Due Soon","Current"))))</f>
        <v/>
      </c>
    </row>
    <row r="214" ht="15" customHeight="1" s="39">
      <c r="A214" s="85" t="n"/>
      <c r="B214" s="85" t="n"/>
      <c r="C214" s="85" t="n"/>
      <c r="D214" s="85" t="n"/>
      <c r="E214" s="85" t="n"/>
      <c r="F214" s="86" t="n"/>
      <c r="G214" s="86" t="n"/>
      <c r="H214" s="85" t="n"/>
      <c r="I214" s="85" t="n"/>
      <c r="J214" s="85" t="n"/>
      <c r="K214" s="85" t="n"/>
      <c r="L214" s="85" t="n"/>
      <c r="M214" s="85" t="n"/>
      <c r="N214" s="85" t="n"/>
      <c r="O214" s="85" t="n"/>
      <c r="P214" s="85" t="n"/>
      <c r="Q214" s="85" t="n"/>
      <c r="R214" s="85" t="n"/>
      <c r="S214" s="85" t="n"/>
      <c r="T214" s="85" t="n"/>
      <c r="U214" s="85" t="n"/>
      <c r="V214" s="85" t="n"/>
      <c r="W214" s="85" t="n"/>
      <c r="X214" s="85" t="n"/>
      <c r="Y214" s="85" t="n"/>
      <c r="Z214" s="85" t="n"/>
      <c r="AA214" s="85" t="n"/>
      <c r="AB214" s="85" t="n"/>
      <c r="AC214" s="86" t="n"/>
      <c r="AD214" s="86" t="n"/>
      <c r="AE214" s="86" t="n"/>
      <c r="AF214" s="85" t="n"/>
      <c r="AG214" s="85" t="n"/>
      <c r="AH214" s="85">
        <f>IF($A214="","",IF(AND($E214="Yes",OR($V214="No",$V214="NOT FOUND")),"YES",""))</f>
        <v/>
      </c>
      <c r="AI214" s="85">
        <f>IF($A214="","",TRIM(IF(AND($M214=0,$I214&lt;&gt;"Yes"),"T0-NoPhishResistant ","")&amp;IF($H214="No","NoMFA ","")&amp;IF(AND($M214=0,$O214="Group only"),"T0-ViaGroupOnly ","")&amp;IF($N214="Yes","BroadAzureScope ","")&amp;IF($T214="Yes","AlsoEntraRole ","")))</f>
        <v/>
      </c>
      <c r="AJ214" s="85">
        <f>IF($A214="","",IF(AD214="","Not Enrolled",IF(TODAY()&gt;AD214,"Review Overdue",IF(AD214-TODAY()&lt;=30,"Review Due Soon","Active"))))</f>
        <v/>
      </c>
      <c r="AK214" s="85">
        <f>IF($A214="","",IF(AE214="","NOT REVIEWED",IF(TODAY()-AE214&gt;90,"OVERDUE",IF(TODAY()-AE214&gt;76,"Due Soon","Current"))))</f>
        <v/>
      </c>
    </row>
    <row r="215" ht="15" customHeight="1" s="39">
      <c r="A215" s="85" t="n"/>
      <c r="B215" s="85" t="n"/>
      <c r="C215" s="85" t="n"/>
      <c r="D215" s="85" t="n"/>
      <c r="E215" s="85" t="n"/>
      <c r="F215" s="86" t="n"/>
      <c r="G215" s="86" t="n"/>
      <c r="H215" s="85" t="n"/>
      <c r="I215" s="85" t="n"/>
      <c r="J215" s="85" t="n"/>
      <c r="K215" s="85" t="n"/>
      <c r="L215" s="85" t="n"/>
      <c r="M215" s="85" t="n"/>
      <c r="N215" s="85" t="n"/>
      <c r="O215" s="85" t="n"/>
      <c r="P215" s="85" t="n"/>
      <c r="Q215" s="85" t="n"/>
      <c r="R215" s="85" t="n"/>
      <c r="S215" s="85" t="n"/>
      <c r="T215" s="85" t="n"/>
      <c r="U215" s="85" t="n"/>
      <c r="V215" s="85" t="n"/>
      <c r="W215" s="85" t="n"/>
      <c r="X215" s="85" t="n"/>
      <c r="Y215" s="85" t="n"/>
      <c r="Z215" s="85" t="n"/>
      <c r="AA215" s="85" t="n"/>
      <c r="AB215" s="85" t="n"/>
      <c r="AC215" s="86" t="n"/>
      <c r="AD215" s="86" t="n"/>
      <c r="AE215" s="86" t="n"/>
      <c r="AF215" s="85" t="n"/>
      <c r="AG215" s="85" t="n"/>
      <c r="AH215" s="85">
        <f>IF($A215="","",IF(AND($E215="Yes",OR($V215="No",$V215="NOT FOUND")),"YES",""))</f>
        <v/>
      </c>
      <c r="AI215" s="85">
        <f>IF($A215="","",TRIM(IF(AND($M215=0,$I215&lt;&gt;"Yes"),"T0-NoPhishResistant ","")&amp;IF($H215="No","NoMFA ","")&amp;IF(AND($M215=0,$O215="Group only"),"T0-ViaGroupOnly ","")&amp;IF($N215="Yes","BroadAzureScope ","")&amp;IF($T215="Yes","AlsoEntraRole ","")))</f>
        <v/>
      </c>
      <c r="AJ215" s="85">
        <f>IF($A215="","",IF(AD215="","Not Enrolled",IF(TODAY()&gt;AD215,"Review Overdue",IF(AD215-TODAY()&lt;=30,"Review Due Soon","Active"))))</f>
        <v/>
      </c>
      <c r="AK215" s="85">
        <f>IF($A215="","",IF(AE215="","NOT REVIEWED",IF(TODAY()-AE215&gt;90,"OVERDUE",IF(TODAY()-AE215&gt;76,"Due Soon","Current"))))</f>
        <v/>
      </c>
    </row>
    <row r="216" ht="15" customHeight="1" s="39">
      <c r="A216" s="85" t="n"/>
      <c r="B216" s="85" t="n"/>
      <c r="C216" s="85" t="n"/>
      <c r="D216" s="85" t="n"/>
      <c r="E216" s="85" t="n"/>
      <c r="F216" s="86" t="n"/>
      <c r="G216" s="86" t="n"/>
      <c r="H216" s="85" t="n"/>
      <c r="I216" s="85" t="n"/>
      <c r="J216" s="85" t="n"/>
      <c r="K216" s="85" t="n"/>
      <c r="L216" s="85" t="n"/>
      <c r="M216" s="85" t="n"/>
      <c r="N216" s="85" t="n"/>
      <c r="O216" s="85" t="n"/>
      <c r="P216" s="85" t="n"/>
      <c r="Q216" s="85" t="n"/>
      <c r="R216" s="85" t="n"/>
      <c r="S216" s="85" t="n"/>
      <c r="T216" s="85" t="n"/>
      <c r="U216" s="85" t="n"/>
      <c r="V216" s="85" t="n"/>
      <c r="W216" s="85" t="n"/>
      <c r="X216" s="85" t="n"/>
      <c r="Y216" s="85" t="n"/>
      <c r="Z216" s="85" t="n"/>
      <c r="AA216" s="85" t="n"/>
      <c r="AB216" s="85" t="n"/>
      <c r="AC216" s="86" t="n"/>
      <c r="AD216" s="86" t="n"/>
      <c r="AE216" s="86" t="n"/>
      <c r="AF216" s="85" t="n"/>
      <c r="AG216" s="85" t="n"/>
      <c r="AH216" s="85">
        <f>IF($A216="","",IF(AND($E216="Yes",OR($V216="No",$V216="NOT FOUND")),"YES",""))</f>
        <v/>
      </c>
      <c r="AI216" s="85">
        <f>IF($A216="","",TRIM(IF(AND($M216=0,$I216&lt;&gt;"Yes"),"T0-NoPhishResistant ","")&amp;IF($H216="No","NoMFA ","")&amp;IF(AND($M216=0,$O216="Group only"),"T0-ViaGroupOnly ","")&amp;IF($N216="Yes","BroadAzureScope ","")&amp;IF($T216="Yes","AlsoEntraRole ","")))</f>
        <v/>
      </c>
      <c r="AJ216" s="85">
        <f>IF($A216="","",IF(AD216="","Not Enrolled",IF(TODAY()&gt;AD216,"Review Overdue",IF(AD216-TODAY()&lt;=30,"Review Due Soon","Active"))))</f>
        <v/>
      </c>
      <c r="AK216" s="85">
        <f>IF($A216="","",IF(AE216="","NOT REVIEWED",IF(TODAY()-AE216&gt;90,"OVERDUE",IF(TODAY()-AE216&gt;76,"Due Soon","Current"))))</f>
        <v/>
      </c>
    </row>
    <row r="217" ht="15" customHeight="1" s="39">
      <c r="A217" s="85" t="n"/>
      <c r="B217" s="85" t="n"/>
      <c r="C217" s="85" t="n"/>
      <c r="D217" s="85" t="n"/>
      <c r="E217" s="85" t="n"/>
      <c r="F217" s="86" t="n"/>
      <c r="G217" s="86" t="n"/>
      <c r="H217" s="85" t="n"/>
      <c r="I217" s="85" t="n"/>
      <c r="J217" s="85" t="n"/>
      <c r="K217" s="85" t="n"/>
      <c r="L217" s="85" t="n"/>
      <c r="M217" s="85" t="n"/>
      <c r="N217" s="85" t="n"/>
      <c r="O217" s="85" t="n"/>
      <c r="P217" s="85" t="n"/>
      <c r="Q217" s="85" t="n"/>
      <c r="R217" s="85" t="n"/>
      <c r="S217" s="85" t="n"/>
      <c r="T217" s="85" t="n"/>
      <c r="U217" s="85" t="n"/>
      <c r="V217" s="85" t="n"/>
      <c r="W217" s="85" t="n"/>
      <c r="X217" s="85" t="n"/>
      <c r="Y217" s="85" t="n"/>
      <c r="Z217" s="85" t="n"/>
      <c r="AA217" s="85" t="n"/>
      <c r="AB217" s="85" t="n"/>
      <c r="AC217" s="86" t="n"/>
      <c r="AD217" s="86" t="n"/>
      <c r="AE217" s="86" t="n"/>
      <c r="AF217" s="85" t="n"/>
      <c r="AG217" s="85" t="n"/>
      <c r="AH217" s="85">
        <f>IF($A217="","",IF(AND($E217="Yes",OR($V217="No",$V217="NOT FOUND")),"YES",""))</f>
        <v/>
      </c>
      <c r="AI217" s="85">
        <f>IF($A217="","",TRIM(IF(AND($M217=0,$I217&lt;&gt;"Yes"),"T0-NoPhishResistant ","")&amp;IF($H217="No","NoMFA ","")&amp;IF(AND($M217=0,$O217="Group only"),"T0-ViaGroupOnly ","")&amp;IF($N217="Yes","BroadAzureScope ","")&amp;IF($T217="Yes","AlsoEntraRole ","")))</f>
        <v/>
      </c>
      <c r="AJ217" s="85">
        <f>IF($A217="","",IF(AD217="","Not Enrolled",IF(TODAY()&gt;AD217,"Review Overdue",IF(AD217-TODAY()&lt;=30,"Review Due Soon","Active"))))</f>
        <v/>
      </c>
      <c r="AK217" s="85">
        <f>IF($A217="","",IF(AE217="","NOT REVIEWED",IF(TODAY()-AE217&gt;90,"OVERDUE",IF(TODAY()-AE217&gt;76,"Due Soon","Current"))))</f>
        <v/>
      </c>
    </row>
    <row r="218" ht="15" customHeight="1" s="39">
      <c r="A218" s="85" t="n"/>
      <c r="B218" s="85" t="n"/>
      <c r="C218" s="85" t="n"/>
      <c r="D218" s="85" t="n"/>
      <c r="E218" s="85" t="n"/>
      <c r="F218" s="86" t="n"/>
      <c r="G218" s="86" t="n"/>
      <c r="H218" s="85" t="n"/>
      <c r="I218" s="85" t="n"/>
      <c r="J218" s="85" t="n"/>
      <c r="K218" s="85" t="n"/>
      <c r="L218" s="85" t="n"/>
      <c r="M218" s="85" t="n"/>
      <c r="N218" s="85" t="n"/>
      <c r="O218" s="85" t="n"/>
      <c r="P218" s="85" t="n"/>
      <c r="Q218" s="85" t="n"/>
      <c r="R218" s="85" t="n"/>
      <c r="S218" s="85" t="n"/>
      <c r="T218" s="85" t="n"/>
      <c r="U218" s="85" t="n"/>
      <c r="V218" s="85" t="n"/>
      <c r="W218" s="85" t="n"/>
      <c r="X218" s="85" t="n"/>
      <c r="Y218" s="85" t="n"/>
      <c r="Z218" s="85" t="n"/>
      <c r="AA218" s="85" t="n"/>
      <c r="AB218" s="85" t="n"/>
      <c r="AC218" s="86" t="n"/>
      <c r="AD218" s="86" t="n"/>
      <c r="AE218" s="86" t="n"/>
      <c r="AF218" s="85" t="n"/>
      <c r="AG218" s="85" t="n"/>
      <c r="AH218" s="85">
        <f>IF($A218="","",IF(AND($E218="Yes",OR($V218="No",$V218="NOT FOUND")),"YES",""))</f>
        <v/>
      </c>
      <c r="AI218" s="85">
        <f>IF($A218="","",TRIM(IF(AND($M218=0,$I218&lt;&gt;"Yes"),"T0-NoPhishResistant ","")&amp;IF($H218="No","NoMFA ","")&amp;IF(AND($M218=0,$O218="Group only"),"T0-ViaGroupOnly ","")&amp;IF($N218="Yes","BroadAzureScope ","")&amp;IF($T218="Yes","AlsoEntraRole ","")))</f>
        <v/>
      </c>
      <c r="AJ218" s="85">
        <f>IF($A218="","",IF(AD218="","Not Enrolled",IF(TODAY()&gt;AD218,"Review Overdue",IF(AD218-TODAY()&lt;=30,"Review Due Soon","Active"))))</f>
        <v/>
      </c>
      <c r="AK218" s="85">
        <f>IF($A218="","",IF(AE218="","NOT REVIEWED",IF(TODAY()-AE218&gt;90,"OVERDUE",IF(TODAY()-AE218&gt;76,"Due Soon","Current"))))</f>
        <v/>
      </c>
    </row>
    <row r="219" ht="15" customHeight="1" s="39">
      <c r="A219" s="85" t="n"/>
      <c r="B219" s="85" t="n"/>
      <c r="C219" s="85" t="n"/>
      <c r="D219" s="85" t="n"/>
      <c r="E219" s="85" t="n"/>
      <c r="F219" s="86" t="n"/>
      <c r="G219" s="86" t="n"/>
      <c r="H219" s="85" t="n"/>
      <c r="I219" s="85" t="n"/>
      <c r="J219" s="85" t="n"/>
      <c r="K219" s="85" t="n"/>
      <c r="L219" s="85" t="n"/>
      <c r="M219" s="85" t="n"/>
      <c r="N219" s="85" t="n"/>
      <c r="O219" s="85" t="n"/>
      <c r="P219" s="85" t="n"/>
      <c r="Q219" s="85" t="n"/>
      <c r="R219" s="85" t="n"/>
      <c r="S219" s="85" t="n"/>
      <c r="T219" s="85" t="n"/>
      <c r="U219" s="85" t="n"/>
      <c r="V219" s="85" t="n"/>
      <c r="W219" s="85" t="n"/>
      <c r="X219" s="85" t="n"/>
      <c r="Y219" s="85" t="n"/>
      <c r="Z219" s="85" t="n"/>
      <c r="AA219" s="85" t="n"/>
      <c r="AB219" s="85" t="n"/>
      <c r="AC219" s="86" t="n"/>
      <c r="AD219" s="86" t="n"/>
      <c r="AE219" s="86" t="n"/>
      <c r="AF219" s="85" t="n"/>
      <c r="AG219" s="85" t="n"/>
      <c r="AH219" s="85">
        <f>IF($A219="","",IF(AND($E219="Yes",OR($V219="No",$V219="NOT FOUND")),"YES",""))</f>
        <v/>
      </c>
      <c r="AI219" s="85">
        <f>IF($A219="","",TRIM(IF(AND($M219=0,$I219&lt;&gt;"Yes"),"T0-NoPhishResistant ","")&amp;IF($H219="No","NoMFA ","")&amp;IF(AND($M219=0,$O219="Group only"),"T0-ViaGroupOnly ","")&amp;IF($N219="Yes","BroadAzureScope ","")&amp;IF($T219="Yes","AlsoEntraRole ","")))</f>
        <v/>
      </c>
      <c r="AJ219" s="85">
        <f>IF($A219="","",IF(AD219="","Not Enrolled",IF(TODAY()&gt;AD219,"Review Overdue",IF(AD219-TODAY()&lt;=30,"Review Due Soon","Active"))))</f>
        <v/>
      </c>
      <c r="AK219" s="85">
        <f>IF($A219="","",IF(AE219="","NOT REVIEWED",IF(TODAY()-AE219&gt;90,"OVERDUE",IF(TODAY()-AE219&gt;76,"Due Soon","Current"))))</f>
        <v/>
      </c>
    </row>
    <row r="220" ht="15" customHeight="1" s="39">
      <c r="A220" s="85" t="n"/>
      <c r="B220" s="85" t="n"/>
      <c r="C220" s="85" t="n"/>
      <c r="D220" s="85" t="n"/>
      <c r="E220" s="85" t="n"/>
      <c r="F220" s="86" t="n"/>
      <c r="G220" s="86" t="n"/>
      <c r="H220" s="85" t="n"/>
      <c r="I220" s="85" t="n"/>
      <c r="J220" s="85" t="n"/>
      <c r="K220" s="85" t="n"/>
      <c r="L220" s="85" t="n"/>
      <c r="M220" s="85" t="n"/>
      <c r="N220" s="85" t="n"/>
      <c r="O220" s="85" t="n"/>
      <c r="P220" s="85" t="n"/>
      <c r="Q220" s="85" t="n"/>
      <c r="R220" s="85" t="n"/>
      <c r="S220" s="85" t="n"/>
      <c r="T220" s="85" t="n"/>
      <c r="U220" s="85" t="n"/>
      <c r="V220" s="85" t="n"/>
      <c r="W220" s="85" t="n"/>
      <c r="X220" s="85" t="n"/>
      <c r="Y220" s="85" t="n"/>
      <c r="Z220" s="85" t="n"/>
      <c r="AA220" s="85" t="n"/>
      <c r="AB220" s="85" t="n"/>
      <c r="AC220" s="86" t="n"/>
      <c r="AD220" s="86" t="n"/>
      <c r="AE220" s="86" t="n"/>
      <c r="AF220" s="85" t="n"/>
      <c r="AG220" s="85" t="n"/>
      <c r="AH220" s="85">
        <f>IF($A220="","",IF(AND($E220="Yes",OR($V220="No",$V220="NOT FOUND")),"YES",""))</f>
        <v/>
      </c>
      <c r="AI220" s="85">
        <f>IF($A220="","",TRIM(IF(AND($M220=0,$I220&lt;&gt;"Yes"),"T0-NoPhishResistant ","")&amp;IF($H220="No","NoMFA ","")&amp;IF(AND($M220=0,$O220="Group only"),"T0-ViaGroupOnly ","")&amp;IF($N220="Yes","BroadAzureScope ","")&amp;IF($T220="Yes","AlsoEntraRole ","")))</f>
        <v/>
      </c>
      <c r="AJ220" s="85">
        <f>IF($A220="","",IF(AD220="","Not Enrolled",IF(TODAY()&gt;AD220,"Review Overdue",IF(AD220-TODAY()&lt;=30,"Review Due Soon","Active"))))</f>
        <v/>
      </c>
      <c r="AK220" s="85">
        <f>IF($A220="","",IF(AE220="","NOT REVIEWED",IF(TODAY()-AE220&gt;90,"OVERDUE",IF(TODAY()-AE220&gt;76,"Due Soon","Current"))))</f>
        <v/>
      </c>
    </row>
    <row r="221" ht="15" customHeight="1" s="39">
      <c r="A221" s="85" t="n"/>
      <c r="B221" s="85" t="n"/>
      <c r="C221" s="85" t="n"/>
      <c r="D221" s="85" t="n"/>
      <c r="E221" s="85" t="n"/>
      <c r="F221" s="86" t="n"/>
      <c r="G221" s="86" t="n"/>
      <c r="H221" s="85" t="n"/>
      <c r="I221" s="85" t="n"/>
      <c r="J221" s="85" t="n"/>
      <c r="K221" s="85" t="n"/>
      <c r="L221" s="85" t="n"/>
      <c r="M221" s="85" t="n"/>
      <c r="N221" s="85" t="n"/>
      <c r="O221" s="85" t="n"/>
      <c r="P221" s="85" t="n"/>
      <c r="Q221" s="85" t="n"/>
      <c r="R221" s="85" t="n"/>
      <c r="S221" s="85" t="n"/>
      <c r="T221" s="85" t="n"/>
      <c r="U221" s="85" t="n"/>
      <c r="V221" s="85" t="n"/>
      <c r="W221" s="85" t="n"/>
      <c r="X221" s="85" t="n"/>
      <c r="Y221" s="85" t="n"/>
      <c r="Z221" s="85" t="n"/>
      <c r="AA221" s="85" t="n"/>
      <c r="AB221" s="85" t="n"/>
      <c r="AC221" s="86" t="n"/>
      <c r="AD221" s="86" t="n"/>
      <c r="AE221" s="86" t="n"/>
      <c r="AF221" s="85" t="n"/>
      <c r="AG221" s="85" t="n"/>
      <c r="AH221" s="85">
        <f>IF($A221="","",IF(AND($E221="Yes",OR($V221="No",$V221="NOT FOUND")),"YES",""))</f>
        <v/>
      </c>
      <c r="AI221" s="85">
        <f>IF($A221="","",TRIM(IF(AND($M221=0,$I221&lt;&gt;"Yes"),"T0-NoPhishResistant ","")&amp;IF($H221="No","NoMFA ","")&amp;IF(AND($M221=0,$O221="Group only"),"T0-ViaGroupOnly ","")&amp;IF($N221="Yes","BroadAzureScope ","")&amp;IF($T221="Yes","AlsoEntraRole ","")))</f>
        <v/>
      </c>
      <c r="AJ221" s="85">
        <f>IF($A221="","",IF(AD221="","Not Enrolled",IF(TODAY()&gt;AD221,"Review Overdue",IF(AD221-TODAY()&lt;=30,"Review Due Soon","Active"))))</f>
        <v/>
      </c>
      <c r="AK221" s="85">
        <f>IF($A221="","",IF(AE221="","NOT REVIEWED",IF(TODAY()-AE221&gt;90,"OVERDUE",IF(TODAY()-AE221&gt;76,"Due Soon","Current"))))</f>
        <v/>
      </c>
    </row>
    <row r="222" ht="15" customHeight="1" s="39">
      <c r="A222" s="85" t="n"/>
      <c r="B222" s="85" t="n"/>
      <c r="C222" s="85" t="n"/>
      <c r="D222" s="85" t="n"/>
      <c r="E222" s="85" t="n"/>
      <c r="F222" s="86" t="n"/>
      <c r="G222" s="86" t="n"/>
      <c r="H222" s="85" t="n"/>
      <c r="I222" s="85" t="n"/>
      <c r="J222" s="85" t="n"/>
      <c r="K222" s="85" t="n"/>
      <c r="L222" s="85" t="n"/>
      <c r="M222" s="85" t="n"/>
      <c r="N222" s="85" t="n"/>
      <c r="O222" s="85" t="n"/>
      <c r="P222" s="85" t="n"/>
      <c r="Q222" s="85" t="n"/>
      <c r="R222" s="85" t="n"/>
      <c r="S222" s="85" t="n"/>
      <c r="T222" s="85" t="n"/>
      <c r="U222" s="85" t="n"/>
      <c r="V222" s="85" t="n"/>
      <c r="W222" s="85" t="n"/>
      <c r="X222" s="85" t="n"/>
      <c r="Y222" s="85" t="n"/>
      <c r="Z222" s="85" t="n"/>
      <c r="AA222" s="85" t="n"/>
      <c r="AB222" s="85" t="n"/>
      <c r="AC222" s="86" t="n"/>
      <c r="AD222" s="86" t="n"/>
      <c r="AE222" s="86" t="n"/>
      <c r="AF222" s="85" t="n"/>
      <c r="AG222" s="85" t="n"/>
      <c r="AH222" s="85">
        <f>IF($A222="","",IF(AND($E222="Yes",OR($V222="No",$V222="NOT FOUND")),"YES",""))</f>
        <v/>
      </c>
      <c r="AI222" s="85">
        <f>IF($A222="","",TRIM(IF(AND($M222=0,$I222&lt;&gt;"Yes"),"T0-NoPhishResistant ","")&amp;IF($H222="No","NoMFA ","")&amp;IF(AND($M222=0,$O222="Group only"),"T0-ViaGroupOnly ","")&amp;IF($N222="Yes","BroadAzureScope ","")&amp;IF($T222="Yes","AlsoEntraRole ","")))</f>
        <v/>
      </c>
      <c r="AJ222" s="85">
        <f>IF($A222="","",IF(AD222="","Not Enrolled",IF(TODAY()&gt;AD222,"Review Overdue",IF(AD222-TODAY()&lt;=30,"Review Due Soon","Active"))))</f>
        <v/>
      </c>
      <c r="AK222" s="85">
        <f>IF($A222="","",IF(AE222="","NOT REVIEWED",IF(TODAY()-AE222&gt;90,"OVERDUE",IF(TODAY()-AE222&gt;76,"Due Soon","Current"))))</f>
        <v/>
      </c>
    </row>
    <row r="223" ht="15" customHeight="1" s="39">
      <c r="A223" s="85" t="n"/>
      <c r="B223" s="85" t="n"/>
      <c r="C223" s="85" t="n"/>
      <c r="D223" s="85" t="n"/>
      <c r="E223" s="85" t="n"/>
      <c r="F223" s="86" t="n"/>
      <c r="G223" s="86" t="n"/>
      <c r="H223" s="85" t="n"/>
      <c r="I223" s="85" t="n"/>
      <c r="J223" s="85" t="n"/>
      <c r="K223" s="85" t="n"/>
      <c r="L223" s="85" t="n"/>
      <c r="M223" s="85" t="n"/>
      <c r="N223" s="85" t="n"/>
      <c r="O223" s="85" t="n"/>
      <c r="P223" s="85" t="n"/>
      <c r="Q223" s="85" t="n"/>
      <c r="R223" s="85" t="n"/>
      <c r="S223" s="85" t="n"/>
      <c r="T223" s="85" t="n"/>
      <c r="U223" s="85" t="n"/>
      <c r="V223" s="85" t="n"/>
      <c r="W223" s="85" t="n"/>
      <c r="X223" s="85" t="n"/>
      <c r="Y223" s="85" t="n"/>
      <c r="Z223" s="85" t="n"/>
      <c r="AA223" s="85" t="n"/>
      <c r="AB223" s="85" t="n"/>
      <c r="AC223" s="86" t="n"/>
      <c r="AD223" s="86" t="n"/>
      <c r="AE223" s="86" t="n"/>
      <c r="AF223" s="85" t="n"/>
      <c r="AG223" s="85" t="n"/>
      <c r="AH223" s="85">
        <f>IF($A223="","",IF(AND($E223="Yes",OR($V223="No",$V223="NOT FOUND")),"YES",""))</f>
        <v/>
      </c>
      <c r="AI223" s="85">
        <f>IF($A223="","",TRIM(IF(AND($M223=0,$I223&lt;&gt;"Yes"),"T0-NoPhishResistant ","")&amp;IF($H223="No","NoMFA ","")&amp;IF(AND($M223=0,$O223="Group only"),"T0-ViaGroupOnly ","")&amp;IF($N223="Yes","BroadAzureScope ","")&amp;IF($T223="Yes","AlsoEntraRole ","")))</f>
        <v/>
      </c>
      <c r="AJ223" s="85">
        <f>IF($A223="","",IF(AD223="","Not Enrolled",IF(TODAY()&gt;AD223,"Review Overdue",IF(AD223-TODAY()&lt;=30,"Review Due Soon","Active"))))</f>
        <v/>
      </c>
      <c r="AK223" s="85">
        <f>IF($A223="","",IF(AE223="","NOT REVIEWED",IF(TODAY()-AE223&gt;90,"OVERDUE",IF(TODAY()-AE223&gt;76,"Due Soon","Current"))))</f>
        <v/>
      </c>
    </row>
    <row r="224" ht="15" customHeight="1" s="39">
      <c r="A224" s="85" t="n"/>
      <c r="B224" s="85" t="n"/>
      <c r="C224" s="85" t="n"/>
      <c r="D224" s="85" t="n"/>
      <c r="E224" s="85" t="n"/>
      <c r="F224" s="86" t="n"/>
      <c r="G224" s="86" t="n"/>
      <c r="H224" s="85" t="n"/>
      <c r="I224" s="85" t="n"/>
      <c r="J224" s="85" t="n"/>
      <c r="K224" s="85" t="n"/>
      <c r="L224" s="85" t="n"/>
      <c r="M224" s="85" t="n"/>
      <c r="N224" s="85" t="n"/>
      <c r="O224" s="85" t="n"/>
      <c r="P224" s="85" t="n"/>
      <c r="Q224" s="85" t="n"/>
      <c r="R224" s="85" t="n"/>
      <c r="S224" s="85" t="n"/>
      <c r="T224" s="85" t="n"/>
      <c r="U224" s="85" t="n"/>
      <c r="V224" s="85" t="n"/>
      <c r="W224" s="85" t="n"/>
      <c r="X224" s="85" t="n"/>
      <c r="Y224" s="85" t="n"/>
      <c r="Z224" s="85" t="n"/>
      <c r="AA224" s="85" t="n"/>
      <c r="AB224" s="85" t="n"/>
      <c r="AC224" s="86" t="n"/>
      <c r="AD224" s="86" t="n"/>
      <c r="AE224" s="86" t="n"/>
      <c r="AF224" s="85" t="n"/>
      <c r="AG224" s="85" t="n"/>
      <c r="AH224" s="85">
        <f>IF($A224="","",IF(AND($E224="Yes",OR($V224="No",$V224="NOT FOUND")),"YES",""))</f>
        <v/>
      </c>
      <c r="AI224" s="85">
        <f>IF($A224="","",TRIM(IF(AND($M224=0,$I224&lt;&gt;"Yes"),"T0-NoPhishResistant ","")&amp;IF($H224="No","NoMFA ","")&amp;IF(AND($M224=0,$O224="Group only"),"T0-ViaGroupOnly ","")&amp;IF($N224="Yes","BroadAzureScope ","")&amp;IF($T224="Yes","AlsoEntraRole ","")))</f>
        <v/>
      </c>
      <c r="AJ224" s="85">
        <f>IF($A224="","",IF(AD224="","Not Enrolled",IF(TODAY()&gt;AD224,"Review Overdue",IF(AD224-TODAY()&lt;=30,"Review Due Soon","Active"))))</f>
        <v/>
      </c>
      <c r="AK224" s="85">
        <f>IF($A224="","",IF(AE224="","NOT REVIEWED",IF(TODAY()-AE224&gt;90,"OVERDUE",IF(TODAY()-AE224&gt;76,"Due Soon","Current"))))</f>
        <v/>
      </c>
    </row>
    <row r="225" ht="15" customHeight="1" s="39">
      <c r="A225" s="85" t="n"/>
      <c r="B225" s="85" t="n"/>
      <c r="C225" s="85" t="n"/>
      <c r="D225" s="85" t="n"/>
      <c r="E225" s="85" t="n"/>
      <c r="F225" s="86" t="n"/>
      <c r="G225" s="86" t="n"/>
      <c r="H225" s="85" t="n"/>
      <c r="I225" s="85" t="n"/>
      <c r="J225" s="85" t="n"/>
      <c r="K225" s="85" t="n"/>
      <c r="L225" s="85" t="n"/>
      <c r="M225" s="85" t="n"/>
      <c r="N225" s="85" t="n"/>
      <c r="O225" s="85" t="n"/>
      <c r="P225" s="85" t="n"/>
      <c r="Q225" s="85" t="n"/>
      <c r="R225" s="85" t="n"/>
      <c r="S225" s="85" t="n"/>
      <c r="T225" s="85" t="n"/>
      <c r="U225" s="85" t="n"/>
      <c r="V225" s="85" t="n"/>
      <c r="W225" s="85" t="n"/>
      <c r="X225" s="85" t="n"/>
      <c r="Y225" s="85" t="n"/>
      <c r="Z225" s="85" t="n"/>
      <c r="AA225" s="85" t="n"/>
      <c r="AB225" s="85" t="n"/>
      <c r="AC225" s="86" t="n"/>
      <c r="AD225" s="86" t="n"/>
      <c r="AE225" s="86" t="n"/>
      <c r="AF225" s="85" t="n"/>
      <c r="AG225" s="85" t="n"/>
      <c r="AH225" s="85">
        <f>IF($A225="","",IF(AND($E225="Yes",OR($V225="No",$V225="NOT FOUND")),"YES",""))</f>
        <v/>
      </c>
      <c r="AI225" s="85">
        <f>IF($A225="","",TRIM(IF(AND($M225=0,$I225&lt;&gt;"Yes"),"T0-NoPhishResistant ","")&amp;IF($H225="No","NoMFA ","")&amp;IF(AND($M225=0,$O225="Group only"),"T0-ViaGroupOnly ","")&amp;IF($N225="Yes","BroadAzureScope ","")&amp;IF($T225="Yes","AlsoEntraRole ","")))</f>
        <v/>
      </c>
      <c r="AJ225" s="85">
        <f>IF($A225="","",IF(AD225="","Not Enrolled",IF(TODAY()&gt;AD225,"Review Overdue",IF(AD225-TODAY()&lt;=30,"Review Due Soon","Active"))))</f>
        <v/>
      </c>
      <c r="AK225" s="85">
        <f>IF($A225="","",IF(AE225="","NOT REVIEWED",IF(TODAY()-AE225&gt;90,"OVERDUE",IF(TODAY()-AE225&gt;76,"Due Soon","Current"))))</f>
        <v/>
      </c>
    </row>
    <row r="226" ht="15" customHeight="1" s="39">
      <c r="A226" s="85" t="n"/>
      <c r="B226" s="85" t="n"/>
      <c r="C226" s="85" t="n"/>
      <c r="D226" s="85" t="n"/>
      <c r="E226" s="85" t="n"/>
      <c r="F226" s="86" t="n"/>
      <c r="G226" s="86" t="n"/>
      <c r="H226" s="85" t="n"/>
      <c r="I226" s="85" t="n"/>
      <c r="J226" s="85" t="n"/>
      <c r="K226" s="85" t="n"/>
      <c r="L226" s="85" t="n"/>
      <c r="M226" s="85" t="n"/>
      <c r="N226" s="85" t="n"/>
      <c r="O226" s="85" t="n"/>
      <c r="P226" s="85" t="n"/>
      <c r="Q226" s="85" t="n"/>
      <c r="R226" s="85" t="n"/>
      <c r="S226" s="85" t="n"/>
      <c r="T226" s="85" t="n"/>
      <c r="U226" s="85" t="n"/>
      <c r="V226" s="85" t="n"/>
      <c r="W226" s="85" t="n"/>
      <c r="X226" s="85" t="n"/>
      <c r="Y226" s="85" t="n"/>
      <c r="Z226" s="85" t="n"/>
      <c r="AA226" s="85" t="n"/>
      <c r="AB226" s="85" t="n"/>
      <c r="AC226" s="86" t="n"/>
      <c r="AD226" s="86" t="n"/>
      <c r="AE226" s="86" t="n"/>
      <c r="AF226" s="85" t="n"/>
      <c r="AG226" s="85" t="n"/>
      <c r="AH226" s="85">
        <f>IF($A226="","",IF(AND($E226="Yes",OR($V226="No",$V226="NOT FOUND")),"YES",""))</f>
        <v/>
      </c>
      <c r="AI226" s="85">
        <f>IF($A226="","",TRIM(IF(AND($M226=0,$I226&lt;&gt;"Yes"),"T0-NoPhishResistant ","")&amp;IF($H226="No","NoMFA ","")&amp;IF(AND($M226=0,$O226="Group only"),"T0-ViaGroupOnly ","")&amp;IF($N226="Yes","BroadAzureScope ","")&amp;IF($T226="Yes","AlsoEntraRole ","")))</f>
        <v/>
      </c>
      <c r="AJ226" s="85">
        <f>IF($A226="","",IF(AD226="","Not Enrolled",IF(TODAY()&gt;AD226,"Review Overdue",IF(AD226-TODAY()&lt;=30,"Review Due Soon","Active"))))</f>
        <v/>
      </c>
      <c r="AK226" s="85">
        <f>IF($A226="","",IF(AE226="","NOT REVIEWED",IF(TODAY()-AE226&gt;90,"OVERDUE",IF(TODAY()-AE226&gt;76,"Due Soon","Current"))))</f>
        <v/>
      </c>
    </row>
    <row r="227" ht="15" customHeight="1" s="39">
      <c r="A227" s="85" t="n"/>
      <c r="B227" s="85" t="n"/>
      <c r="C227" s="85" t="n"/>
      <c r="D227" s="85" t="n"/>
      <c r="E227" s="85" t="n"/>
      <c r="F227" s="86" t="n"/>
      <c r="G227" s="86" t="n"/>
      <c r="H227" s="85" t="n"/>
      <c r="I227" s="85" t="n"/>
      <c r="J227" s="85" t="n"/>
      <c r="K227" s="85" t="n"/>
      <c r="L227" s="85" t="n"/>
      <c r="M227" s="85" t="n"/>
      <c r="N227" s="85" t="n"/>
      <c r="O227" s="85" t="n"/>
      <c r="P227" s="85" t="n"/>
      <c r="Q227" s="85" t="n"/>
      <c r="R227" s="85" t="n"/>
      <c r="S227" s="85" t="n"/>
      <c r="T227" s="85" t="n"/>
      <c r="U227" s="85" t="n"/>
      <c r="V227" s="85" t="n"/>
      <c r="W227" s="85" t="n"/>
      <c r="X227" s="85" t="n"/>
      <c r="Y227" s="85" t="n"/>
      <c r="Z227" s="85" t="n"/>
      <c r="AA227" s="85" t="n"/>
      <c r="AB227" s="85" t="n"/>
      <c r="AC227" s="86" t="n"/>
      <c r="AD227" s="86" t="n"/>
      <c r="AE227" s="86" t="n"/>
      <c r="AF227" s="85" t="n"/>
      <c r="AG227" s="85" t="n"/>
      <c r="AH227" s="85">
        <f>IF($A227="","",IF(AND($E227="Yes",OR($V227="No",$V227="NOT FOUND")),"YES",""))</f>
        <v/>
      </c>
      <c r="AI227" s="85">
        <f>IF($A227="","",TRIM(IF(AND($M227=0,$I227&lt;&gt;"Yes"),"T0-NoPhishResistant ","")&amp;IF($H227="No","NoMFA ","")&amp;IF(AND($M227=0,$O227="Group only"),"T0-ViaGroupOnly ","")&amp;IF($N227="Yes","BroadAzureScope ","")&amp;IF($T227="Yes","AlsoEntraRole ","")))</f>
        <v/>
      </c>
      <c r="AJ227" s="85">
        <f>IF($A227="","",IF(AD227="","Not Enrolled",IF(TODAY()&gt;AD227,"Review Overdue",IF(AD227-TODAY()&lt;=30,"Review Due Soon","Active"))))</f>
        <v/>
      </c>
      <c r="AK227" s="85">
        <f>IF($A227="","",IF(AE227="","NOT REVIEWED",IF(TODAY()-AE227&gt;90,"OVERDUE",IF(TODAY()-AE227&gt;76,"Due Soon","Current"))))</f>
        <v/>
      </c>
    </row>
    <row r="228" ht="15" customHeight="1" s="39">
      <c r="A228" s="85" t="n"/>
      <c r="B228" s="85" t="n"/>
      <c r="C228" s="85" t="n"/>
      <c r="D228" s="85" t="n"/>
      <c r="E228" s="85" t="n"/>
      <c r="F228" s="86" t="n"/>
      <c r="G228" s="86" t="n"/>
      <c r="H228" s="85" t="n"/>
      <c r="I228" s="85" t="n"/>
      <c r="J228" s="85" t="n"/>
      <c r="K228" s="85" t="n"/>
      <c r="L228" s="85" t="n"/>
      <c r="M228" s="85" t="n"/>
      <c r="N228" s="85" t="n"/>
      <c r="O228" s="85" t="n"/>
      <c r="P228" s="85" t="n"/>
      <c r="Q228" s="85" t="n"/>
      <c r="R228" s="85" t="n"/>
      <c r="S228" s="85" t="n"/>
      <c r="T228" s="85" t="n"/>
      <c r="U228" s="85" t="n"/>
      <c r="V228" s="85" t="n"/>
      <c r="W228" s="85" t="n"/>
      <c r="X228" s="85" t="n"/>
      <c r="Y228" s="85" t="n"/>
      <c r="Z228" s="85" t="n"/>
      <c r="AA228" s="85" t="n"/>
      <c r="AB228" s="85" t="n"/>
      <c r="AC228" s="86" t="n"/>
      <c r="AD228" s="86" t="n"/>
      <c r="AE228" s="86" t="n"/>
      <c r="AF228" s="85" t="n"/>
      <c r="AG228" s="85" t="n"/>
      <c r="AH228" s="85">
        <f>IF($A228="","",IF(AND($E228="Yes",OR($V228="No",$V228="NOT FOUND")),"YES",""))</f>
        <v/>
      </c>
      <c r="AI228" s="85">
        <f>IF($A228="","",TRIM(IF(AND($M228=0,$I228&lt;&gt;"Yes"),"T0-NoPhishResistant ","")&amp;IF($H228="No","NoMFA ","")&amp;IF(AND($M228=0,$O228="Group only"),"T0-ViaGroupOnly ","")&amp;IF($N228="Yes","BroadAzureScope ","")&amp;IF($T228="Yes","AlsoEntraRole ","")))</f>
        <v/>
      </c>
      <c r="AJ228" s="85">
        <f>IF($A228="","",IF(AD228="","Not Enrolled",IF(TODAY()&gt;AD228,"Review Overdue",IF(AD228-TODAY()&lt;=30,"Review Due Soon","Active"))))</f>
        <v/>
      </c>
      <c r="AK228" s="85">
        <f>IF($A228="","",IF(AE228="","NOT REVIEWED",IF(TODAY()-AE228&gt;90,"OVERDUE",IF(TODAY()-AE228&gt;76,"Due Soon","Current"))))</f>
        <v/>
      </c>
    </row>
    <row r="229" ht="15" customHeight="1" s="39">
      <c r="A229" s="85" t="n"/>
      <c r="B229" s="85" t="n"/>
      <c r="C229" s="85" t="n"/>
      <c r="D229" s="85" t="n"/>
      <c r="E229" s="85" t="n"/>
      <c r="F229" s="86" t="n"/>
      <c r="G229" s="86" t="n"/>
      <c r="H229" s="85" t="n"/>
      <c r="I229" s="85" t="n"/>
      <c r="J229" s="85" t="n"/>
      <c r="K229" s="85" t="n"/>
      <c r="L229" s="85" t="n"/>
      <c r="M229" s="85" t="n"/>
      <c r="N229" s="85" t="n"/>
      <c r="O229" s="85" t="n"/>
      <c r="P229" s="85" t="n"/>
      <c r="Q229" s="85" t="n"/>
      <c r="R229" s="85" t="n"/>
      <c r="S229" s="85" t="n"/>
      <c r="T229" s="85" t="n"/>
      <c r="U229" s="85" t="n"/>
      <c r="V229" s="85" t="n"/>
      <c r="W229" s="85" t="n"/>
      <c r="X229" s="85" t="n"/>
      <c r="Y229" s="85" t="n"/>
      <c r="Z229" s="85" t="n"/>
      <c r="AA229" s="85" t="n"/>
      <c r="AB229" s="85" t="n"/>
      <c r="AC229" s="86" t="n"/>
      <c r="AD229" s="86" t="n"/>
      <c r="AE229" s="86" t="n"/>
      <c r="AF229" s="85" t="n"/>
      <c r="AG229" s="85" t="n"/>
      <c r="AH229" s="85">
        <f>IF($A229="","",IF(AND($E229="Yes",OR($V229="No",$V229="NOT FOUND")),"YES",""))</f>
        <v/>
      </c>
      <c r="AI229" s="85">
        <f>IF($A229="","",TRIM(IF(AND($M229=0,$I229&lt;&gt;"Yes"),"T0-NoPhishResistant ","")&amp;IF($H229="No","NoMFA ","")&amp;IF(AND($M229=0,$O229="Group only"),"T0-ViaGroupOnly ","")&amp;IF($N229="Yes","BroadAzureScope ","")&amp;IF($T229="Yes","AlsoEntraRole ","")))</f>
        <v/>
      </c>
      <c r="AJ229" s="85">
        <f>IF($A229="","",IF(AD229="","Not Enrolled",IF(TODAY()&gt;AD229,"Review Overdue",IF(AD229-TODAY()&lt;=30,"Review Due Soon","Active"))))</f>
        <v/>
      </c>
      <c r="AK229" s="85">
        <f>IF($A229="","",IF(AE229="","NOT REVIEWED",IF(TODAY()-AE229&gt;90,"OVERDUE",IF(TODAY()-AE229&gt;76,"Due Soon","Current"))))</f>
        <v/>
      </c>
    </row>
    <row r="230" ht="15" customHeight="1" s="39">
      <c r="A230" s="85" t="n"/>
      <c r="B230" s="85" t="n"/>
      <c r="C230" s="85" t="n"/>
      <c r="D230" s="85" t="n"/>
      <c r="E230" s="85" t="n"/>
      <c r="F230" s="86" t="n"/>
      <c r="G230" s="86" t="n"/>
      <c r="H230" s="85" t="n"/>
      <c r="I230" s="85" t="n"/>
      <c r="J230" s="85" t="n"/>
      <c r="K230" s="85" t="n"/>
      <c r="L230" s="85" t="n"/>
      <c r="M230" s="85" t="n"/>
      <c r="N230" s="85" t="n"/>
      <c r="O230" s="85" t="n"/>
      <c r="P230" s="85" t="n"/>
      <c r="Q230" s="85" t="n"/>
      <c r="R230" s="85" t="n"/>
      <c r="S230" s="85" t="n"/>
      <c r="T230" s="85" t="n"/>
      <c r="U230" s="85" t="n"/>
      <c r="V230" s="85" t="n"/>
      <c r="W230" s="85" t="n"/>
      <c r="X230" s="85" t="n"/>
      <c r="Y230" s="85" t="n"/>
      <c r="Z230" s="85" t="n"/>
      <c r="AA230" s="85" t="n"/>
      <c r="AB230" s="85" t="n"/>
      <c r="AC230" s="86" t="n"/>
      <c r="AD230" s="86" t="n"/>
      <c r="AE230" s="86" t="n"/>
      <c r="AF230" s="85" t="n"/>
      <c r="AG230" s="85" t="n"/>
      <c r="AH230" s="85">
        <f>IF($A230="","",IF(AND($E230="Yes",OR($V230="No",$V230="NOT FOUND")),"YES",""))</f>
        <v/>
      </c>
      <c r="AI230" s="85">
        <f>IF($A230="","",TRIM(IF(AND($M230=0,$I230&lt;&gt;"Yes"),"T0-NoPhishResistant ","")&amp;IF($H230="No","NoMFA ","")&amp;IF(AND($M230=0,$O230="Group only"),"T0-ViaGroupOnly ","")&amp;IF($N230="Yes","BroadAzureScope ","")&amp;IF($T230="Yes","AlsoEntraRole ","")))</f>
        <v/>
      </c>
      <c r="AJ230" s="85">
        <f>IF($A230="","",IF(AD230="","Not Enrolled",IF(TODAY()&gt;AD230,"Review Overdue",IF(AD230-TODAY()&lt;=30,"Review Due Soon","Active"))))</f>
        <v/>
      </c>
      <c r="AK230" s="85">
        <f>IF($A230="","",IF(AE230="","NOT REVIEWED",IF(TODAY()-AE230&gt;90,"OVERDUE",IF(TODAY()-AE230&gt;76,"Due Soon","Current"))))</f>
        <v/>
      </c>
    </row>
    <row r="231" ht="15" customHeight="1" s="39">
      <c r="A231" s="85" t="n"/>
      <c r="B231" s="85" t="n"/>
      <c r="C231" s="85" t="n"/>
      <c r="D231" s="85" t="n"/>
      <c r="E231" s="85" t="n"/>
      <c r="F231" s="86" t="n"/>
      <c r="G231" s="86" t="n"/>
      <c r="H231" s="85" t="n"/>
      <c r="I231" s="85" t="n"/>
      <c r="J231" s="85" t="n"/>
      <c r="K231" s="85" t="n"/>
      <c r="L231" s="85" t="n"/>
      <c r="M231" s="85" t="n"/>
      <c r="N231" s="85" t="n"/>
      <c r="O231" s="85" t="n"/>
      <c r="P231" s="85" t="n"/>
      <c r="Q231" s="85" t="n"/>
      <c r="R231" s="85" t="n"/>
      <c r="S231" s="85" t="n"/>
      <c r="T231" s="85" t="n"/>
      <c r="U231" s="85" t="n"/>
      <c r="V231" s="85" t="n"/>
      <c r="W231" s="85" t="n"/>
      <c r="X231" s="85" t="n"/>
      <c r="Y231" s="85" t="n"/>
      <c r="Z231" s="85" t="n"/>
      <c r="AA231" s="85" t="n"/>
      <c r="AB231" s="85" t="n"/>
      <c r="AC231" s="86" t="n"/>
      <c r="AD231" s="86" t="n"/>
      <c r="AE231" s="86" t="n"/>
      <c r="AF231" s="85" t="n"/>
      <c r="AG231" s="85" t="n"/>
      <c r="AH231" s="85">
        <f>IF($A231="","",IF(AND($E231="Yes",OR($V231="No",$V231="NOT FOUND")),"YES",""))</f>
        <v/>
      </c>
      <c r="AI231" s="85">
        <f>IF($A231="","",TRIM(IF(AND($M231=0,$I231&lt;&gt;"Yes"),"T0-NoPhishResistant ","")&amp;IF($H231="No","NoMFA ","")&amp;IF(AND($M231=0,$O231="Group only"),"T0-ViaGroupOnly ","")&amp;IF($N231="Yes","BroadAzureScope ","")&amp;IF($T231="Yes","AlsoEntraRole ","")))</f>
        <v/>
      </c>
      <c r="AJ231" s="85">
        <f>IF($A231="","",IF(AD231="","Not Enrolled",IF(TODAY()&gt;AD231,"Review Overdue",IF(AD231-TODAY()&lt;=30,"Review Due Soon","Active"))))</f>
        <v/>
      </c>
      <c r="AK231" s="85">
        <f>IF($A231="","",IF(AE231="","NOT REVIEWED",IF(TODAY()-AE231&gt;90,"OVERDUE",IF(TODAY()-AE231&gt;76,"Due Soon","Current"))))</f>
        <v/>
      </c>
    </row>
    <row r="232" ht="15" customHeight="1" s="39">
      <c r="A232" s="85" t="n"/>
      <c r="B232" s="85" t="n"/>
      <c r="C232" s="85" t="n"/>
      <c r="D232" s="85" t="n"/>
      <c r="E232" s="85" t="n"/>
      <c r="F232" s="86" t="n"/>
      <c r="G232" s="86" t="n"/>
      <c r="H232" s="85" t="n"/>
      <c r="I232" s="85" t="n"/>
      <c r="J232" s="85" t="n"/>
      <c r="K232" s="85" t="n"/>
      <c r="L232" s="85" t="n"/>
      <c r="M232" s="85" t="n"/>
      <c r="N232" s="85" t="n"/>
      <c r="O232" s="85" t="n"/>
      <c r="P232" s="85" t="n"/>
      <c r="Q232" s="85" t="n"/>
      <c r="R232" s="85" t="n"/>
      <c r="S232" s="85" t="n"/>
      <c r="T232" s="85" t="n"/>
      <c r="U232" s="85" t="n"/>
      <c r="V232" s="85" t="n"/>
      <c r="W232" s="85" t="n"/>
      <c r="X232" s="85" t="n"/>
      <c r="Y232" s="85" t="n"/>
      <c r="Z232" s="85" t="n"/>
      <c r="AA232" s="85" t="n"/>
      <c r="AB232" s="85" t="n"/>
      <c r="AC232" s="86" t="n"/>
      <c r="AD232" s="86" t="n"/>
      <c r="AE232" s="86" t="n"/>
      <c r="AF232" s="85" t="n"/>
      <c r="AG232" s="85" t="n"/>
      <c r="AH232" s="85">
        <f>IF($A232="","",IF(AND($E232="Yes",OR($V232="No",$V232="NOT FOUND")),"YES",""))</f>
        <v/>
      </c>
      <c r="AI232" s="85">
        <f>IF($A232="","",TRIM(IF(AND($M232=0,$I232&lt;&gt;"Yes"),"T0-NoPhishResistant ","")&amp;IF($H232="No","NoMFA ","")&amp;IF(AND($M232=0,$O232="Group only"),"T0-ViaGroupOnly ","")&amp;IF($N232="Yes","BroadAzureScope ","")&amp;IF($T232="Yes","AlsoEntraRole ","")))</f>
        <v/>
      </c>
      <c r="AJ232" s="85">
        <f>IF($A232="","",IF(AD232="","Not Enrolled",IF(TODAY()&gt;AD232,"Review Overdue",IF(AD232-TODAY()&lt;=30,"Review Due Soon","Active"))))</f>
        <v/>
      </c>
      <c r="AK232" s="85">
        <f>IF($A232="","",IF(AE232="","NOT REVIEWED",IF(TODAY()-AE232&gt;90,"OVERDUE",IF(TODAY()-AE232&gt;76,"Due Soon","Current"))))</f>
        <v/>
      </c>
    </row>
    <row r="233" ht="15" customHeight="1" s="39">
      <c r="A233" s="85" t="n"/>
      <c r="B233" s="85" t="n"/>
      <c r="C233" s="85" t="n"/>
      <c r="D233" s="85" t="n"/>
      <c r="E233" s="85" t="n"/>
      <c r="F233" s="86" t="n"/>
      <c r="G233" s="86" t="n"/>
      <c r="H233" s="85" t="n"/>
      <c r="I233" s="85" t="n"/>
      <c r="J233" s="85" t="n"/>
      <c r="K233" s="85" t="n"/>
      <c r="L233" s="85" t="n"/>
      <c r="M233" s="85" t="n"/>
      <c r="N233" s="85" t="n"/>
      <c r="O233" s="85" t="n"/>
      <c r="P233" s="85" t="n"/>
      <c r="Q233" s="85" t="n"/>
      <c r="R233" s="85" t="n"/>
      <c r="S233" s="85" t="n"/>
      <c r="T233" s="85" t="n"/>
      <c r="U233" s="85" t="n"/>
      <c r="V233" s="85" t="n"/>
      <c r="W233" s="85" t="n"/>
      <c r="X233" s="85" t="n"/>
      <c r="Y233" s="85" t="n"/>
      <c r="Z233" s="85" t="n"/>
      <c r="AA233" s="85" t="n"/>
      <c r="AB233" s="85" t="n"/>
      <c r="AC233" s="86" t="n"/>
      <c r="AD233" s="86" t="n"/>
      <c r="AE233" s="86" t="n"/>
      <c r="AF233" s="85" t="n"/>
      <c r="AG233" s="85" t="n"/>
      <c r="AH233" s="85">
        <f>IF($A233="","",IF(AND($E233="Yes",OR($V233="No",$V233="NOT FOUND")),"YES",""))</f>
        <v/>
      </c>
      <c r="AI233" s="85">
        <f>IF($A233="","",TRIM(IF(AND($M233=0,$I233&lt;&gt;"Yes"),"T0-NoPhishResistant ","")&amp;IF($H233="No","NoMFA ","")&amp;IF(AND($M233=0,$O233="Group only"),"T0-ViaGroupOnly ","")&amp;IF($N233="Yes","BroadAzureScope ","")&amp;IF($T233="Yes","AlsoEntraRole ","")))</f>
        <v/>
      </c>
      <c r="AJ233" s="85">
        <f>IF($A233="","",IF(AD233="","Not Enrolled",IF(TODAY()&gt;AD233,"Review Overdue",IF(AD233-TODAY()&lt;=30,"Review Due Soon","Active"))))</f>
        <v/>
      </c>
      <c r="AK233" s="85">
        <f>IF($A233="","",IF(AE233="","NOT REVIEWED",IF(TODAY()-AE233&gt;90,"OVERDUE",IF(TODAY()-AE233&gt;76,"Due Soon","Current"))))</f>
        <v/>
      </c>
    </row>
    <row r="234" ht="15" customHeight="1" s="39">
      <c r="A234" s="85" t="n"/>
      <c r="B234" s="85" t="n"/>
      <c r="C234" s="85" t="n"/>
      <c r="D234" s="85" t="n"/>
      <c r="E234" s="85" t="n"/>
      <c r="F234" s="86" t="n"/>
      <c r="G234" s="86" t="n"/>
      <c r="H234" s="85" t="n"/>
      <c r="I234" s="85" t="n"/>
      <c r="J234" s="85" t="n"/>
      <c r="K234" s="85" t="n"/>
      <c r="L234" s="85" t="n"/>
      <c r="M234" s="85" t="n"/>
      <c r="N234" s="85" t="n"/>
      <c r="O234" s="85" t="n"/>
      <c r="P234" s="85" t="n"/>
      <c r="Q234" s="85" t="n"/>
      <c r="R234" s="85" t="n"/>
      <c r="S234" s="85" t="n"/>
      <c r="T234" s="85" t="n"/>
      <c r="U234" s="85" t="n"/>
      <c r="V234" s="85" t="n"/>
      <c r="W234" s="85" t="n"/>
      <c r="X234" s="85" t="n"/>
      <c r="Y234" s="85" t="n"/>
      <c r="Z234" s="85" t="n"/>
      <c r="AA234" s="85" t="n"/>
      <c r="AB234" s="85" t="n"/>
      <c r="AC234" s="86" t="n"/>
      <c r="AD234" s="86" t="n"/>
      <c r="AE234" s="86" t="n"/>
      <c r="AF234" s="85" t="n"/>
      <c r="AG234" s="85" t="n"/>
      <c r="AH234" s="85">
        <f>IF($A234="","",IF(AND($E234="Yes",OR($V234="No",$V234="NOT FOUND")),"YES",""))</f>
        <v/>
      </c>
      <c r="AI234" s="85">
        <f>IF($A234="","",TRIM(IF(AND($M234=0,$I234&lt;&gt;"Yes"),"T0-NoPhishResistant ","")&amp;IF($H234="No","NoMFA ","")&amp;IF(AND($M234=0,$O234="Group only"),"T0-ViaGroupOnly ","")&amp;IF($N234="Yes","BroadAzureScope ","")&amp;IF($T234="Yes","AlsoEntraRole ","")))</f>
        <v/>
      </c>
      <c r="AJ234" s="85">
        <f>IF($A234="","",IF(AD234="","Not Enrolled",IF(TODAY()&gt;AD234,"Review Overdue",IF(AD234-TODAY()&lt;=30,"Review Due Soon","Active"))))</f>
        <v/>
      </c>
      <c r="AK234" s="85">
        <f>IF($A234="","",IF(AE234="","NOT REVIEWED",IF(TODAY()-AE234&gt;90,"OVERDUE",IF(TODAY()-AE234&gt;76,"Due Soon","Current"))))</f>
        <v/>
      </c>
    </row>
    <row r="235" ht="15" customHeight="1" s="39">
      <c r="A235" s="85" t="n"/>
      <c r="B235" s="85" t="n"/>
      <c r="C235" s="85" t="n"/>
      <c r="D235" s="85" t="n"/>
      <c r="E235" s="85" t="n"/>
      <c r="F235" s="86" t="n"/>
      <c r="G235" s="86" t="n"/>
      <c r="H235" s="85" t="n"/>
      <c r="I235" s="85" t="n"/>
      <c r="J235" s="85" t="n"/>
      <c r="K235" s="85" t="n"/>
      <c r="L235" s="85" t="n"/>
      <c r="M235" s="85" t="n"/>
      <c r="N235" s="85" t="n"/>
      <c r="O235" s="85" t="n"/>
      <c r="P235" s="85" t="n"/>
      <c r="Q235" s="85" t="n"/>
      <c r="R235" s="85" t="n"/>
      <c r="S235" s="85" t="n"/>
      <c r="T235" s="85" t="n"/>
      <c r="U235" s="85" t="n"/>
      <c r="V235" s="85" t="n"/>
      <c r="W235" s="85" t="n"/>
      <c r="X235" s="85" t="n"/>
      <c r="Y235" s="85" t="n"/>
      <c r="Z235" s="85" t="n"/>
      <c r="AA235" s="85" t="n"/>
      <c r="AB235" s="85" t="n"/>
      <c r="AC235" s="86" t="n"/>
      <c r="AD235" s="86" t="n"/>
      <c r="AE235" s="86" t="n"/>
      <c r="AF235" s="85" t="n"/>
      <c r="AG235" s="85" t="n"/>
      <c r="AH235" s="85">
        <f>IF($A235="","",IF(AND($E235="Yes",OR($V235="No",$V235="NOT FOUND")),"YES",""))</f>
        <v/>
      </c>
      <c r="AI235" s="85">
        <f>IF($A235="","",TRIM(IF(AND($M235=0,$I235&lt;&gt;"Yes"),"T0-NoPhishResistant ","")&amp;IF($H235="No","NoMFA ","")&amp;IF(AND($M235=0,$O235="Group only"),"T0-ViaGroupOnly ","")&amp;IF($N235="Yes","BroadAzureScope ","")&amp;IF($T235="Yes","AlsoEntraRole ","")))</f>
        <v/>
      </c>
      <c r="AJ235" s="85">
        <f>IF($A235="","",IF(AD235="","Not Enrolled",IF(TODAY()&gt;AD235,"Review Overdue",IF(AD235-TODAY()&lt;=30,"Review Due Soon","Active"))))</f>
        <v/>
      </c>
      <c r="AK235" s="85">
        <f>IF($A235="","",IF(AE235="","NOT REVIEWED",IF(TODAY()-AE235&gt;90,"OVERDUE",IF(TODAY()-AE235&gt;76,"Due Soon","Current"))))</f>
        <v/>
      </c>
    </row>
    <row r="236" ht="15" customHeight="1" s="39">
      <c r="A236" s="85" t="n"/>
      <c r="B236" s="85" t="n"/>
      <c r="C236" s="85" t="n"/>
      <c r="D236" s="85" t="n"/>
      <c r="E236" s="85" t="n"/>
      <c r="F236" s="86" t="n"/>
      <c r="G236" s="86" t="n"/>
      <c r="H236" s="85" t="n"/>
      <c r="I236" s="85" t="n"/>
      <c r="J236" s="85" t="n"/>
      <c r="K236" s="85" t="n"/>
      <c r="L236" s="85" t="n"/>
      <c r="M236" s="85" t="n"/>
      <c r="N236" s="85" t="n"/>
      <c r="O236" s="85" t="n"/>
      <c r="P236" s="85" t="n"/>
      <c r="Q236" s="85" t="n"/>
      <c r="R236" s="85" t="n"/>
      <c r="S236" s="85" t="n"/>
      <c r="T236" s="85" t="n"/>
      <c r="U236" s="85" t="n"/>
      <c r="V236" s="85" t="n"/>
      <c r="W236" s="85" t="n"/>
      <c r="X236" s="85" t="n"/>
      <c r="Y236" s="85" t="n"/>
      <c r="Z236" s="85" t="n"/>
      <c r="AA236" s="85" t="n"/>
      <c r="AB236" s="85" t="n"/>
      <c r="AC236" s="86" t="n"/>
      <c r="AD236" s="86" t="n"/>
      <c r="AE236" s="86" t="n"/>
      <c r="AF236" s="85" t="n"/>
      <c r="AG236" s="85" t="n"/>
      <c r="AH236" s="85">
        <f>IF($A236="","",IF(AND($E236="Yes",OR($V236="No",$V236="NOT FOUND")),"YES",""))</f>
        <v/>
      </c>
      <c r="AI236" s="85">
        <f>IF($A236="","",TRIM(IF(AND($M236=0,$I236&lt;&gt;"Yes"),"T0-NoPhishResistant ","")&amp;IF($H236="No","NoMFA ","")&amp;IF(AND($M236=0,$O236="Group only"),"T0-ViaGroupOnly ","")&amp;IF($N236="Yes","BroadAzureScope ","")&amp;IF($T236="Yes","AlsoEntraRole ","")))</f>
        <v/>
      </c>
      <c r="AJ236" s="85">
        <f>IF($A236="","",IF(AD236="","Not Enrolled",IF(TODAY()&gt;AD236,"Review Overdue",IF(AD236-TODAY()&lt;=30,"Review Due Soon","Active"))))</f>
        <v/>
      </c>
      <c r="AK236" s="85">
        <f>IF($A236="","",IF(AE236="","NOT REVIEWED",IF(TODAY()-AE236&gt;90,"OVERDUE",IF(TODAY()-AE236&gt;76,"Due Soon","Current"))))</f>
        <v/>
      </c>
    </row>
    <row r="237" ht="15" customHeight="1" s="39">
      <c r="A237" s="85" t="n"/>
      <c r="B237" s="85" t="n"/>
      <c r="C237" s="85" t="n"/>
      <c r="D237" s="85" t="n"/>
      <c r="E237" s="85" t="n"/>
      <c r="F237" s="86" t="n"/>
      <c r="G237" s="86" t="n"/>
      <c r="H237" s="85" t="n"/>
      <c r="I237" s="85" t="n"/>
      <c r="J237" s="85" t="n"/>
      <c r="K237" s="85" t="n"/>
      <c r="L237" s="85" t="n"/>
      <c r="M237" s="85" t="n"/>
      <c r="N237" s="85" t="n"/>
      <c r="O237" s="85" t="n"/>
      <c r="P237" s="85" t="n"/>
      <c r="Q237" s="85" t="n"/>
      <c r="R237" s="85" t="n"/>
      <c r="S237" s="85" t="n"/>
      <c r="T237" s="85" t="n"/>
      <c r="U237" s="85" t="n"/>
      <c r="V237" s="85" t="n"/>
      <c r="W237" s="85" t="n"/>
      <c r="X237" s="85" t="n"/>
      <c r="Y237" s="85" t="n"/>
      <c r="Z237" s="85" t="n"/>
      <c r="AA237" s="85" t="n"/>
      <c r="AB237" s="85" t="n"/>
      <c r="AC237" s="86" t="n"/>
      <c r="AD237" s="86" t="n"/>
      <c r="AE237" s="86" t="n"/>
      <c r="AF237" s="85" t="n"/>
      <c r="AG237" s="85" t="n"/>
      <c r="AH237" s="85">
        <f>IF($A237="","",IF(AND($E237="Yes",OR($V237="No",$V237="NOT FOUND")),"YES",""))</f>
        <v/>
      </c>
      <c r="AI237" s="85">
        <f>IF($A237="","",TRIM(IF(AND($M237=0,$I237&lt;&gt;"Yes"),"T0-NoPhishResistant ","")&amp;IF($H237="No","NoMFA ","")&amp;IF(AND($M237=0,$O237="Group only"),"T0-ViaGroupOnly ","")&amp;IF($N237="Yes","BroadAzureScope ","")&amp;IF($T237="Yes","AlsoEntraRole ","")))</f>
        <v/>
      </c>
      <c r="AJ237" s="85">
        <f>IF($A237="","",IF(AD237="","Not Enrolled",IF(TODAY()&gt;AD237,"Review Overdue",IF(AD237-TODAY()&lt;=30,"Review Due Soon","Active"))))</f>
        <v/>
      </c>
      <c r="AK237" s="85">
        <f>IF($A237="","",IF(AE237="","NOT REVIEWED",IF(TODAY()-AE237&gt;90,"OVERDUE",IF(TODAY()-AE237&gt;76,"Due Soon","Current"))))</f>
        <v/>
      </c>
    </row>
    <row r="238" ht="15" customHeight="1" s="39">
      <c r="A238" s="85" t="n"/>
      <c r="B238" s="85" t="n"/>
      <c r="C238" s="85" t="n"/>
      <c r="D238" s="85" t="n"/>
      <c r="E238" s="85" t="n"/>
      <c r="F238" s="86" t="n"/>
      <c r="G238" s="86" t="n"/>
      <c r="H238" s="85" t="n"/>
      <c r="I238" s="85" t="n"/>
      <c r="J238" s="85" t="n"/>
      <c r="K238" s="85" t="n"/>
      <c r="L238" s="85" t="n"/>
      <c r="M238" s="85" t="n"/>
      <c r="N238" s="85" t="n"/>
      <c r="O238" s="85" t="n"/>
      <c r="P238" s="85" t="n"/>
      <c r="Q238" s="85" t="n"/>
      <c r="R238" s="85" t="n"/>
      <c r="S238" s="85" t="n"/>
      <c r="T238" s="85" t="n"/>
      <c r="U238" s="85" t="n"/>
      <c r="V238" s="85" t="n"/>
      <c r="W238" s="85" t="n"/>
      <c r="X238" s="85" t="n"/>
      <c r="Y238" s="85" t="n"/>
      <c r="Z238" s="85" t="n"/>
      <c r="AA238" s="85" t="n"/>
      <c r="AB238" s="85" t="n"/>
      <c r="AC238" s="86" t="n"/>
      <c r="AD238" s="86" t="n"/>
      <c r="AE238" s="86" t="n"/>
      <c r="AF238" s="85" t="n"/>
      <c r="AG238" s="85" t="n"/>
      <c r="AH238" s="85">
        <f>IF($A238="","",IF(AND($E238="Yes",OR($V238="No",$V238="NOT FOUND")),"YES",""))</f>
        <v/>
      </c>
      <c r="AI238" s="85">
        <f>IF($A238="","",TRIM(IF(AND($M238=0,$I238&lt;&gt;"Yes"),"T0-NoPhishResistant ","")&amp;IF($H238="No","NoMFA ","")&amp;IF(AND($M238=0,$O238="Group only"),"T0-ViaGroupOnly ","")&amp;IF($N238="Yes","BroadAzureScope ","")&amp;IF($T238="Yes","AlsoEntraRole ","")))</f>
        <v/>
      </c>
      <c r="AJ238" s="85">
        <f>IF($A238="","",IF(AD238="","Not Enrolled",IF(TODAY()&gt;AD238,"Review Overdue",IF(AD238-TODAY()&lt;=30,"Review Due Soon","Active"))))</f>
        <v/>
      </c>
      <c r="AK238" s="85">
        <f>IF($A238="","",IF(AE238="","NOT REVIEWED",IF(TODAY()-AE238&gt;90,"OVERDUE",IF(TODAY()-AE238&gt;76,"Due Soon","Current"))))</f>
        <v/>
      </c>
    </row>
    <row r="239" ht="15" customHeight="1" s="39">
      <c r="A239" s="85" t="n"/>
      <c r="B239" s="85" t="n"/>
      <c r="C239" s="85" t="n"/>
      <c r="D239" s="85" t="n"/>
      <c r="E239" s="85" t="n"/>
      <c r="F239" s="86" t="n"/>
      <c r="G239" s="86" t="n"/>
      <c r="H239" s="85" t="n"/>
      <c r="I239" s="85" t="n"/>
      <c r="J239" s="85" t="n"/>
      <c r="K239" s="85" t="n"/>
      <c r="L239" s="85" t="n"/>
      <c r="M239" s="85" t="n"/>
      <c r="N239" s="85" t="n"/>
      <c r="O239" s="85" t="n"/>
      <c r="P239" s="85" t="n"/>
      <c r="Q239" s="85" t="n"/>
      <c r="R239" s="85" t="n"/>
      <c r="S239" s="85" t="n"/>
      <c r="T239" s="85" t="n"/>
      <c r="U239" s="85" t="n"/>
      <c r="V239" s="85" t="n"/>
      <c r="W239" s="85" t="n"/>
      <c r="X239" s="85" t="n"/>
      <c r="Y239" s="85" t="n"/>
      <c r="Z239" s="85" t="n"/>
      <c r="AA239" s="85" t="n"/>
      <c r="AB239" s="85" t="n"/>
      <c r="AC239" s="86" t="n"/>
      <c r="AD239" s="86" t="n"/>
      <c r="AE239" s="86" t="n"/>
      <c r="AF239" s="85" t="n"/>
      <c r="AG239" s="85" t="n"/>
      <c r="AH239" s="85">
        <f>IF($A239="","",IF(AND($E239="Yes",OR($V239="No",$V239="NOT FOUND")),"YES",""))</f>
        <v/>
      </c>
      <c r="AI239" s="85">
        <f>IF($A239="","",TRIM(IF(AND($M239=0,$I239&lt;&gt;"Yes"),"T0-NoPhishResistant ","")&amp;IF($H239="No","NoMFA ","")&amp;IF(AND($M239=0,$O239="Group only"),"T0-ViaGroupOnly ","")&amp;IF($N239="Yes","BroadAzureScope ","")&amp;IF($T239="Yes","AlsoEntraRole ","")))</f>
        <v/>
      </c>
      <c r="AJ239" s="85">
        <f>IF($A239="","",IF(AD239="","Not Enrolled",IF(TODAY()&gt;AD239,"Review Overdue",IF(AD239-TODAY()&lt;=30,"Review Due Soon","Active"))))</f>
        <v/>
      </c>
      <c r="AK239" s="85">
        <f>IF($A239="","",IF(AE239="","NOT REVIEWED",IF(TODAY()-AE239&gt;90,"OVERDUE",IF(TODAY()-AE239&gt;76,"Due Soon","Current"))))</f>
        <v/>
      </c>
    </row>
    <row r="240" ht="15" customHeight="1" s="39">
      <c r="A240" s="85" t="n"/>
      <c r="B240" s="85" t="n"/>
      <c r="C240" s="85" t="n"/>
      <c r="D240" s="85" t="n"/>
      <c r="E240" s="85" t="n"/>
      <c r="F240" s="86" t="n"/>
      <c r="G240" s="86" t="n"/>
      <c r="H240" s="85" t="n"/>
      <c r="I240" s="85" t="n"/>
      <c r="J240" s="85" t="n"/>
      <c r="K240" s="85" t="n"/>
      <c r="L240" s="85" t="n"/>
      <c r="M240" s="85" t="n"/>
      <c r="N240" s="85" t="n"/>
      <c r="O240" s="85" t="n"/>
      <c r="P240" s="85" t="n"/>
      <c r="Q240" s="85" t="n"/>
      <c r="R240" s="85" t="n"/>
      <c r="S240" s="85" t="n"/>
      <c r="T240" s="85" t="n"/>
      <c r="U240" s="85" t="n"/>
      <c r="V240" s="85" t="n"/>
      <c r="W240" s="85" t="n"/>
      <c r="X240" s="85" t="n"/>
      <c r="Y240" s="85" t="n"/>
      <c r="Z240" s="85" t="n"/>
      <c r="AA240" s="85" t="n"/>
      <c r="AB240" s="85" t="n"/>
      <c r="AC240" s="86" t="n"/>
      <c r="AD240" s="86" t="n"/>
      <c r="AE240" s="86" t="n"/>
      <c r="AF240" s="85" t="n"/>
      <c r="AG240" s="85" t="n"/>
      <c r="AH240" s="85">
        <f>IF($A240="","",IF(AND($E240="Yes",OR($V240="No",$V240="NOT FOUND")),"YES",""))</f>
        <v/>
      </c>
      <c r="AI240" s="85">
        <f>IF($A240="","",TRIM(IF(AND($M240=0,$I240&lt;&gt;"Yes"),"T0-NoPhishResistant ","")&amp;IF($H240="No","NoMFA ","")&amp;IF(AND($M240=0,$O240="Group only"),"T0-ViaGroupOnly ","")&amp;IF($N240="Yes","BroadAzureScope ","")&amp;IF($T240="Yes","AlsoEntraRole ","")))</f>
        <v/>
      </c>
      <c r="AJ240" s="85">
        <f>IF($A240="","",IF(AD240="","Not Enrolled",IF(TODAY()&gt;AD240,"Review Overdue",IF(AD240-TODAY()&lt;=30,"Review Due Soon","Active"))))</f>
        <v/>
      </c>
      <c r="AK240" s="85">
        <f>IF($A240="","",IF(AE240="","NOT REVIEWED",IF(TODAY()-AE240&gt;90,"OVERDUE",IF(TODAY()-AE240&gt;76,"Due Soon","Current"))))</f>
        <v/>
      </c>
    </row>
    <row r="241" ht="15" customHeight="1" s="39">
      <c r="A241" s="85" t="n"/>
      <c r="B241" s="85" t="n"/>
      <c r="C241" s="85" t="n"/>
      <c r="D241" s="85" t="n"/>
      <c r="E241" s="85" t="n"/>
      <c r="F241" s="86" t="n"/>
      <c r="G241" s="86" t="n"/>
      <c r="H241" s="85" t="n"/>
      <c r="I241" s="85" t="n"/>
      <c r="J241" s="85" t="n"/>
      <c r="K241" s="85" t="n"/>
      <c r="L241" s="85" t="n"/>
      <c r="M241" s="85" t="n"/>
      <c r="N241" s="85" t="n"/>
      <c r="O241" s="85" t="n"/>
      <c r="P241" s="85" t="n"/>
      <c r="Q241" s="85" t="n"/>
      <c r="R241" s="85" t="n"/>
      <c r="S241" s="85" t="n"/>
      <c r="T241" s="85" t="n"/>
      <c r="U241" s="85" t="n"/>
      <c r="V241" s="85" t="n"/>
      <c r="W241" s="85" t="n"/>
      <c r="X241" s="85" t="n"/>
      <c r="Y241" s="85" t="n"/>
      <c r="Z241" s="85" t="n"/>
      <c r="AA241" s="85" t="n"/>
      <c r="AB241" s="85" t="n"/>
      <c r="AC241" s="86" t="n"/>
      <c r="AD241" s="86" t="n"/>
      <c r="AE241" s="86" t="n"/>
      <c r="AF241" s="85" t="n"/>
      <c r="AG241" s="85" t="n"/>
      <c r="AH241" s="85">
        <f>IF($A241="","",IF(AND($E241="Yes",OR($V241="No",$V241="NOT FOUND")),"YES",""))</f>
        <v/>
      </c>
      <c r="AI241" s="85">
        <f>IF($A241="","",TRIM(IF(AND($M241=0,$I241&lt;&gt;"Yes"),"T0-NoPhishResistant ","")&amp;IF($H241="No","NoMFA ","")&amp;IF(AND($M241=0,$O241="Group only"),"T0-ViaGroupOnly ","")&amp;IF($N241="Yes","BroadAzureScope ","")&amp;IF($T241="Yes","AlsoEntraRole ","")))</f>
        <v/>
      </c>
      <c r="AJ241" s="85">
        <f>IF($A241="","",IF(AD241="","Not Enrolled",IF(TODAY()&gt;AD241,"Review Overdue",IF(AD241-TODAY()&lt;=30,"Review Due Soon","Active"))))</f>
        <v/>
      </c>
      <c r="AK241" s="85">
        <f>IF($A241="","",IF(AE241="","NOT REVIEWED",IF(TODAY()-AE241&gt;90,"OVERDUE",IF(TODAY()-AE241&gt;76,"Due Soon","Current"))))</f>
        <v/>
      </c>
    </row>
    <row r="242" ht="15" customHeight="1" s="39">
      <c r="A242" s="85" t="n"/>
      <c r="B242" s="85" t="n"/>
      <c r="C242" s="85" t="n"/>
      <c r="D242" s="85" t="n"/>
      <c r="E242" s="85" t="n"/>
      <c r="F242" s="86" t="n"/>
      <c r="G242" s="86" t="n"/>
      <c r="H242" s="85" t="n"/>
      <c r="I242" s="85" t="n"/>
      <c r="J242" s="85" t="n"/>
      <c r="K242" s="85" t="n"/>
      <c r="L242" s="85" t="n"/>
      <c r="M242" s="85" t="n"/>
      <c r="N242" s="85" t="n"/>
      <c r="O242" s="85" t="n"/>
      <c r="P242" s="85" t="n"/>
      <c r="Q242" s="85" t="n"/>
      <c r="R242" s="85" t="n"/>
      <c r="S242" s="85" t="n"/>
      <c r="T242" s="85" t="n"/>
      <c r="U242" s="85" t="n"/>
      <c r="V242" s="85" t="n"/>
      <c r="W242" s="85" t="n"/>
      <c r="X242" s="85" t="n"/>
      <c r="Y242" s="85" t="n"/>
      <c r="Z242" s="85" t="n"/>
      <c r="AA242" s="85" t="n"/>
      <c r="AB242" s="85" t="n"/>
      <c r="AC242" s="86" t="n"/>
      <c r="AD242" s="86" t="n"/>
      <c r="AE242" s="86" t="n"/>
      <c r="AF242" s="85" t="n"/>
      <c r="AG242" s="85" t="n"/>
      <c r="AH242" s="85">
        <f>IF($A242="","",IF(AND($E242="Yes",OR($V242="No",$V242="NOT FOUND")),"YES",""))</f>
        <v/>
      </c>
      <c r="AI242" s="85">
        <f>IF($A242="","",TRIM(IF(AND($M242=0,$I242&lt;&gt;"Yes"),"T0-NoPhishResistant ","")&amp;IF($H242="No","NoMFA ","")&amp;IF(AND($M242=0,$O242="Group only"),"T0-ViaGroupOnly ","")&amp;IF($N242="Yes","BroadAzureScope ","")&amp;IF($T242="Yes","AlsoEntraRole ","")))</f>
        <v/>
      </c>
      <c r="AJ242" s="85">
        <f>IF($A242="","",IF(AD242="","Not Enrolled",IF(TODAY()&gt;AD242,"Review Overdue",IF(AD242-TODAY()&lt;=30,"Review Due Soon","Active"))))</f>
        <v/>
      </c>
      <c r="AK242" s="85">
        <f>IF($A242="","",IF(AE242="","NOT REVIEWED",IF(TODAY()-AE242&gt;90,"OVERDUE",IF(TODAY()-AE242&gt;76,"Due Soon","Current"))))</f>
        <v/>
      </c>
    </row>
    <row r="243" ht="15" customHeight="1" s="39">
      <c r="A243" s="85" t="n"/>
      <c r="B243" s="85" t="n"/>
      <c r="C243" s="85" t="n"/>
      <c r="D243" s="85" t="n"/>
      <c r="E243" s="85" t="n"/>
      <c r="F243" s="86" t="n"/>
      <c r="G243" s="86" t="n"/>
      <c r="H243" s="85" t="n"/>
      <c r="I243" s="85" t="n"/>
      <c r="J243" s="85" t="n"/>
      <c r="K243" s="85" t="n"/>
      <c r="L243" s="85" t="n"/>
      <c r="M243" s="85" t="n"/>
      <c r="N243" s="85" t="n"/>
      <c r="O243" s="85" t="n"/>
      <c r="P243" s="85" t="n"/>
      <c r="Q243" s="85" t="n"/>
      <c r="R243" s="85" t="n"/>
      <c r="S243" s="85" t="n"/>
      <c r="T243" s="85" t="n"/>
      <c r="U243" s="85" t="n"/>
      <c r="V243" s="85" t="n"/>
      <c r="W243" s="85" t="n"/>
      <c r="X243" s="85" t="n"/>
      <c r="Y243" s="85" t="n"/>
      <c r="Z243" s="85" t="n"/>
      <c r="AA243" s="85" t="n"/>
      <c r="AB243" s="85" t="n"/>
      <c r="AC243" s="86" t="n"/>
      <c r="AD243" s="86" t="n"/>
      <c r="AE243" s="86" t="n"/>
      <c r="AF243" s="85" t="n"/>
      <c r="AG243" s="85" t="n"/>
      <c r="AH243" s="85">
        <f>IF($A243="","",IF(AND($E243="Yes",OR($V243="No",$V243="NOT FOUND")),"YES",""))</f>
        <v/>
      </c>
      <c r="AI243" s="85">
        <f>IF($A243="","",TRIM(IF(AND($M243=0,$I243&lt;&gt;"Yes"),"T0-NoPhishResistant ","")&amp;IF($H243="No","NoMFA ","")&amp;IF(AND($M243=0,$O243="Group only"),"T0-ViaGroupOnly ","")&amp;IF($N243="Yes","BroadAzureScope ","")&amp;IF($T243="Yes","AlsoEntraRole ","")))</f>
        <v/>
      </c>
      <c r="AJ243" s="85">
        <f>IF($A243="","",IF(AD243="","Not Enrolled",IF(TODAY()&gt;AD243,"Review Overdue",IF(AD243-TODAY()&lt;=30,"Review Due Soon","Active"))))</f>
        <v/>
      </c>
      <c r="AK243" s="85">
        <f>IF($A243="","",IF(AE243="","NOT REVIEWED",IF(TODAY()-AE243&gt;90,"OVERDUE",IF(TODAY()-AE243&gt;76,"Due Soon","Current"))))</f>
        <v/>
      </c>
    </row>
    <row r="244" ht="15" customHeight="1" s="39">
      <c r="A244" s="85" t="n"/>
      <c r="B244" s="85" t="n"/>
      <c r="C244" s="85" t="n"/>
      <c r="D244" s="85" t="n"/>
      <c r="E244" s="85" t="n"/>
      <c r="F244" s="86" t="n"/>
      <c r="G244" s="86" t="n"/>
      <c r="H244" s="85" t="n"/>
      <c r="I244" s="85" t="n"/>
      <c r="J244" s="85" t="n"/>
      <c r="K244" s="85" t="n"/>
      <c r="L244" s="85" t="n"/>
      <c r="M244" s="85" t="n"/>
      <c r="N244" s="85" t="n"/>
      <c r="O244" s="85" t="n"/>
      <c r="P244" s="85" t="n"/>
      <c r="Q244" s="85" t="n"/>
      <c r="R244" s="85" t="n"/>
      <c r="S244" s="85" t="n"/>
      <c r="T244" s="85" t="n"/>
      <c r="U244" s="85" t="n"/>
      <c r="V244" s="85" t="n"/>
      <c r="W244" s="85" t="n"/>
      <c r="X244" s="85" t="n"/>
      <c r="Y244" s="85" t="n"/>
      <c r="Z244" s="85" t="n"/>
      <c r="AA244" s="85" t="n"/>
      <c r="AB244" s="85" t="n"/>
      <c r="AC244" s="86" t="n"/>
      <c r="AD244" s="86" t="n"/>
      <c r="AE244" s="86" t="n"/>
      <c r="AF244" s="85" t="n"/>
      <c r="AG244" s="85" t="n"/>
      <c r="AH244" s="85">
        <f>IF($A244="","",IF(AND($E244="Yes",OR($V244="No",$V244="NOT FOUND")),"YES",""))</f>
        <v/>
      </c>
      <c r="AI244" s="85">
        <f>IF($A244="","",TRIM(IF(AND($M244=0,$I244&lt;&gt;"Yes"),"T0-NoPhishResistant ","")&amp;IF($H244="No","NoMFA ","")&amp;IF(AND($M244=0,$O244="Group only"),"T0-ViaGroupOnly ","")&amp;IF($N244="Yes","BroadAzureScope ","")&amp;IF($T244="Yes","AlsoEntraRole ","")))</f>
        <v/>
      </c>
      <c r="AJ244" s="85">
        <f>IF($A244="","",IF(AD244="","Not Enrolled",IF(TODAY()&gt;AD244,"Review Overdue",IF(AD244-TODAY()&lt;=30,"Review Due Soon","Active"))))</f>
        <v/>
      </c>
      <c r="AK244" s="85">
        <f>IF($A244="","",IF(AE244="","NOT REVIEWED",IF(TODAY()-AE244&gt;90,"OVERDUE",IF(TODAY()-AE244&gt;76,"Due Soon","Current"))))</f>
        <v/>
      </c>
    </row>
    <row r="245" ht="15" customHeight="1" s="39">
      <c r="A245" s="85" t="n"/>
      <c r="B245" s="85" t="n"/>
      <c r="C245" s="85" t="n"/>
      <c r="D245" s="85" t="n"/>
      <c r="E245" s="85" t="n"/>
      <c r="F245" s="86" t="n"/>
      <c r="G245" s="86" t="n"/>
      <c r="H245" s="85" t="n"/>
      <c r="I245" s="85" t="n"/>
      <c r="J245" s="85" t="n"/>
      <c r="K245" s="85" t="n"/>
      <c r="L245" s="85" t="n"/>
      <c r="M245" s="85" t="n"/>
      <c r="N245" s="85" t="n"/>
      <c r="O245" s="85" t="n"/>
      <c r="P245" s="85" t="n"/>
      <c r="Q245" s="85" t="n"/>
      <c r="R245" s="85" t="n"/>
      <c r="S245" s="85" t="n"/>
      <c r="T245" s="85" t="n"/>
      <c r="U245" s="85" t="n"/>
      <c r="V245" s="85" t="n"/>
      <c r="W245" s="85" t="n"/>
      <c r="X245" s="85" t="n"/>
      <c r="Y245" s="85" t="n"/>
      <c r="Z245" s="85" t="n"/>
      <c r="AA245" s="85" t="n"/>
      <c r="AB245" s="85" t="n"/>
      <c r="AC245" s="86" t="n"/>
      <c r="AD245" s="86" t="n"/>
      <c r="AE245" s="86" t="n"/>
      <c r="AF245" s="85" t="n"/>
      <c r="AG245" s="85" t="n"/>
      <c r="AH245" s="85">
        <f>IF($A245="","",IF(AND($E245="Yes",OR($V245="No",$V245="NOT FOUND")),"YES",""))</f>
        <v/>
      </c>
      <c r="AI245" s="85">
        <f>IF($A245="","",TRIM(IF(AND($M245=0,$I245&lt;&gt;"Yes"),"T0-NoPhishResistant ","")&amp;IF($H245="No","NoMFA ","")&amp;IF(AND($M245=0,$O245="Group only"),"T0-ViaGroupOnly ","")&amp;IF($N245="Yes","BroadAzureScope ","")&amp;IF($T245="Yes","AlsoEntraRole ","")))</f>
        <v/>
      </c>
      <c r="AJ245" s="85">
        <f>IF($A245="","",IF(AD245="","Not Enrolled",IF(TODAY()&gt;AD245,"Review Overdue",IF(AD245-TODAY()&lt;=30,"Review Due Soon","Active"))))</f>
        <v/>
      </c>
      <c r="AK245" s="85">
        <f>IF($A245="","",IF(AE245="","NOT REVIEWED",IF(TODAY()-AE245&gt;90,"OVERDUE",IF(TODAY()-AE245&gt;76,"Due Soon","Current"))))</f>
        <v/>
      </c>
    </row>
    <row r="246" ht="15" customHeight="1" s="39">
      <c r="A246" s="85" t="n"/>
      <c r="B246" s="85" t="n"/>
      <c r="C246" s="85" t="n"/>
      <c r="D246" s="85" t="n"/>
      <c r="E246" s="85" t="n"/>
      <c r="F246" s="86" t="n"/>
      <c r="G246" s="86" t="n"/>
      <c r="H246" s="85" t="n"/>
      <c r="I246" s="85" t="n"/>
      <c r="J246" s="85" t="n"/>
      <c r="K246" s="85" t="n"/>
      <c r="L246" s="85" t="n"/>
      <c r="M246" s="85" t="n"/>
      <c r="N246" s="85" t="n"/>
      <c r="O246" s="85" t="n"/>
      <c r="P246" s="85" t="n"/>
      <c r="Q246" s="85" t="n"/>
      <c r="R246" s="85" t="n"/>
      <c r="S246" s="85" t="n"/>
      <c r="T246" s="85" t="n"/>
      <c r="U246" s="85" t="n"/>
      <c r="V246" s="85" t="n"/>
      <c r="W246" s="85" t="n"/>
      <c r="X246" s="85" t="n"/>
      <c r="Y246" s="85" t="n"/>
      <c r="Z246" s="85" t="n"/>
      <c r="AA246" s="85" t="n"/>
      <c r="AB246" s="85" t="n"/>
      <c r="AC246" s="86" t="n"/>
      <c r="AD246" s="86" t="n"/>
      <c r="AE246" s="86" t="n"/>
      <c r="AF246" s="85" t="n"/>
      <c r="AG246" s="85" t="n"/>
      <c r="AH246" s="85">
        <f>IF($A246="","",IF(AND($E246="Yes",OR($V246="No",$V246="NOT FOUND")),"YES",""))</f>
        <v/>
      </c>
      <c r="AI246" s="85">
        <f>IF($A246="","",TRIM(IF(AND($M246=0,$I246&lt;&gt;"Yes"),"T0-NoPhishResistant ","")&amp;IF($H246="No","NoMFA ","")&amp;IF(AND($M246=0,$O246="Group only"),"T0-ViaGroupOnly ","")&amp;IF($N246="Yes","BroadAzureScope ","")&amp;IF($T246="Yes","AlsoEntraRole ","")))</f>
        <v/>
      </c>
      <c r="AJ246" s="85">
        <f>IF($A246="","",IF(AD246="","Not Enrolled",IF(TODAY()&gt;AD246,"Review Overdue",IF(AD246-TODAY()&lt;=30,"Review Due Soon","Active"))))</f>
        <v/>
      </c>
      <c r="AK246" s="85">
        <f>IF($A246="","",IF(AE246="","NOT REVIEWED",IF(TODAY()-AE246&gt;90,"OVERDUE",IF(TODAY()-AE246&gt;76,"Due Soon","Current"))))</f>
        <v/>
      </c>
    </row>
    <row r="247" ht="15" customHeight="1" s="39">
      <c r="A247" s="85" t="n"/>
      <c r="B247" s="85" t="n"/>
      <c r="C247" s="85" t="n"/>
      <c r="D247" s="85" t="n"/>
      <c r="E247" s="85" t="n"/>
      <c r="F247" s="86" t="n"/>
      <c r="G247" s="86" t="n"/>
      <c r="H247" s="85" t="n"/>
      <c r="I247" s="85" t="n"/>
      <c r="J247" s="85" t="n"/>
      <c r="K247" s="85" t="n"/>
      <c r="L247" s="85" t="n"/>
      <c r="M247" s="85" t="n"/>
      <c r="N247" s="85" t="n"/>
      <c r="O247" s="85" t="n"/>
      <c r="P247" s="85" t="n"/>
      <c r="Q247" s="85" t="n"/>
      <c r="R247" s="85" t="n"/>
      <c r="S247" s="85" t="n"/>
      <c r="T247" s="85" t="n"/>
      <c r="U247" s="85" t="n"/>
      <c r="V247" s="85" t="n"/>
      <c r="W247" s="85" t="n"/>
      <c r="X247" s="85" t="n"/>
      <c r="Y247" s="85" t="n"/>
      <c r="Z247" s="85" t="n"/>
      <c r="AA247" s="85" t="n"/>
      <c r="AB247" s="85" t="n"/>
      <c r="AC247" s="86" t="n"/>
      <c r="AD247" s="86" t="n"/>
      <c r="AE247" s="86" t="n"/>
      <c r="AF247" s="85" t="n"/>
      <c r="AG247" s="85" t="n"/>
      <c r="AH247" s="85">
        <f>IF($A247="","",IF(AND($E247="Yes",OR($V247="No",$V247="NOT FOUND")),"YES",""))</f>
        <v/>
      </c>
      <c r="AI247" s="85">
        <f>IF($A247="","",TRIM(IF(AND($M247=0,$I247&lt;&gt;"Yes"),"T0-NoPhishResistant ","")&amp;IF($H247="No","NoMFA ","")&amp;IF(AND($M247=0,$O247="Group only"),"T0-ViaGroupOnly ","")&amp;IF($N247="Yes","BroadAzureScope ","")&amp;IF($T247="Yes","AlsoEntraRole ","")))</f>
        <v/>
      </c>
      <c r="AJ247" s="85">
        <f>IF($A247="","",IF(AD247="","Not Enrolled",IF(TODAY()&gt;AD247,"Review Overdue",IF(AD247-TODAY()&lt;=30,"Review Due Soon","Active"))))</f>
        <v/>
      </c>
      <c r="AK247" s="85">
        <f>IF($A247="","",IF(AE247="","NOT REVIEWED",IF(TODAY()-AE247&gt;90,"OVERDUE",IF(TODAY()-AE247&gt;76,"Due Soon","Current"))))</f>
        <v/>
      </c>
    </row>
    <row r="248" ht="15" customHeight="1" s="39">
      <c r="A248" s="85" t="n"/>
      <c r="B248" s="85" t="n"/>
      <c r="C248" s="85" t="n"/>
      <c r="D248" s="85" t="n"/>
      <c r="E248" s="85" t="n"/>
      <c r="F248" s="86" t="n"/>
      <c r="G248" s="86" t="n"/>
      <c r="H248" s="85" t="n"/>
      <c r="I248" s="85" t="n"/>
      <c r="J248" s="85" t="n"/>
      <c r="K248" s="85" t="n"/>
      <c r="L248" s="85" t="n"/>
      <c r="M248" s="85" t="n"/>
      <c r="N248" s="85" t="n"/>
      <c r="O248" s="85" t="n"/>
      <c r="P248" s="85" t="n"/>
      <c r="Q248" s="85" t="n"/>
      <c r="R248" s="85" t="n"/>
      <c r="S248" s="85" t="n"/>
      <c r="T248" s="85" t="n"/>
      <c r="U248" s="85" t="n"/>
      <c r="V248" s="85" t="n"/>
      <c r="W248" s="85" t="n"/>
      <c r="X248" s="85" t="n"/>
      <c r="Y248" s="85" t="n"/>
      <c r="Z248" s="85" t="n"/>
      <c r="AA248" s="85" t="n"/>
      <c r="AB248" s="85" t="n"/>
      <c r="AC248" s="86" t="n"/>
      <c r="AD248" s="86" t="n"/>
      <c r="AE248" s="86" t="n"/>
      <c r="AF248" s="85" t="n"/>
      <c r="AG248" s="85" t="n"/>
      <c r="AH248" s="85">
        <f>IF($A248="","",IF(AND($E248="Yes",OR($V248="No",$V248="NOT FOUND")),"YES",""))</f>
        <v/>
      </c>
      <c r="AI248" s="85">
        <f>IF($A248="","",TRIM(IF(AND($M248=0,$I248&lt;&gt;"Yes"),"T0-NoPhishResistant ","")&amp;IF($H248="No","NoMFA ","")&amp;IF(AND($M248=0,$O248="Group only"),"T0-ViaGroupOnly ","")&amp;IF($N248="Yes","BroadAzureScope ","")&amp;IF($T248="Yes","AlsoEntraRole ","")))</f>
        <v/>
      </c>
      <c r="AJ248" s="85">
        <f>IF($A248="","",IF(AD248="","Not Enrolled",IF(TODAY()&gt;AD248,"Review Overdue",IF(AD248-TODAY()&lt;=30,"Review Due Soon","Active"))))</f>
        <v/>
      </c>
      <c r="AK248" s="85">
        <f>IF($A248="","",IF(AE248="","NOT REVIEWED",IF(TODAY()-AE248&gt;90,"OVERDUE",IF(TODAY()-AE248&gt;76,"Due Soon","Current"))))</f>
        <v/>
      </c>
    </row>
    <row r="249" ht="15" customHeight="1" s="39">
      <c r="A249" s="85" t="n"/>
      <c r="B249" s="85" t="n"/>
      <c r="C249" s="85" t="n"/>
      <c r="D249" s="85" t="n"/>
      <c r="E249" s="85" t="n"/>
      <c r="F249" s="86" t="n"/>
      <c r="G249" s="86" t="n"/>
      <c r="H249" s="85" t="n"/>
      <c r="I249" s="85" t="n"/>
      <c r="J249" s="85" t="n"/>
      <c r="K249" s="85" t="n"/>
      <c r="L249" s="85" t="n"/>
      <c r="M249" s="85" t="n"/>
      <c r="N249" s="85" t="n"/>
      <c r="O249" s="85" t="n"/>
      <c r="P249" s="85" t="n"/>
      <c r="Q249" s="85" t="n"/>
      <c r="R249" s="85" t="n"/>
      <c r="S249" s="85" t="n"/>
      <c r="T249" s="85" t="n"/>
      <c r="U249" s="85" t="n"/>
      <c r="V249" s="85" t="n"/>
      <c r="W249" s="85" t="n"/>
      <c r="X249" s="85" t="n"/>
      <c r="Y249" s="85" t="n"/>
      <c r="Z249" s="85" t="n"/>
      <c r="AA249" s="85" t="n"/>
      <c r="AB249" s="85" t="n"/>
      <c r="AC249" s="86" t="n"/>
      <c r="AD249" s="86" t="n"/>
      <c r="AE249" s="86" t="n"/>
      <c r="AF249" s="85" t="n"/>
      <c r="AG249" s="85" t="n"/>
      <c r="AH249" s="85">
        <f>IF($A249="","",IF(AND($E249="Yes",OR($V249="No",$V249="NOT FOUND")),"YES",""))</f>
        <v/>
      </c>
      <c r="AI249" s="85">
        <f>IF($A249="","",TRIM(IF(AND($M249=0,$I249&lt;&gt;"Yes"),"T0-NoPhishResistant ","")&amp;IF($H249="No","NoMFA ","")&amp;IF(AND($M249=0,$O249="Group only"),"T0-ViaGroupOnly ","")&amp;IF($N249="Yes","BroadAzureScope ","")&amp;IF($T249="Yes","AlsoEntraRole ","")))</f>
        <v/>
      </c>
      <c r="AJ249" s="85">
        <f>IF($A249="","",IF(AD249="","Not Enrolled",IF(TODAY()&gt;AD249,"Review Overdue",IF(AD249-TODAY()&lt;=30,"Review Due Soon","Active"))))</f>
        <v/>
      </c>
      <c r="AK249" s="85">
        <f>IF($A249="","",IF(AE249="","NOT REVIEWED",IF(TODAY()-AE249&gt;90,"OVERDUE",IF(TODAY()-AE249&gt;76,"Due Soon","Current"))))</f>
        <v/>
      </c>
    </row>
    <row r="250" ht="15" customHeight="1" s="39">
      <c r="A250" s="85" t="n"/>
      <c r="B250" s="85" t="n"/>
      <c r="C250" s="85" t="n"/>
      <c r="D250" s="85" t="n"/>
      <c r="E250" s="85" t="n"/>
      <c r="F250" s="86" t="n"/>
      <c r="G250" s="86" t="n"/>
      <c r="H250" s="85" t="n"/>
      <c r="I250" s="85" t="n"/>
      <c r="J250" s="85" t="n"/>
      <c r="K250" s="85" t="n"/>
      <c r="L250" s="85" t="n"/>
      <c r="M250" s="85" t="n"/>
      <c r="N250" s="85" t="n"/>
      <c r="O250" s="85" t="n"/>
      <c r="P250" s="85" t="n"/>
      <c r="Q250" s="85" t="n"/>
      <c r="R250" s="85" t="n"/>
      <c r="S250" s="85" t="n"/>
      <c r="T250" s="85" t="n"/>
      <c r="U250" s="85" t="n"/>
      <c r="V250" s="85" t="n"/>
      <c r="W250" s="85" t="n"/>
      <c r="X250" s="85" t="n"/>
      <c r="Y250" s="85" t="n"/>
      <c r="Z250" s="85" t="n"/>
      <c r="AA250" s="85" t="n"/>
      <c r="AB250" s="85" t="n"/>
      <c r="AC250" s="86" t="n"/>
      <c r="AD250" s="86" t="n"/>
      <c r="AE250" s="86" t="n"/>
      <c r="AF250" s="85" t="n"/>
      <c r="AG250" s="85" t="n"/>
      <c r="AH250" s="85">
        <f>IF($A250="","",IF(AND($E250="Yes",OR($V250="No",$V250="NOT FOUND")),"YES",""))</f>
        <v/>
      </c>
      <c r="AI250" s="85">
        <f>IF($A250="","",TRIM(IF(AND($M250=0,$I250&lt;&gt;"Yes"),"T0-NoPhishResistant ","")&amp;IF($H250="No","NoMFA ","")&amp;IF(AND($M250=0,$O250="Group only"),"T0-ViaGroupOnly ","")&amp;IF($N250="Yes","BroadAzureScope ","")&amp;IF($T250="Yes","AlsoEntraRole ","")))</f>
        <v/>
      </c>
      <c r="AJ250" s="85">
        <f>IF($A250="","",IF(AD250="","Not Enrolled",IF(TODAY()&gt;AD250,"Review Overdue",IF(AD250-TODAY()&lt;=30,"Review Due Soon","Active"))))</f>
        <v/>
      </c>
      <c r="AK250" s="85">
        <f>IF($A250="","",IF(AE250="","NOT REVIEWED",IF(TODAY()-AE250&gt;90,"OVERDUE",IF(TODAY()-AE250&gt;76,"Due Soon","Current"))))</f>
        <v/>
      </c>
    </row>
    <row r="251" ht="15" customHeight="1" s="39">
      <c r="A251" s="85" t="n"/>
      <c r="B251" s="85" t="n"/>
      <c r="C251" s="85" t="n"/>
      <c r="D251" s="85" t="n"/>
      <c r="E251" s="85" t="n"/>
      <c r="F251" s="86" t="n"/>
      <c r="G251" s="86" t="n"/>
      <c r="H251" s="85" t="n"/>
      <c r="I251" s="85" t="n"/>
      <c r="J251" s="85" t="n"/>
      <c r="K251" s="85" t="n"/>
      <c r="L251" s="85" t="n"/>
      <c r="M251" s="85" t="n"/>
      <c r="N251" s="85" t="n"/>
      <c r="O251" s="85" t="n"/>
      <c r="P251" s="85" t="n"/>
      <c r="Q251" s="85" t="n"/>
      <c r="R251" s="85" t="n"/>
      <c r="S251" s="85" t="n"/>
      <c r="T251" s="85" t="n"/>
      <c r="U251" s="85" t="n"/>
      <c r="V251" s="85" t="n"/>
      <c r="W251" s="85" t="n"/>
      <c r="X251" s="85" t="n"/>
      <c r="Y251" s="85" t="n"/>
      <c r="Z251" s="85" t="n"/>
      <c r="AA251" s="85" t="n"/>
      <c r="AB251" s="85" t="n"/>
      <c r="AC251" s="86" t="n"/>
      <c r="AD251" s="86" t="n"/>
      <c r="AE251" s="86" t="n"/>
      <c r="AF251" s="85" t="n"/>
      <c r="AG251" s="85" t="n"/>
      <c r="AH251" s="85">
        <f>IF($A251="","",IF(AND($E251="Yes",OR($V251="No",$V251="NOT FOUND")),"YES",""))</f>
        <v/>
      </c>
      <c r="AI251" s="85">
        <f>IF($A251="","",TRIM(IF(AND($M251=0,$I251&lt;&gt;"Yes"),"T0-NoPhishResistant ","")&amp;IF($H251="No","NoMFA ","")&amp;IF(AND($M251=0,$O251="Group only"),"T0-ViaGroupOnly ","")&amp;IF($N251="Yes","BroadAzureScope ","")&amp;IF($T251="Yes","AlsoEntraRole ","")))</f>
        <v/>
      </c>
      <c r="AJ251" s="85">
        <f>IF($A251="","",IF(AD251="","Not Enrolled",IF(TODAY()&gt;AD251,"Review Overdue",IF(AD251-TODAY()&lt;=30,"Review Due Soon","Active"))))</f>
        <v/>
      </c>
      <c r="AK251" s="85">
        <f>IF($A251="","",IF(AE251="","NOT REVIEWED",IF(TODAY()-AE251&gt;90,"OVERDUE",IF(TODAY()-AE251&gt;76,"Due Soon","Current"))))</f>
        <v/>
      </c>
    </row>
    <row r="252" ht="15" customHeight="1" s="39">
      <c r="A252" s="85" t="n"/>
      <c r="B252" s="85" t="n"/>
      <c r="C252" s="85" t="n"/>
      <c r="D252" s="85" t="n"/>
      <c r="E252" s="85" t="n"/>
      <c r="F252" s="86" t="n"/>
      <c r="G252" s="86" t="n"/>
      <c r="H252" s="85" t="n"/>
      <c r="I252" s="85" t="n"/>
      <c r="J252" s="85" t="n"/>
      <c r="K252" s="85" t="n"/>
      <c r="L252" s="85" t="n"/>
      <c r="M252" s="85" t="n"/>
      <c r="N252" s="85" t="n"/>
      <c r="O252" s="85" t="n"/>
      <c r="P252" s="85" t="n"/>
      <c r="Q252" s="85" t="n"/>
      <c r="R252" s="85" t="n"/>
      <c r="S252" s="85" t="n"/>
      <c r="T252" s="85" t="n"/>
      <c r="U252" s="85" t="n"/>
      <c r="V252" s="85" t="n"/>
      <c r="W252" s="85" t="n"/>
      <c r="X252" s="85" t="n"/>
      <c r="Y252" s="85" t="n"/>
      <c r="Z252" s="85" t="n"/>
      <c r="AA252" s="85" t="n"/>
      <c r="AB252" s="85" t="n"/>
      <c r="AC252" s="86" t="n"/>
      <c r="AD252" s="86" t="n"/>
      <c r="AE252" s="86" t="n"/>
      <c r="AF252" s="85" t="n"/>
      <c r="AG252" s="85" t="n"/>
      <c r="AH252" s="85">
        <f>IF($A252="","",IF(AND($E252="Yes",OR($V252="No",$V252="NOT FOUND")),"YES",""))</f>
        <v/>
      </c>
      <c r="AI252" s="85">
        <f>IF($A252="","",TRIM(IF(AND($M252=0,$I252&lt;&gt;"Yes"),"T0-NoPhishResistant ","")&amp;IF($H252="No","NoMFA ","")&amp;IF(AND($M252=0,$O252="Group only"),"T0-ViaGroupOnly ","")&amp;IF($N252="Yes","BroadAzureScope ","")&amp;IF($T252="Yes","AlsoEntraRole ","")))</f>
        <v/>
      </c>
      <c r="AJ252" s="85">
        <f>IF($A252="","",IF(AD252="","Not Enrolled",IF(TODAY()&gt;AD252,"Review Overdue",IF(AD252-TODAY()&lt;=30,"Review Due Soon","Active"))))</f>
        <v/>
      </c>
      <c r="AK252" s="85">
        <f>IF($A252="","",IF(AE252="","NOT REVIEWED",IF(TODAY()-AE252&gt;90,"OVERDUE",IF(TODAY()-AE252&gt;76,"Due Soon","Current"))))</f>
        <v/>
      </c>
    </row>
    <row r="253" ht="15" customHeight="1" s="39">
      <c r="A253" s="85" t="n"/>
      <c r="B253" s="85" t="n"/>
      <c r="C253" s="85" t="n"/>
      <c r="D253" s="85" t="n"/>
      <c r="E253" s="85" t="n"/>
      <c r="F253" s="86" t="n"/>
      <c r="G253" s="86" t="n"/>
      <c r="H253" s="85" t="n"/>
      <c r="I253" s="85" t="n"/>
      <c r="J253" s="85" t="n"/>
      <c r="K253" s="85" t="n"/>
      <c r="L253" s="85" t="n"/>
      <c r="M253" s="85" t="n"/>
      <c r="N253" s="85" t="n"/>
      <c r="O253" s="85" t="n"/>
      <c r="P253" s="85" t="n"/>
      <c r="Q253" s="85" t="n"/>
      <c r="R253" s="85" t="n"/>
      <c r="S253" s="85" t="n"/>
      <c r="T253" s="85" t="n"/>
      <c r="U253" s="85" t="n"/>
      <c r="V253" s="85" t="n"/>
      <c r="W253" s="85" t="n"/>
      <c r="X253" s="85" t="n"/>
      <c r="Y253" s="85" t="n"/>
      <c r="Z253" s="85" t="n"/>
      <c r="AA253" s="85" t="n"/>
      <c r="AB253" s="85" t="n"/>
      <c r="AC253" s="86" t="n"/>
      <c r="AD253" s="86" t="n"/>
      <c r="AE253" s="86" t="n"/>
      <c r="AF253" s="85" t="n"/>
      <c r="AG253" s="85" t="n"/>
      <c r="AH253" s="85">
        <f>IF($A253="","",IF(AND($E253="Yes",OR($V253="No",$V253="NOT FOUND")),"YES",""))</f>
        <v/>
      </c>
      <c r="AI253" s="85">
        <f>IF($A253="","",TRIM(IF(AND($M253=0,$I253&lt;&gt;"Yes"),"T0-NoPhishResistant ","")&amp;IF($H253="No","NoMFA ","")&amp;IF(AND($M253=0,$O253="Group only"),"T0-ViaGroupOnly ","")&amp;IF($N253="Yes","BroadAzureScope ","")&amp;IF($T253="Yes","AlsoEntraRole ","")))</f>
        <v/>
      </c>
      <c r="AJ253" s="85">
        <f>IF($A253="","",IF(AD253="","Not Enrolled",IF(TODAY()&gt;AD253,"Review Overdue",IF(AD253-TODAY()&lt;=30,"Review Due Soon","Active"))))</f>
        <v/>
      </c>
      <c r="AK253" s="85">
        <f>IF($A253="","",IF(AE253="","NOT REVIEWED",IF(TODAY()-AE253&gt;90,"OVERDUE",IF(TODAY()-AE253&gt;76,"Due Soon","Current"))))</f>
        <v/>
      </c>
    </row>
    <row r="254" ht="15" customHeight="1" s="39">
      <c r="A254" s="85" t="n"/>
      <c r="B254" s="85" t="n"/>
      <c r="C254" s="85" t="n"/>
      <c r="D254" s="85" t="n"/>
      <c r="E254" s="85" t="n"/>
      <c r="F254" s="86" t="n"/>
      <c r="G254" s="86" t="n"/>
      <c r="H254" s="85" t="n"/>
      <c r="I254" s="85" t="n"/>
      <c r="J254" s="85" t="n"/>
      <c r="K254" s="85" t="n"/>
      <c r="L254" s="85" t="n"/>
      <c r="M254" s="85" t="n"/>
      <c r="N254" s="85" t="n"/>
      <c r="O254" s="85" t="n"/>
      <c r="P254" s="85" t="n"/>
      <c r="Q254" s="85" t="n"/>
      <c r="R254" s="85" t="n"/>
      <c r="S254" s="85" t="n"/>
      <c r="T254" s="85" t="n"/>
      <c r="U254" s="85" t="n"/>
      <c r="V254" s="85" t="n"/>
      <c r="W254" s="85" t="n"/>
      <c r="X254" s="85" t="n"/>
      <c r="Y254" s="85" t="n"/>
      <c r="Z254" s="85" t="n"/>
      <c r="AA254" s="85" t="n"/>
      <c r="AB254" s="85" t="n"/>
      <c r="AC254" s="86" t="n"/>
      <c r="AD254" s="86" t="n"/>
      <c r="AE254" s="86" t="n"/>
      <c r="AF254" s="85" t="n"/>
      <c r="AG254" s="85" t="n"/>
      <c r="AH254" s="85">
        <f>IF($A254="","",IF(AND($E254="Yes",OR($V254="No",$V254="NOT FOUND")),"YES",""))</f>
        <v/>
      </c>
      <c r="AI254" s="85">
        <f>IF($A254="","",TRIM(IF(AND($M254=0,$I254&lt;&gt;"Yes"),"T0-NoPhishResistant ","")&amp;IF($H254="No","NoMFA ","")&amp;IF(AND($M254=0,$O254="Group only"),"T0-ViaGroupOnly ","")&amp;IF($N254="Yes","BroadAzureScope ","")&amp;IF($T254="Yes","AlsoEntraRole ","")))</f>
        <v/>
      </c>
      <c r="AJ254" s="85">
        <f>IF($A254="","",IF(AD254="","Not Enrolled",IF(TODAY()&gt;AD254,"Review Overdue",IF(AD254-TODAY()&lt;=30,"Review Due Soon","Active"))))</f>
        <v/>
      </c>
      <c r="AK254" s="85">
        <f>IF($A254="","",IF(AE254="","NOT REVIEWED",IF(TODAY()-AE254&gt;90,"OVERDUE",IF(TODAY()-AE254&gt;76,"Due Soon","Current"))))</f>
        <v/>
      </c>
    </row>
    <row r="255" ht="15" customHeight="1" s="39">
      <c r="A255" s="85" t="n"/>
      <c r="B255" s="85" t="n"/>
      <c r="C255" s="85" t="n"/>
      <c r="D255" s="85" t="n"/>
      <c r="E255" s="85" t="n"/>
      <c r="F255" s="86" t="n"/>
      <c r="G255" s="86" t="n"/>
      <c r="H255" s="85" t="n"/>
      <c r="I255" s="85" t="n"/>
      <c r="J255" s="85" t="n"/>
      <c r="K255" s="85" t="n"/>
      <c r="L255" s="85" t="n"/>
      <c r="M255" s="85" t="n"/>
      <c r="N255" s="85" t="n"/>
      <c r="O255" s="85" t="n"/>
      <c r="P255" s="85" t="n"/>
      <c r="Q255" s="85" t="n"/>
      <c r="R255" s="85" t="n"/>
      <c r="S255" s="85" t="n"/>
      <c r="T255" s="85" t="n"/>
      <c r="U255" s="85" t="n"/>
      <c r="V255" s="85" t="n"/>
      <c r="W255" s="85" t="n"/>
      <c r="X255" s="85" t="n"/>
      <c r="Y255" s="85" t="n"/>
      <c r="Z255" s="85" t="n"/>
      <c r="AA255" s="85" t="n"/>
      <c r="AB255" s="85" t="n"/>
      <c r="AC255" s="86" t="n"/>
      <c r="AD255" s="86" t="n"/>
      <c r="AE255" s="86" t="n"/>
      <c r="AF255" s="85" t="n"/>
      <c r="AG255" s="85" t="n"/>
      <c r="AH255" s="85">
        <f>IF($A255="","",IF(AND($E255="Yes",OR($V255="No",$V255="NOT FOUND")),"YES",""))</f>
        <v/>
      </c>
      <c r="AI255" s="85">
        <f>IF($A255="","",TRIM(IF(AND($M255=0,$I255&lt;&gt;"Yes"),"T0-NoPhishResistant ","")&amp;IF($H255="No","NoMFA ","")&amp;IF(AND($M255=0,$O255="Group only"),"T0-ViaGroupOnly ","")&amp;IF($N255="Yes","BroadAzureScope ","")&amp;IF($T255="Yes","AlsoEntraRole ","")))</f>
        <v/>
      </c>
      <c r="AJ255" s="85">
        <f>IF($A255="","",IF(AD255="","Not Enrolled",IF(TODAY()&gt;AD255,"Review Overdue",IF(AD255-TODAY()&lt;=30,"Review Due Soon","Active"))))</f>
        <v/>
      </c>
      <c r="AK255" s="85">
        <f>IF($A255="","",IF(AE255="","NOT REVIEWED",IF(TODAY()-AE255&gt;90,"OVERDUE",IF(TODAY()-AE255&gt;76,"Due Soon","Current"))))</f>
        <v/>
      </c>
    </row>
    <row r="256" ht="15" customHeight="1" s="39">
      <c r="A256" s="85" t="n"/>
      <c r="B256" s="85" t="n"/>
      <c r="C256" s="85" t="n"/>
      <c r="D256" s="85" t="n"/>
      <c r="E256" s="85" t="n"/>
      <c r="F256" s="86" t="n"/>
      <c r="G256" s="86" t="n"/>
      <c r="H256" s="85" t="n"/>
      <c r="I256" s="85" t="n"/>
      <c r="J256" s="85" t="n"/>
      <c r="K256" s="85" t="n"/>
      <c r="L256" s="85" t="n"/>
      <c r="M256" s="85" t="n"/>
      <c r="N256" s="85" t="n"/>
      <c r="O256" s="85" t="n"/>
      <c r="P256" s="85" t="n"/>
      <c r="Q256" s="85" t="n"/>
      <c r="R256" s="85" t="n"/>
      <c r="S256" s="85" t="n"/>
      <c r="T256" s="85" t="n"/>
      <c r="U256" s="85" t="n"/>
      <c r="V256" s="85" t="n"/>
      <c r="W256" s="85" t="n"/>
      <c r="X256" s="85" t="n"/>
      <c r="Y256" s="85" t="n"/>
      <c r="Z256" s="85" t="n"/>
      <c r="AA256" s="85" t="n"/>
      <c r="AB256" s="85" t="n"/>
      <c r="AC256" s="86" t="n"/>
      <c r="AD256" s="86" t="n"/>
      <c r="AE256" s="86" t="n"/>
      <c r="AF256" s="85" t="n"/>
      <c r="AG256" s="85" t="n"/>
      <c r="AH256" s="85">
        <f>IF($A256="","",IF(AND($E256="Yes",OR($V256="No",$V256="NOT FOUND")),"YES",""))</f>
        <v/>
      </c>
      <c r="AI256" s="85">
        <f>IF($A256="","",TRIM(IF(AND($M256=0,$I256&lt;&gt;"Yes"),"T0-NoPhishResistant ","")&amp;IF($H256="No","NoMFA ","")&amp;IF(AND($M256=0,$O256="Group only"),"T0-ViaGroupOnly ","")&amp;IF($N256="Yes","BroadAzureScope ","")&amp;IF($T256="Yes","AlsoEntraRole ","")))</f>
        <v/>
      </c>
      <c r="AJ256" s="85">
        <f>IF($A256="","",IF(AD256="","Not Enrolled",IF(TODAY()&gt;AD256,"Review Overdue",IF(AD256-TODAY()&lt;=30,"Review Due Soon","Active"))))</f>
        <v/>
      </c>
      <c r="AK256" s="85">
        <f>IF($A256="","",IF(AE256="","NOT REVIEWED",IF(TODAY()-AE256&gt;90,"OVERDUE",IF(TODAY()-AE256&gt;76,"Due Soon","Current"))))</f>
        <v/>
      </c>
    </row>
    <row r="257" ht="15" customHeight="1" s="39">
      <c r="A257" s="85" t="n"/>
      <c r="B257" s="85" t="n"/>
      <c r="C257" s="85" t="n"/>
      <c r="D257" s="85" t="n"/>
      <c r="E257" s="85" t="n"/>
      <c r="F257" s="86" t="n"/>
      <c r="G257" s="86" t="n"/>
      <c r="H257" s="85" t="n"/>
      <c r="I257" s="85" t="n"/>
      <c r="J257" s="85" t="n"/>
      <c r="K257" s="85" t="n"/>
      <c r="L257" s="85" t="n"/>
      <c r="M257" s="85" t="n"/>
      <c r="N257" s="85" t="n"/>
      <c r="O257" s="85" t="n"/>
      <c r="P257" s="85" t="n"/>
      <c r="Q257" s="85" t="n"/>
      <c r="R257" s="85" t="n"/>
      <c r="S257" s="85" t="n"/>
      <c r="T257" s="85" t="n"/>
      <c r="U257" s="85" t="n"/>
      <c r="V257" s="85" t="n"/>
      <c r="W257" s="85" t="n"/>
      <c r="X257" s="85" t="n"/>
      <c r="Y257" s="85" t="n"/>
      <c r="Z257" s="85" t="n"/>
      <c r="AA257" s="85" t="n"/>
      <c r="AB257" s="85" t="n"/>
      <c r="AC257" s="86" t="n"/>
      <c r="AD257" s="86" t="n"/>
      <c r="AE257" s="86" t="n"/>
      <c r="AF257" s="85" t="n"/>
      <c r="AG257" s="85" t="n"/>
      <c r="AH257" s="85">
        <f>IF($A257="","",IF(AND($E257="Yes",OR($V257="No",$V257="NOT FOUND")),"YES",""))</f>
        <v/>
      </c>
      <c r="AI257" s="85">
        <f>IF($A257="","",TRIM(IF(AND($M257=0,$I257&lt;&gt;"Yes"),"T0-NoPhishResistant ","")&amp;IF($H257="No","NoMFA ","")&amp;IF(AND($M257=0,$O257="Group only"),"T0-ViaGroupOnly ","")&amp;IF($N257="Yes","BroadAzureScope ","")&amp;IF($T257="Yes","AlsoEntraRole ","")))</f>
        <v/>
      </c>
      <c r="AJ257" s="85">
        <f>IF($A257="","",IF(AD257="","Not Enrolled",IF(TODAY()&gt;AD257,"Review Overdue",IF(AD257-TODAY()&lt;=30,"Review Due Soon","Active"))))</f>
        <v/>
      </c>
      <c r="AK257" s="85">
        <f>IF($A257="","",IF(AE257="","NOT REVIEWED",IF(TODAY()-AE257&gt;90,"OVERDUE",IF(TODAY()-AE257&gt;76,"Due Soon","Current"))))</f>
        <v/>
      </c>
    </row>
    <row r="258" ht="15" customHeight="1" s="39">
      <c r="A258" s="85" t="n"/>
      <c r="B258" s="85" t="n"/>
      <c r="C258" s="85" t="n"/>
      <c r="D258" s="85" t="n"/>
      <c r="E258" s="85" t="n"/>
      <c r="F258" s="86" t="n"/>
      <c r="G258" s="86" t="n"/>
      <c r="H258" s="85" t="n"/>
      <c r="I258" s="85" t="n"/>
      <c r="J258" s="85" t="n"/>
      <c r="K258" s="85" t="n"/>
      <c r="L258" s="85" t="n"/>
      <c r="M258" s="85" t="n"/>
      <c r="N258" s="85" t="n"/>
      <c r="O258" s="85" t="n"/>
      <c r="P258" s="85" t="n"/>
      <c r="Q258" s="85" t="n"/>
      <c r="R258" s="85" t="n"/>
      <c r="S258" s="85" t="n"/>
      <c r="T258" s="85" t="n"/>
      <c r="U258" s="85" t="n"/>
      <c r="V258" s="85" t="n"/>
      <c r="W258" s="85" t="n"/>
      <c r="X258" s="85" t="n"/>
      <c r="Y258" s="85" t="n"/>
      <c r="Z258" s="85" t="n"/>
      <c r="AA258" s="85" t="n"/>
      <c r="AB258" s="85" t="n"/>
      <c r="AC258" s="86" t="n"/>
      <c r="AD258" s="86" t="n"/>
      <c r="AE258" s="86" t="n"/>
      <c r="AF258" s="85" t="n"/>
      <c r="AG258" s="85" t="n"/>
      <c r="AH258" s="85">
        <f>IF($A258="","",IF(AND($E258="Yes",OR($V258="No",$V258="NOT FOUND")),"YES",""))</f>
        <v/>
      </c>
      <c r="AI258" s="85">
        <f>IF($A258="","",TRIM(IF(AND($M258=0,$I258&lt;&gt;"Yes"),"T0-NoPhishResistant ","")&amp;IF($H258="No","NoMFA ","")&amp;IF(AND($M258=0,$O258="Group only"),"T0-ViaGroupOnly ","")&amp;IF($N258="Yes","BroadAzureScope ","")&amp;IF($T258="Yes","AlsoEntraRole ","")))</f>
        <v/>
      </c>
      <c r="AJ258" s="85">
        <f>IF($A258="","",IF(AD258="","Not Enrolled",IF(TODAY()&gt;AD258,"Review Overdue",IF(AD258-TODAY()&lt;=30,"Review Due Soon","Active"))))</f>
        <v/>
      </c>
      <c r="AK258" s="85">
        <f>IF($A258="","",IF(AE258="","NOT REVIEWED",IF(TODAY()-AE258&gt;90,"OVERDUE",IF(TODAY()-AE258&gt;76,"Due Soon","Current"))))</f>
        <v/>
      </c>
    </row>
    <row r="259" ht="15" customHeight="1" s="39">
      <c r="A259" s="85" t="n"/>
      <c r="B259" s="85" t="n"/>
      <c r="C259" s="85" t="n"/>
      <c r="D259" s="85" t="n"/>
      <c r="E259" s="85" t="n"/>
      <c r="F259" s="86" t="n"/>
      <c r="G259" s="86" t="n"/>
      <c r="H259" s="85" t="n"/>
      <c r="I259" s="85" t="n"/>
      <c r="J259" s="85" t="n"/>
      <c r="K259" s="85" t="n"/>
      <c r="L259" s="85" t="n"/>
      <c r="M259" s="85" t="n"/>
      <c r="N259" s="85" t="n"/>
      <c r="O259" s="85" t="n"/>
      <c r="P259" s="85" t="n"/>
      <c r="Q259" s="85" t="n"/>
      <c r="R259" s="85" t="n"/>
      <c r="S259" s="85" t="n"/>
      <c r="T259" s="85" t="n"/>
      <c r="U259" s="85" t="n"/>
      <c r="V259" s="85" t="n"/>
      <c r="W259" s="85" t="n"/>
      <c r="X259" s="85" t="n"/>
      <c r="Y259" s="85" t="n"/>
      <c r="Z259" s="85" t="n"/>
      <c r="AA259" s="85" t="n"/>
      <c r="AB259" s="85" t="n"/>
      <c r="AC259" s="86" t="n"/>
      <c r="AD259" s="86" t="n"/>
      <c r="AE259" s="86" t="n"/>
      <c r="AF259" s="85" t="n"/>
      <c r="AG259" s="85" t="n"/>
      <c r="AH259" s="85">
        <f>IF($A259="","",IF(AND($E259="Yes",OR($V259="No",$V259="NOT FOUND")),"YES",""))</f>
        <v/>
      </c>
      <c r="AI259" s="85">
        <f>IF($A259="","",TRIM(IF(AND($M259=0,$I259&lt;&gt;"Yes"),"T0-NoPhishResistant ","")&amp;IF($H259="No","NoMFA ","")&amp;IF(AND($M259=0,$O259="Group only"),"T0-ViaGroupOnly ","")&amp;IF($N259="Yes","BroadAzureScope ","")&amp;IF($T259="Yes","AlsoEntraRole ","")))</f>
        <v/>
      </c>
      <c r="AJ259" s="85">
        <f>IF($A259="","",IF(AD259="","Not Enrolled",IF(TODAY()&gt;AD259,"Review Overdue",IF(AD259-TODAY()&lt;=30,"Review Due Soon","Active"))))</f>
        <v/>
      </c>
      <c r="AK259" s="85">
        <f>IF($A259="","",IF(AE259="","NOT REVIEWED",IF(TODAY()-AE259&gt;90,"OVERDUE",IF(TODAY()-AE259&gt;76,"Due Soon","Current"))))</f>
        <v/>
      </c>
    </row>
    <row r="260" ht="15" customHeight="1" s="39">
      <c r="A260" s="85" t="n"/>
      <c r="B260" s="85" t="n"/>
      <c r="C260" s="85" t="n"/>
      <c r="D260" s="85" t="n"/>
      <c r="E260" s="85" t="n"/>
      <c r="F260" s="86" t="n"/>
      <c r="G260" s="86" t="n"/>
      <c r="H260" s="85" t="n"/>
      <c r="I260" s="85" t="n"/>
      <c r="J260" s="85" t="n"/>
      <c r="K260" s="85" t="n"/>
      <c r="L260" s="85" t="n"/>
      <c r="M260" s="85" t="n"/>
      <c r="N260" s="85" t="n"/>
      <c r="O260" s="85" t="n"/>
      <c r="P260" s="85" t="n"/>
      <c r="Q260" s="85" t="n"/>
      <c r="R260" s="85" t="n"/>
      <c r="S260" s="85" t="n"/>
      <c r="T260" s="85" t="n"/>
      <c r="U260" s="85" t="n"/>
      <c r="V260" s="85" t="n"/>
      <c r="W260" s="85" t="n"/>
      <c r="X260" s="85" t="n"/>
      <c r="Y260" s="85" t="n"/>
      <c r="Z260" s="85" t="n"/>
      <c r="AA260" s="85" t="n"/>
      <c r="AB260" s="85" t="n"/>
      <c r="AC260" s="86" t="n"/>
      <c r="AD260" s="86" t="n"/>
      <c r="AE260" s="86" t="n"/>
      <c r="AF260" s="85" t="n"/>
      <c r="AG260" s="85" t="n"/>
      <c r="AH260" s="85">
        <f>IF($A260="","",IF(AND($E260="Yes",OR($V260="No",$V260="NOT FOUND")),"YES",""))</f>
        <v/>
      </c>
      <c r="AI260" s="85">
        <f>IF($A260="","",TRIM(IF(AND($M260=0,$I260&lt;&gt;"Yes"),"T0-NoPhishResistant ","")&amp;IF($H260="No","NoMFA ","")&amp;IF(AND($M260=0,$O260="Group only"),"T0-ViaGroupOnly ","")&amp;IF($N260="Yes","BroadAzureScope ","")&amp;IF($T260="Yes","AlsoEntraRole ","")))</f>
        <v/>
      </c>
      <c r="AJ260" s="85">
        <f>IF($A260="","",IF(AD260="","Not Enrolled",IF(TODAY()&gt;AD260,"Review Overdue",IF(AD260-TODAY()&lt;=30,"Review Due Soon","Active"))))</f>
        <v/>
      </c>
      <c r="AK260" s="85">
        <f>IF($A260="","",IF(AE260="","NOT REVIEWED",IF(TODAY()-AE260&gt;90,"OVERDUE",IF(TODAY()-AE260&gt;76,"Due Soon","Current"))))</f>
        <v/>
      </c>
    </row>
    <row r="261" ht="15" customHeight="1" s="39">
      <c r="A261" s="85" t="n"/>
      <c r="B261" s="85" t="n"/>
      <c r="C261" s="85" t="n"/>
      <c r="D261" s="85" t="n"/>
      <c r="E261" s="85" t="n"/>
      <c r="F261" s="86" t="n"/>
      <c r="G261" s="86" t="n"/>
      <c r="H261" s="85" t="n"/>
      <c r="I261" s="85" t="n"/>
      <c r="J261" s="85" t="n"/>
      <c r="K261" s="85" t="n"/>
      <c r="L261" s="85" t="n"/>
      <c r="M261" s="85" t="n"/>
      <c r="N261" s="85" t="n"/>
      <c r="O261" s="85" t="n"/>
      <c r="P261" s="85" t="n"/>
      <c r="Q261" s="85" t="n"/>
      <c r="R261" s="85" t="n"/>
      <c r="S261" s="85" t="n"/>
      <c r="T261" s="85" t="n"/>
      <c r="U261" s="85" t="n"/>
      <c r="V261" s="85" t="n"/>
      <c r="W261" s="85" t="n"/>
      <c r="X261" s="85" t="n"/>
      <c r="Y261" s="85" t="n"/>
      <c r="Z261" s="85" t="n"/>
      <c r="AA261" s="85" t="n"/>
      <c r="AB261" s="85" t="n"/>
      <c r="AC261" s="86" t="n"/>
      <c r="AD261" s="86" t="n"/>
      <c r="AE261" s="86" t="n"/>
      <c r="AF261" s="85" t="n"/>
      <c r="AG261" s="85" t="n"/>
      <c r="AH261" s="85">
        <f>IF($A261="","",IF(AND($E261="Yes",OR($V261="No",$V261="NOT FOUND")),"YES",""))</f>
        <v/>
      </c>
      <c r="AI261" s="85">
        <f>IF($A261="","",TRIM(IF(AND($M261=0,$I261&lt;&gt;"Yes"),"T0-NoPhishResistant ","")&amp;IF($H261="No","NoMFA ","")&amp;IF(AND($M261=0,$O261="Group only"),"T0-ViaGroupOnly ","")&amp;IF($N261="Yes","BroadAzureScope ","")&amp;IF($T261="Yes","AlsoEntraRole ","")))</f>
        <v/>
      </c>
      <c r="AJ261" s="85">
        <f>IF($A261="","",IF(AD261="","Not Enrolled",IF(TODAY()&gt;AD261,"Review Overdue",IF(AD261-TODAY()&lt;=30,"Review Due Soon","Active"))))</f>
        <v/>
      </c>
      <c r="AK261" s="85">
        <f>IF($A261="","",IF(AE261="","NOT REVIEWED",IF(TODAY()-AE261&gt;90,"OVERDUE",IF(TODAY()-AE261&gt;76,"Due Soon","Current"))))</f>
        <v/>
      </c>
    </row>
    <row r="262" ht="15" customHeight="1" s="39">
      <c r="A262" s="85" t="n"/>
      <c r="B262" s="85" t="n"/>
      <c r="C262" s="85" t="n"/>
      <c r="D262" s="85" t="n"/>
      <c r="E262" s="85" t="n"/>
      <c r="F262" s="86" t="n"/>
      <c r="G262" s="86" t="n"/>
      <c r="H262" s="85" t="n"/>
      <c r="I262" s="85" t="n"/>
      <c r="J262" s="85" t="n"/>
      <c r="K262" s="85" t="n"/>
      <c r="L262" s="85" t="n"/>
      <c r="M262" s="85" t="n"/>
      <c r="N262" s="85" t="n"/>
      <c r="O262" s="85" t="n"/>
      <c r="P262" s="85" t="n"/>
      <c r="Q262" s="85" t="n"/>
      <c r="R262" s="85" t="n"/>
      <c r="S262" s="85" t="n"/>
      <c r="T262" s="85" t="n"/>
      <c r="U262" s="85" t="n"/>
      <c r="V262" s="85" t="n"/>
      <c r="W262" s="85" t="n"/>
      <c r="X262" s="85" t="n"/>
      <c r="Y262" s="85" t="n"/>
      <c r="Z262" s="85" t="n"/>
      <c r="AA262" s="85" t="n"/>
      <c r="AB262" s="85" t="n"/>
      <c r="AC262" s="86" t="n"/>
      <c r="AD262" s="86" t="n"/>
      <c r="AE262" s="86" t="n"/>
      <c r="AF262" s="85" t="n"/>
      <c r="AG262" s="85" t="n"/>
      <c r="AH262" s="85">
        <f>IF($A262="","",IF(AND($E262="Yes",OR($V262="No",$V262="NOT FOUND")),"YES",""))</f>
        <v/>
      </c>
      <c r="AI262" s="85">
        <f>IF($A262="","",TRIM(IF(AND($M262=0,$I262&lt;&gt;"Yes"),"T0-NoPhishResistant ","")&amp;IF($H262="No","NoMFA ","")&amp;IF(AND($M262=0,$O262="Group only"),"T0-ViaGroupOnly ","")&amp;IF($N262="Yes","BroadAzureScope ","")&amp;IF($T262="Yes","AlsoEntraRole ","")))</f>
        <v/>
      </c>
      <c r="AJ262" s="85">
        <f>IF($A262="","",IF(AD262="","Not Enrolled",IF(TODAY()&gt;AD262,"Review Overdue",IF(AD262-TODAY()&lt;=30,"Review Due Soon","Active"))))</f>
        <v/>
      </c>
      <c r="AK262" s="85">
        <f>IF($A262="","",IF(AE262="","NOT REVIEWED",IF(TODAY()-AE262&gt;90,"OVERDUE",IF(TODAY()-AE262&gt;76,"Due Soon","Current"))))</f>
        <v/>
      </c>
    </row>
    <row r="263" ht="15" customHeight="1" s="39">
      <c r="A263" s="85" t="n"/>
      <c r="B263" s="85" t="n"/>
      <c r="C263" s="85" t="n"/>
      <c r="D263" s="85" t="n"/>
      <c r="E263" s="85" t="n"/>
      <c r="F263" s="86" t="n"/>
      <c r="G263" s="86" t="n"/>
      <c r="H263" s="85" t="n"/>
      <c r="I263" s="85" t="n"/>
      <c r="J263" s="85" t="n"/>
      <c r="K263" s="85" t="n"/>
      <c r="L263" s="85" t="n"/>
      <c r="M263" s="85" t="n"/>
      <c r="N263" s="85" t="n"/>
      <c r="O263" s="85" t="n"/>
      <c r="P263" s="85" t="n"/>
      <c r="Q263" s="85" t="n"/>
      <c r="R263" s="85" t="n"/>
      <c r="S263" s="85" t="n"/>
      <c r="T263" s="85" t="n"/>
      <c r="U263" s="85" t="n"/>
      <c r="V263" s="85" t="n"/>
      <c r="W263" s="85" t="n"/>
      <c r="X263" s="85" t="n"/>
      <c r="Y263" s="85" t="n"/>
      <c r="Z263" s="85" t="n"/>
      <c r="AA263" s="85" t="n"/>
      <c r="AB263" s="85" t="n"/>
      <c r="AC263" s="86" t="n"/>
      <c r="AD263" s="86" t="n"/>
      <c r="AE263" s="86" t="n"/>
      <c r="AF263" s="85" t="n"/>
      <c r="AG263" s="85" t="n"/>
      <c r="AH263" s="85">
        <f>IF($A263="","",IF(AND($E263="Yes",OR($V263="No",$V263="NOT FOUND")),"YES",""))</f>
        <v/>
      </c>
      <c r="AI263" s="85">
        <f>IF($A263="","",TRIM(IF(AND($M263=0,$I263&lt;&gt;"Yes"),"T0-NoPhishResistant ","")&amp;IF($H263="No","NoMFA ","")&amp;IF(AND($M263=0,$O263="Group only"),"T0-ViaGroupOnly ","")&amp;IF($N263="Yes","BroadAzureScope ","")&amp;IF($T263="Yes","AlsoEntraRole ","")))</f>
        <v/>
      </c>
      <c r="AJ263" s="85">
        <f>IF($A263="","",IF(AD263="","Not Enrolled",IF(TODAY()&gt;AD263,"Review Overdue",IF(AD263-TODAY()&lt;=30,"Review Due Soon","Active"))))</f>
        <v/>
      </c>
      <c r="AK263" s="85">
        <f>IF($A263="","",IF(AE263="","NOT REVIEWED",IF(TODAY()-AE263&gt;90,"OVERDUE",IF(TODAY()-AE263&gt;76,"Due Soon","Current"))))</f>
        <v/>
      </c>
    </row>
    <row r="264" ht="15" customHeight="1" s="39">
      <c r="A264" s="85" t="n"/>
      <c r="B264" s="85" t="n"/>
      <c r="C264" s="85" t="n"/>
      <c r="D264" s="85" t="n"/>
      <c r="E264" s="85" t="n"/>
      <c r="F264" s="86" t="n"/>
      <c r="G264" s="86" t="n"/>
      <c r="H264" s="85" t="n"/>
      <c r="I264" s="85" t="n"/>
      <c r="J264" s="85" t="n"/>
      <c r="K264" s="85" t="n"/>
      <c r="L264" s="85" t="n"/>
      <c r="M264" s="85" t="n"/>
      <c r="N264" s="85" t="n"/>
      <c r="O264" s="85" t="n"/>
      <c r="P264" s="85" t="n"/>
      <c r="Q264" s="85" t="n"/>
      <c r="R264" s="85" t="n"/>
      <c r="S264" s="85" t="n"/>
      <c r="T264" s="85" t="n"/>
      <c r="U264" s="85" t="n"/>
      <c r="V264" s="85" t="n"/>
      <c r="W264" s="85" t="n"/>
      <c r="X264" s="85" t="n"/>
      <c r="Y264" s="85" t="n"/>
      <c r="Z264" s="85" t="n"/>
      <c r="AA264" s="85" t="n"/>
      <c r="AB264" s="85" t="n"/>
      <c r="AC264" s="86" t="n"/>
      <c r="AD264" s="86" t="n"/>
      <c r="AE264" s="86" t="n"/>
      <c r="AF264" s="85" t="n"/>
      <c r="AG264" s="85" t="n"/>
      <c r="AH264" s="85">
        <f>IF($A264="","",IF(AND($E264="Yes",OR($V264="No",$V264="NOT FOUND")),"YES",""))</f>
        <v/>
      </c>
      <c r="AI264" s="85">
        <f>IF($A264="","",TRIM(IF(AND($M264=0,$I264&lt;&gt;"Yes"),"T0-NoPhishResistant ","")&amp;IF($H264="No","NoMFA ","")&amp;IF(AND($M264=0,$O264="Group only"),"T0-ViaGroupOnly ","")&amp;IF($N264="Yes","BroadAzureScope ","")&amp;IF($T264="Yes","AlsoEntraRole ","")))</f>
        <v/>
      </c>
      <c r="AJ264" s="85">
        <f>IF($A264="","",IF(AD264="","Not Enrolled",IF(TODAY()&gt;AD264,"Review Overdue",IF(AD264-TODAY()&lt;=30,"Review Due Soon","Active"))))</f>
        <v/>
      </c>
      <c r="AK264" s="85">
        <f>IF($A264="","",IF(AE264="","NOT REVIEWED",IF(TODAY()-AE264&gt;90,"OVERDUE",IF(TODAY()-AE264&gt;76,"Due Soon","Current"))))</f>
        <v/>
      </c>
    </row>
    <row r="265" ht="15" customHeight="1" s="39">
      <c r="A265" s="85" t="n"/>
      <c r="B265" s="85" t="n"/>
      <c r="C265" s="85" t="n"/>
      <c r="D265" s="85" t="n"/>
      <c r="E265" s="85" t="n"/>
      <c r="F265" s="86" t="n"/>
      <c r="G265" s="86" t="n"/>
      <c r="H265" s="85" t="n"/>
      <c r="I265" s="85" t="n"/>
      <c r="J265" s="85" t="n"/>
      <c r="K265" s="85" t="n"/>
      <c r="L265" s="85" t="n"/>
      <c r="M265" s="85" t="n"/>
      <c r="N265" s="85" t="n"/>
      <c r="O265" s="85" t="n"/>
      <c r="P265" s="85" t="n"/>
      <c r="Q265" s="85" t="n"/>
      <c r="R265" s="85" t="n"/>
      <c r="S265" s="85" t="n"/>
      <c r="T265" s="85" t="n"/>
      <c r="U265" s="85" t="n"/>
      <c r="V265" s="85" t="n"/>
      <c r="W265" s="85" t="n"/>
      <c r="X265" s="85" t="n"/>
      <c r="Y265" s="85" t="n"/>
      <c r="Z265" s="85" t="n"/>
      <c r="AA265" s="85" t="n"/>
      <c r="AB265" s="85" t="n"/>
      <c r="AC265" s="86" t="n"/>
      <c r="AD265" s="86" t="n"/>
      <c r="AE265" s="86" t="n"/>
      <c r="AF265" s="85" t="n"/>
      <c r="AG265" s="85" t="n"/>
      <c r="AH265" s="85">
        <f>IF($A265="","",IF(AND($E265="Yes",OR($V265="No",$V265="NOT FOUND")),"YES",""))</f>
        <v/>
      </c>
      <c r="AI265" s="85">
        <f>IF($A265="","",TRIM(IF(AND($M265=0,$I265&lt;&gt;"Yes"),"T0-NoPhishResistant ","")&amp;IF($H265="No","NoMFA ","")&amp;IF(AND($M265=0,$O265="Group only"),"T0-ViaGroupOnly ","")&amp;IF($N265="Yes","BroadAzureScope ","")&amp;IF($T265="Yes","AlsoEntraRole ","")))</f>
        <v/>
      </c>
      <c r="AJ265" s="85">
        <f>IF($A265="","",IF(AD265="","Not Enrolled",IF(TODAY()&gt;AD265,"Review Overdue",IF(AD265-TODAY()&lt;=30,"Review Due Soon","Active"))))</f>
        <v/>
      </c>
      <c r="AK265" s="85">
        <f>IF($A265="","",IF(AE265="","NOT REVIEWED",IF(TODAY()-AE265&gt;90,"OVERDUE",IF(TODAY()-AE265&gt;76,"Due Soon","Current"))))</f>
        <v/>
      </c>
    </row>
    <row r="266" ht="15" customHeight="1" s="39">
      <c r="A266" s="85" t="n"/>
      <c r="B266" s="85" t="n"/>
      <c r="C266" s="85" t="n"/>
      <c r="D266" s="85" t="n"/>
      <c r="E266" s="85" t="n"/>
      <c r="F266" s="86" t="n"/>
      <c r="G266" s="86" t="n"/>
      <c r="H266" s="85" t="n"/>
      <c r="I266" s="85" t="n"/>
      <c r="J266" s="85" t="n"/>
      <c r="K266" s="85" t="n"/>
      <c r="L266" s="85" t="n"/>
      <c r="M266" s="85" t="n"/>
      <c r="N266" s="85" t="n"/>
      <c r="O266" s="85" t="n"/>
      <c r="P266" s="85" t="n"/>
      <c r="Q266" s="85" t="n"/>
      <c r="R266" s="85" t="n"/>
      <c r="S266" s="85" t="n"/>
      <c r="T266" s="85" t="n"/>
      <c r="U266" s="85" t="n"/>
      <c r="V266" s="85" t="n"/>
      <c r="W266" s="85" t="n"/>
      <c r="X266" s="85" t="n"/>
      <c r="Y266" s="85" t="n"/>
      <c r="Z266" s="85" t="n"/>
      <c r="AA266" s="85" t="n"/>
      <c r="AB266" s="85" t="n"/>
      <c r="AC266" s="86" t="n"/>
      <c r="AD266" s="86" t="n"/>
      <c r="AE266" s="86" t="n"/>
      <c r="AF266" s="85" t="n"/>
      <c r="AG266" s="85" t="n"/>
      <c r="AH266" s="85">
        <f>IF($A266="","",IF(AND($E266="Yes",OR($V266="No",$V266="NOT FOUND")),"YES",""))</f>
        <v/>
      </c>
      <c r="AI266" s="85">
        <f>IF($A266="","",TRIM(IF(AND($M266=0,$I266&lt;&gt;"Yes"),"T0-NoPhishResistant ","")&amp;IF($H266="No","NoMFA ","")&amp;IF(AND($M266=0,$O266="Group only"),"T0-ViaGroupOnly ","")&amp;IF($N266="Yes","BroadAzureScope ","")&amp;IF($T266="Yes","AlsoEntraRole ","")))</f>
        <v/>
      </c>
      <c r="AJ266" s="85">
        <f>IF($A266="","",IF(AD266="","Not Enrolled",IF(TODAY()&gt;AD266,"Review Overdue",IF(AD266-TODAY()&lt;=30,"Review Due Soon","Active"))))</f>
        <v/>
      </c>
      <c r="AK266" s="85">
        <f>IF($A266="","",IF(AE266="","NOT REVIEWED",IF(TODAY()-AE266&gt;90,"OVERDUE",IF(TODAY()-AE266&gt;76,"Due Soon","Current"))))</f>
        <v/>
      </c>
    </row>
    <row r="267" ht="15" customHeight="1" s="39">
      <c r="A267" s="85" t="n"/>
      <c r="B267" s="85" t="n"/>
      <c r="C267" s="85" t="n"/>
      <c r="D267" s="85" t="n"/>
      <c r="E267" s="85" t="n"/>
      <c r="F267" s="86" t="n"/>
      <c r="G267" s="86" t="n"/>
      <c r="H267" s="85" t="n"/>
      <c r="I267" s="85" t="n"/>
      <c r="J267" s="85" t="n"/>
      <c r="K267" s="85" t="n"/>
      <c r="L267" s="85" t="n"/>
      <c r="M267" s="85" t="n"/>
      <c r="N267" s="85" t="n"/>
      <c r="O267" s="85" t="n"/>
      <c r="P267" s="85" t="n"/>
      <c r="Q267" s="85" t="n"/>
      <c r="R267" s="85" t="n"/>
      <c r="S267" s="85" t="n"/>
      <c r="T267" s="85" t="n"/>
      <c r="U267" s="85" t="n"/>
      <c r="V267" s="85" t="n"/>
      <c r="W267" s="85" t="n"/>
      <c r="X267" s="85" t="n"/>
      <c r="Y267" s="85" t="n"/>
      <c r="Z267" s="85" t="n"/>
      <c r="AA267" s="85" t="n"/>
      <c r="AB267" s="85" t="n"/>
      <c r="AC267" s="86" t="n"/>
      <c r="AD267" s="86" t="n"/>
      <c r="AE267" s="86" t="n"/>
      <c r="AF267" s="85" t="n"/>
      <c r="AG267" s="85" t="n"/>
      <c r="AH267" s="85">
        <f>IF($A267="","",IF(AND($E267="Yes",OR($V267="No",$V267="NOT FOUND")),"YES",""))</f>
        <v/>
      </c>
      <c r="AI267" s="85">
        <f>IF($A267="","",TRIM(IF(AND($M267=0,$I267&lt;&gt;"Yes"),"T0-NoPhishResistant ","")&amp;IF($H267="No","NoMFA ","")&amp;IF(AND($M267=0,$O267="Group only"),"T0-ViaGroupOnly ","")&amp;IF($N267="Yes","BroadAzureScope ","")&amp;IF($T267="Yes","AlsoEntraRole ","")))</f>
        <v/>
      </c>
      <c r="AJ267" s="85">
        <f>IF($A267="","",IF(AD267="","Not Enrolled",IF(TODAY()&gt;AD267,"Review Overdue",IF(AD267-TODAY()&lt;=30,"Review Due Soon","Active"))))</f>
        <v/>
      </c>
      <c r="AK267" s="85">
        <f>IF($A267="","",IF(AE267="","NOT REVIEWED",IF(TODAY()-AE267&gt;90,"OVERDUE",IF(TODAY()-AE267&gt;76,"Due Soon","Current"))))</f>
        <v/>
      </c>
    </row>
    <row r="268" ht="15" customHeight="1" s="39">
      <c r="A268" s="85" t="n"/>
      <c r="B268" s="85" t="n"/>
      <c r="C268" s="85" t="n"/>
      <c r="D268" s="85" t="n"/>
      <c r="E268" s="85" t="n"/>
      <c r="F268" s="86" t="n"/>
      <c r="G268" s="86" t="n"/>
      <c r="H268" s="85" t="n"/>
      <c r="I268" s="85" t="n"/>
      <c r="J268" s="85" t="n"/>
      <c r="K268" s="85" t="n"/>
      <c r="L268" s="85" t="n"/>
      <c r="M268" s="85" t="n"/>
      <c r="N268" s="85" t="n"/>
      <c r="O268" s="85" t="n"/>
      <c r="P268" s="85" t="n"/>
      <c r="Q268" s="85" t="n"/>
      <c r="R268" s="85" t="n"/>
      <c r="S268" s="85" t="n"/>
      <c r="T268" s="85" t="n"/>
      <c r="U268" s="85" t="n"/>
      <c r="V268" s="85" t="n"/>
      <c r="W268" s="85" t="n"/>
      <c r="X268" s="85" t="n"/>
      <c r="Y268" s="85" t="n"/>
      <c r="Z268" s="85" t="n"/>
      <c r="AA268" s="85" t="n"/>
      <c r="AB268" s="85" t="n"/>
      <c r="AC268" s="86" t="n"/>
      <c r="AD268" s="86" t="n"/>
      <c r="AE268" s="86" t="n"/>
      <c r="AF268" s="85" t="n"/>
      <c r="AG268" s="85" t="n"/>
      <c r="AH268" s="85">
        <f>IF($A268="","",IF(AND($E268="Yes",OR($V268="No",$V268="NOT FOUND")),"YES",""))</f>
        <v/>
      </c>
      <c r="AI268" s="85">
        <f>IF($A268="","",TRIM(IF(AND($M268=0,$I268&lt;&gt;"Yes"),"T0-NoPhishResistant ","")&amp;IF($H268="No","NoMFA ","")&amp;IF(AND($M268=0,$O268="Group only"),"T0-ViaGroupOnly ","")&amp;IF($N268="Yes","BroadAzureScope ","")&amp;IF($T268="Yes","AlsoEntraRole ","")))</f>
        <v/>
      </c>
      <c r="AJ268" s="85">
        <f>IF($A268="","",IF(AD268="","Not Enrolled",IF(TODAY()&gt;AD268,"Review Overdue",IF(AD268-TODAY()&lt;=30,"Review Due Soon","Active"))))</f>
        <v/>
      </c>
      <c r="AK268" s="85">
        <f>IF($A268="","",IF(AE268="","NOT REVIEWED",IF(TODAY()-AE268&gt;90,"OVERDUE",IF(TODAY()-AE268&gt;76,"Due Soon","Current"))))</f>
        <v/>
      </c>
    </row>
    <row r="269" ht="15" customHeight="1" s="39">
      <c r="A269" s="85" t="n"/>
      <c r="B269" s="85" t="n"/>
      <c r="C269" s="85" t="n"/>
      <c r="D269" s="85" t="n"/>
      <c r="E269" s="85" t="n"/>
      <c r="F269" s="86" t="n"/>
      <c r="G269" s="86" t="n"/>
      <c r="H269" s="85" t="n"/>
      <c r="I269" s="85" t="n"/>
      <c r="J269" s="85" t="n"/>
      <c r="K269" s="85" t="n"/>
      <c r="L269" s="85" t="n"/>
      <c r="M269" s="85" t="n"/>
      <c r="N269" s="85" t="n"/>
      <c r="O269" s="85" t="n"/>
      <c r="P269" s="85" t="n"/>
      <c r="Q269" s="85" t="n"/>
      <c r="R269" s="85" t="n"/>
      <c r="S269" s="85" t="n"/>
      <c r="T269" s="85" t="n"/>
      <c r="U269" s="85" t="n"/>
      <c r="V269" s="85" t="n"/>
      <c r="W269" s="85" t="n"/>
      <c r="X269" s="85" t="n"/>
      <c r="Y269" s="85" t="n"/>
      <c r="Z269" s="85" t="n"/>
      <c r="AA269" s="85" t="n"/>
      <c r="AB269" s="85" t="n"/>
      <c r="AC269" s="86" t="n"/>
      <c r="AD269" s="86" t="n"/>
      <c r="AE269" s="86" t="n"/>
      <c r="AF269" s="85" t="n"/>
      <c r="AG269" s="85" t="n"/>
      <c r="AH269" s="85">
        <f>IF($A269="","",IF(AND($E269="Yes",OR($V269="No",$V269="NOT FOUND")),"YES",""))</f>
        <v/>
      </c>
      <c r="AI269" s="85">
        <f>IF($A269="","",TRIM(IF(AND($M269=0,$I269&lt;&gt;"Yes"),"T0-NoPhishResistant ","")&amp;IF($H269="No","NoMFA ","")&amp;IF(AND($M269=0,$O269="Group only"),"T0-ViaGroupOnly ","")&amp;IF($N269="Yes","BroadAzureScope ","")&amp;IF($T269="Yes","AlsoEntraRole ","")))</f>
        <v/>
      </c>
      <c r="AJ269" s="85">
        <f>IF($A269="","",IF(AD269="","Not Enrolled",IF(TODAY()&gt;AD269,"Review Overdue",IF(AD269-TODAY()&lt;=30,"Review Due Soon","Active"))))</f>
        <v/>
      </c>
      <c r="AK269" s="85">
        <f>IF($A269="","",IF(AE269="","NOT REVIEWED",IF(TODAY()-AE269&gt;90,"OVERDUE",IF(TODAY()-AE269&gt;76,"Due Soon","Current"))))</f>
        <v/>
      </c>
    </row>
    <row r="270" ht="15" customHeight="1" s="39">
      <c r="A270" s="85" t="n"/>
      <c r="B270" s="85" t="n"/>
      <c r="C270" s="85" t="n"/>
      <c r="D270" s="85" t="n"/>
      <c r="E270" s="85" t="n"/>
      <c r="F270" s="86" t="n"/>
      <c r="G270" s="86" t="n"/>
      <c r="H270" s="85" t="n"/>
      <c r="I270" s="85" t="n"/>
      <c r="J270" s="85" t="n"/>
      <c r="K270" s="85" t="n"/>
      <c r="L270" s="85" t="n"/>
      <c r="M270" s="85" t="n"/>
      <c r="N270" s="85" t="n"/>
      <c r="O270" s="85" t="n"/>
      <c r="P270" s="85" t="n"/>
      <c r="Q270" s="85" t="n"/>
      <c r="R270" s="85" t="n"/>
      <c r="S270" s="85" t="n"/>
      <c r="T270" s="85" t="n"/>
      <c r="U270" s="85" t="n"/>
      <c r="V270" s="85" t="n"/>
      <c r="W270" s="85" t="n"/>
      <c r="X270" s="85" t="n"/>
      <c r="Y270" s="85" t="n"/>
      <c r="Z270" s="85" t="n"/>
      <c r="AA270" s="85" t="n"/>
      <c r="AB270" s="85" t="n"/>
      <c r="AC270" s="86" t="n"/>
      <c r="AD270" s="86" t="n"/>
      <c r="AE270" s="86" t="n"/>
      <c r="AF270" s="85" t="n"/>
      <c r="AG270" s="85" t="n"/>
      <c r="AH270" s="85">
        <f>IF($A270="","",IF(AND($E270="Yes",OR($V270="No",$V270="NOT FOUND")),"YES",""))</f>
        <v/>
      </c>
      <c r="AI270" s="85">
        <f>IF($A270="","",TRIM(IF(AND($M270=0,$I270&lt;&gt;"Yes"),"T0-NoPhishResistant ","")&amp;IF($H270="No","NoMFA ","")&amp;IF(AND($M270=0,$O270="Group only"),"T0-ViaGroupOnly ","")&amp;IF($N270="Yes","BroadAzureScope ","")&amp;IF($T270="Yes","AlsoEntraRole ","")))</f>
        <v/>
      </c>
      <c r="AJ270" s="85">
        <f>IF($A270="","",IF(AD270="","Not Enrolled",IF(TODAY()&gt;AD270,"Review Overdue",IF(AD270-TODAY()&lt;=30,"Review Due Soon","Active"))))</f>
        <v/>
      </c>
      <c r="AK270" s="85">
        <f>IF($A270="","",IF(AE270="","NOT REVIEWED",IF(TODAY()-AE270&gt;90,"OVERDUE",IF(TODAY()-AE270&gt;76,"Due Soon","Current"))))</f>
        <v/>
      </c>
    </row>
    <row r="271" ht="15" customHeight="1" s="39">
      <c r="A271" s="85" t="n"/>
      <c r="B271" s="85" t="n"/>
      <c r="C271" s="85" t="n"/>
      <c r="D271" s="85" t="n"/>
      <c r="E271" s="85" t="n"/>
      <c r="F271" s="86" t="n"/>
      <c r="G271" s="86" t="n"/>
      <c r="H271" s="85" t="n"/>
      <c r="I271" s="85" t="n"/>
      <c r="J271" s="85" t="n"/>
      <c r="K271" s="85" t="n"/>
      <c r="L271" s="85" t="n"/>
      <c r="M271" s="85" t="n"/>
      <c r="N271" s="85" t="n"/>
      <c r="O271" s="85" t="n"/>
      <c r="P271" s="85" t="n"/>
      <c r="Q271" s="85" t="n"/>
      <c r="R271" s="85" t="n"/>
      <c r="S271" s="85" t="n"/>
      <c r="T271" s="85" t="n"/>
      <c r="U271" s="85" t="n"/>
      <c r="V271" s="85" t="n"/>
      <c r="W271" s="85" t="n"/>
      <c r="X271" s="85" t="n"/>
      <c r="Y271" s="85" t="n"/>
      <c r="Z271" s="85" t="n"/>
      <c r="AA271" s="85" t="n"/>
      <c r="AB271" s="85" t="n"/>
      <c r="AC271" s="86" t="n"/>
      <c r="AD271" s="86" t="n"/>
      <c r="AE271" s="86" t="n"/>
      <c r="AF271" s="85" t="n"/>
      <c r="AG271" s="85" t="n"/>
      <c r="AH271" s="85">
        <f>IF($A271="","",IF(AND($E271="Yes",OR($V271="No",$V271="NOT FOUND")),"YES",""))</f>
        <v/>
      </c>
      <c r="AI271" s="85">
        <f>IF($A271="","",TRIM(IF(AND($M271=0,$I271&lt;&gt;"Yes"),"T0-NoPhishResistant ","")&amp;IF($H271="No","NoMFA ","")&amp;IF(AND($M271=0,$O271="Group only"),"T0-ViaGroupOnly ","")&amp;IF($N271="Yes","BroadAzureScope ","")&amp;IF($T271="Yes","AlsoEntraRole ","")))</f>
        <v/>
      </c>
      <c r="AJ271" s="85">
        <f>IF($A271="","",IF(AD271="","Not Enrolled",IF(TODAY()&gt;AD271,"Review Overdue",IF(AD271-TODAY()&lt;=30,"Review Due Soon","Active"))))</f>
        <v/>
      </c>
      <c r="AK271" s="85">
        <f>IF($A271="","",IF(AE271="","NOT REVIEWED",IF(TODAY()-AE271&gt;90,"OVERDUE",IF(TODAY()-AE271&gt;76,"Due Soon","Current"))))</f>
        <v/>
      </c>
    </row>
    <row r="272" ht="15" customHeight="1" s="39">
      <c r="A272" s="85" t="n"/>
      <c r="B272" s="85" t="n"/>
      <c r="C272" s="85" t="n"/>
      <c r="D272" s="85" t="n"/>
      <c r="E272" s="85" t="n"/>
      <c r="F272" s="86" t="n"/>
      <c r="G272" s="86" t="n"/>
      <c r="H272" s="85" t="n"/>
      <c r="I272" s="85" t="n"/>
      <c r="J272" s="85" t="n"/>
      <c r="K272" s="85" t="n"/>
      <c r="L272" s="85" t="n"/>
      <c r="M272" s="85" t="n"/>
      <c r="N272" s="85" t="n"/>
      <c r="O272" s="85" t="n"/>
      <c r="P272" s="85" t="n"/>
      <c r="Q272" s="85" t="n"/>
      <c r="R272" s="85" t="n"/>
      <c r="S272" s="85" t="n"/>
      <c r="T272" s="85" t="n"/>
      <c r="U272" s="85" t="n"/>
      <c r="V272" s="85" t="n"/>
      <c r="W272" s="85" t="n"/>
      <c r="X272" s="85" t="n"/>
      <c r="Y272" s="85" t="n"/>
      <c r="Z272" s="85" t="n"/>
      <c r="AA272" s="85" t="n"/>
      <c r="AB272" s="85" t="n"/>
      <c r="AC272" s="86" t="n"/>
      <c r="AD272" s="86" t="n"/>
      <c r="AE272" s="86" t="n"/>
      <c r="AF272" s="85" t="n"/>
      <c r="AG272" s="85" t="n"/>
      <c r="AH272" s="85">
        <f>IF($A272="","",IF(AND($E272="Yes",OR($V272="No",$V272="NOT FOUND")),"YES",""))</f>
        <v/>
      </c>
      <c r="AI272" s="85">
        <f>IF($A272="","",TRIM(IF(AND($M272=0,$I272&lt;&gt;"Yes"),"T0-NoPhishResistant ","")&amp;IF($H272="No","NoMFA ","")&amp;IF(AND($M272=0,$O272="Group only"),"T0-ViaGroupOnly ","")&amp;IF($N272="Yes","BroadAzureScope ","")&amp;IF($T272="Yes","AlsoEntraRole ","")))</f>
        <v/>
      </c>
      <c r="AJ272" s="85">
        <f>IF($A272="","",IF(AD272="","Not Enrolled",IF(TODAY()&gt;AD272,"Review Overdue",IF(AD272-TODAY()&lt;=30,"Review Due Soon","Active"))))</f>
        <v/>
      </c>
      <c r="AK272" s="85">
        <f>IF($A272="","",IF(AE272="","NOT REVIEWED",IF(TODAY()-AE272&gt;90,"OVERDUE",IF(TODAY()-AE272&gt;76,"Due Soon","Current"))))</f>
        <v/>
      </c>
    </row>
    <row r="273" ht="15" customHeight="1" s="39">
      <c r="A273" s="85" t="n"/>
      <c r="B273" s="85" t="n"/>
      <c r="C273" s="85" t="n"/>
      <c r="D273" s="85" t="n"/>
      <c r="E273" s="85" t="n"/>
      <c r="F273" s="86" t="n"/>
      <c r="G273" s="86" t="n"/>
      <c r="H273" s="85" t="n"/>
      <c r="I273" s="85" t="n"/>
      <c r="J273" s="85" t="n"/>
      <c r="K273" s="85" t="n"/>
      <c r="L273" s="85" t="n"/>
      <c r="M273" s="85" t="n"/>
      <c r="N273" s="85" t="n"/>
      <c r="O273" s="85" t="n"/>
      <c r="P273" s="85" t="n"/>
      <c r="Q273" s="85" t="n"/>
      <c r="R273" s="85" t="n"/>
      <c r="S273" s="85" t="n"/>
      <c r="T273" s="85" t="n"/>
      <c r="U273" s="85" t="n"/>
      <c r="V273" s="85" t="n"/>
      <c r="W273" s="85" t="n"/>
      <c r="X273" s="85" t="n"/>
      <c r="Y273" s="85" t="n"/>
      <c r="Z273" s="85" t="n"/>
      <c r="AA273" s="85" t="n"/>
      <c r="AB273" s="85" t="n"/>
      <c r="AC273" s="86" t="n"/>
      <c r="AD273" s="86" t="n"/>
      <c r="AE273" s="86" t="n"/>
      <c r="AF273" s="85" t="n"/>
      <c r="AG273" s="85" t="n"/>
      <c r="AH273" s="85">
        <f>IF($A273="","",IF(AND($E273="Yes",OR($V273="No",$V273="NOT FOUND")),"YES",""))</f>
        <v/>
      </c>
      <c r="AI273" s="85">
        <f>IF($A273="","",TRIM(IF(AND($M273=0,$I273&lt;&gt;"Yes"),"T0-NoPhishResistant ","")&amp;IF($H273="No","NoMFA ","")&amp;IF(AND($M273=0,$O273="Group only"),"T0-ViaGroupOnly ","")&amp;IF($N273="Yes","BroadAzureScope ","")&amp;IF($T273="Yes","AlsoEntraRole ","")))</f>
        <v/>
      </c>
      <c r="AJ273" s="85">
        <f>IF($A273="","",IF(AD273="","Not Enrolled",IF(TODAY()&gt;AD273,"Review Overdue",IF(AD273-TODAY()&lt;=30,"Review Due Soon","Active"))))</f>
        <v/>
      </c>
      <c r="AK273" s="85">
        <f>IF($A273="","",IF(AE273="","NOT REVIEWED",IF(TODAY()-AE273&gt;90,"OVERDUE",IF(TODAY()-AE273&gt;76,"Due Soon","Current"))))</f>
        <v/>
      </c>
    </row>
    <row r="274" ht="15" customHeight="1" s="39">
      <c r="A274" s="85" t="n"/>
      <c r="B274" s="85" t="n"/>
      <c r="C274" s="85" t="n"/>
      <c r="D274" s="85" t="n"/>
      <c r="E274" s="85" t="n"/>
      <c r="F274" s="86" t="n"/>
      <c r="G274" s="86" t="n"/>
      <c r="H274" s="85" t="n"/>
      <c r="I274" s="85" t="n"/>
      <c r="J274" s="85" t="n"/>
      <c r="K274" s="85" t="n"/>
      <c r="L274" s="85" t="n"/>
      <c r="M274" s="85" t="n"/>
      <c r="N274" s="85" t="n"/>
      <c r="O274" s="85" t="n"/>
      <c r="P274" s="85" t="n"/>
      <c r="Q274" s="85" t="n"/>
      <c r="R274" s="85" t="n"/>
      <c r="S274" s="85" t="n"/>
      <c r="T274" s="85" t="n"/>
      <c r="U274" s="85" t="n"/>
      <c r="V274" s="85" t="n"/>
      <c r="W274" s="85" t="n"/>
      <c r="X274" s="85" t="n"/>
      <c r="Y274" s="85" t="n"/>
      <c r="Z274" s="85" t="n"/>
      <c r="AA274" s="85" t="n"/>
      <c r="AB274" s="85" t="n"/>
      <c r="AC274" s="86" t="n"/>
      <c r="AD274" s="86" t="n"/>
      <c r="AE274" s="86" t="n"/>
      <c r="AF274" s="85" t="n"/>
      <c r="AG274" s="85" t="n"/>
      <c r="AH274" s="85">
        <f>IF($A274="","",IF(AND($E274="Yes",OR($V274="No",$V274="NOT FOUND")),"YES",""))</f>
        <v/>
      </c>
      <c r="AI274" s="85">
        <f>IF($A274="","",TRIM(IF(AND($M274=0,$I274&lt;&gt;"Yes"),"T0-NoPhishResistant ","")&amp;IF($H274="No","NoMFA ","")&amp;IF(AND($M274=0,$O274="Group only"),"T0-ViaGroupOnly ","")&amp;IF($N274="Yes","BroadAzureScope ","")&amp;IF($T274="Yes","AlsoEntraRole ","")))</f>
        <v/>
      </c>
      <c r="AJ274" s="85">
        <f>IF($A274="","",IF(AD274="","Not Enrolled",IF(TODAY()&gt;AD274,"Review Overdue",IF(AD274-TODAY()&lt;=30,"Review Due Soon","Active"))))</f>
        <v/>
      </c>
      <c r="AK274" s="85">
        <f>IF($A274="","",IF(AE274="","NOT REVIEWED",IF(TODAY()-AE274&gt;90,"OVERDUE",IF(TODAY()-AE274&gt;76,"Due Soon","Current"))))</f>
        <v/>
      </c>
    </row>
    <row r="275" ht="15" customHeight="1" s="39">
      <c r="A275" s="85" t="n"/>
      <c r="B275" s="85" t="n"/>
      <c r="C275" s="85" t="n"/>
      <c r="D275" s="85" t="n"/>
      <c r="E275" s="85" t="n"/>
      <c r="F275" s="86" t="n"/>
      <c r="G275" s="86" t="n"/>
      <c r="H275" s="85" t="n"/>
      <c r="I275" s="85" t="n"/>
      <c r="J275" s="85" t="n"/>
      <c r="K275" s="85" t="n"/>
      <c r="L275" s="85" t="n"/>
      <c r="M275" s="85" t="n"/>
      <c r="N275" s="85" t="n"/>
      <c r="O275" s="85" t="n"/>
      <c r="P275" s="85" t="n"/>
      <c r="Q275" s="85" t="n"/>
      <c r="R275" s="85" t="n"/>
      <c r="S275" s="85" t="n"/>
      <c r="T275" s="85" t="n"/>
      <c r="U275" s="85" t="n"/>
      <c r="V275" s="85" t="n"/>
      <c r="W275" s="85" t="n"/>
      <c r="X275" s="85" t="n"/>
      <c r="Y275" s="85" t="n"/>
      <c r="Z275" s="85" t="n"/>
      <c r="AA275" s="85" t="n"/>
      <c r="AB275" s="85" t="n"/>
      <c r="AC275" s="86" t="n"/>
      <c r="AD275" s="86" t="n"/>
      <c r="AE275" s="86" t="n"/>
      <c r="AF275" s="85" t="n"/>
      <c r="AG275" s="85" t="n"/>
      <c r="AH275" s="85">
        <f>IF($A275="","",IF(AND($E275="Yes",OR($V275="No",$V275="NOT FOUND")),"YES",""))</f>
        <v/>
      </c>
      <c r="AI275" s="85">
        <f>IF($A275="","",TRIM(IF(AND($M275=0,$I275&lt;&gt;"Yes"),"T0-NoPhishResistant ","")&amp;IF($H275="No","NoMFA ","")&amp;IF(AND($M275=0,$O275="Group only"),"T0-ViaGroupOnly ","")&amp;IF($N275="Yes","BroadAzureScope ","")&amp;IF($T275="Yes","AlsoEntraRole ","")))</f>
        <v/>
      </c>
      <c r="AJ275" s="85">
        <f>IF($A275="","",IF(AD275="","Not Enrolled",IF(TODAY()&gt;AD275,"Review Overdue",IF(AD275-TODAY()&lt;=30,"Review Due Soon","Active"))))</f>
        <v/>
      </c>
      <c r="AK275" s="85">
        <f>IF($A275="","",IF(AE275="","NOT REVIEWED",IF(TODAY()-AE275&gt;90,"OVERDUE",IF(TODAY()-AE275&gt;76,"Due Soon","Current"))))</f>
        <v/>
      </c>
    </row>
    <row r="276" ht="15" customHeight="1" s="39">
      <c r="A276" s="85" t="n"/>
      <c r="B276" s="85" t="n"/>
      <c r="C276" s="85" t="n"/>
      <c r="D276" s="85" t="n"/>
      <c r="E276" s="85" t="n"/>
      <c r="F276" s="86" t="n"/>
      <c r="G276" s="86" t="n"/>
      <c r="H276" s="85" t="n"/>
      <c r="I276" s="85" t="n"/>
      <c r="J276" s="85" t="n"/>
      <c r="K276" s="85" t="n"/>
      <c r="L276" s="85" t="n"/>
      <c r="M276" s="85" t="n"/>
      <c r="N276" s="85" t="n"/>
      <c r="O276" s="85" t="n"/>
      <c r="P276" s="85" t="n"/>
      <c r="Q276" s="85" t="n"/>
      <c r="R276" s="85" t="n"/>
      <c r="S276" s="85" t="n"/>
      <c r="T276" s="85" t="n"/>
      <c r="U276" s="85" t="n"/>
      <c r="V276" s="85" t="n"/>
      <c r="W276" s="85" t="n"/>
      <c r="X276" s="85" t="n"/>
      <c r="Y276" s="85" t="n"/>
      <c r="Z276" s="85" t="n"/>
      <c r="AA276" s="85" t="n"/>
      <c r="AB276" s="85" t="n"/>
      <c r="AC276" s="86" t="n"/>
      <c r="AD276" s="86" t="n"/>
      <c r="AE276" s="86" t="n"/>
      <c r="AF276" s="85" t="n"/>
      <c r="AG276" s="85" t="n"/>
      <c r="AH276" s="85">
        <f>IF($A276="","",IF(AND($E276="Yes",OR($V276="No",$V276="NOT FOUND")),"YES",""))</f>
        <v/>
      </c>
      <c r="AI276" s="85">
        <f>IF($A276="","",TRIM(IF(AND($M276=0,$I276&lt;&gt;"Yes"),"T0-NoPhishResistant ","")&amp;IF($H276="No","NoMFA ","")&amp;IF(AND($M276=0,$O276="Group only"),"T0-ViaGroupOnly ","")&amp;IF($N276="Yes","BroadAzureScope ","")&amp;IF($T276="Yes","AlsoEntraRole ","")))</f>
        <v/>
      </c>
      <c r="AJ276" s="85">
        <f>IF($A276="","",IF(AD276="","Not Enrolled",IF(TODAY()&gt;AD276,"Review Overdue",IF(AD276-TODAY()&lt;=30,"Review Due Soon","Active"))))</f>
        <v/>
      </c>
      <c r="AK276" s="85">
        <f>IF($A276="","",IF(AE276="","NOT REVIEWED",IF(TODAY()-AE276&gt;90,"OVERDUE",IF(TODAY()-AE276&gt;76,"Due Soon","Current"))))</f>
        <v/>
      </c>
    </row>
    <row r="277" ht="15" customHeight="1" s="39">
      <c r="A277" s="85" t="n"/>
      <c r="B277" s="85" t="n"/>
      <c r="C277" s="85" t="n"/>
      <c r="D277" s="85" t="n"/>
      <c r="E277" s="85" t="n"/>
      <c r="F277" s="86" t="n"/>
      <c r="G277" s="86" t="n"/>
      <c r="H277" s="85" t="n"/>
      <c r="I277" s="85" t="n"/>
      <c r="J277" s="85" t="n"/>
      <c r="K277" s="85" t="n"/>
      <c r="L277" s="85" t="n"/>
      <c r="M277" s="85" t="n"/>
      <c r="N277" s="85" t="n"/>
      <c r="O277" s="85" t="n"/>
      <c r="P277" s="85" t="n"/>
      <c r="Q277" s="85" t="n"/>
      <c r="R277" s="85" t="n"/>
      <c r="S277" s="85" t="n"/>
      <c r="T277" s="85" t="n"/>
      <c r="U277" s="85" t="n"/>
      <c r="V277" s="85" t="n"/>
      <c r="W277" s="85" t="n"/>
      <c r="X277" s="85" t="n"/>
      <c r="Y277" s="85" t="n"/>
      <c r="Z277" s="85" t="n"/>
      <c r="AA277" s="85" t="n"/>
      <c r="AB277" s="85" t="n"/>
      <c r="AC277" s="86" t="n"/>
      <c r="AD277" s="86" t="n"/>
      <c r="AE277" s="86" t="n"/>
      <c r="AF277" s="85" t="n"/>
      <c r="AG277" s="85" t="n"/>
      <c r="AH277" s="85">
        <f>IF($A277="","",IF(AND($E277="Yes",OR($V277="No",$V277="NOT FOUND")),"YES",""))</f>
        <v/>
      </c>
      <c r="AI277" s="85">
        <f>IF($A277="","",TRIM(IF(AND($M277=0,$I277&lt;&gt;"Yes"),"T0-NoPhishResistant ","")&amp;IF($H277="No","NoMFA ","")&amp;IF(AND($M277=0,$O277="Group only"),"T0-ViaGroupOnly ","")&amp;IF($N277="Yes","BroadAzureScope ","")&amp;IF($T277="Yes","AlsoEntraRole ","")))</f>
        <v/>
      </c>
      <c r="AJ277" s="85">
        <f>IF($A277="","",IF(AD277="","Not Enrolled",IF(TODAY()&gt;AD277,"Review Overdue",IF(AD277-TODAY()&lt;=30,"Review Due Soon","Active"))))</f>
        <v/>
      </c>
      <c r="AK277" s="85">
        <f>IF($A277="","",IF(AE277="","NOT REVIEWED",IF(TODAY()-AE277&gt;90,"OVERDUE",IF(TODAY()-AE277&gt;76,"Due Soon","Current"))))</f>
        <v/>
      </c>
    </row>
    <row r="278" ht="15" customHeight="1" s="39">
      <c r="A278" s="85" t="n"/>
      <c r="B278" s="85" t="n"/>
      <c r="C278" s="85" t="n"/>
      <c r="D278" s="85" t="n"/>
      <c r="E278" s="85" t="n"/>
      <c r="F278" s="86" t="n"/>
      <c r="G278" s="86" t="n"/>
      <c r="H278" s="85" t="n"/>
      <c r="I278" s="85" t="n"/>
      <c r="J278" s="85" t="n"/>
      <c r="K278" s="85" t="n"/>
      <c r="L278" s="85" t="n"/>
      <c r="M278" s="85" t="n"/>
      <c r="N278" s="85" t="n"/>
      <c r="O278" s="85" t="n"/>
      <c r="P278" s="85" t="n"/>
      <c r="Q278" s="85" t="n"/>
      <c r="R278" s="85" t="n"/>
      <c r="S278" s="85" t="n"/>
      <c r="T278" s="85" t="n"/>
      <c r="U278" s="85" t="n"/>
      <c r="V278" s="85" t="n"/>
      <c r="W278" s="85" t="n"/>
      <c r="X278" s="85" t="n"/>
      <c r="Y278" s="85" t="n"/>
      <c r="Z278" s="85" t="n"/>
      <c r="AA278" s="85" t="n"/>
      <c r="AB278" s="85" t="n"/>
      <c r="AC278" s="86" t="n"/>
      <c r="AD278" s="86" t="n"/>
      <c r="AE278" s="86" t="n"/>
      <c r="AF278" s="85" t="n"/>
      <c r="AG278" s="85" t="n"/>
      <c r="AH278" s="85">
        <f>IF($A278="","",IF(AND($E278="Yes",OR($V278="No",$V278="NOT FOUND")),"YES",""))</f>
        <v/>
      </c>
      <c r="AI278" s="85">
        <f>IF($A278="","",TRIM(IF(AND($M278=0,$I278&lt;&gt;"Yes"),"T0-NoPhishResistant ","")&amp;IF($H278="No","NoMFA ","")&amp;IF(AND($M278=0,$O278="Group only"),"T0-ViaGroupOnly ","")&amp;IF($N278="Yes","BroadAzureScope ","")&amp;IF($T278="Yes","AlsoEntraRole ","")))</f>
        <v/>
      </c>
      <c r="AJ278" s="85">
        <f>IF($A278="","",IF(AD278="","Not Enrolled",IF(TODAY()&gt;AD278,"Review Overdue",IF(AD278-TODAY()&lt;=30,"Review Due Soon","Active"))))</f>
        <v/>
      </c>
      <c r="AK278" s="85">
        <f>IF($A278="","",IF(AE278="","NOT REVIEWED",IF(TODAY()-AE278&gt;90,"OVERDUE",IF(TODAY()-AE278&gt;76,"Due Soon","Current"))))</f>
        <v/>
      </c>
    </row>
    <row r="279" ht="15" customHeight="1" s="39">
      <c r="A279" s="85" t="n"/>
      <c r="B279" s="85" t="n"/>
      <c r="C279" s="85" t="n"/>
      <c r="D279" s="85" t="n"/>
      <c r="E279" s="85" t="n"/>
      <c r="F279" s="86" t="n"/>
      <c r="G279" s="86" t="n"/>
      <c r="H279" s="85" t="n"/>
      <c r="I279" s="85" t="n"/>
      <c r="J279" s="85" t="n"/>
      <c r="K279" s="85" t="n"/>
      <c r="L279" s="85" t="n"/>
      <c r="M279" s="85" t="n"/>
      <c r="N279" s="85" t="n"/>
      <c r="O279" s="85" t="n"/>
      <c r="P279" s="85" t="n"/>
      <c r="Q279" s="85" t="n"/>
      <c r="R279" s="85" t="n"/>
      <c r="S279" s="85" t="n"/>
      <c r="T279" s="85" t="n"/>
      <c r="U279" s="85" t="n"/>
      <c r="V279" s="85" t="n"/>
      <c r="W279" s="85" t="n"/>
      <c r="X279" s="85" t="n"/>
      <c r="Y279" s="85" t="n"/>
      <c r="Z279" s="85" t="n"/>
      <c r="AA279" s="85" t="n"/>
      <c r="AB279" s="85" t="n"/>
      <c r="AC279" s="86" t="n"/>
      <c r="AD279" s="86" t="n"/>
      <c r="AE279" s="86" t="n"/>
      <c r="AF279" s="85" t="n"/>
      <c r="AG279" s="85" t="n"/>
      <c r="AH279" s="85">
        <f>IF($A279="","",IF(AND($E279="Yes",OR($V279="No",$V279="NOT FOUND")),"YES",""))</f>
        <v/>
      </c>
      <c r="AI279" s="85">
        <f>IF($A279="","",TRIM(IF(AND($M279=0,$I279&lt;&gt;"Yes"),"T0-NoPhishResistant ","")&amp;IF($H279="No","NoMFA ","")&amp;IF(AND($M279=0,$O279="Group only"),"T0-ViaGroupOnly ","")&amp;IF($N279="Yes","BroadAzureScope ","")&amp;IF($T279="Yes","AlsoEntraRole ","")))</f>
        <v/>
      </c>
      <c r="AJ279" s="85">
        <f>IF($A279="","",IF(AD279="","Not Enrolled",IF(TODAY()&gt;AD279,"Review Overdue",IF(AD279-TODAY()&lt;=30,"Review Due Soon","Active"))))</f>
        <v/>
      </c>
      <c r="AK279" s="85">
        <f>IF($A279="","",IF(AE279="","NOT REVIEWED",IF(TODAY()-AE279&gt;90,"OVERDUE",IF(TODAY()-AE279&gt;76,"Due Soon","Current"))))</f>
        <v/>
      </c>
    </row>
    <row r="280" ht="15" customHeight="1" s="39">
      <c r="A280" s="85" t="n"/>
      <c r="B280" s="85" t="n"/>
      <c r="C280" s="85" t="n"/>
      <c r="D280" s="85" t="n"/>
      <c r="E280" s="85" t="n"/>
      <c r="F280" s="86" t="n"/>
      <c r="G280" s="86" t="n"/>
      <c r="H280" s="85" t="n"/>
      <c r="I280" s="85" t="n"/>
      <c r="J280" s="85" t="n"/>
      <c r="K280" s="85" t="n"/>
      <c r="L280" s="85" t="n"/>
      <c r="M280" s="85" t="n"/>
      <c r="N280" s="85" t="n"/>
      <c r="O280" s="85" t="n"/>
      <c r="P280" s="85" t="n"/>
      <c r="Q280" s="85" t="n"/>
      <c r="R280" s="85" t="n"/>
      <c r="S280" s="85" t="n"/>
      <c r="T280" s="85" t="n"/>
      <c r="U280" s="85" t="n"/>
      <c r="V280" s="85" t="n"/>
      <c r="W280" s="85" t="n"/>
      <c r="X280" s="85" t="n"/>
      <c r="Y280" s="85" t="n"/>
      <c r="Z280" s="85" t="n"/>
      <c r="AA280" s="85" t="n"/>
      <c r="AB280" s="85" t="n"/>
      <c r="AC280" s="86" t="n"/>
      <c r="AD280" s="86" t="n"/>
      <c r="AE280" s="86" t="n"/>
      <c r="AF280" s="85" t="n"/>
      <c r="AG280" s="85" t="n"/>
      <c r="AH280" s="85">
        <f>IF($A280="","",IF(AND($E280="Yes",OR($V280="No",$V280="NOT FOUND")),"YES",""))</f>
        <v/>
      </c>
      <c r="AI280" s="85">
        <f>IF($A280="","",TRIM(IF(AND($M280=0,$I280&lt;&gt;"Yes"),"T0-NoPhishResistant ","")&amp;IF($H280="No","NoMFA ","")&amp;IF(AND($M280=0,$O280="Group only"),"T0-ViaGroupOnly ","")&amp;IF($N280="Yes","BroadAzureScope ","")&amp;IF($T280="Yes","AlsoEntraRole ","")))</f>
        <v/>
      </c>
      <c r="AJ280" s="85">
        <f>IF($A280="","",IF(AD280="","Not Enrolled",IF(TODAY()&gt;AD280,"Review Overdue",IF(AD280-TODAY()&lt;=30,"Review Due Soon","Active"))))</f>
        <v/>
      </c>
      <c r="AK280" s="85">
        <f>IF($A280="","",IF(AE280="","NOT REVIEWED",IF(TODAY()-AE280&gt;90,"OVERDUE",IF(TODAY()-AE280&gt;76,"Due Soon","Current"))))</f>
        <v/>
      </c>
    </row>
    <row r="281" ht="15" customHeight="1" s="39">
      <c r="A281" s="85" t="n"/>
      <c r="B281" s="85" t="n"/>
      <c r="C281" s="85" t="n"/>
      <c r="D281" s="85" t="n"/>
      <c r="E281" s="85" t="n"/>
      <c r="F281" s="86" t="n"/>
      <c r="G281" s="86" t="n"/>
      <c r="H281" s="85" t="n"/>
      <c r="I281" s="85" t="n"/>
      <c r="J281" s="85" t="n"/>
      <c r="K281" s="85" t="n"/>
      <c r="L281" s="85" t="n"/>
      <c r="M281" s="85" t="n"/>
      <c r="N281" s="85" t="n"/>
      <c r="O281" s="85" t="n"/>
      <c r="P281" s="85" t="n"/>
      <c r="Q281" s="85" t="n"/>
      <c r="R281" s="85" t="n"/>
      <c r="S281" s="85" t="n"/>
      <c r="T281" s="85" t="n"/>
      <c r="U281" s="85" t="n"/>
      <c r="V281" s="85" t="n"/>
      <c r="W281" s="85" t="n"/>
      <c r="X281" s="85" t="n"/>
      <c r="Y281" s="85" t="n"/>
      <c r="Z281" s="85" t="n"/>
      <c r="AA281" s="85" t="n"/>
      <c r="AB281" s="85" t="n"/>
      <c r="AC281" s="86" t="n"/>
      <c r="AD281" s="86" t="n"/>
      <c r="AE281" s="86" t="n"/>
      <c r="AF281" s="85" t="n"/>
      <c r="AG281" s="85" t="n"/>
      <c r="AH281" s="85">
        <f>IF($A281="","",IF(AND($E281="Yes",OR($V281="No",$V281="NOT FOUND")),"YES",""))</f>
        <v/>
      </c>
      <c r="AI281" s="85">
        <f>IF($A281="","",TRIM(IF(AND($M281=0,$I281&lt;&gt;"Yes"),"T0-NoPhishResistant ","")&amp;IF($H281="No","NoMFA ","")&amp;IF(AND($M281=0,$O281="Group only"),"T0-ViaGroupOnly ","")&amp;IF($N281="Yes","BroadAzureScope ","")&amp;IF($T281="Yes","AlsoEntraRole ","")))</f>
        <v/>
      </c>
      <c r="AJ281" s="85">
        <f>IF($A281="","",IF(AD281="","Not Enrolled",IF(TODAY()&gt;AD281,"Review Overdue",IF(AD281-TODAY()&lt;=30,"Review Due Soon","Active"))))</f>
        <v/>
      </c>
      <c r="AK281" s="85">
        <f>IF($A281="","",IF(AE281="","NOT REVIEWED",IF(TODAY()-AE281&gt;90,"OVERDUE",IF(TODAY()-AE281&gt;76,"Due Soon","Current"))))</f>
        <v/>
      </c>
    </row>
    <row r="282" ht="15" customHeight="1" s="39">
      <c r="A282" s="85" t="n"/>
      <c r="B282" s="85" t="n"/>
      <c r="C282" s="85" t="n"/>
      <c r="D282" s="85" t="n"/>
      <c r="E282" s="85" t="n"/>
      <c r="F282" s="86" t="n"/>
      <c r="G282" s="86" t="n"/>
      <c r="H282" s="85" t="n"/>
      <c r="I282" s="85" t="n"/>
      <c r="J282" s="85" t="n"/>
      <c r="K282" s="85" t="n"/>
      <c r="L282" s="85" t="n"/>
      <c r="M282" s="85" t="n"/>
      <c r="N282" s="85" t="n"/>
      <c r="O282" s="85" t="n"/>
      <c r="P282" s="85" t="n"/>
      <c r="Q282" s="85" t="n"/>
      <c r="R282" s="85" t="n"/>
      <c r="S282" s="85" t="n"/>
      <c r="T282" s="85" t="n"/>
      <c r="U282" s="85" t="n"/>
      <c r="V282" s="85" t="n"/>
      <c r="W282" s="85" t="n"/>
      <c r="X282" s="85" t="n"/>
      <c r="Y282" s="85" t="n"/>
      <c r="Z282" s="85" t="n"/>
      <c r="AA282" s="85" t="n"/>
      <c r="AB282" s="85" t="n"/>
      <c r="AC282" s="86" t="n"/>
      <c r="AD282" s="86" t="n"/>
      <c r="AE282" s="86" t="n"/>
      <c r="AF282" s="85" t="n"/>
      <c r="AG282" s="85" t="n"/>
      <c r="AH282" s="85">
        <f>IF($A282="","",IF(AND($E282="Yes",OR($V282="No",$V282="NOT FOUND")),"YES",""))</f>
        <v/>
      </c>
      <c r="AI282" s="85">
        <f>IF($A282="","",TRIM(IF(AND($M282=0,$I282&lt;&gt;"Yes"),"T0-NoPhishResistant ","")&amp;IF($H282="No","NoMFA ","")&amp;IF(AND($M282=0,$O282="Group only"),"T0-ViaGroupOnly ","")&amp;IF($N282="Yes","BroadAzureScope ","")&amp;IF($T282="Yes","AlsoEntraRole ","")))</f>
        <v/>
      </c>
      <c r="AJ282" s="85">
        <f>IF($A282="","",IF(AD282="","Not Enrolled",IF(TODAY()&gt;AD282,"Review Overdue",IF(AD282-TODAY()&lt;=30,"Review Due Soon","Active"))))</f>
        <v/>
      </c>
      <c r="AK282" s="85">
        <f>IF($A282="","",IF(AE282="","NOT REVIEWED",IF(TODAY()-AE282&gt;90,"OVERDUE",IF(TODAY()-AE282&gt;76,"Due Soon","Current"))))</f>
        <v/>
      </c>
    </row>
    <row r="283" ht="15" customHeight="1" s="39">
      <c r="A283" s="85" t="n"/>
      <c r="B283" s="85" t="n"/>
      <c r="C283" s="85" t="n"/>
      <c r="D283" s="85" t="n"/>
      <c r="E283" s="85" t="n"/>
      <c r="F283" s="86" t="n"/>
      <c r="G283" s="86" t="n"/>
      <c r="H283" s="85" t="n"/>
      <c r="I283" s="85" t="n"/>
      <c r="J283" s="85" t="n"/>
      <c r="K283" s="85" t="n"/>
      <c r="L283" s="85" t="n"/>
      <c r="M283" s="85" t="n"/>
      <c r="N283" s="85" t="n"/>
      <c r="O283" s="85" t="n"/>
      <c r="P283" s="85" t="n"/>
      <c r="Q283" s="85" t="n"/>
      <c r="R283" s="85" t="n"/>
      <c r="S283" s="85" t="n"/>
      <c r="T283" s="85" t="n"/>
      <c r="U283" s="85" t="n"/>
      <c r="V283" s="85" t="n"/>
      <c r="W283" s="85" t="n"/>
      <c r="X283" s="85" t="n"/>
      <c r="Y283" s="85" t="n"/>
      <c r="Z283" s="85" t="n"/>
      <c r="AA283" s="85" t="n"/>
      <c r="AB283" s="85" t="n"/>
      <c r="AC283" s="86" t="n"/>
      <c r="AD283" s="86" t="n"/>
      <c r="AE283" s="86" t="n"/>
      <c r="AF283" s="85" t="n"/>
      <c r="AG283" s="85" t="n"/>
      <c r="AH283" s="85">
        <f>IF($A283="","",IF(AND($E283="Yes",OR($V283="No",$V283="NOT FOUND")),"YES",""))</f>
        <v/>
      </c>
      <c r="AI283" s="85">
        <f>IF($A283="","",TRIM(IF(AND($M283=0,$I283&lt;&gt;"Yes"),"T0-NoPhishResistant ","")&amp;IF($H283="No","NoMFA ","")&amp;IF(AND($M283=0,$O283="Group only"),"T0-ViaGroupOnly ","")&amp;IF($N283="Yes","BroadAzureScope ","")&amp;IF($T283="Yes","AlsoEntraRole ","")))</f>
        <v/>
      </c>
      <c r="AJ283" s="85">
        <f>IF($A283="","",IF(AD283="","Not Enrolled",IF(TODAY()&gt;AD283,"Review Overdue",IF(AD283-TODAY()&lt;=30,"Review Due Soon","Active"))))</f>
        <v/>
      </c>
      <c r="AK283" s="85">
        <f>IF($A283="","",IF(AE283="","NOT REVIEWED",IF(TODAY()-AE283&gt;90,"OVERDUE",IF(TODAY()-AE283&gt;76,"Due Soon","Current"))))</f>
        <v/>
      </c>
    </row>
    <row r="284" ht="15" customHeight="1" s="39">
      <c r="A284" s="85" t="n"/>
      <c r="B284" s="85" t="n"/>
      <c r="C284" s="85" t="n"/>
      <c r="D284" s="85" t="n"/>
      <c r="E284" s="85" t="n"/>
      <c r="F284" s="86" t="n"/>
      <c r="G284" s="86" t="n"/>
      <c r="H284" s="85" t="n"/>
      <c r="I284" s="85" t="n"/>
      <c r="J284" s="85" t="n"/>
      <c r="K284" s="85" t="n"/>
      <c r="L284" s="85" t="n"/>
      <c r="M284" s="85" t="n"/>
      <c r="N284" s="85" t="n"/>
      <c r="O284" s="85" t="n"/>
      <c r="P284" s="85" t="n"/>
      <c r="Q284" s="85" t="n"/>
      <c r="R284" s="85" t="n"/>
      <c r="S284" s="85" t="n"/>
      <c r="T284" s="85" t="n"/>
      <c r="U284" s="85" t="n"/>
      <c r="V284" s="85" t="n"/>
      <c r="W284" s="85" t="n"/>
      <c r="X284" s="85" t="n"/>
      <c r="Y284" s="85" t="n"/>
      <c r="Z284" s="85" t="n"/>
      <c r="AA284" s="85" t="n"/>
      <c r="AB284" s="85" t="n"/>
      <c r="AC284" s="86" t="n"/>
      <c r="AD284" s="86" t="n"/>
      <c r="AE284" s="86" t="n"/>
      <c r="AF284" s="85" t="n"/>
      <c r="AG284" s="85" t="n"/>
      <c r="AH284" s="85">
        <f>IF($A284="","",IF(AND($E284="Yes",OR($V284="No",$V284="NOT FOUND")),"YES",""))</f>
        <v/>
      </c>
      <c r="AI284" s="85">
        <f>IF($A284="","",TRIM(IF(AND($M284=0,$I284&lt;&gt;"Yes"),"T0-NoPhishResistant ","")&amp;IF($H284="No","NoMFA ","")&amp;IF(AND($M284=0,$O284="Group only"),"T0-ViaGroupOnly ","")&amp;IF($N284="Yes","BroadAzureScope ","")&amp;IF($T284="Yes","AlsoEntraRole ","")))</f>
        <v/>
      </c>
      <c r="AJ284" s="85">
        <f>IF($A284="","",IF(AD284="","Not Enrolled",IF(TODAY()&gt;AD284,"Review Overdue",IF(AD284-TODAY()&lt;=30,"Review Due Soon","Active"))))</f>
        <v/>
      </c>
      <c r="AK284" s="85">
        <f>IF($A284="","",IF(AE284="","NOT REVIEWED",IF(TODAY()-AE284&gt;90,"OVERDUE",IF(TODAY()-AE284&gt;76,"Due Soon","Current"))))</f>
        <v/>
      </c>
    </row>
    <row r="285" ht="15" customHeight="1" s="39">
      <c r="A285" s="85" t="n"/>
      <c r="B285" s="85" t="n"/>
      <c r="C285" s="85" t="n"/>
      <c r="D285" s="85" t="n"/>
      <c r="E285" s="85" t="n"/>
      <c r="F285" s="86" t="n"/>
      <c r="G285" s="86" t="n"/>
      <c r="H285" s="85" t="n"/>
      <c r="I285" s="85" t="n"/>
      <c r="J285" s="85" t="n"/>
      <c r="K285" s="85" t="n"/>
      <c r="L285" s="85" t="n"/>
      <c r="M285" s="85" t="n"/>
      <c r="N285" s="85" t="n"/>
      <c r="O285" s="85" t="n"/>
      <c r="P285" s="85" t="n"/>
      <c r="Q285" s="85" t="n"/>
      <c r="R285" s="85" t="n"/>
      <c r="S285" s="85" t="n"/>
      <c r="T285" s="85" t="n"/>
      <c r="U285" s="85" t="n"/>
      <c r="V285" s="85" t="n"/>
      <c r="W285" s="85" t="n"/>
      <c r="X285" s="85" t="n"/>
      <c r="Y285" s="85" t="n"/>
      <c r="Z285" s="85" t="n"/>
      <c r="AA285" s="85" t="n"/>
      <c r="AB285" s="85" t="n"/>
      <c r="AC285" s="86" t="n"/>
      <c r="AD285" s="86" t="n"/>
      <c r="AE285" s="86" t="n"/>
      <c r="AF285" s="85" t="n"/>
      <c r="AG285" s="85" t="n"/>
      <c r="AH285" s="85">
        <f>IF($A285="","",IF(AND($E285="Yes",OR($V285="No",$V285="NOT FOUND")),"YES",""))</f>
        <v/>
      </c>
      <c r="AI285" s="85">
        <f>IF($A285="","",TRIM(IF(AND($M285=0,$I285&lt;&gt;"Yes"),"T0-NoPhishResistant ","")&amp;IF($H285="No","NoMFA ","")&amp;IF(AND($M285=0,$O285="Group only"),"T0-ViaGroupOnly ","")&amp;IF($N285="Yes","BroadAzureScope ","")&amp;IF($T285="Yes","AlsoEntraRole ","")))</f>
        <v/>
      </c>
      <c r="AJ285" s="85">
        <f>IF($A285="","",IF(AD285="","Not Enrolled",IF(TODAY()&gt;AD285,"Review Overdue",IF(AD285-TODAY()&lt;=30,"Review Due Soon","Active"))))</f>
        <v/>
      </c>
      <c r="AK285" s="85">
        <f>IF($A285="","",IF(AE285="","NOT REVIEWED",IF(TODAY()-AE285&gt;90,"OVERDUE",IF(TODAY()-AE285&gt;76,"Due Soon","Current"))))</f>
        <v/>
      </c>
    </row>
    <row r="286" ht="15" customHeight="1" s="39">
      <c r="A286" s="85" t="n"/>
      <c r="B286" s="85" t="n"/>
      <c r="C286" s="85" t="n"/>
      <c r="D286" s="85" t="n"/>
      <c r="E286" s="85" t="n"/>
      <c r="F286" s="86" t="n"/>
      <c r="G286" s="86" t="n"/>
      <c r="H286" s="85" t="n"/>
      <c r="I286" s="85" t="n"/>
      <c r="J286" s="85" t="n"/>
      <c r="K286" s="85" t="n"/>
      <c r="L286" s="85" t="n"/>
      <c r="M286" s="85" t="n"/>
      <c r="N286" s="85" t="n"/>
      <c r="O286" s="85" t="n"/>
      <c r="P286" s="85" t="n"/>
      <c r="Q286" s="85" t="n"/>
      <c r="R286" s="85" t="n"/>
      <c r="S286" s="85" t="n"/>
      <c r="T286" s="85" t="n"/>
      <c r="U286" s="85" t="n"/>
      <c r="V286" s="85" t="n"/>
      <c r="W286" s="85" t="n"/>
      <c r="X286" s="85" t="n"/>
      <c r="Y286" s="85" t="n"/>
      <c r="Z286" s="85" t="n"/>
      <c r="AA286" s="85" t="n"/>
      <c r="AB286" s="85" t="n"/>
      <c r="AC286" s="86" t="n"/>
      <c r="AD286" s="86" t="n"/>
      <c r="AE286" s="86" t="n"/>
      <c r="AF286" s="85" t="n"/>
      <c r="AG286" s="85" t="n"/>
      <c r="AH286" s="85">
        <f>IF($A286="","",IF(AND($E286="Yes",OR($V286="No",$V286="NOT FOUND")),"YES",""))</f>
        <v/>
      </c>
      <c r="AI286" s="85">
        <f>IF($A286="","",TRIM(IF(AND($M286=0,$I286&lt;&gt;"Yes"),"T0-NoPhishResistant ","")&amp;IF($H286="No","NoMFA ","")&amp;IF(AND($M286=0,$O286="Group only"),"T0-ViaGroupOnly ","")&amp;IF($N286="Yes","BroadAzureScope ","")&amp;IF($T286="Yes","AlsoEntraRole ","")))</f>
        <v/>
      </c>
      <c r="AJ286" s="85">
        <f>IF($A286="","",IF(AD286="","Not Enrolled",IF(TODAY()&gt;AD286,"Review Overdue",IF(AD286-TODAY()&lt;=30,"Review Due Soon","Active"))))</f>
        <v/>
      </c>
      <c r="AK286" s="85">
        <f>IF($A286="","",IF(AE286="","NOT REVIEWED",IF(TODAY()-AE286&gt;90,"OVERDUE",IF(TODAY()-AE286&gt;76,"Due Soon","Current"))))</f>
        <v/>
      </c>
    </row>
    <row r="287" ht="15" customHeight="1" s="39">
      <c r="A287" s="85" t="n"/>
      <c r="B287" s="85" t="n"/>
      <c r="C287" s="85" t="n"/>
      <c r="D287" s="85" t="n"/>
      <c r="E287" s="85" t="n"/>
      <c r="F287" s="86" t="n"/>
      <c r="G287" s="86" t="n"/>
      <c r="H287" s="85" t="n"/>
      <c r="I287" s="85" t="n"/>
      <c r="J287" s="85" t="n"/>
      <c r="K287" s="85" t="n"/>
      <c r="L287" s="85" t="n"/>
      <c r="M287" s="85" t="n"/>
      <c r="N287" s="85" t="n"/>
      <c r="O287" s="85" t="n"/>
      <c r="P287" s="85" t="n"/>
      <c r="Q287" s="85" t="n"/>
      <c r="R287" s="85" t="n"/>
      <c r="S287" s="85" t="n"/>
      <c r="T287" s="85" t="n"/>
      <c r="U287" s="85" t="n"/>
      <c r="V287" s="85" t="n"/>
      <c r="W287" s="85" t="n"/>
      <c r="X287" s="85" t="n"/>
      <c r="Y287" s="85" t="n"/>
      <c r="Z287" s="85" t="n"/>
      <c r="AA287" s="85" t="n"/>
      <c r="AB287" s="85" t="n"/>
      <c r="AC287" s="86" t="n"/>
      <c r="AD287" s="86" t="n"/>
      <c r="AE287" s="86" t="n"/>
      <c r="AF287" s="85" t="n"/>
      <c r="AG287" s="85" t="n"/>
      <c r="AH287" s="85">
        <f>IF($A287="","",IF(AND($E287="Yes",OR($V287="No",$V287="NOT FOUND")),"YES",""))</f>
        <v/>
      </c>
      <c r="AI287" s="85">
        <f>IF($A287="","",TRIM(IF(AND($M287=0,$I287&lt;&gt;"Yes"),"T0-NoPhishResistant ","")&amp;IF($H287="No","NoMFA ","")&amp;IF(AND($M287=0,$O287="Group only"),"T0-ViaGroupOnly ","")&amp;IF($N287="Yes","BroadAzureScope ","")&amp;IF($T287="Yes","AlsoEntraRole ","")))</f>
        <v/>
      </c>
      <c r="AJ287" s="85">
        <f>IF($A287="","",IF(AD287="","Not Enrolled",IF(TODAY()&gt;AD287,"Review Overdue",IF(AD287-TODAY()&lt;=30,"Review Due Soon","Active"))))</f>
        <v/>
      </c>
      <c r="AK287" s="85">
        <f>IF($A287="","",IF(AE287="","NOT REVIEWED",IF(TODAY()-AE287&gt;90,"OVERDUE",IF(TODAY()-AE287&gt;76,"Due Soon","Current"))))</f>
        <v/>
      </c>
    </row>
    <row r="288" ht="15" customHeight="1" s="39">
      <c r="A288" s="85" t="n"/>
      <c r="B288" s="85" t="n"/>
      <c r="C288" s="85" t="n"/>
      <c r="D288" s="85" t="n"/>
      <c r="E288" s="85" t="n"/>
      <c r="F288" s="86" t="n"/>
      <c r="G288" s="86" t="n"/>
      <c r="H288" s="85" t="n"/>
      <c r="I288" s="85" t="n"/>
      <c r="J288" s="85" t="n"/>
      <c r="K288" s="85" t="n"/>
      <c r="L288" s="85" t="n"/>
      <c r="M288" s="85" t="n"/>
      <c r="N288" s="85" t="n"/>
      <c r="O288" s="85" t="n"/>
      <c r="P288" s="85" t="n"/>
      <c r="Q288" s="85" t="n"/>
      <c r="R288" s="85" t="n"/>
      <c r="S288" s="85" t="n"/>
      <c r="T288" s="85" t="n"/>
      <c r="U288" s="85" t="n"/>
      <c r="V288" s="85" t="n"/>
      <c r="W288" s="85" t="n"/>
      <c r="X288" s="85" t="n"/>
      <c r="Y288" s="85" t="n"/>
      <c r="Z288" s="85" t="n"/>
      <c r="AA288" s="85" t="n"/>
      <c r="AB288" s="85" t="n"/>
      <c r="AC288" s="86" t="n"/>
      <c r="AD288" s="86" t="n"/>
      <c r="AE288" s="86" t="n"/>
      <c r="AF288" s="85" t="n"/>
      <c r="AG288" s="85" t="n"/>
      <c r="AH288" s="85">
        <f>IF($A288="","",IF(AND($E288="Yes",OR($V288="No",$V288="NOT FOUND")),"YES",""))</f>
        <v/>
      </c>
      <c r="AI288" s="85">
        <f>IF($A288="","",TRIM(IF(AND($M288=0,$I288&lt;&gt;"Yes"),"T0-NoPhishResistant ","")&amp;IF($H288="No","NoMFA ","")&amp;IF(AND($M288=0,$O288="Group only"),"T0-ViaGroupOnly ","")&amp;IF($N288="Yes","BroadAzureScope ","")&amp;IF($T288="Yes","AlsoEntraRole ","")))</f>
        <v/>
      </c>
      <c r="AJ288" s="85">
        <f>IF($A288="","",IF(AD288="","Not Enrolled",IF(TODAY()&gt;AD288,"Review Overdue",IF(AD288-TODAY()&lt;=30,"Review Due Soon","Active"))))</f>
        <v/>
      </c>
      <c r="AK288" s="85">
        <f>IF($A288="","",IF(AE288="","NOT REVIEWED",IF(TODAY()-AE288&gt;90,"OVERDUE",IF(TODAY()-AE288&gt;76,"Due Soon","Current"))))</f>
        <v/>
      </c>
    </row>
    <row r="289" ht="15" customHeight="1" s="39">
      <c r="A289" s="85" t="n"/>
      <c r="B289" s="85" t="n"/>
      <c r="C289" s="85" t="n"/>
      <c r="D289" s="85" t="n"/>
      <c r="E289" s="85" t="n"/>
      <c r="F289" s="86" t="n"/>
      <c r="G289" s="86" t="n"/>
      <c r="H289" s="85" t="n"/>
      <c r="I289" s="85" t="n"/>
      <c r="J289" s="85" t="n"/>
      <c r="K289" s="85" t="n"/>
      <c r="L289" s="85" t="n"/>
      <c r="M289" s="85" t="n"/>
      <c r="N289" s="85" t="n"/>
      <c r="O289" s="85" t="n"/>
      <c r="P289" s="85" t="n"/>
      <c r="Q289" s="85" t="n"/>
      <c r="R289" s="85" t="n"/>
      <c r="S289" s="85" t="n"/>
      <c r="T289" s="85" t="n"/>
      <c r="U289" s="85" t="n"/>
      <c r="V289" s="85" t="n"/>
      <c r="W289" s="85" t="n"/>
      <c r="X289" s="85" t="n"/>
      <c r="Y289" s="85" t="n"/>
      <c r="Z289" s="85" t="n"/>
      <c r="AA289" s="85" t="n"/>
      <c r="AB289" s="85" t="n"/>
      <c r="AC289" s="86" t="n"/>
      <c r="AD289" s="86" t="n"/>
      <c r="AE289" s="86" t="n"/>
      <c r="AF289" s="85" t="n"/>
      <c r="AG289" s="85" t="n"/>
      <c r="AH289" s="85">
        <f>IF($A289="","",IF(AND($E289="Yes",OR($V289="No",$V289="NOT FOUND")),"YES",""))</f>
        <v/>
      </c>
      <c r="AI289" s="85">
        <f>IF($A289="","",TRIM(IF(AND($M289=0,$I289&lt;&gt;"Yes"),"T0-NoPhishResistant ","")&amp;IF($H289="No","NoMFA ","")&amp;IF(AND($M289=0,$O289="Group only"),"T0-ViaGroupOnly ","")&amp;IF($N289="Yes","BroadAzureScope ","")&amp;IF($T289="Yes","AlsoEntraRole ","")))</f>
        <v/>
      </c>
      <c r="AJ289" s="85">
        <f>IF($A289="","",IF(AD289="","Not Enrolled",IF(TODAY()&gt;AD289,"Review Overdue",IF(AD289-TODAY()&lt;=30,"Review Due Soon","Active"))))</f>
        <v/>
      </c>
      <c r="AK289" s="85">
        <f>IF($A289="","",IF(AE289="","NOT REVIEWED",IF(TODAY()-AE289&gt;90,"OVERDUE",IF(TODAY()-AE289&gt;76,"Due Soon","Current"))))</f>
        <v/>
      </c>
    </row>
    <row r="290" ht="15" customHeight="1" s="39">
      <c r="A290" s="85" t="n"/>
      <c r="B290" s="85" t="n"/>
      <c r="C290" s="85" t="n"/>
      <c r="D290" s="85" t="n"/>
      <c r="E290" s="85" t="n"/>
      <c r="F290" s="86" t="n"/>
      <c r="G290" s="86" t="n"/>
      <c r="H290" s="85" t="n"/>
      <c r="I290" s="85" t="n"/>
      <c r="J290" s="85" t="n"/>
      <c r="K290" s="85" t="n"/>
      <c r="L290" s="85" t="n"/>
      <c r="M290" s="85" t="n"/>
      <c r="N290" s="85" t="n"/>
      <c r="O290" s="85" t="n"/>
      <c r="P290" s="85" t="n"/>
      <c r="Q290" s="85" t="n"/>
      <c r="R290" s="85" t="n"/>
      <c r="S290" s="85" t="n"/>
      <c r="T290" s="85" t="n"/>
      <c r="U290" s="85" t="n"/>
      <c r="V290" s="85" t="n"/>
      <c r="W290" s="85" t="n"/>
      <c r="X290" s="85" t="n"/>
      <c r="Y290" s="85" t="n"/>
      <c r="Z290" s="85" t="n"/>
      <c r="AA290" s="85" t="n"/>
      <c r="AB290" s="85" t="n"/>
      <c r="AC290" s="86" t="n"/>
      <c r="AD290" s="86" t="n"/>
      <c r="AE290" s="86" t="n"/>
      <c r="AF290" s="85" t="n"/>
      <c r="AG290" s="85" t="n"/>
      <c r="AH290" s="85">
        <f>IF($A290="","",IF(AND($E290="Yes",OR($V290="No",$V290="NOT FOUND")),"YES",""))</f>
        <v/>
      </c>
      <c r="AI290" s="85">
        <f>IF($A290="","",TRIM(IF(AND($M290=0,$I290&lt;&gt;"Yes"),"T0-NoPhishResistant ","")&amp;IF($H290="No","NoMFA ","")&amp;IF(AND($M290=0,$O290="Group only"),"T0-ViaGroupOnly ","")&amp;IF($N290="Yes","BroadAzureScope ","")&amp;IF($T290="Yes","AlsoEntraRole ","")))</f>
        <v/>
      </c>
      <c r="AJ290" s="85">
        <f>IF($A290="","",IF(AD290="","Not Enrolled",IF(TODAY()&gt;AD290,"Review Overdue",IF(AD290-TODAY()&lt;=30,"Review Due Soon","Active"))))</f>
        <v/>
      </c>
      <c r="AK290" s="85">
        <f>IF($A290="","",IF(AE290="","NOT REVIEWED",IF(TODAY()-AE290&gt;90,"OVERDUE",IF(TODAY()-AE290&gt;76,"Due Soon","Current"))))</f>
        <v/>
      </c>
    </row>
    <row r="291" ht="15" customHeight="1" s="39">
      <c r="A291" s="85" t="n"/>
      <c r="B291" s="85" t="n"/>
      <c r="C291" s="85" t="n"/>
      <c r="D291" s="85" t="n"/>
      <c r="E291" s="85" t="n"/>
      <c r="F291" s="86" t="n"/>
      <c r="G291" s="86" t="n"/>
      <c r="H291" s="85" t="n"/>
      <c r="I291" s="85" t="n"/>
      <c r="J291" s="85" t="n"/>
      <c r="K291" s="85" t="n"/>
      <c r="L291" s="85" t="n"/>
      <c r="M291" s="85" t="n"/>
      <c r="N291" s="85" t="n"/>
      <c r="O291" s="85" t="n"/>
      <c r="P291" s="85" t="n"/>
      <c r="Q291" s="85" t="n"/>
      <c r="R291" s="85" t="n"/>
      <c r="S291" s="85" t="n"/>
      <c r="T291" s="85" t="n"/>
      <c r="U291" s="85" t="n"/>
      <c r="V291" s="85" t="n"/>
      <c r="W291" s="85" t="n"/>
      <c r="X291" s="85" t="n"/>
      <c r="Y291" s="85" t="n"/>
      <c r="Z291" s="85" t="n"/>
      <c r="AA291" s="85" t="n"/>
      <c r="AB291" s="85" t="n"/>
      <c r="AC291" s="86" t="n"/>
      <c r="AD291" s="86" t="n"/>
      <c r="AE291" s="86" t="n"/>
      <c r="AF291" s="85" t="n"/>
      <c r="AG291" s="85" t="n"/>
      <c r="AH291" s="85">
        <f>IF($A291="","",IF(AND($E291="Yes",OR($V291="No",$V291="NOT FOUND")),"YES",""))</f>
        <v/>
      </c>
      <c r="AI291" s="85">
        <f>IF($A291="","",TRIM(IF(AND($M291=0,$I291&lt;&gt;"Yes"),"T0-NoPhishResistant ","")&amp;IF($H291="No","NoMFA ","")&amp;IF(AND($M291=0,$O291="Group only"),"T0-ViaGroupOnly ","")&amp;IF($N291="Yes","BroadAzureScope ","")&amp;IF($T291="Yes","AlsoEntraRole ","")))</f>
        <v/>
      </c>
      <c r="AJ291" s="85">
        <f>IF($A291="","",IF(AD291="","Not Enrolled",IF(TODAY()&gt;AD291,"Review Overdue",IF(AD291-TODAY()&lt;=30,"Review Due Soon","Active"))))</f>
        <v/>
      </c>
      <c r="AK291" s="85">
        <f>IF($A291="","",IF(AE291="","NOT REVIEWED",IF(TODAY()-AE291&gt;90,"OVERDUE",IF(TODAY()-AE291&gt;76,"Due Soon","Current"))))</f>
        <v/>
      </c>
    </row>
    <row r="292" ht="15" customHeight="1" s="39">
      <c r="A292" s="85" t="n"/>
      <c r="B292" s="85" t="n"/>
      <c r="C292" s="85" t="n"/>
      <c r="D292" s="85" t="n"/>
      <c r="E292" s="85" t="n"/>
      <c r="F292" s="86" t="n"/>
      <c r="G292" s="86" t="n"/>
      <c r="H292" s="85" t="n"/>
      <c r="I292" s="85" t="n"/>
      <c r="J292" s="85" t="n"/>
      <c r="K292" s="85" t="n"/>
      <c r="L292" s="85" t="n"/>
      <c r="M292" s="85" t="n"/>
      <c r="N292" s="85" t="n"/>
      <c r="O292" s="85" t="n"/>
      <c r="P292" s="85" t="n"/>
      <c r="Q292" s="85" t="n"/>
      <c r="R292" s="85" t="n"/>
      <c r="S292" s="85" t="n"/>
      <c r="T292" s="85" t="n"/>
      <c r="U292" s="85" t="n"/>
      <c r="V292" s="85" t="n"/>
      <c r="W292" s="85" t="n"/>
      <c r="X292" s="85" t="n"/>
      <c r="Y292" s="85" t="n"/>
      <c r="Z292" s="85" t="n"/>
      <c r="AA292" s="85" t="n"/>
      <c r="AB292" s="85" t="n"/>
      <c r="AC292" s="86" t="n"/>
      <c r="AD292" s="86" t="n"/>
      <c r="AE292" s="86" t="n"/>
      <c r="AF292" s="85" t="n"/>
      <c r="AG292" s="85" t="n"/>
      <c r="AH292" s="85">
        <f>IF($A292="","",IF(AND($E292="Yes",OR($V292="No",$V292="NOT FOUND")),"YES",""))</f>
        <v/>
      </c>
      <c r="AI292" s="85">
        <f>IF($A292="","",TRIM(IF(AND($M292=0,$I292&lt;&gt;"Yes"),"T0-NoPhishResistant ","")&amp;IF($H292="No","NoMFA ","")&amp;IF(AND($M292=0,$O292="Group only"),"T0-ViaGroupOnly ","")&amp;IF($N292="Yes","BroadAzureScope ","")&amp;IF($T292="Yes","AlsoEntraRole ","")))</f>
        <v/>
      </c>
      <c r="AJ292" s="85">
        <f>IF($A292="","",IF(AD292="","Not Enrolled",IF(TODAY()&gt;AD292,"Review Overdue",IF(AD292-TODAY()&lt;=30,"Review Due Soon","Active"))))</f>
        <v/>
      </c>
      <c r="AK292" s="85">
        <f>IF($A292="","",IF(AE292="","NOT REVIEWED",IF(TODAY()-AE292&gt;90,"OVERDUE",IF(TODAY()-AE292&gt;76,"Due Soon","Current"))))</f>
        <v/>
      </c>
    </row>
    <row r="293" ht="15" customHeight="1" s="39">
      <c r="A293" s="85" t="n"/>
      <c r="B293" s="85" t="n"/>
      <c r="C293" s="85" t="n"/>
      <c r="D293" s="85" t="n"/>
      <c r="E293" s="85" t="n"/>
      <c r="F293" s="86" t="n"/>
      <c r="G293" s="86" t="n"/>
      <c r="H293" s="85" t="n"/>
      <c r="I293" s="85" t="n"/>
      <c r="J293" s="85" t="n"/>
      <c r="K293" s="85" t="n"/>
      <c r="L293" s="85" t="n"/>
      <c r="M293" s="85" t="n"/>
      <c r="N293" s="85" t="n"/>
      <c r="O293" s="85" t="n"/>
      <c r="P293" s="85" t="n"/>
      <c r="Q293" s="85" t="n"/>
      <c r="R293" s="85" t="n"/>
      <c r="S293" s="85" t="n"/>
      <c r="T293" s="85" t="n"/>
      <c r="U293" s="85" t="n"/>
      <c r="V293" s="85" t="n"/>
      <c r="W293" s="85" t="n"/>
      <c r="X293" s="85" t="n"/>
      <c r="Y293" s="85" t="n"/>
      <c r="Z293" s="85" t="n"/>
      <c r="AA293" s="85" t="n"/>
      <c r="AB293" s="85" t="n"/>
      <c r="AC293" s="86" t="n"/>
      <c r="AD293" s="86" t="n"/>
      <c r="AE293" s="86" t="n"/>
      <c r="AF293" s="85" t="n"/>
      <c r="AG293" s="85" t="n"/>
      <c r="AH293" s="85">
        <f>IF($A293="","",IF(AND($E293="Yes",OR($V293="No",$V293="NOT FOUND")),"YES",""))</f>
        <v/>
      </c>
      <c r="AI293" s="85">
        <f>IF($A293="","",TRIM(IF(AND($M293=0,$I293&lt;&gt;"Yes"),"T0-NoPhishResistant ","")&amp;IF($H293="No","NoMFA ","")&amp;IF(AND($M293=0,$O293="Group only"),"T0-ViaGroupOnly ","")&amp;IF($N293="Yes","BroadAzureScope ","")&amp;IF($T293="Yes","AlsoEntraRole ","")))</f>
        <v/>
      </c>
      <c r="AJ293" s="85">
        <f>IF($A293="","",IF(AD293="","Not Enrolled",IF(TODAY()&gt;AD293,"Review Overdue",IF(AD293-TODAY()&lt;=30,"Review Due Soon","Active"))))</f>
        <v/>
      </c>
      <c r="AK293" s="85">
        <f>IF($A293="","",IF(AE293="","NOT REVIEWED",IF(TODAY()-AE293&gt;90,"OVERDUE",IF(TODAY()-AE293&gt;76,"Due Soon","Current"))))</f>
        <v/>
      </c>
    </row>
    <row r="294" ht="15" customHeight="1" s="39">
      <c r="A294" s="85" t="n"/>
      <c r="B294" s="85" t="n"/>
      <c r="C294" s="85" t="n"/>
      <c r="D294" s="85" t="n"/>
      <c r="E294" s="85" t="n"/>
      <c r="F294" s="86" t="n"/>
      <c r="G294" s="86" t="n"/>
      <c r="H294" s="85" t="n"/>
      <c r="I294" s="85" t="n"/>
      <c r="J294" s="85" t="n"/>
      <c r="K294" s="85" t="n"/>
      <c r="L294" s="85" t="n"/>
      <c r="M294" s="85" t="n"/>
      <c r="N294" s="85" t="n"/>
      <c r="O294" s="85" t="n"/>
      <c r="P294" s="85" t="n"/>
      <c r="Q294" s="85" t="n"/>
      <c r="R294" s="85" t="n"/>
      <c r="S294" s="85" t="n"/>
      <c r="T294" s="85" t="n"/>
      <c r="U294" s="85" t="n"/>
      <c r="V294" s="85" t="n"/>
      <c r="W294" s="85" t="n"/>
      <c r="X294" s="85" t="n"/>
      <c r="Y294" s="85" t="n"/>
      <c r="Z294" s="85" t="n"/>
      <c r="AA294" s="85" t="n"/>
      <c r="AB294" s="85" t="n"/>
      <c r="AC294" s="86" t="n"/>
      <c r="AD294" s="86" t="n"/>
      <c r="AE294" s="86" t="n"/>
      <c r="AF294" s="85" t="n"/>
      <c r="AG294" s="85" t="n"/>
      <c r="AH294" s="85">
        <f>IF($A294="","",IF(AND($E294="Yes",OR($V294="No",$V294="NOT FOUND")),"YES",""))</f>
        <v/>
      </c>
      <c r="AI294" s="85">
        <f>IF($A294="","",TRIM(IF(AND($M294=0,$I294&lt;&gt;"Yes"),"T0-NoPhishResistant ","")&amp;IF($H294="No","NoMFA ","")&amp;IF(AND($M294=0,$O294="Group only"),"T0-ViaGroupOnly ","")&amp;IF($N294="Yes","BroadAzureScope ","")&amp;IF($T294="Yes","AlsoEntraRole ","")))</f>
        <v/>
      </c>
      <c r="AJ294" s="85">
        <f>IF($A294="","",IF(AD294="","Not Enrolled",IF(TODAY()&gt;AD294,"Review Overdue",IF(AD294-TODAY()&lt;=30,"Review Due Soon","Active"))))</f>
        <v/>
      </c>
      <c r="AK294" s="85">
        <f>IF($A294="","",IF(AE294="","NOT REVIEWED",IF(TODAY()-AE294&gt;90,"OVERDUE",IF(TODAY()-AE294&gt;76,"Due Soon","Current"))))</f>
        <v/>
      </c>
    </row>
    <row r="295" ht="15" customHeight="1" s="39">
      <c r="A295" s="85" t="n"/>
      <c r="B295" s="85" t="n"/>
      <c r="C295" s="85" t="n"/>
      <c r="D295" s="85" t="n"/>
      <c r="E295" s="85" t="n"/>
      <c r="F295" s="86" t="n"/>
      <c r="G295" s="86" t="n"/>
      <c r="H295" s="85" t="n"/>
      <c r="I295" s="85" t="n"/>
      <c r="J295" s="85" t="n"/>
      <c r="K295" s="85" t="n"/>
      <c r="L295" s="85" t="n"/>
      <c r="M295" s="85" t="n"/>
      <c r="N295" s="85" t="n"/>
      <c r="O295" s="85" t="n"/>
      <c r="P295" s="85" t="n"/>
      <c r="Q295" s="85" t="n"/>
      <c r="R295" s="85" t="n"/>
      <c r="S295" s="85" t="n"/>
      <c r="T295" s="85" t="n"/>
      <c r="U295" s="85" t="n"/>
      <c r="V295" s="85" t="n"/>
      <c r="W295" s="85" t="n"/>
      <c r="X295" s="85" t="n"/>
      <c r="Y295" s="85" t="n"/>
      <c r="Z295" s="85" t="n"/>
      <c r="AA295" s="85" t="n"/>
      <c r="AB295" s="85" t="n"/>
      <c r="AC295" s="86" t="n"/>
      <c r="AD295" s="86" t="n"/>
      <c r="AE295" s="86" t="n"/>
      <c r="AF295" s="85" t="n"/>
      <c r="AG295" s="85" t="n"/>
      <c r="AH295" s="85">
        <f>IF($A295="","",IF(AND($E295="Yes",OR($V295="No",$V295="NOT FOUND")),"YES",""))</f>
        <v/>
      </c>
      <c r="AI295" s="85">
        <f>IF($A295="","",TRIM(IF(AND($M295=0,$I295&lt;&gt;"Yes"),"T0-NoPhishResistant ","")&amp;IF($H295="No","NoMFA ","")&amp;IF(AND($M295=0,$O295="Group only"),"T0-ViaGroupOnly ","")&amp;IF($N295="Yes","BroadAzureScope ","")&amp;IF($T295="Yes","AlsoEntraRole ","")))</f>
        <v/>
      </c>
      <c r="AJ295" s="85">
        <f>IF($A295="","",IF(AD295="","Not Enrolled",IF(TODAY()&gt;AD295,"Review Overdue",IF(AD295-TODAY()&lt;=30,"Review Due Soon","Active"))))</f>
        <v/>
      </c>
      <c r="AK295" s="85">
        <f>IF($A295="","",IF(AE295="","NOT REVIEWED",IF(TODAY()-AE295&gt;90,"OVERDUE",IF(TODAY()-AE295&gt;76,"Due Soon","Current"))))</f>
        <v/>
      </c>
    </row>
    <row r="296" ht="15" customHeight="1" s="39">
      <c r="A296" s="85" t="n"/>
      <c r="B296" s="85" t="n"/>
      <c r="C296" s="85" t="n"/>
      <c r="D296" s="85" t="n"/>
      <c r="E296" s="85" t="n"/>
      <c r="F296" s="86" t="n"/>
      <c r="G296" s="86" t="n"/>
      <c r="H296" s="85" t="n"/>
      <c r="I296" s="85" t="n"/>
      <c r="J296" s="85" t="n"/>
      <c r="K296" s="85" t="n"/>
      <c r="L296" s="85" t="n"/>
      <c r="M296" s="85" t="n"/>
      <c r="N296" s="85" t="n"/>
      <c r="O296" s="85" t="n"/>
      <c r="P296" s="85" t="n"/>
      <c r="Q296" s="85" t="n"/>
      <c r="R296" s="85" t="n"/>
      <c r="S296" s="85" t="n"/>
      <c r="T296" s="85" t="n"/>
      <c r="U296" s="85" t="n"/>
      <c r="V296" s="85" t="n"/>
      <c r="W296" s="85" t="n"/>
      <c r="X296" s="85" t="n"/>
      <c r="Y296" s="85" t="n"/>
      <c r="Z296" s="85" t="n"/>
      <c r="AA296" s="85" t="n"/>
      <c r="AB296" s="85" t="n"/>
      <c r="AC296" s="86" t="n"/>
      <c r="AD296" s="86" t="n"/>
      <c r="AE296" s="86" t="n"/>
      <c r="AF296" s="85" t="n"/>
      <c r="AG296" s="85" t="n"/>
      <c r="AH296" s="85">
        <f>IF($A296="","",IF(AND($E296="Yes",OR($V296="No",$V296="NOT FOUND")),"YES",""))</f>
        <v/>
      </c>
      <c r="AI296" s="85">
        <f>IF($A296="","",TRIM(IF(AND($M296=0,$I296&lt;&gt;"Yes"),"T0-NoPhishResistant ","")&amp;IF($H296="No","NoMFA ","")&amp;IF(AND($M296=0,$O296="Group only"),"T0-ViaGroupOnly ","")&amp;IF($N296="Yes","BroadAzureScope ","")&amp;IF($T296="Yes","AlsoEntraRole ","")))</f>
        <v/>
      </c>
      <c r="AJ296" s="85">
        <f>IF($A296="","",IF(AD296="","Not Enrolled",IF(TODAY()&gt;AD296,"Review Overdue",IF(AD296-TODAY()&lt;=30,"Review Due Soon","Active"))))</f>
        <v/>
      </c>
      <c r="AK296" s="85">
        <f>IF($A296="","",IF(AE296="","NOT REVIEWED",IF(TODAY()-AE296&gt;90,"OVERDUE",IF(TODAY()-AE296&gt;76,"Due Soon","Current"))))</f>
        <v/>
      </c>
    </row>
    <row r="297" ht="15" customHeight="1" s="39">
      <c r="A297" s="85" t="n"/>
      <c r="B297" s="85" t="n"/>
      <c r="C297" s="85" t="n"/>
      <c r="D297" s="85" t="n"/>
      <c r="E297" s="85" t="n"/>
      <c r="F297" s="86" t="n"/>
      <c r="G297" s="86" t="n"/>
      <c r="H297" s="85" t="n"/>
      <c r="I297" s="85" t="n"/>
      <c r="J297" s="85" t="n"/>
      <c r="K297" s="85" t="n"/>
      <c r="L297" s="85" t="n"/>
      <c r="M297" s="85" t="n"/>
      <c r="N297" s="85" t="n"/>
      <c r="O297" s="85" t="n"/>
      <c r="P297" s="85" t="n"/>
      <c r="Q297" s="85" t="n"/>
      <c r="R297" s="85" t="n"/>
      <c r="S297" s="85" t="n"/>
      <c r="T297" s="85" t="n"/>
      <c r="U297" s="85" t="n"/>
      <c r="V297" s="85" t="n"/>
      <c r="W297" s="85" t="n"/>
      <c r="X297" s="85" t="n"/>
      <c r="Y297" s="85" t="n"/>
      <c r="Z297" s="85" t="n"/>
      <c r="AA297" s="85" t="n"/>
      <c r="AB297" s="85" t="n"/>
      <c r="AC297" s="86" t="n"/>
      <c r="AD297" s="86" t="n"/>
      <c r="AE297" s="86" t="n"/>
      <c r="AF297" s="85" t="n"/>
      <c r="AG297" s="85" t="n"/>
      <c r="AH297" s="85">
        <f>IF($A297="","",IF(AND($E297="Yes",OR($V297="No",$V297="NOT FOUND")),"YES",""))</f>
        <v/>
      </c>
      <c r="AI297" s="85">
        <f>IF($A297="","",TRIM(IF(AND($M297=0,$I297&lt;&gt;"Yes"),"T0-NoPhishResistant ","")&amp;IF($H297="No","NoMFA ","")&amp;IF(AND($M297=0,$O297="Group only"),"T0-ViaGroupOnly ","")&amp;IF($N297="Yes","BroadAzureScope ","")&amp;IF($T297="Yes","AlsoEntraRole ","")))</f>
        <v/>
      </c>
      <c r="AJ297" s="85">
        <f>IF($A297="","",IF(AD297="","Not Enrolled",IF(TODAY()&gt;AD297,"Review Overdue",IF(AD297-TODAY()&lt;=30,"Review Due Soon","Active"))))</f>
        <v/>
      </c>
      <c r="AK297" s="85">
        <f>IF($A297="","",IF(AE297="","NOT REVIEWED",IF(TODAY()-AE297&gt;90,"OVERDUE",IF(TODAY()-AE297&gt;76,"Due Soon","Current"))))</f>
        <v/>
      </c>
    </row>
    <row r="298" ht="15" customHeight="1" s="39">
      <c r="A298" s="85" t="n"/>
      <c r="B298" s="85" t="n"/>
      <c r="C298" s="85" t="n"/>
      <c r="D298" s="85" t="n"/>
      <c r="E298" s="85" t="n"/>
      <c r="F298" s="86" t="n"/>
      <c r="G298" s="86" t="n"/>
      <c r="H298" s="85" t="n"/>
      <c r="I298" s="85" t="n"/>
      <c r="J298" s="85" t="n"/>
      <c r="K298" s="85" t="n"/>
      <c r="L298" s="85" t="n"/>
      <c r="M298" s="85" t="n"/>
      <c r="N298" s="85" t="n"/>
      <c r="O298" s="85" t="n"/>
      <c r="P298" s="85" t="n"/>
      <c r="Q298" s="85" t="n"/>
      <c r="R298" s="85" t="n"/>
      <c r="S298" s="85" t="n"/>
      <c r="T298" s="85" t="n"/>
      <c r="U298" s="85" t="n"/>
      <c r="V298" s="85" t="n"/>
      <c r="W298" s="85" t="n"/>
      <c r="X298" s="85" t="n"/>
      <c r="Y298" s="85" t="n"/>
      <c r="Z298" s="85" t="n"/>
      <c r="AA298" s="85" t="n"/>
      <c r="AB298" s="85" t="n"/>
      <c r="AC298" s="86" t="n"/>
      <c r="AD298" s="86" t="n"/>
      <c r="AE298" s="86" t="n"/>
      <c r="AF298" s="85" t="n"/>
      <c r="AG298" s="85" t="n"/>
      <c r="AH298" s="85">
        <f>IF($A298="","",IF(AND($E298="Yes",OR($V298="No",$V298="NOT FOUND")),"YES",""))</f>
        <v/>
      </c>
      <c r="AI298" s="85">
        <f>IF($A298="","",TRIM(IF(AND($M298=0,$I298&lt;&gt;"Yes"),"T0-NoPhishResistant ","")&amp;IF($H298="No","NoMFA ","")&amp;IF(AND($M298=0,$O298="Group only"),"T0-ViaGroupOnly ","")&amp;IF($N298="Yes","BroadAzureScope ","")&amp;IF($T298="Yes","AlsoEntraRole ","")))</f>
        <v/>
      </c>
      <c r="AJ298" s="85">
        <f>IF($A298="","",IF(AD298="","Not Enrolled",IF(TODAY()&gt;AD298,"Review Overdue",IF(AD298-TODAY()&lt;=30,"Review Due Soon","Active"))))</f>
        <v/>
      </c>
      <c r="AK298" s="85">
        <f>IF($A298="","",IF(AE298="","NOT REVIEWED",IF(TODAY()-AE298&gt;90,"OVERDUE",IF(TODAY()-AE298&gt;76,"Due Soon","Current"))))</f>
        <v/>
      </c>
    </row>
    <row r="299" ht="15" customHeight="1" s="39">
      <c r="A299" s="85" t="n"/>
      <c r="B299" s="85" t="n"/>
      <c r="C299" s="85" t="n"/>
      <c r="D299" s="85" t="n"/>
      <c r="E299" s="85" t="n"/>
      <c r="F299" s="86" t="n"/>
      <c r="G299" s="86" t="n"/>
      <c r="H299" s="85" t="n"/>
      <c r="I299" s="85" t="n"/>
      <c r="J299" s="85" t="n"/>
      <c r="K299" s="85" t="n"/>
      <c r="L299" s="85" t="n"/>
      <c r="M299" s="85" t="n"/>
      <c r="N299" s="85" t="n"/>
      <c r="O299" s="85" t="n"/>
      <c r="P299" s="85" t="n"/>
      <c r="Q299" s="85" t="n"/>
      <c r="R299" s="85" t="n"/>
      <c r="S299" s="85" t="n"/>
      <c r="T299" s="85" t="n"/>
      <c r="U299" s="85" t="n"/>
      <c r="V299" s="85" t="n"/>
      <c r="W299" s="85" t="n"/>
      <c r="X299" s="85" t="n"/>
      <c r="Y299" s="85" t="n"/>
      <c r="Z299" s="85" t="n"/>
      <c r="AA299" s="85" t="n"/>
      <c r="AB299" s="85" t="n"/>
      <c r="AC299" s="86" t="n"/>
      <c r="AD299" s="86" t="n"/>
      <c r="AE299" s="86" t="n"/>
      <c r="AF299" s="85" t="n"/>
      <c r="AG299" s="85" t="n"/>
      <c r="AH299" s="85">
        <f>IF($A299="","",IF(AND($E299="Yes",OR($V299="No",$V299="NOT FOUND")),"YES",""))</f>
        <v/>
      </c>
      <c r="AI299" s="85">
        <f>IF($A299="","",TRIM(IF(AND($M299=0,$I299&lt;&gt;"Yes"),"T0-NoPhishResistant ","")&amp;IF($H299="No","NoMFA ","")&amp;IF(AND($M299=0,$O299="Group only"),"T0-ViaGroupOnly ","")&amp;IF($N299="Yes","BroadAzureScope ","")&amp;IF($T299="Yes","AlsoEntraRole ","")))</f>
        <v/>
      </c>
      <c r="AJ299" s="85">
        <f>IF($A299="","",IF(AD299="","Not Enrolled",IF(TODAY()&gt;AD299,"Review Overdue",IF(AD299-TODAY()&lt;=30,"Review Due Soon","Active"))))</f>
        <v/>
      </c>
      <c r="AK299" s="85">
        <f>IF($A299="","",IF(AE299="","NOT REVIEWED",IF(TODAY()-AE299&gt;90,"OVERDUE",IF(TODAY()-AE299&gt;76,"Due Soon","Current"))))</f>
        <v/>
      </c>
    </row>
    <row r="300" ht="15" customHeight="1" s="39">
      <c r="A300" s="85" t="n"/>
      <c r="B300" s="85" t="n"/>
      <c r="C300" s="85" t="n"/>
      <c r="D300" s="85" t="n"/>
      <c r="E300" s="85" t="n"/>
      <c r="F300" s="86" t="n"/>
      <c r="G300" s="86" t="n"/>
      <c r="H300" s="85" t="n"/>
      <c r="I300" s="85" t="n"/>
      <c r="J300" s="85" t="n"/>
      <c r="K300" s="85" t="n"/>
      <c r="L300" s="85" t="n"/>
      <c r="M300" s="85" t="n"/>
      <c r="N300" s="85" t="n"/>
      <c r="O300" s="85" t="n"/>
      <c r="P300" s="85" t="n"/>
      <c r="Q300" s="85" t="n"/>
      <c r="R300" s="85" t="n"/>
      <c r="S300" s="85" t="n"/>
      <c r="T300" s="85" t="n"/>
      <c r="U300" s="85" t="n"/>
      <c r="V300" s="85" t="n"/>
      <c r="W300" s="85" t="n"/>
      <c r="X300" s="85" t="n"/>
      <c r="Y300" s="85" t="n"/>
      <c r="Z300" s="85" t="n"/>
      <c r="AA300" s="85" t="n"/>
      <c r="AB300" s="85" t="n"/>
      <c r="AC300" s="86" t="n"/>
      <c r="AD300" s="86" t="n"/>
      <c r="AE300" s="86" t="n"/>
      <c r="AF300" s="85" t="n"/>
      <c r="AG300" s="85" t="n"/>
      <c r="AH300" s="85">
        <f>IF($A300="","",IF(AND($E300="Yes",OR($V300="No",$V300="NOT FOUND")),"YES",""))</f>
        <v/>
      </c>
      <c r="AI300" s="85">
        <f>IF($A300="","",TRIM(IF(AND($M300=0,$I300&lt;&gt;"Yes"),"T0-NoPhishResistant ","")&amp;IF($H300="No","NoMFA ","")&amp;IF(AND($M300=0,$O300="Group only"),"T0-ViaGroupOnly ","")&amp;IF($N300="Yes","BroadAzureScope ","")&amp;IF($T300="Yes","AlsoEntraRole ","")))</f>
        <v/>
      </c>
      <c r="AJ300" s="85">
        <f>IF($A300="","",IF(AD300="","Not Enrolled",IF(TODAY()&gt;AD300,"Review Overdue",IF(AD300-TODAY()&lt;=30,"Review Due Soon","Active"))))</f>
        <v/>
      </c>
      <c r="AK300" s="85">
        <f>IF($A300="","",IF(AE300="","NOT REVIEWED",IF(TODAY()-AE300&gt;90,"OVERDUE",IF(TODAY()-AE300&gt;76,"Due Soon","Current"))))</f>
        <v/>
      </c>
    </row>
    <row r="301" ht="15" customHeight="1" s="39">
      <c r="A301" s="85" t="n"/>
      <c r="B301" s="85" t="n"/>
      <c r="C301" s="85" t="n"/>
      <c r="D301" s="85" t="n"/>
      <c r="E301" s="85" t="n"/>
      <c r="F301" s="86" t="n"/>
      <c r="G301" s="86" t="n"/>
      <c r="H301" s="85" t="n"/>
      <c r="I301" s="85" t="n"/>
      <c r="J301" s="85" t="n"/>
      <c r="K301" s="85" t="n"/>
      <c r="L301" s="85" t="n"/>
      <c r="M301" s="85" t="n"/>
      <c r="N301" s="85" t="n"/>
      <c r="O301" s="85" t="n"/>
      <c r="P301" s="85" t="n"/>
      <c r="Q301" s="85" t="n"/>
      <c r="R301" s="85" t="n"/>
      <c r="S301" s="85" t="n"/>
      <c r="T301" s="85" t="n"/>
      <c r="U301" s="85" t="n"/>
      <c r="V301" s="85" t="n"/>
      <c r="W301" s="85" t="n"/>
      <c r="X301" s="85" t="n"/>
      <c r="Y301" s="85" t="n"/>
      <c r="Z301" s="85" t="n"/>
      <c r="AA301" s="85" t="n"/>
      <c r="AB301" s="85" t="n"/>
      <c r="AC301" s="86" t="n"/>
      <c r="AD301" s="86" t="n"/>
      <c r="AE301" s="86" t="n"/>
      <c r="AF301" s="85" t="n"/>
      <c r="AG301" s="85" t="n"/>
      <c r="AH301" s="85">
        <f>IF($A301="","",IF(AND($E301="Yes",OR($V301="No",$V301="NOT FOUND")),"YES",""))</f>
        <v/>
      </c>
      <c r="AI301" s="85">
        <f>IF($A301="","",TRIM(IF(AND($M301=0,$I301&lt;&gt;"Yes"),"T0-NoPhishResistant ","")&amp;IF($H301="No","NoMFA ","")&amp;IF(AND($M301=0,$O301="Group only"),"T0-ViaGroupOnly ","")&amp;IF($N301="Yes","BroadAzureScope ","")&amp;IF($T301="Yes","AlsoEntraRole ","")))</f>
        <v/>
      </c>
      <c r="AJ301" s="85">
        <f>IF($A301="","",IF(AD301="","Not Enrolled",IF(TODAY()&gt;AD301,"Review Overdue",IF(AD301-TODAY()&lt;=30,"Review Due Soon","Active"))))</f>
        <v/>
      </c>
      <c r="AK301" s="85">
        <f>IF($A301="","",IF(AE301="","NOT REVIEWED",IF(TODAY()-AE301&gt;90,"OVERDUE",IF(TODAY()-AE301&gt;76,"Due Soon","Current"))))</f>
        <v/>
      </c>
    </row>
    <row r="302" ht="15" customHeight="1" s="39">
      <c r="A302" s="85" t="n"/>
      <c r="B302" s="85" t="n"/>
      <c r="C302" s="85" t="n"/>
      <c r="D302" s="85" t="n"/>
      <c r="E302" s="85" t="n"/>
      <c r="F302" s="86" t="n"/>
      <c r="G302" s="86" t="n"/>
      <c r="H302" s="85" t="n"/>
      <c r="I302" s="85" t="n"/>
      <c r="J302" s="85" t="n"/>
      <c r="K302" s="85" t="n"/>
      <c r="L302" s="85" t="n"/>
      <c r="M302" s="85" t="n"/>
      <c r="N302" s="85" t="n"/>
      <c r="O302" s="85" t="n"/>
      <c r="P302" s="85" t="n"/>
      <c r="Q302" s="85" t="n"/>
      <c r="R302" s="85" t="n"/>
      <c r="S302" s="85" t="n"/>
      <c r="T302" s="85" t="n"/>
      <c r="U302" s="85" t="n"/>
      <c r="V302" s="85" t="n"/>
      <c r="W302" s="85" t="n"/>
      <c r="X302" s="85" t="n"/>
      <c r="Y302" s="85" t="n"/>
      <c r="Z302" s="85" t="n"/>
      <c r="AA302" s="85" t="n"/>
      <c r="AB302" s="85" t="n"/>
      <c r="AC302" s="86" t="n"/>
      <c r="AD302" s="86" t="n"/>
      <c r="AE302" s="86" t="n"/>
      <c r="AF302" s="85" t="n"/>
      <c r="AG302" s="85" t="n"/>
      <c r="AH302" s="85">
        <f>IF($A302="","",IF(AND($E302="Yes",OR($V302="No",$V302="NOT FOUND")),"YES",""))</f>
        <v/>
      </c>
      <c r="AI302" s="85">
        <f>IF($A302="","",TRIM(IF(AND($M302=0,$I302&lt;&gt;"Yes"),"T0-NoPhishResistant ","")&amp;IF($H302="No","NoMFA ","")&amp;IF(AND($M302=0,$O302="Group only"),"T0-ViaGroupOnly ","")&amp;IF($N302="Yes","BroadAzureScope ","")&amp;IF($T302="Yes","AlsoEntraRole ","")))</f>
        <v/>
      </c>
      <c r="AJ302" s="85">
        <f>IF($A302="","",IF(AD302="","Not Enrolled",IF(TODAY()&gt;AD302,"Review Overdue",IF(AD302-TODAY()&lt;=30,"Review Due Soon","Active"))))</f>
        <v/>
      </c>
      <c r="AK302" s="85">
        <f>IF($A302="","",IF(AE302="","NOT REVIEWED",IF(TODAY()-AE302&gt;90,"OVERDUE",IF(TODAY()-AE302&gt;76,"Due Soon","Current"))))</f>
        <v/>
      </c>
    </row>
    <row r="303" ht="15" customHeight="1" s="39">
      <c r="A303" s="85" t="n"/>
      <c r="B303" s="85" t="n"/>
      <c r="C303" s="85" t="n"/>
      <c r="D303" s="85" t="n"/>
      <c r="E303" s="85" t="n"/>
      <c r="F303" s="86" t="n"/>
      <c r="G303" s="86" t="n"/>
      <c r="H303" s="85" t="n"/>
      <c r="I303" s="85" t="n"/>
      <c r="J303" s="85" t="n"/>
      <c r="K303" s="85" t="n"/>
      <c r="L303" s="85" t="n"/>
      <c r="M303" s="85" t="n"/>
      <c r="N303" s="85" t="n"/>
      <c r="O303" s="85" t="n"/>
      <c r="P303" s="85" t="n"/>
      <c r="Q303" s="85" t="n"/>
      <c r="R303" s="85" t="n"/>
      <c r="S303" s="85" t="n"/>
      <c r="T303" s="85" t="n"/>
      <c r="U303" s="85" t="n"/>
      <c r="V303" s="85" t="n"/>
      <c r="W303" s="85" t="n"/>
      <c r="X303" s="85" t="n"/>
      <c r="Y303" s="85" t="n"/>
      <c r="Z303" s="85" t="n"/>
      <c r="AA303" s="85" t="n"/>
      <c r="AB303" s="85" t="n"/>
      <c r="AC303" s="86" t="n"/>
      <c r="AD303" s="86" t="n"/>
      <c r="AE303" s="86" t="n"/>
      <c r="AF303" s="85" t="n"/>
      <c r="AG303" s="85" t="n"/>
      <c r="AH303" s="85">
        <f>IF($A303="","",IF(AND($E303="Yes",OR($V303="No",$V303="NOT FOUND")),"YES",""))</f>
        <v/>
      </c>
      <c r="AI303" s="85">
        <f>IF($A303="","",TRIM(IF(AND($M303=0,$I303&lt;&gt;"Yes"),"T0-NoPhishResistant ","")&amp;IF($H303="No","NoMFA ","")&amp;IF(AND($M303=0,$O303="Group only"),"T0-ViaGroupOnly ","")&amp;IF($N303="Yes","BroadAzureScope ","")&amp;IF($T303="Yes","AlsoEntraRole ","")))</f>
        <v/>
      </c>
      <c r="AJ303" s="85">
        <f>IF($A303="","",IF(AD303="","Not Enrolled",IF(TODAY()&gt;AD303,"Review Overdue",IF(AD303-TODAY()&lt;=30,"Review Due Soon","Active"))))</f>
        <v/>
      </c>
      <c r="AK303" s="85">
        <f>IF($A303="","",IF(AE303="","NOT REVIEWED",IF(TODAY()-AE303&gt;90,"OVERDUE",IF(TODAY()-AE303&gt;76,"Due Soon","Current"))))</f>
        <v/>
      </c>
    </row>
    <row r="304" ht="15" customHeight="1" s="39">
      <c r="A304" s="85" t="n"/>
      <c r="B304" s="85" t="n"/>
      <c r="C304" s="85" t="n"/>
      <c r="D304" s="85" t="n"/>
      <c r="E304" s="85" t="n"/>
      <c r="F304" s="86" t="n"/>
      <c r="G304" s="86" t="n"/>
      <c r="H304" s="85" t="n"/>
      <c r="I304" s="85" t="n"/>
      <c r="J304" s="85" t="n"/>
      <c r="K304" s="85" t="n"/>
      <c r="L304" s="85" t="n"/>
      <c r="M304" s="85" t="n"/>
      <c r="N304" s="85" t="n"/>
      <c r="O304" s="85" t="n"/>
      <c r="P304" s="85" t="n"/>
      <c r="Q304" s="85" t="n"/>
      <c r="R304" s="85" t="n"/>
      <c r="S304" s="85" t="n"/>
      <c r="T304" s="85" t="n"/>
      <c r="U304" s="85" t="n"/>
      <c r="V304" s="85" t="n"/>
      <c r="W304" s="85" t="n"/>
      <c r="X304" s="85" t="n"/>
      <c r="Y304" s="85" t="n"/>
      <c r="Z304" s="85" t="n"/>
      <c r="AA304" s="85" t="n"/>
      <c r="AB304" s="85" t="n"/>
      <c r="AC304" s="86" t="n"/>
      <c r="AD304" s="86" t="n"/>
      <c r="AE304" s="86" t="n"/>
      <c r="AF304" s="85" t="n"/>
      <c r="AG304" s="85" t="n"/>
      <c r="AH304" s="85">
        <f>IF($A304="","",IF(AND($E304="Yes",OR($V304="No",$V304="NOT FOUND")),"YES",""))</f>
        <v/>
      </c>
      <c r="AI304" s="85">
        <f>IF($A304="","",TRIM(IF(AND($M304=0,$I304&lt;&gt;"Yes"),"T0-NoPhishResistant ","")&amp;IF($H304="No","NoMFA ","")&amp;IF(AND($M304=0,$O304="Group only"),"T0-ViaGroupOnly ","")&amp;IF($N304="Yes","BroadAzureScope ","")&amp;IF($T304="Yes","AlsoEntraRole ","")))</f>
        <v/>
      </c>
      <c r="AJ304" s="85">
        <f>IF($A304="","",IF(AD304="","Not Enrolled",IF(TODAY()&gt;AD304,"Review Overdue",IF(AD304-TODAY()&lt;=30,"Review Due Soon","Active"))))</f>
        <v/>
      </c>
      <c r="AK304" s="85">
        <f>IF($A304="","",IF(AE304="","NOT REVIEWED",IF(TODAY()-AE304&gt;90,"OVERDUE",IF(TODAY()-AE304&gt;76,"Due Soon","Current"))))</f>
        <v/>
      </c>
    </row>
    <row r="305" ht="15" customHeight="1" s="39">
      <c r="A305" s="85" t="n"/>
      <c r="B305" s="85" t="n"/>
      <c r="C305" s="85" t="n"/>
      <c r="D305" s="85" t="n"/>
      <c r="E305" s="85" t="n"/>
      <c r="F305" s="86" t="n"/>
      <c r="G305" s="86" t="n"/>
      <c r="H305" s="85" t="n"/>
      <c r="I305" s="85" t="n"/>
      <c r="J305" s="85" t="n"/>
      <c r="K305" s="85" t="n"/>
      <c r="L305" s="85" t="n"/>
      <c r="M305" s="85" t="n"/>
      <c r="N305" s="85" t="n"/>
      <c r="O305" s="85" t="n"/>
      <c r="P305" s="85" t="n"/>
      <c r="Q305" s="85" t="n"/>
      <c r="R305" s="85" t="n"/>
      <c r="S305" s="85" t="n"/>
      <c r="T305" s="85" t="n"/>
      <c r="U305" s="85" t="n"/>
      <c r="V305" s="85" t="n"/>
      <c r="W305" s="85" t="n"/>
      <c r="X305" s="85" t="n"/>
      <c r="Y305" s="85" t="n"/>
      <c r="Z305" s="85" t="n"/>
      <c r="AA305" s="85" t="n"/>
      <c r="AB305" s="85" t="n"/>
      <c r="AC305" s="86" t="n"/>
      <c r="AD305" s="86" t="n"/>
      <c r="AE305" s="86" t="n"/>
      <c r="AF305" s="85" t="n"/>
      <c r="AG305" s="85" t="n"/>
      <c r="AH305" s="85">
        <f>IF($A305="","",IF(AND($E305="Yes",OR($V305="No",$V305="NOT FOUND")),"YES",""))</f>
        <v/>
      </c>
      <c r="AI305" s="85">
        <f>IF($A305="","",TRIM(IF(AND($M305=0,$I305&lt;&gt;"Yes"),"T0-NoPhishResistant ","")&amp;IF($H305="No","NoMFA ","")&amp;IF(AND($M305=0,$O305="Group only"),"T0-ViaGroupOnly ","")&amp;IF($N305="Yes","BroadAzureScope ","")&amp;IF($T305="Yes","AlsoEntraRole ","")))</f>
        <v/>
      </c>
      <c r="AJ305" s="85">
        <f>IF($A305="","",IF(AD305="","Not Enrolled",IF(TODAY()&gt;AD305,"Review Overdue",IF(AD305-TODAY()&lt;=30,"Review Due Soon","Active"))))</f>
        <v/>
      </c>
      <c r="AK305" s="85">
        <f>IF($A305="","",IF(AE305="","NOT REVIEWED",IF(TODAY()-AE305&gt;90,"OVERDUE",IF(TODAY()-AE305&gt;76,"Due Soon","Current"))))</f>
        <v/>
      </c>
    </row>
    <row r="306" ht="15" customHeight="1" s="39">
      <c r="A306" s="85" t="n"/>
      <c r="B306" s="85" t="n"/>
      <c r="C306" s="85" t="n"/>
      <c r="D306" s="85" t="n"/>
      <c r="E306" s="85" t="n"/>
      <c r="F306" s="86" t="n"/>
      <c r="G306" s="86" t="n"/>
      <c r="H306" s="85" t="n"/>
      <c r="I306" s="85" t="n"/>
      <c r="J306" s="85" t="n"/>
      <c r="K306" s="85" t="n"/>
      <c r="L306" s="85" t="n"/>
      <c r="M306" s="85" t="n"/>
      <c r="N306" s="85" t="n"/>
      <c r="O306" s="85" t="n"/>
      <c r="P306" s="85" t="n"/>
      <c r="Q306" s="85" t="n"/>
      <c r="R306" s="85" t="n"/>
      <c r="S306" s="85" t="n"/>
      <c r="T306" s="85" t="n"/>
      <c r="U306" s="85" t="n"/>
      <c r="V306" s="85" t="n"/>
      <c r="W306" s="85" t="n"/>
      <c r="X306" s="85" t="n"/>
      <c r="Y306" s="85" t="n"/>
      <c r="Z306" s="85" t="n"/>
      <c r="AA306" s="85" t="n"/>
      <c r="AB306" s="85" t="n"/>
      <c r="AC306" s="86" t="n"/>
      <c r="AD306" s="86" t="n"/>
      <c r="AE306" s="86" t="n"/>
      <c r="AF306" s="85" t="n"/>
      <c r="AG306" s="85" t="n"/>
      <c r="AH306" s="85">
        <f>IF($A306="","",IF(AND($E306="Yes",OR($V306="No",$V306="NOT FOUND")),"YES",""))</f>
        <v/>
      </c>
      <c r="AI306" s="85">
        <f>IF($A306="","",TRIM(IF(AND($M306=0,$I306&lt;&gt;"Yes"),"T0-NoPhishResistant ","")&amp;IF($H306="No","NoMFA ","")&amp;IF(AND($M306=0,$O306="Group only"),"T0-ViaGroupOnly ","")&amp;IF($N306="Yes","BroadAzureScope ","")&amp;IF($T306="Yes","AlsoEntraRole ","")))</f>
        <v/>
      </c>
      <c r="AJ306" s="85">
        <f>IF($A306="","",IF(AD306="","Not Enrolled",IF(TODAY()&gt;AD306,"Review Overdue",IF(AD306-TODAY()&lt;=30,"Review Due Soon","Active"))))</f>
        <v/>
      </c>
      <c r="AK306" s="85">
        <f>IF($A306="","",IF(AE306="","NOT REVIEWED",IF(TODAY()-AE306&gt;90,"OVERDUE",IF(TODAY()-AE306&gt;76,"Due Soon","Current"))))</f>
        <v/>
      </c>
    </row>
    <row r="307" ht="15" customHeight="1" s="39">
      <c r="A307" s="85" t="n"/>
      <c r="B307" s="85" t="n"/>
      <c r="C307" s="85" t="n"/>
      <c r="D307" s="85" t="n"/>
      <c r="E307" s="85" t="n"/>
      <c r="F307" s="86" t="n"/>
      <c r="G307" s="86" t="n"/>
      <c r="H307" s="85" t="n"/>
      <c r="I307" s="85" t="n"/>
      <c r="J307" s="85" t="n"/>
      <c r="K307" s="85" t="n"/>
      <c r="L307" s="85" t="n"/>
      <c r="M307" s="85" t="n"/>
      <c r="N307" s="85" t="n"/>
      <c r="O307" s="85" t="n"/>
      <c r="P307" s="85" t="n"/>
      <c r="Q307" s="85" t="n"/>
      <c r="R307" s="85" t="n"/>
      <c r="S307" s="85" t="n"/>
      <c r="T307" s="85" t="n"/>
      <c r="U307" s="85" t="n"/>
      <c r="V307" s="85" t="n"/>
      <c r="W307" s="85" t="n"/>
      <c r="X307" s="85" t="n"/>
      <c r="Y307" s="85" t="n"/>
      <c r="Z307" s="85" t="n"/>
      <c r="AA307" s="85" t="n"/>
      <c r="AB307" s="85" t="n"/>
      <c r="AC307" s="86" t="n"/>
      <c r="AD307" s="86" t="n"/>
      <c r="AE307" s="86" t="n"/>
      <c r="AF307" s="85" t="n"/>
      <c r="AG307" s="85" t="n"/>
      <c r="AH307" s="85">
        <f>IF($A307="","",IF(AND($E307="Yes",OR($V307="No",$V307="NOT FOUND")),"YES",""))</f>
        <v/>
      </c>
      <c r="AI307" s="85">
        <f>IF($A307="","",TRIM(IF(AND($M307=0,$I307&lt;&gt;"Yes"),"T0-NoPhishResistant ","")&amp;IF($H307="No","NoMFA ","")&amp;IF(AND($M307=0,$O307="Group only"),"T0-ViaGroupOnly ","")&amp;IF($N307="Yes","BroadAzureScope ","")&amp;IF($T307="Yes","AlsoEntraRole ","")))</f>
        <v/>
      </c>
      <c r="AJ307" s="85">
        <f>IF($A307="","",IF(AD307="","Not Enrolled",IF(TODAY()&gt;AD307,"Review Overdue",IF(AD307-TODAY()&lt;=30,"Review Due Soon","Active"))))</f>
        <v/>
      </c>
      <c r="AK307" s="85">
        <f>IF($A307="","",IF(AE307="","NOT REVIEWED",IF(TODAY()-AE307&gt;90,"OVERDUE",IF(TODAY()-AE307&gt;76,"Due Soon","Current"))))</f>
        <v/>
      </c>
    </row>
    <row r="308" ht="15" customHeight="1" s="39">
      <c r="A308" s="85" t="n"/>
      <c r="B308" s="85" t="n"/>
      <c r="C308" s="85" t="n"/>
      <c r="D308" s="85" t="n"/>
      <c r="E308" s="85" t="n"/>
      <c r="F308" s="86" t="n"/>
      <c r="G308" s="86" t="n"/>
      <c r="H308" s="85" t="n"/>
      <c r="I308" s="85" t="n"/>
      <c r="J308" s="85" t="n"/>
      <c r="K308" s="85" t="n"/>
      <c r="L308" s="85" t="n"/>
      <c r="M308" s="85" t="n"/>
      <c r="N308" s="85" t="n"/>
      <c r="O308" s="85" t="n"/>
      <c r="P308" s="85" t="n"/>
      <c r="Q308" s="85" t="n"/>
      <c r="R308" s="85" t="n"/>
      <c r="S308" s="85" t="n"/>
      <c r="T308" s="85" t="n"/>
      <c r="U308" s="85" t="n"/>
      <c r="V308" s="85" t="n"/>
      <c r="W308" s="85" t="n"/>
      <c r="X308" s="85" t="n"/>
      <c r="Y308" s="85" t="n"/>
      <c r="Z308" s="85" t="n"/>
      <c r="AA308" s="85" t="n"/>
      <c r="AB308" s="85" t="n"/>
      <c r="AC308" s="86" t="n"/>
      <c r="AD308" s="86" t="n"/>
      <c r="AE308" s="86" t="n"/>
      <c r="AF308" s="85" t="n"/>
      <c r="AG308" s="85" t="n"/>
      <c r="AH308" s="85">
        <f>IF($A308="","",IF(AND($E308="Yes",OR($V308="No",$V308="NOT FOUND")),"YES",""))</f>
        <v/>
      </c>
      <c r="AI308" s="85">
        <f>IF($A308="","",TRIM(IF(AND($M308=0,$I308&lt;&gt;"Yes"),"T0-NoPhishResistant ","")&amp;IF($H308="No","NoMFA ","")&amp;IF(AND($M308=0,$O308="Group only"),"T0-ViaGroupOnly ","")&amp;IF($N308="Yes","BroadAzureScope ","")&amp;IF($T308="Yes","AlsoEntraRole ","")))</f>
        <v/>
      </c>
      <c r="AJ308" s="85">
        <f>IF($A308="","",IF(AD308="","Not Enrolled",IF(TODAY()&gt;AD308,"Review Overdue",IF(AD308-TODAY()&lt;=30,"Review Due Soon","Active"))))</f>
        <v/>
      </c>
      <c r="AK308" s="85">
        <f>IF($A308="","",IF(AE308="","NOT REVIEWED",IF(TODAY()-AE308&gt;90,"OVERDUE",IF(TODAY()-AE308&gt;76,"Due Soon","Current"))))</f>
        <v/>
      </c>
    </row>
    <row r="309" ht="15" customHeight="1" s="39">
      <c r="A309" s="85" t="n"/>
      <c r="B309" s="85" t="n"/>
      <c r="C309" s="85" t="n"/>
      <c r="D309" s="85" t="n"/>
      <c r="E309" s="85" t="n"/>
      <c r="F309" s="86" t="n"/>
      <c r="G309" s="86" t="n"/>
      <c r="H309" s="85" t="n"/>
      <c r="I309" s="85" t="n"/>
      <c r="J309" s="85" t="n"/>
      <c r="K309" s="85" t="n"/>
      <c r="L309" s="85" t="n"/>
      <c r="M309" s="85" t="n"/>
      <c r="N309" s="85" t="n"/>
      <c r="O309" s="85" t="n"/>
      <c r="P309" s="85" t="n"/>
      <c r="Q309" s="85" t="n"/>
      <c r="R309" s="85" t="n"/>
      <c r="S309" s="85" t="n"/>
      <c r="T309" s="85" t="n"/>
      <c r="U309" s="85" t="n"/>
      <c r="V309" s="85" t="n"/>
      <c r="W309" s="85" t="n"/>
      <c r="X309" s="85" t="n"/>
      <c r="Y309" s="85" t="n"/>
      <c r="Z309" s="85" t="n"/>
      <c r="AA309" s="85" t="n"/>
      <c r="AB309" s="85" t="n"/>
      <c r="AC309" s="86" t="n"/>
      <c r="AD309" s="86" t="n"/>
      <c r="AE309" s="86" t="n"/>
      <c r="AF309" s="85" t="n"/>
      <c r="AG309" s="85" t="n"/>
      <c r="AH309" s="85">
        <f>IF($A309="","",IF(AND($E309="Yes",OR($V309="No",$V309="NOT FOUND")),"YES",""))</f>
        <v/>
      </c>
      <c r="AI309" s="85">
        <f>IF($A309="","",TRIM(IF(AND($M309=0,$I309&lt;&gt;"Yes"),"T0-NoPhishResistant ","")&amp;IF($H309="No","NoMFA ","")&amp;IF(AND($M309=0,$O309="Group only"),"T0-ViaGroupOnly ","")&amp;IF($N309="Yes","BroadAzureScope ","")&amp;IF($T309="Yes","AlsoEntraRole ","")))</f>
        <v/>
      </c>
      <c r="AJ309" s="85">
        <f>IF($A309="","",IF(AD309="","Not Enrolled",IF(TODAY()&gt;AD309,"Review Overdue",IF(AD309-TODAY()&lt;=30,"Review Due Soon","Active"))))</f>
        <v/>
      </c>
      <c r="AK309" s="85">
        <f>IF($A309="","",IF(AE309="","NOT REVIEWED",IF(TODAY()-AE309&gt;90,"OVERDUE",IF(TODAY()-AE309&gt;76,"Due Soon","Current"))))</f>
        <v/>
      </c>
    </row>
    <row r="310" ht="15" customHeight="1" s="39">
      <c r="A310" s="85" t="n"/>
      <c r="B310" s="85" t="n"/>
      <c r="C310" s="85" t="n"/>
      <c r="D310" s="85" t="n"/>
      <c r="E310" s="85" t="n"/>
      <c r="F310" s="86" t="n"/>
      <c r="G310" s="86" t="n"/>
      <c r="H310" s="85" t="n"/>
      <c r="I310" s="85" t="n"/>
      <c r="J310" s="85" t="n"/>
      <c r="K310" s="85" t="n"/>
      <c r="L310" s="85" t="n"/>
      <c r="M310" s="85" t="n"/>
      <c r="N310" s="85" t="n"/>
      <c r="O310" s="85" t="n"/>
      <c r="P310" s="85" t="n"/>
      <c r="Q310" s="85" t="n"/>
      <c r="R310" s="85" t="n"/>
      <c r="S310" s="85" t="n"/>
      <c r="T310" s="85" t="n"/>
      <c r="U310" s="85" t="n"/>
      <c r="V310" s="85" t="n"/>
      <c r="W310" s="85" t="n"/>
      <c r="X310" s="85" t="n"/>
      <c r="Y310" s="85" t="n"/>
      <c r="Z310" s="85" t="n"/>
      <c r="AA310" s="85" t="n"/>
      <c r="AB310" s="85" t="n"/>
      <c r="AC310" s="86" t="n"/>
      <c r="AD310" s="86" t="n"/>
      <c r="AE310" s="86" t="n"/>
      <c r="AF310" s="85" t="n"/>
      <c r="AG310" s="85" t="n"/>
      <c r="AH310" s="85">
        <f>IF($A310="","",IF(AND($E310="Yes",OR($V310="No",$V310="NOT FOUND")),"YES",""))</f>
        <v/>
      </c>
      <c r="AI310" s="85">
        <f>IF($A310="","",TRIM(IF(AND($M310=0,$I310&lt;&gt;"Yes"),"T0-NoPhishResistant ","")&amp;IF($H310="No","NoMFA ","")&amp;IF(AND($M310=0,$O310="Group only"),"T0-ViaGroupOnly ","")&amp;IF($N310="Yes","BroadAzureScope ","")&amp;IF($T310="Yes","AlsoEntraRole ","")))</f>
        <v/>
      </c>
      <c r="AJ310" s="85">
        <f>IF($A310="","",IF(AD310="","Not Enrolled",IF(TODAY()&gt;AD310,"Review Overdue",IF(AD310-TODAY()&lt;=30,"Review Due Soon","Active"))))</f>
        <v/>
      </c>
      <c r="AK310" s="85">
        <f>IF($A310="","",IF(AE310="","NOT REVIEWED",IF(TODAY()-AE310&gt;90,"OVERDUE",IF(TODAY()-AE310&gt;76,"Due Soon","Current"))))</f>
        <v/>
      </c>
    </row>
    <row r="311" ht="15" customHeight="1" s="39">
      <c r="A311" s="85" t="n"/>
      <c r="B311" s="85" t="n"/>
      <c r="C311" s="85" t="n"/>
      <c r="D311" s="85" t="n"/>
      <c r="E311" s="85" t="n"/>
      <c r="F311" s="86" t="n"/>
      <c r="G311" s="86" t="n"/>
      <c r="H311" s="85" t="n"/>
      <c r="I311" s="85" t="n"/>
      <c r="J311" s="85" t="n"/>
      <c r="K311" s="85" t="n"/>
      <c r="L311" s="85" t="n"/>
      <c r="M311" s="85" t="n"/>
      <c r="N311" s="85" t="n"/>
      <c r="O311" s="85" t="n"/>
      <c r="P311" s="85" t="n"/>
      <c r="Q311" s="85" t="n"/>
      <c r="R311" s="85" t="n"/>
      <c r="S311" s="85" t="n"/>
      <c r="T311" s="85" t="n"/>
      <c r="U311" s="85" t="n"/>
      <c r="V311" s="85" t="n"/>
      <c r="W311" s="85" t="n"/>
      <c r="X311" s="85" t="n"/>
      <c r="Y311" s="85" t="n"/>
      <c r="Z311" s="85" t="n"/>
      <c r="AA311" s="85" t="n"/>
      <c r="AB311" s="85" t="n"/>
      <c r="AC311" s="86" t="n"/>
      <c r="AD311" s="86" t="n"/>
      <c r="AE311" s="86" t="n"/>
      <c r="AF311" s="85" t="n"/>
      <c r="AG311" s="85" t="n"/>
      <c r="AH311" s="85">
        <f>IF($A311="","",IF(AND($E311="Yes",OR($V311="No",$V311="NOT FOUND")),"YES",""))</f>
        <v/>
      </c>
      <c r="AI311" s="85">
        <f>IF($A311="","",TRIM(IF(AND($M311=0,$I311&lt;&gt;"Yes"),"T0-NoPhishResistant ","")&amp;IF($H311="No","NoMFA ","")&amp;IF(AND($M311=0,$O311="Group only"),"T0-ViaGroupOnly ","")&amp;IF($N311="Yes","BroadAzureScope ","")&amp;IF($T311="Yes","AlsoEntraRole ","")))</f>
        <v/>
      </c>
      <c r="AJ311" s="85">
        <f>IF($A311="","",IF(AD311="","Not Enrolled",IF(TODAY()&gt;AD311,"Review Overdue",IF(AD311-TODAY()&lt;=30,"Review Due Soon","Active"))))</f>
        <v/>
      </c>
      <c r="AK311" s="85">
        <f>IF($A311="","",IF(AE311="","NOT REVIEWED",IF(TODAY()-AE311&gt;90,"OVERDUE",IF(TODAY()-AE311&gt;76,"Due Soon","Current"))))</f>
        <v/>
      </c>
    </row>
    <row r="312" ht="15" customHeight="1" s="39">
      <c r="A312" s="85" t="n"/>
      <c r="B312" s="85" t="n"/>
      <c r="C312" s="85" t="n"/>
      <c r="D312" s="85" t="n"/>
      <c r="E312" s="85" t="n"/>
      <c r="F312" s="86" t="n"/>
      <c r="G312" s="86" t="n"/>
      <c r="H312" s="85" t="n"/>
      <c r="I312" s="85" t="n"/>
      <c r="J312" s="85" t="n"/>
      <c r="K312" s="85" t="n"/>
      <c r="L312" s="85" t="n"/>
      <c r="M312" s="85" t="n"/>
      <c r="N312" s="85" t="n"/>
      <c r="O312" s="85" t="n"/>
      <c r="P312" s="85" t="n"/>
      <c r="Q312" s="85" t="n"/>
      <c r="R312" s="85" t="n"/>
      <c r="S312" s="85" t="n"/>
      <c r="T312" s="85" t="n"/>
      <c r="U312" s="85" t="n"/>
      <c r="V312" s="85" t="n"/>
      <c r="W312" s="85" t="n"/>
      <c r="X312" s="85" t="n"/>
      <c r="Y312" s="85" t="n"/>
      <c r="Z312" s="85" t="n"/>
      <c r="AA312" s="85" t="n"/>
      <c r="AB312" s="85" t="n"/>
      <c r="AC312" s="86" t="n"/>
      <c r="AD312" s="86" t="n"/>
      <c r="AE312" s="86" t="n"/>
      <c r="AF312" s="85" t="n"/>
      <c r="AG312" s="85" t="n"/>
      <c r="AH312" s="85">
        <f>IF($A312="","",IF(AND($E312="Yes",OR($V312="No",$V312="NOT FOUND")),"YES",""))</f>
        <v/>
      </c>
      <c r="AI312" s="85">
        <f>IF($A312="","",TRIM(IF(AND($M312=0,$I312&lt;&gt;"Yes"),"T0-NoPhishResistant ","")&amp;IF($H312="No","NoMFA ","")&amp;IF(AND($M312=0,$O312="Group only"),"T0-ViaGroupOnly ","")&amp;IF($N312="Yes","BroadAzureScope ","")&amp;IF($T312="Yes","AlsoEntraRole ","")))</f>
        <v/>
      </c>
      <c r="AJ312" s="85">
        <f>IF($A312="","",IF(AD312="","Not Enrolled",IF(TODAY()&gt;AD312,"Review Overdue",IF(AD312-TODAY()&lt;=30,"Review Due Soon","Active"))))</f>
        <v/>
      </c>
      <c r="AK312" s="85">
        <f>IF($A312="","",IF(AE312="","NOT REVIEWED",IF(TODAY()-AE312&gt;90,"OVERDUE",IF(TODAY()-AE312&gt;76,"Due Soon","Current"))))</f>
        <v/>
      </c>
    </row>
    <row r="313" ht="15" customHeight="1" s="39">
      <c r="A313" s="85" t="n"/>
      <c r="B313" s="85" t="n"/>
      <c r="C313" s="85" t="n"/>
      <c r="D313" s="85" t="n"/>
      <c r="E313" s="85" t="n"/>
      <c r="F313" s="86" t="n"/>
      <c r="G313" s="86" t="n"/>
      <c r="H313" s="85" t="n"/>
      <c r="I313" s="85" t="n"/>
      <c r="J313" s="85" t="n"/>
      <c r="K313" s="85" t="n"/>
      <c r="L313" s="85" t="n"/>
      <c r="M313" s="85" t="n"/>
      <c r="N313" s="85" t="n"/>
      <c r="O313" s="85" t="n"/>
      <c r="P313" s="85" t="n"/>
      <c r="Q313" s="85" t="n"/>
      <c r="R313" s="85" t="n"/>
      <c r="S313" s="85" t="n"/>
      <c r="T313" s="85" t="n"/>
      <c r="U313" s="85" t="n"/>
      <c r="V313" s="85" t="n"/>
      <c r="W313" s="85" t="n"/>
      <c r="X313" s="85" t="n"/>
      <c r="Y313" s="85" t="n"/>
      <c r="Z313" s="85" t="n"/>
      <c r="AA313" s="85" t="n"/>
      <c r="AB313" s="85" t="n"/>
      <c r="AC313" s="86" t="n"/>
      <c r="AD313" s="86" t="n"/>
      <c r="AE313" s="86" t="n"/>
      <c r="AF313" s="85" t="n"/>
      <c r="AG313" s="85" t="n"/>
      <c r="AH313" s="85">
        <f>IF($A313="","",IF(AND($E313="Yes",OR($V313="No",$V313="NOT FOUND")),"YES",""))</f>
        <v/>
      </c>
      <c r="AI313" s="85">
        <f>IF($A313="","",TRIM(IF(AND($M313=0,$I313&lt;&gt;"Yes"),"T0-NoPhishResistant ","")&amp;IF($H313="No","NoMFA ","")&amp;IF(AND($M313=0,$O313="Group only"),"T0-ViaGroupOnly ","")&amp;IF($N313="Yes","BroadAzureScope ","")&amp;IF($T313="Yes","AlsoEntraRole ","")))</f>
        <v/>
      </c>
      <c r="AJ313" s="85">
        <f>IF($A313="","",IF(AD313="","Not Enrolled",IF(TODAY()&gt;AD313,"Review Overdue",IF(AD313-TODAY()&lt;=30,"Review Due Soon","Active"))))</f>
        <v/>
      </c>
      <c r="AK313" s="85">
        <f>IF($A313="","",IF(AE313="","NOT REVIEWED",IF(TODAY()-AE313&gt;90,"OVERDUE",IF(TODAY()-AE313&gt;76,"Due Soon","Current"))))</f>
        <v/>
      </c>
    </row>
    <row r="314" ht="15" customHeight="1" s="39">
      <c r="A314" s="85" t="n"/>
      <c r="B314" s="85" t="n"/>
      <c r="C314" s="85" t="n"/>
      <c r="D314" s="85" t="n"/>
      <c r="E314" s="85" t="n"/>
      <c r="F314" s="86" t="n"/>
      <c r="G314" s="86" t="n"/>
      <c r="H314" s="85" t="n"/>
      <c r="I314" s="85" t="n"/>
      <c r="J314" s="85" t="n"/>
      <c r="K314" s="85" t="n"/>
      <c r="L314" s="85" t="n"/>
      <c r="M314" s="85" t="n"/>
      <c r="N314" s="85" t="n"/>
      <c r="O314" s="85" t="n"/>
      <c r="P314" s="85" t="n"/>
      <c r="Q314" s="85" t="n"/>
      <c r="R314" s="85" t="n"/>
      <c r="S314" s="85" t="n"/>
      <c r="T314" s="85" t="n"/>
      <c r="U314" s="85" t="n"/>
      <c r="V314" s="85" t="n"/>
      <c r="W314" s="85" t="n"/>
      <c r="X314" s="85" t="n"/>
      <c r="Y314" s="85" t="n"/>
      <c r="Z314" s="85" t="n"/>
      <c r="AA314" s="85" t="n"/>
      <c r="AB314" s="85" t="n"/>
      <c r="AC314" s="86" t="n"/>
      <c r="AD314" s="86" t="n"/>
      <c r="AE314" s="86" t="n"/>
      <c r="AF314" s="85" t="n"/>
      <c r="AG314" s="85" t="n"/>
      <c r="AH314" s="85">
        <f>IF($A314="","",IF(AND($E314="Yes",OR($V314="No",$V314="NOT FOUND")),"YES",""))</f>
        <v/>
      </c>
      <c r="AI314" s="85">
        <f>IF($A314="","",TRIM(IF(AND($M314=0,$I314&lt;&gt;"Yes"),"T0-NoPhishResistant ","")&amp;IF($H314="No","NoMFA ","")&amp;IF(AND($M314=0,$O314="Group only"),"T0-ViaGroupOnly ","")&amp;IF($N314="Yes","BroadAzureScope ","")&amp;IF($T314="Yes","AlsoEntraRole ","")))</f>
        <v/>
      </c>
      <c r="AJ314" s="85">
        <f>IF($A314="","",IF(AD314="","Not Enrolled",IF(TODAY()&gt;AD314,"Review Overdue",IF(AD314-TODAY()&lt;=30,"Review Due Soon","Active"))))</f>
        <v/>
      </c>
      <c r="AK314" s="85">
        <f>IF($A314="","",IF(AE314="","NOT REVIEWED",IF(TODAY()-AE314&gt;90,"OVERDUE",IF(TODAY()-AE314&gt;76,"Due Soon","Current"))))</f>
        <v/>
      </c>
    </row>
    <row r="315" ht="15" customHeight="1" s="39">
      <c r="A315" s="85" t="n"/>
      <c r="B315" s="85" t="n"/>
      <c r="C315" s="85" t="n"/>
      <c r="D315" s="85" t="n"/>
      <c r="E315" s="85" t="n"/>
      <c r="F315" s="86" t="n"/>
      <c r="G315" s="86" t="n"/>
      <c r="H315" s="85" t="n"/>
      <c r="I315" s="85" t="n"/>
      <c r="J315" s="85" t="n"/>
      <c r="K315" s="85" t="n"/>
      <c r="L315" s="85" t="n"/>
      <c r="M315" s="85" t="n"/>
      <c r="N315" s="85" t="n"/>
      <c r="O315" s="85" t="n"/>
      <c r="P315" s="85" t="n"/>
      <c r="Q315" s="85" t="n"/>
      <c r="R315" s="85" t="n"/>
      <c r="S315" s="85" t="n"/>
      <c r="T315" s="85" t="n"/>
      <c r="U315" s="85" t="n"/>
      <c r="V315" s="85" t="n"/>
      <c r="W315" s="85" t="n"/>
      <c r="X315" s="85" t="n"/>
      <c r="Y315" s="85" t="n"/>
      <c r="Z315" s="85" t="n"/>
      <c r="AA315" s="85" t="n"/>
      <c r="AB315" s="85" t="n"/>
      <c r="AC315" s="86" t="n"/>
      <c r="AD315" s="86" t="n"/>
      <c r="AE315" s="86" t="n"/>
      <c r="AF315" s="85" t="n"/>
      <c r="AG315" s="85" t="n"/>
      <c r="AH315" s="85">
        <f>IF($A315="","",IF(AND($E315="Yes",OR($V315="No",$V315="NOT FOUND")),"YES",""))</f>
        <v/>
      </c>
      <c r="AI315" s="85">
        <f>IF($A315="","",TRIM(IF(AND($M315=0,$I315&lt;&gt;"Yes"),"T0-NoPhishResistant ","")&amp;IF($H315="No","NoMFA ","")&amp;IF(AND($M315=0,$O315="Group only"),"T0-ViaGroupOnly ","")&amp;IF($N315="Yes","BroadAzureScope ","")&amp;IF($T315="Yes","AlsoEntraRole ","")))</f>
        <v/>
      </c>
      <c r="AJ315" s="85">
        <f>IF($A315="","",IF(AD315="","Not Enrolled",IF(TODAY()&gt;AD315,"Review Overdue",IF(AD315-TODAY()&lt;=30,"Review Due Soon","Active"))))</f>
        <v/>
      </c>
      <c r="AK315" s="85">
        <f>IF($A315="","",IF(AE315="","NOT REVIEWED",IF(TODAY()-AE315&gt;90,"OVERDUE",IF(TODAY()-AE315&gt;76,"Due Soon","Current"))))</f>
        <v/>
      </c>
    </row>
    <row r="316" ht="15" customHeight="1" s="39">
      <c r="A316" s="85" t="n"/>
      <c r="B316" s="85" t="n"/>
      <c r="C316" s="85" t="n"/>
      <c r="D316" s="85" t="n"/>
      <c r="E316" s="85" t="n"/>
      <c r="F316" s="86" t="n"/>
      <c r="G316" s="86" t="n"/>
      <c r="H316" s="85" t="n"/>
      <c r="I316" s="85" t="n"/>
      <c r="J316" s="85" t="n"/>
      <c r="K316" s="85" t="n"/>
      <c r="L316" s="85" t="n"/>
      <c r="M316" s="85" t="n"/>
      <c r="N316" s="85" t="n"/>
      <c r="O316" s="85" t="n"/>
      <c r="P316" s="85" t="n"/>
      <c r="Q316" s="85" t="n"/>
      <c r="R316" s="85" t="n"/>
      <c r="S316" s="85" t="n"/>
      <c r="T316" s="85" t="n"/>
      <c r="U316" s="85" t="n"/>
      <c r="V316" s="85" t="n"/>
      <c r="W316" s="85" t="n"/>
      <c r="X316" s="85" t="n"/>
      <c r="Y316" s="85" t="n"/>
      <c r="Z316" s="85" t="n"/>
      <c r="AA316" s="85" t="n"/>
      <c r="AB316" s="85" t="n"/>
      <c r="AC316" s="86" t="n"/>
      <c r="AD316" s="86" t="n"/>
      <c r="AE316" s="86" t="n"/>
      <c r="AF316" s="85" t="n"/>
      <c r="AG316" s="85" t="n"/>
      <c r="AH316" s="85">
        <f>IF($A316="","",IF(AND($E316="Yes",OR($V316="No",$V316="NOT FOUND")),"YES",""))</f>
        <v/>
      </c>
      <c r="AI316" s="85">
        <f>IF($A316="","",TRIM(IF(AND($M316=0,$I316&lt;&gt;"Yes"),"T0-NoPhishResistant ","")&amp;IF($H316="No","NoMFA ","")&amp;IF(AND($M316=0,$O316="Group only"),"T0-ViaGroupOnly ","")&amp;IF($N316="Yes","BroadAzureScope ","")&amp;IF($T316="Yes","AlsoEntraRole ","")))</f>
        <v/>
      </c>
      <c r="AJ316" s="85">
        <f>IF($A316="","",IF(AD316="","Not Enrolled",IF(TODAY()&gt;AD316,"Review Overdue",IF(AD316-TODAY()&lt;=30,"Review Due Soon","Active"))))</f>
        <v/>
      </c>
      <c r="AK316" s="85">
        <f>IF($A316="","",IF(AE316="","NOT REVIEWED",IF(TODAY()-AE316&gt;90,"OVERDUE",IF(TODAY()-AE316&gt;76,"Due Soon","Current"))))</f>
        <v/>
      </c>
    </row>
    <row r="317" ht="15" customHeight="1" s="39">
      <c r="A317" s="85" t="n"/>
      <c r="B317" s="85" t="n"/>
      <c r="C317" s="85" t="n"/>
      <c r="D317" s="85" t="n"/>
      <c r="E317" s="85" t="n"/>
      <c r="F317" s="86" t="n"/>
      <c r="G317" s="86" t="n"/>
      <c r="H317" s="85" t="n"/>
      <c r="I317" s="85" t="n"/>
      <c r="J317" s="85" t="n"/>
      <c r="K317" s="85" t="n"/>
      <c r="L317" s="85" t="n"/>
      <c r="M317" s="85" t="n"/>
      <c r="N317" s="85" t="n"/>
      <c r="O317" s="85" t="n"/>
      <c r="P317" s="85" t="n"/>
      <c r="Q317" s="85" t="n"/>
      <c r="R317" s="85" t="n"/>
      <c r="S317" s="85" t="n"/>
      <c r="T317" s="85" t="n"/>
      <c r="U317" s="85" t="n"/>
      <c r="V317" s="85" t="n"/>
      <c r="W317" s="85" t="n"/>
      <c r="X317" s="85" t="n"/>
      <c r="Y317" s="85" t="n"/>
      <c r="Z317" s="85" t="n"/>
      <c r="AA317" s="85" t="n"/>
      <c r="AB317" s="85" t="n"/>
      <c r="AC317" s="86" t="n"/>
      <c r="AD317" s="86" t="n"/>
      <c r="AE317" s="86" t="n"/>
      <c r="AF317" s="85" t="n"/>
      <c r="AG317" s="85" t="n"/>
      <c r="AH317" s="85">
        <f>IF($A317="","",IF(AND($E317="Yes",OR($V317="No",$V317="NOT FOUND")),"YES",""))</f>
        <v/>
      </c>
      <c r="AI317" s="85">
        <f>IF($A317="","",TRIM(IF(AND($M317=0,$I317&lt;&gt;"Yes"),"T0-NoPhishResistant ","")&amp;IF($H317="No","NoMFA ","")&amp;IF(AND($M317=0,$O317="Group only"),"T0-ViaGroupOnly ","")&amp;IF($N317="Yes","BroadAzureScope ","")&amp;IF($T317="Yes","AlsoEntraRole ","")))</f>
        <v/>
      </c>
      <c r="AJ317" s="85">
        <f>IF($A317="","",IF(AD317="","Not Enrolled",IF(TODAY()&gt;AD317,"Review Overdue",IF(AD317-TODAY()&lt;=30,"Review Due Soon","Active"))))</f>
        <v/>
      </c>
      <c r="AK317" s="85">
        <f>IF($A317="","",IF(AE317="","NOT REVIEWED",IF(TODAY()-AE317&gt;90,"OVERDUE",IF(TODAY()-AE317&gt;76,"Due Soon","Current"))))</f>
        <v/>
      </c>
    </row>
    <row r="318" ht="15" customHeight="1" s="39">
      <c r="A318" s="85" t="n"/>
      <c r="B318" s="85" t="n"/>
      <c r="C318" s="85" t="n"/>
      <c r="D318" s="85" t="n"/>
      <c r="E318" s="85" t="n"/>
      <c r="F318" s="86" t="n"/>
      <c r="G318" s="86" t="n"/>
      <c r="H318" s="85" t="n"/>
      <c r="I318" s="85" t="n"/>
      <c r="J318" s="85" t="n"/>
      <c r="K318" s="85" t="n"/>
      <c r="L318" s="85" t="n"/>
      <c r="M318" s="85" t="n"/>
      <c r="N318" s="85" t="n"/>
      <c r="O318" s="85" t="n"/>
      <c r="P318" s="85" t="n"/>
      <c r="Q318" s="85" t="n"/>
      <c r="R318" s="85" t="n"/>
      <c r="S318" s="85" t="n"/>
      <c r="T318" s="85" t="n"/>
      <c r="U318" s="85" t="n"/>
      <c r="V318" s="85" t="n"/>
      <c r="W318" s="85" t="n"/>
      <c r="X318" s="85" t="n"/>
      <c r="Y318" s="85" t="n"/>
      <c r="Z318" s="85" t="n"/>
      <c r="AA318" s="85" t="n"/>
      <c r="AB318" s="85" t="n"/>
      <c r="AC318" s="86" t="n"/>
      <c r="AD318" s="86" t="n"/>
      <c r="AE318" s="86" t="n"/>
      <c r="AF318" s="85" t="n"/>
      <c r="AG318" s="85" t="n"/>
      <c r="AH318" s="85">
        <f>IF($A318="","",IF(AND($E318="Yes",OR($V318="No",$V318="NOT FOUND")),"YES",""))</f>
        <v/>
      </c>
      <c r="AI318" s="85">
        <f>IF($A318="","",TRIM(IF(AND($M318=0,$I318&lt;&gt;"Yes"),"T0-NoPhishResistant ","")&amp;IF($H318="No","NoMFA ","")&amp;IF(AND($M318=0,$O318="Group only"),"T0-ViaGroupOnly ","")&amp;IF($N318="Yes","BroadAzureScope ","")&amp;IF($T318="Yes","AlsoEntraRole ","")))</f>
        <v/>
      </c>
      <c r="AJ318" s="85">
        <f>IF($A318="","",IF(AD318="","Not Enrolled",IF(TODAY()&gt;AD318,"Review Overdue",IF(AD318-TODAY()&lt;=30,"Review Due Soon","Active"))))</f>
        <v/>
      </c>
      <c r="AK318" s="85">
        <f>IF($A318="","",IF(AE318="","NOT REVIEWED",IF(TODAY()-AE318&gt;90,"OVERDUE",IF(TODAY()-AE318&gt;76,"Due Soon","Current"))))</f>
        <v/>
      </c>
    </row>
    <row r="319" ht="15" customHeight="1" s="39">
      <c r="A319" s="85" t="n"/>
      <c r="B319" s="85" t="n"/>
      <c r="C319" s="85" t="n"/>
      <c r="D319" s="85" t="n"/>
      <c r="E319" s="85" t="n"/>
      <c r="F319" s="86" t="n"/>
      <c r="G319" s="86" t="n"/>
      <c r="H319" s="85" t="n"/>
      <c r="I319" s="85" t="n"/>
      <c r="J319" s="85" t="n"/>
      <c r="K319" s="85" t="n"/>
      <c r="L319" s="85" t="n"/>
      <c r="M319" s="85" t="n"/>
      <c r="N319" s="85" t="n"/>
      <c r="O319" s="85" t="n"/>
      <c r="P319" s="85" t="n"/>
      <c r="Q319" s="85" t="n"/>
      <c r="R319" s="85" t="n"/>
      <c r="S319" s="85" t="n"/>
      <c r="T319" s="85" t="n"/>
      <c r="U319" s="85" t="n"/>
      <c r="V319" s="85" t="n"/>
      <c r="W319" s="85" t="n"/>
      <c r="X319" s="85" t="n"/>
      <c r="Y319" s="85" t="n"/>
      <c r="Z319" s="85" t="n"/>
      <c r="AA319" s="85" t="n"/>
      <c r="AB319" s="85" t="n"/>
      <c r="AC319" s="86" t="n"/>
      <c r="AD319" s="86" t="n"/>
      <c r="AE319" s="86" t="n"/>
      <c r="AF319" s="85" t="n"/>
      <c r="AG319" s="85" t="n"/>
      <c r="AH319" s="85">
        <f>IF($A319="","",IF(AND($E319="Yes",OR($V319="No",$V319="NOT FOUND")),"YES",""))</f>
        <v/>
      </c>
      <c r="AI319" s="85">
        <f>IF($A319="","",TRIM(IF(AND($M319=0,$I319&lt;&gt;"Yes"),"T0-NoPhishResistant ","")&amp;IF($H319="No","NoMFA ","")&amp;IF(AND($M319=0,$O319="Group only"),"T0-ViaGroupOnly ","")&amp;IF($N319="Yes","BroadAzureScope ","")&amp;IF($T319="Yes","AlsoEntraRole ","")))</f>
        <v/>
      </c>
      <c r="AJ319" s="85">
        <f>IF($A319="","",IF(AD319="","Not Enrolled",IF(TODAY()&gt;AD319,"Review Overdue",IF(AD319-TODAY()&lt;=30,"Review Due Soon","Active"))))</f>
        <v/>
      </c>
      <c r="AK319" s="85">
        <f>IF($A319="","",IF(AE319="","NOT REVIEWED",IF(TODAY()-AE319&gt;90,"OVERDUE",IF(TODAY()-AE319&gt;76,"Due Soon","Current"))))</f>
        <v/>
      </c>
    </row>
    <row r="320" ht="15" customHeight="1" s="39">
      <c r="A320" s="85" t="n"/>
      <c r="B320" s="85" t="n"/>
      <c r="C320" s="85" t="n"/>
      <c r="D320" s="85" t="n"/>
      <c r="E320" s="85" t="n"/>
      <c r="F320" s="86" t="n"/>
      <c r="G320" s="86" t="n"/>
      <c r="H320" s="85" t="n"/>
      <c r="I320" s="85" t="n"/>
      <c r="J320" s="85" t="n"/>
      <c r="K320" s="85" t="n"/>
      <c r="L320" s="85" t="n"/>
      <c r="M320" s="85" t="n"/>
      <c r="N320" s="85" t="n"/>
      <c r="O320" s="85" t="n"/>
      <c r="P320" s="85" t="n"/>
      <c r="Q320" s="85" t="n"/>
      <c r="R320" s="85" t="n"/>
      <c r="S320" s="85" t="n"/>
      <c r="T320" s="85" t="n"/>
      <c r="U320" s="85" t="n"/>
      <c r="V320" s="85" t="n"/>
      <c r="W320" s="85" t="n"/>
      <c r="X320" s="85" t="n"/>
      <c r="Y320" s="85" t="n"/>
      <c r="Z320" s="85" t="n"/>
      <c r="AA320" s="85" t="n"/>
      <c r="AB320" s="85" t="n"/>
      <c r="AC320" s="86" t="n"/>
      <c r="AD320" s="86" t="n"/>
      <c r="AE320" s="86" t="n"/>
      <c r="AF320" s="85" t="n"/>
      <c r="AG320" s="85" t="n"/>
      <c r="AH320" s="85">
        <f>IF($A320="","",IF(AND($E320="Yes",OR($V320="No",$V320="NOT FOUND")),"YES",""))</f>
        <v/>
      </c>
      <c r="AI320" s="85">
        <f>IF($A320="","",TRIM(IF(AND($M320=0,$I320&lt;&gt;"Yes"),"T0-NoPhishResistant ","")&amp;IF($H320="No","NoMFA ","")&amp;IF(AND($M320=0,$O320="Group only"),"T0-ViaGroupOnly ","")&amp;IF($N320="Yes","BroadAzureScope ","")&amp;IF($T320="Yes","AlsoEntraRole ","")))</f>
        <v/>
      </c>
      <c r="AJ320" s="85">
        <f>IF($A320="","",IF(AD320="","Not Enrolled",IF(TODAY()&gt;AD320,"Review Overdue",IF(AD320-TODAY()&lt;=30,"Review Due Soon","Active"))))</f>
        <v/>
      </c>
      <c r="AK320" s="85">
        <f>IF($A320="","",IF(AE320="","NOT REVIEWED",IF(TODAY()-AE320&gt;90,"OVERDUE",IF(TODAY()-AE320&gt;76,"Due Soon","Current"))))</f>
        <v/>
      </c>
    </row>
    <row r="321" ht="15" customHeight="1" s="39">
      <c r="A321" s="85" t="n"/>
      <c r="B321" s="85" t="n"/>
      <c r="C321" s="85" t="n"/>
      <c r="D321" s="85" t="n"/>
      <c r="E321" s="85" t="n"/>
      <c r="F321" s="86" t="n"/>
      <c r="G321" s="86" t="n"/>
      <c r="H321" s="85" t="n"/>
      <c r="I321" s="85" t="n"/>
      <c r="J321" s="85" t="n"/>
      <c r="K321" s="85" t="n"/>
      <c r="L321" s="85" t="n"/>
      <c r="M321" s="85" t="n"/>
      <c r="N321" s="85" t="n"/>
      <c r="O321" s="85" t="n"/>
      <c r="P321" s="85" t="n"/>
      <c r="Q321" s="85" t="n"/>
      <c r="R321" s="85" t="n"/>
      <c r="S321" s="85" t="n"/>
      <c r="T321" s="85" t="n"/>
      <c r="U321" s="85" t="n"/>
      <c r="V321" s="85" t="n"/>
      <c r="W321" s="85" t="n"/>
      <c r="X321" s="85" t="n"/>
      <c r="Y321" s="85" t="n"/>
      <c r="Z321" s="85" t="n"/>
      <c r="AA321" s="85" t="n"/>
      <c r="AB321" s="85" t="n"/>
      <c r="AC321" s="86" t="n"/>
      <c r="AD321" s="86" t="n"/>
      <c r="AE321" s="86" t="n"/>
      <c r="AF321" s="85" t="n"/>
      <c r="AG321" s="85" t="n"/>
      <c r="AH321" s="85">
        <f>IF($A321="","",IF(AND($E321="Yes",OR($V321="No",$V321="NOT FOUND")),"YES",""))</f>
        <v/>
      </c>
      <c r="AI321" s="85">
        <f>IF($A321="","",TRIM(IF(AND($M321=0,$I321&lt;&gt;"Yes"),"T0-NoPhishResistant ","")&amp;IF($H321="No","NoMFA ","")&amp;IF(AND($M321=0,$O321="Group only"),"T0-ViaGroupOnly ","")&amp;IF($N321="Yes","BroadAzureScope ","")&amp;IF($T321="Yes","AlsoEntraRole ","")))</f>
        <v/>
      </c>
      <c r="AJ321" s="85">
        <f>IF($A321="","",IF(AD321="","Not Enrolled",IF(TODAY()&gt;AD321,"Review Overdue",IF(AD321-TODAY()&lt;=30,"Review Due Soon","Active"))))</f>
        <v/>
      </c>
      <c r="AK321" s="85">
        <f>IF($A321="","",IF(AE321="","NOT REVIEWED",IF(TODAY()-AE321&gt;90,"OVERDUE",IF(TODAY()-AE321&gt;76,"Due Soon","Current"))))</f>
        <v/>
      </c>
    </row>
    <row r="322" ht="15" customHeight="1" s="39">
      <c r="A322" s="85" t="n"/>
      <c r="B322" s="85" t="n"/>
      <c r="C322" s="85" t="n"/>
      <c r="D322" s="85" t="n"/>
      <c r="E322" s="85" t="n"/>
      <c r="F322" s="86" t="n"/>
      <c r="G322" s="86" t="n"/>
      <c r="H322" s="85" t="n"/>
      <c r="I322" s="85" t="n"/>
      <c r="J322" s="85" t="n"/>
      <c r="K322" s="85" t="n"/>
      <c r="L322" s="85" t="n"/>
      <c r="M322" s="85" t="n"/>
      <c r="N322" s="85" t="n"/>
      <c r="O322" s="85" t="n"/>
      <c r="P322" s="85" t="n"/>
      <c r="Q322" s="85" t="n"/>
      <c r="R322" s="85" t="n"/>
      <c r="S322" s="85" t="n"/>
      <c r="T322" s="85" t="n"/>
      <c r="U322" s="85" t="n"/>
      <c r="V322" s="85" t="n"/>
      <c r="W322" s="85" t="n"/>
      <c r="X322" s="85" t="n"/>
      <c r="Y322" s="85" t="n"/>
      <c r="Z322" s="85" t="n"/>
      <c r="AA322" s="85" t="n"/>
      <c r="AB322" s="85" t="n"/>
      <c r="AC322" s="86" t="n"/>
      <c r="AD322" s="86" t="n"/>
      <c r="AE322" s="86" t="n"/>
      <c r="AF322" s="85" t="n"/>
      <c r="AG322" s="85" t="n"/>
      <c r="AH322" s="85">
        <f>IF($A322="","",IF(AND($E322="Yes",OR($V322="No",$V322="NOT FOUND")),"YES",""))</f>
        <v/>
      </c>
      <c r="AI322" s="85">
        <f>IF($A322="","",TRIM(IF(AND($M322=0,$I322&lt;&gt;"Yes"),"T0-NoPhishResistant ","")&amp;IF($H322="No","NoMFA ","")&amp;IF(AND($M322=0,$O322="Group only"),"T0-ViaGroupOnly ","")&amp;IF($N322="Yes","BroadAzureScope ","")&amp;IF($T322="Yes","AlsoEntraRole ","")))</f>
        <v/>
      </c>
      <c r="AJ322" s="85">
        <f>IF($A322="","",IF(AD322="","Not Enrolled",IF(TODAY()&gt;AD322,"Review Overdue",IF(AD322-TODAY()&lt;=30,"Review Due Soon","Active"))))</f>
        <v/>
      </c>
      <c r="AK322" s="85">
        <f>IF($A322="","",IF(AE322="","NOT REVIEWED",IF(TODAY()-AE322&gt;90,"OVERDUE",IF(TODAY()-AE322&gt;76,"Due Soon","Current"))))</f>
        <v/>
      </c>
    </row>
    <row r="323" ht="15" customHeight="1" s="39">
      <c r="A323" s="85" t="n"/>
      <c r="B323" s="85" t="n"/>
      <c r="C323" s="85" t="n"/>
      <c r="D323" s="85" t="n"/>
      <c r="E323" s="85" t="n"/>
      <c r="F323" s="86" t="n"/>
      <c r="G323" s="86" t="n"/>
      <c r="H323" s="85" t="n"/>
      <c r="I323" s="85" t="n"/>
      <c r="J323" s="85" t="n"/>
      <c r="K323" s="85" t="n"/>
      <c r="L323" s="85" t="n"/>
      <c r="M323" s="85" t="n"/>
      <c r="N323" s="85" t="n"/>
      <c r="O323" s="85" t="n"/>
      <c r="P323" s="85" t="n"/>
      <c r="Q323" s="85" t="n"/>
      <c r="R323" s="85" t="n"/>
      <c r="S323" s="85" t="n"/>
      <c r="T323" s="85" t="n"/>
      <c r="U323" s="85" t="n"/>
      <c r="V323" s="85" t="n"/>
      <c r="W323" s="85" t="n"/>
      <c r="X323" s="85" t="n"/>
      <c r="Y323" s="85" t="n"/>
      <c r="Z323" s="85" t="n"/>
      <c r="AA323" s="85" t="n"/>
      <c r="AB323" s="85" t="n"/>
      <c r="AC323" s="86" t="n"/>
      <c r="AD323" s="86" t="n"/>
      <c r="AE323" s="86" t="n"/>
      <c r="AF323" s="85" t="n"/>
      <c r="AG323" s="85" t="n"/>
      <c r="AH323" s="85">
        <f>IF($A323="","",IF(AND($E323="Yes",OR($V323="No",$V323="NOT FOUND")),"YES",""))</f>
        <v/>
      </c>
      <c r="AI323" s="85">
        <f>IF($A323="","",TRIM(IF(AND($M323=0,$I323&lt;&gt;"Yes"),"T0-NoPhishResistant ","")&amp;IF($H323="No","NoMFA ","")&amp;IF(AND($M323=0,$O323="Group only"),"T0-ViaGroupOnly ","")&amp;IF($N323="Yes","BroadAzureScope ","")&amp;IF($T323="Yes","AlsoEntraRole ","")))</f>
        <v/>
      </c>
      <c r="AJ323" s="85">
        <f>IF($A323="","",IF(AD323="","Not Enrolled",IF(TODAY()&gt;AD323,"Review Overdue",IF(AD323-TODAY()&lt;=30,"Review Due Soon","Active"))))</f>
        <v/>
      </c>
      <c r="AK323" s="85">
        <f>IF($A323="","",IF(AE323="","NOT REVIEWED",IF(TODAY()-AE323&gt;90,"OVERDUE",IF(TODAY()-AE323&gt;76,"Due Soon","Current"))))</f>
        <v/>
      </c>
    </row>
    <row r="324" ht="15" customHeight="1" s="39">
      <c r="A324" s="85" t="n"/>
      <c r="B324" s="85" t="n"/>
      <c r="C324" s="85" t="n"/>
      <c r="D324" s="85" t="n"/>
      <c r="E324" s="85" t="n"/>
      <c r="F324" s="86" t="n"/>
      <c r="G324" s="86" t="n"/>
      <c r="H324" s="85" t="n"/>
      <c r="I324" s="85" t="n"/>
      <c r="J324" s="85" t="n"/>
      <c r="K324" s="85" t="n"/>
      <c r="L324" s="85" t="n"/>
      <c r="M324" s="85" t="n"/>
      <c r="N324" s="85" t="n"/>
      <c r="O324" s="85" t="n"/>
      <c r="P324" s="85" t="n"/>
      <c r="Q324" s="85" t="n"/>
      <c r="R324" s="85" t="n"/>
      <c r="S324" s="85" t="n"/>
      <c r="T324" s="85" t="n"/>
      <c r="U324" s="85" t="n"/>
      <c r="V324" s="85" t="n"/>
      <c r="W324" s="85" t="n"/>
      <c r="X324" s="85" t="n"/>
      <c r="Y324" s="85" t="n"/>
      <c r="Z324" s="85" t="n"/>
      <c r="AA324" s="85" t="n"/>
      <c r="AB324" s="85" t="n"/>
      <c r="AC324" s="86" t="n"/>
      <c r="AD324" s="86" t="n"/>
      <c r="AE324" s="86" t="n"/>
      <c r="AF324" s="85" t="n"/>
      <c r="AG324" s="85" t="n"/>
      <c r="AH324" s="85">
        <f>IF($A324="","",IF(AND($E324="Yes",OR($V324="No",$V324="NOT FOUND")),"YES",""))</f>
        <v/>
      </c>
      <c r="AI324" s="85">
        <f>IF($A324="","",TRIM(IF(AND($M324=0,$I324&lt;&gt;"Yes"),"T0-NoPhishResistant ","")&amp;IF($H324="No","NoMFA ","")&amp;IF(AND($M324=0,$O324="Group only"),"T0-ViaGroupOnly ","")&amp;IF($N324="Yes","BroadAzureScope ","")&amp;IF($T324="Yes","AlsoEntraRole ","")))</f>
        <v/>
      </c>
      <c r="AJ324" s="85">
        <f>IF($A324="","",IF(AD324="","Not Enrolled",IF(TODAY()&gt;AD324,"Review Overdue",IF(AD324-TODAY()&lt;=30,"Review Due Soon","Active"))))</f>
        <v/>
      </c>
      <c r="AK324" s="85">
        <f>IF($A324="","",IF(AE324="","NOT REVIEWED",IF(TODAY()-AE324&gt;90,"OVERDUE",IF(TODAY()-AE324&gt;76,"Due Soon","Current"))))</f>
        <v/>
      </c>
    </row>
    <row r="325" ht="15" customHeight="1" s="39">
      <c r="A325" s="85" t="n"/>
      <c r="B325" s="85" t="n"/>
      <c r="C325" s="85" t="n"/>
      <c r="D325" s="85" t="n"/>
      <c r="E325" s="85" t="n"/>
      <c r="F325" s="86" t="n"/>
      <c r="G325" s="86" t="n"/>
      <c r="H325" s="85" t="n"/>
      <c r="I325" s="85" t="n"/>
      <c r="J325" s="85" t="n"/>
      <c r="K325" s="85" t="n"/>
      <c r="L325" s="85" t="n"/>
      <c r="M325" s="85" t="n"/>
      <c r="N325" s="85" t="n"/>
      <c r="O325" s="85" t="n"/>
      <c r="P325" s="85" t="n"/>
      <c r="Q325" s="85" t="n"/>
      <c r="R325" s="85" t="n"/>
      <c r="S325" s="85" t="n"/>
      <c r="T325" s="85" t="n"/>
      <c r="U325" s="85" t="n"/>
      <c r="V325" s="85" t="n"/>
      <c r="W325" s="85" t="n"/>
      <c r="X325" s="85" t="n"/>
      <c r="Y325" s="85" t="n"/>
      <c r="Z325" s="85" t="n"/>
      <c r="AA325" s="85" t="n"/>
      <c r="AB325" s="85" t="n"/>
      <c r="AC325" s="86" t="n"/>
      <c r="AD325" s="86" t="n"/>
      <c r="AE325" s="86" t="n"/>
      <c r="AF325" s="85" t="n"/>
      <c r="AG325" s="85" t="n"/>
      <c r="AH325" s="85">
        <f>IF($A325="","",IF(AND($E325="Yes",OR($V325="No",$V325="NOT FOUND")),"YES",""))</f>
        <v/>
      </c>
      <c r="AI325" s="85">
        <f>IF($A325="","",TRIM(IF(AND($M325=0,$I325&lt;&gt;"Yes"),"T0-NoPhishResistant ","")&amp;IF($H325="No","NoMFA ","")&amp;IF(AND($M325=0,$O325="Group only"),"T0-ViaGroupOnly ","")&amp;IF($N325="Yes","BroadAzureScope ","")&amp;IF($T325="Yes","AlsoEntraRole ","")))</f>
        <v/>
      </c>
      <c r="AJ325" s="85">
        <f>IF($A325="","",IF(AD325="","Not Enrolled",IF(TODAY()&gt;AD325,"Review Overdue",IF(AD325-TODAY()&lt;=30,"Review Due Soon","Active"))))</f>
        <v/>
      </c>
      <c r="AK325" s="85">
        <f>IF($A325="","",IF(AE325="","NOT REVIEWED",IF(TODAY()-AE325&gt;90,"OVERDUE",IF(TODAY()-AE325&gt;76,"Due Soon","Current"))))</f>
        <v/>
      </c>
    </row>
    <row r="326" ht="15" customHeight="1" s="39">
      <c r="A326" s="85" t="n"/>
      <c r="B326" s="85" t="n"/>
      <c r="C326" s="85" t="n"/>
      <c r="D326" s="85" t="n"/>
      <c r="E326" s="85" t="n"/>
      <c r="F326" s="86" t="n"/>
      <c r="G326" s="86" t="n"/>
      <c r="H326" s="85" t="n"/>
      <c r="I326" s="85" t="n"/>
      <c r="J326" s="85" t="n"/>
      <c r="K326" s="85" t="n"/>
      <c r="L326" s="85" t="n"/>
      <c r="M326" s="85" t="n"/>
      <c r="N326" s="85" t="n"/>
      <c r="O326" s="85" t="n"/>
      <c r="P326" s="85" t="n"/>
      <c r="Q326" s="85" t="n"/>
      <c r="R326" s="85" t="n"/>
      <c r="S326" s="85" t="n"/>
      <c r="T326" s="85" t="n"/>
      <c r="U326" s="85" t="n"/>
      <c r="V326" s="85" t="n"/>
      <c r="W326" s="85" t="n"/>
      <c r="X326" s="85" t="n"/>
      <c r="Y326" s="85" t="n"/>
      <c r="Z326" s="85" t="n"/>
      <c r="AA326" s="85" t="n"/>
      <c r="AB326" s="85" t="n"/>
      <c r="AC326" s="86" t="n"/>
      <c r="AD326" s="86" t="n"/>
      <c r="AE326" s="86" t="n"/>
      <c r="AF326" s="85" t="n"/>
      <c r="AG326" s="85" t="n"/>
      <c r="AH326" s="85">
        <f>IF($A326="","",IF(AND($E326="Yes",OR($V326="No",$V326="NOT FOUND")),"YES",""))</f>
        <v/>
      </c>
      <c r="AI326" s="85">
        <f>IF($A326="","",TRIM(IF(AND($M326=0,$I326&lt;&gt;"Yes"),"T0-NoPhishResistant ","")&amp;IF($H326="No","NoMFA ","")&amp;IF(AND($M326=0,$O326="Group only"),"T0-ViaGroupOnly ","")&amp;IF($N326="Yes","BroadAzureScope ","")&amp;IF($T326="Yes","AlsoEntraRole ","")))</f>
        <v/>
      </c>
      <c r="AJ326" s="85">
        <f>IF($A326="","",IF(AD326="","Not Enrolled",IF(TODAY()&gt;AD326,"Review Overdue",IF(AD326-TODAY()&lt;=30,"Review Due Soon","Active"))))</f>
        <v/>
      </c>
      <c r="AK326" s="85">
        <f>IF($A326="","",IF(AE326="","NOT REVIEWED",IF(TODAY()-AE326&gt;90,"OVERDUE",IF(TODAY()-AE326&gt;76,"Due Soon","Current"))))</f>
        <v/>
      </c>
    </row>
    <row r="327" ht="15" customHeight="1" s="39">
      <c r="A327" s="85" t="n"/>
      <c r="B327" s="85" t="n"/>
      <c r="C327" s="85" t="n"/>
      <c r="D327" s="85" t="n"/>
      <c r="E327" s="85" t="n"/>
      <c r="F327" s="86" t="n"/>
      <c r="G327" s="86" t="n"/>
      <c r="H327" s="85" t="n"/>
      <c r="I327" s="85" t="n"/>
      <c r="J327" s="85" t="n"/>
      <c r="K327" s="85" t="n"/>
      <c r="L327" s="85" t="n"/>
      <c r="M327" s="85" t="n"/>
      <c r="N327" s="85" t="n"/>
      <c r="O327" s="85" t="n"/>
      <c r="P327" s="85" t="n"/>
      <c r="Q327" s="85" t="n"/>
      <c r="R327" s="85" t="n"/>
      <c r="S327" s="85" t="n"/>
      <c r="T327" s="85" t="n"/>
      <c r="U327" s="85" t="n"/>
      <c r="V327" s="85" t="n"/>
      <c r="W327" s="85" t="n"/>
      <c r="X327" s="85" t="n"/>
      <c r="Y327" s="85" t="n"/>
      <c r="Z327" s="85" t="n"/>
      <c r="AA327" s="85" t="n"/>
      <c r="AB327" s="85" t="n"/>
      <c r="AC327" s="86" t="n"/>
      <c r="AD327" s="86" t="n"/>
      <c r="AE327" s="86" t="n"/>
      <c r="AF327" s="85" t="n"/>
      <c r="AG327" s="85" t="n"/>
      <c r="AH327" s="85">
        <f>IF($A327="","",IF(AND($E327="Yes",OR($V327="No",$V327="NOT FOUND")),"YES",""))</f>
        <v/>
      </c>
      <c r="AI327" s="85">
        <f>IF($A327="","",TRIM(IF(AND($M327=0,$I327&lt;&gt;"Yes"),"T0-NoPhishResistant ","")&amp;IF($H327="No","NoMFA ","")&amp;IF(AND($M327=0,$O327="Group only"),"T0-ViaGroupOnly ","")&amp;IF($N327="Yes","BroadAzureScope ","")&amp;IF($T327="Yes","AlsoEntraRole ","")))</f>
        <v/>
      </c>
      <c r="AJ327" s="85">
        <f>IF($A327="","",IF(AD327="","Not Enrolled",IF(TODAY()&gt;AD327,"Review Overdue",IF(AD327-TODAY()&lt;=30,"Review Due Soon","Active"))))</f>
        <v/>
      </c>
      <c r="AK327" s="85">
        <f>IF($A327="","",IF(AE327="","NOT REVIEWED",IF(TODAY()-AE327&gt;90,"OVERDUE",IF(TODAY()-AE327&gt;76,"Due Soon","Current"))))</f>
        <v/>
      </c>
    </row>
    <row r="328" ht="15" customHeight="1" s="39">
      <c r="A328" s="85" t="n"/>
      <c r="B328" s="85" t="n"/>
      <c r="C328" s="85" t="n"/>
      <c r="D328" s="85" t="n"/>
      <c r="E328" s="85" t="n"/>
      <c r="F328" s="86" t="n"/>
      <c r="G328" s="86" t="n"/>
      <c r="H328" s="85" t="n"/>
      <c r="I328" s="85" t="n"/>
      <c r="J328" s="85" t="n"/>
      <c r="K328" s="85" t="n"/>
      <c r="L328" s="85" t="n"/>
      <c r="M328" s="85" t="n"/>
      <c r="N328" s="85" t="n"/>
      <c r="O328" s="85" t="n"/>
      <c r="P328" s="85" t="n"/>
      <c r="Q328" s="85" t="n"/>
      <c r="R328" s="85" t="n"/>
      <c r="S328" s="85" t="n"/>
      <c r="T328" s="85" t="n"/>
      <c r="U328" s="85" t="n"/>
      <c r="V328" s="85" t="n"/>
      <c r="W328" s="85" t="n"/>
      <c r="X328" s="85" t="n"/>
      <c r="Y328" s="85" t="n"/>
      <c r="Z328" s="85" t="n"/>
      <c r="AA328" s="85" t="n"/>
      <c r="AB328" s="85" t="n"/>
      <c r="AC328" s="86" t="n"/>
      <c r="AD328" s="86" t="n"/>
      <c r="AE328" s="86" t="n"/>
      <c r="AF328" s="85" t="n"/>
      <c r="AG328" s="85" t="n"/>
      <c r="AH328" s="85">
        <f>IF($A328="","",IF(AND($E328="Yes",OR($V328="No",$V328="NOT FOUND")),"YES",""))</f>
        <v/>
      </c>
      <c r="AI328" s="85">
        <f>IF($A328="","",TRIM(IF(AND($M328=0,$I328&lt;&gt;"Yes"),"T0-NoPhishResistant ","")&amp;IF($H328="No","NoMFA ","")&amp;IF(AND($M328=0,$O328="Group only"),"T0-ViaGroupOnly ","")&amp;IF($N328="Yes","BroadAzureScope ","")&amp;IF($T328="Yes","AlsoEntraRole ","")))</f>
        <v/>
      </c>
      <c r="AJ328" s="85">
        <f>IF($A328="","",IF(AD328="","Not Enrolled",IF(TODAY()&gt;AD328,"Review Overdue",IF(AD328-TODAY()&lt;=30,"Review Due Soon","Active"))))</f>
        <v/>
      </c>
      <c r="AK328" s="85">
        <f>IF($A328="","",IF(AE328="","NOT REVIEWED",IF(TODAY()-AE328&gt;90,"OVERDUE",IF(TODAY()-AE328&gt;76,"Due Soon","Current"))))</f>
        <v/>
      </c>
    </row>
    <row r="329" ht="15" customHeight="1" s="39">
      <c r="A329" s="85" t="n"/>
      <c r="B329" s="85" t="n"/>
      <c r="C329" s="85" t="n"/>
      <c r="D329" s="85" t="n"/>
      <c r="E329" s="85" t="n"/>
      <c r="F329" s="86" t="n"/>
      <c r="G329" s="86" t="n"/>
      <c r="H329" s="85" t="n"/>
      <c r="I329" s="85" t="n"/>
      <c r="J329" s="85" t="n"/>
      <c r="K329" s="85" t="n"/>
      <c r="L329" s="85" t="n"/>
      <c r="M329" s="85" t="n"/>
      <c r="N329" s="85" t="n"/>
      <c r="O329" s="85" t="n"/>
      <c r="P329" s="85" t="n"/>
      <c r="Q329" s="85" t="n"/>
      <c r="R329" s="85" t="n"/>
      <c r="S329" s="85" t="n"/>
      <c r="T329" s="85" t="n"/>
      <c r="U329" s="85" t="n"/>
      <c r="V329" s="85" t="n"/>
      <c r="W329" s="85" t="n"/>
      <c r="X329" s="85" t="n"/>
      <c r="Y329" s="85" t="n"/>
      <c r="Z329" s="85" t="n"/>
      <c r="AA329" s="85" t="n"/>
      <c r="AB329" s="85" t="n"/>
      <c r="AC329" s="86" t="n"/>
      <c r="AD329" s="86" t="n"/>
      <c r="AE329" s="86" t="n"/>
      <c r="AF329" s="85" t="n"/>
      <c r="AG329" s="85" t="n"/>
      <c r="AH329" s="85">
        <f>IF($A329="","",IF(AND($E329="Yes",OR($V329="No",$V329="NOT FOUND")),"YES",""))</f>
        <v/>
      </c>
      <c r="AI329" s="85">
        <f>IF($A329="","",TRIM(IF(AND($M329=0,$I329&lt;&gt;"Yes"),"T0-NoPhishResistant ","")&amp;IF($H329="No","NoMFA ","")&amp;IF(AND($M329=0,$O329="Group only"),"T0-ViaGroupOnly ","")&amp;IF($N329="Yes","BroadAzureScope ","")&amp;IF($T329="Yes","AlsoEntraRole ","")))</f>
        <v/>
      </c>
      <c r="AJ329" s="85">
        <f>IF($A329="","",IF(AD329="","Not Enrolled",IF(TODAY()&gt;AD329,"Review Overdue",IF(AD329-TODAY()&lt;=30,"Review Due Soon","Active"))))</f>
        <v/>
      </c>
      <c r="AK329" s="85">
        <f>IF($A329="","",IF(AE329="","NOT REVIEWED",IF(TODAY()-AE329&gt;90,"OVERDUE",IF(TODAY()-AE329&gt;76,"Due Soon","Current"))))</f>
        <v/>
      </c>
    </row>
    <row r="330" ht="15" customHeight="1" s="39">
      <c r="A330" s="85" t="n"/>
      <c r="B330" s="85" t="n"/>
      <c r="C330" s="85" t="n"/>
      <c r="D330" s="85" t="n"/>
      <c r="E330" s="85" t="n"/>
      <c r="F330" s="86" t="n"/>
      <c r="G330" s="86" t="n"/>
      <c r="H330" s="85" t="n"/>
      <c r="I330" s="85" t="n"/>
      <c r="J330" s="85" t="n"/>
      <c r="K330" s="85" t="n"/>
      <c r="L330" s="85" t="n"/>
      <c r="M330" s="85" t="n"/>
      <c r="N330" s="85" t="n"/>
      <c r="O330" s="85" t="n"/>
      <c r="P330" s="85" t="n"/>
      <c r="Q330" s="85" t="n"/>
      <c r="R330" s="85" t="n"/>
      <c r="S330" s="85" t="n"/>
      <c r="T330" s="85" t="n"/>
      <c r="U330" s="85" t="n"/>
      <c r="V330" s="85" t="n"/>
      <c r="W330" s="85" t="n"/>
      <c r="X330" s="85" t="n"/>
      <c r="Y330" s="85" t="n"/>
      <c r="Z330" s="85" t="n"/>
      <c r="AA330" s="85" t="n"/>
      <c r="AB330" s="85" t="n"/>
      <c r="AC330" s="86" t="n"/>
      <c r="AD330" s="86" t="n"/>
      <c r="AE330" s="86" t="n"/>
      <c r="AF330" s="85" t="n"/>
      <c r="AG330" s="85" t="n"/>
      <c r="AH330" s="85">
        <f>IF($A330="","",IF(AND($E330="Yes",OR($V330="No",$V330="NOT FOUND")),"YES",""))</f>
        <v/>
      </c>
      <c r="AI330" s="85">
        <f>IF($A330="","",TRIM(IF(AND($M330=0,$I330&lt;&gt;"Yes"),"T0-NoPhishResistant ","")&amp;IF($H330="No","NoMFA ","")&amp;IF(AND($M330=0,$O330="Group only"),"T0-ViaGroupOnly ","")&amp;IF($N330="Yes","BroadAzureScope ","")&amp;IF($T330="Yes","AlsoEntraRole ","")))</f>
        <v/>
      </c>
      <c r="AJ330" s="85">
        <f>IF($A330="","",IF(AD330="","Not Enrolled",IF(TODAY()&gt;AD330,"Review Overdue",IF(AD330-TODAY()&lt;=30,"Review Due Soon","Active"))))</f>
        <v/>
      </c>
      <c r="AK330" s="85">
        <f>IF($A330="","",IF(AE330="","NOT REVIEWED",IF(TODAY()-AE330&gt;90,"OVERDUE",IF(TODAY()-AE330&gt;76,"Due Soon","Current"))))</f>
        <v/>
      </c>
    </row>
    <row r="331" ht="15" customHeight="1" s="39">
      <c r="A331" s="85" t="n"/>
      <c r="B331" s="85" t="n"/>
      <c r="C331" s="85" t="n"/>
      <c r="D331" s="85" t="n"/>
      <c r="E331" s="85" t="n"/>
      <c r="F331" s="86" t="n"/>
      <c r="G331" s="86" t="n"/>
      <c r="H331" s="85" t="n"/>
      <c r="I331" s="85" t="n"/>
      <c r="J331" s="85" t="n"/>
      <c r="K331" s="85" t="n"/>
      <c r="L331" s="85" t="n"/>
      <c r="M331" s="85" t="n"/>
      <c r="N331" s="85" t="n"/>
      <c r="O331" s="85" t="n"/>
      <c r="P331" s="85" t="n"/>
      <c r="Q331" s="85" t="n"/>
      <c r="R331" s="85" t="n"/>
      <c r="S331" s="85" t="n"/>
      <c r="T331" s="85" t="n"/>
      <c r="U331" s="85" t="n"/>
      <c r="V331" s="85" t="n"/>
      <c r="W331" s="85" t="n"/>
      <c r="X331" s="85" t="n"/>
      <c r="Y331" s="85" t="n"/>
      <c r="Z331" s="85" t="n"/>
      <c r="AA331" s="85" t="n"/>
      <c r="AB331" s="85" t="n"/>
      <c r="AC331" s="86" t="n"/>
      <c r="AD331" s="86" t="n"/>
      <c r="AE331" s="86" t="n"/>
      <c r="AF331" s="85" t="n"/>
      <c r="AG331" s="85" t="n"/>
      <c r="AH331" s="85">
        <f>IF($A331="","",IF(AND($E331="Yes",OR($V331="No",$V331="NOT FOUND")),"YES",""))</f>
        <v/>
      </c>
      <c r="AI331" s="85">
        <f>IF($A331="","",TRIM(IF(AND($M331=0,$I331&lt;&gt;"Yes"),"T0-NoPhishResistant ","")&amp;IF($H331="No","NoMFA ","")&amp;IF(AND($M331=0,$O331="Group only"),"T0-ViaGroupOnly ","")&amp;IF($N331="Yes","BroadAzureScope ","")&amp;IF($T331="Yes","AlsoEntraRole ","")))</f>
        <v/>
      </c>
      <c r="AJ331" s="85">
        <f>IF($A331="","",IF(AD331="","Not Enrolled",IF(TODAY()&gt;AD331,"Review Overdue",IF(AD331-TODAY()&lt;=30,"Review Due Soon","Active"))))</f>
        <v/>
      </c>
      <c r="AK331" s="85">
        <f>IF($A331="","",IF(AE331="","NOT REVIEWED",IF(TODAY()-AE331&gt;90,"OVERDUE",IF(TODAY()-AE331&gt;76,"Due Soon","Current"))))</f>
        <v/>
      </c>
    </row>
    <row r="332" ht="15" customHeight="1" s="39">
      <c r="A332" s="85" t="n"/>
      <c r="B332" s="85" t="n"/>
      <c r="C332" s="85" t="n"/>
      <c r="D332" s="85" t="n"/>
      <c r="E332" s="85" t="n"/>
      <c r="F332" s="86" t="n"/>
      <c r="G332" s="86" t="n"/>
      <c r="H332" s="85" t="n"/>
      <c r="I332" s="85" t="n"/>
      <c r="J332" s="85" t="n"/>
      <c r="K332" s="85" t="n"/>
      <c r="L332" s="85" t="n"/>
      <c r="M332" s="85" t="n"/>
      <c r="N332" s="85" t="n"/>
      <c r="O332" s="85" t="n"/>
      <c r="P332" s="85" t="n"/>
      <c r="Q332" s="85" t="n"/>
      <c r="R332" s="85" t="n"/>
      <c r="S332" s="85" t="n"/>
      <c r="T332" s="85" t="n"/>
      <c r="U332" s="85" t="n"/>
      <c r="V332" s="85" t="n"/>
      <c r="W332" s="85" t="n"/>
      <c r="X332" s="85" t="n"/>
      <c r="Y332" s="85" t="n"/>
      <c r="Z332" s="85" t="n"/>
      <c r="AA332" s="85" t="n"/>
      <c r="AB332" s="85" t="n"/>
      <c r="AC332" s="86" t="n"/>
      <c r="AD332" s="86" t="n"/>
      <c r="AE332" s="86" t="n"/>
      <c r="AF332" s="85" t="n"/>
      <c r="AG332" s="85" t="n"/>
      <c r="AH332" s="85">
        <f>IF($A332="","",IF(AND($E332="Yes",OR($V332="No",$V332="NOT FOUND")),"YES",""))</f>
        <v/>
      </c>
      <c r="AI332" s="85">
        <f>IF($A332="","",TRIM(IF(AND($M332=0,$I332&lt;&gt;"Yes"),"T0-NoPhishResistant ","")&amp;IF($H332="No","NoMFA ","")&amp;IF(AND($M332=0,$O332="Group only"),"T0-ViaGroupOnly ","")&amp;IF($N332="Yes","BroadAzureScope ","")&amp;IF($T332="Yes","AlsoEntraRole ","")))</f>
        <v/>
      </c>
      <c r="AJ332" s="85">
        <f>IF($A332="","",IF(AD332="","Not Enrolled",IF(TODAY()&gt;AD332,"Review Overdue",IF(AD332-TODAY()&lt;=30,"Review Due Soon","Active"))))</f>
        <v/>
      </c>
      <c r="AK332" s="85">
        <f>IF($A332="","",IF(AE332="","NOT REVIEWED",IF(TODAY()-AE332&gt;90,"OVERDUE",IF(TODAY()-AE332&gt;76,"Due Soon","Current"))))</f>
        <v/>
      </c>
    </row>
    <row r="333" ht="15" customHeight="1" s="39">
      <c r="A333" s="85" t="n"/>
      <c r="B333" s="85" t="n"/>
      <c r="C333" s="85" t="n"/>
      <c r="D333" s="85" t="n"/>
      <c r="E333" s="85" t="n"/>
      <c r="F333" s="86" t="n"/>
      <c r="G333" s="86" t="n"/>
      <c r="H333" s="85" t="n"/>
      <c r="I333" s="85" t="n"/>
      <c r="J333" s="85" t="n"/>
      <c r="K333" s="85" t="n"/>
      <c r="L333" s="85" t="n"/>
      <c r="M333" s="85" t="n"/>
      <c r="N333" s="85" t="n"/>
      <c r="O333" s="85" t="n"/>
      <c r="P333" s="85" t="n"/>
      <c r="Q333" s="85" t="n"/>
      <c r="R333" s="85" t="n"/>
      <c r="S333" s="85" t="n"/>
      <c r="T333" s="85" t="n"/>
      <c r="U333" s="85" t="n"/>
      <c r="V333" s="85" t="n"/>
      <c r="W333" s="85" t="n"/>
      <c r="X333" s="85" t="n"/>
      <c r="Y333" s="85" t="n"/>
      <c r="Z333" s="85" t="n"/>
      <c r="AA333" s="85" t="n"/>
      <c r="AB333" s="85" t="n"/>
      <c r="AC333" s="86" t="n"/>
      <c r="AD333" s="86" t="n"/>
      <c r="AE333" s="86" t="n"/>
      <c r="AF333" s="85" t="n"/>
      <c r="AG333" s="85" t="n"/>
      <c r="AH333" s="85">
        <f>IF($A333="","",IF(AND($E333="Yes",OR($V333="No",$V333="NOT FOUND")),"YES",""))</f>
        <v/>
      </c>
      <c r="AI333" s="85">
        <f>IF($A333="","",TRIM(IF(AND($M333=0,$I333&lt;&gt;"Yes"),"T0-NoPhishResistant ","")&amp;IF($H333="No","NoMFA ","")&amp;IF(AND($M333=0,$O333="Group only"),"T0-ViaGroupOnly ","")&amp;IF($N333="Yes","BroadAzureScope ","")&amp;IF($T333="Yes","AlsoEntraRole ","")))</f>
        <v/>
      </c>
      <c r="AJ333" s="85">
        <f>IF($A333="","",IF(AD333="","Not Enrolled",IF(TODAY()&gt;AD333,"Review Overdue",IF(AD333-TODAY()&lt;=30,"Review Due Soon","Active"))))</f>
        <v/>
      </c>
      <c r="AK333" s="85">
        <f>IF($A333="","",IF(AE333="","NOT REVIEWED",IF(TODAY()-AE333&gt;90,"OVERDUE",IF(TODAY()-AE333&gt;76,"Due Soon","Current"))))</f>
        <v/>
      </c>
    </row>
    <row r="334" ht="15" customHeight="1" s="39">
      <c r="A334" s="85" t="n"/>
      <c r="B334" s="85" t="n"/>
      <c r="C334" s="85" t="n"/>
      <c r="D334" s="85" t="n"/>
      <c r="E334" s="85" t="n"/>
      <c r="F334" s="86" t="n"/>
      <c r="G334" s="86" t="n"/>
      <c r="H334" s="85" t="n"/>
      <c r="I334" s="85" t="n"/>
      <c r="J334" s="85" t="n"/>
      <c r="K334" s="85" t="n"/>
      <c r="L334" s="85" t="n"/>
      <c r="M334" s="85" t="n"/>
      <c r="N334" s="85" t="n"/>
      <c r="O334" s="85" t="n"/>
      <c r="P334" s="85" t="n"/>
      <c r="Q334" s="85" t="n"/>
      <c r="R334" s="85" t="n"/>
      <c r="S334" s="85" t="n"/>
      <c r="T334" s="85" t="n"/>
      <c r="U334" s="85" t="n"/>
      <c r="V334" s="85" t="n"/>
      <c r="W334" s="85" t="n"/>
      <c r="X334" s="85" t="n"/>
      <c r="Y334" s="85" t="n"/>
      <c r="Z334" s="85" t="n"/>
      <c r="AA334" s="85" t="n"/>
      <c r="AB334" s="85" t="n"/>
      <c r="AC334" s="86" t="n"/>
      <c r="AD334" s="86" t="n"/>
      <c r="AE334" s="86" t="n"/>
      <c r="AF334" s="85" t="n"/>
      <c r="AG334" s="85" t="n"/>
      <c r="AH334" s="85">
        <f>IF($A334="","",IF(AND($E334="Yes",OR($V334="No",$V334="NOT FOUND")),"YES",""))</f>
        <v/>
      </c>
      <c r="AI334" s="85">
        <f>IF($A334="","",TRIM(IF(AND($M334=0,$I334&lt;&gt;"Yes"),"T0-NoPhishResistant ","")&amp;IF($H334="No","NoMFA ","")&amp;IF(AND($M334=0,$O334="Group only"),"T0-ViaGroupOnly ","")&amp;IF($N334="Yes","BroadAzureScope ","")&amp;IF($T334="Yes","AlsoEntraRole ","")))</f>
        <v/>
      </c>
      <c r="AJ334" s="85">
        <f>IF($A334="","",IF(AD334="","Not Enrolled",IF(TODAY()&gt;AD334,"Review Overdue",IF(AD334-TODAY()&lt;=30,"Review Due Soon","Active"))))</f>
        <v/>
      </c>
      <c r="AK334" s="85">
        <f>IF($A334="","",IF(AE334="","NOT REVIEWED",IF(TODAY()-AE334&gt;90,"OVERDUE",IF(TODAY()-AE334&gt;76,"Due Soon","Current"))))</f>
        <v/>
      </c>
    </row>
    <row r="335" ht="15" customHeight="1" s="39">
      <c r="A335" s="85" t="n"/>
      <c r="B335" s="85" t="n"/>
      <c r="C335" s="85" t="n"/>
      <c r="D335" s="85" t="n"/>
      <c r="E335" s="85" t="n"/>
      <c r="F335" s="86" t="n"/>
      <c r="G335" s="86" t="n"/>
      <c r="H335" s="85" t="n"/>
      <c r="I335" s="85" t="n"/>
      <c r="J335" s="85" t="n"/>
      <c r="K335" s="85" t="n"/>
      <c r="L335" s="85" t="n"/>
      <c r="M335" s="85" t="n"/>
      <c r="N335" s="85" t="n"/>
      <c r="O335" s="85" t="n"/>
      <c r="P335" s="85" t="n"/>
      <c r="Q335" s="85" t="n"/>
      <c r="R335" s="85" t="n"/>
      <c r="S335" s="85" t="n"/>
      <c r="T335" s="85" t="n"/>
      <c r="U335" s="85" t="n"/>
      <c r="V335" s="85" t="n"/>
      <c r="W335" s="85" t="n"/>
      <c r="X335" s="85" t="n"/>
      <c r="Y335" s="85" t="n"/>
      <c r="Z335" s="85" t="n"/>
      <c r="AA335" s="85" t="n"/>
      <c r="AB335" s="85" t="n"/>
      <c r="AC335" s="86" t="n"/>
      <c r="AD335" s="86" t="n"/>
      <c r="AE335" s="86" t="n"/>
      <c r="AF335" s="85" t="n"/>
      <c r="AG335" s="85" t="n"/>
      <c r="AH335" s="85">
        <f>IF($A335="","",IF(AND($E335="Yes",OR($V335="No",$V335="NOT FOUND")),"YES",""))</f>
        <v/>
      </c>
      <c r="AI335" s="85">
        <f>IF($A335="","",TRIM(IF(AND($M335=0,$I335&lt;&gt;"Yes"),"T0-NoPhishResistant ","")&amp;IF($H335="No","NoMFA ","")&amp;IF(AND($M335=0,$O335="Group only"),"T0-ViaGroupOnly ","")&amp;IF($N335="Yes","BroadAzureScope ","")&amp;IF($T335="Yes","AlsoEntraRole ","")))</f>
        <v/>
      </c>
      <c r="AJ335" s="85">
        <f>IF($A335="","",IF(AD335="","Not Enrolled",IF(TODAY()&gt;AD335,"Review Overdue",IF(AD335-TODAY()&lt;=30,"Review Due Soon","Active"))))</f>
        <v/>
      </c>
      <c r="AK335" s="85">
        <f>IF($A335="","",IF(AE335="","NOT REVIEWED",IF(TODAY()-AE335&gt;90,"OVERDUE",IF(TODAY()-AE335&gt;76,"Due Soon","Current"))))</f>
        <v/>
      </c>
    </row>
    <row r="336" ht="15" customHeight="1" s="39">
      <c r="A336" s="85" t="n"/>
      <c r="B336" s="85" t="n"/>
      <c r="C336" s="85" t="n"/>
      <c r="D336" s="85" t="n"/>
      <c r="E336" s="85" t="n"/>
      <c r="F336" s="86" t="n"/>
      <c r="G336" s="86" t="n"/>
      <c r="H336" s="85" t="n"/>
      <c r="I336" s="85" t="n"/>
      <c r="J336" s="85" t="n"/>
      <c r="K336" s="85" t="n"/>
      <c r="L336" s="85" t="n"/>
      <c r="M336" s="85" t="n"/>
      <c r="N336" s="85" t="n"/>
      <c r="O336" s="85" t="n"/>
      <c r="P336" s="85" t="n"/>
      <c r="Q336" s="85" t="n"/>
      <c r="R336" s="85" t="n"/>
      <c r="S336" s="85" t="n"/>
      <c r="T336" s="85" t="n"/>
      <c r="U336" s="85" t="n"/>
      <c r="V336" s="85" t="n"/>
      <c r="W336" s="85" t="n"/>
      <c r="X336" s="85" t="n"/>
      <c r="Y336" s="85" t="n"/>
      <c r="Z336" s="85" t="n"/>
      <c r="AA336" s="85" t="n"/>
      <c r="AB336" s="85" t="n"/>
      <c r="AC336" s="86" t="n"/>
      <c r="AD336" s="86" t="n"/>
      <c r="AE336" s="86" t="n"/>
      <c r="AF336" s="85" t="n"/>
      <c r="AG336" s="85" t="n"/>
      <c r="AH336" s="85">
        <f>IF($A336="","",IF(AND($E336="Yes",OR($V336="No",$V336="NOT FOUND")),"YES",""))</f>
        <v/>
      </c>
      <c r="AI336" s="85">
        <f>IF($A336="","",TRIM(IF(AND($M336=0,$I336&lt;&gt;"Yes"),"T0-NoPhishResistant ","")&amp;IF($H336="No","NoMFA ","")&amp;IF(AND($M336=0,$O336="Group only"),"T0-ViaGroupOnly ","")&amp;IF($N336="Yes","BroadAzureScope ","")&amp;IF($T336="Yes","AlsoEntraRole ","")))</f>
        <v/>
      </c>
      <c r="AJ336" s="85">
        <f>IF($A336="","",IF(AD336="","Not Enrolled",IF(TODAY()&gt;AD336,"Review Overdue",IF(AD336-TODAY()&lt;=30,"Review Due Soon","Active"))))</f>
        <v/>
      </c>
      <c r="AK336" s="85">
        <f>IF($A336="","",IF(AE336="","NOT REVIEWED",IF(TODAY()-AE336&gt;90,"OVERDUE",IF(TODAY()-AE336&gt;76,"Due Soon","Current"))))</f>
        <v/>
      </c>
    </row>
    <row r="337" ht="15" customHeight="1" s="39">
      <c r="A337" s="85" t="n"/>
      <c r="B337" s="85" t="n"/>
      <c r="C337" s="85" t="n"/>
      <c r="D337" s="85" t="n"/>
      <c r="E337" s="85" t="n"/>
      <c r="F337" s="86" t="n"/>
      <c r="G337" s="86" t="n"/>
      <c r="H337" s="85" t="n"/>
      <c r="I337" s="85" t="n"/>
      <c r="J337" s="85" t="n"/>
      <c r="K337" s="85" t="n"/>
      <c r="L337" s="85" t="n"/>
      <c r="M337" s="85" t="n"/>
      <c r="N337" s="85" t="n"/>
      <c r="O337" s="85" t="n"/>
      <c r="P337" s="85" t="n"/>
      <c r="Q337" s="85" t="n"/>
      <c r="R337" s="85" t="n"/>
      <c r="S337" s="85" t="n"/>
      <c r="T337" s="85" t="n"/>
      <c r="U337" s="85" t="n"/>
      <c r="V337" s="85" t="n"/>
      <c r="W337" s="85" t="n"/>
      <c r="X337" s="85" t="n"/>
      <c r="Y337" s="85" t="n"/>
      <c r="Z337" s="85" t="n"/>
      <c r="AA337" s="85" t="n"/>
      <c r="AB337" s="85" t="n"/>
      <c r="AC337" s="86" t="n"/>
      <c r="AD337" s="86" t="n"/>
      <c r="AE337" s="86" t="n"/>
      <c r="AF337" s="85" t="n"/>
      <c r="AG337" s="85" t="n"/>
      <c r="AH337" s="85">
        <f>IF($A337="","",IF(AND($E337="Yes",OR($V337="No",$V337="NOT FOUND")),"YES",""))</f>
        <v/>
      </c>
      <c r="AI337" s="85">
        <f>IF($A337="","",TRIM(IF(AND($M337=0,$I337&lt;&gt;"Yes"),"T0-NoPhishResistant ","")&amp;IF($H337="No","NoMFA ","")&amp;IF(AND($M337=0,$O337="Group only"),"T0-ViaGroupOnly ","")&amp;IF($N337="Yes","BroadAzureScope ","")&amp;IF($T337="Yes","AlsoEntraRole ","")))</f>
        <v/>
      </c>
      <c r="AJ337" s="85">
        <f>IF($A337="","",IF(AD337="","Not Enrolled",IF(TODAY()&gt;AD337,"Review Overdue",IF(AD337-TODAY()&lt;=30,"Review Due Soon","Active"))))</f>
        <v/>
      </c>
      <c r="AK337" s="85">
        <f>IF($A337="","",IF(AE337="","NOT REVIEWED",IF(TODAY()-AE337&gt;90,"OVERDUE",IF(TODAY()-AE337&gt;76,"Due Soon","Current"))))</f>
        <v/>
      </c>
    </row>
    <row r="338" ht="15" customHeight="1" s="39">
      <c r="A338" s="85" t="n"/>
      <c r="B338" s="85" t="n"/>
      <c r="C338" s="85" t="n"/>
      <c r="D338" s="85" t="n"/>
      <c r="E338" s="85" t="n"/>
      <c r="F338" s="86" t="n"/>
      <c r="G338" s="86" t="n"/>
      <c r="H338" s="85" t="n"/>
      <c r="I338" s="85" t="n"/>
      <c r="J338" s="85" t="n"/>
      <c r="K338" s="85" t="n"/>
      <c r="L338" s="85" t="n"/>
      <c r="M338" s="85" t="n"/>
      <c r="N338" s="85" t="n"/>
      <c r="O338" s="85" t="n"/>
      <c r="P338" s="85" t="n"/>
      <c r="Q338" s="85" t="n"/>
      <c r="R338" s="85" t="n"/>
      <c r="S338" s="85" t="n"/>
      <c r="T338" s="85" t="n"/>
      <c r="U338" s="85" t="n"/>
      <c r="V338" s="85" t="n"/>
      <c r="W338" s="85" t="n"/>
      <c r="X338" s="85" t="n"/>
      <c r="Y338" s="85" t="n"/>
      <c r="Z338" s="85" t="n"/>
      <c r="AA338" s="85" t="n"/>
      <c r="AB338" s="85" t="n"/>
      <c r="AC338" s="86" t="n"/>
      <c r="AD338" s="86" t="n"/>
      <c r="AE338" s="86" t="n"/>
      <c r="AF338" s="85" t="n"/>
      <c r="AG338" s="85" t="n"/>
      <c r="AH338" s="85">
        <f>IF($A338="","",IF(AND($E338="Yes",OR($V338="No",$V338="NOT FOUND")),"YES",""))</f>
        <v/>
      </c>
      <c r="AI338" s="85">
        <f>IF($A338="","",TRIM(IF(AND($M338=0,$I338&lt;&gt;"Yes"),"T0-NoPhishResistant ","")&amp;IF($H338="No","NoMFA ","")&amp;IF(AND($M338=0,$O338="Group only"),"T0-ViaGroupOnly ","")&amp;IF($N338="Yes","BroadAzureScope ","")&amp;IF($T338="Yes","AlsoEntraRole ","")))</f>
        <v/>
      </c>
      <c r="AJ338" s="85">
        <f>IF($A338="","",IF(AD338="","Not Enrolled",IF(TODAY()&gt;AD338,"Review Overdue",IF(AD338-TODAY()&lt;=30,"Review Due Soon","Active"))))</f>
        <v/>
      </c>
      <c r="AK338" s="85">
        <f>IF($A338="","",IF(AE338="","NOT REVIEWED",IF(TODAY()-AE338&gt;90,"OVERDUE",IF(TODAY()-AE338&gt;76,"Due Soon","Current"))))</f>
        <v/>
      </c>
    </row>
    <row r="339" ht="15" customHeight="1" s="39">
      <c r="A339" s="85" t="n"/>
      <c r="B339" s="85" t="n"/>
      <c r="C339" s="85" t="n"/>
      <c r="D339" s="85" t="n"/>
      <c r="E339" s="85" t="n"/>
      <c r="F339" s="86" t="n"/>
      <c r="G339" s="86" t="n"/>
      <c r="H339" s="85" t="n"/>
      <c r="I339" s="85" t="n"/>
      <c r="J339" s="85" t="n"/>
      <c r="K339" s="85" t="n"/>
      <c r="L339" s="85" t="n"/>
      <c r="M339" s="85" t="n"/>
      <c r="N339" s="85" t="n"/>
      <c r="O339" s="85" t="n"/>
      <c r="P339" s="85" t="n"/>
      <c r="Q339" s="85" t="n"/>
      <c r="R339" s="85" t="n"/>
      <c r="S339" s="85" t="n"/>
      <c r="T339" s="85" t="n"/>
      <c r="U339" s="85" t="n"/>
      <c r="V339" s="85" t="n"/>
      <c r="W339" s="85" t="n"/>
      <c r="X339" s="85" t="n"/>
      <c r="Y339" s="85" t="n"/>
      <c r="Z339" s="85" t="n"/>
      <c r="AA339" s="85" t="n"/>
      <c r="AB339" s="85" t="n"/>
      <c r="AC339" s="86" t="n"/>
      <c r="AD339" s="86" t="n"/>
      <c r="AE339" s="86" t="n"/>
      <c r="AF339" s="85" t="n"/>
      <c r="AG339" s="85" t="n"/>
      <c r="AH339" s="85">
        <f>IF($A339="","",IF(AND($E339="Yes",OR($V339="No",$V339="NOT FOUND")),"YES",""))</f>
        <v/>
      </c>
      <c r="AI339" s="85">
        <f>IF($A339="","",TRIM(IF(AND($M339=0,$I339&lt;&gt;"Yes"),"T0-NoPhishResistant ","")&amp;IF($H339="No","NoMFA ","")&amp;IF(AND($M339=0,$O339="Group only"),"T0-ViaGroupOnly ","")&amp;IF($N339="Yes","BroadAzureScope ","")&amp;IF($T339="Yes","AlsoEntraRole ","")))</f>
        <v/>
      </c>
      <c r="AJ339" s="85">
        <f>IF($A339="","",IF(AD339="","Not Enrolled",IF(TODAY()&gt;AD339,"Review Overdue",IF(AD339-TODAY()&lt;=30,"Review Due Soon","Active"))))</f>
        <v/>
      </c>
      <c r="AK339" s="85">
        <f>IF($A339="","",IF(AE339="","NOT REVIEWED",IF(TODAY()-AE339&gt;90,"OVERDUE",IF(TODAY()-AE339&gt;76,"Due Soon","Current"))))</f>
        <v/>
      </c>
    </row>
    <row r="340" ht="15" customHeight="1" s="39">
      <c r="A340" s="85" t="n"/>
      <c r="B340" s="85" t="n"/>
      <c r="C340" s="85" t="n"/>
      <c r="D340" s="85" t="n"/>
      <c r="E340" s="85" t="n"/>
      <c r="F340" s="86" t="n"/>
      <c r="G340" s="86" t="n"/>
      <c r="H340" s="85" t="n"/>
      <c r="I340" s="85" t="n"/>
      <c r="J340" s="85" t="n"/>
      <c r="K340" s="85" t="n"/>
      <c r="L340" s="85" t="n"/>
      <c r="M340" s="85" t="n"/>
      <c r="N340" s="85" t="n"/>
      <c r="O340" s="85" t="n"/>
      <c r="P340" s="85" t="n"/>
      <c r="Q340" s="85" t="n"/>
      <c r="R340" s="85" t="n"/>
      <c r="S340" s="85" t="n"/>
      <c r="T340" s="85" t="n"/>
      <c r="U340" s="85" t="n"/>
      <c r="V340" s="85" t="n"/>
      <c r="W340" s="85" t="n"/>
      <c r="X340" s="85" t="n"/>
      <c r="Y340" s="85" t="n"/>
      <c r="Z340" s="85" t="n"/>
      <c r="AA340" s="85" t="n"/>
      <c r="AB340" s="85" t="n"/>
      <c r="AC340" s="86" t="n"/>
      <c r="AD340" s="86" t="n"/>
      <c r="AE340" s="86" t="n"/>
      <c r="AF340" s="85" t="n"/>
      <c r="AG340" s="85" t="n"/>
      <c r="AH340" s="85">
        <f>IF($A340="","",IF(AND($E340="Yes",OR($V340="No",$V340="NOT FOUND")),"YES",""))</f>
        <v/>
      </c>
      <c r="AI340" s="85">
        <f>IF($A340="","",TRIM(IF(AND($M340=0,$I340&lt;&gt;"Yes"),"T0-NoPhishResistant ","")&amp;IF($H340="No","NoMFA ","")&amp;IF(AND($M340=0,$O340="Group only"),"T0-ViaGroupOnly ","")&amp;IF($N340="Yes","BroadAzureScope ","")&amp;IF($T340="Yes","AlsoEntraRole ","")))</f>
        <v/>
      </c>
      <c r="AJ340" s="85">
        <f>IF($A340="","",IF(AD340="","Not Enrolled",IF(TODAY()&gt;AD340,"Review Overdue",IF(AD340-TODAY()&lt;=30,"Review Due Soon","Active"))))</f>
        <v/>
      </c>
      <c r="AK340" s="85">
        <f>IF($A340="","",IF(AE340="","NOT REVIEWED",IF(TODAY()-AE340&gt;90,"OVERDUE",IF(TODAY()-AE340&gt;76,"Due Soon","Current"))))</f>
        <v/>
      </c>
    </row>
    <row r="341" ht="15" customHeight="1" s="39">
      <c r="A341" s="85" t="n"/>
      <c r="B341" s="85" t="n"/>
      <c r="C341" s="85" t="n"/>
      <c r="D341" s="85" t="n"/>
      <c r="E341" s="85" t="n"/>
      <c r="F341" s="86" t="n"/>
      <c r="G341" s="86" t="n"/>
      <c r="H341" s="85" t="n"/>
      <c r="I341" s="85" t="n"/>
      <c r="J341" s="85" t="n"/>
      <c r="K341" s="85" t="n"/>
      <c r="L341" s="85" t="n"/>
      <c r="M341" s="85" t="n"/>
      <c r="N341" s="85" t="n"/>
      <c r="O341" s="85" t="n"/>
      <c r="P341" s="85" t="n"/>
      <c r="Q341" s="85" t="n"/>
      <c r="R341" s="85" t="n"/>
      <c r="S341" s="85" t="n"/>
      <c r="T341" s="85" t="n"/>
      <c r="U341" s="85" t="n"/>
      <c r="V341" s="85" t="n"/>
      <c r="W341" s="85" t="n"/>
      <c r="X341" s="85" t="n"/>
      <c r="Y341" s="85" t="n"/>
      <c r="Z341" s="85" t="n"/>
      <c r="AA341" s="85" t="n"/>
      <c r="AB341" s="85" t="n"/>
      <c r="AC341" s="86" t="n"/>
      <c r="AD341" s="86" t="n"/>
      <c r="AE341" s="86" t="n"/>
      <c r="AF341" s="85" t="n"/>
      <c r="AG341" s="85" t="n"/>
      <c r="AH341" s="85">
        <f>IF($A341="","",IF(AND($E341="Yes",OR($V341="No",$V341="NOT FOUND")),"YES",""))</f>
        <v/>
      </c>
      <c r="AI341" s="85">
        <f>IF($A341="","",TRIM(IF(AND($M341=0,$I341&lt;&gt;"Yes"),"T0-NoPhishResistant ","")&amp;IF($H341="No","NoMFA ","")&amp;IF(AND($M341=0,$O341="Group only"),"T0-ViaGroupOnly ","")&amp;IF($N341="Yes","BroadAzureScope ","")&amp;IF($T341="Yes","AlsoEntraRole ","")))</f>
        <v/>
      </c>
      <c r="AJ341" s="85">
        <f>IF($A341="","",IF(AD341="","Not Enrolled",IF(TODAY()&gt;AD341,"Review Overdue",IF(AD341-TODAY()&lt;=30,"Review Due Soon","Active"))))</f>
        <v/>
      </c>
      <c r="AK341" s="85">
        <f>IF($A341="","",IF(AE341="","NOT REVIEWED",IF(TODAY()-AE341&gt;90,"OVERDUE",IF(TODAY()-AE341&gt;76,"Due Soon","Current"))))</f>
        <v/>
      </c>
    </row>
    <row r="342" ht="15" customHeight="1" s="39">
      <c r="A342" s="85" t="n"/>
      <c r="B342" s="85" t="n"/>
      <c r="C342" s="85" t="n"/>
      <c r="D342" s="85" t="n"/>
      <c r="E342" s="85" t="n"/>
      <c r="F342" s="86" t="n"/>
      <c r="G342" s="86" t="n"/>
      <c r="H342" s="85" t="n"/>
      <c r="I342" s="85" t="n"/>
      <c r="J342" s="85" t="n"/>
      <c r="K342" s="85" t="n"/>
      <c r="L342" s="85" t="n"/>
      <c r="M342" s="85" t="n"/>
      <c r="N342" s="85" t="n"/>
      <c r="O342" s="85" t="n"/>
      <c r="P342" s="85" t="n"/>
      <c r="Q342" s="85" t="n"/>
      <c r="R342" s="85" t="n"/>
      <c r="S342" s="85" t="n"/>
      <c r="T342" s="85" t="n"/>
      <c r="U342" s="85" t="n"/>
      <c r="V342" s="85" t="n"/>
      <c r="W342" s="85" t="n"/>
      <c r="X342" s="85" t="n"/>
      <c r="Y342" s="85" t="n"/>
      <c r="Z342" s="85" t="n"/>
      <c r="AA342" s="85" t="n"/>
      <c r="AB342" s="85" t="n"/>
      <c r="AC342" s="86" t="n"/>
      <c r="AD342" s="86" t="n"/>
      <c r="AE342" s="86" t="n"/>
      <c r="AF342" s="85" t="n"/>
      <c r="AG342" s="85" t="n"/>
      <c r="AH342" s="85">
        <f>IF($A342="","",IF(AND($E342="Yes",OR($V342="No",$V342="NOT FOUND")),"YES",""))</f>
        <v/>
      </c>
      <c r="AI342" s="85">
        <f>IF($A342="","",TRIM(IF(AND($M342=0,$I342&lt;&gt;"Yes"),"T0-NoPhishResistant ","")&amp;IF($H342="No","NoMFA ","")&amp;IF(AND($M342=0,$O342="Group only"),"T0-ViaGroupOnly ","")&amp;IF($N342="Yes","BroadAzureScope ","")&amp;IF($T342="Yes","AlsoEntraRole ","")))</f>
        <v/>
      </c>
      <c r="AJ342" s="85">
        <f>IF($A342="","",IF(AD342="","Not Enrolled",IF(TODAY()&gt;AD342,"Review Overdue",IF(AD342-TODAY()&lt;=30,"Review Due Soon","Active"))))</f>
        <v/>
      </c>
      <c r="AK342" s="85">
        <f>IF($A342="","",IF(AE342="","NOT REVIEWED",IF(TODAY()-AE342&gt;90,"OVERDUE",IF(TODAY()-AE342&gt;76,"Due Soon","Current"))))</f>
        <v/>
      </c>
    </row>
    <row r="343" ht="15" customHeight="1" s="39">
      <c r="A343" s="85" t="n"/>
      <c r="B343" s="85" t="n"/>
      <c r="C343" s="85" t="n"/>
      <c r="D343" s="85" t="n"/>
      <c r="E343" s="85" t="n"/>
      <c r="F343" s="86" t="n"/>
      <c r="G343" s="86" t="n"/>
      <c r="H343" s="85" t="n"/>
      <c r="I343" s="85" t="n"/>
      <c r="J343" s="85" t="n"/>
      <c r="K343" s="85" t="n"/>
      <c r="L343" s="85" t="n"/>
      <c r="M343" s="85" t="n"/>
      <c r="N343" s="85" t="n"/>
      <c r="O343" s="85" t="n"/>
      <c r="P343" s="85" t="n"/>
      <c r="Q343" s="85" t="n"/>
      <c r="R343" s="85" t="n"/>
      <c r="S343" s="85" t="n"/>
      <c r="T343" s="85" t="n"/>
      <c r="U343" s="85" t="n"/>
      <c r="V343" s="85" t="n"/>
      <c r="W343" s="85" t="n"/>
      <c r="X343" s="85" t="n"/>
      <c r="Y343" s="85" t="n"/>
      <c r="Z343" s="85" t="n"/>
      <c r="AA343" s="85" t="n"/>
      <c r="AB343" s="85" t="n"/>
      <c r="AC343" s="86" t="n"/>
      <c r="AD343" s="86" t="n"/>
      <c r="AE343" s="86" t="n"/>
      <c r="AF343" s="85" t="n"/>
      <c r="AG343" s="85" t="n"/>
      <c r="AH343" s="85">
        <f>IF($A343="","",IF(AND($E343="Yes",OR($V343="No",$V343="NOT FOUND")),"YES",""))</f>
        <v/>
      </c>
      <c r="AI343" s="85">
        <f>IF($A343="","",TRIM(IF(AND($M343=0,$I343&lt;&gt;"Yes"),"T0-NoPhishResistant ","")&amp;IF($H343="No","NoMFA ","")&amp;IF(AND($M343=0,$O343="Group only"),"T0-ViaGroupOnly ","")&amp;IF($N343="Yes","BroadAzureScope ","")&amp;IF($T343="Yes","AlsoEntraRole ","")))</f>
        <v/>
      </c>
      <c r="AJ343" s="85">
        <f>IF($A343="","",IF(AD343="","Not Enrolled",IF(TODAY()&gt;AD343,"Review Overdue",IF(AD343-TODAY()&lt;=30,"Review Due Soon","Active"))))</f>
        <v/>
      </c>
      <c r="AK343" s="85">
        <f>IF($A343="","",IF(AE343="","NOT REVIEWED",IF(TODAY()-AE343&gt;90,"OVERDUE",IF(TODAY()-AE343&gt;76,"Due Soon","Current"))))</f>
        <v/>
      </c>
    </row>
    <row r="344" ht="15" customHeight="1" s="39">
      <c r="A344" s="85" t="n"/>
      <c r="B344" s="85" t="n"/>
      <c r="C344" s="85" t="n"/>
      <c r="D344" s="85" t="n"/>
      <c r="E344" s="85" t="n"/>
      <c r="F344" s="86" t="n"/>
      <c r="G344" s="86" t="n"/>
      <c r="H344" s="85" t="n"/>
      <c r="I344" s="85" t="n"/>
      <c r="J344" s="85" t="n"/>
      <c r="K344" s="85" t="n"/>
      <c r="L344" s="85" t="n"/>
      <c r="M344" s="85" t="n"/>
      <c r="N344" s="85" t="n"/>
      <c r="O344" s="85" t="n"/>
      <c r="P344" s="85" t="n"/>
      <c r="Q344" s="85" t="n"/>
      <c r="R344" s="85" t="n"/>
      <c r="S344" s="85" t="n"/>
      <c r="T344" s="85" t="n"/>
      <c r="U344" s="85" t="n"/>
      <c r="V344" s="85" t="n"/>
      <c r="W344" s="85" t="n"/>
      <c r="X344" s="85" t="n"/>
      <c r="Y344" s="85" t="n"/>
      <c r="Z344" s="85" t="n"/>
      <c r="AA344" s="85" t="n"/>
      <c r="AB344" s="85" t="n"/>
      <c r="AC344" s="86" t="n"/>
      <c r="AD344" s="86" t="n"/>
      <c r="AE344" s="86" t="n"/>
      <c r="AF344" s="85" t="n"/>
      <c r="AG344" s="85" t="n"/>
      <c r="AH344" s="85">
        <f>IF($A344="","",IF(AND($E344="Yes",OR($V344="No",$V344="NOT FOUND")),"YES",""))</f>
        <v/>
      </c>
      <c r="AI344" s="85">
        <f>IF($A344="","",TRIM(IF(AND($M344=0,$I344&lt;&gt;"Yes"),"T0-NoPhishResistant ","")&amp;IF($H344="No","NoMFA ","")&amp;IF(AND($M344=0,$O344="Group only"),"T0-ViaGroupOnly ","")&amp;IF($N344="Yes","BroadAzureScope ","")&amp;IF($T344="Yes","AlsoEntraRole ","")))</f>
        <v/>
      </c>
      <c r="AJ344" s="85">
        <f>IF($A344="","",IF(AD344="","Not Enrolled",IF(TODAY()&gt;AD344,"Review Overdue",IF(AD344-TODAY()&lt;=30,"Review Due Soon","Active"))))</f>
        <v/>
      </c>
      <c r="AK344" s="85">
        <f>IF($A344="","",IF(AE344="","NOT REVIEWED",IF(TODAY()-AE344&gt;90,"OVERDUE",IF(TODAY()-AE344&gt;76,"Due Soon","Current"))))</f>
        <v/>
      </c>
    </row>
    <row r="345" ht="15" customHeight="1" s="39">
      <c r="A345" s="85" t="n"/>
      <c r="B345" s="85" t="n"/>
      <c r="C345" s="85" t="n"/>
      <c r="D345" s="85" t="n"/>
      <c r="E345" s="85" t="n"/>
      <c r="F345" s="86" t="n"/>
      <c r="G345" s="86" t="n"/>
      <c r="H345" s="85" t="n"/>
      <c r="I345" s="85" t="n"/>
      <c r="J345" s="85" t="n"/>
      <c r="K345" s="85" t="n"/>
      <c r="L345" s="85" t="n"/>
      <c r="M345" s="85" t="n"/>
      <c r="N345" s="85" t="n"/>
      <c r="O345" s="85" t="n"/>
      <c r="P345" s="85" t="n"/>
      <c r="Q345" s="85" t="n"/>
      <c r="R345" s="85" t="n"/>
      <c r="S345" s="85" t="n"/>
      <c r="T345" s="85" t="n"/>
      <c r="U345" s="85" t="n"/>
      <c r="V345" s="85" t="n"/>
      <c r="W345" s="85" t="n"/>
      <c r="X345" s="85" t="n"/>
      <c r="Y345" s="85" t="n"/>
      <c r="Z345" s="85" t="n"/>
      <c r="AA345" s="85" t="n"/>
      <c r="AB345" s="85" t="n"/>
      <c r="AC345" s="86" t="n"/>
      <c r="AD345" s="86" t="n"/>
      <c r="AE345" s="86" t="n"/>
      <c r="AF345" s="85" t="n"/>
      <c r="AG345" s="85" t="n"/>
      <c r="AH345" s="85">
        <f>IF($A345="","",IF(AND($E345="Yes",OR($V345="No",$V345="NOT FOUND")),"YES",""))</f>
        <v/>
      </c>
      <c r="AI345" s="85">
        <f>IF($A345="","",TRIM(IF(AND($M345=0,$I345&lt;&gt;"Yes"),"T0-NoPhishResistant ","")&amp;IF($H345="No","NoMFA ","")&amp;IF(AND($M345=0,$O345="Group only"),"T0-ViaGroupOnly ","")&amp;IF($N345="Yes","BroadAzureScope ","")&amp;IF($T345="Yes","AlsoEntraRole ","")))</f>
        <v/>
      </c>
      <c r="AJ345" s="85">
        <f>IF($A345="","",IF(AD345="","Not Enrolled",IF(TODAY()&gt;AD345,"Review Overdue",IF(AD345-TODAY()&lt;=30,"Review Due Soon","Active"))))</f>
        <v/>
      </c>
      <c r="AK345" s="85">
        <f>IF($A345="","",IF(AE345="","NOT REVIEWED",IF(TODAY()-AE345&gt;90,"OVERDUE",IF(TODAY()-AE345&gt;76,"Due Soon","Current"))))</f>
        <v/>
      </c>
    </row>
    <row r="346" ht="15" customHeight="1" s="39">
      <c r="A346" s="85" t="n"/>
      <c r="B346" s="85" t="n"/>
      <c r="C346" s="85" t="n"/>
      <c r="D346" s="85" t="n"/>
      <c r="E346" s="85" t="n"/>
      <c r="F346" s="86" t="n"/>
      <c r="G346" s="86" t="n"/>
      <c r="H346" s="85" t="n"/>
      <c r="I346" s="85" t="n"/>
      <c r="J346" s="85" t="n"/>
      <c r="K346" s="85" t="n"/>
      <c r="L346" s="85" t="n"/>
      <c r="M346" s="85" t="n"/>
      <c r="N346" s="85" t="n"/>
      <c r="O346" s="85" t="n"/>
      <c r="P346" s="85" t="n"/>
      <c r="Q346" s="85" t="n"/>
      <c r="R346" s="85" t="n"/>
      <c r="S346" s="85" t="n"/>
      <c r="T346" s="85" t="n"/>
      <c r="U346" s="85" t="n"/>
      <c r="V346" s="85" t="n"/>
      <c r="W346" s="85" t="n"/>
      <c r="X346" s="85" t="n"/>
      <c r="Y346" s="85" t="n"/>
      <c r="Z346" s="85" t="n"/>
      <c r="AA346" s="85" t="n"/>
      <c r="AB346" s="85" t="n"/>
      <c r="AC346" s="86" t="n"/>
      <c r="AD346" s="86" t="n"/>
      <c r="AE346" s="86" t="n"/>
      <c r="AF346" s="85" t="n"/>
      <c r="AG346" s="85" t="n"/>
      <c r="AH346" s="85">
        <f>IF($A346="","",IF(AND($E346="Yes",OR($V346="No",$V346="NOT FOUND")),"YES",""))</f>
        <v/>
      </c>
      <c r="AI346" s="85">
        <f>IF($A346="","",TRIM(IF(AND($M346=0,$I346&lt;&gt;"Yes"),"T0-NoPhishResistant ","")&amp;IF($H346="No","NoMFA ","")&amp;IF(AND($M346=0,$O346="Group only"),"T0-ViaGroupOnly ","")&amp;IF($N346="Yes","BroadAzureScope ","")&amp;IF($T346="Yes","AlsoEntraRole ","")))</f>
        <v/>
      </c>
      <c r="AJ346" s="85">
        <f>IF($A346="","",IF(AD346="","Not Enrolled",IF(TODAY()&gt;AD346,"Review Overdue",IF(AD346-TODAY()&lt;=30,"Review Due Soon","Active"))))</f>
        <v/>
      </c>
      <c r="AK346" s="85">
        <f>IF($A346="","",IF(AE346="","NOT REVIEWED",IF(TODAY()-AE346&gt;90,"OVERDUE",IF(TODAY()-AE346&gt;76,"Due Soon","Current"))))</f>
        <v/>
      </c>
    </row>
    <row r="347" ht="15" customHeight="1" s="39">
      <c r="A347" s="85" t="n"/>
      <c r="B347" s="85" t="n"/>
      <c r="C347" s="85" t="n"/>
      <c r="D347" s="85" t="n"/>
      <c r="E347" s="85" t="n"/>
      <c r="F347" s="86" t="n"/>
      <c r="G347" s="86" t="n"/>
      <c r="H347" s="85" t="n"/>
      <c r="I347" s="85" t="n"/>
      <c r="J347" s="85" t="n"/>
      <c r="K347" s="85" t="n"/>
      <c r="L347" s="85" t="n"/>
      <c r="M347" s="85" t="n"/>
      <c r="N347" s="85" t="n"/>
      <c r="O347" s="85" t="n"/>
      <c r="P347" s="85" t="n"/>
      <c r="Q347" s="85" t="n"/>
      <c r="R347" s="85" t="n"/>
      <c r="S347" s="85" t="n"/>
      <c r="T347" s="85" t="n"/>
      <c r="U347" s="85" t="n"/>
      <c r="V347" s="85" t="n"/>
      <c r="W347" s="85" t="n"/>
      <c r="X347" s="85" t="n"/>
      <c r="Y347" s="85" t="n"/>
      <c r="Z347" s="85" t="n"/>
      <c r="AA347" s="85" t="n"/>
      <c r="AB347" s="85" t="n"/>
      <c r="AC347" s="86" t="n"/>
      <c r="AD347" s="86" t="n"/>
      <c r="AE347" s="86" t="n"/>
      <c r="AF347" s="85" t="n"/>
      <c r="AG347" s="85" t="n"/>
      <c r="AH347" s="85">
        <f>IF($A347="","",IF(AND($E347="Yes",OR($V347="No",$V347="NOT FOUND")),"YES",""))</f>
        <v/>
      </c>
      <c r="AI347" s="85">
        <f>IF($A347="","",TRIM(IF(AND($M347=0,$I347&lt;&gt;"Yes"),"T0-NoPhishResistant ","")&amp;IF($H347="No","NoMFA ","")&amp;IF(AND($M347=0,$O347="Group only"),"T0-ViaGroupOnly ","")&amp;IF($N347="Yes","BroadAzureScope ","")&amp;IF($T347="Yes","AlsoEntraRole ","")))</f>
        <v/>
      </c>
      <c r="AJ347" s="85">
        <f>IF($A347="","",IF(AD347="","Not Enrolled",IF(TODAY()&gt;AD347,"Review Overdue",IF(AD347-TODAY()&lt;=30,"Review Due Soon","Active"))))</f>
        <v/>
      </c>
      <c r="AK347" s="85">
        <f>IF($A347="","",IF(AE347="","NOT REVIEWED",IF(TODAY()-AE347&gt;90,"OVERDUE",IF(TODAY()-AE347&gt;76,"Due Soon","Current"))))</f>
        <v/>
      </c>
    </row>
    <row r="348" ht="15" customHeight="1" s="39">
      <c r="A348" s="85" t="n"/>
      <c r="B348" s="85" t="n"/>
      <c r="C348" s="85" t="n"/>
      <c r="D348" s="85" t="n"/>
      <c r="E348" s="85" t="n"/>
      <c r="F348" s="86" t="n"/>
      <c r="G348" s="86" t="n"/>
      <c r="H348" s="85" t="n"/>
      <c r="I348" s="85" t="n"/>
      <c r="J348" s="85" t="n"/>
      <c r="K348" s="85" t="n"/>
      <c r="L348" s="85" t="n"/>
      <c r="M348" s="85" t="n"/>
      <c r="N348" s="85" t="n"/>
      <c r="O348" s="85" t="n"/>
      <c r="P348" s="85" t="n"/>
      <c r="Q348" s="85" t="n"/>
      <c r="R348" s="85" t="n"/>
      <c r="S348" s="85" t="n"/>
      <c r="T348" s="85" t="n"/>
      <c r="U348" s="85" t="n"/>
      <c r="V348" s="85" t="n"/>
      <c r="W348" s="85" t="n"/>
      <c r="X348" s="85" t="n"/>
      <c r="Y348" s="85" t="n"/>
      <c r="Z348" s="85" t="n"/>
      <c r="AA348" s="85" t="n"/>
      <c r="AB348" s="85" t="n"/>
      <c r="AC348" s="86" t="n"/>
      <c r="AD348" s="86" t="n"/>
      <c r="AE348" s="86" t="n"/>
      <c r="AF348" s="85" t="n"/>
      <c r="AG348" s="85" t="n"/>
      <c r="AH348" s="85">
        <f>IF($A348="","",IF(AND($E348="Yes",OR($V348="No",$V348="NOT FOUND")),"YES",""))</f>
        <v/>
      </c>
      <c r="AI348" s="85">
        <f>IF($A348="","",TRIM(IF(AND($M348=0,$I348&lt;&gt;"Yes"),"T0-NoPhishResistant ","")&amp;IF($H348="No","NoMFA ","")&amp;IF(AND($M348=0,$O348="Group only"),"T0-ViaGroupOnly ","")&amp;IF($N348="Yes","BroadAzureScope ","")&amp;IF($T348="Yes","AlsoEntraRole ","")))</f>
        <v/>
      </c>
      <c r="AJ348" s="85">
        <f>IF($A348="","",IF(AD348="","Not Enrolled",IF(TODAY()&gt;AD348,"Review Overdue",IF(AD348-TODAY()&lt;=30,"Review Due Soon","Active"))))</f>
        <v/>
      </c>
      <c r="AK348" s="85">
        <f>IF($A348="","",IF(AE348="","NOT REVIEWED",IF(TODAY()-AE348&gt;90,"OVERDUE",IF(TODAY()-AE348&gt;76,"Due Soon","Current"))))</f>
        <v/>
      </c>
    </row>
    <row r="349" ht="15" customHeight="1" s="39">
      <c r="A349" s="85" t="n"/>
      <c r="B349" s="85" t="n"/>
      <c r="C349" s="85" t="n"/>
      <c r="D349" s="85" t="n"/>
      <c r="E349" s="85" t="n"/>
      <c r="F349" s="86" t="n"/>
      <c r="G349" s="86" t="n"/>
      <c r="H349" s="85" t="n"/>
      <c r="I349" s="85" t="n"/>
      <c r="J349" s="85" t="n"/>
      <c r="K349" s="85" t="n"/>
      <c r="L349" s="85" t="n"/>
      <c r="M349" s="85" t="n"/>
      <c r="N349" s="85" t="n"/>
      <c r="O349" s="85" t="n"/>
      <c r="P349" s="85" t="n"/>
      <c r="Q349" s="85" t="n"/>
      <c r="R349" s="85" t="n"/>
      <c r="S349" s="85" t="n"/>
      <c r="T349" s="85" t="n"/>
      <c r="U349" s="85" t="n"/>
      <c r="V349" s="85" t="n"/>
      <c r="W349" s="85" t="n"/>
      <c r="X349" s="85" t="n"/>
      <c r="Y349" s="85" t="n"/>
      <c r="Z349" s="85" t="n"/>
      <c r="AA349" s="85" t="n"/>
      <c r="AB349" s="85" t="n"/>
      <c r="AC349" s="86" t="n"/>
      <c r="AD349" s="86" t="n"/>
      <c r="AE349" s="86" t="n"/>
      <c r="AF349" s="85" t="n"/>
      <c r="AG349" s="85" t="n"/>
      <c r="AH349" s="85">
        <f>IF($A349="","",IF(AND($E349="Yes",OR($V349="No",$V349="NOT FOUND")),"YES",""))</f>
        <v/>
      </c>
      <c r="AI349" s="85">
        <f>IF($A349="","",TRIM(IF(AND($M349=0,$I349&lt;&gt;"Yes"),"T0-NoPhishResistant ","")&amp;IF($H349="No","NoMFA ","")&amp;IF(AND($M349=0,$O349="Group only"),"T0-ViaGroupOnly ","")&amp;IF($N349="Yes","BroadAzureScope ","")&amp;IF($T349="Yes","AlsoEntraRole ","")))</f>
        <v/>
      </c>
      <c r="AJ349" s="85">
        <f>IF($A349="","",IF(AD349="","Not Enrolled",IF(TODAY()&gt;AD349,"Review Overdue",IF(AD349-TODAY()&lt;=30,"Review Due Soon","Active"))))</f>
        <v/>
      </c>
      <c r="AK349" s="85">
        <f>IF($A349="","",IF(AE349="","NOT REVIEWED",IF(TODAY()-AE349&gt;90,"OVERDUE",IF(TODAY()-AE349&gt;76,"Due Soon","Current"))))</f>
        <v/>
      </c>
    </row>
    <row r="350" ht="15" customHeight="1" s="39">
      <c r="A350" s="85" t="n"/>
      <c r="B350" s="85" t="n"/>
      <c r="C350" s="85" t="n"/>
      <c r="D350" s="85" t="n"/>
      <c r="E350" s="85" t="n"/>
      <c r="F350" s="86" t="n"/>
      <c r="G350" s="86" t="n"/>
      <c r="H350" s="85" t="n"/>
      <c r="I350" s="85" t="n"/>
      <c r="J350" s="85" t="n"/>
      <c r="K350" s="85" t="n"/>
      <c r="L350" s="85" t="n"/>
      <c r="M350" s="85" t="n"/>
      <c r="N350" s="85" t="n"/>
      <c r="O350" s="85" t="n"/>
      <c r="P350" s="85" t="n"/>
      <c r="Q350" s="85" t="n"/>
      <c r="R350" s="85" t="n"/>
      <c r="S350" s="85" t="n"/>
      <c r="T350" s="85" t="n"/>
      <c r="U350" s="85" t="n"/>
      <c r="V350" s="85" t="n"/>
      <c r="W350" s="85" t="n"/>
      <c r="X350" s="85" t="n"/>
      <c r="Y350" s="85" t="n"/>
      <c r="Z350" s="85" t="n"/>
      <c r="AA350" s="85" t="n"/>
      <c r="AB350" s="85" t="n"/>
      <c r="AC350" s="86" t="n"/>
      <c r="AD350" s="86" t="n"/>
      <c r="AE350" s="86" t="n"/>
      <c r="AF350" s="85" t="n"/>
      <c r="AG350" s="85" t="n"/>
      <c r="AH350" s="85">
        <f>IF($A350="","",IF(AND($E350="Yes",OR($V350="No",$V350="NOT FOUND")),"YES",""))</f>
        <v/>
      </c>
      <c r="AI350" s="85">
        <f>IF($A350="","",TRIM(IF(AND($M350=0,$I350&lt;&gt;"Yes"),"T0-NoPhishResistant ","")&amp;IF($H350="No","NoMFA ","")&amp;IF(AND($M350=0,$O350="Group only"),"T0-ViaGroupOnly ","")&amp;IF($N350="Yes","BroadAzureScope ","")&amp;IF($T350="Yes","AlsoEntraRole ","")))</f>
        <v/>
      </c>
      <c r="AJ350" s="85">
        <f>IF($A350="","",IF(AD350="","Not Enrolled",IF(TODAY()&gt;AD350,"Review Overdue",IF(AD350-TODAY()&lt;=30,"Review Due Soon","Active"))))</f>
        <v/>
      </c>
      <c r="AK350" s="85">
        <f>IF($A350="","",IF(AE350="","NOT REVIEWED",IF(TODAY()-AE350&gt;90,"OVERDUE",IF(TODAY()-AE350&gt;76,"Due Soon","Current"))))</f>
        <v/>
      </c>
    </row>
    <row r="351" ht="15" customHeight="1" s="39">
      <c r="A351" s="85" t="n"/>
      <c r="B351" s="85" t="n"/>
      <c r="C351" s="85" t="n"/>
      <c r="D351" s="85" t="n"/>
      <c r="E351" s="85" t="n"/>
      <c r="F351" s="86" t="n"/>
      <c r="G351" s="86" t="n"/>
      <c r="H351" s="85" t="n"/>
      <c r="I351" s="85" t="n"/>
      <c r="J351" s="85" t="n"/>
      <c r="K351" s="85" t="n"/>
      <c r="L351" s="85" t="n"/>
      <c r="M351" s="85" t="n"/>
      <c r="N351" s="85" t="n"/>
      <c r="O351" s="85" t="n"/>
      <c r="P351" s="85" t="n"/>
      <c r="Q351" s="85" t="n"/>
      <c r="R351" s="85" t="n"/>
      <c r="S351" s="85" t="n"/>
      <c r="T351" s="85" t="n"/>
      <c r="U351" s="85" t="n"/>
      <c r="V351" s="85" t="n"/>
      <c r="W351" s="85" t="n"/>
      <c r="X351" s="85" t="n"/>
      <c r="Y351" s="85" t="n"/>
      <c r="Z351" s="85" t="n"/>
      <c r="AA351" s="85" t="n"/>
      <c r="AB351" s="85" t="n"/>
      <c r="AC351" s="86" t="n"/>
      <c r="AD351" s="86" t="n"/>
      <c r="AE351" s="86" t="n"/>
      <c r="AF351" s="85" t="n"/>
      <c r="AG351" s="85" t="n"/>
      <c r="AH351" s="85">
        <f>IF($A351="","",IF(AND($E351="Yes",OR($V351="No",$V351="NOT FOUND")),"YES",""))</f>
        <v/>
      </c>
      <c r="AI351" s="85">
        <f>IF($A351="","",TRIM(IF(AND($M351=0,$I351&lt;&gt;"Yes"),"T0-NoPhishResistant ","")&amp;IF($H351="No","NoMFA ","")&amp;IF(AND($M351=0,$O351="Group only"),"T0-ViaGroupOnly ","")&amp;IF($N351="Yes","BroadAzureScope ","")&amp;IF($T351="Yes","AlsoEntraRole ","")))</f>
        <v/>
      </c>
      <c r="AJ351" s="85">
        <f>IF($A351="","",IF(AD351="","Not Enrolled",IF(TODAY()&gt;AD351,"Review Overdue",IF(AD351-TODAY()&lt;=30,"Review Due Soon","Active"))))</f>
        <v/>
      </c>
      <c r="AK351" s="85">
        <f>IF($A351="","",IF(AE351="","NOT REVIEWED",IF(TODAY()-AE351&gt;90,"OVERDUE",IF(TODAY()-AE351&gt;76,"Due Soon","Current"))))</f>
        <v/>
      </c>
    </row>
    <row r="352" ht="15" customHeight="1" s="39">
      <c r="A352" s="85" t="n"/>
      <c r="B352" s="85" t="n"/>
      <c r="C352" s="85" t="n"/>
      <c r="D352" s="85" t="n"/>
      <c r="E352" s="85" t="n"/>
      <c r="F352" s="86" t="n"/>
      <c r="G352" s="86" t="n"/>
      <c r="H352" s="85" t="n"/>
      <c r="I352" s="85" t="n"/>
      <c r="J352" s="85" t="n"/>
      <c r="K352" s="85" t="n"/>
      <c r="L352" s="85" t="n"/>
      <c r="M352" s="85" t="n"/>
      <c r="N352" s="85" t="n"/>
      <c r="O352" s="85" t="n"/>
      <c r="P352" s="85" t="n"/>
      <c r="Q352" s="85" t="n"/>
      <c r="R352" s="85" t="n"/>
      <c r="S352" s="85" t="n"/>
      <c r="T352" s="85" t="n"/>
      <c r="U352" s="85" t="n"/>
      <c r="V352" s="85" t="n"/>
      <c r="W352" s="85" t="n"/>
      <c r="X352" s="85" t="n"/>
      <c r="Y352" s="85" t="n"/>
      <c r="Z352" s="85" t="n"/>
      <c r="AA352" s="85" t="n"/>
      <c r="AB352" s="85" t="n"/>
      <c r="AC352" s="86" t="n"/>
      <c r="AD352" s="86" t="n"/>
      <c r="AE352" s="86" t="n"/>
      <c r="AF352" s="85" t="n"/>
      <c r="AG352" s="85" t="n"/>
      <c r="AH352" s="85">
        <f>IF($A352="","",IF(AND($E352="Yes",OR($V352="No",$V352="NOT FOUND")),"YES",""))</f>
        <v/>
      </c>
      <c r="AI352" s="85">
        <f>IF($A352="","",TRIM(IF(AND($M352=0,$I352&lt;&gt;"Yes"),"T0-NoPhishResistant ","")&amp;IF($H352="No","NoMFA ","")&amp;IF(AND($M352=0,$O352="Group only"),"T0-ViaGroupOnly ","")&amp;IF($N352="Yes","BroadAzureScope ","")&amp;IF($T352="Yes","AlsoEntraRole ","")))</f>
        <v/>
      </c>
      <c r="AJ352" s="85">
        <f>IF($A352="","",IF(AD352="","Not Enrolled",IF(TODAY()&gt;AD352,"Review Overdue",IF(AD352-TODAY()&lt;=30,"Review Due Soon","Active"))))</f>
        <v/>
      </c>
      <c r="AK352" s="85">
        <f>IF($A352="","",IF(AE352="","NOT REVIEWED",IF(TODAY()-AE352&gt;90,"OVERDUE",IF(TODAY()-AE352&gt;76,"Due Soon","Current"))))</f>
        <v/>
      </c>
    </row>
    <row r="353" ht="15" customHeight="1" s="39">
      <c r="A353" s="85" t="n"/>
      <c r="B353" s="85" t="n"/>
      <c r="C353" s="85" t="n"/>
      <c r="D353" s="85" t="n"/>
      <c r="E353" s="85" t="n"/>
      <c r="F353" s="86" t="n"/>
      <c r="G353" s="86" t="n"/>
      <c r="H353" s="85" t="n"/>
      <c r="I353" s="85" t="n"/>
      <c r="J353" s="85" t="n"/>
      <c r="K353" s="85" t="n"/>
      <c r="L353" s="85" t="n"/>
      <c r="M353" s="85" t="n"/>
      <c r="N353" s="85" t="n"/>
      <c r="O353" s="85" t="n"/>
      <c r="P353" s="85" t="n"/>
      <c r="Q353" s="85" t="n"/>
      <c r="R353" s="85" t="n"/>
      <c r="S353" s="85" t="n"/>
      <c r="T353" s="85" t="n"/>
      <c r="U353" s="85" t="n"/>
      <c r="V353" s="85" t="n"/>
      <c r="W353" s="85" t="n"/>
      <c r="X353" s="85" t="n"/>
      <c r="Y353" s="85" t="n"/>
      <c r="Z353" s="85" t="n"/>
      <c r="AA353" s="85" t="n"/>
      <c r="AB353" s="85" t="n"/>
      <c r="AC353" s="86" t="n"/>
      <c r="AD353" s="86" t="n"/>
      <c r="AE353" s="86" t="n"/>
      <c r="AF353" s="85" t="n"/>
      <c r="AG353" s="85" t="n"/>
      <c r="AH353" s="85">
        <f>IF($A353="","",IF(AND($E353="Yes",OR($V353="No",$V353="NOT FOUND")),"YES",""))</f>
        <v/>
      </c>
      <c r="AI353" s="85">
        <f>IF($A353="","",TRIM(IF(AND($M353=0,$I353&lt;&gt;"Yes"),"T0-NoPhishResistant ","")&amp;IF($H353="No","NoMFA ","")&amp;IF(AND($M353=0,$O353="Group only"),"T0-ViaGroupOnly ","")&amp;IF($N353="Yes","BroadAzureScope ","")&amp;IF($T353="Yes","AlsoEntraRole ","")))</f>
        <v/>
      </c>
      <c r="AJ353" s="85">
        <f>IF($A353="","",IF(AD353="","Not Enrolled",IF(TODAY()&gt;AD353,"Review Overdue",IF(AD353-TODAY()&lt;=30,"Review Due Soon","Active"))))</f>
        <v/>
      </c>
      <c r="AK353" s="85">
        <f>IF($A353="","",IF(AE353="","NOT REVIEWED",IF(TODAY()-AE353&gt;90,"OVERDUE",IF(TODAY()-AE353&gt;76,"Due Soon","Current"))))</f>
        <v/>
      </c>
    </row>
    <row r="354" ht="15" customHeight="1" s="39">
      <c r="A354" s="85" t="n"/>
      <c r="B354" s="85" t="n"/>
      <c r="C354" s="85" t="n"/>
      <c r="D354" s="85" t="n"/>
      <c r="E354" s="85" t="n"/>
      <c r="F354" s="86" t="n"/>
      <c r="G354" s="86" t="n"/>
      <c r="H354" s="85" t="n"/>
      <c r="I354" s="85" t="n"/>
      <c r="J354" s="85" t="n"/>
      <c r="K354" s="85" t="n"/>
      <c r="L354" s="85" t="n"/>
      <c r="M354" s="85" t="n"/>
      <c r="N354" s="85" t="n"/>
      <c r="O354" s="85" t="n"/>
      <c r="P354" s="85" t="n"/>
      <c r="Q354" s="85" t="n"/>
      <c r="R354" s="85" t="n"/>
      <c r="S354" s="85" t="n"/>
      <c r="T354" s="85" t="n"/>
      <c r="U354" s="85" t="n"/>
      <c r="V354" s="85" t="n"/>
      <c r="W354" s="85" t="n"/>
      <c r="X354" s="85" t="n"/>
      <c r="Y354" s="85" t="n"/>
      <c r="Z354" s="85" t="n"/>
      <c r="AA354" s="85" t="n"/>
      <c r="AB354" s="85" t="n"/>
      <c r="AC354" s="86" t="n"/>
      <c r="AD354" s="86" t="n"/>
      <c r="AE354" s="86" t="n"/>
      <c r="AF354" s="85" t="n"/>
      <c r="AG354" s="85" t="n"/>
      <c r="AH354" s="85">
        <f>IF($A354="","",IF(AND($E354="Yes",OR($V354="No",$V354="NOT FOUND")),"YES",""))</f>
        <v/>
      </c>
      <c r="AI354" s="85">
        <f>IF($A354="","",TRIM(IF(AND($M354=0,$I354&lt;&gt;"Yes"),"T0-NoPhishResistant ","")&amp;IF($H354="No","NoMFA ","")&amp;IF(AND($M354=0,$O354="Group only"),"T0-ViaGroupOnly ","")&amp;IF($N354="Yes","BroadAzureScope ","")&amp;IF($T354="Yes","AlsoEntraRole ","")))</f>
        <v/>
      </c>
      <c r="AJ354" s="85">
        <f>IF($A354="","",IF(AD354="","Not Enrolled",IF(TODAY()&gt;AD354,"Review Overdue",IF(AD354-TODAY()&lt;=30,"Review Due Soon","Active"))))</f>
        <v/>
      </c>
      <c r="AK354" s="85">
        <f>IF($A354="","",IF(AE354="","NOT REVIEWED",IF(TODAY()-AE354&gt;90,"OVERDUE",IF(TODAY()-AE354&gt;76,"Due Soon","Current"))))</f>
        <v/>
      </c>
    </row>
    <row r="355" ht="15" customHeight="1" s="39">
      <c r="A355" s="85" t="n"/>
      <c r="B355" s="85" t="n"/>
      <c r="C355" s="85" t="n"/>
      <c r="D355" s="85" t="n"/>
      <c r="E355" s="85" t="n"/>
      <c r="F355" s="86" t="n"/>
      <c r="G355" s="86" t="n"/>
      <c r="H355" s="85" t="n"/>
      <c r="I355" s="85" t="n"/>
      <c r="J355" s="85" t="n"/>
      <c r="K355" s="85" t="n"/>
      <c r="L355" s="85" t="n"/>
      <c r="M355" s="85" t="n"/>
      <c r="N355" s="85" t="n"/>
      <c r="O355" s="85" t="n"/>
      <c r="P355" s="85" t="n"/>
      <c r="Q355" s="85" t="n"/>
      <c r="R355" s="85" t="n"/>
      <c r="S355" s="85" t="n"/>
      <c r="T355" s="85" t="n"/>
      <c r="U355" s="85" t="n"/>
      <c r="V355" s="85" t="n"/>
      <c r="W355" s="85" t="n"/>
      <c r="X355" s="85" t="n"/>
      <c r="Y355" s="85" t="n"/>
      <c r="Z355" s="85" t="n"/>
      <c r="AA355" s="85" t="n"/>
      <c r="AB355" s="85" t="n"/>
      <c r="AC355" s="86" t="n"/>
      <c r="AD355" s="86" t="n"/>
      <c r="AE355" s="86" t="n"/>
      <c r="AF355" s="85" t="n"/>
      <c r="AG355" s="85" t="n"/>
      <c r="AH355" s="85">
        <f>IF($A355="","",IF(AND($E355="Yes",OR($V355="No",$V355="NOT FOUND")),"YES",""))</f>
        <v/>
      </c>
      <c r="AI355" s="85">
        <f>IF($A355="","",TRIM(IF(AND($M355=0,$I355&lt;&gt;"Yes"),"T0-NoPhishResistant ","")&amp;IF($H355="No","NoMFA ","")&amp;IF(AND($M355=0,$O355="Group only"),"T0-ViaGroupOnly ","")&amp;IF($N355="Yes","BroadAzureScope ","")&amp;IF($T355="Yes","AlsoEntraRole ","")))</f>
        <v/>
      </c>
      <c r="AJ355" s="85">
        <f>IF($A355="","",IF(AD355="","Not Enrolled",IF(TODAY()&gt;AD355,"Review Overdue",IF(AD355-TODAY()&lt;=30,"Review Due Soon","Active"))))</f>
        <v/>
      </c>
      <c r="AK355" s="85">
        <f>IF($A355="","",IF(AE355="","NOT REVIEWED",IF(TODAY()-AE355&gt;90,"OVERDUE",IF(TODAY()-AE355&gt;76,"Due Soon","Current"))))</f>
        <v/>
      </c>
    </row>
    <row r="356" ht="15" customHeight="1" s="39">
      <c r="A356" s="85" t="n"/>
      <c r="B356" s="85" t="n"/>
      <c r="C356" s="85" t="n"/>
      <c r="D356" s="85" t="n"/>
      <c r="E356" s="85" t="n"/>
      <c r="F356" s="86" t="n"/>
      <c r="G356" s="86" t="n"/>
      <c r="H356" s="85" t="n"/>
      <c r="I356" s="85" t="n"/>
      <c r="J356" s="85" t="n"/>
      <c r="K356" s="85" t="n"/>
      <c r="L356" s="85" t="n"/>
      <c r="M356" s="85" t="n"/>
      <c r="N356" s="85" t="n"/>
      <c r="O356" s="85" t="n"/>
      <c r="P356" s="85" t="n"/>
      <c r="Q356" s="85" t="n"/>
      <c r="R356" s="85" t="n"/>
      <c r="S356" s="85" t="n"/>
      <c r="T356" s="85" t="n"/>
      <c r="U356" s="85" t="n"/>
      <c r="V356" s="85" t="n"/>
      <c r="W356" s="85" t="n"/>
      <c r="X356" s="85" t="n"/>
      <c r="Y356" s="85" t="n"/>
      <c r="Z356" s="85" t="n"/>
      <c r="AA356" s="85" t="n"/>
      <c r="AB356" s="85" t="n"/>
      <c r="AC356" s="86" t="n"/>
      <c r="AD356" s="86" t="n"/>
      <c r="AE356" s="86" t="n"/>
      <c r="AF356" s="85" t="n"/>
      <c r="AG356" s="85" t="n"/>
      <c r="AH356" s="85">
        <f>IF($A356="","",IF(AND($E356="Yes",OR($V356="No",$V356="NOT FOUND")),"YES",""))</f>
        <v/>
      </c>
      <c r="AI356" s="85">
        <f>IF($A356="","",TRIM(IF(AND($M356=0,$I356&lt;&gt;"Yes"),"T0-NoPhishResistant ","")&amp;IF($H356="No","NoMFA ","")&amp;IF(AND($M356=0,$O356="Group only"),"T0-ViaGroupOnly ","")&amp;IF($N356="Yes","BroadAzureScope ","")&amp;IF($T356="Yes","AlsoEntraRole ","")))</f>
        <v/>
      </c>
      <c r="AJ356" s="85">
        <f>IF($A356="","",IF(AD356="","Not Enrolled",IF(TODAY()&gt;AD356,"Review Overdue",IF(AD356-TODAY()&lt;=30,"Review Due Soon","Active"))))</f>
        <v/>
      </c>
      <c r="AK356" s="85">
        <f>IF($A356="","",IF(AE356="","NOT REVIEWED",IF(TODAY()-AE356&gt;90,"OVERDUE",IF(TODAY()-AE356&gt;76,"Due Soon","Current"))))</f>
        <v/>
      </c>
    </row>
    <row r="357" ht="15" customHeight="1" s="39">
      <c r="A357" s="85" t="n"/>
      <c r="B357" s="85" t="n"/>
      <c r="C357" s="85" t="n"/>
      <c r="D357" s="85" t="n"/>
      <c r="E357" s="85" t="n"/>
      <c r="F357" s="86" t="n"/>
      <c r="G357" s="86" t="n"/>
      <c r="H357" s="85" t="n"/>
      <c r="I357" s="85" t="n"/>
      <c r="J357" s="85" t="n"/>
      <c r="K357" s="85" t="n"/>
      <c r="L357" s="85" t="n"/>
      <c r="M357" s="85" t="n"/>
      <c r="N357" s="85" t="n"/>
      <c r="O357" s="85" t="n"/>
      <c r="P357" s="85" t="n"/>
      <c r="Q357" s="85" t="n"/>
      <c r="R357" s="85" t="n"/>
      <c r="S357" s="85" t="n"/>
      <c r="T357" s="85" t="n"/>
      <c r="U357" s="85" t="n"/>
      <c r="V357" s="85" t="n"/>
      <c r="W357" s="85" t="n"/>
      <c r="X357" s="85" t="n"/>
      <c r="Y357" s="85" t="n"/>
      <c r="Z357" s="85" t="n"/>
      <c r="AA357" s="85" t="n"/>
      <c r="AB357" s="85" t="n"/>
      <c r="AC357" s="86" t="n"/>
      <c r="AD357" s="86" t="n"/>
      <c r="AE357" s="86" t="n"/>
      <c r="AF357" s="85" t="n"/>
      <c r="AG357" s="85" t="n"/>
      <c r="AH357" s="85">
        <f>IF($A357="","",IF(AND($E357="Yes",OR($V357="No",$V357="NOT FOUND")),"YES",""))</f>
        <v/>
      </c>
      <c r="AI357" s="85">
        <f>IF($A357="","",TRIM(IF(AND($M357=0,$I357&lt;&gt;"Yes"),"T0-NoPhishResistant ","")&amp;IF($H357="No","NoMFA ","")&amp;IF(AND($M357=0,$O357="Group only"),"T0-ViaGroupOnly ","")&amp;IF($N357="Yes","BroadAzureScope ","")&amp;IF($T357="Yes","AlsoEntraRole ","")))</f>
        <v/>
      </c>
      <c r="AJ357" s="85">
        <f>IF($A357="","",IF(AD357="","Not Enrolled",IF(TODAY()&gt;AD357,"Review Overdue",IF(AD357-TODAY()&lt;=30,"Review Due Soon","Active"))))</f>
        <v/>
      </c>
      <c r="AK357" s="85">
        <f>IF($A357="","",IF(AE357="","NOT REVIEWED",IF(TODAY()-AE357&gt;90,"OVERDUE",IF(TODAY()-AE357&gt;76,"Due Soon","Current"))))</f>
        <v/>
      </c>
    </row>
    <row r="358" ht="15" customHeight="1" s="39">
      <c r="A358" s="85" t="n"/>
      <c r="B358" s="85" t="n"/>
      <c r="C358" s="85" t="n"/>
      <c r="D358" s="85" t="n"/>
      <c r="E358" s="85" t="n"/>
      <c r="F358" s="86" t="n"/>
      <c r="G358" s="86" t="n"/>
      <c r="H358" s="85" t="n"/>
      <c r="I358" s="85" t="n"/>
      <c r="J358" s="85" t="n"/>
      <c r="K358" s="85" t="n"/>
      <c r="L358" s="85" t="n"/>
      <c r="M358" s="85" t="n"/>
      <c r="N358" s="85" t="n"/>
      <c r="O358" s="85" t="n"/>
      <c r="P358" s="85" t="n"/>
      <c r="Q358" s="85" t="n"/>
      <c r="R358" s="85" t="n"/>
      <c r="S358" s="85" t="n"/>
      <c r="T358" s="85" t="n"/>
      <c r="U358" s="85" t="n"/>
      <c r="V358" s="85" t="n"/>
      <c r="W358" s="85" t="n"/>
      <c r="X358" s="85" t="n"/>
      <c r="Y358" s="85" t="n"/>
      <c r="Z358" s="85" t="n"/>
      <c r="AA358" s="85" t="n"/>
      <c r="AB358" s="85" t="n"/>
      <c r="AC358" s="86" t="n"/>
      <c r="AD358" s="86" t="n"/>
      <c r="AE358" s="86" t="n"/>
      <c r="AF358" s="85" t="n"/>
      <c r="AG358" s="85" t="n"/>
      <c r="AH358" s="85">
        <f>IF($A358="","",IF(AND($E358="Yes",OR($V358="No",$V358="NOT FOUND")),"YES",""))</f>
        <v/>
      </c>
      <c r="AI358" s="85">
        <f>IF($A358="","",TRIM(IF(AND($M358=0,$I358&lt;&gt;"Yes"),"T0-NoPhishResistant ","")&amp;IF($H358="No","NoMFA ","")&amp;IF(AND($M358=0,$O358="Group only"),"T0-ViaGroupOnly ","")&amp;IF($N358="Yes","BroadAzureScope ","")&amp;IF($T358="Yes","AlsoEntraRole ","")))</f>
        <v/>
      </c>
      <c r="AJ358" s="85">
        <f>IF($A358="","",IF(AD358="","Not Enrolled",IF(TODAY()&gt;AD358,"Review Overdue",IF(AD358-TODAY()&lt;=30,"Review Due Soon","Active"))))</f>
        <v/>
      </c>
      <c r="AK358" s="85">
        <f>IF($A358="","",IF(AE358="","NOT REVIEWED",IF(TODAY()-AE358&gt;90,"OVERDUE",IF(TODAY()-AE358&gt;76,"Due Soon","Current"))))</f>
        <v/>
      </c>
    </row>
    <row r="359" ht="15" customHeight="1" s="39">
      <c r="A359" s="85" t="n"/>
      <c r="B359" s="85" t="n"/>
      <c r="C359" s="85" t="n"/>
      <c r="D359" s="85" t="n"/>
      <c r="E359" s="85" t="n"/>
      <c r="F359" s="86" t="n"/>
      <c r="G359" s="86" t="n"/>
      <c r="H359" s="85" t="n"/>
      <c r="I359" s="85" t="n"/>
      <c r="J359" s="85" t="n"/>
      <c r="K359" s="85" t="n"/>
      <c r="L359" s="85" t="n"/>
      <c r="M359" s="85" t="n"/>
      <c r="N359" s="85" t="n"/>
      <c r="O359" s="85" t="n"/>
      <c r="P359" s="85" t="n"/>
      <c r="Q359" s="85" t="n"/>
      <c r="R359" s="85" t="n"/>
      <c r="S359" s="85" t="n"/>
      <c r="T359" s="85" t="n"/>
      <c r="U359" s="85" t="n"/>
      <c r="V359" s="85" t="n"/>
      <c r="W359" s="85" t="n"/>
      <c r="X359" s="85" t="n"/>
      <c r="Y359" s="85" t="n"/>
      <c r="Z359" s="85" t="n"/>
      <c r="AA359" s="85" t="n"/>
      <c r="AB359" s="85" t="n"/>
      <c r="AC359" s="86" t="n"/>
      <c r="AD359" s="86" t="n"/>
      <c r="AE359" s="86" t="n"/>
      <c r="AF359" s="85" t="n"/>
      <c r="AG359" s="85" t="n"/>
      <c r="AH359" s="85">
        <f>IF($A359="","",IF(AND($E359="Yes",OR($V359="No",$V359="NOT FOUND")),"YES",""))</f>
        <v/>
      </c>
      <c r="AI359" s="85">
        <f>IF($A359="","",TRIM(IF(AND($M359=0,$I359&lt;&gt;"Yes"),"T0-NoPhishResistant ","")&amp;IF($H359="No","NoMFA ","")&amp;IF(AND($M359=0,$O359="Group only"),"T0-ViaGroupOnly ","")&amp;IF($N359="Yes","BroadAzureScope ","")&amp;IF($T359="Yes","AlsoEntraRole ","")))</f>
        <v/>
      </c>
      <c r="AJ359" s="85">
        <f>IF($A359="","",IF(AD359="","Not Enrolled",IF(TODAY()&gt;AD359,"Review Overdue",IF(AD359-TODAY()&lt;=30,"Review Due Soon","Active"))))</f>
        <v/>
      </c>
      <c r="AK359" s="85">
        <f>IF($A359="","",IF(AE359="","NOT REVIEWED",IF(TODAY()-AE359&gt;90,"OVERDUE",IF(TODAY()-AE359&gt;76,"Due Soon","Current"))))</f>
        <v/>
      </c>
    </row>
    <row r="360" ht="15" customHeight="1" s="39">
      <c r="A360" s="85" t="n"/>
      <c r="B360" s="85" t="n"/>
      <c r="C360" s="85" t="n"/>
      <c r="D360" s="85" t="n"/>
      <c r="E360" s="85" t="n"/>
      <c r="F360" s="86" t="n"/>
      <c r="G360" s="86" t="n"/>
      <c r="H360" s="85" t="n"/>
      <c r="I360" s="85" t="n"/>
      <c r="J360" s="85" t="n"/>
      <c r="K360" s="85" t="n"/>
      <c r="L360" s="85" t="n"/>
      <c r="M360" s="85" t="n"/>
      <c r="N360" s="85" t="n"/>
      <c r="O360" s="85" t="n"/>
      <c r="P360" s="85" t="n"/>
      <c r="Q360" s="85" t="n"/>
      <c r="R360" s="85" t="n"/>
      <c r="S360" s="85" t="n"/>
      <c r="T360" s="85" t="n"/>
      <c r="U360" s="85" t="n"/>
      <c r="V360" s="85" t="n"/>
      <c r="W360" s="85" t="n"/>
      <c r="X360" s="85" t="n"/>
      <c r="Y360" s="85" t="n"/>
      <c r="Z360" s="85" t="n"/>
      <c r="AA360" s="85" t="n"/>
      <c r="AB360" s="85" t="n"/>
      <c r="AC360" s="86" t="n"/>
      <c r="AD360" s="86" t="n"/>
      <c r="AE360" s="86" t="n"/>
      <c r="AF360" s="85" t="n"/>
      <c r="AG360" s="85" t="n"/>
      <c r="AH360" s="85">
        <f>IF($A360="","",IF(AND($E360="Yes",OR($V360="No",$V360="NOT FOUND")),"YES",""))</f>
        <v/>
      </c>
      <c r="AI360" s="85">
        <f>IF($A360="","",TRIM(IF(AND($M360=0,$I360&lt;&gt;"Yes"),"T0-NoPhishResistant ","")&amp;IF($H360="No","NoMFA ","")&amp;IF(AND($M360=0,$O360="Group only"),"T0-ViaGroupOnly ","")&amp;IF($N360="Yes","BroadAzureScope ","")&amp;IF($T360="Yes","AlsoEntraRole ","")))</f>
        <v/>
      </c>
      <c r="AJ360" s="85">
        <f>IF($A360="","",IF(AD360="","Not Enrolled",IF(TODAY()&gt;AD360,"Review Overdue",IF(AD360-TODAY()&lt;=30,"Review Due Soon","Active"))))</f>
        <v/>
      </c>
      <c r="AK360" s="85">
        <f>IF($A360="","",IF(AE360="","NOT REVIEWED",IF(TODAY()-AE360&gt;90,"OVERDUE",IF(TODAY()-AE360&gt;76,"Due Soon","Current"))))</f>
        <v/>
      </c>
    </row>
    <row r="361" ht="15" customHeight="1" s="39">
      <c r="A361" s="85" t="n"/>
      <c r="B361" s="85" t="n"/>
      <c r="C361" s="85" t="n"/>
      <c r="D361" s="85" t="n"/>
      <c r="E361" s="85" t="n"/>
      <c r="F361" s="86" t="n"/>
      <c r="G361" s="86" t="n"/>
      <c r="H361" s="85" t="n"/>
      <c r="I361" s="85" t="n"/>
      <c r="J361" s="85" t="n"/>
      <c r="K361" s="85" t="n"/>
      <c r="L361" s="85" t="n"/>
      <c r="M361" s="85" t="n"/>
      <c r="N361" s="85" t="n"/>
      <c r="O361" s="85" t="n"/>
      <c r="P361" s="85" t="n"/>
      <c r="Q361" s="85" t="n"/>
      <c r="R361" s="85" t="n"/>
      <c r="S361" s="85" t="n"/>
      <c r="T361" s="85" t="n"/>
      <c r="U361" s="85" t="n"/>
      <c r="V361" s="85" t="n"/>
      <c r="W361" s="85" t="n"/>
      <c r="X361" s="85" t="n"/>
      <c r="Y361" s="85" t="n"/>
      <c r="Z361" s="85" t="n"/>
      <c r="AA361" s="85" t="n"/>
      <c r="AB361" s="85" t="n"/>
      <c r="AC361" s="86" t="n"/>
      <c r="AD361" s="86" t="n"/>
      <c r="AE361" s="86" t="n"/>
      <c r="AF361" s="85" t="n"/>
      <c r="AG361" s="85" t="n"/>
      <c r="AH361" s="85">
        <f>IF($A361="","",IF(AND($E361="Yes",OR($V361="No",$V361="NOT FOUND")),"YES",""))</f>
        <v/>
      </c>
      <c r="AI361" s="85">
        <f>IF($A361="","",TRIM(IF(AND($M361=0,$I361&lt;&gt;"Yes"),"T0-NoPhishResistant ","")&amp;IF($H361="No","NoMFA ","")&amp;IF(AND($M361=0,$O361="Group only"),"T0-ViaGroupOnly ","")&amp;IF($N361="Yes","BroadAzureScope ","")&amp;IF($T361="Yes","AlsoEntraRole ","")))</f>
        <v/>
      </c>
      <c r="AJ361" s="85">
        <f>IF($A361="","",IF(AD361="","Not Enrolled",IF(TODAY()&gt;AD361,"Review Overdue",IF(AD361-TODAY()&lt;=30,"Review Due Soon","Active"))))</f>
        <v/>
      </c>
      <c r="AK361" s="85">
        <f>IF($A361="","",IF(AE361="","NOT REVIEWED",IF(TODAY()-AE361&gt;90,"OVERDUE",IF(TODAY()-AE361&gt;76,"Due Soon","Current"))))</f>
        <v/>
      </c>
    </row>
    <row r="362" ht="15" customHeight="1" s="39">
      <c r="A362" s="85" t="n"/>
      <c r="B362" s="85" t="n"/>
      <c r="C362" s="85" t="n"/>
      <c r="D362" s="85" t="n"/>
      <c r="E362" s="85" t="n"/>
      <c r="F362" s="86" t="n"/>
      <c r="G362" s="86" t="n"/>
      <c r="H362" s="85" t="n"/>
      <c r="I362" s="85" t="n"/>
      <c r="J362" s="85" t="n"/>
      <c r="K362" s="85" t="n"/>
      <c r="L362" s="85" t="n"/>
      <c r="M362" s="85" t="n"/>
      <c r="N362" s="85" t="n"/>
      <c r="O362" s="85" t="n"/>
      <c r="P362" s="85" t="n"/>
      <c r="Q362" s="85" t="n"/>
      <c r="R362" s="85" t="n"/>
      <c r="S362" s="85" t="n"/>
      <c r="T362" s="85" t="n"/>
      <c r="U362" s="85" t="n"/>
      <c r="V362" s="85" t="n"/>
      <c r="W362" s="85" t="n"/>
      <c r="X362" s="85" t="n"/>
      <c r="Y362" s="85" t="n"/>
      <c r="Z362" s="85" t="n"/>
      <c r="AA362" s="85" t="n"/>
      <c r="AB362" s="85" t="n"/>
      <c r="AC362" s="86" t="n"/>
      <c r="AD362" s="86" t="n"/>
      <c r="AE362" s="86" t="n"/>
      <c r="AF362" s="85" t="n"/>
      <c r="AG362" s="85" t="n"/>
      <c r="AH362" s="85">
        <f>IF($A362="","",IF(AND($E362="Yes",OR($V362="No",$V362="NOT FOUND")),"YES",""))</f>
        <v/>
      </c>
      <c r="AI362" s="85">
        <f>IF($A362="","",TRIM(IF(AND($M362=0,$I362&lt;&gt;"Yes"),"T0-NoPhishResistant ","")&amp;IF($H362="No","NoMFA ","")&amp;IF(AND($M362=0,$O362="Group only"),"T0-ViaGroupOnly ","")&amp;IF($N362="Yes","BroadAzureScope ","")&amp;IF($T362="Yes","AlsoEntraRole ","")))</f>
        <v/>
      </c>
      <c r="AJ362" s="85">
        <f>IF($A362="","",IF(AD362="","Not Enrolled",IF(TODAY()&gt;AD362,"Review Overdue",IF(AD362-TODAY()&lt;=30,"Review Due Soon","Active"))))</f>
        <v/>
      </c>
      <c r="AK362" s="85">
        <f>IF($A362="","",IF(AE362="","NOT REVIEWED",IF(TODAY()-AE362&gt;90,"OVERDUE",IF(TODAY()-AE362&gt;76,"Due Soon","Current"))))</f>
        <v/>
      </c>
    </row>
    <row r="363" ht="15" customHeight="1" s="39">
      <c r="A363" s="85" t="n"/>
      <c r="B363" s="85" t="n"/>
      <c r="C363" s="85" t="n"/>
      <c r="D363" s="85" t="n"/>
      <c r="E363" s="85" t="n"/>
      <c r="F363" s="86" t="n"/>
      <c r="G363" s="86" t="n"/>
      <c r="H363" s="85" t="n"/>
      <c r="I363" s="85" t="n"/>
      <c r="J363" s="85" t="n"/>
      <c r="K363" s="85" t="n"/>
      <c r="L363" s="85" t="n"/>
      <c r="M363" s="85" t="n"/>
      <c r="N363" s="85" t="n"/>
      <c r="O363" s="85" t="n"/>
      <c r="P363" s="85" t="n"/>
      <c r="Q363" s="85" t="n"/>
      <c r="R363" s="85" t="n"/>
      <c r="S363" s="85" t="n"/>
      <c r="T363" s="85" t="n"/>
      <c r="U363" s="85" t="n"/>
      <c r="V363" s="85" t="n"/>
      <c r="W363" s="85" t="n"/>
      <c r="X363" s="85" t="n"/>
      <c r="Y363" s="85" t="n"/>
      <c r="Z363" s="85" t="n"/>
      <c r="AA363" s="85" t="n"/>
      <c r="AB363" s="85" t="n"/>
      <c r="AC363" s="86" t="n"/>
      <c r="AD363" s="86" t="n"/>
      <c r="AE363" s="86" t="n"/>
      <c r="AF363" s="85" t="n"/>
      <c r="AG363" s="85" t="n"/>
      <c r="AH363" s="85">
        <f>IF($A363="","",IF(AND($E363="Yes",OR($V363="No",$V363="NOT FOUND")),"YES",""))</f>
        <v/>
      </c>
      <c r="AI363" s="85">
        <f>IF($A363="","",TRIM(IF(AND($M363=0,$I363&lt;&gt;"Yes"),"T0-NoPhishResistant ","")&amp;IF($H363="No","NoMFA ","")&amp;IF(AND($M363=0,$O363="Group only"),"T0-ViaGroupOnly ","")&amp;IF($N363="Yes","BroadAzureScope ","")&amp;IF($T363="Yes","AlsoEntraRole ","")))</f>
        <v/>
      </c>
      <c r="AJ363" s="85">
        <f>IF($A363="","",IF(AD363="","Not Enrolled",IF(TODAY()&gt;AD363,"Review Overdue",IF(AD363-TODAY()&lt;=30,"Review Due Soon","Active"))))</f>
        <v/>
      </c>
      <c r="AK363" s="85">
        <f>IF($A363="","",IF(AE363="","NOT REVIEWED",IF(TODAY()-AE363&gt;90,"OVERDUE",IF(TODAY()-AE363&gt;76,"Due Soon","Current"))))</f>
        <v/>
      </c>
    </row>
    <row r="364" ht="15" customHeight="1" s="39">
      <c r="A364" s="85" t="n"/>
      <c r="B364" s="85" t="n"/>
      <c r="C364" s="85" t="n"/>
      <c r="D364" s="85" t="n"/>
      <c r="E364" s="85" t="n"/>
      <c r="F364" s="86" t="n"/>
      <c r="G364" s="86" t="n"/>
      <c r="H364" s="85" t="n"/>
      <c r="I364" s="85" t="n"/>
      <c r="J364" s="85" t="n"/>
      <c r="K364" s="85" t="n"/>
      <c r="L364" s="85" t="n"/>
      <c r="M364" s="85" t="n"/>
      <c r="N364" s="85" t="n"/>
      <c r="O364" s="85" t="n"/>
      <c r="P364" s="85" t="n"/>
      <c r="Q364" s="85" t="n"/>
      <c r="R364" s="85" t="n"/>
      <c r="S364" s="85" t="n"/>
      <c r="T364" s="85" t="n"/>
      <c r="U364" s="85" t="n"/>
      <c r="V364" s="85" t="n"/>
      <c r="W364" s="85" t="n"/>
      <c r="X364" s="85" t="n"/>
      <c r="Y364" s="85" t="n"/>
      <c r="Z364" s="85" t="n"/>
      <c r="AA364" s="85" t="n"/>
      <c r="AB364" s="85" t="n"/>
      <c r="AC364" s="86" t="n"/>
      <c r="AD364" s="86" t="n"/>
      <c r="AE364" s="86" t="n"/>
      <c r="AF364" s="85" t="n"/>
      <c r="AG364" s="85" t="n"/>
      <c r="AH364" s="85">
        <f>IF($A364="","",IF(AND($E364="Yes",OR($V364="No",$V364="NOT FOUND")),"YES",""))</f>
        <v/>
      </c>
      <c r="AI364" s="85">
        <f>IF($A364="","",TRIM(IF(AND($M364=0,$I364&lt;&gt;"Yes"),"T0-NoPhishResistant ","")&amp;IF($H364="No","NoMFA ","")&amp;IF(AND($M364=0,$O364="Group only"),"T0-ViaGroupOnly ","")&amp;IF($N364="Yes","BroadAzureScope ","")&amp;IF($T364="Yes","AlsoEntraRole ","")))</f>
        <v/>
      </c>
      <c r="AJ364" s="85">
        <f>IF($A364="","",IF(AD364="","Not Enrolled",IF(TODAY()&gt;AD364,"Review Overdue",IF(AD364-TODAY()&lt;=30,"Review Due Soon","Active"))))</f>
        <v/>
      </c>
      <c r="AK364" s="85">
        <f>IF($A364="","",IF(AE364="","NOT REVIEWED",IF(TODAY()-AE364&gt;90,"OVERDUE",IF(TODAY()-AE364&gt;76,"Due Soon","Current"))))</f>
        <v/>
      </c>
    </row>
    <row r="365" ht="15" customHeight="1" s="39">
      <c r="A365" s="85" t="n"/>
      <c r="B365" s="85" t="n"/>
      <c r="C365" s="85" t="n"/>
      <c r="D365" s="85" t="n"/>
      <c r="E365" s="85" t="n"/>
      <c r="F365" s="86" t="n"/>
      <c r="G365" s="86" t="n"/>
      <c r="H365" s="85" t="n"/>
      <c r="I365" s="85" t="n"/>
      <c r="J365" s="85" t="n"/>
      <c r="K365" s="85" t="n"/>
      <c r="L365" s="85" t="n"/>
      <c r="M365" s="85" t="n"/>
      <c r="N365" s="85" t="n"/>
      <c r="O365" s="85" t="n"/>
      <c r="P365" s="85" t="n"/>
      <c r="Q365" s="85" t="n"/>
      <c r="R365" s="85" t="n"/>
      <c r="S365" s="85" t="n"/>
      <c r="T365" s="85" t="n"/>
      <c r="U365" s="85" t="n"/>
      <c r="V365" s="85" t="n"/>
      <c r="W365" s="85" t="n"/>
      <c r="X365" s="85" t="n"/>
      <c r="Y365" s="85" t="n"/>
      <c r="Z365" s="85" t="n"/>
      <c r="AA365" s="85" t="n"/>
      <c r="AB365" s="85" t="n"/>
      <c r="AC365" s="86" t="n"/>
      <c r="AD365" s="86" t="n"/>
      <c r="AE365" s="86" t="n"/>
      <c r="AF365" s="85" t="n"/>
      <c r="AG365" s="85" t="n"/>
      <c r="AH365" s="85">
        <f>IF($A365="","",IF(AND($E365="Yes",OR($V365="No",$V365="NOT FOUND")),"YES",""))</f>
        <v/>
      </c>
      <c r="AI365" s="85">
        <f>IF($A365="","",TRIM(IF(AND($M365=0,$I365&lt;&gt;"Yes"),"T0-NoPhishResistant ","")&amp;IF($H365="No","NoMFA ","")&amp;IF(AND($M365=0,$O365="Group only"),"T0-ViaGroupOnly ","")&amp;IF($N365="Yes","BroadAzureScope ","")&amp;IF($T365="Yes","AlsoEntraRole ","")))</f>
        <v/>
      </c>
      <c r="AJ365" s="85">
        <f>IF($A365="","",IF(AD365="","Not Enrolled",IF(TODAY()&gt;AD365,"Review Overdue",IF(AD365-TODAY()&lt;=30,"Review Due Soon","Active"))))</f>
        <v/>
      </c>
      <c r="AK365" s="85">
        <f>IF($A365="","",IF(AE365="","NOT REVIEWED",IF(TODAY()-AE365&gt;90,"OVERDUE",IF(TODAY()-AE365&gt;76,"Due Soon","Current"))))</f>
        <v/>
      </c>
    </row>
    <row r="366" ht="15" customHeight="1" s="39">
      <c r="A366" s="85" t="n"/>
      <c r="B366" s="85" t="n"/>
      <c r="C366" s="85" t="n"/>
      <c r="D366" s="85" t="n"/>
      <c r="E366" s="85" t="n"/>
      <c r="F366" s="86" t="n"/>
      <c r="G366" s="86" t="n"/>
      <c r="H366" s="85" t="n"/>
      <c r="I366" s="85" t="n"/>
      <c r="J366" s="85" t="n"/>
      <c r="K366" s="85" t="n"/>
      <c r="L366" s="85" t="n"/>
      <c r="M366" s="85" t="n"/>
      <c r="N366" s="85" t="n"/>
      <c r="O366" s="85" t="n"/>
      <c r="P366" s="85" t="n"/>
      <c r="Q366" s="85" t="n"/>
      <c r="R366" s="85" t="n"/>
      <c r="S366" s="85" t="n"/>
      <c r="T366" s="85" t="n"/>
      <c r="U366" s="85" t="n"/>
      <c r="V366" s="85" t="n"/>
      <c r="W366" s="85" t="n"/>
      <c r="X366" s="85" t="n"/>
      <c r="Y366" s="85" t="n"/>
      <c r="Z366" s="85" t="n"/>
      <c r="AA366" s="85" t="n"/>
      <c r="AB366" s="85" t="n"/>
      <c r="AC366" s="86" t="n"/>
      <c r="AD366" s="86" t="n"/>
      <c r="AE366" s="86" t="n"/>
      <c r="AF366" s="85" t="n"/>
      <c r="AG366" s="85" t="n"/>
      <c r="AH366" s="85">
        <f>IF($A366="","",IF(AND($E366="Yes",OR($V366="No",$V366="NOT FOUND")),"YES",""))</f>
        <v/>
      </c>
      <c r="AI366" s="85">
        <f>IF($A366="","",TRIM(IF(AND($M366=0,$I366&lt;&gt;"Yes"),"T0-NoPhishResistant ","")&amp;IF($H366="No","NoMFA ","")&amp;IF(AND($M366=0,$O366="Group only"),"T0-ViaGroupOnly ","")&amp;IF($N366="Yes","BroadAzureScope ","")&amp;IF($T366="Yes","AlsoEntraRole ","")))</f>
        <v/>
      </c>
      <c r="AJ366" s="85">
        <f>IF($A366="","",IF(AD366="","Not Enrolled",IF(TODAY()&gt;AD366,"Review Overdue",IF(AD366-TODAY()&lt;=30,"Review Due Soon","Active"))))</f>
        <v/>
      </c>
      <c r="AK366" s="85">
        <f>IF($A366="","",IF(AE366="","NOT REVIEWED",IF(TODAY()-AE366&gt;90,"OVERDUE",IF(TODAY()-AE366&gt;76,"Due Soon","Current"))))</f>
        <v/>
      </c>
    </row>
    <row r="367" ht="15" customHeight="1" s="39">
      <c r="A367" s="85" t="n"/>
      <c r="B367" s="85" t="n"/>
      <c r="C367" s="85" t="n"/>
      <c r="D367" s="85" t="n"/>
      <c r="E367" s="85" t="n"/>
      <c r="F367" s="86" t="n"/>
      <c r="G367" s="86" t="n"/>
      <c r="H367" s="85" t="n"/>
      <c r="I367" s="85" t="n"/>
      <c r="J367" s="85" t="n"/>
      <c r="K367" s="85" t="n"/>
      <c r="L367" s="85" t="n"/>
      <c r="M367" s="85" t="n"/>
      <c r="N367" s="85" t="n"/>
      <c r="O367" s="85" t="n"/>
      <c r="P367" s="85" t="n"/>
      <c r="Q367" s="85" t="n"/>
      <c r="R367" s="85" t="n"/>
      <c r="S367" s="85" t="n"/>
      <c r="T367" s="85" t="n"/>
      <c r="U367" s="85" t="n"/>
      <c r="V367" s="85" t="n"/>
      <c r="W367" s="85" t="n"/>
      <c r="X367" s="85" t="n"/>
      <c r="Y367" s="85" t="n"/>
      <c r="Z367" s="85" t="n"/>
      <c r="AA367" s="85" t="n"/>
      <c r="AB367" s="85" t="n"/>
      <c r="AC367" s="86" t="n"/>
      <c r="AD367" s="86" t="n"/>
      <c r="AE367" s="86" t="n"/>
      <c r="AF367" s="85" t="n"/>
      <c r="AG367" s="85" t="n"/>
      <c r="AH367" s="85">
        <f>IF($A367="","",IF(AND($E367="Yes",OR($V367="No",$V367="NOT FOUND")),"YES",""))</f>
        <v/>
      </c>
      <c r="AI367" s="85">
        <f>IF($A367="","",TRIM(IF(AND($M367=0,$I367&lt;&gt;"Yes"),"T0-NoPhishResistant ","")&amp;IF($H367="No","NoMFA ","")&amp;IF(AND($M367=0,$O367="Group only"),"T0-ViaGroupOnly ","")&amp;IF($N367="Yes","BroadAzureScope ","")&amp;IF($T367="Yes","AlsoEntraRole ","")))</f>
        <v/>
      </c>
      <c r="AJ367" s="85">
        <f>IF($A367="","",IF(AD367="","Not Enrolled",IF(TODAY()&gt;AD367,"Review Overdue",IF(AD367-TODAY()&lt;=30,"Review Due Soon","Active"))))</f>
        <v/>
      </c>
      <c r="AK367" s="85">
        <f>IF($A367="","",IF(AE367="","NOT REVIEWED",IF(TODAY()-AE367&gt;90,"OVERDUE",IF(TODAY()-AE367&gt;76,"Due Soon","Current"))))</f>
        <v/>
      </c>
    </row>
    <row r="368" ht="15" customHeight="1" s="39">
      <c r="A368" s="85" t="n"/>
      <c r="B368" s="85" t="n"/>
      <c r="C368" s="85" t="n"/>
      <c r="D368" s="85" t="n"/>
      <c r="E368" s="85" t="n"/>
      <c r="F368" s="86" t="n"/>
      <c r="G368" s="86" t="n"/>
      <c r="H368" s="85" t="n"/>
      <c r="I368" s="85" t="n"/>
      <c r="J368" s="85" t="n"/>
      <c r="K368" s="85" t="n"/>
      <c r="L368" s="85" t="n"/>
      <c r="M368" s="85" t="n"/>
      <c r="N368" s="85" t="n"/>
      <c r="O368" s="85" t="n"/>
      <c r="P368" s="85" t="n"/>
      <c r="Q368" s="85" t="n"/>
      <c r="R368" s="85" t="n"/>
      <c r="S368" s="85" t="n"/>
      <c r="T368" s="85" t="n"/>
      <c r="U368" s="85" t="n"/>
      <c r="V368" s="85" t="n"/>
      <c r="W368" s="85" t="n"/>
      <c r="X368" s="85" t="n"/>
      <c r="Y368" s="85" t="n"/>
      <c r="Z368" s="85" t="n"/>
      <c r="AA368" s="85" t="n"/>
      <c r="AB368" s="85" t="n"/>
      <c r="AC368" s="86" t="n"/>
      <c r="AD368" s="86" t="n"/>
      <c r="AE368" s="86" t="n"/>
      <c r="AF368" s="85" t="n"/>
      <c r="AG368" s="85" t="n"/>
      <c r="AH368" s="85">
        <f>IF($A368="","",IF(AND($E368="Yes",OR($V368="No",$V368="NOT FOUND")),"YES",""))</f>
        <v/>
      </c>
      <c r="AI368" s="85">
        <f>IF($A368="","",TRIM(IF(AND($M368=0,$I368&lt;&gt;"Yes"),"T0-NoPhishResistant ","")&amp;IF($H368="No","NoMFA ","")&amp;IF(AND($M368=0,$O368="Group only"),"T0-ViaGroupOnly ","")&amp;IF($N368="Yes","BroadAzureScope ","")&amp;IF($T368="Yes","AlsoEntraRole ","")))</f>
        <v/>
      </c>
      <c r="AJ368" s="85">
        <f>IF($A368="","",IF(AD368="","Not Enrolled",IF(TODAY()&gt;AD368,"Review Overdue",IF(AD368-TODAY()&lt;=30,"Review Due Soon","Active"))))</f>
        <v/>
      </c>
      <c r="AK368" s="85">
        <f>IF($A368="","",IF(AE368="","NOT REVIEWED",IF(TODAY()-AE368&gt;90,"OVERDUE",IF(TODAY()-AE368&gt;76,"Due Soon","Current"))))</f>
        <v/>
      </c>
    </row>
    <row r="369" ht="15" customHeight="1" s="39">
      <c r="A369" s="85" t="n"/>
      <c r="B369" s="85" t="n"/>
      <c r="C369" s="85" t="n"/>
      <c r="D369" s="85" t="n"/>
      <c r="E369" s="85" t="n"/>
      <c r="F369" s="86" t="n"/>
      <c r="G369" s="86" t="n"/>
      <c r="H369" s="85" t="n"/>
      <c r="I369" s="85" t="n"/>
      <c r="J369" s="85" t="n"/>
      <c r="K369" s="85" t="n"/>
      <c r="L369" s="85" t="n"/>
      <c r="M369" s="85" t="n"/>
      <c r="N369" s="85" t="n"/>
      <c r="O369" s="85" t="n"/>
      <c r="P369" s="85" t="n"/>
      <c r="Q369" s="85" t="n"/>
      <c r="R369" s="85" t="n"/>
      <c r="S369" s="85" t="n"/>
      <c r="T369" s="85" t="n"/>
      <c r="U369" s="85" t="n"/>
      <c r="V369" s="85" t="n"/>
      <c r="W369" s="85" t="n"/>
      <c r="X369" s="85" t="n"/>
      <c r="Y369" s="85" t="n"/>
      <c r="Z369" s="85" t="n"/>
      <c r="AA369" s="85" t="n"/>
      <c r="AB369" s="85" t="n"/>
      <c r="AC369" s="86" t="n"/>
      <c r="AD369" s="86" t="n"/>
      <c r="AE369" s="86" t="n"/>
      <c r="AF369" s="85" t="n"/>
      <c r="AG369" s="85" t="n"/>
      <c r="AH369" s="85">
        <f>IF($A369="","",IF(AND($E369="Yes",OR($V369="No",$V369="NOT FOUND")),"YES",""))</f>
        <v/>
      </c>
      <c r="AI369" s="85">
        <f>IF($A369="","",TRIM(IF(AND($M369=0,$I369&lt;&gt;"Yes"),"T0-NoPhishResistant ","")&amp;IF($H369="No","NoMFA ","")&amp;IF(AND($M369=0,$O369="Group only"),"T0-ViaGroupOnly ","")&amp;IF($N369="Yes","BroadAzureScope ","")&amp;IF($T369="Yes","AlsoEntraRole ","")))</f>
        <v/>
      </c>
      <c r="AJ369" s="85">
        <f>IF($A369="","",IF(AD369="","Not Enrolled",IF(TODAY()&gt;AD369,"Review Overdue",IF(AD369-TODAY()&lt;=30,"Review Due Soon","Active"))))</f>
        <v/>
      </c>
      <c r="AK369" s="85">
        <f>IF($A369="","",IF(AE369="","NOT REVIEWED",IF(TODAY()-AE369&gt;90,"OVERDUE",IF(TODAY()-AE369&gt;76,"Due Soon","Current"))))</f>
        <v/>
      </c>
    </row>
    <row r="370" ht="15" customHeight="1" s="39">
      <c r="A370" s="85" t="n"/>
      <c r="B370" s="85" t="n"/>
      <c r="C370" s="85" t="n"/>
      <c r="D370" s="85" t="n"/>
      <c r="E370" s="85" t="n"/>
      <c r="F370" s="86" t="n"/>
      <c r="G370" s="86" t="n"/>
      <c r="H370" s="85" t="n"/>
      <c r="I370" s="85" t="n"/>
      <c r="J370" s="85" t="n"/>
      <c r="K370" s="85" t="n"/>
      <c r="L370" s="85" t="n"/>
      <c r="M370" s="85" t="n"/>
      <c r="N370" s="85" t="n"/>
      <c r="O370" s="85" t="n"/>
      <c r="P370" s="85" t="n"/>
      <c r="Q370" s="85" t="n"/>
      <c r="R370" s="85" t="n"/>
      <c r="S370" s="85" t="n"/>
      <c r="T370" s="85" t="n"/>
      <c r="U370" s="85" t="n"/>
      <c r="V370" s="85" t="n"/>
      <c r="W370" s="85" t="n"/>
      <c r="X370" s="85" t="n"/>
      <c r="Y370" s="85" t="n"/>
      <c r="Z370" s="85" t="n"/>
      <c r="AA370" s="85" t="n"/>
      <c r="AB370" s="85" t="n"/>
      <c r="AC370" s="86" t="n"/>
      <c r="AD370" s="86" t="n"/>
      <c r="AE370" s="86" t="n"/>
      <c r="AF370" s="85" t="n"/>
      <c r="AG370" s="85" t="n"/>
      <c r="AH370" s="85">
        <f>IF($A370="","",IF(AND($E370="Yes",OR($V370="No",$V370="NOT FOUND")),"YES",""))</f>
        <v/>
      </c>
      <c r="AI370" s="85">
        <f>IF($A370="","",TRIM(IF(AND($M370=0,$I370&lt;&gt;"Yes"),"T0-NoPhishResistant ","")&amp;IF($H370="No","NoMFA ","")&amp;IF(AND($M370=0,$O370="Group only"),"T0-ViaGroupOnly ","")&amp;IF($N370="Yes","BroadAzureScope ","")&amp;IF($T370="Yes","AlsoEntraRole ","")))</f>
        <v/>
      </c>
      <c r="AJ370" s="85">
        <f>IF($A370="","",IF(AD370="","Not Enrolled",IF(TODAY()&gt;AD370,"Review Overdue",IF(AD370-TODAY()&lt;=30,"Review Due Soon","Active"))))</f>
        <v/>
      </c>
      <c r="AK370" s="85">
        <f>IF($A370="","",IF(AE370="","NOT REVIEWED",IF(TODAY()-AE370&gt;90,"OVERDUE",IF(TODAY()-AE370&gt;76,"Due Soon","Current"))))</f>
        <v/>
      </c>
    </row>
    <row r="371" ht="15" customHeight="1" s="39">
      <c r="A371" s="85" t="n"/>
      <c r="B371" s="85" t="n"/>
      <c r="C371" s="85" t="n"/>
      <c r="D371" s="85" t="n"/>
      <c r="E371" s="85" t="n"/>
      <c r="F371" s="86" t="n"/>
      <c r="G371" s="86" t="n"/>
      <c r="H371" s="85" t="n"/>
      <c r="I371" s="85" t="n"/>
      <c r="J371" s="85" t="n"/>
      <c r="K371" s="85" t="n"/>
      <c r="L371" s="85" t="n"/>
      <c r="M371" s="85" t="n"/>
      <c r="N371" s="85" t="n"/>
      <c r="O371" s="85" t="n"/>
      <c r="P371" s="85" t="n"/>
      <c r="Q371" s="85" t="n"/>
      <c r="R371" s="85" t="n"/>
      <c r="S371" s="85" t="n"/>
      <c r="T371" s="85" t="n"/>
      <c r="U371" s="85" t="n"/>
      <c r="V371" s="85" t="n"/>
      <c r="W371" s="85" t="n"/>
      <c r="X371" s="85" t="n"/>
      <c r="Y371" s="85" t="n"/>
      <c r="Z371" s="85" t="n"/>
      <c r="AA371" s="85" t="n"/>
      <c r="AB371" s="85" t="n"/>
      <c r="AC371" s="86" t="n"/>
      <c r="AD371" s="86" t="n"/>
      <c r="AE371" s="86" t="n"/>
      <c r="AF371" s="85" t="n"/>
      <c r="AG371" s="85" t="n"/>
      <c r="AH371" s="85">
        <f>IF($A371="","",IF(AND($E371="Yes",OR($V371="No",$V371="NOT FOUND")),"YES",""))</f>
        <v/>
      </c>
      <c r="AI371" s="85">
        <f>IF($A371="","",TRIM(IF(AND($M371=0,$I371&lt;&gt;"Yes"),"T0-NoPhishResistant ","")&amp;IF($H371="No","NoMFA ","")&amp;IF(AND($M371=0,$O371="Group only"),"T0-ViaGroupOnly ","")&amp;IF($N371="Yes","BroadAzureScope ","")&amp;IF($T371="Yes","AlsoEntraRole ","")))</f>
        <v/>
      </c>
      <c r="AJ371" s="85">
        <f>IF($A371="","",IF(AD371="","Not Enrolled",IF(TODAY()&gt;AD371,"Review Overdue",IF(AD371-TODAY()&lt;=30,"Review Due Soon","Active"))))</f>
        <v/>
      </c>
      <c r="AK371" s="85">
        <f>IF($A371="","",IF(AE371="","NOT REVIEWED",IF(TODAY()-AE371&gt;90,"OVERDUE",IF(TODAY()-AE371&gt;76,"Due Soon","Current"))))</f>
        <v/>
      </c>
    </row>
    <row r="372" ht="15" customHeight="1" s="39">
      <c r="A372" s="85" t="n"/>
      <c r="B372" s="85" t="n"/>
      <c r="C372" s="85" t="n"/>
      <c r="D372" s="85" t="n"/>
      <c r="E372" s="85" t="n"/>
      <c r="F372" s="86" t="n"/>
      <c r="G372" s="86" t="n"/>
      <c r="H372" s="85" t="n"/>
      <c r="I372" s="85" t="n"/>
      <c r="J372" s="85" t="n"/>
      <c r="K372" s="85" t="n"/>
      <c r="L372" s="85" t="n"/>
      <c r="M372" s="85" t="n"/>
      <c r="N372" s="85" t="n"/>
      <c r="O372" s="85" t="n"/>
      <c r="P372" s="85" t="n"/>
      <c r="Q372" s="85" t="n"/>
      <c r="R372" s="85" t="n"/>
      <c r="S372" s="85" t="n"/>
      <c r="T372" s="85" t="n"/>
      <c r="U372" s="85" t="n"/>
      <c r="V372" s="85" t="n"/>
      <c r="W372" s="85" t="n"/>
      <c r="X372" s="85" t="n"/>
      <c r="Y372" s="85" t="n"/>
      <c r="Z372" s="85" t="n"/>
      <c r="AA372" s="85" t="n"/>
      <c r="AB372" s="85" t="n"/>
      <c r="AC372" s="86" t="n"/>
      <c r="AD372" s="86" t="n"/>
      <c r="AE372" s="86" t="n"/>
      <c r="AF372" s="85" t="n"/>
      <c r="AG372" s="85" t="n"/>
      <c r="AH372" s="85">
        <f>IF($A372="","",IF(AND($E372="Yes",OR($V372="No",$V372="NOT FOUND")),"YES",""))</f>
        <v/>
      </c>
      <c r="AI372" s="85">
        <f>IF($A372="","",TRIM(IF(AND($M372=0,$I372&lt;&gt;"Yes"),"T0-NoPhishResistant ","")&amp;IF($H372="No","NoMFA ","")&amp;IF(AND($M372=0,$O372="Group only"),"T0-ViaGroupOnly ","")&amp;IF($N372="Yes","BroadAzureScope ","")&amp;IF($T372="Yes","AlsoEntraRole ","")))</f>
        <v/>
      </c>
      <c r="AJ372" s="85">
        <f>IF($A372="","",IF(AD372="","Not Enrolled",IF(TODAY()&gt;AD372,"Review Overdue",IF(AD372-TODAY()&lt;=30,"Review Due Soon","Active"))))</f>
        <v/>
      </c>
      <c r="AK372" s="85">
        <f>IF($A372="","",IF(AE372="","NOT REVIEWED",IF(TODAY()-AE372&gt;90,"OVERDUE",IF(TODAY()-AE372&gt;76,"Due Soon","Current"))))</f>
        <v/>
      </c>
    </row>
    <row r="373" ht="15" customHeight="1" s="39">
      <c r="A373" s="85" t="n"/>
      <c r="B373" s="85" t="n"/>
      <c r="C373" s="85" t="n"/>
      <c r="D373" s="85" t="n"/>
      <c r="E373" s="85" t="n"/>
      <c r="F373" s="86" t="n"/>
      <c r="G373" s="86" t="n"/>
      <c r="H373" s="85" t="n"/>
      <c r="I373" s="85" t="n"/>
      <c r="J373" s="85" t="n"/>
      <c r="K373" s="85" t="n"/>
      <c r="L373" s="85" t="n"/>
      <c r="M373" s="85" t="n"/>
      <c r="N373" s="85" t="n"/>
      <c r="O373" s="85" t="n"/>
      <c r="P373" s="85" t="n"/>
      <c r="Q373" s="85" t="n"/>
      <c r="R373" s="85" t="n"/>
      <c r="S373" s="85" t="n"/>
      <c r="T373" s="85" t="n"/>
      <c r="U373" s="85" t="n"/>
      <c r="V373" s="85" t="n"/>
      <c r="W373" s="85" t="n"/>
      <c r="X373" s="85" t="n"/>
      <c r="Y373" s="85" t="n"/>
      <c r="Z373" s="85" t="n"/>
      <c r="AA373" s="85" t="n"/>
      <c r="AB373" s="85" t="n"/>
      <c r="AC373" s="86" t="n"/>
      <c r="AD373" s="86" t="n"/>
      <c r="AE373" s="86" t="n"/>
      <c r="AF373" s="85" t="n"/>
      <c r="AG373" s="85" t="n"/>
      <c r="AH373" s="85">
        <f>IF($A373="","",IF(AND($E373="Yes",OR($V373="No",$V373="NOT FOUND")),"YES",""))</f>
        <v/>
      </c>
      <c r="AI373" s="85">
        <f>IF($A373="","",TRIM(IF(AND($M373=0,$I373&lt;&gt;"Yes"),"T0-NoPhishResistant ","")&amp;IF($H373="No","NoMFA ","")&amp;IF(AND($M373=0,$O373="Group only"),"T0-ViaGroupOnly ","")&amp;IF($N373="Yes","BroadAzureScope ","")&amp;IF($T373="Yes","AlsoEntraRole ","")))</f>
        <v/>
      </c>
      <c r="AJ373" s="85">
        <f>IF($A373="","",IF(AD373="","Not Enrolled",IF(TODAY()&gt;AD373,"Review Overdue",IF(AD373-TODAY()&lt;=30,"Review Due Soon","Active"))))</f>
        <v/>
      </c>
      <c r="AK373" s="85">
        <f>IF($A373="","",IF(AE373="","NOT REVIEWED",IF(TODAY()-AE373&gt;90,"OVERDUE",IF(TODAY()-AE373&gt;76,"Due Soon","Current"))))</f>
        <v/>
      </c>
    </row>
    <row r="374" ht="15" customHeight="1" s="39">
      <c r="A374" s="85" t="n"/>
      <c r="B374" s="85" t="n"/>
      <c r="C374" s="85" t="n"/>
      <c r="D374" s="85" t="n"/>
      <c r="E374" s="85" t="n"/>
      <c r="F374" s="86" t="n"/>
      <c r="G374" s="86" t="n"/>
      <c r="H374" s="85" t="n"/>
      <c r="I374" s="85" t="n"/>
      <c r="J374" s="85" t="n"/>
      <c r="K374" s="85" t="n"/>
      <c r="L374" s="85" t="n"/>
      <c r="M374" s="85" t="n"/>
      <c r="N374" s="85" t="n"/>
      <c r="O374" s="85" t="n"/>
      <c r="P374" s="85" t="n"/>
      <c r="Q374" s="85" t="n"/>
      <c r="R374" s="85" t="n"/>
      <c r="S374" s="85" t="n"/>
      <c r="T374" s="85" t="n"/>
      <c r="U374" s="85" t="n"/>
      <c r="V374" s="85" t="n"/>
      <c r="W374" s="85" t="n"/>
      <c r="X374" s="85" t="n"/>
      <c r="Y374" s="85" t="n"/>
      <c r="Z374" s="85" t="n"/>
      <c r="AA374" s="85" t="n"/>
      <c r="AB374" s="85" t="n"/>
      <c r="AC374" s="86" t="n"/>
      <c r="AD374" s="86" t="n"/>
      <c r="AE374" s="86" t="n"/>
      <c r="AF374" s="85" t="n"/>
      <c r="AG374" s="85" t="n"/>
      <c r="AH374" s="85">
        <f>IF($A374="","",IF(AND($E374="Yes",OR($V374="No",$V374="NOT FOUND")),"YES",""))</f>
        <v/>
      </c>
      <c r="AI374" s="85">
        <f>IF($A374="","",TRIM(IF(AND($M374=0,$I374&lt;&gt;"Yes"),"T0-NoPhishResistant ","")&amp;IF($H374="No","NoMFA ","")&amp;IF(AND($M374=0,$O374="Group only"),"T0-ViaGroupOnly ","")&amp;IF($N374="Yes","BroadAzureScope ","")&amp;IF($T374="Yes","AlsoEntraRole ","")))</f>
        <v/>
      </c>
      <c r="AJ374" s="85">
        <f>IF($A374="","",IF(AD374="","Not Enrolled",IF(TODAY()&gt;AD374,"Review Overdue",IF(AD374-TODAY()&lt;=30,"Review Due Soon","Active"))))</f>
        <v/>
      </c>
      <c r="AK374" s="85">
        <f>IF($A374="","",IF(AE374="","NOT REVIEWED",IF(TODAY()-AE374&gt;90,"OVERDUE",IF(TODAY()-AE374&gt;76,"Due Soon","Current"))))</f>
        <v/>
      </c>
    </row>
    <row r="375" ht="15" customHeight="1" s="39">
      <c r="A375" s="85" t="n"/>
      <c r="B375" s="85" t="n"/>
      <c r="C375" s="85" t="n"/>
      <c r="D375" s="85" t="n"/>
      <c r="E375" s="85" t="n"/>
      <c r="F375" s="86" t="n"/>
      <c r="G375" s="86" t="n"/>
      <c r="H375" s="85" t="n"/>
      <c r="I375" s="85" t="n"/>
      <c r="J375" s="85" t="n"/>
      <c r="K375" s="85" t="n"/>
      <c r="L375" s="85" t="n"/>
      <c r="M375" s="85" t="n"/>
      <c r="N375" s="85" t="n"/>
      <c r="O375" s="85" t="n"/>
      <c r="P375" s="85" t="n"/>
      <c r="Q375" s="85" t="n"/>
      <c r="R375" s="85" t="n"/>
      <c r="S375" s="85" t="n"/>
      <c r="T375" s="85" t="n"/>
      <c r="U375" s="85" t="n"/>
      <c r="V375" s="85" t="n"/>
      <c r="W375" s="85" t="n"/>
      <c r="X375" s="85" t="n"/>
      <c r="Y375" s="85" t="n"/>
      <c r="Z375" s="85" t="n"/>
      <c r="AA375" s="85" t="n"/>
      <c r="AB375" s="85" t="n"/>
      <c r="AC375" s="86" t="n"/>
      <c r="AD375" s="86" t="n"/>
      <c r="AE375" s="86" t="n"/>
      <c r="AF375" s="85" t="n"/>
      <c r="AG375" s="85" t="n"/>
      <c r="AH375" s="85">
        <f>IF($A375="","",IF(AND($E375="Yes",OR($V375="No",$V375="NOT FOUND")),"YES",""))</f>
        <v/>
      </c>
      <c r="AI375" s="85">
        <f>IF($A375="","",TRIM(IF(AND($M375=0,$I375&lt;&gt;"Yes"),"T0-NoPhishResistant ","")&amp;IF($H375="No","NoMFA ","")&amp;IF(AND($M375=0,$O375="Group only"),"T0-ViaGroupOnly ","")&amp;IF($N375="Yes","BroadAzureScope ","")&amp;IF($T375="Yes","AlsoEntraRole ","")))</f>
        <v/>
      </c>
      <c r="AJ375" s="85">
        <f>IF($A375="","",IF(AD375="","Not Enrolled",IF(TODAY()&gt;AD375,"Review Overdue",IF(AD375-TODAY()&lt;=30,"Review Due Soon","Active"))))</f>
        <v/>
      </c>
      <c r="AK375" s="85">
        <f>IF($A375="","",IF(AE375="","NOT REVIEWED",IF(TODAY()-AE375&gt;90,"OVERDUE",IF(TODAY()-AE375&gt;76,"Due Soon","Current"))))</f>
        <v/>
      </c>
    </row>
    <row r="376" ht="15" customHeight="1" s="39">
      <c r="A376" s="85" t="n"/>
      <c r="B376" s="85" t="n"/>
      <c r="C376" s="85" t="n"/>
      <c r="D376" s="85" t="n"/>
      <c r="E376" s="85" t="n"/>
      <c r="F376" s="86" t="n"/>
      <c r="G376" s="86" t="n"/>
      <c r="H376" s="85" t="n"/>
      <c r="I376" s="85" t="n"/>
      <c r="J376" s="85" t="n"/>
      <c r="K376" s="85" t="n"/>
      <c r="L376" s="85" t="n"/>
      <c r="M376" s="85" t="n"/>
      <c r="N376" s="85" t="n"/>
      <c r="O376" s="85" t="n"/>
      <c r="P376" s="85" t="n"/>
      <c r="Q376" s="85" t="n"/>
      <c r="R376" s="85" t="n"/>
      <c r="S376" s="85" t="n"/>
      <c r="T376" s="85" t="n"/>
      <c r="U376" s="85" t="n"/>
      <c r="V376" s="85" t="n"/>
      <c r="W376" s="85" t="n"/>
      <c r="X376" s="85" t="n"/>
      <c r="Y376" s="85" t="n"/>
      <c r="Z376" s="85" t="n"/>
      <c r="AA376" s="85" t="n"/>
      <c r="AB376" s="85" t="n"/>
      <c r="AC376" s="86" t="n"/>
      <c r="AD376" s="86" t="n"/>
      <c r="AE376" s="86" t="n"/>
      <c r="AF376" s="85" t="n"/>
      <c r="AG376" s="85" t="n"/>
      <c r="AH376" s="85">
        <f>IF($A376="","",IF(AND($E376="Yes",OR($V376="No",$V376="NOT FOUND")),"YES",""))</f>
        <v/>
      </c>
      <c r="AI376" s="85">
        <f>IF($A376="","",TRIM(IF(AND($M376=0,$I376&lt;&gt;"Yes"),"T0-NoPhishResistant ","")&amp;IF($H376="No","NoMFA ","")&amp;IF(AND($M376=0,$O376="Group only"),"T0-ViaGroupOnly ","")&amp;IF($N376="Yes","BroadAzureScope ","")&amp;IF($T376="Yes","AlsoEntraRole ","")))</f>
        <v/>
      </c>
      <c r="AJ376" s="85">
        <f>IF($A376="","",IF(AD376="","Not Enrolled",IF(TODAY()&gt;AD376,"Review Overdue",IF(AD376-TODAY()&lt;=30,"Review Due Soon","Active"))))</f>
        <v/>
      </c>
      <c r="AK376" s="85">
        <f>IF($A376="","",IF(AE376="","NOT REVIEWED",IF(TODAY()-AE376&gt;90,"OVERDUE",IF(TODAY()-AE376&gt;76,"Due Soon","Current"))))</f>
        <v/>
      </c>
    </row>
    <row r="377" ht="15" customHeight="1" s="39">
      <c r="A377" s="85" t="n"/>
      <c r="B377" s="85" t="n"/>
      <c r="C377" s="85" t="n"/>
      <c r="D377" s="85" t="n"/>
      <c r="E377" s="85" t="n"/>
      <c r="F377" s="86" t="n"/>
      <c r="G377" s="86" t="n"/>
      <c r="H377" s="85" t="n"/>
      <c r="I377" s="85" t="n"/>
      <c r="J377" s="85" t="n"/>
      <c r="K377" s="85" t="n"/>
      <c r="L377" s="85" t="n"/>
      <c r="M377" s="85" t="n"/>
      <c r="N377" s="85" t="n"/>
      <c r="O377" s="85" t="n"/>
      <c r="P377" s="85" t="n"/>
      <c r="Q377" s="85" t="n"/>
      <c r="R377" s="85" t="n"/>
      <c r="S377" s="85" t="n"/>
      <c r="T377" s="85" t="n"/>
      <c r="U377" s="85" t="n"/>
      <c r="V377" s="85" t="n"/>
      <c r="W377" s="85" t="n"/>
      <c r="X377" s="85" t="n"/>
      <c r="Y377" s="85" t="n"/>
      <c r="Z377" s="85" t="n"/>
      <c r="AA377" s="85" t="n"/>
      <c r="AB377" s="85" t="n"/>
      <c r="AC377" s="86" t="n"/>
      <c r="AD377" s="86" t="n"/>
      <c r="AE377" s="86" t="n"/>
      <c r="AF377" s="85" t="n"/>
      <c r="AG377" s="85" t="n"/>
      <c r="AH377" s="85">
        <f>IF($A377="","",IF(AND($E377="Yes",OR($V377="No",$V377="NOT FOUND")),"YES",""))</f>
        <v/>
      </c>
      <c r="AI377" s="85">
        <f>IF($A377="","",TRIM(IF(AND($M377=0,$I377&lt;&gt;"Yes"),"T0-NoPhishResistant ","")&amp;IF($H377="No","NoMFA ","")&amp;IF(AND($M377=0,$O377="Group only"),"T0-ViaGroupOnly ","")&amp;IF($N377="Yes","BroadAzureScope ","")&amp;IF($T377="Yes","AlsoEntraRole ","")))</f>
        <v/>
      </c>
      <c r="AJ377" s="85">
        <f>IF($A377="","",IF(AD377="","Not Enrolled",IF(TODAY()&gt;AD377,"Review Overdue",IF(AD377-TODAY()&lt;=30,"Review Due Soon","Active"))))</f>
        <v/>
      </c>
      <c r="AK377" s="85">
        <f>IF($A377="","",IF(AE377="","NOT REVIEWED",IF(TODAY()-AE377&gt;90,"OVERDUE",IF(TODAY()-AE377&gt;76,"Due Soon","Current"))))</f>
        <v/>
      </c>
    </row>
    <row r="378" ht="15" customHeight="1" s="39">
      <c r="A378" s="85" t="n"/>
      <c r="B378" s="85" t="n"/>
      <c r="C378" s="85" t="n"/>
      <c r="D378" s="85" t="n"/>
      <c r="E378" s="85" t="n"/>
      <c r="F378" s="86" t="n"/>
      <c r="G378" s="86" t="n"/>
      <c r="H378" s="85" t="n"/>
      <c r="I378" s="85" t="n"/>
      <c r="J378" s="85" t="n"/>
      <c r="K378" s="85" t="n"/>
      <c r="L378" s="85" t="n"/>
      <c r="M378" s="85" t="n"/>
      <c r="N378" s="85" t="n"/>
      <c r="O378" s="85" t="n"/>
      <c r="P378" s="85" t="n"/>
      <c r="Q378" s="85" t="n"/>
      <c r="R378" s="85" t="n"/>
      <c r="S378" s="85" t="n"/>
      <c r="T378" s="85" t="n"/>
      <c r="U378" s="85" t="n"/>
      <c r="V378" s="85" t="n"/>
      <c r="W378" s="85" t="n"/>
      <c r="X378" s="85" t="n"/>
      <c r="Y378" s="85" t="n"/>
      <c r="Z378" s="85" t="n"/>
      <c r="AA378" s="85" t="n"/>
      <c r="AB378" s="85" t="n"/>
      <c r="AC378" s="86" t="n"/>
      <c r="AD378" s="86" t="n"/>
      <c r="AE378" s="86" t="n"/>
      <c r="AF378" s="85" t="n"/>
      <c r="AG378" s="85" t="n"/>
      <c r="AH378" s="85">
        <f>IF($A378="","",IF(AND($E378="Yes",OR($V378="No",$V378="NOT FOUND")),"YES",""))</f>
        <v/>
      </c>
      <c r="AI378" s="85">
        <f>IF($A378="","",TRIM(IF(AND($M378=0,$I378&lt;&gt;"Yes"),"T0-NoPhishResistant ","")&amp;IF($H378="No","NoMFA ","")&amp;IF(AND($M378=0,$O378="Group only"),"T0-ViaGroupOnly ","")&amp;IF($N378="Yes","BroadAzureScope ","")&amp;IF($T378="Yes","AlsoEntraRole ","")))</f>
        <v/>
      </c>
      <c r="AJ378" s="85">
        <f>IF($A378="","",IF(AD378="","Not Enrolled",IF(TODAY()&gt;AD378,"Review Overdue",IF(AD378-TODAY()&lt;=30,"Review Due Soon","Active"))))</f>
        <v/>
      </c>
      <c r="AK378" s="85">
        <f>IF($A378="","",IF(AE378="","NOT REVIEWED",IF(TODAY()-AE378&gt;90,"OVERDUE",IF(TODAY()-AE378&gt;76,"Due Soon","Current"))))</f>
        <v/>
      </c>
    </row>
    <row r="379" ht="15" customHeight="1" s="39">
      <c r="A379" s="85" t="n"/>
      <c r="B379" s="85" t="n"/>
      <c r="C379" s="85" t="n"/>
      <c r="D379" s="85" t="n"/>
      <c r="E379" s="85" t="n"/>
      <c r="F379" s="86" t="n"/>
      <c r="G379" s="86" t="n"/>
      <c r="H379" s="85" t="n"/>
      <c r="I379" s="85" t="n"/>
      <c r="J379" s="85" t="n"/>
      <c r="K379" s="85" t="n"/>
      <c r="L379" s="85" t="n"/>
      <c r="M379" s="85" t="n"/>
      <c r="N379" s="85" t="n"/>
      <c r="O379" s="85" t="n"/>
      <c r="P379" s="85" t="n"/>
      <c r="Q379" s="85" t="n"/>
      <c r="R379" s="85" t="n"/>
      <c r="S379" s="85" t="n"/>
      <c r="T379" s="85" t="n"/>
      <c r="U379" s="85" t="n"/>
      <c r="V379" s="85" t="n"/>
      <c r="W379" s="85" t="n"/>
      <c r="X379" s="85" t="n"/>
      <c r="Y379" s="85" t="n"/>
      <c r="Z379" s="85" t="n"/>
      <c r="AA379" s="85" t="n"/>
      <c r="AB379" s="85" t="n"/>
      <c r="AC379" s="86" t="n"/>
      <c r="AD379" s="86" t="n"/>
      <c r="AE379" s="86" t="n"/>
      <c r="AF379" s="85" t="n"/>
      <c r="AG379" s="85" t="n"/>
      <c r="AH379" s="85">
        <f>IF($A379="","",IF(AND($E379="Yes",OR($V379="No",$V379="NOT FOUND")),"YES",""))</f>
        <v/>
      </c>
      <c r="AI379" s="85">
        <f>IF($A379="","",TRIM(IF(AND($M379=0,$I379&lt;&gt;"Yes"),"T0-NoPhishResistant ","")&amp;IF($H379="No","NoMFA ","")&amp;IF(AND($M379=0,$O379="Group only"),"T0-ViaGroupOnly ","")&amp;IF($N379="Yes","BroadAzureScope ","")&amp;IF($T379="Yes","AlsoEntraRole ","")))</f>
        <v/>
      </c>
      <c r="AJ379" s="85">
        <f>IF($A379="","",IF(AD379="","Not Enrolled",IF(TODAY()&gt;AD379,"Review Overdue",IF(AD379-TODAY()&lt;=30,"Review Due Soon","Active"))))</f>
        <v/>
      </c>
      <c r="AK379" s="85">
        <f>IF($A379="","",IF(AE379="","NOT REVIEWED",IF(TODAY()-AE379&gt;90,"OVERDUE",IF(TODAY()-AE379&gt;76,"Due Soon","Current"))))</f>
        <v/>
      </c>
    </row>
    <row r="380" ht="15" customHeight="1" s="39">
      <c r="A380" s="85" t="n"/>
      <c r="B380" s="85" t="n"/>
      <c r="C380" s="85" t="n"/>
      <c r="D380" s="85" t="n"/>
      <c r="E380" s="85" t="n"/>
      <c r="F380" s="86" t="n"/>
      <c r="G380" s="86" t="n"/>
      <c r="H380" s="85" t="n"/>
      <c r="I380" s="85" t="n"/>
      <c r="J380" s="85" t="n"/>
      <c r="K380" s="85" t="n"/>
      <c r="L380" s="85" t="n"/>
      <c r="M380" s="85" t="n"/>
      <c r="N380" s="85" t="n"/>
      <c r="O380" s="85" t="n"/>
      <c r="P380" s="85" t="n"/>
      <c r="Q380" s="85" t="n"/>
      <c r="R380" s="85" t="n"/>
      <c r="S380" s="85" t="n"/>
      <c r="T380" s="85" t="n"/>
      <c r="U380" s="85" t="n"/>
      <c r="V380" s="85" t="n"/>
      <c r="W380" s="85" t="n"/>
      <c r="X380" s="85" t="n"/>
      <c r="Y380" s="85" t="n"/>
      <c r="Z380" s="85" t="n"/>
      <c r="AA380" s="85" t="n"/>
      <c r="AB380" s="85" t="n"/>
      <c r="AC380" s="86" t="n"/>
      <c r="AD380" s="86" t="n"/>
      <c r="AE380" s="86" t="n"/>
      <c r="AF380" s="85" t="n"/>
      <c r="AG380" s="85" t="n"/>
      <c r="AH380" s="85">
        <f>IF($A380="","",IF(AND($E380="Yes",OR($V380="No",$V380="NOT FOUND")),"YES",""))</f>
        <v/>
      </c>
      <c r="AI380" s="85">
        <f>IF($A380="","",TRIM(IF(AND($M380=0,$I380&lt;&gt;"Yes"),"T0-NoPhishResistant ","")&amp;IF($H380="No","NoMFA ","")&amp;IF(AND($M380=0,$O380="Group only"),"T0-ViaGroupOnly ","")&amp;IF($N380="Yes","BroadAzureScope ","")&amp;IF($T380="Yes","AlsoEntraRole ","")))</f>
        <v/>
      </c>
      <c r="AJ380" s="85">
        <f>IF($A380="","",IF(AD380="","Not Enrolled",IF(TODAY()&gt;AD380,"Review Overdue",IF(AD380-TODAY()&lt;=30,"Review Due Soon","Active"))))</f>
        <v/>
      </c>
      <c r="AK380" s="85">
        <f>IF($A380="","",IF(AE380="","NOT REVIEWED",IF(TODAY()-AE380&gt;90,"OVERDUE",IF(TODAY()-AE380&gt;76,"Due Soon","Current"))))</f>
        <v/>
      </c>
    </row>
    <row r="381" ht="15" customHeight="1" s="39">
      <c r="A381" s="85" t="n"/>
      <c r="B381" s="85" t="n"/>
      <c r="C381" s="85" t="n"/>
      <c r="D381" s="85" t="n"/>
      <c r="E381" s="85" t="n"/>
      <c r="F381" s="86" t="n"/>
      <c r="G381" s="86" t="n"/>
      <c r="H381" s="85" t="n"/>
      <c r="I381" s="85" t="n"/>
      <c r="J381" s="85" t="n"/>
      <c r="K381" s="85" t="n"/>
      <c r="L381" s="85" t="n"/>
      <c r="M381" s="85" t="n"/>
      <c r="N381" s="85" t="n"/>
      <c r="O381" s="85" t="n"/>
      <c r="P381" s="85" t="n"/>
      <c r="Q381" s="85" t="n"/>
      <c r="R381" s="85" t="n"/>
      <c r="S381" s="85" t="n"/>
      <c r="T381" s="85" t="n"/>
      <c r="U381" s="85" t="n"/>
      <c r="V381" s="85" t="n"/>
      <c r="W381" s="85" t="n"/>
      <c r="X381" s="85" t="n"/>
      <c r="Y381" s="85" t="n"/>
      <c r="Z381" s="85" t="n"/>
      <c r="AA381" s="85" t="n"/>
      <c r="AB381" s="85" t="n"/>
      <c r="AC381" s="86" t="n"/>
      <c r="AD381" s="86" t="n"/>
      <c r="AE381" s="86" t="n"/>
      <c r="AF381" s="85" t="n"/>
      <c r="AG381" s="85" t="n"/>
      <c r="AH381" s="85">
        <f>IF($A381="","",IF(AND($E381="Yes",OR($V381="No",$V381="NOT FOUND")),"YES",""))</f>
        <v/>
      </c>
      <c r="AI381" s="85">
        <f>IF($A381="","",TRIM(IF(AND($M381=0,$I381&lt;&gt;"Yes"),"T0-NoPhishResistant ","")&amp;IF($H381="No","NoMFA ","")&amp;IF(AND($M381=0,$O381="Group only"),"T0-ViaGroupOnly ","")&amp;IF($N381="Yes","BroadAzureScope ","")&amp;IF($T381="Yes","AlsoEntraRole ","")))</f>
        <v/>
      </c>
      <c r="AJ381" s="85">
        <f>IF($A381="","",IF(AD381="","Not Enrolled",IF(TODAY()&gt;AD381,"Review Overdue",IF(AD381-TODAY()&lt;=30,"Review Due Soon","Active"))))</f>
        <v/>
      </c>
      <c r="AK381" s="85">
        <f>IF($A381="","",IF(AE381="","NOT REVIEWED",IF(TODAY()-AE381&gt;90,"OVERDUE",IF(TODAY()-AE381&gt;76,"Due Soon","Current"))))</f>
        <v/>
      </c>
    </row>
    <row r="382" ht="15" customHeight="1" s="39">
      <c r="A382" s="85" t="n"/>
      <c r="B382" s="85" t="n"/>
      <c r="C382" s="85" t="n"/>
      <c r="D382" s="85" t="n"/>
      <c r="E382" s="85" t="n"/>
      <c r="F382" s="86" t="n"/>
      <c r="G382" s="86" t="n"/>
      <c r="H382" s="85" t="n"/>
      <c r="I382" s="85" t="n"/>
      <c r="J382" s="85" t="n"/>
      <c r="K382" s="85" t="n"/>
      <c r="L382" s="85" t="n"/>
      <c r="M382" s="85" t="n"/>
      <c r="N382" s="85" t="n"/>
      <c r="O382" s="85" t="n"/>
      <c r="P382" s="85" t="n"/>
      <c r="Q382" s="85" t="n"/>
      <c r="R382" s="85" t="n"/>
      <c r="S382" s="85" t="n"/>
      <c r="T382" s="85" t="n"/>
      <c r="U382" s="85" t="n"/>
      <c r="V382" s="85" t="n"/>
      <c r="W382" s="85" t="n"/>
      <c r="X382" s="85" t="n"/>
      <c r="Y382" s="85" t="n"/>
      <c r="Z382" s="85" t="n"/>
      <c r="AA382" s="85" t="n"/>
      <c r="AB382" s="85" t="n"/>
      <c r="AC382" s="86" t="n"/>
      <c r="AD382" s="86" t="n"/>
      <c r="AE382" s="86" t="n"/>
      <c r="AF382" s="85" t="n"/>
      <c r="AG382" s="85" t="n"/>
      <c r="AH382" s="85">
        <f>IF($A382="","",IF(AND($E382="Yes",OR($V382="No",$V382="NOT FOUND")),"YES",""))</f>
        <v/>
      </c>
      <c r="AI382" s="85">
        <f>IF($A382="","",TRIM(IF(AND($M382=0,$I382&lt;&gt;"Yes"),"T0-NoPhishResistant ","")&amp;IF($H382="No","NoMFA ","")&amp;IF(AND($M382=0,$O382="Group only"),"T0-ViaGroupOnly ","")&amp;IF($N382="Yes","BroadAzureScope ","")&amp;IF($T382="Yes","AlsoEntraRole ","")))</f>
        <v/>
      </c>
      <c r="AJ382" s="85">
        <f>IF($A382="","",IF(AD382="","Not Enrolled",IF(TODAY()&gt;AD382,"Review Overdue",IF(AD382-TODAY()&lt;=30,"Review Due Soon","Active"))))</f>
        <v/>
      </c>
      <c r="AK382" s="85">
        <f>IF($A382="","",IF(AE382="","NOT REVIEWED",IF(TODAY()-AE382&gt;90,"OVERDUE",IF(TODAY()-AE382&gt;76,"Due Soon","Current"))))</f>
        <v/>
      </c>
    </row>
    <row r="383" ht="15" customHeight="1" s="39">
      <c r="A383" s="85" t="n"/>
      <c r="B383" s="85" t="n"/>
      <c r="C383" s="85" t="n"/>
      <c r="D383" s="85" t="n"/>
      <c r="E383" s="85" t="n"/>
      <c r="F383" s="86" t="n"/>
      <c r="G383" s="86" t="n"/>
      <c r="H383" s="85" t="n"/>
      <c r="I383" s="85" t="n"/>
      <c r="J383" s="85" t="n"/>
      <c r="K383" s="85" t="n"/>
      <c r="L383" s="85" t="n"/>
      <c r="M383" s="85" t="n"/>
      <c r="N383" s="85" t="n"/>
      <c r="O383" s="85" t="n"/>
      <c r="P383" s="85" t="n"/>
      <c r="Q383" s="85" t="n"/>
      <c r="R383" s="85" t="n"/>
      <c r="S383" s="85" t="n"/>
      <c r="T383" s="85" t="n"/>
      <c r="U383" s="85" t="n"/>
      <c r="V383" s="85" t="n"/>
      <c r="W383" s="85" t="n"/>
      <c r="X383" s="85" t="n"/>
      <c r="Y383" s="85" t="n"/>
      <c r="Z383" s="85" t="n"/>
      <c r="AA383" s="85" t="n"/>
      <c r="AB383" s="85" t="n"/>
      <c r="AC383" s="86" t="n"/>
      <c r="AD383" s="86" t="n"/>
      <c r="AE383" s="86" t="n"/>
      <c r="AF383" s="85" t="n"/>
      <c r="AG383" s="85" t="n"/>
      <c r="AH383" s="85">
        <f>IF($A383="","",IF(AND($E383="Yes",OR($V383="No",$V383="NOT FOUND")),"YES",""))</f>
        <v/>
      </c>
      <c r="AI383" s="85">
        <f>IF($A383="","",TRIM(IF(AND($M383=0,$I383&lt;&gt;"Yes"),"T0-NoPhishResistant ","")&amp;IF($H383="No","NoMFA ","")&amp;IF(AND($M383=0,$O383="Group only"),"T0-ViaGroupOnly ","")&amp;IF($N383="Yes","BroadAzureScope ","")&amp;IF($T383="Yes","AlsoEntraRole ","")))</f>
        <v/>
      </c>
      <c r="AJ383" s="85">
        <f>IF($A383="","",IF(AD383="","Not Enrolled",IF(TODAY()&gt;AD383,"Review Overdue",IF(AD383-TODAY()&lt;=30,"Review Due Soon","Active"))))</f>
        <v/>
      </c>
      <c r="AK383" s="85">
        <f>IF($A383="","",IF(AE383="","NOT REVIEWED",IF(TODAY()-AE383&gt;90,"OVERDUE",IF(TODAY()-AE383&gt;76,"Due Soon","Current"))))</f>
        <v/>
      </c>
    </row>
    <row r="384" ht="15" customHeight="1" s="39">
      <c r="A384" s="85" t="n"/>
      <c r="B384" s="85" t="n"/>
      <c r="C384" s="85" t="n"/>
      <c r="D384" s="85" t="n"/>
      <c r="E384" s="85" t="n"/>
      <c r="F384" s="86" t="n"/>
      <c r="G384" s="86" t="n"/>
      <c r="H384" s="85" t="n"/>
      <c r="I384" s="85" t="n"/>
      <c r="J384" s="85" t="n"/>
      <c r="K384" s="85" t="n"/>
      <c r="L384" s="85" t="n"/>
      <c r="M384" s="85" t="n"/>
      <c r="N384" s="85" t="n"/>
      <c r="O384" s="85" t="n"/>
      <c r="P384" s="85" t="n"/>
      <c r="Q384" s="85" t="n"/>
      <c r="R384" s="85" t="n"/>
      <c r="S384" s="85" t="n"/>
      <c r="T384" s="85" t="n"/>
      <c r="U384" s="85" t="n"/>
      <c r="V384" s="85" t="n"/>
      <c r="W384" s="85" t="n"/>
      <c r="X384" s="85" t="n"/>
      <c r="Y384" s="85" t="n"/>
      <c r="Z384" s="85" t="n"/>
      <c r="AA384" s="85" t="n"/>
      <c r="AB384" s="85" t="n"/>
      <c r="AC384" s="86" t="n"/>
      <c r="AD384" s="86" t="n"/>
      <c r="AE384" s="86" t="n"/>
      <c r="AF384" s="85" t="n"/>
      <c r="AG384" s="85" t="n"/>
      <c r="AH384" s="85">
        <f>IF($A384="","",IF(AND($E384="Yes",OR($V384="No",$V384="NOT FOUND")),"YES",""))</f>
        <v/>
      </c>
      <c r="AI384" s="85">
        <f>IF($A384="","",TRIM(IF(AND($M384=0,$I384&lt;&gt;"Yes"),"T0-NoPhishResistant ","")&amp;IF($H384="No","NoMFA ","")&amp;IF(AND($M384=0,$O384="Group only"),"T0-ViaGroupOnly ","")&amp;IF($N384="Yes","BroadAzureScope ","")&amp;IF($T384="Yes","AlsoEntraRole ","")))</f>
        <v/>
      </c>
      <c r="AJ384" s="85">
        <f>IF($A384="","",IF(AD384="","Not Enrolled",IF(TODAY()&gt;AD384,"Review Overdue",IF(AD384-TODAY()&lt;=30,"Review Due Soon","Active"))))</f>
        <v/>
      </c>
      <c r="AK384" s="85">
        <f>IF($A384="","",IF(AE384="","NOT REVIEWED",IF(TODAY()-AE384&gt;90,"OVERDUE",IF(TODAY()-AE384&gt;76,"Due Soon","Current"))))</f>
        <v/>
      </c>
    </row>
    <row r="385" ht="15" customHeight="1" s="39">
      <c r="A385" s="85" t="n"/>
      <c r="B385" s="85" t="n"/>
      <c r="C385" s="85" t="n"/>
      <c r="D385" s="85" t="n"/>
      <c r="E385" s="85" t="n"/>
      <c r="F385" s="86" t="n"/>
      <c r="G385" s="86" t="n"/>
      <c r="H385" s="85" t="n"/>
      <c r="I385" s="85" t="n"/>
      <c r="J385" s="85" t="n"/>
      <c r="K385" s="85" t="n"/>
      <c r="L385" s="85" t="n"/>
      <c r="M385" s="85" t="n"/>
      <c r="N385" s="85" t="n"/>
      <c r="O385" s="85" t="n"/>
      <c r="P385" s="85" t="n"/>
      <c r="Q385" s="85" t="n"/>
      <c r="R385" s="85" t="n"/>
      <c r="S385" s="85" t="n"/>
      <c r="T385" s="85" t="n"/>
      <c r="U385" s="85" t="n"/>
      <c r="V385" s="85" t="n"/>
      <c r="W385" s="85" t="n"/>
      <c r="X385" s="85" t="n"/>
      <c r="Y385" s="85" t="n"/>
      <c r="Z385" s="85" t="n"/>
      <c r="AA385" s="85" t="n"/>
      <c r="AB385" s="85" t="n"/>
      <c r="AC385" s="86" t="n"/>
      <c r="AD385" s="86" t="n"/>
      <c r="AE385" s="86" t="n"/>
      <c r="AF385" s="85" t="n"/>
      <c r="AG385" s="85" t="n"/>
      <c r="AH385" s="85">
        <f>IF($A385="","",IF(AND($E385="Yes",OR($V385="No",$V385="NOT FOUND")),"YES",""))</f>
        <v/>
      </c>
      <c r="AI385" s="85">
        <f>IF($A385="","",TRIM(IF(AND($M385=0,$I385&lt;&gt;"Yes"),"T0-NoPhishResistant ","")&amp;IF($H385="No","NoMFA ","")&amp;IF(AND($M385=0,$O385="Group only"),"T0-ViaGroupOnly ","")&amp;IF($N385="Yes","BroadAzureScope ","")&amp;IF($T385="Yes","AlsoEntraRole ","")))</f>
        <v/>
      </c>
      <c r="AJ385" s="85">
        <f>IF($A385="","",IF(AD385="","Not Enrolled",IF(TODAY()&gt;AD385,"Review Overdue",IF(AD385-TODAY()&lt;=30,"Review Due Soon","Active"))))</f>
        <v/>
      </c>
      <c r="AK385" s="85">
        <f>IF($A385="","",IF(AE385="","NOT REVIEWED",IF(TODAY()-AE385&gt;90,"OVERDUE",IF(TODAY()-AE385&gt;76,"Due Soon","Current"))))</f>
        <v/>
      </c>
    </row>
    <row r="386" ht="15" customHeight="1" s="39">
      <c r="A386" s="85" t="n"/>
      <c r="B386" s="85" t="n"/>
      <c r="C386" s="85" t="n"/>
      <c r="D386" s="85" t="n"/>
      <c r="E386" s="85" t="n"/>
      <c r="F386" s="86" t="n"/>
      <c r="G386" s="86" t="n"/>
      <c r="H386" s="85" t="n"/>
      <c r="I386" s="85" t="n"/>
      <c r="J386" s="85" t="n"/>
      <c r="K386" s="85" t="n"/>
      <c r="L386" s="85" t="n"/>
      <c r="M386" s="85" t="n"/>
      <c r="N386" s="85" t="n"/>
      <c r="O386" s="85" t="n"/>
      <c r="P386" s="85" t="n"/>
      <c r="Q386" s="85" t="n"/>
      <c r="R386" s="85" t="n"/>
      <c r="S386" s="85" t="n"/>
      <c r="T386" s="85" t="n"/>
      <c r="U386" s="85" t="n"/>
      <c r="V386" s="85" t="n"/>
      <c r="W386" s="85" t="n"/>
      <c r="X386" s="85" t="n"/>
      <c r="Y386" s="85" t="n"/>
      <c r="Z386" s="85" t="n"/>
      <c r="AA386" s="85" t="n"/>
      <c r="AB386" s="85" t="n"/>
      <c r="AC386" s="86" t="n"/>
      <c r="AD386" s="86" t="n"/>
      <c r="AE386" s="86" t="n"/>
      <c r="AF386" s="85" t="n"/>
      <c r="AG386" s="85" t="n"/>
      <c r="AH386" s="85">
        <f>IF($A386="","",IF(AND($E386="Yes",OR($V386="No",$V386="NOT FOUND")),"YES",""))</f>
        <v/>
      </c>
      <c r="AI386" s="85">
        <f>IF($A386="","",TRIM(IF(AND($M386=0,$I386&lt;&gt;"Yes"),"T0-NoPhishResistant ","")&amp;IF($H386="No","NoMFA ","")&amp;IF(AND($M386=0,$O386="Group only"),"T0-ViaGroupOnly ","")&amp;IF($N386="Yes","BroadAzureScope ","")&amp;IF($T386="Yes","AlsoEntraRole ","")))</f>
        <v/>
      </c>
      <c r="AJ386" s="85">
        <f>IF($A386="","",IF(AD386="","Not Enrolled",IF(TODAY()&gt;AD386,"Review Overdue",IF(AD386-TODAY()&lt;=30,"Review Due Soon","Active"))))</f>
        <v/>
      </c>
      <c r="AK386" s="85">
        <f>IF($A386="","",IF(AE386="","NOT REVIEWED",IF(TODAY()-AE386&gt;90,"OVERDUE",IF(TODAY()-AE386&gt;76,"Due Soon","Current"))))</f>
        <v/>
      </c>
    </row>
    <row r="387" ht="15" customHeight="1" s="39">
      <c r="A387" s="85" t="n"/>
      <c r="B387" s="85" t="n"/>
      <c r="C387" s="85" t="n"/>
      <c r="D387" s="85" t="n"/>
      <c r="E387" s="85" t="n"/>
      <c r="F387" s="86" t="n"/>
      <c r="G387" s="86" t="n"/>
      <c r="H387" s="85" t="n"/>
      <c r="I387" s="85" t="n"/>
      <c r="J387" s="85" t="n"/>
      <c r="K387" s="85" t="n"/>
      <c r="L387" s="85" t="n"/>
      <c r="M387" s="85" t="n"/>
      <c r="N387" s="85" t="n"/>
      <c r="O387" s="85" t="n"/>
      <c r="P387" s="85" t="n"/>
      <c r="Q387" s="85" t="n"/>
      <c r="R387" s="85" t="n"/>
      <c r="S387" s="85" t="n"/>
      <c r="T387" s="85" t="n"/>
      <c r="U387" s="85" t="n"/>
      <c r="V387" s="85" t="n"/>
      <c r="W387" s="85" t="n"/>
      <c r="X387" s="85" t="n"/>
      <c r="Y387" s="85" t="n"/>
      <c r="Z387" s="85" t="n"/>
      <c r="AA387" s="85" t="n"/>
      <c r="AB387" s="85" t="n"/>
      <c r="AC387" s="86" t="n"/>
      <c r="AD387" s="86" t="n"/>
      <c r="AE387" s="86" t="n"/>
      <c r="AF387" s="85" t="n"/>
      <c r="AG387" s="85" t="n"/>
      <c r="AH387" s="85">
        <f>IF($A387="","",IF(AND($E387="Yes",OR($V387="No",$V387="NOT FOUND")),"YES",""))</f>
        <v/>
      </c>
      <c r="AI387" s="85">
        <f>IF($A387="","",TRIM(IF(AND($M387=0,$I387&lt;&gt;"Yes"),"T0-NoPhishResistant ","")&amp;IF($H387="No","NoMFA ","")&amp;IF(AND($M387=0,$O387="Group only"),"T0-ViaGroupOnly ","")&amp;IF($N387="Yes","BroadAzureScope ","")&amp;IF($T387="Yes","AlsoEntraRole ","")))</f>
        <v/>
      </c>
      <c r="AJ387" s="85">
        <f>IF($A387="","",IF(AD387="","Not Enrolled",IF(TODAY()&gt;AD387,"Review Overdue",IF(AD387-TODAY()&lt;=30,"Review Due Soon","Active"))))</f>
        <v/>
      </c>
      <c r="AK387" s="85">
        <f>IF($A387="","",IF(AE387="","NOT REVIEWED",IF(TODAY()-AE387&gt;90,"OVERDUE",IF(TODAY()-AE387&gt;76,"Due Soon","Current"))))</f>
        <v/>
      </c>
    </row>
    <row r="388" ht="15" customHeight="1" s="39">
      <c r="A388" s="85" t="n"/>
      <c r="B388" s="85" t="n"/>
      <c r="C388" s="85" t="n"/>
      <c r="D388" s="85" t="n"/>
      <c r="E388" s="85" t="n"/>
      <c r="F388" s="86" t="n"/>
      <c r="G388" s="86" t="n"/>
      <c r="H388" s="85" t="n"/>
      <c r="I388" s="85" t="n"/>
      <c r="J388" s="85" t="n"/>
      <c r="K388" s="85" t="n"/>
      <c r="L388" s="85" t="n"/>
      <c r="M388" s="85" t="n"/>
      <c r="N388" s="85" t="n"/>
      <c r="O388" s="85" t="n"/>
      <c r="P388" s="85" t="n"/>
      <c r="Q388" s="85" t="n"/>
      <c r="R388" s="85" t="n"/>
      <c r="S388" s="85" t="n"/>
      <c r="T388" s="85" t="n"/>
      <c r="U388" s="85" t="n"/>
      <c r="V388" s="85" t="n"/>
      <c r="W388" s="85" t="n"/>
      <c r="X388" s="85" t="n"/>
      <c r="Y388" s="85" t="n"/>
      <c r="Z388" s="85" t="n"/>
      <c r="AA388" s="85" t="n"/>
      <c r="AB388" s="85" t="n"/>
      <c r="AC388" s="86" t="n"/>
      <c r="AD388" s="86" t="n"/>
      <c r="AE388" s="86" t="n"/>
      <c r="AF388" s="85" t="n"/>
      <c r="AG388" s="85" t="n"/>
      <c r="AH388" s="85">
        <f>IF($A388="","",IF(AND($E388="Yes",OR($V388="No",$V388="NOT FOUND")),"YES",""))</f>
        <v/>
      </c>
      <c r="AI388" s="85">
        <f>IF($A388="","",TRIM(IF(AND($M388=0,$I388&lt;&gt;"Yes"),"T0-NoPhishResistant ","")&amp;IF($H388="No","NoMFA ","")&amp;IF(AND($M388=0,$O388="Group only"),"T0-ViaGroupOnly ","")&amp;IF($N388="Yes","BroadAzureScope ","")&amp;IF($T388="Yes","AlsoEntraRole ","")))</f>
        <v/>
      </c>
      <c r="AJ388" s="85">
        <f>IF($A388="","",IF(AD388="","Not Enrolled",IF(TODAY()&gt;AD388,"Review Overdue",IF(AD388-TODAY()&lt;=30,"Review Due Soon","Active"))))</f>
        <v/>
      </c>
      <c r="AK388" s="85">
        <f>IF($A388="","",IF(AE388="","NOT REVIEWED",IF(TODAY()-AE388&gt;90,"OVERDUE",IF(TODAY()-AE388&gt;76,"Due Soon","Current"))))</f>
        <v/>
      </c>
    </row>
    <row r="389" ht="15" customHeight="1" s="39">
      <c r="A389" s="85" t="n"/>
      <c r="B389" s="85" t="n"/>
      <c r="C389" s="85" t="n"/>
      <c r="D389" s="85" t="n"/>
      <c r="E389" s="85" t="n"/>
      <c r="F389" s="86" t="n"/>
      <c r="G389" s="86" t="n"/>
      <c r="H389" s="85" t="n"/>
      <c r="I389" s="85" t="n"/>
      <c r="J389" s="85" t="n"/>
      <c r="K389" s="85" t="n"/>
      <c r="L389" s="85" t="n"/>
      <c r="M389" s="85" t="n"/>
      <c r="N389" s="85" t="n"/>
      <c r="O389" s="85" t="n"/>
      <c r="P389" s="85" t="n"/>
      <c r="Q389" s="85" t="n"/>
      <c r="R389" s="85" t="n"/>
      <c r="S389" s="85" t="n"/>
      <c r="T389" s="85" t="n"/>
      <c r="U389" s="85" t="n"/>
      <c r="V389" s="85" t="n"/>
      <c r="W389" s="85" t="n"/>
      <c r="X389" s="85" t="n"/>
      <c r="Y389" s="85" t="n"/>
      <c r="Z389" s="85" t="n"/>
      <c r="AA389" s="85" t="n"/>
      <c r="AB389" s="85" t="n"/>
      <c r="AC389" s="86" t="n"/>
      <c r="AD389" s="86" t="n"/>
      <c r="AE389" s="86" t="n"/>
      <c r="AF389" s="85" t="n"/>
      <c r="AG389" s="85" t="n"/>
      <c r="AH389" s="85">
        <f>IF($A389="","",IF(AND($E389="Yes",OR($V389="No",$V389="NOT FOUND")),"YES",""))</f>
        <v/>
      </c>
      <c r="AI389" s="85">
        <f>IF($A389="","",TRIM(IF(AND($M389=0,$I389&lt;&gt;"Yes"),"T0-NoPhishResistant ","")&amp;IF($H389="No","NoMFA ","")&amp;IF(AND($M389=0,$O389="Group only"),"T0-ViaGroupOnly ","")&amp;IF($N389="Yes","BroadAzureScope ","")&amp;IF($T389="Yes","AlsoEntraRole ","")))</f>
        <v/>
      </c>
      <c r="AJ389" s="85">
        <f>IF($A389="","",IF(AD389="","Not Enrolled",IF(TODAY()&gt;AD389,"Review Overdue",IF(AD389-TODAY()&lt;=30,"Review Due Soon","Active"))))</f>
        <v/>
      </c>
      <c r="AK389" s="85">
        <f>IF($A389="","",IF(AE389="","NOT REVIEWED",IF(TODAY()-AE389&gt;90,"OVERDUE",IF(TODAY()-AE389&gt;76,"Due Soon","Current"))))</f>
        <v/>
      </c>
    </row>
    <row r="390" ht="15" customHeight="1" s="39">
      <c r="A390" s="85" t="n"/>
      <c r="B390" s="85" t="n"/>
      <c r="C390" s="85" t="n"/>
      <c r="D390" s="85" t="n"/>
      <c r="E390" s="85" t="n"/>
      <c r="F390" s="86" t="n"/>
      <c r="G390" s="86" t="n"/>
      <c r="H390" s="85" t="n"/>
      <c r="I390" s="85" t="n"/>
      <c r="J390" s="85" t="n"/>
      <c r="K390" s="85" t="n"/>
      <c r="L390" s="85" t="n"/>
      <c r="M390" s="85" t="n"/>
      <c r="N390" s="85" t="n"/>
      <c r="O390" s="85" t="n"/>
      <c r="P390" s="85" t="n"/>
      <c r="Q390" s="85" t="n"/>
      <c r="R390" s="85" t="n"/>
      <c r="S390" s="85" t="n"/>
      <c r="T390" s="85" t="n"/>
      <c r="U390" s="85" t="n"/>
      <c r="V390" s="85" t="n"/>
      <c r="W390" s="85" t="n"/>
      <c r="X390" s="85" t="n"/>
      <c r="Y390" s="85" t="n"/>
      <c r="Z390" s="85" t="n"/>
      <c r="AA390" s="85" t="n"/>
      <c r="AB390" s="85" t="n"/>
      <c r="AC390" s="86" t="n"/>
      <c r="AD390" s="86" t="n"/>
      <c r="AE390" s="86" t="n"/>
      <c r="AF390" s="85" t="n"/>
      <c r="AG390" s="85" t="n"/>
      <c r="AH390" s="85">
        <f>IF($A390="","",IF(AND($E390="Yes",OR($V390="No",$V390="NOT FOUND")),"YES",""))</f>
        <v/>
      </c>
      <c r="AI390" s="85">
        <f>IF($A390="","",TRIM(IF(AND($M390=0,$I390&lt;&gt;"Yes"),"T0-NoPhishResistant ","")&amp;IF($H390="No","NoMFA ","")&amp;IF(AND($M390=0,$O390="Group only"),"T0-ViaGroupOnly ","")&amp;IF($N390="Yes","BroadAzureScope ","")&amp;IF($T390="Yes","AlsoEntraRole ","")))</f>
        <v/>
      </c>
      <c r="AJ390" s="85">
        <f>IF($A390="","",IF(AD390="","Not Enrolled",IF(TODAY()&gt;AD390,"Review Overdue",IF(AD390-TODAY()&lt;=30,"Review Due Soon","Active"))))</f>
        <v/>
      </c>
      <c r="AK390" s="85">
        <f>IF($A390="","",IF(AE390="","NOT REVIEWED",IF(TODAY()-AE390&gt;90,"OVERDUE",IF(TODAY()-AE390&gt;76,"Due Soon","Current"))))</f>
        <v/>
      </c>
    </row>
    <row r="391" ht="15" customHeight="1" s="39">
      <c r="A391" s="85" t="n"/>
      <c r="B391" s="85" t="n"/>
      <c r="C391" s="85" t="n"/>
      <c r="D391" s="85" t="n"/>
      <c r="E391" s="85" t="n"/>
      <c r="F391" s="86" t="n"/>
      <c r="G391" s="86" t="n"/>
      <c r="H391" s="85" t="n"/>
      <c r="I391" s="85" t="n"/>
      <c r="J391" s="85" t="n"/>
      <c r="K391" s="85" t="n"/>
      <c r="L391" s="85" t="n"/>
      <c r="M391" s="85" t="n"/>
      <c r="N391" s="85" t="n"/>
      <c r="O391" s="85" t="n"/>
      <c r="P391" s="85" t="n"/>
      <c r="Q391" s="85" t="n"/>
      <c r="R391" s="85" t="n"/>
      <c r="S391" s="85" t="n"/>
      <c r="T391" s="85" t="n"/>
      <c r="U391" s="85" t="n"/>
      <c r="V391" s="85" t="n"/>
      <c r="W391" s="85" t="n"/>
      <c r="X391" s="85" t="n"/>
      <c r="Y391" s="85" t="n"/>
      <c r="Z391" s="85" t="n"/>
      <c r="AA391" s="85" t="n"/>
      <c r="AB391" s="85" t="n"/>
      <c r="AC391" s="86" t="n"/>
      <c r="AD391" s="86" t="n"/>
      <c r="AE391" s="86" t="n"/>
      <c r="AF391" s="85" t="n"/>
      <c r="AG391" s="85" t="n"/>
      <c r="AH391" s="85">
        <f>IF($A391="","",IF(AND($E391="Yes",OR($V391="No",$V391="NOT FOUND")),"YES",""))</f>
        <v/>
      </c>
      <c r="AI391" s="85">
        <f>IF($A391="","",TRIM(IF(AND($M391=0,$I391&lt;&gt;"Yes"),"T0-NoPhishResistant ","")&amp;IF($H391="No","NoMFA ","")&amp;IF(AND($M391=0,$O391="Group only"),"T0-ViaGroupOnly ","")&amp;IF($N391="Yes","BroadAzureScope ","")&amp;IF($T391="Yes","AlsoEntraRole ","")))</f>
        <v/>
      </c>
      <c r="AJ391" s="85">
        <f>IF($A391="","",IF(AD391="","Not Enrolled",IF(TODAY()&gt;AD391,"Review Overdue",IF(AD391-TODAY()&lt;=30,"Review Due Soon","Active"))))</f>
        <v/>
      </c>
      <c r="AK391" s="85">
        <f>IF($A391="","",IF(AE391="","NOT REVIEWED",IF(TODAY()-AE391&gt;90,"OVERDUE",IF(TODAY()-AE391&gt;76,"Due Soon","Current"))))</f>
        <v/>
      </c>
    </row>
    <row r="392" ht="15" customHeight="1" s="39">
      <c r="A392" s="85" t="n"/>
      <c r="B392" s="85" t="n"/>
      <c r="C392" s="85" t="n"/>
      <c r="D392" s="85" t="n"/>
      <c r="E392" s="85" t="n"/>
      <c r="F392" s="86" t="n"/>
      <c r="G392" s="86" t="n"/>
      <c r="H392" s="85" t="n"/>
      <c r="I392" s="85" t="n"/>
      <c r="J392" s="85" t="n"/>
      <c r="K392" s="85" t="n"/>
      <c r="L392" s="85" t="n"/>
      <c r="M392" s="85" t="n"/>
      <c r="N392" s="85" t="n"/>
      <c r="O392" s="85" t="n"/>
      <c r="P392" s="85" t="n"/>
      <c r="Q392" s="85" t="n"/>
      <c r="R392" s="85" t="n"/>
      <c r="S392" s="85" t="n"/>
      <c r="T392" s="85" t="n"/>
      <c r="U392" s="85" t="n"/>
      <c r="V392" s="85" t="n"/>
      <c r="W392" s="85" t="n"/>
      <c r="X392" s="85" t="n"/>
      <c r="Y392" s="85" t="n"/>
      <c r="Z392" s="85" t="n"/>
      <c r="AA392" s="85" t="n"/>
      <c r="AB392" s="85" t="n"/>
      <c r="AC392" s="86" t="n"/>
      <c r="AD392" s="86" t="n"/>
      <c r="AE392" s="86" t="n"/>
      <c r="AF392" s="85" t="n"/>
      <c r="AG392" s="85" t="n"/>
      <c r="AH392" s="85">
        <f>IF($A392="","",IF(AND($E392="Yes",OR($V392="No",$V392="NOT FOUND")),"YES",""))</f>
        <v/>
      </c>
      <c r="AI392" s="85">
        <f>IF($A392="","",TRIM(IF(AND($M392=0,$I392&lt;&gt;"Yes"),"T0-NoPhishResistant ","")&amp;IF($H392="No","NoMFA ","")&amp;IF(AND($M392=0,$O392="Group only"),"T0-ViaGroupOnly ","")&amp;IF($N392="Yes","BroadAzureScope ","")&amp;IF($T392="Yes","AlsoEntraRole ","")))</f>
        <v/>
      </c>
      <c r="AJ392" s="85">
        <f>IF($A392="","",IF(AD392="","Not Enrolled",IF(TODAY()&gt;AD392,"Review Overdue",IF(AD392-TODAY()&lt;=30,"Review Due Soon","Active"))))</f>
        <v/>
      </c>
      <c r="AK392" s="85">
        <f>IF($A392="","",IF(AE392="","NOT REVIEWED",IF(TODAY()-AE392&gt;90,"OVERDUE",IF(TODAY()-AE392&gt;76,"Due Soon","Current"))))</f>
        <v/>
      </c>
    </row>
    <row r="393" ht="15" customHeight="1" s="39">
      <c r="A393" s="85" t="n"/>
      <c r="B393" s="85" t="n"/>
      <c r="C393" s="85" t="n"/>
      <c r="D393" s="85" t="n"/>
      <c r="E393" s="85" t="n"/>
      <c r="F393" s="86" t="n"/>
      <c r="G393" s="86" t="n"/>
      <c r="H393" s="85" t="n"/>
      <c r="I393" s="85" t="n"/>
      <c r="J393" s="85" t="n"/>
      <c r="K393" s="85" t="n"/>
      <c r="L393" s="85" t="n"/>
      <c r="M393" s="85" t="n"/>
      <c r="N393" s="85" t="n"/>
      <c r="O393" s="85" t="n"/>
      <c r="P393" s="85" t="n"/>
      <c r="Q393" s="85" t="n"/>
      <c r="R393" s="85" t="n"/>
      <c r="S393" s="85" t="n"/>
      <c r="T393" s="85" t="n"/>
      <c r="U393" s="85" t="n"/>
      <c r="V393" s="85" t="n"/>
      <c r="W393" s="85" t="n"/>
      <c r="X393" s="85" t="n"/>
      <c r="Y393" s="85" t="n"/>
      <c r="Z393" s="85" t="n"/>
      <c r="AA393" s="85" t="n"/>
      <c r="AB393" s="85" t="n"/>
      <c r="AC393" s="86" t="n"/>
      <c r="AD393" s="86" t="n"/>
      <c r="AE393" s="86" t="n"/>
      <c r="AF393" s="85" t="n"/>
      <c r="AG393" s="85" t="n"/>
      <c r="AH393" s="85">
        <f>IF($A393="","",IF(AND($E393="Yes",OR($V393="No",$V393="NOT FOUND")),"YES",""))</f>
        <v/>
      </c>
      <c r="AI393" s="85">
        <f>IF($A393="","",TRIM(IF(AND($M393=0,$I393&lt;&gt;"Yes"),"T0-NoPhishResistant ","")&amp;IF($H393="No","NoMFA ","")&amp;IF(AND($M393=0,$O393="Group only"),"T0-ViaGroupOnly ","")&amp;IF($N393="Yes","BroadAzureScope ","")&amp;IF($T393="Yes","AlsoEntraRole ","")))</f>
        <v/>
      </c>
      <c r="AJ393" s="85">
        <f>IF($A393="","",IF(AD393="","Not Enrolled",IF(TODAY()&gt;AD393,"Review Overdue",IF(AD393-TODAY()&lt;=30,"Review Due Soon","Active"))))</f>
        <v/>
      </c>
      <c r="AK393" s="85">
        <f>IF($A393="","",IF(AE393="","NOT REVIEWED",IF(TODAY()-AE393&gt;90,"OVERDUE",IF(TODAY()-AE393&gt;76,"Due Soon","Current"))))</f>
        <v/>
      </c>
    </row>
    <row r="394" ht="15" customHeight="1" s="39">
      <c r="A394" s="85" t="n"/>
      <c r="B394" s="85" t="n"/>
      <c r="C394" s="85" t="n"/>
      <c r="D394" s="85" t="n"/>
      <c r="E394" s="85" t="n"/>
      <c r="F394" s="86" t="n"/>
      <c r="G394" s="86" t="n"/>
      <c r="H394" s="85" t="n"/>
      <c r="I394" s="85" t="n"/>
      <c r="J394" s="85" t="n"/>
      <c r="K394" s="85" t="n"/>
      <c r="L394" s="85" t="n"/>
      <c r="M394" s="85" t="n"/>
      <c r="N394" s="85" t="n"/>
      <c r="O394" s="85" t="n"/>
      <c r="P394" s="85" t="n"/>
      <c r="Q394" s="85" t="n"/>
      <c r="R394" s="85" t="n"/>
      <c r="S394" s="85" t="n"/>
      <c r="T394" s="85" t="n"/>
      <c r="U394" s="85" t="n"/>
      <c r="V394" s="85" t="n"/>
      <c r="W394" s="85" t="n"/>
      <c r="X394" s="85" t="n"/>
      <c r="Y394" s="85" t="n"/>
      <c r="Z394" s="85" t="n"/>
      <c r="AA394" s="85" t="n"/>
      <c r="AB394" s="85" t="n"/>
      <c r="AC394" s="86" t="n"/>
      <c r="AD394" s="86" t="n"/>
      <c r="AE394" s="86" t="n"/>
      <c r="AF394" s="85" t="n"/>
      <c r="AG394" s="85" t="n"/>
      <c r="AH394" s="85">
        <f>IF($A394="","",IF(AND($E394="Yes",OR($V394="No",$V394="NOT FOUND")),"YES",""))</f>
        <v/>
      </c>
      <c r="AI394" s="85">
        <f>IF($A394="","",TRIM(IF(AND($M394=0,$I394&lt;&gt;"Yes"),"T0-NoPhishResistant ","")&amp;IF($H394="No","NoMFA ","")&amp;IF(AND($M394=0,$O394="Group only"),"T0-ViaGroupOnly ","")&amp;IF($N394="Yes","BroadAzureScope ","")&amp;IF($T394="Yes","AlsoEntraRole ","")))</f>
        <v/>
      </c>
      <c r="AJ394" s="85">
        <f>IF($A394="","",IF(AD394="","Not Enrolled",IF(TODAY()&gt;AD394,"Review Overdue",IF(AD394-TODAY()&lt;=30,"Review Due Soon","Active"))))</f>
        <v/>
      </c>
      <c r="AK394" s="85">
        <f>IF($A394="","",IF(AE394="","NOT REVIEWED",IF(TODAY()-AE394&gt;90,"OVERDUE",IF(TODAY()-AE394&gt;76,"Due Soon","Current"))))</f>
        <v/>
      </c>
    </row>
    <row r="395" ht="15" customHeight="1" s="39">
      <c r="A395" s="85" t="n"/>
      <c r="B395" s="85" t="n"/>
      <c r="C395" s="85" t="n"/>
      <c r="D395" s="85" t="n"/>
      <c r="E395" s="85" t="n"/>
      <c r="F395" s="86" t="n"/>
      <c r="G395" s="86" t="n"/>
      <c r="H395" s="85" t="n"/>
      <c r="I395" s="85" t="n"/>
      <c r="J395" s="85" t="n"/>
      <c r="K395" s="85" t="n"/>
      <c r="L395" s="85" t="n"/>
      <c r="M395" s="85" t="n"/>
      <c r="N395" s="85" t="n"/>
      <c r="O395" s="85" t="n"/>
      <c r="P395" s="85" t="n"/>
      <c r="Q395" s="85" t="n"/>
      <c r="R395" s="85" t="n"/>
      <c r="S395" s="85" t="n"/>
      <c r="T395" s="85" t="n"/>
      <c r="U395" s="85" t="n"/>
      <c r="V395" s="85" t="n"/>
      <c r="W395" s="85" t="n"/>
      <c r="X395" s="85" t="n"/>
      <c r="Y395" s="85" t="n"/>
      <c r="Z395" s="85" t="n"/>
      <c r="AA395" s="85" t="n"/>
      <c r="AB395" s="85" t="n"/>
      <c r="AC395" s="86" t="n"/>
      <c r="AD395" s="86" t="n"/>
      <c r="AE395" s="86" t="n"/>
      <c r="AF395" s="85" t="n"/>
      <c r="AG395" s="85" t="n"/>
      <c r="AH395" s="85">
        <f>IF($A395="","",IF(AND($E395="Yes",OR($V395="No",$V395="NOT FOUND")),"YES",""))</f>
        <v/>
      </c>
      <c r="AI395" s="85">
        <f>IF($A395="","",TRIM(IF(AND($M395=0,$I395&lt;&gt;"Yes"),"T0-NoPhishResistant ","")&amp;IF($H395="No","NoMFA ","")&amp;IF(AND($M395=0,$O395="Group only"),"T0-ViaGroupOnly ","")&amp;IF($N395="Yes","BroadAzureScope ","")&amp;IF($T395="Yes","AlsoEntraRole ","")))</f>
        <v/>
      </c>
      <c r="AJ395" s="85">
        <f>IF($A395="","",IF(AD395="","Not Enrolled",IF(TODAY()&gt;AD395,"Review Overdue",IF(AD395-TODAY()&lt;=30,"Review Due Soon","Active"))))</f>
        <v/>
      </c>
      <c r="AK395" s="85">
        <f>IF($A395="","",IF(AE395="","NOT REVIEWED",IF(TODAY()-AE395&gt;90,"OVERDUE",IF(TODAY()-AE395&gt;76,"Due Soon","Current"))))</f>
        <v/>
      </c>
    </row>
    <row r="396" ht="15" customHeight="1" s="39">
      <c r="A396" s="85" t="n"/>
      <c r="B396" s="85" t="n"/>
      <c r="C396" s="85" t="n"/>
      <c r="D396" s="85" t="n"/>
      <c r="E396" s="85" t="n"/>
      <c r="F396" s="86" t="n"/>
      <c r="G396" s="86" t="n"/>
      <c r="H396" s="85" t="n"/>
      <c r="I396" s="85" t="n"/>
      <c r="J396" s="85" t="n"/>
      <c r="K396" s="85" t="n"/>
      <c r="L396" s="85" t="n"/>
      <c r="M396" s="85" t="n"/>
      <c r="N396" s="85" t="n"/>
      <c r="O396" s="85" t="n"/>
      <c r="P396" s="85" t="n"/>
      <c r="Q396" s="85" t="n"/>
      <c r="R396" s="85" t="n"/>
      <c r="S396" s="85" t="n"/>
      <c r="T396" s="85" t="n"/>
      <c r="U396" s="85" t="n"/>
      <c r="V396" s="85" t="n"/>
      <c r="W396" s="85" t="n"/>
      <c r="X396" s="85" t="n"/>
      <c r="Y396" s="85" t="n"/>
      <c r="Z396" s="85" t="n"/>
      <c r="AA396" s="85" t="n"/>
      <c r="AB396" s="85" t="n"/>
      <c r="AC396" s="86" t="n"/>
      <c r="AD396" s="86" t="n"/>
      <c r="AE396" s="86" t="n"/>
      <c r="AF396" s="85" t="n"/>
      <c r="AG396" s="85" t="n"/>
      <c r="AH396" s="85">
        <f>IF($A396="","",IF(AND($E396="Yes",OR($V396="No",$V396="NOT FOUND")),"YES",""))</f>
        <v/>
      </c>
      <c r="AI396" s="85">
        <f>IF($A396="","",TRIM(IF(AND($M396=0,$I396&lt;&gt;"Yes"),"T0-NoPhishResistant ","")&amp;IF($H396="No","NoMFA ","")&amp;IF(AND($M396=0,$O396="Group only"),"T0-ViaGroupOnly ","")&amp;IF($N396="Yes","BroadAzureScope ","")&amp;IF($T396="Yes","AlsoEntraRole ","")))</f>
        <v/>
      </c>
      <c r="AJ396" s="85">
        <f>IF($A396="","",IF(AD396="","Not Enrolled",IF(TODAY()&gt;AD396,"Review Overdue",IF(AD396-TODAY()&lt;=30,"Review Due Soon","Active"))))</f>
        <v/>
      </c>
      <c r="AK396" s="85">
        <f>IF($A396="","",IF(AE396="","NOT REVIEWED",IF(TODAY()-AE396&gt;90,"OVERDUE",IF(TODAY()-AE396&gt;76,"Due Soon","Current"))))</f>
        <v/>
      </c>
    </row>
    <row r="397" ht="15" customHeight="1" s="39">
      <c r="A397" s="85" t="n"/>
      <c r="B397" s="85" t="n"/>
      <c r="C397" s="85" t="n"/>
      <c r="D397" s="85" t="n"/>
      <c r="E397" s="85" t="n"/>
      <c r="F397" s="86" t="n"/>
      <c r="G397" s="86" t="n"/>
      <c r="H397" s="85" t="n"/>
      <c r="I397" s="85" t="n"/>
      <c r="J397" s="85" t="n"/>
      <c r="K397" s="85" t="n"/>
      <c r="L397" s="85" t="n"/>
      <c r="M397" s="85" t="n"/>
      <c r="N397" s="85" t="n"/>
      <c r="O397" s="85" t="n"/>
      <c r="P397" s="85" t="n"/>
      <c r="Q397" s="85" t="n"/>
      <c r="R397" s="85" t="n"/>
      <c r="S397" s="85" t="n"/>
      <c r="T397" s="85" t="n"/>
      <c r="U397" s="85" t="n"/>
      <c r="V397" s="85" t="n"/>
      <c r="W397" s="85" t="n"/>
      <c r="X397" s="85" t="n"/>
      <c r="Y397" s="85" t="n"/>
      <c r="Z397" s="85" t="n"/>
      <c r="AA397" s="85" t="n"/>
      <c r="AB397" s="85" t="n"/>
      <c r="AC397" s="86" t="n"/>
      <c r="AD397" s="86" t="n"/>
      <c r="AE397" s="86" t="n"/>
      <c r="AF397" s="85" t="n"/>
      <c r="AG397" s="85" t="n"/>
      <c r="AH397" s="85">
        <f>IF($A397="","",IF(AND($E397="Yes",OR($V397="No",$V397="NOT FOUND")),"YES",""))</f>
        <v/>
      </c>
      <c r="AI397" s="85">
        <f>IF($A397="","",TRIM(IF(AND($M397=0,$I397&lt;&gt;"Yes"),"T0-NoPhishResistant ","")&amp;IF($H397="No","NoMFA ","")&amp;IF(AND($M397=0,$O397="Group only"),"T0-ViaGroupOnly ","")&amp;IF($N397="Yes","BroadAzureScope ","")&amp;IF($T397="Yes","AlsoEntraRole ","")))</f>
        <v/>
      </c>
      <c r="AJ397" s="85">
        <f>IF($A397="","",IF(AD397="","Not Enrolled",IF(TODAY()&gt;AD397,"Review Overdue",IF(AD397-TODAY()&lt;=30,"Review Due Soon","Active"))))</f>
        <v/>
      </c>
      <c r="AK397" s="85">
        <f>IF($A397="","",IF(AE397="","NOT REVIEWED",IF(TODAY()-AE397&gt;90,"OVERDUE",IF(TODAY()-AE397&gt;76,"Due Soon","Current"))))</f>
        <v/>
      </c>
    </row>
    <row r="398" ht="15" customHeight="1" s="39">
      <c r="A398" s="85" t="n"/>
      <c r="B398" s="85" t="n"/>
      <c r="C398" s="85" t="n"/>
      <c r="D398" s="85" t="n"/>
      <c r="E398" s="85" t="n"/>
      <c r="F398" s="86" t="n"/>
      <c r="G398" s="86" t="n"/>
      <c r="H398" s="85" t="n"/>
      <c r="I398" s="85" t="n"/>
      <c r="J398" s="85" t="n"/>
      <c r="K398" s="85" t="n"/>
      <c r="L398" s="85" t="n"/>
      <c r="M398" s="85" t="n"/>
      <c r="N398" s="85" t="n"/>
      <c r="O398" s="85" t="n"/>
      <c r="P398" s="85" t="n"/>
      <c r="Q398" s="85" t="n"/>
      <c r="R398" s="85" t="n"/>
      <c r="S398" s="85" t="n"/>
      <c r="T398" s="85" t="n"/>
      <c r="U398" s="85" t="n"/>
      <c r="V398" s="85" t="n"/>
      <c r="W398" s="85" t="n"/>
      <c r="X398" s="85" t="n"/>
      <c r="Y398" s="85" t="n"/>
      <c r="Z398" s="85" t="n"/>
      <c r="AA398" s="85" t="n"/>
      <c r="AB398" s="85" t="n"/>
      <c r="AC398" s="86" t="n"/>
      <c r="AD398" s="86" t="n"/>
      <c r="AE398" s="86" t="n"/>
      <c r="AF398" s="85" t="n"/>
      <c r="AG398" s="85" t="n"/>
      <c r="AH398" s="85">
        <f>IF($A398="","",IF(AND($E398="Yes",OR($V398="No",$V398="NOT FOUND")),"YES",""))</f>
        <v/>
      </c>
      <c r="AI398" s="85">
        <f>IF($A398="","",TRIM(IF(AND($M398=0,$I398&lt;&gt;"Yes"),"T0-NoPhishResistant ","")&amp;IF($H398="No","NoMFA ","")&amp;IF(AND($M398=0,$O398="Group only"),"T0-ViaGroupOnly ","")&amp;IF($N398="Yes","BroadAzureScope ","")&amp;IF($T398="Yes","AlsoEntraRole ","")))</f>
        <v/>
      </c>
      <c r="AJ398" s="85">
        <f>IF($A398="","",IF(AD398="","Not Enrolled",IF(TODAY()&gt;AD398,"Review Overdue",IF(AD398-TODAY()&lt;=30,"Review Due Soon","Active"))))</f>
        <v/>
      </c>
      <c r="AK398" s="85">
        <f>IF($A398="","",IF(AE398="","NOT REVIEWED",IF(TODAY()-AE398&gt;90,"OVERDUE",IF(TODAY()-AE398&gt;76,"Due Soon","Current"))))</f>
        <v/>
      </c>
    </row>
    <row r="399" ht="15" customHeight="1" s="39">
      <c r="A399" s="85" t="n"/>
      <c r="B399" s="85" t="n"/>
      <c r="C399" s="85" t="n"/>
      <c r="D399" s="85" t="n"/>
      <c r="E399" s="85" t="n"/>
      <c r="F399" s="86" t="n"/>
      <c r="G399" s="86" t="n"/>
      <c r="H399" s="85" t="n"/>
      <c r="I399" s="85" t="n"/>
      <c r="J399" s="85" t="n"/>
      <c r="K399" s="85" t="n"/>
      <c r="L399" s="85" t="n"/>
      <c r="M399" s="85" t="n"/>
      <c r="N399" s="85" t="n"/>
      <c r="O399" s="85" t="n"/>
      <c r="P399" s="85" t="n"/>
      <c r="Q399" s="85" t="n"/>
      <c r="R399" s="85" t="n"/>
      <c r="S399" s="85" t="n"/>
      <c r="T399" s="85" t="n"/>
      <c r="U399" s="85" t="n"/>
      <c r="V399" s="85" t="n"/>
      <c r="W399" s="85" t="n"/>
      <c r="X399" s="85" t="n"/>
      <c r="Y399" s="85" t="n"/>
      <c r="Z399" s="85" t="n"/>
      <c r="AA399" s="85" t="n"/>
      <c r="AB399" s="85" t="n"/>
      <c r="AC399" s="86" t="n"/>
      <c r="AD399" s="86" t="n"/>
      <c r="AE399" s="86" t="n"/>
      <c r="AF399" s="85" t="n"/>
      <c r="AG399" s="85" t="n"/>
      <c r="AH399" s="85">
        <f>IF($A399="","",IF(AND($E399="Yes",OR($V399="No",$V399="NOT FOUND")),"YES",""))</f>
        <v/>
      </c>
      <c r="AI399" s="85">
        <f>IF($A399="","",TRIM(IF(AND($M399=0,$I399&lt;&gt;"Yes"),"T0-NoPhishResistant ","")&amp;IF($H399="No","NoMFA ","")&amp;IF(AND($M399=0,$O399="Group only"),"T0-ViaGroupOnly ","")&amp;IF($N399="Yes","BroadAzureScope ","")&amp;IF($T399="Yes","AlsoEntraRole ","")))</f>
        <v/>
      </c>
      <c r="AJ399" s="85">
        <f>IF($A399="","",IF(AD399="","Not Enrolled",IF(TODAY()&gt;AD399,"Review Overdue",IF(AD399-TODAY()&lt;=30,"Review Due Soon","Active"))))</f>
        <v/>
      </c>
      <c r="AK399" s="85">
        <f>IF($A399="","",IF(AE399="","NOT REVIEWED",IF(TODAY()-AE399&gt;90,"OVERDUE",IF(TODAY()-AE399&gt;76,"Due Soon","Current"))))</f>
        <v/>
      </c>
    </row>
    <row r="400" ht="15" customHeight="1" s="39">
      <c r="A400" s="85" t="n"/>
      <c r="B400" s="85" t="n"/>
      <c r="C400" s="85" t="n"/>
      <c r="D400" s="85" t="n"/>
      <c r="E400" s="85" t="n"/>
      <c r="F400" s="86" t="n"/>
      <c r="G400" s="86" t="n"/>
      <c r="H400" s="85" t="n"/>
      <c r="I400" s="85" t="n"/>
      <c r="J400" s="85" t="n"/>
      <c r="K400" s="85" t="n"/>
      <c r="L400" s="85" t="n"/>
      <c r="M400" s="85" t="n"/>
      <c r="N400" s="85" t="n"/>
      <c r="O400" s="85" t="n"/>
      <c r="P400" s="85" t="n"/>
      <c r="Q400" s="85" t="n"/>
      <c r="R400" s="85" t="n"/>
      <c r="S400" s="85" t="n"/>
      <c r="T400" s="85" t="n"/>
      <c r="U400" s="85" t="n"/>
      <c r="V400" s="85" t="n"/>
      <c r="W400" s="85" t="n"/>
      <c r="X400" s="85" t="n"/>
      <c r="Y400" s="85" t="n"/>
      <c r="Z400" s="85" t="n"/>
      <c r="AA400" s="85" t="n"/>
      <c r="AB400" s="85" t="n"/>
      <c r="AC400" s="86" t="n"/>
      <c r="AD400" s="86" t="n"/>
      <c r="AE400" s="86" t="n"/>
      <c r="AF400" s="85" t="n"/>
      <c r="AG400" s="85" t="n"/>
      <c r="AH400" s="85">
        <f>IF($A400="","",IF(AND($E400="Yes",OR($V400="No",$V400="NOT FOUND")),"YES",""))</f>
        <v/>
      </c>
      <c r="AI400" s="85">
        <f>IF($A400="","",TRIM(IF(AND($M400=0,$I400&lt;&gt;"Yes"),"T0-NoPhishResistant ","")&amp;IF($H400="No","NoMFA ","")&amp;IF(AND($M400=0,$O400="Group only"),"T0-ViaGroupOnly ","")&amp;IF($N400="Yes","BroadAzureScope ","")&amp;IF($T400="Yes","AlsoEntraRole ","")))</f>
        <v/>
      </c>
      <c r="AJ400" s="85">
        <f>IF($A400="","",IF(AD400="","Not Enrolled",IF(TODAY()&gt;AD400,"Review Overdue",IF(AD400-TODAY()&lt;=30,"Review Due Soon","Active"))))</f>
        <v/>
      </c>
      <c r="AK400" s="85">
        <f>IF($A400="","",IF(AE400="","NOT REVIEWED",IF(TODAY()-AE400&gt;90,"OVERDUE",IF(TODAY()-AE400&gt;76,"Due Soon","Current"))))</f>
        <v/>
      </c>
    </row>
    <row r="401" ht="15" customHeight="1" s="39">
      <c r="A401" s="85" t="n"/>
      <c r="B401" s="85" t="n"/>
      <c r="C401" s="85" t="n"/>
      <c r="D401" s="85" t="n"/>
      <c r="E401" s="85" t="n"/>
      <c r="F401" s="86" t="n"/>
      <c r="G401" s="86" t="n"/>
      <c r="H401" s="85" t="n"/>
      <c r="I401" s="85" t="n"/>
      <c r="J401" s="85" t="n"/>
      <c r="K401" s="85" t="n"/>
      <c r="L401" s="85" t="n"/>
      <c r="M401" s="85" t="n"/>
      <c r="N401" s="85" t="n"/>
      <c r="O401" s="85" t="n"/>
      <c r="P401" s="85" t="n"/>
      <c r="Q401" s="85" t="n"/>
      <c r="R401" s="85" t="n"/>
      <c r="S401" s="85" t="n"/>
      <c r="T401" s="85" t="n"/>
      <c r="U401" s="85" t="n"/>
      <c r="V401" s="85" t="n"/>
      <c r="W401" s="85" t="n"/>
      <c r="X401" s="85" t="n"/>
      <c r="Y401" s="85" t="n"/>
      <c r="Z401" s="85" t="n"/>
      <c r="AA401" s="85" t="n"/>
      <c r="AB401" s="85" t="n"/>
      <c r="AC401" s="86" t="n"/>
      <c r="AD401" s="86" t="n"/>
      <c r="AE401" s="86" t="n"/>
      <c r="AF401" s="85" t="n"/>
      <c r="AG401" s="85" t="n"/>
      <c r="AH401" s="85">
        <f>IF($A401="","",IF(AND($E401="Yes",OR($V401="No",$V401="NOT FOUND")),"YES",""))</f>
        <v/>
      </c>
      <c r="AI401" s="85">
        <f>IF($A401="","",TRIM(IF(AND($M401=0,$I401&lt;&gt;"Yes"),"T0-NoPhishResistant ","")&amp;IF($H401="No","NoMFA ","")&amp;IF(AND($M401=0,$O401="Group only"),"T0-ViaGroupOnly ","")&amp;IF($N401="Yes","BroadAzureScope ","")&amp;IF($T401="Yes","AlsoEntraRole ","")))</f>
        <v/>
      </c>
      <c r="AJ401" s="85">
        <f>IF($A401="","",IF(AD401="","Not Enrolled",IF(TODAY()&gt;AD401,"Review Overdue",IF(AD401-TODAY()&lt;=30,"Review Due Soon","Active"))))</f>
        <v/>
      </c>
      <c r="AK401" s="85">
        <f>IF($A401="","",IF(AE401="","NOT REVIEWED",IF(TODAY()-AE401&gt;90,"OVERDUE",IF(TODAY()-AE401&gt;76,"Due Soon","Current"))))</f>
        <v/>
      </c>
    </row>
    <row r="402" ht="15" customHeight="1" s="39">
      <c r="A402" s="85" t="n"/>
      <c r="B402" s="85" t="n"/>
      <c r="C402" s="85" t="n"/>
      <c r="D402" s="85" t="n"/>
      <c r="E402" s="85" t="n"/>
      <c r="F402" s="86" t="n"/>
      <c r="G402" s="86" t="n"/>
      <c r="H402" s="85" t="n"/>
      <c r="I402" s="85" t="n"/>
      <c r="J402" s="85" t="n"/>
      <c r="K402" s="85" t="n"/>
      <c r="L402" s="85" t="n"/>
      <c r="M402" s="85" t="n"/>
      <c r="N402" s="85" t="n"/>
      <c r="O402" s="85" t="n"/>
      <c r="P402" s="85" t="n"/>
      <c r="Q402" s="85" t="n"/>
      <c r="R402" s="85" t="n"/>
      <c r="S402" s="85" t="n"/>
      <c r="T402" s="85" t="n"/>
      <c r="U402" s="85" t="n"/>
      <c r="V402" s="85" t="n"/>
      <c r="W402" s="85" t="n"/>
      <c r="X402" s="85" t="n"/>
      <c r="Y402" s="85" t="n"/>
      <c r="Z402" s="85" t="n"/>
      <c r="AA402" s="85" t="n"/>
      <c r="AB402" s="85" t="n"/>
      <c r="AC402" s="86" t="n"/>
      <c r="AD402" s="86" t="n"/>
      <c r="AE402" s="86" t="n"/>
      <c r="AF402" s="85" t="n"/>
      <c r="AG402" s="85" t="n"/>
      <c r="AH402" s="85">
        <f>IF($A402="","",IF(AND($E402="Yes",OR($V402="No",$V402="NOT FOUND")),"YES",""))</f>
        <v/>
      </c>
      <c r="AI402" s="85">
        <f>IF($A402="","",TRIM(IF(AND($M402=0,$I402&lt;&gt;"Yes"),"T0-NoPhishResistant ","")&amp;IF($H402="No","NoMFA ","")&amp;IF(AND($M402=0,$O402="Group only"),"T0-ViaGroupOnly ","")&amp;IF($N402="Yes","BroadAzureScope ","")&amp;IF($T402="Yes","AlsoEntraRole ","")))</f>
        <v/>
      </c>
      <c r="AJ402" s="85">
        <f>IF($A402="","",IF(AD402="","Not Enrolled",IF(TODAY()&gt;AD402,"Review Overdue",IF(AD402-TODAY()&lt;=30,"Review Due Soon","Active"))))</f>
        <v/>
      </c>
      <c r="AK402" s="85">
        <f>IF($A402="","",IF(AE402="","NOT REVIEWED",IF(TODAY()-AE402&gt;90,"OVERDUE",IF(TODAY()-AE402&gt;76,"Due Soon","Current"))))</f>
        <v/>
      </c>
    </row>
    <row r="403" ht="15" customHeight="1" s="39">
      <c r="A403" s="85" t="n"/>
      <c r="B403" s="85" t="n"/>
      <c r="C403" s="85" t="n"/>
      <c r="D403" s="85" t="n"/>
      <c r="E403" s="85" t="n"/>
      <c r="F403" s="86" t="n"/>
      <c r="G403" s="86" t="n"/>
      <c r="H403" s="85" t="n"/>
      <c r="I403" s="85" t="n"/>
      <c r="J403" s="85" t="n"/>
      <c r="K403" s="85" t="n"/>
      <c r="L403" s="85" t="n"/>
      <c r="M403" s="85" t="n"/>
      <c r="N403" s="85" t="n"/>
      <c r="O403" s="85" t="n"/>
      <c r="P403" s="85" t="n"/>
      <c r="Q403" s="85" t="n"/>
      <c r="R403" s="85" t="n"/>
      <c r="S403" s="85" t="n"/>
      <c r="T403" s="85" t="n"/>
      <c r="U403" s="85" t="n"/>
      <c r="V403" s="85" t="n"/>
      <c r="W403" s="85" t="n"/>
      <c r="X403" s="85" t="n"/>
      <c r="Y403" s="85" t="n"/>
      <c r="Z403" s="85" t="n"/>
      <c r="AA403" s="85" t="n"/>
      <c r="AB403" s="85" t="n"/>
      <c r="AC403" s="86" t="n"/>
      <c r="AD403" s="86" t="n"/>
      <c r="AE403" s="86" t="n"/>
      <c r="AF403" s="85" t="n"/>
      <c r="AG403" s="85" t="n"/>
      <c r="AH403" s="85">
        <f>IF($A403="","",IF(AND($E403="Yes",OR($V403="No",$V403="NOT FOUND")),"YES",""))</f>
        <v/>
      </c>
      <c r="AI403" s="85">
        <f>IF($A403="","",TRIM(IF(AND($M403=0,$I403&lt;&gt;"Yes"),"T0-NoPhishResistant ","")&amp;IF($H403="No","NoMFA ","")&amp;IF(AND($M403=0,$O403="Group only"),"T0-ViaGroupOnly ","")&amp;IF($N403="Yes","BroadAzureScope ","")&amp;IF($T403="Yes","AlsoEntraRole ","")))</f>
        <v/>
      </c>
      <c r="AJ403" s="85">
        <f>IF($A403="","",IF(AD403="","Not Enrolled",IF(TODAY()&gt;AD403,"Review Overdue",IF(AD403-TODAY()&lt;=30,"Review Due Soon","Active"))))</f>
        <v/>
      </c>
      <c r="AK403" s="85">
        <f>IF($A403="","",IF(AE403="","NOT REVIEWED",IF(TODAY()-AE403&gt;90,"OVERDUE",IF(TODAY()-AE403&gt;76,"Due Soon","Current"))))</f>
        <v/>
      </c>
    </row>
    <row r="404" ht="15" customHeight="1" s="39">
      <c r="A404" s="85" t="n"/>
      <c r="B404" s="85" t="n"/>
      <c r="C404" s="85" t="n"/>
      <c r="D404" s="85" t="n"/>
      <c r="E404" s="85" t="n"/>
      <c r="F404" s="86" t="n"/>
      <c r="G404" s="86" t="n"/>
      <c r="H404" s="85" t="n"/>
      <c r="I404" s="85" t="n"/>
      <c r="J404" s="85" t="n"/>
      <c r="K404" s="85" t="n"/>
      <c r="L404" s="85" t="n"/>
      <c r="M404" s="85" t="n"/>
      <c r="N404" s="85" t="n"/>
      <c r="O404" s="85" t="n"/>
      <c r="P404" s="85" t="n"/>
      <c r="Q404" s="85" t="n"/>
      <c r="R404" s="85" t="n"/>
      <c r="S404" s="85" t="n"/>
      <c r="T404" s="85" t="n"/>
      <c r="U404" s="85" t="n"/>
      <c r="V404" s="85" t="n"/>
      <c r="W404" s="85" t="n"/>
      <c r="X404" s="85" t="n"/>
      <c r="Y404" s="85" t="n"/>
      <c r="Z404" s="85" t="n"/>
      <c r="AA404" s="85" t="n"/>
      <c r="AB404" s="85" t="n"/>
      <c r="AC404" s="86" t="n"/>
      <c r="AD404" s="86" t="n"/>
      <c r="AE404" s="86" t="n"/>
      <c r="AF404" s="85" t="n"/>
      <c r="AG404" s="85" t="n"/>
      <c r="AH404" s="85">
        <f>IF($A404="","",IF(AND($E404="Yes",OR($V404="No",$V404="NOT FOUND")),"YES",""))</f>
        <v/>
      </c>
      <c r="AI404" s="85">
        <f>IF($A404="","",TRIM(IF(AND($M404=0,$I404&lt;&gt;"Yes"),"T0-NoPhishResistant ","")&amp;IF($H404="No","NoMFA ","")&amp;IF(AND($M404=0,$O404="Group only"),"T0-ViaGroupOnly ","")&amp;IF($N404="Yes","BroadAzureScope ","")&amp;IF($T404="Yes","AlsoEntraRole ","")))</f>
        <v/>
      </c>
      <c r="AJ404" s="85">
        <f>IF($A404="","",IF(AD404="","Not Enrolled",IF(TODAY()&gt;AD404,"Review Overdue",IF(AD404-TODAY()&lt;=30,"Review Due Soon","Active"))))</f>
        <v/>
      </c>
      <c r="AK404" s="85">
        <f>IF($A404="","",IF(AE404="","NOT REVIEWED",IF(TODAY()-AE404&gt;90,"OVERDUE",IF(TODAY()-AE404&gt;76,"Due Soon","Current"))))</f>
        <v/>
      </c>
    </row>
    <row r="405" ht="15" customHeight="1" s="39">
      <c r="A405" s="85" t="n"/>
      <c r="B405" s="85" t="n"/>
      <c r="C405" s="85" t="n"/>
      <c r="D405" s="85" t="n"/>
      <c r="E405" s="85" t="n"/>
      <c r="F405" s="86" t="n"/>
      <c r="G405" s="86" t="n"/>
      <c r="H405" s="85" t="n"/>
      <c r="I405" s="85" t="n"/>
      <c r="J405" s="85" t="n"/>
      <c r="K405" s="85" t="n"/>
      <c r="L405" s="85" t="n"/>
      <c r="M405" s="85" t="n"/>
      <c r="N405" s="85" t="n"/>
      <c r="O405" s="85" t="n"/>
      <c r="P405" s="85" t="n"/>
      <c r="Q405" s="85" t="n"/>
      <c r="R405" s="85" t="n"/>
      <c r="S405" s="85" t="n"/>
      <c r="T405" s="85" t="n"/>
      <c r="U405" s="85" t="n"/>
      <c r="V405" s="85" t="n"/>
      <c r="W405" s="85" t="n"/>
      <c r="X405" s="85" t="n"/>
      <c r="Y405" s="85" t="n"/>
      <c r="Z405" s="85" t="n"/>
      <c r="AA405" s="85" t="n"/>
      <c r="AB405" s="85" t="n"/>
      <c r="AC405" s="86" t="n"/>
      <c r="AD405" s="86" t="n"/>
      <c r="AE405" s="86" t="n"/>
      <c r="AF405" s="85" t="n"/>
      <c r="AG405" s="85" t="n"/>
      <c r="AH405" s="85">
        <f>IF($A405="","",IF(AND($E405="Yes",OR($V405="No",$V405="NOT FOUND")),"YES",""))</f>
        <v/>
      </c>
      <c r="AI405" s="85">
        <f>IF($A405="","",TRIM(IF(AND($M405=0,$I405&lt;&gt;"Yes"),"T0-NoPhishResistant ","")&amp;IF($H405="No","NoMFA ","")&amp;IF(AND($M405=0,$O405="Group only"),"T0-ViaGroupOnly ","")&amp;IF($N405="Yes","BroadAzureScope ","")&amp;IF($T405="Yes","AlsoEntraRole ","")))</f>
        <v/>
      </c>
      <c r="AJ405" s="85">
        <f>IF($A405="","",IF(AD405="","Not Enrolled",IF(TODAY()&gt;AD405,"Review Overdue",IF(AD405-TODAY()&lt;=30,"Review Due Soon","Active"))))</f>
        <v/>
      </c>
      <c r="AK405" s="85">
        <f>IF($A405="","",IF(AE405="","NOT REVIEWED",IF(TODAY()-AE405&gt;90,"OVERDUE",IF(TODAY()-AE405&gt;76,"Due Soon","Current"))))</f>
        <v/>
      </c>
    </row>
    <row r="406" ht="15" customHeight="1" s="39">
      <c r="A406" s="85" t="n"/>
      <c r="B406" s="85" t="n"/>
      <c r="C406" s="85" t="n"/>
      <c r="D406" s="85" t="n"/>
      <c r="E406" s="85" t="n"/>
      <c r="F406" s="86" t="n"/>
      <c r="G406" s="86" t="n"/>
      <c r="H406" s="85" t="n"/>
      <c r="I406" s="85" t="n"/>
      <c r="J406" s="85" t="n"/>
      <c r="K406" s="85" t="n"/>
      <c r="L406" s="85" t="n"/>
      <c r="M406" s="85" t="n"/>
      <c r="N406" s="85" t="n"/>
      <c r="O406" s="85" t="n"/>
      <c r="P406" s="85" t="n"/>
      <c r="Q406" s="85" t="n"/>
      <c r="R406" s="85" t="n"/>
      <c r="S406" s="85" t="n"/>
      <c r="T406" s="85" t="n"/>
      <c r="U406" s="85" t="n"/>
      <c r="V406" s="85" t="n"/>
      <c r="W406" s="85" t="n"/>
      <c r="X406" s="85" t="n"/>
      <c r="Y406" s="85" t="n"/>
      <c r="Z406" s="85" t="n"/>
      <c r="AA406" s="85" t="n"/>
      <c r="AB406" s="85" t="n"/>
      <c r="AC406" s="86" t="n"/>
      <c r="AD406" s="86" t="n"/>
      <c r="AE406" s="86" t="n"/>
      <c r="AF406" s="85" t="n"/>
      <c r="AG406" s="85" t="n"/>
      <c r="AH406" s="85">
        <f>IF($A406="","",IF(AND($E406="Yes",OR($V406="No",$V406="NOT FOUND")),"YES",""))</f>
        <v/>
      </c>
      <c r="AI406" s="85">
        <f>IF($A406="","",TRIM(IF(AND($M406=0,$I406&lt;&gt;"Yes"),"T0-NoPhishResistant ","")&amp;IF($H406="No","NoMFA ","")&amp;IF(AND($M406=0,$O406="Group only"),"T0-ViaGroupOnly ","")&amp;IF($N406="Yes","BroadAzureScope ","")&amp;IF($T406="Yes","AlsoEntraRole ","")))</f>
        <v/>
      </c>
      <c r="AJ406" s="85">
        <f>IF($A406="","",IF(AD406="","Not Enrolled",IF(TODAY()&gt;AD406,"Review Overdue",IF(AD406-TODAY()&lt;=30,"Review Due Soon","Active"))))</f>
        <v/>
      </c>
      <c r="AK406" s="85">
        <f>IF($A406="","",IF(AE406="","NOT REVIEWED",IF(TODAY()-AE406&gt;90,"OVERDUE",IF(TODAY()-AE406&gt;76,"Due Soon","Current"))))</f>
        <v/>
      </c>
    </row>
    <row r="407" ht="15" customHeight="1" s="39">
      <c r="A407" s="85" t="n"/>
      <c r="B407" s="85" t="n"/>
      <c r="C407" s="85" t="n"/>
      <c r="D407" s="85" t="n"/>
      <c r="E407" s="85" t="n"/>
      <c r="F407" s="86" t="n"/>
      <c r="G407" s="86" t="n"/>
      <c r="H407" s="85" t="n"/>
      <c r="I407" s="85" t="n"/>
      <c r="J407" s="85" t="n"/>
      <c r="K407" s="85" t="n"/>
      <c r="L407" s="85" t="n"/>
      <c r="M407" s="85" t="n"/>
      <c r="N407" s="85" t="n"/>
      <c r="O407" s="85" t="n"/>
      <c r="P407" s="85" t="n"/>
      <c r="Q407" s="85" t="n"/>
      <c r="R407" s="85" t="n"/>
      <c r="S407" s="85" t="n"/>
      <c r="T407" s="85" t="n"/>
      <c r="U407" s="85" t="n"/>
      <c r="V407" s="85" t="n"/>
      <c r="W407" s="85" t="n"/>
      <c r="X407" s="85" t="n"/>
      <c r="Y407" s="85" t="n"/>
      <c r="Z407" s="85" t="n"/>
      <c r="AA407" s="85" t="n"/>
      <c r="AB407" s="85" t="n"/>
      <c r="AC407" s="86" t="n"/>
      <c r="AD407" s="86" t="n"/>
      <c r="AE407" s="86" t="n"/>
      <c r="AF407" s="85" t="n"/>
      <c r="AG407" s="85" t="n"/>
      <c r="AH407" s="85">
        <f>IF($A407="","",IF(AND($E407="Yes",OR($V407="No",$V407="NOT FOUND")),"YES",""))</f>
        <v/>
      </c>
      <c r="AI407" s="85">
        <f>IF($A407="","",TRIM(IF(AND($M407=0,$I407&lt;&gt;"Yes"),"T0-NoPhishResistant ","")&amp;IF($H407="No","NoMFA ","")&amp;IF(AND($M407=0,$O407="Group only"),"T0-ViaGroupOnly ","")&amp;IF($N407="Yes","BroadAzureScope ","")&amp;IF($T407="Yes","AlsoEntraRole ","")))</f>
        <v/>
      </c>
      <c r="AJ407" s="85">
        <f>IF($A407="","",IF(AD407="","Not Enrolled",IF(TODAY()&gt;AD407,"Review Overdue",IF(AD407-TODAY()&lt;=30,"Review Due Soon","Active"))))</f>
        <v/>
      </c>
      <c r="AK407" s="85">
        <f>IF($A407="","",IF(AE407="","NOT REVIEWED",IF(TODAY()-AE407&gt;90,"OVERDUE",IF(TODAY()-AE407&gt;76,"Due Soon","Current"))))</f>
        <v/>
      </c>
    </row>
    <row r="408" ht="15" customHeight="1" s="39">
      <c r="A408" s="85" t="n"/>
      <c r="B408" s="85" t="n"/>
      <c r="C408" s="85" t="n"/>
      <c r="D408" s="85" t="n"/>
      <c r="E408" s="85" t="n"/>
      <c r="F408" s="86" t="n"/>
      <c r="G408" s="86" t="n"/>
      <c r="H408" s="85" t="n"/>
      <c r="I408" s="85" t="n"/>
      <c r="J408" s="85" t="n"/>
      <c r="K408" s="85" t="n"/>
      <c r="L408" s="85" t="n"/>
      <c r="M408" s="85" t="n"/>
      <c r="N408" s="85" t="n"/>
      <c r="O408" s="85" t="n"/>
      <c r="P408" s="85" t="n"/>
      <c r="Q408" s="85" t="n"/>
      <c r="R408" s="85" t="n"/>
      <c r="S408" s="85" t="n"/>
      <c r="T408" s="85" t="n"/>
      <c r="U408" s="85" t="n"/>
      <c r="V408" s="85" t="n"/>
      <c r="W408" s="85" t="n"/>
      <c r="X408" s="85" t="n"/>
      <c r="Y408" s="85" t="n"/>
      <c r="Z408" s="85" t="n"/>
      <c r="AA408" s="85" t="n"/>
      <c r="AB408" s="85" t="n"/>
      <c r="AC408" s="86" t="n"/>
      <c r="AD408" s="86" t="n"/>
      <c r="AE408" s="86" t="n"/>
      <c r="AF408" s="85" t="n"/>
      <c r="AG408" s="85" t="n"/>
      <c r="AH408" s="85">
        <f>IF($A408="","",IF(AND($E408="Yes",OR($V408="No",$V408="NOT FOUND")),"YES",""))</f>
        <v/>
      </c>
      <c r="AI408" s="85">
        <f>IF($A408="","",TRIM(IF(AND($M408=0,$I408&lt;&gt;"Yes"),"T0-NoPhishResistant ","")&amp;IF($H408="No","NoMFA ","")&amp;IF(AND($M408=0,$O408="Group only"),"T0-ViaGroupOnly ","")&amp;IF($N408="Yes","BroadAzureScope ","")&amp;IF($T408="Yes","AlsoEntraRole ","")))</f>
        <v/>
      </c>
      <c r="AJ408" s="85">
        <f>IF($A408="","",IF(AD408="","Not Enrolled",IF(TODAY()&gt;AD408,"Review Overdue",IF(AD408-TODAY()&lt;=30,"Review Due Soon","Active"))))</f>
        <v/>
      </c>
      <c r="AK408" s="85">
        <f>IF($A408="","",IF(AE408="","NOT REVIEWED",IF(TODAY()-AE408&gt;90,"OVERDUE",IF(TODAY()-AE408&gt;76,"Due Soon","Current"))))</f>
        <v/>
      </c>
    </row>
    <row r="409" ht="15" customHeight="1" s="39">
      <c r="A409" s="85" t="n"/>
      <c r="B409" s="85" t="n"/>
      <c r="C409" s="85" t="n"/>
      <c r="D409" s="85" t="n"/>
      <c r="E409" s="85" t="n"/>
      <c r="F409" s="86" t="n"/>
      <c r="G409" s="86" t="n"/>
      <c r="H409" s="85" t="n"/>
      <c r="I409" s="85" t="n"/>
      <c r="J409" s="85" t="n"/>
      <c r="K409" s="85" t="n"/>
      <c r="L409" s="85" t="n"/>
      <c r="M409" s="85" t="n"/>
      <c r="N409" s="85" t="n"/>
      <c r="O409" s="85" t="n"/>
      <c r="P409" s="85" t="n"/>
      <c r="Q409" s="85" t="n"/>
      <c r="R409" s="85" t="n"/>
      <c r="S409" s="85" t="n"/>
      <c r="T409" s="85" t="n"/>
      <c r="U409" s="85" t="n"/>
      <c r="V409" s="85" t="n"/>
      <c r="W409" s="85" t="n"/>
      <c r="X409" s="85" t="n"/>
      <c r="Y409" s="85" t="n"/>
      <c r="Z409" s="85" t="n"/>
      <c r="AA409" s="85" t="n"/>
      <c r="AB409" s="85" t="n"/>
      <c r="AC409" s="86" t="n"/>
      <c r="AD409" s="86" t="n"/>
      <c r="AE409" s="86" t="n"/>
      <c r="AF409" s="85" t="n"/>
      <c r="AG409" s="85" t="n"/>
      <c r="AH409" s="85">
        <f>IF($A409="","",IF(AND($E409="Yes",OR($V409="No",$V409="NOT FOUND")),"YES",""))</f>
        <v/>
      </c>
      <c r="AI409" s="85">
        <f>IF($A409="","",TRIM(IF(AND($M409=0,$I409&lt;&gt;"Yes"),"T0-NoPhishResistant ","")&amp;IF($H409="No","NoMFA ","")&amp;IF(AND($M409=0,$O409="Group only"),"T0-ViaGroupOnly ","")&amp;IF($N409="Yes","BroadAzureScope ","")&amp;IF($T409="Yes","AlsoEntraRole ","")))</f>
        <v/>
      </c>
      <c r="AJ409" s="85">
        <f>IF($A409="","",IF(AD409="","Not Enrolled",IF(TODAY()&gt;AD409,"Review Overdue",IF(AD409-TODAY()&lt;=30,"Review Due Soon","Active"))))</f>
        <v/>
      </c>
      <c r="AK409" s="85">
        <f>IF($A409="","",IF(AE409="","NOT REVIEWED",IF(TODAY()-AE409&gt;90,"OVERDUE",IF(TODAY()-AE409&gt;76,"Due Soon","Current"))))</f>
        <v/>
      </c>
    </row>
    <row r="410" ht="15" customHeight="1" s="39">
      <c r="A410" s="85" t="n"/>
      <c r="B410" s="85" t="n"/>
      <c r="C410" s="85" t="n"/>
      <c r="D410" s="85" t="n"/>
      <c r="E410" s="85" t="n"/>
      <c r="F410" s="86" t="n"/>
      <c r="G410" s="86" t="n"/>
      <c r="H410" s="85" t="n"/>
      <c r="I410" s="85" t="n"/>
      <c r="J410" s="85" t="n"/>
      <c r="K410" s="85" t="n"/>
      <c r="L410" s="85" t="n"/>
      <c r="M410" s="85" t="n"/>
      <c r="N410" s="85" t="n"/>
      <c r="O410" s="85" t="n"/>
      <c r="P410" s="85" t="n"/>
      <c r="Q410" s="85" t="n"/>
      <c r="R410" s="85" t="n"/>
      <c r="S410" s="85" t="n"/>
      <c r="T410" s="85" t="n"/>
      <c r="U410" s="85" t="n"/>
      <c r="V410" s="85" t="n"/>
      <c r="W410" s="85" t="n"/>
      <c r="X410" s="85" t="n"/>
      <c r="Y410" s="85" t="n"/>
      <c r="Z410" s="85" t="n"/>
      <c r="AA410" s="85" t="n"/>
      <c r="AB410" s="85" t="n"/>
      <c r="AC410" s="86" t="n"/>
      <c r="AD410" s="86" t="n"/>
      <c r="AE410" s="86" t="n"/>
      <c r="AF410" s="85" t="n"/>
      <c r="AG410" s="85" t="n"/>
      <c r="AH410" s="85">
        <f>IF($A410="","",IF(AND($E410="Yes",OR($V410="No",$V410="NOT FOUND")),"YES",""))</f>
        <v/>
      </c>
      <c r="AI410" s="85">
        <f>IF($A410="","",TRIM(IF(AND($M410=0,$I410&lt;&gt;"Yes"),"T0-NoPhishResistant ","")&amp;IF($H410="No","NoMFA ","")&amp;IF(AND($M410=0,$O410="Group only"),"T0-ViaGroupOnly ","")&amp;IF($N410="Yes","BroadAzureScope ","")&amp;IF($T410="Yes","AlsoEntraRole ","")))</f>
        <v/>
      </c>
      <c r="AJ410" s="85">
        <f>IF($A410="","",IF(AD410="","Not Enrolled",IF(TODAY()&gt;AD410,"Review Overdue",IF(AD410-TODAY()&lt;=30,"Review Due Soon","Active"))))</f>
        <v/>
      </c>
      <c r="AK410" s="85">
        <f>IF($A410="","",IF(AE410="","NOT REVIEWED",IF(TODAY()-AE410&gt;90,"OVERDUE",IF(TODAY()-AE410&gt;76,"Due Soon","Current"))))</f>
        <v/>
      </c>
    </row>
    <row r="411" ht="15" customHeight="1" s="39">
      <c r="A411" s="85" t="n"/>
      <c r="B411" s="85" t="n"/>
      <c r="C411" s="85" t="n"/>
      <c r="D411" s="85" t="n"/>
      <c r="E411" s="85" t="n"/>
      <c r="F411" s="86" t="n"/>
      <c r="G411" s="86" t="n"/>
      <c r="H411" s="85" t="n"/>
      <c r="I411" s="85" t="n"/>
      <c r="J411" s="85" t="n"/>
      <c r="K411" s="85" t="n"/>
      <c r="L411" s="85" t="n"/>
      <c r="M411" s="85" t="n"/>
      <c r="N411" s="85" t="n"/>
      <c r="O411" s="85" t="n"/>
      <c r="P411" s="85" t="n"/>
      <c r="Q411" s="85" t="n"/>
      <c r="R411" s="85" t="n"/>
      <c r="S411" s="85" t="n"/>
      <c r="T411" s="85" t="n"/>
      <c r="U411" s="85" t="n"/>
      <c r="V411" s="85" t="n"/>
      <c r="W411" s="85" t="n"/>
      <c r="X411" s="85" t="n"/>
      <c r="Y411" s="85" t="n"/>
      <c r="Z411" s="85" t="n"/>
      <c r="AA411" s="85" t="n"/>
      <c r="AB411" s="85" t="n"/>
      <c r="AC411" s="86" t="n"/>
      <c r="AD411" s="86" t="n"/>
      <c r="AE411" s="86" t="n"/>
      <c r="AF411" s="85" t="n"/>
      <c r="AG411" s="85" t="n"/>
      <c r="AH411" s="85">
        <f>IF($A411="","",IF(AND($E411="Yes",OR($V411="No",$V411="NOT FOUND")),"YES",""))</f>
        <v/>
      </c>
      <c r="AI411" s="85">
        <f>IF($A411="","",TRIM(IF(AND($M411=0,$I411&lt;&gt;"Yes"),"T0-NoPhishResistant ","")&amp;IF($H411="No","NoMFA ","")&amp;IF(AND($M411=0,$O411="Group only"),"T0-ViaGroupOnly ","")&amp;IF($N411="Yes","BroadAzureScope ","")&amp;IF($T411="Yes","AlsoEntraRole ","")))</f>
        <v/>
      </c>
      <c r="AJ411" s="85">
        <f>IF($A411="","",IF(AD411="","Not Enrolled",IF(TODAY()&gt;AD411,"Review Overdue",IF(AD411-TODAY()&lt;=30,"Review Due Soon","Active"))))</f>
        <v/>
      </c>
      <c r="AK411" s="85">
        <f>IF($A411="","",IF(AE411="","NOT REVIEWED",IF(TODAY()-AE411&gt;90,"OVERDUE",IF(TODAY()-AE411&gt;76,"Due Soon","Current"))))</f>
        <v/>
      </c>
    </row>
    <row r="412" ht="15" customHeight="1" s="39">
      <c r="A412" s="85" t="n"/>
      <c r="B412" s="85" t="n"/>
      <c r="C412" s="85" t="n"/>
      <c r="D412" s="85" t="n"/>
      <c r="E412" s="85" t="n"/>
      <c r="F412" s="86" t="n"/>
      <c r="G412" s="86" t="n"/>
      <c r="H412" s="85" t="n"/>
      <c r="I412" s="85" t="n"/>
      <c r="J412" s="85" t="n"/>
      <c r="K412" s="85" t="n"/>
      <c r="L412" s="85" t="n"/>
      <c r="M412" s="85" t="n"/>
      <c r="N412" s="85" t="n"/>
      <c r="O412" s="85" t="n"/>
      <c r="P412" s="85" t="n"/>
      <c r="Q412" s="85" t="n"/>
      <c r="R412" s="85" t="n"/>
      <c r="S412" s="85" t="n"/>
      <c r="T412" s="85" t="n"/>
      <c r="U412" s="85" t="n"/>
      <c r="V412" s="85" t="n"/>
      <c r="W412" s="85" t="n"/>
      <c r="X412" s="85" t="n"/>
      <c r="Y412" s="85" t="n"/>
      <c r="Z412" s="85" t="n"/>
      <c r="AA412" s="85" t="n"/>
      <c r="AB412" s="85" t="n"/>
      <c r="AC412" s="86" t="n"/>
      <c r="AD412" s="86" t="n"/>
      <c r="AE412" s="86" t="n"/>
      <c r="AF412" s="85" t="n"/>
      <c r="AG412" s="85" t="n"/>
      <c r="AH412" s="85">
        <f>IF($A412="","",IF(AND($E412="Yes",OR($V412="No",$V412="NOT FOUND")),"YES",""))</f>
        <v/>
      </c>
      <c r="AI412" s="85">
        <f>IF($A412="","",TRIM(IF(AND($M412=0,$I412&lt;&gt;"Yes"),"T0-NoPhishResistant ","")&amp;IF($H412="No","NoMFA ","")&amp;IF(AND($M412=0,$O412="Group only"),"T0-ViaGroupOnly ","")&amp;IF($N412="Yes","BroadAzureScope ","")&amp;IF($T412="Yes","AlsoEntraRole ","")))</f>
        <v/>
      </c>
      <c r="AJ412" s="85">
        <f>IF($A412="","",IF(AD412="","Not Enrolled",IF(TODAY()&gt;AD412,"Review Overdue",IF(AD412-TODAY()&lt;=30,"Review Due Soon","Active"))))</f>
        <v/>
      </c>
      <c r="AK412" s="85">
        <f>IF($A412="","",IF(AE412="","NOT REVIEWED",IF(TODAY()-AE412&gt;90,"OVERDUE",IF(TODAY()-AE412&gt;76,"Due Soon","Current"))))</f>
        <v/>
      </c>
    </row>
    <row r="413" ht="15" customHeight="1" s="39">
      <c r="A413" s="85" t="n"/>
      <c r="B413" s="85" t="n"/>
      <c r="C413" s="85" t="n"/>
      <c r="D413" s="85" t="n"/>
      <c r="E413" s="85" t="n"/>
      <c r="F413" s="86" t="n"/>
      <c r="G413" s="86" t="n"/>
      <c r="H413" s="85" t="n"/>
      <c r="I413" s="85" t="n"/>
      <c r="J413" s="85" t="n"/>
      <c r="K413" s="85" t="n"/>
      <c r="L413" s="85" t="n"/>
      <c r="M413" s="85" t="n"/>
      <c r="N413" s="85" t="n"/>
      <c r="O413" s="85" t="n"/>
      <c r="P413" s="85" t="n"/>
      <c r="Q413" s="85" t="n"/>
      <c r="R413" s="85" t="n"/>
      <c r="S413" s="85" t="n"/>
      <c r="T413" s="85" t="n"/>
      <c r="U413" s="85" t="n"/>
      <c r="V413" s="85" t="n"/>
      <c r="W413" s="85" t="n"/>
      <c r="X413" s="85" t="n"/>
      <c r="Y413" s="85" t="n"/>
      <c r="Z413" s="85" t="n"/>
      <c r="AA413" s="85" t="n"/>
      <c r="AB413" s="85" t="n"/>
      <c r="AC413" s="86" t="n"/>
      <c r="AD413" s="86" t="n"/>
      <c r="AE413" s="86" t="n"/>
      <c r="AF413" s="85" t="n"/>
      <c r="AG413" s="85" t="n"/>
      <c r="AH413" s="85">
        <f>IF($A413="","",IF(AND($E413="Yes",OR($V413="No",$V413="NOT FOUND")),"YES",""))</f>
        <v/>
      </c>
      <c r="AI413" s="85">
        <f>IF($A413="","",TRIM(IF(AND($M413=0,$I413&lt;&gt;"Yes"),"T0-NoPhishResistant ","")&amp;IF($H413="No","NoMFA ","")&amp;IF(AND($M413=0,$O413="Group only"),"T0-ViaGroupOnly ","")&amp;IF($N413="Yes","BroadAzureScope ","")&amp;IF($T413="Yes","AlsoEntraRole ","")))</f>
        <v/>
      </c>
      <c r="AJ413" s="85">
        <f>IF($A413="","",IF(AD413="","Not Enrolled",IF(TODAY()&gt;AD413,"Review Overdue",IF(AD413-TODAY()&lt;=30,"Review Due Soon","Active"))))</f>
        <v/>
      </c>
      <c r="AK413" s="85">
        <f>IF($A413="","",IF(AE413="","NOT REVIEWED",IF(TODAY()-AE413&gt;90,"OVERDUE",IF(TODAY()-AE413&gt;76,"Due Soon","Current"))))</f>
        <v/>
      </c>
    </row>
    <row r="414" ht="15" customHeight="1" s="39">
      <c r="A414" s="85" t="n"/>
      <c r="B414" s="85" t="n"/>
      <c r="C414" s="85" t="n"/>
      <c r="D414" s="85" t="n"/>
      <c r="E414" s="85" t="n"/>
      <c r="F414" s="86" t="n"/>
      <c r="G414" s="86" t="n"/>
      <c r="H414" s="85" t="n"/>
      <c r="I414" s="85" t="n"/>
      <c r="J414" s="85" t="n"/>
      <c r="K414" s="85" t="n"/>
      <c r="L414" s="85" t="n"/>
      <c r="M414" s="85" t="n"/>
      <c r="N414" s="85" t="n"/>
      <c r="O414" s="85" t="n"/>
      <c r="P414" s="85" t="n"/>
      <c r="Q414" s="85" t="n"/>
      <c r="R414" s="85" t="n"/>
      <c r="S414" s="85" t="n"/>
      <c r="T414" s="85" t="n"/>
      <c r="U414" s="85" t="n"/>
      <c r="V414" s="85" t="n"/>
      <c r="W414" s="85" t="n"/>
      <c r="X414" s="85" t="n"/>
      <c r="Y414" s="85" t="n"/>
      <c r="Z414" s="85" t="n"/>
      <c r="AA414" s="85" t="n"/>
      <c r="AB414" s="85" t="n"/>
      <c r="AC414" s="86" t="n"/>
      <c r="AD414" s="86" t="n"/>
      <c r="AE414" s="86" t="n"/>
      <c r="AF414" s="85" t="n"/>
      <c r="AG414" s="85" t="n"/>
      <c r="AH414" s="85">
        <f>IF($A414="","",IF(AND($E414="Yes",OR($V414="No",$V414="NOT FOUND")),"YES",""))</f>
        <v/>
      </c>
      <c r="AI414" s="85">
        <f>IF($A414="","",TRIM(IF(AND($M414=0,$I414&lt;&gt;"Yes"),"T0-NoPhishResistant ","")&amp;IF($H414="No","NoMFA ","")&amp;IF(AND($M414=0,$O414="Group only"),"T0-ViaGroupOnly ","")&amp;IF($N414="Yes","BroadAzureScope ","")&amp;IF($T414="Yes","AlsoEntraRole ","")))</f>
        <v/>
      </c>
      <c r="AJ414" s="85">
        <f>IF($A414="","",IF(AD414="","Not Enrolled",IF(TODAY()&gt;AD414,"Review Overdue",IF(AD414-TODAY()&lt;=30,"Review Due Soon","Active"))))</f>
        <v/>
      </c>
      <c r="AK414" s="85">
        <f>IF($A414="","",IF(AE414="","NOT REVIEWED",IF(TODAY()-AE414&gt;90,"OVERDUE",IF(TODAY()-AE414&gt;76,"Due Soon","Current"))))</f>
        <v/>
      </c>
    </row>
    <row r="415" ht="15" customHeight="1" s="39">
      <c r="A415" s="85" t="n"/>
      <c r="B415" s="85" t="n"/>
      <c r="C415" s="85" t="n"/>
      <c r="D415" s="85" t="n"/>
      <c r="E415" s="85" t="n"/>
      <c r="F415" s="86" t="n"/>
      <c r="G415" s="86" t="n"/>
      <c r="H415" s="85" t="n"/>
      <c r="I415" s="85" t="n"/>
      <c r="J415" s="85" t="n"/>
      <c r="K415" s="85" t="n"/>
      <c r="L415" s="85" t="n"/>
      <c r="M415" s="85" t="n"/>
      <c r="N415" s="85" t="n"/>
      <c r="O415" s="85" t="n"/>
      <c r="P415" s="85" t="n"/>
      <c r="Q415" s="85" t="n"/>
      <c r="R415" s="85" t="n"/>
      <c r="S415" s="85" t="n"/>
      <c r="T415" s="85" t="n"/>
      <c r="U415" s="85" t="n"/>
      <c r="V415" s="85" t="n"/>
      <c r="W415" s="85" t="n"/>
      <c r="X415" s="85" t="n"/>
      <c r="Y415" s="85" t="n"/>
      <c r="Z415" s="85" t="n"/>
      <c r="AA415" s="85" t="n"/>
      <c r="AB415" s="85" t="n"/>
      <c r="AC415" s="86" t="n"/>
      <c r="AD415" s="86" t="n"/>
      <c r="AE415" s="86" t="n"/>
      <c r="AF415" s="85" t="n"/>
      <c r="AG415" s="85" t="n"/>
      <c r="AH415" s="85">
        <f>IF($A415="","",IF(AND($E415="Yes",OR($V415="No",$V415="NOT FOUND")),"YES",""))</f>
        <v/>
      </c>
      <c r="AI415" s="85">
        <f>IF($A415="","",TRIM(IF(AND($M415=0,$I415&lt;&gt;"Yes"),"T0-NoPhishResistant ","")&amp;IF($H415="No","NoMFA ","")&amp;IF(AND($M415=0,$O415="Group only"),"T0-ViaGroupOnly ","")&amp;IF($N415="Yes","BroadAzureScope ","")&amp;IF($T415="Yes","AlsoEntraRole ","")))</f>
        <v/>
      </c>
      <c r="AJ415" s="85">
        <f>IF($A415="","",IF(AD415="","Not Enrolled",IF(TODAY()&gt;AD415,"Review Overdue",IF(AD415-TODAY()&lt;=30,"Review Due Soon","Active"))))</f>
        <v/>
      </c>
      <c r="AK415" s="85">
        <f>IF($A415="","",IF(AE415="","NOT REVIEWED",IF(TODAY()-AE415&gt;90,"OVERDUE",IF(TODAY()-AE415&gt;76,"Due Soon","Current"))))</f>
        <v/>
      </c>
    </row>
    <row r="416" ht="15" customHeight="1" s="39">
      <c r="A416" s="85" t="n"/>
      <c r="B416" s="85" t="n"/>
      <c r="C416" s="85" t="n"/>
      <c r="D416" s="85" t="n"/>
      <c r="E416" s="85" t="n"/>
      <c r="F416" s="86" t="n"/>
      <c r="G416" s="86" t="n"/>
      <c r="H416" s="85" t="n"/>
      <c r="I416" s="85" t="n"/>
      <c r="J416" s="85" t="n"/>
      <c r="K416" s="85" t="n"/>
      <c r="L416" s="85" t="n"/>
      <c r="M416" s="85" t="n"/>
      <c r="N416" s="85" t="n"/>
      <c r="O416" s="85" t="n"/>
      <c r="P416" s="85" t="n"/>
      <c r="Q416" s="85" t="n"/>
      <c r="R416" s="85" t="n"/>
      <c r="S416" s="85" t="n"/>
      <c r="T416" s="85" t="n"/>
      <c r="U416" s="85" t="n"/>
      <c r="V416" s="85" t="n"/>
      <c r="W416" s="85" t="n"/>
      <c r="X416" s="85" t="n"/>
      <c r="Y416" s="85" t="n"/>
      <c r="Z416" s="85" t="n"/>
      <c r="AA416" s="85" t="n"/>
      <c r="AB416" s="85" t="n"/>
      <c r="AC416" s="86" t="n"/>
      <c r="AD416" s="86" t="n"/>
      <c r="AE416" s="86" t="n"/>
      <c r="AF416" s="85" t="n"/>
      <c r="AG416" s="85" t="n"/>
      <c r="AH416" s="85">
        <f>IF($A416="","",IF(AND($E416="Yes",OR($V416="No",$V416="NOT FOUND")),"YES",""))</f>
        <v/>
      </c>
      <c r="AI416" s="85">
        <f>IF($A416="","",TRIM(IF(AND($M416=0,$I416&lt;&gt;"Yes"),"T0-NoPhishResistant ","")&amp;IF($H416="No","NoMFA ","")&amp;IF(AND($M416=0,$O416="Group only"),"T0-ViaGroupOnly ","")&amp;IF($N416="Yes","BroadAzureScope ","")&amp;IF($T416="Yes","AlsoEntraRole ","")))</f>
        <v/>
      </c>
      <c r="AJ416" s="85">
        <f>IF($A416="","",IF(AD416="","Not Enrolled",IF(TODAY()&gt;AD416,"Review Overdue",IF(AD416-TODAY()&lt;=30,"Review Due Soon","Active"))))</f>
        <v/>
      </c>
      <c r="AK416" s="85">
        <f>IF($A416="","",IF(AE416="","NOT REVIEWED",IF(TODAY()-AE416&gt;90,"OVERDUE",IF(TODAY()-AE416&gt;76,"Due Soon","Current"))))</f>
        <v/>
      </c>
    </row>
    <row r="417" ht="15" customHeight="1" s="39">
      <c r="A417" s="85" t="n"/>
      <c r="B417" s="85" t="n"/>
      <c r="C417" s="85" t="n"/>
      <c r="D417" s="85" t="n"/>
      <c r="E417" s="85" t="n"/>
      <c r="F417" s="86" t="n"/>
      <c r="G417" s="86" t="n"/>
      <c r="H417" s="85" t="n"/>
      <c r="I417" s="85" t="n"/>
      <c r="J417" s="85" t="n"/>
      <c r="K417" s="85" t="n"/>
      <c r="L417" s="85" t="n"/>
      <c r="M417" s="85" t="n"/>
      <c r="N417" s="85" t="n"/>
      <c r="O417" s="85" t="n"/>
      <c r="P417" s="85" t="n"/>
      <c r="Q417" s="85" t="n"/>
      <c r="R417" s="85" t="n"/>
      <c r="S417" s="85" t="n"/>
      <c r="T417" s="85" t="n"/>
      <c r="U417" s="85" t="n"/>
      <c r="V417" s="85" t="n"/>
      <c r="W417" s="85" t="n"/>
      <c r="X417" s="85" t="n"/>
      <c r="Y417" s="85" t="n"/>
      <c r="Z417" s="85" t="n"/>
      <c r="AA417" s="85" t="n"/>
      <c r="AB417" s="85" t="n"/>
      <c r="AC417" s="86" t="n"/>
      <c r="AD417" s="86" t="n"/>
      <c r="AE417" s="86" t="n"/>
      <c r="AF417" s="85" t="n"/>
      <c r="AG417" s="85" t="n"/>
      <c r="AH417" s="85">
        <f>IF($A417="","",IF(AND($E417="Yes",OR($V417="No",$V417="NOT FOUND")),"YES",""))</f>
        <v/>
      </c>
      <c r="AI417" s="85">
        <f>IF($A417="","",TRIM(IF(AND($M417=0,$I417&lt;&gt;"Yes"),"T0-NoPhishResistant ","")&amp;IF($H417="No","NoMFA ","")&amp;IF(AND($M417=0,$O417="Group only"),"T0-ViaGroupOnly ","")&amp;IF($N417="Yes","BroadAzureScope ","")&amp;IF($T417="Yes","AlsoEntraRole ","")))</f>
        <v/>
      </c>
      <c r="AJ417" s="85">
        <f>IF($A417="","",IF(AD417="","Not Enrolled",IF(TODAY()&gt;AD417,"Review Overdue",IF(AD417-TODAY()&lt;=30,"Review Due Soon","Active"))))</f>
        <v/>
      </c>
      <c r="AK417" s="85">
        <f>IF($A417="","",IF(AE417="","NOT REVIEWED",IF(TODAY()-AE417&gt;90,"OVERDUE",IF(TODAY()-AE417&gt;76,"Due Soon","Current"))))</f>
        <v/>
      </c>
    </row>
    <row r="418" ht="15" customHeight="1" s="39">
      <c r="A418" s="85" t="n"/>
      <c r="B418" s="85" t="n"/>
      <c r="C418" s="85" t="n"/>
      <c r="D418" s="85" t="n"/>
      <c r="E418" s="85" t="n"/>
      <c r="F418" s="86" t="n"/>
      <c r="G418" s="86" t="n"/>
      <c r="H418" s="85" t="n"/>
      <c r="I418" s="85" t="n"/>
      <c r="J418" s="85" t="n"/>
      <c r="K418" s="85" t="n"/>
      <c r="L418" s="85" t="n"/>
      <c r="M418" s="85" t="n"/>
      <c r="N418" s="85" t="n"/>
      <c r="O418" s="85" t="n"/>
      <c r="P418" s="85" t="n"/>
      <c r="Q418" s="85" t="n"/>
      <c r="R418" s="85" t="n"/>
      <c r="S418" s="85" t="n"/>
      <c r="T418" s="85" t="n"/>
      <c r="U418" s="85" t="n"/>
      <c r="V418" s="85" t="n"/>
      <c r="W418" s="85" t="n"/>
      <c r="X418" s="85" t="n"/>
      <c r="Y418" s="85" t="n"/>
      <c r="Z418" s="85" t="n"/>
      <c r="AA418" s="85" t="n"/>
      <c r="AB418" s="85" t="n"/>
      <c r="AC418" s="86" t="n"/>
      <c r="AD418" s="86" t="n"/>
      <c r="AE418" s="86" t="n"/>
      <c r="AF418" s="85" t="n"/>
      <c r="AG418" s="85" t="n"/>
      <c r="AH418" s="85">
        <f>IF($A418="","",IF(AND($E418="Yes",OR($V418="No",$V418="NOT FOUND")),"YES",""))</f>
        <v/>
      </c>
      <c r="AI418" s="85">
        <f>IF($A418="","",TRIM(IF(AND($M418=0,$I418&lt;&gt;"Yes"),"T0-NoPhishResistant ","")&amp;IF($H418="No","NoMFA ","")&amp;IF(AND($M418=0,$O418="Group only"),"T0-ViaGroupOnly ","")&amp;IF($N418="Yes","BroadAzureScope ","")&amp;IF($T418="Yes","AlsoEntraRole ","")))</f>
        <v/>
      </c>
      <c r="AJ418" s="85">
        <f>IF($A418="","",IF(AD418="","Not Enrolled",IF(TODAY()&gt;AD418,"Review Overdue",IF(AD418-TODAY()&lt;=30,"Review Due Soon","Active"))))</f>
        <v/>
      </c>
      <c r="AK418" s="85">
        <f>IF($A418="","",IF(AE418="","NOT REVIEWED",IF(TODAY()-AE418&gt;90,"OVERDUE",IF(TODAY()-AE418&gt;76,"Due Soon","Current"))))</f>
        <v/>
      </c>
    </row>
    <row r="419" ht="15" customHeight="1" s="39">
      <c r="A419" s="85" t="n"/>
      <c r="B419" s="85" t="n"/>
      <c r="C419" s="85" t="n"/>
      <c r="D419" s="85" t="n"/>
      <c r="E419" s="85" t="n"/>
      <c r="F419" s="86" t="n"/>
      <c r="G419" s="86" t="n"/>
      <c r="H419" s="85" t="n"/>
      <c r="I419" s="85" t="n"/>
      <c r="J419" s="85" t="n"/>
      <c r="K419" s="85" t="n"/>
      <c r="L419" s="85" t="n"/>
      <c r="M419" s="85" t="n"/>
      <c r="N419" s="85" t="n"/>
      <c r="O419" s="85" t="n"/>
      <c r="P419" s="85" t="n"/>
      <c r="Q419" s="85" t="n"/>
      <c r="R419" s="85" t="n"/>
      <c r="S419" s="85" t="n"/>
      <c r="T419" s="85" t="n"/>
      <c r="U419" s="85" t="n"/>
      <c r="V419" s="85" t="n"/>
      <c r="W419" s="85" t="n"/>
      <c r="X419" s="85" t="n"/>
      <c r="Y419" s="85" t="n"/>
      <c r="Z419" s="85" t="n"/>
      <c r="AA419" s="85" t="n"/>
      <c r="AB419" s="85" t="n"/>
      <c r="AC419" s="86" t="n"/>
      <c r="AD419" s="86" t="n"/>
      <c r="AE419" s="86" t="n"/>
      <c r="AF419" s="85" t="n"/>
      <c r="AG419" s="85" t="n"/>
      <c r="AH419" s="85">
        <f>IF($A419="","",IF(AND($E419="Yes",OR($V419="No",$V419="NOT FOUND")),"YES",""))</f>
        <v/>
      </c>
      <c r="AI419" s="85">
        <f>IF($A419="","",TRIM(IF(AND($M419=0,$I419&lt;&gt;"Yes"),"T0-NoPhishResistant ","")&amp;IF($H419="No","NoMFA ","")&amp;IF(AND($M419=0,$O419="Group only"),"T0-ViaGroupOnly ","")&amp;IF($N419="Yes","BroadAzureScope ","")&amp;IF($T419="Yes","AlsoEntraRole ","")))</f>
        <v/>
      </c>
      <c r="AJ419" s="85">
        <f>IF($A419="","",IF(AD419="","Not Enrolled",IF(TODAY()&gt;AD419,"Review Overdue",IF(AD419-TODAY()&lt;=30,"Review Due Soon","Active"))))</f>
        <v/>
      </c>
      <c r="AK419" s="85">
        <f>IF($A419="","",IF(AE419="","NOT REVIEWED",IF(TODAY()-AE419&gt;90,"OVERDUE",IF(TODAY()-AE419&gt;76,"Due Soon","Current"))))</f>
        <v/>
      </c>
    </row>
    <row r="420" ht="15" customHeight="1" s="39">
      <c r="A420" s="85" t="n"/>
      <c r="B420" s="85" t="n"/>
      <c r="C420" s="85" t="n"/>
      <c r="D420" s="85" t="n"/>
      <c r="E420" s="85" t="n"/>
      <c r="F420" s="86" t="n"/>
      <c r="G420" s="86" t="n"/>
      <c r="H420" s="85" t="n"/>
      <c r="I420" s="85" t="n"/>
      <c r="J420" s="85" t="n"/>
      <c r="K420" s="85" t="n"/>
      <c r="L420" s="85" t="n"/>
      <c r="M420" s="85" t="n"/>
      <c r="N420" s="85" t="n"/>
      <c r="O420" s="85" t="n"/>
      <c r="P420" s="85" t="n"/>
      <c r="Q420" s="85" t="n"/>
      <c r="R420" s="85" t="n"/>
      <c r="S420" s="85" t="n"/>
      <c r="T420" s="85" t="n"/>
      <c r="U420" s="85" t="n"/>
      <c r="V420" s="85" t="n"/>
      <c r="W420" s="85" t="n"/>
      <c r="X420" s="85" t="n"/>
      <c r="Y420" s="85" t="n"/>
      <c r="Z420" s="85" t="n"/>
      <c r="AA420" s="85" t="n"/>
      <c r="AB420" s="85" t="n"/>
      <c r="AC420" s="86" t="n"/>
      <c r="AD420" s="86" t="n"/>
      <c r="AE420" s="86" t="n"/>
      <c r="AF420" s="85" t="n"/>
      <c r="AG420" s="85" t="n"/>
      <c r="AH420" s="85">
        <f>IF($A420="","",IF(AND($E420="Yes",OR($V420="No",$V420="NOT FOUND")),"YES",""))</f>
        <v/>
      </c>
      <c r="AI420" s="85">
        <f>IF($A420="","",TRIM(IF(AND($M420=0,$I420&lt;&gt;"Yes"),"T0-NoPhishResistant ","")&amp;IF($H420="No","NoMFA ","")&amp;IF(AND($M420=0,$O420="Group only"),"T0-ViaGroupOnly ","")&amp;IF($N420="Yes","BroadAzureScope ","")&amp;IF($T420="Yes","AlsoEntraRole ","")))</f>
        <v/>
      </c>
      <c r="AJ420" s="85">
        <f>IF($A420="","",IF(AD420="","Not Enrolled",IF(TODAY()&gt;AD420,"Review Overdue",IF(AD420-TODAY()&lt;=30,"Review Due Soon","Active"))))</f>
        <v/>
      </c>
      <c r="AK420" s="85">
        <f>IF($A420="","",IF(AE420="","NOT REVIEWED",IF(TODAY()-AE420&gt;90,"OVERDUE",IF(TODAY()-AE420&gt;76,"Due Soon","Current"))))</f>
        <v/>
      </c>
    </row>
    <row r="421" ht="15" customHeight="1" s="39">
      <c r="A421" s="85" t="n"/>
      <c r="B421" s="85" t="n"/>
      <c r="C421" s="85" t="n"/>
      <c r="D421" s="85" t="n"/>
      <c r="E421" s="85" t="n"/>
      <c r="F421" s="86" t="n"/>
      <c r="G421" s="86" t="n"/>
      <c r="H421" s="85" t="n"/>
      <c r="I421" s="85" t="n"/>
      <c r="J421" s="85" t="n"/>
      <c r="K421" s="85" t="n"/>
      <c r="L421" s="85" t="n"/>
      <c r="M421" s="85" t="n"/>
      <c r="N421" s="85" t="n"/>
      <c r="O421" s="85" t="n"/>
      <c r="P421" s="85" t="n"/>
      <c r="Q421" s="85" t="n"/>
      <c r="R421" s="85" t="n"/>
      <c r="S421" s="85" t="n"/>
      <c r="T421" s="85" t="n"/>
      <c r="U421" s="85" t="n"/>
      <c r="V421" s="85" t="n"/>
      <c r="W421" s="85" t="n"/>
      <c r="X421" s="85" t="n"/>
      <c r="Y421" s="85" t="n"/>
      <c r="Z421" s="85" t="n"/>
      <c r="AA421" s="85" t="n"/>
      <c r="AB421" s="85" t="n"/>
      <c r="AC421" s="86" t="n"/>
      <c r="AD421" s="86" t="n"/>
      <c r="AE421" s="86" t="n"/>
      <c r="AF421" s="85" t="n"/>
      <c r="AG421" s="85" t="n"/>
      <c r="AH421" s="85">
        <f>IF($A421="","",IF(AND($E421="Yes",OR($V421="No",$V421="NOT FOUND")),"YES",""))</f>
        <v/>
      </c>
      <c r="AI421" s="85">
        <f>IF($A421="","",TRIM(IF(AND($M421=0,$I421&lt;&gt;"Yes"),"T0-NoPhishResistant ","")&amp;IF($H421="No","NoMFA ","")&amp;IF(AND($M421=0,$O421="Group only"),"T0-ViaGroupOnly ","")&amp;IF($N421="Yes","BroadAzureScope ","")&amp;IF($T421="Yes","AlsoEntraRole ","")))</f>
        <v/>
      </c>
      <c r="AJ421" s="85">
        <f>IF($A421="","",IF(AD421="","Not Enrolled",IF(TODAY()&gt;AD421,"Review Overdue",IF(AD421-TODAY()&lt;=30,"Review Due Soon","Active"))))</f>
        <v/>
      </c>
      <c r="AK421" s="85">
        <f>IF($A421="","",IF(AE421="","NOT REVIEWED",IF(TODAY()-AE421&gt;90,"OVERDUE",IF(TODAY()-AE421&gt;76,"Due Soon","Current"))))</f>
        <v/>
      </c>
    </row>
    <row r="422" ht="15" customHeight="1" s="39">
      <c r="A422" s="85" t="n"/>
      <c r="B422" s="85" t="n"/>
      <c r="C422" s="85" t="n"/>
      <c r="D422" s="85" t="n"/>
      <c r="E422" s="85" t="n"/>
      <c r="F422" s="86" t="n"/>
      <c r="G422" s="86" t="n"/>
      <c r="H422" s="85" t="n"/>
      <c r="I422" s="85" t="n"/>
      <c r="J422" s="85" t="n"/>
      <c r="K422" s="85" t="n"/>
      <c r="L422" s="85" t="n"/>
      <c r="M422" s="85" t="n"/>
      <c r="N422" s="85" t="n"/>
      <c r="O422" s="85" t="n"/>
      <c r="P422" s="85" t="n"/>
      <c r="Q422" s="85" t="n"/>
      <c r="R422" s="85" t="n"/>
      <c r="S422" s="85" t="n"/>
      <c r="T422" s="85" t="n"/>
      <c r="U422" s="85" t="n"/>
      <c r="V422" s="85" t="n"/>
      <c r="W422" s="85" t="n"/>
      <c r="X422" s="85" t="n"/>
      <c r="Y422" s="85" t="n"/>
      <c r="Z422" s="85" t="n"/>
      <c r="AA422" s="85" t="n"/>
      <c r="AB422" s="85" t="n"/>
      <c r="AC422" s="86" t="n"/>
      <c r="AD422" s="86" t="n"/>
      <c r="AE422" s="86" t="n"/>
      <c r="AF422" s="85" t="n"/>
      <c r="AG422" s="85" t="n"/>
      <c r="AH422" s="85">
        <f>IF($A422="","",IF(AND($E422="Yes",OR($V422="No",$V422="NOT FOUND")),"YES",""))</f>
        <v/>
      </c>
      <c r="AI422" s="85">
        <f>IF($A422="","",TRIM(IF(AND($M422=0,$I422&lt;&gt;"Yes"),"T0-NoPhishResistant ","")&amp;IF($H422="No","NoMFA ","")&amp;IF(AND($M422=0,$O422="Group only"),"T0-ViaGroupOnly ","")&amp;IF($N422="Yes","BroadAzureScope ","")&amp;IF($T422="Yes","AlsoEntraRole ","")))</f>
        <v/>
      </c>
      <c r="AJ422" s="85">
        <f>IF($A422="","",IF(AD422="","Not Enrolled",IF(TODAY()&gt;AD422,"Review Overdue",IF(AD422-TODAY()&lt;=30,"Review Due Soon","Active"))))</f>
        <v/>
      </c>
      <c r="AK422" s="85">
        <f>IF($A422="","",IF(AE422="","NOT REVIEWED",IF(TODAY()-AE422&gt;90,"OVERDUE",IF(TODAY()-AE422&gt;76,"Due Soon","Current"))))</f>
        <v/>
      </c>
    </row>
    <row r="423" ht="15" customHeight="1" s="39">
      <c r="A423" s="85" t="n"/>
      <c r="B423" s="85" t="n"/>
      <c r="C423" s="85" t="n"/>
      <c r="D423" s="85" t="n"/>
      <c r="E423" s="85" t="n"/>
      <c r="F423" s="86" t="n"/>
      <c r="G423" s="86" t="n"/>
      <c r="H423" s="85" t="n"/>
      <c r="I423" s="85" t="n"/>
      <c r="J423" s="85" t="n"/>
      <c r="K423" s="85" t="n"/>
      <c r="L423" s="85" t="n"/>
      <c r="M423" s="85" t="n"/>
      <c r="N423" s="85" t="n"/>
      <c r="O423" s="85" t="n"/>
      <c r="P423" s="85" t="n"/>
      <c r="Q423" s="85" t="n"/>
      <c r="R423" s="85" t="n"/>
      <c r="S423" s="85" t="n"/>
      <c r="T423" s="85" t="n"/>
      <c r="U423" s="85" t="n"/>
      <c r="V423" s="85" t="n"/>
      <c r="W423" s="85" t="n"/>
      <c r="X423" s="85" t="n"/>
      <c r="Y423" s="85" t="n"/>
      <c r="Z423" s="85" t="n"/>
      <c r="AA423" s="85" t="n"/>
      <c r="AB423" s="85" t="n"/>
      <c r="AC423" s="86" t="n"/>
      <c r="AD423" s="86" t="n"/>
      <c r="AE423" s="86" t="n"/>
      <c r="AF423" s="85" t="n"/>
      <c r="AG423" s="85" t="n"/>
      <c r="AH423" s="85">
        <f>IF($A423="","",IF(AND($E423="Yes",OR($V423="No",$V423="NOT FOUND")),"YES",""))</f>
        <v/>
      </c>
      <c r="AI423" s="85">
        <f>IF($A423="","",TRIM(IF(AND($M423=0,$I423&lt;&gt;"Yes"),"T0-NoPhishResistant ","")&amp;IF($H423="No","NoMFA ","")&amp;IF(AND($M423=0,$O423="Group only"),"T0-ViaGroupOnly ","")&amp;IF($N423="Yes","BroadAzureScope ","")&amp;IF($T423="Yes","AlsoEntraRole ","")))</f>
        <v/>
      </c>
      <c r="AJ423" s="85">
        <f>IF($A423="","",IF(AD423="","Not Enrolled",IF(TODAY()&gt;AD423,"Review Overdue",IF(AD423-TODAY()&lt;=30,"Review Due Soon","Active"))))</f>
        <v/>
      </c>
      <c r="AK423" s="85">
        <f>IF($A423="","",IF(AE423="","NOT REVIEWED",IF(TODAY()-AE423&gt;90,"OVERDUE",IF(TODAY()-AE423&gt;76,"Due Soon","Current"))))</f>
        <v/>
      </c>
    </row>
    <row r="424" ht="15" customHeight="1" s="39">
      <c r="A424" s="85" t="n"/>
      <c r="B424" s="85" t="n"/>
      <c r="C424" s="85" t="n"/>
      <c r="D424" s="85" t="n"/>
      <c r="E424" s="85" t="n"/>
      <c r="F424" s="86" t="n"/>
      <c r="G424" s="86" t="n"/>
      <c r="H424" s="85" t="n"/>
      <c r="I424" s="85" t="n"/>
      <c r="J424" s="85" t="n"/>
      <c r="K424" s="85" t="n"/>
      <c r="L424" s="85" t="n"/>
      <c r="M424" s="85" t="n"/>
      <c r="N424" s="85" t="n"/>
      <c r="O424" s="85" t="n"/>
      <c r="P424" s="85" t="n"/>
      <c r="Q424" s="85" t="n"/>
      <c r="R424" s="85" t="n"/>
      <c r="S424" s="85" t="n"/>
      <c r="T424" s="85" t="n"/>
      <c r="U424" s="85" t="n"/>
      <c r="V424" s="85" t="n"/>
      <c r="W424" s="85" t="n"/>
      <c r="X424" s="85" t="n"/>
      <c r="Y424" s="85" t="n"/>
      <c r="Z424" s="85" t="n"/>
      <c r="AA424" s="85" t="n"/>
      <c r="AB424" s="85" t="n"/>
      <c r="AC424" s="86" t="n"/>
      <c r="AD424" s="86" t="n"/>
      <c r="AE424" s="86" t="n"/>
      <c r="AF424" s="85" t="n"/>
      <c r="AG424" s="85" t="n"/>
      <c r="AH424" s="85">
        <f>IF($A424="","",IF(AND($E424="Yes",OR($V424="No",$V424="NOT FOUND")),"YES",""))</f>
        <v/>
      </c>
      <c r="AI424" s="85">
        <f>IF($A424="","",TRIM(IF(AND($M424=0,$I424&lt;&gt;"Yes"),"T0-NoPhishResistant ","")&amp;IF($H424="No","NoMFA ","")&amp;IF(AND($M424=0,$O424="Group only"),"T0-ViaGroupOnly ","")&amp;IF($N424="Yes","BroadAzureScope ","")&amp;IF($T424="Yes","AlsoEntraRole ","")))</f>
        <v/>
      </c>
      <c r="AJ424" s="85">
        <f>IF($A424="","",IF(AD424="","Not Enrolled",IF(TODAY()&gt;AD424,"Review Overdue",IF(AD424-TODAY()&lt;=30,"Review Due Soon","Active"))))</f>
        <v/>
      </c>
      <c r="AK424" s="85">
        <f>IF($A424="","",IF(AE424="","NOT REVIEWED",IF(TODAY()-AE424&gt;90,"OVERDUE",IF(TODAY()-AE424&gt;76,"Due Soon","Current"))))</f>
        <v/>
      </c>
    </row>
    <row r="425" ht="15" customHeight="1" s="39">
      <c r="A425" s="85" t="n"/>
      <c r="B425" s="85" t="n"/>
      <c r="C425" s="85" t="n"/>
      <c r="D425" s="85" t="n"/>
      <c r="E425" s="85" t="n"/>
      <c r="F425" s="86" t="n"/>
      <c r="G425" s="86" t="n"/>
      <c r="H425" s="85" t="n"/>
      <c r="I425" s="85" t="n"/>
      <c r="J425" s="85" t="n"/>
      <c r="K425" s="85" t="n"/>
      <c r="L425" s="85" t="n"/>
      <c r="M425" s="85" t="n"/>
      <c r="N425" s="85" t="n"/>
      <c r="O425" s="85" t="n"/>
      <c r="P425" s="85" t="n"/>
      <c r="Q425" s="85" t="n"/>
      <c r="R425" s="85" t="n"/>
      <c r="S425" s="85" t="n"/>
      <c r="T425" s="85" t="n"/>
      <c r="U425" s="85" t="n"/>
      <c r="V425" s="85" t="n"/>
      <c r="W425" s="85" t="n"/>
      <c r="X425" s="85" t="n"/>
      <c r="Y425" s="85" t="n"/>
      <c r="Z425" s="85" t="n"/>
      <c r="AA425" s="85" t="n"/>
      <c r="AB425" s="85" t="n"/>
      <c r="AC425" s="86" t="n"/>
      <c r="AD425" s="86" t="n"/>
      <c r="AE425" s="86" t="n"/>
      <c r="AF425" s="85" t="n"/>
      <c r="AG425" s="85" t="n"/>
      <c r="AH425" s="85">
        <f>IF($A425="","",IF(AND($E425="Yes",OR($V425="No",$V425="NOT FOUND")),"YES",""))</f>
        <v/>
      </c>
      <c r="AI425" s="85">
        <f>IF($A425="","",TRIM(IF(AND($M425=0,$I425&lt;&gt;"Yes"),"T0-NoPhishResistant ","")&amp;IF($H425="No","NoMFA ","")&amp;IF(AND($M425=0,$O425="Group only"),"T0-ViaGroupOnly ","")&amp;IF($N425="Yes","BroadAzureScope ","")&amp;IF($T425="Yes","AlsoEntraRole ","")))</f>
        <v/>
      </c>
      <c r="AJ425" s="85">
        <f>IF($A425="","",IF(AD425="","Not Enrolled",IF(TODAY()&gt;AD425,"Review Overdue",IF(AD425-TODAY()&lt;=30,"Review Due Soon","Active"))))</f>
        <v/>
      </c>
      <c r="AK425" s="85">
        <f>IF($A425="","",IF(AE425="","NOT REVIEWED",IF(TODAY()-AE425&gt;90,"OVERDUE",IF(TODAY()-AE425&gt;76,"Due Soon","Current"))))</f>
        <v/>
      </c>
    </row>
    <row r="426" ht="15" customHeight="1" s="39">
      <c r="A426" s="85" t="n"/>
      <c r="B426" s="85" t="n"/>
      <c r="C426" s="85" t="n"/>
      <c r="D426" s="85" t="n"/>
      <c r="E426" s="85" t="n"/>
      <c r="F426" s="86" t="n"/>
      <c r="G426" s="86" t="n"/>
      <c r="H426" s="85" t="n"/>
      <c r="I426" s="85" t="n"/>
      <c r="J426" s="85" t="n"/>
      <c r="K426" s="85" t="n"/>
      <c r="L426" s="85" t="n"/>
      <c r="M426" s="85" t="n"/>
      <c r="N426" s="85" t="n"/>
      <c r="O426" s="85" t="n"/>
      <c r="P426" s="85" t="n"/>
      <c r="Q426" s="85" t="n"/>
      <c r="R426" s="85" t="n"/>
      <c r="S426" s="85" t="n"/>
      <c r="T426" s="85" t="n"/>
      <c r="U426" s="85" t="n"/>
      <c r="V426" s="85" t="n"/>
      <c r="W426" s="85" t="n"/>
      <c r="X426" s="85" t="n"/>
      <c r="Y426" s="85" t="n"/>
      <c r="Z426" s="85" t="n"/>
      <c r="AA426" s="85" t="n"/>
      <c r="AB426" s="85" t="n"/>
      <c r="AC426" s="86" t="n"/>
      <c r="AD426" s="86" t="n"/>
      <c r="AE426" s="86" t="n"/>
      <c r="AF426" s="85" t="n"/>
      <c r="AG426" s="85" t="n"/>
      <c r="AH426" s="85">
        <f>IF($A426="","",IF(AND($E426="Yes",OR($V426="No",$V426="NOT FOUND")),"YES",""))</f>
        <v/>
      </c>
      <c r="AI426" s="85">
        <f>IF($A426="","",TRIM(IF(AND($M426=0,$I426&lt;&gt;"Yes"),"T0-NoPhishResistant ","")&amp;IF($H426="No","NoMFA ","")&amp;IF(AND($M426=0,$O426="Group only"),"T0-ViaGroupOnly ","")&amp;IF($N426="Yes","BroadAzureScope ","")&amp;IF($T426="Yes","AlsoEntraRole ","")))</f>
        <v/>
      </c>
      <c r="AJ426" s="85">
        <f>IF($A426="","",IF(AD426="","Not Enrolled",IF(TODAY()&gt;AD426,"Review Overdue",IF(AD426-TODAY()&lt;=30,"Review Due Soon","Active"))))</f>
        <v/>
      </c>
      <c r="AK426" s="85">
        <f>IF($A426="","",IF(AE426="","NOT REVIEWED",IF(TODAY()-AE426&gt;90,"OVERDUE",IF(TODAY()-AE426&gt;76,"Due Soon","Current"))))</f>
        <v/>
      </c>
    </row>
    <row r="427" ht="15" customHeight="1" s="39">
      <c r="A427" s="85" t="n"/>
      <c r="B427" s="85" t="n"/>
      <c r="C427" s="85" t="n"/>
      <c r="D427" s="85" t="n"/>
      <c r="E427" s="85" t="n"/>
      <c r="F427" s="86" t="n"/>
      <c r="G427" s="86" t="n"/>
      <c r="H427" s="85" t="n"/>
      <c r="I427" s="85" t="n"/>
      <c r="J427" s="85" t="n"/>
      <c r="K427" s="85" t="n"/>
      <c r="L427" s="85" t="n"/>
      <c r="M427" s="85" t="n"/>
      <c r="N427" s="85" t="n"/>
      <c r="O427" s="85" t="n"/>
      <c r="P427" s="85" t="n"/>
      <c r="Q427" s="85" t="n"/>
      <c r="R427" s="85" t="n"/>
      <c r="S427" s="85" t="n"/>
      <c r="T427" s="85" t="n"/>
      <c r="U427" s="85" t="n"/>
      <c r="V427" s="85" t="n"/>
      <c r="W427" s="85" t="n"/>
      <c r="X427" s="85" t="n"/>
      <c r="Y427" s="85" t="n"/>
      <c r="Z427" s="85" t="n"/>
      <c r="AA427" s="85" t="n"/>
      <c r="AB427" s="85" t="n"/>
      <c r="AC427" s="86" t="n"/>
      <c r="AD427" s="86" t="n"/>
      <c r="AE427" s="86" t="n"/>
      <c r="AF427" s="85" t="n"/>
      <c r="AG427" s="85" t="n"/>
      <c r="AH427" s="85">
        <f>IF($A427="","",IF(AND($E427="Yes",OR($V427="No",$V427="NOT FOUND")),"YES",""))</f>
        <v/>
      </c>
      <c r="AI427" s="85">
        <f>IF($A427="","",TRIM(IF(AND($M427=0,$I427&lt;&gt;"Yes"),"T0-NoPhishResistant ","")&amp;IF($H427="No","NoMFA ","")&amp;IF(AND($M427=0,$O427="Group only"),"T0-ViaGroupOnly ","")&amp;IF($N427="Yes","BroadAzureScope ","")&amp;IF($T427="Yes","AlsoEntraRole ","")))</f>
        <v/>
      </c>
      <c r="AJ427" s="85">
        <f>IF($A427="","",IF(AD427="","Not Enrolled",IF(TODAY()&gt;AD427,"Review Overdue",IF(AD427-TODAY()&lt;=30,"Review Due Soon","Active"))))</f>
        <v/>
      </c>
      <c r="AK427" s="85">
        <f>IF($A427="","",IF(AE427="","NOT REVIEWED",IF(TODAY()-AE427&gt;90,"OVERDUE",IF(TODAY()-AE427&gt;76,"Due Soon","Current"))))</f>
        <v/>
      </c>
    </row>
    <row r="428" ht="15" customHeight="1" s="39">
      <c r="A428" s="85" t="n"/>
      <c r="B428" s="85" t="n"/>
      <c r="C428" s="85" t="n"/>
      <c r="D428" s="85" t="n"/>
      <c r="E428" s="85" t="n"/>
      <c r="F428" s="86" t="n"/>
      <c r="G428" s="86" t="n"/>
      <c r="H428" s="85" t="n"/>
      <c r="I428" s="85" t="n"/>
      <c r="J428" s="85" t="n"/>
      <c r="K428" s="85" t="n"/>
      <c r="L428" s="85" t="n"/>
      <c r="M428" s="85" t="n"/>
      <c r="N428" s="85" t="n"/>
      <c r="O428" s="85" t="n"/>
      <c r="P428" s="85" t="n"/>
      <c r="Q428" s="85" t="n"/>
      <c r="R428" s="85" t="n"/>
      <c r="S428" s="85" t="n"/>
      <c r="T428" s="85" t="n"/>
      <c r="U428" s="85" t="n"/>
      <c r="V428" s="85" t="n"/>
      <c r="W428" s="85" t="n"/>
      <c r="X428" s="85" t="n"/>
      <c r="Y428" s="85" t="n"/>
      <c r="Z428" s="85" t="n"/>
      <c r="AA428" s="85" t="n"/>
      <c r="AB428" s="85" t="n"/>
      <c r="AC428" s="86" t="n"/>
      <c r="AD428" s="86" t="n"/>
      <c r="AE428" s="86" t="n"/>
      <c r="AF428" s="85" t="n"/>
      <c r="AG428" s="85" t="n"/>
      <c r="AH428" s="85">
        <f>IF($A428="","",IF(AND($E428="Yes",OR($V428="No",$V428="NOT FOUND")),"YES",""))</f>
        <v/>
      </c>
      <c r="AI428" s="85">
        <f>IF($A428="","",TRIM(IF(AND($M428=0,$I428&lt;&gt;"Yes"),"T0-NoPhishResistant ","")&amp;IF($H428="No","NoMFA ","")&amp;IF(AND($M428=0,$O428="Group only"),"T0-ViaGroupOnly ","")&amp;IF($N428="Yes","BroadAzureScope ","")&amp;IF($T428="Yes","AlsoEntraRole ","")))</f>
        <v/>
      </c>
      <c r="AJ428" s="85">
        <f>IF($A428="","",IF(AD428="","Not Enrolled",IF(TODAY()&gt;AD428,"Review Overdue",IF(AD428-TODAY()&lt;=30,"Review Due Soon","Active"))))</f>
        <v/>
      </c>
      <c r="AK428" s="85">
        <f>IF($A428="","",IF(AE428="","NOT REVIEWED",IF(TODAY()-AE428&gt;90,"OVERDUE",IF(TODAY()-AE428&gt;76,"Due Soon","Current"))))</f>
        <v/>
      </c>
    </row>
    <row r="429" ht="15" customHeight="1" s="39">
      <c r="A429" s="85" t="n"/>
      <c r="B429" s="85" t="n"/>
      <c r="C429" s="85" t="n"/>
      <c r="D429" s="85" t="n"/>
      <c r="E429" s="85" t="n"/>
      <c r="F429" s="86" t="n"/>
      <c r="G429" s="86" t="n"/>
      <c r="H429" s="85" t="n"/>
      <c r="I429" s="85" t="n"/>
      <c r="J429" s="85" t="n"/>
      <c r="K429" s="85" t="n"/>
      <c r="L429" s="85" t="n"/>
      <c r="M429" s="85" t="n"/>
      <c r="N429" s="85" t="n"/>
      <c r="O429" s="85" t="n"/>
      <c r="P429" s="85" t="n"/>
      <c r="Q429" s="85" t="n"/>
      <c r="R429" s="85" t="n"/>
      <c r="S429" s="85" t="n"/>
      <c r="T429" s="85" t="n"/>
      <c r="U429" s="85" t="n"/>
      <c r="V429" s="85" t="n"/>
      <c r="W429" s="85" t="n"/>
      <c r="X429" s="85" t="n"/>
      <c r="Y429" s="85" t="n"/>
      <c r="Z429" s="85" t="n"/>
      <c r="AA429" s="85" t="n"/>
      <c r="AB429" s="85" t="n"/>
      <c r="AC429" s="86" t="n"/>
      <c r="AD429" s="86" t="n"/>
      <c r="AE429" s="86" t="n"/>
      <c r="AF429" s="85" t="n"/>
      <c r="AG429" s="85" t="n"/>
      <c r="AH429" s="85">
        <f>IF($A429="","",IF(AND($E429="Yes",OR($V429="No",$V429="NOT FOUND")),"YES",""))</f>
        <v/>
      </c>
      <c r="AI429" s="85">
        <f>IF($A429="","",TRIM(IF(AND($M429=0,$I429&lt;&gt;"Yes"),"T0-NoPhishResistant ","")&amp;IF($H429="No","NoMFA ","")&amp;IF(AND($M429=0,$O429="Group only"),"T0-ViaGroupOnly ","")&amp;IF($N429="Yes","BroadAzureScope ","")&amp;IF($T429="Yes","AlsoEntraRole ","")))</f>
        <v/>
      </c>
      <c r="AJ429" s="85">
        <f>IF($A429="","",IF(AD429="","Not Enrolled",IF(TODAY()&gt;AD429,"Review Overdue",IF(AD429-TODAY()&lt;=30,"Review Due Soon","Active"))))</f>
        <v/>
      </c>
      <c r="AK429" s="85">
        <f>IF($A429="","",IF(AE429="","NOT REVIEWED",IF(TODAY()-AE429&gt;90,"OVERDUE",IF(TODAY()-AE429&gt;76,"Due Soon","Current"))))</f>
        <v/>
      </c>
    </row>
    <row r="430" ht="15" customHeight="1" s="39">
      <c r="A430" s="85" t="n"/>
      <c r="B430" s="85" t="n"/>
      <c r="C430" s="85" t="n"/>
      <c r="D430" s="85" t="n"/>
      <c r="E430" s="85" t="n"/>
      <c r="F430" s="86" t="n"/>
      <c r="G430" s="86" t="n"/>
      <c r="H430" s="85" t="n"/>
      <c r="I430" s="85" t="n"/>
      <c r="J430" s="85" t="n"/>
      <c r="K430" s="85" t="n"/>
      <c r="L430" s="85" t="n"/>
      <c r="M430" s="85" t="n"/>
      <c r="N430" s="85" t="n"/>
      <c r="O430" s="85" t="n"/>
      <c r="P430" s="85" t="n"/>
      <c r="Q430" s="85" t="n"/>
      <c r="R430" s="85" t="n"/>
      <c r="S430" s="85" t="n"/>
      <c r="T430" s="85" t="n"/>
      <c r="U430" s="85" t="n"/>
      <c r="V430" s="85" t="n"/>
      <c r="W430" s="85" t="n"/>
      <c r="X430" s="85" t="n"/>
      <c r="Y430" s="85" t="n"/>
      <c r="Z430" s="85" t="n"/>
      <c r="AA430" s="85" t="n"/>
      <c r="AB430" s="85" t="n"/>
      <c r="AC430" s="86" t="n"/>
      <c r="AD430" s="86" t="n"/>
      <c r="AE430" s="86" t="n"/>
      <c r="AF430" s="85" t="n"/>
      <c r="AG430" s="85" t="n"/>
      <c r="AH430" s="85">
        <f>IF($A430="","",IF(AND($E430="Yes",OR($V430="No",$V430="NOT FOUND")),"YES",""))</f>
        <v/>
      </c>
      <c r="AI430" s="85">
        <f>IF($A430="","",TRIM(IF(AND($M430=0,$I430&lt;&gt;"Yes"),"T0-NoPhishResistant ","")&amp;IF($H430="No","NoMFA ","")&amp;IF(AND($M430=0,$O430="Group only"),"T0-ViaGroupOnly ","")&amp;IF($N430="Yes","BroadAzureScope ","")&amp;IF($T430="Yes","AlsoEntraRole ","")))</f>
        <v/>
      </c>
      <c r="AJ430" s="85">
        <f>IF($A430="","",IF(AD430="","Not Enrolled",IF(TODAY()&gt;AD430,"Review Overdue",IF(AD430-TODAY()&lt;=30,"Review Due Soon","Active"))))</f>
        <v/>
      </c>
      <c r="AK430" s="85">
        <f>IF($A430="","",IF(AE430="","NOT REVIEWED",IF(TODAY()-AE430&gt;90,"OVERDUE",IF(TODAY()-AE430&gt;76,"Due Soon","Current"))))</f>
        <v/>
      </c>
    </row>
    <row r="431" ht="15" customHeight="1" s="39">
      <c r="A431" s="85" t="n"/>
      <c r="B431" s="85" t="n"/>
      <c r="C431" s="85" t="n"/>
      <c r="D431" s="85" t="n"/>
      <c r="E431" s="85" t="n"/>
      <c r="F431" s="86" t="n"/>
      <c r="G431" s="86" t="n"/>
      <c r="H431" s="85" t="n"/>
      <c r="I431" s="85" t="n"/>
      <c r="J431" s="85" t="n"/>
      <c r="K431" s="85" t="n"/>
      <c r="L431" s="85" t="n"/>
      <c r="M431" s="85" t="n"/>
      <c r="N431" s="85" t="n"/>
      <c r="O431" s="85" t="n"/>
      <c r="P431" s="85" t="n"/>
      <c r="Q431" s="85" t="n"/>
      <c r="R431" s="85" t="n"/>
      <c r="S431" s="85" t="n"/>
      <c r="T431" s="85" t="n"/>
      <c r="U431" s="85" t="n"/>
      <c r="V431" s="85" t="n"/>
      <c r="W431" s="85" t="n"/>
      <c r="X431" s="85" t="n"/>
      <c r="Y431" s="85" t="n"/>
      <c r="Z431" s="85" t="n"/>
      <c r="AA431" s="85" t="n"/>
      <c r="AB431" s="85" t="n"/>
      <c r="AC431" s="86" t="n"/>
      <c r="AD431" s="86" t="n"/>
      <c r="AE431" s="86" t="n"/>
      <c r="AF431" s="85" t="n"/>
      <c r="AG431" s="85" t="n"/>
      <c r="AH431" s="85">
        <f>IF($A431="","",IF(AND($E431="Yes",OR($V431="No",$V431="NOT FOUND")),"YES",""))</f>
        <v/>
      </c>
      <c r="AI431" s="85">
        <f>IF($A431="","",TRIM(IF(AND($M431=0,$I431&lt;&gt;"Yes"),"T0-NoPhishResistant ","")&amp;IF($H431="No","NoMFA ","")&amp;IF(AND($M431=0,$O431="Group only"),"T0-ViaGroupOnly ","")&amp;IF($N431="Yes","BroadAzureScope ","")&amp;IF($T431="Yes","AlsoEntraRole ","")))</f>
        <v/>
      </c>
      <c r="AJ431" s="85">
        <f>IF($A431="","",IF(AD431="","Not Enrolled",IF(TODAY()&gt;AD431,"Review Overdue",IF(AD431-TODAY()&lt;=30,"Review Due Soon","Active"))))</f>
        <v/>
      </c>
      <c r="AK431" s="85">
        <f>IF($A431="","",IF(AE431="","NOT REVIEWED",IF(TODAY()-AE431&gt;90,"OVERDUE",IF(TODAY()-AE431&gt;76,"Due Soon","Current"))))</f>
        <v/>
      </c>
    </row>
    <row r="432" ht="15" customHeight="1" s="39">
      <c r="A432" s="85" t="n"/>
      <c r="B432" s="85" t="n"/>
      <c r="C432" s="85" t="n"/>
      <c r="D432" s="85" t="n"/>
      <c r="E432" s="85" t="n"/>
      <c r="F432" s="86" t="n"/>
      <c r="G432" s="86" t="n"/>
      <c r="H432" s="85" t="n"/>
      <c r="I432" s="85" t="n"/>
      <c r="J432" s="85" t="n"/>
      <c r="K432" s="85" t="n"/>
      <c r="L432" s="85" t="n"/>
      <c r="M432" s="85" t="n"/>
      <c r="N432" s="85" t="n"/>
      <c r="O432" s="85" t="n"/>
      <c r="P432" s="85" t="n"/>
      <c r="Q432" s="85" t="n"/>
      <c r="R432" s="85" t="n"/>
      <c r="S432" s="85" t="n"/>
      <c r="T432" s="85" t="n"/>
      <c r="U432" s="85" t="n"/>
      <c r="V432" s="85" t="n"/>
      <c r="W432" s="85" t="n"/>
      <c r="X432" s="85" t="n"/>
      <c r="Y432" s="85" t="n"/>
      <c r="Z432" s="85" t="n"/>
      <c r="AA432" s="85" t="n"/>
      <c r="AB432" s="85" t="n"/>
      <c r="AC432" s="86" t="n"/>
      <c r="AD432" s="86" t="n"/>
      <c r="AE432" s="86" t="n"/>
      <c r="AF432" s="85" t="n"/>
      <c r="AG432" s="85" t="n"/>
      <c r="AH432" s="85">
        <f>IF($A432="","",IF(AND($E432="Yes",OR($V432="No",$V432="NOT FOUND")),"YES",""))</f>
        <v/>
      </c>
      <c r="AI432" s="85">
        <f>IF($A432="","",TRIM(IF(AND($M432=0,$I432&lt;&gt;"Yes"),"T0-NoPhishResistant ","")&amp;IF($H432="No","NoMFA ","")&amp;IF(AND($M432=0,$O432="Group only"),"T0-ViaGroupOnly ","")&amp;IF($N432="Yes","BroadAzureScope ","")&amp;IF($T432="Yes","AlsoEntraRole ","")))</f>
        <v/>
      </c>
      <c r="AJ432" s="85">
        <f>IF($A432="","",IF(AD432="","Not Enrolled",IF(TODAY()&gt;AD432,"Review Overdue",IF(AD432-TODAY()&lt;=30,"Review Due Soon","Active"))))</f>
        <v/>
      </c>
      <c r="AK432" s="85">
        <f>IF($A432="","",IF(AE432="","NOT REVIEWED",IF(TODAY()-AE432&gt;90,"OVERDUE",IF(TODAY()-AE432&gt;76,"Due Soon","Current"))))</f>
        <v/>
      </c>
    </row>
    <row r="433" ht="15" customHeight="1" s="39">
      <c r="A433" s="85" t="n"/>
      <c r="B433" s="85" t="n"/>
      <c r="C433" s="85" t="n"/>
      <c r="D433" s="85" t="n"/>
      <c r="E433" s="85" t="n"/>
      <c r="F433" s="86" t="n"/>
      <c r="G433" s="86" t="n"/>
      <c r="H433" s="85" t="n"/>
      <c r="I433" s="85" t="n"/>
      <c r="J433" s="85" t="n"/>
      <c r="K433" s="85" t="n"/>
      <c r="L433" s="85" t="n"/>
      <c r="M433" s="85" t="n"/>
      <c r="N433" s="85" t="n"/>
      <c r="O433" s="85" t="n"/>
      <c r="P433" s="85" t="n"/>
      <c r="Q433" s="85" t="n"/>
      <c r="R433" s="85" t="n"/>
      <c r="S433" s="85" t="n"/>
      <c r="T433" s="85" t="n"/>
      <c r="U433" s="85" t="n"/>
      <c r="V433" s="85" t="n"/>
      <c r="W433" s="85" t="n"/>
      <c r="X433" s="85" t="n"/>
      <c r="Y433" s="85" t="n"/>
      <c r="Z433" s="85" t="n"/>
      <c r="AA433" s="85" t="n"/>
      <c r="AB433" s="85" t="n"/>
      <c r="AC433" s="86" t="n"/>
      <c r="AD433" s="86" t="n"/>
      <c r="AE433" s="86" t="n"/>
      <c r="AF433" s="85" t="n"/>
      <c r="AG433" s="85" t="n"/>
      <c r="AH433" s="85">
        <f>IF($A433="","",IF(AND($E433="Yes",OR($V433="No",$V433="NOT FOUND")),"YES",""))</f>
        <v/>
      </c>
      <c r="AI433" s="85">
        <f>IF($A433="","",TRIM(IF(AND($M433=0,$I433&lt;&gt;"Yes"),"T0-NoPhishResistant ","")&amp;IF($H433="No","NoMFA ","")&amp;IF(AND($M433=0,$O433="Group only"),"T0-ViaGroupOnly ","")&amp;IF($N433="Yes","BroadAzureScope ","")&amp;IF($T433="Yes","AlsoEntraRole ","")))</f>
        <v/>
      </c>
      <c r="AJ433" s="85">
        <f>IF($A433="","",IF(AD433="","Not Enrolled",IF(TODAY()&gt;AD433,"Review Overdue",IF(AD433-TODAY()&lt;=30,"Review Due Soon","Active"))))</f>
        <v/>
      </c>
      <c r="AK433" s="85">
        <f>IF($A433="","",IF(AE433="","NOT REVIEWED",IF(TODAY()-AE433&gt;90,"OVERDUE",IF(TODAY()-AE433&gt;76,"Due Soon","Current"))))</f>
        <v/>
      </c>
    </row>
    <row r="434" ht="15" customHeight="1" s="39">
      <c r="A434" s="85" t="n"/>
      <c r="B434" s="85" t="n"/>
      <c r="C434" s="85" t="n"/>
      <c r="D434" s="85" t="n"/>
      <c r="E434" s="85" t="n"/>
      <c r="F434" s="86" t="n"/>
      <c r="G434" s="86" t="n"/>
      <c r="H434" s="85" t="n"/>
      <c r="I434" s="85" t="n"/>
      <c r="J434" s="85" t="n"/>
      <c r="K434" s="85" t="n"/>
      <c r="L434" s="85" t="n"/>
      <c r="M434" s="85" t="n"/>
      <c r="N434" s="85" t="n"/>
      <c r="O434" s="85" t="n"/>
      <c r="P434" s="85" t="n"/>
      <c r="Q434" s="85" t="n"/>
      <c r="R434" s="85" t="n"/>
      <c r="S434" s="85" t="n"/>
      <c r="T434" s="85" t="n"/>
      <c r="U434" s="85" t="n"/>
      <c r="V434" s="85" t="n"/>
      <c r="W434" s="85" t="n"/>
      <c r="X434" s="85" t="n"/>
      <c r="Y434" s="85" t="n"/>
      <c r="Z434" s="85" t="n"/>
      <c r="AA434" s="85" t="n"/>
      <c r="AB434" s="85" t="n"/>
      <c r="AC434" s="86" t="n"/>
      <c r="AD434" s="86" t="n"/>
      <c r="AE434" s="86" t="n"/>
      <c r="AF434" s="85" t="n"/>
      <c r="AG434" s="85" t="n"/>
      <c r="AH434" s="85">
        <f>IF($A434="","",IF(AND($E434="Yes",OR($V434="No",$V434="NOT FOUND")),"YES",""))</f>
        <v/>
      </c>
      <c r="AI434" s="85">
        <f>IF($A434="","",TRIM(IF(AND($M434=0,$I434&lt;&gt;"Yes"),"T0-NoPhishResistant ","")&amp;IF($H434="No","NoMFA ","")&amp;IF(AND($M434=0,$O434="Group only"),"T0-ViaGroupOnly ","")&amp;IF($N434="Yes","BroadAzureScope ","")&amp;IF($T434="Yes","AlsoEntraRole ","")))</f>
        <v/>
      </c>
      <c r="AJ434" s="85">
        <f>IF($A434="","",IF(AD434="","Not Enrolled",IF(TODAY()&gt;AD434,"Review Overdue",IF(AD434-TODAY()&lt;=30,"Review Due Soon","Active"))))</f>
        <v/>
      </c>
      <c r="AK434" s="85">
        <f>IF($A434="","",IF(AE434="","NOT REVIEWED",IF(TODAY()-AE434&gt;90,"OVERDUE",IF(TODAY()-AE434&gt;76,"Due Soon","Current"))))</f>
        <v/>
      </c>
    </row>
    <row r="435" ht="15" customHeight="1" s="39">
      <c r="A435" s="85" t="n"/>
      <c r="B435" s="85" t="n"/>
      <c r="C435" s="85" t="n"/>
      <c r="D435" s="85" t="n"/>
      <c r="E435" s="85" t="n"/>
      <c r="F435" s="86" t="n"/>
      <c r="G435" s="86" t="n"/>
      <c r="H435" s="85" t="n"/>
      <c r="I435" s="85" t="n"/>
      <c r="J435" s="85" t="n"/>
      <c r="K435" s="85" t="n"/>
      <c r="L435" s="85" t="n"/>
      <c r="M435" s="85" t="n"/>
      <c r="N435" s="85" t="n"/>
      <c r="O435" s="85" t="n"/>
      <c r="P435" s="85" t="n"/>
      <c r="Q435" s="85" t="n"/>
      <c r="R435" s="85" t="n"/>
      <c r="S435" s="85" t="n"/>
      <c r="T435" s="85" t="n"/>
      <c r="U435" s="85" t="n"/>
      <c r="V435" s="85" t="n"/>
      <c r="W435" s="85" t="n"/>
      <c r="X435" s="85" t="n"/>
      <c r="Y435" s="85" t="n"/>
      <c r="Z435" s="85" t="n"/>
      <c r="AA435" s="85" t="n"/>
      <c r="AB435" s="85" t="n"/>
      <c r="AC435" s="86" t="n"/>
      <c r="AD435" s="86" t="n"/>
      <c r="AE435" s="86" t="n"/>
      <c r="AF435" s="85" t="n"/>
      <c r="AG435" s="85" t="n"/>
      <c r="AH435" s="85">
        <f>IF($A435="","",IF(AND($E435="Yes",OR($V435="No",$V435="NOT FOUND")),"YES",""))</f>
        <v/>
      </c>
      <c r="AI435" s="85">
        <f>IF($A435="","",TRIM(IF(AND($M435=0,$I435&lt;&gt;"Yes"),"T0-NoPhishResistant ","")&amp;IF($H435="No","NoMFA ","")&amp;IF(AND($M435=0,$O435="Group only"),"T0-ViaGroupOnly ","")&amp;IF($N435="Yes","BroadAzureScope ","")&amp;IF($T435="Yes","AlsoEntraRole ","")))</f>
        <v/>
      </c>
      <c r="AJ435" s="85">
        <f>IF($A435="","",IF(AD435="","Not Enrolled",IF(TODAY()&gt;AD435,"Review Overdue",IF(AD435-TODAY()&lt;=30,"Review Due Soon","Active"))))</f>
        <v/>
      </c>
      <c r="AK435" s="85">
        <f>IF($A435="","",IF(AE435="","NOT REVIEWED",IF(TODAY()-AE435&gt;90,"OVERDUE",IF(TODAY()-AE435&gt;76,"Due Soon","Current"))))</f>
        <v/>
      </c>
    </row>
    <row r="436" ht="15" customHeight="1" s="39">
      <c r="A436" s="85" t="n"/>
      <c r="B436" s="85" t="n"/>
      <c r="C436" s="85" t="n"/>
      <c r="D436" s="85" t="n"/>
      <c r="E436" s="85" t="n"/>
      <c r="F436" s="86" t="n"/>
      <c r="G436" s="86" t="n"/>
      <c r="H436" s="85" t="n"/>
      <c r="I436" s="85" t="n"/>
      <c r="J436" s="85" t="n"/>
      <c r="K436" s="85" t="n"/>
      <c r="L436" s="85" t="n"/>
      <c r="M436" s="85" t="n"/>
      <c r="N436" s="85" t="n"/>
      <c r="O436" s="85" t="n"/>
      <c r="P436" s="85" t="n"/>
      <c r="Q436" s="85" t="n"/>
      <c r="R436" s="85" t="n"/>
      <c r="S436" s="85" t="n"/>
      <c r="T436" s="85" t="n"/>
      <c r="U436" s="85" t="n"/>
      <c r="V436" s="85" t="n"/>
      <c r="W436" s="85" t="n"/>
      <c r="X436" s="85" t="n"/>
      <c r="Y436" s="85" t="n"/>
      <c r="Z436" s="85" t="n"/>
      <c r="AA436" s="85" t="n"/>
      <c r="AB436" s="85" t="n"/>
      <c r="AC436" s="86" t="n"/>
      <c r="AD436" s="86" t="n"/>
      <c r="AE436" s="86" t="n"/>
      <c r="AF436" s="85" t="n"/>
      <c r="AG436" s="85" t="n"/>
      <c r="AH436" s="85">
        <f>IF($A436="","",IF(AND($E436="Yes",OR($V436="No",$V436="NOT FOUND")),"YES",""))</f>
        <v/>
      </c>
      <c r="AI436" s="85">
        <f>IF($A436="","",TRIM(IF(AND($M436=0,$I436&lt;&gt;"Yes"),"T0-NoPhishResistant ","")&amp;IF($H436="No","NoMFA ","")&amp;IF(AND($M436=0,$O436="Group only"),"T0-ViaGroupOnly ","")&amp;IF($N436="Yes","BroadAzureScope ","")&amp;IF($T436="Yes","AlsoEntraRole ","")))</f>
        <v/>
      </c>
      <c r="AJ436" s="85">
        <f>IF($A436="","",IF(AD436="","Not Enrolled",IF(TODAY()&gt;AD436,"Review Overdue",IF(AD436-TODAY()&lt;=30,"Review Due Soon","Active"))))</f>
        <v/>
      </c>
      <c r="AK436" s="85">
        <f>IF($A436="","",IF(AE436="","NOT REVIEWED",IF(TODAY()-AE436&gt;90,"OVERDUE",IF(TODAY()-AE436&gt;76,"Due Soon","Current"))))</f>
        <v/>
      </c>
    </row>
    <row r="437" ht="15" customHeight="1" s="39">
      <c r="A437" s="85" t="n"/>
      <c r="B437" s="85" t="n"/>
      <c r="C437" s="85" t="n"/>
      <c r="D437" s="85" t="n"/>
      <c r="E437" s="85" t="n"/>
      <c r="F437" s="86" t="n"/>
      <c r="G437" s="86" t="n"/>
      <c r="H437" s="85" t="n"/>
      <c r="I437" s="85" t="n"/>
      <c r="J437" s="85" t="n"/>
      <c r="K437" s="85" t="n"/>
      <c r="L437" s="85" t="n"/>
      <c r="M437" s="85" t="n"/>
      <c r="N437" s="85" t="n"/>
      <c r="O437" s="85" t="n"/>
      <c r="P437" s="85" t="n"/>
      <c r="Q437" s="85" t="n"/>
      <c r="R437" s="85" t="n"/>
      <c r="S437" s="85" t="n"/>
      <c r="T437" s="85" t="n"/>
      <c r="U437" s="85" t="n"/>
      <c r="V437" s="85" t="n"/>
      <c r="W437" s="85" t="n"/>
      <c r="X437" s="85" t="n"/>
      <c r="Y437" s="85" t="n"/>
      <c r="Z437" s="85" t="n"/>
      <c r="AA437" s="85" t="n"/>
      <c r="AB437" s="85" t="n"/>
      <c r="AC437" s="86" t="n"/>
      <c r="AD437" s="86" t="n"/>
      <c r="AE437" s="86" t="n"/>
      <c r="AF437" s="85" t="n"/>
      <c r="AG437" s="85" t="n"/>
      <c r="AH437" s="85">
        <f>IF($A437="","",IF(AND($E437="Yes",OR($V437="No",$V437="NOT FOUND")),"YES",""))</f>
        <v/>
      </c>
      <c r="AI437" s="85">
        <f>IF($A437="","",TRIM(IF(AND($M437=0,$I437&lt;&gt;"Yes"),"T0-NoPhishResistant ","")&amp;IF($H437="No","NoMFA ","")&amp;IF(AND($M437=0,$O437="Group only"),"T0-ViaGroupOnly ","")&amp;IF($N437="Yes","BroadAzureScope ","")&amp;IF($T437="Yes","AlsoEntraRole ","")))</f>
        <v/>
      </c>
      <c r="AJ437" s="85">
        <f>IF($A437="","",IF(AD437="","Not Enrolled",IF(TODAY()&gt;AD437,"Review Overdue",IF(AD437-TODAY()&lt;=30,"Review Due Soon","Active"))))</f>
        <v/>
      </c>
      <c r="AK437" s="85">
        <f>IF($A437="","",IF(AE437="","NOT REVIEWED",IF(TODAY()-AE437&gt;90,"OVERDUE",IF(TODAY()-AE437&gt;76,"Due Soon","Current"))))</f>
        <v/>
      </c>
    </row>
    <row r="438" ht="15" customHeight="1" s="39">
      <c r="A438" s="85" t="n"/>
      <c r="B438" s="85" t="n"/>
      <c r="C438" s="85" t="n"/>
      <c r="D438" s="85" t="n"/>
      <c r="E438" s="85" t="n"/>
      <c r="F438" s="86" t="n"/>
      <c r="G438" s="86" t="n"/>
      <c r="H438" s="85" t="n"/>
      <c r="I438" s="85" t="n"/>
      <c r="J438" s="85" t="n"/>
      <c r="K438" s="85" t="n"/>
      <c r="L438" s="85" t="n"/>
      <c r="M438" s="85" t="n"/>
      <c r="N438" s="85" t="n"/>
      <c r="O438" s="85" t="n"/>
      <c r="P438" s="85" t="n"/>
      <c r="Q438" s="85" t="n"/>
      <c r="R438" s="85" t="n"/>
      <c r="S438" s="85" t="n"/>
      <c r="T438" s="85" t="n"/>
      <c r="U438" s="85" t="n"/>
      <c r="V438" s="85" t="n"/>
      <c r="W438" s="85" t="n"/>
      <c r="X438" s="85" t="n"/>
      <c r="Y438" s="85" t="n"/>
      <c r="Z438" s="85" t="n"/>
      <c r="AA438" s="85" t="n"/>
      <c r="AB438" s="85" t="n"/>
      <c r="AC438" s="86" t="n"/>
      <c r="AD438" s="86" t="n"/>
      <c r="AE438" s="86" t="n"/>
      <c r="AF438" s="85" t="n"/>
      <c r="AG438" s="85" t="n"/>
      <c r="AH438" s="85">
        <f>IF($A438="","",IF(AND($E438="Yes",OR($V438="No",$V438="NOT FOUND")),"YES",""))</f>
        <v/>
      </c>
      <c r="AI438" s="85">
        <f>IF($A438="","",TRIM(IF(AND($M438=0,$I438&lt;&gt;"Yes"),"T0-NoPhishResistant ","")&amp;IF($H438="No","NoMFA ","")&amp;IF(AND($M438=0,$O438="Group only"),"T0-ViaGroupOnly ","")&amp;IF($N438="Yes","BroadAzureScope ","")&amp;IF($T438="Yes","AlsoEntraRole ","")))</f>
        <v/>
      </c>
      <c r="AJ438" s="85">
        <f>IF($A438="","",IF(AD438="","Not Enrolled",IF(TODAY()&gt;AD438,"Review Overdue",IF(AD438-TODAY()&lt;=30,"Review Due Soon","Active"))))</f>
        <v/>
      </c>
      <c r="AK438" s="85">
        <f>IF($A438="","",IF(AE438="","NOT REVIEWED",IF(TODAY()-AE438&gt;90,"OVERDUE",IF(TODAY()-AE438&gt;76,"Due Soon","Current"))))</f>
        <v/>
      </c>
    </row>
    <row r="439" ht="15" customHeight="1" s="39">
      <c r="A439" s="85" t="n"/>
      <c r="B439" s="85" t="n"/>
      <c r="C439" s="85" t="n"/>
      <c r="D439" s="85" t="n"/>
      <c r="E439" s="85" t="n"/>
      <c r="F439" s="86" t="n"/>
      <c r="G439" s="86" t="n"/>
      <c r="H439" s="85" t="n"/>
      <c r="I439" s="85" t="n"/>
      <c r="J439" s="85" t="n"/>
      <c r="K439" s="85" t="n"/>
      <c r="L439" s="85" t="n"/>
      <c r="M439" s="85" t="n"/>
      <c r="N439" s="85" t="n"/>
      <c r="O439" s="85" t="n"/>
      <c r="P439" s="85" t="n"/>
      <c r="Q439" s="85" t="n"/>
      <c r="R439" s="85" t="n"/>
      <c r="S439" s="85" t="n"/>
      <c r="T439" s="85" t="n"/>
      <c r="U439" s="85" t="n"/>
      <c r="V439" s="85" t="n"/>
      <c r="W439" s="85" t="n"/>
      <c r="X439" s="85" t="n"/>
      <c r="Y439" s="85" t="n"/>
      <c r="Z439" s="85" t="n"/>
      <c r="AA439" s="85" t="n"/>
      <c r="AB439" s="85" t="n"/>
      <c r="AC439" s="86" t="n"/>
      <c r="AD439" s="86" t="n"/>
      <c r="AE439" s="86" t="n"/>
      <c r="AF439" s="85" t="n"/>
      <c r="AG439" s="85" t="n"/>
      <c r="AH439" s="85">
        <f>IF($A439="","",IF(AND($E439="Yes",OR($V439="No",$V439="NOT FOUND")),"YES",""))</f>
        <v/>
      </c>
      <c r="AI439" s="85">
        <f>IF($A439="","",TRIM(IF(AND($M439=0,$I439&lt;&gt;"Yes"),"T0-NoPhishResistant ","")&amp;IF($H439="No","NoMFA ","")&amp;IF(AND($M439=0,$O439="Group only"),"T0-ViaGroupOnly ","")&amp;IF($N439="Yes","BroadAzureScope ","")&amp;IF($T439="Yes","AlsoEntraRole ","")))</f>
        <v/>
      </c>
      <c r="AJ439" s="85">
        <f>IF($A439="","",IF(AD439="","Not Enrolled",IF(TODAY()&gt;AD439,"Review Overdue",IF(AD439-TODAY()&lt;=30,"Review Due Soon","Active"))))</f>
        <v/>
      </c>
      <c r="AK439" s="85">
        <f>IF($A439="","",IF(AE439="","NOT REVIEWED",IF(TODAY()-AE439&gt;90,"OVERDUE",IF(TODAY()-AE439&gt;76,"Due Soon","Current"))))</f>
        <v/>
      </c>
    </row>
    <row r="440" ht="15" customHeight="1" s="39">
      <c r="A440" s="85" t="n"/>
      <c r="B440" s="85" t="n"/>
      <c r="C440" s="85" t="n"/>
      <c r="D440" s="85" t="n"/>
      <c r="E440" s="85" t="n"/>
      <c r="F440" s="86" t="n"/>
      <c r="G440" s="86" t="n"/>
      <c r="H440" s="85" t="n"/>
      <c r="I440" s="85" t="n"/>
      <c r="J440" s="85" t="n"/>
      <c r="K440" s="85" t="n"/>
      <c r="L440" s="85" t="n"/>
      <c r="M440" s="85" t="n"/>
      <c r="N440" s="85" t="n"/>
      <c r="O440" s="85" t="n"/>
      <c r="P440" s="85" t="n"/>
      <c r="Q440" s="85" t="n"/>
      <c r="R440" s="85" t="n"/>
      <c r="S440" s="85" t="n"/>
      <c r="T440" s="85" t="n"/>
      <c r="U440" s="85" t="n"/>
      <c r="V440" s="85" t="n"/>
      <c r="W440" s="85" t="n"/>
      <c r="X440" s="85" t="n"/>
      <c r="Y440" s="85" t="n"/>
      <c r="Z440" s="85" t="n"/>
      <c r="AA440" s="85" t="n"/>
      <c r="AB440" s="85" t="n"/>
      <c r="AC440" s="86" t="n"/>
      <c r="AD440" s="86" t="n"/>
      <c r="AE440" s="86" t="n"/>
      <c r="AF440" s="85" t="n"/>
      <c r="AG440" s="85" t="n"/>
      <c r="AH440" s="85">
        <f>IF($A440="","",IF(AND($E440="Yes",OR($V440="No",$V440="NOT FOUND")),"YES",""))</f>
        <v/>
      </c>
      <c r="AI440" s="85">
        <f>IF($A440="","",TRIM(IF(AND($M440=0,$I440&lt;&gt;"Yes"),"T0-NoPhishResistant ","")&amp;IF($H440="No","NoMFA ","")&amp;IF(AND($M440=0,$O440="Group only"),"T0-ViaGroupOnly ","")&amp;IF($N440="Yes","BroadAzureScope ","")&amp;IF($T440="Yes","AlsoEntraRole ","")))</f>
        <v/>
      </c>
      <c r="AJ440" s="85">
        <f>IF($A440="","",IF(AD440="","Not Enrolled",IF(TODAY()&gt;AD440,"Review Overdue",IF(AD440-TODAY()&lt;=30,"Review Due Soon","Active"))))</f>
        <v/>
      </c>
      <c r="AK440" s="85">
        <f>IF($A440="","",IF(AE440="","NOT REVIEWED",IF(TODAY()-AE440&gt;90,"OVERDUE",IF(TODAY()-AE440&gt;76,"Due Soon","Current"))))</f>
        <v/>
      </c>
    </row>
    <row r="441" ht="15" customHeight="1" s="39">
      <c r="A441" s="85" t="n"/>
      <c r="B441" s="85" t="n"/>
      <c r="C441" s="85" t="n"/>
      <c r="D441" s="85" t="n"/>
      <c r="E441" s="85" t="n"/>
      <c r="F441" s="86" t="n"/>
      <c r="G441" s="86" t="n"/>
      <c r="H441" s="85" t="n"/>
      <c r="I441" s="85" t="n"/>
      <c r="J441" s="85" t="n"/>
      <c r="K441" s="85" t="n"/>
      <c r="L441" s="85" t="n"/>
      <c r="M441" s="85" t="n"/>
      <c r="N441" s="85" t="n"/>
      <c r="O441" s="85" t="n"/>
      <c r="P441" s="85" t="n"/>
      <c r="Q441" s="85" t="n"/>
      <c r="R441" s="85" t="n"/>
      <c r="S441" s="85" t="n"/>
      <c r="T441" s="85" t="n"/>
      <c r="U441" s="85" t="n"/>
      <c r="V441" s="85" t="n"/>
      <c r="W441" s="85" t="n"/>
      <c r="X441" s="85" t="n"/>
      <c r="Y441" s="85" t="n"/>
      <c r="Z441" s="85" t="n"/>
      <c r="AA441" s="85" t="n"/>
      <c r="AB441" s="85" t="n"/>
      <c r="AC441" s="86" t="n"/>
      <c r="AD441" s="86" t="n"/>
      <c r="AE441" s="86" t="n"/>
      <c r="AF441" s="85" t="n"/>
      <c r="AG441" s="85" t="n"/>
      <c r="AH441" s="85">
        <f>IF($A441="","",IF(AND($E441="Yes",OR($V441="No",$V441="NOT FOUND")),"YES",""))</f>
        <v/>
      </c>
      <c r="AI441" s="85">
        <f>IF($A441="","",TRIM(IF(AND($M441=0,$I441&lt;&gt;"Yes"),"T0-NoPhishResistant ","")&amp;IF($H441="No","NoMFA ","")&amp;IF(AND($M441=0,$O441="Group only"),"T0-ViaGroupOnly ","")&amp;IF($N441="Yes","BroadAzureScope ","")&amp;IF($T441="Yes","AlsoEntraRole ","")))</f>
        <v/>
      </c>
      <c r="AJ441" s="85">
        <f>IF($A441="","",IF(AD441="","Not Enrolled",IF(TODAY()&gt;AD441,"Review Overdue",IF(AD441-TODAY()&lt;=30,"Review Due Soon","Active"))))</f>
        <v/>
      </c>
      <c r="AK441" s="85">
        <f>IF($A441="","",IF(AE441="","NOT REVIEWED",IF(TODAY()-AE441&gt;90,"OVERDUE",IF(TODAY()-AE441&gt;76,"Due Soon","Current"))))</f>
        <v/>
      </c>
    </row>
    <row r="442" ht="15" customHeight="1" s="39">
      <c r="A442" s="85" t="n"/>
      <c r="B442" s="85" t="n"/>
      <c r="C442" s="85" t="n"/>
      <c r="D442" s="85" t="n"/>
      <c r="E442" s="85" t="n"/>
      <c r="F442" s="86" t="n"/>
      <c r="G442" s="86" t="n"/>
      <c r="H442" s="85" t="n"/>
      <c r="I442" s="85" t="n"/>
      <c r="J442" s="85" t="n"/>
      <c r="K442" s="85" t="n"/>
      <c r="L442" s="85" t="n"/>
      <c r="M442" s="85" t="n"/>
      <c r="N442" s="85" t="n"/>
      <c r="O442" s="85" t="n"/>
      <c r="P442" s="85" t="n"/>
      <c r="Q442" s="85" t="n"/>
      <c r="R442" s="85" t="n"/>
      <c r="S442" s="85" t="n"/>
      <c r="T442" s="85" t="n"/>
      <c r="U442" s="85" t="n"/>
      <c r="V442" s="85" t="n"/>
      <c r="W442" s="85" t="n"/>
      <c r="X442" s="85" t="n"/>
      <c r="Y442" s="85" t="n"/>
      <c r="Z442" s="85" t="n"/>
      <c r="AA442" s="85" t="n"/>
      <c r="AB442" s="85" t="n"/>
      <c r="AC442" s="86" t="n"/>
      <c r="AD442" s="86" t="n"/>
      <c r="AE442" s="86" t="n"/>
      <c r="AF442" s="85" t="n"/>
      <c r="AG442" s="85" t="n"/>
      <c r="AH442" s="85">
        <f>IF($A442="","",IF(AND($E442="Yes",OR($V442="No",$V442="NOT FOUND")),"YES",""))</f>
        <v/>
      </c>
      <c r="AI442" s="85">
        <f>IF($A442="","",TRIM(IF(AND($M442=0,$I442&lt;&gt;"Yes"),"T0-NoPhishResistant ","")&amp;IF($H442="No","NoMFA ","")&amp;IF(AND($M442=0,$O442="Group only"),"T0-ViaGroupOnly ","")&amp;IF($N442="Yes","BroadAzureScope ","")&amp;IF($T442="Yes","AlsoEntraRole ","")))</f>
        <v/>
      </c>
      <c r="AJ442" s="85">
        <f>IF($A442="","",IF(AD442="","Not Enrolled",IF(TODAY()&gt;AD442,"Review Overdue",IF(AD442-TODAY()&lt;=30,"Review Due Soon","Active"))))</f>
        <v/>
      </c>
      <c r="AK442" s="85">
        <f>IF($A442="","",IF(AE442="","NOT REVIEWED",IF(TODAY()-AE442&gt;90,"OVERDUE",IF(TODAY()-AE442&gt;76,"Due Soon","Current"))))</f>
        <v/>
      </c>
    </row>
    <row r="443" ht="15" customHeight="1" s="39">
      <c r="A443" s="85" t="n"/>
      <c r="B443" s="85" t="n"/>
      <c r="C443" s="85" t="n"/>
      <c r="D443" s="85" t="n"/>
      <c r="E443" s="85" t="n"/>
      <c r="F443" s="86" t="n"/>
      <c r="G443" s="86" t="n"/>
      <c r="H443" s="85" t="n"/>
      <c r="I443" s="85" t="n"/>
      <c r="J443" s="85" t="n"/>
      <c r="K443" s="85" t="n"/>
      <c r="L443" s="85" t="n"/>
      <c r="M443" s="85" t="n"/>
      <c r="N443" s="85" t="n"/>
      <c r="O443" s="85" t="n"/>
      <c r="P443" s="85" t="n"/>
      <c r="Q443" s="85" t="n"/>
      <c r="R443" s="85" t="n"/>
      <c r="S443" s="85" t="n"/>
      <c r="T443" s="85" t="n"/>
      <c r="U443" s="85" t="n"/>
      <c r="V443" s="85" t="n"/>
      <c r="W443" s="85" t="n"/>
      <c r="X443" s="85" t="n"/>
      <c r="Y443" s="85" t="n"/>
      <c r="Z443" s="85" t="n"/>
      <c r="AA443" s="85" t="n"/>
      <c r="AB443" s="85" t="n"/>
      <c r="AC443" s="86" t="n"/>
      <c r="AD443" s="86" t="n"/>
      <c r="AE443" s="86" t="n"/>
      <c r="AF443" s="85" t="n"/>
      <c r="AG443" s="85" t="n"/>
      <c r="AH443" s="85">
        <f>IF($A443="","",IF(AND($E443="Yes",OR($V443="No",$V443="NOT FOUND")),"YES",""))</f>
        <v/>
      </c>
      <c r="AI443" s="85">
        <f>IF($A443="","",TRIM(IF(AND($M443=0,$I443&lt;&gt;"Yes"),"T0-NoPhishResistant ","")&amp;IF($H443="No","NoMFA ","")&amp;IF(AND($M443=0,$O443="Group only"),"T0-ViaGroupOnly ","")&amp;IF($N443="Yes","BroadAzureScope ","")&amp;IF($T443="Yes","AlsoEntraRole ","")))</f>
        <v/>
      </c>
      <c r="AJ443" s="85">
        <f>IF($A443="","",IF(AD443="","Not Enrolled",IF(TODAY()&gt;AD443,"Review Overdue",IF(AD443-TODAY()&lt;=30,"Review Due Soon","Active"))))</f>
        <v/>
      </c>
      <c r="AK443" s="85">
        <f>IF($A443="","",IF(AE443="","NOT REVIEWED",IF(TODAY()-AE443&gt;90,"OVERDUE",IF(TODAY()-AE443&gt;76,"Due Soon","Current"))))</f>
        <v/>
      </c>
    </row>
    <row r="444" ht="15" customHeight="1" s="39">
      <c r="A444" s="85" t="n"/>
      <c r="B444" s="85" t="n"/>
      <c r="C444" s="85" t="n"/>
      <c r="D444" s="85" t="n"/>
      <c r="E444" s="85" t="n"/>
      <c r="F444" s="86" t="n"/>
      <c r="G444" s="86" t="n"/>
      <c r="H444" s="85" t="n"/>
      <c r="I444" s="85" t="n"/>
      <c r="J444" s="85" t="n"/>
      <c r="K444" s="85" t="n"/>
      <c r="L444" s="85" t="n"/>
      <c r="M444" s="85" t="n"/>
      <c r="N444" s="85" t="n"/>
      <c r="O444" s="85" t="n"/>
      <c r="P444" s="85" t="n"/>
      <c r="Q444" s="85" t="n"/>
      <c r="R444" s="85" t="n"/>
      <c r="S444" s="85" t="n"/>
      <c r="T444" s="85" t="n"/>
      <c r="U444" s="85" t="n"/>
      <c r="V444" s="85" t="n"/>
      <c r="W444" s="85" t="n"/>
      <c r="X444" s="85" t="n"/>
      <c r="Y444" s="85" t="n"/>
      <c r="Z444" s="85" t="n"/>
      <c r="AA444" s="85" t="n"/>
      <c r="AB444" s="85" t="n"/>
      <c r="AC444" s="86" t="n"/>
      <c r="AD444" s="86" t="n"/>
      <c r="AE444" s="86" t="n"/>
      <c r="AF444" s="85" t="n"/>
      <c r="AG444" s="85" t="n"/>
      <c r="AH444" s="85">
        <f>IF($A444="","",IF(AND($E444="Yes",OR($V444="No",$V444="NOT FOUND")),"YES",""))</f>
        <v/>
      </c>
      <c r="AI444" s="85">
        <f>IF($A444="","",TRIM(IF(AND($M444=0,$I444&lt;&gt;"Yes"),"T0-NoPhishResistant ","")&amp;IF($H444="No","NoMFA ","")&amp;IF(AND($M444=0,$O444="Group only"),"T0-ViaGroupOnly ","")&amp;IF($N444="Yes","BroadAzureScope ","")&amp;IF($T444="Yes","AlsoEntraRole ","")))</f>
        <v/>
      </c>
      <c r="AJ444" s="85">
        <f>IF($A444="","",IF(AD444="","Not Enrolled",IF(TODAY()&gt;AD444,"Review Overdue",IF(AD444-TODAY()&lt;=30,"Review Due Soon","Active"))))</f>
        <v/>
      </c>
      <c r="AK444" s="85">
        <f>IF($A444="","",IF(AE444="","NOT REVIEWED",IF(TODAY()-AE444&gt;90,"OVERDUE",IF(TODAY()-AE444&gt;76,"Due Soon","Current"))))</f>
        <v/>
      </c>
    </row>
    <row r="445" ht="15" customHeight="1" s="39">
      <c r="A445" s="85" t="n"/>
      <c r="B445" s="85" t="n"/>
      <c r="C445" s="85" t="n"/>
      <c r="D445" s="85" t="n"/>
      <c r="E445" s="85" t="n"/>
      <c r="F445" s="86" t="n"/>
      <c r="G445" s="86" t="n"/>
      <c r="H445" s="85" t="n"/>
      <c r="I445" s="85" t="n"/>
      <c r="J445" s="85" t="n"/>
      <c r="K445" s="85" t="n"/>
      <c r="L445" s="85" t="n"/>
      <c r="M445" s="85" t="n"/>
      <c r="N445" s="85" t="n"/>
      <c r="O445" s="85" t="n"/>
      <c r="P445" s="85" t="n"/>
      <c r="Q445" s="85" t="n"/>
      <c r="R445" s="85" t="n"/>
      <c r="S445" s="85" t="n"/>
      <c r="T445" s="85" t="n"/>
      <c r="U445" s="85" t="n"/>
      <c r="V445" s="85" t="n"/>
      <c r="W445" s="85" t="n"/>
      <c r="X445" s="85" t="n"/>
      <c r="Y445" s="85" t="n"/>
      <c r="Z445" s="85" t="n"/>
      <c r="AA445" s="85" t="n"/>
      <c r="AB445" s="85" t="n"/>
      <c r="AC445" s="86" t="n"/>
      <c r="AD445" s="86" t="n"/>
      <c r="AE445" s="86" t="n"/>
      <c r="AF445" s="85" t="n"/>
      <c r="AG445" s="85" t="n"/>
      <c r="AH445" s="85">
        <f>IF($A445="","",IF(AND($E445="Yes",OR($V445="No",$V445="NOT FOUND")),"YES",""))</f>
        <v/>
      </c>
      <c r="AI445" s="85">
        <f>IF($A445="","",TRIM(IF(AND($M445=0,$I445&lt;&gt;"Yes"),"T0-NoPhishResistant ","")&amp;IF($H445="No","NoMFA ","")&amp;IF(AND($M445=0,$O445="Group only"),"T0-ViaGroupOnly ","")&amp;IF($N445="Yes","BroadAzureScope ","")&amp;IF($T445="Yes","AlsoEntraRole ","")))</f>
        <v/>
      </c>
      <c r="AJ445" s="85">
        <f>IF($A445="","",IF(AD445="","Not Enrolled",IF(TODAY()&gt;AD445,"Review Overdue",IF(AD445-TODAY()&lt;=30,"Review Due Soon","Active"))))</f>
        <v/>
      </c>
      <c r="AK445" s="85">
        <f>IF($A445="","",IF(AE445="","NOT REVIEWED",IF(TODAY()-AE445&gt;90,"OVERDUE",IF(TODAY()-AE445&gt;76,"Due Soon","Current"))))</f>
        <v/>
      </c>
    </row>
    <row r="446" ht="15" customHeight="1" s="39">
      <c r="A446" s="85" t="n"/>
      <c r="B446" s="85" t="n"/>
      <c r="C446" s="85" t="n"/>
      <c r="D446" s="85" t="n"/>
      <c r="E446" s="85" t="n"/>
      <c r="F446" s="86" t="n"/>
      <c r="G446" s="86" t="n"/>
      <c r="H446" s="85" t="n"/>
      <c r="I446" s="85" t="n"/>
      <c r="J446" s="85" t="n"/>
      <c r="K446" s="85" t="n"/>
      <c r="L446" s="85" t="n"/>
      <c r="M446" s="85" t="n"/>
      <c r="N446" s="85" t="n"/>
      <c r="O446" s="85" t="n"/>
      <c r="P446" s="85" t="n"/>
      <c r="Q446" s="85" t="n"/>
      <c r="R446" s="85" t="n"/>
      <c r="S446" s="85" t="n"/>
      <c r="T446" s="85" t="n"/>
      <c r="U446" s="85" t="n"/>
      <c r="V446" s="85" t="n"/>
      <c r="W446" s="85" t="n"/>
      <c r="X446" s="85" t="n"/>
      <c r="Y446" s="85" t="n"/>
      <c r="Z446" s="85" t="n"/>
      <c r="AA446" s="85" t="n"/>
      <c r="AB446" s="85" t="n"/>
      <c r="AC446" s="86" t="n"/>
      <c r="AD446" s="86" t="n"/>
      <c r="AE446" s="86" t="n"/>
      <c r="AF446" s="85" t="n"/>
      <c r="AG446" s="85" t="n"/>
      <c r="AH446" s="85">
        <f>IF($A446="","",IF(AND($E446="Yes",OR($V446="No",$V446="NOT FOUND")),"YES",""))</f>
        <v/>
      </c>
      <c r="AI446" s="85">
        <f>IF($A446="","",TRIM(IF(AND($M446=0,$I446&lt;&gt;"Yes"),"T0-NoPhishResistant ","")&amp;IF($H446="No","NoMFA ","")&amp;IF(AND($M446=0,$O446="Group only"),"T0-ViaGroupOnly ","")&amp;IF($N446="Yes","BroadAzureScope ","")&amp;IF($T446="Yes","AlsoEntraRole ","")))</f>
        <v/>
      </c>
      <c r="AJ446" s="85">
        <f>IF($A446="","",IF(AD446="","Not Enrolled",IF(TODAY()&gt;AD446,"Review Overdue",IF(AD446-TODAY()&lt;=30,"Review Due Soon","Active"))))</f>
        <v/>
      </c>
      <c r="AK446" s="85">
        <f>IF($A446="","",IF(AE446="","NOT REVIEWED",IF(TODAY()-AE446&gt;90,"OVERDUE",IF(TODAY()-AE446&gt;76,"Due Soon","Current"))))</f>
        <v/>
      </c>
    </row>
    <row r="447" ht="15" customHeight="1" s="39">
      <c r="A447" s="85" t="n"/>
      <c r="B447" s="85" t="n"/>
      <c r="C447" s="85" t="n"/>
      <c r="D447" s="85" t="n"/>
      <c r="E447" s="85" t="n"/>
      <c r="F447" s="86" t="n"/>
      <c r="G447" s="86" t="n"/>
      <c r="H447" s="85" t="n"/>
      <c r="I447" s="85" t="n"/>
      <c r="J447" s="85" t="n"/>
      <c r="K447" s="85" t="n"/>
      <c r="L447" s="85" t="n"/>
      <c r="M447" s="85" t="n"/>
      <c r="N447" s="85" t="n"/>
      <c r="O447" s="85" t="n"/>
      <c r="P447" s="85" t="n"/>
      <c r="Q447" s="85" t="n"/>
      <c r="R447" s="85" t="n"/>
      <c r="S447" s="85" t="n"/>
      <c r="T447" s="85" t="n"/>
      <c r="U447" s="85" t="n"/>
      <c r="V447" s="85" t="n"/>
      <c r="W447" s="85" t="n"/>
      <c r="X447" s="85" t="n"/>
      <c r="Y447" s="85" t="n"/>
      <c r="Z447" s="85" t="n"/>
      <c r="AA447" s="85" t="n"/>
      <c r="AB447" s="85" t="n"/>
      <c r="AC447" s="86" t="n"/>
      <c r="AD447" s="86" t="n"/>
      <c r="AE447" s="86" t="n"/>
      <c r="AF447" s="85" t="n"/>
      <c r="AG447" s="85" t="n"/>
      <c r="AH447" s="85">
        <f>IF($A447="","",IF(AND($E447="Yes",OR($V447="No",$V447="NOT FOUND")),"YES",""))</f>
        <v/>
      </c>
      <c r="AI447" s="85">
        <f>IF($A447="","",TRIM(IF(AND($M447=0,$I447&lt;&gt;"Yes"),"T0-NoPhishResistant ","")&amp;IF($H447="No","NoMFA ","")&amp;IF(AND($M447=0,$O447="Group only"),"T0-ViaGroupOnly ","")&amp;IF($N447="Yes","BroadAzureScope ","")&amp;IF($T447="Yes","AlsoEntraRole ","")))</f>
        <v/>
      </c>
      <c r="AJ447" s="85">
        <f>IF($A447="","",IF(AD447="","Not Enrolled",IF(TODAY()&gt;AD447,"Review Overdue",IF(AD447-TODAY()&lt;=30,"Review Due Soon","Active"))))</f>
        <v/>
      </c>
      <c r="AK447" s="85">
        <f>IF($A447="","",IF(AE447="","NOT REVIEWED",IF(TODAY()-AE447&gt;90,"OVERDUE",IF(TODAY()-AE447&gt;76,"Due Soon","Current"))))</f>
        <v/>
      </c>
    </row>
    <row r="448" ht="15" customHeight="1" s="39">
      <c r="A448" s="85" t="n"/>
      <c r="B448" s="85" t="n"/>
      <c r="C448" s="85" t="n"/>
      <c r="D448" s="85" t="n"/>
      <c r="E448" s="85" t="n"/>
      <c r="F448" s="86" t="n"/>
      <c r="G448" s="86" t="n"/>
      <c r="H448" s="85" t="n"/>
      <c r="I448" s="85" t="n"/>
      <c r="J448" s="85" t="n"/>
      <c r="K448" s="85" t="n"/>
      <c r="L448" s="85" t="n"/>
      <c r="M448" s="85" t="n"/>
      <c r="N448" s="85" t="n"/>
      <c r="O448" s="85" t="n"/>
      <c r="P448" s="85" t="n"/>
      <c r="Q448" s="85" t="n"/>
      <c r="R448" s="85" t="n"/>
      <c r="S448" s="85" t="n"/>
      <c r="T448" s="85" t="n"/>
      <c r="U448" s="85" t="n"/>
      <c r="V448" s="85" t="n"/>
      <c r="W448" s="85" t="n"/>
      <c r="X448" s="85" t="n"/>
      <c r="Y448" s="85" t="n"/>
      <c r="Z448" s="85" t="n"/>
      <c r="AA448" s="85" t="n"/>
      <c r="AB448" s="85" t="n"/>
      <c r="AC448" s="86" t="n"/>
      <c r="AD448" s="86" t="n"/>
      <c r="AE448" s="86" t="n"/>
      <c r="AF448" s="85" t="n"/>
      <c r="AG448" s="85" t="n"/>
      <c r="AH448" s="85">
        <f>IF($A448="","",IF(AND($E448="Yes",OR($V448="No",$V448="NOT FOUND")),"YES",""))</f>
        <v/>
      </c>
      <c r="AI448" s="85">
        <f>IF($A448="","",TRIM(IF(AND($M448=0,$I448&lt;&gt;"Yes"),"T0-NoPhishResistant ","")&amp;IF($H448="No","NoMFA ","")&amp;IF(AND($M448=0,$O448="Group only"),"T0-ViaGroupOnly ","")&amp;IF($N448="Yes","BroadAzureScope ","")&amp;IF($T448="Yes","AlsoEntraRole ","")))</f>
        <v/>
      </c>
      <c r="AJ448" s="85">
        <f>IF($A448="","",IF(AD448="","Not Enrolled",IF(TODAY()&gt;AD448,"Review Overdue",IF(AD448-TODAY()&lt;=30,"Review Due Soon","Active"))))</f>
        <v/>
      </c>
      <c r="AK448" s="85">
        <f>IF($A448="","",IF(AE448="","NOT REVIEWED",IF(TODAY()-AE448&gt;90,"OVERDUE",IF(TODAY()-AE448&gt;76,"Due Soon","Current"))))</f>
        <v/>
      </c>
    </row>
    <row r="449" ht="15" customHeight="1" s="39">
      <c r="A449" s="85" t="n"/>
      <c r="B449" s="85" t="n"/>
      <c r="C449" s="85" t="n"/>
      <c r="D449" s="85" t="n"/>
      <c r="E449" s="85" t="n"/>
      <c r="F449" s="86" t="n"/>
      <c r="G449" s="86" t="n"/>
      <c r="H449" s="85" t="n"/>
      <c r="I449" s="85" t="n"/>
      <c r="J449" s="85" t="n"/>
      <c r="K449" s="85" t="n"/>
      <c r="L449" s="85" t="n"/>
      <c r="M449" s="85" t="n"/>
      <c r="N449" s="85" t="n"/>
      <c r="O449" s="85" t="n"/>
      <c r="P449" s="85" t="n"/>
      <c r="Q449" s="85" t="n"/>
      <c r="R449" s="85" t="n"/>
      <c r="S449" s="85" t="n"/>
      <c r="T449" s="85" t="n"/>
      <c r="U449" s="85" t="n"/>
      <c r="V449" s="85" t="n"/>
      <c r="W449" s="85" t="n"/>
      <c r="X449" s="85" t="n"/>
      <c r="Y449" s="85" t="n"/>
      <c r="Z449" s="85" t="n"/>
      <c r="AA449" s="85" t="n"/>
      <c r="AB449" s="85" t="n"/>
      <c r="AC449" s="86" t="n"/>
      <c r="AD449" s="86" t="n"/>
      <c r="AE449" s="86" t="n"/>
      <c r="AF449" s="85" t="n"/>
      <c r="AG449" s="85" t="n"/>
      <c r="AH449" s="85">
        <f>IF($A449="","",IF(AND($E449="Yes",OR($V449="No",$V449="NOT FOUND")),"YES",""))</f>
        <v/>
      </c>
      <c r="AI449" s="85">
        <f>IF($A449="","",TRIM(IF(AND($M449=0,$I449&lt;&gt;"Yes"),"T0-NoPhishResistant ","")&amp;IF($H449="No","NoMFA ","")&amp;IF(AND($M449=0,$O449="Group only"),"T0-ViaGroupOnly ","")&amp;IF($N449="Yes","BroadAzureScope ","")&amp;IF($T449="Yes","AlsoEntraRole ","")))</f>
        <v/>
      </c>
      <c r="AJ449" s="85">
        <f>IF($A449="","",IF(AD449="","Not Enrolled",IF(TODAY()&gt;AD449,"Review Overdue",IF(AD449-TODAY()&lt;=30,"Review Due Soon","Active"))))</f>
        <v/>
      </c>
      <c r="AK449" s="85">
        <f>IF($A449="","",IF(AE449="","NOT REVIEWED",IF(TODAY()-AE449&gt;90,"OVERDUE",IF(TODAY()-AE449&gt;76,"Due Soon","Current"))))</f>
        <v/>
      </c>
    </row>
    <row r="450" ht="15" customHeight="1" s="39">
      <c r="A450" s="85" t="n"/>
      <c r="B450" s="85" t="n"/>
      <c r="C450" s="85" t="n"/>
      <c r="D450" s="85" t="n"/>
      <c r="E450" s="85" t="n"/>
      <c r="F450" s="86" t="n"/>
      <c r="G450" s="86" t="n"/>
      <c r="H450" s="85" t="n"/>
      <c r="I450" s="85" t="n"/>
      <c r="J450" s="85" t="n"/>
      <c r="K450" s="85" t="n"/>
      <c r="L450" s="85" t="n"/>
      <c r="M450" s="85" t="n"/>
      <c r="N450" s="85" t="n"/>
      <c r="O450" s="85" t="n"/>
      <c r="P450" s="85" t="n"/>
      <c r="Q450" s="85" t="n"/>
      <c r="R450" s="85" t="n"/>
      <c r="S450" s="85" t="n"/>
      <c r="T450" s="85" t="n"/>
      <c r="U450" s="85" t="n"/>
      <c r="V450" s="85" t="n"/>
      <c r="W450" s="85" t="n"/>
      <c r="X450" s="85" t="n"/>
      <c r="Y450" s="85" t="n"/>
      <c r="Z450" s="85" t="n"/>
      <c r="AA450" s="85" t="n"/>
      <c r="AB450" s="85" t="n"/>
      <c r="AC450" s="86" t="n"/>
      <c r="AD450" s="86" t="n"/>
      <c r="AE450" s="86" t="n"/>
      <c r="AF450" s="85" t="n"/>
      <c r="AG450" s="85" t="n"/>
      <c r="AH450" s="85">
        <f>IF($A450="","",IF(AND($E450="Yes",OR($V450="No",$V450="NOT FOUND")),"YES",""))</f>
        <v/>
      </c>
      <c r="AI450" s="85">
        <f>IF($A450="","",TRIM(IF(AND($M450=0,$I450&lt;&gt;"Yes"),"T0-NoPhishResistant ","")&amp;IF($H450="No","NoMFA ","")&amp;IF(AND($M450=0,$O450="Group only"),"T0-ViaGroupOnly ","")&amp;IF($N450="Yes","BroadAzureScope ","")&amp;IF($T450="Yes","AlsoEntraRole ","")))</f>
        <v/>
      </c>
      <c r="AJ450" s="85">
        <f>IF($A450="","",IF(AD450="","Not Enrolled",IF(TODAY()&gt;AD450,"Review Overdue",IF(AD450-TODAY()&lt;=30,"Review Due Soon","Active"))))</f>
        <v/>
      </c>
      <c r="AK450" s="85">
        <f>IF($A450="","",IF(AE450="","NOT REVIEWED",IF(TODAY()-AE450&gt;90,"OVERDUE",IF(TODAY()-AE450&gt;76,"Due Soon","Current"))))</f>
        <v/>
      </c>
    </row>
    <row r="451" ht="15" customHeight="1" s="39">
      <c r="A451" s="85" t="n"/>
      <c r="B451" s="85" t="n"/>
      <c r="C451" s="85" t="n"/>
      <c r="D451" s="85" t="n"/>
      <c r="E451" s="85" t="n"/>
      <c r="F451" s="86" t="n"/>
      <c r="G451" s="86" t="n"/>
      <c r="H451" s="85" t="n"/>
      <c r="I451" s="85" t="n"/>
      <c r="J451" s="85" t="n"/>
      <c r="K451" s="85" t="n"/>
      <c r="L451" s="85" t="n"/>
      <c r="M451" s="85" t="n"/>
      <c r="N451" s="85" t="n"/>
      <c r="O451" s="85" t="n"/>
      <c r="P451" s="85" t="n"/>
      <c r="Q451" s="85" t="n"/>
      <c r="R451" s="85" t="n"/>
      <c r="S451" s="85" t="n"/>
      <c r="T451" s="85" t="n"/>
      <c r="U451" s="85" t="n"/>
      <c r="V451" s="85" t="n"/>
      <c r="W451" s="85" t="n"/>
      <c r="X451" s="85" t="n"/>
      <c r="Y451" s="85" t="n"/>
      <c r="Z451" s="85" t="n"/>
      <c r="AA451" s="85" t="n"/>
      <c r="AB451" s="85" t="n"/>
      <c r="AC451" s="86" t="n"/>
      <c r="AD451" s="86" t="n"/>
      <c r="AE451" s="86" t="n"/>
      <c r="AF451" s="85" t="n"/>
      <c r="AG451" s="85" t="n"/>
      <c r="AH451" s="85">
        <f>IF($A451="","",IF(AND($E451="Yes",OR($V451="No",$V451="NOT FOUND")),"YES",""))</f>
        <v/>
      </c>
      <c r="AI451" s="85">
        <f>IF($A451="","",TRIM(IF(AND($M451=0,$I451&lt;&gt;"Yes"),"T0-NoPhishResistant ","")&amp;IF($H451="No","NoMFA ","")&amp;IF(AND($M451=0,$O451="Group only"),"T0-ViaGroupOnly ","")&amp;IF($N451="Yes","BroadAzureScope ","")&amp;IF($T451="Yes","AlsoEntraRole ","")))</f>
        <v/>
      </c>
      <c r="AJ451" s="85">
        <f>IF($A451="","",IF(AD451="","Not Enrolled",IF(TODAY()&gt;AD451,"Review Overdue",IF(AD451-TODAY()&lt;=30,"Review Due Soon","Active"))))</f>
        <v/>
      </c>
      <c r="AK451" s="85">
        <f>IF($A451="","",IF(AE451="","NOT REVIEWED",IF(TODAY()-AE451&gt;90,"OVERDUE",IF(TODAY()-AE451&gt;76,"Due Soon","Current"))))</f>
        <v/>
      </c>
    </row>
    <row r="452" ht="15" customHeight="1" s="39">
      <c r="A452" s="85" t="n"/>
      <c r="B452" s="85" t="n"/>
      <c r="C452" s="85" t="n"/>
      <c r="D452" s="85" t="n"/>
      <c r="E452" s="85" t="n"/>
      <c r="F452" s="86" t="n"/>
      <c r="G452" s="86" t="n"/>
      <c r="H452" s="85" t="n"/>
      <c r="I452" s="85" t="n"/>
      <c r="J452" s="85" t="n"/>
      <c r="K452" s="85" t="n"/>
      <c r="L452" s="85" t="n"/>
      <c r="M452" s="85" t="n"/>
      <c r="N452" s="85" t="n"/>
      <c r="O452" s="85" t="n"/>
      <c r="P452" s="85" t="n"/>
      <c r="Q452" s="85" t="n"/>
      <c r="R452" s="85" t="n"/>
      <c r="S452" s="85" t="n"/>
      <c r="T452" s="85" t="n"/>
      <c r="U452" s="85" t="n"/>
      <c r="V452" s="85" t="n"/>
      <c r="W452" s="85" t="n"/>
      <c r="X452" s="85" t="n"/>
      <c r="Y452" s="85" t="n"/>
      <c r="Z452" s="85" t="n"/>
      <c r="AA452" s="85" t="n"/>
      <c r="AB452" s="85" t="n"/>
      <c r="AC452" s="86" t="n"/>
      <c r="AD452" s="86" t="n"/>
      <c r="AE452" s="86" t="n"/>
      <c r="AF452" s="85" t="n"/>
      <c r="AG452" s="85" t="n"/>
      <c r="AH452" s="85">
        <f>IF($A452="","",IF(AND($E452="Yes",OR($V452="No",$V452="NOT FOUND")),"YES",""))</f>
        <v/>
      </c>
      <c r="AI452" s="85">
        <f>IF($A452="","",TRIM(IF(AND($M452=0,$I452&lt;&gt;"Yes"),"T0-NoPhishResistant ","")&amp;IF($H452="No","NoMFA ","")&amp;IF(AND($M452=0,$O452="Group only"),"T0-ViaGroupOnly ","")&amp;IF($N452="Yes","BroadAzureScope ","")&amp;IF($T452="Yes","AlsoEntraRole ","")))</f>
        <v/>
      </c>
      <c r="AJ452" s="85">
        <f>IF($A452="","",IF(AD452="","Not Enrolled",IF(TODAY()&gt;AD452,"Review Overdue",IF(AD452-TODAY()&lt;=30,"Review Due Soon","Active"))))</f>
        <v/>
      </c>
      <c r="AK452" s="85">
        <f>IF($A452="","",IF(AE452="","NOT REVIEWED",IF(TODAY()-AE452&gt;90,"OVERDUE",IF(TODAY()-AE452&gt;76,"Due Soon","Current"))))</f>
        <v/>
      </c>
    </row>
    <row r="453" ht="15" customHeight="1" s="39">
      <c r="A453" s="85" t="n"/>
      <c r="B453" s="85" t="n"/>
      <c r="C453" s="85" t="n"/>
      <c r="D453" s="85" t="n"/>
      <c r="E453" s="85" t="n"/>
      <c r="F453" s="86" t="n"/>
      <c r="G453" s="86" t="n"/>
      <c r="H453" s="85" t="n"/>
      <c r="I453" s="85" t="n"/>
      <c r="J453" s="85" t="n"/>
      <c r="K453" s="85" t="n"/>
      <c r="L453" s="85" t="n"/>
      <c r="M453" s="85" t="n"/>
      <c r="N453" s="85" t="n"/>
      <c r="O453" s="85" t="n"/>
      <c r="P453" s="85" t="n"/>
      <c r="Q453" s="85" t="n"/>
      <c r="R453" s="85" t="n"/>
      <c r="S453" s="85" t="n"/>
      <c r="T453" s="85" t="n"/>
      <c r="U453" s="85" t="n"/>
      <c r="V453" s="85" t="n"/>
      <c r="W453" s="85" t="n"/>
      <c r="X453" s="85" t="n"/>
      <c r="Y453" s="85" t="n"/>
      <c r="Z453" s="85" t="n"/>
      <c r="AA453" s="85" t="n"/>
      <c r="AB453" s="85" t="n"/>
      <c r="AC453" s="86" t="n"/>
      <c r="AD453" s="86" t="n"/>
      <c r="AE453" s="86" t="n"/>
      <c r="AF453" s="85" t="n"/>
      <c r="AG453" s="85" t="n"/>
      <c r="AH453" s="85">
        <f>IF($A453="","",IF(AND($E453="Yes",OR($V453="No",$V453="NOT FOUND")),"YES",""))</f>
        <v/>
      </c>
      <c r="AI453" s="85">
        <f>IF($A453="","",TRIM(IF(AND($M453=0,$I453&lt;&gt;"Yes"),"T0-NoPhishResistant ","")&amp;IF($H453="No","NoMFA ","")&amp;IF(AND($M453=0,$O453="Group only"),"T0-ViaGroupOnly ","")&amp;IF($N453="Yes","BroadAzureScope ","")&amp;IF($T453="Yes","AlsoEntraRole ","")))</f>
        <v/>
      </c>
      <c r="AJ453" s="85">
        <f>IF($A453="","",IF(AD453="","Not Enrolled",IF(TODAY()&gt;AD453,"Review Overdue",IF(AD453-TODAY()&lt;=30,"Review Due Soon","Active"))))</f>
        <v/>
      </c>
      <c r="AK453" s="85">
        <f>IF($A453="","",IF(AE453="","NOT REVIEWED",IF(TODAY()-AE453&gt;90,"OVERDUE",IF(TODAY()-AE453&gt;76,"Due Soon","Current"))))</f>
        <v/>
      </c>
    </row>
    <row r="454" ht="15" customHeight="1" s="39">
      <c r="A454" s="85" t="n"/>
      <c r="B454" s="85" t="n"/>
      <c r="C454" s="85" t="n"/>
      <c r="D454" s="85" t="n"/>
      <c r="E454" s="85" t="n"/>
      <c r="F454" s="86" t="n"/>
      <c r="G454" s="86" t="n"/>
      <c r="H454" s="85" t="n"/>
      <c r="I454" s="85" t="n"/>
      <c r="J454" s="85" t="n"/>
      <c r="K454" s="85" t="n"/>
      <c r="L454" s="85" t="n"/>
      <c r="M454" s="85" t="n"/>
      <c r="N454" s="85" t="n"/>
      <c r="O454" s="85" t="n"/>
      <c r="P454" s="85" t="n"/>
      <c r="Q454" s="85" t="n"/>
      <c r="R454" s="85" t="n"/>
      <c r="S454" s="85" t="n"/>
      <c r="T454" s="85" t="n"/>
      <c r="U454" s="85" t="n"/>
      <c r="V454" s="85" t="n"/>
      <c r="W454" s="85" t="n"/>
      <c r="X454" s="85" t="n"/>
      <c r="Y454" s="85" t="n"/>
      <c r="Z454" s="85" t="n"/>
      <c r="AA454" s="85" t="n"/>
      <c r="AB454" s="85" t="n"/>
      <c r="AC454" s="86" t="n"/>
      <c r="AD454" s="86" t="n"/>
      <c r="AE454" s="86" t="n"/>
      <c r="AF454" s="85" t="n"/>
      <c r="AG454" s="85" t="n"/>
      <c r="AH454" s="85">
        <f>IF($A454="","",IF(AND($E454="Yes",OR($V454="No",$V454="NOT FOUND")),"YES",""))</f>
        <v/>
      </c>
      <c r="AI454" s="85">
        <f>IF($A454="","",TRIM(IF(AND($M454=0,$I454&lt;&gt;"Yes"),"T0-NoPhishResistant ","")&amp;IF($H454="No","NoMFA ","")&amp;IF(AND($M454=0,$O454="Group only"),"T0-ViaGroupOnly ","")&amp;IF($N454="Yes","BroadAzureScope ","")&amp;IF($T454="Yes","AlsoEntraRole ","")))</f>
        <v/>
      </c>
      <c r="AJ454" s="85">
        <f>IF($A454="","",IF(AD454="","Not Enrolled",IF(TODAY()&gt;AD454,"Review Overdue",IF(AD454-TODAY()&lt;=30,"Review Due Soon","Active"))))</f>
        <v/>
      </c>
      <c r="AK454" s="85">
        <f>IF($A454="","",IF(AE454="","NOT REVIEWED",IF(TODAY()-AE454&gt;90,"OVERDUE",IF(TODAY()-AE454&gt;76,"Due Soon","Current"))))</f>
        <v/>
      </c>
    </row>
    <row r="455" ht="15" customHeight="1" s="39">
      <c r="A455" s="85" t="n"/>
      <c r="B455" s="85" t="n"/>
      <c r="C455" s="85" t="n"/>
      <c r="D455" s="85" t="n"/>
      <c r="E455" s="85" t="n"/>
      <c r="F455" s="86" t="n"/>
      <c r="G455" s="86" t="n"/>
      <c r="H455" s="85" t="n"/>
      <c r="I455" s="85" t="n"/>
      <c r="J455" s="85" t="n"/>
      <c r="K455" s="85" t="n"/>
      <c r="L455" s="85" t="n"/>
      <c r="M455" s="85" t="n"/>
      <c r="N455" s="85" t="n"/>
      <c r="O455" s="85" t="n"/>
      <c r="P455" s="85" t="n"/>
      <c r="Q455" s="85" t="n"/>
      <c r="R455" s="85" t="n"/>
      <c r="S455" s="85" t="n"/>
      <c r="T455" s="85" t="n"/>
      <c r="U455" s="85" t="n"/>
      <c r="V455" s="85" t="n"/>
      <c r="W455" s="85" t="n"/>
      <c r="X455" s="85" t="n"/>
      <c r="Y455" s="85" t="n"/>
      <c r="Z455" s="85" t="n"/>
      <c r="AA455" s="85" t="n"/>
      <c r="AB455" s="85" t="n"/>
      <c r="AC455" s="86" t="n"/>
      <c r="AD455" s="86" t="n"/>
      <c r="AE455" s="86" t="n"/>
      <c r="AF455" s="85" t="n"/>
      <c r="AG455" s="85" t="n"/>
      <c r="AH455" s="85">
        <f>IF($A455="","",IF(AND($E455="Yes",OR($V455="No",$V455="NOT FOUND")),"YES",""))</f>
        <v/>
      </c>
      <c r="AI455" s="85">
        <f>IF($A455="","",TRIM(IF(AND($M455=0,$I455&lt;&gt;"Yes"),"T0-NoPhishResistant ","")&amp;IF($H455="No","NoMFA ","")&amp;IF(AND($M455=0,$O455="Group only"),"T0-ViaGroupOnly ","")&amp;IF($N455="Yes","BroadAzureScope ","")&amp;IF($T455="Yes","AlsoEntraRole ","")))</f>
        <v/>
      </c>
      <c r="AJ455" s="85">
        <f>IF($A455="","",IF(AD455="","Not Enrolled",IF(TODAY()&gt;AD455,"Review Overdue",IF(AD455-TODAY()&lt;=30,"Review Due Soon","Active"))))</f>
        <v/>
      </c>
      <c r="AK455" s="85">
        <f>IF($A455="","",IF(AE455="","NOT REVIEWED",IF(TODAY()-AE455&gt;90,"OVERDUE",IF(TODAY()-AE455&gt;76,"Due Soon","Current"))))</f>
        <v/>
      </c>
    </row>
    <row r="456" ht="15" customHeight="1" s="39">
      <c r="A456" s="85" t="n"/>
      <c r="B456" s="85" t="n"/>
      <c r="C456" s="85" t="n"/>
      <c r="D456" s="85" t="n"/>
      <c r="E456" s="85" t="n"/>
      <c r="F456" s="86" t="n"/>
      <c r="G456" s="86" t="n"/>
      <c r="H456" s="85" t="n"/>
      <c r="I456" s="85" t="n"/>
      <c r="J456" s="85" t="n"/>
      <c r="K456" s="85" t="n"/>
      <c r="L456" s="85" t="n"/>
      <c r="M456" s="85" t="n"/>
      <c r="N456" s="85" t="n"/>
      <c r="O456" s="85" t="n"/>
      <c r="P456" s="85" t="n"/>
      <c r="Q456" s="85" t="n"/>
      <c r="R456" s="85" t="n"/>
      <c r="S456" s="85" t="n"/>
      <c r="T456" s="85" t="n"/>
      <c r="U456" s="85" t="n"/>
      <c r="V456" s="85" t="n"/>
      <c r="W456" s="85" t="n"/>
      <c r="X456" s="85" t="n"/>
      <c r="Y456" s="85" t="n"/>
      <c r="Z456" s="85" t="n"/>
      <c r="AA456" s="85" t="n"/>
      <c r="AB456" s="85" t="n"/>
      <c r="AC456" s="86" t="n"/>
      <c r="AD456" s="86" t="n"/>
      <c r="AE456" s="86" t="n"/>
      <c r="AF456" s="85" t="n"/>
      <c r="AG456" s="85" t="n"/>
      <c r="AH456" s="85">
        <f>IF($A456="","",IF(AND($E456="Yes",OR($V456="No",$V456="NOT FOUND")),"YES",""))</f>
        <v/>
      </c>
      <c r="AI456" s="85">
        <f>IF($A456="","",TRIM(IF(AND($M456=0,$I456&lt;&gt;"Yes"),"T0-NoPhishResistant ","")&amp;IF($H456="No","NoMFA ","")&amp;IF(AND($M456=0,$O456="Group only"),"T0-ViaGroupOnly ","")&amp;IF($N456="Yes","BroadAzureScope ","")&amp;IF($T456="Yes","AlsoEntraRole ","")))</f>
        <v/>
      </c>
      <c r="AJ456" s="85">
        <f>IF($A456="","",IF(AD456="","Not Enrolled",IF(TODAY()&gt;AD456,"Review Overdue",IF(AD456-TODAY()&lt;=30,"Review Due Soon","Active"))))</f>
        <v/>
      </c>
      <c r="AK456" s="85">
        <f>IF($A456="","",IF(AE456="","NOT REVIEWED",IF(TODAY()-AE456&gt;90,"OVERDUE",IF(TODAY()-AE456&gt;76,"Due Soon","Current"))))</f>
        <v/>
      </c>
    </row>
    <row r="457" ht="15" customHeight="1" s="39">
      <c r="A457" s="85" t="n"/>
      <c r="B457" s="85" t="n"/>
      <c r="C457" s="85" t="n"/>
      <c r="D457" s="85" t="n"/>
      <c r="E457" s="85" t="n"/>
      <c r="F457" s="86" t="n"/>
      <c r="G457" s="86" t="n"/>
      <c r="H457" s="85" t="n"/>
      <c r="I457" s="85" t="n"/>
      <c r="J457" s="85" t="n"/>
      <c r="K457" s="85" t="n"/>
      <c r="L457" s="85" t="n"/>
      <c r="M457" s="85" t="n"/>
      <c r="N457" s="85" t="n"/>
      <c r="O457" s="85" t="n"/>
      <c r="P457" s="85" t="n"/>
      <c r="Q457" s="85" t="n"/>
      <c r="R457" s="85" t="n"/>
      <c r="S457" s="85" t="n"/>
      <c r="T457" s="85" t="n"/>
      <c r="U457" s="85" t="n"/>
      <c r="V457" s="85" t="n"/>
      <c r="W457" s="85" t="n"/>
      <c r="X457" s="85" t="n"/>
      <c r="Y457" s="85" t="n"/>
      <c r="Z457" s="85" t="n"/>
      <c r="AA457" s="85" t="n"/>
      <c r="AB457" s="85" t="n"/>
      <c r="AC457" s="86" t="n"/>
      <c r="AD457" s="86" t="n"/>
      <c r="AE457" s="86" t="n"/>
      <c r="AF457" s="85" t="n"/>
      <c r="AG457" s="85" t="n"/>
      <c r="AH457" s="85">
        <f>IF($A457="","",IF(AND($E457="Yes",OR($V457="No",$V457="NOT FOUND")),"YES",""))</f>
        <v/>
      </c>
      <c r="AI457" s="85">
        <f>IF($A457="","",TRIM(IF(AND($M457=0,$I457&lt;&gt;"Yes"),"T0-NoPhishResistant ","")&amp;IF($H457="No","NoMFA ","")&amp;IF(AND($M457=0,$O457="Group only"),"T0-ViaGroupOnly ","")&amp;IF($N457="Yes","BroadAzureScope ","")&amp;IF($T457="Yes","AlsoEntraRole ","")))</f>
        <v/>
      </c>
      <c r="AJ457" s="85">
        <f>IF($A457="","",IF(AD457="","Not Enrolled",IF(TODAY()&gt;AD457,"Review Overdue",IF(AD457-TODAY()&lt;=30,"Review Due Soon","Active"))))</f>
        <v/>
      </c>
      <c r="AK457" s="85">
        <f>IF($A457="","",IF(AE457="","NOT REVIEWED",IF(TODAY()-AE457&gt;90,"OVERDUE",IF(TODAY()-AE457&gt;76,"Due Soon","Current"))))</f>
        <v/>
      </c>
    </row>
    <row r="458" ht="15" customHeight="1" s="39">
      <c r="A458" s="85" t="n"/>
      <c r="B458" s="85" t="n"/>
      <c r="C458" s="85" t="n"/>
      <c r="D458" s="85" t="n"/>
      <c r="E458" s="85" t="n"/>
      <c r="F458" s="86" t="n"/>
      <c r="G458" s="86" t="n"/>
      <c r="H458" s="85" t="n"/>
      <c r="I458" s="85" t="n"/>
      <c r="J458" s="85" t="n"/>
      <c r="K458" s="85" t="n"/>
      <c r="L458" s="85" t="n"/>
      <c r="M458" s="85" t="n"/>
      <c r="N458" s="85" t="n"/>
      <c r="O458" s="85" t="n"/>
      <c r="P458" s="85" t="n"/>
      <c r="Q458" s="85" t="n"/>
      <c r="R458" s="85" t="n"/>
      <c r="S458" s="85" t="n"/>
      <c r="T458" s="85" t="n"/>
      <c r="U458" s="85" t="n"/>
      <c r="V458" s="85" t="n"/>
      <c r="W458" s="85" t="n"/>
      <c r="X458" s="85" t="n"/>
      <c r="Y458" s="85" t="n"/>
      <c r="Z458" s="85" t="n"/>
      <c r="AA458" s="85" t="n"/>
      <c r="AB458" s="85" t="n"/>
      <c r="AC458" s="86" t="n"/>
      <c r="AD458" s="86" t="n"/>
      <c r="AE458" s="86" t="n"/>
      <c r="AF458" s="85" t="n"/>
      <c r="AG458" s="85" t="n"/>
      <c r="AH458" s="85">
        <f>IF($A458="","",IF(AND($E458="Yes",OR($V458="No",$V458="NOT FOUND")),"YES",""))</f>
        <v/>
      </c>
      <c r="AI458" s="85">
        <f>IF($A458="","",TRIM(IF(AND($M458=0,$I458&lt;&gt;"Yes"),"T0-NoPhishResistant ","")&amp;IF($H458="No","NoMFA ","")&amp;IF(AND($M458=0,$O458="Group only"),"T0-ViaGroupOnly ","")&amp;IF($N458="Yes","BroadAzureScope ","")&amp;IF($T458="Yes","AlsoEntraRole ","")))</f>
        <v/>
      </c>
      <c r="AJ458" s="85">
        <f>IF($A458="","",IF(AD458="","Not Enrolled",IF(TODAY()&gt;AD458,"Review Overdue",IF(AD458-TODAY()&lt;=30,"Review Due Soon","Active"))))</f>
        <v/>
      </c>
      <c r="AK458" s="85">
        <f>IF($A458="","",IF(AE458="","NOT REVIEWED",IF(TODAY()-AE458&gt;90,"OVERDUE",IF(TODAY()-AE458&gt;76,"Due Soon","Current"))))</f>
        <v/>
      </c>
    </row>
    <row r="459" ht="15" customHeight="1" s="39">
      <c r="A459" s="85" t="n"/>
      <c r="B459" s="85" t="n"/>
      <c r="C459" s="85" t="n"/>
      <c r="D459" s="85" t="n"/>
      <c r="E459" s="85" t="n"/>
      <c r="F459" s="86" t="n"/>
      <c r="G459" s="86" t="n"/>
      <c r="H459" s="85" t="n"/>
      <c r="I459" s="85" t="n"/>
      <c r="J459" s="85" t="n"/>
      <c r="K459" s="85" t="n"/>
      <c r="L459" s="85" t="n"/>
      <c r="M459" s="85" t="n"/>
      <c r="N459" s="85" t="n"/>
      <c r="O459" s="85" t="n"/>
      <c r="P459" s="85" t="n"/>
      <c r="Q459" s="85" t="n"/>
      <c r="R459" s="85" t="n"/>
      <c r="S459" s="85" t="n"/>
      <c r="T459" s="85" t="n"/>
      <c r="U459" s="85" t="n"/>
      <c r="V459" s="85" t="n"/>
      <c r="W459" s="85" t="n"/>
      <c r="X459" s="85" t="n"/>
      <c r="Y459" s="85" t="n"/>
      <c r="Z459" s="85" t="n"/>
      <c r="AA459" s="85" t="n"/>
      <c r="AB459" s="85" t="n"/>
      <c r="AC459" s="86" t="n"/>
      <c r="AD459" s="86" t="n"/>
      <c r="AE459" s="86" t="n"/>
      <c r="AF459" s="85" t="n"/>
      <c r="AG459" s="85" t="n"/>
      <c r="AH459" s="85">
        <f>IF($A459="","",IF(AND($E459="Yes",OR($V459="No",$V459="NOT FOUND")),"YES",""))</f>
        <v/>
      </c>
      <c r="AI459" s="85">
        <f>IF($A459="","",TRIM(IF(AND($M459=0,$I459&lt;&gt;"Yes"),"T0-NoPhishResistant ","")&amp;IF($H459="No","NoMFA ","")&amp;IF(AND($M459=0,$O459="Group only"),"T0-ViaGroupOnly ","")&amp;IF($N459="Yes","BroadAzureScope ","")&amp;IF($T459="Yes","AlsoEntraRole ","")))</f>
        <v/>
      </c>
      <c r="AJ459" s="85">
        <f>IF($A459="","",IF(AD459="","Not Enrolled",IF(TODAY()&gt;AD459,"Review Overdue",IF(AD459-TODAY()&lt;=30,"Review Due Soon","Active"))))</f>
        <v/>
      </c>
      <c r="AK459" s="85">
        <f>IF($A459="","",IF(AE459="","NOT REVIEWED",IF(TODAY()-AE459&gt;90,"OVERDUE",IF(TODAY()-AE459&gt;76,"Due Soon","Current"))))</f>
        <v/>
      </c>
    </row>
    <row r="460" ht="15" customHeight="1" s="39">
      <c r="A460" s="85" t="n"/>
      <c r="B460" s="85" t="n"/>
      <c r="C460" s="85" t="n"/>
      <c r="D460" s="85" t="n"/>
      <c r="E460" s="85" t="n"/>
      <c r="F460" s="86" t="n"/>
      <c r="G460" s="86" t="n"/>
      <c r="H460" s="85" t="n"/>
      <c r="I460" s="85" t="n"/>
      <c r="J460" s="85" t="n"/>
      <c r="K460" s="85" t="n"/>
      <c r="L460" s="85" t="n"/>
      <c r="M460" s="85" t="n"/>
      <c r="N460" s="85" t="n"/>
      <c r="O460" s="85" t="n"/>
      <c r="P460" s="85" t="n"/>
      <c r="Q460" s="85" t="n"/>
      <c r="R460" s="85" t="n"/>
      <c r="S460" s="85" t="n"/>
      <c r="T460" s="85" t="n"/>
      <c r="U460" s="85" t="n"/>
      <c r="V460" s="85" t="n"/>
      <c r="W460" s="85" t="n"/>
      <c r="X460" s="85" t="n"/>
      <c r="Y460" s="85" t="n"/>
      <c r="Z460" s="85" t="n"/>
      <c r="AA460" s="85" t="n"/>
      <c r="AB460" s="85" t="n"/>
      <c r="AC460" s="86" t="n"/>
      <c r="AD460" s="86" t="n"/>
      <c r="AE460" s="86" t="n"/>
      <c r="AF460" s="85" t="n"/>
      <c r="AG460" s="85" t="n"/>
      <c r="AH460" s="85">
        <f>IF($A460="","",IF(AND($E460="Yes",OR($V460="No",$V460="NOT FOUND")),"YES",""))</f>
        <v/>
      </c>
      <c r="AI460" s="85">
        <f>IF($A460="","",TRIM(IF(AND($M460=0,$I460&lt;&gt;"Yes"),"T0-NoPhishResistant ","")&amp;IF($H460="No","NoMFA ","")&amp;IF(AND($M460=0,$O460="Group only"),"T0-ViaGroupOnly ","")&amp;IF($N460="Yes","BroadAzureScope ","")&amp;IF($T460="Yes","AlsoEntraRole ","")))</f>
        <v/>
      </c>
      <c r="AJ460" s="85">
        <f>IF($A460="","",IF(AD460="","Not Enrolled",IF(TODAY()&gt;AD460,"Review Overdue",IF(AD460-TODAY()&lt;=30,"Review Due Soon","Active"))))</f>
        <v/>
      </c>
      <c r="AK460" s="85">
        <f>IF($A460="","",IF(AE460="","NOT REVIEWED",IF(TODAY()-AE460&gt;90,"OVERDUE",IF(TODAY()-AE460&gt;76,"Due Soon","Current"))))</f>
        <v/>
      </c>
    </row>
    <row r="461" ht="15" customHeight="1" s="39">
      <c r="A461" s="85" t="n"/>
      <c r="B461" s="85" t="n"/>
      <c r="C461" s="85" t="n"/>
      <c r="D461" s="85" t="n"/>
      <c r="E461" s="85" t="n"/>
      <c r="F461" s="86" t="n"/>
      <c r="G461" s="86" t="n"/>
      <c r="H461" s="85" t="n"/>
      <c r="I461" s="85" t="n"/>
      <c r="J461" s="85" t="n"/>
      <c r="K461" s="85" t="n"/>
      <c r="L461" s="85" t="n"/>
      <c r="M461" s="85" t="n"/>
      <c r="N461" s="85" t="n"/>
      <c r="O461" s="85" t="n"/>
      <c r="P461" s="85" t="n"/>
      <c r="Q461" s="85" t="n"/>
      <c r="R461" s="85" t="n"/>
      <c r="S461" s="85" t="n"/>
      <c r="T461" s="85" t="n"/>
      <c r="U461" s="85" t="n"/>
      <c r="V461" s="85" t="n"/>
      <c r="W461" s="85" t="n"/>
      <c r="X461" s="85" t="n"/>
      <c r="Y461" s="85" t="n"/>
      <c r="Z461" s="85" t="n"/>
      <c r="AA461" s="85" t="n"/>
      <c r="AB461" s="85" t="n"/>
      <c r="AC461" s="86" t="n"/>
      <c r="AD461" s="86" t="n"/>
      <c r="AE461" s="86" t="n"/>
      <c r="AF461" s="85" t="n"/>
      <c r="AG461" s="85" t="n"/>
      <c r="AH461" s="85">
        <f>IF($A461="","",IF(AND($E461="Yes",OR($V461="No",$V461="NOT FOUND")),"YES",""))</f>
        <v/>
      </c>
      <c r="AI461" s="85">
        <f>IF($A461="","",TRIM(IF(AND($M461=0,$I461&lt;&gt;"Yes"),"T0-NoPhishResistant ","")&amp;IF($H461="No","NoMFA ","")&amp;IF(AND($M461=0,$O461="Group only"),"T0-ViaGroupOnly ","")&amp;IF($N461="Yes","BroadAzureScope ","")&amp;IF($T461="Yes","AlsoEntraRole ","")))</f>
        <v/>
      </c>
      <c r="AJ461" s="85">
        <f>IF($A461="","",IF(AD461="","Not Enrolled",IF(TODAY()&gt;AD461,"Review Overdue",IF(AD461-TODAY()&lt;=30,"Review Due Soon","Active"))))</f>
        <v/>
      </c>
      <c r="AK461" s="85">
        <f>IF($A461="","",IF(AE461="","NOT REVIEWED",IF(TODAY()-AE461&gt;90,"OVERDUE",IF(TODAY()-AE461&gt;76,"Due Soon","Current"))))</f>
        <v/>
      </c>
    </row>
    <row r="462" ht="15" customHeight="1" s="39">
      <c r="A462" s="85" t="n"/>
      <c r="B462" s="85" t="n"/>
      <c r="C462" s="85" t="n"/>
      <c r="D462" s="85" t="n"/>
      <c r="E462" s="85" t="n"/>
      <c r="F462" s="86" t="n"/>
      <c r="G462" s="86" t="n"/>
      <c r="H462" s="85" t="n"/>
      <c r="I462" s="85" t="n"/>
      <c r="J462" s="85" t="n"/>
      <c r="K462" s="85" t="n"/>
      <c r="L462" s="85" t="n"/>
      <c r="M462" s="85" t="n"/>
      <c r="N462" s="85" t="n"/>
      <c r="O462" s="85" t="n"/>
      <c r="P462" s="85" t="n"/>
      <c r="Q462" s="85" t="n"/>
      <c r="R462" s="85" t="n"/>
      <c r="S462" s="85" t="n"/>
      <c r="T462" s="85" t="n"/>
      <c r="U462" s="85" t="n"/>
      <c r="V462" s="85" t="n"/>
      <c r="W462" s="85" t="n"/>
      <c r="X462" s="85" t="n"/>
      <c r="Y462" s="85" t="n"/>
      <c r="Z462" s="85" t="n"/>
      <c r="AA462" s="85" t="n"/>
      <c r="AB462" s="85" t="n"/>
      <c r="AC462" s="86" t="n"/>
      <c r="AD462" s="86" t="n"/>
      <c r="AE462" s="86" t="n"/>
      <c r="AF462" s="85" t="n"/>
      <c r="AG462" s="85" t="n"/>
      <c r="AH462" s="85">
        <f>IF($A462="","",IF(AND($E462="Yes",OR($V462="No",$V462="NOT FOUND")),"YES",""))</f>
        <v/>
      </c>
      <c r="AI462" s="85">
        <f>IF($A462="","",TRIM(IF(AND($M462=0,$I462&lt;&gt;"Yes"),"T0-NoPhishResistant ","")&amp;IF($H462="No","NoMFA ","")&amp;IF(AND($M462=0,$O462="Group only"),"T0-ViaGroupOnly ","")&amp;IF($N462="Yes","BroadAzureScope ","")&amp;IF($T462="Yes","AlsoEntraRole ","")))</f>
        <v/>
      </c>
      <c r="AJ462" s="85">
        <f>IF($A462="","",IF(AD462="","Not Enrolled",IF(TODAY()&gt;AD462,"Review Overdue",IF(AD462-TODAY()&lt;=30,"Review Due Soon","Active"))))</f>
        <v/>
      </c>
      <c r="AK462" s="85">
        <f>IF($A462="","",IF(AE462="","NOT REVIEWED",IF(TODAY()-AE462&gt;90,"OVERDUE",IF(TODAY()-AE462&gt;76,"Due Soon","Current"))))</f>
        <v/>
      </c>
    </row>
    <row r="463" ht="15" customHeight="1" s="39">
      <c r="A463" s="85" t="n"/>
      <c r="B463" s="85" t="n"/>
      <c r="C463" s="85" t="n"/>
      <c r="D463" s="85" t="n"/>
      <c r="E463" s="85" t="n"/>
      <c r="F463" s="86" t="n"/>
      <c r="G463" s="86" t="n"/>
      <c r="H463" s="85" t="n"/>
      <c r="I463" s="85" t="n"/>
      <c r="J463" s="85" t="n"/>
      <c r="K463" s="85" t="n"/>
      <c r="L463" s="85" t="n"/>
      <c r="M463" s="85" t="n"/>
      <c r="N463" s="85" t="n"/>
      <c r="O463" s="85" t="n"/>
      <c r="P463" s="85" t="n"/>
      <c r="Q463" s="85" t="n"/>
      <c r="R463" s="85" t="n"/>
      <c r="S463" s="85" t="n"/>
      <c r="T463" s="85" t="n"/>
      <c r="U463" s="85" t="n"/>
      <c r="V463" s="85" t="n"/>
      <c r="W463" s="85" t="n"/>
      <c r="X463" s="85" t="n"/>
      <c r="Y463" s="85" t="n"/>
      <c r="Z463" s="85" t="n"/>
      <c r="AA463" s="85" t="n"/>
      <c r="AB463" s="85" t="n"/>
      <c r="AC463" s="86" t="n"/>
      <c r="AD463" s="86" t="n"/>
      <c r="AE463" s="86" t="n"/>
      <c r="AF463" s="85" t="n"/>
      <c r="AG463" s="85" t="n"/>
      <c r="AH463" s="85">
        <f>IF($A463="","",IF(AND($E463="Yes",OR($V463="No",$V463="NOT FOUND")),"YES",""))</f>
        <v/>
      </c>
      <c r="AI463" s="85">
        <f>IF($A463="","",TRIM(IF(AND($M463=0,$I463&lt;&gt;"Yes"),"T0-NoPhishResistant ","")&amp;IF($H463="No","NoMFA ","")&amp;IF(AND($M463=0,$O463="Group only"),"T0-ViaGroupOnly ","")&amp;IF($N463="Yes","BroadAzureScope ","")&amp;IF($T463="Yes","AlsoEntraRole ","")))</f>
        <v/>
      </c>
      <c r="AJ463" s="85">
        <f>IF($A463="","",IF(AD463="","Not Enrolled",IF(TODAY()&gt;AD463,"Review Overdue",IF(AD463-TODAY()&lt;=30,"Review Due Soon","Active"))))</f>
        <v/>
      </c>
      <c r="AK463" s="85">
        <f>IF($A463="","",IF(AE463="","NOT REVIEWED",IF(TODAY()-AE463&gt;90,"OVERDUE",IF(TODAY()-AE463&gt;76,"Due Soon","Current"))))</f>
        <v/>
      </c>
    </row>
    <row r="464" ht="15" customHeight="1" s="39">
      <c r="A464" s="85" t="n"/>
      <c r="B464" s="85" t="n"/>
      <c r="C464" s="85" t="n"/>
      <c r="D464" s="85" t="n"/>
      <c r="E464" s="85" t="n"/>
      <c r="F464" s="86" t="n"/>
      <c r="G464" s="86" t="n"/>
      <c r="H464" s="85" t="n"/>
      <c r="I464" s="85" t="n"/>
      <c r="J464" s="85" t="n"/>
      <c r="K464" s="85" t="n"/>
      <c r="L464" s="85" t="n"/>
      <c r="M464" s="85" t="n"/>
      <c r="N464" s="85" t="n"/>
      <c r="O464" s="85" t="n"/>
      <c r="P464" s="85" t="n"/>
      <c r="Q464" s="85" t="n"/>
      <c r="R464" s="85" t="n"/>
      <c r="S464" s="85" t="n"/>
      <c r="T464" s="85" t="n"/>
      <c r="U464" s="85" t="n"/>
      <c r="V464" s="85" t="n"/>
      <c r="W464" s="85" t="n"/>
      <c r="X464" s="85" t="n"/>
      <c r="Y464" s="85" t="n"/>
      <c r="Z464" s="85" t="n"/>
      <c r="AA464" s="85" t="n"/>
      <c r="AB464" s="85" t="n"/>
      <c r="AC464" s="86" t="n"/>
      <c r="AD464" s="86" t="n"/>
      <c r="AE464" s="86" t="n"/>
      <c r="AF464" s="85" t="n"/>
      <c r="AG464" s="85" t="n"/>
      <c r="AH464" s="85">
        <f>IF($A464="","",IF(AND($E464="Yes",OR($V464="No",$V464="NOT FOUND")),"YES",""))</f>
        <v/>
      </c>
      <c r="AI464" s="85">
        <f>IF($A464="","",TRIM(IF(AND($M464=0,$I464&lt;&gt;"Yes"),"T0-NoPhishResistant ","")&amp;IF($H464="No","NoMFA ","")&amp;IF(AND($M464=0,$O464="Group only"),"T0-ViaGroupOnly ","")&amp;IF($N464="Yes","BroadAzureScope ","")&amp;IF($T464="Yes","AlsoEntraRole ","")))</f>
        <v/>
      </c>
      <c r="AJ464" s="85">
        <f>IF($A464="","",IF(AD464="","Not Enrolled",IF(TODAY()&gt;AD464,"Review Overdue",IF(AD464-TODAY()&lt;=30,"Review Due Soon","Active"))))</f>
        <v/>
      </c>
      <c r="AK464" s="85">
        <f>IF($A464="","",IF(AE464="","NOT REVIEWED",IF(TODAY()-AE464&gt;90,"OVERDUE",IF(TODAY()-AE464&gt;76,"Due Soon","Current"))))</f>
        <v/>
      </c>
    </row>
    <row r="465" ht="15" customHeight="1" s="39">
      <c r="A465" s="85" t="n"/>
      <c r="B465" s="85" t="n"/>
      <c r="C465" s="85" t="n"/>
      <c r="D465" s="85" t="n"/>
      <c r="E465" s="85" t="n"/>
      <c r="F465" s="86" t="n"/>
      <c r="G465" s="86" t="n"/>
      <c r="H465" s="85" t="n"/>
      <c r="I465" s="85" t="n"/>
      <c r="J465" s="85" t="n"/>
      <c r="K465" s="85" t="n"/>
      <c r="L465" s="85" t="n"/>
      <c r="M465" s="85" t="n"/>
      <c r="N465" s="85" t="n"/>
      <c r="O465" s="85" t="n"/>
      <c r="P465" s="85" t="n"/>
      <c r="Q465" s="85" t="n"/>
      <c r="R465" s="85" t="n"/>
      <c r="S465" s="85" t="n"/>
      <c r="T465" s="85" t="n"/>
      <c r="U465" s="85" t="n"/>
      <c r="V465" s="85" t="n"/>
      <c r="W465" s="85" t="n"/>
      <c r="X465" s="85" t="n"/>
      <c r="Y465" s="85" t="n"/>
      <c r="Z465" s="85" t="n"/>
      <c r="AA465" s="85" t="n"/>
      <c r="AB465" s="85" t="n"/>
      <c r="AC465" s="86" t="n"/>
      <c r="AD465" s="86" t="n"/>
      <c r="AE465" s="86" t="n"/>
      <c r="AF465" s="85" t="n"/>
      <c r="AG465" s="85" t="n"/>
      <c r="AH465" s="85">
        <f>IF($A465="","",IF(AND($E465="Yes",OR($V465="No",$V465="NOT FOUND")),"YES",""))</f>
        <v/>
      </c>
      <c r="AI465" s="85">
        <f>IF($A465="","",TRIM(IF(AND($M465=0,$I465&lt;&gt;"Yes"),"T0-NoPhishResistant ","")&amp;IF($H465="No","NoMFA ","")&amp;IF(AND($M465=0,$O465="Group only"),"T0-ViaGroupOnly ","")&amp;IF($N465="Yes","BroadAzureScope ","")&amp;IF($T465="Yes","AlsoEntraRole ","")))</f>
        <v/>
      </c>
      <c r="AJ465" s="85">
        <f>IF($A465="","",IF(AD465="","Not Enrolled",IF(TODAY()&gt;AD465,"Review Overdue",IF(AD465-TODAY()&lt;=30,"Review Due Soon","Active"))))</f>
        <v/>
      </c>
      <c r="AK465" s="85">
        <f>IF($A465="","",IF(AE465="","NOT REVIEWED",IF(TODAY()-AE465&gt;90,"OVERDUE",IF(TODAY()-AE465&gt;76,"Due Soon","Current"))))</f>
        <v/>
      </c>
    </row>
    <row r="466" ht="15" customHeight="1" s="39">
      <c r="A466" s="85" t="n"/>
      <c r="B466" s="85" t="n"/>
      <c r="C466" s="85" t="n"/>
      <c r="D466" s="85" t="n"/>
      <c r="E466" s="85" t="n"/>
      <c r="F466" s="86" t="n"/>
      <c r="G466" s="86" t="n"/>
      <c r="H466" s="85" t="n"/>
      <c r="I466" s="85" t="n"/>
      <c r="J466" s="85" t="n"/>
      <c r="K466" s="85" t="n"/>
      <c r="L466" s="85" t="n"/>
      <c r="M466" s="85" t="n"/>
      <c r="N466" s="85" t="n"/>
      <c r="O466" s="85" t="n"/>
      <c r="P466" s="85" t="n"/>
      <c r="Q466" s="85" t="n"/>
      <c r="R466" s="85" t="n"/>
      <c r="S466" s="85" t="n"/>
      <c r="T466" s="85" t="n"/>
      <c r="U466" s="85" t="n"/>
      <c r="V466" s="85" t="n"/>
      <c r="W466" s="85" t="n"/>
      <c r="X466" s="85" t="n"/>
      <c r="Y466" s="85" t="n"/>
      <c r="Z466" s="85" t="n"/>
      <c r="AA466" s="85" t="n"/>
      <c r="AB466" s="85" t="n"/>
      <c r="AC466" s="86" t="n"/>
      <c r="AD466" s="86" t="n"/>
      <c r="AE466" s="86" t="n"/>
      <c r="AF466" s="85" t="n"/>
      <c r="AG466" s="85" t="n"/>
      <c r="AH466" s="85">
        <f>IF($A466="","",IF(AND($E466="Yes",OR($V466="No",$V466="NOT FOUND")),"YES",""))</f>
        <v/>
      </c>
      <c r="AI466" s="85">
        <f>IF($A466="","",TRIM(IF(AND($M466=0,$I466&lt;&gt;"Yes"),"T0-NoPhishResistant ","")&amp;IF($H466="No","NoMFA ","")&amp;IF(AND($M466=0,$O466="Group only"),"T0-ViaGroupOnly ","")&amp;IF($N466="Yes","BroadAzureScope ","")&amp;IF($T466="Yes","AlsoEntraRole ","")))</f>
        <v/>
      </c>
      <c r="AJ466" s="85">
        <f>IF($A466="","",IF(AD466="","Not Enrolled",IF(TODAY()&gt;AD466,"Review Overdue",IF(AD466-TODAY()&lt;=30,"Review Due Soon","Active"))))</f>
        <v/>
      </c>
      <c r="AK466" s="85">
        <f>IF($A466="","",IF(AE466="","NOT REVIEWED",IF(TODAY()-AE466&gt;90,"OVERDUE",IF(TODAY()-AE466&gt;76,"Due Soon","Current"))))</f>
        <v/>
      </c>
    </row>
    <row r="467" ht="15" customHeight="1" s="39">
      <c r="A467" s="85" t="n"/>
      <c r="B467" s="85" t="n"/>
      <c r="C467" s="85" t="n"/>
      <c r="D467" s="85" t="n"/>
      <c r="E467" s="85" t="n"/>
      <c r="F467" s="86" t="n"/>
      <c r="G467" s="86" t="n"/>
      <c r="H467" s="85" t="n"/>
      <c r="I467" s="85" t="n"/>
      <c r="J467" s="85" t="n"/>
      <c r="K467" s="85" t="n"/>
      <c r="L467" s="85" t="n"/>
      <c r="M467" s="85" t="n"/>
      <c r="N467" s="85" t="n"/>
      <c r="O467" s="85" t="n"/>
      <c r="P467" s="85" t="n"/>
      <c r="Q467" s="85" t="n"/>
      <c r="R467" s="85" t="n"/>
      <c r="S467" s="85" t="n"/>
      <c r="T467" s="85" t="n"/>
      <c r="U467" s="85" t="n"/>
      <c r="V467" s="85" t="n"/>
      <c r="W467" s="85" t="n"/>
      <c r="X467" s="85" t="n"/>
      <c r="Y467" s="85" t="n"/>
      <c r="Z467" s="85" t="n"/>
      <c r="AA467" s="85" t="n"/>
      <c r="AB467" s="85" t="n"/>
      <c r="AC467" s="86" t="n"/>
      <c r="AD467" s="86" t="n"/>
      <c r="AE467" s="86" t="n"/>
      <c r="AF467" s="85" t="n"/>
      <c r="AG467" s="85" t="n"/>
      <c r="AH467" s="85">
        <f>IF($A467="","",IF(AND($E467="Yes",OR($V467="No",$V467="NOT FOUND")),"YES",""))</f>
        <v/>
      </c>
      <c r="AI467" s="85">
        <f>IF($A467="","",TRIM(IF(AND($M467=0,$I467&lt;&gt;"Yes"),"T0-NoPhishResistant ","")&amp;IF($H467="No","NoMFA ","")&amp;IF(AND($M467=0,$O467="Group only"),"T0-ViaGroupOnly ","")&amp;IF($N467="Yes","BroadAzureScope ","")&amp;IF($T467="Yes","AlsoEntraRole ","")))</f>
        <v/>
      </c>
      <c r="AJ467" s="85">
        <f>IF($A467="","",IF(AD467="","Not Enrolled",IF(TODAY()&gt;AD467,"Review Overdue",IF(AD467-TODAY()&lt;=30,"Review Due Soon","Active"))))</f>
        <v/>
      </c>
      <c r="AK467" s="85">
        <f>IF($A467="","",IF(AE467="","NOT REVIEWED",IF(TODAY()-AE467&gt;90,"OVERDUE",IF(TODAY()-AE467&gt;76,"Due Soon","Current"))))</f>
        <v/>
      </c>
    </row>
    <row r="468" ht="15" customHeight="1" s="39">
      <c r="A468" s="85" t="n"/>
      <c r="B468" s="85" t="n"/>
      <c r="C468" s="85" t="n"/>
      <c r="D468" s="85" t="n"/>
      <c r="E468" s="85" t="n"/>
      <c r="F468" s="86" t="n"/>
      <c r="G468" s="86" t="n"/>
      <c r="H468" s="85" t="n"/>
      <c r="I468" s="85" t="n"/>
      <c r="J468" s="85" t="n"/>
      <c r="K468" s="85" t="n"/>
      <c r="L468" s="85" t="n"/>
      <c r="M468" s="85" t="n"/>
      <c r="N468" s="85" t="n"/>
      <c r="O468" s="85" t="n"/>
      <c r="P468" s="85" t="n"/>
      <c r="Q468" s="85" t="n"/>
      <c r="R468" s="85" t="n"/>
      <c r="S468" s="85" t="n"/>
      <c r="T468" s="85" t="n"/>
      <c r="U468" s="85" t="n"/>
      <c r="V468" s="85" t="n"/>
      <c r="W468" s="85" t="n"/>
      <c r="X468" s="85" t="n"/>
      <c r="Y468" s="85" t="n"/>
      <c r="Z468" s="85" t="n"/>
      <c r="AA468" s="85" t="n"/>
      <c r="AB468" s="85" t="n"/>
      <c r="AC468" s="86" t="n"/>
      <c r="AD468" s="86" t="n"/>
      <c r="AE468" s="86" t="n"/>
      <c r="AF468" s="85" t="n"/>
      <c r="AG468" s="85" t="n"/>
      <c r="AH468" s="85">
        <f>IF($A468="","",IF(AND($E468="Yes",OR($V468="No",$V468="NOT FOUND")),"YES",""))</f>
        <v/>
      </c>
      <c r="AI468" s="85">
        <f>IF($A468="","",TRIM(IF(AND($M468=0,$I468&lt;&gt;"Yes"),"T0-NoPhishResistant ","")&amp;IF($H468="No","NoMFA ","")&amp;IF(AND($M468=0,$O468="Group only"),"T0-ViaGroupOnly ","")&amp;IF($N468="Yes","BroadAzureScope ","")&amp;IF($T468="Yes","AlsoEntraRole ","")))</f>
        <v/>
      </c>
      <c r="AJ468" s="85">
        <f>IF($A468="","",IF(AD468="","Not Enrolled",IF(TODAY()&gt;AD468,"Review Overdue",IF(AD468-TODAY()&lt;=30,"Review Due Soon","Active"))))</f>
        <v/>
      </c>
      <c r="AK468" s="85">
        <f>IF($A468="","",IF(AE468="","NOT REVIEWED",IF(TODAY()-AE468&gt;90,"OVERDUE",IF(TODAY()-AE468&gt;76,"Due Soon","Current"))))</f>
        <v/>
      </c>
    </row>
    <row r="469" ht="15" customHeight="1" s="39">
      <c r="A469" s="85" t="n"/>
      <c r="B469" s="85" t="n"/>
      <c r="C469" s="85" t="n"/>
      <c r="D469" s="85" t="n"/>
      <c r="E469" s="85" t="n"/>
      <c r="F469" s="86" t="n"/>
      <c r="G469" s="86" t="n"/>
      <c r="H469" s="85" t="n"/>
      <c r="I469" s="85" t="n"/>
      <c r="J469" s="85" t="n"/>
      <c r="K469" s="85" t="n"/>
      <c r="L469" s="85" t="n"/>
      <c r="M469" s="85" t="n"/>
      <c r="N469" s="85" t="n"/>
      <c r="O469" s="85" t="n"/>
      <c r="P469" s="85" t="n"/>
      <c r="Q469" s="85" t="n"/>
      <c r="R469" s="85" t="n"/>
      <c r="S469" s="85" t="n"/>
      <c r="T469" s="85" t="n"/>
      <c r="U469" s="85" t="n"/>
      <c r="V469" s="85" t="n"/>
      <c r="W469" s="85" t="n"/>
      <c r="X469" s="85" t="n"/>
      <c r="Y469" s="85" t="n"/>
      <c r="Z469" s="85" t="n"/>
      <c r="AA469" s="85" t="n"/>
      <c r="AB469" s="85" t="n"/>
      <c r="AC469" s="86" t="n"/>
      <c r="AD469" s="86" t="n"/>
      <c r="AE469" s="86" t="n"/>
      <c r="AF469" s="85" t="n"/>
      <c r="AG469" s="85" t="n"/>
      <c r="AH469" s="85">
        <f>IF($A469="","",IF(AND($E469="Yes",OR($V469="No",$V469="NOT FOUND")),"YES",""))</f>
        <v/>
      </c>
      <c r="AI469" s="85">
        <f>IF($A469="","",TRIM(IF(AND($M469=0,$I469&lt;&gt;"Yes"),"T0-NoPhishResistant ","")&amp;IF($H469="No","NoMFA ","")&amp;IF(AND($M469=0,$O469="Group only"),"T0-ViaGroupOnly ","")&amp;IF($N469="Yes","BroadAzureScope ","")&amp;IF($T469="Yes","AlsoEntraRole ","")))</f>
        <v/>
      </c>
      <c r="AJ469" s="85">
        <f>IF($A469="","",IF(AD469="","Not Enrolled",IF(TODAY()&gt;AD469,"Review Overdue",IF(AD469-TODAY()&lt;=30,"Review Due Soon","Active"))))</f>
        <v/>
      </c>
      <c r="AK469" s="85">
        <f>IF($A469="","",IF(AE469="","NOT REVIEWED",IF(TODAY()-AE469&gt;90,"OVERDUE",IF(TODAY()-AE469&gt;76,"Due Soon","Current"))))</f>
        <v/>
      </c>
    </row>
    <row r="470" ht="15" customHeight="1" s="39">
      <c r="A470" s="85" t="n"/>
      <c r="B470" s="85" t="n"/>
      <c r="C470" s="85" t="n"/>
      <c r="D470" s="85" t="n"/>
      <c r="E470" s="85" t="n"/>
      <c r="F470" s="86" t="n"/>
      <c r="G470" s="86" t="n"/>
      <c r="H470" s="85" t="n"/>
      <c r="I470" s="85" t="n"/>
      <c r="J470" s="85" t="n"/>
      <c r="K470" s="85" t="n"/>
      <c r="L470" s="85" t="n"/>
      <c r="M470" s="85" t="n"/>
      <c r="N470" s="85" t="n"/>
      <c r="O470" s="85" t="n"/>
      <c r="P470" s="85" t="n"/>
      <c r="Q470" s="85" t="n"/>
      <c r="R470" s="85" t="n"/>
      <c r="S470" s="85" t="n"/>
      <c r="T470" s="85" t="n"/>
      <c r="U470" s="85" t="n"/>
      <c r="V470" s="85" t="n"/>
      <c r="W470" s="85" t="n"/>
      <c r="X470" s="85" t="n"/>
      <c r="Y470" s="85" t="n"/>
      <c r="Z470" s="85" t="n"/>
      <c r="AA470" s="85" t="n"/>
      <c r="AB470" s="85" t="n"/>
      <c r="AC470" s="86" t="n"/>
      <c r="AD470" s="86" t="n"/>
      <c r="AE470" s="86" t="n"/>
      <c r="AF470" s="85" t="n"/>
      <c r="AG470" s="85" t="n"/>
      <c r="AH470" s="85">
        <f>IF($A470="","",IF(AND($E470="Yes",OR($V470="No",$V470="NOT FOUND")),"YES",""))</f>
        <v/>
      </c>
      <c r="AI470" s="85">
        <f>IF($A470="","",TRIM(IF(AND($M470=0,$I470&lt;&gt;"Yes"),"T0-NoPhishResistant ","")&amp;IF($H470="No","NoMFA ","")&amp;IF(AND($M470=0,$O470="Group only"),"T0-ViaGroupOnly ","")&amp;IF($N470="Yes","BroadAzureScope ","")&amp;IF($T470="Yes","AlsoEntraRole ","")))</f>
        <v/>
      </c>
      <c r="AJ470" s="85">
        <f>IF($A470="","",IF(AD470="","Not Enrolled",IF(TODAY()&gt;AD470,"Review Overdue",IF(AD470-TODAY()&lt;=30,"Review Due Soon","Active"))))</f>
        <v/>
      </c>
      <c r="AK470" s="85">
        <f>IF($A470="","",IF(AE470="","NOT REVIEWED",IF(TODAY()-AE470&gt;90,"OVERDUE",IF(TODAY()-AE470&gt;76,"Due Soon","Current"))))</f>
        <v/>
      </c>
    </row>
    <row r="471" ht="15" customHeight="1" s="39">
      <c r="A471" s="85" t="n"/>
      <c r="B471" s="85" t="n"/>
      <c r="C471" s="85" t="n"/>
      <c r="D471" s="85" t="n"/>
      <c r="E471" s="85" t="n"/>
      <c r="F471" s="86" t="n"/>
      <c r="G471" s="86" t="n"/>
      <c r="H471" s="85" t="n"/>
      <c r="I471" s="85" t="n"/>
      <c r="J471" s="85" t="n"/>
      <c r="K471" s="85" t="n"/>
      <c r="L471" s="85" t="n"/>
      <c r="M471" s="85" t="n"/>
      <c r="N471" s="85" t="n"/>
      <c r="O471" s="85" t="n"/>
      <c r="P471" s="85" t="n"/>
      <c r="Q471" s="85" t="n"/>
      <c r="R471" s="85" t="n"/>
      <c r="S471" s="85" t="n"/>
      <c r="T471" s="85" t="n"/>
      <c r="U471" s="85" t="n"/>
      <c r="V471" s="85" t="n"/>
      <c r="W471" s="85" t="n"/>
      <c r="X471" s="85" t="n"/>
      <c r="Y471" s="85" t="n"/>
      <c r="Z471" s="85" t="n"/>
      <c r="AA471" s="85" t="n"/>
      <c r="AB471" s="85" t="n"/>
      <c r="AC471" s="86" t="n"/>
      <c r="AD471" s="86" t="n"/>
      <c r="AE471" s="86" t="n"/>
      <c r="AF471" s="85" t="n"/>
      <c r="AG471" s="85" t="n"/>
      <c r="AH471" s="85">
        <f>IF($A471="","",IF(AND($E471="Yes",OR($V471="No",$V471="NOT FOUND")),"YES",""))</f>
        <v/>
      </c>
      <c r="AI471" s="85">
        <f>IF($A471="","",TRIM(IF(AND($M471=0,$I471&lt;&gt;"Yes"),"T0-NoPhishResistant ","")&amp;IF($H471="No","NoMFA ","")&amp;IF(AND($M471=0,$O471="Group only"),"T0-ViaGroupOnly ","")&amp;IF($N471="Yes","BroadAzureScope ","")&amp;IF($T471="Yes","AlsoEntraRole ","")))</f>
        <v/>
      </c>
      <c r="AJ471" s="85">
        <f>IF($A471="","",IF(AD471="","Not Enrolled",IF(TODAY()&gt;AD471,"Review Overdue",IF(AD471-TODAY()&lt;=30,"Review Due Soon","Active"))))</f>
        <v/>
      </c>
      <c r="AK471" s="85">
        <f>IF($A471="","",IF(AE471="","NOT REVIEWED",IF(TODAY()-AE471&gt;90,"OVERDUE",IF(TODAY()-AE471&gt;76,"Due Soon","Current"))))</f>
        <v/>
      </c>
    </row>
    <row r="472" ht="15" customHeight="1" s="39">
      <c r="A472" s="85" t="n"/>
      <c r="B472" s="85" t="n"/>
      <c r="C472" s="85" t="n"/>
      <c r="D472" s="85" t="n"/>
      <c r="E472" s="85" t="n"/>
      <c r="F472" s="86" t="n"/>
      <c r="G472" s="86" t="n"/>
      <c r="H472" s="85" t="n"/>
      <c r="I472" s="85" t="n"/>
      <c r="J472" s="85" t="n"/>
      <c r="K472" s="85" t="n"/>
      <c r="L472" s="85" t="n"/>
      <c r="M472" s="85" t="n"/>
      <c r="N472" s="85" t="n"/>
      <c r="O472" s="85" t="n"/>
      <c r="P472" s="85" t="n"/>
      <c r="Q472" s="85" t="n"/>
      <c r="R472" s="85" t="n"/>
      <c r="S472" s="85" t="n"/>
      <c r="T472" s="85" t="n"/>
      <c r="U472" s="85" t="n"/>
      <c r="V472" s="85" t="n"/>
      <c r="W472" s="85" t="n"/>
      <c r="X472" s="85" t="n"/>
      <c r="Y472" s="85" t="n"/>
      <c r="Z472" s="85" t="n"/>
      <c r="AA472" s="85" t="n"/>
      <c r="AB472" s="85" t="n"/>
      <c r="AC472" s="86" t="n"/>
      <c r="AD472" s="86" t="n"/>
      <c r="AE472" s="86" t="n"/>
      <c r="AF472" s="85" t="n"/>
      <c r="AG472" s="85" t="n"/>
      <c r="AH472" s="85">
        <f>IF($A472="","",IF(AND($E472="Yes",OR($V472="No",$V472="NOT FOUND")),"YES",""))</f>
        <v/>
      </c>
      <c r="AI472" s="85">
        <f>IF($A472="","",TRIM(IF(AND($M472=0,$I472&lt;&gt;"Yes"),"T0-NoPhishResistant ","")&amp;IF($H472="No","NoMFA ","")&amp;IF(AND($M472=0,$O472="Group only"),"T0-ViaGroupOnly ","")&amp;IF($N472="Yes","BroadAzureScope ","")&amp;IF($T472="Yes","AlsoEntraRole ","")))</f>
        <v/>
      </c>
      <c r="AJ472" s="85">
        <f>IF($A472="","",IF(AD472="","Not Enrolled",IF(TODAY()&gt;AD472,"Review Overdue",IF(AD472-TODAY()&lt;=30,"Review Due Soon","Active"))))</f>
        <v/>
      </c>
      <c r="AK472" s="85">
        <f>IF($A472="","",IF(AE472="","NOT REVIEWED",IF(TODAY()-AE472&gt;90,"OVERDUE",IF(TODAY()-AE472&gt;76,"Due Soon","Current"))))</f>
        <v/>
      </c>
    </row>
    <row r="473" ht="15" customHeight="1" s="39">
      <c r="A473" s="85" t="n"/>
      <c r="B473" s="85" t="n"/>
      <c r="C473" s="85" t="n"/>
      <c r="D473" s="85" t="n"/>
      <c r="E473" s="85" t="n"/>
      <c r="F473" s="86" t="n"/>
      <c r="G473" s="86" t="n"/>
      <c r="H473" s="85" t="n"/>
      <c r="I473" s="85" t="n"/>
      <c r="J473" s="85" t="n"/>
      <c r="K473" s="85" t="n"/>
      <c r="L473" s="85" t="n"/>
      <c r="M473" s="85" t="n"/>
      <c r="N473" s="85" t="n"/>
      <c r="O473" s="85" t="n"/>
      <c r="P473" s="85" t="n"/>
      <c r="Q473" s="85" t="n"/>
      <c r="R473" s="85" t="n"/>
      <c r="S473" s="85" t="n"/>
      <c r="T473" s="85" t="n"/>
      <c r="U473" s="85" t="n"/>
      <c r="V473" s="85" t="n"/>
      <c r="W473" s="85" t="n"/>
      <c r="X473" s="85" t="n"/>
      <c r="Y473" s="85" t="n"/>
      <c r="Z473" s="85" t="n"/>
      <c r="AA473" s="85" t="n"/>
      <c r="AB473" s="85" t="n"/>
      <c r="AC473" s="86" t="n"/>
      <c r="AD473" s="86" t="n"/>
      <c r="AE473" s="86" t="n"/>
      <c r="AF473" s="85" t="n"/>
      <c r="AG473" s="85" t="n"/>
      <c r="AH473" s="85">
        <f>IF($A473="","",IF(AND($E473="Yes",OR($V473="No",$V473="NOT FOUND")),"YES",""))</f>
        <v/>
      </c>
      <c r="AI473" s="85">
        <f>IF($A473="","",TRIM(IF(AND($M473=0,$I473&lt;&gt;"Yes"),"T0-NoPhishResistant ","")&amp;IF($H473="No","NoMFA ","")&amp;IF(AND($M473=0,$O473="Group only"),"T0-ViaGroupOnly ","")&amp;IF($N473="Yes","BroadAzureScope ","")&amp;IF($T473="Yes","AlsoEntraRole ","")))</f>
        <v/>
      </c>
      <c r="AJ473" s="85">
        <f>IF($A473="","",IF(AD473="","Not Enrolled",IF(TODAY()&gt;AD473,"Review Overdue",IF(AD473-TODAY()&lt;=30,"Review Due Soon","Active"))))</f>
        <v/>
      </c>
      <c r="AK473" s="85">
        <f>IF($A473="","",IF(AE473="","NOT REVIEWED",IF(TODAY()-AE473&gt;90,"OVERDUE",IF(TODAY()-AE473&gt;76,"Due Soon","Current"))))</f>
        <v/>
      </c>
    </row>
    <row r="474" ht="15" customHeight="1" s="39">
      <c r="A474" s="85" t="n"/>
      <c r="B474" s="85" t="n"/>
      <c r="C474" s="85" t="n"/>
      <c r="D474" s="85" t="n"/>
      <c r="E474" s="85" t="n"/>
      <c r="F474" s="86" t="n"/>
      <c r="G474" s="86" t="n"/>
      <c r="H474" s="85" t="n"/>
      <c r="I474" s="85" t="n"/>
      <c r="J474" s="85" t="n"/>
      <c r="K474" s="85" t="n"/>
      <c r="L474" s="85" t="n"/>
      <c r="M474" s="85" t="n"/>
      <c r="N474" s="85" t="n"/>
      <c r="O474" s="85" t="n"/>
      <c r="P474" s="85" t="n"/>
      <c r="Q474" s="85" t="n"/>
      <c r="R474" s="85" t="n"/>
      <c r="S474" s="85" t="n"/>
      <c r="T474" s="85" t="n"/>
      <c r="U474" s="85" t="n"/>
      <c r="V474" s="85" t="n"/>
      <c r="W474" s="85" t="n"/>
      <c r="X474" s="85" t="n"/>
      <c r="Y474" s="85" t="n"/>
      <c r="Z474" s="85" t="n"/>
      <c r="AA474" s="85" t="n"/>
      <c r="AB474" s="85" t="n"/>
      <c r="AC474" s="86" t="n"/>
      <c r="AD474" s="86" t="n"/>
      <c r="AE474" s="86" t="n"/>
      <c r="AF474" s="85" t="n"/>
      <c r="AG474" s="85" t="n"/>
      <c r="AH474" s="85">
        <f>IF($A474="","",IF(AND($E474="Yes",OR($V474="No",$V474="NOT FOUND")),"YES",""))</f>
        <v/>
      </c>
      <c r="AI474" s="85">
        <f>IF($A474="","",TRIM(IF(AND($M474=0,$I474&lt;&gt;"Yes"),"T0-NoPhishResistant ","")&amp;IF($H474="No","NoMFA ","")&amp;IF(AND($M474=0,$O474="Group only"),"T0-ViaGroupOnly ","")&amp;IF($N474="Yes","BroadAzureScope ","")&amp;IF($T474="Yes","AlsoEntraRole ","")))</f>
        <v/>
      </c>
      <c r="AJ474" s="85">
        <f>IF($A474="","",IF(AD474="","Not Enrolled",IF(TODAY()&gt;AD474,"Review Overdue",IF(AD474-TODAY()&lt;=30,"Review Due Soon","Active"))))</f>
        <v/>
      </c>
      <c r="AK474" s="85">
        <f>IF($A474="","",IF(AE474="","NOT REVIEWED",IF(TODAY()-AE474&gt;90,"OVERDUE",IF(TODAY()-AE474&gt;76,"Due Soon","Current"))))</f>
        <v/>
      </c>
    </row>
    <row r="475" ht="15" customHeight="1" s="39">
      <c r="A475" s="85" t="n"/>
      <c r="B475" s="85" t="n"/>
      <c r="C475" s="85" t="n"/>
      <c r="D475" s="85" t="n"/>
      <c r="E475" s="85" t="n"/>
      <c r="F475" s="86" t="n"/>
      <c r="G475" s="86" t="n"/>
      <c r="H475" s="85" t="n"/>
      <c r="I475" s="85" t="n"/>
      <c r="J475" s="85" t="n"/>
      <c r="K475" s="85" t="n"/>
      <c r="L475" s="85" t="n"/>
      <c r="M475" s="85" t="n"/>
      <c r="N475" s="85" t="n"/>
      <c r="O475" s="85" t="n"/>
      <c r="P475" s="85" t="n"/>
      <c r="Q475" s="85" t="n"/>
      <c r="R475" s="85" t="n"/>
      <c r="S475" s="85" t="n"/>
      <c r="T475" s="85" t="n"/>
      <c r="U475" s="85" t="n"/>
      <c r="V475" s="85" t="n"/>
      <c r="W475" s="85" t="n"/>
      <c r="X475" s="85" t="n"/>
      <c r="Y475" s="85" t="n"/>
      <c r="Z475" s="85" t="n"/>
      <c r="AA475" s="85" t="n"/>
      <c r="AB475" s="85" t="n"/>
      <c r="AC475" s="86" t="n"/>
      <c r="AD475" s="86" t="n"/>
      <c r="AE475" s="86" t="n"/>
      <c r="AF475" s="85" t="n"/>
      <c r="AG475" s="85" t="n"/>
      <c r="AH475" s="85">
        <f>IF($A475="","",IF(AND($E475="Yes",OR($V475="No",$V475="NOT FOUND")),"YES",""))</f>
        <v/>
      </c>
      <c r="AI475" s="85">
        <f>IF($A475="","",TRIM(IF(AND($M475=0,$I475&lt;&gt;"Yes"),"T0-NoPhishResistant ","")&amp;IF($H475="No","NoMFA ","")&amp;IF(AND($M475=0,$O475="Group only"),"T0-ViaGroupOnly ","")&amp;IF($N475="Yes","BroadAzureScope ","")&amp;IF($T475="Yes","AlsoEntraRole ","")))</f>
        <v/>
      </c>
      <c r="AJ475" s="85">
        <f>IF($A475="","",IF(AD475="","Not Enrolled",IF(TODAY()&gt;AD475,"Review Overdue",IF(AD475-TODAY()&lt;=30,"Review Due Soon","Active"))))</f>
        <v/>
      </c>
      <c r="AK475" s="85">
        <f>IF($A475="","",IF(AE475="","NOT REVIEWED",IF(TODAY()-AE475&gt;90,"OVERDUE",IF(TODAY()-AE475&gt;76,"Due Soon","Current"))))</f>
        <v/>
      </c>
    </row>
    <row r="476" ht="15" customHeight="1" s="39">
      <c r="A476" s="85" t="n"/>
      <c r="B476" s="85" t="n"/>
      <c r="C476" s="85" t="n"/>
      <c r="D476" s="85" t="n"/>
      <c r="E476" s="85" t="n"/>
      <c r="F476" s="86" t="n"/>
      <c r="G476" s="86" t="n"/>
      <c r="H476" s="85" t="n"/>
      <c r="I476" s="85" t="n"/>
      <c r="J476" s="85" t="n"/>
      <c r="K476" s="85" t="n"/>
      <c r="L476" s="85" t="n"/>
      <c r="M476" s="85" t="n"/>
      <c r="N476" s="85" t="n"/>
      <c r="O476" s="85" t="n"/>
      <c r="P476" s="85" t="n"/>
      <c r="Q476" s="85" t="n"/>
      <c r="R476" s="85" t="n"/>
      <c r="S476" s="85" t="n"/>
      <c r="T476" s="85" t="n"/>
      <c r="U476" s="85" t="n"/>
      <c r="V476" s="85" t="n"/>
      <c r="W476" s="85" t="n"/>
      <c r="X476" s="85" t="n"/>
      <c r="Y476" s="85" t="n"/>
      <c r="Z476" s="85" t="n"/>
      <c r="AA476" s="85" t="n"/>
      <c r="AB476" s="85" t="n"/>
      <c r="AC476" s="86" t="n"/>
      <c r="AD476" s="86" t="n"/>
      <c r="AE476" s="86" t="n"/>
      <c r="AF476" s="85" t="n"/>
      <c r="AG476" s="85" t="n"/>
      <c r="AH476" s="85">
        <f>IF($A476="","",IF(AND($E476="Yes",OR($V476="No",$V476="NOT FOUND")),"YES",""))</f>
        <v/>
      </c>
      <c r="AI476" s="85">
        <f>IF($A476="","",TRIM(IF(AND($M476=0,$I476&lt;&gt;"Yes"),"T0-NoPhishResistant ","")&amp;IF($H476="No","NoMFA ","")&amp;IF(AND($M476=0,$O476="Group only"),"T0-ViaGroupOnly ","")&amp;IF($N476="Yes","BroadAzureScope ","")&amp;IF($T476="Yes","AlsoEntraRole ","")))</f>
        <v/>
      </c>
      <c r="AJ476" s="85">
        <f>IF($A476="","",IF(AD476="","Not Enrolled",IF(TODAY()&gt;AD476,"Review Overdue",IF(AD476-TODAY()&lt;=30,"Review Due Soon","Active"))))</f>
        <v/>
      </c>
      <c r="AK476" s="85">
        <f>IF($A476="","",IF(AE476="","NOT REVIEWED",IF(TODAY()-AE476&gt;90,"OVERDUE",IF(TODAY()-AE476&gt;76,"Due Soon","Current"))))</f>
        <v/>
      </c>
    </row>
    <row r="477" ht="15" customHeight="1" s="39">
      <c r="A477" s="85" t="n"/>
      <c r="B477" s="85" t="n"/>
      <c r="C477" s="85" t="n"/>
      <c r="D477" s="85" t="n"/>
      <c r="E477" s="85" t="n"/>
      <c r="F477" s="86" t="n"/>
      <c r="G477" s="86" t="n"/>
      <c r="H477" s="85" t="n"/>
      <c r="I477" s="85" t="n"/>
      <c r="J477" s="85" t="n"/>
      <c r="K477" s="85" t="n"/>
      <c r="L477" s="85" t="n"/>
      <c r="M477" s="85" t="n"/>
      <c r="N477" s="85" t="n"/>
      <c r="O477" s="85" t="n"/>
      <c r="P477" s="85" t="n"/>
      <c r="Q477" s="85" t="n"/>
      <c r="R477" s="85" t="n"/>
      <c r="S477" s="85" t="n"/>
      <c r="T477" s="85" t="n"/>
      <c r="U477" s="85" t="n"/>
      <c r="V477" s="85" t="n"/>
      <c r="W477" s="85" t="n"/>
      <c r="X477" s="85" t="n"/>
      <c r="Y477" s="85" t="n"/>
      <c r="Z477" s="85" t="n"/>
      <c r="AA477" s="85" t="n"/>
      <c r="AB477" s="85" t="n"/>
      <c r="AC477" s="86" t="n"/>
      <c r="AD477" s="86" t="n"/>
      <c r="AE477" s="86" t="n"/>
      <c r="AF477" s="85" t="n"/>
      <c r="AG477" s="85" t="n"/>
      <c r="AH477" s="85">
        <f>IF($A477="","",IF(AND($E477="Yes",OR($V477="No",$V477="NOT FOUND")),"YES",""))</f>
        <v/>
      </c>
      <c r="AI477" s="85">
        <f>IF($A477="","",TRIM(IF(AND($M477=0,$I477&lt;&gt;"Yes"),"T0-NoPhishResistant ","")&amp;IF($H477="No","NoMFA ","")&amp;IF(AND($M477=0,$O477="Group only"),"T0-ViaGroupOnly ","")&amp;IF($N477="Yes","BroadAzureScope ","")&amp;IF($T477="Yes","AlsoEntraRole ","")))</f>
        <v/>
      </c>
      <c r="AJ477" s="85">
        <f>IF($A477="","",IF(AD477="","Not Enrolled",IF(TODAY()&gt;AD477,"Review Overdue",IF(AD477-TODAY()&lt;=30,"Review Due Soon","Active"))))</f>
        <v/>
      </c>
      <c r="AK477" s="85">
        <f>IF($A477="","",IF(AE477="","NOT REVIEWED",IF(TODAY()-AE477&gt;90,"OVERDUE",IF(TODAY()-AE477&gt;76,"Due Soon","Current"))))</f>
        <v/>
      </c>
    </row>
    <row r="478" ht="15" customHeight="1" s="39">
      <c r="A478" s="85" t="n"/>
      <c r="B478" s="85" t="n"/>
      <c r="C478" s="85" t="n"/>
      <c r="D478" s="85" t="n"/>
      <c r="E478" s="85" t="n"/>
      <c r="F478" s="86" t="n"/>
      <c r="G478" s="86" t="n"/>
      <c r="H478" s="85" t="n"/>
      <c r="I478" s="85" t="n"/>
      <c r="J478" s="85" t="n"/>
      <c r="K478" s="85" t="n"/>
      <c r="L478" s="85" t="n"/>
      <c r="M478" s="85" t="n"/>
      <c r="N478" s="85" t="n"/>
      <c r="O478" s="85" t="n"/>
      <c r="P478" s="85" t="n"/>
      <c r="Q478" s="85" t="n"/>
      <c r="R478" s="85" t="n"/>
      <c r="S478" s="85" t="n"/>
      <c r="T478" s="85" t="n"/>
      <c r="U478" s="85" t="n"/>
      <c r="V478" s="85" t="n"/>
      <c r="W478" s="85" t="n"/>
      <c r="X478" s="85" t="n"/>
      <c r="Y478" s="85" t="n"/>
      <c r="Z478" s="85" t="n"/>
      <c r="AA478" s="85" t="n"/>
      <c r="AB478" s="85" t="n"/>
      <c r="AC478" s="86" t="n"/>
      <c r="AD478" s="86" t="n"/>
      <c r="AE478" s="86" t="n"/>
      <c r="AF478" s="85" t="n"/>
      <c r="AG478" s="85" t="n"/>
      <c r="AH478" s="85">
        <f>IF($A478="","",IF(AND($E478="Yes",OR($V478="No",$V478="NOT FOUND")),"YES",""))</f>
        <v/>
      </c>
      <c r="AI478" s="85">
        <f>IF($A478="","",TRIM(IF(AND($M478=0,$I478&lt;&gt;"Yes"),"T0-NoPhishResistant ","")&amp;IF($H478="No","NoMFA ","")&amp;IF(AND($M478=0,$O478="Group only"),"T0-ViaGroupOnly ","")&amp;IF($N478="Yes","BroadAzureScope ","")&amp;IF($T478="Yes","AlsoEntraRole ","")))</f>
        <v/>
      </c>
      <c r="AJ478" s="85">
        <f>IF($A478="","",IF(AD478="","Not Enrolled",IF(TODAY()&gt;AD478,"Review Overdue",IF(AD478-TODAY()&lt;=30,"Review Due Soon","Active"))))</f>
        <v/>
      </c>
      <c r="AK478" s="85">
        <f>IF($A478="","",IF(AE478="","NOT REVIEWED",IF(TODAY()-AE478&gt;90,"OVERDUE",IF(TODAY()-AE478&gt;76,"Due Soon","Current"))))</f>
        <v/>
      </c>
    </row>
    <row r="479" ht="15" customHeight="1" s="39">
      <c r="A479" s="85" t="n"/>
      <c r="B479" s="85" t="n"/>
      <c r="C479" s="85" t="n"/>
      <c r="D479" s="85" t="n"/>
      <c r="E479" s="85" t="n"/>
      <c r="F479" s="86" t="n"/>
      <c r="G479" s="86" t="n"/>
      <c r="H479" s="85" t="n"/>
      <c r="I479" s="85" t="n"/>
      <c r="J479" s="85" t="n"/>
      <c r="K479" s="85" t="n"/>
      <c r="L479" s="85" t="n"/>
      <c r="M479" s="85" t="n"/>
      <c r="N479" s="85" t="n"/>
      <c r="O479" s="85" t="n"/>
      <c r="P479" s="85" t="n"/>
      <c r="Q479" s="85" t="n"/>
      <c r="R479" s="85" t="n"/>
      <c r="S479" s="85" t="n"/>
      <c r="T479" s="85" t="n"/>
      <c r="U479" s="85" t="n"/>
      <c r="V479" s="85" t="n"/>
      <c r="W479" s="85" t="n"/>
      <c r="X479" s="85" t="n"/>
      <c r="Y479" s="85" t="n"/>
      <c r="Z479" s="85" t="n"/>
      <c r="AA479" s="85" t="n"/>
      <c r="AB479" s="85" t="n"/>
      <c r="AC479" s="86" t="n"/>
      <c r="AD479" s="86" t="n"/>
      <c r="AE479" s="86" t="n"/>
      <c r="AF479" s="85" t="n"/>
      <c r="AG479" s="85" t="n"/>
      <c r="AH479" s="85">
        <f>IF($A479="","",IF(AND($E479="Yes",OR($V479="No",$V479="NOT FOUND")),"YES",""))</f>
        <v/>
      </c>
      <c r="AI479" s="85">
        <f>IF($A479="","",TRIM(IF(AND($M479=0,$I479&lt;&gt;"Yes"),"T0-NoPhishResistant ","")&amp;IF($H479="No","NoMFA ","")&amp;IF(AND($M479=0,$O479="Group only"),"T0-ViaGroupOnly ","")&amp;IF($N479="Yes","BroadAzureScope ","")&amp;IF($T479="Yes","AlsoEntraRole ","")))</f>
        <v/>
      </c>
      <c r="AJ479" s="85">
        <f>IF($A479="","",IF(AD479="","Not Enrolled",IF(TODAY()&gt;AD479,"Review Overdue",IF(AD479-TODAY()&lt;=30,"Review Due Soon","Active"))))</f>
        <v/>
      </c>
      <c r="AK479" s="85">
        <f>IF($A479="","",IF(AE479="","NOT REVIEWED",IF(TODAY()-AE479&gt;90,"OVERDUE",IF(TODAY()-AE479&gt;76,"Due Soon","Current"))))</f>
        <v/>
      </c>
    </row>
    <row r="480" ht="15" customHeight="1" s="39">
      <c r="A480" s="85" t="n"/>
      <c r="B480" s="85" t="n"/>
      <c r="C480" s="85" t="n"/>
      <c r="D480" s="85" t="n"/>
      <c r="E480" s="85" t="n"/>
      <c r="F480" s="86" t="n"/>
      <c r="G480" s="86" t="n"/>
      <c r="H480" s="85" t="n"/>
      <c r="I480" s="85" t="n"/>
      <c r="J480" s="85" t="n"/>
      <c r="K480" s="85" t="n"/>
      <c r="L480" s="85" t="n"/>
      <c r="M480" s="85" t="n"/>
      <c r="N480" s="85" t="n"/>
      <c r="O480" s="85" t="n"/>
      <c r="P480" s="85" t="n"/>
      <c r="Q480" s="85" t="n"/>
      <c r="R480" s="85" t="n"/>
      <c r="S480" s="85" t="n"/>
      <c r="T480" s="85" t="n"/>
      <c r="U480" s="85" t="n"/>
      <c r="V480" s="85" t="n"/>
      <c r="W480" s="85" t="n"/>
      <c r="X480" s="85" t="n"/>
      <c r="Y480" s="85" t="n"/>
      <c r="Z480" s="85" t="n"/>
      <c r="AA480" s="85" t="n"/>
      <c r="AB480" s="85" t="n"/>
      <c r="AC480" s="86" t="n"/>
      <c r="AD480" s="86" t="n"/>
      <c r="AE480" s="86" t="n"/>
      <c r="AF480" s="85" t="n"/>
      <c r="AG480" s="85" t="n"/>
      <c r="AH480" s="85">
        <f>IF($A480="","",IF(AND($E480="Yes",OR($V480="No",$V480="NOT FOUND")),"YES",""))</f>
        <v/>
      </c>
      <c r="AI480" s="85">
        <f>IF($A480="","",TRIM(IF(AND($M480=0,$I480&lt;&gt;"Yes"),"T0-NoPhishResistant ","")&amp;IF($H480="No","NoMFA ","")&amp;IF(AND($M480=0,$O480="Group only"),"T0-ViaGroupOnly ","")&amp;IF($N480="Yes","BroadAzureScope ","")&amp;IF($T480="Yes","AlsoEntraRole ","")))</f>
        <v/>
      </c>
      <c r="AJ480" s="85">
        <f>IF($A480="","",IF(AD480="","Not Enrolled",IF(TODAY()&gt;AD480,"Review Overdue",IF(AD480-TODAY()&lt;=30,"Review Due Soon","Active"))))</f>
        <v/>
      </c>
      <c r="AK480" s="85">
        <f>IF($A480="","",IF(AE480="","NOT REVIEWED",IF(TODAY()-AE480&gt;90,"OVERDUE",IF(TODAY()-AE480&gt;76,"Due Soon","Current"))))</f>
        <v/>
      </c>
    </row>
    <row r="481" ht="15" customHeight="1" s="39">
      <c r="A481" s="85" t="n"/>
      <c r="B481" s="85" t="n"/>
      <c r="C481" s="85" t="n"/>
      <c r="D481" s="85" t="n"/>
      <c r="E481" s="85" t="n"/>
      <c r="F481" s="86" t="n"/>
      <c r="G481" s="86" t="n"/>
      <c r="H481" s="85" t="n"/>
      <c r="I481" s="85" t="n"/>
      <c r="J481" s="85" t="n"/>
      <c r="K481" s="85" t="n"/>
      <c r="L481" s="85" t="n"/>
      <c r="M481" s="85" t="n"/>
      <c r="N481" s="85" t="n"/>
      <c r="O481" s="85" t="n"/>
      <c r="P481" s="85" t="n"/>
      <c r="Q481" s="85" t="n"/>
      <c r="R481" s="85" t="n"/>
      <c r="S481" s="85" t="n"/>
      <c r="T481" s="85" t="n"/>
      <c r="U481" s="85" t="n"/>
      <c r="V481" s="85" t="n"/>
      <c r="W481" s="85" t="n"/>
      <c r="X481" s="85" t="n"/>
      <c r="Y481" s="85" t="n"/>
      <c r="Z481" s="85" t="n"/>
      <c r="AA481" s="85" t="n"/>
      <c r="AB481" s="85" t="n"/>
      <c r="AC481" s="86" t="n"/>
      <c r="AD481" s="86" t="n"/>
      <c r="AE481" s="86" t="n"/>
      <c r="AF481" s="85" t="n"/>
      <c r="AG481" s="85" t="n"/>
      <c r="AH481" s="85">
        <f>IF($A481="","",IF(AND($E481="Yes",OR($V481="No",$V481="NOT FOUND")),"YES",""))</f>
        <v/>
      </c>
      <c r="AI481" s="85">
        <f>IF($A481="","",TRIM(IF(AND($M481=0,$I481&lt;&gt;"Yes"),"T0-NoPhishResistant ","")&amp;IF($H481="No","NoMFA ","")&amp;IF(AND($M481=0,$O481="Group only"),"T0-ViaGroupOnly ","")&amp;IF($N481="Yes","BroadAzureScope ","")&amp;IF($T481="Yes","AlsoEntraRole ","")))</f>
        <v/>
      </c>
      <c r="AJ481" s="85">
        <f>IF($A481="","",IF(AD481="","Not Enrolled",IF(TODAY()&gt;AD481,"Review Overdue",IF(AD481-TODAY()&lt;=30,"Review Due Soon","Active"))))</f>
        <v/>
      </c>
      <c r="AK481" s="85">
        <f>IF($A481="","",IF(AE481="","NOT REVIEWED",IF(TODAY()-AE481&gt;90,"OVERDUE",IF(TODAY()-AE481&gt;76,"Due Soon","Current"))))</f>
        <v/>
      </c>
    </row>
    <row r="482" ht="15" customHeight="1" s="39">
      <c r="A482" s="85" t="n"/>
      <c r="B482" s="85" t="n"/>
      <c r="C482" s="85" t="n"/>
      <c r="D482" s="85" t="n"/>
      <c r="E482" s="85" t="n"/>
      <c r="F482" s="86" t="n"/>
      <c r="G482" s="86" t="n"/>
      <c r="H482" s="85" t="n"/>
      <c r="I482" s="85" t="n"/>
      <c r="J482" s="85" t="n"/>
      <c r="K482" s="85" t="n"/>
      <c r="L482" s="85" t="n"/>
      <c r="M482" s="85" t="n"/>
      <c r="N482" s="85" t="n"/>
      <c r="O482" s="85" t="n"/>
      <c r="P482" s="85" t="n"/>
      <c r="Q482" s="85" t="n"/>
      <c r="R482" s="85" t="n"/>
      <c r="S482" s="85" t="n"/>
      <c r="T482" s="85" t="n"/>
      <c r="U482" s="85" t="n"/>
      <c r="V482" s="85" t="n"/>
      <c r="W482" s="85" t="n"/>
      <c r="X482" s="85" t="n"/>
      <c r="Y482" s="85" t="n"/>
      <c r="Z482" s="85" t="n"/>
      <c r="AA482" s="85" t="n"/>
      <c r="AB482" s="85" t="n"/>
      <c r="AC482" s="86" t="n"/>
      <c r="AD482" s="86" t="n"/>
      <c r="AE482" s="86" t="n"/>
      <c r="AF482" s="85" t="n"/>
      <c r="AG482" s="85" t="n"/>
      <c r="AH482" s="85">
        <f>IF($A482="","",IF(AND($E482="Yes",OR($V482="No",$V482="NOT FOUND")),"YES",""))</f>
        <v/>
      </c>
      <c r="AI482" s="85">
        <f>IF($A482="","",TRIM(IF(AND($M482=0,$I482&lt;&gt;"Yes"),"T0-NoPhishResistant ","")&amp;IF($H482="No","NoMFA ","")&amp;IF(AND($M482=0,$O482="Group only"),"T0-ViaGroupOnly ","")&amp;IF($N482="Yes","BroadAzureScope ","")&amp;IF($T482="Yes","AlsoEntraRole ","")))</f>
        <v/>
      </c>
      <c r="AJ482" s="85">
        <f>IF($A482="","",IF(AD482="","Not Enrolled",IF(TODAY()&gt;AD482,"Review Overdue",IF(AD482-TODAY()&lt;=30,"Review Due Soon","Active"))))</f>
        <v/>
      </c>
      <c r="AK482" s="85">
        <f>IF($A482="","",IF(AE482="","NOT REVIEWED",IF(TODAY()-AE482&gt;90,"OVERDUE",IF(TODAY()-AE482&gt;76,"Due Soon","Current"))))</f>
        <v/>
      </c>
    </row>
    <row r="483" ht="15" customHeight="1" s="39">
      <c r="A483" s="85" t="n"/>
      <c r="B483" s="85" t="n"/>
      <c r="C483" s="85" t="n"/>
      <c r="D483" s="85" t="n"/>
      <c r="E483" s="85" t="n"/>
      <c r="F483" s="86" t="n"/>
      <c r="G483" s="86" t="n"/>
      <c r="H483" s="85" t="n"/>
      <c r="I483" s="85" t="n"/>
      <c r="J483" s="85" t="n"/>
      <c r="K483" s="85" t="n"/>
      <c r="L483" s="85" t="n"/>
      <c r="M483" s="85" t="n"/>
      <c r="N483" s="85" t="n"/>
      <c r="O483" s="85" t="n"/>
      <c r="P483" s="85" t="n"/>
      <c r="Q483" s="85" t="n"/>
      <c r="R483" s="85" t="n"/>
      <c r="S483" s="85" t="n"/>
      <c r="T483" s="85" t="n"/>
      <c r="U483" s="85" t="n"/>
      <c r="V483" s="85" t="n"/>
      <c r="W483" s="85" t="n"/>
      <c r="X483" s="85" t="n"/>
      <c r="Y483" s="85" t="n"/>
      <c r="Z483" s="85" t="n"/>
      <c r="AA483" s="85" t="n"/>
      <c r="AB483" s="85" t="n"/>
      <c r="AC483" s="86" t="n"/>
      <c r="AD483" s="86" t="n"/>
      <c r="AE483" s="86" t="n"/>
      <c r="AF483" s="85" t="n"/>
      <c r="AG483" s="85" t="n"/>
      <c r="AH483" s="85">
        <f>IF($A483="","",IF(AND($E483="Yes",OR($V483="No",$V483="NOT FOUND")),"YES",""))</f>
        <v/>
      </c>
      <c r="AI483" s="85">
        <f>IF($A483="","",TRIM(IF(AND($M483=0,$I483&lt;&gt;"Yes"),"T0-NoPhishResistant ","")&amp;IF($H483="No","NoMFA ","")&amp;IF(AND($M483=0,$O483="Group only"),"T0-ViaGroupOnly ","")&amp;IF($N483="Yes","BroadAzureScope ","")&amp;IF($T483="Yes","AlsoEntraRole ","")))</f>
        <v/>
      </c>
      <c r="AJ483" s="85">
        <f>IF($A483="","",IF(AD483="","Not Enrolled",IF(TODAY()&gt;AD483,"Review Overdue",IF(AD483-TODAY()&lt;=30,"Review Due Soon","Active"))))</f>
        <v/>
      </c>
      <c r="AK483" s="85">
        <f>IF($A483="","",IF(AE483="","NOT REVIEWED",IF(TODAY()-AE483&gt;90,"OVERDUE",IF(TODAY()-AE483&gt;76,"Due Soon","Current"))))</f>
        <v/>
      </c>
    </row>
    <row r="484" ht="15" customHeight="1" s="39">
      <c r="A484" s="85" t="n"/>
      <c r="B484" s="85" t="n"/>
      <c r="C484" s="85" t="n"/>
      <c r="D484" s="85" t="n"/>
      <c r="E484" s="85" t="n"/>
      <c r="F484" s="86" t="n"/>
      <c r="G484" s="86" t="n"/>
      <c r="H484" s="85" t="n"/>
      <c r="I484" s="85" t="n"/>
      <c r="J484" s="85" t="n"/>
      <c r="K484" s="85" t="n"/>
      <c r="L484" s="85" t="n"/>
      <c r="M484" s="85" t="n"/>
      <c r="N484" s="85" t="n"/>
      <c r="O484" s="85" t="n"/>
      <c r="P484" s="85" t="n"/>
      <c r="Q484" s="85" t="n"/>
      <c r="R484" s="85" t="n"/>
      <c r="S484" s="85" t="n"/>
      <c r="T484" s="85" t="n"/>
      <c r="U484" s="85" t="n"/>
      <c r="V484" s="85" t="n"/>
      <c r="W484" s="85" t="n"/>
      <c r="X484" s="85" t="n"/>
      <c r="Y484" s="85" t="n"/>
      <c r="Z484" s="85" t="n"/>
      <c r="AA484" s="85" t="n"/>
      <c r="AB484" s="85" t="n"/>
      <c r="AC484" s="86" t="n"/>
      <c r="AD484" s="86" t="n"/>
      <c r="AE484" s="86" t="n"/>
      <c r="AF484" s="85" t="n"/>
      <c r="AG484" s="85" t="n"/>
      <c r="AH484" s="85">
        <f>IF($A484="","",IF(AND($E484="Yes",OR($V484="No",$V484="NOT FOUND")),"YES",""))</f>
        <v/>
      </c>
      <c r="AI484" s="85">
        <f>IF($A484="","",TRIM(IF(AND($M484=0,$I484&lt;&gt;"Yes"),"T0-NoPhishResistant ","")&amp;IF($H484="No","NoMFA ","")&amp;IF(AND($M484=0,$O484="Group only"),"T0-ViaGroupOnly ","")&amp;IF($N484="Yes","BroadAzureScope ","")&amp;IF($T484="Yes","AlsoEntraRole ","")))</f>
        <v/>
      </c>
      <c r="AJ484" s="85">
        <f>IF($A484="","",IF(AD484="","Not Enrolled",IF(TODAY()&gt;AD484,"Review Overdue",IF(AD484-TODAY()&lt;=30,"Review Due Soon","Active"))))</f>
        <v/>
      </c>
      <c r="AK484" s="85">
        <f>IF($A484="","",IF(AE484="","NOT REVIEWED",IF(TODAY()-AE484&gt;90,"OVERDUE",IF(TODAY()-AE484&gt;76,"Due Soon","Current"))))</f>
        <v/>
      </c>
    </row>
    <row r="485" ht="15" customHeight="1" s="39">
      <c r="A485" s="85" t="n"/>
      <c r="B485" s="85" t="n"/>
      <c r="C485" s="85" t="n"/>
      <c r="D485" s="85" t="n"/>
      <c r="E485" s="85" t="n"/>
      <c r="F485" s="86" t="n"/>
      <c r="G485" s="86" t="n"/>
      <c r="H485" s="85" t="n"/>
      <c r="I485" s="85" t="n"/>
      <c r="J485" s="85" t="n"/>
      <c r="K485" s="85" t="n"/>
      <c r="L485" s="85" t="n"/>
      <c r="M485" s="85" t="n"/>
      <c r="N485" s="85" t="n"/>
      <c r="O485" s="85" t="n"/>
      <c r="P485" s="85" t="n"/>
      <c r="Q485" s="85" t="n"/>
      <c r="R485" s="85" t="n"/>
      <c r="S485" s="85" t="n"/>
      <c r="T485" s="85" t="n"/>
      <c r="U485" s="85" t="n"/>
      <c r="V485" s="85" t="n"/>
      <c r="W485" s="85" t="n"/>
      <c r="X485" s="85" t="n"/>
      <c r="Y485" s="85" t="n"/>
      <c r="Z485" s="85" t="n"/>
      <c r="AA485" s="85" t="n"/>
      <c r="AB485" s="85" t="n"/>
      <c r="AC485" s="86" t="n"/>
      <c r="AD485" s="86" t="n"/>
      <c r="AE485" s="86" t="n"/>
      <c r="AF485" s="85" t="n"/>
      <c r="AG485" s="85" t="n"/>
      <c r="AH485" s="85">
        <f>IF($A485="","",IF(AND($E485="Yes",OR($V485="No",$V485="NOT FOUND")),"YES",""))</f>
        <v/>
      </c>
      <c r="AI485" s="85">
        <f>IF($A485="","",TRIM(IF(AND($M485=0,$I485&lt;&gt;"Yes"),"T0-NoPhishResistant ","")&amp;IF($H485="No","NoMFA ","")&amp;IF(AND($M485=0,$O485="Group only"),"T0-ViaGroupOnly ","")&amp;IF($N485="Yes","BroadAzureScope ","")&amp;IF($T485="Yes","AlsoEntraRole ","")))</f>
        <v/>
      </c>
      <c r="AJ485" s="85">
        <f>IF($A485="","",IF(AD485="","Not Enrolled",IF(TODAY()&gt;AD485,"Review Overdue",IF(AD485-TODAY()&lt;=30,"Review Due Soon","Active"))))</f>
        <v/>
      </c>
      <c r="AK485" s="85">
        <f>IF($A485="","",IF(AE485="","NOT REVIEWED",IF(TODAY()-AE485&gt;90,"OVERDUE",IF(TODAY()-AE485&gt;76,"Due Soon","Current"))))</f>
        <v/>
      </c>
    </row>
    <row r="486" ht="15" customHeight="1" s="39">
      <c r="A486" s="85" t="n"/>
      <c r="B486" s="85" t="n"/>
      <c r="C486" s="85" t="n"/>
      <c r="D486" s="85" t="n"/>
      <c r="E486" s="85" t="n"/>
      <c r="F486" s="86" t="n"/>
      <c r="G486" s="86" t="n"/>
      <c r="H486" s="85" t="n"/>
      <c r="I486" s="85" t="n"/>
      <c r="J486" s="85" t="n"/>
      <c r="K486" s="85" t="n"/>
      <c r="L486" s="85" t="n"/>
      <c r="M486" s="85" t="n"/>
      <c r="N486" s="85" t="n"/>
      <c r="O486" s="85" t="n"/>
      <c r="P486" s="85" t="n"/>
      <c r="Q486" s="85" t="n"/>
      <c r="R486" s="85" t="n"/>
      <c r="S486" s="85" t="n"/>
      <c r="T486" s="85" t="n"/>
      <c r="U486" s="85" t="n"/>
      <c r="V486" s="85" t="n"/>
      <c r="W486" s="85" t="n"/>
      <c r="X486" s="85" t="n"/>
      <c r="Y486" s="85" t="n"/>
      <c r="Z486" s="85" t="n"/>
      <c r="AA486" s="85" t="n"/>
      <c r="AB486" s="85" t="n"/>
      <c r="AC486" s="86" t="n"/>
      <c r="AD486" s="86" t="n"/>
      <c r="AE486" s="86" t="n"/>
      <c r="AF486" s="85" t="n"/>
      <c r="AG486" s="85" t="n"/>
      <c r="AH486" s="85">
        <f>IF($A486="","",IF(AND($E486="Yes",OR($V486="No",$V486="NOT FOUND")),"YES",""))</f>
        <v/>
      </c>
      <c r="AI486" s="85">
        <f>IF($A486="","",TRIM(IF(AND($M486=0,$I486&lt;&gt;"Yes"),"T0-NoPhishResistant ","")&amp;IF($H486="No","NoMFA ","")&amp;IF(AND($M486=0,$O486="Group only"),"T0-ViaGroupOnly ","")&amp;IF($N486="Yes","BroadAzureScope ","")&amp;IF($T486="Yes","AlsoEntraRole ","")))</f>
        <v/>
      </c>
      <c r="AJ486" s="85">
        <f>IF($A486="","",IF(AD486="","Not Enrolled",IF(TODAY()&gt;AD486,"Review Overdue",IF(AD486-TODAY()&lt;=30,"Review Due Soon","Active"))))</f>
        <v/>
      </c>
      <c r="AK486" s="85">
        <f>IF($A486="","",IF(AE486="","NOT REVIEWED",IF(TODAY()-AE486&gt;90,"OVERDUE",IF(TODAY()-AE486&gt;76,"Due Soon","Current"))))</f>
        <v/>
      </c>
    </row>
    <row r="487" ht="15" customHeight="1" s="39">
      <c r="A487" s="85" t="n"/>
      <c r="B487" s="85" t="n"/>
      <c r="C487" s="85" t="n"/>
      <c r="D487" s="85" t="n"/>
      <c r="E487" s="85" t="n"/>
      <c r="F487" s="86" t="n"/>
      <c r="G487" s="86" t="n"/>
      <c r="H487" s="85" t="n"/>
      <c r="I487" s="85" t="n"/>
      <c r="J487" s="85" t="n"/>
      <c r="K487" s="85" t="n"/>
      <c r="L487" s="85" t="n"/>
      <c r="M487" s="85" t="n"/>
      <c r="N487" s="85" t="n"/>
      <c r="O487" s="85" t="n"/>
      <c r="P487" s="85" t="n"/>
      <c r="Q487" s="85" t="n"/>
      <c r="R487" s="85" t="n"/>
      <c r="S487" s="85" t="n"/>
      <c r="T487" s="85" t="n"/>
      <c r="U487" s="85" t="n"/>
      <c r="V487" s="85" t="n"/>
      <c r="W487" s="85" t="n"/>
      <c r="X487" s="85" t="n"/>
      <c r="Y487" s="85" t="n"/>
      <c r="Z487" s="85" t="n"/>
      <c r="AA487" s="85" t="n"/>
      <c r="AB487" s="85" t="n"/>
      <c r="AC487" s="86" t="n"/>
      <c r="AD487" s="86" t="n"/>
      <c r="AE487" s="86" t="n"/>
      <c r="AF487" s="85" t="n"/>
      <c r="AG487" s="85" t="n"/>
      <c r="AH487" s="85">
        <f>IF($A487="","",IF(AND($E487="Yes",OR($V487="No",$V487="NOT FOUND")),"YES",""))</f>
        <v/>
      </c>
      <c r="AI487" s="85">
        <f>IF($A487="","",TRIM(IF(AND($M487=0,$I487&lt;&gt;"Yes"),"T0-NoPhishResistant ","")&amp;IF($H487="No","NoMFA ","")&amp;IF(AND($M487=0,$O487="Group only"),"T0-ViaGroupOnly ","")&amp;IF($N487="Yes","BroadAzureScope ","")&amp;IF($T487="Yes","AlsoEntraRole ","")))</f>
        <v/>
      </c>
      <c r="AJ487" s="85">
        <f>IF($A487="","",IF(AD487="","Not Enrolled",IF(TODAY()&gt;AD487,"Review Overdue",IF(AD487-TODAY()&lt;=30,"Review Due Soon","Active"))))</f>
        <v/>
      </c>
      <c r="AK487" s="85">
        <f>IF($A487="","",IF(AE487="","NOT REVIEWED",IF(TODAY()-AE487&gt;90,"OVERDUE",IF(TODAY()-AE487&gt;76,"Due Soon","Current"))))</f>
        <v/>
      </c>
    </row>
    <row r="488" ht="15" customHeight="1" s="39">
      <c r="A488" s="85" t="n"/>
      <c r="B488" s="85" t="n"/>
      <c r="C488" s="85" t="n"/>
      <c r="D488" s="85" t="n"/>
      <c r="E488" s="85" t="n"/>
      <c r="F488" s="86" t="n"/>
      <c r="G488" s="86" t="n"/>
      <c r="H488" s="85" t="n"/>
      <c r="I488" s="85" t="n"/>
      <c r="J488" s="85" t="n"/>
      <c r="K488" s="85" t="n"/>
      <c r="L488" s="85" t="n"/>
      <c r="M488" s="85" t="n"/>
      <c r="N488" s="85" t="n"/>
      <c r="O488" s="85" t="n"/>
      <c r="P488" s="85" t="n"/>
      <c r="Q488" s="85" t="n"/>
      <c r="R488" s="85" t="n"/>
      <c r="S488" s="85" t="n"/>
      <c r="T488" s="85" t="n"/>
      <c r="U488" s="85" t="n"/>
      <c r="V488" s="85" t="n"/>
      <c r="W488" s="85" t="n"/>
      <c r="X488" s="85" t="n"/>
      <c r="Y488" s="85" t="n"/>
      <c r="Z488" s="85" t="n"/>
      <c r="AA488" s="85" t="n"/>
      <c r="AB488" s="85" t="n"/>
      <c r="AC488" s="86" t="n"/>
      <c r="AD488" s="86" t="n"/>
      <c r="AE488" s="86" t="n"/>
      <c r="AF488" s="85" t="n"/>
      <c r="AG488" s="85" t="n"/>
      <c r="AH488" s="85">
        <f>IF($A488="","",IF(AND($E488="Yes",OR($V488="No",$V488="NOT FOUND")),"YES",""))</f>
        <v/>
      </c>
      <c r="AI488" s="85">
        <f>IF($A488="","",TRIM(IF(AND($M488=0,$I488&lt;&gt;"Yes"),"T0-NoPhishResistant ","")&amp;IF($H488="No","NoMFA ","")&amp;IF(AND($M488=0,$O488="Group only"),"T0-ViaGroupOnly ","")&amp;IF($N488="Yes","BroadAzureScope ","")&amp;IF($T488="Yes","AlsoEntraRole ","")))</f>
        <v/>
      </c>
      <c r="AJ488" s="85">
        <f>IF($A488="","",IF(AD488="","Not Enrolled",IF(TODAY()&gt;AD488,"Review Overdue",IF(AD488-TODAY()&lt;=30,"Review Due Soon","Active"))))</f>
        <v/>
      </c>
      <c r="AK488" s="85">
        <f>IF($A488="","",IF(AE488="","NOT REVIEWED",IF(TODAY()-AE488&gt;90,"OVERDUE",IF(TODAY()-AE488&gt;76,"Due Soon","Current"))))</f>
        <v/>
      </c>
    </row>
    <row r="489" ht="15" customHeight="1" s="39">
      <c r="A489" s="85" t="n"/>
      <c r="B489" s="85" t="n"/>
      <c r="C489" s="85" t="n"/>
      <c r="D489" s="85" t="n"/>
      <c r="E489" s="85" t="n"/>
      <c r="F489" s="86" t="n"/>
      <c r="G489" s="86" t="n"/>
      <c r="H489" s="85" t="n"/>
      <c r="I489" s="85" t="n"/>
      <c r="J489" s="85" t="n"/>
      <c r="K489" s="85" t="n"/>
      <c r="L489" s="85" t="n"/>
      <c r="M489" s="85" t="n"/>
      <c r="N489" s="85" t="n"/>
      <c r="O489" s="85" t="n"/>
      <c r="P489" s="85" t="n"/>
      <c r="Q489" s="85" t="n"/>
      <c r="R489" s="85" t="n"/>
      <c r="S489" s="85" t="n"/>
      <c r="T489" s="85" t="n"/>
      <c r="U489" s="85" t="n"/>
      <c r="V489" s="85" t="n"/>
      <c r="W489" s="85" t="n"/>
      <c r="X489" s="85" t="n"/>
      <c r="Y489" s="85" t="n"/>
      <c r="Z489" s="85" t="n"/>
      <c r="AA489" s="85" t="n"/>
      <c r="AB489" s="85" t="n"/>
      <c r="AC489" s="86" t="n"/>
      <c r="AD489" s="86" t="n"/>
      <c r="AE489" s="86" t="n"/>
      <c r="AF489" s="85" t="n"/>
      <c r="AG489" s="85" t="n"/>
      <c r="AH489" s="85">
        <f>IF($A489="","",IF(AND($E489="Yes",OR($V489="No",$V489="NOT FOUND")),"YES",""))</f>
        <v/>
      </c>
      <c r="AI489" s="85">
        <f>IF($A489="","",TRIM(IF(AND($M489=0,$I489&lt;&gt;"Yes"),"T0-NoPhishResistant ","")&amp;IF($H489="No","NoMFA ","")&amp;IF(AND($M489=0,$O489="Group only"),"T0-ViaGroupOnly ","")&amp;IF($N489="Yes","BroadAzureScope ","")&amp;IF($T489="Yes","AlsoEntraRole ","")))</f>
        <v/>
      </c>
      <c r="AJ489" s="85">
        <f>IF($A489="","",IF(AD489="","Not Enrolled",IF(TODAY()&gt;AD489,"Review Overdue",IF(AD489-TODAY()&lt;=30,"Review Due Soon","Active"))))</f>
        <v/>
      </c>
      <c r="AK489" s="85">
        <f>IF($A489="","",IF(AE489="","NOT REVIEWED",IF(TODAY()-AE489&gt;90,"OVERDUE",IF(TODAY()-AE489&gt;76,"Due Soon","Current"))))</f>
        <v/>
      </c>
    </row>
    <row r="490" ht="15" customHeight="1" s="39">
      <c r="A490" s="85" t="n"/>
      <c r="B490" s="85" t="n"/>
      <c r="C490" s="85" t="n"/>
      <c r="D490" s="85" t="n"/>
      <c r="E490" s="85" t="n"/>
      <c r="F490" s="86" t="n"/>
      <c r="G490" s="86" t="n"/>
      <c r="H490" s="85" t="n"/>
      <c r="I490" s="85" t="n"/>
      <c r="J490" s="85" t="n"/>
      <c r="K490" s="85" t="n"/>
      <c r="L490" s="85" t="n"/>
      <c r="M490" s="85" t="n"/>
      <c r="N490" s="85" t="n"/>
      <c r="O490" s="85" t="n"/>
      <c r="P490" s="85" t="n"/>
      <c r="Q490" s="85" t="n"/>
      <c r="R490" s="85" t="n"/>
      <c r="S490" s="85" t="n"/>
      <c r="T490" s="85" t="n"/>
      <c r="U490" s="85" t="n"/>
      <c r="V490" s="85" t="n"/>
      <c r="W490" s="85" t="n"/>
      <c r="X490" s="85" t="n"/>
      <c r="Y490" s="85" t="n"/>
      <c r="Z490" s="85" t="n"/>
      <c r="AA490" s="85" t="n"/>
      <c r="AB490" s="85" t="n"/>
      <c r="AC490" s="86" t="n"/>
      <c r="AD490" s="86" t="n"/>
      <c r="AE490" s="86" t="n"/>
      <c r="AF490" s="85" t="n"/>
      <c r="AG490" s="85" t="n"/>
      <c r="AH490" s="85">
        <f>IF($A490="","",IF(AND($E490="Yes",OR($V490="No",$V490="NOT FOUND")),"YES",""))</f>
        <v/>
      </c>
      <c r="AI490" s="85">
        <f>IF($A490="","",TRIM(IF(AND($M490=0,$I490&lt;&gt;"Yes"),"T0-NoPhishResistant ","")&amp;IF($H490="No","NoMFA ","")&amp;IF(AND($M490=0,$O490="Group only"),"T0-ViaGroupOnly ","")&amp;IF($N490="Yes","BroadAzureScope ","")&amp;IF($T490="Yes","AlsoEntraRole ","")))</f>
        <v/>
      </c>
      <c r="AJ490" s="85">
        <f>IF($A490="","",IF(AD490="","Not Enrolled",IF(TODAY()&gt;AD490,"Review Overdue",IF(AD490-TODAY()&lt;=30,"Review Due Soon","Active"))))</f>
        <v/>
      </c>
      <c r="AK490" s="85">
        <f>IF($A490="","",IF(AE490="","NOT REVIEWED",IF(TODAY()-AE490&gt;90,"OVERDUE",IF(TODAY()-AE490&gt;76,"Due Soon","Current"))))</f>
        <v/>
      </c>
    </row>
    <row r="491" ht="15" customHeight="1" s="39">
      <c r="A491" s="85" t="n"/>
      <c r="B491" s="85" t="n"/>
      <c r="C491" s="85" t="n"/>
      <c r="D491" s="85" t="n"/>
      <c r="E491" s="85" t="n"/>
      <c r="F491" s="86" t="n"/>
      <c r="G491" s="86" t="n"/>
      <c r="H491" s="85" t="n"/>
      <c r="I491" s="85" t="n"/>
      <c r="J491" s="85" t="n"/>
      <c r="K491" s="85" t="n"/>
      <c r="L491" s="85" t="n"/>
      <c r="M491" s="85" t="n"/>
      <c r="N491" s="85" t="n"/>
      <c r="O491" s="85" t="n"/>
      <c r="P491" s="85" t="n"/>
      <c r="Q491" s="85" t="n"/>
      <c r="R491" s="85" t="n"/>
      <c r="S491" s="85" t="n"/>
      <c r="T491" s="85" t="n"/>
      <c r="U491" s="85" t="n"/>
      <c r="V491" s="85" t="n"/>
      <c r="W491" s="85" t="n"/>
      <c r="X491" s="85" t="n"/>
      <c r="Y491" s="85" t="n"/>
      <c r="Z491" s="85" t="n"/>
      <c r="AA491" s="85" t="n"/>
      <c r="AB491" s="85" t="n"/>
      <c r="AC491" s="86" t="n"/>
      <c r="AD491" s="86" t="n"/>
      <c r="AE491" s="86" t="n"/>
      <c r="AF491" s="85" t="n"/>
      <c r="AG491" s="85" t="n"/>
      <c r="AH491" s="85">
        <f>IF($A491="","",IF(AND($E491="Yes",OR($V491="No",$V491="NOT FOUND")),"YES",""))</f>
        <v/>
      </c>
      <c r="AI491" s="85">
        <f>IF($A491="","",TRIM(IF(AND($M491=0,$I491&lt;&gt;"Yes"),"T0-NoPhishResistant ","")&amp;IF($H491="No","NoMFA ","")&amp;IF(AND($M491=0,$O491="Group only"),"T0-ViaGroupOnly ","")&amp;IF($N491="Yes","BroadAzureScope ","")&amp;IF($T491="Yes","AlsoEntraRole ","")))</f>
        <v/>
      </c>
      <c r="AJ491" s="85">
        <f>IF($A491="","",IF(AD491="","Not Enrolled",IF(TODAY()&gt;AD491,"Review Overdue",IF(AD491-TODAY()&lt;=30,"Review Due Soon","Active"))))</f>
        <v/>
      </c>
      <c r="AK491" s="85">
        <f>IF($A491="","",IF(AE491="","NOT REVIEWED",IF(TODAY()-AE491&gt;90,"OVERDUE",IF(TODAY()-AE491&gt;76,"Due Soon","Current"))))</f>
        <v/>
      </c>
    </row>
    <row r="492" ht="15" customHeight="1" s="39">
      <c r="A492" s="85" t="n"/>
      <c r="B492" s="85" t="n"/>
      <c r="C492" s="85" t="n"/>
      <c r="D492" s="85" t="n"/>
      <c r="E492" s="85" t="n"/>
      <c r="F492" s="86" t="n"/>
      <c r="G492" s="86" t="n"/>
      <c r="H492" s="85" t="n"/>
      <c r="I492" s="85" t="n"/>
      <c r="J492" s="85" t="n"/>
      <c r="K492" s="85" t="n"/>
      <c r="L492" s="85" t="n"/>
      <c r="M492" s="85" t="n"/>
      <c r="N492" s="85" t="n"/>
      <c r="O492" s="85" t="n"/>
      <c r="P492" s="85" t="n"/>
      <c r="Q492" s="85" t="n"/>
      <c r="R492" s="85" t="n"/>
      <c r="S492" s="85" t="n"/>
      <c r="T492" s="85" t="n"/>
      <c r="U492" s="85" t="n"/>
      <c r="V492" s="85" t="n"/>
      <c r="W492" s="85" t="n"/>
      <c r="X492" s="85" t="n"/>
      <c r="Y492" s="85" t="n"/>
      <c r="Z492" s="85" t="n"/>
      <c r="AA492" s="85" t="n"/>
      <c r="AB492" s="85" t="n"/>
      <c r="AC492" s="86" t="n"/>
      <c r="AD492" s="86" t="n"/>
      <c r="AE492" s="86" t="n"/>
      <c r="AF492" s="85" t="n"/>
      <c r="AG492" s="85" t="n"/>
      <c r="AH492" s="85">
        <f>IF($A492="","",IF(AND($E492="Yes",OR($V492="No",$V492="NOT FOUND")),"YES",""))</f>
        <v/>
      </c>
      <c r="AI492" s="85">
        <f>IF($A492="","",TRIM(IF(AND($M492=0,$I492&lt;&gt;"Yes"),"T0-NoPhishResistant ","")&amp;IF($H492="No","NoMFA ","")&amp;IF(AND($M492=0,$O492="Group only"),"T0-ViaGroupOnly ","")&amp;IF($N492="Yes","BroadAzureScope ","")&amp;IF($T492="Yes","AlsoEntraRole ","")))</f>
        <v/>
      </c>
      <c r="AJ492" s="85">
        <f>IF($A492="","",IF(AD492="","Not Enrolled",IF(TODAY()&gt;AD492,"Review Overdue",IF(AD492-TODAY()&lt;=30,"Review Due Soon","Active"))))</f>
        <v/>
      </c>
      <c r="AK492" s="85">
        <f>IF($A492="","",IF(AE492="","NOT REVIEWED",IF(TODAY()-AE492&gt;90,"OVERDUE",IF(TODAY()-AE492&gt;76,"Due Soon","Current"))))</f>
        <v/>
      </c>
    </row>
    <row r="493" ht="15" customHeight="1" s="39">
      <c r="A493" s="85" t="n"/>
      <c r="B493" s="85" t="n"/>
      <c r="C493" s="85" t="n"/>
      <c r="D493" s="85" t="n"/>
      <c r="E493" s="85" t="n"/>
      <c r="F493" s="86" t="n"/>
      <c r="G493" s="86" t="n"/>
      <c r="H493" s="85" t="n"/>
      <c r="I493" s="85" t="n"/>
      <c r="J493" s="85" t="n"/>
      <c r="K493" s="85" t="n"/>
      <c r="L493" s="85" t="n"/>
      <c r="M493" s="85" t="n"/>
      <c r="N493" s="85" t="n"/>
      <c r="O493" s="85" t="n"/>
      <c r="P493" s="85" t="n"/>
      <c r="Q493" s="85" t="n"/>
      <c r="R493" s="85" t="n"/>
      <c r="S493" s="85" t="n"/>
      <c r="T493" s="85" t="n"/>
      <c r="U493" s="85" t="n"/>
      <c r="V493" s="85" t="n"/>
      <c r="W493" s="85" t="n"/>
      <c r="X493" s="85" t="n"/>
      <c r="Y493" s="85" t="n"/>
      <c r="Z493" s="85" t="n"/>
      <c r="AA493" s="85" t="n"/>
      <c r="AB493" s="85" t="n"/>
      <c r="AC493" s="86" t="n"/>
      <c r="AD493" s="86" t="n"/>
      <c r="AE493" s="86" t="n"/>
      <c r="AF493" s="85" t="n"/>
      <c r="AG493" s="85" t="n"/>
      <c r="AH493" s="85">
        <f>IF($A493="","",IF(AND($E493="Yes",OR($V493="No",$V493="NOT FOUND")),"YES",""))</f>
        <v/>
      </c>
      <c r="AI493" s="85">
        <f>IF($A493="","",TRIM(IF(AND($M493=0,$I493&lt;&gt;"Yes"),"T0-NoPhishResistant ","")&amp;IF($H493="No","NoMFA ","")&amp;IF(AND($M493=0,$O493="Group only"),"T0-ViaGroupOnly ","")&amp;IF($N493="Yes","BroadAzureScope ","")&amp;IF($T493="Yes","AlsoEntraRole ","")))</f>
        <v/>
      </c>
      <c r="AJ493" s="85">
        <f>IF($A493="","",IF(AD493="","Not Enrolled",IF(TODAY()&gt;AD493,"Review Overdue",IF(AD493-TODAY()&lt;=30,"Review Due Soon","Active"))))</f>
        <v/>
      </c>
      <c r="AK493" s="85">
        <f>IF($A493="","",IF(AE493="","NOT REVIEWED",IF(TODAY()-AE493&gt;90,"OVERDUE",IF(TODAY()-AE493&gt;76,"Due Soon","Current"))))</f>
        <v/>
      </c>
    </row>
    <row r="494" ht="15" customHeight="1" s="39">
      <c r="A494" s="85" t="n"/>
      <c r="B494" s="85" t="n"/>
      <c r="C494" s="85" t="n"/>
      <c r="D494" s="85" t="n"/>
      <c r="E494" s="85" t="n"/>
      <c r="F494" s="86" t="n"/>
      <c r="G494" s="86" t="n"/>
      <c r="H494" s="85" t="n"/>
      <c r="I494" s="85" t="n"/>
      <c r="J494" s="85" t="n"/>
      <c r="K494" s="85" t="n"/>
      <c r="L494" s="85" t="n"/>
      <c r="M494" s="85" t="n"/>
      <c r="N494" s="85" t="n"/>
      <c r="O494" s="85" t="n"/>
      <c r="P494" s="85" t="n"/>
      <c r="Q494" s="85" t="n"/>
      <c r="R494" s="85" t="n"/>
      <c r="S494" s="85" t="n"/>
      <c r="T494" s="85" t="n"/>
      <c r="U494" s="85" t="n"/>
      <c r="V494" s="85" t="n"/>
      <c r="W494" s="85" t="n"/>
      <c r="X494" s="85" t="n"/>
      <c r="Y494" s="85" t="n"/>
      <c r="Z494" s="85" t="n"/>
      <c r="AA494" s="85" t="n"/>
      <c r="AB494" s="85" t="n"/>
      <c r="AC494" s="86" t="n"/>
      <c r="AD494" s="86" t="n"/>
      <c r="AE494" s="86" t="n"/>
      <c r="AF494" s="85" t="n"/>
      <c r="AG494" s="85" t="n"/>
      <c r="AH494" s="85">
        <f>IF($A494="","",IF(AND($E494="Yes",OR($V494="No",$V494="NOT FOUND")),"YES",""))</f>
        <v/>
      </c>
      <c r="AI494" s="85">
        <f>IF($A494="","",TRIM(IF(AND($M494=0,$I494&lt;&gt;"Yes"),"T0-NoPhishResistant ","")&amp;IF($H494="No","NoMFA ","")&amp;IF(AND($M494=0,$O494="Group only"),"T0-ViaGroupOnly ","")&amp;IF($N494="Yes","BroadAzureScope ","")&amp;IF($T494="Yes","AlsoEntraRole ","")))</f>
        <v/>
      </c>
      <c r="AJ494" s="85">
        <f>IF($A494="","",IF(AD494="","Not Enrolled",IF(TODAY()&gt;AD494,"Review Overdue",IF(AD494-TODAY()&lt;=30,"Review Due Soon","Active"))))</f>
        <v/>
      </c>
      <c r="AK494" s="85">
        <f>IF($A494="","",IF(AE494="","NOT REVIEWED",IF(TODAY()-AE494&gt;90,"OVERDUE",IF(TODAY()-AE494&gt;76,"Due Soon","Current"))))</f>
        <v/>
      </c>
    </row>
    <row r="495" ht="15" customHeight="1" s="39">
      <c r="A495" s="85" t="n"/>
      <c r="B495" s="85" t="n"/>
      <c r="C495" s="85" t="n"/>
      <c r="D495" s="85" t="n"/>
      <c r="E495" s="85" t="n"/>
      <c r="F495" s="86" t="n"/>
      <c r="G495" s="86" t="n"/>
      <c r="H495" s="85" t="n"/>
      <c r="I495" s="85" t="n"/>
      <c r="J495" s="85" t="n"/>
      <c r="K495" s="85" t="n"/>
      <c r="L495" s="85" t="n"/>
      <c r="M495" s="85" t="n"/>
      <c r="N495" s="85" t="n"/>
      <c r="O495" s="85" t="n"/>
      <c r="P495" s="85" t="n"/>
      <c r="Q495" s="85" t="n"/>
      <c r="R495" s="85" t="n"/>
      <c r="S495" s="85" t="n"/>
      <c r="T495" s="85" t="n"/>
      <c r="U495" s="85" t="n"/>
      <c r="V495" s="85" t="n"/>
      <c r="W495" s="85" t="n"/>
      <c r="X495" s="85" t="n"/>
      <c r="Y495" s="85" t="n"/>
      <c r="Z495" s="85" t="n"/>
      <c r="AA495" s="85" t="n"/>
      <c r="AB495" s="85" t="n"/>
      <c r="AC495" s="86" t="n"/>
      <c r="AD495" s="86" t="n"/>
      <c r="AE495" s="86" t="n"/>
      <c r="AF495" s="85" t="n"/>
      <c r="AG495" s="85" t="n"/>
      <c r="AH495" s="85">
        <f>IF($A495="","",IF(AND($E495="Yes",OR($V495="No",$V495="NOT FOUND")),"YES",""))</f>
        <v/>
      </c>
      <c r="AI495" s="85">
        <f>IF($A495="","",TRIM(IF(AND($M495=0,$I495&lt;&gt;"Yes"),"T0-NoPhishResistant ","")&amp;IF($H495="No","NoMFA ","")&amp;IF(AND($M495=0,$O495="Group only"),"T0-ViaGroupOnly ","")&amp;IF($N495="Yes","BroadAzureScope ","")&amp;IF($T495="Yes","AlsoEntraRole ","")))</f>
        <v/>
      </c>
      <c r="AJ495" s="85">
        <f>IF($A495="","",IF(AD495="","Not Enrolled",IF(TODAY()&gt;AD495,"Review Overdue",IF(AD495-TODAY()&lt;=30,"Review Due Soon","Active"))))</f>
        <v/>
      </c>
      <c r="AK495" s="85">
        <f>IF($A495="","",IF(AE495="","NOT REVIEWED",IF(TODAY()-AE495&gt;90,"OVERDUE",IF(TODAY()-AE495&gt;76,"Due Soon","Current"))))</f>
        <v/>
      </c>
    </row>
    <row r="496" ht="15" customHeight="1" s="39">
      <c r="A496" s="85" t="n"/>
      <c r="B496" s="85" t="n"/>
      <c r="C496" s="85" t="n"/>
      <c r="D496" s="85" t="n"/>
      <c r="E496" s="85" t="n"/>
      <c r="F496" s="86" t="n"/>
      <c r="G496" s="86" t="n"/>
      <c r="H496" s="85" t="n"/>
      <c r="I496" s="85" t="n"/>
      <c r="J496" s="85" t="n"/>
      <c r="K496" s="85" t="n"/>
      <c r="L496" s="85" t="n"/>
      <c r="M496" s="85" t="n"/>
      <c r="N496" s="85" t="n"/>
      <c r="O496" s="85" t="n"/>
      <c r="P496" s="85" t="n"/>
      <c r="Q496" s="85" t="n"/>
      <c r="R496" s="85" t="n"/>
      <c r="S496" s="85" t="n"/>
      <c r="T496" s="85" t="n"/>
      <c r="U496" s="85" t="n"/>
      <c r="V496" s="85" t="n"/>
      <c r="W496" s="85" t="n"/>
      <c r="X496" s="85" t="n"/>
      <c r="Y496" s="85" t="n"/>
      <c r="Z496" s="85" t="n"/>
      <c r="AA496" s="85" t="n"/>
      <c r="AB496" s="85" t="n"/>
      <c r="AC496" s="86" t="n"/>
      <c r="AD496" s="86" t="n"/>
      <c r="AE496" s="86" t="n"/>
      <c r="AF496" s="85" t="n"/>
      <c r="AG496" s="85" t="n"/>
      <c r="AH496" s="85">
        <f>IF($A496="","",IF(AND($E496="Yes",OR($V496="No",$V496="NOT FOUND")),"YES",""))</f>
        <v/>
      </c>
      <c r="AI496" s="85">
        <f>IF($A496="","",TRIM(IF(AND($M496=0,$I496&lt;&gt;"Yes"),"T0-NoPhishResistant ","")&amp;IF($H496="No","NoMFA ","")&amp;IF(AND($M496=0,$O496="Group only"),"T0-ViaGroupOnly ","")&amp;IF($N496="Yes","BroadAzureScope ","")&amp;IF($T496="Yes","AlsoEntraRole ","")))</f>
        <v/>
      </c>
      <c r="AJ496" s="85">
        <f>IF($A496="","",IF(AD496="","Not Enrolled",IF(TODAY()&gt;AD496,"Review Overdue",IF(AD496-TODAY()&lt;=30,"Review Due Soon","Active"))))</f>
        <v/>
      </c>
      <c r="AK496" s="85">
        <f>IF($A496="","",IF(AE496="","NOT REVIEWED",IF(TODAY()-AE496&gt;90,"OVERDUE",IF(TODAY()-AE496&gt;76,"Due Soon","Current"))))</f>
        <v/>
      </c>
    </row>
    <row r="497" ht="15" customHeight="1" s="39">
      <c r="A497" s="85" t="n"/>
      <c r="B497" s="85" t="n"/>
      <c r="C497" s="85" t="n"/>
      <c r="D497" s="85" t="n"/>
      <c r="E497" s="85" t="n"/>
      <c r="F497" s="86" t="n"/>
      <c r="G497" s="86" t="n"/>
      <c r="H497" s="85" t="n"/>
      <c r="I497" s="85" t="n"/>
      <c r="J497" s="85" t="n"/>
      <c r="K497" s="85" t="n"/>
      <c r="L497" s="85" t="n"/>
      <c r="M497" s="85" t="n"/>
      <c r="N497" s="85" t="n"/>
      <c r="O497" s="85" t="n"/>
      <c r="P497" s="85" t="n"/>
      <c r="Q497" s="85" t="n"/>
      <c r="R497" s="85" t="n"/>
      <c r="S497" s="85" t="n"/>
      <c r="T497" s="85" t="n"/>
      <c r="U497" s="85" t="n"/>
      <c r="V497" s="85" t="n"/>
      <c r="W497" s="85" t="n"/>
      <c r="X497" s="85" t="n"/>
      <c r="Y497" s="85" t="n"/>
      <c r="Z497" s="85" t="n"/>
      <c r="AA497" s="85" t="n"/>
      <c r="AB497" s="85" t="n"/>
      <c r="AC497" s="86" t="n"/>
      <c r="AD497" s="86" t="n"/>
      <c r="AE497" s="86" t="n"/>
      <c r="AF497" s="85" t="n"/>
      <c r="AG497" s="85" t="n"/>
      <c r="AH497" s="85">
        <f>IF($A497="","",IF(AND($E497="Yes",OR($V497="No",$V497="NOT FOUND")),"YES",""))</f>
        <v/>
      </c>
      <c r="AI497" s="85">
        <f>IF($A497="","",TRIM(IF(AND($M497=0,$I497&lt;&gt;"Yes"),"T0-NoPhishResistant ","")&amp;IF($H497="No","NoMFA ","")&amp;IF(AND($M497=0,$O497="Group only"),"T0-ViaGroupOnly ","")&amp;IF($N497="Yes","BroadAzureScope ","")&amp;IF($T497="Yes","AlsoEntraRole ","")))</f>
        <v/>
      </c>
      <c r="AJ497" s="85">
        <f>IF($A497="","",IF(AD497="","Not Enrolled",IF(TODAY()&gt;AD497,"Review Overdue",IF(AD497-TODAY()&lt;=30,"Review Due Soon","Active"))))</f>
        <v/>
      </c>
      <c r="AK497" s="85">
        <f>IF($A497="","",IF(AE497="","NOT REVIEWED",IF(TODAY()-AE497&gt;90,"OVERDUE",IF(TODAY()-AE497&gt;76,"Due Soon","Current"))))</f>
        <v/>
      </c>
    </row>
    <row r="498" ht="15" customHeight="1" s="39">
      <c r="A498" s="85" t="n"/>
      <c r="B498" s="85" t="n"/>
      <c r="C498" s="85" t="n"/>
      <c r="D498" s="85" t="n"/>
      <c r="E498" s="85" t="n"/>
      <c r="F498" s="86" t="n"/>
      <c r="G498" s="86" t="n"/>
      <c r="H498" s="85" t="n"/>
      <c r="I498" s="85" t="n"/>
      <c r="J498" s="85" t="n"/>
      <c r="K498" s="85" t="n"/>
      <c r="L498" s="85" t="n"/>
      <c r="M498" s="85" t="n"/>
      <c r="N498" s="85" t="n"/>
      <c r="O498" s="85" t="n"/>
      <c r="P498" s="85" t="n"/>
      <c r="Q498" s="85" t="n"/>
      <c r="R498" s="85" t="n"/>
      <c r="S498" s="85" t="n"/>
      <c r="T498" s="85" t="n"/>
      <c r="U498" s="85" t="n"/>
      <c r="V498" s="85" t="n"/>
      <c r="W498" s="85" t="n"/>
      <c r="X498" s="85" t="n"/>
      <c r="Y498" s="85" t="n"/>
      <c r="Z498" s="85" t="n"/>
      <c r="AA498" s="85" t="n"/>
      <c r="AB498" s="85" t="n"/>
      <c r="AC498" s="86" t="n"/>
      <c r="AD498" s="86" t="n"/>
      <c r="AE498" s="86" t="n"/>
      <c r="AF498" s="85" t="n"/>
      <c r="AG498" s="85" t="n"/>
      <c r="AH498" s="85">
        <f>IF($A498="","",IF(AND($E498="Yes",OR($V498="No",$V498="NOT FOUND")),"YES",""))</f>
        <v/>
      </c>
      <c r="AI498" s="85">
        <f>IF($A498="","",TRIM(IF(AND($M498=0,$I498&lt;&gt;"Yes"),"T0-NoPhishResistant ","")&amp;IF($H498="No","NoMFA ","")&amp;IF(AND($M498=0,$O498="Group only"),"T0-ViaGroupOnly ","")&amp;IF($N498="Yes","BroadAzureScope ","")&amp;IF($T498="Yes","AlsoEntraRole ","")))</f>
        <v/>
      </c>
      <c r="AJ498" s="85">
        <f>IF($A498="","",IF(AD498="","Not Enrolled",IF(TODAY()&gt;AD498,"Review Overdue",IF(AD498-TODAY()&lt;=30,"Review Due Soon","Active"))))</f>
        <v/>
      </c>
      <c r="AK498" s="85">
        <f>IF($A498="","",IF(AE498="","NOT REVIEWED",IF(TODAY()-AE498&gt;90,"OVERDUE",IF(TODAY()-AE498&gt;76,"Due Soon","Current"))))</f>
        <v/>
      </c>
    </row>
    <row r="499" ht="15" customHeight="1" s="39">
      <c r="A499" s="85" t="n"/>
      <c r="B499" s="85" t="n"/>
      <c r="C499" s="85" t="n"/>
      <c r="D499" s="85" t="n"/>
      <c r="E499" s="85" t="n"/>
      <c r="F499" s="86" t="n"/>
      <c r="G499" s="86" t="n"/>
      <c r="H499" s="85" t="n"/>
      <c r="I499" s="85" t="n"/>
      <c r="J499" s="85" t="n"/>
      <c r="K499" s="85" t="n"/>
      <c r="L499" s="85" t="n"/>
      <c r="M499" s="85" t="n"/>
      <c r="N499" s="85" t="n"/>
      <c r="O499" s="85" t="n"/>
      <c r="P499" s="85" t="n"/>
      <c r="Q499" s="85" t="n"/>
      <c r="R499" s="85" t="n"/>
      <c r="S499" s="85" t="n"/>
      <c r="T499" s="85" t="n"/>
      <c r="U499" s="85" t="n"/>
      <c r="V499" s="85" t="n"/>
      <c r="W499" s="85" t="n"/>
      <c r="X499" s="85" t="n"/>
      <c r="Y499" s="85" t="n"/>
      <c r="Z499" s="85" t="n"/>
      <c r="AA499" s="85" t="n"/>
      <c r="AB499" s="85" t="n"/>
      <c r="AC499" s="86" t="n"/>
      <c r="AD499" s="86" t="n"/>
      <c r="AE499" s="86" t="n"/>
      <c r="AF499" s="85" t="n"/>
      <c r="AG499" s="85" t="n"/>
      <c r="AH499" s="85">
        <f>IF($A499="","",IF(AND($E499="Yes",OR($V499="No",$V499="NOT FOUND")),"YES",""))</f>
        <v/>
      </c>
      <c r="AI499" s="85">
        <f>IF($A499="","",TRIM(IF(AND($M499=0,$I499&lt;&gt;"Yes"),"T0-NoPhishResistant ","")&amp;IF($H499="No","NoMFA ","")&amp;IF(AND($M499=0,$O499="Group only"),"T0-ViaGroupOnly ","")&amp;IF($N499="Yes","BroadAzureScope ","")&amp;IF($T499="Yes","AlsoEntraRole ","")))</f>
        <v/>
      </c>
      <c r="AJ499" s="85">
        <f>IF($A499="","",IF(AD499="","Not Enrolled",IF(TODAY()&gt;AD499,"Review Overdue",IF(AD499-TODAY()&lt;=30,"Review Due Soon","Active"))))</f>
        <v/>
      </c>
      <c r="AK499" s="85">
        <f>IF($A499="","",IF(AE499="","NOT REVIEWED",IF(TODAY()-AE499&gt;90,"OVERDUE",IF(TODAY()-AE499&gt;76,"Due Soon","Current"))))</f>
        <v/>
      </c>
    </row>
    <row r="500" ht="15" customHeight="1" s="39">
      <c r="A500" s="85" t="n"/>
      <c r="B500" s="85" t="n"/>
      <c r="C500" s="85" t="n"/>
      <c r="D500" s="85" t="n"/>
      <c r="E500" s="85" t="n"/>
      <c r="F500" s="86" t="n"/>
      <c r="G500" s="86" t="n"/>
      <c r="H500" s="85" t="n"/>
      <c r="I500" s="85" t="n"/>
      <c r="J500" s="85" t="n"/>
      <c r="K500" s="85" t="n"/>
      <c r="L500" s="85" t="n"/>
      <c r="M500" s="85" t="n"/>
      <c r="N500" s="85" t="n"/>
      <c r="O500" s="85" t="n"/>
      <c r="P500" s="85" t="n"/>
      <c r="Q500" s="85" t="n"/>
      <c r="R500" s="85" t="n"/>
      <c r="S500" s="85" t="n"/>
      <c r="T500" s="85" t="n"/>
      <c r="U500" s="85" t="n"/>
      <c r="V500" s="85" t="n"/>
      <c r="W500" s="85" t="n"/>
      <c r="X500" s="85" t="n"/>
      <c r="Y500" s="85" t="n"/>
      <c r="Z500" s="85" t="n"/>
      <c r="AA500" s="85" t="n"/>
      <c r="AB500" s="85" t="n"/>
      <c r="AC500" s="86" t="n"/>
      <c r="AD500" s="86" t="n"/>
      <c r="AE500" s="86" t="n"/>
      <c r="AF500" s="85" t="n"/>
      <c r="AG500" s="85" t="n"/>
      <c r="AH500" s="85">
        <f>IF($A500="","",IF(AND($E500="Yes",OR($V500="No",$V500="NOT FOUND")),"YES",""))</f>
        <v/>
      </c>
      <c r="AI500" s="85">
        <f>IF($A500="","",TRIM(IF(AND($M500=0,$I500&lt;&gt;"Yes"),"T0-NoPhishResistant ","")&amp;IF($H500="No","NoMFA ","")&amp;IF(AND($M500=0,$O500="Group only"),"T0-ViaGroupOnly ","")&amp;IF($N500="Yes","BroadAzureScope ","")&amp;IF($T500="Yes","AlsoEntraRole ","")))</f>
        <v/>
      </c>
      <c r="AJ500" s="85">
        <f>IF($A500="","",IF(AD500="","Not Enrolled",IF(TODAY()&gt;AD500,"Review Overdue",IF(AD500-TODAY()&lt;=30,"Review Due Soon","Active"))))</f>
        <v/>
      </c>
      <c r="AK500" s="85">
        <f>IF($A500="","",IF(AE500="","NOT REVIEWED",IF(TODAY()-AE500&gt;90,"OVERDUE",IF(TODAY()-AE500&gt;76,"Due Soon","Current"))))</f>
        <v/>
      </c>
    </row>
    <row r="501" ht="15" customHeight="1" s="39">
      <c r="A501" s="85" t="n"/>
      <c r="B501" s="85" t="n"/>
      <c r="C501" s="85" t="n"/>
      <c r="D501" s="85" t="n"/>
      <c r="E501" s="85" t="n"/>
      <c r="F501" s="86" t="n"/>
      <c r="G501" s="86" t="n"/>
      <c r="H501" s="85" t="n"/>
      <c r="I501" s="85" t="n"/>
      <c r="J501" s="85" t="n"/>
      <c r="K501" s="85" t="n"/>
      <c r="L501" s="85" t="n"/>
      <c r="M501" s="85" t="n"/>
      <c r="N501" s="85" t="n"/>
      <c r="O501" s="85" t="n"/>
      <c r="P501" s="85" t="n"/>
      <c r="Q501" s="85" t="n"/>
      <c r="R501" s="85" t="n"/>
      <c r="S501" s="85" t="n"/>
      <c r="T501" s="85" t="n"/>
      <c r="U501" s="85" t="n"/>
      <c r="V501" s="85" t="n"/>
      <c r="W501" s="85" t="n"/>
      <c r="X501" s="85" t="n"/>
      <c r="Y501" s="85" t="n"/>
      <c r="Z501" s="85" t="n"/>
      <c r="AA501" s="85" t="n"/>
      <c r="AB501" s="85" t="n"/>
      <c r="AC501" s="86" t="n"/>
      <c r="AD501" s="86" t="n"/>
      <c r="AE501" s="86" t="n"/>
      <c r="AF501" s="85" t="n"/>
      <c r="AG501" s="85" t="n"/>
      <c r="AH501" s="85">
        <f>IF($A501="","",IF(AND($E501="Yes",OR($V501="No",$V501="NOT FOUND")),"YES",""))</f>
        <v/>
      </c>
      <c r="AI501" s="85">
        <f>IF($A501="","",TRIM(IF(AND($M501=0,$I501&lt;&gt;"Yes"),"T0-NoPhishResistant ","")&amp;IF($H501="No","NoMFA ","")&amp;IF(AND($M501=0,$O501="Group only"),"T0-ViaGroupOnly ","")&amp;IF($N501="Yes","BroadAzureScope ","")&amp;IF($T501="Yes","AlsoEntraRole ","")))</f>
        <v/>
      </c>
      <c r="AJ501" s="85">
        <f>IF($A501="","",IF(AD501="","Not Enrolled",IF(TODAY()&gt;AD501,"Review Overdue",IF(AD501-TODAY()&lt;=30,"Review Due Soon","Active"))))</f>
        <v/>
      </c>
      <c r="AK501" s="85">
        <f>IF($A501="","",IF(AE501="","NOT REVIEWED",IF(TODAY()-AE501&gt;90,"OVERDUE",IF(TODAY()-AE501&gt;76,"Due Soon","Current"))))</f>
        <v/>
      </c>
    </row>
    <row r="502" ht="15" customHeight="1" s="39">
      <c r="A502" s="85" t="n"/>
      <c r="B502" s="85" t="n"/>
      <c r="C502" s="85" t="n"/>
      <c r="D502" s="85" t="n"/>
      <c r="E502" s="85" t="n"/>
      <c r="F502" s="86" t="n"/>
      <c r="G502" s="86" t="n"/>
      <c r="H502" s="85" t="n"/>
      <c r="I502" s="85" t="n"/>
      <c r="J502" s="85" t="n"/>
      <c r="K502" s="85" t="n"/>
      <c r="L502" s="85" t="n"/>
      <c r="M502" s="85" t="n"/>
      <c r="N502" s="85" t="n"/>
      <c r="O502" s="85" t="n"/>
      <c r="P502" s="85" t="n"/>
      <c r="Q502" s="85" t="n"/>
      <c r="R502" s="85" t="n"/>
      <c r="S502" s="85" t="n"/>
      <c r="T502" s="85" t="n"/>
      <c r="U502" s="85" t="n"/>
      <c r="V502" s="85" t="n"/>
      <c r="W502" s="85" t="n"/>
      <c r="X502" s="85" t="n"/>
      <c r="Y502" s="85" t="n"/>
      <c r="Z502" s="85" t="n"/>
      <c r="AA502" s="85" t="n"/>
      <c r="AB502" s="85" t="n"/>
      <c r="AC502" s="86" t="n"/>
      <c r="AD502" s="86" t="n"/>
      <c r="AE502" s="86" t="n"/>
      <c r="AF502" s="85" t="n"/>
      <c r="AG502" s="85" t="n"/>
      <c r="AH502" s="85">
        <f>IF($A502="","",IF(AND($E502="Yes",OR($V502="No",$V502="NOT FOUND")),"YES",""))</f>
        <v/>
      </c>
      <c r="AI502" s="85">
        <f>IF($A502="","",TRIM(IF(AND($M502=0,$I502&lt;&gt;"Yes"),"T0-NoPhishResistant ","")&amp;IF($H502="No","NoMFA ","")&amp;IF(AND($M502=0,$O502="Group only"),"T0-ViaGroupOnly ","")&amp;IF($N502="Yes","BroadAzureScope ","")&amp;IF($T502="Yes","AlsoEntraRole ","")))</f>
        <v/>
      </c>
      <c r="AJ502" s="85">
        <f>IF($A502="","",IF(AD502="","Not Enrolled",IF(TODAY()&gt;AD502,"Review Overdue",IF(AD502-TODAY()&lt;=30,"Review Due Soon","Active"))))</f>
        <v/>
      </c>
      <c r="AK502" s="85">
        <f>IF($A502="","",IF(AE502="","NOT REVIEWED",IF(TODAY()-AE502&gt;90,"OVERDUE",IF(TODAY()-AE502&gt;76,"Due Soon","Current"))))</f>
        <v/>
      </c>
    </row>
    <row r="503" ht="15" customHeight="1" s="39">
      <c r="A503" s="85" t="n"/>
      <c r="B503" s="85" t="n"/>
      <c r="C503" s="85" t="n"/>
      <c r="D503" s="85" t="n"/>
      <c r="E503" s="85" t="n"/>
      <c r="F503" s="86" t="n"/>
      <c r="G503" s="86" t="n"/>
      <c r="H503" s="85" t="n"/>
      <c r="I503" s="85" t="n"/>
      <c r="J503" s="85" t="n"/>
      <c r="K503" s="85" t="n"/>
      <c r="L503" s="85" t="n"/>
      <c r="M503" s="85" t="n"/>
      <c r="N503" s="85" t="n"/>
      <c r="O503" s="85" t="n"/>
      <c r="P503" s="85" t="n"/>
      <c r="Q503" s="85" t="n"/>
      <c r="R503" s="85" t="n"/>
      <c r="S503" s="85" t="n"/>
      <c r="T503" s="85" t="n"/>
      <c r="U503" s="85" t="n"/>
      <c r="V503" s="85" t="n"/>
      <c r="W503" s="85" t="n"/>
      <c r="X503" s="85" t="n"/>
      <c r="Y503" s="85" t="n"/>
      <c r="Z503" s="85" t="n"/>
      <c r="AA503" s="85" t="n"/>
      <c r="AB503" s="85" t="n"/>
      <c r="AC503" s="86" t="n"/>
      <c r="AD503" s="86" t="n"/>
      <c r="AE503" s="86" t="n"/>
      <c r="AF503" s="85" t="n"/>
      <c r="AG503" s="85" t="n"/>
      <c r="AH503" s="85">
        <f>IF($A503="","",IF(AND($E503="Yes",OR($V503="No",$V503="NOT FOUND")),"YES",""))</f>
        <v/>
      </c>
      <c r="AI503" s="85">
        <f>IF($A503="","",TRIM(IF(AND($M503=0,$I503&lt;&gt;"Yes"),"T0-NoPhishResistant ","")&amp;IF($H503="No","NoMFA ","")&amp;IF(AND($M503=0,$O503="Group only"),"T0-ViaGroupOnly ","")&amp;IF($N503="Yes","BroadAzureScope ","")&amp;IF($T503="Yes","AlsoEntraRole ","")))</f>
        <v/>
      </c>
      <c r="AJ503" s="85">
        <f>IF($A503="","",IF(AD503="","Not Enrolled",IF(TODAY()&gt;AD503,"Review Overdue",IF(AD503-TODAY()&lt;=30,"Review Due Soon","Active"))))</f>
        <v/>
      </c>
      <c r="AK503" s="85">
        <f>IF($A503="","",IF(AE503="","NOT REVIEWED",IF(TODAY()-AE503&gt;90,"OVERDUE",IF(TODAY()-AE503&gt;76,"Due Soon","Current"))))</f>
        <v/>
      </c>
    </row>
    <row r="504" ht="15" customHeight="1" s="39">
      <c r="A504" s="85" t="n"/>
      <c r="B504" s="85" t="n"/>
      <c r="C504" s="85" t="n"/>
      <c r="D504" s="85" t="n"/>
      <c r="E504" s="85" t="n"/>
      <c r="F504" s="86" t="n"/>
      <c r="G504" s="86" t="n"/>
      <c r="H504" s="85" t="n"/>
      <c r="I504" s="85" t="n"/>
      <c r="J504" s="85" t="n"/>
      <c r="K504" s="85" t="n"/>
      <c r="L504" s="85" t="n"/>
      <c r="M504" s="85" t="n"/>
      <c r="N504" s="85" t="n"/>
      <c r="O504" s="85" t="n"/>
      <c r="P504" s="85" t="n"/>
      <c r="Q504" s="85" t="n"/>
      <c r="R504" s="85" t="n"/>
      <c r="S504" s="85" t="n"/>
      <c r="T504" s="85" t="n"/>
      <c r="U504" s="85" t="n"/>
      <c r="V504" s="85" t="n"/>
      <c r="W504" s="85" t="n"/>
      <c r="X504" s="85" t="n"/>
      <c r="Y504" s="85" t="n"/>
      <c r="Z504" s="85" t="n"/>
      <c r="AA504" s="85" t="n"/>
      <c r="AB504" s="85" t="n"/>
      <c r="AC504" s="86" t="n"/>
      <c r="AD504" s="86" t="n"/>
      <c r="AE504" s="86" t="n"/>
      <c r="AF504" s="85" t="n"/>
      <c r="AG504" s="85" t="n"/>
      <c r="AH504" s="85">
        <f>IF($A504="","",IF(AND($E504="Yes",OR($V504="No",$V504="NOT FOUND")),"YES",""))</f>
        <v/>
      </c>
      <c r="AI504" s="85">
        <f>IF($A504="","",TRIM(IF(AND($M504=0,$I504&lt;&gt;"Yes"),"T0-NoPhishResistant ","")&amp;IF($H504="No","NoMFA ","")&amp;IF(AND($M504=0,$O504="Group only"),"T0-ViaGroupOnly ","")&amp;IF($N504="Yes","BroadAzureScope ","")&amp;IF($T504="Yes","AlsoEntraRole ","")))</f>
        <v/>
      </c>
      <c r="AJ504" s="85">
        <f>IF($A504="","",IF(AD504="","Not Enrolled",IF(TODAY()&gt;AD504,"Review Overdue",IF(AD504-TODAY()&lt;=30,"Review Due Soon","Active"))))</f>
        <v/>
      </c>
      <c r="AK504" s="85">
        <f>IF($A504="","",IF(AE504="","NOT REVIEWED",IF(TODAY()-AE504&gt;90,"OVERDUE",IF(TODAY()-AE504&gt;76,"Due Soon","Current"))))</f>
        <v/>
      </c>
    </row>
    <row r="505" ht="15" customHeight="1" s="39">
      <c r="A505" s="85" t="n"/>
      <c r="B505" s="85" t="n"/>
      <c r="C505" s="85" t="n"/>
      <c r="D505" s="85" t="n"/>
      <c r="E505" s="85" t="n"/>
      <c r="F505" s="86" t="n"/>
      <c r="G505" s="86" t="n"/>
      <c r="H505" s="85" t="n"/>
      <c r="I505" s="85" t="n"/>
      <c r="J505" s="85" t="n"/>
      <c r="K505" s="85" t="n"/>
      <c r="L505" s="85" t="n"/>
      <c r="M505" s="85" t="n"/>
      <c r="N505" s="85" t="n"/>
      <c r="O505" s="85" t="n"/>
      <c r="P505" s="85" t="n"/>
      <c r="Q505" s="85" t="n"/>
      <c r="R505" s="85" t="n"/>
      <c r="S505" s="85" t="n"/>
      <c r="T505" s="85" t="n"/>
      <c r="U505" s="85" t="n"/>
      <c r="V505" s="85" t="n"/>
      <c r="W505" s="85" t="n"/>
      <c r="X505" s="85" t="n"/>
      <c r="Y505" s="85" t="n"/>
      <c r="Z505" s="85" t="n"/>
      <c r="AA505" s="85" t="n"/>
      <c r="AB505" s="85" t="n"/>
      <c r="AC505" s="86" t="n"/>
      <c r="AD505" s="86" t="n"/>
      <c r="AE505" s="86" t="n"/>
      <c r="AF505" s="85" t="n"/>
      <c r="AG505" s="85" t="n"/>
      <c r="AH505" s="85">
        <f>IF($A505="","",IF(AND($E505="Yes",OR($V505="No",$V505="NOT FOUND")),"YES",""))</f>
        <v/>
      </c>
      <c r="AI505" s="85">
        <f>IF($A505="","",TRIM(IF(AND($M505=0,$I505&lt;&gt;"Yes"),"T0-NoPhishResistant ","")&amp;IF($H505="No","NoMFA ","")&amp;IF(AND($M505=0,$O505="Group only"),"T0-ViaGroupOnly ","")&amp;IF($N505="Yes","BroadAzureScope ","")&amp;IF($T505="Yes","AlsoEntraRole ","")))</f>
        <v/>
      </c>
      <c r="AJ505" s="85">
        <f>IF($A505="","",IF(AD505="","Not Enrolled",IF(TODAY()&gt;AD505,"Review Overdue",IF(AD505-TODAY()&lt;=30,"Review Due Soon","Active"))))</f>
        <v/>
      </c>
      <c r="AK505" s="85">
        <f>IF($A505="","",IF(AE505="","NOT REVIEWED",IF(TODAY()-AE505&gt;90,"OVERDUE",IF(TODAY()-AE505&gt;76,"Due Soon","Current"))))</f>
        <v/>
      </c>
    </row>
    <row r="506" ht="15" customHeight="1" s="39">
      <c r="A506" s="85" t="n"/>
      <c r="B506" s="85" t="n"/>
      <c r="C506" s="85" t="n"/>
      <c r="D506" s="85" t="n"/>
      <c r="E506" s="85" t="n"/>
      <c r="F506" s="86" t="n"/>
      <c r="G506" s="86" t="n"/>
      <c r="H506" s="85" t="n"/>
      <c r="I506" s="85" t="n"/>
      <c r="J506" s="85" t="n"/>
      <c r="K506" s="85" t="n"/>
      <c r="L506" s="85" t="n"/>
      <c r="M506" s="85" t="n"/>
      <c r="N506" s="85" t="n"/>
      <c r="O506" s="85" t="n"/>
      <c r="P506" s="85" t="n"/>
      <c r="Q506" s="85" t="n"/>
      <c r="R506" s="85" t="n"/>
      <c r="S506" s="85" t="n"/>
      <c r="T506" s="85" t="n"/>
      <c r="U506" s="85" t="n"/>
      <c r="V506" s="85" t="n"/>
      <c r="W506" s="85" t="n"/>
      <c r="X506" s="85" t="n"/>
      <c r="Y506" s="85" t="n"/>
      <c r="Z506" s="85" t="n"/>
      <c r="AA506" s="85" t="n"/>
      <c r="AB506" s="85" t="n"/>
      <c r="AC506" s="86" t="n"/>
      <c r="AD506" s="86" t="n"/>
      <c r="AE506" s="86" t="n"/>
      <c r="AF506" s="85" t="n"/>
      <c r="AG506" s="85" t="n"/>
      <c r="AH506" s="85">
        <f>IF($A506="","",IF(AND($E506="Yes",OR($V506="No",$V506="NOT FOUND")),"YES",""))</f>
        <v/>
      </c>
      <c r="AI506" s="85">
        <f>IF($A506="","",TRIM(IF(AND($M506=0,$I506&lt;&gt;"Yes"),"T0-NoPhishResistant ","")&amp;IF($H506="No","NoMFA ","")&amp;IF(AND($M506=0,$O506="Group only"),"T0-ViaGroupOnly ","")&amp;IF($N506="Yes","BroadAzureScope ","")&amp;IF($T506="Yes","AlsoEntraRole ","")))</f>
        <v/>
      </c>
      <c r="AJ506" s="85">
        <f>IF($A506="","",IF(AD506="","Not Enrolled",IF(TODAY()&gt;AD506,"Review Overdue",IF(AD506-TODAY()&lt;=30,"Review Due Soon","Active"))))</f>
        <v/>
      </c>
      <c r="AK506" s="85">
        <f>IF($A506="","",IF(AE506="","NOT REVIEWED",IF(TODAY()-AE506&gt;90,"OVERDUE",IF(TODAY()-AE506&gt;76,"Due Soon","Current"))))</f>
        <v/>
      </c>
    </row>
    <row r="507" ht="15" customHeight="1" s="39">
      <c r="A507" s="85" t="n"/>
      <c r="B507" s="85" t="n"/>
      <c r="C507" s="85" t="n"/>
      <c r="D507" s="85" t="n"/>
      <c r="E507" s="85" t="n"/>
      <c r="F507" s="86" t="n"/>
      <c r="G507" s="86" t="n"/>
      <c r="H507" s="85" t="n"/>
      <c r="I507" s="85" t="n"/>
      <c r="J507" s="85" t="n"/>
      <c r="K507" s="85" t="n"/>
      <c r="L507" s="85" t="n"/>
      <c r="M507" s="85" t="n"/>
      <c r="N507" s="85" t="n"/>
      <c r="O507" s="85" t="n"/>
      <c r="P507" s="85" t="n"/>
      <c r="Q507" s="85" t="n"/>
      <c r="R507" s="85" t="n"/>
      <c r="S507" s="85" t="n"/>
      <c r="T507" s="85" t="n"/>
      <c r="U507" s="85" t="n"/>
      <c r="V507" s="85" t="n"/>
      <c r="W507" s="85" t="n"/>
      <c r="X507" s="85" t="n"/>
      <c r="Y507" s="85" t="n"/>
      <c r="Z507" s="85" t="n"/>
      <c r="AA507" s="85" t="n"/>
      <c r="AB507" s="85" t="n"/>
      <c r="AC507" s="86" t="n"/>
      <c r="AD507" s="86" t="n"/>
      <c r="AE507" s="86" t="n"/>
      <c r="AF507" s="85" t="n"/>
      <c r="AG507" s="85" t="n"/>
      <c r="AH507" s="85">
        <f>IF($A507="","",IF(AND($E507="Yes",OR($V507="No",$V507="NOT FOUND")),"YES",""))</f>
        <v/>
      </c>
      <c r="AI507" s="85">
        <f>IF($A507="","",TRIM(IF(AND($M507=0,$I507&lt;&gt;"Yes"),"T0-NoPhishResistant ","")&amp;IF($H507="No","NoMFA ","")&amp;IF(AND($M507=0,$O507="Group only"),"T0-ViaGroupOnly ","")&amp;IF($N507="Yes","BroadAzureScope ","")&amp;IF($T507="Yes","AlsoEntraRole ","")))</f>
        <v/>
      </c>
      <c r="AJ507" s="85">
        <f>IF($A507="","",IF(AD507="","Not Enrolled",IF(TODAY()&gt;AD507,"Review Overdue",IF(AD507-TODAY()&lt;=30,"Review Due Soon","Active"))))</f>
        <v/>
      </c>
      <c r="AK507" s="85">
        <f>IF($A507="","",IF(AE507="","NOT REVIEWED",IF(TODAY()-AE507&gt;90,"OVERDUE",IF(TODAY()-AE507&gt;76,"Due Soon","Current"))))</f>
        <v/>
      </c>
    </row>
    <row r="508" ht="15" customHeight="1" s="39">
      <c r="A508" s="85" t="n"/>
      <c r="B508" s="85" t="n"/>
      <c r="C508" s="85" t="n"/>
      <c r="D508" s="85" t="n"/>
      <c r="E508" s="85" t="n"/>
      <c r="F508" s="86" t="n"/>
      <c r="G508" s="86" t="n"/>
      <c r="H508" s="85" t="n"/>
      <c r="I508" s="85" t="n"/>
      <c r="J508" s="85" t="n"/>
      <c r="K508" s="85" t="n"/>
      <c r="L508" s="85" t="n"/>
      <c r="M508" s="85" t="n"/>
      <c r="N508" s="85" t="n"/>
      <c r="O508" s="85" t="n"/>
      <c r="P508" s="85" t="n"/>
      <c r="Q508" s="85" t="n"/>
      <c r="R508" s="85" t="n"/>
      <c r="S508" s="85" t="n"/>
      <c r="T508" s="85" t="n"/>
      <c r="U508" s="85" t="n"/>
      <c r="V508" s="85" t="n"/>
      <c r="W508" s="85" t="n"/>
      <c r="X508" s="85" t="n"/>
      <c r="Y508" s="85" t="n"/>
      <c r="Z508" s="85" t="n"/>
      <c r="AA508" s="85" t="n"/>
      <c r="AB508" s="85" t="n"/>
      <c r="AC508" s="86" t="n"/>
      <c r="AD508" s="86" t="n"/>
      <c r="AE508" s="86" t="n"/>
      <c r="AF508" s="85" t="n"/>
      <c r="AG508" s="85" t="n"/>
      <c r="AH508" s="85">
        <f>IF($A508="","",IF(AND($E508="Yes",OR($V508="No",$V508="NOT FOUND")),"YES",""))</f>
        <v/>
      </c>
      <c r="AI508" s="85">
        <f>IF($A508="","",TRIM(IF(AND($M508=0,$I508&lt;&gt;"Yes"),"T0-NoPhishResistant ","")&amp;IF($H508="No","NoMFA ","")&amp;IF(AND($M508=0,$O508="Group only"),"T0-ViaGroupOnly ","")&amp;IF($N508="Yes","BroadAzureScope ","")&amp;IF($T508="Yes","AlsoEntraRole ","")))</f>
        <v/>
      </c>
      <c r="AJ508" s="85">
        <f>IF($A508="","",IF(AD508="","Not Enrolled",IF(TODAY()&gt;AD508,"Review Overdue",IF(AD508-TODAY()&lt;=30,"Review Due Soon","Active"))))</f>
        <v/>
      </c>
      <c r="AK508" s="85">
        <f>IF($A508="","",IF(AE508="","NOT REVIEWED",IF(TODAY()-AE508&gt;90,"OVERDUE",IF(TODAY()-AE508&gt;76,"Due Soon","Current"))))</f>
        <v/>
      </c>
    </row>
    <row r="509" ht="15" customHeight="1" s="39">
      <c r="A509" s="85" t="n"/>
      <c r="B509" s="85" t="n"/>
      <c r="C509" s="85" t="n"/>
      <c r="D509" s="85" t="n"/>
      <c r="E509" s="85" t="n"/>
      <c r="F509" s="86" t="n"/>
      <c r="G509" s="86" t="n"/>
      <c r="H509" s="85" t="n"/>
      <c r="I509" s="85" t="n"/>
      <c r="J509" s="85" t="n"/>
      <c r="K509" s="85" t="n"/>
      <c r="L509" s="85" t="n"/>
      <c r="M509" s="85" t="n"/>
      <c r="N509" s="85" t="n"/>
      <c r="O509" s="85" t="n"/>
      <c r="P509" s="85" t="n"/>
      <c r="Q509" s="85" t="n"/>
      <c r="R509" s="85" t="n"/>
      <c r="S509" s="85" t="n"/>
      <c r="T509" s="85" t="n"/>
      <c r="U509" s="85" t="n"/>
      <c r="V509" s="85" t="n"/>
      <c r="W509" s="85" t="n"/>
      <c r="X509" s="85" t="n"/>
      <c r="Y509" s="85" t="n"/>
      <c r="Z509" s="85" t="n"/>
      <c r="AA509" s="85" t="n"/>
      <c r="AB509" s="85" t="n"/>
      <c r="AC509" s="86" t="n"/>
      <c r="AD509" s="86" t="n"/>
      <c r="AE509" s="86" t="n"/>
      <c r="AF509" s="85" t="n"/>
      <c r="AG509" s="85" t="n"/>
      <c r="AH509" s="85">
        <f>IF($A509="","",IF(AND($E509="Yes",OR($V509="No",$V509="NOT FOUND")),"YES",""))</f>
        <v/>
      </c>
      <c r="AI509" s="85">
        <f>IF($A509="","",TRIM(IF(AND($M509=0,$I509&lt;&gt;"Yes"),"T0-NoPhishResistant ","")&amp;IF($H509="No","NoMFA ","")&amp;IF(AND($M509=0,$O509="Group only"),"T0-ViaGroupOnly ","")&amp;IF($N509="Yes","BroadAzureScope ","")&amp;IF($T509="Yes","AlsoEntraRole ","")))</f>
        <v/>
      </c>
      <c r="AJ509" s="85">
        <f>IF($A509="","",IF(AD509="","Not Enrolled",IF(TODAY()&gt;AD509,"Review Overdue",IF(AD509-TODAY()&lt;=30,"Review Due Soon","Active"))))</f>
        <v/>
      </c>
      <c r="AK509" s="85">
        <f>IF($A509="","",IF(AE509="","NOT REVIEWED",IF(TODAY()-AE509&gt;90,"OVERDUE",IF(TODAY()-AE509&gt;76,"Due Soon","Current"))))</f>
        <v/>
      </c>
    </row>
    <row r="510" ht="15" customHeight="1" s="39">
      <c r="A510" s="85" t="n"/>
      <c r="B510" s="85" t="n"/>
      <c r="C510" s="85" t="n"/>
      <c r="D510" s="85" t="n"/>
      <c r="E510" s="85" t="n"/>
      <c r="F510" s="86" t="n"/>
      <c r="G510" s="86" t="n"/>
      <c r="H510" s="85" t="n"/>
      <c r="I510" s="85" t="n"/>
      <c r="J510" s="85" t="n"/>
      <c r="K510" s="85" t="n"/>
      <c r="L510" s="85" t="n"/>
      <c r="M510" s="85" t="n"/>
      <c r="N510" s="85" t="n"/>
      <c r="O510" s="85" t="n"/>
      <c r="P510" s="85" t="n"/>
      <c r="Q510" s="85" t="n"/>
      <c r="R510" s="85" t="n"/>
      <c r="S510" s="85" t="n"/>
      <c r="T510" s="85" t="n"/>
      <c r="U510" s="85" t="n"/>
      <c r="V510" s="85" t="n"/>
      <c r="W510" s="85" t="n"/>
      <c r="X510" s="85" t="n"/>
      <c r="Y510" s="85" t="n"/>
      <c r="Z510" s="85" t="n"/>
      <c r="AA510" s="85" t="n"/>
      <c r="AB510" s="85" t="n"/>
      <c r="AC510" s="86" t="n"/>
      <c r="AD510" s="86" t="n"/>
      <c r="AE510" s="86" t="n"/>
      <c r="AF510" s="85" t="n"/>
      <c r="AG510" s="85" t="n"/>
      <c r="AH510" s="85">
        <f>IF($A510="","",IF(AND($E510="Yes",OR($V510="No",$V510="NOT FOUND")),"YES",""))</f>
        <v/>
      </c>
      <c r="AI510" s="85">
        <f>IF($A510="","",TRIM(IF(AND($M510=0,$I510&lt;&gt;"Yes"),"T0-NoPhishResistant ","")&amp;IF($H510="No","NoMFA ","")&amp;IF(AND($M510=0,$O510="Group only"),"T0-ViaGroupOnly ","")&amp;IF($N510="Yes","BroadAzureScope ","")&amp;IF($T510="Yes","AlsoEntraRole ","")))</f>
        <v/>
      </c>
      <c r="AJ510" s="85">
        <f>IF($A510="","",IF(AD510="","Not Enrolled",IF(TODAY()&gt;AD510,"Review Overdue",IF(AD510-TODAY()&lt;=30,"Review Due Soon","Active"))))</f>
        <v/>
      </c>
      <c r="AK510" s="85">
        <f>IF($A510="","",IF(AE510="","NOT REVIEWED",IF(TODAY()-AE510&gt;90,"OVERDUE",IF(TODAY()-AE510&gt;76,"Due Soon","Current"))))</f>
        <v/>
      </c>
    </row>
    <row r="511" ht="15" customHeight="1" s="39">
      <c r="A511" s="85" t="n"/>
      <c r="B511" s="85" t="n"/>
      <c r="C511" s="85" t="n"/>
      <c r="D511" s="85" t="n"/>
      <c r="E511" s="85" t="n"/>
      <c r="F511" s="86" t="n"/>
      <c r="G511" s="86" t="n"/>
      <c r="H511" s="85" t="n"/>
      <c r="I511" s="85" t="n"/>
      <c r="J511" s="85" t="n"/>
      <c r="K511" s="85" t="n"/>
      <c r="L511" s="85" t="n"/>
      <c r="M511" s="85" t="n"/>
      <c r="N511" s="85" t="n"/>
      <c r="O511" s="85" t="n"/>
      <c r="P511" s="85" t="n"/>
      <c r="Q511" s="85" t="n"/>
      <c r="R511" s="85" t="n"/>
      <c r="S511" s="85" t="n"/>
      <c r="T511" s="85" t="n"/>
      <c r="U511" s="85" t="n"/>
      <c r="V511" s="85" t="n"/>
      <c r="W511" s="85" t="n"/>
      <c r="X511" s="85" t="n"/>
      <c r="Y511" s="85" t="n"/>
      <c r="Z511" s="85" t="n"/>
      <c r="AA511" s="85" t="n"/>
      <c r="AB511" s="85" t="n"/>
      <c r="AC511" s="86" t="n"/>
      <c r="AD511" s="86" t="n"/>
      <c r="AE511" s="86" t="n"/>
      <c r="AF511" s="85" t="n"/>
      <c r="AG511" s="85" t="n"/>
      <c r="AH511" s="85">
        <f>IF($A511="","",IF(AND($E511="Yes",OR($V511="No",$V511="NOT FOUND")),"YES",""))</f>
        <v/>
      </c>
      <c r="AI511" s="85">
        <f>IF($A511="","",TRIM(IF(AND($M511=0,$I511&lt;&gt;"Yes"),"T0-NoPhishResistant ","")&amp;IF($H511="No","NoMFA ","")&amp;IF(AND($M511=0,$O511="Group only"),"T0-ViaGroupOnly ","")&amp;IF($N511="Yes","BroadAzureScope ","")&amp;IF($T511="Yes","AlsoEntraRole ","")))</f>
        <v/>
      </c>
      <c r="AJ511" s="85">
        <f>IF($A511="","",IF(AD511="","Not Enrolled",IF(TODAY()&gt;AD511,"Review Overdue",IF(AD511-TODAY()&lt;=30,"Review Due Soon","Active"))))</f>
        <v/>
      </c>
      <c r="AK511" s="85">
        <f>IF($A511="","",IF(AE511="","NOT REVIEWED",IF(TODAY()-AE511&gt;90,"OVERDUE",IF(TODAY()-AE511&gt;76,"Due Soon","Current"))))</f>
        <v/>
      </c>
    </row>
    <row r="512" ht="15" customHeight="1" s="39">
      <c r="A512" s="85" t="n"/>
      <c r="B512" s="85" t="n"/>
      <c r="C512" s="85" t="n"/>
      <c r="D512" s="85" t="n"/>
      <c r="E512" s="85" t="n"/>
      <c r="F512" s="86" t="n"/>
      <c r="G512" s="86" t="n"/>
      <c r="H512" s="85" t="n"/>
      <c r="I512" s="85" t="n"/>
      <c r="J512" s="85" t="n"/>
      <c r="K512" s="85" t="n"/>
      <c r="L512" s="85" t="n"/>
      <c r="M512" s="85" t="n"/>
      <c r="N512" s="85" t="n"/>
      <c r="O512" s="85" t="n"/>
      <c r="P512" s="85" t="n"/>
      <c r="Q512" s="85" t="n"/>
      <c r="R512" s="85" t="n"/>
      <c r="S512" s="85" t="n"/>
      <c r="T512" s="85" t="n"/>
      <c r="U512" s="85" t="n"/>
      <c r="V512" s="85" t="n"/>
      <c r="W512" s="85" t="n"/>
      <c r="X512" s="85" t="n"/>
      <c r="Y512" s="85" t="n"/>
      <c r="Z512" s="85" t="n"/>
      <c r="AA512" s="85" t="n"/>
      <c r="AB512" s="85" t="n"/>
      <c r="AC512" s="86" t="n"/>
      <c r="AD512" s="86" t="n"/>
      <c r="AE512" s="86" t="n"/>
      <c r="AF512" s="85" t="n"/>
      <c r="AG512" s="85" t="n"/>
      <c r="AH512" s="85">
        <f>IF($A512="","",IF(AND($E512="Yes",OR($V512="No",$V512="NOT FOUND")),"YES",""))</f>
        <v/>
      </c>
      <c r="AI512" s="85">
        <f>IF($A512="","",TRIM(IF(AND($M512=0,$I512&lt;&gt;"Yes"),"T0-NoPhishResistant ","")&amp;IF($H512="No","NoMFA ","")&amp;IF(AND($M512=0,$O512="Group only"),"T0-ViaGroupOnly ","")&amp;IF($N512="Yes","BroadAzureScope ","")&amp;IF($T512="Yes","AlsoEntraRole ","")))</f>
        <v/>
      </c>
      <c r="AJ512" s="85">
        <f>IF($A512="","",IF(AD512="","Not Enrolled",IF(TODAY()&gt;AD512,"Review Overdue",IF(AD512-TODAY()&lt;=30,"Review Due Soon","Active"))))</f>
        <v/>
      </c>
      <c r="AK512" s="85">
        <f>IF($A512="","",IF(AE512="","NOT REVIEWED",IF(TODAY()-AE512&gt;90,"OVERDUE",IF(TODAY()-AE512&gt;76,"Due Soon","Current"))))</f>
        <v/>
      </c>
    </row>
    <row r="513" ht="15" customHeight="1" s="39">
      <c r="A513" s="85" t="n"/>
      <c r="B513" s="85" t="n"/>
      <c r="C513" s="85" t="n"/>
      <c r="D513" s="85" t="n"/>
      <c r="E513" s="85" t="n"/>
      <c r="F513" s="86" t="n"/>
      <c r="G513" s="86" t="n"/>
      <c r="H513" s="85" t="n"/>
      <c r="I513" s="85" t="n"/>
      <c r="J513" s="85" t="n"/>
      <c r="K513" s="85" t="n"/>
      <c r="L513" s="85" t="n"/>
      <c r="M513" s="85" t="n"/>
      <c r="N513" s="85" t="n"/>
      <c r="O513" s="85" t="n"/>
      <c r="P513" s="85" t="n"/>
      <c r="Q513" s="85" t="n"/>
      <c r="R513" s="85" t="n"/>
      <c r="S513" s="85" t="n"/>
      <c r="T513" s="85" t="n"/>
      <c r="U513" s="85" t="n"/>
      <c r="V513" s="85" t="n"/>
      <c r="W513" s="85" t="n"/>
      <c r="X513" s="85" t="n"/>
      <c r="Y513" s="85" t="n"/>
      <c r="Z513" s="85" t="n"/>
      <c r="AA513" s="85" t="n"/>
      <c r="AB513" s="85" t="n"/>
      <c r="AC513" s="86" t="n"/>
      <c r="AD513" s="86" t="n"/>
      <c r="AE513" s="86" t="n"/>
      <c r="AF513" s="85" t="n"/>
      <c r="AG513" s="85" t="n"/>
      <c r="AH513" s="85">
        <f>IF($A513="","",IF(AND($E513="Yes",OR($V513="No",$V513="NOT FOUND")),"YES",""))</f>
        <v/>
      </c>
      <c r="AI513" s="85">
        <f>IF($A513="","",TRIM(IF(AND($M513=0,$I513&lt;&gt;"Yes"),"T0-NoPhishResistant ","")&amp;IF($H513="No","NoMFA ","")&amp;IF(AND($M513=0,$O513="Group only"),"T0-ViaGroupOnly ","")&amp;IF($N513="Yes","BroadAzureScope ","")&amp;IF($T513="Yes","AlsoEntraRole ","")))</f>
        <v/>
      </c>
      <c r="AJ513" s="85">
        <f>IF($A513="","",IF(AD513="","Not Enrolled",IF(TODAY()&gt;AD513,"Review Overdue",IF(AD513-TODAY()&lt;=30,"Review Due Soon","Active"))))</f>
        <v/>
      </c>
      <c r="AK513" s="85">
        <f>IF($A513="","",IF(AE513="","NOT REVIEWED",IF(TODAY()-AE513&gt;90,"OVERDUE",IF(TODAY()-AE513&gt;76,"Due Soon","Current"))))</f>
        <v/>
      </c>
    </row>
    <row r="514" ht="15" customHeight="1" s="39">
      <c r="A514" s="85" t="n"/>
      <c r="B514" s="85" t="n"/>
      <c r="C514" s="85" t="n"/>
      <c r="D514" s="85" t="n"/>
      <c r="E514" s="85" t="n"/>
      <c r="F514" s="86" t="n"/>
      <c r="G514" s="86" t="n"/>
      <c r="H514" s="85" t="n"/>
      <c r="I514" s="85" t="n"/>
      <c r="J514" s="85" t="n"/>
      <c r="K514" s="85" t="n"/>
      <c r="L514" s="85" t="n"/>
      <c r="M514" s="85" t="n"/>
      <c r="N514" s="85" t="n"/>
      <c r="O514" s="85" t="n"/>
      <c r="P514" s="85" t="n"/>
      <c r="Q514" s="85" t="n"/>
      <c r="R514" s="85" t="n"/>
      <c r="S514" s="85" t="n"/>
      <c r="T514" s="85" t="n"/>
      <c r="U514" s="85" t="n"/>
      <c r="V514" s="85" t="n"/>
      <c r="W514" s="85" t="n"/>
      <c r="X514" s="85" t="n"/>
      <c r="Y514" s="85" t="n"/>
      <c r="Z514" s="85" t="n"/>
      <c r="AA514" s="85" t="n"/>
      <c r="AB514" s="85" t="n"/>
      <c r="AC514" s="86" t="n"/>
      <c r="AD514" s="86" t="n"/>
      <c r="AE514" s="86" t="n"/>
      <c r="AF514" s="85" t="n"/>
      <c r="AG514" s="85" t="n"/>
      <c r="AH514" s="85">
        <f>IF($A514="","",IF(AND($E514="Yes",OR($V514="No",$V514="NOT FOUND")),"YES",""))</f>
        <v/>
      </c>
      <c r="AI514" s="85">
        <f>IF($A514="","",TRIM(IF(AND($M514=0,$I514&lt;&gt;"Yes"),"T0-NoPhishResistant ","")&amp;IF($H514="No","NoMFA ","")&amp;IF(AND($M514=0,$O514="Group only"),"T0-ViaGroupOnly ","")&amp;IF($N514="Yes","BroadAzureScope ","")&amp;IF($T514="Yes","AlsoEntraRole ","")))</f>
        <v/>
      </c>
      <c r="AJ514" s="85">
        <f>IF($A514="","",IF(AD514="","Not Enrolled",IF(TODAY()&gt;AD514,"Review Overdue",IF(AD514-TODAY()&lt;=30,"Review Due Soon","Active"))))</f>
        <v/>
      </c>
      <c r="AK514" s="85">
        <f>IF($A514="","",IF(AE514="","NOT REVIEWED",IF(TODAY()-AE514&gt;90,"OVERDUE",IF(TODAY()-AE514&gt;76,"Due Soon","Current"))))</f>
        <v/>
      </c>
    </row>
    <row r="515" ht="15" customHeight="1" s="39">
      <c r="A515" s="85" t="n"/>
      <c r="B515" s="85" t="n"/>
      <c r="C515" s="85" t="n"/>
      <c r="D515" s="85" t="n"/>
      <c r="E515" s="85" t="n"/>
      <c r="F515" s="86" t="n"/>
      <c r="G515" s="86" t="n"/>
      <c r="H515" s="85" t="n"/>
      <c r="I515" s="85" t="n"/>
      <c r="J515" s="85" t="n"/>
      <c r="K515" s="85" t="n"/>
      <c r="L515" s="85" t="n"/>
      <c r="M515" s="85" t="n"/>
      <c r="N515" s="85" t="n"/>
      <c r="O515" s="85" t="n"/>
      <c r="P515" s="85" t="n"/>
      <c r="Q515" s="85" t="n"/>
      <c r="R515" s="85" t="n"/>
      <c r="S515" s="85" t="n"/>
      <c r="T515" s="85" t="n"/>
      <c r="U515" s="85" t="n"/>
      <c r="V515" s="85" t="n"/>
      <c r="W515" s="85" t="n"/>
      <c r="X515" s="85" t="n"/>
      <c r="Y515" s="85" t="n"/>
      <c r="Z515" s="85" t="n"/>
      <c r="AA515" s="85" t="n"/>
      <c r="AB515" s="85" t="n"/>
      <c r="AC515" s="86" t="n"/>
      <c r="AD515" s="86" t="n"/>
      <c r="AE515" s="86" t="n"/>
      <c r="AF515" s="85" t="n"/>
      <c r="AG515" s="85" t="n"/>
      <c r="AH515" s="85">
        <f>IF($A515="","",IF(AND($E515="Yes",OR($V515="No",$V515="NOT FOUND")),"YES",""))</f>
        <v/>
      </c>
      <c r="AI515" s="85">
        <f>IF($A515="","",TRIM(IF(AND($M515=0,$I515&lt;&gt;"Yes"),"T0-NoPhishResistant ","")&amp;IF($H515="No","NoMFA ","")&amp;IF(AND($M515=0,$O515="Group only"),"T0-ViaGroupOnly ","")&amp;IF($N515="Yes","BroadAzureScope ","")&amp;IF($T515="Yes","AlsoEntraRole ","")))</f>
        <v/>
      </c>
      <c r="AJ515" s="85">
        <f>IF($A515="","",IF(AD515="","Not Enrolled",IF(TODAY()&gt;AD515,"Review Overdue",IF(AD515-TODAY()&lt;=30,"Review Due Soon","Active"))))</f>
        <v/>
      </c>
      <c r="AK515" s="85">
        <f>IF($A515="","",IF(AE515="","NOT REVIEWED",IF(TODAY()-AE515&gt;90,"OVERDUE",IF(TODAY()-AE515&gt;76,"Due Soon","Current"))))</f>
        <v/>
      </c>
    </row>
    <row r="516" ht="15" customHeight="1" s="39">
      <c r="A516" s="85" t="n"/>
      <c r="B516" s="85" t="n"/>
      <c r="C516" s="85" t="n"/>
      <c r="D516" s="85" t="n"/>
      <c r="E516" s="85" t="n"/>
      <c r="F516" s="86" t="n"/>
      <c r="G516" s="86" t="n"/>
      <c r="H516" s="85" t="n"/>
      <c r="I516" s="85" t="n"/>
      <c r="J516" s="85" t="n"/>
      <c r="K516" s="85" t="n"/>
      <c r="L516" s="85" t="n"/>
      <c r="M516" s="85" t="n"/>
      <c r="N516" s="85" t="n"/>
      <c r="O516" s="85" t="n"/>
      <c r="P516" s="85" t="n"/>
      <c r="Q516" s="85" t="n"/>
      <c r="R516" s="85" t="n"/>
      <c r="S516" s="85" t="n"/>
      <c r="T516" s="85" t="n"/>
      <c r="U516" s="85" t="n"/>
      <c r="V516" s="85" t="n"/>
      <c r="W516" s="85" t="n"/>
      <c r="X516" s="85" t="n"/>
      <c r="Y516" s="85" t="n"/>
      <c r="Z516" s="85" t="n"/>
      <c r="AA516" s="85" t="n"/>
      <c r="AB516" s="85" t="n"/>
      <c r="AC516" s="86" t="n"/>
      <c r="AD516" s="86" t="n"/>
      <c r="AE516" s="86" t="n"/>
      <c r="AF516" s="85" t="n"/>
      <c r="AG516" s="85" t="n"/>
      <c r="AH516" s="85">
        <f>IF($A516="","",IF(AND($E516="Yes",OR($V516="No",$V516="NOT FOUND")),"YES",""))</f>
        <v/>
      </c>
      <c r="AI516" s="85">
        <f>IF($A516="","",TRIM(IF(AND($M516=0,$I516&lt;&gt;"Yes"),"T0-NoPhishResistant ","")&amp;IF($H516="No","NoMFA ","")&amp;IF(AND($M516=0,$O516="Group only"),"T0-ViaGroupOnly ","")&amp;IF($N516="Yes","BroadAzureScope ","")&amp;IF($T516="Yes","AlsoEntraRole ","")))</f>
        <v/>
      </c>
      <c r="AJ516" s="85">
        <f>IF($A516="","",IF(AD516="","Not Enrolled",IF(TODAY()&gt;AD516,"Review Overdue",IF(AD516-TODAY()&lt;=30,"Review Due Soon","Active"))))</f>
        <v/>
      </c>
      <c r="AK516" s="85">
        <f>IF($A516="","",IF(AE516="","NOT REVIEWED",IF(TODAY()-AE516&gt;90,"OVERDUE",IF(TODAY()-AE516&gt;76,"Due Soon","Current"))))</f>
        <v/>
      </c>
    </row>
    <row r="517" ht="15" customHeight="1" s="39">
      <c r="A517" s="85" t="n"/>
      <c r="B517" s="85" t="n"/>
      <c r="C517" s="85" t="n"/>
      <c r="D517" s="85" t="n"/>
      <c r="E517" s="85" t="n"/>
      <c r="F517" s="86" t="n"/>
      <c r="G517" s="86" t="n"/>
      <c r="H517" s="85" t="n"/>
      <c r="I517" s="85" t="n"/>
      <c r="J517" s="85" t="n"/>
      <c r="K517" s="85" t="n"/>
      <c r="L517" s="85" t="n"/>
      <c r="M517" s="85" t="n"/>
      <c r="N517" s="85" t="n"/>
      <c r="O517" s="85" t="n"/>
      <c r="P517" s="85" t="n"/>
      <c r="Q517" s="85" t="n"/>
      <c r="R517" s="85" t="n"/>
      <c r="S517" s="85" t="n"/>
      <c r="T517" s="85" t="n"/>
      <c r="U517" s="85" t="n"/>
      <c r="V517" s="85" t="n"/>
      <c r="W517" s="85" t="n"/>
      <c r="X517" s="85" t="n"/>
      <c r="Y517" s="85" t="n"/>
      <c r="Z517" s="85" t="n"/>
      <c r="AA517" s="85" t="n"/>
      <c r="AB517" s="85" t="n"/>
      <c r="AC517" s="86" t="n"/>
      <c r="AD517" s="86" t="n"/>
      <c r="AE517" s="86" t="n"/>
      <c r="AF517" s="85" t="n"/>
      <c r="AG517" s="85" t="n"/>
      <c r="AH517" s="85">
        <f>IF($A517="","",IF(AND($E517="Yes",OR($V517="No",$V517="NOT FOUND")),"YES",""))</f>
        <v/>
      </c>
      <c r="AI517" s="85">
        <f>IF($A517="","",TRIM(IF(AND($M517=0,$I517&lt;&gt;"Yes"),"T0-NoPhishResistant ","")&amp;IF($H517="No","NoMFA ","")&amp;IF(AND($M517=0,$O517="Group only"),"T0-ViaGroupOnly ","")&amp;IF($N517="Yes","BroadAzureScope ","")&amp;IF($T517="Yes","AlsoEntraRole ","")))</f>
        <v/>
      </c>
      <c r="AJ517" s="85">
        <f>IF($A517="","",IF(AD517="","Not Enrolled",IF(TODAY()&gt;AD517,"Review Overdue",IF(AD517-TODAY()&lt;=30,"Review Due Soon","Active"))))</f>
        <v/>
      </c>
      <c r="AK517" s="85">
        <f>IF($A517="","",IF(AE517="","NOT REVIEWED",IF(TODAY()-AE517&gt;90,"OVERDUE",IF(TODAY()-AE517&gt;76,"Due Soon","Current"))))</f>
        <v/>
      </c>
    </row>
    <row r="518" ht="15" customHeight="1" s="39">
      <c r="A518" s="85" t="n"/>
      <c r="B518" s="85" t="n"/>
      <c r="C518" s="85" t="n"/>
      <c r="D518" s="85" t="n"/>
      <c r="E518" s="85" t="n"/>
      <c r="F518" s="86" t="n"/>
      <c r="G518" s="86" t="n"/>
      <c r="H518" s="85" t="n"/>
      <c r="I518" s="85" t="n"/>
      <c r="J518" s="85" t="n"/>
      <c r="K518" s="85" t="n"/>
      <c r="L518" s="85" t="n"/>
      <c r="M518" s="85" t="n"/>
      <c r="N518" s="85" t="n"/>
      <c r="O518" s="85" t="n"/>
      <c r="P518" s="85" t="n"/>
      <c r="Q518" s="85" t="n"/>
      <c r="R518" s="85" t="n"/>
      <c r="S518" s="85" t="n"/>
      <c r="T518" s="85" t="n"/>
      <c r="U518" s="85" t="n"/>
      <c r="V518" s="85" t="n"/>
      <c r="W518" s="85" t="n"/>
      <c r="X518" s="85" t="n"/>
      <c r="Y518" s="85" t="n"/>
      <c r="Z518" s="85" t="n"/>
      <c r="AA518" s="85" t="n"/>
      <c r="AB518" s="85" t="n"/>
      <c r="AC518" s="86" t="n"/>
      <c r="AD518" s="86" t="n"/>
      <c r="AE518" s="86" t="n"/>
      <c r="AF518" s="85" t="n"/>
      <c r="AG518" s="85" t="n"/>
      <c r="AH518" s="85">
        <f>IF($A518="","",IF(AND($E518="Yes",OR($V518="No",$V518="NOT FOUND")),"YES",""))</f>
        <v/>
      </c>
      <c r="AI518" s="85">
        <f>IF($A518="","",TRIM(IF(AND($M518=0,$I518&lt;&gt;"Yes"),"T0-NoPhishResistant ","")&amp;IF($H518="No","NoMFA ","")&amp;IF(AND($M518=0,$O518="Group only"),"T0-ViaGroupOnly ","")&amp;IF($N518="Yes","BroadAzureScope ","")&amp;IF($T518="Yes","AlsoEntraRole ","")))</f>
        <v/>
      </c>
      <c r="AJ518" s="85">
        <f>IF($A518="","",IF(AD518="","Not Enrolled",IF(TODAY()&gt;AD518,"Review Overdue",IF(AD518-TODAY()&lt;=30,"Review Due Soon","Active"))))</f>
        <v/>
      </c>
      <c r="AK518" s="85">
        <f>IF($A518="","",IF(AE518="","NOT REVIEWED",IF(TODAY()-AE518&gt;90,"OVERDUE",IF(TODAY()-AE518&gt;76,"Due Soon","Current"))))</f>
        <v/>
      </c>
    </row>
    <row r="519" ht="15" customHeight="1" s="39">
      <c r="A519" s="85" t="n"/>
      <c r="B519" s="85" t="n"/>
      <c r="C519" s="85" t="n"/>
      <c r="D519" s="85" t="n"/>
      <c r="E519" s="85" t="n"/>
      <c r="F519" s="86" t="n"/>
      <c r="G519" s="86" t="n"/>
      <c r="H519" s="85" t="n"/>
      <c r="I519" s="85" t="n"/>
      <c r="J519" s="85" t="n"/>
      <c r="K519" s="85" t="n"/>
      <c r="L519" s="85" t="n"/>
      <c r="M519" s="85" t="n"/>
      <c r="N519" s="85" t="n"/>
      <c r="O519" s="85" t="n"/>
      <c r="P519" s="85" t="n"/>
      <c r="Q519" s="85" t="n"/>
      <c r="R519" s="85" t="n"/>
      <c r="S519" s="85" t="n"/>
      <c r="T519" s="85" t="n"/>
      <c r="U519" s="85" t="n"/>
      <c r="V519" s="85" t="n"/>
      <c r="W519" s="85" t="n"/>
      <c r="X519" s="85" t="n"/>
      <c r="Y519" s="85" t="n"/>
      <c r="Z519" s="85" t="n"/>
      <c r="AA519" s="85" t="n"/>
      <c r="AB519" s="85" t="n"/>
      <c r="AC519" s="86" t="n"/>
      <c r="AD519" s="86" t="n"/>
      <c r="AE519" s="86" t="n"/>
      <c r="AF519" s="85" t="n"/>
      <c r="AG519" s="85" t="n"/>
      <c r="AH519" s="85">
        <f>IF($A519="","",IF(AND($E519="Yes",OR($V519="No",$V519="NOT FOUND")),"YES",""))</f>
        <v/>
      </c>
      <c r="AI519" s="85">
        <f>IF($A519="","",TRIM(IF(AND($M519=0,$I519&lt;&gt;"Yes"),"T0-NoPhishResistant ","")&amp;IF($H519="No","NoMFA ","")&amp;IF(AND($M519=0,$O519="Group only"),"T0-ViaGroupOnly ","")&amp;IF($N519="Yes","BroadAzureScope ","")&amp;IF($T519="Yes","AlsoEntraRole ","")))</f>
        <v/>
      </c>
      <c r="AJ519" s="85">
        <f>IF($A519="","",IF(AD519="","Not Enrolled",IF(TODAY()&gt;AD519,"Review Overdue",IF(AD519-TODAY()&lt;=30,"Review Due Soon","Active"))))</f>
        <v/>
      </c>
      <c r="AK519" s="85">
        <f>IF($A519="","",IF(AE519="","NOT REVIEWED",IF(TODAY()-AE519&gt;90,"OVERDUE",IF(TODAY()-AE519&gt;76,"Due Soon","Current"))))</f>
        <v/>
      </c>
    </row>
    <row r="520" ht="15" customHeight="1" s="39">
      <c r="A520" s="85" t="n"/>
      <c r="B520" s="85" t="n"/>
      <c r="C520" s="85" t="n"/>
      <c r="D520" s="85" t="n"/>
      <c r="E520" s="85" t="n"/>
      <c r="F520" s="86" t="n"/>
      <c r="G520" s="86" t="n"/>
      <c r="H520" s="85" t="n"/>
      <c r="I520" s="85" t="n"/>
      <c r="J520" s="85" t="n"/>
      <c r="K520" s="85" t="n"/>
      <c r="L520" s="85" t="n"/>
      <c r="M520" s="85" t="n"/>
      <c r="N520" s="85" t="n"/>
      <c r="O520" s="85" t="n"/>
      <c r="P520" s="85" t="n"/>
      <c r="Q520" s="85" t="n"/>
      <c r="R520" s="85" t="n"/>
      <c r="S520" s="85" t="n"/>
      <c r="T520" s="85" t="n"/>
      <c r="U520" s="85" t="n"/>
      <c r="V520" s="85" t="n"/>
      <c r="W520" s="85" t="n"/>
      <c r="X520" s="85" t="n"/>
      <c r="Y520" s="85" t="n"/>
      <c r="Z520" s="85" t="n"/>
      <c r="AA520" s="85" t="n"/>
      <c r="AB520" s="85" t="n"/>
      <c r="AC520" s="86" t="n"/>
      <c r="AD520" s="86" t="n"/>
      <c r="AE520" s="86" t="n"/>
      <c r="AF520" s="85" t="n"/>
      <c r="AG520" s="85" t="n"/>
      <c r="AH520" s="85">
        <f>IF($A520="","",IF(AND($E520="Yes",OR($V520="No",$V520="NOT FOUND")),"YES",""))</f>
        <v/>
      </c>
      <c r="AI520" s="85">
        <f>IF($A520="","",TRIM(IF(AND($M520=0,$I520&lt;&gt;"Yes"),"T0-NoPhishResistant ","")&amp;IF($H520="No","NoMFA ","")&amp;IF(AND($M520=0,$O520="Group only"),"T0-ViaGroupOnly ","")&amp;IF($N520="Yes","BroadAzureScope ","")&amp;IF($T520="Yes","AlsoEntraRole ","")))</f>
        <v/>
      </c>
      <c r="AJ520" s="85">
        <f>IF($A520="","",IF(AD520="","Not Enrolled",IF(TODAY()&gt;AD520,"Review Overdue",IF(AD520-TODAY()&lt;=30,"Review Due Soon","Active"))))</f>
        <v/>
      </c>
      <c r="AK520" s="85">
        <f>IF($A520="","",IF(AE520="","NOT REVIEWED",IF(TODAY()-AE520&gt;90,"OVERDUE",IF(TODAY()-AE520&gt;76,"Due Soon","Current"))))</f>
        <v/>
      </c>
    </row>
    <row r="521" ht="15" customHeight="1" s="39">
      <c r="A521" s="85" t="n"/>
      <c r="B521" s="85" t="n"/>
      <c r="C521" s="85" t="n"/>
      <c r="D521" s="85" t="n"/>
      <c r="E521" s="85" t="n"/>
      <c r="F521" s="86" t="n"/>
      <c r="G521" s="86" t="n"/>
      <c r="H521" s="85" t="n"/>
      <c r="I521" s="85" t="n"/>
      <c r="J521" s="85" t="n"/>
      <c r="K521" s="85" t="n"/>
      <c r="L521" s="85" t="n"/>
      <c r="M521" s="85" t="n"/>
      <c r="N521" s="85" t="n"/>
      <c r="O521" s="85" t="n"/>
      <c r="P521" s="85" t="n"/>
      <c r="Q521" s="85" t="n"/>
      <c r="R521" s="85" t="n"/>
      <c r="S521" s="85" t="n"/>
      <c r="T521" s="85" t="n"/>
      <c r="U521" s="85" t="n"/>
      <c r="V521" s="85" t="n"/>
      <c r="W521" s="85" t="n"/>
      <c r="X521" s="85" t="n"/>
      <c r="Y521" s="85" t="n"/>
      <c r="Z521" s="85" t="n"/>
      <c r="AA521" s="85" t="n"/>
      <c r="AB521" s="85" t="n"/>
      <c r="AC521" s="86" t="n"/>
      <c r="AD521" s="86" t="n"/>
      <c r="AE521" s="86" t="n"/>
      <c r="AF521" s="85" t="n"/>
      <c r="AG521" s="85" t="n"/>
      <c r="AH521" s="85">
        <f>IF($A521="","",IF(AND($E521="Yes",OR($V521="No",$V521="NOT FOUND")),"YES",""))</f>
        <v/>
      </c>
      <c r="AI521" s="85">
        <f>IF($A521="","",TRIM(IF(AND($M521=0,$I521&lt;&gt;"Yes"),"T0-NoPhishResistant ","")&amp;IF($H521="No","NoMFA ","")&amp;IF(AND($M521=0,$O521="Group only"),"T0-ViaGroupOnly ","")&amp;IF($N521="Yes","BroadAzureScope ","")&amp;IF($T521="Yes","AlsoEntraRole ","")))</f>
        <v/>
      </c>
      <c r="AJ521" s="85">
        <f>IF($A521="","",IF(AD521="","Not Enrolled",IF(TODAY()&gt;AD521,"Review Overdue",IF(AD521-TODAY()&lt;=30,"Review Due Soon","Active"))))</f>
        <v/>
      </c>
      <c r="AK521" s="85">
        <f>IF($A521="","",IF(AE521="","NOT REVIEWED",IF(TODAY()-AE521&gt;90,"OVERDUE",IF(TODAY()-AE521&gt;76,"Due Soon","Current"))))</f>
        <v/>
      </c>
    </row>
    <row r="522" ht="15" customHeight="1" s="39">
      <c r="A522" s="85" t="n"/>
      <c r="B522" s="85" t="n"/>
      <c r="C522" s="85" t="n"/>
      <c r="D522" s="85" t="n"/>
      <c r="E522" s="85" t="n"/>
      <c r="F522" s="86" t="n"/>
      <c r="G522" s="86" t="n"/>
      <c r="H522" s="85" t="n"/>
      <c r="I522" s="85" t="n"/>
      <c r="J522" s="85" t="n"/>
      <c r="K522" s="85" t="n"/>
      <c r="L522" s="85" t="n"/>
      <c r="M522" s="85" t="n"/>
      <c r="N522" s="85" t="n"/>
      <c r="O522" s="85" t="n"/>
      <c r="P522" s="85" t="n"/>
      <c r="Q522" s="85" t="n"/>
      <c r="R522" s="85" t="n"/>
      <c r="S522" s="85" t="n"/>
      <c r="T522" s="85" t="n"/>
      <c r="U522" s="85" t="n"/>
      <c r="V522" s="85" t="n"/>
      <c r="W522" s="85" t="n"/>
      <c r="X522" s="85" t="n"/>
      <c r="Y522" s="85" t="n"/>
      <c r="Z522" s="85" t="n"/>
      <c r="AA522" s="85" t="n"/>
      <c r="AB522" s="85" t="n"/>
      <c r="AC522" s="86" t="n"/>
      <c r="AD522" s="86" t="n"/>
      <c r="AE522" s="86" t="n"/>
      <c r="AF522" s="85" t="n"/>
      <c r="AG522" s="85" t="n"/>
      <c r="AH522" s="85">
        <f>IF($A522="","",IF(AND($E522="Yes",OR($V522="No",$V522="NOT FOUND")),"YES",""))</f>
        <v/>
      </c>
      <c r="AI522" s="85">
        <f>IF($A522="","",TRIM(IF(AND($M522=0,$I522&lt;&gt;"Yes"),"T0-NoPhishResistant ","")&amp;IF($H522="No","NoMFA ","")&amp;IF(AND($M522=0,$O522="Group only"),"T0-ViaGroupOnly ","")&amp;IF($N522="Yes","BroadAzureScope ","")&amp;IF($T522="Yes","AlsoEntraRole ","")))</f>
        <v/>
      </c>
      <c r="AJ522" s="85">
        <f>IF($A522="","",IF(AD522="","Not Enrolled",IF(TODAY()&gt;AD522,"Review Overdue",IF(AD522-TODAY()&lt;=30,"Review Due Soon","Active"))))</f>
        <v/>
      </c>
      <c r="AK522" s="85">
        <f>IF($A522="","",IF(AE522="","NOT REVIEWED",IF(TODAY()-AE522&gt;90,"OVERDUE",IF(TODAY()-AE522&gt;76,"Due Soon","Current"))))</f>
        <v/>
      </c>
    </row>
    <row r="523" ht="15" customHeight="1" s="39">
      <c r="A523" s="85" t="n"/>
      <c r="B523" s="85" t="n"/>
      <c r="C523" s="85" t="n"/>
      <c r="D523" s="85" t="n"/>
      <c r="E523" s="85" t="n"/>
      <c r="F523" s="86" t="n"/>
      <c r="G523" s="86" t="n"/>
      <c r="H523" s="85" t="n"/>
      <c r="I523" s="85" t="n"/>
      <c r="J523" s="85" t="n"/>
      <c r="K523" s="85" t="n"/>
      <c r="L523" s="85" t="n"/>
      <c r="M523" s="85" t="n"/>
      <c r="N523" s="85" t="n"/>
      <c r="O523" s="85" t="n"/>
      <c r="P523" s="85" t="n"/>
      <c r="Q523" s="85" t="n"/>
      <c r="R523" s="85" t="n"/>
      <c r="S523" s="85" t="n"/>
      <c r="T523" s="85" t="n"/>
      <c r="U523" s="85" t="n"/>
      <c r="V523" s="85" t="n"/>
      <c r="W523" s="85" t="n"/>
      <c r="X523" s="85" t="n"/>
      <c r="Y523" s="85" t="n"/>
      <c r="Z523" s="85" t="n"/>
      <c r="AA523" s="85" t="n"/>
      <c r="AB523" s="85" t="n"/>
      <c r="AC523" s="86" t="n"/>
      <c r="AD523" s="86" t="n"/>
      <c r="AE523" s="86" t="n"/>
      <c r="AF523" s="85" t="n"/>
      <c r="AG523" s="85" t="n"/>
      <c r="AH523" s="85">
        <f>IF($A523="","",IF(AND($E523="Yes",OR($V523="No",$V523="NOT FOUND")),"YES",""))</f>
        <v/>
      </c>
      <c r="AI523" s="85">
        <f>IF($A523="","",TRIM(IF(AND($M523=0,$I523&lt;&gt;"Yes"),"T0-NoPhishResistant ","")&amp;IF($H523="No","NoMFA ","")&amp;IF(AND($M523=0,$O523="Group only"),"T0-ViaGroupOnly ","")&amp;IF($N523="Yes","BroadAzureScope ","")&amp;IF($T523="Yes","AlsoEntraRole ","")))</f>
        <v/>
      </c>
      <c r="AJ523" s="85">
        <f>IF($A523="","",IF(AD523="","Not Enrolled",IF(TODAY()&gt;AD523,"Review Overdue",IF(AD523-TODAY()&lt;=30,"Review Due Soon","Active"))))</f>
        <v/>
      </c>
      <c r="AK523" s="85">
        <f>IF($A523="","",IF(AE523="","NOT REVIEWED",IF(TODAY()-AE523&gt;90,"OVERDUE",IF(TODAY()-AE523&gt;76,"Due Soon","Current"))))</f>
        <v/>
      </c>
    </row>
    <row r="524" ht="15" customHeight="1" s="39">
      <c r="A524" s="85" t="n"/>
      <c r="B524" s="85" t="n"/>
      <c r="C524" s="85" t="n"/>
      <c r="D524" s="85" t="n"/>
      <c r="E524" s="85" t="n"/>
      <c r="F524" s="86" t="n"/>
      <c r="G524" s="86" t="n"/>
      <c r="H524" s="85" t="n"/>
      <c r="I524" s="85" t="n"/>
      <c r="J524" s="85" t="n"/>
      <c r="K524" s="85" t="n"/>
      <c r="L524" s="85" t="n"/>
      <c r="M524" s="85" t="n"/>
      <c r="N524" s="85" t="n"/>
      <c r="O524" s="85" t="n"/>
      <c r="P524" s="85" t="n"/>
      <c r="Q524" s="85" t="n"/>
      <c r="R524" s="85" t="n"/>
      <c r="S524" s="85" t="n"/>
      <c r="T524" s="85" t="n"/>
      <c r="U524" s="85" t="n"/>
      <c r="V524" s="85" t="n"/>
      <c r="W524" s="85" t="n"/>
      <c r="X524" s="85" t="n"/>
      <c r="Y524" s="85" t="n"/>
      <c r="Z524" s="85" t="n"/>
      <c r="AA524" s="85" t="n"/>
      <c r="AB524" s="85" t="n"/>
      <c r="AC524" s="86" t="n"/>
      <c r="AD524" s="86" t="n"/>
      <c r="AE524" s="86" t="n"/>
      <c r="AF524" s="85" t="n"/>
      <c r="AG524" s="85" t="n"/>
      <c r="AH524" s="85">
        <f>IF($A524="","",IF(AND($E524="Yes",OR($V524="No",$V524="NOT FOUND")),"YES",""))</f>
        <v/>
      </c>
      <c r="AI524" s="85">
        <f>IF($A524="","",TRIM(IF(AND($M524=0,$I524&lt;&gt;"Yes"),"T0-NoPhishResistant ","")&amp;IF($H524="No","NoMFA ","")&amp;IF(AND($M524=0,$O524="Group only"),"T0-ViaGroupOnly ","")&amp;IF($N524="Yes","BroadAzureScope ","")&amp;IF($T524="Yes","AlsoEntraRole ","")))</f>
        <v/>
      </c>
      <c r="AJ524" s="85">
        <f>IF($A524="","",IF(AD524="","Not Enrolled",IF(TODAY()&gt;AD524,"Review Overdue",IF(AD524-TODAY()&lt;=30,"Review Due Soon","Active"))))</f>
        <v/>
      </c>
      <c r="AK524" s="85">
        <f>IF($A524="","",IF(AE524="","NOT REVIEWED",IF(TODAY()-AE524&gt;90,"OVERDUE",IF(TODAY()-AE524&gt;76,"Due Soon","Current"))))</f>
        <v/>
      </c>
    </row>
    <row r="525" ht="15" customHeight="1" s="39">
      <c r="A525" s="85" t="n"/>
      <c r="B525" s="85" t="n"/>
      <c r="C525" s="85" t="n"/>
      <c r="D525" s="85" t="n"/>
      <c r="E525" s="85" t="n"/>
      <c r="F525" s="86" t="n"/>
      <c r="G525" s="86" t="n"/>
      <c r="H525" s="85" t="n"/>
      <c r="I525" s="85" t="n"/>
      <c r="J525" s="85" t="n"/>
      <c r="K525" s="85" t="n"/>
      <c r="L525" s="85" t="n"/>
      <c r="M525" s="85" t="n"/>
      <c r="N525" s="85" t="n"/>
      <c r="O525" s="85" t="n"/>
      <c r="P525" s="85" t="n"/>
      <c r="Q525" s="85" t="n"/>
      <c r="R525" s="85" t="n"/>
      <c r="S525" s="85" t="n"/>
      <c r="T525" s="85" t="n"/>
      <c r="U525" s="85" t="n"/>
      <c r="V525" s="85" t="n"/>
      <c r="W525" s="85" t="n"/>
      <c r="X525" s="85" t="n"/>
      <c r="Y525" s="85" t="n"/>
      <c r="Z525" s="85" t="n"/>
      <c r="AA525" s="85" t="n"/>
      <c r="AB525" s="85" t="n"/>
      <c r="AC525" s="86" t="n"/>
      <c r="AD525" s="86" t="n"/>
      <c r="AE525" s="86" t="n"/>
      <c r="AF525" s="85" t="n"/>
      <c r="AG525" s="85" t="n"/>
      <c r="AH525" s="85">
        <f>IF($A525="","",IF(AND($E525="Yes",OR($V525="No",$V525="NOT FOUND")),"YES",""))</f>
        <v/>
      </c>
      <c r="AI525" s="85">
        <f>IF($A525="","",TRIM(IF(AND($M525=0,$I525&lt;&gt;"Yes"),"T0-NoPhishResistant ","")&amp;IF($H525="No","NoMFA ","")&amp;IF(AND($M525=0,$O525="Group only"),"T0-ViaGroupOnly ","")&amp;IF($N525="Yes","BroadAzureScope ","")&amp;IF($T525="Yes","AlsoEntraRole ","")))</f>
        <v/>
      </c>
      <c r="AJ525" s="85">
        <f>IF($A525="","",IF(AD525="","Not Enrolled",IF(TODAY()&gt;AD525,"Review Overdue",IF(AD525-TODAY()&lt;=30,"Review Due Soon","Active"))))</f>
        <v/>
      </c>
      <c r="AK525" s="85">
        <f>IF($A525="","",IF(AE525="","NOT REVIEWED",IF(TODAY()-AE525&gt;90,"OVERDUE",IF(TODAY()-AE525&gt;76,"Due Soon","Current"))))</f>
        <v/>
      </c>
    </row>
    <row r="526" ht="15" customHeight="1" s="39">
      <c r="A526" s="85" t="n"/>
      <c r="B526" s="85" t="n"/>
      <c r="C526" s="85" t="n"/>
      <c r="D526" s="85" t="n"/>
      <c r="E526" s="85" t="n"/>
      <c r="F526" s="86" t="n"/>
      <c r="G526" s="86" t="n"/>
      <c r="H526" s="85" t="n"/>
      <c r="I526" s="85" t="n"/>
      <c r="J526" s="85" t="n"/>
      <c r="K526" s="85" t="n"/>
      <c r="L526" s="85" t="n"/>
      <c r="M526" s="85" t="n"/>
      <c r="N526" s="85" t="n"/>
      <c r="O526" s="85" t="n"/>
      <c r="P526" s="85" t="n"/>
      <c r="Q526" s="85" t="n"/>
      <c r="R526" s="85" t="n"/>
      <c r="S526" s="85" t="n"/>
      <c r="T526" s="85" t="n"/>
      <c r="U526" s="85" t="n"/>
      <c r="V526" s="85" t="n"/>
      <c r="W526" s="85" t="n"/>
      <c r="X526" s="85" t="n"/>
      <c r="Y526" s="85" t="n"/>
      <c r="Z526" s="85" t="n"/>
      <c r="AA526" s="85" t="n"/>
      <c r="AB526" s="85" t="n"/>
      <c r="AC526" s="86" t="n"/>
      <c r="AD526" s="86" t="n"/>
      <c r="AE526" s="86" t="n"/>
      <c r="AF526" s="85" t="n"/>
      <c r="AG526" s="85" t="n"/>
      <c r="AH526" s="85">
        <f>IF($A526="","",IF(AND($E526="Yes",OR($V526="No",$V526="NOT FOUND")),"YES",""))</f>
        <v/>
      </c>
      <c r="AI526" s="85">
        <f>IF($A526="","",TRIM(IF(AND($M526=0,$I526&lt;&gt;"Yes"),"T0-NoPhishResistant ","")&amp;IF($H526="No","NoMFA ","")&amp;IF(AND($M526=0,$O526="Group only"),"T0-ViaGroupOnly ","")&amp;IF($N526="Yes","BroadAzureScope ","")&amp;IF($T526="Yes","AlsoEntraRole ","")))</f>
        <v/>
      </c>
      <c r="AJ526" s="85">
        <f>IF($A526="","",IF(AD526="","Not Enrolled",IF(TODAY()&gt;AD526,"Review Overdue",IF(AD526-TODAY()&lt;=30,"Review Due Soon","Active"))))</f>
        <v/>
      </c>
      <c r="AK526" s="85">
        <f>IF($A526="","",IF(AE526="","NOT REVIEWED",IF(TODAY()-AE526&gt;90,"OVERDUE",IF(TODAY()-AE526&gt;76,"Due Soon","Current"))))</f>
        <v/>
      </c>
    </row>
    <row r="527" ht="15" customHeight="1" s="39">
      <c r="A527" s="85" t="n"/>
      <c r="B527" s="85" t="n"/>
      <c r="C527" s="85" t="n"/>
      <c r="D527" s="85" t="n"/>
      <c r="E527" s="85" t="n"/>
      <c r="F527" s="86" t="n"/>
      <c r="G527" s="86" t="n"/>
      <c r="H527" s="85" t="n"/>
      <c r="I527" s="85" t="n"/>
      <c r="J527" s="85" t="n"/>
      <c r="K527" s="85" t="n"/>
      <c r="L527" s="85" t="n"/>
      <c r="M527" s="85" t="n"/>
      <c r="N527" s="85" t="n"/>
      <c r="O527" s="85" t="n"/>
      <c r="P527" s="85" t="n"/>
      <c r="Q527" s="85" t="n"/>
      <c r="R527" s="85" t="n"/>
      <c r="S527" s="85" t="n"/>
      <c r="T527" s="85" t="n"/>
      <c r="U527" s="85" t="n"/>
      <c r="V527" s="85" t="n"/>
      <c r="W527" s="85" t="n"/>
      <c r="X527" s="85" t="n"/>
      <c r="Y527" s="85" t="n"/>
      <c r="Z527" s="85" t="n"/>
      <c r="AA527" s="85" t="n"/>
      <c r="AB527" s="85" t="n"/>
      <c r="AC527" s="86" t="n"/>
      <c r="AD527" s="86" t="n"/>
      <c r="AE527" s="86" t="n"/>
      <c r="AF527" s="85" t="n"/>
      <c r="AG527" s="85" t="n"/>
      <c r="AH527" s="85">
        <f>IF($A527="","",IF(AND($E527="Yes",OR($V527="No",$V527="NOT FOUND")),"YES",""))</f>
        <v/>
      </c>
      <c r="AI527" s="85">
        <f>IF($A527="","",TRIM(IF(AND($M527=0,$I527&lt;&gt;"Yes"),"T0-NoPhishResistant ","")&amp;IF($H527="No","NoMFA ","")&amp;IF(AND($M527=0,$O527="Group only"),"T0-ViaGroupOnly ","")&amp;IF($N527="Yes","BroadAzureScope ","")&amp;IF($T527="Yes","AlsoEntraRole ","")))</f>
        <v/>
      </c>
      <c r="AJ527" s="85">
        <f>IF($A527="","",IF(AD527="","Not Enrolled",IF(TODAY()&gt;AD527,"Review Overdue",IF(AD527-TODAY()&lt;=30,"Review Due Soon","Active"))))</f>
        <v/>
      </c>
      <c r="AK527" s="85">
        <f>IF($A527="","",IF(AE527="","NOT REVIEWED",IF(TODAY()-AE527&gt;90,"OVERDUE",IF(TODAY()-AE527&gt;76,"Due Soon","Current"))))</f>
        <v/>
      </c>
    </row>
    <row r="528" ht="15" customHeight="1" s="39">
      <c r="A528" s="85" t="n"/>
      <c r="B528" s="85" t="n"/>
      <c r="C528" s="85" t="n"/>
      <c r="D528" s="85" t="n"/>
      <c r="E528" s="85" t="n"/>
      <c r="F528" s="86" t="n"/>
      <c r="G528" s="86" t="n"/>
      <c r="H528" s="85" t="n"/>
      <c r="I528" s="85" t="n"/>
      <c r="J528" s="85" t="n"/>
      <c r="K528" s="85" t="n"/>
      <c r="L528" s="85" t="n"/>
      <c r="M528" s="85" t="n"/>
      <c r="N528" s="85" t="n"/>
      <c r="O528" s="85" t="n"/>
      <c r="P528" s="85" t="n"/>
      <c r="Q528" s="85" t="n"/>
      <c r="R528" s="85" t="n"/>
      <c r="S528" s="85" t="n"/>
      <c r="T528" s="85" t="n"/>
      <c r="U528" s="85" t="n"/>
      <c r="V528" s="85" t="n"/>
      <c r="W528" s="85" t="n"/>
      <c r="X528" s="85" t="n"/>
      <c r="Y528" s="85" t="n"/>
      <c r="Z528" s="85" t="n"/>
      <c r="AA528" s="85" t="n"/>
      <c r="AB528" s="85" t="n"/>
      <c r="AC528" s="86" t="n"/>
      <c r="AD528" s="86" t="n"/>
      <c r="AE528" s="86" t="n"/>
      <c r="AF528" s="85" t="n"/>
      <c r="AG528" s="85" t="n"/>
      <c r="AH528" s="85">
        <f>IF($A528="","",IF(AND($E528="Yes",OR($V528="No",$V528="NOT FOUND")),"YES",""))</f>
        <v/>
      </c>
      <c r="AI528" s="85">
        <f>IF($A528="","",TRIM(IF(AND($M528=0,$I528&lt;&gt;"Yes"),"T0-NoPhishResistant ","")&amp;IF($H528="No","NoMFA ","")&amp;IF(AND($M528=0,$O528="Group only"),"T0-ViaGroupOnly ","")&amp;IF($N528="Yes","BroadAzureScope ","")&amp;IF($T528="Yes","AlsoEntraRole ","")))</f>
        <v/>
      </c>
      <c r="AJ528" s="85">
        <f>IF($A528="","",IF(AD528="","Not Enrolled",IF(TODAY()&gt;AD528,"Review Overdue",IF(AD528-TODAY()&lt;=30,"Review Due Soon","Active"))))</f>
        <v/>
      </c>
      <c r="AK528" s="85">
        <f>IF($A528="","",IF(AE528="","NOT REVIEWED",IF(TODAY()-AE528&gt;90,"OVERDUE",IF(TODAY()-AE528&gt;76,"Due Soon","Current"))))</f>
        <v/>
      </c>
    </row>
    <row r="529" ht="15" customHeight="1" s="39">
      <c r="A529" s="85" t="n"/>
      <c r="B529" s="85" t="n"/>
      <c r="C529" s="85" t="n"/>
      <c r="D529" s="85" t="n"/>
      <c r="E529" s="85" t="n"/>
      <c r="F529" s="86" t="n"/>
      <c r="G529" s="86" t="n"/>
      <c r="H529" s="85" t="n"/>
      <c r="I529" s="85" t="n"/>
      <c r="J529" s="85" t="n"/>
      <c r="K529" s="85" t="n"/>
      <c r="L529" s="85" t="n"/>
      <c r="M529" s="85" t="n"/>
      <c r="N529" s="85" t="n"/>
      <c r="O529" s="85" t="n"/>
      <c r="P529" s="85" t="n"/>
      <c r="Q529" s="85" t="n"/>
      <c r="R529" s="85" t="n"/>
      <c r="S529" s="85" t="n"/>
      <c r="T529" s="85" t="n"/>
      <c r="U529" s="85" t="n"/>
      <c r="V529" s="85" t="n"/>
      <c r="W529" s="85" t="n"/>
      <c r="X529" s="85" t="n"/>
      <c r="Y529" s="85" t="n"/>
      <c r="Z529" s="85" t="n"/>
      <c r="AA529" s="85" t="n"/>
      <c r="AB529" s="85" t="n"/>
      <c r="AC529" s="86" t="n"/>
      <c r="AD529" s="86" t="n"/>
      <c r="AE529" s="86" t="n"/>
      <c r="AF529" s="85" t="n"/>
      <c r="AG529" s="85" t="n"/>
      <c r="AH529" s="85">
        <f>IF($A529="","",IF(AND($E529="Yes",OR($V529="No",$V529="NOT FOUND")),"YES",""))</f>
        <v/>
      </c>
      <c r="AI529" s="85">
        <f>IF($A529="","",TRIM(IF(AND($M529=0,$I529&lt;&gt;"Yes"),"T0-NoPhishResistant ","")&amp;IF($H529="No","NoMFA ","")&amp;IF(AND($M529=0,$O529="Group only"),"T0-ViaGroupOnly ","")&amp;IF($N529="Yes","BroadAzureScope ","")&amp;IF($T529="Yes","AlsoEntraRole ","")))</f>
        <v/>
      </c>
      <c r="AJ529" s="85">
        <f>IF($A529="","",IF(AD529="","Not Enrolled",IF(TODAY()&gt;AD529,"Review Overdue",IF(AD529-TODAY()&lt;=30,"Review Due Soon","Active"))))</f>
        <v/>
      </c>
      <c r="AK529" s="85">
        <f>IF($A529="","",IF(AE529="","NOT REVIEWED",IF(TODAY()-AE529&gt;90,"OVERDUE",IF(TODAY()-AE529&gt;76,"Due Soon","Current"))))</f>
        <v/>
      </c>
    </row>
    <row r="530" ht="15" customHeight="1" s="39">
      <c r="A530" s="85" t="n"/>
      <c r="B530" s="85" t="n"/>
      <c r="C530" s="85" t="n"/>
      <c r="D530" s="85" t="n"/>
      <c r="E530" s="85" t="n"/>
      <c r="F530" s="86" t="n"/>
      <c r="G530" s="86" t="n"/>
      <c r="H530" s="85" t="n"/>
      <c r="I530" s="85" t="n"/>
      <c r="J530" s="85" t="n"/>
      <c r="K530" s="85" t="n"/>
      <c r="L530" s="85" t="n"/>
      <c r="M530" s="85" t="n"/>
      <c r="N530" s="85" t="n"/>
      <c r="O530" s="85" t="n"/>
      <c r="P530" s="85" t="n"/>
      <c r="Q530" s="85" t="n"/>
      <c r="R530" s="85" t="n"/>
      <c r="S530" s="85" t="n"/>
      <c r="T530" s="85" t="n"/>
      <c r="U530" s="85" t="n"/>
      <c r="V530" s="85" t="n"/>
      <c r="W530" s="85" t="n"/>
      <c r="X530" s="85" t="n"/>
      <c r="Y530" s="85" t="n"/>
      <c r="Z530" s="85" t="n"/>
      <c r="AA530" s="85" t="n"/>
      <c r="AB530" s="85" t="n"/>
      <c r="AC530" s="86" t="n"/>
      <c r="AD530" s="86" t="n"/>
      <c r="AE530" s="86" t="n"/>
      <c r="AF530" s="85" t="n"/>
      <c r="AG530" s="85" t="n"/>
      <c r="AH530" s="85">
        <f>IF($A530="","",IF(AND($E530="Yes",OR($V530="No",$V530="NOT FOUND")),"YES",""))</f>
        <v/>
      </c>
      <c r="AI530" s="85">
        <f>IF($A530="","",TRIM(IF(AND($M530=0,$I530&lt;&gt;"Yes"),"T0-NoPhishResistant ","")&amp;IF($H530="No","NoMFA ","")&amp;IF(AND($M530=0,$O530="Group only"),"T0-ViaGroupOnly ","")&amp;IF($N530="Yes","BroadAzureScope ","")&amp;IF($T530="Yes","AlsoEntraRole ","")))</f>
        <v/>
      </c>
      <c r="AJ530" s="85">
        <f>IF($A530="","",IF(AD530="","Not Enrolled",IF(TODAY()&gt;AD530,"Review Overdue",IF(AD530-TODAY()&lt;=30,"Review Due Soon","Active"))))</f>
        <v/>
      </c>
      <c r="AK530" s="85">
        <f>IF($A530="","",IF(AE530="","NOT REVIEWED",IF(TODAY()-AE530&gt;90,"OVERDUE",IF(TODAY()-AE530&gt;76,"Due Soon","Current"))))</f>
        <v/>
      </c>
    </row>
    <row r="531" ht="15" customHeight="1" s="39">
      <c r="A531" s="85" t="n"/>
      <c r="B531" s="85" t="n"/>
      <c r="C531" s="85" t="n"/>
      <c r="D531" s="85" t="n"/>
      <c r="E531" s="85" t="n"/>
      <c r="F531" s="86" t="n"/>
      <c r="G531" s="86" t="n"/>
      <c r="H531" s="85" t="n"/>
      <c r="I531" s="85" t="n"/>
      <c r="J531" s="85" t="n"/>
      <c r="K531" s="85" t="n"/>
      <c r="L531" s="85" t="n"/>
      <c r="M531" s="85" t="n"/>
      <c r="N531" s="85" t="n"/>
      <c r="O531" s="85" t="n"/>
      <c r="P531" s="85" t="n"/>
      <c r="Q531" s="85" t="n"/>
      <c r="R531" s="85" t="n"/>
      <c r="S531" s="85" t="n"/>
      <c r="T531" s="85" t="n"/>
      <c r="U531" s="85" t="n"/>
      <c r="V531" s="85" t="n"/>
      <c r="W531" s="85" t="n"/>
      <c r="X531" s="85" t="n"/>
      <c r="Y531" s="85" t="n"/>
      <c r="Z531" s="85" t="n"/>
      <c r="AA531" s="85" t="n"/>
      <c r="AB531" s="85" t="n"/>
      <c r="AC531" s="86" t="n"/>
      <c r="AD531" s="86" t="n"/>
      <c r="AE531" s="86" t="n"/>
      <c r="AF531" s="85" t="n"/>
      <c r="AG531" s="85" t="n"/>
      <c r="AH531" s="85">
        <f>IF($A531="","",IF(AND($E531="Yes",OR($V531="No",$V531="NOT FOUND")),"YES",""))</f>
        <v/>
      </c>
      <c r="AI531" s="85">
        <f>IF($A531="","",TRIM(IF(AND($M531=0,$I531&lt;&gt;"Yes"),"T0-NoPhishResistant ","")&amp;IF($H531="No","NoMFA ","")&amp;IF(AND($M531=0,$O531="Group only"),"T0-ViaGroupOnly ","")&amp;IF($N531="Yes","BroadAzureScope ","")&amp;IF($T531="Yes","AlsoEntraRole ","")))</f>
        <v/>
      </c>
      <c r="AJ531" s="85">
        <f>IF($A531="","",IF(AD531="","Not Enrolled",IF(TODAY()&gt;AD531,"Review Overdue",IF(AD531-TODAY()&lt;=30,"Review Due Soon","Active"))))</f>
        <v/>
      </c>
      <c r="AK531" s="85">
        <f>IF($A531="","",IF(AE531="","NOT REVIEWED",IF(TODAY()-AE531&gt;90,"OVERDUE",IF(TODAY()-AE531&gt;76,"Due Soon","Current"))))</f>
        <v/>
      </c>
    </row>
    <row r="532" ht="15" customHeight="1" s="39">
      <c r="A532" s="85" t="n"/>
      <c r="B532" s="85" t="n"/>
      <c r="C532" s="85" t="n"/>
      <c r="D532" s="85" t="n"/>
      <c r="E532" s="85" t="n"/>
      <c r="F532" s="86" t="n"/>
      <c r="G532" s="86" t="n"/>
      <c r="H532" s="85" t="n"/>
      <c r="I532" s="85" t="n"/>
      <c r="J532" s="85" t="n"/>
      <c r="K532" s="85" t="n"/>
      <c r="L532" s="85" t="n"/>
      <c r="M532" s="85" t="n"/>
      <c r="N532" s="85" t="n"/>
      <c r="O532" s="85" t="n"/>
      <c r="P532" s="85" t="n"/>
      <c r="Q532" s="85" t="n"/>
      <c r="R532" s="85" t="n"/>
      <c r="S532" s="85" t="n"/>
      <c r="T532" s="85" t="n"/>
      <c r="U532" s="85" t="n"/>
      <c r="V532" s="85" t="n"/>
      <c r="W532" s="85" t="n"/>
      <c r="X532" s="85" t="n"/>
      <c r="Y532" s="85" t="n"/>
      <c r="Z532" s="85" t="n"/>
      <c r="AA532" s="85" t="n"/>
      <c r="AB532" s="85" t="n"/>
      <c r="AC532" s="86" t="n"/>
      <c r="AD532" s="86" t="n"/>
      <c r="AE532" s="86" t="n"/>
      <c r="AF532" s="85" t="n"/>
      <c r="AG532" s="85" t="n"/>
      <c r="AH532" s="85">
        <f>IF($A532="","",IF(AND($E532="Yes",OR($V532="No",$V532="NOT FOUND")),"YES",""))</f>
        <v/>
      </c>
      <c r="AI532" s="85">
        <f>IF($A532="","",TRIM(IF(AND($M532=0,$I532&lt;&gt;"Yes"),"T0-NoPhishResistant ","")&amp;IF($H532="No","NoMFA ","")&amp;IF(AND($M532=0,$O532="Group only"),"T0-ViaGroupOnly ","")&amp;IF($N532="Yes","BroadAzureScope ","")&amp;IF($T532="Yes","AlsoEntraRole ","")))</f>
        <v/>
      </c>
      <c r="AJ532" s="85">
        <f>IF($A532="","",IF(AD532="","Not Enrolled",IF(TODAY()&gt;AD532,"Review Overdue",IF(AD532-TODAY()&lt;=30,"Review Due Soon","Active"))))</f>
        <v/>
      </c>
      <c r="AK532" s="85">
        <f>IF($A532="","",IF(AE532="","NOT REVIEWED",IF(TODAY()-AE532&gt;90,"OVERDUE",IF(TODAY()-AE532&gt;76,"Due Soon","Current"))))</f>
        <v/>
      </c>
    </row>
    <row r="533" ht="15" customHeight="1" s="39">
      <c r="A533" s="85" t="n"/>
      <c r="B533" s="85" t="n"/>
      <c r="C533" s="85" t="n"/>
      <c r="D533" s="85" t="n"/>
      <c r="E533" s="85" t="n"/>
      <c r="F533" s="86" t="n"/>
      <c r="G533" s="86" t="n"/>
      <c r="H533" s="85" t="n"/>
      <c r="I533" s="85" t="n"/>
      <c r="J533" s="85" t="n"/>
      <c r="K533" s="85" t="n"/>
      <c r="L533" s="85" t="n"/>
      <c r="M533" s="85" t="n"/>
      <c r="N533" s="85" t="n"/>
      <c r="O533" s="85" t="n"/>
      <c r="P533" s="85" t="n"/>
      <c r="Q533" s="85" t="n"/>
      <c r="R533" s="85" t="n"/>
      <c r="S533" s="85" t="n"/>
      <c r="T533" s="85" t="n"/>
      <c r="U533" s="85" t="n"/>
      <c r="V533" s="85" t="n"/>
      <c r="W533" s="85" t="n"/>
      <c r="X533" s="85" t="n"/>
      <c r="Y533" s="85" t="n"/>
      <c r="Z533" s="85" t="n"/>
      <c r="AA533" s="85" t="n"/>
      <c r="AB533" s="85" t="n"/>
      <c r="AC533" s="86" t="n"/>
      <c r="AD533" s="86" t="n"/>
      <c r="AE533" s="86" t="n"/>
      <c r="AF533" s="85" t="n"/>
      <c r="AG533" s="85" t="n"/>
      <c r="AH533" s="85">
        <f>IF($A533="","",IF(AND($E533="Yes",OR($V533="No",$V533="NOT FOUND")),"YES",""))</f>
        <v/>
      </c>
      <c r="AI533" s="85">
        <f>IF($A533="","",TRIM(IF(AND($M533=0,$I533&lt;&gt;"Yes"),"T0-NoPhishResistant ","")&amp;IF($H533="No","NoMFA ","")&amp;IF(AND($M533=0,$O533="Group only"),"T0-ViaGroupOnly ","")&amp;IF($N533="Yes","BroadAzureScope ","")&amp;IF($T533="Yes","AlsoEntraRole ","")))</f>
        <v/>
      </c>
      <c r="AJ533" s="85">
        <f>IF($A533="","",IF(AD533="","Not Enrolled",IF(TODAY()&gt;AD533,"Review Overdue",IF(AD533-TODAY()&lt;=30,"Review Due Soon","Active"))))</f>
        <v/>
      </c>
      <c r="AK533" s="85">
        <f>IF($A533="","",IF(AE533="","NOT REVIEWED",IF(TODAY()-AE533&gt;90,"OVERDUE",IF(TODAY()-AE533&gt;76,"Due Soon","Current"))))</f>
        <v/>
      </c>
    </row>
    <row r="534" ht="15" customHeight="1" s="39">
      <c r="A534" s="85" t="n"/>
      <c r="B534" s="85" t="n"/>
      <c r="C534" s="85" t="n"/>
      <c r="D534" s="85" t="n"/>
      <c r="E534" s="85" t="n"/>
      <c r="F534" s="86" t="n"/>
      <c r="G534" s="86" t="n"/>
      <c r="H534" s="85" t="n"/>
      <c r="I534" s="85" t="n"/>
      <c r="J534" s="85" t="n"/>
      <c r="K534" s="85" t="n"/>
      <c r="L534" s="85" t="n"/>
      <c r="M534" s="85" t="n"/>
      <c r="N534" s="85" t="n"/>
      <c r="O534" s="85" t="n"/>
      <c r="P534" s="85" t="n"/>
      <c r="Q534" s="85" t="n"/>
      <c r="R534" s="85" t="n"/>
      <c r="S534" s="85" t="n"/>
      <c r="T534" s="85" t="n"/>
      <c r="U534" s="85" t="n"/>
      <c r="V534" s="85" t="n"/>
      <c r="W534" s="85" t="n"/>
      <c r="X534" s="85" t="n"/>
      <c r="Y534" s="85" t="n"/>
      <c r="Z534" s="85" t="n"/>
      <c r="AA534" s="85" t="n"/>
      <c r="AB534" s="85" t="n"/>
      <c r="AC534" s="86" t="n"/>
      <c r="AD534" s="86" t="n"/>
      <c r="AE534" s="86" t="n"/>
      <c r="AF534" s="85" t="n"/>
      <c r="AG534" s="85" t="n"/>
      <c r="AH534" s="85">
        <f>IF($A534="","",IF(AND($E534="Yes",OR($V534="No",$V534="NOT FOUND")),"YES",""))</f>
        <v/>
      </c>
      <c r="AI534" s="85">
        <f>IF($A534="","",TRIM(IF(AND($M534=0,$I534&lt;&gt;"Yes"),"T0-NoPhishResistant ","")&amp;IF($H534="No","NoMFA ","")&amp;IF(AND($M534=0,$O534="Group only"),"T0-ViaGroupOnly ","")&amp;IF($N534="Yes","BroadAzureScope ","")&amp;IF($T534="Yes","AlsoEntraRole ","")))</f>
        <v/>
      </c>
      <c r="AJ534" s="85">
        <f>IF($A534="","",IF(AD534="","Not Enrolled",IF(TODAY()&gt;AD534,"Review Overdue",IF(AD534-TODAY()&lt;=30,"Review Due Soon","Active"))))</f>
        <v/>
      </c>
      <c r="AK534" s="85">
        <f>IF($A534="","",IF(AE534="","NOT REVIEWED",IF(TODAY()-AE534&gt;90,"OVERDUE",IF(TODAY()-AE534&gt;76,"Due Soon","Current"))))</f>
        <v/>
      </c>
    </row>
    <row r="535" ht="15" customHeight="1" s="39">
      <c r="A535" s="85" t="n"/>
      <c r="B535" s="85" t="n"/>
      <c r="C535" s="85" t="n"/>
      <c r="D535" s="85" t="n"/>
      <c r="E535" s="85" t="n"/>
      <c r="F535" s="86" t="n"/>
      <c r="G535" s="86" t="n"/>
      <c r="H535" s="85" t="n"/>
      <c r="I535" s="85" t="n"/>
      <c r="J535" s="85" t="n"/>
      <c r="K535" s="85" t="n"/>
      <c r="L535" s="85" t="n"/>
      <c r="M535" s="85" t="n"/>
      <c r="N535" s="85" t="n"/>
      <c r="O535" s="85" t="n"/>
      <c r="P535" s="85" t="n"/>
      <c r="Q535" s="85" t="n"/>
      <c r="R535" s="85" t="n"/>
      <c r="S535" s="85" t="n"/>
      <c r="T535" s="85" t="n"/>
      <c r="U535" s="85" t="n"/>
      <c r="V535" s="85" t="n"/>
      <c r="W535" s="85" t="n"/>
      <c r="X535" s="85" t="n"/>
      <c r="Y535" s="85" t="n"/>
      <c r="Z535" s="85" t="n"/>
      <c r="AA535" s="85" t="n"/>
      <c r="AB535" s="85" t="n"/>
      <c r="AC535" s="86" t="n"/>
      <c r="AD535" s="86" t="n"/>
      <c r="AE535" s="86" t="n"/>
      <c r="AF535" s="85" t="n"/>
      <c r="AG535" s="85" t="n"/>
      <c r="AH535" s="85">
        <f>IF($A535="","",IF(AND($E535="Yes",OR($V535="No",$V535="NOT FOUND")),"YES",""))</f>
        <v/>
      </c>
      <c r="AI535" s="85">
        <f>IF($A535="","",TRIM(IF(AND($M535=0,$I535&lt;&gt;"Yes"),"T0-NoPhishResistant ","")&amp;IF($H535="No","NoMFA ","")&amp;IF(AND($M535=0,$O535="Group only"),"T0-ViaGroupOnly ","")&amp;IF($N535="Yes","BroadAzureScope ","")&amp;IF($T535="Yes","AlsoEntraRole ","")))</f>
        <v/>
      </c>
      <c r="AJ535" s="85">
        <f>IF($A535="","",IF(AD535="","Not Enrolled",IF(TODAY()&gt;AD535,"Review Overdue",IF(AD535-TODAY()&lt;=30,"Review Due Soon","Active"))))</f>
        <v/>
      </c>
      <c r="AK535" s="85">
        <f>IF($A535="","",IF(AE535="","NOT REVIEWED",IF(TODAY()-AE535&gt;90,"OVERDUE",IF(TODAY()-AE535&gt;76,"Due Soon","Current"))))</f>
        <v/>
      </c>
    </row>
    <row r="536" ht="15" customHeight="1" s="39">
      <c r="A536" s="85" t="n"/>
      <c r="B536" s="85" t="n"/>
      <c r="C536" s="85" t="n"/>
      <c r="D536" s="85" t="n"/>
      <c r="E536" s="85" t="n"/>
      <c r="F536" s="86" t="n"/>
      <c r="G536" s="86" t="n"/>
      <c r="H536" s="85" t="n"/>
      <c r="I536" s="85" t="n"/>
      <c r="J536" s="85" t="n"/>
      <c r="K536" s="85" t="n"/>
      <c r="L536" s="85" t="n"/>
      <c r="M536" s="85" t="n"/>
      <c r="N536" s="85" t="n"/>
      <c r="O536" s="85" t="n"/>
      <c r="P536" s="85" t="n"/>
      <c r="Q536" s="85" t="n"/>
      <c r="R536" s="85" t="n"/>
      <c r="S536" s="85" t="n"/>
      <c r="T536" s="85" t="n"/>
      <c r="U536" s="85" t="n"/>
      <c r="V536" s="85" t="n"/>
      <c r="W536" s="85" t="n"/>
      <c r="X536" s="85" t="n"/>
      <c r="Y536" s="85" t="n"/>
      <c r="Z536" s="85" t="n"/>
      <c r="AA536" s="85" t="n"/>
      <c r="AB536" s="85" t="n"/>
      <c r="AC536" s="86" t="n"/>
      <c r="AD536" s="86" t="n"/>
      <c r="AE536" s="86" t="n"/>
      <c r="AF536" s="85" t="n"/>
      <c r="AG536" s="85" t="n"/>
      <c r="AH536" s="85">
        <f>IF($A536="","",IF(AND($E536="Yes",OR($V536="No",$V536="NOT FOUND")),"YES",""))</f>
        <v/>
      </c>
      <c r="AI536" s="85">
        <f>IF($A536="","",TRIM(IF(AND($M536=0,$I536&lt;&gt;"Yes"),"T0-NoPhishResistant ","")&amp;IF($H536="No","NoMFA ","")&amp;IF(AND($M536=0,$O536="Group only"),"T0-ViaGroupOnly ","")&amp;IF($N536="Yes","BroadAzureScope ","")&amp;IF($T536="Yes","AlsoEntraRole ","")))</f>
        <v/>
      </c>
      <c r="AJ536" s="85">
        <f>IF($A536="","",IF(AD536="","Not Enrolled",IF(TODAY()&gt;AD536,"Review Overdue",IF(AD536-TODAY()&lt;=30,"Review Due Soon","Active"))))</f>
        <v/>
      </c>
      <c r="AK536" s="85">
        <f>IF($A536="","",IF(AE536="","NOT REVIEWED",IF(TODAY()-AE536&gt;90,"OVERDUE",IF(TODAY()-AE536&gt;76,"Due Soon","Current"))))</f>
        <v/>
      </c>
    </row>
    <row r="537" ht="15" customHeight="1" s="39">
      <c r="A537" s="85" t="n"/>
      <c r="B537" s="85" t="n"/>
      <c r="C537" s="85" t="n"/>
      <c r="D537" s="85" t="n"/>
      <c r="E537" s="85" t="n"/>
      <c r="F537" s="86" t="n"/>
      <c r="G537" s="86" t="n"/>
      <c r="H537" s="85" t="n"/>
      <c r="I537" s="85" t="n"/>
      <c r="J537" s="85" t="n"/>
      <c r="K537" s="85" t="n"/>
      <c r="L537" s="85" t="n"/>
      <c r="M537" s="85" t="n"/>
      <c r="N537" s="85" t="n"/>
      <c r="O537" s="85" t="n"/>
      <c r="P537" s="85" t="n"/>
      <c r="Q537" s="85" t="n"/>
      <c r="R537" s="85" t="n"/>
      <c r="S537" s="85" t="n"/>
      <c r="T537" s="85" t="n"/>
      <c r="U537" s="85" t="n"/>
      <c r="V537" s="85" t="n"/>
      <c r="W537" s="85" t="n"/>
      <c r="X537" s="85" t="n"/>
      <c r="Y537" s="85" t="n"/>
      <c r="Z537" s="85" t="n"/>
      <c r="AA537" s="85" t="n"/>
      <c r="AB537" s="85" t="n"/>
      <c r="AC537" s="86" t="n"/>
      <c r="AD537" s="86" t="n"/>
      <c r="AE537" s="86" t="n"/>
      <c r="AF537" s="85" t="n"/>
      <c r="AG537" s="85" t="n"/>
      <c r="AH537" s="85">
        <f>IF($A537="","",IF(AND($E537="Yes",OR($V537="No",$V537="NOT FOUND")),"YES",""))</f>
        <v/>
      </c>
      <c r="AI537" s="85">
        <f>IF($A537="","",TRIM(IF(AND($M537=0,$I537&lt;&gt;"Yes"),"T0-NoPhishResistant ","")&amp;IF($H537="No","NoMFA ","")&amp;IF(AND($M537=0,$O537="Group only"),"T0-ViaGroupOnly ","")&amp;IF($N537="Yes","BroadAzureScope ","")&amp;IF($T537="Yes","AlsoEntraRole ","")))</f>
        <v/>
      </c>
      <c r="AJ537" s="85">
        <f>IF($A537="","",IF(AD537="","Not Enrolled",IF(TODAY()&gt;AD537,"Review Overdue",IF(AD537-TODAY()&lt;=30,"Review Due Soon","Active"))))</f>
        <v/>
      </c>
      <c r="AK537" s="85">
        <f>IF($A537="","",IF(AE537="","NOT REVIEWED",IF(TODAY()-AE537&gt;90,"OVERDUE",IF(TODAY()-AE537&gt;76,"Due Soon","Current"))))</f>
        <v/>
      </c>
    </row>
    <row r="538" ht="15" customHeight="1" s="39">
      <c r="A538" s="85" t="n"/>
      <c r="B538" s="85" t="n"/>
      <c r="C538" s="85" t="n"/>
      <c r="D538" s="85" t="n"/>
      <c r="E538" s="85" t="n"/>
      <c r="F538" s="86" t="n"/>
      <c r="G538" s="86" t="n"/>
      <c r="H538" s="85" t="n"/>
      <c r="I538" s="85" t="n"/>
      <c r="J538" s="85" t="n"/>
      <c r="K538" s="85" t="n"/>
      <c r="L538" s="85" t="n"/>
      <c r="M538" s="85" t="n"/>
      <c r="N538" s="85" t="n"/>
      <c r="O538" s="85" t="n"/>
      <c r="P538" s="85" t="n"/>
      <c r="Q538" s="85" t="n"/>
      <c r="R538" s="85" t="n"/>
      <c r="S538" s="85" t="n"/>
      <c r="T538" s="85" t="n"/>
      <c r="U538" s="85" t="n"/>
      <c r="V538" s="85" t="n"/>
      <c r="W538" s="85" t="n"/>
      <c r="X538" s="85" t="n"/>
      <c r="Y538" s="85" t="n"/>
      <c r="Z538" s="85" t="n"/>
      <c r="AA538" s="85" t="n"/>
      <c r="AB538" s="85" t="n"/>
      <c r="AC538" s="86" t="n"/>
      <c r="AD538" s="86" t="n"/>
      <c r="AE538" s="86" t="n"/>
      <c r="AF538" s="85" t="n"/>
      <c r="AG538" s="85" t="n"/>
      <c r="AH538" s="85">
        <f>IF($A538="","",IF(AND($E538="Yes",OR($V538="No",$V538="NOT FOUND")),"YES",""))</f>
        <v/>
      </c>
      <c r="AI538" s="85">
        <f>IF($A538="","",TRIM(IF(AND($M538=0,$I538&lt;&gt;"Yes"),"T0-NoPhishResistant ","")&amp;IF($H538="No","NoMFA ","")&amp;IF(AND($M538=0,$O538="Group only"),"T0-ViaGroupOnly ","")&amp;IF($N538="Yes","BroadAzureScope ","")&amp;IF($T538="Yes","AlsoEntraRole ","")))</f>
        <v/>
      </c>
      <c r="AJ538" s="85">
        <f>IF($A538="","",IF(AD538="","Not Enrolled",IF(TODAY()&gt;AD538,"Review Overdue",IF(AD538-TODAY()&lt;=30,"Review Due Soon","Active"))))</f>
        <v/>
      </c>
      <c r="AK538" s="85">
        <f>IF($A538="","",IF(AE538="","NOT REVIEWED",IF(TODAY()-AE538&gt;90,"OVERDUE",IF(TODAY()-AE538&gt;76,"Due Soon","Current"))))</f>
        <v/>
      </c>
    </row>
    <row r="539" ht="15" customHeight="1" s="39">
      <c r="A539" s="85" t="n"/>
      <c r="B539" s="85" t="n"/>
      <c r="C539" s="85" t="n"/>
      <c r="D539" s="85" t="n"/>
      <c r="E539" s="85" t="n"/>
      <c r="F539" s="86" t="n"/>
      <c r="G539" s="86" t="n"/>
      <c r="H539" s="85" t="n"/>
      <c r="I539" s="85" t="n"/>
      <c r="J539" s="85" t="n"/>
      <c r="K539" s="85" t="n"/>
      <c r="L539" s="85" t="n"/>
      <c r="M539" s="85" t="n"/>
      <c r="N539" s="85" t="n"/>
      <c r="O539" s="85" t="n"/>
      <c r="P539" s="85" t="n"/>
      <c r="Q539" s="85" t="n"/>
      <c r="R539" s="85" t="n"/>
      <c r="S539" s="85" t="n"/>
      <c r="T539" s="85" t="n"/>
      <c r="U539" s="85" t="n"/>
      <c r="V539" s="85" t="n"/>
      <c r="W539" s="85" t="n"/>
      <c r="X539" s="85" t="n"/>
      <c r="Y539" s="85" t="n"/>
      <c r="Z539" s="85" t="n"/>
      <c r="AA539" s="85" t="n"/>
      <c r="AB539" s="85" t="n"/>
      <c r="AC539" s="86" t="n"/>
      <c r="AD539" s="86" t="n"/>
      <c r="AE539" s="86" t="n"/>
      <c r="AF539" s="85" t="n"/>
      <c r="AG539" s="85" t="n"/>
      <c r="AH539" s="85">
        <f>IF($A539="","",IF(AND($E539="Yes",OR($V539="No",$V539="NOT FOUND")),"YES",""))</f>
        <v/>
      </c>
      <c r="AI539" s="85">
        <f>IF($A539="","",TRIM(IF(AND($M539=0,$I539&lt;&gt;"Yes"),"T0-NoPhishResistant ","")&amp;IF($H539="No","NoMFA ","")&amp;IF(AND($M539=0,$O539="Group only"),"T0-ViaGroupOnly ","")&amp;IF($N539="Yes","BroadAzureScope ","")&amp;IF($T539="Yes","AlsoEntraRole ","")))</f>
        <v/>
      </c>
      <c r="AJ539" s="85">
        <f>IF($A539="","",IF(AD539="","Not Enrolled",IF(TODAY()&gt;AD539,"Review Overdue",IF(AD539-TODAY()&lt;=30,"Review Due Soon","Active"))))</f>
        <v/>
      </c>
      <c r="AK539" s="85">
        <f>IF($A539="","",IF(AE539="","NOT REVIEWED",IF(TODAY()-AE539&gt;90,"OVERDUE",IF(TODAY()-AE539&gt;76,"Due Soon","Current"))))</f>
        <v/>
      </c>
    </row>
    <row r="540" ht="15" customHeight="1" s="39">
      <c r="A540" s="85" t="n"/>
      <c r="B540" s="85" t="n"/>
      <c r="C540" s="85" t="n"/>
      <c r="D540" s="85" t="n"/>
      <c r="E540" s="85" t="n"/>
      <c r="F540" s="86" t="n"/>
      <c r="G540" s="86" t="n"/>
      <c r="H540" s="85" t="n"/>
      <c r="I540" s="85" t="n"/>
      <c r="J540" s="85" t="n"/>
      <c r="K540" s="85" t="n"/>
      <c r="L540" s="85" t="n"/>
      <c r="M540" s="85" t="n"/>
      <c r="N540" s="85" t="n"/>
      <c r="O540" s="85" t="n"/>
      <c r="P540" s="85" t="n"/>
      <c r="Q540" s="85" t="n"/>
      <c r="R540" s="85" t="n"/>
      <c r="S540" s="85" t="n"/>
      <c r="T540" s="85" t="n"/>
      <c r="U540" s="85" t="n"/>
      <c r="V540" s="85" t="n"/>
      <c r="W540" s="85" t="n"/>
      <c r="X540" s="85" t="n"/>
      <c r="Y540" s="85" t="n"/>
      <c r="Z540" s="85" t="n"/>
      <c r="AA540" s="85" t="n"/>
      <c r="AB540" s="85" t="n"/>
      <c r="AC540" s="86" t="n"/>
      <c r="AD540" s="86" t="n"/>
      <c r="AE540" s="86" t="n"/>
      <c r="AF540" s="85" t="n"/>
      <c r="AG540" s="85" t="n"/>
      <c r="AH540" s="85">
        <f>IF($A540="","",IF(AND($E540="Yes",OR($V540="No",$V540="NOT FOUND")),"YES",""))</f>
        <v/>
      </c>
      <c r="AI540" s="85">
        <f>IF($A540="","",TRIM(IF(AND($M540=0,$I540&lt;&gt;"Yes"),"T0-NoPhishResistant ","")&amp;IF($H540="No","NoMFA ","")&amp;IF(AND($M540=0,$O540="Group only"),"T0-ViaGroupOnly ","")&amp;IF($N540="Yes","BroadAzureScope ","")&amp;IF($T540="Yes","AlsoEntraRole ","")))</f>
        <v/>
      </c>
      <c r="AJ540" s="85">
        <f>IF($A540="","",IF(AD540="","Not Enrolled",IF(TODAY()&gt;AD540,"Review Overdue",IF(AD540-TODAY()&lt;=30,"Review Due Soon","Active"))))</f>
        <v/>
      </c>
      <c r="AK540" s="85">
        <f>IF($A540="","",IF(AE540="","NOT REVIEWED",IF(TODAY()-AE540&gt;90,"OVERDUE",IF(TODAY()-AE540&gt;76,"Due Soon","Current"))))</f>
        <v/>
      </c>
    </row>
    <row r="541" ht="15" customHeight="1" s="39">
      <c r="A541" s="85" t="n"/>
      <c r="B541" s="85" t="n"/>
      <c r="C541" s="85" t="n"/>
      <c r="D541" s="85" t="n"/>
      <c r="E541" s="85" t="n"/>
      <c r="F541" s="86" t="n"/>
      <c r="G541" s="86" t="n"/>
      <c r="H541" s="85" t="n"/>
      <c r="I541" s="85" t="n"/>
      <c r="J541" s="85" t="n"/>
      <c r="K541" s="85" t="n"/>
      <c r="L541" s="85" t="n"/>
      <c r="M541" s="85" t="n"/>
      <c r="N541" s="85" t="n"/>
      <c r="O541" s="85" t="n"/>
      <c r="P541" s="85" t="n"/>
      <c r="Q541" s="85" t="n"/>
      <c r="R541" s="85" t="n"/>
      <c r="S541" s="85" t="n"/>
      <c r="T541" s="85" t="n"/>
      <c r="U541" s="85" t="n"/>
      <c r="V541" s="85" t="n"/>
      <c r="W541" s="85" t="n"/>
      <c r="X541" s="85" t="n"/>
      <c r="Y541" s="85" t="n"/>
      <c r="Z541" s="85" t="n"/>
      <c r="AA541" s="85" t="n"/>
      <c r="AB541" s="85" t="n"/>
      <c r="AC541" s="86" t="n"/>
      <c r="AD541" s="86" t="n"/>
      <c r="AE541" s="86" t="n"/>
      <c r="AF541" s="85" t="n"/>
      <c r="AG541" s="85" t="n"/>
      <c r="AH541" s="85">
        <f>IF($A541="","",IF(AND($E541="Yes",OR($V541="No",$V541="NOT FOUND")),"YES",""))</f>
        <v/>
      </c>
      <c r="AI541" s="85">
        <f>IF($A541="","",TRIM(IF(AND($M541=0,$I541&lt;&gt;"Yes"),"T0-NoPhishResistant ","")&amp;IF($H541="No","NoMFA ","")&amp;IF(AND($M541=0,$O541="Group only"),"T0-ViaGroupOnly ","")&amp;IF($N541="Yes","BroadAzureScope ","")&amp;IF($T541="Yes","AlsoEntraRole ","")))</f>
        <v/>
      </c>
      <c r="AJ541" s="85">
        <f>IF($A541="","",IF(AD541="","Not Enrolled",IF(TODAY()&gt;AD541,"Review Overdue",IF(AD541-TODAY()&lt;=30,"Review Due Soon","Active"))))</f>
        <v/>
      </c>
      <c r="AK541" s="85">
        <f>IF($A541="","",IF(AE541="","NOT REVIEWED",IF(TODAY()-AE541&gt;90,"OVERDUE",IF(TODAY()-AE541&gt;76,"Due Soon","Current"))))</f>
        <v/>
      </c>
    </row>
    <row r="542" ht="15" customHeight="1" s="39">
      <c r="A542" s="85" t="n"/>
      <c r="B542" s="85" t="n"/>
      <c r="C542" s="85" t="n"/>
      <c r="D542" s="85" t="n"/>
      <c r="E542" s="85" t="n"/>
      <c r="F542" s="86" t="n"/>
      <c r="G542" s="86" t="n"/>
      <c r="H542" s="85" t="n"/>
      <c r="I542" s="85" t="n"/>
      <c r="J542" s="85" t="n"/>
      <c r="K542" s="85" t="n"/>
      <c r="L542" s="85" t="n"/>
      <c r="M542" s="85" t="n"/>
      <c r="N542" s="85" t="n"/>
      <c r="O542" s="85" t="n"/>
      <c r="P542" s="85" t="n"/>
      <c r="Q542" s="85" t="n"/>
      <c r="R542" s="85" t="n"/>
      <c r="S542" s="85" t="n"/>
      <c r="T542" s="85" t="n"/>
      <c r="U542" s="85" t="n"/>
      <c r="V542" s="85" t="n"/>
      <c r="W542" s="85" t="n"/>
      <c r="X542" s="85" t="n"/>
      <c r="Y542" s="85" t="n"/>
      <c r="Z542" s="85" t="n"/>
      <c r="AA542" s="85" t="n"/>
      <c r="AB542" s="85" t="n"/>
      <c r="AC542" s="86" t="n"/>
      <c r="AD542" s="86" t="n"/>
      <c r="AE542" s="86" t="n"/>
      <c r="AF542" s="85" t="n"/>
      <c r="AG542" s="85" t="n"/>
      <c r="AH542" s="85">
        <f>IF($A542="","",IF(AND($E542="Yes",OR($V542="No",$V542="NOT FOUND")),"YES",""))</f>
        <v/>
      </c>
      <c r="AI542" s="85">
        <f>IF($A542="","",TRIM(IF(AND($M542=0,$I542&lt;&gt;"Yes"),"T0-NoPhishResistant ","")&amp;IF($H542="No","NoMFA ","")&amp;IF(AND($M542=0,$O542="Group only"),"T0-ViaGroupOnly ","")&amp;IF($N542="Yes","BroadAzureScope ","")&amp;IF($T542="Yes","AlsoEntraRole ","")))</f>
        <v/>
      </c>
      <c r="AJ542" s="85">
        <f>IF($A542="","",IF(AD542="","Not Enrolled",IF(TODAY()&gt;AD542,"Review Overdue",IF(AD542-TODAY()&lt;=30,"Review Due Soon","Active"))))</f>
        <v/>
      </c>
      <c r="AK542" s="85">
        <f>IF($A542="","",IF(AE542="","NOT REVIEWED",IF(TODAY()-AE542&gt;90,"OVERDUE",IF(TODAY()-AE542&gt;76,"Due Soon","Current"))))</f>
        <v/>
      </c>
    </row>
    <row r="543" ht="15" customHeight="1" s="39">
      <c r="A543" s="85" t="n"/>
      <c r="B543" s="85" t="n"/>
      <c r="C543" s="85" t="n"/>
      <c r="D543" s="85" t="n"/>
      <c r="E543" s="85" t="n"/>
      <c r="F543" s="86" t="n"/>
      <c r="G543" s="86" t="n"/>
      <c r="H543" s="85" t="n"/>
      <c r="I543" s="85" t="n"/>
      <c r="J543" s="85" t="n"/>
      <c r="K543" s="85" t="n"/>
      <c r="L543" s="85" t="n"/>
      <c r="M543" s="85" t="n"/>
      <c r="N543" s="85" t="n"/>
      <c r="O543" s="85" t="n"/>
      <c r="P543" s="85" t="n"/>
      <c r="Q543" s="85" t="n"/>
      <c r="R543" s="85" t="n"/>
      <c r="S543" s="85" t="n"/>
      <c r="T543" s="85" t="n"/>
      <c r="U543" s="85" t="n"/>
      <c r="V543" s="85" t="n"/>
      <c r="W543" s="85" t="n"/>
      <c r="X543" s="85" t="n"/>
      <c r="Y543" s="85" t="n"/>
      <c r="Z543" s="85" t="n"/>
      <c r="AA543" s="85" t="n"/>
      <c r="AB543" s="85" t="n"/>
      <c r="AC543" s="86" t="n"/>
      <c r="AD543" s="86" t="n"/>
      <c r="AE543" s="86" t="n"/>
      <c r="AF543" s="85" t="n"/>
      <c r="AG543" s="85" t="n"/>
      <c r="AH543" s="85">
        <f>IF($A543="","",IF(AND($E543="Yes",OR($V543="No",$V543="NOT FOUND")),"YES",""))</f>
        <v/>
      </c>
      <c r="AI543" s="85">
        <f>IF($A543="","",TRIM(IF(AND($M543=0,$I543&lt;&gt;"Yes"),"T0-NoPhishResistant ","")&amp;IF($H543="No","NoMFA ","")&amp;IF(AND($M543=0,$O543="Group only"),"T0-ViaGroupOnly ","")&amp;IF($N543="Yes","BroadAzureScope ","")&amp;IF($T543="Yes","AlsoEntraRole ","")))</f>
        <v/>
      </c>
      <c r="AJ543" s="85">
        <f>IF($A543="","",IF(AD543="","Not Enrolled",IF(TODAY()&gt;AD543,"Review Overdue",IF(AD543-TODAY()&lt;=30,"Review Due Soon","Active"))))</f>
        <v/>
      </c>
      <c r="AK543" s="85">
        <f>IF($A543="","",IF(AE543="","NOT REVIEWED",IF(TODAY()-AE543&gt;90,"OVERDUE",IF(TODAY()-AE543&gt;76,"Due Soon","Current"))))</f>
        <v/>
      </c>
    </row>
    <row r="544" ht="15" customHeight="1" s="39">
      <c r="A544" s="85" t="n"/>
      <c r="B544" s="85" t="n"/>
      <c r="C544" s="85" t="n"/>
      <c r="D544" s="85" t="n"/>
      <c r="E544" s="85" t="n"/>
      <c r="F544" s="86" t="n"/>
      <c r="G544" s="86" t="n"/>
      <c r="H544" s="85" t="n"/>
      <c r="I544" s="85" t="n"/>
      <c r="J544" s="85" t="n"/>
      <c r="K544" s="85" t="n"/>
      <c r="L544" s="85" t="n"/>
      <c r="M544" s="85" t="n"/>
      <c r="N544" s="85" t="n"/>
      <c r="O544" s="85" t="n"/>
      <c r="P544" s="85" t="n"/>
      <c r="Q544" s="85" t="n"/>
      <c r="R544" s="85" t="n"/>
      <c r="S544" s="85" t="n"/>
      <c r="T544" s="85" t="n"/>
      <c r="U544" s="85" t="n"/>
      <c r="V544" s="85" t="n"/>
      <c r="W544" s="85" t="n"/>
      <c r="X544" s="85" t="n"/>
      <c r="Y544" s="85" t="n"/>
      <c r="Z544" s="85" t="n"/>
      <c r="AA544" s="85" t="n"/>
      <c r="AB544" s="85" t="n"/>
      <c r="AC544" s="86" t="n"/>
      <c r="AD544" s="86" t="n"/>
      <c r="AE544" s="86" t="n"/>
      <c r="AF544" s="85" t="n"/>
      <c r="AG544" s="85" t="n"/>
      <c r="AH544" s="85">
        <f>IF($A544="","",IF(AND($E544="Yes",OR($V544="No",$V544="NOT FOUND")),"YES",""))</f>
        <v/>
      </c>
      <c r="AI544" s="85">
        <f>IF($A544="","",TRIM(IF(AND($M544=0,$I544&lt;&gt;"Yes"),"T0-NoPhishResistant ","")&amp;IF($H544="No","NoMFA ","")&amp;IF(AND($M544=0,$O544="Group only"),"T0-ViaGroupOnly ","")&amp;IF($N544="Yes","BroadAzureScope ","")&amp;IF($T544="Yes","AlsoEntraRole ","")))</f>
        <v/>
      </c>
      <c r="AJ544" s="85">
        <f>IF($A544="","",IF(AD544="","Not Enrolled",IF(TODAY()&gt;AD544,"Review Overdue",IF(AD544-TODAY()&lt;=30,"Review Due Soon","Active"))))</f>
        <v/>
      </c>
      <c r="AK544" s="85">
        <f>IF($A544="","",IF(AE544="","NOT REVIEWED",IF(TODAY()-AE544&gt;90,"OVERDUE",IF(TODAY()-AE544&gt;76,"Due Soon","Current"))))</f>
        <v/>
      </c>
    </row>
    <row r="545" ht="15" customHeight="1" s="39">
      <c r="A545" s="85" t="n"/>
      <c r="B545" s="85" t="n"/>
      <c r="C545" s="85" t="n"/>
      <c r="D545" s="85" t="n"/>
      <c r="E545" s="85" t="n"/>
      <c r="F545" s="86" t="n"/>
      <c r="G545" s="86" t="n"/>
      <c r="H545" s="85" t="n"/>
      <c r="I545" s="85" t="n"/>
      <c r="J545" s="85" t="n"/>
      <c r="K545" s="85" t="n"/>
      <c r="L545" s="85" t="n"/>
      <c r="M545" s="85" t="n"/>
      <c r="N545" s="85" t="n"/>
      <c r="O545" s="85" t="n"/>
      <c r="P545" s="85" t="n"/>
      <c r="Q545" s="85" t="n"/>
      <c r="R545" s="85" t="n"/>
      <c r="S545" s="85" t="n"/>
      <c r="T545" s="85" t="n"/>
      <c r="U545" s="85" t="n"/>
      <c r="V545" s="85" t="n"/>
      <c r="W545" s="85" t="n"/>
      <c r="X545" s="85" t="n"/>
      <c r="Y545" s="85" t="n"/>
      <c r="Z545" s="85" t="n"/>
      <c r="AA545" s="85" t="n"/>
      <c r="AB545" s="85" t="n"/>
      <c r="AC545" s="86" t="n"/>
      <c r="AD545" s="86" t="n"/>
      <c r="AE545" s="86" t="n"/>
      <c r="AF545" s="85" t="n"/>
      <c r="AG545" s="85" t="n"/>
      <c r="AH545" s="85">
        <f>IF($A545="","",IF(AND($E545="Yes",OR($V545="No",$V545="NOT FOUND")),"YES",""))</f>
        <v/>
      </c>
      <c r="AI545" s="85">
        <f>IF($A545="","",TRIM(IF(AND($M545=0,$I545&lt;&gt;"Yes"),"T0-NoPhishResistant ","")&amp;IF($H545="No","NoMFA ","")&amp;IF(AND($M545=0,$O545="Group only"),"T0-ViaGroupOnly ","")&amp;IF($N545="Yes","BroadAzureScope ","")&amp;IF($T545="Yes","AlsoEntraRole ","")))</f>
        <v/>
      </c>
      <c r="AJ545" s="85">
        <f>IF($A545="","",IF(AD545="","Not Enrolled",IF(TODAY()&gt;AD545,"Review Overdue",IF(AD545-TODAY()&lt;=30,"Review Due Soon","Active"))))</f>
        <v/>
      </c>
      <c r="AK545" s="85">
        <f>IF($A545="","",IF(AE545="","NOT REVIEWED",IF(TODAY()-AE545&gt;90,"OVERDUE",IF(TODAY()-AE545&gt;76,"Due Soon","Current"))))</f>
        <v/>
      </c>
    </row>
    <row r="546" ht="15" customHeight="1" s="39">
      <c r="A546" s="85" t="n"/>
      <c r="B546" s="85" t="n"/>
      <c r="C546" s="85" t="n"/>
      <c r="D546" s="85" t="n"/>
      <c r="E546" s="85" t="n"/>
      <c r="F546" s="86" t="n"/>
      <c r="G546" s="86" t="n"/>
      <c r="H546" s="85" t="n"/>
      <c r="I546" s="85" t="n"/>
      <c r="J546" s="85" t="n"/>
      <c r="K546" s="85" t="n"/>
      <c r="L546" s="85" t="n"/>
      <c r="M546" s="85" t="n"/>
      <c r="N546" s="85" t="n"/>
      <c r="O546" s="85" t="n"/>
      <c r="P546" s="85" t="n"/>
      <c r="Q546" s="85" t="n"/>
      <c r="R546" s="85" t="n"/>
      <c r="S546" s="85" t="n"/>
      <c r="T546" s="85" t="n"/>
      <c r="U546" s="85" t="n"/>
      <c r="V546" s="85" t="n"/>
      <c r="W546" s="85" t="n"/>
      <c r="X546" s="85" t="n"/>
      <c r="Y546" s="85" t="n"/>
      <c r="Z546" s="85" t="n"/>
      <c r="AA546" s="85" t="n"/>
      <c r="AB546" s="85" t="n"/>
      <c r="AC546" s="86" t="n"/>
      <c r="AD546" s="86" t="n"/>
      <c r="AE546" s="86" t="n"/>
      <c r="AF546" s="85" t="n"/>
      <c r="AG546" s="85" t="n"/>
      <c r="AH546" s="85">
        <f>IF($A546="","",IF(AND($E546="Yes",OR($V546="No",$V546="NOT FOUND")),"YES",""))</f>
        <v/>
      </c>
      <c r="AI546" s="85">
        <f>IF($A546="","",TRIM(IF(AND($M546=0,$I546&lt;&gt;"Yes"),"T0-NoPhishResistant ","")&amp;IF($H546="No","NoMFA ","")&amp;IF(AND($M546=0,$O546="Group only"),"T0-ViaGroupOnly ","")&amp;IF($N546="Yes","BroadAzureScope ","")&amp;IF($T546="Yes","AlsoEntraRole ","")))</f>
        <v/>
      </c>
      <c r="AJ546" s="85">
        <f>IF($A546="","",IF(AD546="","Not Enrolled",IF(TODAY()&gt;AD546,"Review Overdue",IF(AD546-TODAY()&lt;=30,"Review Due Soon","Active"))))</f>
        <v/>
      </c>
      <c r="AK546" s="85">
        <f>IF($A546="","",IF(AE546="","NOT REVIEWED",IF(TODAY()-AE546&gt;90,"OVERDUE",IF(TODAY()-AE546&gt;76,"Due Soon","Current"))))</f>
        <v/>
      </c>
    </row>
    <row r="547" ht="15" customHeight="1" s="39">
      <c r="A547" s="85" t="n"/>
      <c r="B547" s="85" t="n"/>
      <c r="C547" s="85" t="n"/>
      <c r="D547" s="85" t="n"/>
      <c r="E547" s="85" t="n"/>
      <c r="F547" s="86" t="n"/>
      <c r="G547" s="86" t="n"/>
      <c r="H547" s="85" t="n"/>
      <c r="I547" s="85" t="n"/>
      <c r="J547" s="85" t="n"/>
      <c r="K547" s="85" t="n"/>
      <c r="L547" s="85" t="n"/>
      <c r="M547" s="85" t="n"/>
      <c r="N547" s="85" t="n"/>
      <c r="O547" s="85" t="n"/>
      <c r="P547" s="85" t="n"/>
      <c r="Q547" s="85" t="n"/>
      <c r="R547" s="85" t="n"/>
      <c r="S547" s="85" t="n"/>
      <c r="T547" s="85" t="n"/>
      <c r="U547" s="85" t="n"/>
      <c r="V547" s="85" t="n"/>
      <c r="W547" s="85" t="n"/>
      <c r="X547" s="85" t="n"/>
      <c r="Y547" s="85" t="n"/>
      <c r="Z547" s="85" t="n"/>
      <c r="AA547" s="85" t="n"/>
      <c r="AB547" s="85" t="n"/>
      <c r="AC547" s="86" t="n"/>
      <c r="AD547" s="86" t="n"/>
      <c r="AE547" s="86" t="n"/>
      <c r="AF547" s="85" t="n"/>
      <c r="AG547" s="85" t="n"/>
      <c r="AH547" s="85">
        <f>IF($A547="","",IF(AND($E547="Yes",OR($V547="No",$V547="NOT FOUND")),"YES",""))</f>
        <v/>
      </c>
      <c r="AI547" s="85">
        <f>IF($A547="","",TRIM(IF(AND($M547=0,$I547&lt;&gt;"Yes"),"T0-NoPhishResistant ","")&amp;IF($H547="No","NoMFA ","")&amp;IF(AND($M547=0,$O547="Group only"),"T0-ViaGroupOnly ","")&amp;IF($N547="Yes","BroadAzureScope ","")&amp;IF($T547="Yes","AlsoEntraRole ","")))</f>
        <v/>
      </c>
      <c r="AJ547" s="85">
        <f>IF($A547="","",IF(AD547="","Not Enrolled",IF(TODAY()&gt;AD547,"Review Overdue",IF(AD547-TODAY()&lt;=30,"Review Due Soon","Active"))))</f>
        <v/>
      </c>
      <c r="AK547" s="85">
        <f>IF($A547="","",IF(AE547="","NOT REVIEWED",IF(TODAY()-AE547&gt;90,"OVERDUE",IF(TODAY()-AE547&gt;76,"Due Soon","Current"))))</f>
        <v/>
      </c>
    </row>
    <row r="548" ht="15" customHeight="1" s="39">
      <c r="A548" s="85" t="n"/>
      <c r="B548" s="85" t="n"/>
      <c r="C548" s="85" t="n"/>
      <c r="D548" s="85" t="n"/>
      <c r="E548" s="85" t="n"/>
      <c r="F548" s="86" t="n"/>
      <c r="G548" s="86" t="n"/>
      <c r="H548" s="85" t="n"/>
      <c r="I548" s="85" t="n"/>
      <c r="J548" s="85" t="n"/>
      <c r="K548" s="85" t="n"/>
      <c r="L548" s="85" t="n"/>
      <c r="M548" s="85" t="n"/>
      <c r="N548" s="85" t="n"/>
      <c r="O548" s="85" t="n"/>
      <c r="P548" s="85" t="n"/>
      <c r="Q548" s="85" t="n"/>
      <c r="R548" s="85" t="n"/>
      <c r="S548" s="85" t="n"/>
      <c r="T548" s="85" t="n"/>
      <c r="U548" s="85" t="n"/>
      <c r="V548" s="85" t="n"/>
      <c r="W548" s="85" t="n"/>
      <c r="X548" s="85" t="n"/>
      <c r="Y548" s="85" t="n"/>
      <c r="Z548" s="85" t="n"/>
      <c r="AA548" s="85" t="n"/>
      <c r="AB548" s="85" t="n"/>
      <c r="AC548" s="86" t="n"/>
      <c r="AD548" s="86" t="n"/>
      <c r="AE548" s="86" t="n"/>
      <c r="AF548" s="85" t="n"/>
      <c r="AG548" s="85" t="n"/>
      <c r="AH548" s="85">
        <f>IF($A548="","",IF(AND($E548="Yes",OR($V548="No",$V548="NOT FOUND")),"YES",""))</f>
        <v/>
      </c>
      <c r="AI548" s="85">
        <f>IF($A548="","",TRIM(IF(AND($M548=0,$I548&lt;&gt;"Yes"),"T0-NoPhishResistant ","")&amp;IF($H548="No","NoMFA ","")&amp;IF(AND($M548=0,$O548="Group only"),"T0-ViaGroupOnly ","")&amp;IF($N548="Yes","BroadAzureScope ","")&amp;IF($T548="Yes","AlsoEntraRole ","")))</f>
        <v/>
      </c>
      <c r="AJ548" s="85">
        <f>IF($A548="","",IF(AD548="","Not Enrolled",IF(TODAY()&gt;AD548,"Review Overdue",IF(AD548-TODAY()&lt;=30,"Review Due Soon","Active"))))</f>
        <v/>
      </c>
      <c r="AK548" s="85">
        <f>IF($A548="","",IF(AE548="","NOT REVIEWED",IF(TODAY()-AE548&gt;90,"OVERDUE",IF(TODAY()-AE548&gt;76,"Due Soon","Current"))))</f>
        <v/>
      </c>
    </row>
    <row r="549" ht="15" customHeight="1" s="39">
      <c r="A549" s="85" t="n"/>
      <c r="B549" s="85" t="n"/>
      <c r="C549" s="85" t="n"/>
      <c r="D549" s="85" t="n"/>
      <c r="E549" s="85" t="n"/>
      <c r="F549" s="86" t="n"/>
      <c r="G549" s="86" t="n"/>
      <c r="H549" s="85" t="n"/>
      <c r="I549" s="85" t="n"/>
      <c r="J549" s="85" t="n"/>
      <c r="K549" s="85" t="n"/>
      <c r="L549" s="85" t="n"/>
      <c r="M549" s="85" t="n"/>
      <c r="N549" s="85" t="n"/>
      <c r="O549" s="85" t="n"/>
      <c r="P549" s="85" t="n"/>
      <c r="Q549" s="85" t="n"/>
      <c r="R549" s="85" t="n"/>
      <c r="S549" s="85" t="n"/>
      <c r="T549" s="85" t="n"/>
      <c r="U549" s="85" t="n"/>
      <c r="V549" s="85" t="n"/>
      <c r="W549" s="85" t="n"/>
      <c r="X549" s="85" t="n"/>
      <c r="Y549" s="85" t="n"/>
      <c r="Z549" s="85" t="n"/>
      <c r="AA549" s="85" t="n"/>
      <c r="AB549" s="85" t="n"/>
      <c r="AC549" s="86" t="n"/>
      <c r="AD549" s="86" t="n"/>
      <c r="AE549" s="86" t="n"/>
      <c r="AF549" s="85" t="n"/>
      <c r="AG549" s="85" t="n"/>
      <c r="AH549" s="85">
        <f>IF($A549="","",IF(AND($E549="Yes",OR($V549="No",$V549="NOT FOUND")),"YES",""))</f>
        <v/>
      </c>
      <c r="AI549" s="85">
        <f>IF($A549="","",TRIM(IF(AND($M549=0,$I549&lt;&gt;"Yes"),"T0-NoPhishResistant ","")&amp;IF($H549="No","NoMFA ","")&amp;IF(AND($M549=0,$O549="Group only"),"T0-ViaGroupOnly ","")&amp;IF($N549="Yes","BroadAzureScope ","")&amp;IF($T549="Yes","AlsoEntraRole ","")))</f>
        <v/>
      </c>
      <c r="AJ549" s="85">
        <f>IF($A549="","",IF(AD549="","Not Enrolled",IF(TODAY()&gt;AD549,"Review Overdue",IF(AD549-TODAY()&lt;=30,"Review Due Soon","Active"))))</f>
        <v/>
      </c>
      <c r="AK549" s="85">
        <f>IF($A549="","",IF(AE549="","NOT REVIEWED",IF(TODAY()-AE549&gt;90,"OVERDUE",IF(TODAY()-AE549&gt;76,"Due Soon","Current"))))</f>
        <v/>
      </c>
    </row>
    <row r="550" ht="15" customHeight="1" s="39">
      <c r="A550" s="85" t="n"/>
      <c r="B550" s="85" t="n"/>
      <c r="C550" s="85" t="n"/>
      <c r="D550" s="85" t="n"/>
      <c r="E550" s="85" t="n"/>
      <c r="F550" s="86" t="n"/>
      <c r="G550" s="86" t="n"/>
      <c r="H550" s="85" t="n"/>
      <c r="I550" s="85" t="n"/>
      <c r="J550" s="85" t="n"/>
      <c r="K550" s="85" t="n"/>
      <c r="L550" s="85" t="n"/>
      <c r="M550" s="85" t="n"/>
      <c r="N550" s="85" t="n"/>
      <c r="O550" s="85" t="n"/>
      <c r="P550" s="85" t="n"/>
      <c r="Q550" s="85" t="n"/>
      <c r="R550" s="85" t="n"/>
      <c r="S550" s="85" t="n"/>
      <c r="T550" s="85" t="n"/>
      <c r="U550" s="85" t="n"/>
      <c r="V550" s="85" t="n"/>
      <c r="W550" s="85" t="n"/>
      <c r="X550" s="85" t="n"/>
      <c r="Y550" s="85" t="n"/>
      <c r="Z550" s="85" t="n"/>
      <c r="AA550" s="85" t="n"/>
      <c r="AB550" s="85" t="n"/>
      <c r="AC550" s="86" t="n"/>
      <c r="AD550" s="86" t="n"/>
      <c r="AE550" s="86" t="n"/>
      <c r="AF550" s="85" t="n"/>
      <c r="AG550" s="85" t="n"/>
      <c r="AH550" s="85">
        <f>IF($A550="","",IF(AND($E550="Yes",OR($V550="No",$V550="NOT FOUND")),"YES",""))</f>
        <v/>
      </c>
      <c r="AI550" s="85">
        <f>IF($A550="","",TRIM(IF(AND($M550=0,$I550&lt;&gt;"Yes"),"T0-NoPhishResistant ","")&amp;IF($H550="No","NoMFA ","")&amp;IF(AND($M550=0,$O550="Group only"),"T0-ViaGroupOnly ","")&amp;IF($N550="Yes","BroadAzureScope ","")&amp;IF($T550="Yes","AlsoEntraRole ","")))</f>
        <v/>
      </c>
      <c r="AJ550" s="85">
        <f>IF($A550="","",IF(AD550="","Not Enrolled",IF(TODAY()&gt;AD550,"Review Overdue",IF(AD550-TODAY()&lt;=30,"Review Due Soon","Active"))))</f>
        <v/>
      </c>
      <c r="AK550" s="85">
        <f>IF($A550="","",IF(AE550="","NOT REVIEWED",IF(TODAY()-AE550&gt;90,"OVERDUE",IF(TODAY()-AE550&gt;76,"Due Soon","Current"))))</f>
        <v/>
      </c>
    </row>
    <row r="551" ht="15" customHeight="1" s="39">
      <c r="A551" s="85" t="n"/>
      <c r="B551" s="85" t="n"/>
      <c r="C551" s="85" t="n"/>
      <c r="D551" s="85" t="n"/>
      <c r="E551" s="85" t="n"/>
      <c r="F551" s="86" t="n"/>
      <c r="G551" s="86" t="n"/>
      <c r="H551" s="85" t="n"/>
      <c r="I551" s="85" t="n"/>
      <c r="J551" s="85" t="n"/>
      <c r="K551" s="85" t="n"/>
      <c r="L551" s="85" t="n"/>
      <c r="M551" s="85" t="n"/>
      <c r="N551" s="85" t="n"/>
      <c r="O551" s="85" t="n"/>
      <c r="P551" s="85" t="n"/>
      <c r="Q551" s="85" t="n"/>
      <c r="R551" s="85" t="n"/>
      <c r="S551" s="85" t="n"/>
      <c r="T551" s="85" t="n"/>
      <c r="U551" s="85" t="n"/>
      <c r="V551" s="85" t="n"/>
      <c r="W551" s="85" t="n"/>
      <c r="X551" s="85" t="n"/>
      <c r="Y551" s="85" t="n"/>
      <c r="Z551" s="85" t="n"/>
      <c r="AA551" s="85" t="n"/>
      <c r="AB551" s="85" t="n"/>
      <c r="AC551" s="86" t="n"/>
      <c r="AD551" s="86" t="n"/>
      <c r="AE551" s="86" t="n"/>
      <c r="AF551" s="85" t="n"/>
      <c r="AG551" s="85" t="n"/>
      <c r="AH551" s="85">
        <f>IF($A551="","",IF(AND($E551="Yes",OR($V551="No",$V551="NOT FOUND")),"YES",""))</f>
        <v/>
      </c>
      <c r="AI551" s="85">
        <f>IF($A551="","",TRIM(IF(AND($M551=0,$I551&lt;&gt;"Yes"),"T0-NoPhishResistant ","")&amp;IF($H551="No","NoMFA ","")&amp;IF(AND($M551=0,$O551="Group only"),"T0-ViaGroupOnly ","")&amp;IF($N551="Yes","BroadAzureScope ","")&amp;IF($T551="Yes","AlsoEntraRole ","")))</f>
        <v/>
      </c>
      <c r="AJ551" s="85">
        <f>IF($A551="","",IF(AD551="","Not Enrolled",IF(TODAY()&gt;AD551,"Review Overdue",IF(AD551-TODAY()&lt;=30,"Review Due Soon","Active"))))</f>
        <v/>
      </c>
      <c r="AK551" s="85">
        <f>IF($A551="","",IF(AE551="","NOT REVIEWED",IF(TODAY()-AE551&gt;90,"OVERDUE",IF(TODAY()-AE551&gt;76,"Due Soon","Current"))))</f>
        <v/>
      </c>
    </row>
    <row r="552" ht="15" customHeight="1" s="39">
      <c r="A552" s="85" t="n"/>
      <c r="B552" s="85" t="n"/>
      <c r="C552" s="85" t="n"/>
      <c r="D552" s="85" t="n"/>
      <c r="E552" s="85" t="n"/>
      <c r="F552" s="86" t="n"/>
      <c r="G552" s="86" t="n"/>
      <c r="H552" s="85" t="n"/>
      <c r="I552" s="85" t="n"/>
      <c r="J552" s="85" t="n"/>
      <c r="K552" s="85" t="n"/>
      <c r="L552" s="85" t="n"/>
      <c r="M552" s="85" t="n"/>
      <c r="N552" s="85" t="n"/>
      <c r="O552" s="85" t="n"/>
      <c r="P552" s="85" t="n"/>
      <c r="Q552" s="85" t="n"/>
      <c r="R552" s="85" t="n"/>
      <c r="S552" s="85" t="n"/>
      <c r="T552" s="85" t="n"/>
      <c r="U552" s="85" t="n"/>
      <c r="V552" s="85" t="n"/>
      <c r="W552" s="85" t="n"/>
      <c r="X552" s="85" t="n"/>
      <c r="Y552" s="85" t="n"/>
      <c r="Z552" s="85" t="n"/>
      <c r="AA552" s="85" t="n"/>
      <c r="AB552" s="85" t="n"/>
      <c r="AC552" s="86" t="n"/>
      <c r="AD552" s="86" t="n"/>
      <c r="AE552" s="86" t="n"/>
      <c r="AF552" s="85" t="n"/>
      <c r="AG552" s="85" t="n"/>
      <c r="AH552" s="85">
        <f>IF($A552="","",IF(AND($E552="Yes",OR($V552="No",$V552="NOT FOUND")),"YES",""))</f>
        <v/>
      </c>
      <c r="AI552" s="85">
        <f>IF($A552="","",TRIM(IF(AND($M552=0,$I552&lt;&gt;"Yes"),"T0-NoPhishResistant ","")&amp;IF($H552="No","NoMFA ","")&amp;IF(AND($M552=0,$O552="Group only"),"T0-ViaGroupOnly ","")&amp;IF($N552="Yes","BroadAzureScope ","")&amp;IF($T552="Yes","AlsoEntraRole ","")))</f>
        <v/>
      </c>
      <c r="AJ552" s="85">
        <f>IF($A552="","",IF(AD552="","Not Enrolled",IF(TODAY()&gt;AD552,"Review Overdue",IF(AD552-TODAY()&lt;=30,"Review Due Soon","Active"))))</f>
        <v/>
      </c>
      <c r="AK552" s="85">
        <f>IF($A552="","",IF(AE552="","NOT REVIEWED",IF(TODAY()-AE552&gt;90,"OVERDUE",IF(TODAY()-AE552&gt;76,"Due Soon","Current"))))</f>
        <v/>
      </c>
    </row>
    <row r="553" ht="15" customHeight="1" s="39">
      <c r="A553" s="85" t="n"/>
      <c r="B553" s="85" t="n"/>
      <c r="C553" s="85" t="n"/>
      <c r="D553" s="85" t="n"/>
      <c r="E553" s="85" t="n"/>
      <c r="F553" s="86" t="n"/>
      <c r="G553" s="86" t="n"/>
      <c r="H553" s="85" t="n"/>
      <c r="I553" s="85" t="n"/>
      <c r="J553" s="85" t="n"/>
      <c r="K553" s="85" t="n"/>
      <c r="L553" s="85" t="n"/>
      <c r="M553" s="85" t="n"/>
      <c r="N553" s="85" t="n"/>
      <c r="O553" s="85" t="n"/>
      <c r="P553" s="85" t="n"/>
      <c r="Q553" s="85" t="n"/>
      <c r="R553" s="85" t="n"/>
      <c r="S553" s="85" t="n"/>
      <c r="T553" s="85" t="n"/>
      <c r="U553" s="85" t="n"/>
      <c r="V553" s="85" t="n"/>
      <c r="W553" s="85" t="n"/>
      <c r="X553" s="85" t="n"/>
      <c r="Y553" s="85" t="n"/>
      <c r="Z553" s="85" t="n"/>
      <c r="AA553" s="85" t="n"/>
      <c r="AB553" s="85" t="n"/>
      <c r="AC553" s="86" t="n"/>
      <c r="AD553" s="86" t="n"/>
      <c r="AE553" s="86" t="n"/>
      <c r="AF553" s="85" t="n"/>
      <c r="AG553" s="85" t="n"/>
      <c r="AH553" s="85">
        <f>IF($A553="","",IF(AND($E553="Yes",OR($V553="No",$V553="NOT FOUND")),"YES",""))</f>
        <v/>
      </c>
      <c r="AI553" s="85">
        <f>IF($A553="","",TRIM(IF(AND($M553=0,$I553&lt;&gt;"Yes"),"T0-NoPhishResistant ","")&amp;IF($H553="No","NoMFA ","")&amp;IF(AND($M553=0,$O553="Group only"),"T0-ViaGroupOnly ","")&amp;IF($N553="Yes","BroadAzureScope ","")&amp;IF($T553="Yes","AlsoEntraRole ","")))</f>
        <v/>
      </c>
      <c r="AJ553" s="85">
        <f>IF($A553="","",IF(AD553="","Not Enrolled",IF(TODAY()&gt;AD553,"Review Overdue",IF(AD553-TODAY()&lt;=30,"Review Due Soon","Active"))))</f>
        <v/>
      </c>
      <c r="AK553" s="85">
        <f>IF($A553="","",IF(AE553="","NOT REVIEWED",IF(TODAY()-AE553&gt;90,"OVERDUE",IF(TODAY()-AE553&gt;76,"Due Soon","Current"))))</f>
        <v/>
      </c>
    </row>
    <row r="554" ht="15" customHeight="1" s="39">
      <c r="A554" s="85" t="n"/>
      <c r="B554" s="85" t="n"/>
      <c r="C554" s="85" t="n"/>
      <c r="D554" s="85" t="n"/>
      <c r="E554" s="85" t="n"/>
      <c r="F554" s="86" t="n"/>
      <c r="G554" s="86" t="n"/>
      <c r="H554" s="85" t="n"/>
      <c r="I554" s="85" t="n"/>
      <c r="J554" s="85" t="n"/>
      <c r="K554" s="85" t="n"/>
      <c r="L554" s="85" t="n"/>
      <c r="M554" s="85" t="n"/>
      <c r="N554" s="85" t="n"/>
      <c r="O554" s="85" t="n"/>
      <c r="P554" s="85" t="n"/>
      <c r="Q554" s="85" t="n"/>
      <c r="R554" s="85" t="n"/>
      <c r="S554" s="85" t="n"/>
      <c r="T554" s="85" t="n"/>
      <c r="U554" s="85" t="n"/>
      <c r="V554" s="85" t="n"/>
      <c r="W554" s="85" t="n"/>
      <c r="X554" s="85" t="n"/>
      <c r="Y554" s="85" t="n"/>
      <c r="Z554" s="85" t="n"/>
      <c r="AA554" s="85" t="n"/>
      <c r="AB554" s="85" t="n"/>
      <c r="AC554" s="86" t="n"/>
      <c r="AD554" s="86" t="n"/>
      <c r="AE554" s="86" t="n"/>
      <c r="AF554" s="85" t="n"/>
      <c r="AG554" s="85" t="n"/>
      <c r="AH554" s="85">
        <f>IF($A554="","",IF(AND($E554="Yes",OR($V554="No",$V554="NOT FOUND")),"YES",""))</f>
        <v/>
      </c>
      <c r="AI554" s="85">
        <f>IF($A554="","",TRIM(IF(AND($M554=0,$I554&lt;&gt;"Yes"),"T0-NoPhishResistant ","")&amp;IF($H554="No","NoMFA ","")&amp;IF(AND($M554=0,$O554="Group only"),"T0-ViaGroupOnly ","")&amp;IF($N554="Yes","BroadAzureScope ","")&amp;IF($T554="Yes","AlsoEntraRole ","")))</f>
        <v/>
      </c>
      <c r="AJ554" s="85">
        <f>IF($A554="","",IF(AD554="","Not Enrolled",IF(TODAY()&gt;AD554,"Review Overdue",IF(AD554-TODAY()&lt;=30,"Review Due Soon","Active"))))</f>
        <v/>
      </c>
      <c r="AK554" s="85">
        <f>IF($A554="","",IF(AE554="","NOT REVIEWED",IF(TODAY()-AE554&gt;90,"OVERDUE",IF(TODAY()-AE554&gt;76,"Due Soon","Current"))))</f>
        <v/>
      </c>
    </row>
    <row r="555" ht="15" customHeight="1" s="39">
      <c r="A555" s="85" t="n"/>
      <c r="B555" s="85" t="n"/>
      <c r="C555" s="85" t="n"/>
      <c r="D555" s="85" t="n"/>
      <c r="E555" s="85" t="n"/>
      <c r="F555" s="86" t="n"/>
      <c r="G555" s="86" t="n"/>
      <c r="H555" s="85" t="n"/>
      <c r="I555" s="85" t="n"/>
      <c r="J555" s="85" t="n"/>
      <c r="K555" s="85" t="n"/>
      <c r="L555" s="85" t="n"/>
      <c r="M555" s="85" t="n"/>
      <c r="N555" s="85" t="n"/>
      <c r="O555" s="85" t="n"/>
      <c r="P555" s="85" t="n"/>
      <c r="Q555" s="85" t="n"/>
      <c r="R555" s="85" t="n"/>
      <c r="S555" s="85" t="n"/>
      <c r="T555" s="85" t="n"/>
      <c r="U555" s="85" t="n"/>
      <c r="V555" s="85" t="n"/>
      <c r="W555" s="85" t="n"/>
      <c r="X555" s="85" t="n"/>
      <c r="Y555" s="85" t="n"/>
      <c r="Z555" s="85" t="n"/>
      <c r="AA555" s="85" t="n"/>
      <c r="AB555" s="85" t="n"/>
      <c r="AC555" s="86" t="n"/>
      <c r="AD555" s="86" t="n"/>
      <c r="AE555" s="86" t="n"/>
      <c r="AF555" s="85" t="n"/>
      <c r="AG555" s="85" t="n"/>
      <c r="AH555" s="85">
        <f>IF($A555="","",IF(AND($E555="Yes",OR($V555="No",$V555="NOT FOUND")),"YES",""))</f>
        <v/>
      </c>
      <c r="AI555" s="85">
        <f>IF($A555="","",TRIM(IF(AND($M555=0,$I555&lt;&gt;"Yes"),"T0-NoPhishResistant ","")&amp;IF($H555="No","NoMFA ","")&amp;IF(AND($M555=0,$O555="Group only"),"T0-ViaGroupOnly ","")&amp;IF($N555="Yes","BroadAzureScope ","")&amp;IF($T555="Yes","AlsoEntraRole ","")))</f>
        <v/>
      </c>
      <c r="AJ555" s="85">
        <f>IF($A555="","",IF(AD555="","Not Enrolled",IF(TODAY()&gt;AD555,"Review Overdue",IF(AD555-TODAY()&lt;=30,"Review Due Soon","Active"))))</f>
        <v/>
      </c>
      <c r="AK555" s="85">
        <f>IF($A555="","",IF(AE555="","NOT REVIEWED",IF(TODAY()-AE555&gt;90,"OVERDUE",IF(TODAY()-AE555&gt;76,"Due Soon","Current"))))</f>
        <v/>
      </c>
    </row>
    <row r="556" ht="15" customHeight="1" s="39">
      <c r="A556" s="85" t="n"/>
      <c r="B556" s="85" t="n"/>
      <c r="C556" s="85" t="n"/>
      <c r="D556" s="85" t="n"/>
      <c r="E556" s="85" t="n"/>
      <c r="F556" s="86" t="n"/>
      <c r="G556" s="86" t="n"/>
      <c r="H556" s="85" t="n"/>
      <c r="I556" s="85" t="n"/>
      <c r="J556" s="85" t="n"/>
      <c r="K556" s="85" t="n"/>
      <c r="L556" s="85" t="n"/>
      <c r="M556" s="85" t="n"/>
      <c r="N556" s="85" t="n"/>
      <c r="O556" s="85" t="n"/>
      <c r="P556" s="85" t="n"/>
      <c r="Q556" s="85" t="n"/>
      <c r="R556" s="85" t="n"/>
      <c r="S556" s="85" t="n"/>
      <c r="T556" s="85" t="n"/>
      <c r="U556" s="85" t="n"/>
      <c r="V556" s="85" t="n"/>
      <c r="W556" s="85" t="n"/>
      <c r="X556" s="85" t="n"/>
      <c r="Y556" s="85" t="n"/>
      <c r="Z556" s="85" t="n"/>
      <c r="AA556" s="85" t="n"/>
      <c r="AB556" s="85" t="n"/>
      <c r="AC556" s="86" t="n"/>
      <c r="AD556" s="86" t="n"/>
      <c r="AE556" s="86" t="n"/>
      <c r="AF556" s="85" t="n"/>
      <c r="AG556" s="85" t="n"/>
      <c r="AH556" s="85">
        <f>IF($A556="","",IF(AND($E556="Yes",OR($V556="No",$V556="NOT FOUND")),"YES",""))</f>
        <v/>
      </c>
      <c r="AI556" s="85">
        <f>IF($A556="","",TRIM(IF(AND($M556=0,$I556&lt;&gt;"Yes"),"T0-NoPhishResistant ","")&amp;IF($H556="No","NoMFA ","")&amp;IF(AND($M556=0,$O556="Group only"),"T0-ViaGroupOnly ","")&amp;IF($N556="Yes","BroadAzureScope ","")&amp;IF($T556="Yes","AlsoEntraRole ","")))</f>
        <v/>
      </c>
      <c r="AJ556" s="85">
        <f>IF($A556="","",IF(AD556="","Not Enrolled",IF(TODAY()&gt;AD556,"Review Overdue",IF(AD556-TODAY()&lt;=30,"Review Due Soon","Active"))))</f>
        <v/>
      </c>
      <c r="AK556" s="85">
        <f>IF($A556="","",IF(AE556="","NOT REVIEWED",IF(TODAY()-AE556&gt;90,"OVERDUE",IF(TODAY()-AE556&gt;76,"Due Soon","Current"))))</f>
        <v/>
      </c>
    </row>
    <row r="557" ht="15" customHeight="1" s="39">
      <c r="A557" s="85" t="n"/>
      <c r="B557" s="85" t="n"/>
      <c r="C557" s="85" t="n"/>
      <c r="D557" s="85" t="n"/>
      <c r="E557" s="85" t="n"/>
      <c r="F557" s="86" t="n"/>
      <c r="G557" s="86" t="n"/>
      <c r="H557" s="85" t="n"/>
      <c r="I557" s="85" t="n"/>
      <c r="J557" s="85" t="n"/>
      <c r="K557" s="85" t="n"/>
      <c r="L557" s="85" t="n"/>
      <c r="M557" s="85" t="n"/>
      <c r="N557" s="85" t="n"/>
      <c r="O557" s="85" t="n"/>
      <c r="P557" s="85" t="n"/>
      <c r="Q557" s="85" t="n"/>
      <c r="R557" s="85" t="n"/>
      <c r="S557" s="85" t="n"/>
      <c r="T557" s="85" t="n"/>
      <c r="U557" s="85" t="n"/>
      <c r="V557" s="85" t="n"/>
      <c r="W557" s="85" t="n"/>
      <c r="X557" s="85" t="n"/>
      <c r="Y557" s="85" t="n"/>
      <c r="Z557" s="85" t="n"/>
      <c r="AA557" s="85" t="n"/>
      <c r="AB557" s="85" t="n"/>
      <c r="AC557" s="86" t="n"/>
      <c r="AD557" s="86" t="n"/>
      <c r="AE557" s="86" t="n"/>
      <c r="AF557" s="85" t="n"/>
      <c r="AG557" s="85" t="n"/>
      <c r="AH557" s="85">
        <f>IF($A557="","",IF(AND($E557="Yes",OR($V557="No",$V557="NOT FOUND")),"YES",""))</f>
        <v/>
      </c>
      <c r="AI557" s="85">
        <f>IF($A557="","",TRIM(IF(AND($M557=0,$I557&lt;&gt;"Yes"),"T0-NoPhishResistant ","")&amp;IF($H557="No","NoMFA ","")&amp;IF(AND($M557=0,$O557="Group only"),"T0-ViaGroupOnly ","")&amp;IF($N557="Yes","BroadAzureScope ","")&amp;IF($T557="Yes","AlsoEntraRole ","")))</f>
        <v/>
      </c>
      <c r="AJ557" s="85">
        <f>IF($A557="","",IF(AD557="","Not Enrolled",IF(TODAY()&gt;AD557,"Review Overdue",IF(AD557-TODAY()&lt;=30,"Review Due Soon","Active"))))</f>
        <v/>
      </c>
      <c r="AK557" s="85">
        <f>IF($A557="","",IF(AE557="","NOT REVIEWED",IF(TODAY()-AE557&gt;90,"OVERDUE",IF(TODAY()-AE557&gt;76,"Due Soon","Current"))))</f>
        <v/>
      </c>
    </row>
    <row r="558" ht="15" customHeight="1" s="39">
      <c r="A558" s="85" t="n"/>
      <c r="B558" s="85" t="n"/>
      <c r="C558" s="85" t="n"/>
      <c r="D558" s="85" t="n"/>
      <c r="E558" s="85" t="n"/>
      <c r="F558" s="86" t="n"/>
      <c r="G558" s="86" t="n"/>
      <c r="H558" s="85" t="n"/>
      <c r="I558" s="85" t="n"/>
      <c r="J558" s="85" t="n"/>
      <c r="K558" s="85" t="n"/>
      <c r="L558" s="85" t="n"/>
      <c r="M558" s="85" t="n"/>
      <c r="N558" s="85" t="n"/>
      <c r="O558" s="85" t="n"/>
      <c r="P558" s="85" t="n"/>
      <c r="Q558" s="85" t="n"/>
      <c r="R558" s="85" t="n"/>
      <c r="S558" s="85" t="n"/>
      <c r="T558" s="85" t="n"/>
      <c r="U558" s="85" t="n"/>
      <c r="V558" s="85" t="n"/>
      <c r="W558" s="85" t="n"/>
      <c r="X558" s="85" t="n"/>
      <c r="Y558" s="85" t="n"/>
      <c r="Z558" s="85" t="n"/>
      <c r="AA558" s="85" t="n"/>
      <c r="AB558" s="85" t="n"/>
      <c r="AC558" s="86" t="n"/>
      <c r="AD558" s="86" t="n"/>
      <c r="AE558" s="86" t="n"/>
      <c r="AF558" s="85" t="n"/>
      <c r="AG558" s="85" t="n"/>
      <c r="AH558" s="85">
        <f>IF($A558="","",IF(AND($E558="Yes",OR($V558="No",$V558="NOT FOUND")),"YES",""))</f>
        <v/>
      </c>
      <c r="AI558" s="85">
        <f>IF($A558="","",TRIM(IF(AND($M558=0,$I558&lt;&gt;"Yes"),"T0-NoPhishResistant ","")&amp;IF($H558="No","NoMFA ","")&amp;IF(AND($M558=0,$O558="Group only"),"T0-ViaGroupOnly ","")&amp;IF($N558="Yes","BroadAzureScope ","")&amp;IF($T558="Yes","AlsoEntraRole ","")))</f>
        <v/>
      </c>
      <c r="AJ558" s="85">
        <f>IF($A558="","",IF(AD558="","Not Enrolled",IF(TODAY()&gt;AD558,"Review Overdue",IF(AD558-TODAY()&lt;=30,"Review Due Soon","Active"))))</f>
        <v/>
      </c>
      <c r="AK558" s="85">
        <f>IF($A558="","",IF(AE558="","NOT REVIEWED",IF(TODAY()-AE558&gt;90,"OVERDUE",IF(TODAY()-AE558&gt;76,"Due Soon","Current"))))</f>
        <v/>
      </c>
    </row>
    <row r="559" ht="15" customHeight="1" s="39">
      <c r="A559" s="85" t="n"/>
      <c r="B559" s="85" t="n"/>
      <c r="C559" s="85" t="n"/>
      <c r="D559" s="85" t="n"/>
      <c r="E559" s="85" t="n"/>
      <c r="F559" s="86" t="n"/>
      <c r="G559" s="86" t="n"/>
      <c r="H559" s="85" t="n"/>
      <c r="I559" s="85" t="n"/>
      <c r="J559" s="85" t="n"/>
      <c r="K559" s="85" t="n"/>
      <c r="L559" s="85" t="n"/>
      <c r="M559" s="85" t="n"/>
      <c r="N559" s="85" t="n"/>
      <c r="O559" s="85" t="n"/>
      <c r="P559" s="85" t="n"/>
      <c r="Q559" s="85" t="n"/>
      <c r="R559" s="85" t="n"/>
      <c r="S559" s="85" t="n"/>
      <c r="T559" s="85" t="n"/>
      <c r="U559" s="85" t="n"/>
      <c r="V559" s="85" t="n"/>
      <c r="W559" s="85" t="n"/>
      <c r="X559" s="85" t="n"/>
      <c r="Y559" s="85" t="n"/>
      <c r="Z559" s="85" t="n"/>
      <c r="AA559" s="85" t="n"/>
      <c r="AB559" s="85" t="n"/>
      <c r="AC559" s="86" t="n"/>
      <c r="AD559" s="86" t="n"/>
      <c r="AE559" s="86" t="n"/>
      <c r="AF559" s="85" t="n"/>
      <c r="AG559" s="85" t="n"/>
      <c r="AH559" s="85">
        <f>IF($A559="","",IF(AND($E559="Yes",OR($V559="No",$V559="NOT FOUND")),"YES",""))</f>
        <v/>
      </c>
      <c r="AI559" s="85">
        <f>IF($A559="","",TRIM(IF(AND($M559=0,$I559&lt;&gt;"Yes"),"T0-NoPhishResistant ","")&amp;IF($H559="No","NoMFA ","")&amp;IF(AND($M559=0,$O559="Group only"),"T0-ViaGroupOnly ","")&amp;IF($N559="Yes","BroadAzureScope ","")&amp;IF($T559="Yes","AlsoEntraRole ","")))</f>
        <v/>
      </c>
      <c r="AJ559" s="85">
        <f>IF($A559="","",IF(AD559="","Not Enrolled",IF(TODAY()&gt;AD559,"Review Overdue",IF(AD559-TODAY()&lt;=30,"Review Due Soon","Active"))))</f>
        <v/>
      </c>
      <c r="AK559" s="85">
        <f>IF($A559="","",IF(AE559="","NOT REVIEWED",IF(TODAY()-AE559&gt;90,"OVERDUE",IF(TODAY()-AE559&gt;76,"Due Soon","Current"))))</f>
        <v/>
      </c>
    </row>
    <row r="560" ht="15" customHeight="1" s="39">
      <c r="A560" s="85" t="n"/>
      <c r="B560" s="85" t="n"/>
      <c r="C560" s="85" t="n"/>
      <c r="D560" s="85" t="n"/>
      <c r="E560" s="85" t="n"/>
      <c r="F560" s="86" t="n"/>
      <c r="G560" s="86" t="n"/>
      <c r="H560" s="85" t="n"/>
      <c r="I560" s="85" t="n"/>
      <c r="J560" s="85" t="n"/>
      <c r="K560" s="85" t="n"/>
      <c r="L560" s="85" t="n"/>
      <c r="M560" s="85" t="n"/>
      <c r="N560" s="85" t="n"/>
      <c r="O560" s="85" t="n"/>
      <c r="P560" s="85" t="n"/>
      <c r="Q560" s="85" t="n"/>
      <c r="R560" s="85" t="n"/>
      <c r="S560" s="85" t="n"/>
      <c r="T560" s="85" t="n"/>
      <c r="U560" s="85" t="n"/>
      <c r="V560" s="85" t="n"/>
      <c r="W560" s="85" t="n"/>
      <c r="X560" s="85" t="n"/>
      <c r="Y560" s="85" t="n"/>
      <c r="Z560" s="85" t="n"/>
      <c r="AA560" s="85" t="n"/>
      <c r="AB560" s="85" t="n"/>
      <c r="AC560" s="86" t="n"/>
      <c r="AD560" s="86" t="n"/>
      <c r="AE560" s="86" t="n"/>
      <c r="AF560" s="85" t="n"/>
      <c r="AG560" s="85" t="n"/>
      <c r="AH560" s="85">
        <f>IF($A560="","",IF(AND($E560="Yes",OR($V560="No",$V560="NOT FOUND")),"YES",""))</f>
        <v/>
      </c>
      <c r="AI560" s="85">
        <f>IF($A560="","",TRIM(IF(AND($M560=0,$I560&lt;&gt;"Yes"),"T0-NoPhishResistant ","")&amp;IF($H560="No","NoMFA ","")&amp;IF(AND($M560=0,$O560="Group only"),"T0-ViaGroupOnly ","")&amp;IF($N560="Yes","BroadAzureScope ","")&amp;IF($T560="Yes","AlsoEntraRole ","")))</f>
        <v/>
      </c>
      <c r="AJ560" s="85">
        <f>IF($A560="","",IF(AD560="","Not Enrolled",IF(TODAY()&gt;AD560,"Review Overdue",IF(AD560-TODAY()&lt;=30,"Review Due Soon","Active"))))</f>
        <v/>
      </c>
      <c r="AK560" s="85">
        <f>IF($A560="","",IF(AE560="","NOT REVIEWED",IF(TODAY()-AE560&gt;90,"OVERDUE",IF(TODAY()-AE560&gt;76,"Due Soon","Current"))))</f>
        <v/>
      </c>
    </row>
    <row r="561" ht="15" customHeight="1" s="39">
      <c r="A561" s="85" t="n"/>
      <c r="B561" s="85" t="n"/>
      <c r="C561" s="85" t="n"/>
      <c r="D561" s="85" t="n"/>
      <c r="E561" s="85" t="n"/>
      <c r="F561" s="86" t="n"/>
      <c r="G561" s="86" t="n"/>
      <c r="H561" s="85" t="n"/>
      <c r="I561" s="85" t="n"/>
      <c r="J561" s="85" t="n"/>
      <c r="K561" s="85" t="n"/>
      <c r="L561" s="85" t="n"/>
      <c r="M561" s="85" t="n"/>
      <c r="N561" s="85" t="n"/>
      <c r="O561" s="85" t="n"/>
      <c r="P561" s="85" t="n"/>
      <c r="Q561" s="85" t="n"/>
      <c r="R561" s="85" t="n"/>
      <c r="S561" s="85" t="n"/>
      <c r="T561" s="85" t="n"/>
      <c r="U561" s="85" t="n"/>
      <c r="V561" s="85" t="n"/>
      <c r="W561" s="85" t="n"/>
      <c r="X561" s="85" t="n"/>
      <c r="Y561" s="85" t="n"/>
      <c r="Z561" s="85" t="n"/>
      <c r="AA561" s="85" t="n"/>
      <c r="AB561" s="85" t="n"/>
      <c r="AC561" s="86" t="n"/>
      <c r="AD561" s="86" t="n"/>
      <c r="AE561" s="86" t="n"/>
      <c r="AF561" s="85" t="n"/>
      <c r="AG561" s="85" t="n"/>
      <c r="AH561" s="85">
        <f>IF($A561="","",IF(AND($E561="Yes",OR($V561="No",$V561="NOT FOUND")),"YES",""))</f>
        <v/>
      </c>
      <c r="AI561" s="85">
        <f>IF($A561="","",TRIM(IF(AND($M561=0,$I561&lt;&gt;"Yes"),"T0-NoPhishResistant ","")&amp;IF($H561="No","NoMFA ","")&amp;IF(AND($M561=0,$O561="Group only"),"T0-ViaGroupOnly ","")&amp;IF($N561="Yes","BroadAzureScope ","")&amp;IF($T561="Yes","AlsoEntraRole ","")))</f>
        <v/>
      </c>
      <c r="AJ561" s="85">
        <f>IF($A561="","",IF(AD561="","Not Enrolled",IF(TODAY()&gt;AD561,"Review Overdue",IF(AD561-TODAY()&lt;=30,"Review Due Soon","Active"))))</f>
        <v/>
      </c>
      <c r="AK561" s="85">
        <f>IF($A561="","",IF(AE561="","NOT REVIEWED",IF(TODAY()-AE561&gt;90,"OVERDUE",IF(TODAY()-AE561&gt;76,"Due Soon","Current"))))</f>
        <v/>
      </c>
    </row>
    <row r="562" ht="15" customHeight="1" s="39">
      <c r="A562" s="85" t="n"/>
      <c r="B562" s="85" t="n"/>
      <c r="C562" s="85" t="n"/>
      <c r="D562" s="85" t="n"/>
      <c r="E562" s="85" t="n"/>
      <c r="F562" s="86" t="n"/>
      <c r="G562" s="86" t="n"/>
      <c r="H562" s="85" t="n"/>
      <c r="I562" s="85" t="n"/>
      <c r="J562" s="85" t="n"/>
      <c r="K562" s="85" t="n"/>
      <c r="L562" s="85" t="n"/>
      <c r="M562" s="85" t="n"/>
      <c r="N562" s="85" t="n"/>
      <c r="O562" s="85" t="n"/>
      <c r="P562" s="85" t="n"/>
      <c r="Q562" s="85" t="n"/>
      <c r="R562" s="85" t="n"/>
      <c r="S562" s="85" t="n"/>
      <c r="T562" s="85" t="n"/>
      <c r="U562" s="85" t="n"/>
      <c r="V562" s="85" t="n"/>
      <c r="W562" s="85" t="n"/>
      <c r="X562" s="85" t="n"/>
      <c r="Y562" s="85" t="n"/>
      <c r="Z562" s="85" t="n"/>
      <c r="AA562" s="85" t="n"/>
      <c r="AB562" s="85" t="n"/>
      <c r="AC562" s="86" t="n"/>
      <c r="AD562" s="86" t="n"/>
      <c r="AE562" s="86" t="n"/>
      <c r="AF562" s="85" t="n"/>
      <c r="AG562" s="85" t="n"/>
      <c r="AH562" s="85">
        <f>IF($A562="","",IF(AND($E562="Yes",OR($V562="No",$V562="NOT FOUND")),"YES",""))</f>
        <v/>
      </c>
      <c r="AI562" s="85">
        <f>IF($A562="","",TRIM(IF(AND($M562=0,$I562&lt;&gt;"Yes"),"T0-NoPhishResistant ","")&amp;IF($H562="No","NoMFA ","")&amp;IF(AND($M562=0,$O562="Group only"),"T0-ViaGroupOnly ","")&amp;IF($N562="Yes","BroadAzureScope ","")&amp;IF($T562="Yes","AlsoEntraRole ","")))</f>
        <v/>
      </c>
      <c r="AJ562" s="85">
        <f>IF($A562="","",IF(AD562="","Not Enrolled",IF(TODAY()&gt;AD562,"Review Overdue",IF(AD562-TODAY()&lt;=30,"Review Due Soon","Active"))))</f>
        <v/>
      </c>
      <c r="AK562" s="85">
        <f>IF($A562="","",IF(AE562="","NOT REVIEWED",IF(TODAY()-AE562&gt;90,"OVERDUE",IF(TODAY()-AE562&gt;76,"Due Soon","Current"))))</f>
        <v/>
      </c>
    </row>
    <row r="563" ht="15" customHeight="1" s="39">
      <c r="A563" s="85" t="n"/>
      <c r="B563" s="85" t="n"/>
      <c r="C563" s="85" t="n"/>
      <c r="D563" s="85" t="n"/>
      <c r="E563" s="85" t="n"/>
      <c r="F563" s="86" t="n"/>
      <c r="G563" s="86" t="n"/>
      <c r="H563" s="85" t="n"/>
      <c r="I563" s="85" t="n"/>
      <c r="J563" s="85" t="n"/>
      <c r="K563" s="85" t="n"/>
      <c r="L563" s="85" t="n"/>
      <c r="M563" s="85" t="n"/>
      <c r="N563" s="85" t="n"/>
      <c r="O563" s="85" t="n"/>
      <c r="P563" s="85" t="n"/>
      <c r="Q563" s="85" t="n"/>
      <c r="R563" s="85" t="n"/>
      <c r="S563" s="85" t="n"/>
      <c r="T563" s="85" t="n"/>
      <c r="U563" s="85" t="n"/>
      <c r="V563" s="85" t="n"/>
      <c r="W563" s="85" t="n"/>
      <c r="X563" s="85" t="n"/>
      <c r="Y563" s="85" t="n"/>
      <c r="Z563" s="85" t="n"/>
      <c r="AA563" s="85" t="n"/>
      <c r="AB563" s="85" t="n"/>
      <c r="AC563" s="86" t="n"/>
      <c r="AD563" s="86" t="n"/>
      <c r="AE563" s="86" t="n"/>
      <c r="AF563" s="85" t="n"/>
      <c r="AG563" s="85" t="n"/>
      <c r="AH563" s="85">
        <f>IF($A563="","",IF(AND($E563="Yes",OR($V563="No",$V563="NOT FOUND")),"YES",""))</f>
        <v/>
      </c>
      <c r="AI563" s="85">
        <f>IF($A563="","",TRIM(IF(AND($M563=0,$I563&lt;&gt;"Yes"),"T0-NoPhishResistant ","")&amp;IF($H563="No","NoMFA ","")&amp;IF(AND($M563=0,$O563="Group only"),"T0-ViaGroupOnly ","")&amp;IF($N563="Yes","BroadAzureScope ","")&amp;IF($T563="Yes","AlsoEntraRole ","")))</f>
        <v/>
      </c>
      <c r="AJ563" s="85">
        <f>IF($A563="","",IF(AD563="","Not Enrolled",IF(TODAY()&gt;AD563,"Review Overdue",IF(AD563-TODAY()&lt;=30,"Review Due Soon","Active"))))</f>
        <v/>
      </c>
      <c r="AK563" s="85">
        <f>IF($A563="","",IF(AE563="","NOT REVIEWED",IF(TODAY()-AE563&gt;90,"OVERDUE",IF(TODAY()-AE563&gt;76,"Due Soon","Current"))))</f>
        <v/>
      </c>
    </row>
    <row r="564" ht="15" customHeight="1" s="39">
      <c r="A564" s="85" t="n"/>
      <c r="B564" s="85" t="n"/>
      <c r="C564" s="85" t="n"/>
      <c r="D564" s="85" t="n"/>
      <c r="E564" s="85" t="n"/>
      <c r="F564" s="86" t="n"/>
      <c r="G564" s="86" t="n"/>
      <c r="H564" s="85" t="n"/>
      <c r="I564" s="85" t="n"/>
      <c r="J564" s="85" t="n"/>
      <c r="K564" s="85" t="n"/>
      <c r="L564" s="85" t="n"/>
      <c r="M564" s="85" t="n"/>
      <c r="N564" s="85" t="n"/>
      <c r="O564" s="85" t="n"/>
      <c r="P564" s="85" t="n"/>
      <c r="Q564" s="85" t="n"/>
      <c r="R564" s="85" t="n"/>
      <c r="S564" s="85" t="n"/>
      <c r="T564" s="85" t="n"/>
      <c r="U564" s="85" t="n"/>
      <c r="V564" s="85" t="n"/>
      <c r="W564" s="85" t="n"/>
      <c r="X564" s="85" t="n"/>
      <c r="Y564" s="85" t="n"/>
      <c r="Z564" s="85" t="n"/>
      <c r="AA564" s="85" t="n"/>
      <c r="AB564" s="85" t="n"/>
      <c r="AC564" s="86" t="n"/>
      <c r="AD564" s="86" t="n"/>
      <c r="AE564" s="86" t="n"/>
      <c r="AF564" s="85" t="n"/>
      <c r="AG564" s="85" t="n"/>
      <c r="AH564" s="85">
        <f>IF($A564="","",IF(AND($E564="Yes",OR($V564="No",$V564="NOT FOUND")),"YES",""))</f>
        <v/>
      </c>
      <c r="AI564" s="85">
        <f>IF($A564="","",TRIM(IF(AND($M564=0,$I564&lt;&gt;"Yes"),"T0-NoPhishResistant ","")&amp;IF($H564="No","NoMFA ","")&amp;IF(AND($M564=0,$O564="Group only"),"T0-ViaGroupOnly ","")&amp;IF($N564="Yes","BroadAzureScope ","")&amp;IF($T564="Yes","AlsoEntraRole ","")))</f>
        <v/>
      </c>
      <c r="AJ564" s="85">
        <f>IF($A564="","",IF(AD564="","Not Enrolled",IF(TODAY()&gt;AD564,"Review Overdue",IF(AD564-TODAY()&lt;=30,"Review Due Soon","Active"))))</f>
        <v/>
      </c>
      <c r="AK564" s="85">
        <f>IF($A564="","",IF(AE564="","NOT REVIEWED",IF(TODAY()-AE564&gt;90,"OVERDUE",IF(TODAY()-AE564&gt;76,"Due Soon","Current"))))</f>
        <v/>
      </c>
    </row>
    <row r="565" ht="15" customHeight="1" s="39">
      <c r="A565" s="85" t="n"/>
      <c r="B565" s="85" t="n"/>
      <c r="C565" s="85" t="n"/>
      <c r="D565" s="85" t="n"/>
      <c r="E565" s="85" t="n"/>
      <c r="F565" s="86" t="n"/>
      <c r="G565" s="86" t="n"/>
      <c r="H565" s="85" t="n"/>
      <c r="I565" s="85" t="n"/>
      <c r="J565" s="85" t="n"/>
      <c r="K565" s="85" t="n"/>
      <c r="L565" s="85" t="n"/>
      <c r="M565" s="85" t="n"/>
      <c r="N565" s="85" t="n"/>
      <c r="O565" s="85" t="n"/>
      <c r="P565" s="85" t="n"/>
      <c r="Q565" s="85" t="n"/>
      <c r="R565" s="85" t="n"/>
      <c r="S565" s="85" t="n"/>
      <c r="T565" s="85" t="n"/>
      <c r="U565" s="85" t="n"/>
      <c r="V565" s="85" t="n"/>
      <c r="W565" s="85" t="n"/>
      <c r="X565" s="85" t="n"/>
      <c r="Y565" s="85" t="n"/>
      <c r="Z565" s="85" t="n"/>
      <c r="AA565" s="85" t="n"/>
      <c r="AB565" s="85" t="n"/>
      <c r="AC565" s="86" t="n"/>
      <c r="AD565" s="86" t="n"/>
      <c r="AE565" s="86" t="n"/>
      <c r="AF565" s="85" t="n"/>
      <c r="AG565" s="85" t="n"/>
      <c r="AH565" s="85">
        <f>IF($A565="","",IF(AND($E565="Yes",OR($V565="No",$V565="NOT FOUND")),"YES",""))</f>
        <v/>
      </c>
      <c r="AI565" s="85">
        <f>IF($A565="","",TRIM(IF(AND($M565=0,$I565&lt;&gt;"Yes"),"T0-NoPhishResistant ","")&amp;IF($H565="No","NoMFA ","")&amp;IF(AND($M565=0,$O565="Group only"),"T0-ViaGroupOnly ","")&amp;IF($N565="Yes","BroadAzureScope ","")&amp;IF($T565="Yes","AlsoEntraRole ","")))</f>
        <v/>
      </c>
      <c r="AJ565" s="85">
        <f>IF($A565="","",IF(AD565="","Not Enrolled",IF(TODAY()&gt;AD565,"Review Overdue",IF(AD565-TODAY()&lt;=30,"Review Due Soon","Active"))))</f>
        <v/>
      </c>
      <c r="AK565" s="85">
        <f>IF($A565="","",IF(AE565="","NOT REVIEWED",IF(TODAY()-AE565&gt;90,"OVERDUE",IF(TODAY()-AE565&gt;76,"Due Soon","Current"))))</f>
        <v/>
      </c>
    </row>
    <row r="566" ht="15" customHeight="1" s="39">
      <c r="A566" s="85" t="n"/>
      <c r="B566" s="85" t="n"/>
      <c r="C566" s="85" t="n"/>
      <c r="D566" s="85" t="n"/>
      <c r="E566" s="85" t="n"/>
      <c r="F566" s="86" t="n"/>
      <c r="G566" s="86" t="n"/>
      <c r="H566" s="85" t="n"/>
      <c r="I566" s="85" t="n"/>
      <c r="J566" s="85" t="n"/>
      <c r="K566" s="85" t="n"/>
      <c r="L566" s="85" t="n"/>
      <c r="M566" s="85" t="n"/>
      <c r="N566" s="85" t="n"/>
      <c r="O566" s="85" t="n"/>
      <c r="P566" s="85" t="n"/>
      <c r="Q566" s="85" t="n"/>
      <c r="R566" s="85" t="n"/>
      <c r="S566" s="85" t="n"/>
      <c r="T566" s="85" t="n"/>
      <c r="U566" s="85" t="n"/>
      <c r="V566" s="85" t="n"/>
      <c r="W566" s="85" t="n"/>
      <c r="X566" s="85" t="n"/>
      <c r="Y566" s="85" t="n"/>
      <c r="Z566" s="85" t="n"/>
      <c r="AA566" s="85" t="n"/>
      <c r="AB566" s="85" t="n"/>
      <c r="AC566" s="86" t="n"/>
      <c r="AD566" s="86" t="n"/>
      <c r="AE566" s="86" t="n"/>
      <c r="AF566" s="85" t="n"/>
      <c r="AG566" s="85" t="n"/>
      <c r="AH566" s="85">
        <f>IF($A566="","",IF(AND($E566="Yes",OR($V566="No",$V566="NOT FOUND")),"YES",""))</f>
        <v/>
      </c>
      <c r="AI566" s="85">
        <f>IF($A566="","",TRIM(IF(AND($M566=0,$I566&lt;&gt;"Yes"),"T0-NoPhishResistant ","")&amp;IF($H566="No","NoMFA ","")&amp;IF(AND($M566=0,$O566="Group only"),"T0-ViaGroupOnly ","")&amp;IF($N566="Yes","BroadAzureScope ","")&amp;IF($T566="Yes","AlsoEntraRole ","")))</f>
        <v/>
      </c>
      <c r="AJ566" s="85">
        <f>IF($A566="","",IF(AD566="","Not Enrolled",IF(TODAY()&gt;AD566,"Review Overdue",IF(AD566-TODAY()&lt;=30,"Review Due Soon","Active"))))</f>
        <v/>
      </c>
      <c r="AK566" s="85">
        <f>IF($A566="","",IF(AE566="","NOT REVIEWED",IF(TODAY()-AE566&gt;90,"OVERDUE",IF(TODAY()-AE566&gt;76,"Due Soon","Current"))))</f>
        <v/>
      </c>
    </row>
    <row r="567" ht="15" customHeight="1" s="39">
      <c r="A567" s="85" t="n"/>
      <c r="B567" s="85" t="n"/>
      <c r="C567" s="85" t="n"/>
      <c r="D567" s="85" t="n"/>
      <c r="E567" s="85" t="n"/>
      <c r="F567" s="86" t="n"/>
      <c r="G567" s="86" t="n"/>
      <c r="H567" s="85" t="n"/>
      <c r="I567" s="85" t="n"/>
      <c r="J567" s="85" t="n"/>
      <c r="K567" s="85" t="n"/>
      <c r="L567" s="85" t="n"/>
      <c r="M567" s="85" t="n"/>
      <c r="N567" s="85" t="n"/>
      <c r="O567" s="85" t="n"/>
      <c r="P567" s="85" t="n"/>
      <c r="Q567" s="85" t="n"/>
      <c r="R567" s="85" t="n"/>
      <c r="S567" s="85" t="n"/>
      <c r="T567" s="85" t="n"/>
      <c r="U567" s="85" t="n"/>
      <c r="V567" s="85" t="n"/>
      <c r="W567" s="85" t="n"/>
      <c r="X567" s="85" t="n"/>
      <c r="Y567" s="85" t="n"/>
      <c r="Z567" s="85" t="n"/>
      <c r="AA567" s="85" t="n"/>
      <c r="AB567" s="85" t="n"/>
      <c r="AC567" s="86" t="n"/>
      <c r="AD567" s="86" t="n"/>
      <c r="AE567" s="86" t="n"/>
      <c r="AF567" s="85" t="n"/>
      <c r="AG567" s="85" t="n"/>
      <c r="AH567" s="85">
        <f>IF($A567="","",IF(AND($E567="Yes",OR($V567="No",$V567="NOT FOUND")),"YES",""))</f>
        <v/>
      </c>
      <c r="AI567" s="85">
        <f>IF($A567="","",TRIM(IF(AND($M567=0,$I567&lt;&gt;"Yes"),"T0-NoPhishResistant ","")&amp;IF($H567="No","NoMFA ","")&amp;IF(AND($M567=0,$O567="Group only"),"T0-ViaGroupOnly ","")&amp;IF($N567="Yes","BroadAzureScope ","")&amp;IF($T567="Yes","AlsoEntraRole ","")))</f>
        <v/>
      </c>
      <c r="AJ567" s="85">
        <f>IF($A567="","",IF(AD567="","Not Enrolled",IF(TODAY()&gt;AD567,"Review Overdue",IF(AD567-TODAY()&lt;=30,"Review Due Soon","Active"))))</f>
        <v/>
      </c>
      <c r="AK567" s="85">
        <f>IF($A567="","",IF(AE567="","NOT REVIEWED",IF(TODAY()-AE567&gt;90,"OVERDUE",IF(TODAY()-AE567&gt;76,"Due Soon","Current"))))</f>
        <v/>
      </c>
    </row>
    <row r="568" ht="15" customHeight="1" s="39">
      <c r="A568" s="85" t="n"/>
      <c r="B568" s="85" t="n"/>
      <c r="C568" s="85" t="n"/>
      <c r="D568" s="85" t="n"/>
      <c r="E568" s="85" t="n"/>
      <c r="F568" s="86" t="n"/>
      <c r="G568" s="86" t="n"/>
      <c r="H568" s="85" t="n"/>
      <c r="I568" s="85" t="n"/>
      <c r="J568" s="85" t="n"/>
      <c r="K568" s="85" t="n"/>
      <c r="L568" s="85" t="n"/>
      <c r="M568" s="85" t="n"/>
      <c r="N568" s="85" t="n"/>
      <c r="O568" s="85" t="n"/>
      <c r="P568" s="85" t="n"/>
      <c r="Q568" s="85" t="n"/>
      <c r="R568" s="85" t="n"/>
      <c r="S568" s="85" t="n"/>
      <c r="T568" s="85" t="n"/>
      <c r="U568" s="85" t="n"/>
      <c r="V568" s="85" t="n"/>
      <c r="W568" s="85" t="n"/>
      <c r="X568" s="85" t="n"/>
      <c r="Y568" s="85" t="n"/>
      <c r="Z568" s="85" t="n"/>
      <c r="AA568" s="85" t="n"/>
      <c r="AB568" s="85" t="n"/>
      <c r="AC568" s="86" t="n"/>
      <c r="AD568" s="86" t="n"/>
      <c r="AE568" s="86" t="n"/>
      <c r="AF568" s="85" t="n"/>
      <c r="AG568" s="85" t="n"/>
      <c r="AH568" s="85">
        <f>IF($A568="","",IF(AND($E568="Yes",OR($V568="No",$V568="NOT FOUND")),"YES",""))</f>
        <v/>
      </c>
      <c r="AI568" s="85">
        <f>IF($A568="","",TRIM(IF(AND($M568=0,$I568&lt;&gt;"Yes"),"T0-NoPhishResistant ","")&amp;IF($H568="No","NoMFA ","")&amp;IF(AND($M568=0,$O568="Group only"),"T0-ViaGroupOnly ","")&amp;IF($N568="Yes","BroadAzureScope ","")&amp;IF($T568="Yes","AlsoEntraRole ","")))</f>
        <v/>
      </c>
      <c r="AJ568" s="85">
        <f>IF($A568="","",IF(AD568="","Not Enrolled",IF(TODAY()&gt;AD568,"Review Overdue",IF(AD568-TODAY()&lt;=30,"Review Due Soon","Active"))))</f>
        <v/>
      </c>
      <c r="AK568" s="85">
        <f>IF($A568="","",IF(AE568="","NOT REVIEWED",IF(TODAY()-AE568&gt;90,"OVERDUE",IF(TODAY()-AE568&gt;76,"Due Soon","Current"))))</f>
        <v/>
      </c>
    </row>
    <row r="569" ht="15" customHeight="1" s="39">
      <c r="A569" s="85" t="n"/>
      <c r="B569" s="85" t="n"/>
      <c r="C569" s="85" t="n"/>
      <c r="D569" s="85" t="n"/>
      <c r="E569" s="85" t="n"/>
      <c r="F569" s="86" t="n"/>
      <c r="G569" s="86" t="n"/>
      <c r="H569" s="85" t="n"/>
      <c r="I569" s="85" t="n"/>
      <c r="J569" s="85" t="n"/>
      <c r="K569" s="85" t="n"/>
      <c r="L569" s="85" t="n"/>
      <c r="M569" s="85" t="n"/>
      <c r="N569" s="85" t="n"/>
      <c r="O569" s="85" t="n"/>
      <c r="P569" s="85" t="n"/>
      <c r="Q569" s="85" t="n"/>
      <c r="R569" s="85" t="n"/>
      <c r="S569" s="85" t="n"/>
      <c r="T569" s="85" t="n"/>
      <c r="U569" s="85" t="n"/>
      <c r="V569" s="85" t="n"/>
      <c r="W569" s="85" t="n"/>
      <c r="X569" s="85" t="n"/>
      <c r="Y569" s="85" t="n"/>
      <c r="Z569" s="85" t="n"/>
      <c r="AA569" s="85" t="n"/>
      <c r="AB569" s="85" t="n"/>
      <c r="AC569" s="86" t="n"/>
      <c r="AD569" s="86" t="n"/>
      <c r="AE569" s="86" t="n"/>
      <c r="AF569" s="85" t="n"/>
      <c r="AG569" s="85" t="n"/>
      <c r="AH569" s="85">
        <f>IF($A569="","",IF(AND($E569="Yes",OR($V569="No",$V569="NOT FOUND")),"YES",""))</f>
        <v/>
      </c>
      <c r="AI569" s="85">
        <f>IF($A569="","",TRIM(IF(AND($M569=0,$I569&lt;&gt;"Yes"),"T0-NoPhishResistant ","")&amp;IF($H569="No","NoMFA ","")&amp;IF(AND($M569=0,$O569="Group only"),"T0-ViaGroupOnly ","")&amp;IF($N569="Yes","BroadAzureScope ","")&amp;IF($T569="Yes","AlsoEntraRole ","")))</f>
        <v/>
      </c>
      <c r="AJ569" s="85">
        <f>IF($A569="","",IF(AD569="","Not Enrolled",IF(TODAY()&gt;AD569,"Review Overdue",IF(AD569-TODAY()&lt;=30,"Review Due Soon","Active"))))</f>
        <v/>
      </c>
      <c r="AK569" s="85">
        <f>IF($A569="","",IF(AE569="","NOT REVIEWED",IF(TODAY()-AE569&gt;90,"OVERDUE",IF(TODAY()-AE569&gt;76,"Due Soon","Current"))))</f>
        <v/>
      </c>
    </row>
    <row r="570" ht="15" customHeight="1" s="39">
      <c r="A570" s="85" t="n"/>
      <c r="B570" s="85" t="n"/>
      <c r="C570" s="85" t="n"/>
      <c r="D570" s="85" t="n"/>
      <c r="E570" s="85" t="n"/>
      <c r="F570" s="86" t="n"/>
      <c r="G570" s="86" t="n"/>
      <c r="H570" s="85" t="n"/>
      <c r="I570" s="85" t="n"/>
      <c r="J570" s="85" t="n"/>
      <c r="K570" s="85" t="n"/>
      <c r="L570" s="85" t="n"/>
      <c r="M570" s="85" t="n"/>
      <c r="N570" s="85" t="n"/>
      <c r="O570" s="85" t="n"/>
      <c r="P570" s="85" t="n"/>
      <c r="Q570" s="85" t="n"/>
      <c r="R570" s="85" t="n"/>
      <c r="S570" s="85" t="n"/>
      <c r="T570" s="85" t="n"/>
      <c r="U570" s="85" t="n"/>
      <c r="V570" s="85" t="n"/>
      <c r="W570" s="85" t="n"/>
      <c r="X570" s="85" t="n"/>
      <c r="Y570" s="85" t="n"/>
      <c r="Z570" s="85" t="n"/>
      <c r="AA570" s="85" t="n"/>
      <c r="AB570" s="85" t="n"/>
      <c r="AC570" s="86" t="n"/>
      <c r="AD570" s="86" t="n"/>
      <c r="AE570" s="86" t="n"/>
      <c r="AF570" s="85" t="n"/>
      <c r="AG570" s="85" t="n"/>
      <c r="AH570" s="85">
        <f>IF($A570="","",IF(AND($E570="Yes",OR($V570="No",$V570="NOT FOUND")),"YES",""))</f>
        <v/>
      </c>
      <c r="AI570" s="85">
        <f>IF($A570="","",TRIM(IF(AND($M570=0,$I570&lt;&gt;"Yes"),"T0-NoPhishResistant ","")&amp;IF($H570="No","NoMFA ","")&amp;IF(AND($M570=0,$O570="Group only"),"T0-ViaGroupOnly ","")&amp;IF($N570="Yes","BroadAzureScope ","")&amp;IF($T570="Yes","AlsoEntraRole ","")))</f>
        <v/>
      </c>
      <c r="AJ570" s="85">
        <f>IF($A570="","",IF(AD570="","Not Enrolled",IF(TODAY()&gt;AD570,"Review Overdue",IF(AD570-TODAY()&lt;=30,"Review Due Soon","Active"))))</f>
        <v/>
      </c>
      <c r="AK570" s="85">
        <f>IF($A570="","",IF(AE570="","NOT REVIEWED",IF(TODAY()-AE570&gt;90,"OVERDUE",IF(TODAY()-AE570&gt;76,"Due Soon","Current"))))</f>
        <v/>
      </c>
    </row>
    <row r="571" ht="15" customHeight="1" s="39">
      <c r="A571" s="85" t="n"/>
      <c r="B571" s="85" t="n"/>
      <c r="C571" s="85" t="n"/>
      <c r="D571" s="85" t="n"/>
      <c r="E571" s="85" t="n"/>
      <c r="F571" s="86" t="n"/>
      <c r="G571" s="86" t="n"/>
      <c r="H571" s="85" t="n"/>
      <c r="I571" s="85" t="n"/>
      <c r="J571" s="85" t="n"/>
      <c r="K571" s="85" t="n"/>
      <c r="L571" s="85" t="n"/>
      <c r="M571" s="85" t="n"/>
      <c r="N571" s="85" t="n"/>
      <c r="O571" s="85" t="n"/>
      <c r="P571" s="85" t="n"/>
      <c r="Q571" s="85" t="n"/>
      <c r="R571" s="85" t="n"/>
      <c r="S571" s="85" t="n"/>
      <c r="T571" s="85" t="n"/>
      <c r="U571" s="85" t="n"/>
      <c r="V571" s="85" t="n"/>
      <c r="W571" s="85" t="n"/>
      <c r="X571" s="85" t="n"/>
      <c r="Y571" s="85" t="n"/>
      <c r="Z571" s="85" t="n"/>
      <c r="AA571" s="85" t="n"/>
      <c r="AB571" s="85" t="n"/>
      <c r="AC571" s="86" t="n"/>
      <c r="AD571" s="86" t="n"/>
      <c r="AE571" s="86" t="n"/>
      <c r="AF571" s="85" t="n"/>
      <c r="AG571" s="85" t="n"/>
      <c r="AH571" s="85">
        <f>IF($A571="","",IF(AND($E571="Yes",OR($V571="No",$V571="NOT FOUND")),"YES",""))</f>
        <v/>
      </c>
      <c r="AI571" s="85">
        <f>IF($A571="","",TRIM(IF(AND($M571=0,$I571&lt;&gt;"Yes"),"T0-NoPhishResistant ","")&amp;IF($H571="No","NoMFA ","")&amp;IF(AND($M571=0,$O571="Group only"),"T0-ViaGroupOnly ","")&amp;IF($N571="Yes","BroadAzureScope ","")&amp;IF($T571="Yes","AlsoEntraRole ","")))</f>
        <v/>
      </c>
      <c r="AJ571" s="85">
        <f>IF($A571="","",IF(AD571="","Not Enrolled",IF(TODAY()&gt;AD571,"Review Overdue",IF(AD571-TODAY()&lt;=30,"Review Due Soon","Active"))))</f>
        <v/>
      </c>
      <c r="AK571" s="85">
        <f>IF($A571="","",IF(AE571="","NOT REVIEWED",IF(TODAY()-AE571&gt;90,"OVERDUE",IF(TODAY()-AE571&gt;76,"Due Soon","Current"))))</f>
        <v/>
      </c>
    </row>
    <row r="572" ht="15" customHeight="1" s="39">
      <c r="A572" s="85" t="n"/>
      <c r="B572" s="85" t="n"/>
      <c r="C572" s="85" t="n"/>
      <c r="D572" s="85" t="n"/>
      <c r="E572" s="85" t="n"/>
      <c r="F572" s="86" t="n"/>
      <c r="G572" s="86" t="n"/>
      <c r="H572" s="85" t="n"/>
      <c r="I572" s="85" t="n"/>
      <c r="J572" s="85" t="n"/>
      <c r="K572" s="85" t="n"/>
      <c r="L572" s="85" t="n"/>
      <c r="M572" s="85" t="n"/>
      <c r="N572" s="85" t="n"/>
      <c r="O572" s="85" t="n"/>
      <c r="P572" s="85" t="n"/>
      <c r="Q572" s="85" t="n"/>
      <c r="R572" s="85" t="n"/>
      <c r="S572" s="85" t="n"/>
      <c r="T572" s="85" t="n"/>
      <c r="U572" s="85" t="n"/>
      <c r="V572" s="85" t="n"/>
      <c r="W572" s="85" t="n"/>
      <c r="X572" s="85" t="n"/>
      <c r="Y572" s="85" t="n"/>
      <c r="Z572" s="85" t="n"/>
      <c r="AA572" s="85" t="n"/>
      <c r="AB572" s="85" t="n"/>
      <c r="AC572" s="86" t="n"/>
      <c r="AD572" s="86" t="n"/>
      <c r="AE572" s="86" t="n"/>
      <c r="AF572" s="85" t="n"/>
      <c r="AG572" s="85" t="n"/>
      <c r="AH572" s="85">
        <f>IF($A572="","",IF(AND($E572="Yes",OR($V572="No",$V572="NOT FOUND")),"YES",""))</f>
        <v/>
      </c>
      <c r="AI572" s="85">
        <f>IF($A572="","",TRIM(IF(AND($M572=0,$I572&lt;&gt;"Yes"),"T0-NoPhishResistant ","")&amp;IF($H572="No","NoMFA ","")&amp;IF(AND($M572=0,$O572="Group only"),"T0-ViaGroupOnly ","")&amp;IF($N572="Yes","BroadAzureScope ","")&amp;IF($T572="Yes","AlsoEntraRole ","")))</f>
        <v/>
      </c>
      <c r="AJ572" s="85">
        <f>IF($A572="","",IF(AD572="","Not Enrolled",IF(TODAY()&gt;AD572,"Review Overdue",IF(AD572-TODAY()&lt;=30,"Review Due Soon","Active"))))</f>
        <v/>
      </c>
      <c r="AK572" s="85">
        <f>IF($A572="","",IF(AE572="","NOT REVIEWED",IF(TODAY()-AE572&gt;90,"OVERDUE",IF(TODAY()-AE572&gt;76,"Due Soon","Current"))))</f>
        <v/>
      </c>
    </row>
    <row r="573" ht="15" customHeight="1" s="39">
      <c r="A573" s="85" t="n"/>
      <c r="B573" s="85" t="n"/>
      <c r="C573" s="85" t="n"/>
      <c r="D573" s="85" t="n"/>
      <c r="E573" s="85" t="n"/>
      <c r="F573" s="86" t="n"/>
      <c r="G573" s="86" t="n"/>
      <c r="H573" s="85" t="n"/>
      <c r="I573" s="85" t="n"/>
      <c r="J573" s="85" t="n"/>
      <c r="K573" s="85" t="n"/>
      <c r="L573" s="85" t="n"/>
      <c r="M573" s="85" t="n"/>
      <c r="N573" s="85" t="n"/>
      <c r="O573" s="85" t="n"/>
      <c r="P573" s="85" t="n"/>
      <c r="Q573" s="85" t="n"/>
      <c r="R573" s="85" t="n"/>
      <c r="S573" s="85" t="n"/>
      <c r="T573" s="85" t="n"/>
      <c r="U573" s="85" t="n"/>
      <c r="V573" s="85" t="n"/>
      <c r="W573" s="85" t="n"/>
      <c r="X573" s="85" t="n"/>
      <c r="Y573" s="85" t="n"/>
      <c r="Z573" s="85" t="n"/>
      <c r="AA573" s="85" t="n"/>
      <c r="AB573" s="85" t="n"/>
      <c r="AC573" s="86" t="n"/>
      <c r="AD573" s="86" t="n"/>
      <c r="AE573" s="86" t="n"/>
      <c r="AF573" s="85" t="n"/>
      <c r="AG573" s="85" t="n"/>
      <c r="AH573" s="85">
        <f>IF($A573="","",IF(AND($E573="Yes",OR($V573="No",$V573="NOT FOUND")),"YES",""))</f>
        <v/>
      </c>
      <c r="AI573" s="85">
        <f>IF($A573="","",TRIM(IF(AND($M573=0,$I573&lt;&gt;"Yes"),"T0-NoPhishResistant ","")&amp;IF($H573="No","NoMFA ","")&amp;IF(AND($M573=0,$O573="Group only"),"T0-ViaGroupOnly ","")&amp;IF($N573="Yes","BroadAzureScope ","")&amp;IF($T573="Yes","AlsoEntraRole ","")))</f>
        <v/>
      </c>
      <c r="AJ573" s="85">
        <f>IF($A573="","",IF(AD573="","Not Enrolled",IF(TODAY()&gt;AD573,"Review Overdue",IF(AD573-TODAY()&lt;=30,"Review Due Soon","Active"))))</f>
        <v/>
      </c>
      <c r="AK573" s="85">
        <f>IF($A573="","",IF(AE573="","NOT REVIEWED",IF(TODAY()-AE573&gt;90,"OVERDUE",IF(TODAY()-AE573&gt;76,"Due Soon","Current"))))</f>
        <v/>
      </c>
    </row>
    <row r="574" ht="15" customHeight="1" s="39">
      <c r="A574" s="85" t="n"/>
      <c r="B574" s="85" t="n"/>
      <c r="C574" s="85" t="n"/>
      <c r="D574" s="85" t="n"/>
      <c r="E574" s="85" t="n"/>
      <c r="F574" s="86" t="n"/>
      <c r="G574" s="86" t="n"/>
      <c r="H574" s="85" t="n"/>
      <c r="I574" s="85" t="n"/>
      <c r="J574" s="85" t="n"/>
      <c r="K574" s="85" t="n"/>
      <c r="L574" s="85" t="n"/>
      <c r="M574" s="85" t="n"/>
      <c r="N574" s="85" t="n"/>
      <c r="O574" s="85" t="n"/>
      <c r="P574" s="85" t="n"/>
      <c r="Q574" s="85" t="n"/>
      <c r="R574" s="85" t="n"/>
      <c r="S574" s="85" t="n"/>
      <c r="T574" s="85" t="n"/>
      <c r="U574" s="85" t="n"/>
      <c r="V574" s="85" t="n"/>
      <c r="W574" s="85" t="n"/>
      <c r="X574" s="85" t="n"/>
      <c r="Y574" s="85" t="n"/>
      <c r="Z574" s="85" t="n"/>
      <c r="AA574" s="85" t="n"/>
      <c r="AB574" s="85" t="n"/>
      <c r="AC574" s="86" t="n"/>
      <c r="AD574" s="86" t="n"/>
      <c r="AE574" s="86" t="n"/>
      <c r="AF574" s="85" t="n"/>
      <c r="AG574" s="85" t="n"/>
      <c r="AH574" s="85">
        <f>IF($A574="","",IF(AND($E574="Yes",OR($V574="No",$V574="NOT FOUND")),"YES",""))</f>
        <v/>
      </c>
      <c r="AI574" s="85">
        <f>IF($A574="","",TRIM(IF(AND($M574=0,$I574&lt;&gt;"Yes"),"T0-NoPhishResistant ","")&amp;IF($H574="No","NoMFA ","")&amp;IF(AND($M574=0,$O574="Group only"),"T0-ViaGroupOnly ","")&amp;IF($N574="Yes","BroadAzureScope ","")&amp;IF($T574="Yes","AlsoEntraRole ","")))</f>
        <v/>
      </c>
      <c r="AJ574" s="85">
        <f>IF($A574="","",IF(AD574="","Not Enrolled",IF(TODAY()&gt;AD574,"Review Overdue",IF(AD574-TODAY()&lt;=30,"Review Due Soon","Active"))))</f>
        <v/>
      </c>
      <c r="AK574" s="85">
        <f>IF($A574="","",IF(AE574="","NOT REVIEWED",IF(TODAY()-AE574&gt;90,"OVERDUE",IF(TODAY()-AE574&gt;76,"Due Soon","Current"))))</f>
        <v/>
      </c>
    </row>
    <row r="575" ht="15" customHeight="1" s="39">
      <c r="A575" s="85" t="n"/>
      <c r="B575" s="85" t="n"/>
      <c r="C575" s="85" t="n"/>
      <c r="D575" s="85" t="n"/>
      <c r="E575" s="85" t="n"/>
      <c r="F575" s="86" t="n"/>
      <c r="G575" s="86" t="n"/>
      <c r="H575" s="85" t="n"/>
      <c r="I575" s="85" t="n"/>
      <c r="J575" s="85" t="n"/>
      <c r="K575" s="85" t="n"/>
      <c r="L575" s="85" t="n"/>
      <c r="M575" s="85" t="n"/>
      <c r="N575" s="85" t="n"/>
      <c r="O575" s="85" t="n"/>
      <c r="P575" s="85" t="n"/>
      <c r="Q575" s="85" t="n"/>
      <c r="R575" s="85" t="n"/>
      <c r="S575" s="85" t="n"/>
      <c r="T575" s="85" t="n"/>
      <c r="U575" s="85" t="n"/>
      <c r="V575" s="85" t="n"/>
      <c r="W575" s="85" t="n"/>
      <c r="X575" s="85" t="n"/>
      <c r="Y575" s="85" t="n"/>
      <c r="Z575" s="85" t="n"/>
      <c r="AA575" s="85" t="n"/>
      <c r="AB575" s="85" t="n"/>
      <c r="AC575" s="86" t="n"/>
      <c r="AD575" s="86" t="n"/>
      <c r="AE575" s="86" t="n"/>
      <c r="AF575" s="85" t="n"/>
      <c r="AG575" s="85" t="n"/>
      <c r="AH575" s="85">
        <f>IF($A575="","",IF(AND($E575="Yes",OR($V575="No",$V575="NOT FOUND")),"YES",""))</f>
        <v/>
      </c>
      <c r="AI575" s="85">
        <f>IF($A575="","",TRIM(IF(AND($M575=0,$I575&lt;&gt;"Yes"),"T0-NoPhishResistant ","")&amp;IF($H575="No","NoMFA ","")&amp;IF(AND($M575=0,$O575="Group only"),"T0-ViaGroupOnly ","")&amp;IF($N575="Yes","BroadAzureScope ","")&amp;IF($T575="Yes","AlsoEntraRole ","")))</f>
        <v/>
      </c>
      <c r="AJ575" s="85">
        <f>IF($A575="","",IF(AD575="","Not Enrolled",IF(TODAY()&gt;AD575,"Review Overdue",IF(AD575-TODAY()&lt;=30,"Review Due Soon","Active"))))</f>
        <v/>
      </c>
      <c r="AK575" s="85">
        <f>IF($A575="","",IF(AE575="","NOT REVIEWED",IF(TODAY()-AE575&gt;90,"OVERDUE",IF(TODAY()-AE575&gt;76,"Due Soon","Current"))))</f>
        <v/>
      </c>
    </row>
    <row r="576" ht="15" customHeight="1" s="39">
      <c r="A576" s="85" t="n"/>
      <c r="B576" s="85" t="n"/>
      <c r="C576" s="85" t="n"/>
      <c r="D576" s="85" t="n"/>
      <c r="E576" s="85" t="n"/>
      <c r="F576" s="86" t="n"/>
      <c r="G576" s="86" t="n"/>
      <c r="H576" s="85" t="n"/>
      <c r="I576" s="85" t="n"/>
      <c r="J576" s="85" t="n"/>
      <c r="K576" s="85" t="n"/>
      <c r="L576" s="85" t="n"/>
      <c r="M576" s="85" t="n"/>
      <c r="N576" s="85" t="n"/>
      <c r="O576" s="85" t="n"/>
      <c r="P576" s="85" t="n"/>
      <c r="Q576" s="85" t="n"/>
      <c r="R576" s="85" t="n"/>
      <c r="S576" s="85" t="n"/>
      <c r="T576" s="85" t="n"/>
      <c r="U576" s="85" t="n"/>
      <c r="V576" s="85" t="n"/>
      <c r="W576" s="85" t="n"/>
      <c r="X576" s="85" t="n"/>
      <c r="Y576" s="85" t="n"/>
      <c r="Z576" s="85" t="n"/>
      <c r="AA576" s="85" t="n"/>
      <c r="AB576" s="85" t="n"/>
      <c r="AC576" s="86" t="n"/>
      <c r="AD576" s="86" t="n"/>
      <c r="AE576" s="86" t="n"/>
      <c r="AF576" s="85" t="n"/>
      <c r="AG576" s="85" t="n"/>
      <c r="AH576" s="85">
        <f>IF($A576="","",IF(AND($E576="Yes",OR($V576="No",$V576="NOT FOUND")),"YES",""))</f>
        <v/>
      </c>
      <c r="AI576" s="85">
        <f>IF($A576="","",TRIM(IF(AND($M576=0,$I576&lt;&gt;"Yes"),"T0-NoPhishResistant ","")&amp;IF($H576="No","NoMFA ","")&amp;IF(AND($M576=0,$O576="Group only"),"T0-ViaGroupOnly ","")&amp;IF($N576="Yes","BroadAzureScope ","")&amp;IF($T576="Yes","AlsoEntraRole ","")))</f>
        <v/>
      </c>
      <c r="AJ576" s="85">
        <f>IF($A576="","",IF(AD576="","Not Enrolled",IF(TODAY()&gt;AD576,"Review Overdue",IF(AD576-TODAY()&lt;=30,"Review Due Soon","Active"))))</f>
        <v/>
      </c>
      <c r="AK576" s="85">
        <f>IF($A576="","",IF(AE576="","NOT REVIEWED",IF(TODAY()-AE576&gt;90,"OVERDUE",IF(TODAY()-AE576&gt;76,"Due Soon","Current"))))</f>
        <v/>
      </c>
    </row>
    <row r="577" ht="15" customHeight="1" s="39">
      <c r="A577" s="85" t="n"/>
      <c r="B577" s="85" t="n"/>
      <c r="C577" s="85" t="n"/>
      <c r="D577" s="85" t="n"/>
      <c r="E577" s="85" t="n"/>
      <c r="F577" s="86" t="n"/>
      <c r="G577" s="86" t="n"/>
      <c r="H577" s="85" t="n"/>
      <c r="I577" s="85" t="n"/>
      <c r="J577" s="85" t="n"/>
      <c r="K577" s="85" t="n"/>
      <c r="L577" s="85" t="n"/>
      <c r="M577" s="85" t="n"/>
      <c r="N577" s="85" t="n"/>
      <c r="O577" s="85" t="n"/>
      <c r="P577" s="85" t="n"/>
      <c r="Q577" s="85" t="n"/>
      <c r="R577" s="85" t="n"/>
      <c r="S577" s="85" t="n"/>
      <c r="T577" s="85" t="n"/>
      <c r="U577" s="85" t="n"/>
      <c r="V577" s="85" t="n"/>
      <c r="W577" s="85" t="n"/>
      <c r="X577" s="85" t="n"/>
      <c r="Y577" s="85" t="n"/>
      <c r="Z577" s="85" t="n"/>
      <c r="AA577" s="85" t="n"/>
      <c r="AB577" s="85" t="n"/>
      <c r="AC577" s="86" t="n"/>
      <c r="AD577" s="86" t="n"/>
      <c r="AE577" s="86" t="n"/>
      <c r="AF577" s="85" t="n"/>
      <c r="AG577" s="85" t="n"/>
      <c r="AH577" s="85">
        <f>IF($A577="","",IF(AND($E577="Yes",OR($V577="No",$V577="NOT FOUND")),"YES",""))</f>
        <v/>
      </c>
      <c r="AI577" s="85">
        <f>IF($A577="","",TRIM(IF(AND($M577=0,$I577&lt;&gt;"Yes"),"T0-NoPhishResistant ","")&amp;IF($H577="No","NoMFA ","")&amp;IF(AND($M577=0,$O577="Group only"),"T0-ViaGroupOnly ","")&amp;IF($N577="Yes","BroadAzureScope ","")&amp;IF($T577="Yes","AlsoEntraRole ","")))</f>
        <v/>
      </c>
      <c r="AJ577" s="85">
        <f>IF($A577="","",IF(AD577="","Not Enrolled",IF(TODAY()&gt;AD577,"Review Overdue",IF(AD577-TODAY()&lt;=30,"Review Due Soon","Active"))))</f>
        <v/>
      </c>
      <c r="AK577" s="85">
        <f>IF($A577="","",IF(AE577="","NOT REVIEWED",IF(TODAY()-AE577&gt;90,"OVERDUE",IF(TODAY()-AE577&gt;76,"Due Soon","Current"))))</f>
        <v/>
      </c>
    </row>
    <row r="578" ht="15" customHeight="1" s="39">
      <c r="A578" s="85" t="n"/>
      <c r="B578" s="85" t="n"/>
      <c r="C578" s="85" t="n"/>
      <c r="D578" s="85" t="n"/>
      <c r="E578" s="85" t="n"/>
      <c r="F578" s="86" t="n"/>
      <c r="G578" s="86" t="n"/>
      <c r="H578" s="85" t="n"/>
      <c r="I578" s="85" t="n"/>
      <c r="J578" s="85" t="n"/>
      <c r="K578" s="85" t="n"/>
      <c r="L578" s="85" t="n"/>
      <c r="M578" s="85" t="n"/>
      <c r="N578" s="85" t="n"/>
      <c r="O578" s="85" t="n"/>
      <c r="P578" s="85" t="n"/>
      <c r="Q578" s="85" t="n"/>
      <c r="R578" s="85" t="n"/>
      <c r="S578" s="85" t="n"/>
      <c r="T578" s="85" t="n"/>
      <c r="U578" s="85" t="n"/>
      <c r="V578" s="85" t="n"/>
      <c r="W578" s="85" t="n"/>
      <c r="X578" s="85" t="n"/>
      <c r="Y578" s="85" t="n"/>
      <c r="Z578" s="85" t="n"/>
      <c r="AA578" s="85" t="n"/>
      <c r="AB578" s="85" t="n"/>
      <c r="AC578" s="86" t="n"/>
      <c r="AD578" s="86" t="n"/>
      <c r="AE578" s="86" t="n"/>
      <c r="AF578" s="85" t="n"/>
      <c r="AG578" s="85" t="n"/>
      <c r="AH578" s="85">
        <f>IF($A578="","",IF(AND($E578="Yes",OR($V578="No",$V578="NOT FOUND")),"YES",""))</f>
        <v/>
      </c>
      <c r="AI578" s="85">
        <f>IF($A578="","",TRIM(IF(AND($M578=0,$I578&lt;&gt;"Yes"),"T0-NoPhishResistant ","")&amp;IF($H578="No","NoMFA ","")&amp;IF(AND($M578=0,$O578="Group only"),"T0-ViaGroupOnly ","")&amp;IF($N578="Yes","BroadAzureScope ","")&amp;IF($T578="Yes","AlsoEntraRole ","")))</f>
        <v/>
      </c>
      <c r="AJ578" s="85">
        <f>IF($A578="","",IF(AD578="","Not Enrolled",IF(TODAY()&gt;AD578,"Review Overdue",IF(AD578-TODAY()&lt;=30,"Review Due Soon","Active"))))</f>
        <v/>
      </c>
      <c r="AK578" s="85">
        <f>IF($A578="","",IF(AE578="","NOT REVIEWED",IF(TODAY()-AE578&gt;90,"OVERDUE",IF(TODAY()-AE578&gt;76,"Due Soon","Current"))))</f>
        <v/>
      </c>
    </row>
    <row r="579" ht="15" customHeight="1" s="39">
      <c r="A579" s="85" t="n"/>
      <c r="B579" s="85" t="n"/>
      <c r="C579" s="85" t="n"/>
      <c r="D579" s="85" t="n"/>
      <c r="E579" s="85" t="n"/>
      <c r="F579" s="86" t="n"/>
      <c r="G579" s="86" t="n"/>
      <c r="H579" s="85" t="n"/>
      <c r="I579" s="85" t="n"/>
      <c r="J579" s="85" t="n"/>
      <c r="K579" s="85" t="n"/>
      <c r="L579" s="85" t="n"/>
      <c r="M579" s="85" t="n"/>
      <c r="N579" s="85" t="n"/>
      <c r="O579" s="85" t="n"/>
      <c r="P579" s="85" t="n"/>
      <c r="Q579" s="85" t="n"/>
      <c r="R579" s="85" t="n"/>
      <c r="S579" s="85" t="n"/>
      <c r="T579" s="85" t="n"/>
      <c r="U579" s="85" t="n"/>
      <c r="V579" s="85" t="n"/>
      <c r="W579" s="85" t="n"/>
      <c r="X579" s="85" t="n"/>
      <c r="Y579" s="85" t="n"/>
      <c r="Z579" s="85" t="n"/>
      <c r="AA579" s="85" t="n"/>
      <c r="AB579" s="85" t="n"/>
      <c r="AC579" s="86" t="n"/>
      <c r="AD579" s="86" t="n"/>
      <c r="AE579" s="86" t="n"/>
      <c r="AF579" s="85" t="n"/>
      <c r="AG579" s="85" t="n"/>
      <c r="AH579" s="85">
        <f>IF($A579="","",IF(AND($E579="Yes",OR($V579="No",$V579="NOT FOUND")),"YES",""))</f>
        <v/>
      </c>
      <c r="AI579" s="85">
        <f>IF($A579="","",TRIM(IF(AND($M579=0,$I579&lt;&gt;"Yes"),"T0-NoPhishResistant ","")&amp;IF($H579="No","NoMFA ","")&amp;IF(AND($M579=0,$O579="Group only"),"T0-ViaGroupOnly ","")&amp;IF($N579="Yes","BroadAzureScope ","")&amp;IF($T579="Yes","AlsoEntraRole ","")))</f>
        <v/>
      </c>
      <c r="AJ579" s="85">
        <f>IF($A579="","",IF(AD579="","Not Enrolled",IF(TODAY()&gt;AD579,"Review Overdue",IF(AD579-TODAY()&lt;=30,"Review Due Soon","Active"))))</f>
        <v/>
      </c>
      <c r="AK579" s="85">
        <f>IF($A579="","",IF(AE579="","NOT REVIEWED",IF(TODAY()-AE579&gt;90,"OVERDUE",IF(TODAY()-AE579&gt;76,"Due Soon","Current"))))</f>
        <v/>
      </c>
    </row>
    <row r="580" ht="15" customHeight="1" s="39">
      <c r="A580" s="85" t="n"/>
      <c r="B580" s="85" t="n"/>
      <c r="C580" s="85" t="n"/>
      <c r="D580" s="85" t="n"/>
      <c r="E580" s="85" t="n"/>
      <c r="F580" s="86" t="n"/>
      <c r="G580" s="86" t="n"/>
      <c r="H580" s="85" t="n"/>
      <c r="I580" s="85" t="n"/>
      <c r="J580" s="85" t="n"/>
      <c r="K580" s="85" t="n"/>
      <c r="L580" s="85" t="n"/>
      <c r="M580" s="85" t="n"/>
      <c r="N580" s="85" t="n"/>
      <c r="O580" s="85" t="n"/>
      <c r="P580" s="85" t="n"/>
      <c r="Q580" s="85" t="n"/>
      <c r="R580" s="85" t="n"/>
      <c r="S580" s="85" t="n"/>
      <c r="T580" s="85" t="n"/>
      <c r="U580" s="85" t="n"/>
      <c r="V580" s="85" t="n"/>
      <c r="W580" s="85" t="n"/>
      <c r="X580" s="85" t="n"/>
      <c r="Y580" s="85" t="n"/>
      <c r="Z580" s="85" t="n"/>
      <c r="AA580" s="85" t="n"/>
      <c r="AB580" s="85" t="n"/>
      <c r="AC580" s="86" t="n"/>
      <c r="AD580" s="86" t="n"/>
      <c r="AE580" s="86" t="n"/>
      <c r="AF580" s="85" t="n"/>
      <c r="AG580" s="85" t="n"/>
      <c r="AH580" s="85">
        <f>IF($A580="","",IF(AND($E580="Yes",OR($V580="No",$V580="NOT FOUND")),"YES",""))</f>
        <v/>
      </c>
      <c r="AI580" s="85">
        <f>IF($A580="","",TRIM(IF(AND($M580=0,$I580&lt;&gt;"Yes"),"T0-NoPhishResistant ","")&amp;IF($H580="No","NoMFA ","")&amp;IF(AND($M580=0,$O580="Group only"),"T0-ViaGroupOnly ","")&amp;IF($N580="Yes","BroadAzureScope ","")&amp;IF($T580="Yes","AlsoEntraRole ","")))</f>
        <v/>
      </c>
      <c r="AJ580" s="85">
        <f>IF($A580="","",IF(AD580="","Not Enrolled",IF(TODAY()&gt;AD580,"Review Overdue",IF(AD580-TODAY()&lt;=30,"Review Due Soon","Active"))))</f>
        <v/>
      </c>
      <c r="AK580" s="85">
        <f>IF($A580="","",IF(AE580="","NOT REVIEWED",IF(TODAY()-AE580&gt;90,"OVERDUE",IF(TODAY()-AE580&gt;76,"Due Soon","Current"))))</f>
        <v/>
      </c>
    </row>
    <row r="581" ht="15" customHeight="1" s="39">
      <c r="A581" s="85" t="n"/>
      <c r="B581" s="85" t="n"/>
      <c r="C581" s="85" t="n"/>
      <c r="D581" s="85" t="n"/>
      <c r="E581" s="85" t="n"/>
      <c r="F581" s="86" t="n"/>
      <c r="G581" s="86" t="n"/>
      <c r="H581" s="85" t="n"/>
      <c r="I581" s="85" t="n"/>
      <c r="J581" s="85" t="n"/>
      <c r="K581" s="85" t="n"/>
      <c r="L581" s="85" t="n"/>
      <c r="M581" s="85" t="n"/>
      <c r="N581" s="85" t="n"/>
      <c r="O581" s="85" t="n"/>
      <c r="P581" s="85" t="n"/>
      <c r="Q581" s="85" t="n"/>
      <c r="R581" s="85" t="n"/>
      <c r="S581" s="85" t="n"/>
      <c r="T581" s="85" t="n"/>
      <c r="U581" s="85" t="n"/>
      <c r="V581" s="85" t="n"/>
      <c r="W581" s="85" t="n"/>
      <c r="X581" s="85" t="n"/>
      <c r="Y581" s="85" t="n"/>
      <c r="Z581" s="85" t="n"/>
      <c r="AA581" s="85" t="n"/>
      <c r="AB581" s="85" t="n"/>
      <c r="AC581" s="86" t="n"/>
      <c r="AD581" s="86" t="n"/>
      <c r="AE581" s="86" t="n"/>
      <c r="AF581" s="85" t="n"/>
      <c r="AG581" s="85" t="n"/>
      <c r="AH581" s="85">
        <f>IF($A581="","",IF(AND($E581="Yes",OR($V581="No",$V581="NOT FOUND")),"YES",""))</f>
        <v/>
      </c>
      <c r="AI581" s="85">
        <f>IF($A581="","",TRIM(IF(AND($M581=0,$I581&lt;&gt;"Yes"),"T0-NoPhishResistant ","")&amp;IF($H581="No","NoMFA ","")&amp;IF(AND($M581=0,$O581="Group only"),"T0-ViaGroupOnly ","")&amp;IF($N581="Yes","BroadAzureScope ","")&amp;IF($T581="Yes","AlsoEntraRole ","")))</f>
        <v/>
      </c>
      <c r="AJ581" s="85">
        <f>IF($A581="","",IF(AD581="","Not Enrolled",IF(TODAY()&gt;AD581,"Review Overdue",IF(AD581-TODAY()&lt;=30,"Review Due Soon","Active"))))</f>
        <v/>
      </c>
      <c r="AK581" s="85">
        <f>IF($A581="","",IF(AE581="","NOT REVIEWED",IF(TODAY()-AE581&gt;90,"OVERDUE",IF(TODAY()-AE581&gt;76,"Due Soon","Current"))))</f>
        <v/>
      </c>
    </row>
    <row r="582" ht="15" customHeight="1" s="39">
      <c r="A582" s="85" t="n"/>
      <c r="B582" s="85" t="n"/>
      <c r="C582" s="85" t="n"/>
      <c r="D582" s="85" t="n"/>
      <c r="E582" s="85" t="n"/>
      <c r="F582" s="86" t="n"/>
      <c r="G582" s="86" t="n"/>
      <c r="H582" s="85" t="n"/>
      <c r="I582" s="85" t="n"/>
      <c r="J582" s="85" t="n"/>
      <c r="K582" s="85" t="n"/>
      <c r="L582" s="85" t="n"/>
      <c r="M582" s="85" t="n"/>
      <c r="N582" s="85" t="n"/>
      <c r="O582" s="85" t="n"/>
      <c r="P582" s="85" t="n"/>
      <c r="Q582" s="85" t="n"/>
      <c r="R582" s="85" t="n"/>
      <c r="S582" s="85" t="n"/>
      <c r="T582" s="85" t="n"/>
      <c r="U582" s="85" t="n"/>
      <c r="V582" s="85" t="n"/>
      <c r="W582" s="85" t="n"/>
      <c r="X582" s="85" t="n"/>
      <c r="Y582" s="85" t="n"/>
      <c r="Z582" s="85" t="n"/>
      <c r="AA582" s="85" t="n"/>
      <c r="AB582" s="85" t="n"/>
      <c r="AC582" s="86" t="n"/>
      <c r="AD582" s="86" t="n"/>
      <c r="AE582" s="86" t="n"/>
      <c r="AF582" s="85" t="n"/>
      <c r="AG582" s="85" t="n"/>
      <c r="AH582" s="85">
        <f>IF($A582="","",IF(AND($E582="Yes",OR($V582="No",$V582="NOT FOUND")),"YES",""))</f>
        <v/>
      </c>
      <c r="AI582" s="85">
        <f>IF($A582="","",TRIM(IF(AND($M582=0,$I582&lt;&gt;"Yes"),"T0-NoPhishResistant ","")&amp;IF($H582="No","NoMFA ","")&amp;IF(AND($M582=0,$O582="Group only"),"T0-ViaGroupOnly ","")&amp;IF($N582="Yes","BroadAzureScope ","")&amp;IF($T582="Yes","AlsoEntraRole ","")))</f>
        <v/>
      </c>
      <c r="AJ582" s="85">
        <f>IF($A582="","",IF(AD582="","Not Enrolled",IF(TODAY()&gt;AD582,"Review Overdue",IF(AD582-TODAY()&lt;=30,"Review Due Soon","Active"))))</f>
        <v/>
      </c>
      <c r="AK582" s="85">
        <f>IF($A582="","",IF(AE582="","NOT REVIEWED",IF(TODAY()-AE582&gt;90,"OVERDUE",IF(TODAY()-AE582&gt;76,"Due Soon","Current"))))</f>
        <v/>
      </c>
    </row>
    <row r="583" ht="15" customHeight="1" s="39">
      <c r="A583" s="85" t="n"/>
      <c r="B583" s="85" t="n"/>
      <c r="C583" s="85" t="n"/>
      <c r="D583" s="85" t="n"/>
      <c r="E583" s="85" t="n"/>
      <c r="F583" s="86" t="n"/>
      <c r="G583" s="86" t="n"/>
      <c r="H583" s="85" t="n"/>
      <c r="I583" s="85" t="n"/>
      <c r="J583" s="85" t="n"/>
      <c r="K583" s="85" t="n"/>
      <c r="L583" s="85" t="n"/>
      <c r="M583" s="85" t="n"/>
      <c r="N583" s="85" t="n"/>
      <c r="O583" s="85" t="n"/>
      <c r="P583" s="85" t="n"/>
      <c r="Q583" s="85" t="n"/>
      <c r="R583" s="85" t="n"/>
      <c r="S583" s="85" t="n"/>
      <c r="T583" s="85" t="n"/>
      <c r="U583" s="85" t="n"/>
      <c r="V583" s="85" t="n"/>
      <c r="W583" s="85" t="n"/>
      <c r="X583" s="85" t="n"/>
      <c r="Y583" s="85" t="n"/>
      <c r="Z583" s="85" t="n"/>
      <c r="AA583" s="85" t="n"/>
      <c r="AB583" s="85" t="n"/>
      <c r="AC583" s="86" t="n"/>
      <c r="AD583" s="86" t="n"/>
      <c r="AE583" s="86" t="n"/>
      <c r="AF583" s="85" t="n"/>
      <c r="AG583" s="85" t="n"/>
      <c r="AH583" s="85">
        <f>IF($A583="","",IF(AND($E583="Yes",OR($V583="No",$V583="NOT FOUND")),"YES",""))</f>
        <v/>
      </c>
      <c r="AI583" s="85">
        <f>IF($A583="","",TRIM(IF(AND($M583=0,$I583&lt;&gt;"Yes"),"T0-NoPhishResistant ","")&amp;IF($H583="No","NoMFA ","")&amp;IF(AND($M583=0,$O583="Group only"),"T0-ViaGroupOnly ","")&amp;IF($N583="Yes","BroadAzureScope ","")&amp;IF($T583="Yes","AlsoEntraRole ","")))</f>
        <v/>
      </c>
      <c r="AJ583" s="85">
        <f>IF($A583="","",IF(AD583="","Not Enrolled",IF(TODAY()&gt;AD583,"Review Overdue",IF(AD583-TODAY()&lt;=30,"Review Due Soon","Active"))))</f>
        <v/>
      </c>
      <c r="AK583" s="85">
        <f>IF($A583="","",IF(AE583="","NOT REVIEWED",IF(TODAY()-AE583&gt;90,"OVERDUE",IF(TODAY()-AE583&gt;76,"Due Soon","Current"))))</f>
        <v/>
      </c>
    </row>
    <row r="584" ht="15" customHeight="1" s="39">
      <c r="A584" s="85" t="n"/>
      <c r="B584" s="85" t="n"/>
      <c r="C584" s="85" t="n"/>
      <c r="D584" s="85" t="n"/>
      <c r="E584" s="85" t="n"/>
      <c r="F584" s="86" t="n"/>
      <c r="G584" s="86" t="n"/>
      <c r="H584" s="85" t="n"/>
      <c r="I584" s="85" t="n"/>
      <c r="J584" s="85" t="n"/>
      <c r="K584" s="85" t="n"/>
      <c r="L584" s="85" t="n"/>
      <c r="M584" s="85" t="n"/>
      <c r="N584" s="85" t="n"/>
      <c r="O584" s="85" t="n"/>
      <c r="P584" s="85" t="n"/>
      <c r="Q584" s="85" t="n"/>
      <c r="R584" s="85" t="n"/>
      <c r="S584" s="85" t="n"/>
      <c r="T584" s="85" t="n"/>
      <c r="U584" s="85" t="n"/>
      <c r="V584" s="85" t="n"/>
      <c r="W584" s="85" t="n"/>
      <c r="X584" s="85" t="n"/>
      <c r="Y584" s="85" t="n"/>
      <c r="Z584" s="85" t="n"/>
      <c r="AA584" s="85" t="n"/>
      <c r="AB584" s="85" t="n"/>
      <c r="AC584" s="86" t="n"/>
      <c r="AD584" s="86" t="n"/>
      <c r="AE584" s="86" t="n"/>
      <c r="AF584" s="85" t="n"/>
      <c r="AG584" s="85" t="n"/>
      <c r="AH584" s="85">
        <f>IF($A584="","",IF(AND($E584="Yes",OR($V584="No",$V584="NOT FOUND")),"YES",""))</f>
        <v/>
      </c>
      <c r="AI584" s="85">
        <f>IF($A584="","",TRIM(IF(AND($M584=0,$I584&lt;&gt;"Yes"),"T0-NoPhishResistant ","")&amp;IF($H584="No","NoMFA ","")&amp;IF(AND($M584=0,$O584="Group only"),"T0-ViaGroupOnly ","")&amp;IF($N584="Yes","BroadAzureScope ","")&amp;IF($T584="Yes","AlsoEntraRole ","")))</f>
        <v/>
      </c>
      <c r="AJ584" s="85">
        <f>IF($A584="","",IF(AD584="","Not Enrolled",IF(TODAY()&gt;AD584,"Review Overdue",IF(AD584-TODAY()&lt;=30,"Review Due Soon","Active"))))</f>
        <v/>
      </c>
      <c r="AK584" s="85">
        <f>IF($A584="","",IF(AE584="","NOT REVIEWED",IF(TODAY()-AE584&gt;90,"OVERDUE",IF(TODAY()-AE584&gt;76,"Due Soon","Current"))))</f>
        <v/>
      </c>
    </row>
    <row r="585" ht="15" customHeight="1" s="39">
      <c r="A585" s="85" t="n"/>
      <c r="B585" s="85" t="n"/>
      <c r="C585" s="85" t="n"/>
      <c r="D585" s="85" t="n"/>
      <c r="E585" s="85" t="n"/>
      <c r="F585" s="86" t="n"/>
      <c r="G585" s="86" t="n"/>
      <c r="H585" s="85" t="n"/>
      <c r="I585" s="85" t="n"/>
      <c r="J585" s="85" t="n"/>
      <c r="K585" s="85" t="n"/>
      <c r="L585" s="85" t="n"/>
      <c r="M585" s="85" t="n"/>
      <c r="N585" s="85" t="n"/>
      <c r="O585" s="85" t="n"/>
      <c r="P585" s="85" t="n"/>
      <c r="Q585" s="85" t="n"/>
      <c r="R585" s="85" t="n"/>
      <c r="S585" s="85" t="n"/>
      <c r="T585" s="85" t="n"/>
      <c r="U585" s="85" t="n"/>
      <c r="V585" s="85" t="n"/>
      <c r="W585" s="85" t="n"/>
      <c r="X585" s="85" t="n"/>
      <c r="Y585" s="85" t="n"/>
      <c r="Z585" s="85" t="n"/>
      <c r="AA585" s="85" t="n"/>
      <c r="AB585" s="85" t="n"/>
      <c r="AC585" s="86" t="n"/>
      <c r="AD585" s="86" t="n"/>
      <c r="AE585" s="86" t="n"/>
      <c r="AF585" s="85" t="n"/>
      <c r="AG585" s="85" t="n"/>
      <c r="AH585" s="85">
        <f>IF($A585="","",IF(AND($E585="Yes",OR($V585="No",$V585="NOT FOUND")),"YES",""))</f>
        <v/>
      </c>
      <c r="AI585" s="85">
        <f>IF($A585="","",TRIM(IF(AND($M585=0,$I585&lt;&gt;"Yes"),"T0-NoPhishResistant ","")&amp;IF($H585="No","NoMFA ","")&amp;IF(AND($M585=0,$O585="Group only"),"T0-ViaGroupOnly ","")&amp;IF($N585="Yes","BroadAzureScope ","")&amp;IF($T585="Yes","AlsoEntraRole ","")))</f>
        <v/>
      </c>
      <c r="AJ585" s="85">
        <f>IF($A585="","",IF(AD585="","Not Enrolled",IF(TODAY()&gt;AD585,"Review Overdue",IF(AD585-TODAY()&lt;=30,"Review Due Soon","Active"))))</f>
        <v/>
      </c>
      <c r="AK585" s="85">
        <f>IF($A585="","",IF(AE585="","NOT REVIEWED",IF(TODAY()-AE585&gt;90,"OVERDUE",IF(TODAY()-AE585&gt;76,"Due Soon","Current"))))</f>
        <v/>
      </c>
    </row>
    <row r="586" ht="15" customHeight="1" s="39">
      <c r="A586" s="85" t="n"/>
      <c r="B586" s="85" t="n"/>
      <c r="C586" s="85" t="n"/>
      <c r="D586" s="85" t="n"/>
      <c r="E586" s="85" t="n"/>
      <c r="F586" s="86" t="n"/>
      <c r="G586" s="86" t="n"/>
      <c r="H586" s="85" t="n"/>
      <c r="I586" s="85" t="n"/>
      <c r="J586" s="85" t="n"/>
      <c r="K586" s="85" t="n"/>
      <c r="L586" s="85" t="n"/>
      <c r="M586" s="85" t="n"/>
      <c r="N586" s="85" t="n"/>
      <c r="O586" s="85" t="n"/>
      <c r="P586" s="85" t="n"/>
      <c r="Q586" s="85" t="n"/>
      <c r="R586" s="85" t="n"/>
      <c r="S586" s="85" t="n"/>
      <c r="T586" s="85" t="n"/>
      <c r="U586" s="85" t="n"/>
      <c r="V586" s="85" t="n"/>
      <c r="W586" s="85" t="n"/>
      <c r="X586" s="85" t="n"/>
      <c r="Y586" s="85" t="n"/>
      <c r="Z586" s="85" t="n"/>
      <c r="AA586" s="85" t="n"/>
      <c r="AB586" s="85" t="n"/>
      <c r="AC586" s="86" t="n"/>
      <c r="AD586" s="86" t="n"/>
      <c r="AE586" s="86" t="n"/>
      <c r="AF586" s="85" t="n"/>
      <c r="AG586" s="85" t="n"/>
      <c r="AH586" s="85">
        <f>IF($A586="","",IF(AND($E586="Yes",OR($V586="No",$V586="NOT FOUND")),"YES",""))</f>
        <v/>
      </c>
      <c r="AI586" s="85">
        <f>IF($A586="","",TRIM(IF(AND($M586=0,$I586&lt;&gt;"Yes"),"T0-NoPhishResistant ","")&amp;IF($H586="No","NoMFA ","")&amp;IF(AND($M586=0,$O586="Group only"),"T0-ViaGroupOnly ","")&amp;IF($N586="Yes","BroadAzureScope ","")&amp;IF($T586="Yes","AlsoEntraRole ","")))</f>
        <v/>
      </c>
      <c r="AJ586" s="85">
        <f>IF($A586="","",IF(AD586="","Not Enrolled",IF(TODAY()&gt;AD586,"Review Overdue",IF(AD586-TODAY()&lt;=30,"Review Due Soon","Active"))))</f>
        <v/>
      </c>
      <c r="AK586" s="85">
        <f>IF($A586="","",IF(AE586="","NOT REVIEWED",IF(TODAY()-AE586&gt;90,"OVERDUE",IF(TODAY()-AE586&gt;76,"Due Soon","Current"))))</f>
        <v/>
      </c>
    </row>
    <row r="587" ht="15" customHeight="1" s="39">
      <c r="A587" s="85" t="n"/>
      <c r="B587" s="85" t="n"/>
      <c r="C587" s="85" t="n"/>
      <c r="D587" s="85" t="n"/>
      <c r="E587" s="85" t="n"/>
      <c r="F587" s="86" t="n"/>
      <c r="G587" s="86" t="n"/>
      <c r="H587" s="85" t="n"/>
      <c r="I587" s="85" t="n"/>
      <c r="J587" s="85" t="n"/>
      <c r="K587" s="85" t="n"/>
      <c r="L587" s="85" t="n"/>
      <c r="M587" s="85" t="n"/>
      <c r="N587" s="85" t="n"/>
      <c r="O587" s="85" t="n"/>
      <c r="P587" s="85" t="n"/>
      <c r="Q587" s="85" t="n"/>
      <c r="R587" s="85" t="n"/>
      <c r="S587" s="85" t="n"/>
      <c r="T587" s="85" t="n"/>
      <c r="U587" s="85" t="n"/>
      <c r="V587" s="85" t="n"/>
      <c r="W587" s="85" t="n"/>
      <c r="X587" s="85" t="n"/>
      <c r="Y587" s="85" t="n"/>
      <c r="Z587" s="85" t="n"/>
      <c r="AA587" s="85" t="n"/>
      <c r="AB587" s="85" t="n"/>
      <c r="AC587" s="86" t="n"/>
      <c r="AD587" s="86" t="n"/>
      <c r="AE587" s="86" t="n"/>
      <c r="AF587" s="85" t="n"/>
      <c r="AG587" s="85" t="n"/>
      <c r="AH587" s="85">
        <f>IF($A587="","",IF(AND($E587="Yes",OR($V587="No",$V587="NOT FOUND")),"YES",""))</f>
        <v/>
      </c>
      <c r="AI587" s="85">
        <f>IF($A587="","",TRIM(IF(AND($M587=0,$I587&lt;&gt;"Yes"),"T0-NoPhishResistant ","")&amp;IF($H587="No","NoMFA ","")&amp;IF(AND($M587=0,$O587="Group only"),"T0-ViaGroupOnly ","")&amp;IF($N587="Yes","BroadAzureScope ","")&amp;IF($T587="Yes","AlsoEntraRole ","")))</f>
        <v/>
      </c>
      <c r="AJ587" s="85">
        <f>IF($A587="","",IF(AD587="","Not Enrolled",IF(TODAY()&gt;AD587,"Review Overdue",IF(AD587-TODAY()&lt;=30,"Review Due Soon","Active"))))</f>
        <v/>
      </c>
      <c r="AK587" s="85">
        <f>IF($A587="","",IF(AE587="","NOT REVIEWED",IF(TODAY()-AE587&gt;90,"OVERDUE",IF(TODAY()-AE587&gt;76,"Due Soon","Current"))))</f>
        <v/>
      </c>
    </row>
    <row r="588" ht="15" customHeight="1" s="39">
      <c r="A588" s="85" t="n"/>
      <c r="B588" s="85" t="n"/>
      <c r="C588" s="85" t="n"/>
      <c r="D588" s="85" t="n"/>
      <c r="E588" s="85" t="n"/>
      <c r="F588" s="86" t="n"/>
      <c r="G588" s="86" t="n"/>
      <c r="H588" s="85" t="n"/>
      <c r="I588" s="85" t="n"/>
      <c r="J588" s="85" t="n"/>
      <c r="K588" s="85" t="n"/>
      <c r="L588" s="85" t="n"/>
      <c r="M588" s="85" t="n"/>
      <c r="N588" s="85" t="n"/>
      <c r="O588" s="85" t="n"/>
      <c r="P588" s="85" t="n"/>
      <c r="Q588" s="85" t="n"/>
      <c r="R588" s="85" t="n"/>
      <c r="S588" s="85" t="n"/>
      <c r="T588" s="85" t="n"/>
      <c r="U588" s="85" t="n"/>
      <c r="V588" s="85" t="n"/>
      <c r="W588" s="85" t="n"/>
      <c r="X588" s="85" t="n"/>
      <c r="Y588" s="85" t="n"/>
      <c r="Z588" s="85" t="n"/>
      <c r="AA588" s="85" t="n"/>
      <c r="AB588" s="85" t="n"/>
      <c r="AC588" s="86" t="n"/>
      <c r="AD588" s="86" t="n"/>
      <c r="AE588" s="86" t="n"/>
      <c r="AF588" s="85" t="n"/>
      <c r="AG588" s="85" t="n"/>
      <c r="AH588" s="85">
        <f>IF($A588="","",IF(AND($E588="Yes",OR($V588="No",$V588="NOT FOUND")),"YES",""))</f>
        <v/>
      </c>
      <c r="AI588" s="85">
        <f>IF($A588="","",TRIM(IF(AND($M588=0,$I588&lt;&gt;"Yes"),"T0-NoPhishResistant ","")&amp;IF($H588="No","NoMFA ","")&amp;IF(AND($M588=0,$O588="Group only"),"T0-ViaGroupOnly ","")&amp;IF($N588="Yes","BroadAzureScope ","")&amp;IF($T588="Yes","AlsoEntraRole ","")))</f>
        <v/>
      </c>
      <c r="AJ588" s="85">
        <f>IF($A588="","",IF(AD588="","Not Enrolled",IF(TODAY()&gt;AD588,"Review Overdue",IF(AD588-TODAY()&lt;=30,"Review Due Soon","Active"))))</f>
        <v/>
      </c>
      <c r="AK588" s="85">
        <f>IF($A588="","",IF(AE588="","NOT REVIEWED",IF(TODAY()-AE588&gt;90,"OVERDUE",IF(TODAY()-AE588&gt;76,"Due Soon","Current"))))</f>
        <v/>
      </c>
    </row>
    <row r="589" ht="15" customHeight="1" s="39">
      <c r="A589" s="85" t="n"/>
      <c r="B589" s="85" t="n"/>
      <c r="C589" s="85" t="n"/>
      <c r="D589" s="85" t="n"/>
      <c r="E589" s="85" t="n"/>
      <c r="F589" s="86" t="n"/>
      <c r="G589" s="86" t="n"/>
      <c r="H589" s="85" t="n"/>
      <c r="I589" s="85" t="n"/>
      <c r="J589" s="85" t="n"/>
      <c r="K589" s="85" t="n"/>
      <c r="L589" s="85" t="n"/>
      <c r="M589" s="85" t="n"/>
      <c r="N589" s="85" t="n"/>
      <c r="O589" s="85" t="n"/>
      <c r="P589" s="85" t="n"/>
      <c r="Q589" s="85" t="n"/>
      <c r="R589" s="85" t="n"/>
      <c r="S589" s="85" t="n"/>
      <c r="T589" s="85" t="n"/>
      <c r="U589" s="85" t="n"/>
      <c r="V589" s="85" t="n"/>
      <c r="W589" s="85" t="n"/>
      <c r="X589" s="85" t="n"/>
      <c r="Y589" s="85" t="n"/>
      <c r="Z589" s="85" t="n"/>
      <c r="AA589" s="85" t="n"/>
      <c r="AB589" s="85" t="n"/>
      <c r="AC589" s="86" t="n"/>
      <c r="AD589" s="86" t="n"/>
      <c r="AE589" s="86" t="n"/>
      <c r="AF589" s="85" t="n"/>
      <c r="AG589" s="85" t="n"/>
      <c r="AH589" s="85">
        <f>IF($A589="","",IF(AND($E589="Yes",OR($V589="No",$V589="NOT FOUND")),"YES",""))</f>
        <v/>
      </c>
      <c r="AI589" s="85">
        <f>IF($A589="","",TRIM(IF(AND($M589=0,$I589&lt;&gt;"Yes"),"T0-NoPhishResistant ","")&amp;IF($H589="No","NoMFA ","")&amp;IF(AND($M589=0,$O589="Group only"),"T0-ViaGroupOnly ","")&amp;IF($N589="Yes","BroadAzureScope ","")&amp;IF($T589="Yes","AlsoEntraRole ","")))</f>
        <v/>
      </c>
      <c r="AJ589" s="85">
        <f>IF($A589="","",IF(AD589="","Not Enrolled",IF(TODAY()&gt;AD589,"Review Overdue",IF(AD589-TODAY()&lt;=30,"Review Due Soon","Active"))))</f>
        <v/>
      </c>
      <c r="AK589" s="85">
        <f>IF($A589="","",IF(AE589="","NOT REVIEWED",IF(TODAY()-AE589&gt;90,"OVERDUE",IF(TODAY()-AE589&gt;76,"Due Soon","Current"))))</f>
        <v/>
      </c>
    </row>
    <row r="590" ht="15" customHeight="1" s="39">
      <c r="A590" s="85" t="n"/>
      <c r="B590" s="85" t="n"/>
      <c r="C590" s="85" t="n"/>
      <c r="D590" s="85" t="n"/>
      <c r="E590" s="85" t="n"/>
      <c r="F590" s="86" t="n"/>
      <c r="G590" s="86" t="n"/>
      <c r="H590" s="85" t="n"/>
      <c r="I590" s="85" t="n"/>
      <c r="J590" s="85" t="n"/>
      <c r="K590" s="85" t="n"/>
      <c r="L590" s="85" t="n"/>
      <c r="M590" s="85" t="n"/>
      <c r="N590" s="85" t="n"/>
      <c r="O590" s="85" t="n"/>
      <c r="P590" s="85" t="n"/>
      <c r="Q590" s="85" t="n"/>
      <c r="R590" s="85" t="n"/>
      <c r="S590" s="85" t="n"/>
      <c r="T590" s="85" t="n"/>
      <c r="U590" s="85" t="n"/>
      <c r="V590" s="85" t="n"/>
      <c r="W590" s="85" t="n"/>
      <c r="X590" s="85" t="n"/>
      <c r="Y590" s="85" t="n"/>
      <c r="Z590" s="85" t="n"/>
      <c r="AA590" s="85" t="n"/>
      <c r="AB590" s="85" t="n"/>
      <c r="AC590" s="86" t="n"/>
      <c r="AD590" s="86" t="n"/>
      <c r="AE590" s="86" t="n"/>
      <c r="AF590" s="85" t="n"/>
      <c r="AG590" s="85" t="n"/>
      <c r="AH590" s="85">
        <f>IF($A590="","",IF(AND($E590="Yes",OR($V590="No",$V590="NOT FOUND")),"YES",""))</f>
        <v/>
      </c>
      <c r="AI590" s="85">
        <f>IF($A590="","",TRIM(IF(AND($M590=0,$I590&lt;&gt;"Yes"),"T0-NoPhishResistant ","")&amp;IF($H590="No","NoMFA ","")&amp;IF(AND($M590=0,$O590="Group only"),"T0-ViaGroupOnly ","")&amp;IF($N590="Yes","BroadAzureScope ","")&amp;IF($T590="Yes","AlsoEntraRole ","")))</f>
        <v/>
      </c>
      <c r="AJ590" s="85">
        <f>IF($A590="","",IF(AD590="","Not Enrolled",IF(TODAY()&gt;AD590,"Review Overdue",IF(AD590-TODAY()&lt;=30,"Review Due Soon","Active"))))</f>
        <v/>
      </c>
      <c r="AK590" s="85">
        <f>IF($A590="","",IF(AE590="","NOT REVIEWED",IF(TODAY()-AE590&gt;90,"OVERDUE",IF(TODAY()-AE590&gt;76,"Due Soon","Current"))))</f>
        <v/>
      </c>
    </row>
    <row r="591" ht="15" customHeight="1" s="39">
      <c r="A591" s="85" t="n"/>
      <c r="B591" s="85" t="n"/>
      <c r="C591" s="85" t="n"/>
      <c r="D591" s="85" t="n"/>
      <c r="E591" s="85" t="n"/>
      <c r="F591" s="86" t="n"/>
      <c r="G591" s="86" t="n"/>
      <c r="H591" s="85" t="n"/>
      <c r="I591" s="85" t="n"/>
      <c r="J591" s="85" t="n"/>
      <c r="K591" s="85" t="n"/>
      <c r="L591" s="85" t="n"/>
      <c r="M591" s="85" t="n"/>
      <c r="N591" s="85" t="n"/>
      <c r="O591" s="85" t="n"/>
      <c r="P591" s="85" t="n"/>
      <c r="Q591" s="85" t="n"/>
      <c r="R591" s="85" t="n"/>
      <c r="S591" s="85" t="n"/>
      <c r="T591" s="85" t="n"/>
      <c r="U591" s="85" t="n"/>
      <c r="V591" s="85" t="n"/>
      <c r="W591" s="85" t="n"/>
      <c r="X591" s="85" t="n"/>
      <c r="Y591" s="85" t="n"/>
      <c r="Z591" s="85" t="n"/>
      <c r="AA591" s="85" t="n"/>
      <c r="AB591" s="85" t="n"/>
      <c r="AC591" s="86" t="n"/>
      <c r="AD591" s="86" t="n"/>
      <c r="AE591" s="86" t="n"/>
      <c r="AF591" s="85" t="n"/>
      <c r="AG591" s="85" t="n"/>
      <c r="AH591" s="85">
        <f>IF($A591="","",IF(AND($E591="Yes",OR($V591="No",$V591="NOT FOUND")),"YES",""))</f>
        <v/>
      </c>
      <c r="AI591" s="85">
        <f>IF($A591="","",TRIM(IF(AND($M591=0,$I591&lt;&gt;"Yes"),"T0-NoPhishResistant ","")&amp;IF($H591="No","NoMFA ","")&amp;IF(AND($M591=0,$O591="Group only"),"T0-ViaGroupOnly ","")&amp;IF($N591="Yes","BroadAzureScope ","")&amp;IF($T591="Yes","AlsoEntraRole ","")))</f>
        <v/>
      </c>
      <c r="AJ591" s="85">
        <f>IF($A591="","",IF(AD591="","Not Enrolled",IF(TODAY()&gt;AD591,"Review Overdue",IF(AD591-TODAY()&lt;=30,"Review Due Soon","Active"))))</f>
        <v/>
      </c>
      <c r="AK591" s="85">
        <f>IF($A591="","",IF(AE591="","NOT REVIEWED",IF(TODAY()-AE591&gt;90,"OVERDUE",IF(TODAY()-AE591&gt;76,"Due Soon","Current"))))</f>
        <v/>
      </c>
    </row>
    <row r="592" ht="15" customHeight="1" s="39">
      <c r="A592" s="85" t="n"/>
      <c r="B592" s="85" t="n"/>
      <c r="C592" s="85" t="n"/>
      <c r="D592" s="85" t="n"/>
      <c r="E592" s="85" t="n"/>
      <c r="F592" s="86" t="n"/>
      <c r="G592" s="86" t="n"/>
      <c r="H592" s="85" t="n"/>
      <c r="I592" s="85" t="n"/>
      <c r="J592" s="85" t="n"/>
      <c r="K592" s="85" t="n"/>
      <c r="L592" s="85" t="n"/>
      <c r="M592" s="85" t="n"/>
      <c r="N592" s="85" t="n"/>
      <c r="O592" s="85" t="n"/>
      <c r="P592" s="85" t="n"/>
      <c r="Q592" s="85" t="n"/>
      <c r="R592" s="85" t="n"/>
      <c r="S592" s="85" t="n"/>
      <c r="T592" s="85" t="n"/>
      <c r="U592" s="85" t="n"/>
      <c r="V592" s="85" t="n"/>
      <c r="W592" s="85" t="n"/>
      <c r="X592" s="85" t="n"/>
      <c r="Y592" s="85" t="n"/>
      <c r="Z592" s="85" t="n"/>
      <c r="AA592" s="85" t="n"/>
      <c r="AB592" s="85" t="n"/>
      <c r="AC592" s="86" t="n"/>
      <c r="AD592" s="86" t="n"/>
      <c r="AE592" s="86" t="n"/>
      <c r="AF592" s="85" t="n"/>
      <c r="AG592" s="85" t="n"/>
      <c r="AH592" s="85">
        <f>IF($A592="","",IF(AND($E592="Yes",OR($V592="No",$V592="NOT FOUND")),"YES",""))</f>
        <v/>
      </c>
      <c r="AI592" s="85">
        <f>IF($A592="","",TRIM(IF(AND($M592=0,$I592&lt;&gt;"Yes"),"T0-NoPhishResistant ","")&amp;IF($H592="No","NoMFA ","")&amp;IF(AND($M592=0,$O592="Group only"),"T0-ViaGroupOnly ","")&amp;IF($N592="Yes","BroadAzureScope ","")&amp;IF($T592="Yes","AlsoEntraRole ","")))</f>
        <v/>
      </c>
      <c r="AJ592" s="85">
        <f>IF($A592="","",IF(AD592="","Not Enrolled",IF(TODAY()&gt;AD592,"Review Overdue",IF(AD592-TODAY()&lt;=30,"Review Due Soon","Active"))))</f>
        <v/>
      </c>
      <c r="AK592" s="85">
        <f>IF($A592="","",IF(AE592="","NOT REVIEWED",IF(TODAY()-AE592&gt;90,"OVERDUE",IF(TODAY()-AE592&gt;76,"Due Soon","Current"))))</f>
        <v/>
      </c>
    </row>
    <row r="593" ht="15" customHeight="1" s="39">
      <c r="A593" s="85" t="n"/>
      <c r="B593" s="85" t="n"/>
      <c r="C593" s="85" t="n"/>
      <c r="D593" s="85" t="n"/>
      <c r="E593" s="85" t="n"/>
      <c r="F593" s="86" t="n"/>
      <c r="G593" s="86" t="n"/>
      <c r="H593" s="85" t="n"/>
      <c r="I593" s="85" t="n"/>
      <c r="J593" s="85" t="n"/>
      <c r="K593" s="85" t="n"/>
      <c r="L593" s="85" t="n"/>
      <c r="M593" s="85" t="n"/>
      <c r="N593" s="85" t="n"/>
      <c r="O593" s="85" t="n"/>
      <c r="P593" s="85" t="n"/>
      <c r="Q593" s="85" t="n"/>
      <c r="R593" s="85" t="n"/>
      <c r="S593" s="85" t="n"/>
      <c r="T593" s="85" t="n"/>
      <c r="U593" s="85" t="n"/>
      <c r="V593" s="85" t="n"/>
      <c r="W593" s="85" t="n"/>
      <c r="X593" s="85" t="n"/>
      <c r="Y593" s="85" t="n"/>
      <c r="Z593" s="85" t="n"/>
      <c r="AA593" s="85" t="n"/>
      <c r="AB593" s="85" t="n"/>
      <c r="AC593" s="86" t="n"/>
      <c r="AD593" s="86" t="n"/>
      <c r="AE593" s="86" t="n"/>
      <c r="AF593" s="85" t="n"/>
      <c r="AG593" s="85" t="n"/>
      <c r="AH593" s="85">
        <f>IF($A593="","",IF(AND($E593="Yes",OR($V593="No",$V593="NOT FOUND")),"YES",""))</f>
        <v/>
      </c>
      <c r="AI593" s="85">
        <f>IF($A593="","",TRIM(IF(AND($M593=0,$I593&lt;&gt;"Yes"),"T0-NoPhishResistant ","")&amp;IF($H593="No","NoMFA ","")&amp;IF(AND($M593=0,$O593="Group only"),"T0-ViaGroupOnly ","")&amp;IF($N593="Yes","BroadAzureScope ","")&amp;IF($T593="Yes","AlsoEntraRole ","")))</f>
        <v/>
      </c>
      <c r="AJ593" s="85">
        <f>IF($A593="","",IF(AD593="","Not Enrolled",IF(TODAY()&gt;AD593,"Review Overdue",IF(AD593-TODAY()&lt;=30,"Review Due Soon","Active"))))</f>
        <v/>
      </c>
      <c r="AK593" s="85">
        <f>IF($A593="","",IF(AE593="","NOT REVIEWED",IF(TODAY()-AE593&gt;90,"OVERDUE",IF(TODAY()-AE593&gt;76,"Due Soon","Current"))))</f>
        <v/>
      </c>
    </row>
    <row r="594" ht="15" customHeight="1" s="39">
      <c r="A594" s="85" t="n"/>
      <c r="B594" s="85" t="n"/>
      <c r="C594" s="85" t="n"/>
      <c r="D594" s="85" t="n"/>
      <c r="E594" s="85" t="n"/>
      <c r="F594" s="86" t="n"/>
      <c r="G594" s="86" t="n"/>
      <c r="H594" s="85" t="n"/>
      <c r="I594" s="85" t="n"/>
      <c r="J594" s="85" t="n"/>
      <c r="K594" s="85" t="n"/>
      <c r="L594" s="85" t="n"/>
      <c r="M594" s="85" t="n"/>
      <c r="N594" s="85" t="n"/>
      <c r="O594" s="85" t="n"/>
      <c r="P594" s="85" t="n"/>
      <c r="Q594" s="85" t="n"/>
      <c r="R594" s="85" t="n"/>
      <c r="S594" s="85" t="n"/>
      <c r="T594" s="85" t="n"/>
      <c r="U594" s="85" t="n"/>
      <c r="V594" s="85" t="n"/>
      <c r="W594" s="85" t="n"/>
      <c r="X594" s="85" t="n"/>
      <c r="Y594" s="85" t="n"/>
      <c r="Z594" s="85" t="n"/>
      <c r="AA594" s="85" t="n"/>
      <c r="AB594" s="85" t="n"/>
      <c r="AC594" s="86" t="n"/>
      <c r="AD594" s="86" t="n"/>
      <c r="AE594" s="86" t="n"/>
      <c r="AF594" s="85" t="n"/>
      <c r="AG594" s="85" t="n"/>
      <c r="AH594" s="85">
        <f>IF($A594="","",IF(AND($E594="Yes",OR($V594="No",$V594="NOT FOUND")),"YES",""))</f>
        <v/>
      </c>
      <c r="AI594" s="85">
        <f>IF($A594="","",TRIM(IF(AND($M594=0,$I594&lt;&gt;"Yes"),"T0-NoPhishResistant ","")&amp;IF($H594="No","NoMFA ","")&amp;IF(AND($M594=0,$O594="Group only"),"T0-ViaGroupOnly ","")&amp;IF($N594="Yes","BroadAzureScope ","")&amp;IF($T594="Yes","AlsoEntraRole ","")))</f>
        <v/>
      </c>
      <c r="AJ594" s="85">
        <f>IF($A594="","",IF(AD594="","Not Enrolled",IF(TODAY()&gt;AD594,"Review Overdue",IF(AD594-TODAY()&lt;=30,"Review Due Soon","Active"))))</f>
        <v/>
      </c>
      <c r="AK594" s="85">
        <f>IF($A594="","",IF(AE594="","NOT REVIEWED",IF(TODAY()-AE594&gt;90,"OVERDUE",IF(TODAY()-AE594&gt;76,"Due Soon","Current"))))</f>
        <v/>
      </c>
    </row>
    <row r="595" ht="15" customHeight="1" s="39">
      <c r="A595" s="85" t="n"/>
      <c r="B595" s="85" t="n"/>
      <c r="C595" s="85" t="n"/>
      <c r="D595" s="85" t="n"/>
      <c r="E595" s="85" t="n"/>
      <c r="F595" s="86" t="n"/>
      <c r="G595" s="86" t="n"/>
      <c r="H595" s="85" t="n"/>
      <c r="I595" s="85" t="n"/>
      <c r="J595" s="85" t="n"/>
      <c r="K595" s="85" t="n"/>
      <c r="L595" s="85" t="n"/>
      <c r="M595" s="85" t="n"/>
      <c r="N595" s="85" t="n"/>
      <c r="O595" s="85" t="n"/>
      <c r="P595" s="85" t="n"/>
      <c r="Q595" s="85" t="n"/>
      <c r="R595" s="85" t="n"/>
      <c r="S595" s="85" t="n"/>
      <c r="T595" s="85" t="n"/>
      <c r="U595" s="85" t="n"/>
      <c r="V595" s="85" t="n"/>
      <c r="W595" s="85" t="n"/>
      <c r="X595" s="85" t="n"/>
      <c r="Y595" s="85" t="n"/>
      <c r="Z595" s="85" t="n"/>
      <c r="AA595" s="85" t="n"/>
      <c r="AB595" s="85" t="n"/>
      <c r="AC595" s="86" t="n"/>
      <c r="AD595" s="86" t="n"/>
      <c r="AE595" s="86" t="n"/>
      <c r="AF595" s="85" t="n"/>
      <c r="AG595" s="85" t="n"/>
      <c r="AH595" s="85">
        <f>IF($A595="","",IF(AND($E595="Yes",OR($V595="No",$V595="NOT FOUND")),"YES",""))</f>
        <v/>
      </c>
      <c r="AI595" s="85">
        <f>IF($A595="","",TRIM(IF(AND($M595=0,$I595&lt;&gt;"Yes"),"T0-NoPhishResistant ","")&amp;IF($H595="No","NoMFA ","")&amp;IF(AND($M595=0,$O595="Group only"),"T0-ViaGroupOnly ","")&amp;IF($N595="Yes","BroadAzureScope ","")&amp;IF($T595="Yes","AlsoEntraRole ","")))</f>
        <v/>
      </c>
      <c r="AJ595" s="85">
        <f>IF($A595="","",IF(AD595="","Not Enrolled",IF(TODAY()&gt;AD595,"Review Overdue",IF(AD595-TODAY()&lt;=30,"Review Due Soon","Active"))))</f>
        <v/>
      </c>
      <c r="AK595" s="85">
        <f>IF($A595="","",IF(AE595="","NOT REVIEWED",IF(TODAY()-AE595&gt;90,"OVERDUE",IF(TODAY()-AE595&gt;76,"Due Soon","Current"))))</f>
        <v/>
      </c>
    </row>
    <row r="596" ht="15" customHeight="1" s="39">
      <c r="A596" s="85" t="n"/>
      <c r="B596" s="85" t="n"/>
      <c r="C596" s="85" t="n"/>
      <c r="D596" s="85" t="n"/>
      <c r="E596" s="85" t="n"/>
      <c r="F596" s="86" t="n"/>
      <c r="G596" s="86" t="n"/>
      <c r="H596" s="85" t="n"/>
      <c r="I596" s="85" t="n"/>
      <c r="J596" s="85" t="n"/>
      <c r="K596" s="85" t="n"/>
      <c r="L596" s="85" t="n"/>
      <c r="M596" s="85" t="n"/>
      <c r="N596" s="85" t="n"/>
      <c r="O596" s="85" t="n"/>
      <c r="P596" s="85" t="n"/>
      <c r="Q596" s="85" t="n"/>
      <c r="R596" s="85" t="n"/>
      <c r="S596" s="85" t="n"/>
      <c r="T596" s="85" t="n"/>
      <c r="U596" s="85" t="n"/>
      <c r="V596" s="85" t="n"/>
      <c r="W596" s="85" t="n"/>
      <c r="X596" s="85" t="n"/>
      <c r="Y596" s="85" t="n"/>
      <c r="Z596" s="85" t="n"/>
      <c r="AA596" s="85" t="n"/>
      <c r="AB596" s="85" t="n"/>
      <c r="AC596" s="86" t="n"/>
      <c r="AD596" s="86" t="n"/>
      <c r="AE596" s="86" t="n"/>
      <c r="AF596" s="85" t="n"/>
      <c r="AG596" s="85" t="n"/>
      <c r="AH596" s="85">
        <f>IF($A596="","",IF(AND($E596="Yes",OR($V596="No",$V596="NOT FOUND")),"YES",""))</f>
        <v/>
      </c>
      <c r="AI596" s="85">
        <f>IF($A596="","",TRIM(IF(AND($M596=0,$I596&lt;&gt;"Yes"),"T0-NoPhishResistant ","")&amp;IF($H596="No","NoMFA ","")&amp;IF(AND($M596=0,$O596="Group only"),"T0-ViaGroupOnly ","")&amp;IF($N596="Yes","BroadAzureScope ","")&amp;IF($T596="Yes","AlsoEntraRole ","")))</f>
        <v/>
      </c>
      <c r="AJ596" s="85">
        <f>IF($A596="","",IF(AD596="","Not Enrolled",IF(TODAY()&gt;AD596,"Review Overdue",IF(AD596-TODAY()&lt;=30,"Review Due Soon","Active"))))</f>
        <v/>
      </c>
      <c r="AK596" s="85">
        <f>IF($A596="","",IF(AE596="","NOT REVIEWED",IF(TODAY()-AE596&gt;90,"OVERDUE",IF(TODAY()-AE596&gt;76,"Due Soon","Current"))))</f>
        <v/>
      </c>
    </row>
    <row r="597" ht="15" customHeight="1" s="39">
      <c r="A597" s="85" t="n"/>
      <c r="B597" s="85" t="n"/>
      <c r="C597" s="85" t="n"/>
      <c r="D597" s="85" t="n"/>
      <c r="E597" s="85" t="n"/>
      <c r="F597" s="86" t="n"/>
      <c r="G597" s="86" t="n"/>
      <c r="H597" s="85" t="n"/>
      <c r="I597" s="85" t="n"/>
      <c r="J597" s="85" t="n"/>
      <c r="K597" s="85" t="n"/>
      <c r="L597" s="85" t="n"/>
      <c r="M597" s="85" t="n"/>
      <c r="N597" s="85" t="n"/>
      <c r="O597" s="85" t="n"/>
      <c r="P597" s="85" t="n"/>
      <c r="Q597" s="85" t="n"/>
      <c r="R597" s="85" t="n"/>
      <c r="S597" s="85" t="n"/>
      <c r="T597" s="85" t="n"/>
      <c r="U597" s="85" t="n"/>
      <c r="V597" s="85" t="n"/>
      <c r="W597" s="85" t="n"/>
      <c r="X597" s="85" t="n"/>
      <c r="Y597" s="85" t="n"/>
      <c r="Z597" s="85" t="n"/>
      <c r="AA597" s="85" t="n"/>
      <c r="AB597" s="85" t="n"/>
      <c r="AC597" s="86" t="n"/>
      <c r="AD597" s="86" t="n"/>
      <c r="AE597" s="86" t="n"/>
      <c r="AF597" s="85" t="n"/>
      <c r="AG597" s="85" t="n"/>
      <c r="AH597" s="85">
        <f>IF($A597="","",IF(AND($E597="Yes",OR($V597="No",$V597="NOT FOUND")),"YES",""))</f>
        <v/>
      </c>
      <c r="AI597" s="85">
        <f>IF($A597="","",TRIM(IF(AND($M597=0,$I597&lt;&gt;"Yes"),"T0-NoPhishResistant ","")&amp;IF($H597="No","NoMFA ","")&amp;IF(AND($M597=0,$O597="Group only"),"T0-ViaGroupOnly ","")&amp;IF($N597="Yes","BroadAzureScope ","")&amp;IF($T597="Yes","AlsoEntraRole ","")))</f>
        <v/>
      </c>
      <c r="AJ597" s="85">
        <f>IF($A597="","",IF(AD597="","Not Enrolled",IF(TODAY()&gt;AD597,"Review Overdue",IF(AD597-TODAY()&lt;=30,"Review Due Soon","Active"))))</f>
        <v/>
      </c>
      <c r="AK597" s="85">
        <f>IF($A597="","",IF(AE597="","NOT REVIEWED",IF(TODAY()-AE597&gt;90,"OVERDUE",IF(TODAY()-AE597&gt;76,"Due Soon","Current"))))</f>
        <v/>
      </c>
    </row>
    <row r="598" ht="15" customHeight="1" s="39">
      <c r="A598" s="85" t="n"/>
      <c r="B598" s="85" t="n"/>
      <c r="C598" s="85" t="n"/>
      <c r="D598" s="85" t="n"/>
      <c r="E598" s="85" t="n"/>
      <c r="F598" s="86" t="n"/>
      <c r="G598" s="86" t="n"/>
      <c r="H598" s="85" t="n"/>
      <c r="I598" s="85" t="n"/>
      <c r="J598" s="85" t="n"/>
      <c r="K598" s="85" t="n"/>
      <c r="L598" s="85" t="n"/>
      <c r="M598" s="85" t="n"/>
      <c r="N598" s="85" t="n"/>
      <c r="O598" s="85" t="n"/>
      <c r="P598" s="85" t="n"/>
      <c r="Q598" s="85" t="n"/>
      <c r="R598" s="85" t="n"/>
      <c r="S598" s="85" t="n"/>
      <c r="T598" s="85" t="n"/>
      <c r="U598" s="85" t="n"/>
      <c r="V598" s="85" t="n"/>
      <c r="W598" s="85" t="n"/>
      <c r="X598" s="85" t="n"/>
      <c r="Y598" s="85" t="n"/>
      <c r="Z598" s="85" t="n"/>
      <c r="AA598" s="85" t="n"/>
      <c r="AB598" s="85" t="n"/>
      <c r="AC598" s="86" t="n"/>
      <c r="AD598" s="86" t="n"/>
      <c r="AE598" s="86" t="n"/>
      <c r="AF598" s="85" t="n"/>
      <c r="AG598" s="85" t="n"/>
      <c r="AH598" s="85">
        <f>IF($A598="","",IF(AND($E598="Yes",OR($V598="No",$V598="NOT FOUND")),"YES",""))</f>
        <v/>
      </c>
      <c r="AI598" s="85">
        <f>IF($A598="","",TRIM(IF(AND($M598=0,$I598&lt;&gt;"Yes"),"T0-NoPhishResistant ","")&amp;IF($H598="No","NoMFA ","")&amp;IF(AND($M598=0,$O598="Group only"),"T0-ViaGroupOnly ","")&amp;IF($N598="Yes","BroadAzureScope ","")&amp;IF($T598="Yes","AlsoEntraRole ","")))</f>
        <v/>
      </c>
      <c r="AJ598" s="85">
        <f>IF($A598="","",IF(AD598="","Not Enrolled",IF(TODAY()&gt;AD598,"Review Overdue",IF(AD598-TODAY()&lt;=30,"Review Due Soon","Active"))))</f>
        <v/>
      </c>
      <c r="AK598" s="85">
        <f>IF($A598="","",IF(AE598="","NOT REVIEWED",IF(TODAY()-AE598&gt;90,"OVERDUE",IF(TODAY()-AE598&gt;76,"Due Soon","Current"))))</f>
        <v/>
      </c>
    </row>
    <row r="599" ht="15" customHeight="1" s="39">
      <c r="A599" s="85" t="n"/>
      <c r="B599" s="85" t="n"/>
      <c r="C599" s="85" t="n"/>
      <c r="D599" s="85" t="n"/>
      <c r="E599" s="85" t="n"/>
      <c r="F599" s="86" t="n"/>
      <c r="G599" s="86" t="n"/>
      <c r="H599" s="85" t="n"/>
      <c r="I599" s="85" t="n"/>
      <c r="J599" s="85" t="n"/>
      <c r="K599" s="85" t="n"/>
      <c r="L599" s="85" t="n"/>
      <c r="M599" s="85" t="n"/>
      <c r="N599" s="85" t="n"/>
      <c r="O599" s="85" t="n"/>
      <c r="P599" s="85" t="n"/>
      <c r="Q599" s="85" t="n"/>
      <c r="R599" s="85" t="n"/>
      <c r="S599" s="85" t="n"/>
      <c r="T599" s="85" t="n"/>
      <c r="U599" s="85" t="n"/>
      <c r="V599" s="85" t="n"/>
      <c r="W599" s="85" t="n"/>
      <c r="X599" s="85" t="n"/>
      <c r="Y599" s="85" t="n"/>
      <c r="Z599" s="85" t="n"/>
      <c r="AA599" s="85" t="n"/>
      <c r="AB599" s="85" t="n"/>
      <c r="AC599" s="86" t="n"/>
      <c r="AD599" s="86" t="n"/>
      <c r="AE599" s="86" t="n"/>
      <c r="AF599" s="85" t="n"/>
      <c r="AG599" s="85" t="n"/>
      <c r="AH599" s="85">
        <f>IF($A599="","",IF(AND($E599="Yes",OR($V599="No",$V599="NOT FOUND")),"YES",""))</f>
        <v/>
      </c>
      <c r="AI599" s="85">
        <f>IF($A599="","",TRIM(IF(AND($M599=0,$I599&lt;&gt;"Yes"),"T0-NoPhishResistant ","")&amp;IF($H599="No","NoMFA ","")&amp;IF(AND($M599=0,$O599="Group only"),"T0-ViaGroupOnly ","")&amp;IF($N599="Yes","BroadAzureScope ","")&amp;IF($T599="Yes","AlsoEntraRole ","")))</f>
        <v/>
      </c>
      <c r="AJ599" s="85">
        <f>IF($A599="","",IF(AD599="","Not Enrolled",IF(TODAY()&gt;AD599,"Review Overdue",IF(AD599-TODAY()&lt;=30,"Review Due Soon","Active"))))</f>
        <v/>
      </c>
      <c r="AK599" s="85">
        <f>IF($A599="","",IF(AE599="","NOT REVIEWED",IF(TODAY()-AE599&gt;90,"OVERDUE",IF(TODAY()-AE599&gt;76,"Due Soon","Current"))))</f>
        <v/>
      </c>
    </row>
    <row r="600" ht="15" customHeight="1" s="39">
      <c r="A600" s="85" t="n"/>
      <c r="B600" s="85" t="n"/>
      <c r="C600" s="85" t="n"/>
      <c r="D600" s="85" t="n"/>
      <c r="E600" s="85" t="n"/>
      <c r="F600" s="86" t="n"/>
      <c r="G600" s="86" t="n"/>
      <c r="H600" s="85" t="n"/>
      <c r="I600" s="85" t="n"/>
      <c r="J600" s="85" t="n"/>
      <c r="K600" s="85" t="n"/>
      <c r="L600" s="85" t="n"/>
      <c r="M600" s="85" t="n"/>
      <c r="N600" s="85" t="n"/>
      <c r="O600" s="85" t="n"/>
      <c r="P600" s="85" t="n"/>
      <c r="Q600" s="85" t="n"/>
      <c r="R600" s="85" t="n"/>
      <c r="S600" s="85" t="n"/>
      <c r="T600" s="85" t="n"/>
      <c r="U600" s="85" t="n"/>
      <c r="V600" s="85" t="n"/>
      <c r="W600" s="85" t="n"/>
      <c r="X600" s="85" t="n"/>
      <c r="Y600" s="85" t="n"/>
      <c r="Z600" s="85" t="n"/>
      <c r="AA600" s="85" t="n"/>
      <c r="AB600" s="85" t="n"/>
      <c r="AC600" s="86" t="n"/>
      <c r="AD600" s="86" t="n"/>
      <c r="AE600" s="86" t="n"/>
      <c r="AF600" s="85" t="n"/>
      <c r="AG600" s="85" t="n"/>
      <c r="AH600" s="85">
        <f>IF($A600="","",IF(AND($E600="Yes",OR($V600="No",$V600="NOT FOUND")),"YES",""))</f>
        <v/>
      </c>
      <c r="AI600" s="85">
        <f>IF($A600="","",TRIM(IF(AND($M600=0,$I600&lt;&gt;"Yes"),"T0-NoPhishResistant ","")&amp;IF($H600="No","NoMFA ","")&amp;IF(AND($M600=0,$O600="Group only"),"T0-ViaGroupOnly ","")&amp;IF($N600="Yes","BroadAzureScope ","")&amp;IF($T600="Yes","AlsoEntraRole ","")))</f>
        <v/>
      </c>
      <c r="AJ600" s="85">
        <f>IF($A600="","",IF(AD600="","Not Enrolled",IF(TODAY()&gt;AD600,"Review Overdue",IF(AD600-TODAY()&lt;=30,"Review Due Soon","Active"))))</f>
        <v/>
      </c>
      <c r="AK600" s="85">
        <f>IF($A600="","",IF(AE600="","NOT REVIEWED",IF(TODAY()-AE600&gt;90,"OVERDUE",IF(TODAY()-AE600&gt;76,"Due Soon","Current"))))</f>
        <v/>
      </c>
    </row>
    <row r="601" ht="15" customHeight="1" s="39">
      <c r="A601" s="85" t="n"/>
      <c r="B601" s="85" t="n"/>
      <c r="C601" s="85" t="n"/>
      <c r="D601" s="85" t="n"/>
      <c r="E601" s="85" t="n"/>
      <c r="F601" s="86" t="n"/>
      <c r="G601" s="86" t="n"/>
      <c r="H601" s="85" t="n"/>
      <c r="I601" s="85" t="n"/>
      <c r="J601" s="85" t="n"/>
      <c r="K601" s="85" t="n"/>
      <c r="L601" s="85" t="n"/>
      <c r="M601" s="85" t="n"/>
      <c r="N601" s="85" t="n"/>
      <c r="O601" s="85" t="n"/>
      <c r="P601" s="85" t="n"/>
      <c r="Q601" s="85" t="n"/>
      <c r="R601" s="85" t="n"/>
      <c r="S601" s="85" t="n"/>
      <c r="T601" s="85" t="n"/>
      <c r="U601" s="85" t="n"/>
      <c r="V601" s="85" t="n"/>
      <c r="W601" s="85" t="n"/>
      <c r="X601" s="85" t="n"/>
      <c r="Y601" s="85" t="n"/>
      <c r="Z601" s="85" t="n"/>
      <c r="AA601" s="85" t="n"/>
      <c r="AB601" s="85" t="n"/>
      <c r="AC601" s="86" t="n"/>
      <c r="AD601" s="86" t="n"/>
      <c r="AE601" s="86" t="n"/>
      <c r="AF601" s="85" t="n"/>
      <c r="AG601" s="85" t="n"/>
      <c r="AH601" s="85">
        <f>IF($A601="","",IF(AND($E601="Yes",OR($V601="No",$V601="NOT FOUND")),"YES",""))</f>
        <v/>
      </c>
      <c r="AI601" s="85">
        <f>IF($A601="","",TRIM(IF(AND($M601=0,$I601&lt;&gt;"Yes"),"T0-NoPhishResistant ","")&amp;IF($H601="No","NoMFA ","")&amp;IF(AND($M601=0,$O601="Group only"),"T0-ViaGroupOnly ","")&amp;IF($N601="Yes","BroadAzureScope ","")&amp;IF($T601="Yes","AlsoEntraRole ","")))</f>
        <v/>
      </c>
      <c r="AJ601" s="85">
        <f>IF($A601="","",IF(AD601="","Not Enrolled",IF(TODAY()&gt;AD601,"Review Overdue",IF(AD601-TODAY()&lt;=30,"Review Due Soon","Active"))))</f>
        <v/>
      </c>
      <c r="AK601" s="85">
        <f>IF($A601="","",IF(AE601="","NOT REVIEWED",IF(TODAY()-AE601&gt;90,"OVERDUE",IF(TODAY()-AE601&gt;76,"Due Soon","Current"))))</f>
        <v/>
      </c>
    </row>
    <row r="602" ht="15" customHeight="1" s="39">
      <c r="A602" s="85" t="n"/>
      <c r="B602" s="85" t="n"/>
      <c r="C602" s="85" t="n"/>
      <c r="D602" s="85" t="n"/>
      <c r="E602" s="85" t="n"/>
      <c r="F602" s="86" t="n"/>
      <c r="G602" s="86" t="n"/>
      <c r="H602" s="85" t="n"/>
      <c r="I602" s="85" t="n"/>
      <c r="J602" s="85" t="n"/>
      <c r="K602" s="85" t="n"/>
      <c r="L602" s="85" t="n"/>
      <c r="M602" s="85" t="n"/>
      <c r="N602" s="85" t="n"/>
      <c r="O602" s="85" t="n"/>
      <c r="P602" s="85" t="n"/>
      <c r="Q602" s="85" t="n"/>
      <c r="R602" s="85" t="n"/>
      <c r="S602" s="85" t="n"/>
      <c r="T602" s="85" t="n"/>
      <c r="U602" s="85" t="n"/>
      <c r="V602" s="85" t="n"/>
      <c r="W602" s="85" t="n"/>
      <c r="X602" s="85" t="n"/>
      <c r="Y602" s="85" t="n"/>
      <c r="Z602" s="85" t="n"/>
      <c r="AA602" s="85" t="n"/>
      <c r="AB602" s="85" t="n"/>
      <c r="AC602" s="86" t="n"/>
      <c r="AD602" s="86" t="n"/>
      <c r="AE602" s="86" t="n"/>
      <c r="AF602" s="85" t="n"/>
      <c r="AG602" s="85" t="n"/>
      <c r="AH602" s="85">
        <f>IF($A602="","",IF(AND($E602="Yes",OR($V602="No",$V602="NOT FOUND")),"YES",""))</f>
        <v/>
      </c>
      <c r="AI602" s="85">
        <f>IF($A602="","",TRIM(IF(AND($M602=0,$I602&lt;&gt;"Yes"),"T0-NoPhishResistant ","")&amp;IF($H602="No","NoMFA ","")&amp;IF(AND($M602=0,$O602="Group only"),"T0-ViaGroupOnly ","")&amp;IF($N602="Yes","BroadAzureScope ","")&amp;IF($T602="Yes","AlsoEntraRole ","")))</f>
        <v/>
      </c>
      <c r="AJ602" s="85">
        <f>IF($A602="","",IF(AD602="","Not Enrolled",IF(TODAY()&gt;AD602,"Review Overdue",IF(AD602-TODAY()&lt;=30,"Review Due Soon","Active"))))</f>
        <v/>
      </c>
      <c r="AK602" s="85">
        <f>IF($A602="","",IF(AE602="","NOT REVIEWED",IF(TODAY()-AE602&gt;90,"OVERDUE",IF(TODAY()-AE602&gt;76,"Due Soon","Current"))))</f>
        <v/>
      </c>
    </row>
    <row r="603" ht="15" customHeight="1" s="39">
      <c r="A603" s="85" t="n"/>
      <c r="B603" s="85" t="n"/>
      <c r="C603" s="85" t="n"/>
      <c r="D603" s="85" t="n"/>
      <c r="E603" s="85" t="n"/>
      <c r="F603" s="86" t="n"/>
      <c r="G603" s="86" t="n"/>
      <c r="H603" s="85" t="n"/>
      <c r="I603" s="85" t="n"/>
      <c r="J603" s="85" t="n"/>
      <c r="K603" s="85" t="n"/>
      <c r="L603" s="85" t="n"/>
      <c r="M603" s="85" t="n"/>
      <c r="N603" s="85" t="n"/>
      <c r="O603" s="85" t="n"/>
      <c r="P603" s="85" t="n"/>
      <c r="Q603" s="85" t="n"/>
      <c r="R603" s="85" t="n"/>
      <c r="S603" s="85" t="n"/>
      <c r="T603" s="85" t="n"/>
      <c r="U603" s="85" t="n"/>
      <c r="V603" s="85" t="n"/>
      <c r="W603" s="85" t="n"/>
      <c r="X603" s="85" t="n"/>
      <c r="Y603" s="85" t="n"/>
      <c r="Z603" s="85" t="n"/>
      <c r="AA603" s="85" t="n"/>
      <c r="AB603" s="85" t="n"/>
      <c r="AC603" s="86" t="n"/>
      <c r="AD603" s="86" t="n"/>
      <c r="AE603" s="86" t="n"/>
      <c r="AF603" s="85" t="n"/>
      <c r="AG603" s="85" t="n"/>
      <c r="AH603" s="85">
        <f>IF($A603="","",IF(AND($E603="Yes",OR($V603="No",$V603="NOT FOUND")),"YES",""))</f>
        <v/>
      </c>
      <c r="AI603" s="85">
        <f>IF($A603="","",TRIM(IF(AND($M603=0,$I603&lt;&gt;"Yes"),"T0-NoPhishResistant ","")&amp;IF($H603="No","NoMFA ","")&amp;IF(AND($M603=0,$O603="Group only"),"T0-ViaGroupOnly ","")&amp;IF($N603="Yes","BroadAzureScope ","")&amp;IF($T603="Yes","AlsoEntraRole ","")))</f>
        <v/>
      </c>
      <c r="AJ603" s="85">
        <f>IF($A603="","",IF(AD603="","Not Enrolled",IF(TODAY()&gt;AD603,"Review Overdue",IF(AD603-TODAY()&lt;=30,"Review Due Soon","Active"))))</f>
        <v/>
      </c>
      <c r="AK603" s="85">
        <f>IF($A603="","",IF(AE603="","NOT REVIEWED",IF(TODAY()-AE603&gt;90,"OVERDUE",IF(TODAY()-AE603&gt;76,"Due Soon","Current"))))</f>
        <v/>
      </c>
    </row>
    <row r="604" ht="15" customHeight="1" s="39">
      <c r="A604" s="85" t="n"/>
      <c r="B604" s="85" t="n"/>
      <c r="C604" s="85" t="n"/>
      <c r="D604" s="85" t="n"/>
      <c r="E604" s="85" t="n"/>
      <c r="F604" s="86" t="n"/>
      <c r="G604" s="86" t="n"/>
      <c r="H604" s="85" t="n"/>
      <c r="I604" s="85" t="n"/>
      <c r="J604" s="85" t="n"/>
      <c r="K604" s="85" t="n"/>
      <c r="L604" s="85" t="n"/>
      <c r="M604" s="85" t="n"/>
      <c r="N604" s="85" t="n"/>
      <c r="O604" s="85" t="n"/>
      <c r="P604" s="85" t="n"/>
      <c r="Q604" s="85" t="n"/>
      <c r="R604" s="85" t="n"/>
      <c r="S604" s="85" t="n"/>
      <c r="T604" s="85" t="n"/>
      <c r="U604" s="85" t="n"/>
      <c r="V604" s="85" t="n"/>
      <c r="W604" s="85" t="n"/>
      <c r="X604" s="85" t="n"/>
      <c r="Y604" s="85" t="n"/>
      <c r="Z604" s="85" t="n"/>
      <c r="AA604" s="85" t="n"/>
      <c r="AB604" s="85" t="n"/>
      <c r="AC604" s="86" t="n"/>
      <c r="AD604" s="86" t="n"/>
      <c r="AE604" s="86" t="n"/>
      <c r="AF604" s="85" t="n"/>
      <c r="AG604" s="85" t="n"/>
      <c r="AH604" s="85">
        <f>IF($A604="","",IF(AND($E604="Yes",OR($V604="No",$V604="NOT FOUND")),"YES",""))</f>
        <v/>
      </c>
      <c r="AI604" s="85">
        <f>IF($A604="","",TRIM(IF(AND($M604=0,$I604&lt;&gt;"Yes"),"T0-NoPhishResistant ","")&amp;IF($H604="No","NoMFA ","")&amp;IF(AND($M604=0,$O604="Group only"),"T0-ViaGroupOnly ","")&amp;IF($N604="Yes","BroadAzureScope ","")&amp;IF($T604="Yes","AlsoEntraRole ","")))</f>
        <v/>
      </c>
      <c r="AJ604" s="85">
        <f>IF($A604="","",IF(AD604="","Not Enrolled",IF(TODAY()&gt;AD604,"Review Overdue",IF(AD604-TODAY()&lt;=30,"Review Due Soon","Active"))))</f>
        <v/>
      </c>
      <c r="AK604" s="85">
        <f>IF($A604="","",IF(AE604="","NOT REVIEWED",IF(TODAY()-AE604&gt;90,"OVERDUE",IF(TODAY()-AE604&gt;76,"Due Soon","Current"))))</f>
        <v/>
      </c>
    </row>
    <row r="605" ht="15" customHeight="1" s="39">
      <c r="A605" s="85" t="n"/>
      <c r="B605" s="85" t="n"/>
      <c r="C605" s="85" t="n"/>
      <c r="D605" s="85" t="n"/>
      <c r="E605" s="85" t="n"/>
      <c r="F605" s="86" t="n"/>
      <c r="G605" s="86" t="n"/>
      <c r="H605" s="85" t="n"/>
      <c r="I605" s="85" t="n"/>
      <c r="J605" s="85" t="n"/>
      <c r="K605" s="85" t="n"/>
      <c r="L605" s="85" t="n"/>
      <c r="M605" s="85" t="n"/>
      <c r="N605" s="85" t="n"/>
      <c r="O605" s="85" t="n"/>
      <c r="P605" s="85" t="n"/>
      <c r="Q605" s="85" t="n"/>
      <c r="R605" s="85" t="n"/>
      <c r="S605" s="85" t="n"/>
      <c r="T605" s="85" t="n"/>
      <c r="U605" s="85" t="n"/>
      <c r="V605" s="85" t="n"/>
      <c r="W605" s="85" t="n"/>
      <c r="X605" s="85" t="n"/>
      <c r="Y605" s="85" t="n"/>
      <c r="Z605" s="85" t="n"/>
      <c r="AA605" s="85" t="n"/>
      <c r="AB605" s="85" t="n"/>
      <c r="AC605" s="86" t="n"/>
      <c r="AD605" s="86" t="n"/>
      <c r="AE605" s="86" t="n"/>
      <c r="AF605" s="85" t="n"/>
      <c r="AG605" s="85" t="n"/>
      <c r="AH605" s="85">
        <f>IF($A605="","",IF(AND($E605="Yes",OR($V605="No",$V605="NOT FOUND")),"YES",""))</f>
        <v/>
      </c>
      <c r="AI605" s="85">
        <f>IF($A605="","",TRIM(IF(AND($M605=0,$I605&lt;&gt;"Yes"),"T0-NoPhishResistant ","")&amp;IF($H605="No","NoMFA ","")&amp;IF(AND($M605=0,$O605="Group only"),"T0-ViaGroupOnly ","")&amp;IF($N605="Yes","BroadAzureScope ","")&amp;IF($T605="Yes","AlsoEntraRole ","")))</f>
        <v/>
      </c>
      <c r="AJ605" s="85">
        <f>IF($A605="","",IF(AD605="","Not Enrolled",IF(TODAY()&gt;AD605,"Review Overdue",IF(AD605-TODAY()&lt;=30,"Review Due Soon","Active"))))</f>
        <v/>
      </c>
      <c r="AK605" s="85">
        <f>IF($A605="","",IF(AE605="","NOT REVIEWED",IF(TODAY()-AE605&gt;90,"OVERDUE",IF(TODAY()-AE605&gt;76,"Due Soon","Current"))))</f>
        <v/>
      </c>
    </row>
    <row r="606" ht="15" customHeight="1" s="39">
      <c r="A606" s="85" t="n"/>
      <c r="B606" s="85" t="n"/>
      <c r="C606" s="85" t="n"/>
      <c r="D606" s="85" t="n"/>
      <c r="E606" s="85" t="n"/>
      <c r="F606" s="86" t="n"/>
      <c r="G606" s="86" t="n"/>
      <c r="H606" s="85" t="n"/>
      <c r="I606" s="85" t="n"/>
      <c r="J606" s="85" t="n"/>
      <c r="K606" s="85" t="n"/>
      <c r="L606" s="85" t="n"/>
      <c r="M606" s="85" t="n"/>
      <c r="N606" s="85" t="n"/>
      <c r="O606" s="85" t="n"/>
      <c r="P606" s="85" t="n"/>
      <c r="Q606" s="85" t="n"/>
      <c r="R606" s="85" t="n"/>
      <c r="S606" s="85" t="n"/>
      <c r="T606" s="85" t="n"/>
      <c r="U606" s="85" t="n"/>
      <c r="V606" s="85" t="n"/>
      <c r="W606" s="85" t="n"/>
      <c r="X606" s="85" t="n"/>
      <c r="Y606" s="85" t="n"/>
      <c r="Z606" s="85" t="n"/>
      <c r="AA606" s="85" t="n"/>
      <c r="AB606" s="85" t="n"/>
      <c r="AC606" s="86" t="n"/>
      <c r="AD606" s="86" t="n"/>
      <c r="AE606" s="86" t="n"/>
      <c r="AF606" s="85" t="n"/>
      <c r="AG606" s="85" t="n"/>
      <c r="AH606" s="85">
        <f>IF($A606="","",IF(AND($E606="Yes",OR($V606="No",$V606="NOT FOUND")),"YES",""))</f>
        <v/>
      </c>
      <c r="AI606" s="85">
        <f>IF($A606="","",TRIM(IF(AND($M606=0,$I606&lt;&gt;"Yes"),"T0-NoPhishResistant ","")&amp;IF($H606="No","NoMFA ","")&amp;IF(AND($M606=0,$O606="Group only"),"T0-ViaGroupOnly ","")&amp;IF($N606="Yes","BroadAzureScope ","")&amp;IF($T606="Yes","AlsoEntraRole ","")))</f>
        <v/>
      </c>
      <c r="AJ606" s="85">
        <f>IF($A606="","",IF(AD606="","Not Enrolled",IF(TODAY()&gt;AD606,"Review Overdue",IF(AD606-TODAY()&lt;=30,"Review Due Soon","Active"))))</f>
        <v/>
      </c>
      <c r="AK606" s="85">
        <f>IF($A606="","",IF(AE606="","NOT REVIEWED",IF(TODAY()-AE606&gt;90,"OVERDUE",IF(TODAY()-AE606&gt;76,"Due Soon","Current"))))</f>
        <v/>
      </c>
    </row>
    <row r="607" ht="15" customHeight="1" s="39">
      <c r="A607" s="85" t="n"/>
      <c r="B607" s="85" t="n"/>
      <c r="C607" s="85" t="n"/>
      <c r="D607" s="85" t="n"/>
      <c r="E607" s="85" t="n"/>
      <c r="F607" s="86" t="n"/>
      <c r="G607" s="86" t="n"/>
      <c r="H607" s="85" t="n"/>
      <c r="I607" s="85" t="n"/>
      <c r="J607" s="85" t="n"/>
      <c r="K607" s="85" t="n"/>
      <c r="L607" s="85" t="n"/>
      <c r="M607" s="85" t="n"/>
      <c r="N607" s="85" t="n"/>
      <c r="O607" s="85" t="n"/>
      <c r="P607" s="85" t="n"/>
      <c r="Q607" s="85" t="n"/>
      <c r="R607" s="85" t="n"/>
      <c r="S607" s="85" t="n"/>
      <c r="T607" s="85" t="n"/>
      <c r="U607" s="85" t="n"/>
      <c r="V607" s="85" t="n"/>
      <c r="W607" s="85" t="n"/>
      <c r="X607" s="85" t="n"/>
      <c r="Y607" s="85" t="n"/>
      <c r="Z607" s="85" t="n"/>
      <c r="AA607" s="85" t="n"/>
      <c r="AB607" s="85" t="n"/>
      <c r="AC607" s="86" t="n"/>
      <c r="AD607" s="86" t="n"/>
      <c r="AE607" s="86" t="n"/>
      <c r="AF607" s="85" t="n"/>
      <c r="AG607" s="85" t="n"/>
      <c r="AH607" s="85">
        <f>IF($A607="","",IF(AND($E607="Yes",OR($V607="No",$V607="NOT FOUND")),"YES",""))</f>
        <v/>
      </c>
      <c r="AI607" s="85">
        <f>IF($A607="","",TRIM(IF(AND($M607=0,$I607&lt;&gt;"Yes"),"T0-NoPhishResistant ","")&amp;IF($H607="No","NoMFA ","")&amp;IF(AND($M607=0,$O607="Group only"),"T0-ViaGroupOnly ","")&amp;IF($N607="Yes","BroadAzureScope ","")&amp;IF($T607="Yes","AlsoEntraRole ","")))</f>
        <v/>
      </c>
      <c r="AJ607" s="85">
        <f>IF($A607="","",IF(AD607="","Not Enrolled",IF(TODAY()&gt;AD607,"Review Overdue",IF(AD607-TODAY()&lt;=30,"Review Due Soon","Active"))))</f>
        <v/>
      </c>
      <c r="AK607" s="85">
        <f>IF($A607="","",IF(AE607="","NOT REVIEWED",IF(TODAY()-AE607&gt;90,"OVERDUE",IF(TODAY()-AE607&gt;76,"Due Soon","Current"))))</f>
        <v/>
      </c>
    </row>
    <row r="608" ht="15" customHeight="1" s="39">
      <c r="A608" s="85" t="n"/>
      <c r="B608" s="85" t="n"/>
      <c r="C608" s="85" t="n"/>
      <c r="D608" s="85" t="n"/>
      <c r="E608" s="85" t="n"/>
      <c r="F608" s="86" t="n"/>
      <c r="G608" s="86" t="n"/>
      <c r="H608" s="85" t="n"/>
      <c r="I608" s="85" t="n"/>
      <c r="J608" s="85" t="n"/>
      <c r="K608" s="85" t="n"/>
      <c r="L608" s="85" t="n"/>
      <c r="M608" s="85" t="n"/>
      <c r="N608" s="85" t="n"/>
      <c r="O608" s="85" t="n"/>
      <c r="P608" s="85" t="n"/>
      <c r="Q608" s="85" t="n"/>
      <c r="R608" s="85" t="n"/>
      <c r="S608" s="85" t="n"/>
      <c r="T608" s="85" t="n"/>
      <c r="U608" s="85" t="n"/>
      <c r="V608" s="85" t="n"/>
      <c r="W608" s="85" t="n"/>
      <c r="X608" s="85" t="n"/>
      <c r="Y608" s="85" t="n"/>
      <c r="Z608" s="85" t="n"/>
      <c r="AA608" s="85" t="n"/>
      <c r="AB608" s="85" t="n"/>
      <c r="AC608" s="86" t="n"/>
      <c r="AD608" s="86" t="n"/>
      <c r="AE608" s="86" t="n"/>
      <c r="AF608" s="85" t="n"/>
      <c r="AG608" s="85" t="n"/>
      <c r="AH608" s="85">
        <f>IF($A608="","",IF(AND($E608="Yes",OR($V608="No",$V608="NOT FOUND")),"YES",""))</f>
        <v/>
      </c>
      <c r="AI608" s="85">
        <f>IF($A608="","",TRIM(IF(AND($M608=0,$I608&lt;&gt;"Yes"),"T0-NoPhishResistant ","")&amp;IF($H608="No","NoMFA ","")&amp;IF(AND($M608=0,$O608="Group only"),"T0-ViaGroupOnly ","")&amp;IF($N608="Yes","BroadAzureScope ","")&amp;IF($T608="Yes","AlsoEntraRole ","")))</f>
        <v/>
      </c>
      <c r="AJ608" s="85">
        <f>IF($A608="","",IF(AD608="","Not Enrolled",IF(TODAY()&gt;AD608,"Review Overdue",IF(AD608-TODAY()&lt;=30,"Review Due Soon","Active"))))</f>
        <v/>
      </c>
      <c r="AK608" s="85">
        <f>IF($A608="","",IF(AE608="","NOT REVIEWED",IF(TODAY()-AE608&gt;90,"OVERDUE",IF(TODAY()-AE608&gt;76,"Due Soon","Current"))))</f>
        <v/>
      </c>
    </row>
    <row r="609" ht="15" customHeight="1" s="39">
      <c r="A609" s="85" t="n"/>
      <c r="B609" s="85" t="n"/>
      <c r="C609" s="85" t="n"/>
      <c r="D609" s="85" t="n"/>
      <c r="E609" s="85" t="n"/>
      <c r="F609" s="86" t="n"/>
      <c r="G609" s="86" t="n"/>
      <c r="H609" s="85" t="n"/>
      <c r="I609" s="85" t="n"/>
      <c r="J609" s="85" t="n"/>
      <c r="K609" s="85" t="n"/>
      <c r="L609" s="85" t="n"/>
      <c r="M609" s="85" t="n"/>
      <c r="N609" s="85" t="n"/>
      <c r="O609" s="85" t="n"/>
      <c r="P609" s="85" t="n"/>
      <c r="Q609" s="85" t="n"/>
      <c r="R609" s="85" t="n"/>
      <c r="S609" s="85" t="n"/>
      <c r="T609" s="85" t="n"/>
      <c r="U609" s="85" t="n"/>
      <c r="V609" s="85" t="n"/>
      <c r="W609" s="85" t="n"/>
      <c r="X609" s="85" t="n"/>
      <c r="Y609" s="85" t="n"/>
      <c r="Z609" s="85" t="n"/>
      <c r="AA609" s="85" t="n"/>
      <c r="AB609" s="85" t="n"/>
      <c r="AC609" s="86" t="n"/>
      <c r="AD609" s="86" t="n"/>
      <c r="AE609" s="86" t="n"/>
      <c r="AF609" s="85" t="n"/>
      <c r="AG609" s="85" t="n"/>
      <c r="AH609" s="85">
        <f>IF($A609="","",IF(AND($E609="Yes",OR($V609="No",$V609="NOT FOUND")),"YES",""))</f>
        <v/>
      </c>
      <c r="AI609" s="85">
        <f>IF($A609="","",TRIM(IF(AND($M609=0,$I609&lt;&gt;"Yes"),"T0-NoPhishResistant ","")&amp;IF($H609="No","NoMFA ","")&amp;IF(AND($M609=0,$O609="Group only"),"T0-ViaGroupOnly ","")&amp;IF($N609="Yes","BroadAzureScope ","")&amp;IF($T609="Yes","AlsoEntraRole ","")))</f>
        <v/>
      </c>
      <c r="AJ609" s="85">
        <f>IF($A609="","",IF(AD609="","Not Enrolled",IF(TODAY()&gt;AD609,"Review Overdue",IF(AD609-TODAY()&lt;=30,"Review Due Soon","Active"))))</f>
        <v/>
      </c>
      <c r="AK609" s="85">
        <f>IF($A609="","",IF(AE609="","NOT REVIEWED",IF(TODAY()-AE609&gt;90,"OVERDUE",IF(TODAY()-AE609&gt;76,"Due Soon","Current"))))</f>
        <v/>
      </c>
    </row>
    <row r="610" ht="15" customHeight="1" s="39">
      <c r="A610" s="85" t="n"/>
      <c r="B610" s="85" t="n"/>
      <c r="C610" s="85" t="n"/>
      <c r="D610" s="85" t="n"/>
      <c r="E610" s="85" t="n"/>
      <c r="F610" s="86" t="n"/>
      <c r="G610" s="86" t="n"/>
      <c r="H610" s="85" t="n"/>
      <c r="I610" s="85" t="n"/>
      <c r="J610" s="85" t="n"/>
      <c r="K610" s="85" t="n"/>
      <c r="L610" s="85" t="n"/>
      <c r="M610" s="85" t="n"/>
      <c r="N610" s="85" t="n"/>
      <c r="O610" s="85" t="n"/>
      <c r="P610" s="85" t="n"/>
      <c r="Q610" s="85" t="n"/>
      <c r="R610" s="85" t="n"/>
      <c r="S610" s="85" t="n"/>
      <c r="T610" s="85" t="n"/>
      <c r="U610" s="85" t="n"/>
      <c r="V610" s="85" t="n"/>
      <c r="W610" s="85" t="n"/>
      <c r="X610" s="85" t="n"/>
      <c r="Y610" s="85" t="n"/>
      <c r="Z610" s="85" t="n"/>
      <c r="AA610" s="85" t="n"/>
      <c r="AB610" s="85" t="n"/>
      <c r="AC610" s="86" t="n"/>
      <c r="AD610" s="86" t="n"/>
      <c r="AE610" s="86" t="n"/>
      <c r="AF610" s="85" t="n"/>
      <c r="AG610" s="85" t="n"/>
      <c r="AH610" s="85">
        <f>IF($A610="","",IF(AND($E610="Yes",OR($V610="No",$V610="NOT FOUND")),"YES",""))</f>
        <v/>
      </c>
      <c r="AI610" s="85">
        <f>IF($A610="","",TRIM(IF(AND($M610=0,$I610&lt;&gt;"Yes"),"T0-NoPhishResistant ","")&amp;IF($H610="No","NoMFA ","")&amp;IF(AND($M610=0,$O610="Group only"),"T0-ViaGroupOnly ","")&amp;IF($N610="Yes","BroadAzureScope ","")&amp;IF($T610="Yes","AlsoEntraRole ","")))</f>
        <v/>
      </c>
      <c r="AJ610" s="85">
        <f>IF($A610="","",IF(AD610="","Not Enrolled",IF(TODAY()&gt;AD610,"Review Overdue",IF(AD610-TODAY()&lt;=30,"Review Due Soon","Active"))))</f>
        <v/>
      </c>
      <c r="AK610" s="85">
        <f>IF($A610="","",IF(AE610="","NOT REVIEWED",IF(TODAY()-AE610&gt;90,"OVERDUE",IF(TODAY()-AE610&gt;76,"Due Soon","Current"))))</f>
        <v/>
      </c>
    </row>
    <row r="611" ht="15" customHeight="1" s="39">
      <c r="A611" s="85" t="n"/>
      <c r="B611" s="85" t="n"/>
      <c r="C611" s="85" t="n"/>
      <c r="D611" s="85" t="n"/>
      <c r="E611" s="85" t="n"/>
      <c r="F611" s="86" t="n"/>
      <c r="G611" s="86" t="n"/>
      <c r="H611" s="85" t="n"/>
      <c r="I611" s="85" t="n"/>
      <c r="J611" s="85" t="n"/>
      <c r="K611" s="85" t="n"/>
      <c r="L611" s="85" t="n"/>
      <c r="M611" s="85" t="n"/>
      <c r="N611" s="85" t="n"/>
      <c r="O611" s="85" t="n"/>
      <c r="P611" s="85" t="n"/>
      <c r="Q611" s="85" t="n"/>
      <c r="R611" s="85" t="n"/>
      <c r="S611" s="85" t="n"/>
      <c r="T611" s="85" t="n"/>
      <c r="U611" s="85" t="n"/>
      <c r="V611" s="85" t="n"/>
      <c r="W611" s="85" t="n"/>
      <c r="X611" s="85" t="n"/>
      <c r="Y611" s="85" t="n"/>
      <c r="Z611" s="85" t="n"/>
      <c r="AA611" s="85" t="n"/>
      <c r="AB611" s="85" t="n"/>
      <c r="AC611" s="86" t="n"/>
      <c r="AD611" s="86" t="n"/>
      <c r="AE611" s="86" t="n"/>
      <c r="AF611" s="85" t="n"/>
      <c r="AG611" s="85" t="n"/>
      <c r="AH611" s="85">
        <f>IF($A611="","",IF(AND($E611="Yes",OR($V611="No",$V611="NOT FOUND")),"YES",""))</f>
        <v/>
      </c>
      <c r="AI611" s="85">
        <f>IF($A611="","",TRIM(IF(AND($M611=0,$I611&lt;&gt;"Yes"),"T0-NoPhishResistant ","")&amp;IF($H611="No","NoMFA ","")&amp;IF(AND($M611=0,$O611="Group only"),"T0-ViaGroupOnly ","")&amp;IF($N611="Yes","BroadAzureScope ","")&amp;IF($T611="Yes","AlsoEntraRole ","")))</f>
        <v/>
      </c>
      <c r="AJ611" s="85">
        <f>IF($A611="","",IF(AD611="","Not Enrolled",IF(TODAY()&gt;AD611,"Review Overdue",IF(AD611-TODAY()&lt;=30,"Review Due Soon","Active"))))</f>
        <v/>
      </c>
      <c r="AK611" s="85">
        <f>IF($A611="","",IF(AE611="","NOT REVIEWED",IF(TODAY()-AE611&gt;90,"OVERDUE",IF(TODAY()-AE611&gt;76,"Due Soon","Current"))))</f>
        <v/>
      </c>
    </row>
    <row r="612" ht="15" customHeight="1" s="39">
      <c r="A612" s="85" t="n"/>
      <c r="B612" s="85" t="n"/>
      <c r="C612" s="85" t="n"/>
      <c r="D612" s="85" t="n"/>
      <c r="E612" s="85" t="n"/>
      <c r="F612" s="86" t="n"/>
      <c r="G612" s="86" t="n"/>
      <c r="H612" s="85" t="n"/>
      <c r="I612" s="85" t="n"/>
      <c r="J612" s="85" t="n"/>
      <c r="K612" s="85" t="n"/>
      <c r="L612" s="85" t="n"/>
      <c r="M612" s="85" t="n"/>
      <c r="N612" s="85" t="n"/>
      <c r="O612" s="85" t="n"/>
      <c r="P612" s="85" t="n"/>
      <c r="Q612" s="85" t="n"/>
      <c r="R612" s="85" t="n"/>
      <c r="S612" s="85" t="n"/>
      <c r="T612" s="85" t="n"/>
      <c r="U612" s="85" t="n"/>
      <c r="V612" s="85" t="n"/>
      <c r="W612" s="85" t="n"/>
      <c r="X612" s="85" t="n"/>
      <c r="Y612" s="85" t="n"/>
      <c r="Z612" s="85" t="n"/>
      <c r="AA612" s="85" t="n"/>
      <c r="AB612" s="85" t="n"/>
      <c r="AC612" s="86" t="n"/>
      <c r="AD612" s="86" t="n"/>
      <c r="AE612" s="86" t="n"/>
      <c r="AF612" s="85" t="n"/>
      <c r="AG612" s="85" t="n"/>
      <c r="AH612" s="85">
        <f>IF($A612="","",IF(AND($E612="Yes",OR($V612="No",$V612="NOT FOUND")),"YES",""))</f>
        <v/>
      </c>
      <c r="AI612" s="85">
        <f>IF($A612="","",TRIM(IF(AND($M612=0,$I612&lt;&gt;"Yes"),"T0-NoPhishResistant ","")&amp;IF($H612="No","NoMFA ","")&amp;IF(AND($M612=0,$O612="Group only"),"T0-ViaGroupOnly ","")&amp;IF($N612="Yes","BroadAzureScope ","")&amp;IF($T612="Yes","AlsoEntraRole ","")))</f>
        <v/>
      </c>
      <c r="AJ612" s="85">
        <f>IF($A612="","",IF(AD612="","Not Enrolled",IF(TODAY()&gt;AD612,"Review Overdue",IF(AD612-TODAY()&lt;=30,"Review Due Soon","Active"))))</f>
        <v/>
      </c>
      <c r="AK612" s="85">
        <f>IF($A612="","",IF(AE612="","NOT REVIEWED",IF(TODAY()-AE612&gt;90,"OVERDUE",IF(TODAY()-AE612&gt;76,"Due Soon","Current"))))</f>
        <v/>
      </c>
    </row>
    <row r="613" ht="15" customHeight="1" s="39">
      <c r="A613" s="85" t="n"/>
      <c r="B613" s="85" t="n"/>
      <c r="C613" s="85" t="n"/>
      <c r="D613" s="85" t="n"/>
      <c r="E613" s="85" t="n"/>
      <c r="F613" s="86" t="n"/>
      <c r="G613" s="86" t="n"/>
      <c r="H613" s="85" t="n"/>
      <c r="I613" s="85" t="n"/>
      <c r="J613" s="85" t="n"/>
      <c r="K613" s="85" t="n"/>
      <c r="L613" s="85" t="n"/>
      <c r="M613" s="85" t="n"/>
      <c r="N613" s="85" t="n"/>
      <c r="O613" s="85" t="n"/>
      <c r="P613" s="85" t="n"/>
      <c r="Q613" s="85" t="n"/>
      <c r="R613" s="85" t="n"/>
      <c r="S613" s="85" t="n"/>
      <c r="T613" s="85" t="n"/>
      <c r="U613" s="85" t="n"/>
      <c r="V613" s="85" t="n"/>
      <c r="W613" s="85" t="n"/>
      <c r="X613" s="85" t="n"/>
      <c r="Y613" s="85" t="n"/>
      <c r="Z613" s="85" t="n"/>
      <c r="AA613" s="85" t="n"/>
      <c r="AB613" s="85" t="n"/>
      <c r="AC613" s="86" t="n"/>
      <c r="AD613" s="86" t="n"/>
      <c r="AE613" s="86" t="n"/>
      <c r="AF613" s="85" t="n"/>
      <c r="AG613" s="85" t="n"/>
      <c r="AH613" s="85">
        <f>IF($A613="","",IF(AND($E613="Yes",OR($V613="No",$V613="NOT FOUND")),"YES",""))</f>
        <v/>
      </c>
      <c r="AI613" s="85">
        <f>IF($A613="","",TRIM(IF(AND($M613=0,$I613&lt;&gt;"Yes"),"T0-NoPhishResistant ","")&amp;IF($H613="No","NoMFA ","")&amp;IF(AND($M613=0,$O613="Group only"),"T0-ViaGroupOnly ","")&amp;IF($N613="Yes","BroadAzureScope ","")&amp;IF($T613="Yes","AlsoEntraRole ","")))</f>
        <v/>
      </c>
      <c r="AJ613" s="85">
        <f>IF($A613="","",IF(AD613="","Not Enrolled",IF(TODAY()&gt;AD613,"Review Overdue",IF(AD613-TODAY()&lt;=30,"Review Due Soon","Active"))))</f>
        <v/>
      </c>
      <c r="AK613" s="85">
        <f>IF($A613="","",IF(AE613="","NOT REVIEWED",IF(TODAY()-AE613&gt;90,"OVERDUE",IF(TODAY()-AE613&gt;76,"Due Soon","Current"))))</f>
        <v/>
      </c>
    </row>
    <row r="614" ht="15" customHeight="1" s="39">
      <c r="A614" s="85" t="n"/>
      <c r="B614" s="85" t="n"/>
      <c r="C614" s="85" t="n"/>
      <c r="D614" s="85" t="n"/>
      <c r="E614" s="85" t="n"/>
      <c r="F614" s="86" t="n"/>
      <c r="G614" s="86" t="n"/>
      <c r="H614" s="85" t="n"/>
      <c r="I614" s="85" t="n"/>
      <c r="J614" s="85" t="n"/>
      <c r="K614" s="85" t="n"/>
      <c r="L614" s="85" t="n"/>
      <c r="M614" s="85" t="n"/>
      <c r="N614" s="85" t="n"/>
      <c r="O614" s="85" t="n"/>
      <c r="P614" s="85" t="n"/>
      <c r="Q614" s="85" t="n"/>
      <c r="R614" s="85" t="n"/>
      <c r="S614" s="85" t="n"/>
      <c r="T614" s="85" t="n"/>
      <c r="U614" s="85" t="n"/>
      <c r="V614" s="85" t="n"/>
      <c r="W614" s="85" t="n"/>
      <c r="X614" s="85" t="n"/>
      <c r="Y614" s="85" t="n"/>
      <c r="Z614" s="85" t="n"/>
      <c r="AA614" s="85" t="n"/>
      <c r="AB614" s="85" t="n"/>
      <c r="AC614" s="86" t="n"/>
      <c r="AD614" s="86" t="n"/>
      <c r="AE614" s="86" t="n"/>
      <c r="AF614" s="85" t="n"/>
      <c r="AG614" s="85" t="n"/>
      <c r="AH614" s="85">
        <f>IF($A614="","",IF(AND($E614="Yes",OR($V614="No",$V614="NOT FOUND")),"YES",""))</f>
        <v/>
      </c>
      <c r="AI614" s="85">
        <f>IF($A614="","",TRIM(IF(AND($M614=0,$I614&lt;&gt;"Yes"),"T0-NoPhishResistant ","")&amp;IF($H614="No","NoMFA ","")&amp;IF(AND($M614=0,$O614="Group only"),"T0-ViaGroupOnly ","")&amp;IF($N614="Yes","BroadAzureScope ","")&amp;IF($T614="Yes","AlsoEntraRole ","")))</f>
        <v/>
      </c>
      <c r="AJ614" s="85">
        <f>IF($A614="","",IF(AD614="","Not Enrolled",IF(TODAY()&gt;AD614,"Review Overdue",IF(AD614-TODAY()&lt;=30,"Review Due Soon","Active"))))</f>
        <v/>
      </c>
      <c r="AK614" s="85">
        <f>IF($A614="","",IF(AE614="","NOT REVIEWED",IF(TODAY()-AE614&gt;90,"OVERDUE",IF(TODAY()-AE614&gt;76,"Due Soon","Current"))))</f>
        <v/>
      </c>
    </row>
    <row r="615" ht="15" customHeight="1" s="39">
      <c r="A615" s="85" t="n"/>
      <c r="B615" s="85" t="n"/>
      <c r="C615" s="85" t="n"/>
      <c r="D615" s="85" t="n"/>
      <c r="E615" s="85" t="n"/>
      <c r="F615" s="86" t="n"/>
      <c r="G615" s="86" t="n"/>
      <c r="H615" s="85" t="n"/>
      <c r="I615" s="85" t="n"/>
      <c r="J615" s="85" t="n"/>
      <c r="K615" s="85" t="n"/>
      <c r="L615" s="85" t="n"/>
      <c r="M615" s="85" t="n"/>
      <c r="N615" s="85" t="n"/>
      <c r="O615" s="85" t="n"/>
      <c r="P615" s="85" t="n"/>
      <c r="Q615" s="85" t="n"/>
      <c r="R615" s="85" t="n"/>
      <c r="S615" s="85" t="n"/>
      <c r="T615" s="85" t="n"/>
      <c r="U615" s="85" t="n"/>
      <c r="V615" s="85" t="n"/>
      <c r="W615" s="85" t="n"/>
      <c r="X615" s="85" t="n"/>
      <c r="Y615" s="85" t="n"/>
      <c r="Z615" s="85" t="n"/>
      <c r="AA615" s="85" t="n"/>
      <c r="AB615" s="85" t="n"/>
      <c r="AC615" s="86" t="n"/>
      <c r="AD615" s="86" t="n"/>
      <c r="AE615" s="86" t="n"/>
      <c r="AF615" s="85" t="n"/>
      <c r="AG615" s="85" t="n"/>
      <c r="AH615" s="85">
        <f>IF($A615="","",IF(AND($E615="Yes",OR($V615="No",$V615="NOT FOUND")),"YES",""))</f>
        <v/>
      </c>
      <c r="AI615" s="85">
        <f>IF($A615="","",TRIM(IF(AND($M615=0,$I615&lt;&gt;"Yes"),"T0-NoPhishResistant ","")&amp;IF($H615="No","NoMFA ","")&amp;IF(AND($M615=0,$O615="Group only"),"T0-ViaGroupOnly ","")&amp;IF($N615="Yes","BroadAzureScope ","")&amp;IF($T615="Yes","AlsoEntraRole ","")))</f>
        <v/>
      </c>
      <c r="AJ615" s="85">
        <f>IF($A615="","",IF(AD615="","Not Enrolled",IF(TODAY()&gt;AD615,"Review Overdue",IF(AD615-TODAY()&lt;=30,"Review Due Soon","Active"))))</f>
        <v/>
      </c>
      <c r="AK615" s="85">
        <f>IF($A615="","",IF(AE615="","NOT REVIEWED",IF(TODAY()-AE615&gt;90,"OVERDUE",IF(TODAY()-AE615&gt;76,"Due Soon","Current"))))</f>
        <v/>
      </c>
    </row>
    <row r="616" ht="15" customHeight="1" s="39">
      <c r="A616" s="85" t="n"/>
      <c r="B616" s="85" t="n"/>
      <c r="C616" s="85" t="n"/>
      <c r="D616" s="85" t="n"/>
      <c r="E616" s="85" t="n"/>
      <c r="F616" s="86" t="n"/>
      <c r="G616" s="86" t="n"/>
      <c r="H616" s="85" t="n"/>
      <c r="I616" s="85" t="n"/>
      <c r="J616" s="85" t="n"/>
      <c r="K616" s="85" t="n"/>
      <c r="L616" s="85" t="n"/>
      <c r="M616" s="85" t="n"/>
      <c r="N616" s="85" t="n"/>
      <c r="O616" s="85" t="n"/>
      <c r="P616" s="85" t="n"/>
      <c r="Q616" s="85" t="n"/>
      <c r="R616" s="85" t="n"/>
      <c r="S616" s="85" t="n"/>
      <c r="T616" s="85" t="n"/>
      <c r="U616" s="85" t="n"/>
      <c r="V616" s="85" t="n"/>
      <c r="W616" s="85" t="n"/>
      <c r="X616" s="85" t="n"/>
      <c r="Y616" s="85" t="n"/>
      <c r="Z616" s="85" t="n"/>
      <c r="AA616" s="85" t="n"/>
      <c r="AB616" s="85" t="n"/>
      <c r="AC616" s="86" t="n"/>
      <c r="AD616" s="86" t="n"/>
      <c r="AE616" s="86" t="n"/>
      <c r="AF616" s="85" t="n"/>
      <c r="AG616" s="85" t="n"/>
      <c r="AH616" s="85">
        <f>IF($A616="","",IF(AND($E616="Yes",OR($V616="No",$V616="NOT FOUND")),"YES",""))</f>
        <v/>
      </c>
      <c r="AI616" s="85">
        <f>IF($A616="","",TRIM(IF(AND($M616=0,$I616&lt;&gt;"Yes"),"T0-NoPhishResistant ","")&amp;IF($H616="No","NoMFA ","")&amp;IF(AND($M616=0,$O616="Group only"),"T0-ViaGroupOnly ","")&amp;IF($N616="Yes","BroadAzureScope ","")&amp;IF($T616="Yes","AlsoEntraRole ","")))</f>
        <v/>
      </c>
      <c r="AJ616" s="85">
        <f>IF($A616="","",IF(AD616="","Not Enrolled",IF(TODAY()&gt;AD616,"Review Overdue",IF(AD616-TODAY()&lt;=30,"Review Due Soon","Active"))))</f>
        <v/>
      </c>
      <c r="AK616" s="85">
        <f>IF($A616="","",IF(AE616="","NOT REVIEWED",IF(TODAY()-AE616&gt;90,"OVERDUE",IF(TODAY()-AE616&gt;76,"Due Soon","Current"))))</f>
        <v/>
      </c>
    </row>
    <row r="617" ht="15" customHeight="1" s="39">
      <c r="A617" s="85" t="n"/>
      <c r="B617" s="85" t="n"/>
      <c r="C617" s="85" t="n"/>
      <c r="D617" s="85" t="n"/>
      <c r="E617" s="85" t="n"/>
      <c r="F617" s="86" t="n"/>
      <c r="G617" s="86" t="n"/>
      <c r="H617" s="85" t="n"/>
      <c r="I617" s="85" t="n"/>
      <c r="J617" s="85" t="n"/>
      <c r="K617" s="85" t="n"/>
      <c r="L617" s="85" t="n"/>
      <c r="M617" s="85" t="n"/>
      <c r="N617" s="85" t="n"/>
      <c r="O617" s="85" t="n"/>
      <c r="P617" s="85" t="n"/>
      <c r="Q617" s="85" t="n"/>
      <c r="R617" s="85" t="n"/>
      <c r="S617" s="85" t="n"/>
      <c r="T617" s="85" t="n"/>
      <c r="U617" s="85" t="n"/>
      <c r="V617" s="85" t="n"/>
      <c r="W617" s="85" t="n"/>
      <c r="X617" s="85" t="n"/>
      <c r="Y617" s="85" t="n"/>
      <c r="Z617" s="85" t="n"/>
      <c r="AA617" s="85" t="n"/>
      <c r="AB617" s="85" t="n"/>
      <c r="AC617" s="86" t="n"/>
      <c r="AD617" s="86" t="n"/>
      <c r="AE617" s="86" t="n"/>
      <c r="AF617" s="85" t="n"/>
      <c r="AG617" s="85" t="n"/>
      <c r="AH617" s="85">
        <f>IF($A617="","",IF(AND($E617="Yes",OR($V617="No",$V617="NOT FOUND")),"YES",""))</f>
        <v/>
      </c>
      <c r="AI617" s="85">
        <f>IF($A617="","",TRIM(IF(AND($M617=0,$I617&lt;&gt;"Yes"),"T0-NoPhishResistant ","")&amp;IF($H617="No","NoMFA ","")&amp;IF(AND($M617=0,$O617="Group only"),"T0-ViaGroupOnly ","")&amp;IF($N617="Yes","BroadAzureScope ","")&amp;IF($T617="Yes","AlsoEntraRole ","")))</f>
        <v/>
      </c>
      <c r="AJ617" s="85">
        <f>IF($A617="","",IF(AD617="","Not Enrolled",IF(TODAY()&gt;AD617,"Review Overdue",IF(AD617-TODAY()&lt;=30,"Review Due Soon","Active"))))</f>
        <v/>
      </c>
      <c r="AK617" s="85">
        <f>IF($A617="","",IF(AE617="","NOT REVIEWED",IF(TODAY()-AE617&gt;90,"OVERDUE",IF(TODAY()-AE617&gt;76,"Due Soon","Current"))))</f>
        <v/>
      </c>
    </row>
    <row r="618" ht="15" customHeight="1" s="39">
      <c r="A618" s="85" t="n"/>
      <c r="B618" s="85" t="n"/>
      <c r="C618" s="85" t="n"/>
      <c r="D618" s="85" t="n"/>
      <c r="E618" s="85" t="n"/>
      <c r="F618" s="86" t="n"/>
      <c r="G618" s="86" t="n"/>
      <c r="H618" s="85" t="n"/>
      <c r="I618" s="85" t="n"/>
      <c r="J618" s="85" t="n"/>
      <c r="K618" s="85" t="n"/>
      <c r="L618" s="85" t="n"/>
      <c r="M618" s="85" t="n"/>
      <c r="N618" s="85" t="n"/>
      <c r="O618" s="85" t="n"/>
      <c r="P618" s="85" t="n"/>
      <c r="Q618" s="85" t="n"/>
      <c r="R618" s="85" t="n"/>
      <c r="S618" s="85" t="n"/>
      <c r="T618" s="85" t="n"/>
      <c r="U618" s="85" t="n"/>
      <c r="V618" s="85" t="n"/>
      <c r="W618" s="85" t="n"/>
      <c r="X618" s="85" t="n"/>
      <c r="Y618" s="85" t="n"/>
      <c r="Z618" s="85" t="n"/>
      <c r="AA618" s="85" t="n"/>
      <c r="AB618" s="85" t="n"/>
      <c r="AC618" s="86" t="n"/>
      <c r="AD618" s="86" t="n"/>
      <c r="AE618" s="86" t="n"/>
      <c r="AF618" s="85" t="n"/>
      <c r="AG618" s="85" t="n"/>
      <c r="AH618" s="85">
        <f>IF($A618="","",IF(AND($E618="Yes",OR($V618="No",$V618="NOT FOUND")),"YES",""))</f>
        <v/>
      </c>
      <c r="AI618" s="85">
        <f>IF($A618="","",TRIM(IF(AND($M618=0,$I618&lt;&gt;"Yes"),"T0-NoPhishResistant ","")&amp;IF($H618="No","NoMFA ","")&amp;IF(AND($M618=0,$O618="Group only"),"T0-ViaGroupOnly ","")&amp;IF($N618="Yes","BroadAzureScope ","")&amp;IF($T618="Yes","AlsoEntraRole ","")))</f>
        <v/>
      </c>
      <c r="AJ618" s="85">
        <f>IF($A618="","",IF(AD618="","Not Enrolled",IF(TODAY()&gt;AD618,"Review Overdue",IF(AD618-TODAY()&lt;=30,"Review Due Soon","Active"))))</f>
        <v/>
      </c>
      <c r="AK618" s="85">
        <f>IF($A618="","",IF(AE618="","NOT REVIEWED",IF(TODAY()-AE618&gt;90,"OVERDUE",IF(TODAY()-AE618&gt;76,"Due Soon","Current"))))</f>
        <v/>
      </c>
    </row>
    <row r="619" ht="15" customHeight="1" s="39">
      <c r="A619" s="85" t="n"/>
      <c r="B619" s="85" t="n"/>
      <c r="C619" s="85" t="n"/>
      <c r="D619" s="85" t="n"/>
      <c r="E619" s="85" t="n"/>
      <c r="F619" s="86" t="n"/>
      <c r="G619" s="86" t="n"/>
      <c r="H619" s="85" t="n"/>
      <c r="I619" s="85" t="n"/>
      <c r="J619" s="85" t="n"/>
      <c r="K619" s="85" t="n"/>
      <c r="L619" s="85" t="n"/>
      <c r="M619" s="85" t="n"/>
      <c r="N619" s="85" t="n"/>
      <c r="O619" s="85" t="n"/>
      <c r="P619" s="85" t="n"/>
      <c r="Q619" s="85" t="n"/>
      <c r="R619" s="85" t="n"/>
      <c r="S619" s="85" t="n"/>
      <c r="T619" s="85" t="n"/>
      <c r="U619" s="85" t="n"/>
      <c r="V619" s="85" t="n"/>
      <c r="W619" s="85" t="n"/>
      <c r="X619" s="85" t="n"/>
      <c r="Y619" s="85" t="n"/>
      <c r="Z619" s="85" t="n"/>
      <c r="AA619" s="85" t="n"/>
      <c r="AB619" s="85" t="n"/>
      <c r="AC619" s="86" t="n"/>
      <c r="AD619" s="86" t="n"/>
      <c r="AE619" s="86" t="n"/>
      <c r="AF619" s="85" t="n"/>
      <c r="AG619" s="85" t="n"/>
      <c r="AH619" s="85">
        <f>IF($A619="","",IF(AND($E619="Yes",OR($V619="No",$V619="NOT FOUND")),"YES",""))</f>
        <v/>
      </c>
      <c r="AI619" s="85">
        <f>IF($A619="","",TRIM(IF(AND($M619=0,$I619&lt;&gt;"Yes"),"T0-NoPhishResistant ","")&amp;IF($H619="No","NoMFA ","")&amp;IF(AND($M619=0,$O619="Group only"),"T0-ViaGroupOnly ","")&amp;IF($N619="Yes","BroadAzureScope ","")&amp;IF($T619="Yes","AlsoEntraRole ","")))</f>
        <v/>
      </c>
      <c r="AJ619" s="85">
        <f>IF($A619="","",IF(AD619="","Not Enrolled",IF(TODAY()&gt;AD619,"Review Overdue",IF(AD619-TODAY()&lt;=30,"Review Due Soon","Active"))))</f>
        <v/>
      </c>
      <c r="AK619" s="85">
        <f>IF($A619="","",IF(AE619="","NOT REVIEWED",IF(TODAY()-AE619&gt;90,"OVERDUE",IF(TODAY()-AE619&gt;76,"Due Soon","Current"))))</f>
        <v/>
      </c>
    </row>
    <row r="620" ht="15" customHeight="1" s="39">
      <c r="A620" s="85" t="n"/>
      <c r="B620" s="85" t="n"/>
      <c r="C620" s="85" t="n"/>
      <c r="D620" s="85" t="n"/>
      <c r="E620" s="85" t="n"/>
      <c r="F620" s="86" t="n"/>
      <c r="G620" s="86" t="n"/>
      <c r="H620" s="85" t="n"/>
      <c r="I620" s="85" t="n"/>
      <c r="J620" s="85" t="n"/>
      <c r="K620" s="85" t="n"/>
      <c r="L620" s="85" t="n"/>
      <c r="M620" s="85" t="n"/>
      <c r="N620" s="85" t="n"/>
      <c r="O620" s="85" t="n"/>
      <c r="P620" s="85" t="n"/>
      <c r="Q620" s="85" t="n"/>
      <c r="R620" s="85" t="n"/>
      <c r="S620" s="85" t="n"/>
      <c r="T620" s="85" t="n"/>
      <c r="U620" s="85" t="n"/>
      <c r="V620" s="85" t="n"/>
      <c r="W620" s="85" t="n"/>
      <c r="X620" s="85" t="n"/>
      <c r="Y620" s="85" t="n"/>
      <c r="Z620" s="85" t="n"/>
      <c r="AA620" s="85" t="n"/>
      <c r="AB620" s="85" t="n"/>
      <c r="AC620" s="86" t="n"/>
      <c r="AD620" s="86" t="n"/>
      <c r="AE620" s="86" t="n"/>
      <c r="AF620" s="85" t="n"/>
      <c r="AG620" s="85" t="n"/>
      <c r="AH620" s="85">
        <f>IF($A620="","",IF(AND($E620="Yes",OR($V620="No",$V620="NOT FOUND")),"YES",""))</f>
        <v/>
      </c>
      <c r="AI620" s="85">
        <f>IF($A620="","",TRIM(IF(AND($M620=0,$I620&lt;&gt;"Yes"),"T0-NoPhishResistant ","")&amp;IF($H620="No","NoMFA ","")&amp;IF(AND($M620=0,$O620="Group only"),"T0-ViaGroupOnly ","")&amp;IF($N620="Yes","BroadAzureScope ","")&amp;IF($T620="Yes","AlsoEntraRole ","")))</f>
        <v/>
      </c>
      <c r="AJ620" s="85">
        <f>IF($A620="","",IF(AD620="","Not Enrolled",IF(TODAY()&gt;AD620,"Review Overdue",IF(AD620-TODAY()&lt;=30,"Review Due Soon","Active"))))</f>
        <v/>
      </c>
      <c r="AK620" s="85">
        <f>IF($A620="","",IF(AE620="","NOT REVIEWED",IF(TODAY()-AE620&gt;90,"OVERDUE",IF(TODAY()-AE620&gt;76,"Due Soon","Current"))))</f>
        <v/>
      </c>
    </row>
    <row r="621" ht="15" customHeight="1" s="39">
      <c r="A621" s="85" t="n"/>
      <c r="B621" s="85" t="n"/>
      <c r="C621" s="85" t="n"/>
      <c r="D621" s="85" t="n"/>
      <c r="E621" s="85" t="n"/>
      <c r="F621" s="86" t="n"/>
      <c r="G621" s="86" t="n"/>
      <c r="H621" s="85" t="n"/>
      <c r="I621" s="85" t="n"/>
      <c r="J621" s="85" t="n"/>
      <c r="K621" s="85" t="n"/>
      <c r="L621" s="85" t="n"/>
      <c r="M621" s="85" t="n"/>
      <c r="N621" s="85" t="n"/>
      <c r="O621" s="85" t="n"/>
      <c r="P621" s="85" t="n"/>
      <c r="Q621" s="85" t="n"/>
      <c r="R621" s="85" t="n"/>
      <c r="S621" s="85" t="n"/>
      <c r="T621" s="85" t="n"/>
      <c r="U621" s="85" t="n"/>
      <c r="V621" s="85" t="n"/>
      <c r="W621" s="85" t="n"/>
      <c r="X621" s="85" t="n"/>
      <c r="Y621" s="85" t="n"/>
      <c r="Z621" s="85" t="n"/>
      <c r="AA621" s="85" t="n"/>
      <c r="AB621" s="85" t="n"/>
      <c r="AC621" s="86" t="n"/>
      <c r="AD621" s="86" t="n"/>
      <c r="AE621" s="86" t="n"/>
      <c r="AF621" s="85" t="n"/>
      <c r="AG621" s="85" t="n"/>
      <c r="AH621" s="85">
        <f>IF($A621="","",IF(AND($E621="Yes",OR($V621="No",$V621="NOT FOUND")),"YES",""))</f>
        <v/>
      </c>
      <c r="AI621" s="85">
        <f>IF($A621="","",TRIM(IF(AND($M621=0,$I621&lt;&gt;"Yes"),"T0-NoPhishResistant ","")&amp;IF($H621="No","NoMFA ","")&amp;IF(AND($M621=0,$O621="Group only"),"T0-ViaGroupOnly ","")&amp;IF($N621="Yes","BroadAzureScope ","")&amp;IF($T621="Yes","AlsoEntraRole ","")))</f>
        <v/>
      </c>
      <c r="AJ621" s="85">
        <f>IF($A621="","",IF(AD621="","Not Enrolled",IF(TODAY()&gt;AD621,"Review Overdue",IF(AD621-TODAY()&lt;=30,"Review Due Soon","Active"))))</f>
        <v/>
      </c>
      <c r="AK621" s="85">
        <f>IF($A621="","",IF(AE621="","NOT REVIEWED",IF(TODAY()-AE621&gt;90,"OVERDUE",IF(TODAY()-AE621&gt;76,"Due Soon","Current"))))</f>
        <v/>
      </c>
    </row>
    <row r="622" ht="15" customHeight="1" s="39">
      <c r="A622" s="85" t="n"/>
      <c r="B622" s="85" t="n"/>
      <c r="C622" s="85" t="n"/>
      <c r="D622" s="85" t="n"/>
      <c r="E622" s="85" t="n"/>
      <c r="F622" s="86" t="n"/>
      <c r="G622" s="86" t="n"/>
      <c r="H622" s="85" t="n"/>
      <c r="I622" s="85" t="n"/>
      <c r="J622" s="85" t="n"/>
      <c r="K622" s="85" t="n"/>
      <c r="L622" s="85" t="n"/>
      <c r="M622" s="85" t="n"/>
      <c r="N622" s="85" t="n"/>
      <c r="O622" s="85" t="n"/>
      <c r="P622" s="85" t="n"/>
      <c r="Q622" s="85" t="n"/>
      <c r="R622" s="85" t="n"/>
      <c r="S622" s="85" t="n"/>
      <c r="T622" s="85" t="n"/>
      <c r="U622" s="85" t="n"/>
      <c r="V622" s="85" t="n"/>
      <c r="W622" s="85" t="n"/>
      <c r="X622" s="85" t="n"/>
      <c r="Y622" s="85" t="n"/>
      <c r="Z622" s="85" t="n"/>
      <c r="AA622" s="85" t="n"/>
      <c r="AB622" s="85" t="n"/>
      <c r="AC622" s="86" t="n"/>
      <c r="AD622" s="86" t="n"/>
      <c r="AE622" s="86" t="n"/>
      <c r="AF622" s="85" t="n"/>
      <c r="AG622" s="85" t="n"/>
      <c r="AH622" s="85">
        <f>IF($A622="","",IF(AND($E622="Yes",OR($V622="No",$V622="NOT FOUND")),"YES",""))</f>
        <v/>
      </c>
      <c r="AI622" s="85">
        <f>IF($A622="","",TRIM(IF(AND($M622=0,$I622&lt;&gt;"Yes"),"T0-NoPhishResistant ","")&amp;IF($H622="No","NoMFA ","")&amp;IF(AND($M622=0,$O622="Group only"),"T0-ViaGroupOnly ","")&amp;IF($N622="Yes","BroadAzureScope ","")&amp;IF($T622="Yes","AlsoEntraRole ","")))</f>
        <v/>
      </c>
      <c r="AJ622" s="85">
        <f>IF($A622="","",IF(AD622="","Not Enrolled",IF(TODAY()&gt;AD622,"Review Overdue",IF(AD622-TODAY()&lt;=30,"Review Due Soon","Active"))))</f>
        <v/>
      </c>
      <c r="AK622" s="85">
        <f>IF($A622="","",IF(AE622="","NOT REVIEWED",IF(TODAY()-AE622&gt;90,"OVERDUE",IF(TODAY()-AE622&gt;76,"Due Soon","Current"))))</f>
        <v/>
      </c>
    </row>
    <row r="623" ht="15" customHeight="1" s="39">
      <c r="A623" s="85" t="n"/>
      <c r="B623" s="85" t="n"/>
      <c r="C623" s="85" t="n"/>
      <c r="D623" s="85" t="n"/>
      <c r="E623" s="85" t="n"/>
      <c r="F623" s="86" t="n"/>
      <c r="G623" s="86" t="n"/>
      <c r="H623" s="85" t="n"/>
      <c r="I623" s="85" t="n"/>
      <c r="J623" s="85" t="n"/>
      <c r="K623" s="85" t="n"/>
      <c r="L623" s="85" t="n"/>
      <c r="M623" s="85" t="n"/>
      <c r="N623" s="85" t="n"/>
      <c r="O623" s="85" t="n"/>
      <c r="P623" s="85" t="n"/>
      <c r="Q623" s="85" t="n"/>
      <c r="R623" s="85" t="n"/>
      <c r="S623" s="85" t="n"/>
      <c r="T623" s="85" t="n"/>
      <c r="U623" s="85" t="n"/>
      <c r="V623" s="85" t="n"/>
      <c r="W623" s="85" t="n"/>
      <c r="X623" s="85" t="n"/>
      <c r="Y623" s="85" t="n"/>
      <c r="Z623" s="85" t="n"/>
      <c r="AA623" s="85" t="n"/>
      <c r="AB623" s="85" t="n"/>
      <c r="AC623" s="86" t="n"/>
      <c r="AD623" s="86" t="n"/>
      <c r="AE623" s="86" t="n"/>
      <c r="AF623" s="85" t="n"/>
      <c r="AG623" s="85" t="n"/>
      <c r="AH623" s="85">
        <f>IF($A623="","",IF(AND($E623="Yes",OR($V623="No",$V623="NOT FOUND")),"YES",""))</f>
        <v/>
      </c>
      <c r="AI623" s="85">
        <f>IF($A623="","",TRIM(IF(AND($M623=0,$I623&lt;&gt;"Yes"),"T0-NoPhishResistant ","")&amp;IF($H623="No","NoMFA ","")&amp;IF(AND($M623=0,$O623="Group only"),"T0-ViaGroupOnly ","")&amp;IF($N623="Yes","BroadAzureScope ","")&amp;IF($T623="Yes","AlsoEntraRole ","")))</f>
        <v/>
      </c>
      <c r="AJ623" s="85">
        <f>IF($A623="","",IF(AD623="","Not Enrolled",IF(TODAY()&gt;AD623,"Review Overdue",IF(AD623-TODAY()&lt;=30,"Review Due Soon","Active"))))</f>
        <v/>
      </c>
      <c r="AK623" s="85">
        <f>IF($A623="","",IF(AE623="","NOT REVIEWED",IF(TODAY()-AE623&gt;90,"OVERDUE",IF(TODAY()-AE623&gt;76,"Due Soon","Current"))))</f>
        <v/>
      </c>
    </row>
    <row r="624" ht="15" customHeight="1" s="39">
      <c r="A624" s="85" t="n"/>
      <c r="B624" s="85" t="n"/>
      <c r="C624" s="85" t="n"/>
      <c r="D624" s="85" t="n"/>
      <c r="E624" s="85" t="n"/>
      <c r="F624" s="86" t="n"/>
      <c r="G624" s="86" t="n"/>
      <c r="H624" s="85" t="n"/>
      <c r="I624" s="85" t="n"/>
      <c r="J624" s="85" t="n"/>
      <c r="K624" s="85" t="n"/>
      <c r="L624" s="85" t="n"/>
      <c r="M624" s="85" t="n"/>
      <c r="N624" s="85" t="n"/>
      <c r="O624" s="85" t="n"/>
      <c r="P624" s="85" t="n"/>
      <c r="Q624" s="85" t="n"/>
      <c r="R624" s="85" t="n"/>
      <c r="S624" s="85" t="n"/>
      <c r="T624" s="85" t="n"/>
      <c r="U624" s="85" t="n"/>
      <c r="V624" s="85" t="n"/>
      <c r="W624" s="85" t="n"/>
      <c r="X624" s="85" t="n"/>
      <c r="Y624" s="85" t="n"/>
      <c r="Z624" s="85" t="n"/>
      <c r="AA624" s="85" t="n"/>
      <c r="AB624" s="85" t="n"/>
      <c r="AC624" s="86" t="n"/>
      <c r="AD624" s="86" t="n"/>
      <c r="AE624" s="86" t="n"/>
      <c r="AF624" s="85" t="n"/>
      <c r="AG624" s="85" t="n"/>
      <c r="AH624" s="85">
        <f>IF($A624="","",IF(AND($E624="Yes",OR($V624="No",$V624="NOT FOUND")),"YES",""))</f>
        <v/>
      </c>
      <c r="AI624" s="85">
        <f>IF($A624="","",TRIM(IF(AND($M624=0,$I624&lt;&gt;"Yes"),"T0-NoPhishResistant ","")&amp;IF($H624="No","NoMFA ","")&amp;IF(AND($M624=0,$O624="Group only"),"T0-ViaGroupOnly ","")&amp;IF($N624="Yes","BroadAzureScope ","")&amp;IF($T624="Yes","AlsoEntraRole ","")))</f>
        <v/>
      </c>
      <c r="AJ624" s="85">
        <f>IF($A624="","",IF(AD624="","Not Enrolled",IF(TODAY()&gt;AD624,"Review Overdue",IF(AD624-TODAY()&lt;=30,"Review Due Soon","Active"))))</f>
        <v/>
      </c>
      <c r="AK624" s="85">
        <f>IF($A624="","",IF(AE624="","NOT REVIEWED",IF(TODAY()-AE624&gt;90,"OVERDUE",IF(TODAY()-AE624&gt;76,"Due Soon","Current"))))</f>
        <v/>
      </c>
    </row>
    <row r="625" ht="15" customHeight="1" s="39">
      <c r="A625" s="85" t="n"/>
      <c r="B625" s="85" t="n"/>
      <c r="C625" s="85" t="n"/>
      <c r="D625" s="85" t="n"/>
      <c r="E625" s="85" t="n"/>
      <c r="F625" s="86" t="n"/>
      <c r="G625" s="86" t="n"/>
      <c r="H625" s="85" t="n"/>
      <c r="I625" s="85" t="n"/>
      <c r="J625" s="85" t="n"/>
      <c r="K625" s="85" t="n"/>
      <c r="L625" s="85" t="n"/>
      <c r="M625" s="85" t="n"/>
      <c r="N625" s="85" t="n"/>
      <c r="O625" s="85" t="n"/>
      <c r="P625" s="85" t="n"/>
      <c r="Q625" s="85" t="n"/>
      <c r="R625" s="85" t="n"/>
      <c r="S625" s="85" t="n"/>
      <c r="T625" s="85" t="n"/>
      <c r="U625" s="85" t="n"/>
      <c r="V625" s="85" t="n"/>
      <c r="W625" s="85" t="n"/>
      <c r="X625" s="85" t="n"/>
      <c r="Y625" s="85" t="n"/>
      <c r="Z625" s="85" t="n"/>
      <c r="AA625" s="85" t="n"/>
      <c r="AB625" s="85" t="n"/>
      <c r="AC625" s="86" t="n"/>
      <c r="AD625" s="86" t="n"/>
      <c r="AE625" s="86" t="n"/>
      <c r="AF625" s="85" t="n"/>
      <c r="AG625" s="85" t="n"/>
      <c r="AH625" s="85">
        <f>IF($A625="","",IF(AND($E625="Yes",OR($V625="No",$V625="NOT FOUND")),"YES",""))</f>
        <v/>
      </c>
      <c r="AI625" s="85">
        <f>IF($A625="","",TRIM(IF(AND($M625=0,$I625&lt;&gt;"Yes"),"T0-NoPhishResistant ","")&amp;IF($H625="No","NoMFA ","")&amp;IF(AND($M625=0,$O625="Group only"),"T0-ViaGroupOnly ","")&amp;IF($N625="Yes","BroadAzureScope ","")&amp;IF($T625="Yes","AlsoEntraRole ","")))</f>
        <v/>
      </c>
      <c r="AJ625" s="85">
        <f>IF($A625="","",IF(AD625="","Not Enrolled",IF(TODAY()&gt;AD625,"Review Overdue",IF(AD625-TODAY()&lt;=30,"Review Due Soon","Active"))))</f>
        <v/>
      </c>
      <c r="AK625" s="85">
        <f>IF($A625="","",IF(AE625="","NOT REVIEWED",IF(TODAY()-AE625&gt;90,"OVERDUE",IF(TODAY()-AE625&gt;76,"Due Soon","Current"))))</f>
        <v/>
      </c>
    </row>
    <row r="626" ht="15" customHeight="1" s="39">
      <c r="A626" s="85" t="n"/>
      <c r="B626" s="85" t="n"/>
      <c r="C626" s="85" t="n"/>
      <c r="D626" s="85" t="n"/>
      <c r="E626" s="85" t="n"/>
      <c r="F626" s="86" t="n"/>
      <c r="G626" s="86" t="n"/>
      <c r="H626" s="85" t="n"/>
      <c r="I626" s="85" t="n"/>
      <c r="J626" s="85" t="n"/>
      <c r="K626" s="85" t="n"/>
      <c r="L626" s="85" t="n"/>
      <c r="M626" s="85" t="n"/>
      <c r="N626" s="85" t="n"/>
      <c r="O626" s="85" t="n"/>
      <c r="P626" s="85" t="n"/>
      <c r="Q626" s="85" t="n"/>
      <c r="R626" s="85" t="n"/>
      <c r="S626" s="85" t="n"/>
      <c r="T626" s="85" t="n"/>
      <c r="U626" s="85" t="n"/>
      <c r="V626" s="85" t="n"/>
      <c r="W626" s="85" t="n"/>
      <c r="X626" s="85" t="n"/>
      <c r="Y626" s="85" t="n"/>
      <c r="Z626" s="85" t="n"/>
      <c r="AA626" s="85" t="n"/>
      <c r="AB626" s="85" t="n"/>
      <c r="AC626" s="86" t="n"/>
      <c r="AD626" s="86" t="n"/>
      <c r="AE626" s="86" t="n"/>
      <c r="AF626" s="85" t="n"/>
      <c r="AG626" s="85" t="n"/>
      <c r="AH626" s="85">
        <f>IF($A626="","",IF(AND($E626="Yes",OR($V626="No",$V626="NOT FOUND")),"YES",""))</f>
        <v/>
      </c>
      <c r="AI626" s="85">
        <f>IF($A626="","",TRIM(IF(AND($M626=0,$I626&lt;&gt;"Yes"),"T0-NoPhishResistant ","")&amp;IF($H626="No","NoMFA ","")&amp;IF(AND($M626=0,$O626="Group only"),"T0-ViaGroupOnly ","")&amp;IF($N626="Yes","BroadAzureScope ","")&amp;IF($T626="Yes","AlsoEntraRole ","")))</f>
        <v/>
      </c>
      <c r="AJ626" s="85">
        <f>IF($A626="","",IF(AD626="","Not Enrolled",IF(TODAY()&gt;AD626,"Review Overdue",IF(AD626-TODAY()&lt;=30,"Review Due Soon","Active"))))</f>
        <v/>
      </c>
      <c r="AK626" s="85">
        <f>IF($A626="","",IF(AE626="","NOT REVIEWED",IF(TODAY()-AE626&gt;90,"OVERDUE",IF(TODAY()-AE626&gt;76,"Due Soon","Current"))))</f>
        <v/>
      </c>
    </row>
    <row r="627" ht="15" customHeight="1" s="39">
      <c r="A627" s="85" t="n"/>
      <c r="B627" s="85" t="n"/>
      <c r="C627" s="85" t="n"/>
      <c r="D627" s="85" t="n"/>
      <c r="E627" s="85" t="n"/>
      <c r="F627" s="86" t="n"/>
      <c r="G627" s="86" t="n"/>
      <c r="H627" s="85" t="n"/>
      <c r="I627" s="85" t="n"/>
      <c r="J627" s="85" t="n"/>
      <c r="K627" s="85" t="n"/>
      <c r="L627" s="85" t="n"/>
      <c r="M627" s="85" t="n"/>
      <c r="N627" s="85" t="n"/>
      <c r="O627" s="85" t="n"/>
      <c r="P627" s="85" t="n"/>
      <c r="Q627" s="85" t="n"/>
      <c r="R627" s="85" t="n"/>
      <c r="S627" s="85" t="n"/>
      <c r="T627" s="85" t="n"/>
      <c r="U627" s="85" t="n"/>
      <c r="V627" s="85" t="n"/>
      <c r="W627" s="85" t="n"/>
      <c r="X627" s="85" t="n"/>
      <c r="Y627" s="85" t="n"/>
      <c r="Z627" s="85" t="n"/>
      <c r="AA627" s="85" t="n"/>
      <c r="AB627" s="85" t="n"/>
      <c r="AC627" s="86" t="n"/>
      <c r="AD627" s="86" t="n"/>
      <c r="AE627" s="86" t="n"/>
      <c r="AF627" s="85" t="n"/>
      <c r="AG627" s="85" t="n"/>
      <c r="AH627" s="85">
        <f>IF($A627="","",IF(AND($E627="Yes",OR($V627="No",$V627="NOT FOUND")),"YES",""))</f>
        <v/>
      </c>
      <c r="AI627" s="85">
        <f>IF($A627="","",TRIM(IF(AND($M627=0,$I627&lt;&gt;"Yes"),"T0-NoPhishResistant ","")&amp;IF($H627="No","NoMFA ","")&amp;IF(AND($M627=0,$O627="Group only"),"T0-ViaGroupOnly ","")&amp;IF($N627="Yes","BroadAzureScope ","")&amp;IF($T627="Yes","AlsoEntraRole ","")))</f>
        <v/>
      </c>
      <c r="AJ627" s="85">
        <f>IF($A627="","",IF(AD627="","Not Enrolled",IF(TODAY()&gt;AD627,"Review Overdue",IF(AD627-TODAY()&lt;=30,"Review Due Soon","Active"))))</f>
        <v/>
      </c>
      <c r="AK627" s="85">
        <f>IF($A627="","",IF(AE627="","NOT REVIEWED",IF(TODAY()-AE627&gt;90,"OVERDUE",IF(TODAY()-AE627&gt;76,"Due Soon","Current"))))</f>
        <v/>
      </c>
    </row>
    <row r="628" ht="15" customHeight="1" s="39">
      <c r="A628" s="85" t="n"/>
      <c r="B628" s="85" t="n"/>
      <c r="C628" s="85" t="n"/>
      <c r="D628" s="85" t="n"/>
      <c r="E628" s="85" t="n"/>
      <c r="F628" s="86" t="n"/>
      <c r="G628" s="86" t="n"/>
      <c r="H628" s="85" t="n"/>
      <c r="I628" s="85" t="n"/>
      <c r="J628" s="85" t="n"/>
      <c r="K628" s="85" t="n"/>
      <c r="L628" s="85" t="n"/>
      <c r="M628" s="85" t="n"/>
      <c r="N628" s="85" t="n"/>
      <c r="O628" s="85" t="n"/>
      <c r="P628" s="85" t="n"/>
      <c r="Q628" s="85" t="n"/>
      <c r="R628" s="85" t="n"/>
      <c r="S628" s="85" t="n"/>
      <c r="T628" s="85" t="n"/>
      <c r="U628" s="85" t="n"/>
      <c r="V628" s="85" t="n"/>
      <c r="W628" s="85" t="n"/>
      <c r="X628" s="85" t="n"/>
      <c r="Y628" s="85" t="n"/>
      <c r="Z628" s="85" t="n"/>
      <c r="AA628" s="85" t="n"/>
      <c r="AB628" s="85" t="n"/>
      <c r="AC628" s="86" t="n"/>
      <c r="AD628" s="86" t="n"/>
      <c r="AE628" s="86" t="n"/>
      <c r="AF628" s="85" t="n"/>
      <c r="AG628" s="85" t="n"/>
      <c r="AH628" s="85">
        <f>IF($A628="","",IF(AND($E628="Yes",OR($V628="No",$V628="NOT FOUND")),"YES",""))</f>
        <v/>
      </c>
      <c r="AI628" s="85">
        <f>IF($A628="","",TRIM(IF(AND($M628=0,$I628&lt;&gt;"Yes"),"T0-NoPhishResistant ","")&amp;IF($H628="No","NoMFA ","")&amp;IF(AND($M628=0,$O628="Group only"),"T0-ViaGroupOnly ","")&amp;IF($N628="Yes","BroadAzureScope ","")&amp;IF($T628="Yes","AlsoEntraRole ","")))</f>
        <v/>
      </c>
      <c r="AJ628" s="85">
        <f>IF($A628="","",IF(AD628="","Not Enrolled",IF(TODAY()&gt;AD628,"Review Overdue",IF(AD628-TODAY()&lt;=30,"Review Due Soon","Active"))))</f>
        <v/>
      </c>
      <c r="AK628" s="85">
        <f>IF($A628="","",IF(AE628="","NOT REVIEWED",IF(TODAY()-AE628&gt;90,"OVERDUE",IF(TODAY()-AE628&gt;76,"Due Soon","Current"))))</f>
        <v/>
      </c>
    </row>
    <row r="629" ht="15" customHeight="1" s="39">
      <c r="A629" s="85" t="n"/>
      <c r="B629" s="85" t="n"/>
      <c r="C629" s="85" t="n"/>
      <c r="D629" s="85" t="n"/>
      <c r="E629" s="85" t="n"/>
      <c r="F629" s="86" t="n"/>
      <c r="G629" s="86" t="n"/>
      <c r="H629" s="85" t="n"/>
      <c r="I629" s="85" t="n"/>
      <c r="J629" s="85" t="n"/>
      <c r="K629" s="85" t="n"/>
      <c r="L629" s="85" t="n"/>
      <c r="M629" s="85" t="n"/>
      <c r="N629" s="85" t="n"/>
      <c r="O629" s="85" t="n"/>
      <c r="P629" s="85" t="n"/>
      <c r="Q629" s="85" t="n"/>
      <c r="R629" s="85" t="n"/>
      <c r="S629" s="85" t="n"/>
      <c r="T629" s="85" t="n"/>
      <c r="U629" s="85" t="n"/>
      <c r="V629" s="85" t="n"/>
      <c r="W629" s="85" t="n"/>
      <c r="X629" s="85" t="n"/>
      <c r="Y629" s="85" t="n"/>
      <c r="Z629" s="85" t="n"/>
      <c r="AA629" s="85" t="n"/>
      <c r="AB629" s="85" t="n"/>
      <c r="AC629" s="86" t="n"/>
      <c r="AD629" s="86" t="n"/>
      <c r="AE629" s="86" t="n"/>
      <c r="AF629" s="85" t="n"/>
      <c r="AG629" s="85" t="n"/>
      <c r="AH629" s="85">
        <f>IF($A629="","",IF(AND($E629="Yes",OR($V629="No",$V629="NOT FOUND")),"YES",""))</f>
        <v/>
      </c>
      <c r="AI629" s="85">
        <f>IF($A629="","",TRIM(IF(AND($M629=0,$I629&lt;&gt;"Yes"),"T0-NoPhishResistant ","")&amp;IF($H629="No","NoMFA ","")&amp;IF(AND($M629=0,$O629="Group only"),"T0-ViaGroupOnly ","")&amp;IF($N629="Yes","BroadAzureScope ","")&amp;IF($T629="Yes","AlsoEntraRole ","")))</f>
        <v/>
      </c>
      <c r="AJ629" s="85">
        <f>IF($A629="","",IF(AD629="","Not Enrolled",IF(TODAY()&gt;AD629,"Review Overdue",IF(AD629-TODAY()&lt;=30,"Review Due Soon","Active"))))</f>
        <v/>
      </c>
      <c r="AK629" s="85">
        <f>IF($A629="","",IF(AE629="","NOT REVIEWED",IF(TODAY()-AE629&gt;90,"OVERDUE",IF(TODAY()-AE629&gt;76,"Due Soon","Current"))))</f>
        <v/>
      </c>
    </row>
    <row r="630" ht="15" customHeight="1" s="39">
      <c r="A630" s="85" t="n"/>
      <c r="B630" s="85" t="n"/>
      <c r="C630" s="85" t="n"/>
      <c r="D630" s="85" t="n"/>
      <c r="E630" s="85" t="n"/>
      <c r="F630" s="86" t="n"/>
      <c r="G630" s="86" t="n"/>
      <c r="H630" s="85" t="n"/>
      <c r="I630" s="85" t="n"/>
      <c r="J630" s="85" t="n"/>
      <c r="K630" s="85" t="n"/>
      <c r="L630" s="85" t="n"/>
      <c r="M630" s="85" t="n"/>
      <c r="N630" s="85" t="n"/>
      <c r="O630" s="85" t="n"/>
      <c r="P630" s="85" t="n"/>
      <c r="Q630" s="85" t="n"/>
      <c r="R630" s="85" t="n"/>
      <c r="S630" s="85" t="n"/>
      <c r="T630" s="85" t="n"/>
      <c r="U630" s="85" t="n"/>
      <c r="V630" s="85" t="n"/>
      <c r="W630" s="85" t="n"/>
      <c r="X630" s="85" t="n"/>
      <c r="Y630" s="85" t="n"/>
      <c r="Z630" s="85" t="n"/>
      <c r="AA630" s="85" t="n"/>
      <c r="AB630" s="85" t="n"/>
      <c r="AC630" s="86" t="n"/>
      <c r="AD630" s="86" t="n"/>
      <c r="AE630" s="86" t="n"/>
      <c r="AF630" s="85" t="n"/>
      <c r="AG630" s="85" t="n"/>
      <c r="AH630" s="85">
        <f>IF($A630="","",IF(AND($E630="Yes",OR($V630="No",$V630="NOT FOUND")),"YES",""))</f>
        <v/>
      </c>
      <c r="AI630" s="85">
        <f>IF($A630="","",TRIM(IF(AND($M630=0,$I630&lt;&gt;"Yes"),"T0-NoPhishResistant ","")&amp;IF($H630="No","NoMFA ","")&amp;IF(AND($M630=0,$O630="Group only"),"T0-ViaGroupOnly ","")&amp;IF($N630="Yes","BroadAzureScope ","")&amp;IF($T630="Yes","AlsoEntraRole ","")))</f>
        <v/>
      </c>
      <c r="AJ630" s="85">
        <f>IF($A630="","",IF(AD630="","Not Enrolled",IF(TODAY()&gt;AD630,"Review Overdue",IF(AD630-TODAY()&lt;=30,"Review Due Soon","Active"))))</f>
        <v/>
      </c>
      <c r="AK630" s="85">
        <f>IF($A630="","",IF(AE630="","NOT REVIEWED",IF(TODAY()-AE630&gt;90,"OVERDUE",IF(TODAY()-AE630&gt;76,"Due Soon","Current"))))</f>
        <v/>
      </c>
    </row>
    <row r="631" ht="15" customHeight="1" s="39">
      <c r="A631" s="85" t="n"/>
      <c r="B631" s="85" t="n"/>
      <c r="C631" s="85" t="n"/>
      <c r="D631" s="85" t="n"/>
      <c r="E631" s="85" t="n"/>
      <c r="F631" s="86" t="n"/>
      <c r="G631" s="86" t="n"/>
      <c r="H631" s="85" t="n"/>
      <c r="I631" s="85" t="n"/>
      <c r="J631" s="85" t="n"/>
      <c r="K631" s="85" t="n"/>
      <c r="L631" s="85" t="n"/>
      <c r="M631" s="85" t="n"/>
      <c r="N631" s="85" t="n"/>
      <c r="O631" s="85" t="n"/>
      <c r="P631" s="85" t="n"/>
      <c r="Q631" s="85" t="n"/>
      <c r="R631" s="85" t="n"/>
      <c r="S631" s="85" t="n"/>
      <c r="T631" s="85" t="n"/>
      <c r="U631" s="85" t="n"/>
      <c r="V631" s="85" t="n"/>
      <c r="W631" s="85" t="n"/>
      <c r="X631" s="85" t="n"/>
      <c r="Y631" s="85" t="n"/>
      <c r="Z631" s="85" t="n"/>
      <c r="AA631" s="85" t="n"/>
      <c r="AB631" s="85" t="n"/>
      <c r="AC631" s="86" t="n"/>
      <c r="AD631" s="86" t="n"/>
      <c r="AE631" s="86" t="n"/>
      <c r="AF631" s="85" t="n"/>
      <c r="AG631" s="85" t="n"/>
      <c r="AH631" s="85">
        <f>IF($A631="","",IF(AND($E631="Yes",OR($V631="No",$V631="NOT FOUND")),"YES",""))</f>
        <v/>
      </c>
      <c r="AI631" s="85">
        <f>IF($A631="","",TRIM(IF(AND($M631=0,$I631&lt;&gt;"Yes"),"T0-NoPhishResistant ","")&amp;IF($H631="No","NoMFA ","")&amp;IF(AND($M631=0,$O631="Group only"),"T0-ViaGroupOnly ","")&amp;IF($N631="Yes","BroadAzureScope ","")&amp;IF($T631="Yes","AlsoEntraRole ","")))</f>
        <v/>
      </c>
      <c r="AJ631" s="85">
        <f>IF($A631="","",IF(AD631="","Not Enrolled",IF(TODAY()&gt;AD631,"Review Overdue",IF(AD631-TODAY()&lt;=30,"Review Due Soon","Active"))))</f>
        <v/>
      </c>
      <c r="AK631" s="85">
        <f>IF($A631="","",IF(AE631="","NOT REVIEWED",IF(TODAY()-AE631&gt;90,"OVERDUE",IF(TODAY()-AE631&gt;76,"Due Soon","Current"))))</f>
        <v/>
      </c>
    </row>
    <row r="632" ht="15" customHeight="1" s="39">
      <c r="A632" s="85" t="n"/>
      <c r="B632" s="85" t="n"/>
      <c r="C632" s="85" t="n"/>
      <c r="D632" s="85" t="n"/>
      <c r="E632" s="85" t="n"/>
      <c r="F632" s="86" t="n"/>
      <c r="G632" s="86" t="n"/>
      <c r="H632" s="85" t="n"/>
      <c r="I632" s="85" t="n"/>
      <c r="J632" s="85" t="n"/>
      <c r="K632" s="85" t="n"/>
      <c r="L632" s="85" t="n"/>
      <c r="M632" s="85" t="n"/>
      <c r="N632" s="85" t="n"/>
      <c r="O632" s="85" t="n"/>
      <c r="P632" s="85" t="n"/>
      <c r="Q632" s="85" t="n"/>
      <c r="R632" s="85" t="n"/>
      <c r="S632" s="85" t="n"/>
      <c r="T632" s="85" t="n"/>
      <c r="U632" s="85" t="n"/>
      <c r="V632" s="85" t="n"/>
      <c r="W632" s="85" t="n"/>
      <c r="X632" s="85" t="n"/>
      <c r="Y632" s="85" t="n"/>
      <c r="Z632" s="85" t="n"/>
      <c r="AA632" s="85" t="n"/>
      <c r="AB632" s="85" t="n"/>
      <c r="AC632" s="86" t="n"/>
      <c r="AD632" s="86" t="n"/>
      <c r="AE632" s="86" t="n"/>
      <c r="AF632" s="85" t="n"/>
      <c r="AG632" s="85" t="n"/>
      <c r="AH632" s="85">
        <f>IF($A632="","",IF(AND($E632="Yes",OR($V632="No",$V632="NOT FOUND")),"YES",""))</f>
        <v/>
      </c>
      <c r="AI632" s="85">
        <f>IF($A632="","",TRIM(IF(AND($M632=0,$I632&lt;&gt;"Yes"),"T0-NoPhishResistant ","")&amp;IF($H632="No","NoMFA ","")&amp;IF(AND($M632=0,$O632="Group only"),"T0-ViaGroupOnly ","")&amp;IF($N632="Yes","BroadAzureScope ","")&amp;IF($T632="Yes","AlsoEntraRole ","")))</f>
        <v/>
      </c>
      <c r="AJ632" s="85">
        <f>IF($A632="","",IF(AD632="","Not Enrolled",IF(TODAY()&gt;AD632,"Review Overdue",IF(AD632-TODAY()&lt;=30,"Review Due Soon","Active"))))</f>
        <v/>
      </c>
      <c r="AK632" s="85">
        <f>IF($A632="","",IF(AE632="","NOT REVIEWED",IF(TODAY()-AE632&gt;90,"OVERDUE",IF(TODAY()-AE632&gt;76,"Due Soon","Current"))))</f>
        <v/>
      </c>
    </row>
    <row r="633" ht="15" customHeight="1" s="39">
      <c r="A633" s="85" t="n"/>
      <c r="B633" s="85" t="n"/>
      <c r="C633" s="85" t="n"/>
      <c r="D633" s="85" t="n"/>
      <c r="E633" s="85" t="n"/>
      <c r="F633" s="86" t="n"/>
      <c r="G633" s="86" t="n"/>
      <c r="H633" s="85" t="n"/>
      <c r="I633" s="85" t="n"/>
      <c r="J633" s="85" t="n"/>
      <c r="K633" s="85" t="n"/>
      <c r="L633" s="85" t="n"/>
      <c r="M633" s="85" t="n"/>
      <c r="N633" s="85" t="n"/>
      <c r="O633" s="85" t="n"/>
      <c r="P633" s="85" t="n"/>
      <c r="Q633" s="85" t="n"/>
      <c r="R633" s="85" t="n"/>
      <c r="S633" s="85" t="n"/>
      <c r="T633" s="85" t="n"/>
      <c r="U633" s="85" t="n"/>
      <c r="V633" s="85" t="n"/>
      <c r="W633" s="85" t="n"/>
      <c r="X633" s="85" t="n"/>
      <c r="Y633" s="85" t="n"/>
      <c r="Z633" s="85" t="n"/>
      <c r="AA633" s="85" t="n"/>
      <c r="AB633" s="85" t="n"/>
      <c r="AC633" s="86" t="n"/>
      <c r="AD633" s="86" t="n"/>
      <c r="AE633" s="86" t="n"/>
      <c r="AF633" s="85" t="n"/>
      <c r="AG633" s="85" t="n"/>
      <c r="AH633" s="85">
        <f>IF($A633="","",IF(AND($E633="Yes",OR($V633="No",$V633="NOT FOUND")),"YES",""))</f>
        <v/>
      </c>
      <c r="AI633" s="85">
        <f>IF($A633="","",TRIM(IF(AND($M633=0,$I633&lt;&gt;"Yes"),"T0-NoPhishResistant ","")&amp;IF($H633="No","NoMFA ","")&amp;IF(AND($M633=0,$O633="Group only"),"T0-ViaGroupOnly ","")&amp;IF($N633="Yes","BroadAzureScope ","")&amp;IF($T633="Yes","AlsoEntraRole ","")))</f>
        <v/>
      </c>
      <c r="AJ633" s="85">
        <f>IF($A633="","",IF(AD633="","Not Enrolled",IF(TODAY()&gt;AD633,"Review Overdue",IF(AD633-TODAY()&lt;=30,"Review Due Soon","Active"))))</f>
        <v/>
      </c>
      <c r="AK633" s="85">
        <f>IF($A633="","",IF(AE633="","NOT REVIEWED",IF(TODAY()-AE633&gt;90,"OVERDUE",IF(TODAY()-AE633&gt;76,"Due Soon","Current"))))</f>
        <v/>
      </c>
    </row>
    <row r="634" ht="15" customHeight="1" s="39">
      <c r="A634" s="85" t="n"/>
      <c r="B634" s="85" t="n"/>
      <c r="C634" s="85" t="n"/>
      <c r="D634" s="85" t="n"/>
      <c r="E634" s="85" t="n"/>
      <c r="F634" s="86" t="n"/>
      <c r="G634" s="86" t="n"/>
      <c r="H634" s="85" t="n"/>
      <c r="I634" s="85" t="n"/>
      <c r="J634" s="85" t="n"/>
      <c r="K634" s="85" t="n"/>
      <c r="L634" s="85" t="n"/>
      <c r="M634" s="85" t="n"/>
      <c r="N634" s="85" t="n"/>
      <c r="O634" s="85" t="n"/>
      <c r="P634" s="85" t="n"/>
      <c r="Q634" s="85" t="n"/>
      <c r="R634" s="85" t="n"/>
      <c r="S634" s="85" t="n"/>
      <c r="T634" s="85" t="n"/>
      <c r="U634" s="85" t="n"/>
      <c r="V634" s="85" t="n"/>
      <c r="W634" s="85" t="n"/>
      <c r="X634" s="85" t="n"/>
      <c r="Y634" s="85" t="n"/>
      <c r="Z634" s="85" t="n"/>
      <c r="AA634" s="85" t="n"/>
      <c r="AB634" s="85" t="n"/>
      <c r="AC634" s="86" t="n"/>
      <c r="AD634" s="86" t="n"/>
      <c r="AE634" s="86" t="n"/>
      <c r="AF634" s="85" t="n"/>
      <c r="AG634" s="85" t="n"/>
      <c r="AH634" s="85">
        <f>IF($A634="","",IF(AND($E634="Yes",OR($V634="No",$V634="NOT FOUND")),"YES",""))</f>
        <v/>
      </c>
      <c r="AI634" s="85">
        <f>IF($A634="","",TRIM(IF(AND($M634=0,$I634&lt;&gt;"Yes"),"T0-NoPhishResistant ","")&amp;IF($H634="No","NoMFA ","")&amp;IF(AND($M634=0,$O634="Group only"),"T0-ViaGroupOnly ","")&amp;IF($N634="Yes","BroadAzureScope ","")&amp;IF($T634="Yes","AlsoEntraRole ","")))</f>
        <v/>
      </c>
      <c r="AJ634" s="85">
        <f>IF($A634="","",IF(AD634="","Not Enrolled",IF(TODAY()&gt;AD634,"Review Overdue",IF(AD634-TODAY()&lt;=30,"Review Due Soon","Active"))))</f>
        <v/>
      </c>
      <c r="AK634" s="85">
        <f>IF($A634="","",IF(AE634="","NOT REVIEWED",IF(TODAY()-AE634&gt;90,"OVERDUE",IF(TODAY()-AE634&gt;76,"Due Soon","Current"))))</f>
        <v/>
      </c>
    </row>
    <row r="635" ht="15" customHeight="1" s="39">
      <c r="A635" s="85" t="n"/>
      <c r="B635" s="85" t="n"/>
      <c r="C635" s="85" t="n"/>
      <c r="D635" s="85" t="n"/>
      <c r="E635" s="85" t="n"/>
      <c r="F635" s="86" t="n"/>
      <c r="G635" s="86" t="n"/>
      <c r="H635" s="85" t="n"/>
      <c r="I635" s="85" t="n"/>
      <c r="J635" s="85" t="n"/>
      <c r="K635" s="85" t="n"/>
      <c r="L635" s="85" t="n"/>
      <c r="M635" s="85" t="n"/>
      <c r="N635" s="85" t="n"/>
      <c r="O635" s="85" t="n"/>
      <c r="P635" s="85" t="n"/>
      <c r="Q635" s="85" t="n"/>
      <c r="R635" s="85" t="n"/>
      <c r="S635" s="85" t="n"/>
      <c r="T635" s="85" t="n"/>
      <c r="U635" s="85" t="n"/>
      <c r="V635" s="85" t="n"/>
      <c r="W635" s="85" t="n"/>
      <c r="X635" s="85" t="n"/>
      <c r="Y635" s="85" t="n"/>
      <c r="Z635" s="85" t="n"/>
      <c r="AA635" s="85" t="n"/>
      <c r="AB635" s="85" t="n"/>
      <c r="AC635" s="86" t="n"/>
      <c r="AD635" s="86" t="n"/>
      <c r="AE635" s="86" t="n"/>
      <c r="AF635" s="85" t="n"/>
      <c r="AG635" s="85" t="n"/>
      <c r="AH635" s="85">
        <f>IF($A635="","",IF(AND($E635="Yes",OR($V635="No",$V635="NOT FOUND")),"YES",""))</f>
        <v/>
      </c>
      <c r="AI635" s="85">
        <f>IF($A635="","",TRIM(IF(AND($M635=0,$I635&lt;&gt;"Yes"),"T0-NoPhishResistant ","")&amp;IF($H635="No","NoMFA ","")&amp;IF(AND($M635=0,$O635="Group only"),"T0-ViaGroupOnly ","")&amp;IF($N635="Yes","BroadAzureScope ","")&amp;IF($T635="Yes","AlsoEntraRole ","")))</f>
        <v/>
      </c>
      <c r="AJ635" s="85">
        <f>IF($A635="","",IF(AD635="","Not Enrolled",IF(TODAY()&gt;AD635,"Review Overdue",IF(AD635-TODAY()&lt;=30,"Review Due Soon","Active"))))</f>
        <v/>
      </c>
      <c r="AK635" s="85">
        <f>IF($A635="","",IF(AE635="","NOT REVIEWED",IF(TODAY()-AE635&gt;90,"OVERDUE",IF(TODAY()-AE635&gt;76,"Due Soon","Current"))))</f>
        <v/>
      </c>
    </row>
    <row r="636" ht="15" customHeight="1" s="39">
      <c r="A636" s="85" t="n"/>
      <c r="B636" s="85" t="n"/>
      <c r="C636" s="85" t="n"/>
      <c r="D636" s="85" t="n"/>
      <c r="E636" s="85" t="n"/>
      <c r="F636" s="86" t="n"/>
      <c r="G636" s="86" t="n"/>
      <c r="H636" s="85" t="n"/>
      <c r="I636" s="85" t="n"/>
      <c r="J636" s="85" t="n"/>
      <c r="K636" s="85" t="n"/>
      <c r="L636" s="85" t="n"/>
      <c r="M636" s="85" t="n"/>
      <c r="N636" s="85" t="n"/>
      <c r="O636" s="85" t="n"/>
      <c r="P636" s="85" t="n"/>
      <c r="Q636" s="85" t="n"/>
      <c r="R636" s="85" t="n"/>
      <c r="S636" s="85" t="n"/>
      <c r="T636" s="85" t="n"/>
      <c r="U636" s="85" t="n"/>
      <c r="V636" s="85" t="n"/>
      <c r="W636" s="85" t="n"/>
      <c r="X636" s="85" t="n"/>
      <c r="Y636" s="85" t="n"/>
      <c r="Z636" s="85" t="n"/>
      <c r="AA636" s="85" t="n"/>
      <c r="AB636" s="85" t="n"/>
      <c r="AC636" s="86" t="n"/>
      <c r="AD636" s="86" t="n"/>
      <c r="AE636" s="86" t="n"/>
      <c r="AF636" s="85" t="n"/>
      <c r="AG636" s="85" t="n"/>
      <c r="AH636" s="85">
        <f>IF($A636="","",IF(AND($E636="Yes",OR($V636="No",$V636="NOT FOUND")),"YES",""))</f>
        <v/>
      </c>
      <c r="AI636" s="85">
        <f>IF($A636="","",TRIM(IF(AND($M636=0,$I636&lt;&gt;"Yes"),"T0-NoPhishResistant ","")&amp;IF($H636="No","NoMFA ","")&amp;IF(AND($M636=0,$O636="Group only"),"T0-ViaGroupOnly ","")&amp;IF($N636="Yes","BroadAzureScope ","")&amp;IF($T636="Yes","AlsoEntraRole ","")))</f>
        <v/>
      </c>
      <c r="AJ636" s="85">
        <f>IF($A636="","",IF(AD636="","Not Enrolled",IF(TODAY()&gt;AD636,"Review Overdue",IF(AD636-TODAY()&lt;=30,"Review Due Soon","Active"))))</f>
        <v/>
      </c>
      <c r="AK636" s="85">
        <f>IF($A636="","",IF(AE636="","NOT REVIEWED",IF(TODAY()-AE636&gt;90,"OVERDUE",IF(TODAY()-AE636&gt;76,"Due Soon","Current"))))</f>
        <v/>
      </c>
    </row>
    <row r="637" ht="15" customHeight="1" s="39">
      <c r="A637" s="85" t="n"/>
      <c r="B637" s="85" t="n"/>
      <c r="C637" s="85" t="n"/>
      <c r="D637" s="85" t="n"/>
      <c r="E637" s="85" t="n"/>
      <c r="F637" s="86" t="n"/>
      <c r="G637" s="86" t="n"/>
      <c r="H637" s="85" t="n"/>
      <c r="I637" s="85" t="n"/>
      <c r="J637" s="85" t="n"/>
      <c r="K637" s="85" t="n"/>
      <c r="L637" s="85" t="n"/>
      <c r="M637" s="85" t="n"/>
      <c r="N637" s="85" t="n"/>
      <c r="O637" s="85" t="n"/>
      <c r="P637" s="85" t="n"/>
      <c r="Q637" s="85" t="n"/>
      <c r="R637" s="85" t="n"/>
      <c r="S637" s="85" t="n"/>
      <c r="T637" s="85" t="n"/>
      <c r="U637" s="85" t="n"/>
      <c r="V637" s="85" t="n"/>
      <c r="W637" s="85" t="n"/>
      <c r="X637" s="85" t="n"/>
      <c r="Y637" s="85" t="n"/>
      <c r="Z637" s="85" t="n"/>
      <c r="AA637" s="85" t="n"/>
      <c r="AB637" s="85" t="n"/>
      <c r="AC637" s="86" t="n"/>
      <c r="AD637" s="86" t="n"/>
      <c r="AE637" s="86" t="n"/>
      <c r="AF637" s="85" t="n"/>
      <c r="AG637" s="85" t="n"/>
      <c r="AH637" s="85">
        <f>IF($A637="","",IF(AND($E637="Yes",OR($V637="No",$V637="NOT FOUND")),"YES",""))</f>
        <v/>
      </c>
      <c r="AI637" s="85">
        <f>IF($A637="","",TRIM(IF(AND($M637=0,$I637&lt;&gt;"Yes"),"T0-NoPhishResistant ","")&amp;IF($H637="No","NoMFA ","")&amp;IF(AND($M637=0,$O637="Group only"),"T0-ViaGroupOnly ","")&amp;IF($N637="Yes","BroadAzureScope ","")&amp;IF($T637="Yes","AlsoEntraRole ","")))</f>
        <v/>
      </c>
      <c r="AJ637" s="85">
        <f>IF($A637="","",IF(AD637="","Not Enrolled",IF(TODAY()&gt;AD637,"Review Overdue",IF(AD637-TODAY()&lt;=30,"Review Due Soon","Active"))))</f>
        <v/>
      </c>
      <c r="AK637" s="85">
        <f>IF($A637="","",IF(AE637="","NOT REVIEWED",IF(TODAY()-AE637&gt;90,"OVERDUE",IF(TODAY()-AE637&gt;76,"Due Soon","Current"))))</f>
        <v/>
      </c>
    </row>
    <row r="638" ht="15" customHeight="1" s="39">
      <c r="A638" s="85" t="n"/>
      <c r="B638" s="85" t="n"/>
      <c r="C638" s="85" t="n"/>
      <c r="D638" s="85" t="n"/>
      <c r="E638" s="85" t="n"/>
      <c r="F638" s="86" t="n"/>
      <c r="G638" s="86" t="n"/>
      <c r="H638" s="85" t="n"/>
      <c r="I638" s="85" t="n"/>
      <c r="J638" s="85" t="n"/>
      <c r="K638" s="85" t="n"/>
      <c r="L638" s="85" t="n"/>
      <c r="M638" s="85" t="n"/>
      <c r="N638" s="85" t="n"/>
      <c r="O638" s="85" t="n"/>
      <c r="P638" s="85" t="n"/>
      <c r="Q638" s="85" t="n"/>
      <c r="R638" s="85" t="n"/>
      <c r="S638" s="85" t="n"/>
      <c r="T638" s="85" t="n"/>
      <c r="U638" s="85" t="n"/>
      <c r="V638" s="85" t="n"/>
      <c r="W638" s="85" t="n"/>
      <c r="X638" s="85" t="n"/>
      <c r="Y638" s="85" t="n"/>
      <c r="Z638" s="85" t="n"/>
      <c r="AA638" s="85" t="n"/>
      <c r="AB638" s="85" t="n"/>
      <c r="AC638" s="86" t="n"/>
      <c r="AD638" s="86" t="n"/>
      <c r="AE638" s="86" t="n"/>
      <c r="AF638" s="85" t="n"/>
      <c r="AG638" s="85" t="n"/>
      <c r="AH638" s="85">
        <f>IF($A638="","",IF(AND($E638="Yes",OR($V638="No",$V638="NOT FOUND")),"YES",""))</f>
        <v/>
      </c>
      <c r="AI638" s="85">
        <f>IF($A638="","",TRIM(IF(AND($M638=0,$I638&lt;&gt;"Yes"),"T0-NoPhishResistant ","")&amp;IF($H638="No","NoMFA ","")&amp;IF(AND($M638=0,$O638="Group only"),"T0-ViaGroupOnly ","")&amp;IF($N638="Yes","BroadAzureScope ","")&amp;IF($T638="Yes","AlsoEntraRole ","")))</f>
        <v/>
      </c>
      <c r="AJ638" s="85">
        <f>IF($A638="","",IF(AD638="","Not Enrolled",IF(TODAY()&gt;AD638,"Review Overdue",IF(AD638-TODAY()&lt;=30,"Review Due Soon","Active"))))</f>
        <v/>
      </c>
      <c r="AK638" s="85">
        <f>IF($A638="","",IF(AE638="","NOT REVIEWED",IF(TODAY()-AE638&gt;90,"OVERDUE",IF(TODAY()-AE638&gt;76,"Due Soon","Current"))))</f>
        <v/>
      </c>
    </row>
    <row r="639" ht="15" customHeight="1" s="39">
      <c r="A639" s="85" t="n"/>
      <c r="B639" s="85" t="n"/>
      <c r="C639" s="85" t="n"/>
      <c r="D639" s="85" t="n"/>
      <c r="E639" s="85" t="n"/>
      <c r="F639" s="86" t="n"/>
      <c r="G639" s="86" t="n"/>
      <c r="H639" s="85" t="n"/>
      <c r="I639" s="85" t="n"/>
      <c r="J639" s="85" t="n"/>
      <c r="K639" s="85" t="n"/>
      <c r="L639" s="85" t="n"/>
      <c r="M639" s="85" t="n"/>
      <c r="N639" s="85" t="n"/>
      <c r="O639" s="85" t="n"/>
      <c r="P639" s="85" t="n"/>
      <c r="Q639" s="85" t="n"/>
      <c r="R639" s="85" t="n"/>
      <c r="S639" s="85" t="n"/>
      <c r="T639" s="85" t="n"/>
      <c r="U639" s="85" t="n"/>
      <c r="V639" s="85" t="n"/>
      <c r="W639" s="85" t="n"/>
      <c r="X639" s="85" t="n"/>
      <c r="Y639" s="85" t="n"/>
      <c r="Z639" s="85" t="n"/>
      <c r="AA639" s="85" t="n"/>
      <c r="AB639" s="85" t="n"/>
      <c r="AC639" s="86" t="n"/>
      <c r="AD639" s="86" t="n"/>
      <c r="AE639" s="86" t="n"/>
      <c r="AF639" s="85" t="n"/>
      <c r="AG639" s="85" t="n"/>
      <c r="AH639" s="85">
        <f>IF($A639="","",IF(AND($E639="Yes",OR($V639="No",$V639="NOT FOUND")),"YES",""))</f>
        <v/>
      </c>
      <c r="AI639" s="85">
        <f>IF($A639="","",TRIM(IF(AND($M639=0,$I639&lt;&gt;"Yes"),"T0-NoPhishResistant ","")&amp;IF($H639="No","NoMFA ","")&amp;IF(AND($M639=0,$O639="Group only"),"T0-ViaGroupOnly ","")&amp;IF($N639="Yes","BroadAzureScope ","")&amp;IF($T639="Yes","AlsoEntraRole ","")))</f>
        <v/>
      </c>
      <c r="AJ639" s="85">
        <f>IF($A639="","",IF(AD639="","Not Enrolled",IF(TODAY()&gt;AD639,"Review Overdue",IF(AD639-TODAY()&lt;=30,"Review Due Soon","Active"))))</f>
        <v/>
      </c>
      <c r="AK639" s="85">
        <f>IF($A639="","",IF(AE639="","NOT REVIEWED",IF(TODAY()-AE639&gt;90,"OVERDUE",IF(TODAY()-AE639&gt;76,"Due Soon","Current"))))</f>
        <v/>
      </c>
    </row>
    <row r="640" ht="15" customHeight="1" s="39">
      <c r="A640" s="85" t="n"/>
      <c r="B640" s="85" t="n"/>
      <c r="C640" s="85" t="n"/>
      <c r="D640" s="85" t="n"/>
      <c r="E640" s="85" t="n"/>
      <c r="F640" s="86" t="n"/>
      <c r="G640" s="86" t="n"/>
      <c r="H640" s="85" t="n"/>
      <c r="I640" s="85" t="n"/>
      <c r="J640" s="85" t="n"/>
      <c r="K640" s="85" t="n"/>
      <c r="L640" s="85" t="n"/>
      <c r="M640" s="85" t="n"/>
      <c r="N640" s="85" t="n"/>
      <c r="O640" s="85" t="n"/>
      <c r="P640" s="85" t="n"/>
      <c r="Q640" s="85" t="n"/>
      <c r="R640" s="85" t="n"/>
      <c r="S640" s="85" t="n"/>
      <c r="T640" s="85" t="n"/>
      <c r="U640" s="85" t="n"/>
      <c r="V640" s="85" t="n"/>
      <c r="W640" s="85" t="n"/>
      <c r="X640" s="85" t="n"/>
      <c r="Y640" s="85" t="n"/>
      <c r="Z640" s="85" t="n"/>
      <c r="AA640" s="85" t="n"/>
      <c r="AB640" s="85" t="n"/>
      <c r="AC640" s="86" t="n"/>
      <c r="AD640" s="86" t="n"/>
      <c r="AE640" s="86" t="n"/>
      <c r="AF640" s="85" t="n"/>
      <c r="AG640" s="85" t="n"/>
      <c r="AH640" s="85">
        <f>IF($A640="","",IF(AND($E640="Yes",OR($V640="No",$V640="NOT FOUND")),"YES",""))</f>
        <v/>
      </c>
      <c r="AI640" s="85">
        <f>IF($A640="","",TRIM(IF(AND($M640=0,$I640&lt;&gt;"Yes"),"T0-NoPhishResistant ","")&amp;IF($H640="No","NoMFA ","")&amp;IF(AND($M640=0,$O640="Group only"),"T0-ViaGroupOnly ","")&amp;IF($N640="Yes","BroadAzureScope ","")&amp;IF($T640="Yes","AlsoEntraRole ","")))</f>
        <v/>
      </c>
      <c r="AJ640" s="85">
        <f>IF($A640="","",IF(AD640="","Not Enrolled",IF(TODAY()&gt;AD640,"Review Overdue",IF(AD640-TODAY()&lt;=30,"Review Due Soon","Active"))))</f>
        <v/>
      </c>
      <c r="AK640" s="85">
        <f>IF($A640="","",IF(AE640="","NOT REVIEWED",IF(TODAY()-AE640&gt;90,"OVERDUE",IF(TODAY()-AE640&gt;76,"Due Soon","Current"))))</f>
        <v/>
      </c>
    </row>
    <row r="641" ht="15" customHeight="1" s="39">
      <c r="A641" s="85" t="n"/>
      <c r="B641" s="85" t="n"/>
      <c r="C641" s="85" t="n"/>
      <c r="D641" s="85" t="n"/>
      <c r="E641" s="85" t="n"/>
      <c r="F641" s="86" t="n"/>
      <c r="G641" s="86" t="n"/>
      <c r="H641" s="85" t="n"/>
      <c r="I641" s="85" t="n"/>
      <c r="J641" s="85" t="n"/>
      <c r="K641" s="85" t="n"/>
      <c r="L641" s="85" t="n"/>
      <c r="M641" s="85" t="n"/>
      <c r="N641" s="85" t="n"/>
      <c r="O641" s="85" t="n"/>
      <c r="P641" s="85" t="n"/>
      <c r="Q641" s="85" t="n"/>
      <c r="R641" s="85" t="n"/>
      <c r="S641" s="85" t="n"/>
      <c r="T641" s="85" t="n"/>
      <c r="U641" s="85" t="n"/>
      <c r="V641" s="85" t="n"/>
      <c r="W641" s="85" t="n"/>
      <c r="X641" s="85" t="n"/>
      <c r="Y641" s="85" t="n"/>
      <c r="Z641" s="85" t="n"/>
      <c r="AA641" s="85" t="n"/>
      <c r="AB641" s="85" t="n"/>
      <c r="AC641" s="86" t="n"/>
      <c r="AD641" s="86" t="n"/>
      <c r="AE641" s="86" t="n"/>
      <c r="AF641" s="85" t="n"/>
      <c r="AG641" s="85" t="n"/>
      <c r="AH641" s="85">
        <f>IF($A641="","",IF(AND($E641="Yes",OR($V641="No",$V641="NOT FOUND")),"YES",""))</f>
        <v/>
      </c>
      <c r="AI641" s="85">
        <f>IF($A641="","",TRIM(IF(AND($M641=0,$I641&lt;&gt;"Yes"),"T0-NoPhishResistant ","")&amp;IF($H641="No","NoMFA ","")&amp;IF(AND($M641=0,$O641="Group only"),"T0-ViaGroupOnly ","")&amp;IF($N641="Yes","BroadAzureScope ","")&amp;IF($T641="Yes","AlsoEntraRole ","")))</f>
        <v/>
      </c>
      <c r="AJ641" s="85">
        <f>IF($A641="","",IF(AD641="","Not Enrolled",IF(TODAY()&gt;AD641,"Review Overdue",IF(AD641-TODAY()&lt;=30,"Review Due Soon","Active"))))</f>
        <v/>
      </c>
      <c r="AK641" s="85">
        <f>IF($A641="","",IF(AE641="","NOT REVIEWED",IF(TODAY()-AE641&gt;90,"OVERDUE",IF(TODAY()-AE641&gt;76,"Due Soon","Current"))))</f>
        <v/>
      </c>
    </row>
    <row r="642" ht="15" customHeight="1" s="39">
      <c r="A642" s="85" t="n"/>
      <c r="B642" s="85" t="n"/>
      <c r="C642" s="85" t="n"/>
      <c r="D642" s="85" t="n"/>
      <c r="E642" s="85" t="n"/>
      <c r="F642" s="86" t="n"/>
      <c r="G642" s="86" t="n"/>
      <c r="H642" s="85" t="n"/>
      <c r="I642" s="85" t="n"/>
      <c r="J642" s="85" t="n"/>
      <c r="K642" s="85" t="n"/>
      <c r="L642" s="85" t="n"/>
      <c r="M642" s="85" t="n"/>
      <c r="N642" s="85" t="n"/>
      <c r="O642" s="85" t="n"/>
      <c r="P642" s="85" t="n"/>
      <c r="Q642" s="85" t="n"/>
      <c r="R642" s="85" t="n"/>
      <c r="S642" s="85" t="n"/>
      <c r="T642" s="85" t="n"/>
      <c r="U642" s="85" t="n"/>
      <c r="V642" s="85" t="n"/>
      <c r="W642" s="85" t="n"/>
      <c r="X642" s="85" t="n"/>
      <c r="Y642" s="85" t="n"/>
      <c r="Z642" s="85" t="n"/>
      <c r="AA642" s="85" t="n"/>
      <c r="AB642" s="85" t="n"/>
      <c r="AC642" s="86" t="n"/>
      <c r="AD642" s="86" t="n"/>
      <c r="AE642" s="86" t="n"/>
      <c r="AF642" s="85" t="n"/>
      <c r="AG642" s="85" t="n"/>
      <c r="AH642" s="85">
        <f>IF($A642="","",IF(AND($E642="Yes",OR($V642="No",$V642="NOT FOUND")),"YES",""))</f>
        <v/>
      </c>
      <c r="AI642" s="85">
        <f>IF($A642="","",TRIM(IF(AND($M642=0,$I642&lt;&gt;"Yes"),"T0-NoPhishResistant ","")&amp;IF($H642="No","NoMFA ","")&amp;IF(AND($M642=0,$O642="Group only"),"T0-ViaGroupOnly ","")&amp;IF($N642="Yes","BroadAzureScope ","")&amp;IF($T642="Yes","AlsoEntraRole ","")))</f>
        <v/>
      </c>
      <c r="AJ642" s="85">
        <f>IF($A642="","",IF(AD642="","Not Enrolled",IF(TODAY()&gt;AD642,"Review Overdue",IF(AD642-TODAY()&lt;=30,"Review Due Soon","Active"))))</f>
        <v/>
      </c>
      <c r="AK642" s="85">
        <f>IF($A642="","",IF(AE642="","NOT REVIEWED",IF(TODAY()-AE642&gt;90,"OVERDUE",IF(TODAY()-AE642&gt;76,"Due Soon","Current"))))</f>
        <v/>
      </c>
    </row>
    <row r="643" ht="15" customHeight="1" s="39">
      <c r="A643" s="85" t="n"/>
      <c r="B643" s="85" t="n"/>
      <c r="C643" s="85" t="n"/>
      <c r="D643" s="85" t="n"/>
      <c r="E643" s="85" t="n"/>
      <c r="F643" s="86" t="n"/>
      <c r="G643" s="86" t="n"/>
      <c r="H643" s="85" t="n"/>
      <c r="I643" s="85" t="n"/>
      <c r="J643" s="85" t="n"/>
      <c r="K643" s="85" t="n"/>
      <c r="L643" s="85" t="n"/>
      <c r="M643" s="85" t="n"/>
      <c r="N643" s="85" t="n"/>
      <c r="O643" s="85" t="n"/>
      <c r="P643" s="85" t="n"/>
      <c r="Q643" s="85" t="n"/>
      <c r="R643" s="85" t="n"/>
      <c r="S643" s="85" t="n"/>
      <c r="T643" s="85" t="n"/>
      <c r="U643" s="85" t="n"/>
      <c r="V643" s="85" t="n"/>
      <c r="W643" s="85" t="n"/>
      <c r="X643" s="85" t="n"/>
      <c r="Y643" s="85" t="n"/>
      <c r="Z643" s="85" t="n"/>
      <c r="AA643" s="85" t="n"/>
      <c r="AB643" s="85" t="n"/>
      <c r="AC643" s="86" t="n"/>
      <c r="AD643" s="86" t="n"/>
      <c r="AE643" s="86" t="n"/>
      <c r="AF643" s="85" t="n"/>
      <c r="AG643" s="85" t="n"/>
      <c r="AH643" s="85">
        <f>IF($A643="","",IF(AND($E643="Yes",OR($V643="No",$V643="NOT FOUND")),"YES",""))</f>
        <v/>
      </c>
      <c r="AI643" s="85">
        <f>IF($A643="","",TRIM(IF(AND($M643=0,$I643&lt;&gt;"Yes"),"T0-NoPhishResistant ","")&amp;IF($H643="No","NoMFA ","")&amp;IF(AND($M643=0,$O643="Group only"),"T0-ViaGroupOnly ","")&amp;IF($N643="Yes","BroadAzureScope ","")&amp;IF($T643="Yes","AlsoEntraRole ","")))</f>
        <v/>
      </c>
      <c r="AJ643" s="85">
        <f>IF($A643="","",IF(AD643="","Not Enrolled",IF(TODAY()&gt;AD643,"Review Overdue",IF(AD643-TODAY()&lt;=30,"Review Due Soon","Active"))))</f>
        <v/>
      </c>
      <c r="AK643" s="85">
        <f>IF($A643="","",IF(AE643="","NOT REVIEWED",IF(TODAY()-AE643&gt;90,"OVERDUE",IF(TODAY()-AE643&gt;76,"Due Soon","Current"))))</f>
        <v/>
      </c>
    </row>
    <row r="644" ht="15" customHeight="1" s="39">
      <c r="A644" s="85" t="n"/>
      <c r="B644" s="85" t="n"/>
      <c r="C644" s="85" t="n"/>
      <c r="D644" s="85" t="n"/>
      <c r="E644" s="85" t="n"/>
      <c r="F644" s="86" t="n"/>
      <c r="G644" s="86" t="n"/>
      <c r="H644" s="85" t="n"/>
      <c r="I644" s="85" t="n"/>
      <c r="J644" s="85" t="n"/>
      <c r="K644" s="85" t="n"/>
      <c r="L644" s="85" t="n"/>
      <c r="M644" s="85" t="n"/>
      <c r="N644" s="85" t="n"/>
      <c r="O644" s="85" t="n"/>
      <c r="P644" s="85" t="n"/>
      <c r="Q644" s="85" t="n"/>
      <c r="R644" s="85" t="n"/>
      <c r="S644" s="85" t="n"/>
      <c r="T644" s="85" t="n"/>
      <c r="U644" s="85" t="n"/>
      <c r="V644" s="85" t="n"/>
      <c r="W644" s="85" t="n"/>
      <c r="X644" s="85" t="n"/>
      <c r="Y644" s="85" t="n"/>
      <c r="Z644" s="85" t="n"/>
      <c r="AA644" s="85" t="n"/>
      <c r="AB644" s="85" t="n"/>
      <c r="AC644" s="86" t="n"/>
      <c r="AD644" s="86" t="n"/>
      <c r="AE644" s="86" t="n"/>
      <c r="AF644" s="85" t="n"/>
      <c r="AG644" s="85" t="n"/>
      <c r="AH644" s="85">
        <f>IF($A644="","",IF(AND($E644="Yes",OR($V644="No",$V644="NOT FOUND")),"YES",""))</f>
        <v/>
      </c>
      <c r="AI644" s="85">
        <f>IF($A644="","",TRIM(IF(AND($M644=0,$I644&lt;&gt;"Yes"),"T0-NoPhishResistant ","")&amp;IF($H644="No","NoMFA ","")&amp;IF(AND($M644=0,$O644="Group only"),"T0-ViaGroupOnly ","")&amp;IF($N644="Yes","BroadAzureScope ","")&amp;IF($T644="Yes","AlsoEntraRole ","")))</f>
        <v/>
      </c>
      <c r="AJ644" s="85">
        <f>IF($A644="","",IF(AD644="","Not Enrolled",IF(TODAY()&gt;AD644,"Review Overdue",IF(AD644-TODAY()&lt;=30,"Review Due Soon","Active"))))</f>
        <v/>
      </c>
      <c r="AK644" s="85">
        <f>IF($A644="","",IF(AE644="","NOT REVIEWED",IF(TODAY()-AE644&gt;90,"OVERDUE",IF(TODAY()-AE644&gt;76,"Due Soon","Current"))))</f>
        <v/>
      </c>
    </row>
    <row r="645" ht="15" customHeight="1" s="39">
      <c r="A645" s="85" t="n"/>
      <c r="B645" s="85" t="n"/>
      <c r="C645" s="85" t="n"/>
      <c r="D645" s="85" t="n"/>
      <c r="E645" s="85" t="n"/>
      <c r="F645" s="86" t="n"/>
      <c r="G645" s="86" t="n"/>
      <c r="H645" s="85" t="n"/>
      <c r="I645" s="85" t="n"/>
      <c r="J645" s="85" t="n"/>
      <c r="K645" s="85" t="n"/>
      <c r="L645" s="85" t="n"/>
      <c r="M645" s="85" t="n"/>
      <c r="N645" s="85" t="n"/>
      <c r="O645" s="85" t="n"/>
      <c r="P645" s="85" t="n"/>
      <c r="Q645" s="85" t="n"/>
      <c r="R645" s="85" t="n"/>
      <c r="S645" s="85" t="n"/>
      <c r="T645" s="85" t="n"/>
      <c r="U645" s="85" t="n"/>
      <c r="V645" s="85" t="n"/>
      <c r="W645" s="85" t="n"/>
      <c r="X645" s="85" t="n"/>
      <c r="Y645" s="85" t="n"/>
      <c r="Z645" s="85" t="n"/>
      <c r="AA645" s="85" t="n"/>
      <c r="AB645" s="85" t="n"/>
      <c r="AC645" s="86" t="n"/>
      <c r="AD645" s="86" t="n"/>
      <c r="AE645" s="86" t="n"/>
      <c r="AF645" s="85" t="n"/>
      <c r="AG645" s="85" t="n"/>
      <c r="AH645" s="85">
        <f>IF($A645="","",IF(AND($E645="Yes",OR($V645="No",$V645="NOT FOUND")),"YES",""))</f>
        <v/>
      </c>
      <c r="AI645" s="85">
        <f>IF($A645="","",TRIM(IF(AND($M645=0,$I645&lt;&gt;"Yes"),"T0-NoPhishResistant ","")&amp;IF($H645="No","NoMFA ","")&amp;IF(AND($M645=0,$O645="Group only"),"T0-ViaGroupOnly ","")&amp;IF($N645="Yes","BroadAzureScope ","")&amp;IF($T645="Yes","AlsoEntraRole ","")))</f>
        <v/>
      </c>
      <c r="AJ645" s="85">
        <f>IF($A645="","",IF(AD645="","Not Enrolled",IF(TODAY()&gt;AD645,"Review Overdue",IF(AD645-TODAY()&lt;=30,"Review Due Soon","Active"))))</f>
        <v/>
      </c>
      <c r="AK645" s="85">
        <f>IF($A645="","",IF(AE645="","NOT REVIEWED",IF(TODAY()-AE645&gt;90,"OVERDUE",IF(TODAY()-AE645&gt;76,"Due Soon","Current"))))</f>
        <v/>
      </c>
    </row>
    <row r="646" ht="15" customHeight="1" s="39">
      <c r="A646" s="85" t="n"/>
      <c r="B646" s="85" t="n"/>
      <c r="C646" s="85" t="n"/>
      <c r="D646" s="85" t="n"/>
      <c r="E646" s="85" t="n"/>
      <c r="F646" s="86" t="n"/>
      <c r="G646" s="86" t="n"/>
      <c r="H646" s="85" t="n"/>
      <c r="I646" s="85" t="n"/>
      <c r="J646" s="85" t="n"/>
      <c r="K646" s="85" t="n"/>
      <c r="L646" s="85" t="n"/>
      <c r="M646" s="85" t="n"/>
      <c r="N646" s="85" t="n"/>
      <c r="O646" s="85" t="n"/>
      <c r="P646" s="85" t="n"/>
      <c r="Q646" s="85" t="n"/>
      <c r="R646" s="85" t="n"/>
      <c r="S646" s="85" t="n"/>
      <c r="T646" s="85" t="n"/>
      <c r="U646" s="85" t="n"/>
      <c r="V646" s="85" t="n"/>
      <c r="W646" s="85" t="n"/>
      <c r="X646" s="85" t="n"/>
      <c r="Y646" s="85" t="n"/>
      <c r="Z646" s="85" t="n"/>
      <c r="AA646" s="85" t="n"/>
      <c r="AB646" s="85" t="n"/>
      <c r="AC646" s="86" t="n"/>
      <c r="AD646" s="86" t="n"/>
      <c r="AE646" s="86" t="n"/>
      <c r="AF646" s="85" t="n"/>
      <c r="AG646" s="85" t="n"/>
      <c r="AH646" s="85">
        <f>IF($A646="","",IF(AND($E646="Yes",OR($V646="No",$V646="NOT FOUND")),"YES",""))</f>
        <v/>
      </c>
      <c r="AI646" s="85">
        <f>IF($A646="","",TRIM(IF(AND($M646=0,$I646&lt;&gt;"Yes"),"T0-NoPhishResistant ","")&amp;IF($H646="No","NoMFA ","")&amp;IF(AND($M646=0,$O646="Group only"),"T0-ViaGroupOnly ","")&amp;IF($N646="Yes","BroadAzureScope ","")&amp;IF($T646="Yes","AlsoEntraRole ","")))</f>
        <v/>
      </c>
      <c r="AJ646" s="85">
        <f>IF($A646="","",IF(AD646="","Not Enrolled",IF(TODAY()&gt;AD646,"Review Overdue",IF(AD646-TODAY()&lt;=30,"Review Due Soon","Active"))))</f>
        <v/>
      </c>
      <c r="AK646" s="85">
        <f>IF($A646="","",IF(AE646="","NOT REVIEWED",IF(TODAY()-AE646&gt;90,"OVERDUE",IF(TODAY()-AE646&gt;76,"Due Soon","Current"))))</f>
        <v/>
      </c>
    </row>
    <row r="647" ht="15" customHeight="1" s="39">
      <c r="A647" s="85" t="n"/>
      <c r="B647" s="85" t="n"/>
      <c r="C647" s="85" t="n"/>
      <c r="D647" s="85" t="n"/>
      <c r="E647" s="85" t="n"/>
      <c r="F647" s="86" t="n"/>
      <c r="G647" s="86" t="n"/>
      <c r="H647" s="85" t="n"/>
      <c r="I647" s="85" t="n"/>
      <c r="J647" s="85" t="n"/>
      <c r="K647" s="85" t="n"/>
      <c r="L647" s="85" t="n"/>
      <c r="M647" s="85" t="n"/>
      <c r="N647" s="85" t="n"/>
      <c r="O647" s="85" t="n"/>
      <c r="P647" s="85" t="n"/>
      <c r="Q647" s="85" t="n"/>
      <c r="R647" s="85" t="n"/>
      <c r="S647" s="85" t="n"/>
      <c r="T647" s="85" t="n"/>
      <c r="U647" s="85" t="n"/>
      <c r="V647" s="85" t="n"/>
      <c r="W647" s="85" t="n"/>
      <c r="X647" s="85" t="n"/>
      <c r="Y647" s="85" t="n"/>
      <c r="Z647" s="85" t="n"/>
      <c r="AA647" s="85" t="n"/>
      <c r="AB647" s="85" t="n"/>
      <c r="AC647" s="86" t="n"/>
      <c r="AD647" s="86" t="n"/>
      <c r="AE647" s="86" t="n"/>
      <c r="AF647" s="85" t="n"/>
      <c r="AG647" s="85" t="n"/>
      <c r="AH647" s="85">
        <f>IF($A647="","",IF(AND($E647="Yes",OR($V647="No",$V647="NOT FOUND")),"YES",""))</f>
        <v/>
      </c>
      <c r="AI647" s="85">
        <f>IF($A647="","",TRIM(IF(AND($M647=0,$I647&lt;&gt;"Yes"),"T0-NoPhishResistant ","")&amp;IF($H647="No","NoMFA ","")&amp;IF(AND($M647=0,$O647="Group only"),"T0-ViaGroupOnly ","")&amp;IF($N647="Yes","BroadAzureScope ","")&amp;IF($T647="Yes","AlsoEntraRole ","")))</f>
        <v/>
      </c>
      <c r="AJ647" s="85">
        <f>IF($A647="","",IF(AD647="","Not Enrolled",IF(TODAY()&gt;AD647,"Review Overdue",IF(AD647-TODAY()&lt;=30,"Review Due Soon","Active"))))</f>
        <v/>
      </c>
      <c r="AK647" s="85">
        <f>IF($A647="","",IF(AE647="","NOT REVIEWED",IF(TODAY()-AE647&gt;90,"OVERDUE",IF(TODAY()-AE647&gt;76,"Due Soon","Current"))))</f>
        <v/>
      </c>
    </row>
    <row r="648" ht="15" customHeight="1" s="39">
      <c r="A648" s="85" t="n"/>
      <c r="B648" s="85" t="n"/>
      <c r="C648" s="85" t="n"/>
      <c r="D648" s="85" t="n"/>
      <c r="E648" s="85" t="n"/>
      <c r="F648" s="86" t="n"/>
      <c r="G648" s="86" t="n"/>
      <c r="H648" s="85" t="n"/>
      <c r="I648" s="85" t="n"/>
      <c r="J648" s="85" t="n"/>
      <c r="K648" s="85" t="n"/>
      <c r="L648" s="85" t="n"/>
      <c r="M648" s="85" t="n"/>
      <c r="N648" s="85" t="n"/>
      <c r="O648" s="85" t="n"/>
      <c r="P648" s="85" t="n"/>
      <c r="Q648" s="85" t="n"/>
      <c r="R648" s="85" t="n"/>
      <c r="S648" s="85" t="n"/>
      <c r="T648" s="85" t="n"/>
      <c r="U648" s="85" t="n"/>
      <c r="V648" s="85" t="n"/>
      <c r="W648" s="85" t="n"/>
      <c r="X648" s="85" t="n"/>
      <c r="Y648" s="85" t="n"/>
      <c r="Z648" s="85" t="n"/>
      <c r="AA648" s="85" t="n"/>
      <c r="AB648" s="85" t="n"/>
      <c r="AC648" s="86" t="n"/>
      <c r="AD648" s="86" t="n"/>
      <c r="AE648" s="86" t="n"/>
      <c r="AF648" s="85" t="n"/>
      <c r="AG648" s="85" t="n"/>
      <c r="AH648" s="85">
        <f>IF($A648="","",IF(AND($E648="Yes",OR($V648="No",$V648="NOT FOUND")),"YES",""))</f>
        <v/>
      </c>
      <c r="AI648" s="85">
        <f>IF($A648="","",TRIM(IF(AND($M648=0,$I648&lt;&gt;"Yes"),"T0-NoPhishResistant ","")&amp;IF($H648="No","NoMFA ","")&amp;IF(AND($M648=0,$O648="Group only"),"T0-ViaGroupOnly ","")&amp;IF($N648="Yes","BroadAzureScope ","")&amp;IF($T648="Yes","AlsoEntraRole ","")))</f>
        <v/>
      </c>
      <c r="AJ648" s="85">
        <f>IF($A648="","",IF(AD648="","Not Enrolled",IF(TODAY()&gt;AD648,"Review Overdue",IF(AD648-TODAY()&lt;=30,"Review Due Soon","Active"))))</f>
        <v/>
      </c>
      <c r="AK648" s="85">
        <f>IF($A648="","",IF(AE648="","NOT REVIEWED",IF(TODAY()-AE648&gt;90,"OVERDUE",IF(TODAY()-AE648&gt;76,"Due Soon","Current"))))</f>
        <v/>
      </c>
    </row>
    <row r="649" ht="15" customHeight="1" s="39">
      <c r="A649" s="85" t="n"/>
      <c r="B649" s="85" t="n"/>
      <c r="C649" s="85" t="n"/>
      <c r="D649" s="85" t="n"/>
      <c r="E649" s="85" t="n"/>
      <c r="F649" s="86" t="n"/>
      <c r="G649" s="86" t="n"/>
      <c r="H649" s="85" t="n"/>
      <c r="I649" s="85" t="n"/>
      <c r="J649" s="85" t="n"/>
      <c r="K649" s="85" t="n"/>
      <c r="L649" s="85" t="n"/>
      <c r="M649" s="85" t="n"/>
      <c r="N649" s="85" t="n"/>
      <c r="O649" s="85" t="n"/>
      <c r="P649" s="85" t="n"/>
      <c r="Q649" s="85" t="n"/>
      <c r="R649" s="85" t="n"/>
      <c r="S649" s="85" t="n"/>
      <c r="T649" s="85" t="n"/>
      <c r="U649" s="85" t="n"/>
      <c r="V649" s="85" t="n"/>
      <c r="W649" s="85" t="n"/>
      <c r="X649" s="85" t="n"/>
      <c r="Y649" s="85" t="n"/>
      <c r="Z649" s="85" t="n"/>
      <c r="AA649" s="85" t="n"/>
      <c r="AB649" s="85" t="n"/>
      <c r="AC649" s="86" t="n"/>
      <c r="AD649" s="86" t="n"/>
      <c r="AE649" s="86" t="n"/>
      <c r="AF649" s="85" t="n"/>
      <c r="AG649" s="85" t="n"/>
      <c r="AH649" s="85">
        <f>IF($A649="","",IF(AND($E649="Yes",OR($V649="No",$V649="NOT FOUND")),"YES",""))</f>
        <v/>
      </c>
      <c r="AI649" s="85">
        <f>IF($A649="","",TRIM(IF(AND($M649=0,$I649&lt;&gt;"Yes"),"T0-NoPhishResistant ","")&amp;IF($H649="No","NoMFA ","")&amp;IF(AND($M649=0,$O649="Group only"),"T0-ViaGroupOnly ","")&amp;IF($N649="Yes","BroadAzureScope ","")&amp;IF($T649="Yes","AlsoEntraRole ","")))</f>
        <v/>
      </c>
      <c r="AJ649" s="85">
        <f>IF($A649="","",IF(AD649="","Not Enrolled",IF(TODAY()&gt;AD649,"Review Overdue",IF(AD649-TODAY()&lt;=30,"Review Due Soon","Active"))))</f>
        <v/>
      </c>
      <c r="AK649" s="85">
        <f>IF($A649="","",IF(AE649="","NOT REVIEWED",IF(TODAY()-AE649&gt;90,"OVERDUE",IF(TODAY()-AE649&gt;76,"Due Soon","Current"))))</f>
        <v/>
      </c>
    </row>
    <row r="650" ht="15" customHeight="1" s="39">
      <c r="A650" s="85" t="n"/>
      <c r="B650" s="85" t="n"/>
      <c r="C650" s="85" t="n"/>
      <c r="D650" s="85" t="n"/>
      <c r="E650" s="85" t="n"/>
      <c r="F650" s="86" t="n"/>
      <c r="G650" s="86" t="n"/>
      <c r="H650" s="85" t="n"/>
      <c r="I650" s="85" t="n"/>
      <c r="J650" s="85" t="n"/>
      <c r="K650" s="85" t="n"/>
      <c r="L650" s="85" t="n"/>
      <c r="M650" s="85" t="n"/>
      <c r="N650" s="85" t="n"/>
      <c r="O650" s="85" t="n"/>
      <c r="P650" s="85" t="n"/>
      <c r="Q650" s="85" t="n"/>
      <c r="R650" s="85" t="n"/>
      <c r="S650" s="85" t="n"/>
      <c r="T650" s="85" t="n"/>
      <c r="U650" s="85" t="n"/>
      <c r="V650" s="85" t="n"/>
      <c r="W650" s="85" t="n"/>
      <c r="X650" s="85" t="n"/>
      <c r="Y650" s="85" t="n"/>
      <c r="Z650" s="85" t="n"/>
      <c r="AA650" s="85" t="n"/>
      <c r="AB650" s="85" t="n"/>
      <c r="AC650" s="86" t="n"/>
      <c r="AD650" s="86" t="n"/>
      <c r="AE650" s="86" t="n"/>
      <c r="AF650" s="85" t="n"/>
      <c r="AG650" s="85" t="n"/>
      <c r="AH650" s="85">
        <f>IF($A650="","",IF(AND($E650="Yes",OR($V650="No",$V650="NOT FOUND")),"YES",""))</f>
        <v/>
      </c>
      <c r="AI650" s="85">
        <f>IF($A650="","",TRIM(IF(AND($M650=0,$I650&lt;&gt;"Yes"),"T0-NoPhishResistant ","")&amp;IF($H650="No","NoMFA ","")&amp;IF(AND($M650=0,$O650="Group only"),"T0-ViaGroupOnly ","")&amp;IF($N650="Yes","BroadAzureScope ","")&amp;IF($T650="Yes","AlsoEntraRole ","")))</f>
        <v/>
      </c>
      <c r="AJ650" s="85">
        <f>IF($A650="","",IF(AD650="","Not Enrolled",IF(TODAY()&gt;AD650,"Review Overdue",IF(AD650-TODAY()&lt;=30,"Review Due Soon","Active"))))</f>
        <v/>
      </c>
      <c r="AK650" s="85">
        <f>IF($A650="","",IF(AE650="","NOT REVIEWED",IF(TODAY()-AE650&gt;90,"OVERDUE",IF(TODAY()-AE650&gt;76,"Due Soon","Current"))))</f>
        <v/>
      </c>
    </row>
    <row r="651" ht="15" customHeight="1" s="39">
      <c r="A651" s="85" t="n"/>
      <c r="B651" s="85" t="n"/>
      <c r="C651" s="85" t="n"/>
      <c r="D651" s="85" t="n"/>
      <c r="E651" s="85" t="n"/>
      <c r="F651" s="86" t="n"/>
      <c r="G651" s="86" t="n"/>
      <c r="H651" s="85" t="n"/>
      <c r="I651" s="85" t="n"/>
      <c r="J651" s="85" t="n"/>
      <c r="K651" s="85" t="n"/>
      <c r="L651" s="85" t="n"/>
      <c r="M651" s="85" t="n"/>
      <c r="N651" s="85" t="n"/>
      <c r="O651" s="85" t="n"/>
      <c r="P651" s="85" t="n"/>
      <c r="Q651" s="85" t="n"/>
      <c r="R651" s="85" t="n"/>
      <c r="S651" s="85" t="n"/>
      <c r="T651" s="85" t="n"/>
      <c r="U651" s="85" t="n"/>
      <c r="V651" s="85" t="n"/>
      <c r="W651" s="85" t="n"/>
      <c r="X651" s="85" t="n"/>
      <c r="Y651" s="85" t="n"/>
      <c r="Z651" s="85" t="n"/>
      <c r="AA651" s="85" t="n"/>
      <c r="AB651" s="85" t="n"/>
      <c r="AC651" s="86" t="n"/>
      <c r="AD651" s="86" t="n"/>
      <c r="AE651" s="86" t="n"/>
      <c r="AF651" s="85" t="n"/>
      <c r="AG651" s="85" t="n"/>
      <c r="AH651" s="85">
        <f>IF($A651="","",IF(AND($E651="Yes",OR($V651="No",$V651="NOT FOUND")),"YES",""))</f>
        <v/>
      </c>
      <c r="AI651" s="85">
        <f>IF($A651="","",TRIM(IF(AND($M651=0,$I651&lt;&gt;"Yes"),"T0-NoPhishResistant ","")&amp;IF($H651="No","NoMFA ","")&amp;IF(AND($M651=0,$O651="Group only"),"T0-ViaGroupOnly ","")&amp;IF($N651="Yes","BroadAzureScope ","")&amp;IF($T651="Yes","AlsoEntraRole ","")))</f>
        <v/>
      </c>
      <c r="AJ651" s="85">
        <f>IF($A651="","",IF(AD651="","Not Enrolled",IF(TODAY()&gt;AD651,"Review Overdue",IF(AD651-TODAY()&lt;=30,"Review Due Soon","Active"))))</f>
        <v/>
      </c>
      <c r="AK651" s="85">
        <f>IF($A651="","",IF(AE651="","NOT REVIEWED",IF(TODAY()-AE651&gt;90,"OVERDUE",IF(TODAY()-AE651&gt;76,"Due Soon","Current"))))</f>
        <v/>
      </c>
    </row>
    <row r="652" ht="15" customHeight="1" s="39">
      <c r="A652" s="85" t="n"/>
      <c r="B652" s="85" t="n"/>
      <c r="C652" s="85" t="n"/>
      <c r="D652" s="85" t="n"/>
      <c r="E652" s="85" t="n"/>
      <c r="F652" s="86" t="n"/>
      <c r="G652" s="86" t="n"/>
      <c r="H652" s="85" t="n"/>
      <c r="I652" s="85" t="n"/>
      <c r="J652" s="85" t="n"/>
      <c r="K652" s="85" t="n"/>
      <c r="L652" s="85" t="n"/>
      <c r="M652" s="85" t="n"/>
      <c r="N652" s="85" t="n"/>
      <c r="O652" s="85" t="n"/>
      <c r="P652" s="85" t="n"/>
      <c r="Q652" s="85" t="n"/>
      <c r="R652" s="85" t="n"/>
      <c r="S652" s="85" t="n"/>
      <c r="T652" s="85" t="n"/>
      <c r="U652" s="85" t="n"/>
      <c r="V652" s="85" t="n"/>
      <c r="W652" s="85" t="n"/>
      <c r="X652" s="85" t="n"/>
      <c r="Y652" s="85" t="n"/>
      <c r="Z652" s="85" t="n"/>
      <c r="AA652" s="85" t="n"/>
      <c r="AB652" s="85" t="n"/>
      <c r="AC652" s="86" t="n"/>
      <c r="AD652" s="86" t="n"/>
      <c r="AE652" s="86" t="n"/>
      <c r="AF652" s="85" t="n"/>
      <c r="AG652" s="85" t="n"/>
      <c r="AH652" s="85">
        <f>IF($A652="","",IF(AND($E652="Yes",OR($V652="No",$V652="NOT FOUND")),"YES",""))</f>
        <v/>
      </c>
      <c r="AI652" s="85">
        <f>IF($A652="","",TRIM(IF(AND($M652=0,$I652&lt;&gt;"Yes"),"T0-NoPhishResistant ","")&amp;IF($H652="No","NoMFA ","")&amp;IF(AND($M652=0,$O652="Group only"),"T0-ViaGroupOnly ","")&amp;IF($N652="Yes","BroadAzureScope ","")&amp;IF($T652="Yes","AlsoEntraRole ","")))</f>
        <v/>
      </c>
      <c r="AJ652" s="85">
        <f>IF($A652="","",IF(AD652="","Not Enrolled",IF(TODAY()&gt;AD652,"Review Overdue",IF(AD652-TODAY()&lt;=30,"Review Due Soon","Active"))))</f>
        <v/>
      </c>
      <c r="AK652" s="85">
        <f>IF($A652="","",IF(AE652="","NOT REVIEWED",IF(TODAY()-AE652&gt;90,"OVERDUE",IF(TODAY()-AE652&gt;76,"Due Soon","Current"))))</f>
        <v/>
      </c>
    </row>
    <row r="653" ht="15" customHeight="1" s="39">
      <c r="A653" s="85" t="n"/>
      <c r="B653" s="85" t="n"/>
      <c r="C653" s="85" t="n"/>
      <c r="D653" s="85" t="n"/>
      <c r="E653" s="85" t="n"/>
      <c r="F653" s="86" t="n"/>
      <c r="G653" s="86" t="n"/>
      <c r="H653" s="85" t="n"/>
      <c r="I653" s="85" t="n"/>
      <c r="J653" s="85" t="n"/>
      <c r="K653" s="85" t="n"/>
      <c r="L653" s="85" t="n"/>
      <c r="M653" s="85" t="n"/>
      <c r="N653" s="85" t="n"/>
      <c r="O653" s="85" t="n"/>
      <c r="P653" s="85" t="n"/>
      <c r="Q653" s="85" t="n"/>
      <c r="R653" s="85" t="n"/>
      <c r="S653" s="85" t="n"/>
      <c r="T653" s="85" t="n"/>
      <c r="U653" s="85" t="n"/>
      <c r="V653" s="85" t="n"/>
      <c r="W653" s="85" t="n"/>
      <c r="X653" s="85" t="n"/>
      <c r="Y653" s="85" t="n"/>
      <c r="Z653" s="85" t="n"/>
      <c r="AA653" s="85" t="n"/>
      <c r="AB653" s="85" t="n"/>
      <c r="AC653" s="86" t="n"/>
      <c r="AD653" s="86" t="n"/>
      <c r="AE653" s="86" t="n"/>
      <c r="AF653" s="85" t="n"/>
      <c r="AG653" s="85" t="n"/>
      <c r="AH653" s="85">
        <f>IF($A653="","",IF(AND($E653="Yes",OR($V653="No",$V653="NOT FOUND")),"YES",""))</f>
        <v/>
      </c>
      <c r="AI653" s="85">
        <f>IF($A653="","",TRIM(IF(AND($M653=0,$I653&lt;&gt;"Yes"),"T0-NoPhishResistant ","")&amp;IF($H653="No","NoMFA ","")&amp;IF(AND($M653=0,$O653="Group only"),"T0-ViaGroupOnly ","")&amp;IF($N653="Yes","BroadAzureScope ","")&amp;IF($T653="Yes","AlsoEntraRole ","")))</f>
        <v/>
      </c>
      <c r="AJ653" s="85">
        <f>IF($A653="","",IF(AD653="","Not Enrolled",IF(TODAY()&gt;AD653,"Review Overdue",IF(AD653-TODAY()&lt;=30,"Review Due Soon","Active"))))</f>
        <v/>
      </c>
      <c r="AK653" s="85">
        <f>IF($A653="","",IF(AE653="","NOT REVIEWED",IF(TODAY()-AE653&gt;90,"OVERDUE",IF(TODAY()-AE653&gt;76,"Due Soon","Current"))))</f>
        <v/>
      </c>
    </row>
    <row r="654" ht="15" customHeight="1" s="39">
      <c r="A654" s="85" t="n"/>
      <c r="B654" s="85" t="n"/>
      <c r="C654" s="85" t="n"/>
      <c r="D654" s="85" t="n"/>
      <c r="E654" s="85" t="n"/>
      <c r="F654" s="86" t="n"/>
      <c r="G654" s="86" t="n"/>
      <c r="H654" s="85" t="n"/>
      <c r="I654" s="85" t="n"/>
      <c r="J654" s="85" t="n"/>
      <c r="K654" s="85" t="n"/>
      <c r="L654" s="85" t="n"/>
      <c r="M654" s="85" t="n"/>
      <c r="N654" s="85" t="n"/>
      <c r="O654" s="85" t="n"/>
      <c r="P654" s="85" t="n"/>
      <c r="Q654" s="85" t="n"/>
      <c r="R654" s="85" t="n"/>
      <c r="S654" s="85" t="n"/>
      <c r="T654" s="85" t="n"/>
      <c r="U654" s="85" t="n"/>
      <c r="V654" s="85" t="n"/>
      <c r="W654" s="85" t="n"/>
      <c r="X654" s="85" t="n"/>
      <c r="Y654" s="85" t="n"/>
      <c r="Z654" s="85" t="n"/>
      <c r="AA654" s="85" t="n"/>
      <c r="AB654" s="85" t="n"/>
      <c r="AC654" s="86" t="n"/>
      <c r="AD654" s="86" t="n"/>
      <c r="AE654" s="86" t="n"/>
      <c r="AF654" s="85" t="n"/>
      <c r="AG654" s="85" t="n"/>
      <c r="AH654" s="85">
        <f>IF($A654="","",IF(AND($E654="Yes",OR($V654="No",$V654="NOT FOUND")),"YES",""))</f>
        <v/>
      </c>
      <c r="AI654" s="85">
        <f>IF($A654="","",TRIM(IF(AND($M654=0,$I654&lt;&gt;"Yes"),"T0-NoPhishResistant ","")&amp;IF($H654="No","NoMFA ","")&amp;IF(AND($M654=0,$O654="Group only"),"T0-ViaGroupOnly ","")&amp;IF($N654="Yes","BroadAzureScope ","")&amp;IF($T654="Yes","AlsoEntraRole ","")))</f>
        <v/>
      </c>
      <c r="AJ654" s="85">
        <f>IF($A654="","",IF(AD654="","Not Enrolled",IF(TODAY()&gt;AD654,"Review Overdue",IF(AD654-TODAY()&lt;=30,"Review Due Soon","Active"))))</f>
        <v/>
      </c>
      <c r="AK654" s="85">
        <f>IF($A654="","",IF(AE654="","NOT REVIEWED",IF(TODAY()-AE654&gt;90,"OVERDUE",IF(TODAY()-AE654&gt;76,"Due Soon","Current"))))</f>
        <v/>
      </c>
    </row>
    <row r="655" ht="15" customHeight="1" s="39">
      <c r="A655" s="85" t="n"/>
      <c r="B655" s="85" t="n"/>
      <c r="C655" s="85" t="n"/>
      <c r="D655" s="85" t="n"/>
      <c r="E655" s="85" t="n"/>
      <c r="F655" s="86" t="n"/>
      <c r="G655" s="86" t="n"/>
      <c r="H655" s="85" t="n"/>
      <c r="I655" s="85" t="n"/>
      <c r="J655" s="85" t="n"/>
      <c r="K655" s="85" t="n"/>
      <c r="L655" s="85" t="n"/>
      <c r="M655" s="85" t="n"/>
      <c r="N655" s="85" t="n"/>
      <c r="O655" s="85" t="n"/>
      <c r="P655" s="85" t="n"/>
      <c r="Q655" s="85" t="n"/>
      <c r="R655" s="85" t="n"/>
      <c r="S655" s="85" t="n"/>
      <c r="T655" s="85" t="n"/>
      <c r="U655" s="85" t="n"/>
      <c r="V655" s="85" t="n"/>
      <c r="W655" s="85" t="n"/>
      <c r="X655" s="85" t="n"/>
      <c r="Y655" s="85" t="n"/>
      <c r="Z655" s="85" t="n"/>
      <c r="AA655" s="85" t="n"/>
      <c r="AB655" s="85" t="n"/>
      <c r="AC655" s="86" t="n"/>
      <c r="AD655" s="86" t="n"/>
      <c r="AE655" s="86" t="n"/>
      <c r="AF655" s="85" t="n"/>
      <c r="AG655" s="85" t="n"/>
      <c r="AH655" s="85">
        <f>IF($A655="","",IF(AND($E655="Yes",OR($V655="No",$V655="NOT FOUND")),"YES",""))</f>
        <v/>
      </c>
      <c r="AI655" s="85">
        <f>IF($A655="","",TRIM(IF(AND($M655=0,$I655&lt;&gt;"Yes"),"T0-NoPhishResistant ","")&amp;IF($H655="No","NoMFA ","")&amp;IF(AND($M655=0,$O655="Group only"),"T0-ViaGroupOnly ","")&amp;IF($N655="Yes","BroadAzureScope ","")&amp;IF($T655="Yes","AlsoEntraRole ","")))</f>
        <v/>
      </c>
      <c r="AJ655" s="85">
        <f>IF($A655="","",IF(AD655="","Not Enrolled",IF(TODAY()&gt;AD655,"Review Overdue",IF(AD655-TODAY()&lt;=30,"Review Due Soon","Active"))))</f>
        <v/>
      </c>
      <c r="AK655" s="85">
        <f>IF($A655="","",IF(AE655="","NOT REVIEWED",IF(TODAY()-AE655&gt;90,"OVERDUE",IF(TODAY()-AE655&gt;76,"Due Soon","Current"))))</f>
        <v/>
      </c>
    </row>
    <row r="656" ht="15" customHeight="1" s="39">
      <c r="A656" s="85" t="n"/>
      <c r="B656" s="85" t="n"/>
      <c r="C656" s="85" t="n"/>
      <c r="D656" s="85" t="n"/>
      <c r="E656" s="85" t="n"/>
      <c r="F656" s="86" t="n"/>
      <c r="G656" s="86" t="n"/>
      <c r="H656" s="85" t="n"/>
      <c r="I656" s="85" t="n"/>
      <c r="J656" s="85" t="n"/>
      <c r="K656" s="85" t="n"/>
      <c r="L656" s="85" t="n"/>
      <c r="M656" s="85" t="n"/>
      <c r="N656" s="85" t="n"/>
      <c r="O656" s="85" t="n"/>
      <c r="P656" s="85" t="n"/>
      <c r="Q656" s="85" t="n"/>
      <c r="R656" s="85" t="n"/>
      <c r="S656" s="85" t="n"/>
      <c r="T656" s="85" t="n"/>
      <c r="U656" s="85" t="n"/>
      <c r="V656" s="85" t="n"/>
      <c r="W656" s="85" t="n"/>
      <c r="X656" s="85" t="n"/>
      <c r="Y656" s="85" t="n"/>
      <c r="Z656" s="85" t="n"/>
      <c r="AA656" s="85" t="n"/>
      <c r="AB656" s="85" t="n"/>
      <c r="AC656" s="86" t="n"/>
      <c r="AD656" s="86" t="n"/>
      <c r="AE656" s="86" t="n"/>
      <c r="AF656" s="85" t="n"/>
      <c r="AG656" s="85" t="n"/>
      <c r="AH656" s="85">
        <f>IF($A656="","",IF(AND($E656="Yes",OR($V656="No",$V656="NOT FOUND")),"YES",""))</f>
        <v/>
      </c>
      <c r="AI656" s="85">
        <f>IF($A656="","",TRIM(IF(AND($M656=0,$I656&lt;&gt;"Yes"),"T0-NoPhishResistant ","")&amp;IF($H656="No","NoMFA ","")&amp;IF(AND($M656=0,$O656="Group only"),"T0-ViaGroupOnly ","")&amp;IF($N656="Yes","BroadAzureScope ","")&amp;IF($T656="Yes","AlsoEntraRole ","")))</f>
        <v/>
      </c>
      <c r="AJ656" s="85">
        <f>IF($A656="","",IF(AD656="","Not Enrolled",IF(TODAY()&gt;AD656,"Review Overdue",IF(AD656-TODAY()&lt;=30,"Review Due Soon","Active"))))</f>
        <v/>
      </c>
      <c r="AK656" s="85">
        <f>IF($A656="","",IF(AE656="","NOT REVIEWED",IF(TODAY()-AE656&gt;90,"OVERDUE",IF(TODAY()-AE656&gt;76,"Due Soon","Current"))))</f>
        <v/>
      </c>
    </row>
    <row r="657" ht="15" customHeight="1" s="39">
      <c r="A657" s="85" t="n"/>
      <c r="B657" s="85" t="n"/>
      <c r="C657" s="85" t="n"/>
      <c r="D657" s="85" t="n"/>
      <c r="E657" s="85" t="n"/>
      <c r="F657" s="86" t="n"/>
      <c r="G657" s="86" t="n"/>
      <c r="H657" s="85" t="n"/>
      <c r="I657" s="85" t="n"/>
      <c r="J657" s="85" t="n"/>
      <c r="K657" s="85" t="n"/>
      <c r="L657" s="85" t="n"/>
      <c r="M657" s="85" t="n"/>
      <c r="N657" s="85" t="n"/>
      <c r="O657" s="85" t="n"/>
      <c r="P657" s="85" t="n"/>
      <c r="Q657" s="85" t="n"/>
      <c r="R657" s="85" t="n"/>
      <c r="S657" s="85" t="n"/>
      <c r="T657" s="85" t="n"/>
      <c r="U657" s="85" t="n"/>
      <c r="V657" s="85" t="n"/>
      <c r="W657" s="85" t="n"/>
      <c r="X657" s="85" t="n"/>
      <c r="Y657" s="85" t="n"/>
      <c r="Z657" s="85" t="n"/>
      <c r="AA657" s="85" t="n"/>
      <c r="AB657" s="85" t="n"/>
      <c r="AC657" s="86" t="n"/>
      <c r="AD657" s="86" t="n"/>
      <c r="AE657" s="86" t="n"/>
      <c r="AF657" s="85" t="n"/>
      <c r="AG657" s="85" t="n"/>
      <c r="AH657" s="85">
        <f>IF($A657="","",IF(AND($E657="Yes",OR($V657="No",$V657="NOT FOUND")),"YES",""))</f>
        <v/>
      </c>
      <c r="AI657" s="85">
        <f>IF($A657="","",TRIM(IF(AND($M657=0,$I657&lt;&gt;"Yes"),"T0-NoPhishResistant ","")&amp;IF($H657="No","NoMFA ","")&amp;IF(AND($M657=0,$O657="Group only"),"T0-ViaGroupOnly ","")&amp;IF($N657="Yes","BroadAzureScope ","")&amp;IF($T657="Yes","AlsoEntraRole ","")))</f>
        <v/>
      </c>
      <c r="AJ657" s="85">
        <f>IF($A657="","",IF(AD657="","Not Enrolled",IF(TODAY()&gt;AD657,"Review Overdue",IF(AD657-TODAY()&lt;=30,"Review Due Soon","Active"))))</f>
        <v/>
      </c>
      <c r="AK657" s="85">
        <f>IF($A657="","",IF(AE657="","NOT REVIEWED",IF(TODAY()-AE657&gt;90,"OVERDUE",IF(TODAY()-AE657&gt;76,"Due Soon","Current"))))</f>
        <v/>
      </c>
    </row>
    <row r="658" ht="15" customHeight="1" s="39">
      <c r="A658" s="85" t="n"/>
      <c r="B658" s="85" t="n"/>
      <c r="C658" s="85" t="n"/>
      <c r="D658" s="85" t="n"/>
      <c r="E658" s="85" t="n"/>
      <c r="F658" s="86" t="n"/>
      <c r="G658" s="86" t="n"/>
      <c r="H658" s="85" t="n"/>
      <c r="I658" s="85" t="n"/>
      <c r="J658" s="85" t="n"/>
      <c r="K658" s="85" t="n"/>
      <c r="L658" s="85" t="n"/>
      <c r="M658" s="85" t="n"/>
      <c r="N658" s="85" t="n"/>
      <c r="O658" s="85" t="n"/>
      <c r="P658" s="85" t="n"/>
      <c r="Q658" s="85" t="n"/>
      <c r="R658" s="85" t="n"/>
      <c r="S658" s="85" t="n"/>
      <c r="T658" s="85" t="n"/>
      <c r="U658" s="85" t="n"/>
      <c r="V658" s="85" t="n"/>
      <c r="W658" s="85" t="n"/>
      <c r="X658" s="85" t="n"/>
      <c r="Y658" s="85" t="n"/>
      <c r="Z658" s="85" t="n"/>
      <c r="AA658" s="85" t="n"/>
      <c r="AB658" s="85" t="n"/>
      <c r="AC658" s="86" t="n"/>
      <c r="AD658" s="86" t="n"/>
      <c r="AE658" s="86" t="n"/>
      <c r="AF658" s="85" t="n"/>
      <c r="AG658" s="85" t="n"/>
      <c r="AH658" s="85">
        <f>IF($A658="","",IF(AND($E658="Yes",OR($V658="No",$V658="NOT FOUND")),"YES",""))</f>
        <v/>
      </c>
      <c r="AI658" s="85">
        <f>IF($A658="","",TRIM(IF(AND($M658=0,$I658&lt;&gt;"Yes"),"T0-NoPhishResistant ","")&amp;IF($H658="No","NoMFA ","")&amp;IF(AND($M658=0,$O658="Group only"),"T0-ViaGroupOnly ","")&amp;IF($N658="Yes","BroadAzureScope ","")&amp;IF($T658="Yes","AlsoEntraRole ","")))</f>
        <v/>
      </c>
      <c r="AJ658" s="85">
        <f>IF($A658="","",IF(AD658="","Not Enrolled",IF(TODAY()&gt;AD658,"Review Overdue",IF(AD658-TODAY()&lt;=30,"Review Due Soon","Active"))))</f>
        <v/>
      </c>
      <c r="AK658" s="85">
        <f>IF($A658="","",IF(AE658="","NOT REVIEWED",IF(TODAY()-AE658&gt;90,"OVERDUE",IF(TODAY()-AE658&gt;76,"Due Soon","Current"))))</f>
        <v/>
      </c>
    </row>
    <row r="659" ht="15" customHeight="1" s="39">
      <c r="A659" s="85" t="n"/>
      <c r="B659" s="85" t="n"/>
      <c r="C659" s="85" t="n"/>
      <c r="D659" s="85" t="n"/>
      <c r="E659" s="85" t="n"/>
      <c r="F659" s="86" t="n"/>
      <c r="G659" s="86" t="n"/>
      <c r="H659" s="85" t="n"/>
      <c r="I659" s="85" t="n"/>
      <c r="J659" s="85" t="n"/>
      <c r="K659" s="85" t="n"/>
      <c r="L659" s="85" t="n"/>
      <c r="M659" s="85" t="n"/>
      <c r="N659" s="85" t="n"/>
      <c r="O659" s="85" t="n"/>
      <c r="P659" s="85" t="n"/>
      <c r="Q659" s="85" t="n"/>
      <c r="R659" s="85" t="n"/>
      <c r="S659" s="85" t="n"/>
      <c r="T659" s="85" t="n"/>
      <c r="U659" s="85" t="n"/>
      <c r="V659" s="85" t="n"/>
      <c r="W659" s="85" t="n"/>
      <c r="X659" s="85" t="n"/>
      <c r="Y659" s="85" t="n"/>
      <c r="Z659" s="85" t="n"/>
      <c r="AA659" s="85" t="n"/>
      <c r="AB659" s="85" t="n"/>
      <c r="AC659" s="86" t="n"/>
      <c r="AD659" s="86" t="n"/>
      <c r="AE659" s="86" t="n"/>
      <c r="AF659" s="85" t="n"/>
      <c r="AG659" s="85" t="n"/>
      <c r="AH659" s="85">
        <f>IF($A659="","",IF(AND($E659="Yes",OR($V659="No",$V659="NOT FOUND")),"YES",""))</f>
        <v/>
      </c>
      <c r="AI659" s="85">
        <f>IF($A659="","",TRIM(IF(AND($M659=0,$I659&lt;&gt;"Yes"),"T0-NoPhishResistant ","")&amp;IF($H659="No","NoMFA ","")&amp;IF(AND($M659=0,$O659="Group only"),"T0-ViaGroupOnly ","")&amp;IF($N659="Yes","BroadAzureScope ","")&amp;IF($T659="Yes","AlsoEntraRole ","")))</f>
        <v/>
      </c>
      <c r="AJ659" s="85">
        <f>IF($A659="","",IF(AD659="","Not Enrolled",IF(TODAY()&gt;AD659,"Review Overdue",IF(AD659-TODAY()&lt;=30,"Review Due Soon","Active"))))</f>
        <v/>
      </c>
      <c r="AK659" s="85">
        <f>IF($A659="","",IF(AE659="","NOT REVIEWED",IF(TODAY()-AE659&gt;90,"OVERDUE",IF(TODAY()-AE659&gt;76,"Due Soon","Current"))))</f>
        <v/>
      </c>
    </row>
    <row r="660" ht="15" customHeight="1" s="39">
      <c r="A660" s="85" t="n"/>
      <c r="B660" s="85" t="n"/>
      <c r="C660" s="85" t="n"/>
      <c r="D660" s="85" t="n"/>
      <c r="E660" s="85" t="n"/>
      <c r="F660" s="86" t="n"/>
      <c r="G660" s="86" t="n"/>
      <c r="H660" s="85" t="n"/>
      <c r="I660" s="85" t="n"/>
      <c r="J660" s="85" t="n"/>
      <c r="K660" s="85" t="n"/>
      <c r="L660" s="85" t="n"/>
      <c r="M660" s="85" t="n"/>
      <c r="N660" s="85" t="n"/>
      <c r="O660" s="85" t="n"/>
      <c r="P660" s="85" t="n"/>
      <c r="Q660" s="85" t="n"/>
      <c r="R660" s="85" t="n"/>
      <c r="S660" s="85" t="n"/>
      <c r="T660" s="85" t="n"/>
      <c r="U660" s="85" t="n"/>
      <c r="V660" s="85" t="n"/>
      <c r="W660" s="85" t="n"/>
      <c r="X660" s="85" t="n"/>
      <c r="Y660" s="85" t="n"/>
      <c r="Z660" s="85" t="n"/>
      <c r="AA660" s="85" t="n"/>
      <c r="AB660" s="85" t="n"/>
      <c r="AC660" s="86" t="n"/>
      <c r="AD660" s="86" t="n"/>
      <c r="AE660" s="86" t="n"/>
      <c r="AF660" s="85" t="n"/>
      <c r="AG660" s="85" t="n"/>
      <c r="AH660" s="85">
        <f>IF($A660="","",IF(AND($E660="Yes",OR($V660="No",$V660="NOT FOUND")),"YES",""))</f>
        <v/>
      </c>
      <c r="AI660" s="85">
        <f>IF($A660="","",TRIM(IF(AND($M660=0,$I660&lt;&gt;"Yes"),"T0-NoPhishResistant ","")&amp;IF($H660="No","NoMFA ","")&amp;IF(AND($M660=0,$O660="Group only"),"T0-ViaGroupOnly ","")&amp;IF($N660="Yes","BroadAzureScope ","")&amp;IF($T660="Yes","AlsoEntraRole ","")))</f>
        <v/>
      </c>
      <c r="AJ660" s="85">
        <f>IF($A660="","",IF(AD660="","Not Enrolled",IF(TODAY()&gt;AD660,"Review Overdue",IF(AD660-TODAY()&lt;=30,"Review Due Soon","Active"))))</f>
        <v/>
      </c>
      <c r="AK660" s="85">
        <f>IF($A660="","",IF(AE660="","NOT REVIEWED",IF(TODAY()-AE660&gt;90,"OVERDUE",IF(TODAY()-AE660&gt;76,"Due Soon","Current"))))</f>
        <v/>
      </c>
    </row>
    <row r="661" ht="15" customHeight="1" s="39">
      <c r="A661" s="85" t="n"/>
      <c r="B661" s="85" t="n"/>
      <c r="C661" s="85" t="n"/>
      <c r="D661" s="85" t="n"/>
      <c r="E661" s="85" t="n"/>
      <c r="F661" s="86" t="n"/>
      <c r="G661" s="86" t="n"/>
      <c r="H661" s="85" t="n"/>
      <c r="I661" s="85" t="n"/>
      <c r="J661" s="85" t="n"/>
      <c r="K661" s="85" t="n"/>
      <c r="L661" s="85" t="n"/>
      <c r="M661" s="85" t="n"/>
      <c r="N661" s="85" t="n"/>
      <c r="O661" s="85" t="n"/>
      <c r="P661" s="85" t="n"/>
      <c r="Q661" s="85" t="n"/>
      <c r="R661" s="85" t="n"/>
      <c r="S661" s="85" t="n"/>
      <c r="T661" s="85" t="n"/>
      <c r="U661" s="85" t="n"/>
      <c r="V661" s="85" t="n"/>
      <c r="W661" s="85" t="n"/>
      <c r="X661" s="85" t="n"/>
      <c r="Y661" s="85" t="n"/>
      <c r="Z661" s="85" t="n"/>
      <c r="AA661" s="85" t="n"/>
      <c r="AB661" s="85" t="n"/>
      <c r="AC661" s="86" t="n"/>
      <c r="AD661" s="86" t="n"/>
      <c r="AE661" s="86" t="n"/>
      <c r="AF661" s="85" t="n"/>
      <c r="AG661" s="85" t="n"/>
      <c r="AH661" s="85">
        <f>IF($A661="","",IF(AND($E661="Yes",OR($V661="No",$V661="NOT FOUND")),"YES",""))</f>
        <v/>
      </c>
      <c r="AI661" s="85">
        <f>IF($A661="","",TRIM(IF(AND($M661=0,$I661&lt;&gt;"Yes"),"T0-NoPhishResistant ","")&amp;IF($H661="No","NoMFA ","")&amp;IF(AND($M661=0,$O661="Group only"),"T0-ViaGroupOnly ","")&amp;IF($N661="Yes","BroadAzureScope ","")&amp;IF($T661="Yes","AlsoEntraRole ","")))</f>
        <v/>
      </c>
      <c r="AJ661" s="85">
        <f>IF($A661="","",IF(AD661="","Not Enrolled",IF(TODAY()&gt;AD661,"Review Overdue",IF(AD661-TODAY()&lt;=30,"Review Due Soon","Active"))))</f>
        <v/>
      </c>
      <c r="AK661" s="85">
        <f>IF($A661="","",IF(AE661="","NOT REVIEWED",IF(TODAY()-AE661&gt;90,"OVERDUE",IF(TODAY()-AE661&gt;76,"Due Soon","Current"))))</f>
        <v/>
      </c>
    </row>
    <row r="662" ht="15" customHeight="1" s="39">
      <c r="A662" s="85" t="n"/>
      <c r="B662" s="85" t="n"/>
      <c r="C662" s="85" t="n"/>
      <c r="D662" s="85" t="n"/>
      <c r="E662" s="85" t="n"/>
      <c r="F662" s="86" t="n"/>
      <c r="G662" s="86" t="n"/>
      <c r="H662" s="85" t="n"/>
      <c r="I662" s="85" t="n"/>
      <c r="J662" s="85" t="n"/>
      <c r="K662" s="85" t="n"/>
      <c r="L662" s="85" t="n"/>
      <c r="M662" s="85" t="n"/>
      <c r="N662" s="85" t="n"/>
      <c r="O662" s="85" t="n"/>
      <c r="P662" s="85" t="n"/>
      <c r="Q662" s="85" t="n"/>
      <c r="R662" s="85" t="n"/>
      <c r="S662" s="85" t="n"/>
      <c r="T662" s="85" t="n"/>
      <c r="U662" s="85" t="n"/>
      <c r="V662" s="85" t="n"/>
      <c r="W662" s="85" t="n"/>
      <c r="X662" s="85" t="n"/>
      <c r="Y662" s="85" t="n"/>
      <c r="Z662" s="85" t="n"/>
      <c r="AA662" s="85" t="n"/>
      <c r="AB662" s="85" t="n"/>
      <c r="AC662" s="86" t="n"/>
      <c r="AD662" s="86" t="n"/>
      <c r="AE662" s="86" t="n"/>
      <c r="AF662" s="85" t="n"/>
      <c r="AG662" s="85" t="n"/>
      <c r="AH662" s="85">
        <f>IF($A662="","",IF(AND($E662="Yes",OR($V662="No",$V662="NOT FOUND")),"YES",""))</f>
        <v/>
      </c>
      <c r="AI662" s="85">
        <f>IF($A662="","",TRIM(IF(AND($M662=0,$I662&lt;&gt;"Yes"),"T0-NoPhishResistant ","")&amp;IF($H662="No","NoMFA ","")&amp;IF(AND($M662=0,$O662="Group only"),"T0-ViaGroupOnly ","")&amp;IF($N662="Yes","BroadAzureScope ","")&amp;IF($T662="Yes","AlsoEntraRole ","")))</f>
        <v/>
      </c>
      <c r="AJ662" s="85">
        <f>IF($A662="","",IF(AD662="","Not Enrolled",IF(TODAY()&gt;AD662,"Review Overdue",IF(AD662-TODAY()&lt;=30,"Review Due Soon","Active"))))</f>
        <v/>
      </c>
      <c r="AK662" s="85">
        <f>IF($A662="","",IF(AE662="","NOT REVIEWED",IF(TODAY()-AE662&gt;90,"OVERDUE",IF(TODAY()-AE662&gt;76,"Due Soon","Current"))))</f>
        <v/>
      </c>
    </row>
    <row r="663" ht="15" customHeight="1" s="39">
      <c r="A663" s="85" t="n"/>
      <c r="B663" s="85" t="n"/>
      <c r="C663" s="85" t="n"/>
      <c r="D663" s="85" t="n"/>
      <c r="E663" s="85" t="n"/>
      <c r="F663" s="86" t="n"/>
      <c r="G663" s="86" t="n"/>
      <c r="H663" s="85" t="n"/>
      <c r="I663" s="85" t="n"/>
      <c r="J663" s="85" t="n"/>
      <c r="K663" s="85" t="n"/>
      <c r="L663" s="85" t="n"/>
      <c r="M663" s="85" t="n"/>
      <c r="N663" s="85" t="n"/>
      <c r="O663" s="85" t="n"/>
      <c r="P663" s="85" t="n"/>
      <c r="Q663" s="85" t="n"/>
      <c r="R663" s="85" t="n"/>
      <c r="S663" s="85" t="n"/>
      <c r="T663" s="85" t="n"/>
      <c r="U663" s="85" t="n"/>
      <c r="V663" s="85" t="n"/>
      <c r="W663" s="85" t="n"/>
      <c r="X663" s="85" t="n"/>
      <c r="Y663" s="85" t="n"/>
      <c r="Z663" s="85" t="n"/>
      <c r="AA663" s="85" t="n"/>
      <c r="AB663" s="85" t="n"/>
      <c r="AC663" s="86" t="n"/>
      <c r="AD663" s="86" t="n"/>
      <c r="AE663" s="86" t="n"/>
      <c r="AF663" s="85" t="n"/>
      <c r="AG663" s="85" t="n"/>
      <c r="AH663" s="85">
        <f>IF($A663="","",IF(AND($E663="Yes",OR($V663="No",$V663="NOT FOUND")),"YES",""))</f>
        <v/>
      </c>
      <c r="AI663" s="85">
        <f>IF($A663="","",TRIM(IF(AND($M663=0,$I663&lt;&gt;"Yes"),"T0-NoPhishResistant ","")&amp;IF($H663="No","NoMFA ","")&amp;IF(AND($M663=0,$O663="Group only"),"T0-ViaGroupOnly ","")&amp;IF($N663="Yes","BroadAzureScope ","")&amp;IF($T663="Yes","AlsoEntraRole ","")))</f>
        <v/>
      </c>
      <c r="AJ663" s="85">
        <f>IF($A663="","",IF(AD663="","Not Enrolled",IF(TODAY()&gt;AD663,"Review Overdue",IF(AD663-TODAY()&lt;=30,"Review Due Soon","Active"))))</f>
        <v/>
      </c>
      <c r="AK663" s="85">
        <f>IF($A663="","",IF(AE663="","NOT REVIEWED",IF(TODAY()-AE663&gt;90,"OVERDUE",IF(TODAY()-AE663&gt;76,"Due Soon","Current"))))</f>
        <v/>
      </c>
    </row>
    <row r="664" ht="15" customHeight="1" s="39">
      <c r="A664" s="85" t="n"/>
      <c r="B664" s="85" t="n"/>
      <c r="C664" s="85" t="n"/>
      <c r="D664" s="85" t="n"/>
      <c r="E664" s="85" t="n"/>
      <c r="F664" s="86" t="n"/>
      <c r="G664" s="86" t="n"/>
      <c r="H664" s="85" t="n"/>
      <c r="I664" s="85" t="n"/>
      <c r="J664" s="85" t="n"/>
      <c r="K664" s="85" t="n"/>
      <c r="L664" s="85" t="n"/>
      <c r="M664" s="85" t="n"/>
      <c r="N664" s="85" t="n"/>
      <c r="O664" s="85" t="n"/>
      <c r="P664" s="85" t="n"/>
      <c r="Q664" s="85" t="n"/>
      <c r="R664" s="85" t="n"/>
      <c r="S664" s="85" t="n"/>
      <c r="T664" s="85" t="n"/>
      <c r="U664" s="85" t="n"/>
      <c r="V664" s="85" t="n"/>
      <c r="W664" s="85" t="n"/>
      <c r="X664" s="85" t="n"/>
      <c r="Y664" s="85" t="n"/>
      <c r="Z664" s="85" t="n"/>
      <c r="AA664" s="85" t="n"/>
      <c r="AB664" s="85" t="n"/>
      <c r="AC664" s="86" t="n"/>
      <c r="AD664" s="86" t="n"/>
      <c r="AE664" s="86" t="n"/>
      <c r="AF664" s="85" t="n"/>
      <c r="AG664" s="85" t="n"/>
      <c r="AH664" s="85">
        <f>IF($A664="","",IF(AND($E664="Yes",OR($V664="No",$V664="NOT FOUND")),"YES",""))</f>
        <v/>
      </c>
      <c r="AI664" s="85">
        <f>IF($A664="","",TRIM(IF(AND($M664=0,$I664&lt;&gt;"Yes"),"T0-NoPhishResistant ","")&amp;IF($H664="No","NoMFA ","")&amp;IF(AND($M664=0,$O664="Group only"),"T0-ViaGroupOnly ","")&amp;IF($N664="Yes","BroadAzureScope ","")&amp;IF($T664="Yes","AlsoEntraRole ","")))</f>
        <v/>
      </c>
      <c r="AJ664" s="85">
        <f>IF($A664="","",IF(AD664="","Not Enrolled",IF(TODAY()&gt;AD664,"Review Overdue",IF(AD664-TODAY()&lt;=30,"Review Due Soon","Active"))))</f>
        <v/>
      </c>
      <c r="AK664" s="85">
        <f>IF($A664="","",IF(AE664="","NOT REVIEWED",IF(TODAY()-AE664&gt;90,"OVERDUE",IF(TODAY()-AE664&gt;76,"Due Soon","Current"))))</f>
        <v/>
      </c>
    </row>
    <row r="665" ht="15" customHeight="1" s="39">
      <c r="A665" s="85" t="n"/>
      <c r="B665" s="85" t="n"/>
      <c r="C665" s="85" t="n"/>
      <c r="D665" s="85" t="n"/>
      <c r="E665" s="85" t="n"/>
      <c r="F665" s="86" t="n"/>
      <c r="G665" s="86" t="n"/>
      <c r="H665" s="85" t="n"/>
      <c r="I665" s="85" t="n"/>
      <c r="J665" s="85" t="n"/>
      <c r="K665" s="85" t="n"/>
      <c r="L665" s="85" t="n"/>
      <c r="M665" s="85" t="n"/>
      <c r="N665" s="85" t="n"/>
      <c r="O665" s="85" t="n"/>
      <c r="P665" s="85" t="n"/>
      <c r="Q665" s="85" t="n"/>
      <c r="R665" s="85" t="n"/>
      <c r="S665" s="85" t="n"/>
      <c r="T665" s="85" t="n"/>
      <c r="U665" s="85" t="n"/>
      <c r="V665" s="85" t="n"/>
      <c r="W665" s="85" t="n"/>
      <c r="X665" s="85" t="n"/>
      <c r="Y665" s="85" t="n"/>
      <c r="Z665" s="85" t="n"/>
      <c r="AA665" s="85" t="n"/>
      <c r="AB665" s="85" t="n"/>
      <c r="AC665" s="86" t="n"/>
      <c r="AD665" s="86" t="n"/>
      <c r="AE665" s="86" t="n"/>
      <c r="AF665" s="85" t="n"/>
      <c r="AG665" s="85" t="n"/>
      <c r="AH665" s="85">
        <f>IF($A665="","",IF(AND($E665="Yes",OR($V665="No",$V665="NOT FOUND")),"YES",""))</f>
        <v/>
      </c>
      <c r="AI665" s="85">
        <f>IF($A665="","",TRIM(IF(AND($M665=0,$I665&lt;&gt;"Yes"),"T0-NoPhishResistant ","")&amp;IF($H665="No","NoMFA ","")&amp;IF(AND($M665=0,$O665="Group only"),"T0-ViaGroupOnly ","")&amp;IF($N665="Yes","BroadAzureScope ","")&amp;IF($T665="Yes","AlsoEntraRole ","")))</f>
        <v/>
      </c>
      <c r="AJ665" s="85">
        <f>IF($A665="","",IF(AD665="","Not Enrolled",IF(TODAY()&gt;AD665,"Review Overdue",IF(AD665-TODAY()&lt;=30,"Review Due Soon","Active"))))</f>
        <v/>
      </c>
      <c r="AK665" s="85">
        <f>IF($A665="","",IF(AE665="","NOT REVIEWED",IF(TODAY()-AE665&gt;90,"OVERDUE",IF(TODAY()-AE665&gt;76,"Due Soon","Current"))))</f>
        <v/>
      </c>
    </row>
    <row r="666" ht="15" customHeight="1" s="39">
      <c r="A666" s="85" t="n"/>
      <c r="B666" s="85" t="n"/>
      <c r="C666" s="85" t="n"/>
      <c r="D666" s="85" t="n"/>
      <c r="E666" s="85" t="n"/>
      <c r="F666" s="86" t="n"/>
      <c r="G666" s="86" t="n"/>
      <c r="H666" s="85" t="n"/>
      <c r="I666" s="85" t="n"/>
      <c r="J666" s="85" t="n"/>
      <c r="K666" s="85" t="n"/>
      <c r="L666" s="85" t="n"/>
      <c r="M666" s="85" t="n"/>
      <c r="N666" s="85" t="n"/>
      <c r="O666" s="85" t="n"/>
      <c r="P666" s="85" t="n"/>
      <c r="Q666" s="85" t="n"/>
      <c r="R666" s="85" t="n"/>
      <c r="S666" s="85" t="n"/>
      <c r="T666" s="85" t="n"/>
      <c r="U666" s="85" t="n"/>
      <c r="V666" s="85" t="n"/>
      <c r="W666" s="85" t="n"/>
      <c r="X666" s="85" t="n"/>
      <c r="Y666" s="85" t="n"/>
      <c r="Z666" s="85" t="n"/>
      <c r="AA666" s="85" t="n"/>
      <c r="AB666" s="85" t="n"/>
      <c r="AC666" s="86" t="n"/>
      <c r="AD666" s="86" t="n"/>
      <c r="AE666" s="86" t="n"/>
      <c r="AF666" s="85" t="n"/>
      <c r="AG666" s="85" t="n"/>
      <c r="AH666" s="85">
        <f>IF($A666="","",IF(AND($E666="Yes",OR($V666="No",$V666="NOT FOUND")),"YES",""))</f>
        <v/>
      </c>
      <c r="AI666" s="85">
        <f>IF($A666="","",TRIM(IF(AND($M666=0,$I666&lt;&gt;"Yes"),"T0-NoPhishResistant ","")&amp;IF($H666="No","NoMFA ","")&amp;IF(AND($M666=0,$O666="Group only"),"T0-ViaGroupOnly ","")&amp;IF($N666="Yes","BroadAzureScope ","")&amp;IF($T666="Yes","AlsoEntraRole ","")))</f>
        <v/>
      </c>
      <c r="AJ666" s="85">
        <f>IF($A666="","",IF(AD666="","Not Enrolled",IF(TODAY()&gt;AD666,"Review Overdue",IF(AD666-TODAY()&lt;=30,"Review Due Soon","Active"))))</f>
        <v/>
      </c>
      <c r="AK666" s="85">
        <f>IF($A666="","",IF(AE666="","NOT REVIEWED",IF(TODAY()-AE666&gt;90,"OVERDUE",IF(TODAY()-AE666&gt;76,"Due Soon","Current"))))</f>
        <v/>
      </c>
    </row>
    <row r="667" ht="15" customHeight="1" s="39">
      <c r="A667" s="85" t="n"/>
      <c r="B667" s="85" t="n"/>
      <c r="C667" s="85" t="n"/>
      <c r="D667" s="85" t="n"/>
      <c r="E667" s="85" t="n"/>
      <c r="F667" s="86" t="n"/>
      <c r="G667" s="86" t="n"/>
      <c r="H667" s="85" t="n"/>
      <c r="I667" s="85" t="n"/>
      <c r="J667" s="85" t="n"/>
      <c r="K667" s="85" t="n"/>
      <c r="L667" s="85" t="n"/>
      <c r="M667" s="85" t="n"/>
      <c r="N667" s="85" t="n"/>
      <c r="O667" s="85" t="n"/>
      <c r="P667" s="85" t="n"/>
      <c r="Q667" s="85" t="n"/>
      <c r="R667" s="85" t="n"/>
      <c r="S667" s="85" t="n"/>
      <c r="T667" s="85" t="n"/>
      <c r="U667" s="85" t="n"/>
      <c r="V667" s="85" t="n"/>
      <c r="W667" s="85" t="n"/>
      <c r="X667" s="85" t="n"/>
      <c r="Y667" s="85" t="n"/>
      <c r="Z667" s="85" t="n"/>
      <c r="AA667" s="85" t="n"/>
      <c r="AB667" s="85" t="n"/>
      <c r="AC667" s="86" t="n"/>
      <c r="AD667" s="86" t="n"/>
      <c r="AE667" s="86" t="n"/>
      <c r="AF667" s="85" t="n"/>
      <c r="AG667" s="85" t="n"/>
      <c r="AH667" s="85">
        <f>IF($A667="","",IF(AND($E667="Yes",OR($V667="No",$V667="NOT FOUND")),"YES",""))</f>
        <v/>
      </c>
      <c r="AI667" s="85">
        <f>IF($A667="","",TRIM(IF(AND($M667=0,$I667&lt;&gt;"Yes"),"T0-NoPhishResistant ","")&amp;IF($H667="No","NoMFA ","")&amp;IF(AND($M667=0,$O667="Group only"),"T0-ViaGroupOnly ","")&amp;IF($N667="Yes","BroadAzureScope ","")&amp;IF($T667="Yes","AlsoEntraRole ","")))</f>
        <v/>
      </c>
      <c r="AJ667" s="85">
        <f>IF($A667="","",IF(AD667="","Not Enrolled",IF(TODAY()&gt;AD667,"Review Overdue",IF(AD667-TODAY()&lt;=30,"Review Due Soon","Active"))))</f>
        <v/>
      </c>
      <c r="AK667" s="85">
        <f>IF($A667="","",IF(AE667="","NOT REVIEWED",IF(TODAY()-AE667&gt;90,"OVERDUE",IF(TODAY()-AE667&gt;76,"Due Soon","Current"))))</f>
        <v/>
      </c>
    </row>
    <row r="668" ht="15" customHeight="1" s="39">
      <c r="A668" s="85" t="n"/>
      <c r="B668" s="85" t="n"/>
      <c r="C668" s="85" t="n"/>
      <c r="D668" s="85" t="n"/>
      <c r="E668" s="85" t="n"/>
      <c r="F668" s="86" t="n"/>
      <c r="G668" s="86" t="n"/>
      <c r="H668" s="85" t="n"/>
      <c r="I668" s="85" t="n"/>
      <c r="J668" s="85" t="n"/>
      <c r="K668" s="85" t="n"/>
      <c r="L668" s="85" t="n"/>
      <c r="M668" s="85" t="n"/>
      <c r="N668" s="85" t="n"/>
      <c r="O668" s="85" t="n"/>
      <c r="P668" s="85" t="n"/>
      <c r="Q668" s="85" t="n"/>
      <c r="R668" s="85" t="n"/>
      <c r="S668" s="85" t="n"/>
      <c r="T668" s="85" t="n"/>
      <c r="U668" s="85" t="n"/>
      <c r="V668" s="85" t="n"/>
      <c r="W668" s="85" t="n"/>
      <c r="X668" s="85" t="n"/>
      <c r="Y668" s="85" t="n"/>
      <c r="Z668" s="85" t="n"/>
      <c r="AA668" s="85" t="n"/>
      <c r="AB668" s="85" t="n"/>
      <c r="AC668" s="86" t="n"/>
      <c r="AD668" s="86" t="n"/>
      <c r="AE668" s="86" t="n"/>
      <c r="AF668" s="85" t="n"/>
      <c r="AG668" s="85" t="n"/>
      <c r="AH668" s="85">
        <f>IF($A668="","",IF(AND($E668="Yes",OR($V668="No",$V668="NOT FOUND")),"YES",""))</f>
        <v/>
      </c>
      <c r="AI668" s="85">
        <f>IF($A668="","",TRIM(IF(AND($M668=0,$I668&lt;&gt;"Yes"),"T0-NoPhishResistant ","")&amp;IF($H668="No","NoMFA ","")&amp;IF(AND($M668=0,$O668="Group only"),"T0-ViaGroupOnly ","")&amp;IF($N668="Yes","BroadAzureScope ","")&amp;IF($T668="Yes","AlsoEntraRole ","")))</f>
        <v/>
      </c>
      <c r="AJ668" s="85">
        <f>IF($A668="","",IF(AD668="","Not Enrolled",IF(TODAY()&gt;AD668,"Review Overdue",IF(AD668-TODAY()&lt;=30,"Review Due Soon","Active"))))</f>
        <v/>
      </c>
      <c r="AK668" s="85">
        <f>IF($A668="","",IF(AE668="","NOT REVIEWED",IF(TODAY()-AE668&gt;90,"OVERDUE",IF(TODAY()-AE668&gt;76,"Due Soon","Current"))))</f>
        <v/>
      </c>
    </row>
    <row r="669" ht="15" customHeight="1" s="39">
      <c r="A669" s="85" t="n"/>
      <c r="B669" s="85" t="n"/>
      <c r="C669" s="85" t="n"/>
      <c r="D669" s="85" t="n"/>
      <c r="E669" s="85" t="n"/>
      <c r="F669" s="86" t="n"/>
      <c r="G669" s="86" t="n"/>
      <c r="H669" s="85" t="n"/>
      <c r="I669" s="85" t="n"/>
      <c r="J669" s="85" t="n"/>
      <c r="K669" s="85" t="n"/>
      <c r="L669" s="85" t="n"/>
      <c r="M669" s="85" t="n"/>
      <c r="N669" s="85" t="n"/>
      <c r="O669" s="85" t="n"/>
      <c r="P669" s="85" t="n"/>
      <c r="Q669" s="85" t="n"/>
      <c r="R669" s="85" t="n"/>
      <c r="S669" s="85" t="n"/>
      <c r="T669" s="85" t="n"/>
      <c r="U669" s="85" t="n"/>
      <c r="V669" s="85" t="n"/>
      <c r="W669" s="85" t="n"/>
      <c r="X669" s="85" t="n"/>
      <c r="Y669" s="85" t="n"/>
      <c r="Z669" s="85" t="n"/>
      <c r="AA669" s="85" t="n"/>
      <c r="AB669" s="85" t="n"/>
      <c r="AC669" s="86" t="n"/>
      <c r="AD669" s="86" t="n"/>
      <c r="AE669" s="86" t="n"/>
      <c r="AF669" s="85" t="n"/>
      <c r="AG669" s="85" t="n"/>
      <c r="AH669" s="85">
        <f>IF($A669="","",IF(AND($E669="Yes",OR($V669="No",$V669="NOT FOUND")),"YES",""))</f>
        <v/>
      </c>
      <c r="AI669" s="85">
        <f>IF($A669="","",TRIM(IF(AND($M669=0,$I669&lt;&gt;"Yes"),"T0-NoPhishResistant ","")&amp;IF($H669="No","NoMFA ","")&amp;IF(AND($M669=0,$O669="Group only"),"T0-ViaGroupOnly ","")&amp;IF($N669="Yes","BroadAzureScope ","")&amp;IF($T669="Yes","AlsoEntraRole ","")))</f>
        <v/>
      </c>
      <c r="AJ669" s="85">
        <f>IF($A669="","",IF(AD669="","Not Enrolled",IF(TODAY()&gt;AD669,"Review Overdue",IF(AD669-TODAY()&lt;=30,"Review Due Soon","Active"))))</f>
        <v/>
      </c>
      <c r="AK669" s="85">
        <f>IF($A669="","",IF(AE669="","NOT REVIEWED",IF(TODAY()-AE669&gt;90,"OVERDUE",IF(TODAY()-AE669&gt;76,"Due Soon","Current"))))</f>
        <v/>
      </c>
    </row>
    <row r="670" ht="15" customHeight="1" s="39">
      <c r="A670" s="85" t="n"/>
      <c r="B670" s="85" t="n"/>
      <c r="C670" s="85" t="n"/>
      <c r="D670" s="85" t="n"/>
      <c r="E670" s="85" t="n"/>
      <c r="F670" s="86" t="n"/>
      <c r="G670" s="86" t="n"/>
      <c r="H670" s="85" t="n"/>
      <c r="I670" s="85" t="n"/>
      <c r="J670" s="85" t="n"/>
      <c r="K670" s="85" t="n"/>
      <c r="L670" s="85" t="n"/>
      <c r="M670" s="85" t="n"/>
      <c r="N670" s="85" t="n"/>
      <c r="O670" s="85" t="n"/>
      <c r="P670" s="85" t="n"/>
      <c r="Q670" s="85" t="n"/>
      <c r="R670" s="85" t="n"/>
      <c r="S670" s="85" t="n"/>
      <c r="T670" s="85" t="n"/>
      <c r="U670" s="85" t="n"/>
      <c r="V670" s="85" t="n"/>
      <c r="W670" s="85" t="n"/>
      <c r="X670" s="85" t="n"/>
      <c r="Y670" s="85" t="n"/>
      <c r="Z670" s="85" t="n"/>
      <c r="AA670" s="85" t="n"/>
      <c r="AB670" s="85" t="n"/>
      <c r="AC670" s="86" t="n"/>
      <c r="AD670" s="86" t="n"/>
      <c r="AE670" s="86" t="n"/>
      <c r="AF670" s="85" t="n"/>
      <c r="AG670" s="85" t="n"/>
      <c r="AH670" s="85">
        <f>IF($A670="","",IF(AND($E670="Yes",OR($V670="No",$V670="NOT FOUND")),"YES",""))</f>
        <v/>
      </c>
      <c r="AI670" s="85">
        <f>IF($A670="","",TRIM(IF(AND($M670=0,$I670&lt;&gt;"Yes"),"T0-NoPhishResistant ","")&amp;IF($H670="No","NoMFA ","")&amp;IF(AND($M670=0,$O670="Group only"),"T0-ViaGroupOnly ","")&amp;IF($N670="Yes","BroadAzureScope ","")&amp;IF($T670="Yes","AlsoEntraRole ","")))</f>
        <v/>
      </c>
      <c r="AJ670" s="85">
        <f>IF($A670="","",IF(AD670="","Not Enrolled",IF(TODAY()&gt;AD670,"Review Overdue",IF(AD670-TODAY()&lt;=30,"Review Due Soon","Active"))))</f>
        <v/>
      </c>
      <c r="AK670" s="85">
        <f>IF($A670="","",IF(AE670="","NOT REVIEWED",IF(TODAY()-AE670&gt;90,"OVERDUE",IF(TODAY()-AE670&gt;76,"Due Soon","Current"))))</f>
        <v/>
      </c>
    </row>
    <row r="671" ht="15" customHeight="1" s="39">
      <c r="A671" s="85" t="n"/>
      <c r="B671" s="85" t="n"/>
      <c r="C671" s="85" t="n"/>
      <c r="D671" s="85" t="n"/>
      <c r="E671" s="85" t="n"/>
      <c r="F671" s="86" t="n"/>
      <c r="G671" s="86" t="n"/>
      <c r="H671" s="85" t="n"/>
      <c r="I671" s="85" t="n"/>
      <c r="J671" s="85" t="n"/>
      <c r="K671" s="85" t="n"/>
      <c r="L671" s="85" t="n"/>
      <c r="M671" s="85" t="n"/>
      <c r="N671" s="85" t="n"/>
      <c r="O671" s="85" t="n"/>
      <c r="P671" s="85" t="n"/>
      <c r="Q671" s="85" t="n"/>
      <c r="R671" s="85" t="n"/>
      <c r="S671" s="85" t="n"/>
      <c r="T671" s="85" t="n"/>
      <c r="U671" s="85" t="n"/>
      <c r="V671" s="85" t="n"/>
      <c r="W671" s="85" t="n"/>
      <c r="X671" s="85" t="n"/>
      <c r="Y671" s="85" t="n"/>
      <c r="Z671" s="85" t="n"/>
      <c r="AA671" s="85" t="n"/>
      <c r="AB671" s="85" t="n"/>
      <c r="AC671" s="86" t="n"/>
      <c r="AD671" s="86" t="n"/>
      <c r="AE671" s="86" t="n"/>
      <c r="AF671" s="85" t="n"/>
      <c r="AG671" s="85" t="n"/>
      <c r="AH671" s="85">
        <f>IF($A671="","",IF(AND($E671="Yes",OR($V671="No",$V671="NOT FOUND")),"YES",""))</f>
        <v/>
      </c>
      <c r="AI671" s="85">
        <f>IF($A671="","",TRIM(IF(AND($M671=0,$I671&lt;&gt;"Yes"),"T0-NoPhishResistant ","")&amp;IF($H671="No","NoMFA ","")&amp;IF(AND($M671=0,$O671="Group only"),"T0-ViaGroupOnly ","")&amp;IF($N671="Yes","BroadAzureScope ","")&amp;IF($T671="Yes","AlsoEntraRole ","")))</f>
        <v/>
      </c>
      <c r="AJ671" s="85">
        <f>IF($A671="","",IF(AD671="","Not Enrolled",IF(TODAY()&gt;AD671,"Review Overdue",IF(AD671-TODAY()&lt;=30,"Review Due Soon","Active"))))</f>
        <v/>
      </c>
      <c r="AK671" s="85">
        <f>IF($A671="","",IF(AE671="","NOT REVIEWED",IF(TODAY()-AE671&gt;90,"OVERDUE",IF(TODAY()-AE671&gt;76,"Due Soon","Current"))))</f>
        <v/>
      </c>
    </row>
    <row r="672" ht="15" customHeight="1" s="39">
      <c r="A672" s="85" t="n"/>
      <c r="B672" s="85" t="n"/>
      <c r="C672" s="85" t="n"/>
      <c r="D672" s="85" t="n"/>
      <c r="E672" s="85" t="n"/>
      <c r="F672" s="86" t="n"/>
      <c r="G672" s="86" t="n"/>
      <c r="H672" s="85" t="n"/>
      <c r="I672" s="85" t="n"/>
      <c r="J672" s="85" t="n"/>
      <c r="K672" s="85" t="n"/>
      <c r="L672" s="85" t="n"/>
      <c r="M672" s="85" t="n"/>
      <c r="N672" s="85" t="n"/>
      <c r="O672" s="85" t="n"/>
      <c r="P672" s="85" t="n"/>
      <c r="Q672" s="85" t="n"/>
      <c r="R672" s="85" t="n"/>
      <c r="S672" s="85" t="n"/>
      <c r="T672" s="85" t="n"/>
      <c r="U672" s="85" t="n"/>
      <c r="V672" s="85" t="n"/>
      <c r="W672" s="85" t="n"/>
      <c r="X672" s="85" t="n"/>
      <c r="Y672" s="85" t="n"/>
      <c r="Z672" s="85" t="n"/>
      <c r="AA672" s="85" t="n"/>
      <c r="AB672" s="85" t="n"/>
      <c r="AC672" s="86" t="n"/>
      <c r="AD672" s="86" t="n"/>
      <c r="AE672" s="86" t="n"/>
      <c r="AF672" s="85" t="n"/>
      <c r="AG672" s="85" t="n"/>
      <c r="AH672" s="85">
        <f>IF($A672="","",IF(AND($E672="Yes",OR($V672="No",$V672="NOT FOUND")),"YES",""))</f>
        <v/>
      </c>
      <c r="AI672" s="85">
        <f>IF($A672="","",TRIM(IF(AND($M672=0,$I672&lt;&gt;"Yes"),"T0-NoPhishResistant ","")&amp;IF($H672="No","NoMFA ","")&amp;IF(AND($M672=0,$O672="Group only"),"T0-ViaGroupOnly ","")&amp;IF($N672="Yes","BroadAzureScope ","")&amp;IF($T672="Yes","AlsoEntraRole ","")))</f>
        <v/>
      </c>
      <c r="AJ672" s="85">
        <f>IF($A672="","",IF(AD672="","Not Enrolled",IF(TODAY()&gt;AD672,"Review Overdue",IF(AD672-TODAY()&lt;=30,"Review Due Soon","Active"))))</f>
        <v/>
      </c>
      <c r="AK672" s="85">
        <f>IF($A672="","",IF(AE672="","NOT REVIEWED",IF(TODAY()-AE672&gt;90,"OVERDUE",IF(TODAY()-AE672&gt;76,"Due Soon","Current"))))</f>
        <v/>
      </c>
    </row>
    <row r="673" ht="15" customHeight="1" s="39">
      <c r="A673" s="85" t="n"/>
      <c r="B673" s="85" t="n"/>
      <c r="C673" s="85" t="n"/>
      <c r="D673" s="85" t="n"/>
      <c r="E673" s="85" t="n"/>
      <c r="F673" s="86" t="n"/>
      <c r="G673" s="86" t="n"/>
      <c r="H673" s="85" t="n"/>
      <c r="I673" s="85" t="n"/>
      <c r="J673" s="85" t="n"/>
      <c r="K673" s="85" t="n"/>
      <c r="L673" s="85" t="n"/>
      <c r="M673" s="85" t="n"/>
      <c r="N673" s="85" t="n"/>
      <c r="O673" s="85" t="n"/>
      <c r="P673" s="85" t="n"/>
      <c r="Q673" s="85" t="n"/>
      <c r="R673" s="85" t="n"/>
      <c r="S673" s="85" t="n"/>
      <c r="T673" s="85" t="n"/>
      <c r="U673" s="85" t="n"/>
      <c r="V673" s="85" t="n"/>
      <c r="W673" s="85" t="n"/>
      <c r="X673" s="85" t="n"/>
      <c r="Y673" s="85" t="n"/>
      <c r="Z673" s="85" t="n"/>
      <c r="AA673" s="85" t="n"/>
      <c r="AB673" s="85" t="n"/>
      <c r="AC673" s="86" t="n"/>
      <c r="AD673" s="86" t="n"/>
      <c r="AE673" s="86" t="n"/>
      <c r="AF673" s="85" t="n"/>
      <c r="AG673" s="85" t="n"/>
      <c r="AH673" s="85">
        <f>IF($A673="","",IF(AND($E673="Yes",OR($V673="No",$V673="NOT FOUND")),"YES",""))</f>
        <v/>
      </c>
      <c r="AI673" s="85">
        <f>IF($A673="","",TRIM(IF(AND($M673=0,$I673&lt;&gt;"Yes"),"T0-NoPhishResistant ","")&amp;IF($H673="No","NoMFA ","")&amp;IF(AND($M673=0,$O673="Group only"),"T0-ViaGroupOnly ","")&amp;IF($N673="Yes","BroadAzureScope ","")&amp;IF($T673="Yes","AlsoEntraRole ","")))</f>
        <v/>
      </c>
      <c r="AJ673" s="85">
        <f>IF($A673="","",IF(AD673="","Not Enrolled",IF(TODAY()&gt;AD673,"Review Overdue",IF(AD673-TODAY()&lt;=30,"Review Due Soon","Active"))))</f>
        <v/>
      </c>
      <c r="AK673" s="85">
        <f>IF($A673="","",IF(AE673="","NOT REVIEWED",IF(TODAY()-AE673&gt;90,"OVERDUE",IF(TODAY()-AE673&gt;76,"Due Soon","Current"))))</f>
        <v/>
      </c>
    </row>
    <row r="674" ht="15" customHeight="1" s="39">
      <c r="A674" s="85" t="n"/>
      <c r="B674" s="85" t="n"/>
      <c r="C674" s="85" t="n"/>
      <c r="D674" s="85" t="n"/>
      <c r="E674" s="85" t="n"/>
      <c r="F674" s="86" t="n"/>
      <c r="G674" s="86" t="n"/>
      <c r="H674" s="85" t="n"/>
      <c r="I674" s="85" t="n"/>
      <c r="J674" s="85" t="n"/>
      <c r="K674" s="85" t="n"/>
      <c r="L674" s="85" t="n"/>
      <c r="M674" s="85" t="n"/>
      <c r="N674" s="85" t="n"/>
      <c r="O674" s="85" t="n"/>
      <c r="P674" s="85" t="n"/>
      <c r="Q674" s="85" t="n"/>
      <c r="R674" s="85" t="n"/>
      <c r="S674" s="85" t="n"/>
      <c r="T674" s="85" t="n"/>
      <c r="U674" s="85" t="n"/>
      <c r="V674" s="85" t="n"/>
      <c r="W674" s="85" t="n"/>
      <c r="X674" s="85" t="n"/>
      <c r="Y674" s="85" t="n"/>
      <c r="Z674" s="85" t="n"/>
      <c r="AA674" s="85" t="n"/>
      <c r="AB674" s="85" t="n"/>
      <c r="AC674" s="86" t="n"/>
      <c r="AD674" s="86" t="n"/>
      <c r="AE674" s="86" t="n"/>
      <c r="AF674" s="85" t="n"/>
      <c r="AG674" s="85" t="n"/>
      <c r="AH674" s="85">
        <f>IF($A674="","",IF(AND($E674="Yes",OR($V674="No",$V674="NOT FOUND")),"YES",""))</f>
        <v/>
      </c>
      <c r="AI674" s="85">
        <f>IF($A674="","",TRIM(IF(AND($M674=0,$I674&lt;&gt;"Yes"),"T0-NoPhishResistant ","")&amp;IF($H674="No","NoMFA ","")&amp;IF(AND($M674=0,$O674="Group only"),"T0-ViaGroupOnly ","")&amp;IF($N674="Yes","BroadAzureScope ","")&amp;IF($T674="Yes","AlsoEntraRole ","")))</f>
        <v/>
      </c>
      <c r="AJ674" s="85">
        <f>IF($A674="","",IF(AD674="","Not Enrolled",IF(TODAY()&gt;AD674,"Review Overdue",IF(AD674-TODAY()&lt;=30,"Review Due Soon","Active"))))</f>
        <v/>
      </c>
      <c r="AK674" s="85">
        <f>IF($A674="","",IF(AE674="","NOT REVIEWED",IF(TODAY()-AE674&gt;90,"OVERDUE",IF(TODAY()-AE674&gt;76,"Due Soon","Current"))))</f>
        <v/>
      </c>
    </row>
    <row r="675" ht="15" customHeight="1" s="39">
      <c r="A675" s="85" t="n"/>
      <c r="B675" s="85" t="n"/>
      <c r="C675" s="85" t="n"/>
      <c r="D675" s="85" t="n"/>
      <c r="E675" s="85" t="n"/>
      <c r="F675" s="86" t="n"/>
      <c r="G675" s="86" t="n"/>
      <c r="H675" s="85" t="n"/>
      <c r="I675" s="85" t="n"/>
      <c r="J675" s="85" t="n"/>
      <c r="K675" s="85" t="n"/>
      <c r="L675" s="85" t="n"/>
      <c r="M675" s="85" t="n"/>
      <c r="N675" s="85" t="n"/>
      <c r="O675" s="85" t="n"/>
      <c r="P675" s="85" t="n"/>
      <c r="Q675" s="85" t="n"/>
      <c r="R675" s="85" t="n"/>
      <c r="S675" s="85" t="n"/>
      <c r="T675" s="85" t="n"/>
      <c r="U675" s="85" t="n"/>
      <c r="V675" s="85" t="n"/>
      <c r="W675" s="85" t="n"/>
      <c r="X675" s="85" t="n"/>
      <c r="Y675" s="85" t="n"/>
      <c r="Z675" s="85" t="n"/>
      <c r="AA675" s="85" t="n"/>
      <c r="AB675" s="85" t="n"/>
      <c r="AC675" s="86" t="n"/>
      <c r="AD675" s="86" t="n"/>
      <c r="AE675" s="86" t="n"/>
      <c r="AF675" s="85" t="n"/>
      <c r="AG675" s="85" t="n"/>
      <c r="AH675" s="85">
        <f>IF($A675="","",IF(AND($E675="Yes",OR($V675="No",$V675="NOT FOUND")),"YES",""))</f>
        <v/>
      </c>
      <c r="AI675" s="85">
        <f>IF($A675="","",TRIM(IF(AND($M675=0,$I675&lt;&gt;"Yes"),"T0-NoPhishResistant ","")&amp;IF($H675="No","NoMFA ","")&amp;IF(AND($M675=0,$O675="Group only"),"T0-ViaGroupOnly ","")&amp;IF($N675="Yes","BroadAzureScope ","")&amp;IF($T675="Yes","AlsoEntraRole ","")))</f>
        <v/>
      </c>
      <c r="AJ675" s="85">
        <f>IF($A675="","",IF(AD675="","Not Enrolled",IF(TODAY()&gt;AD675,"Review Overdue",IF(AD675-TODAY()&lt;=30,"Review Due Soon","Active"))))</f>
        <v/>
      </c>
      <c r="AK675" s="85">
        <f>IF($A675="","",IF(AE675="","NOT REVIEWED",IF(TODAY()-AE675&gt;90,"OVERDUE",IF(TODAY()-AE675&gt;76,"Due Soon","Current"))))</f>
        <v/>
      </c>
    </row>
    <row r="676" ht="15" customHeight="1" s="39">
      <c r="A676" s="85" t="n"/>
      <c r="B676" s="85" t="n"/>
      <c r="C676" s="85" t="n"/>
      <c r="D676" s="85" t="n"/>
      <c r="E676" s="85" t="n"/>
      <c r="F676" s="86" t="n"/>
      <c r="G676" s="86" t="n"/>
      <c r="H676" s="85" t="n"/>
      <c r="I676" s="85" t="n"/>
      <c r="J676" s="85" t="n"/>
      <c r="K676" s="85" t="n"/>
      <c r="L676" s="85" t="n"/>
      <c r="M676" s="85" t="n"/>
      <c r="N676" s="85" t="n"/>
      <c r="O676" s="85" t="n"/>
      <c r="P676" s="85" t="n"/>
      <c r="Q676" s="85" t="n"/>
      <c r="R676" s="85" t="n"/>
      <c r="S676" s="85" t="n"/>
      <c r="T676" s="85" t="n"/>
      <c r="U676" s="85" t="n"/>
      <c r="V676" s="85" t="n"/>
      <c r="W676" s="85" t="n"/>
      <c r="X676" s="85" t="n"/>
      <c r="Y676" s="85" t="n"/>
      <c r="Z676" s="85" t="n"/>
      <c r="AA676" s="85" t="n"/>
      <c r="AB676" s="85" t="n"/>
      <c r="AC676" s="86" t="n"/>
      <c r="AD676" s="86" t="n"/>
      <c r="AE676" s="86" t="n"/>
      <c r="AF676" s="85" t="n"/>
      <c r="AG676" s="85" t="n"/>
      <c r="AH676" s="85">
        <f>IF($A676="","",IF(AND($E676="Yes",OR($V676="No",$V676="NOT FOUND")),"YES",""))</f>
        <v/>
      </c>
      <c r="AI676" s="85">
        <f>IF($A676="","",TRIM(IF(AND($M676=0,$I676&lt;&gt;"Yes"),"T0-NoPhishResistant ","")&amp;IF($H676="No","NoMFA ","")&amp;IF(AND($M676=0,$O676="Group only"),"T0-ViaGroupOnly ","")&amp;IF($N676="Yes","BroadAzureScope ","")&amp;IF($T676="Yes","AlsoEntraRole ","")))</f>
        <v/>
      </c>
      <c r="AJ676" s="85">
        <f>IF($A676="","",IF(AD676="","Not Enrolled",IF(TODAY()&gt;AD676,"Review Overdue",IF(AD676-TODAY()&lt;=30,"Review Due Soon","Active"))))</f>
        <v/>
      </c>
      <c r="AK676" s="85">
        <f>IF($A676="","",IF(AE676="","NOT REVIEWED",IF(TODAY()-AE676&gt;90,"OVERDUE",IF(TODAY()-AE676&gt;76,"Due Soon","Current"))))</f>
        <v/>
      </c>
    </row>
    <row r="677" ht="15" customHeight="1" s="39">
      <c r="A677" s="85" t="n"/>
      <c r="B677" s="85" t="n"/>
      <c r="C677" s="85" t="n"/>
      <c r="D677" s="85" t="n"/>
      <c r="E677" s="85" t="n"/>
      <c r="F677" s="86" t="n"/>
      <c r="G677" s="86" t="n"/>
      <c r="H677" s="85" t="n"/>
      <c r="I677" s="85" t="n"/>
      <c r="J677" s="85" t="n"/>
      <c r="K677" s="85" t="n"/>
      <c r="L677" s="85" t="n"/>
      <c r="M677" s="85" t="n"/>
      <c r="N677" s="85" t="n"/>
      <c r="O677" s="85" t="n"/>
      <c r="P677" s="85" t="n"/>
      <c r="Q677" s="85" t="n"/>
      <c r="R677" s="85" t="n"/>
      <c r="S677" s="85" t="n"/>
      <c r="T677" s="85" t="n"/>
      <c r="U677" s="85" t="n"/>
      <c r="V677" s="85" t="n"/>
      <c r="W677" s="85" t="n"/>
      <c r="X677" s="85" t="n"/>
      <c r="Y677" s="85" t="n"/>
      <c r="Z677" s="85" t="n"/>
      <c r="AA677" s="85" t="n"/>
      <c r="AB677" s="85" t="n"/>
      <c r="AC677" s="86" t="n"/>
      <c r="AD677" s="86" t="n"/>
      <c r="AE677" s="86" t="n"/>
      <c r="AF677" s="85" t="n"/>
      <c r="AG677" s="85" t="n"/>
      <c r="AH677" s="85">
        <f>IF($A677="","",IF(AND($E677="Yes",OR($V677="No",$V677="NOT FOUND")),"YES",""))</f>
        <v/>
      </c>
      <c r="AI677" s="85">
        <f>IF($A677="","",TRIM(IF(AND($M677=0,$I677&lt;&gt;"Yes"),"T0-NoPhishResistant ","")&amp;IF($H677="No","NoMFA ","")&amp;IF(AND($M677=0,$O677="Group only"),"T0-ViaGroupOnly ","")&amp;IF($N677="Yes","BroadAzureScope ","")&amp;IF($T677="Yes","AlsoEntraRole ","")))</f>
        <v/>
      </c>
      <c r="AJ677" s="85">
        <f>IF($A677="","",IF(AD677="","Not Enrolled",IF(TODAY()&gt;AD677,"Review Overdue",IF(AD677-TODAY()&lt;=30,"Review Due Soon","Active"))))</f>
        <v/>
      </c>
      <c r="AK677" s="85">
        <f>IF($A677="","",IF(AE677="","NOT REVIEWED",IF(TODAY()-AE677&gt;90,"OVERDUE",IF(TODAY()-AE677&gt;76,"Due Soon","Current"))))</f>
        <v/>
      </c>
    </row>
    <row r="678" ht="15" customHeight="1" s="39">
      <c r="A678" s="85" t="n"/>
      <c r="B678" s="85" t="n"/>
      <c r="C678" s="85" t="n"/>
      <c r="D678" s="85" t="n"/>
      <c r="E678" s="85" t="n"/>
      <c r="F678" s="86" t="n"/>
      <c r="G678" s="86" t="n"/>
      <c r="H678" s="85" t="n"/>
      <c r="I678" s="85" t="n"/>
      <c r="J678" s="85" t="n"/>
      <c r="K678" s="85" t="n"/>
      <c r="L678" s="85" t="n"/>
      <c r="M678" s="85" t="n"/>
      <c r="N678" s="85" t="n"/>
      <c r="O678" s="85" t="n"/>
      <c r="P678" s="85" t="n"/>
      <c r="Q678" s="85" t="n"/>
      <c r="R678" s="85" t="n"/>
      <c r="S678" s="85" t="n"/>
      <c r="T678" s="85" t="n"/>
      <c r="U678" s="85" t="n"/>
      <c r="V678" s="85" t="n"/>
      <c r="W678" s="85" t="n"/>
      <c r="X678" s="85" t="n"/>
      <c r="Y678" s="85" t="n"/>
      <c r="Z678" s="85" t="n"/>
      <c r="AA678" s="85" t="n"/>
      <c r="AB678" s="85" t="n"/>
      <c r="AC678" s="86" t="n"/>
      <c r="AD678" s="86" t="n"/>
      <c r="AE678" s="86" t="n"/>
      <c r="AF678" s="85" t="n"/>
      <c r="AG678" s="85" t="n"/>
      <c r="AH678" s="85">
        <f>IF($A678="","",IF(AND($E678="Yes",OR($V678="No",$V678="NOT FOUND")),"YES",""))</f>
        <v/>
      </c>
      <c r="AI678" s="85">
        <f>IF($A678="","",TRIM(IF(AND($M678=0,$I678&lt;&gt;"Yes"),"T0-NoPhishResistant ","")&amp;IF($H678="No","NoMFA ","")&amp;IF(AND($M678=0,$O678="Group only"),"T0-ViaGroupOnly ","")&amp;IF($N678="Yes","BroadAzureScope ","")&amp;IF($T678="Yes","AlsoEntraRole ","")))</f>
        <v/>
      </c>
      <c r="AJ678" s="85">
        <f>IF($A678="","",IF(AD678="","Not Enrolled",IF(TODAY()&gt;AD678,"Review Overdue",IF(AD678-TODAY()&lt;=30,"Review Due Soon","Active"))))</f>
        <v/>
      </c>
      <c r="AK678" s="85">
        <f>IF($A678="","",IF(AE678="","NOT REVIEWED",IF(TODAY()-AE678&gt;90,"OVERDUE",IF(TODAY()-AE678&gt;76,"Due Soon","Current"))))</f>
        <v/>
      </c>
    </row>
    <row r="679" ht="15" customHeight="1" s="39">
      <c r="A679" s="85" t="n"/>
      <c r="B679" s="85" t="n"/>
      <c r="C679" s="85" t="n"/>
      <c r="D679" s="85" t="n"/>
      <c r="E679" s="85" t="n"/>
      <c r="F679" s="86" t="n"/>
      <c r="G679" s="86" t="n"/>
      <c r="H679" s="85" t="n"/>
      <c r="I679" s="85" t="n"/>
      <c r="J679" s="85" t="n"/>
      <c r="K679" s="85" t="n"/>
      <c r="L679" s="85" t="n"/>
      <c r="M679" s="85" t="n"/>
      <c r="N679" s="85" t="n"/>
      <c r="O679" s="85" t="n"/>
      <c r="P679" s="85" t="n"/>
      <c r="Q679" s="85" t="n"/>
      <c r="R679" s="85" t="n"/>
      <c r="S679" s="85" t="n"/>
      <c r="T679" s="85" t="n"/>
      <c r="U679" s="85" t="n"/>
      <c r="V679" s="85" t="n"/>
      <c r="W679" s="85" t="n"/>
      <c r="X679" s="85" t="n"/>
      <c r="Y679" s="85" t="n"/>
      <c r="Z679" s="85" t="n"/>
      <c r="AA679" s="85" t="n"/>
      <c r="AB679" s="85" t="n"/>
      <c r="AC679" s="86" t="n"/>
      <c r="AD679" s="86" t="n"/>
      <c r="AE679" s="86" t="n"/>
      <c r="AF679" s="85" t="n"/>
      <c r="AG679" s="85" t="n"/>
      <c r="AH679" s="85">
        <f>IF($A679="","",IF(AND($E679="Yes",OR($V679="No",$V679="NOT FOUND")),"YES",""))</f>
        <v/>
      </c>
      <c r="AI679" s="85">
        <f>IF($A679="","",TRIM(IF(AND($M679=0,$I679&lt;&gt;"Yes"),"T0-NoPhishResistant ","")&amp;IF($H679="No","NoMFA ","")&amp;IF(AND($M679=0,$O679="Group only"),"T0-ViaGroupOnly ","")&amp;IF($N679="Yes","BroadAzureScope ","")&amp;IF($T679="Yes","AlsoEntraRole ","")))</f>
        <v/>
      </c>
      <c r="AJ679" s="85">
        <f>IF($A679="","",IF(AD679="","Not Enrolled",IF(TODAY()&gt;AD679,"Review Overdue",IF(AD679-TODAY()&lt;=30,"Review Due Soon","Active"))))</f>
        <v/>
      </c>
      <c r="AK679" s="85">
        <f>IF($A679="","",IF(AE679="","NOT REVIEWED",IF(TODAY()-AE679&gt;90,"OVERDUE",IF(TODAY()-AE679&gt;76,"Due Soon","Current"))))</f>
        <v/>
      </c>
    </row>
    <row r="680" ht="15" customHeight="1" s="39">
      <c r="A680" s="85" t="n"/>
      <c r="B680" s="85" t="n"/>
      <c r="C680" s="85" t="n"/>
      <c r="D680" s="85" t="n"/>
      <c r="E680" s="85" t="n"/>
      <c r="F680" s="86" t="n"/>
      <c r="G680" s="86" t="n"/>
      <c r="H680" s="85" t="n"/>
      <c r="I680" s="85" t="n"/>
      <c r="J680" s="85" t="n"/>
      <c r="K680" s="85" t="n"/>
      <c r="L680" s="85" t="n"/>
      <c r="M680" s="85" t="n"/>
      <c r="N680" s="85" t="n"/>
      <c r="O680" s="85" t="n"/>
      <c r="P680" s="85" t="n"/>
      <c r="Q680" s="85" t="n"/>
      <c r="R680" s="85" t="n"/>
      <c r="S680" s="85" t="n"/>
      <c r="T680" s="85" t="n"/>
      <c r="U680" s="85" t="n"/>
      <c r="V680" s="85" t="n"/>
      <c r="W680" s="85" t="n"/>
      <c r="X680" s="85" t="n"/>
      <c r="Y680" s="85" t="n"/>
      <c r="Z680" s="85" t="n"/>
      <c r="AA680" s="85" t="n"/>
      <c r="AB680" s="85" t="n"/>
      <c r="AC680" s="86" t="n"/>
      <c r="AD680" s="86" t="n"/>
      <c r="AE680" s="86" t="n"/>
      <c r="AF680" s="85" t="n"/>
      <c r="AG680" s="85" t="n"/>
      <c r="AH680" s="85">
        <f>IF($A680="","",IF(AND($E680="Yes",OR($V680="No",$V680="NOT FOUND")),"YES",""))</f>
        <v/>
      </c>
      <c r="AI680" s="85">
        <f>IF($A680="","",TRIM(IF(AND($M680=0,$I680&lt;&gt;"Yes"),"T0-NoPhishResistant ","")&amp;IF($H680="No","NoMFA ","")&amp;IF(AND($M680=0,$O680="Group only"),"T0-ViaGroupOnly ","")&amp;IF($N680="Yes","BroadAzureScope ","")&amp;IF($T680="Yes","AlsoEntraRole ","")))</f>
        <v/>
      </c>
      <c r="AJ680" s="85">
        <f>IF($A680="","",IF(AD680="","Not Enrolled",IF(TODAY()&gt;AD680,"Review Overdue",IF(AD680-TODAY()&lt;=30,"Review Due Soon","Active"))))</f>
        <v/>
      </c>
      <c r="AK680" s="85">
        <f>IF($A680="","",IF(AE680="","NOT REVIEWED",IF(TODAY()-AE680&gt;90,"OVERDUE",IF(TODAY()-AE680&gt;76,"Due Soon","Current"))))</f>
        <v/>
      </c>
    </row>
    <row r="681" ht="15" customHeight="1" s="39">
      <c r="A681" s="85" t="n"/>
      <c r="B681" s="85" t="n"/>
      <c r="C681" s="85" t="n"/>
      <c r="D681" s="85" t="n"/>
      <c r="E681" s="85" t="n"/>
      <c r="F681" s="86" t="n"/>
      <c r="G681" s="86" t="n"/>
      <c r="H681" s="85" t="n"/>
      <c r="I681" s="85" t="n"/>
      <c r="J681" s="85" t="n"/>
      <c r="K681" s="85" t="n"/>
      <c r="L681" s="85" t="n"/>
      <c r="M681" s="85" t="n"/>
      <c r="N681" s="85" t="n"/>
      <c r="O681" s="85" t="n"/>
      <c r="P681" s="85" t="n"/>
      <c r="Q681" s="85" t="n"/>
      <c r="R681" s="85" t="n"/>
      <c r="S681" s="85" t="n"/>
      <c r="T681" s="85" t="n"/>
      <c r="U681" s="85" t="n"/>
      <c r="V681" s="85" t="n"/>
      <c r="W681" s="85" t="n"/>
      <c r="X681" s="85" t="n"/>
      <c r="Y681" s="85" t="n"/>
      <c r="Z681" s="85" t="n"/>
      <c r="AA681" s="85" t="n"/>
      <c r="AB681" s="85" t="n"/>
      <c r="AC681" s="86" t="n"/>
      <c r="AD681" s="86" t="n"/>
      <c r="AE681" s="86" t="n"/>
      <c r="AF681" s="85" t="n"/>
      <c r="AG681" s="85" t="n"/>
      <c r="AH681" s="85">
        <f>IF($A681="","",IF(AND($E681="Yes",OR($V681="No",$V681="NOT FOUND")),"YES",""))</f>
        <v/>
      </c>
      <c r="AI681" s="85">
        <f>IF($A681="","",TRIM(IF(AND($M681=0,$I681&lt;&gt;"Yes"),"T0-NoPhishResistant ","")&amp;IF($H681="No","NoMFA ","")&amp;IF(AND($M681=0,$O681="Group only"),"T0-ViaGroupOnly ","")&amp;IF($N681="Yes","BroadAzureScope ","")&amp;IF($T681="Yes","AlsoEntraRole ","")))</f>
        <v/>
      </c>
      <c r="AJ681" s="85">
        <f>IF($A681="","",IF(AD681="","Not Enrolled",IF(TODAY()&gt;AD681,"Review Overdue",IF(AD681-TODAY()&lt;=30,"Review Due Soon","Active"))))</f>
        <v/>
      </c>
      <c r="AK681" s="85">
        <f>IF($A681="","",IF(AE681="","NOT REVIEWED",IF(TODAY()-AE681&gt;90,"OVERDUE",IF(TODAY()-AE681&gt;76,"Due Soon","Current"))))</f>
        <v/>
      </c>
    </row>
    <row r="682" ht="15" customHeight="1" s="39">
      <c r="A682" s="85" t="n"/>
      <c r="B682" s="85" t="n"/>
      <c r="C682" s="85" t="n"/>
      <c r="D682" s="85" t="n"/>
      <c r="E682" s="85" t="n"/>
      <c r="F682" s="86" t="n"/>
      <c r="G682" s="86" t="n"/>
      <c r="H682" s="85" t="n"/>
      <c r="I682" s="85" t="n"/>
      <c r="J682" s="85" t="n"/>
      <c r="K682" s="85" t="n"/>
      <c r="L682" s="85" t="n"/>
      <c r="M682" s="85" t="n"/>
      <c r="N682" s="85" t="n"/>
      <c r="O682" s="85" t="n"/>
      <c r="P682" s="85" t="n"/>
      <c r="Q682" s="85" t="n"/>
      <c r="R682" s="85" t="n"/>
      <c r="S682" s="85" t="n"/>
      <c r="T682" s="85" t="n"/>
      <c r="U682" s="85" t="n"/>
      <c r="V682" s="85" t="n"/>
      <c r="W682" s="85" t="n"/>
      <c r="X682" s="85" t="n"/>
      <c r="Y682" s="85" t="n"/>
      <c r="Z682" s="85" t="n"/>
      <c r="AA682" s="85" t="n"/>
      <c r="AB682" s="85" t="n"/>
      <c r="AC682" s="86" t="n"/>
      <c r="AD682" s="86" t="n"/>
      <c r="AE682" s="86" t="n"/>
      <c r="AF682" s="85" t="n"/>
      <c r="AG682" s="85" t="n"/>
      <c r="AH682" s="85">
        <f>IF($A682="","",IF(AND($E682="Yes",OR($V682="No",$V682="NOT FOUND")),"YES",""))</f>
        <v/>
      </c>
      <c r="AI682" s="85">
        <f>IF($A682="","",TRIM(IF(AND($M682=0,$I682&lt;&gt;"Yes"),"T0-NoPhishResistant ","")&amp;IF($H682="No","NoMFA ","")&amp;IF(AND($M682=0,$O682="Group only"),"T0-ViaGroupOnly ","")&amp;IF($N682="Yes","BroadAzureScope ","")&amp;IF($T682="Yes","AlsoEntraRole ","")))</f>
        <v/>
      </c>
      <c r="AJ682" s="85">
        <f>IF($A682="","",IF(AD682="","Not Enrolled",IF(TODAY()&gt;AD682,"Review Overdue",IF(AD682-TODAY()&lt;=30,"Review Due Soon","Active"))))</f>
        <v/>
      </c>
      <c r="AK682" s="85">
        <f>IF($A682="","",IF(AE682="","NOT REVIEWED",IF(TODAY()-AE682&gt;90,"OVERDUE",IF(TODAY()-AE682&gt;76,"Due Soon","Current"))))</f>
        <v/>
      </c>
    </row>
    <row r="683" ht="15" customHeight="1" s="39">
      <c r="A683" s="85" t="n"/>
      <c r="B683" s="85" t="n"/>
      <c r="C683" s="85" t="n"/>
      <c r="D683" s="85" t="n"/>
      <c r="E683" s="85" t="n"/>
      <c r="F683" s="86" t="n"/>
      <c r="G683" s="86" t="n"/>
      <c r="H683" s="85" t="n"/>
      <c r="I683" s="85" t="n"/>
      <c r="J683" s="85" t="n"/>
      <c r="K683" s="85" t="n"/>
      <c r="L683" s="85" t="n"/>
      <c r="M683" s="85" t="n"/>
      <c r="N683" s="85" t="n"/>
      <c r="O683" s="85" t="n"/>
      <c r="P683" s="85" t="n"/>
      <c r="Q683" s="85" t="n"/>
      <c r="R683" s="85" t="n"/>
      <c r="S683" s="85" t="n"/>
      <c r="T683" s="85" t="n"/>
      <c r="U683" s="85" t="n"/>
      <c r="V683" s="85" t="n"/>
      <c r="W683" s="85" t="n"/>
      <c r="X683" s="85" t="n"/>
      <c r="Y683" s="85" t="n"/>
      <c r="Z683" s="85" t="n"/>
      <c r="AA683" s="85" t="n"/>
      <c r="AB683" s="85" t="n"/>
      <c r="AC683" s="86" t="n"/>
      <c r="AD683" s="86" t="n"/>
      <c r="AE683" s="86" t="n"/>
      <c r="AF683" s="85" t="n"/>
      <c r="AG683" s="85" t="n"/>
      <c r="AH683" s="85">
        <f>IF($A683="","",IF(AND($E683="Yes",OR($V683="No",$V683="NOT FOUND")),"YES",""))</f>
        <v/>
      </c>
      <c r="AI683" s="85">
        <f>IF($A683="","",TRIM(IF(AND($M683=0,$I683&lt;&gt;"Yes"),"T0-NoPhishResistant ","")&amp;IF($H683="No","NoMFA ","")&amp;IF(AND($M683=0,$O683="Group only"),"T0-ViaGroupOnly ","")&amp;IF($N683="Yes","BroadAzureScope ","")&amp;IF($T683="Yes","AlsoEntraRole ","")))</f>
        <v/>
      </c>
      <c r="AJ683" s="85">
        <f>IF($A683="","",IF(AD683="","Not Enrolled",IF(TODAY()&gt;AD683,"Review Overdue",IF(AD683-TODAY()&lt;=30,"Review Due Soon","Active"))))</f>
        <v/>
      </c>
      <c r="AK683" s="85">
        <f>IF($A683="","",IF(AE683="","NOT REVIEWED",IF(TODAY()-AE683&gt;90,"OVERDUE",IF(TODAY()-AE683&gt;76,"Due Soon","Current"))))</f>
        <v/>
      </c>
    </row>
    <row r="684" ht="15" customHeight="1" s="39">
      <c r="A684" s="85" t="n"/>
      <c r="B684" s="85" t="n"/>
      <c r="C684" s="85" t="n"/>
      <c r="D684" s="85" t="n"/>
      <c r="E684" s="85" t="n"/>
      <c r="F684" s="86" t="n"/>
      <c r="G684" s="86" t="n"/>
      <c r="H684" s="85" t="n"/>
      <c r="I684" s="85" t="n"/>
      <c r="J684" s="85" t="n"/>
      <c r="K684" s="85" t="n"/>
      <c r="L684" s="85" t="n"/>
      <c r="M684" s="85" t="n"/>
      <c r="N684" s="85" t="n"/>
      <c r="O684" s="85" t="n"/>
      <c r="P684" s="85" t="n"/>
      <c r="Q684" s="85" t="n"/>
      <c r="R684" s="85" t="n"/>
      <c r="S684" s="85" t="n"/>
      <c r="T684" s="85" t="n"/>
      <c r="U684" s="85" t="n"/>
      <c r="V684" s="85" t="n"/>
      <c r="W684" s="85" t="n"/>
      <c r="X684" s="85" t="n"/>
      <c r="Y684" s="85" t="n"/>
      <c r="Z684" s="85" t="n"/>
      <c r="AA684" s="85" t="n"/>
      <c r="AB684" s="85" t="n"/>
      <c r="AC684" s="86" t="n"/>
      <c r="AD684" s="86" t="n"/>
      <c r="AE684" s="86" t="n"/>
      <c r="AF684" s="85" t="n"/>
      <c r="AG684" s="85" t="n"/>
      <c r="AH684" s="85">
        <f>IF($A684="","",IF(AND($E684="Yes",OR($V684="No",$V684="NOT FOUND")),"YES",""))</f>
        <v/>
      </c>
      <c r="AI684" s="85">
        <f>IF($A684="","",TRIM(IF(AND($M684=0,$I684&lt;&gt;"Yes"),"T0-NoPhishResistant ","")&amp;IF($H684="No","NoMFA ","")&amp;IF(AND($M684=0,$O684="Group only"),"T0-ViaGroupOnly ","")&amp;IF($N684="Yes","BroadAzureScope ","")&amp;IF($T684="Yes","AlsoEntraRole ","")))</f>
        <v/>
      </c>
      <c r="AJ684" s="85">
        <f>IF($A684="","",IF(AD684="","Not Enrolled",IF(TODAY()&gt;AD684,"Review Overdue",IF(AD684-TODAY()&lt;=30,"Review Due Soon","Active"))))</f>
        <v/>
      </c>
      <c r="AK684" s="85">
        <f>IF($A684="","",IF(AE684="","NOT REVIEWED",IF(TODAY()-AE684&gt;90,"OVERDUE",IF(TODAY()-AE684&gt;76,"Due Soon","Current"))))</f>
        <v/>
      </c>
    </row>
    <row r="685" ht="15" customHeight="1" s="39">
      <c r="A685" s="85" t="n"/>
      <c r="B685" s="85" t="n"/>
      <c r="C685" s="85" t="n"/>
      <c r="D685" s="85" t="n"/>
      <c r="E685" s="85" t="n"/>
      <c r="F685" s="86" t="n"/>
      <c r="G685" s="86" t="n"/>
      <c r="H685" s="85" t="n"/>
      <c r="I685" s="85" t="n"/>
      <c r="J685" s="85" t="n"/>
      <c r="K685" s="85" t="n"/>
      <c r="L685" s="85" t="n"/>
      <c r="M685" s="85" t="n"/>
      <c r="N685" s="85" t="n"/>
      <c r="O685" s="85" t="n"/>
      <c r="P685" s="85" t="n"/>
      <c r="Q685" s="85" t="n"/>
      <c r="R685" s="85" t="n"/>
      <c r="S685" s="85" t="n"/>
      <c r="T685" s="85" t="n"/>
      <c r="U685" s="85" t="n"/>
      <c r="V685" s="85" t="n"/>
      <c r="W685" s="85" t="n"/>
      <c r="X685" s="85" t="n"/>
      <c r="Y685" s="85" t="n"/>
      <c r="Z685" s="85" t="n"/>
      <c r="AA685" s="85" t="n"/>
      <c r="AB685" s="85" t="n"/>
      <c r="AC685" s="86" t="n"/>
      <c r="AD685" s="86" t="n"/>
      <c r="AE685" s="86" t="n"/>
      <c r="AF685" s="85" t="n"/>
      <c r="AG685" s="85" t="n"/>
      <c r="AH685" s="85">
        <f>IF($A685="","",IF(AND($E685="Yes",OR($V685="No",$V685="NOT FOUND")),"YES",""))</f>
        <v/>
      </c>
      <c r="AI685" s="85">
        <f>IF($A685="","",TRIM(IF(AND($M685=0,$I685&lt;&gt;"Yes"),"T0-NoPhishResistant ","")&amp;IF($H685="No","NoMFA ","")&amp;IF(AND($M685=0,$O685="Group only"),"T0-ViaGroupOnly ","")&amp;IF($N685="Yes","BroadAzureScope ","")&amp;IF($T685="Yes","AlsoEntraRole ","")))</f>
        <v/>
      </c>
      <c r="AJ685" s="85">
        <f>IF($A685="","",IF(AD685="","Not Enrolled",IF(TODAY()&gt;AD685,"Review Overdue",IF(AD685-TODAY()&lt;=30,"Review Due Soon","Active"))))</f>
        <v/>
      </c>
      <c r="AK685" s="85">
        <f>IF($A685="","",IF(AE685="","NOT REVIEWED",IF(TODAY()-AE685&gt;90,"OVERDUE",IF(TODAY()-AE685&gt;76,"Due Soon","Current"))))</f>
        <v/>
      </c>
    </row>
    <row r="686" ht="15" customHeight="1" s="39">
      <c r="A686" s="85" t="n"/>
      <c r="B686" s="85" t="n"/>
      <c r="C686" s="85" t="n"/>
      <c r="D686" s="85" t="n"/>
      <c r="E686" s="85" t="n"/>
      <c r="F686" s="86" t="n"/>
      <c r="G686" s="86" t="n"/>
      <c r="H686" s="85" t="n"/>
      <c r="I686" s="85" t="n"/>
      <c r="J686" s="85" t="n"/>
      <c r="K686" s="85" t="n"/>
      <c r="L686" s="85" t="n"/>
      <c r="M686" s="85" t="n"/>
      <c r="N686" s="85" t="n"/>
      <c r="O686" s="85" t="n"/>
      <c r="P686" s="85" t="n"/>
      <c r="Q686" s="85" t="n"/>
      <c r="R686" s="85" t="n"/>
      <c r="S686" s="85" t="n"/>
      <c r="T686" s="85" t="n"/>
      <c r="U686" s="85" t="n"/>
      <c r="V686" s="85" t="n"/>
      <c r="W686" s="85" t="n"/>
      <c r="X686" s="85" t="n"/>
      <c r="Y686" s="85" t="n"/>
      <c r="Z686" s="85" t="n"/>
      <c r="AA686" s="85" t="n"/>
      <c r="AB686" s="85" t="n"/>
      <c r="AC686" s="86" t="n"/>
      <c r="AD686" s="86" t="n"/>
      <c r="AE686" s="86" t="n"/>
      <c r="AF686" s="85" t="n"/>
      <c r="AG686" s="85" t="n"/>
      <c r="AH686" s="85">
        <f>IF($A686="","",IF(AND($E686="Yes",OR($V686="No",$V686="NOT FOUND")),"YES",""))</f>
        <v/>
      </c>
      <c r="AI686" s="85">
        <f>IF($A686="","",TRIM(IF(AND($M686=0,$I686&lt;&gt;"Yes"),"T0-NoPhishResistant ","")&amp;IF($H686="No","NoMFA ","")&amp;IF(AND($M686=0,$O686="Group only"),"T0-ViaGroupOnly ","")&amp;IF($N686="Yes","BroadAzureScope ","")&amp;IF($T686="Yes","AlsoEntraRole ","")))</f>
        <v/>
      </c>
      <c r="AJ686" s="85">
        <f>IF($A686="","",IF(AD686="","Not Enrolled",IF(TODAY()&gt;AD686,"Review Overdue",IF(AD686-TODAY()&lt;=30,"Review Due Soon","Active"))))</f>
        <v/>
      </c>
      <c r="AK686" s="85">
        <f>IF($A686="","",IF(AE686="","NOT REVIEWED",IF(TODAY()-AE686&gt;90,"OVERDUE",IF(TODAY()-AE686&gt;76,"Due Soon","Current"))))</f>
        <v/>
      </c>
    </row>
    <row r="687" ht="15" customHeight="1" s="39">
      <c r="A687" s="85" t="n"/>
      <c r="B687" s="85" t="n"/>
      <c r="C687" s="85" t="n"/>
      <c r="D687" s="85" t="n"/>
      <c r="E687" s="85" t="n"/>
      <c r="F687" s="86" t="n"/>
      <c r="G687" s="86" t="n"/>
      <c r="H687" s="85" t="n"/>
      <c r="I687" s="85" t="n"/>
      <c r="J687" s="85" t="n"/>
      <c r="K687" s="85" t="n"/>
      <c r="L687" s="85" t="n"/>
      <c r="M687" s="85" t="n"/>
      <c r="N687" s="85" t="n"/>
      <c r="O687" s="85" t="n"/>
      <c r="P687" s="85" t="n"/>
      <c r="Q687" s="85" t="n"/>
      <c r="R687" s="85" t="n"/>
      <c r="S687" s="85" t="n"/>
      <c r="T687" s="85" t="n"/>
      <c r="U687" s="85" t="n"/>
      <c r="V687" s="85" t="n"/>
      <c r="W687" s="85" t="n"/>
      <c r="X687" s="85" t="n"/>
      <c r="Y687" s="85" t="n"/>
      <c r="Z687" s="85" t="n"/>
      <c r="AA687" s="85" t="n"/>
      <c r="AB687" s="85" t="n"/>
      <c r="AC687" s="86" t="n"/>
      <c r="AD687" s="86" t="n"/>
      <c r="AE687" s="86" t="n"/>
      <c r="AF687" s="85" t="n"/>
      <c r="AG687" s="85" t="n"/>
      <c r="AH687" s="85">
        <f>IF($A687="","",IF(AND($E687="Yes",OR($V687="No",$V687="NOT FOUND")),"YES",""))</f>
        <v/>
      </c>
      <c r="AI687" s="85">
        <f>IF($A687="","",TRIM(IF(AND($M687=0,$I687&lt;&gt;"Yes"),"T0-NoPhishResistant ","")&amp;IF($H687="No","NoMFA ","")&amp;IF(AND($M687=0,$O687="Group only"),"T0-ViaGroupOnly ","")&amp;IF($N687="Yes","BroadAzureScope ","")&amp;IF($T687="Yes","AlsoEntraRole ","")))</f>
        <v/>
      </c>
      <c r="AJ687" s="85">
        <f>IF($A687="","",IF(AD687="","Not Enrolled",IF(TODAY()&gt;AD687,"Review Overdue",IF(AD687-TODAY()&lt;=30,"Review Due Soon","Active"))))</f>
        <v/>
      </c>
      <c r="AK687" s="85">
        <f>IF($A687="","",IF(AE687="","NOT REVIEWED",IF(TODAY()-AE687&gt;90,"OVERDUE",IF(TODAY()-AE687&gt;76,"Due Soon","Current"))))</f>
        <v/>
      </c>
    </row>
    <row r="688" ht="15" customHeight="1" s="39">
      <c r="A688" s="85" t="n"/>
      <c r="B688" s="85" t="n"/>
      <c r="C688" s="85" t="n"/>
      <c r="D688" s="85" t="n"/>
      <c r="E688" s="85" t="n"/>
      <c r="F688" s="86" t="n"/>
      <c r="G688" s="86" t="n"/>
      <c r="H688" s="85" t="n"/>
      <c r="I688" s="85" t="n"/>
      <c r="J688" s="85" t="n"/>
      <c r="K688" s="85" t="n"/>
      <c r="L688" s="85" t="n"/>
      <c r="M688" s="85" t="n"/>
      <c r="N688" s="85" t="n"/>
      <c r="O688" s="85" t="n"/>
      <c r="P688" s="85" t="n"/>
      <c r="Q688" s="85" t="n"/>
      <c r="R688" s="85" t="n"/>
      <c r="S688" s="85" t="n"/>
      <c r="T688" s="85" t="n"/>
      <c r="U688" s="85" t="n"/>
      <c r="V688" s="85" t="n"/>
      <c r="W688" s="85" t="n"/>
      <c r="X688" s="85" t="n"/>
      <c r="Y688" s="85" t="n"/>
      <c r="Z688" s="85" t="n"/>
      <c r="AA688" s="85" t="n"/>
      <c r="AB688" s="85" t="n"/>
      <c r="AC688" s="86" t="n"/>
      <c r="AD688" s="86" t="n"/>
      <c r="AE688" s="86" t="n"/>
      <c r="AF688" s="85" t="n"/>
      <c r="AG688" s="85" t="n"/>
      <c r="AH688" s="85">
        <f>IF($A688="","",IF(AND($E688="Yes",OR($V688="No",$V688="NOT FOUND")),"YES",""))</f>
        <v/>
      </c>
      <c r="AI688" s="85">
        <f>IF($A688="","",TRIM(IF(AND($M688=0,$I688&lt;&gt;"Yes"),"T0-NoPhishResistant ","")&amp;IF($H688="No","NoMFA ","")&amp;IF(AND($M688=0,$O688="Group only"),"T0-ViaGroupOnly ","")&amp;IF($N688="Yes","BroadAzureScope ","")&amp;IF($T688="Yes","AlsoEntraRole ","")))</f>
        <v/>
      </c>
      <c r="AJ688" s="85">
        <f>IF($A688="","",IF(AD688="","Not Enrolled",IF(TODAY()&gt;AD688,"Review Overdue",IF(AD688-TODAY()&lt;=30,"Review Due Soon","Active"))))</f>
        <v/>
      </c>
      <c r="AK688" s="85">
        <f>IF($A688="","",IF(AE688="","NOT REVIEWED",IF(TODAY()-AE688&gt;90,"OVERDUE",IF(TODAY()-AE688&gt;76,"Due Soon","Current"))))</f>
        <v/>
      </c>
    </row>
    <row r="689" ht="15" customHeight="1" s="39">
      <c r="A689" s="85" t="n"/>
      <c r="B689" s="85" t="n"/>
      <c r="C689" s="85" t="n"/>
      <c r="D689" s="85" t="n"/>
      <c r="E689" s="85" t="n"/>
      <c r="F689" s="86" t="n"/>
      <c r="G689" s="86" t="n"/>
      <c r="H689" s="85" t="n"/>
      <c r="I689" s="85" t="n"/>
      <c r="J689" s="85" t="n"/>
      <c r="K689" s="85" t="n"/>
      <c r="L689" s="85" t="n"/>
      <c r="M689" s="85" t="n"/>
      <c r="N689" s="85" t="n"/>
      <c r="O689" s="85" t="n"/>
      <c r="P689" s="85" t="n"/>
      <c r="Q689" s="85" t="n"/>
      <c r="R689" s="85" t="n"/>
      <c r="S689" s="85" t="n"/>
      <c r="T689" s="85" t="n"/>
      <c r="U689" s="85" t="n"/>
      <c r="V689" s="85" t="n"/>
      <c r="W689" s="85" t="n"/>
      <c r="X689" s="85" t="n"/>
      <c r="Y689" s="85" t="n"/>
      <c r="Z689" s="85" t="n"/>
      <c r="AA689" s="85" t="n"/>
      <c r="AB689" s="85" t="n"/>
      <c r="AC689" s="86" t="n"/>
      <c r="AD689" s="86" t="n"/>
      <c r="AE689" s="86" t="n"/>
      <c r="AF689" s="85" t="n"/>
      <c r="AG689" s="85" t="n"/>
      <c r="AH689" s="85">
        <f>IF($A689="","",IF(AND($E689="Yes",OR($V689="No",$V689="NOT FOUND")),"YES",""))</f>
        <v/>
      </c>
      <c r="AI689" s="85">
        <f>IF($A689="","",TRIM(IF(AND($M689=0,$I689&lt;&gt;"Yes"),"T0-NoPhishResistant ","")&amp;IF($H689="No","NoMFA ","")&amp;IF(AND($M689=0,$O689="Group only"),"T0-ViaGroupOnly ","")&amp;IF($N689="Yes","BroadAzureScope ","")&amp;IF($T689="Yes","AlsoEntraRole ","")))</f>
        <v/>
      </c>
      <c r="AJ689" s="85">
        <f>IF($A689="","",IF(AD689="","Not Enrolled",IF(TODAY()&gt;AD689,"Review Overdue",IF(AD689-TODAY()&lt;=30,"Review Due Soon","Active"))))</f>
        <v/>
      </c>
      <c r="AK689" s="85">
        <f>IF($A689="","",IF(AE689="","NOT REVIEWED",IF(TODAY()-AE689&gt;90,"OVERDUE",IF(TODAY()-AE689&gt;76,"Due Soon","Current"))))</f>
        <v/>
      </c>
    </row>
    <row r="690" ht="15" customHeight="1" s="39">
      <c r="A690" s="85" t="n"/>
      <c r="B690" s="85" t="n"/>
      <c r="C690" s="85" t="n"/>
      <c r="D690" s="85" t="n"/>
      <c r="E690" s="85" t="n"/>
      <c r="F690" s="86" t="n"/>
      <c r="G690" s="86" t="n"/>
      <c r="H690" s="85" t="n"/>
      <c r="I690" s="85" t="n"/>
      <c r="J690" s="85" t="n"/>
      <c r="K690" s="85" t="n"/>
      <c r="L690" s="85" t="n"/>
      <c r="M690" s="85" t="n"/>
      <c r="N690" s="85" t="n"/>
      <c r="O690" s="85" t="n"/>
      <c r="P690" s="85" t="n"/>
      <c r="Q690" s="85" t="n"/>
      <c r="R690" s="85" t="n"/>
      <c r="S690" s="85" t="n"/>
      <c r="T690" s="85" t="n"/>
      <c r="U690" s="85" t="n"/>
      <c r="V690" s="85" t="n"/>
      <c r="W690" s="85" t="n"/>
      <c r="X690" s="85" t="n"/>
      <c r="Y690" s="85" t="n"/>
      <c r="Z690" s="85" t="n"/>
      <c r="AA690" s="85" t="n"/>
      <c r="AB690" s="85" t="n"/>
      <c r="AC690" s="86" t="n"/>
      <c r="AD690" s="86" t="n"/>
      <c r="AE690" s="86" t="n"/>
      <c r="AF690" s="85" t="n"/>
      <c r="AG690" s="85" t="n"/>
      <c r="AH690" s="85">
        <f>IF($A690="","",IF(AND($E690="Yes",OR($V690="No",$V690="NOT FOUND")),"YES",""))</f>
        <v/>
      </c>
      <c r="AI690" s="85">
        <f>IF($A690="","",TRIM(IF(AND($M690=0,$I690&lt;&gt;"Yes"),"T0-NoPhishResistant ","")&amp;IF($H690="No","NoMFA ","")&amp;IF(AND($M690=0,$O690="Group only"),"T0-ViaGroupOnly ","")&amp;IF($N690="Yes","BroadAzureScope ","")&amp;IF($T690="Yes","AlsoEntraRole ","")))</f>
        <v/>
      </c>
      <c r="AJ690" s="85">
        <f>IF($A690="","",IF(AD690="","Not Enrolled",IF(TODAY()&gt;AD690,"Review Overdue",IF(AD690-TODAY()&lt;=30,"Review Due Soon","Active"))))</f>
        <v/>
      </c>
      <c r="AK690" s="85">
        <f>IF($A690="","",IF(AE690="","NOT REVIEWED",IF(TODAY()-AE690&gt;90,"OVERDUE",IF(TODAY()-AE690&gt;76,"Due Soon","Current"))))</f>
        <v/>
      </c>
    </row>
    <row r="691" ht="15" customHeight="1" s="39">
      <c r="A691" s="85" t="n"/>
      <c r="B691" s="85" t="n"/>
      <c r="C691" s="85" t="n"/>
      <c r="D691" s="85" t="n"/>
      <c r="E691" s="85" t="n"/>
      <c r="F691" s="86" t="n"/>
      <c r="G691" s="86" t="n"/>
      <c r="H691" s="85" t="n"/>
      <c r="I691" s="85" t="n"/>
      <c r="J691" s="85" t="n"/>
      <c r="K691" s="85" t="n"/>
      <c r="L691" s="85" t="n"/>
      <c r="M691" s="85" t="n"/>
      <c r="N691" s="85" t="n"/>
      <c r="O691" s="85" t="n"/>
      <c r="P691" s="85" t="n"/>
      <c r="Q691" s="85" t="n"/>
      <c r="R691" s="85" t="n"/>
      <c r="S691" s="85" t="n"/>
      <c r="T691" s="85" t="n"/>
      <c r="U691" s="85" t="n"/>
      <c r="V691" s="85" t="n"/>
      <c r="W691" s="85" t="n"/>
      <c r="X691" s="85" t="n"/>
      <c r="Y691" s="85" t="n"/>
      <c r="Z691" s="85" t="n"/>
      <c r="AA691" s="85" t="n"/>
      <c r="AB691" s="85" t="n"/>
      <c r="AC691" s="86" t="n"/>
      <c r="AD691" s="86" t="n"/>
      <c r="AE691" s="86" t="n"/>
      <c r="AF691" s="85" t="n"/>
      <c r="AG691" s="85" t="n"/>
      <c r="AH691" s="85">
        <f>IF($A691="","",IF(AND($E691="Yes",OR($V691="No",$V691="NOT FOUND")),"YES",""))</f>
        <v/>
      </c>
      <c r="AI691" s="85">
        <f>IF($A691="","",TRIM(IF(AND($M691=0,$I691&lt;&gt;"Yes"),"T0-NoPhishResistant ","")&amp;IF($H691="No","NoMFA ","")&amp;IF(AND($M691=0,$O691="Group only"),"T0-ViaGroupOnly ","")&amp;IF($N691="Yes","BroadAzureScope ","")&amp;IF($T691="Yes","AlsoEntraRole ","")))</f>
        <v/>
      </c>
      <c r="AJ691" s="85">
        <f>IF($A691="","",IF(AD691="","Not Enrolled",IF(TODAY()&gt;AD691,"Review Overdue",IF(AD691-TODAY()&lt;=30,"Review Due Soon","Active"))))</f>
        <v/>
      </c>
      <c r="AK691" s="85">
        <f>IF($A691="","",IF(AE691="","NOT REVIEWED",IF(TODAY()-AE691&gt;90,"OVERDUE",IF(TODAY()-AE691&gt;76,"Due Soon","Current"))))</f>
        <v/>
      </c>
    </row>
    <row r="692" ht="15" customHeight="1" s="39">
      <c r="A692" s="85" t="n"/>
      <c r="B692" s="85" t="n"/>
      <c r="C692" s="85" t="n"/>
      <c r="D692" s="85" t="n"/>
      <c r="E692" s="85" t="n"/>
      <c r="F692" s="86" t="n"/>
      <c r="G692" s="86" t="n"/>
      <c r="H692" s="85" t="n"/>
      <c r="I692" s="85" t="n"/>
      <c r="J692" s="85" t="n"/>
      <c r="K692" s="85" t="n"/>
      <c r="L692" s="85" t="n"/>
      <c r="M692" s="85" t="n"/>
      <c r="N692" s="85" t="n"/>
      <c r="O692" s="85" t="n"/>
      <c r="P692" s="85" t="n"/>
      <c r="Q692" s="85" t="n"/>
      <c r="R692" s="85" t="n"/>
      <c r="S692" s="85" t="n"/>
      <c r="T692" s="85" t="n"/>
      <c r="U692" s="85" t="n"/>
      <c r="V692" s="85" t="n"/>
      <c r="W692" s="85" t="n"/>
      <c r="X692" s="85" t="n"/>
      <c r="Y692" s="85" t="n"/>
      <c r="Z692" s="85" t="n"/>
      <c r="AA692" s="85" t="n"/>
      <c r="AB692" s="85" t="n"/>
      <c r="AC692" s="86" t="n"/>
      <c r="AD692" s="86" t="n"/>
      <c r="AE692" s="86" t="n"/>
      <c r="AF692" s="85" t="n"/>
      <c r="AG692" s="85" t="n"/>
      <c r="AH692" s="85">
        <f>IF($A692="","",IF(AND($E692="Yes",OR($V692="No",$V692="NOT FOUND")),"YES",""))</f>
        <v/>
      </c>
      <c r="AI692" s="85">
        <f>IF($A692="","",TRIM(IF(AND($M692=0,$I692&lt;&gt;"Yes"),"T0-NoPhishResistant ","")&amp;IF($H692="No","NoMFA ","")&amp;IF(AND($M692=0,$O692="Group only"),"T0-ViaGroupOnly ","")&amp;IF($N692="Yes","BroadAzureScope ","")&amp;IF($T692="Yes","AlsoEntraRole ","")))</f>
        <v/>
      </c>
      <c r="AJ692" s="85">
        <f>IF($A692="","",IF(AD692="","Not Enrolled",IF(TODAY()&gt;AD692,"Review Overdue",IF(AD692-TODAY()&lt;=30,"Review Due Soon","Active"))))</f>
        <v/>
      </c>
      <c r="AK692" s="85">
        <f>IF($A692="","",IF(AE692="","NOT REVIEWED",IF(TODAY()-AE692&gt;90,"OVERDUE",IF(TODAY()-AE692&gt;76,"Due Soon","Current"))))</f>
        <v/>
      </c>
    </row>
    <row r="693" ht="15" customHeight="1" s="39">
      <c r="A693" s="85" t="n"/>
      <c r="B693" s="85" t="n"/>
      <c r="C693" s="85" t="n"/>
      <c r="D693" s="85" t="n"/>
      <c r="E693" s="85" t="n"/>
      <c r="F693" s="86" t="n"/>
      <c r="G693" s="86" t="n"/>
      <c r="H693" s="85" t="n"/>
      <c r="I693" s="85" t="n"/>
      <c r="J693" s="85" t="n"/>
      <c r="K693" s="85" t="n"/>
      <c r="L693" s="85" t="n"/>
      <c r="M693" s="85" t="n"/>
      <c r="N693" s="85" t="n"/>
      <c r="O693" s="85" t="n"/>
      <c r="P693" s="85" t="n"/>
      <c r="Q693" s="85" t="n"/>
      <c r="R693" s="85" t="n"/>
      <c r="S693" s="85" t="n"/>
      <c r="T693" s="85" t="n"/>
      <c r="U693" s="85" t="n"/>
      <c r="V693" s="85" t="n"/>
      <c r="W693" s="85" t="n"/>
      <c r="X693" s="85" t="n"/>
      <c r="Y693" s="85" t="n"/>
      <c r="Z693" s="85" t="n"/>
      <c r="AA693" s="85" t="n"/>
      <c r="AB693" s="85" t="n"/>
      <c r="AC693" s="86" t="n"/>
      <c r="AD693" s="86" t="n"/>
      <c r="AE693" s="86" t="n"/>
      <c r="AF693" s="85" t="n"/>
      <c r="AG693" s="85" t="n"/>
      <c r="AH693" s="85">
        <f>IF($A693="","",IF(AND($E693="Yes",OR($V693="No",$V693="NOT FOUND")),"YES",""))</f>
        <v/>
      </c>
      <c r="AI693" s="85">
        <f>IF($A693="","",TRIM(IF(AND($M693=0,$I693&lt;&gt;"Yes"),"T0-NoPhishResistant ","")&amp;IF($H693="No","NoMFA ","")&amp;IF(AND($M693=0,$O693="Group only"),"T0-ViaGroupOnly ","")&amp;IF($N693="Yes","BroadAzureScope ","")&amp;IF($T693="Yes","AlsoEntraRole ","")))</f>
        <v/>
      </c>
      <c r="AJ693" s="85">
        <f>IF($A693="","",IF(AD693="","Not Enrolled",IF(TODAY()&gt;AD693,"Review Overdue",IF(AD693-TODAY()&lt;=30,"Review Due Soon","Active"))))</f>
        <v/>
      </c>
      <c r="AK693" s="85">
        <f>IF($A693="","",IF(AE693="","NOT REVIEWED",IF(TODAY()-AE693&gt;90,"OVERDUE",IF(TODAY()-AE693&gt;76,"Due Soon","Current"))))</f>
        <v/>
      </c>
    </row>
    <row r="694" ht="15" customHeight="1" s="39">
      <c r="A694" s="85" t="n"/>
      <c r="B694" s="85" t="n"/>
      <c r="C694" s="85" t="n"/>
      <c r="D694" s="85" t="n"/>
      <c r="E694" s="85" t="n"/>
      <c r="F694" s="86" t="n"/>
      <c r="G694" s="86" t="n"/>
      <c r="H694" s="85" t="n"/>
      <c r="I694" s="85" t="n"/>
      <c r="J694" s="85" t="n"/>
      <c r="K694" s="85" t="n"/>
      <c r="L694" s="85" t="n"/>
      <c r="M694" s="85" t="n"/>
      <c r="N694" s="85" t="n"/>
      <c r="O694" s="85" t="n"/>
      <c r="P694" s="85" t="n"/>
      <c r="Q694" s="85" t="n"/>
      <c r="R694" s="85" t="n"/>
      <c r="S694" s="85" t="n"/>
      <c r="T694" s="85" t="n"/>
      <c r="U694" s="85" t="n"/>
      <c r="V694" s="85" t="n"/>
      <c r="W694" s="85" t="n"/>
      <c r="X694" s="85" t="n"/>
      <c r="Y694" s="85" t="n"/>
      <c r="Z694" s="85" t="n"/>
      <c r="AA694" s="85" t="n"/>
      <c r="AB694" s="85" t="n"/>
      <c r="AC694" s="86" t="n"/>
      <c r="AD694" s="86" t="n"/>
      <c r="AE694" s="86" t="n"/>
      <c r="AF694" s="85" t="n"/>
      <c r="AG694" s="85" t="n"/>
      <c r="AH694" s="85">
        <f>IF($A694="","",IF(AND($E694="Yes",OR($V694="No",$V694="NOT FOUND")),"YES",""))</f>
        <v/>
      </c>
      <c r="AI694" s="85">
        <f>IF($A694="","",TRIM(IF(AND($M694=0,$I694&lt;&gt;"Yes"),"T0-NoPhishResistant ","")&amp;IF($H694="No","NoMFA ","")&amp;IF(AND($M694=0,$O694="Group only"),"T0-ViaGroupOnly ","")&amp;IF($N694="Yes","BroadAzureScope ","")&amp;IF($T694="Yes","AlsoEntraRole ","")))</f>
        <v/>
      </c>
      <c r="AJ694" s="85">
        <f>IF($A694="","",IF(AD694="","Not Enrolled",IF(TODAY()&gt;AD694,"Review Overdue",IF(AD694-TODAY()&lt;=30,"Review Due Soon","Active"))))</f>
        <v/>
      </c>
      <c r="AK694" s="85">
        <f>IF($A694="","",IF(AE694="","NOT REVIEWED",IF(TODAY()-AE694&gt;90,"OVERDUE",IF(TODAY()-AE694&gt;76,"Due Soon","Current"))))</f>
        <v/>
      </c>
    </row>
    <row r="695" ht="15" customHeight="1" s="39">
      <c r="A695" s="85" t="n"/>
      <c r="B695" s="85" t="n"/>
      <c r="C695" s="85" t="n"/>
      <c r="D695" s="85" t="n"/>
      <c r="E695" s="85" t="n"/>
      <c r="F695" s="86" t="n"/>
      <c r="G695" s="86" t="n"/>
      <c r="H695" s="85" t="n"/>
      <c r="I695" s="85" t="n"/>
      <c r="J695" s="85" t="n"/>
      <c r="K695" s="85" t="n"/>
      <c r="L695" s="85" t="n"/>
      <c r="M695" s="85" t="n"/>
      <c r="N695" s="85" t="n"/>
      <c r="O695" s="85" t="n"/>
      <c r="P695" s="85" t="n"/>
      <c r="Q695" s="85" t="n"/>
      <c r="R695" s="85" t="n"/>
      <c r="S695" s="85" t="n"/>
      <c r="T695" s="85" t="n"/>
      <c r="U695" s="85" t="n"/>
      <c r="V695" s="85" t="n"/>
      <c r="W695" s="85" t="n"/>
      <c r="X695" s="85" t="n"/>
      <c r="Y695" s="85" t="n"/>
      <c r="Z695" s="85" t="n"/>
      <c r="AA695" s="85" t="n"/>
      <c r="AB695" s="85" t="n"/>
      <c r="AC695" s="86" t="n"/>
      <c r="AD695" s="86" t="n"/>
      <c r="AE695" s="86" t="n"/>
      <c r="AF695" s="85" t="n"/>
      <c r="AG695" s="85" t="n"/>
      <c r="AH695" s="85">
        <f>IF($A695="","",IF(AND($E695="Yes",OR($V695="No",$V695="NOT FOUND")),"YES",""))</f>
        <v/>
      </c>
      <c r="AI695" s="85">
        <f>IF($A695="","",TRIM(IF(AND($M695=0,$I695&lt;&gt;"Yes"),"T0-NoPhishResistant ","")&amp;IF($H695="No","NoMFA ","")&amp;IF(AND($M695=0,$O695="Group only"),"T0-ViaGroupOnly ","")&amp;IF($N695="Yes","BroadAzureScope ","")&amp;IF($T695="Yes","AlsoEntraRole ","")))</f>
        <v/>
      </c>
      <c r="AJ695" s="85">
        <f>IF($A695="","",IF(AD695="","Not Enrolled",IF(TODAY()&gt;AD695,"Review Overdue",IF(AD695-TODAY()&lt;=30,"Review Due Soon","Active"))))</f>
        <v/>
      </c>
      <c r="AK695" s="85">
        <f>IF($A695="","",IF(AE695="","NOT REVIEWED",IF(TODAY()-AE695&gt;90,"OVERDUE",IF(TODAY()-AE695&gt;76,"Due Soon","Current"))))</f>
        <v/>
      </c>
    </row>
    <row r="696" ht="15" customHeight="1" s="39">
      <c r="A696" s="85" t="n"/>
      <c r="B696" s="85" t="n"/>
      <c r="C696" s="85" t="n"/>
      <c r="D696" s="85" t="n"/>
      <c r="E696" s="85" t="n"/>
      <c r="F696" s="86" t="n"/>
      <c r="G696" s="86" t="n"/>
      <c r="H696" s="85" t="n"/>
      <c r="I696" s="85" t="n"/>
      <c r="J696" s="85" t="n"/>
      <c r="K696" s="85" t="n"/>
      <c r="L696" s="85" t="n"/>
      <c r="M696" s="85" t="n"/>
      <c r="N696" s="85" t="n"/>
      <c r="O696" s="85" t="n"/>
      <c r="P696" s="85" t="n"/>
      <c r="Q696" s="85" t="n"/>
      <c r="R696" s="85" t="n"/>
      <c r="S696" s="85" t="n"/>
      <c r="T696" s="85" t="n"/>
      <c r="U696" s="85" t="n"/>
      <c r="V696" s="85" t="n"/>
      <c r="W696" s="85" t="n"/>
      <c r="X696" s="85" t="n"/>
      <c r="Y696" s="85" t="n"/>
      <c r="Z696" s="85" t="n"/>
      <c r="AA696" s="85" t="n"/>
      <c r="AB696" s="85" t="n"/>
      <c r="AC696" s="86" t="n"/>
      <c r="AD696" s="86" t="n"/>
      <c r="AE696" s="86" t="n"/>
      <c r="AF696" s="85" t="n"/>
      <c r="AG696" s="85" t="n"/>
      <c r="AH696" s="85">
        <f>IF($A696="","",IF(AND($E696="Yes",OR($V696="No",$V696="NOT FOUND")),"YES",""))</f>
        <v/>
      </c>
      <c r="AI696" s="85">
        <f>IF($A696="","",TRIM(IF(AND($M696=0,$I696&lt;&gt;"Yes"),"T0-NoPhishResistant ","")&amp;IF($H696="No","NoMFA ","")&amp;IF(AND($M696=0,$O696="Group only"),"T0-ViaGroupOnly ","")&amp;IF($N696="Yes","BroadAzureScope ","")&amp;IF($T696="Yes","AlsoEntraRole ","")))</f>
        <v/>
      </c>
      <c r="AJ696" s="85">
        <f>IF($A696="","",IF(AD696="","Not Enrolled",IF(TODAY()&gt;AD696,"Review Overdue",IF(AD696-TODAY()&lt;=30,"Review Due Soon","Active"))))</f>
        <v/>
      </c>
      <c r="AK696" s="85">
        <f>IF($A696="","",IF(AE696="","NOT REVIEWED",IF(TODAY()-AE696&gt;90,"OVERDUE",IF(TODAY()-AE696&gt;76,"Due Soon","Current"))))</f>
        <v/>
      </c>
    </row>
    <row r="697" ht="15" customHeight="1" s="39">
      <c r="A697" s="85" t="n"/>
      <c r="B697" s="85" t="n"/>
      <c r="C697" s="85" t="n"/>
      <c r="D697" s="85" t="n"/>
      <c r="E697" s="85" t="n"/>
      <c r="F697" s="86" t="n"/>
      <c r="G697" s="86" t="n"/>
      <c r="H697" s="85" t="n"/>
      <c r="I697" s="85" t="n"/>
      <c r="J697" s="85" t="n"/>
      <c r="K697" s="85" t="n"/>
      <c r="L697" s="85" t="n"/>
      <c r="M697" s="85" t="n"/>
      <c r="N697" s="85" t="n"/>
      <c r="O697" s="85" t="n"/>
      <c r="P697" s="85" t="n"/>
      <c r="Q697" s="85" t="n"/>
      <c r="R697" s="85" t="n"/>
      <c r="S697" s="85" t="n"/>
      <c r="T697" s="85" t="n"/>
      <c r="U697" s="85" t="n"/>
      <c r="V697" s="85" t="n"/>
      <c r="W697" s="85" t="n"/>
      <c r="X697" s="85" t="n"/>
      <c r="Y697" s="85" t="n"/>
      <c r="Z697" s="85" t="n"/>
      <c r="AA697" s="85" t="n"/>
      <c r="AB697" s="85" t="n"/>
      <c r="AC697" s="86" t="n"/>
      <c r="AD697" s="86" t="n"/>
      <c r="AE697" s="86" t="n"/>
      <c r="AF697" s="85" t="n"/>
      <c r="AG697" s="85" t="n"/>
      <c r="AH697" s="85">
        <f>IF($A697="","",IF(AND($E697="Yes",OR($V697="No",$V697="NOT FOUND")),"YES",""))</f>
        <v/>
      </c>
      <c r="AI697" s="85">
        <f>IF($A697="","",TRIM(IF(AND($M697=0,$I697&lt;&gt;"Yes"),"T0-NoPhishResistant ","")&amp;IF($H697="No","NoMFA ","")&amp;IF(AND($M697=0,$O697="Group only"),"T0-ViaGroupOnly ","")&amp;IF($N697="Yes","BroadAzureScope ","")&amp;IF($T697="Yes","AlsoEntraRole ","")))</f>
        <v/>
      </c>
      <c r="AJ697" s="85">
        <f>IF($A697="","",IF(AD697="","Not Enrolled",IF(TODAY()&gt;AD697,"Review Overdue",IF(AD697-TODAY()&lt;=30,"Review Due Soon","Active"))))</f>
        <v/>
      </c>
      <c r="AK697" s="85">
        <f>IF($A697="","",IF(AE697="","NOT REVIEWED",IF(TODAY()-AE697&gt;90,"OVERDUE",IF(TODAY()-AE697&gt;76,"Due Soon","Current"))))</f>
        <v/>
      </c>
    </row>
    <row r="698" ht="15" customHeight="1" s="39">
      <c r="A698" s="85" t="n"/>
      <c r="B698" s="85" t="n"/>
      <c r="C698" s="85" t="n"/>
      <c r="D698" s="85" t="n"/>
      <c r="E698" s="85" t="n"/>
      <c r="F698" s="86" t="n"/>
      <c r="G698" s="86" t="n"/>
      <c r="H698" s="85" t="n"/>
      <c r="I698" s="85" t="n"/>
      <c r="J698" s="85" t="n"/>
      <c r="K698" s="85" t="n"/>
      <c r="L698" s="85" t="n"/>
      <c r="M698" s="85" t="n"/>
      <c r="N698" s="85" t="n"/>
      <c r="O698" s="85" t="n"/>
      <c r="P698" s="85" t="n"/>
      <c r="Q698" s="85" t="n"/>
      <c r="R698" s="85" t="n"/>
      <c r="S698" s="85" t="n"/>
      <c r="T698" s="85" t="n"/>
      <c r="U698" s="85" t="n"/>
      <c r="V698" s="85" t="n"/>
      <c r="W698" s="85" t="n"/>
      <c r="X698" s="85" t="n"/>
      <c r="Y698" s="85" t="n"/>
      <c r="Z698" s="85" t="n"/>
      <c r="AA698" s="85" t="n"/>
      <c r="AB698" s="85" t="n"/>
      <c r="AC698" s="86" t="n"/>
      <c r="AD698" s="86" t="n"/>
      <c r="AE698" s="86" t="n"/>
      <c r="AF698" s="85" t="n"/>
      <c r="AG698" s="85" t="n"/>
      <c r="AH698" s="85">
        <f>IF($A698="","",IF(AND($E698="Yes",OR($V698="No",$V698="NOT FOUND")),"YES",""))</f>
        <v/>
      </c>
      <c r="AI698" s="85">
        <f>IF($A698="","",TRIM(IF(AND($M698=0,$I698&lt;&gt;"Yes"),"T0-NoPhishResistant ","")&amp;IF($H698="No","NoMFA ","")&amp;IF(AND($M698=0,$O698="Group only"),"T0-ViaGroupOnly ","")&amp;IF($N698="Yes","BroadAzureScope ","")&amp;IF($T698="Yes","AlsoEntraRole ","")))</f>
        <v/>
      </c>
      <c r="AJ698" s="85">
        <f>IF($A698="","",IF(AD698="","Not Enrolled",IF(TODAY()&gt;AD698,"Review Overdue",IF(AD698-TODAY()&lt;=30,"Review Due Soon","Active"))))</f>
        <v/>
      </c>
      <c r="AK698" s="85">
        <f>IF($A698="","",IF(AE698="","NOT REVIEWED",IF(TODAY()-AE698&gt;90,"OVERDUE",IF(TODAY()-AE698&gt;76,"Due Soon","Current"))))</f>
        <v/>
      </c>
    </row>
    <row r="699" ht="15" customHeight="1" s="39">
      <c r="A699" s="85" t="n"/>
      <c r="B699" s="85" t="n"/>
      <c r="C699" s="85" t="n"/>
      <c r="D699" s="85" t="n"/>
      <c r="E699" s="85" t="n"/>
      <c r="F699" s="86" t="n"/>
      <c r="G699" s="86" t="n"/>
      <c r="H699" s="85" t="n"/>
      <c r="I699" s="85" t="n"/>
      <c r="J699" s="85" t="n"/>
      <c r="K699" s="85" t="n"/>
      <c r="L699" s="85" t="n"/>
      <c r="M699" s="85" t="n"/>
      <c r="N699" s="85" t="n"/>
      <c r="O699" s="85" t="n"/>
      <c r="P699" s="85" t="n"/>
      <c r="Q699" s="85" t="n"/>
      <c r="R699" s="85" t="n"/>
      <c r="S699" s="85" t="n"/>
      <c r="T699" s="85" t="n"/>
      <c r="U699" s="85" t="n"/>
      <c r="V699" s="85" t="n"/>
      <c r="W699" s="85" t="n"/>
      <c r="X699" s="85" t="n"/>
      <c r="Y699" s="85" t="n"/>
      <c r="Z699" s="85" t="n"/>
      <c r="AA699" s="85" t="n"/>
      <c r="AB699" s="85" t="n"/>
      <c r="AC699" s="86" t="n"/>
      <c r="AD699" s="86" t="n"/>
      <c r="AE699" s="86" t="n"/>
      <c r="AF699" s="85" t="n"/>
      <c r="AG699" s="85" t="n"/>
      <c r="AH699" s="85">
        <f>IF($A699="","",IF(AND($E699="Yes",OR($V699="No",$V699="NOT FOUND")),"YES",""))</f>
        <v/>
      </c>
      <c r="AI699" s="85">
        <f>IF($A699="","",TRIM(IF(AND($M699=0,$I699&lt;&gt;"Yes"),"T0-NoPhishResistant ","")&amp;IF($H699="No","NoMFA ","")&amp;IF(AND($M699=0,$O699="Group only"),"T0-ViaGroupOnly ","")&amp;IF($N699="Yes","BroadAzureScope ","")&amp;IF($T699="Yes","AlsoEntraRole ","")))</f>
        <v/>
      </c>
      <c r="AJ699" s="85">
        <f>IF($A699="","",IF(AD699="","Not Enrolled",IF(TODAY()&gt;AD699,"Review Overdue",IF(AD699-TODAY()&lt;=30,"Review Due Soon","Active"))))</f>
        <v/>
      </c>
      <c r="AK699" s="85">
        <f>IF($A699="","",IF(AE699="","NOT REVIEWED",IF(TODAY()-AE699&gt;90,"OVERDUE",IF(TODAY()-AE699&gt;76,"Due Soon","Current"))))</f>
        <v/>
      </c>
    </row>
    <row r="700" ht="15" customHeight="1" s="39">
      <c r="A700" s="85" t="n"/>
      <c r="B700" s="85" t="n"/>
      <c r="C700" s="85" t="n"/>
      <c r="D700" s="85" t="n"/>
      <c r="E700" s="85" t="n"/>
      <c r="F700" s="86" t="n"/>
      <c r="G700" s="86" t="n"/>
      <c r="H700" s="85" t="n"/>
      <c r="I700" s="85" t="n"/>
      <c r="J700" s="85" t="n"/>
      <c r="K700" s="85" t="n"/>
      <c r="L700" s="85" t="n"/>
      <c r="M700" s="85" t="n"/>
      <c r="N700" s="85" t="n"/>
      <c r="O700" s="85" t="n"/>
      <c r="P700" s="85" t="n"/>
      <c r="Q700" s="85" t="n"/>
      <c r="R700" s="85" t="n"/>
      <c r="S700" s="85" t="n"/>
      <c r="T700" s="85" t="n"/>
      <c r="U700" s="85" t="n"/>
      <c r="V700" s="85" t="n"/>
      <c r="W700" s="85" t="n"/>
      <c r="X700" s="85" t="n"/>
      <c r="Y700" s="85" t="n"/>
      <c r="Z700" s="85" t="n"/>
      <c r="AA700" s="85" t="n"/>
      <c r="AB700" s="85" t="n"/>
      <c r="AC700" s="86" t="n"/>
      <c r="AD700" s="86" t="n"/>
      <c r="AE700" s="86" t="n"/>
      <c r="AF700" s="85" t="n"/>
      <c r="AG700" s="85" t="n"/>
      <c r="AH700" s="85">
        <f>IF($A700="","",IF(AND($E700="Yes",OR($V700="No",$V700="NOT FOUND")),"YES",""))</f>
        <v/>
      </c>
      <c r="AI700" s="85">
        <f>IF($A700="","",TRIM(IF(AND($M700=0,$I700&lt;&gt;"Yes"),"T0-NoPhishResistant ","")&amp;IF($H700="No","NoMFA ","")&amp;IF(AND($M700=0,$O700="Group only"),"T0-ViaGroupOnly ","")&amp;IF($N700="Yes","BroadAzureScope ","")&amp;IF($T700="Yes","AlsoEntraRole ","")))</f>
        <v/>
      </c>
      <c r="AJ700" s="85">
        <f>IF($A700="","",IF(AD700="","Not Enrolled",IF(TODAY()&gt;AD700,"Review Overdue",IF(AD700-TODAY()&lt;=30,"Review Due Soon","Active"))))</f>
        <v/>
      </c>
      <c r="AK700" s="85">
        <f>IF($A700="","",IF(AE700="","NOT REVIEWED",IF(TODAY()-AE700&gt;90,"OVERDUE",IF(TODAY()-AE700&gt;76,"Due Soon","Current"))))</f>
        <v/>
      </c>
    </row>
    <row r="701" ht="15" customHeight="1" s="39">
      <c r="A701" s="85" t="n"/>
      <c r="B701" s="85" t="n"/>
      <c r="C701" s="85" t="n"/>
      <c r="D701" s="85" t="n"/>
      <c r="E701" s="85" t="n"/>
      <c r="F701" s="86" t="n"/>
      <c r="G701" s="86" t="n"/>
      <c r="H701" s="85" t="n"/>
      <c r="I701" s="85" t="n"/>
      <c r="J701" s="85" t="n"/>
      <c r="K701" s="85" t="n"/>
      <c r="L701" s="85" t="n"/>
      <c r="M701" s="85" t="n"/>
      <c r="N701" s="85" t="n"/>
      <c r="O701" s="85" t="n"/>
      <c r="P701" s="85" t="n"/>
      <c r="Q701" s="85" t="n"/>
      <c r="R701" s="85" t="n"/>
      <c r="S701" s="85" t="n"/>
      <c r="T701" s="85" t="n"/>
      <c r="U701" s="85" t="n"/>
      <c r="V701" s="85" t="n"/>
      <c r="W701" s="85" t="n"/>
      <c r="X701" s="85" t="n"/>
      <c r="Y701" s="85" t="n"/>
      <c r="Z701" s="85" t="n"/>
      <c r="AA701" s="85" t="n"/>
      <c r="AB701" s="85" t="n"/>
      <c r="AC701" s="86" t="n"/>
      <c r="AD701" s="86" t="n"/>
      <c r="AE701" s="86" t="n"/>
      <c r="AF701" s="85" t="n"/>
      <c r="AG701" s="85" t="n"/>
      <c r="AH701" s="85">
        <f>IF($A701="","",IF(AND($E701="Yes",OR($V701="No",$V701="NOT FOUND")),"YES",""))</f>
        <v/>
      </c>
      <c r="AI701" s="85">
        <f>IF($A701="","",TRIM(IF(AND($M701=0,$I701&lt;&gt;"Yes"),"T0-NoPhishResistant ","")&amp;IF($H701="No","NoMFA ","")&amp;IF(AND($M701=0,$O701="Group only"),"T0-ViaGroupOnly ","")&amp;IF($N701="Yes","BroadAzureScope ","")&amp;IF($T701="Yes","AlsoEntraRole ","")))</f>
        <v/>
      </c>
      <c r="AJ701" s="85">
        <f>IF($A701="","",IF(AD701="","Not Enrolled",IF(TODAY()&gt;AD701,"Review Overdue",IF(AD701-TODAY()&lt;=30,"Review Due Soon","Active"))))</f>
        <v/>
      </c>
      <c r="AK701" s="85">
        <f>IF($A701="","",IF(AE701="","NOT REVIEWED",IF(TODAY()-AE701&gt;90,"OVERDUE",IF(TODAY()-AE701&gt;76,"Due Soon","Current"))))</f>
        <v/>
      </c>
    </row>
    <row r="702" ht="15" customHeight="1" s="39">
      <c r="A702" s="85" t="n"/>
      <c r="B702" s="85" t="n"/>
      <c r="C702" s="85" t="n"/>
      <c r="D702" s="85" t="n"/>
      <c r="E702" s="85" t="n"/>
      <c r="F702" s="86" t="n"/>
      <c r="G702" s="86" t="n"/>
      <c r="H702" s="85" t="n"/>
      <c r="I702" s="85" t="n"/>
      <c r="J702" s="85" t="n"/>
      <c r="K702" s="85" t="n"/>
      <c r="L702" s="85" t="n"/>
      <c r="M702" s="85" t="n"/>
      <c r="N702" s="85" t="n"/>
      <c r="O702" s="85" t="n"/>
      <c r="P702" s="85" t="n"/>
      <c r="Q702" s="85" t="n"/>
      <c r="R702" s="85" t="n"/>
      <c r="S702" s="85" t="n"/>
      <c r="T702" s="85" t="n"/>
      <c r="U702" s="85" t="n"/>
      <c r="V702" s="85" t="n"/>
      <c r="W702" s="85" t="n"/>
      <c r="X702" s="85" t="n"/>
      <c r="Y702" s="85" t="n"/>
      <c r="Z702" s="85" t="n"/>
      <c r="AA702" s="85" t="n"/>
      <c r="AB702" s="85" t="n"/>
      <c r="AC702" s="86" t="n"/>
      <c r="AD702" s="86" t="n"/>
      <c r="AE702" s="86" t="n"/>
      <c r="AF702" s="85" t="n"/>
      <c r="AG702" s="85" t="n"/>
      <c r="AH702" s="85">
        <f>IF($A702="","",IF(AND($E702="Yes",OR($V702="No",$V702="NOT FOUND")),"YES",""))</f>
        <v/>
      </c>
      <c r="AI702" s="85">
        <f>IF($A702="","",TRIM(IF(AND($M702=0,$I702&lt;&gt;"Yes"),"T0-NoPhishResistant ","")&amp;IF($H702="No","NoMFA ","")&amp;IF(AND($M702=0,$O702="Group only"),"T0-ViaGroupOnly ","")&amp;IF($N702="Yes","BroadAzureScope ","")&amp;IF($T702="Yes","AlsoEntraRole ","")))</f>
        <v/>
      </c>
      <c r="AJ702" s="85">
        <f>IF($A702="","",IF(AD702="","Not Enrolled",IF(TODAY()&gt;AD702,"Review Overdue",IF(AD702-TODAY()&lt;=30,"Review Due Soon","Active"))))</f>
        <v/>
      </c>
      <c r="AK702" s="85">
        <f>IF($A702="","",IF(AE702="","NOT REVIEWED",IF(TODAY()-AE702&gt;90,"OVERDUE",IF(TODAY()-AE702&gt;76,"Due Soon","Current"))))</f>
        <v/>
      </c>
    </row>
    <row r="703" ht="15" customHeight="1" s="39">
      <c r="A703" s="85" t="n"/>
      <c r="B703" s="85" t="n"/>
      <c r="C703" s="85" t="n"/>
      <c r="D703" s="85" t="n"/>
      <c r="E703" s="85" t="n"/>
      <c r="F703" s="86" t="n"/>
      <c r="G703" s="86" t="n"/>
      <c r="H703" s="85" t="n"/>
      <c r="I703" s="85" t="n"/>
      <c r="J703" s="85" t="n"/>
      <c r="K703" s="85" t="n"/>
      <c r="L703" s="85" t="n"/>
      <c r="M703" s="85" t="n"/>
      <c r="N703" s="85" t="n"/>
      <c r="O703" s="85" t="n"/>
      <c r="P703" s="85" t="n"/>
      <c r="Q703" s="85" t="n"/>
      <c r="R703" s="85" t="n"/>
      <c r="S703" s="85" t="n"/>
      <c r="T703" s="85" t="n"/>
      <c r="U703" s="85" t="n"/>
      <c r="V703" s="85" t="n"/>
      <c r="W703" s="85" t="n"/>
      <c r="X703" s="85" t="n"/>
      <c r="Y703" s="85" t="n"/>
      <c r="Z703" s="85" t="n"/>
      <c r="AA703" s="85" t="n"/>
      <c r="AB703" s="85" t="n"/>
      <c r="AC703" s="86" t="n"/>
      <c r="AD703" s="86" t="n"/>
      <c r="AE703" s="86" t="n"/>
      <c r="AF703" s="85" t="n"/>
      <c r="AG703" s="85" t="n"/>
      <c r="AH703" s="85">
        <f>IF($A703="","",IF(AND($E703="Yes",OR($V703="No",$V703="NOT FOUND")),"YES",""))</f>
        <v/>
      </c>
      <c r="AI703" s="85">
        <f>IF($A703="","",TRIM(IF(AND($M703=0,$I703&lt;&gt;"Yes"),"T0-NoPhishResistant ","")&amp;IF($H703="No","NoMFA ","")&amp;IF(AND($M703=0,$O703="Group only"),"T0-ViaGroupOnly ","")&amp;IF($N703="Yes","BroadAzureScope ","")&amp;IF($T703="Yes","AlsoEntraRole ","")))</f>
        <v/>
      </c>
      <c r="AJ703" s="85">
        <f>IF($A703="","",IF(AD703="","Not Enrolled",IF(TODAY()&gt;AD703,"Review Overdue",IF(AD703-TODAY()&lt;=30,"Review Due Soon","Active"))))</f>
        <v/>
      </c>
      <c r="AK703" s="85">
        <f>IF($A703="","",IF(AE703="","NOT REVIEWED",IF(TODAY()-AE703&gt;90,"OVERDUE",IF(TODAY()-AE703&gt;76,"Due Soon","Current"))))</f>
        <v/>
      </c>
    </row>
    <row r="704" ht="15" customHeight="1" s="39">
      <c r="A704" s="85" t="n"/>
      <c r="B704" s="85" t="n"/>
      <c r="C704" s="85" t="n"/>
      <c r="D704" s="85" t="n"/>
      <c r="E704" s="85" t="n"/>
      <c r="F704" s="86" t="n"/>
      <c r="G704" s="86" t="n"/>
      <c r="H704" s="85" t="n"/>
      <c r="I704" s="85" t="n"/>
      <c r="J704" s="85" t="n"/>
      <c r="K704" s="85" t="n"/>
      <c r="L704" s="85" t="n"/>
      <c r="M704" s="85" t="n"/>
      <c r="N704" s="85" t="n"/>
      <c r="O704" s="85" t="n"/>
      <c r="P704" s="85" t="n"/>
      <c r="Q704" s="85" t="n"/>
      <c r="R704" s="85" t="n"/>
      <c r="S704" s="85" t="n"/>
      <c r="T704" s="85" t="n"/>
      <c r="U704" s="85" t="n"/>
      <c r="V704" s="85" t="n"/>
      <c r="W704" s="85" t="n"/>
      <c r="X704" s="85" t="n"/>
      <c r="Y704" s="85" t="n"/>
      <c r="Z704" s="85" t="n"/>
      <c r="AA704" s="85" t="n"/>
      <c r="AB704" s="85" t="n"/>
      <c r="AC704" s="86" t="n"/>
      <c r="AD704" s="86" t="n"/>
      <c r="AE704" s="86" t="n"/>
      <c r="AF704" s="85" t="n"/>
      <c r="AG704" s="85" t="n"/>
      <c r="AH704" s="85">
        <f>IF($A704="","",IF(AND($E704="Yes",OR($V704="No",$V704="NOT FOUND")),"YES",""))</f>
        <v/>
      </c>
      <c r="AI704" s="85">
        <f>IF($A704="","",TRIM(IF(AND($M704=0,$I704&lt;&gt;"Yes"),"T0-NoPhishResistant ","")&amp;IF($H704="No","NoMFA ","")&amp;IF(AND($M704=0,$O704="Group only"),"T0-ViaGroupOnly ","")&amp;IF($N704="Yes","BroadAzureScope ","")&amp;IF($T704="Yes","AlsoEntraRole ","")))</f>
        <v/>
      </c>
      <c r="AJ704" s="85">
        <f>IF($A704="","",IF(AD704="","Not Enrolled",IF(TODAY()&gt;AD704,"Review Overdue",IF(AD704-TODAY()&lt;=30,"Review Due Soon","Active"))))</f>
        <v/>
      </c>
      <c r="AK704" s="85">
        <f>IF($A704="","",IF(AE704="","NOT REVIEWED",IF(TODAY()-AE704&gt;90,"OVERDUE",IF(TODAY()-AE704&gt;76,"Due Soon","Current"))))</f>
        <v/>
      </c>
    </row>
    <row r="705" ht="15" customHeight="1" s="39">
      <c r="A705" s="85" t="n"/>
      <c r="B705" s="85" t="n"/>
      <c r="C705" s="85" t="n"/>
      <c r="D705" s="85" t="n"/>
      <c r="E705" s="85" t="n"/>
      <c r="F705" s="86" t="n"/>
      <c r="G705" s="86" t="n"/>
      <c r="H705" s="85" t="n"/>
      <c r="I705" s="85" t="n"/>
      <c r="J705" s="85" t="n"/>
      <c r="K705" s="85" t="n"/>
      <c r="L705" s="85" t="n"/>
      <c r="M705" s="85" t="n"/>
      <c r="N705" s="85" t="n"/>
      <c r="O705" s="85" t="n"/>
      <c r="P705" s="85" t="n"/>
      <c r="Q705" s="85" t="n"/>
      <c r="R705" s="85" t="n"/>
      <c r="S705" s="85" t="n"/>
      <c r="T705" s="85" t="n"/>
      <c r="U705" s="85" t="n"/>
      <c r="V705" s="85" t="n"/>
      <c r="W705" s="85" t="n"/>
      <c r="X705" s="85" t="n"/>
      <c r="Y705" s="85" t="n"/>
      <c r="Z705" s="85" t="n"/>
      <c r="AA705" s="85" t="n"/>
      <c r="AB705" s="85" t="n"/>
      <c r="AC705" s="86" t="n"/>
      <c r="AD705" s="86" t="n"/>
      <c r="AE705" s="86" t="n"/>
      <c r="AF705" s="85" t="n"/>
      <c r="AG705" s="85" t="n"/>
      <c r="AH705" s="85">
        <f>IF($A705="","",IF(AND($E705="Yes",OR($V705="No",$V705="NOT FOUND")),"YES",""))</f>
        <v/>
      </c>
      <c r="AI705" s="85">
        <f>IF($A705="","",TRIM(IF(AND($M705=0,$I705&lt;&gt;"Yes"),"T0-NoPhishResistant ","")&amp;IF($H705="No","NoMFA ","")&amp;IF(AND($M705=0,$O705="Group only"),"T0-ViaGroupOnly ","")&amp;IF($N705="Yes","BroadAzureScope ","")&amp;IF($T705="Yes","AlsoEntraRole ","")))</f>
        <v/>
      </c>
      <c r="AJ705" s="85">
        <f>IF($A705="","",IF(AD705="","Not Enrolled",IF(TODAY()&gt;AD705,"Review Overdue",IF(AD705-TODAY()&lt;=30,"Review Due Soon","Active"))))</f>
        <v/>
      </c>
      <c r="AK705" s="85">
        <f>IF($A705="","",IF(AE705="","NOT REVIEWED",IF(TODAY()-AE705&gt;90,"OVERDUE",IF(TODAY()-AE705&gt;76,"Due Soon","Current"))))</f>
        <v/>
      </c>
    </row>
    <row r="706" ht="15" customHeight="1" s="39">
      <c r="A706" s="85" t="n"/>
      <c r="B706" s="85" t="n"/>
      <c r="C706" s="85" t="n"/>
      <c r="D706" s="85" t="n"/>
      <c r="E706" s="85" t="n"/>
      <c r="F706" s="86" t="n"/>
      <c r="G706" s="86" t="n"/>
      <c r="H706" s="85" t="n"/>
      <c r="I706" s="85" t="n"/>
      <c r="J706" s="85" t="n"/>
      <c r="K706" s="85" t="n"/>
      <c r="L706" s="85" t="n"/>
      <c r="M706" s="85" t="n"/>
      <c r="N706" s="85" t="n"/>
      <c r="O706" s="85" t="n"/>
      <c r="P706" s="85" t="n"/>
      <c r="Q706" s="85" t="n"/>
      <c r="R706" s="85" t="n"/>
      <c r="S706" s="85" t="n"/>
      <c r="T706" s="85" t="n"/>
      <c r="U706" s="85" t="n"/>
      <c r="V706" s="85" t="n"/>
      <c r="W706" s="85" t="n"/>
      <c r="X706" s="85" t="n"/>
      <c r="Y706" s="85" t="n"/>
      <c r="Z706" s="85" t="n"/>
      <c r="AA706" s="85" t="n"/>
      <c r="AB706" s="85" t="n"/>
      <c r="AC706" s="86" t="n"/>
      <c r="AD706" s="86" t="n"/>
      <c r="AE706" s="86" t="n"/>
      <c r="AF706" s="85" t="n"/>
      <c r="AG706" s="85" t="n"/>
      <c r="AH706" s="85">
        <f>IF($A706="","",IF(AND($E706="Yes",OR($V706="No",$V706="NOT FOUND")),"YES",""))</f>
        <v/>
      </c>
      <c r="AI706" s="85">
        <f>IF($A706="","",TRIM(IF(AND($M706=0,$I706&lt;&gt;"Yes"),"T0-NoPhishResistant ","")&amp;IF($H706="No","NoMFA ","")&amp;IF(AND($M706=0,$O706="Group only"),"T0-ViaGroupOnly ","")&amp;IF($N706="Yes","BroadAzureScope ","")&amp;IF($T706="Yes","AlsoEntraRole ","")))</f>
        <v/>
      </c>
      <c r="AJ706" s="85">
        <f>IF($A706="","",IF(AD706="","Not Enrolled",IF(TODAY()&gt;AD706,"Review Overdue",IF(AD706-TODAY()&lt;=30,"Review Due Soon","Active"))))</f>
        <v/>
      </c>
      <c r="AK706" s="85">
        <f>IF($A706="","",IF(AE706="","NOT REVIEWED",IF(TODAY()-AE706&gt;90,"OVERDUE",IF(TODAY()-AE706&gt;76,"Due Soon","Current"))))</f>
        <v/>
      </c>
    </row>
    <row r="707" ht="15" customHeight="1" s="39">
      <c r="A707" s="85" t="n"/>
      <c r="B707" s="85" t="n"/>
      <c r="C707" s="85" t="n"/>
      <c r="D707" s="85" t="n"/>
      <c r="E707" s="85" t="n"/>
      <c r="F707" s="86" t="n"/>
      <c r="G707" s="86" t="n"/>
      <c r="H707" s="85" t="n"/>
      <c r="I707" s="85" t="n"/>
      <c r="J707" s="85" t="n"/>
      <c r="K707" s="85" t="n"/>
      <c r="L707" s="85" t="n"/>
      <c r="M707" s="85" t="n"/>
      <c r="N707" s="85" t="n"/>
      <c r="O707" s="85" t="n"/>
      <c r="P707" s="85" t="n"/>
      <c r="Q707" s="85" t="n"/>
      <c r="R707" s="85" t="n"/>
      <c r="S707" s="85" t="n"/>
      <c r="T707" s="85" t="n"/>
      <c r="U707" s="85" t="n"/>
      <c r="V707" s="85" t="n"/>
      <c r="W707" s="85" t="n"/>
      <c r="X707" s="85" t="n"/>
      <c r="Y707" s="85" t="n"/>
      <c r="Z707" s="85" t="n"/>
      <c r="AA707" s="85" t="n"/>
      <c r="AB707" s="85" t="n"/>
      <c r="AC707" s="86" t="n"/>
      <c r="AD707" s="86" t="n"/>
      <c r="AE707" s="86" t="n"/>
      <c r="AF707" s="85" t="n"/>
      <c r="AG707" s="85" t="n"/>
      <c r="AH707" s="85">
        <f>IF($A707="","",IF(AND($E707="Yes",OR($V707="No",$V707="NOT FOUND")),"YES",""))</f>
        <v/>
      </c>
      <c r="AI707" s="85">
        <f>IF($A707="","",TRIM(IF(AND($M707=0,$I707&lt;&gt;"Yes"),"T0-NoPhishResistant ","")&amp;IF($H707="No","NoMFA ","")&amp;IF(AND($M707=0,$O707="Group only"),"T0-ViaGroupOnly ","")&amp;IF($N707="Yes","BroadAzureScope ","")&amp;IF($T707="Yes","AlsoEntraRole ","")))</f>
        <v/>
      </c>
      <c r="AJ707" s="85">
        <f>IF($A707="","",IF(AD707="","Not Enrolled",IF(TODAY()&gt;AD707,"Review Overdue",IF(AD707-TODAY()&lt;=30,"Review Due Soon","Active"))))</f>
        <v/>
      </c>
      <c r="AK707" s="85">
        <f>IF($A707="","",IF(AE707="","NOT REVIEWED",IF(TODAY()-AE707&gt;90,"OVERDUE",IF(TODAY()-AE707&gt;76,"Due Soon","Current"))))</f>
        <v/>
      </c>
    </row>
    <row r="708" ht="15" customHeight="1" s="39">
      <c r="A708" s="85" t="n"/>
      <c r="B708" s="85" t="n"/>
      <c r="C708" s="85" t="n"/>
      <c r="D708" s="85" t="n"/>
      <c r="E708" s="85" t="n"/>
      <c r="F708" s="86" t="n"/>
      <c r="G708" s="86" t="n"/>
      <c r="H708" s="85" t="n"/>
      <c r="I708" s="85" t="n"/>
      <c r="J708" s="85" t="n"/>
      <c r="K708" s="85" t="n"/>
      <c r="L708" s="85" t="n"/>
      <c r="M708" s="85" t="n"/>
      <c r="N708" s="85" t="n"/>
      <c r="O708" s="85" t="n"/>
      <c r="P708" s="85" t="n"/>
      <c r="Q708" s="85" t="n"/>
      <c r="R708" s="85" t="n"/>
      <c r="S708" s="85" t="n"/>
      <c r="T708" s="85" t="n"/>
      <c r="U708" s="85" t="n"/>
      <c r="V708" s="85" t="n"/>
      <c r="W708" s="85" t="n"/>
      <c r="X708" s="85" t="n"/>
      <c r="Y708" s="85" t="n"/>
      <c r="Z708" s="85" t="n"/>
      <c r="AA708" s="85" t="n"/>
      <c r="AB708" s="85" t="n"/>
      <c r="AC708" s="86" t="n"/>
      <c r="AD708" s="86" t="n"/>
      <c r="AE708" s="86" t="n"/>
      <c r="AF708" s="85" t="n"/>
      <c r="AG708" s="85" t="n"/>
      <c r="AH708" s="85">
        <f>IF($A708="","",IF(AND($E708="Yes",OR($V708="No",$V708="NOT FOUND")),"YES",""))</f>
        <v/>
      </c>
      <c r="AI708" s="85">
        <f>IF($A708="","",TRIM(IF(AND($M708=0,$I708&lt;&gt;"Yes"),"T0-NoPhishResistant ","")&amp;IF($H708="No","NoMFA ","")&amp;IF(AND($M708=0,$O708="Group only"),"T0-ViaGroupOnly ","")&amp;IF($N708="Yes","BroadAzureScope ","")&amp;IF($T708="Yes","AlsoEntraRole ","")))</f>
        <v/>
      </c>
      <c r="AJ708" s="85">
        <f>IF($A708="","",IF(AD708="","Not Enrolled",IF(TODAY()&gt;AD708,"Review Overdue",IF(AD708-TODAY()&lt;=30,"Review Due Soon","Active"))))</f>
        <v/>
      </c>
      <c r="AK708" s="85">
        <f>IF($A708="","",IF(AE708="","NOT REVIEWED",IF(TODAY()-AE708&gt;90,"OVERDUE",IF(TODAY()-AE708&gt;76,"Due Soon","Current"))))</f>
        <v/>
      </c>
    </row>
    <row r="709" ht="15" customHeight="1" s="39">
      <c r="A709" s="85" t="n"/>
      <c r="B709" s="85" t="n"/>
      <c r="C709" s="85" t="n"/>
      <c r="D709" s="85" t="n"/>
      <c r="E709" s="85" t="n"/>
      <c r="F709" s="86" t="n"/>
      <c r="G709" s="86" t="n"/>
      <c r="H709" s="85" t="n"/>
      <c r="I709" s="85" t="n"/>
      <c r="J709" s="85" t="n"/>
      <c r="K709" s="85" t="n"/>
      <c r="L709" s="85" t="n"/>
      <c r="M709" s="85" t="n"/>
      <c r="N709" s="85" t="n"/>
      <c r="O709" s="85" t="n"/>
      <c r="P709" s="85" t="n"/>
      <c r="Q709" s="85" t="n"/>
      <c r="R709" s="85" t="n"/>
      <c r="S709" s="85" t="n"/>
      <c r="T709" s="85" t="n"/>
      <c r="U709" s="85" t="n"/>
      <c r="V709" s="85" t="n"/>
      <c r="W709" s="85" t="n"/>
      <c r="X709" s="85" t="n"/>
      <c r="Y709" s="85" t="n"/>
      <c r="Z709" s="85" t="n"/>
      <c r="AA709" s="85" t="n"/>
      <c r="AB709" s="85" t="n"/>
      <c r="AC709" s="86" t="n"/>
      <c r="AD709" s="86" t="n"/>
      <c r="AE709" s="86" t="n"/>
      <c r="AF709" s="85" t="n"/>
      <c r="AG709" s="85" t="n"/>
      <c r="AH709" s="85">
        <f>IF($A709="","",IF(AND($E709="Yes",OR($V709="No",$V709="NOT FOUND")),"YES",""))</f>
        <v/>
      </c>
      <c r="AI709" s="85">
        <f>IF($A709="","",TRIM(IF(AND($M709=0,$I709&lt;&gt;"Yes"),"T0-NoPhishResistant ","")&amp;IF($H709="No","NoMFA ","")&amp;IF(AND($M709=0,$O709="Group only"),"T0-ViaGroupOnly ","")&amp;IF($N709="Yes","BroadAzureScope ","")&amp;IF($T709="Yes","AlsoEntraRole ","")))</f>
        <v/>
      </c>
      <c r="AJ709" s="85">
        <f>IF($A709="","",IF(AD709="","Not Enrolled",IF(TODAY()&gt;AD709,"Review Overdue",IF(AD709-TODAY()&lt;=30,"Review Due Soon","Active"))))</f>
        <v/>
      </c>
      <c r="AK709" s="85">
        <f>IF($A709="","",IF(AE709="","NOT REVIEWED",IF(TODAY()-AE709&gt;90,"OVERDUE",IF(TODAY()-AE709&gt;76,"Due Soon","Current"))))</f>
        <v/>
      </c>
    </row>
    <row r="710" ht="15" customHeight="1" s="39">
      <c r="A710" s="85" t="n"/>
      <c r="B710" s="85" t="n"/>
      <c r="C710" s="85" t="n"/>
      <c r="D710" s="85" t="n"/>
      <c r="E710" s="85" t="n"/>
      <c r="F710" s="86" t="n"/>
      <c r="G710" s="86" t="n"/>
      <c r="H710" s="85" t="n"/>
      <c r="I710" s="85" t="n"/>
      <c r="J710" s="85" t="n"/>
      <c r="K710" s="85" t="n"/>
      <c r="L710" s="85" t="n"/>
      <c r="M710" s="85" t="n"/>
      <c r="N710" s="85" t="n"/>
      <c r="O710" s="85" t="n"/>
      <c r="P710" s="85" t="n"/>
      <c r="Q710" s="85" t="n"/>
      <c r="R710" s="85" t="n"/>
      <c r="S710" s="85" t="n"/>
      <c r="T710" s="85" t="n"/>
      <c r="U710" s="85" t="n"/>
      <c r="V710" s="85" t="n"/>
      <c r="W710" s="85" t="n"/>
      <c r="X710" s="85" t="n"/>
      <c r="Y710" s="85" t="n"/>
      <c r="Z710" s="85" t="n"/>
      <c r="AA710" s="85" t="n"/>
      <c r="AB710" s="85" t="n"/>
      <c r="AC710" s="86" t="n"/>
      <c r="AD710" s="86" t="n"/>
      <c r="AE710" s="86" t="n"/>
      <c r="AF710" s="85" t="n"/>
      <c r="AG710" s="85" t="n"/>
      <c r="AH710" s="85">
        <f>IF($A710="","",IF(AND($E710="Yes",OR($V710="No",$V710="NOT FOUND")),"YES",""))</f>
        <v/>
      </c>
      <c r="AI710" s="85">
        <f>IF($A710="","",TRIM(IF(AND($M710=0,$I710&lt;&gt;"Yes"),"T0-NoPhishResistant ","")&amp;IF($H710="No","NoMFA ","")&amp;IF(AND($M710=0,$O710="Group only"),"T0-ViaGroupOnly ","")&amp;IF($N710="Yes","BroadAzureScope ","")&amp;IF($T710="Yes","AlsoEntraRole ","")))</f>
        <v/>
      </c>
      <c r="AJ710" s="85">
        <f>IF($A710="","",IF(AD710="","Not Enrolled",IF(TODAY()&gt;AD710,"Review Overdue",IF(AD710-TODAY()&lt;=30,"Review Due Soon","Active"))))</f>
        <v/>
      </c>
      <c r="AK710" s="85">
        <f>IF($A710="","",IF(AE710="","NOT REVIEWED",IF(TODAY()-AE710&gt;90,"OVERDUE",IF(TODAY()-AE710&gt;76,"Due Soon","Current"))))</f>
        <v/>
      </c>
    </row>
    <row r="711" ht="15" customHeight="1" s="39">
      <c r="A711" s="85" t="n"/>
      <c r="B711" s="85" t="n"/>
      <c r="C711" s="85" t="n"/>
      <c r="D711" s="85" t="n"/>
      <c r="E711" s="85" t="n"/>
      <c r="F711" s="86" t="n"/>
      <c r="G711" s="86" t="n"/>
      <c r="H711" s="85" t="n"/>
      <c r="I711" s="85" t="n"/>
      <c r="J711" s="85" t="n"/>
      <c r="K711" s="85" t="n"/>
      <c r="L711" s="85" t="n"/>
      <c r="M711" s="85" t="n"/>
      <c r="N711" s="85" t="n"/>
      <c r="O711" s="85" t="n"/>
      <c r="P711" s="85" t="n"/>
      <c r="Q711" s="85" t="n"/>
      <c r="R711" s="85" t="n"/>
      <c r="S711" s="85" t="n"/>
      <c r="T711" s="85" t="n"/>
      <c r="U711" s="85" t="n"/>
      <c r="V711" s="85" t="n"/>
      <c r="W711" s="85" t="n"/>
      <c r="X711" s="85" t="n"/>
      <c r="Y711" s="85" t="n"/>
      <c r="Z711" s="85" t="n"/>
      <c r="AA711" s="85" t="n"/>
      <c r="AB711" s="85" t="n"/>
      <c r="AC711" s="86" t="n"/>
      <c r="AD711" s="86" t="n"/>
      <c r="AE711" s="86" t="n"/>
      <c r="AF711" s="85" t="n"/>
      <c r="AG711" s="85" t="n"/>
      <c r="AH711" s="85">
        <f>IF($A711="","",IF(AND($E711="Yes",OR($V711="No",$V711="NOT FOUND")),"YES",""))</f>
        <v/>
      </c>
      <c r="AI711" s="85">
        <f>IF($A711="","",TRIM(IF(AND($M711=0,$I711&lt;&gt;"Yes"),"T0-NoPhishResistant ","")&amp;IF($H711="No","NoMFA ","")&amp;IF(AND($M711=0,$O711="Group only"),"T0-ViaGroupOnly ","")&amp;IF($N711="Yes","BroadAzureScope ","")&amp;IF($T711="Yes","AlsoEntraRole ","")))</f>
        <v/>
      </c>
      <c r="AJ711" s="85">
        <f>IF($A711="","",IF(AD711="","Not Enrolled",IF(TODAY()&gt;AD711,"Review Overdue",IF(AD711-TODAY()&lt;=30,"Review Due Soon","Active"))))</f>
        <v/>
      </c>
      <c r="AK711" s="85">
        <f>IF($A711="","",IF(AE711="","NOT REVIEWED",IF(TODAY()-AE711&gt;90,"OVERDUE",IF(TODAY()-AE711&gt;76,"Due Soon","Current"))))</f>
        <v/>
      </c>
    </row>
    <row r="712" ht="15" customHeight="1" s="39">
      <c r="A712" s="85" t="n"/>
      <c r="B712" s="85" t="n"/>
      <c r="C712" s="85" t="n"/>
      <c r="D712" s="85" t="n"/>
      <c r="E712" s="85" t="n"/>
      <c r="F712" s="86" t="n"/>
      <c r="G712" s="86" t="n"/>
      <c r="H712" s="85" t="n"/>
      <c r="I712" s="85" t="n"/>
      <c r="J712" s="85" t="n"/>
      <c r="K712" s="85" t="n"/>
      <c r="L712" s="85" t="n"/>
      <c r="M712" s="85" t="n"/>
      <c r="N712" s="85" t="n"/>
      <c r="O712" s="85" t="n"/>
      <c r="P712" s="85" t="n"/>
      <c r="Q712" s="85" t="n"/>
      <c r="R712" s="85" t="n"/>
      <c r="S712" s="85" t="n"/>
      <c r="T712" s="85" t="n"/>
      <c r="U712" s="85" t="n"/>
      <c r="V712" s="85" t="n"/>
      <c r="W712" s="85" t="n"/>
      <c r="X712" s="85" t="n"/>
      <c r="Y712" s="85" t="n"/>
      <c r="Z712" s="85" t="n"/>
      <c r="AA712" s="85" t="n"/>
      <c r="AB712" s="85" t="n"/>
      <c r="AC712" s="86" t="n"/>
      <c r="AD712" s="86" t="n"/>
      <c r="AE712" s="86" t="n"/>
      <c r="AF712" s="85" t="n"/>
      <c r="AG712" s="85" t="n"/>
      <c r="AH712" s="85">
        <f>IF($A712="","",IF(AND($E712="Yes",OR($V712="No",$V712="NOT FOUND")),"YES",""))</f>
        <v/>
      </c>
      <c r="AI712" s="85">
        <f>IF($A712="","",TRIM(IF(AND($M712=0,$I712&lt;&gt;"Yes"),"T0-NoPhishResistant ","")&amp;IF($H712="No","NoMFA ","")&amp;IF(AND($M712=0,$O712="Group only"),"T0-ViaGroupOnly ","")&amp;IF($N712="Yes","BroadAzureScope ","")&amp;IF($T712="Yes","AlsoEntraRole ","")))</f>
        <v/>
      </c>
      <c r="AJ712" s="85">
        <f>IF($A712="","",IF(AD712="","Not Enrolled",IF(TODAY()&gt;AD712,"Review Overdue",IF(AD712-TODAY()&lt;=30,"Review Due Soon","Active"))))</f>
        <v/>
      </c>
      <c r="AK712" s="85">
        <f>IF($A712="","",IF(AE712="","NOT REVIEWED",IF(TODAY()-AE712&gt;90,"OVERDUE",IF(TODAY()-AE712&gt;76,"Due Soon","Current"))))</f>
        <v/>
      </c>
    </row>
    <row r="713" ht="15" customHeight="1" s="39">
      <c r="A713" s="85" t="n"/>
      <c r="B713" s="85" t="n"/>
      <c r="C713" s="85" t="n"/>
      <c r="D713" s="85" t="n"/>
      <c r="E713" s="85" t="n"/>
      <c r="F713" s="86" t="n"/>
      <c r="G713" s="86" t="n"/>
      <c r="H713" s="85" t="n"/>
      <c r="I713" s="85" t="n"/>
      <c r="J713" s="85" t="n"/>
      <c r="K713" s="85" t="n"/>
      <c r="L713" s="85" t="n"/>
      <c r="M713" s="85" t="n"/>
      <c r="N713" s="85" t="n"/>
      <c r="O713" s="85" t="n"/>
      <c r="P713" s="85" t="n"/>
      <c r="Q713" s="85" t="n"/>
      <c r="R713" s="85" t="n"/>
      <c r="S713" s="85" t="n"/>
      <c r="T713" s="85" t="n"/>
      <c r="U713" s="85" t="n"/>
      <c r="V713" s="85" t="n"/>
      <c r="W713" s="85" t="n"/>
      <c r="X713" s="85" t="n"/>
      <c r="Y713" s="85" t="n"/>
      <c r="Z713" s="85" t="n"/>
      <c r="AA713" s="85" t="n"/>
      <c r="AB713" s="85" t="n"/>
      <c r="AC713" s="86" t="n"/>
      <c r="AD713" s="86" t="n"/>
      <c r="AE713" s="86" t="n"/>
      <c r="AF713" s="85" t="n"/>
      <c r="AG713" s="85" t="n"/>
      <c r="AH713" s="85">
        <f>IF($A713="","",IF(AND($E713="Yes",OR($V713="No",$V713="NOT FOUND")),"YES",""))</f>
        <v/>
      </c>
      <c r="AI713" s="85">
        <f>IF($A713="","",TRIM(IF(AND($M713=0,$I713&lt;&gt;"Yes"),"T0-NoPhishResistant ","")&amp;IF($H713="No","NoMFA ","")&amp;IF(AND($M713=0,$O713="Group only"),"T0-ViaGroupOnly ","")&amp;IF($N713="Yes","BroadAzureScope ","")&amp;IF($T713="Yes","AlsoEntraRole ","")))</f>
        <v/>
      </c>
      <c r="AJ713" s="85">
        <f>IF($A713="","",IF(AD713="","Not Enrolled",IF(TODAY()&gt;AD713,"Review Overdue",IF(AD713-TODAY()&lt;=30,"Review Due Soon","Active"))))</f>
        <v/>
      </c>
      <c r="AK713" s="85">
        <f>IF($A713="","",IF(AE713="","NOT REVIEWED",IF(TODAY()-AE713&gt;90,"OVERDUE",IF(TODAY()-AE713&gt;76,"Due Soon","Current"))))</f>
        <v/>
      </c>
    </row>
    <row r="714" ht="15" customHeight="1" s="39">
      <c r="A714" s="85" t="n"/>
      <c r="B714" s="85" t="n"/>
      <c r="C714" s="85" t="n"/>
      <c r="D714" s="85" t="n"/>
      <c r="E714" s="85" t="n"/>
      <c r="F714" s="86" t="n"/>
      <c r="G714" s="86" t="n"/>
      <c r="H714" s="85" t="n"/>
      <c r="I714" s="85" t="n"/>
      <c r="J714" s="85" t="n"/>
      <c r="K714" s="85" t="n"/>
      <c r="L714" s="85" t="n"/>
      <c r="M714" s="85" t="n"/>
      <c r="N714" s="85" t="n"/>
      <c r="O714" s="85" t="n"/>
      <c r="P714" s="85" t="n"/>
      <c r="Q714" s="85" t="n"/>
      <c r="R714" s="85" t="n"/>
      <c r="S714" s="85" t="n"/>
      <c r="T714" s="85" t="n"/>
      <c r="U714" s="85" t="n"/>
      <c r="V714" s="85" t="n"/>
      <c r="W714" s="85" t="n"/>
      <c r="X714" s="85" t="n"/>
      <c r="Y714" s="85" t="n"/>
      <c r="Z714" s="85" t="n"/>
      <c r="AA714" s="85" t="n"/>
      <c r="AB714" s="85" t="n"/>
      <c r="AC714" s="86" t="n"/>
      <c r="AD714" s="86" t="n"/>
      <c r="AE714" s="86" t="n"/>
      <c r="AF714" s="85" t="n"/>
      <c r="AG714" s="85" t="n"/>
      <c r="AH714" s="85">
        <f>IF($A714="","",IF(AND($E714="Yes",OR($V714="No",$V714="NOT FOUND")),"YES",""))</f>
        <v/>
      </c>
      <c r="AI714" s="85">
        <f>IF($A714="","",TRIM(IF(AND($M714=0,$I714&lt;&gt;"Yes"),"T0-NoPhishResistant ","")&amp;IF($H714="No","NoMFA ","")&amp;IF(AND($M714=0,$O714="Group only"),"T0-ViaGroupOnly ","")&amp;IF($N714="Yes","BroadAzureScope ","")&amp;IF($T714="Yes","AlsoEntraRole ","")))</f>
        <v/>
      </c>
      <c r="AJ714" s="85">
        <f>IF($A714="","",IF(AD714="","Not Enrolled",IF(TODAY()&gt;AD714,"Review Overdue",IF(AD714-TODAY()&lt;=30,"Review Due Soon","Active"))))</f>
        <v/>
      </c>
      <c r="AK714" s="85">
        <f>IF($A714="","",IF(AE714="","NOT REVIEWED",IF(TODAY()-AE714&gt;90,"OVERDUE",IF(TODAY()-AE714&gt;76,"Due Soon","Current"))))</f>
        <v/>
      </c>
    </row>
    <row r="715" ht="15" customHeight="1" s="39">
      <c r="A715" s="85" t="n"/>
      <c r="B715" s="85" t="n"/>
      <c r="C715" s="85" t="n"/>
      <c r="D715" s="85" t="n"/>
      <c r="E715" s="85" t="n"/>
      <c r="F715" s="86" t="n"/>
      <c r="G715" s="86" t="n"/>
      <c r="H715" s="85" t="n"/>
      <c r="I715" s="85" t="n"/>
      <c r="J715" s="85" t="n"/>
      <c r="K715" s="85" t="n"/>
      <c r="L715" s="85" t="n"/>
      <c r="M715" s="85" t="n"/>
      <c r="N715" s="85" t="n"/>
      <c r="O715" s="85" t="n"/>
      <c r="P715" s="85" t="n"/>
      <c r="Q715" s="85" t="n"/>
      <c r="R715" s="85" t="n"/>
      <c r="S715" s="85" t="n"/>
      <c r="T715" s="85" t="n"/>
      <c r="U715" s="85" t="n"/>
      <c r="V715" s="85" t="n"/>
      <c r="W715" s="85" t="n"/>
      <c r="X715" s="85" t="n"/>
      <c r="Y715" s="85" t="n"/>
      <c r="Z715" s="85" t="n"/>
      <c r="AA715" s="85" t="n"/>
      <c r="AB715" s="85" t="n"/>
      <c r="AC715" s="86" t="n"/>
      <c r="AD715" s="86" t="n"/>
      <c r="AE715" s="86" t="n"/>
      <c r="AF715" s="85" t="n"/>
      <c r="AG715" s="85" t="n"/>
      <c r="AH715" s="85">
        <f>IF($A715="","",IF(AND($E715="Yes",OR($V715="No",$V715="NOT FOUND")),"YES",""))</f>
        <v/>
      </c>
      <c r="AI715" s="85">
        <f>IF($A715="","",TRIM(IF(AND($M715=0,$I715&lt;&gt;"Yes"),"T0-NoPhishResistant ","")&amp;IF($H715="No","NoMFA ","")&amp;IF(AND($M715=0,$O715="Group only"),"T0-ViaGroupOnly ","")&amp;IF($N715="Yes","BroadAzureScope ","")&amp;IF($T715="Yes","AlsoEntraRole ","")))</f>
        <v/>
      </c>
      <c r="AJ715" s="85">
        <f>IF($A715="","",IF(AD715="","Not Enrolled",IF(TODAY()&gt;AD715,"Review Overdue",IF(AD715-TODAY()&lt;=30,"Review Due Soon","Active"))))</f>
        <v/>
      </c>
      <c r="AK715" s="85">
        <f>IF($A715="","",IF(AE715="","NOT REVIEWED",IF(TODAY()-AE715&gt;90,"OVERDUE",IF(TODAY()-AE715&gt;76,"Due Soon","Current"))))</f>
        <v/>
      </c>
    </row>
    <row r="716" ht="15" customHeight="1" s="39">
      <c r="A716" s="85" t="n"/>
      <c r="B716" s="85" t="n"/>
      <c r="C716" s="85" t="n"/>
      <c r="D716" s="85" t="n"/>
      <c r="E716" s="85" t="n"/>
      <c r="F716" s="86" t="n"/>
      <c r="G716" s="86" t="n"/>
      <c r="H716" s="85" t="n"/>
      <c r="I716" s="85" t="n"/>
      <c r="J716" s="85" t="n"/>
      <c r="K716" s="85" t="n"/>
      <c r="L716" s="85" t="n"/>
      <c r="M716" s="85" t="n"/>
      <c r="N716" s="85" t="n"/>
      <c r="O716" s="85" t="n"/>
      <c r="P716" s="85" t="n"/>
      <c r="Q716" s="85" t="n"/>
      <c r="R716" s="85" t="n"/>
      <c r="S716" s="85" t="n"/>
      <c r="T716" s="85" t="n"/>
      <c r="U716" s="85" t="n"/>
      <c r="V716" s="85" t="n"/>
      <c r="W716" s="85" t="n"/>
      <c r="X716" s="85" t="n"/>
      <c r="Y716" s="85" t="n"/>
      <c r="Z716" s="85" t="n"/>
      <c r="AA716" s="85" t="n"/>
      <c r="AB716" s="85" t="n"/>
      <c r="AC716" s="86" t="n"/>
      <c r="AD716" s="86" t="n"/>
      <c r="AE716" s="86" t="n"/>
      <c r="AF716" s="85" t="n"/>
      <c r="AG716" s="85" t="n"/>
      <c r="AH716" s="85">
        <f>IF($A716="","",IF(AND($E716="Yes",OR($V716="No",$V716="NOT FOUND")),"YES",""))</f>
        <v/>
      </c>
      <c r="AI716" s="85">
        <f>IF($A716="","",TRIM(IF(AND($M716=0,$I716&lt;&gt;"Yes"),"T0-NoPhishResistant ","")&amp;IF($H716="No","NoMFA ","")&amp;IF(AND($M716=0,$O716="Group only"),"T0-ViaGroupOnly ","")&amp;IF($N716="Yes","BroadAzureScope ","")&amp;IF($T716="Yes","AlsoEntraRole ","")))</f>
        <v/>
      </c>
      <c r="AJ716" s="85">
        <f>IF($A716="","",IF(AD716="","Not Enrolled",IF(TODAY()&gt;AD716,"Review Overdue",IF(AD716-TODAY()&lt;=30,"Review Due Soon","Active"))))</f>
        <v/>
      </c>
      <c r="AK716" s="85">
        <f>IF($A716="","",IF(AE716="","NOT REVIEWED",IF(TODAY()-AE716&gt;90,"OVERDUE",IF(TODAY()-AE716&gt;76,"Due Soon","Current"))))</f>
        <v/>
      </c>
    </row>
    <row r="717" ht="15" customHeight="1" s="39">
      <c r="A717" s="85" t="n"/>
      <c r="B717" s="85" t="n"/>
      <c r="C717" s="85" t="n"/>
      <c r="D717" s="85" t="n"/>
      <c r="E717" s="85" t="n"/>
      <c r="F717" s="86" t="n"/>
      <c r="G717" s="86" t="n"/>
      <c r="H717" s="85" t="n"/>
      <c r="I717" s="85" t="n"/>
      <c r="J717" s="85" t="n"/>
      <c r="K717" s="85" t="n"/>
      <c r="L717" s="85" t="n"/>
      <c r="M717" s="85" t="n"/>
      <c r="N717" s="85" t="n"/>
      <c r="O717" s="85" t="n"/>
      <c r="P717" s="85" t="n"/>
      <c r="Q717" s="85" t="n"/>
      <c r="R717" s="85" t="n"/>
      <c r="S717" s="85" t="n"/>
      <c r="T717" s="85" t="n"/>
      <c r="U717" s="85" t="n"/>
      <c r="V717" s="85" t="n"/>
      <c r="W717" s="85" t="n"/>
      <c r="X717" s="85" t="n"/>
      <c r="Y717" s="85" t="n"/>
      <c r="Z717" s="85" t="n"/>
      <c r="AA717" s="85" t="n"/>
      <c r="AB717" s="85" t="n"/>
      <c r="AC717" s="86" t="n"/>
      <c r="AD717" s="86" t="n"/>
      <c r="AE717" s="86" t="n"/>
      <c r="AF717" s="85" t="n"/>
      <c r="AG717" s="85" t="n"/>
      <c r="AH717" s="85">
        <f>IF($A717="","",IF(AND($E717="Yes",OR($V717="No",$V717="NOT FOUND")),"YES",""))</f>
        <v/>
      </c>
      <c r="AI717" s="85">
        <f>IF($A717="","",TRIM(IF(AND($M717=0,$I717&lt;&gt;"Yes"),"T0-NoPhishResistant ","")&amp;IF($H717="No","NoMFA ","")&amp;IF(AND($M717=0,$O717="Group only"),"T0-ViaGroupOnly ","")&amp;IF($N717="Yes","BroadAzureScope ","")&amp;IF($T717="Yes","AlsoEntraRole ","")))</f>
        <v/>
      </c>
      <c r="AJ717" s="85">
        <f>IF($A717="","",IF(AD717="","Not Enrolled",IF(TODAY()&gt;AD717,"Review Overdue",IF(AD717-TODAY()&lt;=30,"Review Due Soon","Active"))))</f>
        <v/>
      </c>
      <c r="AK717" s="85">
        <f>IF($A717="","",IF(AE717="","NOT REVIEWED",IF(TODAY()-AE717&gt;90,"OVERDUE",IF(TODAY()-AE717&gt;76,"Due Soon","Current"))))</f>
        <v/>
      </c>
    </row>
    <row r="718" ht="15" customHeight="1" s="39">
      <c r="A718" s="85" t="n"/>
      <c r="B718" s="85" t="n"/>
      <c r="C718" s="85" t="n"/>
      <c r="D718" s="85" t="n"/>
      <c r="E718" s="85" t="n"/>
      <c r="F718" s="86" t="n"/>
      <c r="G718" s="86" t="n"/>
      <c r="H718" s="85" t="n"/>
      <c r="I718" s="85" t="n"/>
      <c r="J718" s="85" t="n"/>
      <c r="K718" s="85" t="n"/>
      <c r="L718" s="85" t="n"/>
      <c r="M718" s="85" t="n"/>
      <c r="N718" s="85" t="n"/>
      <c r="O718" s="85" t="n"/>
      <c r="P718" s="85" t="n"/>
      <c r="Q718" s="85" t="n"/>
      <c r="R718" s="85" t="n"/>
      <c r="S718" s="85" t="n"/>
      <c r="T718" s="85" t="n"/>
      <c r="U718" s="85" t="n"/>
      <c r="V718" s="85" t="n"/>
      <c r="W718" s="85" t="n"/>
      <c r="X718" s="85" t="n"/>
      <c r="Y718" s="85" t="n"/>
      <c r="Z718" s="85" t="n"/>
      <c r="AA718" s="85" t="n"/>
      <c r="AB718" s="85" t="n"/>
      <c r="AC718" s="86" t="n"/>
      <c r="AD718" s="86" t="n"/>
      <c r="AE718" s="86" t="n"/>
      <c r="AF718" s="85" t="n"/>
      <c r="AG718" s="85" t="n"/>
      <c r="AH718" s="85">
        <f>IF($A718="","",IF(AND($E718="Yes",OR($V718="No",$V718="NOT FOUND")),"YES",""))</f>
        <v/>
      </c>
      <c r="AI718" s="85">
        <f>IF($A718="","",TRIM(IF(AND($M718=0,$I718&lt;&gt;"Yes"),"T0-NoPhishResistant ","")&amp;IF($H718="No","NoMFA ","")&amp;IF(AND($M718=0,$O718="Group only"),"T0-ViaGroupOnly ","")&amp;IF($N718="Yes","BroadAzureScope ","")&amp;IF($T718="Yes","AlsoEntraRole ","")))</f>
        <v/>
      </c>
      <c r="AJ718" s="85">
        <f>IF($A718="","",IF(AD718="","Not Enrolled",IF(TODAY()&gt;AD718,"Review Overdue",IF(AD718-TODAY()&lt;=30,"Review Due Soon","Active"))))</f>
        <v/>
      </c>
      <c r="AK718" s="85">
        <f>IF($A718="","",IF(AE718="","NOT REVIEWED",IF(TODAY()-AE718&gt;90,"OVERDUE",IF(TODAY()-AE718&gt;76,"Due Soon","Current"))))</f>
        <v/>
      </c>
    </row>
    <row r="719" ht="15" customHeight="1" s="39">
      <c r="A719" s="85" t="n"/>
      <c r="B719" s="85" t="n"/>
      <c r="C719" s="85" t="n"/>
      <c r="D719" s="85" t="n"/>
      <c r="E719" s="85" t="n"/>
      <c r="F719" s="86" t="n"/>
      <c r="G719" s="86" t="n"/>
      <c r="H719" s="85" t="n"/>
      <c r="I719" s="85" t="n"/>
      <c r="J719" s="85" t="n"/>
      <c r="K719" s="85" t="n"/>
      <c r="L719" s="85" t="n"/>
      <c r="M719" s="85" t="n"/>
      <c r="N719" s="85" t="n"/>
      <c r="O719" s="85" t="n"/>
      <c r="P719" s="85" t="n"/>
      <c r="Q719" s="85" t="n"/>
      <c r="R719" s="85" t="n"/>
      <c r="S719" s="85" t="n"/>
      <c r="T719" s="85" t="n"/>
      <c r="U719" s="85" t="n"/>
      <c r="V719" s="85" t="n"/>
      <c r="W719" s="85" t="n"/>
      <c r="X719" s="85" t="n"/>
      <c r="Y719" s="85" t="n"/>
      <c r="Z719" s="85" t="n"/>
      <c r="AA719" s="85" t="n"/>
      <c r="AB719" s="85" t="n"/>
      <c r="AC719" s="86" t="n"/>
      <c r="AD719" s="86" t="n"/>
      <c r="AE719" s="86" t="n"/>
      <c r="AF719" s="85" t="n"/>
      <c r="AG719" s="85" t="n"/>
      <c r="AH719" s="85">
        <f>IF($A719="","",IF(AND($E719="Yes",OR($V719="No",$V719="NOT FOUND")),"YES",""))</f>
        <v/>
      </c>
      <c r="AI719" s="85">
        <f>IF($A719="","",TRIM(IF(AND($M719=0,$I719&lt;&gt;"Yes"),"T0-NoPhishResistant ","")&amp;IF($H719="No","NoMFA ","")&amp;IF(AND($M719=0,$O719="Group only"),"T0-ViaGroupOnly ","")&amp;IF($N719="Yes","BroadAzureScope ","")&amp;IF($T719="Yes","AlsoEntraRole ","")))</f>
        <v/>
      </c>
      <c r="AJ719" s="85">
        <f>IF($A719="","",IF(AD719="","Not Enrolled",IF(TODAY()&gt;AD719,"Review Overdue",IF(AD719-TODAY()&lt;=30,"Review Due Soon","Active"))))</f>
        <v/>
      </c>
      <c r="AK719" s="85">
        <f>IF($A719="","",IF(AE719="","NOT REVIEWED",IF(TODAY()-AE719&gt;90,"OVERDUE",IF(TODAY()-AE719&gt;76,"Due Soon","Current"))))</f>
        <v/>
      </c>
    </row>
    <row r="720" ht="15" customHeight="1" s="39">
      <c r="A720" s="85" t="n"/>
      <c r="B720" s="85" t="n"/>
      <c r="C720" s="85" t="n"/>
      <c r="D720" s="85" t="n"/>
      <c r="E720" s="85" t="n"/>
      <c r="F720" s="86" t="n"/>
      <c r="G720" s="86" t="n"/>
      <c r="H720" s="85" t="n"/>
      <c r="I720" s="85" t="n"/>
      <c r="J720" s="85" t="n"/>
      <c r="K720" s="85" t="n"/>
      <c r="L720" s="85" t="n"/>
      <c r="M720" s="85" t="n"/>
      <c r="N720" s="85" t="n"/>
      <c r="O720" s="85" t="n"/>
      <c r="P720" s="85" t="n"/>
      <c r="Q720" s="85" t="n"/>
      <c r="R720" s="85" t="n"/>
      <c r="S720" s="85" t="n"/>
      <c r="T720" s="85" t="n"/>
      <c r="U720" s="85" t="n"/>
      <c r="V720" s="85" t="n"/>
      <c r="W720" s="85" t="n"/>
      <c r="X720" s="85" t="n"/>
      <c r="Y720" s="85" t="n"/>
      <c r="Z720" s="85" t="n"/>
      <c r="AA720" s="85" t="n"/>
      <c r="AB720" s="85" t="n"/>
      <c r="AC720" s="86" t="n"/>
      <c r="AD720" s="86" t="n"/>
      <c r="AE720" s="86" t="n"/>
      <c r="AF720" s="85" t="n"/>
      <c r="AG720" s="85" t="n"/>
      <c r="AH720" s="85">
        <f>IF($A720="","",IF(AND($E720="Yes",OR($V720="No",$V720="NOT FOUND")),"YES",""))</f>
        <v/>
      </c>
      <c r="AI720" s="85">
        <f>IF($A720="","",TRIM(IF(AND($M720=0,$I720&lt;&gt;"Yes"),"T0-NoPhishResistant ","")&amp;IF($H720="No","NoMFA ","")&amp;IF(AND($M720=0,$O720="Group only"),"T0-ViaGroupOnly ","")&amp;IF($N720="Yes","BroadAzureScope ","")&amp;IF($T720="Yes","AlsoEntraRole ","")))</f>
        <v/>
      </c>
      <c r="AJ720" s="85">
        <f>IF($A720="","",IF(AD720="","Not Enrolled",IF(TODAY()&gt;AD720,"Review Overdue",IF(AD720-TODAY()&lt;=30,"Review Due Soon","Active"))))</f>
        <v/>
      </c>
      <c r="AK720" s="85">
        <f>IF($A720="","",IF(AE720="","NOT REVIEWED",IF(TODAY()-AE720&gt;90,"OVERDUE",IF(TODAY()-AE720&gt;76,"Due Soon","Current"))))</f>
        <v/>
      </c>
    </row>
    <row r="721" ht="15" customHeight="1" s="39">
      <c r="A721" s="85" t="n"/>
      <c r="B721" s="85" t="n"/>
      <c r="C721" s="85" t="n"/>
      <c r="D721" s="85" t="n"/>
      <c r="E721" s="85" t="n"/>
      <c r="F721" s="86" t="n"/>
      <c r="G721" s="86" t="n"/>
      <c r="H721" s="85" t="n"/>
      <c r="I721" s="85" t="n"/>
      <c r="J721" s="85" t="n"/>
      <c r="K721" s="85" t="n"/>
      <c r="L721" s="85" t="n"/>
      <c r="M721" s="85" t="n"/>
      <c r="N721" s="85" t="n"/>
      <c r="O721" s="85" t="n"/>
      <c r="P721" s="85" t="n"/>
      <c r="Q721" s="85" t="n"/>
      <c r="R721" s="85" t="n"/>
      <c r="S721" s="85" t="n"/>
      <c r="T721" s="85" t="n"/>
      <c r="U721" s="85" t="n"/>
      <c r="V721" s="85" t="n"/>
      <c r="W721" s="85" t="n"/>
      <c r="X721" s="85" t="n"/>
      <c r="Y721" s="85" t="n"/>
      <c r="Z721" s="85" t="n"/>
      <c r="AA721" s="85" t="n"/>
      <c r="AB721" s="85" t="n"/>
      <c r="AC721" s="86" t="n"/>
      <c r="AD721" s="86" t="n"/>
      <c r="AE721" s="86" t="n"/>
      <c r="AF721" s="85" t="n"/>
      <c r="AG721" s="85" t="n"/>
      <c r="AH721" s="85">
        <f>IF($A721="","",IF(AND($E721="Yes",OR($V721="No",$V721="NOT FOUND")),"YES",""))</f>
        <v/>
      </c>
      <c r="AI721" s="85">
        <f>IF($A721="","",TRIM(IF(AND($M721=0,$I721&lt;&gt;"Yes"),"T0-NoPhishResistant ","")&amp;IF($H721="No","NoMFA ","")&amp;IF(AND($M721=0,$O721="Group only"),"T0-ViaGroupOnly ","")&amp;IF($N721="Yes","BroadAzureScope ","")&amp;IF($T721="Yes","AlsoEntraRole ","")))</f>
        <v/>
      </c>
      <c r="AJ721" s="85">
        <f>IF($A721="","",IF(AD721="","Not Enrolled",IF(TODAY()&gt;AD721,"Review Overdue",IF(AD721-TODAY()&lt;=30,"Review Due Soon","Active"))))</f>
        <v/>
      </c>
      <c r="AK721" s="85">
        <f>IF($A721="","",IF(AE721="","NOT REVIEWED",IF(TODAY()-AE721&gt;90,"OVERDUE",IF(TODAY()-AE721&gt;76,"Due Soon","Current"))))</f>
        <v/>
      </c>
    </row>
    <row r="722" ht="15" customHeight="1" s="39">
      <c r="A722" s="85" t="n"/>
      <c r="B722" s="85" t="n"/>
      <c r="C722" s="85" t="n"/>
      <c r="D722" s="85" t="n"/>
      <c r="E722" s="85" t="n"/>
      <c r="F722" s="86" t="n"/>
      <c r="G722" s="86" t="n"/>
      <c r="H722" s="85" t="n"/>
      <c r="I722" s="85" t="n"/>
      <c r="J722" s="85" t="n"/>
      <c r="K722" s="85" t="n"/>
      <c r="L722" s="85" t="n"/>
      <c r="M722" s="85" t="n"/>
      <c r="N722" s="85" t="n"/>
      <c r="O722" s="85" t="n"/>
      <c r="P722" s="85" t="n"/>
      <c r="Q722" s="85" t="n"/>
      <c r="R722" s="85" t="n"/>
      <c r="S722" s="85" t="n"/>
      <c r="T722" s="85" t="n"/>
      <c r="U722" s="85" t="n"/>
      <c r="V722" s="85" t="n"/>
      <c r="W722" s="85" t="n"/>
      <c r="X722" s="85" t="n"/>
      <c r="Y722" s="85" t="n"/>
      <c r="Z722" s="85" t="n"/>
      <c r="AA722" s="85" t="n"/>
      <c r="AB722" s="85" t="n"/>
      <c r="AC722" s="86" t="n"/>
      <c r="AD722" s="86" t="n"/>
      <c r="AE722" s="86" t="n"/>
      <c r="AF722" s="85" t="n"/>
      <c r="AG722" s="85" t="n"/>
      <c r="AH722" s="85">
        <f>IF($A722="","",IF(AND($E722="Yes",OR($V722="No",$V722="NOT FOUND")),"YES",""))</f>
        <v/>
      </c>
      <c r="AI722" s="85">
        <f>IF($A722="","",TRIM(IF(AND($M722=0,$I722&lt;&gt;"Yes"),"T0-NoPhishResistant ","")&amp;IF($H722="No","NoMFA ","")&amp;IF(AND($M722=0,$O722="Group only"),"T0-ViaGroupOnly ","")&amp;IF($N722="Yes","BroadAzureScope ","")&amp;IF($T722="Yes","AlsoEntraRole ","")))</f>
        <v/>
      </c>
      <c r="AJ722" s="85">
        <f>IF($A722="","",IF(AD722="","Not Enrolled",IF(TODAY()&gt;AD722,"Review Overdue",IF(AD722-TODAY()&lt;=30,"Review Due Soon","Active"))))</f>
        <v/>
      </c>
      <c r="AK722" s="85">
        <f>IF($A722="","",IF(AE722="","NOT REVIEWED",IF(TODAY()-AE722&gt;90,"OVERDUE",IF(TODAY()-AE722&gt;76,"Due Soon","Current"))))</f>
        <v/>
      </c>
    </row>
    <row r="723" ht="15" customHeight="1" s="39">
      <c r="A723" s="85" t="n"/>
      <c r="B723" s="85" t="n"/>
      <c r="C723" s="85" t="n"/>
      <c r="D723" s="85" t="n"/>
      <c r="E723" s="85" t="n"/>
      <c r="F723" s="86" t="n"/>
      <c r="G723" s="86" t="n"/>
      <c r="H723" s="85" t="n"/>
      <c r="I723" s="85" t="n"/>
      <c r="J723" s="85" t="n"/>
      <c r="K723" s="85" t="n"/>
      <c r="L723" s="85" t="n"/>
      <c r="M723" s="85" t="n"/>
      <c r="N723" s="85" t="n"/>
      <c r="O723" s="85" t="n"/>
      <c r="P723" s="85" t="n"/>
      <c r="Q723" s="85" t="n"/>
      <c r="R723" s="85" t="n"/>
      <c r="S723" s="85" t="n"/>
      <c r="T723" s="85" t="n"/>
      <c r="U723" s="85" t="n"/>
      <c r="V723" s="85" t="n"/>
      <c r="W723" s="85" t="n"/>
      <c r="X723" s="85" t="n"/>
      <c r="Y723" s="85" t="n"/>
      <c r="Z723" s="85" t="n"/>
      <c r="AA723" s="85" t="n"/>
      <c r="AB723" s="85" t="n"/>
      <c r="AC723" s="86" t="n"/>
      <c r="AD723" s="86" t="n"/>
      <c r="AE723" s="86" t="n"/>
      <c r="AF723" s="85" t="n"/>
      <c r="AG723" s="85" t="n"/>
      <c r="AH723" s="85">
        <f>IF($A723="","",IF(AND($E723="Yes",OR($V723="No",$V723="NOT FOUND")),"YES",""))</f>
        <v/>
      </c>
      <c r="AI723" s="85">
        <f>IF($A723="","",TRIM(IF(AND($M723=0,$I723&lt;&gt;"Yes"),"T0-NoPhishResistant ","")&amp;IF($H723="No","NoMFA ","")&amp;IF(AND($M723=0,$O723="Group only"),"T0-ViaGroupOnly ","")&amp;IF($N723="Yes","BroadAzureScope ","")&amp;IF($T723="Yes","AlsoEntraRole ","")))</f>
        <v/>
      </c>
      <c r="AJ723" s="85">
        <f>IF($A723="","",IF(AD723="","Not Enrolled",IF(TODAY()&gt;AD723,"Review Overdue",IF(AD723-TODAY()&lt;=30,"Review Due Soon","Active"))))</f>
        <v/>
      </c>
      <c r="AK723" s="85">
        <f>IF($A723="","",IF(AE723="","NOT REVIEWED",IF(TODAY()-AE723&gt;90,"OVERDUE",IF(TODAY()-AE723&gt;76,"Due Soon","Current"))))</f>
        <v/>
      </c>
    </row>
    <row r="724" ht="15" customHeight="1" s="39">
      <c r="A724" s="85" t="n"/>
      <c r="B724" s="85" t="n"/>
      <c r="C724" s="85" t="n"/>
      <c r="D724" s="85" t="n"/>
      <c r="E724" s="85" t="n"/>
      <c r="F724" s="86" t="n"/>
      <c r="G724" s="86" t="n"/>
      <c r="H724" s="85" t="n"/>
      <c r="I724" s="85" t="n"/>
      <c r="J724" s="85" t="n"/>
      <c r="K724" s="85" t="n"/>
      <c r="L724" s="85" t="n"/>
      <c r="M724" s="85" t="n"/>
      <c r="N724" s="85" t="n"/>
      <c r="O724" s="85" t="n"/>
      <c r="P724" s="85" t="n"/>
      <c r="Q724" s="85" t="n"/>
      <c r="R724" s="85" t="n"/>
      <c r="S724" s="85" t="n"/>
      <c r="T724" s="85" t="n"/>
      <c r="U724" s="85" t="n"/>
      <c r="V724" s="85" t="n"/>
      <c r="W724" s="85" t="n"/>
      <c r="X724" s="85" t="n"/>
      <c r="Y724" s="85" t="n"/>
      <c r="Z724" s="85" t="n"/>
      <c r="AA724" s="85" t="n"/>
      <c r="AB724" s="85" t="n"/>
      <c r="AC724" s="86" t="n"/>
      <c r="AD724" s="86" t="n"/>
      <c r="AE724" s="86" t="n"/>
      <c r="AF724" s="85" t="n"/>
      <c r="AG724" s="85" t="n"/>
      <c r="AH724" s="85">
        <f>IF($A724="","",IF(AND($E724="Yes",OR($V724="No",$V724="NOT FOUND")),"YES",""))</f>
        <v/>
      </c>
      <c r="AI724" s="85">
        <f>IF($A724="","",TRIM(IF(AND($M724=0,$I724&lt;&gt;"Yes"),"T0-NoPhishResistant ","")&amp;IF($H724="No","NoMFA ","")&amp;IF(AND($M724=0,$O724="Group only"),"T0-ViaGroupOnly ","")&amp;IF($N724="Yes","BroadAzureScope ","")&amp;IF($T724="Yes","AlsoEntraRole ","")))</f>
        <v/>
      </c>
      <c r="AJ724" s="85">
        <f>IF($A724="","",IF(AD724="","Not Enrolled",IF(TODAY()&gt;AD724,"Review Overdue",IF(AD724-TODAY()&lt;=30,"Review Due Soon","Active"))))</f>
        <v/>
      </c>
      <c r="AK724" s="85">
        <f>IF($A724="","",IF(AE724="","NOT REVIEWED",IF(TODAY()-AE724&gt;90,"OVERDUE",IF(TODAY()-AE724&gt;76,"Due Soon","Current"))))</f>
        <v/>
      </c>
    </row>
    <row r="725" ht="15" customHeight="1" s="39">
      <c r="A725" s="85" t="n"/>
      <c r="B725" s="85" t="n"/>
      <c r="C725" s="85" t="n"/>
      <c r="D725" s="85" t="n"/>
      <c r="E725" s="85" t="n"/>
      <c r="F725" s="86" t="n"/>
      <c r="G725" s="86" t="n"/>
      <c r="H725" s="85" t="n"/>
      <c r="I725" s="85" t="n"/>
      <c r="J725" s="85" t="n"/>
      <c r="K725" s="85" t="n"/>
      <c r="L725" s="85" t="n"/>
      <c r="M725" s="85" t="n"/>
      <c r="N725" s="85" t="n"/>
      <c r="O725" s="85" t="n"/>
      <c r="P725" s="85" t="n"/>
      <c r="Q725" s="85" t="n"/>
      <c r="R725" s="85" t="n"/>
      <c r="S725" s="85" t="n"/>
      <c r="T725" s="85" t="n"/>
      <c r="U725" s="85" t="n"/>
      <c r="V725" s="85" t="n"/>
      <c r="W725" s="85" t="n"/>
      <c r="X725" s="85" t="n"/>
      <c r="Y725" s="85" t="n"/>
      <c r="Z725" s="85" t="n"/>
      <c r="AA725" s="85" t="n"/>
      <c r="AB725" s="85" t="n"/>
      <c r="AC725" s="86" t="n"/>
      <c r="AD725" s="86" t="n"/>
      <c r="AE725" s="86" t="n"/>
      <c r="AF725" s="85" t="n"/>
      <c r="AG725" s="85" t="n"/>
      <c r="AH725" s="85">
        <f>IF($A725="","",IF(AND($E725="Yes",OR($V725="No",$V725="NOT FOUND")),"YES",""))</f>
        <v/>
      </c>
      <c r="AI725" s="85">
        <f>IF($A725="","",TRIM(IF(AND($M725=0,$I725&lt;&gt;"Yes"),"T0-NoPhishResistant ","")&amp;IF($H725="No","NoMFA ","")&amp;IF(AND($M725=0,$O725="Group only"),"T0-ViaGroupOnly ","")&amp;IF($N725="Yes","BroadAzureScope ","")&amp;IF($T725="Yes","AlsoEntraRole ","")))</f>
        <v/>
      </c>
      <c r="AJ725" s="85">
        <f>IF($A725="","",IF(AD725="","Not Enrolled",IF(TODAY()&gt;AD725,"Review Overdue",IF(AD725-TODAY()&lt;=30,"Review Due Soon","Active"))))</f>
        <v/>
      </c>
      <c r="AK725" s="85">
        <f>IF($A725="","",IF(AE725="","NOT REVIEWED",IF(TODAY()-AE725&gt;90,"OVERDUE",IF(TODAY()-AE725&gt;76,"Due Soon","Current"))))</f>
        <v/>
      </c>
    </row>
    <row r="726" ht="15" customHeight="1" s="39">
      <c r="A726" s="85" t="n"/>
      <c r="B726" s="85" t="n"/>
      <c r="C726" s="85" t="n"/>
      <c r="D726" s="85" t="n"/>
      <c r="E726" s="85" t="n"/>
      <c r="F726" s="86" t="n"/>
      <c r="G726" s="86" t="n"/>
      <c r="H726" s="85" t="n"/>
      <c r="I726" s="85" t="n"/>
      <c r="J726" s="85" t="n"/>
      <c r="K726" s="85" t="n"/>
      <c r="L726" s="85" t="n"/>
      <c r="M726" s="85" t="n"/>
      <c r="N726" s="85" t="n"/>
      <c r="O726" s="85" t="n"/>
      <c r="P726" s="85" t="n"/>
      <c r="Q726" s="85" t="n"/>
      <c r="R726" s="85" t="n"/>
      <c r="S726" s="85" t="n"/>
      <c r="T726" s="85" t="n"/>
      <c r="U726" s="85" t="n"/>
      <c r="V726" s="85" t="n"/>
      <c r="W726" s="85" t="n"/>
      <c r="X726" s="85" t="n"/>
      <c r="Y726" s="85" t="n"/>
      <c r="Z726" s="85" t="n"/>
      <c r="AA726" s="85" t="n"/>
      <c r="AB726" s="85" t="n"/>
      <c r="AC726" s="86" t="n"/>
      <c r="AD726" s="86" t="n"/>
      <c r="AE726" s="86" t="n"/>
      <c r="AF726" s="85" t="n"/>
      <c r="AG726" s="85" t="n"/>
      <c r="AH726" s="85">
        <f>IF($A726="","",IF(AND($E726="Yes",OR($V726="No",$V726="NOT FOUND")),"YES",""))</f>
        <v/>
      </c>
      <c r="AI726" s="85">
        <f>IF($A726="","",TRIM(IF(AND($M726=0,$I726&lt;&gt;"Yes"),"T0-NoPhishResistant ","")&amp;IF($H726="No","NoMFA ","")&amp;IF(AND($M726=0,$O726="Group only"),"T0-ViaGroupOnly ","")&amp;IF($N726="Yes","BroadAzureScope ","")&amp;IF($T726="Yes","AlsoEntraRole ","")))</f>
        <v/>
      </c>
      <c r="AJ726" s="85">
        <f>IF($A726="","",IF(AD726="","Not Enrolled",IF(TODAY()&gt;AD726,"Review Overdue",IF(AD726-TODAY()&lt;=30,"Review Due Soon","Active"))))</f>
        <v/>
      </c>
      <c r="AK726" s="85">
        <f>IF($A726="","",IF(AE726="","NOT REVIEWED",IF(TODAY()-AE726&gt;90,"OVERDUE",IF(TODAY()-AE726&gt;76,"Due Soon","Current"))))</f>
        <v/>
      </c>
    </row>
    <row r="727" ht="15" customHeight="1" s="39">
      <c r="A727" s="85" t="n"/>
      <c r="B727" s="85" t="n"/>
      <c r="C727" s="85" t="n"/>
      <c r="D727" s="85" t="n"/>
      <c r="E727" s="85" t="n"/>
      <c r="F727" s="86" t="n"/>
      <c r="G727" s="86" t="n"/>
      <c r="H727" s="85" t="n"/>
      <c r="I727" s="85" t="n"/>
      <c r="J727" s="85" t="n"/>
      <c r="K727" s="85" t="n"/>
      <c r="L727" s="85" t="n"/>
      <c r="M727" s="85" t="n"/>
      <c r="N727" s="85" t="n"/>
      <c r="O727" s="85" t="n"/>
      <c r="P727" s="85" t="n"/>
      <c r="Q727" s="85" t="n"/>
      <c r="R727" s="85" t="n"/>
      <c r="S727" s="85" t="n"/>
      <c r="T727" s="85" t="n"/>
      <c r="U727" s="85" t="n"/>
      <c r="V727" s="85" t="n"/>
      <c r="W727" s="85" t="n"/>
      <c r="X727" s="85" t="n"/>
      <c r="Y727" s="85" t="n"/>
      <c r="Z727" s="85" t="n"/>
      <c r="AA727" s="85" t="n"/>
      <c r="AB727" s="85" t="n"/>
      <c r="AC727" s="86" t="n"/>
      <c r="AD727" s="86" t="n"/>
      <c r="AE727" s="86" t="n"/>
      <c r="AF727" s="85" t="n"/>
      <c r="AG727" s="85" t="n"/>
      <c r="AH727" s="85">
        <f>IF($A727="","",IF(AND($E727="Yes",OR($V727="No",$V727="NOT FOUND")),"YES",""))</f>
        <v/>
      </c>
      <c r="AI727" s="85">
        <f>IF($A727="","",TRIM(IF(AND($M727=0,$I727&lt;&gt;"Yes"),"T0-NoPhishResistant ","")&amp;IF($H727="No","NoMFA ","")&amp;IF(AND($M727=0,$O727="Group only"),"T0-ViaGroupOnly ","")&amp;IF($N727="Yes","BroadAzureScope ","")&amp;IF($T727="Yes","AlsoEntraRole ","")))</f>
        <v/>
      </c>
      <c r="AJ727" s="85">
        <f>IF($A727="","",IF(AD727="","Not Enrolled",IF(TODAY()&gt;AD727,"Review Overdue",IF(AD727-TODAY()&lt;=30,"Review Due Soon","Active"))))</f>
        <v/>
      </c>
      <c r="AK727" s="85">
        <f>IF($A727="","",IF(AE727="","NOT REVIEWED",IF(TODAY()-AE727&gt;90,"OVERDUE",IF(TODAY()-AE727&gt;76,"Due Soon","Current"))))</f>
        <v/>
      </c>
    </row>
    <row r="728" ht="15" customHeight="1" s="39">
      <c r="A728" s="85" t="n"/>
      <c r="B728" s="85" t="n"/>
      <c r="C728" s="85" t="n"/>
      <c r="D728" s="85" t="n"/>
      <c r="E728" s="85" t="n"/>
      <c r="F728" s="86" t="n"/>
      <c r="G728" s="86" t="n"/>
      <c r="H728" s="85" t="n"/>
      <c r="I728" s="85" t="n"/>
      <c r="J728" s="85" t="n"/>
      <c r="K728" s="85" t="n"/>
      <c r="L728" s="85" t="n"/>
      <c r="M728" s="85" t="n"/>
      <c r="N728" s="85" t="n"/>
      <c r="O728" s="85" t="n"/>
      <c r="P728" s="85" t="n"/>
      <c r="Q728" s="85" t="n"/>
      <c r="R728" s="85" t="n"/>
      <c r="S728" s="85" t="n"/>
      <c r="T728" s="85" t="n"/>
      <c r="U728" s="85" t="n"/>
      <c r="V728" s="85" t="n"/>
      <c r="W728" s="85" t="n"/>
      <c r="X728" s="85" t="n"/>
      <c r="Y728" s="85" t="n"/>
      <c r="Z728" s="85" t="n"/>
      <c r="AA728" s="85" t="n"/>
      <c r="AB728" s="85" t="n"/>
      <c r="AC728" s="86" t="n"/>
      <c r="AD728" s="86" t="n"/>
      <c r="AE728" s="86" t="n"/>
      <c r="AF728" s="85" t="n"/>
      <c r="AG728" s="85" t="n"/>
      <c r="AH728" s="85">
        <f>IF($A728="","",IF(AND($E728="Yes",OR($V728="No",$V728="NOT FOUND")),"YES",""))</f>
        <v/>
      </c>
      <c r="AI728" s="85">
        <f>IF($A728="","",TRIM(IF(AND($M728=0,$I728&lt;&gt;"Yes"),"T0-NoPhishResistant ","")&amp;IF($H728="No","NoMFA ","")&amp;IF(AND($M728=0,$O728="Group only"),"T0-ViaGroupOnly ","")&amp;IF($N728="Yes","BroadAzureScope ","")&amp;IF($T728="Yes","AlsoEntraRole ","")))</f>
        <v/>
      </c>
      <c r="AJ728" s="85">
        <f>IF($A728="","",IF(AD728="","Not Enrolled",IF(TODAY()&gt;AD728,"Review Overdue",IF(AD728-TODAY()&lt;=30,"Review Due Soon","Active"))))</f>
        <v/>
      </c>
      <c r="AK728" s="85">
        <f>IF($A728="","",IF(AE728="","NOT REVIEWED",IF(TODAY()-AE728&gt;90,"OVERDUE",IF(TODAY()-AE728&gt;76,"Due Soon","Current"))))</f>
        <v/>
      </c>
    </row>
    <row r="729" ht="15" customHeight="1" s="39">
      <c r="A729" s="85" t="n"/>
      <c r="B729" s="85" t="n"/>
      <c r="C729" s="85" t="n"/>
      <c r="D729" s="85" t="n"/>
      <c r="E729" s="85" t="n"/>
      <c r="F729" s="86" t="n"/>
      <c r="G729" s="86" t="n"/>
      <c r="H729" s="85" t="n"/>
      <c r="I729" s="85" t="n"/>
      <c r="J729" s="85" t="n"/>
      <c r="K729" s="85" t="n"/>
      <c r="L729" s="85" t="n"/>
      <c r="M729" s="85" t="n"/>
      <c r="N729" s="85" t="n"/>
      <c r="O729" s="85" t="n"/>
      <c r="P729" s="85" t="n"/>
      <c r="Q729" s="85" t="n"/>
      <c r="R729" s="85" t="n"/>
      <c r="S729" s="85" t="n"/>
      <c r="T729" s="85" t="n"/>
      <c r="U729" s="85" t="n"/>
      <c r="V729" s="85" t="n"/>
      <c r="W729" s="85" t="n"/>
      <c r="X729" s="85" t="n"/>
      <c r="Y729" s="85" t="n"/>
      <c r="Z729" s="85" t="n"/>
      <c r="AA729" s="85" t="n"/>
      <c r="AB729" s="85" t="n"/>
      <c r="AC729" s="86" t="n"/>
      <c r="AD729" s="86" t="n"/>
      <c r="AE729" s="86" t="n"/>
      <c r="AF729" s="85" t="n"/>
      <c r="AG729" s="85" t="n"/>
      <c r="AH729" s="85">
        <f>IF($A729="","",IF(AND($E729="Yes",OR($V729="No",$V729="NOT FOUND")),"YES",""))</f>
        <v/>
      </c>
      <c r="AI729" s="85">
        <f>IF($A729="","",TRIM(IF(AND($M729=0,$I729&lt;&gt;"Yes"),"T0-NoPhishResistant ","")&amp;IF($H729="No","NoMFA ","")&amp;IF(AND($M729=0,$O729="Group only"),"T0-ViaGroupOnly ","")&amp;IF($N729="Yes","BroadAzureScope ","")&amp;IF($T729="Yes","AlsoEntraRole ","")))</f>
        <v/>
      </c>
      <c r="AJ729" s="85">
        <f>IF($A729="","",IF(AD729="","Not Enrolled",IF(TODAY()&gt;AD729,"Review Overdue",IF(AD729-TODAY()&lt;=30,"Review Due Soon","Active"))))</f>
        <v/>
      </c>
      <c r="AK729" s="85">
        <f>IF($A729="","",IF(AE729="","NOT REVIEWED",IF(TODAY()-AE729&gt;90,"OVERDUE",IF(TODAY()-AE729&gt;76,"Due Soon","Current"))))</f>
        <v/>
      </c>
    </row>
    <row r="730" ht="15" customHeight="1" s="39">
      <c r="A730" s="85" t="n"/>
      <c r="B730" s="85" t="n"/>
      <c r="C730" s="85" t="n"/>
      <c r="D730" s="85" t="n"/>
      <c r="E730" s="85" t="n"/>
      <c r="F730" s="86" t="n"/>
      <c r="G730" s="86" t="n"/>
      <c r="H730" s="85" t="n"/>
      <c r="I730" s="85" t="n"/>
      <c r="J730" s="85" t="n"/>
      <c r="K730" s="85" t="n"/>
      <c r="L730" s="85" t="n"/>
      <c r="M730" s="85" t="n"/>
      <c r="N730" s="85" t="n"/>
      <c r="O730" s="85" t="n"/>
      <c r="P730" s="85" t="n"/>
      <c r="Q730" s="85" t="n"/>
      <c r="R730" s="85" t="n"/>
      <c r="S730" s="85" t="n"/>
      <c r="T730" s="85" t="n"/>
      <c r="U730" s="85" t="n"/>
      <c r="V730" s="85" t="n"/>
      <c r="W730" s="85" t="n"/>
      <c r="X730" s="85" t="n"/>
      <c r="Y730" s="85" t="n"/>
      <c r="Z730" s="85" t="n"/>
      <c r="AA730" s="85" t="n"/>
      <c r="AB730" s="85" t="n"/>
      <c r="AC730" s="86" t="n"/>
      <c r="AD730" s="86" t="n"/>
      <c r="AE730" s="86" t="n"/>
      <c r="AF730" s="85" t="n"/>
      <c r="AG730" s="85" t="n"/>
      <c r="AH730" s="85">
        <f>IF($A730="","",IF(AND($E730="Yes",OR($V730="No",$V730="NOT FOUND")),"YES",""))</f>
        <v/>
      </c>
      <c r="AI730" s="85">
        <f>IF($A730="","",TRIM(IF(AND($M730=0,$I730&lt;&gt;"Yes"),"T0-NoPhishResistant ","")&amp;IF($H730="No","NoMFA ","")&amp;IF(AND($M730=0,$O730="Group only"),"T0-ViaGroupOnly ","")&amp;IF($N730="Yes","BroadAzureScope ","")&amp;IF($T730="Yes","AlsoEntraRole ","")))</f>
        <v/>
      </c>
      <c r="AJ730" s="85">
        <f>IF($A730="","",IF(AD730="","Not Enrolled",IF(TODAY()&gt;AD730,"Review Overdue",IF(AD730-TODAY()&lt;=30,"Review Due Soon","Active"))))</f>
        <v/>
      </c>
      <c r="AK730" s="85">
        <f>IF($A730="","",IF(AE730="","NOT REVIEWED",IF(TODAY()-AE730&gt;90,"OVERDUE",IF(TODAY()-AE730&gt;76,"Due Soon","Current"))))</f>
        <v/>
      </c>
    </row>
    <row r="731" ht="15" customHeight="1" s="39">
      <c r="A731" s="85" t="n"/>
      <c r="B731" s="85" t="n"/>
      <c r="C731" s="85" t="n"/>
      <c r="D731" s="85" t="n"/>
      <c r="E731" s="85" t="n"/>
      <c r="F731" s="86" t="n"/>
      <c r="G731" s="86" t="n"/>
      <c r="H731" s="85" t="n"/>
      <c r="I731" s="85" t="n"/>
      <c r="J731" s="85" t="n"/>
      <c r="K731" s="85" t="n"/>
      <c r="L731" s="85" t="n"/>
      <c r="M731" s="85" t="n"/>
      <c r="N731" s="85" t="n"/>
      <c r="O731" s="85" t="n"/>
      <c r="P731" s="85" t="n"/>
      <c r="Q731" s="85" t="n"/>
      <c r="R731" s="85" t="n"/>
      <c r="S731" s="85" t="n"/>
      <c r="T731" s="85" t="n"/>
      <c r="U731" s="85" t="n"/>
      <c r="V731" s="85" t="n"/>
      <c r="W731" s="85" t="n"/>
      <c r="X731" s="85" t="n"/>
      <c r="Y731" s="85" t="n"/>
      <c r="Z731" s="85" t="n"/>
      <c r="AA731" s="85" t="n"/>
      <c r="AB731" s="85" t="n"/>
      <c r="AC731" s="86" t="n"/>
      <c r="AD731" s="86" t="n"/>
      <c r="AE731" s="86" t="n"/>
      <c r="AF731" s="85" t="n"/>
      <c r="AG731" s="85" t="n"/>
      <c r="AH731" s="85">
        <f>IF($A731="","",IF(AND($E731="Yes",OR($V731="No",$V731="NOT FOUND")),"YES",""))</f>
        <v/>
      </c>
      <c r="AI731" s="85">
        <f>IF($A731="","",TRIM(IF(AND($M731=0,$I731&lt;&gt;"Yes"),"T0-NoPhishResistant ","")&amp;IF($H731="No","NoMFA ","")&amp;IF(AND($M731=0,$O731="Group only"),"T0-ViaGroupOnly ","")&amp;IF($N731="Yes","BroadAzureScope ","")&amp;IF($T731="Yes","AlsoEntraRole ","")))</f>
        <v/>
      </c>
      <c r="AJ731" s="85">
        <f>IF($A731="","",IF(AD731="","Not Enrolled",IF(TODAY()&gt;AD731,"Review Overdue",IF(AD731-TODAY()&lt;=30,"Review Due Soon","Active"))))</f>
        <v/>
      </c>
      <c r="AK731" s="85">
        <f>IF($A731="","",IF(AE731="","NOT REVIEWED",IF(TODAY()-AE731&gt;90,"OVERDUE",IF(TODAY()-AE731&gt;76,"Due Soon","Current"))))</f>
        <v/>
      </c>
    </row>
    <row r="732" ht="15" customHeight="1" s="39">
      <c r="A732" s="85" t="n"/>
      <c r="B732" s="85" t="n"/>
      <c r="C732" s="85" t="n"/>
      <c r="D732" s="85" t="n"/>
      <c r="E732" s="85" t="n"/>
      <c r="F732" s="86" t="n"/>
      <c r="G732" s="86" t="n"/>
      <c r="H732" s="85" t="n"/>
      <c r="I732" s="85" t="n"/>
      <c r="J732" s="85" t="n"/>
      <c r="K732" s="85" t="n"/>
      <c r="L732" s="85" t="n"/>
      <c r="M732" s="85" t="n"/>
      <c r="N732" s="85" t="n"/>
      <c r="O732" s="85" t="n"/>
      <c r="P732" s="85" t="n"/>
      <c r="Q732" s="85" t="n"/>
      <c r="R732" s="85" t="n"/>
      <c r="S732" s="85" t="n"/>
      <c r="T732" s="85" t="n"/>
      <c r="U732" s="85" t="n"/>
      <c r="V732" s="85" t="n"/>
      <c r="W732" s="85" t="n"/>
      <c r="X732" s="85" t="n"/>
      <c r="Y732" s="85" t="n"/>
      <c r="Z732" s="85" t="n"/>
      <c r="AA732" s="85" t="n"/>
      <c r="AB732" s="85" t="n"/>
      <c r="AC732" s="86" t="n"/>
      <c r="AD732" s="86" t="n"/>
      <c r="AE732" s="86" t="n"/>
      <c r="AF732" s="85" t="n"/>
      <c r="AG732" s="85" t="n"/>
      <c r="AH732" s="85">
        <f>IF($A732="","",IF(AND($E732="Yes",OR($V732="No",$V732="NOT FOUND")),"YES",""))</f>
        <v/>
      </c>
      <c r="AI732" s="85">
        <f>IF($A732="","",TRIM(IF(AND($M732=0,$I732&lt;&gt;"Yes"),"T0-NoPhishResistant ","")&amp;IF($H732="No","NoMFA ","")&amp;IF(AND($M732=0,$O732="Group only"),"T0-ViaGroupOnly ","")&amp;IF($N732="Yes","BroadAzureScope ","")&amp;IF($T732="Yes","AlsoEntraRole ","")))</f>
        <v/>
      </c>
      <c r="AJ732" s="85">
        <f>IF($A732="","",IF(AD732="","Not Enrolled",IF(TODAY()&gt;AD732,"Review Overdue",IF(AD732-TODAY()&lt;=30,"Review Due Soon","Active"))))</f>
        <v/>
      </c>
      <c r="AK732" s="85">
        <f>IF($A732="","",IF(AE732="","NOT REVIEWED",IF(TODAY()-AE732&gt;90,"OVERDUE",IF(TODAY()-AE732&gt;76,"Due Soon","Current"))))</f>
        <v/>
      </c>
    </row>
    <row r="733" ht="15" customHeight="1" s="39">
      <c r="A733" s="85" t="n"/>
      <c r="B733" s="85" t="n"/>
      <c r="C733" s="85" t="n"/>
      <c r="D733" s="85" t="n"/>
      <c r="E733" s="85" t="n"/>
      <c r="F733" s="86" t="n"/>
      <c r="G733" s="86" t="n"/>
      <c r="H733" s="85" t="n"/>
      <c r="I733" s="85" t="n"/>
      <c r="J733" s="85" t="n"/>
      <c r="K733" s="85" t="n"/>
      <c r="L733" s="85" t="n"/>
      <c r="M733" s="85" t="n"/>
      <c r="N733" s="85" t="n"/>
      <c r="O733" s="85" t="n"/>
      <c r="P733" s="85" t="n"/>
      <c r="Q733" s="85" t="n"/>
      <c r="R733" s="85" t="n"/>
      <c r="S733" s="85" t="n"/>
      <c r="T733" s="85" t="n"/>
      <c r="U733" s="85" t="n"/>
      <c r="V733" s="85" t="n"/>
      <c r="W733" s="85" t="n"/>
      <c r="X733" s="85" t="n"/>
      <c r="Y733" s="85" t="n"/>
      <c r="Z733" s="85" t="n"/>
      <c r="AA733" s="85" t="n"/>
      <c r="AB733" s="85" t="n"/>
      <c r="AC733" s="86" t="n"/>
      <c r="AD733" s="86" t="n"/>
      <c r="AE733" s="86" t="n"/>
      <c r="AF733" s="85" t="n"/>
      <c r="AG733" s="85" t="n"/>
      <c r="AH733" s="85">
        <f>IF($A733="","",IF(AND($E733="Yes",OR($V733="No",$V733="NOT FOUND")),"YES",""))</f>
        <v/>
      </c>
      <c r="AI733" s="85">
        <f>IF($A733="","",TRIM(IF(AND($M733=0,$I733&lt;&gt;"Yes"),"T0-NoPhishResistant ","")&amp;IF($H733="No","NoMFA ","")&amp;IF(AND($M733=0,$O733="Group only"),"T0-ViaGroupOnly ","")&amp;IF($N733="Yes","BroadAzureScope ","")&amp;IF($T733="Yes","AlsoEntraRole ","")))</f>
        <v/>
      </c>
      <c r="AJ733" s="85">
        <f>IF($A733="","",IF(AD733="","Not Enrolled",IF(TODAY()&gt;AD733,"Review Overdue",IF(AD733-TODAY()&lt;=30,"Review Due Soon","Active"))))</f>
        <v/>
      </c>
      <c r="AK733" s="85">
        <f>IF($A733="","",IF(AE733="","NOT REVIEWED",IF(TODAY()-AE733&gt;90,"OVERDUE",IF(TODAY()-AE733&gt;76,"Due Soon","Current"))))</f>
        <v/>
      </c>
    </row>
    <row r="734" ht="15" customHeight="1" s="39">
      <c r="A734" s="85" t="n"/>
      <c r="B734" s="85" t="n"/>
      <c r="C734" s="85" t="n"/>
      <c r="D734" s="85" t="n"/>
      <c r="E734" s="85" t="n"/>
      <c r="F734" s="86" t="n"/>
      <c r="G734" s="86" t="n"/>
      <c r="H734" s="85" t="n"/>
      <c r="I734" s="85" t="n"/>
      <c r="J734" s="85" t="n"/>
      <c r="K734" s="85" t="n"/>
      <c r="L734" s="85" t="n"/>
      <c r="M734" s="85" t="n"/>
      <c r="N734" s="85" t="n"/>
      <c r="O734" s="85" t="n"/>
      <c r="P734" s="85" t="n"/>
      <c r="Q734" s="85" t="n"/>
      <c r="R734" s="85" t="n"/>
      <c r="S734" s="85" t="n"/>
      <c r="T734" s="85" t="n"/>
      <c r="U734" s="85" t="n"/>
      <c r="V734" s="85" t="n"/>
      <c r="W734" s="85" t="n"/>
      <c r="X734" s="85" t="n"/>
      <c r="Y734" s="85" t="n"/>
      <c r="Z734" s="85" t="n"/>
      <c r="AA734" s="85" t="n"/>
      <c r="AB734" s="85" t="n"/>
      <c r="AC734" s="86" t="n"/>
      <c r="AD734" s="86" t="n"/>
      <c r="AE734" s="86" t="n"/>
      <c r="AF734" s="85" t="n"/>
      <c r="AG734" s="85" t="n"/>
      <c r="AH734" s="85">
        <f>IF($A734="","",IF(AND($E734="Yes",OR($V734="No",$V734="NOT FOUND")),"YES",""))</f>
        <v/>
      </c>
      <c r="AI734" s="85">
        <f>IF($A734="","",TRIM(IF(AND($M734=0,$I734&lt;&gt;"Yes"),"T0-NoPhishResistant ","")&amp;IF($H734="No","NoMFA ","")&amp;IF(AND($M734=0,$O734="Group only"),"T0-ViaGroupOnly ","")&amp;IF($N734="Yes","BroadAzureScope ","")&amp;IF($T734="Yes","AlsoEntraRole ","")))</f>
        <v/>
      </c>
      <c r="AJ734" s="85">
        <f>IF($A734="","",IF(AD734="","Not Enrolled",IF(TODAY()&gt;AD734,"Review Overdue",IF(AD734-TODAY()&lt;=30,"Review Due Soon","Active"))))</f>
        <v/>
      </c>
      <c r="AK734" s="85">
        <f>IF($A734="","",IF(AE734="","NOT REVIEWED",IF(TODAY()-AE734&gt;90,"OVERDUE",IF(TODAY()-AE734&gt;76,"Due Soon","Current"))))</f>
        <v/>
      </c>
    </row>
    <row r="735" ht="15" customHeight="1" s="39">
      <c r="A735" s="85" t="n"/>
      <c r="B735" s="85" t="n"/>
      <c r="C735" s="85" t="n"/>
      <c r="D735" s="85" t="n"/>
      <c r="E735" s="85" t="n"/>
      <c r="F735" s="86" t="n"/>
      <c r="G735" s="86" t="n"/>
      <c r="H735" s="85" t="n"/>
      <c r="I735" s="85" t="n"/>
      <c r="J735" s="85" t="n"/>
      <c r="K735" s="85" t="n"/>
      <c r="L735" s="85" t="n"/>
      <c r="M735" s="85" t="n"/>
      <c r="N735" s="85" t="n"/>
      <c r="O735" s="85" t="n"/>
      <c r="P735" s="85" t="n"/>
      <c r="Q735" s="85" t="n"/>
      <c r="R735" s="85" t="n"/>
      <c r="S735" s="85" t="n"/>
      <c r="T735" s="85" t="n"/>
      <c r="U735" s="85" t="n"/>
      <c r="V735" s="85" t="n"/>
      <c r="W735" s="85" t="n"/>
      <c r="X735" s="85" t="n"/>
      <c r="Y735" s="85" t="n"/>
      <c r="Z735" s="85" t="n"/>
      <c r="AA735" s="85" t="n"/>
      <c r="AB735" s="85" t="n"/>
      <c r="AC735" s="86" t="n"/>
      <c r="AD735" s="86" t="n"/>
      <c r="AE735" s="86" t="n"/>
      <c r="AF735" s="85" t="n"/>
      <c r="AG735" s="85" t="n"/>
      <c r="AH735" s="85">
        <f>IF($A735="","",IF(AND($E735="Yes",OR($V735="No",$V735="NOT FOUND")),"YES",""))</f>
        <v/>
      </c>
      <c r="AI735" s="85">
        <f>IF($A735="","",TRIM(IF(AND($M735=0,$I735&lt;&gt;"Yes"),"T0-NoPhishResistant ","")&amp;IF($H735="No","NoMFA ","")&amp;IF(AND($M735=0,$O735="Group only"),"T0-ViaGroupOnly ","")&amp;IF($N735="Yes","BroadAzureScope ","")&amp;IF($T735="Yes","AlsoEntraRole ","")))</f>
        <v/>
      </c>
      <c r="AJ735" s="85">
        <f>IF($A735="","",IF(AD735="","Not Enrolled",IF(TODAY()&gt;AD735,"Review Overdue",IF(AD735-TODAY()&lt;=30,"Review Due Soon","Active"))))</f>
        <v/>
      </c>
      <c r="AK735" s="85">
        <f>IF($A735="","",IF(AE735="","NOT REVIEWED",IF(TODAY()-AE735&gt;90,"OVERDUE",IF(TODAY()-AE735&gt;76,"Due Soon","Current"))))</f>
        <v/>
      </c>
    </row>
    <row r="736" ht="15" customHeight="1" s="39">
      <c r="A736" s="85" t="n"/>
      <c r="B736" s="85" t="n"/>
      <c r="C736" s="85" t="n"/>
      <c r="D736" s="85" t="n"/>
      <c r="E736" s="85" t="n"/>
      <c r="F736" s="86" t="n"/>
      <c r="G736" s="86" t="n"/>
      <c r="H736" s="85" t="n"/>
      <c r="I736" s="85" t="n"/>
      <c r="J736" s="85" t="n"/>
      <c r="K736" s="85" t="n"/>
      <c r="L736" s="85" t="n"/>
      <c r="M736" s="85" t="n"/>
      <c r="N736" s="85" t="n"/>
      <c r="O736" s="85" t="n"/>
      <c r="P736" s="85" t="n"/>
      <c r="Q736" s="85" t="n"/>
      <c r="R736" s="85" t="n"/>
      <c r="S736" s="85" t="n"/>
      <c r="T736" s="85" t="n"/>
      <c r="U736" s="85" t="n"/>
      <c r="V736" s="85" t="n"/>
      <c r="W736" s="85" t="n"/>
      <c r="X736" s="85" t="n"/>
      <c r="Y736" s="85" t="n"/>
      <c r="Z736" s="85" t="n"/>
      <c r="AA736" s="85" t="n"/>
      <c r="AB736" s="85" t="n"/>
      <c r="AC736" s="86" t="n"/>
      <c r="AD736" s="86" t="n"/>
      <c r="AE736" s="86" t="n"/>
      <c r="AF736" s="85" t="n"/>
      <c r="AG736" s="85" t="n"/>
      <c r="AH736" s="85">
        <f>IF($A736="","",IF(AND($E736="Yes",OR($V736="No",$V736="NOT FOUND")),"YES",""))</f>
        <v/>
      </c>
      <c r="AI736" s="85">
        <f>IF($A736="","",TRIM(IF(AND($M736=0,$I736&lt;&gt;"Yes"),"T0-NoPhishResistant ","")&amp;IF($H736="No","NoMFA ","")&amp;IF(AND($M736=0,$O736="Group only"),"T0-ViaGroupOnly ","")&amp;IF($N736="Yes","BroadAzureScope ","")&amp;IF($T736="Yes","AlsoEntraRole ","")))</f>
        <v/>
      </c>
      <c r="AJ736" s="85">
        <f>IF($A736="","",IF(AD736="","Not Enrolled",IF(TODAY()&gt;AD736,"Review Overdue",IF(AD736-TODAY()&lt;=30,"Review Due Soon","Active"))))</f>
        <v/>
      </c>
      <c r="AK736" s="85">
        <f>IF($A736="","",IF(AE736="","NOT REVIEWED",IF(TODAY()-AE736&gt;90,"OVERDUE",IF(TODAY()-AE736&gt;76,"Due Soon","Current"))))</f>
        <v/>
      </c>
    </row>
    <row r="737" ht="15" customHeight="1" s="39">
      <c r="A737" s="85" t="n"/>
      <c r="B737" s="85" t="n"/>
      <c r="C737" s="85" t="n"/>
      <c r="D737" s="85" t="n"/>
      <c r="E737" s="85" t="n"/>
      <c r="F737" s="86" t="n"/>
      <c r="G737" s="86" t="n"/>
      <c r="H737" s="85" t="n"/>
      <c r="I737" s="85" t="n"/>
      <c r="J737" s="85" t="n"/>
      <c r="K737" s="85" t="n"/>
      <c r="L737" s="85" t="n"/>
      <c r="M737" s="85" t="n"/>
      <c r="N737" s="85" t="n"/>
      <c r="O737" s="85" t="n"/>
      <c r="P737" s="85" t="n"/>
      <c r="Q737" s="85" t="n"/>
      <c r="R737" s="85" t="n"/>
      <c r="S737" s="85" t="n"/>
      <c r="T737" s="85" t="n"/>
      <c r="U737" s="85" t="n"/>
      <c r="V737" s="85" t="n"/>
      <c r="W737" s="85" t="n"/>
      <c r="X737" s="85" t="n"/>
      <c r="Y737" s="85" t="n"/>
      <c r="Z737" s="85" t="n"/>
      <c r="AA737" s="85" t="n"/>
      <c r="AB737" s="85" t="n"/>
      <c r="AC737" s="86" t="n"/>
      <c r="AD737" s="86" t="n"/>
      <c r="AE737" s="86" t="n"/>
      <c r="AF737" s="85" t="n"/>
      <c r="AG737" s="85" t="n"/>
      <c r="AH737" s="85">
        <f>IF($A737="","",IF(AND($E737="Yes",OR($V737="No",$V737="NOT FOUND")),"YES",""))</f>
        <v/>
      </c>
      <c r="AI737" s="85">
        <f>IF($A737="","",TRIM(IF(AND($M737=0,$I737&lt;&gt;"Yes"),"T0-NoPhishResistant ","")&amp;IF($H737="No","NoMFA ","")&amp;IF(AND($M737=0,$O737="Group only"),"T0-ViaGroupOnly ","")&amp;IF($N737="Yes","BroadAzureScope ","")&amp;IF($T737="Yes","AlsoEntraRole ","")))</f>
        <v/>
      </c>
      <c r="AJ737" s="85">
        <f>IF($A737="","",IF(AD737="","Not Enrolled",IF(TODAY()&gt;AD737,"Review Overdue",IF(AD737-TODAY()&lt;=30,"Review Due Soon","Active"))))</f>
        <v/>
      </c>
      <c r="AK737" s="85">
        <f>IF($A737="","",IF(AE737="","NOT REVIEWED",IF(TODAY()-AE737&gt;90,"OVERDUE",IF(TODAY()-AE737&gt;76,"Due Soon","Current"))))</f>
        <v/>
      </c>
    </row>
    <row r="738" ht="15" customHeight="1" s="39">
      <c r="A738" s="85" t="n"/>
      <c r="B738" s="85" t="n"/>
      <c r="C738" s="85" t="n"/>
      <c r="D738" s="85" t="n"/>
      <c r="E738" s="85" t="n"/>
      <c r="F738" s="86" t="n"/>
      <c r="G738" s="86" t="n"/>
      <c r="H738" s="85" t="n"/>
      <c r="I738" s="85" t="n"/>
      <c r="J738" s="85" t="n"/>
      <c r="K738" s="85" t="n"/>
      <c r="L738" s="85" t="n"/>
      <c r="M738" s="85" t="n"/>
      <c r="N738" s="85" t="n"/>
      <c r="O738" s="85" t="n"/>
      <c r="P738" s="85" t="n"/>
      <c r="Q738" s="85" t="n"/>
      <c r="R738" s="85" t="n"/>
      <c r="S738" s="85" t="n"/>
      <c r="T738" s="85" t="n"/>
      <c r="U738" s="85" t="n"/>
      <c r="V738" s="85" t="n"/>
      <c r="W738" s="85" t="n"/>
      <c r="X738" s="85" t="n"/>
      <c r="Y738" s="85" t="n"/>
      <c r="Z738" s="85" t="n"/>
      <c r="AA738" s="85" t="n"/>
      <c r="AB738" s="85" t="n"/>
      <c r="AC738" s="86" t="n"/>
      <c r="AD738" s="86" t="n"/>
      <c r="AE738" s="86" t="n"/>
      <c r="AF738" s="85" t="n"/>
      <c r="AG738" s="85" t="n"/>
      <c r="AH738" s="85">
        <f>IF($A738="","",IF(AND($E738="Yes",OR($V738="No",$V738="NOT FOUND")),"YES",""))</f>
        <v/>
      </c>
      <c r="AI738" s="85">
        <f>IF($A738="","",TRIM(IF(AND($M738=0,$I738&lt;&gt;"Yes"),"T0-NoPhishResistant ","")&amp;IF($H738="No","NoMFA ","")&amp;IF(AND($M738=0,$O738="Group only"),"T0-ViaGroupOnly ","")&amp;IF($N738="Yes","BroadAzureScope ","")&amp;IF($T738="Yes","AlsoEntraRole ","")))</f>
        <v/>
      </c>
      <c r="AJ738" s="85">
        <f>IF($A738="","",IF(AD738="","Not Enrolled",IF(TODAY()&gt;AD738,"Review Overdue",IF(AD738-TODAY()&lt;=30,"Review Due Soon","Active"))))</f>
        <v/>
      </c>
      <c r="AK738" s="85">
        <f>IF($A738="","",IF(AE738="","NOT REVIEWED",IF(TODAY()-AE738&gt;90,"OVERDUE",IF(TODAY()-AE738&gt;76,"Due Soon","Current"))))</f>
        <v/>
      </c>
    </row>
    <row r="739" ht="15" customHeight="1" s="39">
      <c r="A739" s="85" t="n"/>
      <c r="B739" s="85" t="n"/>
      <c r="C739" s="85" t="n"/>
      <c r="D739" s="85" t="n"/>
      <c r="E739" s="85" t="n"/>
      <c r="F739" s="86" t="n"/>
      <c r="G739" s="86" t="n"/>
      <c r="H739" s="85" t="n"/>
      <c r="I739" s="85" t="n"/>
      <c r="J739" s="85" t="n"/>
      <c r="K739" s="85" t="n"/>
      <c r="L739" s="85" t="n"/>
      <c r="M739" s="85" t="n"/>
      <c r="N739" s="85" t="n"/>
      <c r="O739" s="85" t="n"/>
      <c r="P739" s="85" t="n"/>
      <c r="Q739" s="85" t="n"/>
      <c r="R739" s="85" t="n"/>
      <c r="S739" s="85" t="n"/>
      <c r="T739" s="85" t="n"/>
      <c r="U739" s="85" t="n"/>
      <c r="V739" s="85" t="n"/>
      <c r="W739" s="85" t="n"/>
      <c r="X739" s="85" t="n"/>
      <c r="Y739" s="85" t="n"/>
      <c r="Z739" s="85" t="n"/>
      <c r="AA739" s="85" t="n"/>
      <c r="AB739" s="85" t="n"/>
      <c r="AC739" s="86" t="n"/>
      <c r="AD739" s="86" t="n"/>
      <c r="AE739" s="86" t="n"/>
      <c r="AF739" s="85" t="n"/>
      <c r="AG739" s="85" t="n"/>
      <c r="AH739" s="85">
        <f>IF($A739="","",IF(AND($E739="Yes",OR($V739="No",$V739="NOT FOUND")),"YES",""))</f>
        <v/>
      </c>
      <c r="AI739" s="85">
        <f>IF($A739="","",TRIM(IF(AND($M739=0,$I739&lt;&gt;"Yes"),"T0-NoPhishResistant ","")&amp;IF($H739="No","NoMFA ","")&amp;IF(AND($M739=0,$O739="Group only"),"T0-ViaGroupOnly ","")&amp;IF($N739="Yes","BroadAzureScope ","")&amp;IF($T739="Yes","AlsoEntraRole ","")))</f>
        <v/>
      </c>
      <c r="AJ739" s="85">
        <f>IF($A739="","",IF(AD739="","Not Enrolled",IF(TODAY()&gt;AD739,"Review Overdue",IF(AD739-TODAY()&lt;=30,"Review Due Soon","Active"))))</f>
        <v/>
      </c>
      <c r="AK739" s="85">
        <f>IF($A739="","",IF(AE739="","NOT REVIEWED",IF(TODAY()-AE739&gt;90,"OVERDUE",IF(TODAY()-AE739&gt;76,"Due Soon","Current"))))</f>
        <v/>
      </c>
    </row>
    <row r="740" ht="15" customHeight="1" s="39">
      <c r="A740" s="85" t="n"/>
      <c r="B740" s="85" t="n"/>
      <c r="C740" s="85" t="n"/>
      <c r="D740" s="85" t="n"/>
      <c r="E740" s="85" t="n"/>
      <c r="F740" s="86" t="n"/>
      <c r="G740" s="86" t="n"/>
      <c r="H740" s="85" t="n"/>
      <c r="I740" s="85" t="n"/>
      <c r="J740" s="85" t="n"/>
      <c r="K740" s="85" t="n"/>
      <c r="L740" s="85" t="n"/>
      <c r="M740" s="85" t="n"/>
      <c r="N740" s="85" t="n"/>
      <c r="O740" s="85" t="n"/>
      <c r="P740" s="85" t="n"/>
      <c r="Q740" s="85" t="n"/>
      <c r="R740" s="85" t="n"/>
      <c r="S740" s="85" t="n"/>
      <c r="T740" s="85" t="n"/>
      <c r="U740" s="85" t="n"/>
      <c r="V740" s="85" t="n"/>
      <c r="W740" s="85" t="n"/>
      <c r="X740" s="85" t="n"/>
      <c r="Y740" s="85" t="n"/>
      <c r="Z740" s="85" t="n"/>
      <c r="AA740" s="85" t="n"/>
      <c r="AB740" s="85" t="n"/>
      <c r="AC740" s="86" t="n"/>
      <c r="AD740" s="86" t="n"/>
      <c r="AE740" s="86" t="n"/>
      <c r="AF740" s="85" t="n"/>
      <c r="AG740" s="85" t="n"/>
      <c r="AH740" s="85">
        <f>IF($A740="","",IF(AND($E740="Yes",OR($V740="No",$V740="NOT FOUND")),"YES",""))</f>
        <v/>
      </c>
      <c r="AI740" s="85">
        <f>IF($A740="","",TRIM(IF(AND($M740=0,$I740&lt;&gt;"Yes"),"T0-NoPhishResistant ","")&amp;IF($H740="No","NoMFA ","")&amp;IF(AND($M740=0,$O740="Group only"),"T0-ViaGroupOnly ","")&amp;IF($N740="Yes","BroadAzureScope ","")&amp;IF($T740="Yes","AlsoEntraRole ","")))</f>
        <v/>
      </c>
      <c r="AJ740" s="85">
        <f>IF($A740="","",IF(AD740="","Not Enrolled",IF(TODAY()&gt;AD740,"Review Overdue",IF(AD740-TODAY()&lt;=30,"Review Due Soon","Active"))))</f>
        <v/>
      </c>
      <c r="AK740" s="85">
        <f>IF($A740="","",IF(AE740="","NOT REVIEWED",IF(TODAY()-AE740&gt;90,"OVERDUE",IF(TODAY()-AE740&gt;76,"Due Soon","Current"))))</f>
        <v/>
      </c>
    </row>
    <row r="741" ht="15" customHeight="1" s="39">
      <c r="A741" s="85" t="n"/>
      <c r="B741" s="85" t="n"/>
      <c r="C741" s="85" t="n"/>
      <c r="D741" s="85" t="n"/>
      <c r="E741" s="85" t="n"/>
      <c r="F741" s="86" t="n"/>
      <c r="G741" s="86" t="n"/>
      <c r="H741" s="85" t="n"/>
      <c r="I741" s="85" t="n"/>
      <c r="J741" s="85" t="n"/>
      <c r="K741" s="85" t="n"/>
      <c r="L741" s="85" t="n"/>
      <c r="M741" s="85" t="n"/>
      <c r="N741" s="85" t="n"/>
      <c r="O741" s="85" t="n"/>
      <c r="P741" s="85" t="n"/>
      <c r="Q741" s="85" t="n"/>
      <c r="R741" s="85" t="n"/>
      <c r="S741" s="85" t="n"/>
      <c r="T741" s="85" t="n"/>
      <c r="U741" s="85" t="n"/>
      <c r="V741" s="85" t="n"/>
      <c r="W741" s="85" t="n"/>
      <c r="X741" s="85" t="n"/>
      <c r="Y741" s="85" t="n"/>
      <c r="Z741" s="85" t="n"/>
      <c r="AA741" s="85" t="n"/>
      <c r="AB741" s="85" t="n"/>
      <c r="AC741" s="86" t="n"/>
      <c r="AD741" s="86" t="n"/>
      <c r="AE741" s="86" t="n"/>
      <c r="AF741" s="85" t="n"/>
      <c r="AG741" s="85" t="n"/>
      <c r="AH741" s="85">
        <f>IF($A741="","",IF(AND($E741="Yes",OR($V741="No",$V741="NOT FOUND")),"YES",""))</f>
        <v/>
      </c>
      <c r="AI741" s="85">
        <f>IF($A741="","",TRIM(IF(AND($M741=0,$I741&lt;&gt;"Yes"),"T0-NoPhishResistant ","")&amp;IF($H741="No","NoMFA ","")&amp;IF(AND($M741=0,$O741="Group only"),"T0-ViaGroupOnly ","")&amp;IF($N741="Yes","BroadAzureScope ","")&amp;IF($T741="Yes","AlsoEntraRole ","")))</f>
        <v/>
      </c>
      <c r="AJ741" s="85">
        <f>IF($A741="","",IF(AD741="","Not Enrolled",IF(TODAY()&gt;AD741,"Review Overdue",IF(AD741-TODAY()&lt;=30,"Review Due Soon","Active"))))</f>
        <v/>
      </c>
      <c r="AK741" s="85">
        <f>IF($A741="","",IF(AE741="","NOT REVIEWED",IF(TODAY()-AE741&gt;90,"OVERDUE",IF(TODAY()-AE741&gt;76,"Due Soon","Current"))))</f>
        <v/>
      </c>
    </row>
    <row r="742" ht="15" customHeight="1" s="39">
      <c r="A742" s="85" t="n"/>
      <c r="B742" s="85" t="n"/>
      <c r="C742" s="85" t="n"/>
      <c r="D742" s="85" t="n"/>
      <c r="E742" s="85" t="n"/>
      <c r="F742" s="86" t="n"/>
      <c r="G742" s="86" t="n"/>
      <c r="H742" s="85" t="n"/>
      <c r="I742" s="85" t="n"/>
      <c r="J742" s="85" t="n"/>
      <c r="K742" s="85" t="n"/>
      <c r="L742" s="85" t="n"/>
      <c r="M742" s="85" t="n"/>
      <c r="N742" s="85" t="n"/>
      <c r="O742" s="85" t="n"/>
      <c r="P742" s="85" t="n"/>
      <c r="Q742" s="85" t="n"/>
      <c r="R742" s="85" t="n"/>
      <c r="S742" s="85" t="n"/>
      <c r="T742" s="85" t="n"/>
      <c r="U742" s="85" t="n"/>
      <c r="V742" s="85" t="n"/>
      <c r="W742" s="85" t="n"/>
      <c r="X742" s="85" t="n"/>
      <c r="Y742" s="85" t="n"/>
      <c r="Z742" s="85" t="n"/>
      <c r="AA742" s="85" t="n"/>
      <c r="AB742" s="85" t="n"/>
      <c r="AC742" s="86" t="n"/>
      <c r="AD742" s="86" t="n"/>
      <c r="AE742" s="86" t="n"/>
      <c r="AF742" s="85" t="n"/>
      <c r="AG742" s="85" t="n"/>
      <c r="AH742" s="85">
        <f>IF($A742="","",IF(AND($E742="Yes",OR($V742="No",$V742="NOT FOUND")),"YES",""))</f>
        <v/>
      </c>
      <c r="AI742" s="85">
        <f>IF($A742="","",TRIM(IF(AND($M742=0,$I742&lt;&gt;"Yes"),"T0-NoPhishResistant ","")&amp;IF($H742="No","NoMFA ","")&amp;IF(AND($M742=0,$O742="Group only"),"T0-ViaGroupOnly ","")&amp;IF($N742="Yes","BroadAzureScope ","")&amp;IF($T742="Yes","AlsoEntraRole ","")))</f>
        <v/>
      </c>
      <c r="AJ742" s="85">
        <f>IF($A742="","",IF(AD742="","Not Enrolled",IF(TODAY()&gt;AD742,"Review Overdue",IF(AD742-TODAY()&lt;=30,"Review Due Soon","Active"))))</f>
        <v/>
      </c>
      <c r="AK742" s="85">
        <f>IF($A742="","",IF(AE742="","NOT REVIEWED",IF(TODAY()-AE742&gt;90,"OVERDUE",IF(TODAY()-AE742&gt;76,"Due Soon","Current"))))</f>
        <v/>
      </c>
    </row>
    <row r="743" ht="15" customHeight="1" s="39">
      <c r="A743" s="85" t="n"/>
      <c r="B743" s="85" t="n"/>
      <c r="C743" s="85" t="n"/>
      <c r="D743" s="85" t="n"/>
      <c r="E743" s="85" t="n"/>
      <c r="F743" s="86" t="n"/>
      <c r="G743" s="86" t="n"/>
      <c r="H743" s="85" t="n"/>
      <c r="I743" s="85" t="n"/>
      <c r="J743" s="85" t="n"/>
      <c r="K743" s="85" t="n"/>
      <c r="L743" s="85" t="n"/>
      <c r="M743" s="85" t="n"/>
      <c r="N743" s="85" t="n"/>
      <c r="O743" s="85" t="n"/>
      <c r="P743" s="85" t="n"/>
      <c r="Q743" s="85" t="n"/>
      <c r="R743" s="85" t="n"/>
      <c r="S743" s="85" t="n"/>
      <c r="T743" s="85" t="n"/>
      <c r="U743" s="85" t="n"/>
      <c r="V743" s="85" t="n"/>
      <c r="W743" s="85" t="n"/>
      <c r="X743" s="85" t="n"/>
      <c r="Y743" s="85" t="n"/>
      <c r="Z743" s="85" t="n"/>
      <c r="AA743" s="85" t="n"/>
      <c r="AB743" s="85" t="n"/>
      <c r="AC743" s="86" t="n"/>
      <c r="AD743" s="86" t="n"/>
      <c r="AE743" s="86" t="n"/>
      <c r="AF743" s="85" t="n"/>
      <c r="AG743" s="85" t="n"/>
      <c r="AH743" s="85">
        <f>IF($A743="","",IF(AND($E743="Yes",OR($V743="No",$V743="NOT FOUND")),"YES",""))</f>
        <v/>
      </c>
      <c r="AI743" s="85">
        <f>IF($A743="","",TRIM(IF(AND($M743=0,$I743&lt;&gt;"Yes"),"T0-NoPhishResistant ","")&amp;IF($H743="No","NoMFA ","")&amp;IF(AND($M743=0,$O743="Group only"),"T0-ViaGroupOnly ","")&amp;IF($N743="Yes","BroadAzureScope ","")&amp;IF($T743="Yes","AlsoEntraRole ","")))</f>
        <v/>
      </c>
      <c r="AJ743" s="85">
        <f>IF($A743="","",IF(AD743="","Not Enrolled",IF(TODAY()&gt;AD743,"Review Overdue",IF(AD743-TODAY()&lt;=30,"Review Due Soon","Active"))))</f>
        <v/>
      </c>
      <c r="AK743" s="85">
        <f>IF($A743="","",IF(AE743="","NOT REVIEWED",IF(TODAY()-AE743&gt;90,"OVERDUE",IF(TODAY()-AE743&gt;76,"Due Soon","Current"))))</f>
        <v/>
      </c>
    </row>
    <row r="744" ht="15" customHeight="1" s="39">
      <c r="A744" s="85" t="n"/>
      <c r="B744" s="85" t="n"/>
      <c r="C744" s="85" t="n"/>
      <c r="D744" s="85" t="n"/>
      <c r="E744" s="85" t="n"/>
      <c r="F744" s="86" t="n"/>
      <c r="G744" s="86" t="n"/>
      <c r="H744" s="85" t="n"/>
      <c r="I744" s="85" t="n"/>
      <c r="J744" s="85" t="n"/>
      <c r="K744" s="85" t="n"/>
      <c r="L744" s="85" t="n"/>
      <c r="M744" s="85" t="n"/>
      <c r="N744" s="85" t="n"/>
      <c r="O744" s="85" t="n"/>
      <c r="P744" s="85" t="n"/>
      <c r="Q744" s="85" t="n"/>
      <c r="R744" s="85" t="n"/>
      <c r="S744" s="85" t="n"/>
      <c r="T744" s="85" t="n"/>
      <c r="U744" s="85" t="n"/>
      <c r="V744" s="85" t="n"/>
      <c r="W744" s="85" t="n"/>
      <c r="X744" s="85" t="n"/>
      <c r="Y744" s="85" t="n"/>
      <c r="Z744" s="85" t="n"/>
      <c r="AA744" s="85" t="n"/>
      <c r="AB744" s="85" t="n"/>
      <c r="AC744" s="86" t="n"/>
      <c r="AD744" s="86" t="n"/>
      <c r="AE744" s="86" t="n"/>
      <c r="AF744" s="85" t="n"/>
      <c r="AG744" s="85" t="n"/>
      <c r="AH744" s="85">
        <f>IF($A744="","",IF(AND($E744="Yes",OR($V744="No",$V744="NOT FOUND")),"YES",""))</f>
        <v/>
      </c>
      <c r="AI744" s="85">
        <f>IF($A744="","",TRIM(IF(AND($M744=0,$I744&lt;&gt;"Yes"),"T0-NoPhishResistant ","")&amp;IF($H744="No","NoMFA ","")&amp;IF(AND($M744=0,$O744="Group only"),"T0-ViaGroupOnly ","")&amp;IF($N744="Yes","BroadAzureScope ","")&amp;IF($T744="Yes","AlsoEntraRole ","")))</f>
        <v/>
      </c>
      <c r="AJ744" s="85">
        <f>IF($A744="","",IF(AD744="","Not Enrolled",IF(TODAY()&gt;AD744,"Review Overdue",IF(AD744-TODAY()&lt;=30,"Review Due Soon","Active"))))</f>
        <v/>
      </c>
      <c r="AK744" s="85">
        <f>IF($A744="","",IF(AE744="","NOT REVIEWED",IF(TODAY()-AE744&gt;90,"OVERDUE",IF(TODAY()-AE744&gt;76,"Due Soon","Current"))))</f>
        <v/>
      </c>
    </row>
    <row r="745" ht="15" customHeight="1" s="39">
      <c r="A745" s="85" t="n"/>
      <c r="B745" s="85" t="n"/>
      <c r="C745" s="85" t="n"/>
      <c r="D745" s="85" t="n"/>
      <c r="E745" s="85" t="n"/>
      <c r="F745" s="86" t="n"/>
      <c r="G745" s="86" t="n"/>
      <c r="H745" s="85" t="n"/>
      <c r="I745" s="85" t="n"/>
      <c r="J745" s="85" t="n"/>
      <c r="K745" s="85" t="n"/>
      <c r="L745" s="85" t="n"/>
      <c r="M745" s="85" t="n"/>
      <c r="N745" s="85" t="n"/>
      <c r="O745" s="85" t="n"/>
      <c r="P745" s="85" t="n"/>
      <c r="Q745" s="85" t="n"/>
      <c r="R745" s="85" t="n"/>
      <c r="S745" s="85" t="n"/>
      <c r="T745" s="85" t="n"/>
      <c r="U745" s="85" t="n"/>
      <c r="V745" s="85" t="n"/>
      <c r="W745" s="85" t="n"/>
      <c r="X745" s="85" t="n"/>
      <c r="Y745" s="85" t="n"/>
      <c r="Z745" s="85" t="n"/>
      <c r="AA745" s="85" t="n"/>
      <c r="AB745" s="85" t="n"/>
      <c r="AC745" s="86" t="n"/>
      <c r="AD745" s="86" t="n"/>
      <c r="AE745" s="86" t="n"/>
      <c r="AF745" s="85" t="n"/>
      <c r="AG745" s="85" t="n"/>
      <c r="AH745" s="85">
        <f>IF($A745="","",IF(AND($E745="Yes",OR($V745="No",$V745="NOT FOUND")),"YES",""))</f>
        <v/>
      </c>
      <c r="AI745" s="85">
        <f>IF($A745="","",TRIM(IF(AND($M745=0,$I745&lt;&gt;"Yes"),"T0-NoPhishResistant ","")&amp;IF($H745="No","NoMFA ","")&amp;IF(AND($M745=0,$O745="Group only"),"T0-ViaGroupOnly ","")&amp;IF($N745="Yes","BroadAzureScope ","")&amp;IF($T745="Yes","AlsoEntraRole ","")))</f>
        <v/>
      </c>
      <c r="AJ745" s="85">
        <f>IF($A745="","",IF(AD745="","Not Enrolled",IF(TODAY()&gt;AD745,"Review Overdue",IF(AD745-TODAY()&lt;=30,"Review Due Soon","Active"))))</f>
        <v/>
      </c>
      <c r="AK745" s="85">
        <f>IF($A745="","",IF(AE745="","NOT REVIEWED",IF(TODAY()-AE745&gt;90,"OVERDUE",IF(TODAY()-AE745&gt;76,"Due Soon","Current"))))</f>
        <v/>
      </c>
    </row>
    <row r="746" ht="15" customHeight="1" s="39">
      <c r="A746" s="85" t="n"/>
      <c r="B746" s="85" t="n"/>
      <c r="C746" s="85" t="n"/>
      <c r="D746" s="85" t="n"/>
      <c r="E746" s="85" t="n"/>
      <c r="F746" s="86" t="n"/>
      <c r="G746" s="86" t="n"/>
      <c r="H746" s="85" t="n"/>
      <c r="I746" s="85" t="n"/>
      <c r="J746" s="85" t="n"/>
      <c r="K746" s="85" t="n"/>
      <c r="L746" s="85" t="n"/>
      <c r="M746" s="85" t="n"/>
      <c r="N746" s="85" t="n"/>
      <c r="O746" s="85" t="n"/>
      <c r="P746" s="85" t="n"/>
      <c r="Q746" s="85" t="n"/>
      <c r="R746" s="85" t="n"/>
      <c r="S746" s="85" t="n"/>
      <c r="T746" s="85" t="n"/>
      <c r="U746" s="85" t="n"/>
      <c r="V746" s="85" t="n"/>
      <c r="W746" s="85" t="n"/>
      <c r="X746" s="85" t="n"/>
      <c r="Y746" s="85" t="n"/>
      <c r="Z746" s="85" t="n"/>
      <c r="AA746" s="85" t="n"/>
      <c r="AB746" s="85" t="n"/>
      <c r="AC746" s="86" t="n"/>
      <c r="AD746" s="86" t="n"/>
      <c r="AE746" s="86" t="n"/>
      <c r="AF746" s="85" t="n"/>
      <c r="AG746" s="85" t="n"/>
      <c r="AH746" s="85">
        <f>IF($A746="","",IF(AND($E746="Yes",OR($V746="No",$V746="NOT FOUND")),"YES",""))</f>
        <v/>
      </c>
      <c r="AI746" s="85">
        <f>IF($A746="","",TRIM(IF(AND($M746=0,$I746&lt;&gt;"Yes"),"T0-NoPhishResistant ","")&amp;IF($H746="No","NoMFA ","")&amp;IF(AND($M746=0,$O746="Group only"),"T0-ViaGroupOnly ","")&amp;IF($N746="Yes","BroadAzureScope ","")&amp;IF($T746="Yes","AlsoEntraRole ","")))</f>
        <v/>
      </c>
      <c r="AJ746" s="85">
        <f>IF($A746="","",IF(AD746="","Not Enrolled",IF(TODAY()&gt;AD746,"Review Overdue",IF(AD746-TODAY()&lt;=30,"Review Due Soon","Active"))))</f>
        <v/>
      </c>
      <c r="AK746" s="85">
        <f>IF($A746="","",IF(AE746="","NOT REVIEWED",IF(TODAY()-AE746&gt;90,"OVERDUE",IF(TODAY()-AE746&gt;76,"Due Soon","Current"))))</f>
        <v/>
      </c>
    </row>
    <row r="747" ht="15" customHeight="1" s="39">
      <c r="A747" s="85" t="n"/>
      <c r="B747" s="85" t="n"/>
      <c r="C747" s="85" t="n"/>
      <c r="D747" s="85" t="n"/>
      <c r="E747" s="85" t="n"/>
      <c r="F747" s="86" t="n"/>
      <c r="G747" s="86" t="n"/>
      <c r="H747" s="85" t="n"/>
      <c r="I747" s="85" t="n"/>
      <c r="J747" s="85" t="n"/>
      <c r="K747" s="85" t="n"/>
      <c r="L747" s="85" t="n"/>
      <c r="M747" s="85" t="n"/>
      <c r="N747" s="85" t="n"/>
      <c r="O747" s="85" t="n"/>
      <c r="P747" s="85" t="n"/>
      <c r="Q747" s="85" t="n"/>
      <c r="R747" s="85" t="n"/>
      <c r="S747" s="85" t="n"/>
      <c r="T747" s="85" t="n"/>
      <c r="U747" s="85" t="n"/>
      <c r="V747" s="85" t="n"/>
      <c r="W747" s="85" t="n"/>
      <c r="X747" s="85" t="n"/>
      <c r="Y747" s="85" t="n"/>
      <c r="Z747" s="85" t="n"/>
      <c r="AA747" s="85" t="n"/>
      <c r="AB747" s="85" t="n"/>
      <c r="AC747" s="86" t="n"/>
      <c r="AD747" s="86" t="n"/>
      <c r="AE747" s="86" t="n"/>
      <c r="AF747" s="85" t="n"/>
      <c r="AG747" s="85" t="n"/>
      <c r="AH747" s="85">
        <f>IF($A747="","",IF(AND($E747="Yes",OR($V747="No",$V747="NOT FOUND")),"YES",""))</f>
        <v/>
      </c>
      <c r="AI747" s="85">
        <f>IF($A747="","",TRIM(IF(AND($M747=0,$I747&lt;&gt;"Yes"),"T0-NoPhishResistant ","")&amp;IF($H747="No","NoMFA ","")&amp;IF(AND($M747=0,$O747="Group only"),"T0-ViaGroupOnly ","")&amp;IF($N747="Yes","BroadAzureScope ","")&amp;IF($T747="Yes","AlsoEntraRole ","")))</f>
        <v/>
      </c>
      <c r="AJ747" s="85">
        <f>IF($A747="","",IF(AD747="","Not Enrolled",IF(TODAY()&gt;AD747,"Review Overdue",IF(AD747-TODAY()&lt;=30,"Review Due Soon","Active"))))</f>
        <v/>
      </c>
      <c r="AK747" s="85">
        <f>IF($A747="","",IF(AE747="","NOT REVIEWED",IF(TODAY()-AE747&gt;90,"OVERDUE",IF(TODAY()-AE747&gt;76,"Due Soon","Current"))))</f>
        <v/>
      </c>
    </row>
    <row r="748" ht="15" customHeight="1" s="39">
      <c r="A748" s="85" t="n"/>
      <c r="B748" s="85" t="n"/>
      <c r="C748" s="85" t="n"/>
      <c r="D748" s="85" t="n"/>
      <c r="E748" s="85" t="n"/>
      <c r="F748" s="86" t="n"/>
      <c r="G748" s="86" t="n"/>
      <c r="H748" s="85" t="n"/>
      <c r="I748" s="85" t="n"/>
      <c r="J748" s="85" t="n"/>
      <c r="K748" s="85" t="n"/>
      <c r="L748" s="85" t="n"/>
      <c r="M748" s="85" t="n"/>
      <c r="N748" s="85" t="n"/>
      <c r="O748" s="85" t="n"/>
      <c r="P748" s="85" t="n"/>
      <c r="Q748" s="85" t="n"/>
      <c r="R748" s="85" t="n"/>
      <c r="S748" s="85" t="n"/>
      <c r="T748" s="85" t="n"/>
      <c r="U748" s="85" t="n"/>
      <c r="V748" s="85" t="n"/>
      <c r="W748" s="85" t="n"/>
      <c r="X748" s="85" t="n"/>
      <c r="Y748" s="85" t="n"/>
      <c r="Z748" s="85" t="n"/>
      <c r="AA748" s="85" t="n"/>
      <c r="AB748" s="85" t="n"/>
      <c r="AC748" s="86" t="n"/>
      <c r="AD748" s="86" t="n"/>
      <c r="AE748" s="86" t="n"/>
      <c r="AF748" s="85" t="n"/>
      <c r="AG748" s="85" t="n"/>
      <c r="AH748" s="85">
        <f>IF($A748="","",IF(AND($E748="Yes",OR($V748="No",$V748="NOT FOUND")),"YES",""))</f>
        <v/>
      </c>
      <c r="AI748" s="85">
        <f>IF($A748="","",TRIM(IF(AND($M748=0,$I748&lt;&gt;"Yes"),"T0-NoPhishResistant ","")&amp;IF($H748="No","NoMFA ","")&amp;IF(AND($M748=0,$O748="Group only"),"T0-ViaGroupOnly ","")&amp;IF($N748="Yes","BroadAzureScope ","")&amp;IF($T748="Yes","AlsoEntraRole ","")))</f>
        <v/>
      </c>
      <c r="AJ748" s="85">
        <f>IF($A748="","",IF(AD748="","Not Enrolled",IF(TODAY()&gt;AD748,"Review Overdue",IF(AD748-TODAY()&lt;=30,"Review Due Soon","Active"))))</f>
        <v/>
      </c>
      <c r="AK748" s="85">
        <f>IF($A748="","",IF(AE748="","NOT REVIEWED",IF(TODAY()-AE748&gt;90,"OVERDUE",IF(TODAY()-AE748&gt;76,"Due Soon","Current"))))</f>
        <v/>
      </c>
    </row>
    <row r="749" ht="15" customHeight="1" s="39">
      <c r="A749" s="85" t="n"/>
      <c r="B749" s="85" t="n"/>
      <c r="C749" s="85" t="n"/>
      <c r="D749" s="85" t="n"/>
      <c r="E749" s="85" t="n"/>
      <c r="F749" s="86" t="n"/>
      <c r="G749" s="86" t="n"/>
      <c r="H749" s="85" t="n"/>
      <c r="I749" s="85" t="n"/>
      <c r="J749" s="85" t="n"/>
      <c r="K749" s="85" t="n"/>
      <c r="L749" s="85" t="n"/>
      <c r="M749" s="85" t="n"/>
      <c r="N749" s="85" t="n"/>
      <c r="O749" s="85" t="n"/>
      <c r="P749" s="85" t="n"/>
      <c r="Q749" s="85" t="n"/>
      <c r="R749" s="85" t="n"/>
      <c r="S749" s="85" t="n"/>
      <c r="T749" s="85" t="n"/>
      <c r="U749" s="85" t="n"/>
      <c r="V749" s="85" t="n"/>
      <c r="W749" s="85" t="n"/>
      <c r="X749" s="85" t="n"/>
      <c r="Y749" s="85" t="n"/>
      <c r="Z749" s="85" t="n"/>
      <c r="AA749" s="85" t="n"/>
      <c r="AB749" s="85" t="n"/>
      <c r="AC749" s="86" t="n"/>
      <c r="AD749" s="86" t="n"/>
      <c r="AE749" s="86" t="n"/>
      <c r="AF749" s="85" t="n"/>
      <c r="AG749" s="85" t="n"/>
      <c r="AH749" s="85">
        <f>IF($A749="","",IF(AND($E749="Yes",OR($V749="No",$V749="NOT FOUND")),"YES",""))</f>
        <v/>
      </c>
      <c r="AI749" s="85">
        <f>IF($A749="","",TRIM(IF(AND($M749=0,$I749&lt;&gt;"Yes"),"T0-NoPhishResistant ","")&amp;IF($H749="No","NoMFA ","")&amp;IF(AND($M749=0,$O749="Group only"),"T0-ViaGroupOnly ","")&amp;IF($N749="Yes","BroadAzureScope ","")&amp;IF($T749="Yes","AlsoEntraRole ","")))</f>
        <v/>
      </c>
      <c r="AJ749" s="85">
        <f>IF($A749="","",IF(AD749="","Not Enrolled",IF(TODAY()&gt;AD749,"Review Overdue",IF(AD749-TODAY()&lt;=30,"Review Due Soon","Active"))))</f>
        <v/>
      </c>
      <c r="AK749" s="85">
        <f>IF($A749="","",IF(AE749="","NOT REVIEWED",IF(TODAY()-AE749&gt;90,"OVERDUE",IF(TODAY()-AE749&gt;76,"Due Soon","Current"))))</f>
        <v/>
      </c>
    </row>
    <row r="750" ht="15" customHeight="1" s="39">
      <c r="A750" s="85" t="n"/>
      <c r="B750" s="85" t="n"/>
      <c r="C750" s="85" t="n"/>
      <c r="D750" s="85" t="n"/>
      <c r="E750" s="85" t="n"/>
      <c r="F750" s="86" t="n"/>
      <c r="G750" s="86" t="n"/>
      <c r="H750" s="85" t="n"/>
      <c r="I750" s="85" t="n"/>
      <c r="J750" s="85" t="n"/>
      <c r="K750" s="85" t="n"/>
      <c r="L750" s="85" t="n"/>
      <c r="M750" s="85" t="n"/>
      <c r="N750" s="85" t="n"/>
      <c r="O750" s="85" t="n"/>
      <c r="P750" s="85" t="n"/>
      <c r="Q750" s="85" t="n"/>
      <c r="R750" s="85" t="n"/>
      <c r="S750" s="85" t="n"/>
      <c r="T750" s="85" t="n"/>
      <c r="U750" s="85" t="n"/>
      <c r="V750" s="85" t="n"/>
      <c r="W750" s="85" t="n"/>
      <c r="X750" s="85" t="n"/>
      <c r="Y750" s="85" t="n"/>
      <c r="Z750" s="85" t="n"/>
      <c r="AA750" s="85" t="n"/>
      <c r="AB750" s="85" t="n"/>
      <c r="AC750" s="86" t="n"/>
      <c r="AD750" s="86" t="n"/>
      <c r="AE750" s="86" t="n"/>
      <c r="AF750" s="85" t="n"/>
      <c r="AG750" s="85" t="n"/>
      <c r="AH750" s="85">
        <f>IF($A750="","",IF(AND($E750="Yes",OR($V750="No",$V750="NOT FOUND")),"YES",""))</f>
        <v/>
      </c>
      <c r="AI750" s="85">
        <f>IF($A750="","",TRIM(IF(AND($M750=0,$I750&lt;&gt;"Yes"),"T0-NoPhishResistant ","")&amp;IF($H750="No","NoMFA ","")&amp;IF(AND($M750=0,$O750="Group only"),"T0-ViaGroupOnly ","")&amp;IF($N750="Yes","BroadAzureScope ","")&amp;IF($T750="Yes","AlsoEntraRole ","")))</f>
        <v/>
      </c>
      <c r="AJ750" s="85">
        <f>IF($A750="","",IF(AD750="","Not Enrolled",IF(TODAY()&gt;AD750,"Review Overdue",IF(AD750-TODAY()&lt;=30,"Review Due Soon","Active"))))</f>
        <v/>
      </c>
      <c r="AK750" s="85">
        <f>IF($A750="","",IF(AE750="","NOT REVIEWED",IF(TODAY()-AE750&gt;90,"OVERDUE",IF(TODAY()-AE750&gt;76,"Due Soon","Current"))))</f>
        <v/>
      </c>
    </row>
    <row r="751" ht="15" customHeight="1" s="39">
      <c r="A751" s="85" t="n"/>
      <c r="B751" s="85" t="n"/>
      <c r="C751" s="85" t="n"/>
      <c r="D751" s="85" t="n"/>
      <c r="E751" s="85" t="n"/>
      <c r="F751" s="86" t="n"/>
      <c r="G751" s="86" t="n"/>
      <c r="H751" s="85" t="n"/>
      <c r="I751" s="85" t="n"/>
      <c r="J751" s="85" t="n"/>
      <c r="K751" s="85" t="n"/>
      <c r="L751" s="85" t="n"/>
      <c r="M751" s="85" t="n"/>
      <c r="N751" s="85" t="n"/>
      <c r="O751" s="85" t="n"/>
      <c r="P751" s="85" t="n"/>
      <c r="Q751" s="85" t="n"/>
      <c r="R751" s="85" t="n"/>
      <c r="S751" s="85" t="n"/>
      <c r="T751" s="85" t="n"/>
      <c r="U751" s="85" t="n"/>
      <c r="V751" s="85" t="n"/>
      <c r="W751" s="85" t="n"/>
      <c r="X751" s="85" t="n"/>
      <c r="Y751" s="85" t="n"/>
      <c r="Z751" s="85" t="n"/>
      <c r="AA751" s="85" t="n"/>
      <c r="AB751" s="85" t="n"/>
      <c r="AC751" s="86" t="n"/>
      <c r="AD751" s="86" t="n"/>
      <c r="AE751" s="86" t="n"/>
      <c r="AF751" s="85" t="n"/>
      <c r="AG751" s="85" t="n"/>
      <c r="AH751" s="85">
        <f>IF($A751="","",IF(AND($E751="Yes",OR($V751="No",$V751="NOT FOUND")),"YES",""))</f>
        <v/>
      </c>
      <c r="AI751" s="85">
        <f>IF($A751="","",TRIM(IF(AND($M751=0,$I751&lt;&gt;"Yes"),"T0-NoPhishResistant ","")&amp;IF($H751="No","NoMFA ","")&amp;IF(AND($M751=0,$O751="Group only"),"T0-ViaGroupOnly ","")&amp;IF($N751="Yes","BroadAzureScope ","")&amp;IF($T751="Yes","AlsoEntraRole ","")))</f>
        <v/>
      </c>
      <c r="AJ751" s="85">
        <f>IF($A751="","",IF(AD751="","Not Enrolled",IF(TODAY()&gt;AD751,"Review Overdue",IF(AD751-TODAY()&lt;=30,"Review Due Soon","Active"))))</f>
        <v/>
      </c>
      <c r="AK751" s="85">
        <f>IF($A751="","",IF(AE751="","NOT REVIEWED",IF(TODAY()-AE751&gt;90,"OVERDUE",IF(TODAY()-AE751&gt;76,"Due Soon","Current"))))</f>
        <v/>
      </c>
    </row>
    <row r="752" ht="15" customHeight="1" s="39">
      <c r="A752" s="85" t="n"/>
      <c r="B752" s="85" t="n"/>
      <c r="C752" s="85" t="n"/>
      <c r="D752" s="85" t="n"/>
      <c r="E752" s="85" t="n"/>
      <c r="F752" s="86" t="n"/>
      <c r="G752" s="86" t="n"/>
      <c r="H752" s="85" t="n"/>
      <c r="I752" s="85" t="n"/>
      <c r="J752" s="85" t="n"/>
      <c r="K752" s="85" t="n"/>
      <c r="L752" s="85" t="n"/>
      <c r="M752" s="85" t="n"/>
      <c r="N752" s="85" t="n"/>
      <c r="O752" s="85" t="n"/>
      <c r="P752" s="85" t="n"/>
      <c r="Q752" s="85" t="n"/>
      <c r="R752" s="85" t="n"/>
      <c r="S752" s="85" t="n"/>
      <c r="T752" s="85" t="n"/>
      <c r="U752" s="85" t="n"/>
      <c r="V752" s="85" t="n"/>
      <c r="W752" s="85" t="n"/>
      <c r="X752" s="85" t="n"/>
      <c r="Y752" s="85" t="n"/>
      <c r="Z752" s="85" t="n"/>
      <c r="AA752" s="85" t="n"/>
      <c r="AB752" s="85" t="n"/>
      <c r="AC752" s="86" t="n"/>
      <c r="AD752" s="86" t="n"/>
      <c r="AE752" s="86" t="n"/>
      <c r="AF752" s="85" t="n"/>
      <c r="AG752" s="85" t="n"/>
      <c r="AH752" s="85">
        <f>IF($A752="","",IF(AND($E752="Yes",OR($V752="No",$V752="NOT FOUND")),"YES",""))</f>
        <v/>
      </c>
      <c r="AI752" s="85">
        <f>IF($A752="","",TRIM(IF(AND($M752=0,$I752&lt;&gt;"Yes"),"T0-NoPhishResistant ","")&amp;IF($H752="No","NoMFA ","")&amp;IF(AND($M752=0,$O752="Group only"),"T0-ViaGroupOnly ","")&amp;IF($N752="Yes","BroadAzureScope ","")&amp;IF($T752="Yes","AlsoEntraRole ","")))</f>
        <v/>
      </c>
      <c r="AJ752" s="85">
        <f>IF($A752="","",IF(AD752="","Not Enrolled",IF(TODAY()&gt;AD752,"Review Overdue",IF(AD752-TODAY()&lt;=30,"Review Due Soon","Active"))))</f>
        <v/>
      </c>
      <c r="AK752" s="85">
        <f>IF($A752="","",IF(AE752="","NOT REVIEWED",IF(TODAY()-AE752&gt;90,"OVERDUE",IF(TODAY()-AE752&gt;76,"Due Soon","Current"))))</f>
        <v/>
      </c>
    </row>
    <row r="753" ht="15" customHeight="1" s="39">
      <c r="A753" s="85" t="n"/>
      <c r="B753" s="85" t="n"/>
      <c r="C753" s="85" t="n"/>
      <c r="D753" s="85" t="n"/>
      <c r="E753" s="85" t="n"/>
      <c r="F753" s="86" t="n"/>
      <c r="G753" s="86" t="n"/>
      <c r="H753" s="85" t="n"/>
      <c r="I753" s="85" t="n"/>
      <c r="J753" s="85" t="n"/>
      <c r="K753" s="85" t="n"/>
      <c r="L753" s="85" t="n"/>
      <c r="M753" s="85" t="n"/>
      <c r="N753" s="85" t="n"/>
      <c r="O753" s="85" t="n"/>
      <c r="P753" s="85" t="n"/>
      <c r="Q753" s="85" t="n"/>
      <c r="R753" s="85" t="n"/>
      <c r="S753" s="85" t="n"/>
      <c r="T753" s="85" t="n"/>
      <c r="U753" s="85" t="n"/>
      <c r="V753" s="85" t="n"/>
      <c r="W753" s="85" t="n"/>
      <c r="X753" s="85" t="n"/>
      <c r="Y753" s="85" t="n"/>
      <c r="Z753" s="85" t="n"/>
      <c r="AA753" s="85" t="n"/>
      <c r="AB753" s="85" t="n"/>
      <c r="AC753" s="86" t="n"/>
      <c r="AD753" s="86" t="n"/>
      <c r="AE753" s="86" t="n"/>
      <c r="AF753" s="85" t="n"/>
      <c r="AG753" s="85" t="n"/>
      <c r="AH753" s="85">
        <f>IF($A753="","",IF(AND($E753="Yes",OR($V753="No",$V753="NOT FOUND")),"YES",""))</f>
        <v/>
      </c>
      <c r="AI753" s="85">
        <f>IF($A753="","",TRIM(IF(AND($M753=0,$I753&lt;&gt;"Yes"),"T0-NoPhishResistant ","")&amp;IF($H753="No","NoMFA ","")&amp;IF(AND($M753=0,$O753="Group only"),"T0-ViaGroupOnly ","")&amp;IF($N753="Yes","BroadAzureScope ","")&amp;IF($T753="Yes","AlsoEntraRole ","")))</f>
        <v/>
      </c>
      <c r="AJ753" s="85">
        <f>IF($A753="","",IF(AD753="","Not Enrolled",IF(TODAY()&gt;AD753,"Review Overdue",IF(AD753-TODAY()&lt;=30,"Review Due Soon","Active"))))</f>
        <v/>
      </c>
      <c r="AK753" s="85">
        <f>IF($A753="","",IF(AE753="","NOT REVIEWED",IF(TODAY()-AE753&gt;90,"OVERDUE",IF(TODAY()-AE753&gt;76,"Due Soon","Current"))))</f>
        <v/>
      </c>
    </row>
    <row r="754" ht="15" customHeight="1" s="39">
      <c r="A754" s="85" t="n"/>
      <c r="B754" s="85" t="n"/>
      <c r="C754" s="85" t="n"/>
      <c r="D754" s="85" t="n"/>
      <c r="E754" s="85" t="n"/>
      <c r="F754" s="86" t="n"/>
      <c r="G754" s="86" t="n"/>
      <c r="H754" s="85" t="n"/>
      <c r="I754" s="85" t="n"/>
      <c r="J754" s="85" t="n"/>
      <c r="K754" s="85" t="n"/>
      <c r="L754" s="85" t="n"/>
      <c r="M754" s="85" t="n"/>
      <c r="N754" s="85" t="n"/>
      <c r="O754" s="85" t="n"/>
      <c r="P754" s="85" t="n"/>
      <c r="Q754" s="85" t="n"/>
      <c r="R754" s="85" t="n"/>
      <c r="S754" s="85" t="n"/>
      <c r="T754" s="85" t="n"/>
      <c r="U754" s="85" t="n"/>
      <c r="V754" s="85" t="n"/>
      <c r="W754" s="85" t="n"/>
      <c r="X754" s="85" t="n"/>
      <c r="Y754" s="85" t="n"/>
      <c r="Z754" s="85" t="n"/>
      <c r="AA754" s="85" t="n"/>
      <c r="AB754" s="85" t="n"/>
      <c r="AC754" s="86" t="n"/>
      <c r="AD754" s="86" t="n"/>
      <c r="AE754" s="86" t="n"/>
      <c r="AF754" s="85" t="n"/>
      <c r="AG754" s="85" t="n"/>
      <c r="AH754" s="85">
        <f>IF($A754="","",IF(AND($E754="Yes",OR($V754="No",$V754="NOT FOUND")),"YES",""))</f>
        <v/>
      </c>
      <c r="AI754" s="85">
        <f>IF($A754="","",TRIM(IF(AND($M754=0,$I754&lt;&gt;"Yes"),"T0-NoPhishResistant ","")&amp;IF($H754="No","NoMFA ","")&amp;IF(AND($M754=0,$O754="Group only"),"T0-ViaGroupOnly ","")&amp;IF($N754="Yes","BroadAzureScope ","")&amp;IF($T754="Yes","AlsoEntraRole ","")))</f>
        <v/>
      </c>
      <c r="AJ754" s="85">
        <f>IF($A754="","",IF(AD754="","Not Enrolled",IF(TODAY()&gt;AD754,"Review Overdue",IF(AD754-TODAY()&lt;=30,"Review Due Soon","Active"))))</f>
        <v/>
      </c>
      <c r="AK754" s="85">
        <f>IF($A754="","",IF(AE754="","NOT REVIEWED",IF(TODAY()-AE754&gt;90,"OVERDUE",IF(TODAY()-AE754&gt;76,"Due Soon","Current"))))</f>
        <v/>
      </c>
    </row>
    <row r="755" ht="15" customHeight="1" s="39">
      <c r="A755" s="85" t="n"/>
      <c r="B755" s="85" t="n"/>
      <c r="C755" s="85" t="n"/>
      <c r="D755" s="85" t="n"/>
      <c r="E755" s="85" t="n"/>
      <c r="F755" s="86" t="n"/>
      <c r="G755" s="86" t="n"/>
      <c r="H755" s="85" t="n"/>
      <c r="I755" s="85" t="n"/>
      <c r="J755" s="85" t="n"/>
      <c r="K755" s="85" t="n"/>
      <c r="L755" s="85" t="n"/>
      <c r="M755" s="85" t="n"/>
      <c r="N755" s="85" t="n"/>
      <c r="O755" s="85" t="n"/>
      <c r="P755" s="85" t="n"/>
      <c r="Q755" s="85" t="n"/>
      <c r="R755" s="85" t="n"/>
      <c r="S755" s="85" t="n"/>
      <c r="T755" s="85" t="n"/>
      <c r="U755" s="85" t="n"/>
      <c r="V755" s="85" t="n"/>
      <c r="W755" s="85" t="n"/>
      <c r="X755" s="85" t="n"/>
      <c r="Y755" s="85" t="n"/>
      <c r="Z755" s="85" t="n"/>
      <c r="AA755" s="85" t="n"/>
      <c r="AB755" s="85" t="n"/>
      <c r="AC755" s="86" t="n"/>
      <c r="AD755" s="86" t="n"/>
      <c r="AE755" s="86" t="n"/>
      <c r="AF755" s="85" t="n"/>
      <c r="AG755" s="85" t="n"/>
      <c r="AH755" s="85">
        <f>IF($A755="","",IF(AND($E755="Yes",OR($V755="No",$V755="NOT FOUND")),"YES",""))</f>
        <v/>
      </c>
      <c r="AI755" s="85">
        <f>IF($A755="","",TRIM(IF(AND($M755=0,$I755&lt;&gt;"Yes"),"T0-NoPhishResistant ","")&amp;IF($H755="No","NoMFA ","")&amp;IF(AND($M755=0,$O755="Group only"),"T0-ViaGroupOnly ","")&amp;IF($N755="Yes","BroadAzureScope ","")&amp;IF($T755="Yes","AlsoEntraRole ","")))</f>
        <v/>
      </c>
      <c r="AJ755" s="85">
        <f>IF($A755="","",IF(AD755="","Not Enrolled",IF(TODAY()&gt;AD755,"Review Overdue",IF(AD755-TODAY()&lt;=30,"Review Due Soon","Active"))))</f>
        <v/>
      </c>
      <c r="AK755" s="85">
        <f>IF($A755="","",IF(AE755="","NOT REVIEWED",IF(TODAY()-AE755&gt;90,"OVERDUE",IF(TODAY()-AE755&gt;76,"Due Soon","Current"))))</f>
        <v/>
      </c>
    </row>
    <row r="756" ht="15" customHeight="1" s="39">
      <c r="A756" s="85" t="n"/>
      <c r="B756" s="85" t="n"/>
      <c r="C756" s="85" t="n"/>
      <c r="D756" s="85" t="n"/>
      <c r="E756" s="85" t="n"/>
      <c r="F756" s="86" t="n"/>
      <c r="G756" s="86" t="n"/>
      <c r="H756" s="85" t="n"/>
      <c r="I756" s="85" t="n"/>
      <c r="J756" s="85" t="n"/>
      <c r="K756" s="85" t="n"/>
      <c r="L756" s="85" t="n"/>
      <c r="M756" s="85" t="n"/>
      <c r="N756" s="85" t="n"/>
      <c r="O756" s="85" t="n"/>
      <c r="P756" s="85" t="n"/>
      <c r="Q756" s="85" t="n"/>
      <c r="R756" s="85" t="n"/>
      <c r="S756" s="85" t="n"/>
      <c r="T756" s="85" t="n"/>
      <c r="U756" s="85" t="n"/>
      <c r="V756" s="85" t="n"/>
      <c r="W756" s="85" t="n"/>
      <c r="X756" s="85" t="n"/>
      <c r="Y756" s="85" t="n"/>
      <c r="Z756" s="85" t="n"/>
      <c r="AA756" s="85" t="n"/>
      <c r="AB756" s="85" t="n"/>
      <c r="AC756" s="86" t="n"/>
      <c r="AD756" s="86" t="n"/>
      <c r="AE756" s="86" t="n"/>
      <c r="AF756" s="85" t="n"/>
      <c r="AG756" s="85" t="n"/>
      <c r="AH756" s="85">
        <f>IF($A756="","",IF(AND($E756="Yes",OR($V756="No",$V756="NOT FOUND")),"YES",""))</f>
        <v/>
      </c>
      <c r="AI756" s="85">
        <f>IF($A756="","",TRIM(IF(AND($M756=0,$I756&lt;&gt;"Yes"),"T0-NoPhishResistant ","")&amp;IF($H756="No","NoMFA ","")&amp;IF(AND($M756=0,$O756="Group only"),"T0-ViaGroupOnly ","")&amp;IF($N756="Yes","BroadAzureScope ","")&amp;IF($T756="Yes","AlsoEntraRole ","")))</f>
        <v/>
      </c>
      <c r="AJ756" s="85">
        <f>IF($A756="","",IF(AD756="","Not Enrolled",IF(TODAY()&gt;AD756,"Review Overdue",IF(AD756-TODAY()&lt;=30,"Review Due Soon","Active"))))</f>
        <v/>
      </c>
      <c r="AK756" s="85">
        <f>IF($A756="","",IF(AE756="","NOT REVIEWED",IF(TODAY()-AE756&gt;90,"OVERDUE",IF(TODAY()-AE756&gt;76,"Due Soon","Current"))))</f>
        <v/>
      </c>
    </row>
    <row r="757" ht="15" customHeight="1" s="39">
      <c r="A757" s="85" t="n"/>
      <c r="B757" s="85" t="n"/>
      <c r="C757" s="85" t="n"/>
      <c r="D757" s="85" t="n"/>
      <c r="E757" s="85" t="n"/>
      <c r="F757" s="86" t="n"/>
      <c r="G757" s="86" t="n"/>
      <c r="H757" s="85" t="n"/>
      <c r="I757" s="85" t="n"/>
      <c r="J757" s="85" t="n"/>
      <c r="K757" s="85" t="n"/>
      <c r="L757" s="85" t="n"/>
      <c r="M757" s="85" t="n"/>
      <c r="N757" s="85" t="n"/>
      <c r="O757" s="85" t="n"/>
      <c r="P757" s="85" t="n"/>
      <c r="Q757" s="85" t="n"/>
      <c r="R757" s="85" t="n"/>
      <c r="S757" s="85" t="n"/>
      <c r="T757" s="85" t="n"/>
      <c r="U757" s="85" t="n"/>
      <c r="V757" s="85" t="n"/>
      <c r="W757" s="85" t="n"/>
      <c r="X757" s="85" t="n"/>
      <c r="Y757" s="85" t="n"/>
      <c r="Z757" s="85" t="n"/>
      <c r="AA757" s="85" t="n"/>
      <c r="AB757" s="85" t="n"/>
      <c r="AC757" s="86" t="n"/>
      <c r="AD757" s="86" t="n"/>
      <c r="AE757" s="86" t="n"/>
      <c r="AF757" s="85" t="n"/>
      <c r="AG757" s="85" t="n"/>
      <c r="AH757" s="85">
        <f>IF($A757="","",IF(AND($E757="Yes",OR($V757="No",$V757="NOT FOUND")),"YES",""))</f>
        <v/>
      </c>
      <c r="AI757" s="85">
        <f>IF($A757="","",TRIM(IF(AND($M757=0,$I757&lt;&gt;"Yes"),"T0-NoPhishResistant ","")&amp;IF($H757="No","NoMFA ","")&amp;IF(AND($M757=0,$O757="Group only"),"T0-ViaGroupOnly ","")&amp;IF($N757="Yes","BroadAzureScope ","")&amp;IF($T757="Yes","AlsoEntraRole ","")))</f>
        <v/>
      </c>
      <c r="AJ757" s="85">
        <f>IF($A757="","",IF(AD757="","Not Enrolled",IF(TODAY()&gt;AD757,"Review Overdue",IF(AD757-TODAY()&lt;=30,"Review Due Soon","Active"))))</f>
        <v/>
      </c>
      <c r="AK757" s="85">
        <f>IF($A757="","",IF(AE757="","NOT REVIEWED",IF(TODAY()-AE757&gt;90,"OVERDUE",IF(TODAY()-AE757&gt;76,"Due Soon","Current"))))</f>
        <v/>
      </c>
    </row>
    <row r="758" ht="15" customHeight="1" s="39">
      <c r="A758" s="85" t="n"/>
      <c r="B758" s="85" t="n"/>
      <c r="C758" s="85" t="n"/>
      <c r="D758" s="85" t="n"/>
      <c r="E758" s="85" t="n"/>
      <c r="F758" s="86" t="n"/>
      <c r="G758" s="86" t="n"/>
      <c r="H758" s="85" t="n"/>
      <c r="I758" s="85" t="n"/>
      <c r="J758" s="85" t="n"/>
      <c r="K758" s="85" t="n"/>
      <c r="L758" s="85" t="n"/>
      <c r="M758" s="85" t="n"/>
      <c r="N758" s="85" t="n"/>
      <c r="O758" s="85" t="n"/>
      <c r="P758" s="85" t="n"/>
      <c r="Q758" s="85" t="n"/>
      <c r="R758" s="85" t="n"/>
      <c r="S758" s="85" t="n"/>
      <c r="T758" s="85" t="n"/>
      <c r="U758" s="85" t="n"/>
      <c r="V758" s="85" t="n"/>
      <c r="W758" s="85" t="n"/>
      <c r="X758" s="85" t="n"/>
      <c r="Y758" s="85" t="n"/>
      <c r="Z758" s="85" t="n"/>
      <c r="AA758" s="85" t="n"/>
      <c r="AB758" s="85" t="n"/>
      <c r="AC758" s="86" t="n"/>
      <c r="AD758" s="86" t="n"/>
      <c r="AE758" s="86" t="n"/>
      <c r="AF758" s="85" t="n"/>
      <c r="AG758" s="85" t="n"/>
      <c r="AH758" s="85">
        <f>IF($A758="","",IF(AND($E758="Yes",OR($V758="No",$V758="NOT FOUND")),"YES",""))</f>
        <v/>
      </c>
      <c r="AI758" s="85">
        <f>IF($A758="","",TRIM(IF(AND($M758=0,$I758&lt;&gt;"Yes"),"T0-NoPhishResistant ","")&amp;IF($H758="No","NoMFA ","")&amp;IF(AND($M758=0,$O758="Group only"),"T0-ViaGroupOnly ","")&amp;IF($N758="Yes","BroadAzureScope ","")&amp;IF($T758="Yes","AlsoEntraRole ","")))</f>
        <v/>
      </c>
      <c r="AJ758" s="85">
        <f>IF($A758="","",IF(AD758="","Not Enrolled",IF(TODAY()&gt;AD758,"Review Overdue",IF(AD758-TODAY()&lt;=30,"Review Due Soon","Active"))))</f>
        <v/>
      </c>
      <c r="AK758" s="85">
        <f>IF($A758="","",IF(AE758="","NOT REVIEWED",IF(TODAY()-AE758&gt;90,"OVERDUE",IF(TODAY()-AE758&gt;76,"Due Soon","Current"))))</f>
        <v/>
      </c>
    </row>
    <row r="759" ht="15" customHeight="1" s="39">
      <c r="A759" s="85" t="n"/>
      <c r="B759" s="85" t="n"/>
      <c r="C759" s="85" t="n"/>
      <c r="D759" s="85" t="n"/>
      <c r="E759" s="85" t="n"/>
      <c r="F759" s="86" t="n"/>
      <c r="G759" s="86" t="n"/>
      <c r="H759" s="85" t="n"/>
      <c r="I759" s="85" t="n"/>
      <c r="J759" s="85" t="n"/>
      <c r="K759" s="85" t="n"/>
      <c r="L759" s="85" t="n"/>
      <c r="M759" s="85" t="n"/>
      <c r="N759" s="85" t="n"/>
      <c r="O759" s="85" t="n"/>
      <c r="P759" s="85" t="n"/>
      <c r="Q759" s="85" t="n"/>
      <c r="R759" s="85" t="n"/>
      <c r="S759" s="85" t="n"/>
      <c r="T759" s="85" t="n"/>
      <c r="U759" s="85" t="n"/>
      <c r="V759" s="85" t="n"/>
      <c r="W759" s="85" t="n"/>
      <c r="X759" s="85" t="n"/>
      <c r="Y759" s="85" t="n"/>
      <c r="Z759" s="85" t="n"/>
      <c r="AA759" s="85" t="n"/>
      <c r="AB759" s="85" t="n"/>
      <c r="AC759" s="86" t="n"/>
      <c r="AD759" s="86" t="n"/>
      <c r="AE759" s="86" t="n"/>
      <c r="AF759" s="85" t="n"/>
      <c r="AG759" s="85" t="n"/>
      <c r="AH759" s="85">
        <f>IF($A759="","",IF(AND($E759="Yes",OR($V759="No",$V759="NOT FOUND")),"YES",""))</f>
        <v/>
      </c>
      <c r="AI759" s="85">
        <f>IF($A759="","",TRIM(IF(AND($M759=0,$I759&lt;&gt;"Yes"),"T0-NoPhishResistant ","")&amp;IF($H759="No","NoMFA ","")&amp;IF(AND($M759=0,$O759="Group only"),"T0-ViaGroupOnly ","")&amp;IF($N759="Yes","BroadAzureScope ","")&amp;IF($T759="Yes","AlsoEntraRole ","")))</f>
        <v/>
      </c>
      <c r="AJ759" s="85">
        <f>IF($A759="","",IF(AD759="","Not Enrolled",IF(TODAY()&gt;AD759,"Review Overdue",IF(AD759-TODAY()&lt;=30,"Review Due Soon","Active"))))</f>
        <v/>
      </c>
      <c r="AK759" s="85">
        <f>IF($A759="","",IF(AE759="","NOT REVIEWED",IF(TODAY()-AE759&gt;90,"OVERDUE",IF(TODAY()-AE759&gt;76,"Due Soon","Current"))))</f>
        <v/>
      </c>
    </row>
    <row r="760" ht="15" customHeight="1" s="39">
      <c r="A760" s="85" t="n"/>
      <c r="B760" s="85" t="n"/>
      <c r="C760" s="85" t="n"/>
      <c r="D760" s="85" t="n"/>
      <c r="E760" s="85" t="n"/>
      <c r="F760" s="86" t="n"/>
      <c r="G760" s="86" t="n"/>
      <c r="H760" s="85" t="n"/>
      <c r="I760" s="85" t="n"/>
      <c r="J760" s="85" t="n"/>
      <c r="K760" s="85" t="n"/>
      <c r="L760" s="85" t="n"/>
      <c r="M760" s="85" t="n"/>
      <c r="N760" s="85" t="n"/>
      <c r="O760" s="85" t="n"/>
      <c r="P760" s="85" t="n"/>
      <c r="Q760" s="85" t="n"/>
      <c r="R760" s="85" t="n"/>
      <c r="S760" s="85" t="n"/>
      <c r="T760" s="85" t="n"/>
      <c r="U760" s="85" t="n"/>
      <c r="V760" s="85" t="n"/>
      <c r="W760" s="85" t="n"/>
      <c r="X760" s="85" t="n"/>
      <c r="Y760" s="85" t="n"/>
      <c r="Z760" s="85" t="n"/>
      <c r="AA760" s="85" t="n"/>
      <c r="AB760" s="85" t="n"/>
      <c r="AC760" s="86" t="n"/>
      <c r="AD760" s="86" t="n"/>
      <c r="AE760" s="86" t="n"/>
      <c r="AF760" s="85" t="n"/>
      <c r="AG760" s="85" t="n"/>
      <c r="AH760" s="85">
        <f>IF($A760="","",IF(AND($E760="Yes",OR($V760="No",$V760="NOT FOUND")),"YES",""))</f>
        <v/>
      </c>
      <c r="AI760" s="85">
        <f>IF($A760="","",TRIM(IF(AND($M760=0,$I760&lt;&gt;"Yes"),"T0-NoPhishResistant ","")&amp;IF($H760="No","NoMFA ","")&amp;IF(AND($M760=0,$O760="Group only"),"T0-ViaGroupOnly ","")&amp;IF($N760="Yes","BroadAzureScope ","")&amp;IF($T760="Yes","AlsoEntraRole ","")))</f>
        <v/>
      </c>
      <c r="AJ760" s="85">
        <f>IF($A760="","",IF(AD760="","Not Enrolled",IF(TODAY()&gt;AD760,"Review Overdue",IF(AD760-TODAY()&lt;=30,"Review Due Soon","Active"))))</f>
        <v/>
      </c>
      <c r="AK760" s="85">
        <f>IF($A760="","",IF(AE760="","NOT REVIEWED",IF(TODAY()-AE760&gt;90,"OVERDUE",IF(TODAY()-AE760&gt;76,"Due Soon","Current"))))</f>
        <v/>
      </c>
    </row>
    <row r="761" ht="15" customHeight="1" s="39">
      <c r="A761" s="85" t="n"/>
      <c r="B761" s="85" t="n"/>
      <c r="C761" s="85" t="n"/>
      <c r="D761" s="85" t="n"/>
      <c r="E761" s="85" t="n"/>
      <c r="F761" s="86" t="n"/>
      <c r="G761" s="86" t="n"/>
      <c r="H761" s="85" t="n"/>
      <c r="I761" s="85" t="n"/>
      <c r="J761" s="85" t="n"/>
      <c r="K761" s="85" t="n"/>
      <c r="L761" s="85" t="n"/>
      <c r="M761" s="85" t="n"/>
      <c r="N761" s="85" t="n"/>
      <c r="O761" s="85" t="n"/>
      <c r="P761" s="85" t="n"/>
      <c r="Q761" s="85" t="n"/>
      <c r="R761" s="85" t="n"/>
      <c r="S761" s="85" t="n"/>
      <c r="T761" s="85" t="n"/>
      <c r="U761" s="85" t="n"/>
      <c r="V761" s="85" t="n"/>
      <c r="W761" s="85" t="n"/>
      <c r="X761" s="85" t="n"/>
      <c r="Y761" s="85" t="n"/>
      <c r="Z761" s="85" t="n"/>
      <c r="AA761" s="85" t="n"/>
      <c r="AB761" s="85" t="n"/>
      <c r="AC761" s="86" t="n"/>
      <c r="AD761" s="86" t="n"/>
      <c r="AE761" s="86" t="n"/>
      <c r="AF761" s="85" t="n"/>
      <c r="AG761" s="85" t="n"/>
      <c r="AH761" s="85">
        <f>IF($A761="","",IF(AND($E761="Yes",OR($V761="No",$V761="NOT FOUND")),"YES",""))</f>
        <v/>
      </c>
      <c r="AI761" s="85">
        <f>IF($A761="","",TRIM(IF(AND($M761=0,$I761&lt;&gt;"Yes"),"T0-NoPhishResistant ","")&amp;IF($H761="No","NoMFA ","")&amp;IF(AND($M761=0,$O761="Group only"),"T0-ViaGroupOnly ","")&amp;IF($N761="Yes","BroadAzureScope ","")&amp;IF($T761="Yes","AlsoEntraRole ","")))</f>
        <v/>
      </c>
      <c r="AJ761" s="85">
        <f>IF($A761="","",IF(AD761="","Not Enrolled",IF(TODAY()&gt;AD761,"Review Overdue",IF(AD761-TODAY()&lt;=30,"Review Due Soon","Active"))))</f>
        <v/>
      </c>
      <c r="AK761" s="85">
        <f>IF($A761="","",IF(AE761="","NOT REVIEWED",IF(TODAY()-AE761&gt;90,"OVERDUE",IF(TODAY()-AE761&gt;76,"Due Soon","Current"))))</f>
        <v/>
      </c>
    </row>
    <row r="762" ht="15" customHeight="1" s="39">
      <c r="A762" s="85" t="n"/>
      <c r="B762" s="85" t="n"/>
      <c r="C762" s="85" t="n"/>
      <c r="D762" s="85" t="n"/>
      <c r="E762" s="85" t="n"/>
      <c r="F762" s="86" t="n"/>
      <c r="G762" s="86" t="n"/>
      <c r="H762" s="85" t="n"/>
      <c r="I762" s="85" t="n"/>
      <c r="J762" s="85" t="n"/>
      <c r="K762" s="85" t="n"/>
      <c r="L762" s="85" t="n"/>
      <c r="M762" s="85" t="n"/>
      <c r="N762" s="85" t="n"/>
      <c r="O762" s="85" t="n"/>
      <c r="P762" s="85" t="n"/>
      <c r="Q762" s="85" t="n"/>
      <c r="R762" s="85" t="n"/>
      <c r="S762" s="85" t="n"/>
      <c r="T762" s="85" t="n"/>
      <c r="U762" s="85" t="n"/>
      <c r="V762" s="85" t="n"/>
      <c r="W762" s="85" t="n"/>
      <c r="X762" s="85" t="n"/>
      <c r="Y762" s="85" t="n"/>
      <c r="Z762" s="85" t="n"/>
      <c r="AA762" s="85" t="n"/>
      <c r="AB762" s="85" t="n"/>
      <c r="AC762" s="86" t="n"/>
      <c r="AD762" s="86" t="n"/>
      <c r="AE762" s="86" t="n"/>
      <c r="AF762" s="85" t="n"/>
      <c r="AG762" s="85" t="n"/>
      <c r="AH762" s="85">
        <f>IF($A762="","",IF(AND($E762="Yes",OR($V762="No",$V762="NOT FOUND")),"YES",""))</f>
        <v/>
      </c>
      <c r="AI762" s="85">
        <f>IF($A762="","",TRIM(IF(AND($M762=0,$I762&lt;&gt;"Yes"),"T0-NoPhishResistant ","")&amp;IF($H762="No","NoMFA ","")&amp;IF(AND($M762=0,$O762="Group only"),"T0-ViaGroupOnly ","")&amp;IF($N762="Yes","BroadAzureScope ","")&amp;IF($T762="Yes","AlsoEntraRole ","")))</f>
        <v/>
      </c>
      <c r="AJ762" s="85">
        <f>IF($A762="","",IF(AD762="","Not Enrolled",IF(TODAY()&gt;AD762,"Review Overdue",IF(AD762-TODAY()&lt;=30,"Review Due Soon","Active"))))</f>
        <v/>
      </c>
      <c r="AK762" s="85">
        <f>IF($A762="","",IF(AE762="","NOT REVIEWED",IF(TODAY()-AE762&gt;90,"OVERDUE",IF(TODAY()-AE762&gt;76,"Due Soon","Current"))))</f>
        <v/>
      </c>
    </row>
    <row r="763" ht="15" customHeight="1" s="39">
      <c r="A763" s="85" t="n"/>
      <c r="B763" s="85" t="n"/>
      <c r="C763" s="85" t="n"/>
      <c r="D763" s="85" t="n"/>
      <c r="E763" s="85" t="n"/>
      <c r="F763" s="86" t="n"/>
      <c r="G763" s="86" t="n"/>
      <c r="H763" s="85" t="n"/>
      <c r="I763" s="85" t="n"/>
      <c r="J763" s="85" t="n"/>
      <c r="K763" s="85" t="n"/>
      <c r="L763" s="85" t="n"/>
      <c r="M763" s="85" t="n"/>
      <c r="N763" s="85" t="n"/>
      <c r="O763" s="85" t="n"/>
      <c r="P763" s="85" t="n"/>
      <c r="Q763" s="85" t="n"/>
      <c r="R763" s="85" t="n"/>
      <c r="S763" s="85" t="n"/>
      <c r="T763" s="85" t="n"/>
      <c r="U763" s="85" t="n"/>
      <c r="V763" s="85" t="n"/>
      <c r="W763" s="85" t="n"/>
      <c r="X763" s="85" t="n"/>
      <c r="Y763" s="85" t="n"/>
      <c r="Z763" s="85" t="n"/>
      <c r="AA763" s="85" t="n"/>
      <c r="AB763" s="85" t="n"/>
      <c r="AC763" s="86" t="n"/>
      <c r="AD763" s="86" t="n"/>
      <c r="AE763" s="86" t="n"/>
      <c r="AF763" s="85" t="n"/>
      <c r="AG763" s="85" t="n"/>
      <c r="AH763" s="85">
        <f>IF($A763="","",IF(AND($E763="Yes",OR($V763="No",$V763="NOT FOUND")),"YES",""))</f>
        <v/>
      </c>
      <c r="AI763" s="85">
        <f>IF($A763="","",TRIM(IF(AND($M763=0,$I763&lt;&gt;"Yes"),"T0-NoPhishResistant ","")&amp;IF($H763="No","NoMFA ","")&amp;IF(AND($M763=0,$O763="Group only"),"T0-ViaGroupOnly ","")&amp;IF($N763="Yes","BroadAzureScope ","")&amp;IF($T763="Yes","AlsoEntraRole ","")))</f>
        <v/>
      </c>
      <c r="AJ763" s="85">
        <f>IF($A763="","",IF(AD763="","Not Enrolled",IF(TODAY()&gt;AD763,"Review Overdue",IF(AD763-TODAY()&lt;=30,"Review Due Soon","Active"))))</f>
        <v/>
      </c>
      <c r="AK763" s="85">
        <f>IF($A763="","",IF(AE763="","NOT REVIEWED",IF(TODAY()-AE763&gt;90,"OVERDUE",IF(TODAY()-AE763&gt;76,"Due Soon","Current"))))</f>
        <v/>
      </c>
    </row>
    <row r="764" ht="15" customHeight="1" s="39">
      <c r="A764" s="85" t="n"/>
      <c r="B764" s="85" t="n"/>
      <c r="C764" s="85" t="n"/>
      <c r="D764" s="85" t="n"/>
      <c r="E764" s="85" t="n"/>
      <c r="F764" s="86" t="n"/>
      <c r="G764" s="86" t="n"/>
      <c r="H764" s="85" t="n"/>
      <c r="I764" s="85" t="n"/>
      <c r="J764" s="85" t="n"/>
      <c r="K764" s="85" t="n"/>
      <c r="L764" s="85" t="n"/>
      <c r="M764" s="85" t="n"/>
      <c r="N764" s="85" t="n"/>
      <c r="O764" s="85" t="n"/>
      <c r="P764" s="85" t="n"/>
      <c r="Q764" s="85" t="n"/>
      <c r="R764" s="85" t="n"/>
      <c r="S764" s="85" t="n"/>
      <c r="T764" s="85" t="n"/>
      <c r="U764" s="85" t="n"/>
      <c r="V764" s="85" t="n"/>
      <c r="W764" s="85" t="n"/>
      <c r="X764" s="85" t="n"/>
      <c r="Y764" s="85" t="n"/>
      <c r="Z764" s="85" t="n"/>
      <c r="AA764" s="85" t="n"/>
      <c r="AB764" s="85" t="n"/>
      <c r="AC764" s="86" t="n"/>
      <c r="AD764" s="86" t="n"/>
      <c r="AE764" s="86" t="n"/>
      <c r="AF764" s="85" t="n"/>
      <c r="AG764" s="85" t="n"/>
      <c r="AH764" s="85">
        <f>IF($A764="","",IF(AND($E764="Yes",OR($V764="No",$V764="NOT FOUND")),"YES",""))</f>
        <v/>
      </c>
      <c r="AI764" s="85">
        <f>IF($A764="","",TRIM(IF(AND($M764=0,$I764&lt;&gt;"Yes"),"T0-NoPhishResistant ","")&amp;IF($H764="No","NoMFA ","")&amp;IF(AND($M764=0,$O764="Group only"),"T0-ViaGroupOnly ","")&amp;IF($N764="Yes","BroadAzureScope ","")&amp;IF($T764="Yes","AlsoEntraRole ","")))</f>
        <v/>
      </c>
      <c r="AJ764" s="85">
        <f>IF($A764="","",IF(AD764="","Not Enrolled",IF(TODAY()&gt;AD764,"Review Overdue",IF(AD764-TODAY()&lt;=30,"Review Due Soon","Active"))))</f>
        <v/>
      </c>
      <c r="AK764" s="85">
        <f>IF($A764="","",IF(AE764="","NOT REVIEWED",IF(TODAY()-AE764&gt;90,"OVERDUE",IF(TODAY()-AE764&gt;76,"Due Soon","Current"))))</f>
        <v/>
      </c>
    </row>
    <row r="765" ht="15" customHeight="1" s="39">
      <c r="A765" s="85" t="n"/>
      <c r="B765" s="85" t="n"/>
      <c r="C765" s="85" t="n"/>
      <c r="D765" s="85" t="n"/>
      <c r="E765" s="85" t="n"/>
      <c r="F765" s="86" t="n"/>
      <c r="G765" s="86" t="n"/>
      <c r="H765" s="85" t="n"/>
      <c r="I765" s="85" t="n"/>
      <c r="J765" s="85" t="n"/>
      <c r="K765" s="85" t="n"/>
      <c r="L765" s="85" t="n"/>
      <c r="M765" s="85" t="n"/>
      <c r="N765" s="85" t="n"/>
      <c r="O765" s="85" t="n"/>
      <c r="P765" s="85" t="n"/>
      <c r="Q765" s="85" t="n"/>
      <c r="R765" s="85" t="n"/>
      <c r="S765" s="85" t="n"/>
      <c r="T765" s="85" t="n"/>
      <c r="U765" s="85" t="n"/>
      <c r="V765" s="85" t="n"/>
      <c r="W765" s="85" t="n"/>
      <c r="X765" s="85" t="n"/>
      <c r="Y765" s="85" t="n"/>
      <c r="Z765" s="85" t="n"/>
      <c r="AA765" s="85" t="n"/>
      <c r="AB765" s="85" t="n"/>
      <c r="AC765" s="86" t="n"/>
      <c r="AD765" s="86" t="n"/>
      <c r="AE765" s="86" t="n"/>
      <c r="AF765" s="85" t="n"/>
      <c r="AG765" s="85" t="n"/>
      <c r="AH765" s="85">
        <f>IF($A765="","",IF(AND($E765="Yes",OR($V765="No",$V765="NOT FOUND")),"YES",""))</f>
        <v/>
      </c>
      <c r="AI765" s="85">
        <f>IF($A765="","",TRIM(IF(AND($M765=0,$I765&lt;&gt;"Yes"),"T0-NoPhishResistant ","")&amp;IF($H765="No","NoMFA ","")&amp;IF(AND($M765=0,$O765="Group only"),"T0-ViaGroupOnly ","")&amp;IF($N765="Yes","BroadAzureScope ","")&amp;IF($T765="Yes","AlsoEntraRole ","")))</f>
        <v/>
      </c>
      <c r="AJ765" s="85">
        <f>IF($A765="","",IF(AD765="","Not Enrolled",IF(TODAY()&gt;AD765,"Review Overdue",IF(AD765-TODAY()&lt;=30,"Review Due Soon","Active"))))</f>
        <v/>
      </c>
      <c r="AK765" s="85">
        <f>IF($A765="","",IF(AE765="","NOT REVIEWED",IF(TODAY()-AE765&gt;90,"OVERDUE",IF(TODAY()-AE765&gt;76,"Due Soon","Current"))))</f>
        <v/>
      </c>
    </row>
    <row r="766" ht="15" customHeight="1" s="39">
      <c r="A766" s="85" t="n"/>
      <c r="B766" s="85" t="n"/>
      <c r="C766" s="85" t="n"/>
      <c r="D766" s="85" t="n"/>
      <c r="E766" s="85" t="n"/>
      <c r="F766" s="86" t="n"/>
      <c r="G766" s="86" t="n"/>
      <c r="H766" s="85" t="n"/>
      <c r="I766" s="85" t="n"/>
      <c r="J766" s="85" t="n"/>
      <c r="K766" s="85" t="n"/>
      <c r="L766" s="85" t="n"/>
      <c r="M766" s="85" t="n"/>
      <c r="N766" s="85" t="n"/>
      <c r="O766" s="85" t="n"/>
      <c r="P766" s="85" t="n"/>
      <c r="Q766" s="85" t="n"/>
      <c r="R766" s="85" t="n"/>
      <c r="S766" s="85" t="n"/>
      <c r="T766" s="85" t="n"/>
      <c r="U766" s="85" t="n"/>
      <c r="V766" s="85" t="n"/>
      <c r="W766" s="85" t="n"/>
      <c r="X766" s="85" t="n"/>
      <c r="Y766" s="85" t="n"/>
      <c r="Z766" s="85" t="n"/>
      <c r="AA766" s="85" t="n"/>
      <c r="AB766" s="85" t="n"/>
      <c r="AC766" s="86" t="n"/>
      <c r="AD766" s="86" t="n"/>
      <c r="AE766" s="86" t="n"/>
      <c r="AF766" s="85" t="n"/>
      <c r="AG766" s="85" t="n"/>
      <c r="AH766" s="85">
        <f>IF($A766="","",IF(AND($E766="Yes",OR($V766="No",$V766="NOT FOUND")),"YES",""))</f>
        <v/>
      </c>
      <c r="AI766" s="85">
        <f>IF($A766="","",TRIM(IF(AND($M766=0,$I766&lt;&gt;"Yes"),"T0-NoPhishResistant ","")&amp;IF($H766="No","NoMFA ","")&amp;IF(AND($M766=0,$O766="Group only"),"T0-ViaGroupOnly ","")&amp;IF($N766="Yes","BroadAzureScope ","")&amp;IF($T766="Yes","AlsoEntraRole ","")))</f>
        <v/>
      </c>
      <c r="AJ766" s="85">
        <f>IF($A766="","",IF(AD766="","Not Enrolled",IF(TODAY()&gt;AD766,"Review Overdue",IF(AD766-TODAY()&lt;=30,"Review Due Soon","Active"))))</f>
        <v/>
      </c>
      <c r="AK766" s="85">
        <f>IF($A766="","",IF(AE766="","NOT REVIEWED",IF(TODAY()-AE766&gt;90,"OVERDUE",IF(TODAY()-AE766&gt;76,"Due Soon","Current"))))</f>
        <v/>
      </c>
    </row>
    <row r="767" ht="15" customHeight="1" s="39">
      <c r="A767" s="85" t="n"/>
      <c r="B767" s="85" t="n"/>
      <c r="C767" s="85" t="n"/>
      <c r="D767" s="85" t="n"/>
      <c r="E767" s="85" t="n"/>
      <c r="F767" s="86" t="n"/>
      <c r="G767" s="86" t="n"/>
      <c r="H767" s="85" t="n"/>
      <c r="I767" s="85" t="n"/>
      <c r="J767" s="85" t="n"/>
      <c r="K767" s="85" t="n"/>
      <c r="L767" s="85" t="n"/>
      <c r="M767" s="85" t="n"/>
      <c r="N767" s="85" t="n"/>
      <c r="O767" s="85" t="n"/>
      <c r="P767" s="85" t="n"/>
      <c r="Q767" s="85" t="n"/>
      <c r="R767" s="85" t="n"/>
      <c r="S767" s="85" t="n"/>
      <c r="T767" s="85" t="n"/>
      <c r="U767" s="85" t="n"/>
      <c r="V767" s="85" t="n"/>
      <c r="W767" s="85" t="n"/>
      <c r="X767" s="85" t="n"/>
      <c r="Y767" s="85" t="n"/>
      <c r="Z767" s="85" t="n"/>
      <c r="AA767" s="85" t="n"/>
      <c r="AB767" s="85" t="n"/>
      <c r="AC767" s="86" t="n"/>
      <c r="AD767" s="86" t="n"/>
      <c r="AE767" s="86" t="n"/>
      <c r="AF767" s="85" t="n"/>
      <c r="AG767" s="85" t="n"/>
      <c r="AH767" s="85">
        <f>IF($A767="","",IF(AND($E767="Yes",OR($V767="No",$V767="NOT FOUND")),"YES",""))</f>
        <v/>
      </c>
      <c r="AI767" s="85">
        <f>IF($A767="","",TRIM(IF(AND($M767=0,$I767&lt;&gt;"Yes"),"T0-NoPhishResistant ","")&amp;IF($H767="No","NoMFA ","")&amp;IF(AND($M767=0,$O767="Group only"),"T0-ViaGroupOnly ","")&amp;IF($N767="Yes","BroadAzureScope ","")&amp;IF($T767="Yes","AlsoEntraRole ","")))</f>
        <v/>
      </c>
      <c r="AJ767" s="85">
        <f>IF($A767="","",IF(AD767="","Not Enrolled",IF(TODAY()&gt;AD767,"Review Overdue",IF(AD767-TODAY()&lt;=30,"Review Due Soon","Active"))))</f>
        <v/>
      </c>
      <c r="AK767" s="85">
        <f>IF($A767="","",IF(AE767="","NOT REVIEWED",IF(TODAY()-AE767&gt;90,"OVERDUE",IF(TODAY()-AE767&gt;76,"Due Soon","Current"))))</f>
        <v/>
      </c>
    </row>
    <row r="768" ht="15" customHeight="1" s="39">
      <c r="A768" s="85" t="n"/>
      <c r="B768" s="85" t="n"/>
      <c r="C768" s="85" t="n"/>
      <c r="D768" s="85" t="n"/>
      <c r="E768" s="85" t="n"/>
      <c r="F768" s="86" t="n"/>
      <c r="G768" s="86" t="n"/>
      <c r="H768" s="85" t="n"/>
      <c r="I768" s="85" t="n"/>
      <c r="J768" s="85" t="n"/>
      <c r="K768" s="85" t="n"/>
      <c r="L768" s="85" t="n"/>
      <c r="M768" s="85" t="n"/>
      <c r="N768" s="85" t="n"/>
      <c r="O768" s="85" t="n"/>
      <c r="P768" s="85" t="n"/>
      <c r="Q768" s="85" t="n"/>
      <c r="R768" s="85" t="n"/>
      <c r="S768" s="85" t="n"/>
      <c r="T768" s="85" t="n"/>
      <c r="U768" s="85" t="n"/>
      <c r="V768" s="85" t="n"/>
      <c r="W768" s="85" t="n"/>
      <c r="X768" s="85" t="n"/>
      <c r="Y768" s="85" t="n"/>
      <c r="Z768" s="85" t="n"/>
      <c r="AA768" s="85" t="n"/>
      <c r="AB768" s="85" t="n"/>
      <c r="AC768" s="86" t="n"/>
      <c r="AD768" s="86" t="n"/>
      <c r="AE768" s="86" t="n"/>
      <c r="AF768" s="85" t="n"/>
      <c r="AG768" s="85" t="n"/>
      <c r="AH768" s="85">
        <f>IF($A768="","",IF(AND($E768="Yes",OR($V768="No",$V768="NOT FOUND")),"YES",""))</f>
        <v/>
      </c>
      <c r="AI768" s="85">
        <f>IF($A768="","",TRIM(IF(AND($M768=0,$I768&lt;&gt;"Yes"),"T0-NoPhishResistant ","")&amp;IF($H768="No","NoMFA ","")&amp;IF(AND($M768=0,$O768="Group only"),"T0-ViaGroupOnly ","")&amp;IF($N768="Yes","BroadAzureScope ","")&amp;IF($T768="Yes","AlsoEntraRole ","")))</f>
        <v/>
      </c>
      <c r="AJ768" s="85">
        <f>IF($A768="","",IF(AD768="","Not Enrolled",IF(TODAY()&gt;AD768,"Review Overdue",IF(AD768-TODAY()&lt;=30,"Review Due Soon","Active"))))</f>
        <v/>
      </c>
      <c r="AK768" s="85">
        <f>IF($A768="","",IF(AE768="","NOT REVIEWED",IF(TODAY()-AE768&gt;90,"OVERDUE",IF(TODAY()-AE768&gt;76,"Due Soon","Current"))))</f>
        <v/>
      </c>
    </row>
    <row r="769" ht="15" customHeight="1" s="39">
      <c r="A769" s="85" t="n"/>
      <c r="B769" s="85" t="n"/>
      <c r="C769" s="85" t="n"/>
      <c r="D769" s="85" t="n"/>
      <c r="E769" s="85" t="n"/>
      <c r="F769" s="86" t="n"/>
      <c r="G769" s="86" t="n"/>
      <c r="H769" s="85" t="n"/>
      <c r="I769" s="85" t="n"/>
      <c r="J769" s="85" t="n"/>
      <c r="K769" s="85" t="n"/>
      <c r="L769" s="85" t="n"/>
      <c r="M769" s="85" t="n"/>
      <c r="N769" s="85" t="n"/>
      <c r="O769" s="85" t="n"/>
      <c r="P769" s="85" t="n"/>
      <c r="Q769" s="85" t="n"/>
      <c r="R769" s="85" t="n"/>
      <c r="S769" s="85" t="n"/>
      <c r="T769" s="85" t="n"/>
      <c r="U769" s="85" t="n"/>
      <c r="V769" s="85" t="n"/>
      <c r="W769" s="85" t="n"/>
      <c r="X769" s="85" t="n"/>
      <c r="Y769" s="85" t="n"/>
      <c r="Z769" s="85" t="n"/>
      <c r="AA769" s="85" t="n"/>
      <c r="AB769" s="85" t="n"/>
      <c r="AC769" s="86" t="n"/>
      <c r="AD769" s="86" t="n"/>
      <c r="AE769" s="86" t="n"/>
      <c r="AF769" s="85" t="n"/>
      <c r="AG769" s="85" t="n"/>
      <c r="AH769" s="85">
        <f>IF($A769="","",IF(AND($E769="Yes",OR($V769="No",$V769="NOT FOUND")),"YES",""))</f>
        <v/>
      </c>
      <c r="AI769" s="85">
        <f>IF($A769="","",TRIM(IF(AND($M769=0,$I769&lt;&gt;"Yes"),"T0-NoPhishResistant ","")&amp;IF($H769="No","NoMFA ","")&amp;IF(AND($M769=0,$O769="Group only"),"T0-ViaGroupOnly ","")&amp;IF($N769="Yes","BroadAzureScope ","")&amp;IF($T769="Yes","AlsoEntraRole ","")))</f>
        <v/>
      </c>
      <c r="AJ769" s="85">
        <f>IF($A769="","",IF(AD769="","Not Enrolled",IF(TODAY()&gt;AD769,"Review Overdue",IF(AD769-TODAY()&lt;=30,"Review Due Soon","Active"))))</f>
        <v/>
      </c>
      <c r="AK769" s="85">
        <f>IF($A769="","",IF(AE769="","NOT REVIEWED",IF(TODAY()-AE769&gt;90,"OVERDUE",IF(TODAY()-AE769&gt;76,"Due Soon","Current"))))</f>
        <v/>
      </c>
    </row>
    <row r="770" ht="15" customHeight="1" s="39">
      <c r="A770" s="85" t="n"/>
      <c r="B770" s="85" t="n"/>
      <c r="C770" s="85" t="n"/>
      <c r="D770" s="85" t="n"/>
      <c r="E770" s="85" t="n"/>
      <c r="F770" s="86" t="n"/>
      <c r="G770" s="86" t="n"/>
      <c r="H770" s="85" t="n"/>
      <c r="I770" s="85" t="n"/>
      <c r="J770" s="85" t="n"/>
      <c r="K770" s="85" t="n"/>
      <c r="L770" s="85" t="n"/>
      <c r="M770" s="85" t="n"/>
      <c r="N770" s="85" t="n"/>
      <c r="O770" s="85" t="n"/>
      <c r="P770" s="85" t="n"/>
      <c r="Q770" s="85" t="n"/>
      <c r="R770" s="85" t="n"/>
      <c r="S770" s="85" t="n"/>
      <c r="T770" s="85" t="n"/>
      <c r="U770" s="85" t="n"/>
      <c r="V770" s="85" t="n"/>
      <c r="W770" s="85" t="n"/>
      <c r="X770" s="85" t="n"/>
      <c r="Y770" s="85" t="n"/>
      <c r="Z770" s="85" t="n"/>
      <c r="AA770" s="85" t="n"/>
      <c r="AB770" s="85" t="n"/>
      <c r="AC770" s="86" t="n"/>
      <c r="AD770" s="86" t="n"/>
      <c r="AE770" s="86" t="n"/>
      <c r="AF770" s="85" t="n"/>
      <c r="AG770" s="85" t="n"/>
      <c r="AH770" s="85">
        <f>IF($A770="","",IF(AND($E770="Yes",OR($V770="No",$V770="NOT FOUND")),"YES",""))</f>
        <v/>
      </c>
      <c r="AI770" s="85">
        <f>IF($A770="","",TRIM(IF(AND($M770=0,$I770&lt;&gt;"Yes"),"T0-NoPhishResistant ","")&amp;IF($H770="No","NoMFA ","")&amp;IF(AND($M770=0,$O770="Group only"),"T0-ViaGroupOnly ","")&amp;IF($N770="Yes","BroadAzureScope ","")&amp;IF($T770="Yes","AlsoEntraRole ","")))</f>
        <v/>
      </c>
      <c r="AJ770" s="85">
        <f>IF($A770="","",IF(AD770="","Not Enrolled",IF(TODAY()&gt;AD770,"Review Overdue",IF(AD770-TODAY()&lt;=30,"Review Due Soon","Active"))))</f>
        <v/>
      </c>
      <c r="AK770" s="85">
        <f>IF($A770="","",IF(AE770="","NOT REVIEWED",IF(TODAY()-AE770&gt;90,"OVERDUE",IF(TODAY()-AE770&gt;76,"Due Soon","Current"))))</f>
        <v/>
      </c>
    </row>
    <row r="771" ht="15" customHeight="1" s="39">
      <c r="A771" s="85" t="n"/>
      <c r="B771" s="85" t="n"/>
      <c r="C771" s="85" t="n"/>
      <c r="D771" s="85" t="n"/>
      <c r="E771" s="85" t="n"/>
      <c r="F771" s="86" t="n"/>
      <c r="G771" s="86" t="n"/>
      <c r="H771" s="85" t="n"/>
      <c r="I771" s="85" t="n"/>
      <c r="J771" s="85" t="n"/>
      <c r="K771" s="85" t="n"/>
      <c r="L771" s="85" t="n"/>
      <c r="M771" s="85" t="n"/>
      <c r="N771" s="85" t="n"/>
      <c r="O771" s="85" t="n"/>
      <c r="P771" s="85" t="n"/>
      <c r="Q771" s="85" t="n"/>
      <c r="R771" s="85" t="n"/>
      <c r="S771" s="85" t="n"/>
      <c r="T771" s="85" t="n"/>
      <c r="U771" s="85" t="n"/>
      <c r="V771" s="85" t="n"/>
      <c r="W771" s="85" t="n"/>
      <c r="X771" s="85" t="n"/>
      <c r="Y771" s="85" t="n"/>
      <c r="Z771" s="85" t="n"/>
      <c r="AA771" s="85" t="n"/>
      <c r="AB771" s="85" t="n"/>
      <c r="AC771" s="86" t="n"/>
      <c r="AD771" s="86" t="n"/>
      <c r="AE771" s="86" t="n"/>
      <c r="AF771" s="85" t="n"/>
      <c r="AG771" s="85" t="n"/>
      <c r="AH771" s="85">
        <f>IF($A771="","",IF(AND($E771="Yes",OR($V771="No",$V771="NOT FOUND")),"YES",""))</f>
        <v/>
      </c>
      <c r="AI771" s="85">
        <f>IF($A771="","",TRIM(IF(AND($M771=0,$I771&lt;&gt;"Yes"),"T0-NoPhishResistant ","")&amp;IF($H771="No","NoMFA ","")&amp;IF(AND($M771=0,$O771="Group only"),"T0-ViaGroupOnly ","")&amp;IF($N771="Yes","BroadAzureScope ","")&amp;IF($T771="Yes","AlsoEntraRole ","")))</f>
        <v/>
      </c>
      <c r="AJ771" s="85">
        <f>IF($A771="","",IF(AD771="","Not Enrolled",IF(TODAY()&gt;AD771,"Review Overdue",IF(AD771-TODAY()&lt;=30,"Review Due Soon","Active"))))</f>
        <v/>
      </c>
      <c r="AK771" s="85">
        <f>IF($A771="","",IF(AE771="","NOT REVIEWED",IF(TODAY()-AE771&gt;90,"OVERDUE",IF(TODAY()-AE771&gt;76,"Due Soon","Current"))))</f>
        <v/>
      </c>
    </row>
    <row r="772" ht="15" customHeight="1" s="39">
      <c r="A772" s="85" t="n"/>
      <c r="B772" s="85" t="n"/>
      <c r="C772" s="85" t="n"/>
      <c r="D772" s="85" t="n"/>
      <c r="E772" s="85" t="n"/>
      <c r="F772" s="86" t="n"/>
      <c r="G772" s="86" t="n"/>
      <c r="H772" s="85" t="n"/>
      <c r="I772" s="85" t="n"/>
      <c r="J772" s="85" t="n"/>
      <c r="K772" s="85" t="n"/>
      <c r="L772" s="85" t="n"/>
      <c r="M772" s="85" t="n"/>
      <c r="N772" s="85" t="n"/>
      <c r="O772" s="85" t="n"/>
      <c r="P772" s="85" t="n"/>
      <c r="Q772" s="85" t="n"/>
      <c r="R772" s="85" t="n"/>
      <c r="S772" s="85" t="n"/>
      <c r="T772" s="85" t="n"/>
      <c r="U772" s="85" t="n"/>
      <c r="V772" s="85" t="n"/>
      <c r="W772" s="85" t="n"/>
      <c r="X772" s="85" t="n"/>
      <c r="Y772" s="85" t="n"/>
      <c r="Z772" s="85" t="n"/>
      <c r="AA772" s="85" t="n"/>
      <c r="AB772" s="85" t="n"/>
      <c r="AC772" s="86" t="n"/>
      <c r="AD772" s="86" t="n"/>
      <c r="AE772" s="86" t="n"/>
      <c r="AF772" s="85" t="n"/>
      <c r="AG772" s="85" t="n"/>
      <c r="AH772" s="85">
        <f>IF($A772="","",IF(AND($E772="Yes",OR($V772="No",$V772="NOT FOUND")),"YES",""))</f>
        <v/>
      </c>
      <c r="AI772" s="85">
        <f>IF($A772="","",TRIM(IF(AND($M772=0,$I772&lt;&gt;"Yes"),"T0-NoPhishResistant ","")&amp;IF($H772="No","NoMFA ","")&amp;IF(AND($M772=0,$O772="Group only"),"T0-ViaGroupOnly ","")&amp;IF($N772="Yes","BroadAzureScope ","")&amp;IF($T772="Yes","AlsoEntraRole ","")))</f>
        <v/>
      </c>
      <c r="AJ772" s="85">
        <f>IF($A772="","",IF(AD772="","Not Enrolled",IF(TODAY()&gt;AD772,"Review Overdue",IF(AD772-TODAY()&lt;=30,"Review Due Soon","Active"))))</f>
        <v/>
      </c>
      <c r="AK772" s="85">
        <f>IF($A772="","",IF(AE772="","NOT REVIEWED",IF(TODAY()-AE772&gt;90,"OVERDUE",IF(TODAY()-AE772&gt;76,"Due Soon","Current"))))</f>
        <v/>
      </c>
    </row>
    <row r="773" ht="15" customHeight="1" s="39">
      <c r="A773" s="85" t="n"/>
      <c r="B773" s="85" t="n"/>
      <c r="C773" s="85" t="n"/>
      <c r="D773" s="85" t="n"/>
      <c r="E773" s="85" t="n"/>
      <c r="F773" s="86" t="n"/>
      <c r="G773" s="86" t="n"/>
      <c r="H773" s="85" t="n"/>
      <c r="I773" s="85" t="n"/>
      <c r="J773" s="85" t="n"/>
      <c r="K773" s="85" t="n"/>
      <c r="L773" s="85" t="n"/>
      <c r="M773" s="85" t="n"/>
      <c r="N773" s="85" t="n"/>
      <c r="O773" s="85" t="n"/>
      <c r="P773" s="85" t="n"/>
      <c r="Q773" s="85" t="n"/>
      <c r="R773" s="85" t="n"/>
      <c r="S773" s="85" t="n"/>
      <c r="T773" s="85" t="n"/>
      <c r="U773" s="85" t="n"/>
      <c r="V773" s="85" t="n"/>
      <c r="W773" s="85" t="n"/>
      <c r="X773" s="85" t="n"/>
      <c r="Y773" s="85" t="n"/>
      <c r="Z773" s="85" t="n"/>
      <c r="AA773" s="85" t="n"/>
      <c r="AB773" s="85" t="n"/>
      <c r="AC773" s="86" t="n"/>
      <c r="AD773" s="86" t="n"/>
      <c r="AE773" s="86" t="n"/>
      <c r="AF773" s="85" t="n"/>
      <c r="AG773" s="85" t="n"/>
      <c r="AH773" s="85">
        <f>IF($A773="","",IF(AND($E773="Yes",OR($V773="No",$V773="NOT FOUND")),"YES",""))</f>
        <v/>
      </c>
      <c r="AI773" s="85">
        <f>IF($A773="","",TRIM(IF(AND($M773=0,$I773&lt;&gt;"Yes"),"T0-NoPhishResistant ","")&amp;IF($H773="No","NoMFA ","")&amp;IF(AND($M773=0,$O773="Group only"),"T0-ViaGroupOnly ","")&amp;IF($N773="Yes","BroadAzureScope ","")&amp;IF($T773="Yes","AlsoEntraRole ","")))</f>
        <v/>
      </c>
      <c r="AJ773" s="85">
        <f>IF($A773="","",IF(AD773="","Not Enrolled",IF(TODAY()&gt;AD773,"Review Overdue",IF(AD773-TODAY()&lt;=30,"Review Due Soon","Active"))))</f>
        <v/>
      </c>
      <c r="AK773" s="85">
        <f>IF($A773="","",IF(AE773="","NOT REVIEWED",IF(TODAY()-AE773&gt;90,"OVERDUE",IF(TODAY()-AE773&gt;76,"Due Soon","Current"))))</f>
        <v/>
      </c>
    </row>
    <row r="774" ht="15" customHeight="1" s="39">
      <c r="A774" s="85" t="n"/>
      <c r="B774" s="85" t="n"/>
      <c r="C774" s="85" t="n"/>
      <c r="D774" s="85" t="n"/>
      <c r="E774" s="85" t="n"/>
      <c r="F774" s="86" t="n"/>
      <c r="G774" s="86" t="n"/>
      <c r="H774" s="85" t="n"/>
      <c r="I774" s="85" t="n"/>
      <c r="J774" s="85" t="n"/>
      <c r="K774" s="85" t="n"/>
      <c r="L774" s="85" t="n"/>
      <c r="M774" s="85" t="n"/>
      <c r="N774" s="85" t="n"/>
      <c r="O774" s="85" t="n"/>
      <c r="P774" s="85" t="n"/>
      <c r="Q774" s="85" t="n"/>
      <c r="R774" s="85" t="n"/>
      <c r="S774" s="85" t="n"/>
      <c r="T774" s="85" t="n"/>
      <c r="U774" s="85" t="n"/>
      <c r="V774" s="85" t="n"/>
      <c r="W774" s="85" t="n"/>
      <c r="X774" s="85" t="n"/>
      <c r="Y774" s="85" t="n"/>
      <c r="Z774" s="85" t="n"/>
      <c r="AA774" s="85" t="n"/>
      <c r="AB774" s="85" t="n"/>
      <c r="AC774" s="86" t="n"/>
      <c r="AD774" s="86" t="n"/>
      <c r="AE774" s="86" t="n"/>
      <c r="AF774" s="85" t="n"/>
      <c r="AG774" s="85" t="n"/>
      <c r="AH774" s="85">
        <f>IF($A774="","",IF(AND($E774="Yes",OR($V774="No",$V774="NOT FOUND")),"YES",""))</f>
        <v/>
      </c>
      <c r="AI774" s="85">
        <f>IF($A774="","",TRIM(IF(AND($M774=0,$I774&lt;&gt;"Yes"),"T0-NoPhishResistant ","")&amp;IF($H774="No","NoMFA ","")&amp;IF(AND($M774=0,$O774="Group only"),"T0-ViaGroupOnly ","")&amp;IF($N774="Yes","BroadAzureScope ","")&amp;IF($T774="Yes","AlsoEntraRole ","")))</f>
        <v/>
      </c>
      <c r="AJ774" s="85">
        <f>IF($A774="","",IF(AD774="","Not Enrolled",IF(TODAY()&gt;AD774,"Review Overdue",IF(AD774-TODAY()&lt;=30,"Review Due Soon","Active"))))</f>
        <v/>
      </c>
      <c r="AK774" s="85">
        <f>IF($A774="","",IF(AE774="","NOT REVIEWED",IF(TODAY()-AE774&gt;90,"OVERDUE",IF(TODAY()-AE774&gt;76,"Due Soon","Current"))))</f>
        <v/>
      </c>
    </row>
    <row r="775" ht="15" customHeight="1" s="39">
      <c r="A775" s="85" t="n"/>
      <c r="B775" s="85" t="n"/>
      <c r="C775" s="85" t="n"/>
      <c r="D775" s="85" t="n"/>
      <c r="E775" s="85" t="n"/>
      <c r="F775" s="86" t="n"/>
      <c r="G775" s="86" t="n"/>
      <c r="H775" s="85" t="n"/>
      <c r="I775" s="85" t="n"/>
      <c r="J775" s="85" t="n"/>
      <c r="K775" s="85" t="n"/>
      <c r="L775" s="85" t="n"/>
      <c r="M775" s="85" t="n"/>
      <c r="N775" s="85" t="n"/>
      <c r="O775" s="85" t="n"/>
      <c r="P775" s="85" t="n"/>
      <c r="Q775" s="85" t="n"/>
      <c r="R775" s="85" t="n"/>
      <c r="S775" s="85" t="n"/>
      <c r="T775" s="85" t="n"/>
      <c r="U775" s="85" t="n"/>
      <c r="V775" s="85" t="n"/>
      <c r="W775" s="85" t="n"/>
      <c r="X775" s="85" t="n"/>
      <c r="Y775" s="85" t="n"/>
      <c r="Z775" s="85" t="n"/>
      <c r="AA775" s="85" t="n"/>
      <c r="AB775" s="85" t="n"/>
      <c r="AC775" s="86" t="n"/>
      <c r="AD775" s="86" t="n"/>
      <c r="AE775" s="86" t="n"/>
      <c r="AF775" s="85" t="n"/>
      <c r="AG775" s="85" t="n"/>
      <c r="AH775" s="85">
        <f>IF($A775="","",IF(AND($E775="Yes",OR($V775="No",$V775="NOT FOUND")),"YES",""))</f>
        <v/>
      </c>
      <c r="AI775" s="85">
        <f>IF($A775="","",TRIM(IF(AND($M775=0,$I775&lt;&gt;"Yes"),"T0-NoPhishResistant ","")&amp;IF($H775="No","NoMFA ","")&amp;IF(AND($M775=0,$O775="Group only"),"T0-ViaGroupOnly ","")&amp;IF($N775="Yes","BroadAzureScope ","")&amp;IF($T775="Yes","AlsoEntraRole ","")))</f>
        <v/>
      </c>
      <c r="AJ775" s="85">
        <f>IF($A775="","",IF(AD775="","Not Enrolled",IF(TODAY()&gt;AD775,"Review Overdue",IF(AD775-TODAY()&lt;=30,"Review Due Soon","Active"))))</f>
        <v/>
      </c>
      <c r="AK775" s="85">
        <f>IF($A775="","",IF(AE775="","NOT REVIEWED",IF(TODAY()-AE775&gt;90,"OVERDUE",IF(TODAY()-AE775&gt;76,"Due Soon","Current"))))</f>
        <v/>
      </c>
    </row>
    <row r="776" ht="15" customHeight="1" s="39">
      <c r="A776" s="85" t="n"/>
      <c r="B776" s="85" t="n"/>
      <c r="C776" s="85" t="n"/>
      <c r="D776" s="85" t="n"/>
      <c r="E776" s="85" t="n"/>
      <c r="F776" s="86" t="n"/>
      <c r="G776" s="86" t="n"/>
      <c r="H776" s="85" t="n"/>
      <c r="I776" s="85" t="n"/>
      <c r="J776" s="85" t="n"/>
      <c r="K776" s="85" t="n"/>
      <c r="L776" s="85" t="n"/>
      <c r="M776" s="85" t="n"/>
      <c r="N776" s="85" t="n"/>
      <c r="O776" s="85" t="n"/>
      <c r="P776" s="85" t="n"/>
      <c r="Q776" s="85" t="n"/>
      <c r="R776" s="85" t="n"/>
      <c r="S776" s="85" t="n"/>
      <c r="T776" s="85" t="n"/>
      <c r="U776" s="85" t="n"/>
      <c r="V776" s="85" t="n"/>
      <c r="W776" s="85" t="n"/>
      <c r="X776" s="85" t="n"/>
      <c r="Y776" s="85" t="n"/>
      <c r="Z776" s="85" t="n"/>
      <c r="AA776" s="85" t="n"/>
      <c r="AB776" s="85" t="n"/>
      <c r="AC776" s="86" t="n"/>
      <c r="AD776" s="86" t="n"/>
      <c r="AE776" s="86" t="n"/>
      <c r="AF776" s="85" t="n"/>
      <c r="AG776" s="85" t="n"/>
      <c r="AH776" s="85">
        <f>IF($A776="","",IF(AND($E776="Yes",OR($V776="No",$V776="NOT FOUND")),"YES",""))</f>
        <v/>
      </c>
      <c r="AI776" s="85">
        <f>IF($A776="","",TRIM(IF(AND($M776=0,$I776&lt;&gt;"Yes"),"T0-NoPhishResistant ","")&amp;IF($H776="No","NoMFA ","")&amp;IF(AND($M776=0,$O776="Group only"),"T0-ViaGroupOnly ","")&amp;IF($N776="Yes","BroadAzureScope ","")&amp;IF($T776="Yes","AlsoEntraRole ","")))</f>
        <v/>
      </c>
      <c r="AJ776" s="85">
        <f>IF($A776="","",IF(AD776="","Not Enrolled",IF(TODAY()&gt;AD776,"Review Overdue",IF(AD776-TODAY()&lt;=30,"Review Due Soon","Active"))))</f>
        <v/>
      </c>
      <c r="AK776" s="85">
        <f>IF($A776="","",IF(AE776="","NOT REVIEWED",IF(TODAY()-AE776&gt;90,"OVERDUE",IF(TODAY()-AE776&gt;76,"Due Soon","Current"))))</f>
        <v/>
      </c>
    </row>
    <row r="777" ht="15" customHeight="1" s="39">
      <c r="A777" s="85" t="n"/>
      <c r="B777" s="85" t="n"/>
      <c r="C777" s="85" t="n"/>
      <c r="D777" s="85" t="n"/>
      <c r="E777" s="85" t="n"/>
      <c r="F777" s="86" t="n"/>
      <c r="G777" s="86" t="n"/>
      <c r="H777" s="85" t="n"/>
      <c r="I777" s="85" t="n"/>
      <c r="J777" s="85" t="n"/>
      <c r="K777" s="85" t="n"/>
      <c r="L777" s="85" t="n"/>
      <c r="M777" s="85" t="n"/>
      <c r="N777" s="85" t="n"/>
      <c r="O777" s="85" t="n"/>
      <c r="P777" s="85" t="n"/>
      <c r="Q777" s="85" t="n"/>
      <c r="R777" s="85" t="n"/>
      <c r="S777" s="85" t="n"/>
      <c r="T777" s="85" t="n"/>
      <c r="U777" s="85" t="n"/>
      <c r="V777" s="85" t="n"/>
      <c r="W777" s="85" t="n"/>
      <c r="X777" s="85" t="n"/>
      <c r="Y777" s="85" t="n"/>
      <c r="Z777" s="85" t="n"/>
      <c r="AA777" s="85" t="n"/>
      <c r="AB777" s="85" t="n"/>
      <c r="AC777" s="86" t="n"/>
      <c r="AD777" s="86" t="n"/>
      <c r="AE777" s="86" t="n"/>
      <c r="AF777" s="85" t="n"/>
      <c r="AG777" s="85" t="n"/>
      <c r="AH777" s="85">
        <f>IF($A777="","",IF(AND($E777="Yes",OR($V777="No",$V777="NOT FOUND")),"YES",""))</f>
        <v/>
      </c>
      <c r="AI777" s="85">
        <f>IF($A777="","",TRIM(IF(AND($M777=0,$I777&lt;&gt;"Yes"),"T0-NoPhishResistant ","")&amp;IF($H777="No","NoMFA ","")&amp;IF(AND($M777=0,$O777="Group only"),"T0-ViaGroupOnly ","")&amp;IF($N777="Yes","BroadAzureScope ","")&amp;IF($T777="Yes","AlsoEntraRole ","")))</f>
        <v/>
      </c>
      <c r="AJ777" s="85">
        <f>IF($A777="","",IF(AD777="","Not Enrolled",IF(TODAY()&gt;AD777,"Review Overdue",IF(AD777-TODAY()&lt;=30,"Review Due Soon","Active"))))</f>
        <v/>
      </c>
      <c r="AK777" s="85">
        <f>IF($A777="","",IF(AE777="","NOT REVIEWED",IF(TODAY()-AE777&gt;90,"OVERDUE",IF(TODAY()-AE777&gt;76,"Due Soon","Current"))))</f>
        <v/>
      </c>
    </row>
    <row r="778" ht="15" customHeight="1" s="39">
      <c r="A778" s="85" t="n"/>
      <c r="B778" s="85" t="n"/>
      <c r="C778" s="85" t="n"/>
      <c r="D778" s="85" t="n"/>
      <c r="E778" s="85" t="n"/>
      <c r="F778" s="86" t="n"/>
      <c r="G778" s="86" t="n"/>
      <c r="H778" s="85" t="n"/>
      <c r="I778" s="85" t="n"/>
      <c r="J778" s="85" t="n"/>
      <c r="K778" s="85" t="n"/>
      <c r="L778" s="85" t="n"/>
      <c r="M778" s="85" t="n"/>
      <c r="N778" s="85" t="n"/>
      <c r="O778" s="85" t="n"/>
      <c r="P778" s="85" t="n"/>
      <c r="Q778" s="85" t="n"/>
      <c r="R778" s="85" t="n"/>
      <c r="S778" s="85" t="n"/>
      <c r="T778" s="85" t="n"/>
      <c r="U778" s="85" t="n"/>
      <c r="V778" s="85" t="n"/>
      <c r="W778" s="85" t="n"/>
      <c r="X778" s="85" t="n"/>
      <c r="Y778" s="85" t="n"/>
      <c r="Z778" s="85" t="n"/>
      <c r="AA778" s="85" t="n"/>
      <c r="AB778" s="85" t="n"/>
      <c r="AC778" s="86" t="n"/>
      <c r="AD778" s="86" t="n"/>
      <c r="AE778" s="86" t="n"/>
      <c r="AF778" s="85" t="n"/>
      <c r="AG778" s="85" t="n"/>
      <c r="AH778" s="85">
        <f>IF($A778="","",IF(AND($E778="Yes",OR($V778="No",$V778="NOT FOUND")),"YES",""))</f>
        <v/>
      </c>
      <c r="AI778" s="85">
        <f>IF($A778="","",TRIM(IF(AND($M778=0,$I778&lt;&gt;"Yes"),"T0-NoPhishResistant ","")&amp;IF($H778="No","NoMFA ","")&amp;IF(AND($M778=0,$O778="Group only"),"T0-ViaGroupOnly ","")&amp;IF($N778="Yes","BroadAzureScope ","")&amp;IF($T778="Yes","AlsoEntraRole ","")))</f>
        <v/>
      </c>
      <c r="AJ778" s="85">
        <f>IF($A778="","",IF(AD778="","Not Enrolled",IF(TODAY()&gt;AD778,"Review Overdue",IF(AD778-TODAY()&lt;=30,"Review Due Soon","Active"))))</f>
        <v/>
      </c>
      <c r="AK778" s="85">
        <f>IF($A778="","",IF(AE778="","NOT REVIEWED",IF(TODAY()-AE778&gt;90,"OVERDUE",IF(TODAY()-AE778&gt;76,"Due Soon","Current"))))</f>
        <v/>
      </c>
    </row>
    <row r="779" ht="15" customHeight="1" s="39">
      <c r="A779" s="85" t="n"/>
      <c r="B779" s="85" t="n"/>
      <c r="C779" s="85" t="n"/>
      <c r="D779" s="85" t="n"/>
      <c r="E779" s="85" t="n"/>
      <c r="F779" s="86" t="n"/>
      <c r="G779" s="86" t="n"/>
      <c r="H779" s="85" t="n"/>
      <c r="I779" s="85" t="n"/>
      <c r="J779" s="85" t="n"/>
      <c r="K779" s="85" t="n"/>
      <c r="L779" s="85" t="n"/>
      <c r="M779" s="85" t="n"/>
      <c r="N779" s="85" t="n"/>
      <c r="O779" s="85" t="n"/>
      <c r="P779" s="85" t="n"/>
      <c r="Q779" s="85" t="n"/>
      <c r="R779" s="85" t="n"/>
      <c r="S779" s="85" t="n"/>
      <c r="T779" s="85" t="n"/>
      <c r="U779" s="85" t="n"/>
      <c r="V779" s="85" t="n"/>
      <c r="W779" s="85" t="n"/>
      <c r="X779" s="85" t="n"/>
      <c r="Y779" s="85" t="n"/>
      <c r="Z779" s="85" t="n"/>
      <c r="AA779" s="85" t="n"/>
      <c r="AB779" s="85" t="n"/>
      <c r="AC779" s="86" t="n"/>
      <c r="AD779" s="86" t="n"/>
      <c r="AE779" s="86" t="n"/>
      <c r="AF779" s="85" t="n"/>
      <c r="AG779" s="85" t="n"/>
      <c r="AH779" s="85">
        <f>IF($A779="","",IF(AND($E779="Yes",OR($V779="No",$V779="NOT FOUND")),"YES",""))</f>
        <v/>
      </c>
      <c r="AI779" s="85">
        <f>IF($A779="","",TRIM(IF(AND($M779=0,$I779&lt;&gt;"Yes"),"T0-NoPhishResistant ","")&amp;IF($H779="No","NoMFA ","")&amp;IF(AND($M779=0,$O779="Group only"),"T0-ViaGroupOnly ","")&amp;IF($N779="Yes","BroadAzureScope ","")&amp;IF($T779="Yes","AlsoEntraRole ","")))</f>
        <v/>
      </c>
      <c r="AJ779" s="85">
        <f>IF($A779="","",IF(AD779="","Not Enrolled",IF(TODAY()&gt;AD779,"Review Overdue",IF(AD779-TODAY()&lt;=30,"Review Due Soon","Active"))))</f>
        <v/>
      </c>
      <c r="AK779" s="85">
        <f>IF($A779="","",IF(AE779="","NOT REVIEWED",IF(TODAY()-AE779&gt;90,"OVERDUE",IF(TODAY()-AE779&gt;76,"Due Soon","Current"))))</f>
        <v/>
      </c>
    </row>
    <row r="780" ht="15" customHeight="1" s="39">
      <c r="A780" s="85" t="n"/>
      <c r="B780" s="85" t="n"/>
      <c r="C780" s="85" t="n"/>
      <c r="D780" s="85" t="n"/>
      <c r="E780" s="85" t="n"/>
      <c r="F780" s="86" t="n"/>
      <c r="G780" s="86" t="n"/>
      <c r="H780" s="85" t="n"/>
      <c r="I780" s="85" t="n"/>
      <c r="J780" s="85" t="n"/>
      <c r="K780" s="85" t="n"/>
      <c r="L780" s="85" t="n"/>
      <c r="M780" s="85" t="n"/>
      <c r="N780" s="85" t="n"/>
      <c r="O780" s="85" t="n"/>
      <c r="P780" s="85" t="n"/>
      <c r="Q780" s="85" t="n"/>
      <c r="R780" s="85" t="n"/>
      <c r="S780" s="85" t="n"/>
      <c r="T780" s="85" t="n"/>
      <c r="U780" s="85" t="n"/>
      <c r="V780" s="85" t="n"/>
      <c r="W780" s="85" t="n"/>
      <c r="X780" s="85" t="n"/>
      <c r="Y780" s="85" t="n"/>
      <c r="Z780" s="85" t="n"/>
      <c r="AA780" s="85" t="n"/>
      <c r="AB780" s="85" t="n"/>
      <c r="AC780" s="86" t="n"/>
      <c r="AD780" s="86" t="n"/>
      <c r="AE780" s="86" t="n"/>
      <c r="AF780" s="85" t="n"/>
      <c r="AG780" s="85" t="n"/>
      <c r="AH780" s="85">
        <f>IF($A780="","",IF(AND($E780="Yes",OR($V780="No",$V780="NOT FOUND")),"YES",""))</f>
        <v/>
      </c>
      <c r="AI780" s="85">
        <f>IF($A780="","",TRIM(IF(AND($M780=0,$I780&lt;&gt;"Yes"),"T0-NoPhishResistant ","")&amp;IF($H780="No","NoMFA ","")&amp;IF(AND($M780=0,$O780="Group only"),"T0-ViaGroupOnly ","")&amp;IF($N780="Yes","BroadAzureScope ","")&amp;IF($T780="Yes","AlsoEntraRole ","")))</f>
        <v/>
      </c>
      <c r="AJ780" s="85">
        <f>IF($A780="","",IF(AD780="","Not Enrolled",IF(TODAY()&gt;AD780,"Review Overdue",IF(AD780-TODAY()&lt;=30,"Review Due Soon","Active"))))</f>
        <v/>
      </c>
      <c r="AK780" s="85">
        <f>IF($A780="","",IF(AE780="","NOT REVIEWED",IF(TODAY()-AE780&gt;90,"OVERDUE",IF(TODAY()-AE780&gt;76,"Due Soon","Current"))))</f>
        <v/>
      </c>
    </row>
    <row r="781" ht="15" customHeight="1" s="39">
      <c r="A781" s="85" t="n"/>
      <c r="B781" s="85" t="n"/>
      <c r="C781" s="85" t="n"/>
      <c r="D781" s="85" t="n"/>
      <c r="E781" s="85" t="n"/>
      <c r="F781" s="86" t="n"/>
      <c r="G781" s="86" t="n"/>
      <c r="H781" s="85" t="n"/>
      <c r="I781" s="85" t="n"/>
      <c r="J781" s="85" t="n"/>
      <c r="K781" s="85" t="n"/>
      <c r="L781" s="85" t="n"/>
      <c r="M781" s="85" t="n"/>
      <c r="N781" s="85" t="n"/>
      <c r="O781" s="85" t="n"/>
      <c r="P781" s="85" t="n"/>
      <c r="Q781" s="85" t="n"/>
      <c r="R781" s="85" t="n"/>
      <c r="S781" s="85" t="n"/>
      <c r="T781" s="85" t="n"/>
      <c r="U781" s="85" t="n"/>
      <c r="V781" s="85" t="n"/>
      <c r="W781" s="85" t="n"/>
      <c r="X781" s="85" t="n"/>
      <c r="Y781" s="85" t="n"/>
      <c r="Z781" s="85" t="n"/>
      <c r="AA781" s="85" t="n"/>
      <c r="AB781" s="85" t="n"/>
      <c r="AC781" s="86" t="n"/>
      <c r="AD781" s="86" t="n"/>
      <c r="AE781" s="86" t="n"/>
      <c r="AF781" s="85" t="n"/>
      <c r="AG781" s="85" t="n"/>
      <c r="AH781" s="85">
        <f>IF($A781="","",IF(AND($E781="Yes",OR($V781="No",$V781="NOT FOUND")),"YES",""))</f>
        <v/>
      </c>
      <c r="AI781" s="85">
        <f>IF($A781="","",TRIM(IF(AND($M781=0,$I781&lt;&gt;"Yes"),"T0-NoPhishResistant ","")&amp;IF($H781="No","NoMFA ","")&amp;IF(AND($M781=0,$O781="Group only"),"T0-ViaGroupOnly ","")&amp;IF($N781="Yes","BroadAzureScope ","")&amp;IF($T781="Yes","AlsoEntraRole ","")))</f>
        <v/>
      </c>
      <c r="AJ781" s="85">
        <f>IF($A781="","",IF(AD781="","Not Enrolled",IF(TODAY()&gt;AD781,"Review Overdue",IF(AD781-TODAY()&lt;=30,"Review Due Soon","Active"))))</f>
        <v/>
      </c>
      <c r="AK781" s="85">
        <f>IF($A781="","",IF(AE781="","NOT REVIEWED",IF(TODAY()-AE781&gt;90,"OVERDUE",IF(TODAY()-AE781&gt;76,"Due Soon","Current"))))</f>
        <v/>
      </c>
    </row>
    <row r="782" ht="15" customHeight="1" s="39">
      <c r="A782" s="85" t="n"/>
      <c r="B782" s="85" t="n"/>
      <c r="C782" s="85" t="n"/>
      <c r="D782" s="85" t="n"/>
      <c r="E782" s="85" t="n"/>
      <c r="F782" s="86" t="n"/>
      <c r="G782" s="86" t="n"/>
      <c r="H782" s="85" t="n"/>
      <c r="I782" s="85" t="n"/>
      <c r="J782" s="85" t="n"/>
      <c r="K782" s="85" t="n"/>
      <c r="L782" s="85" t="n"/>
      <c r="M782" s="85" t="n"/>
      <c r="N782" s="85" t="n"/>
      <c r="O782" s="85" t="n"/>
      <c r="P782" s="85" t="n"/>
      <c r="Q782" s="85" t="n"/>
      <c r="R782" s="85" t="n"/>
      <c r="S782" s="85" t="n"/>
      <c r="T782" s="85" t="n"/>
      <c r="U782" s="85" t="n"/>
      <c r="V782" s="85" t="n"/>
      <c r="W782" s="85" t="n"/>
      <c r="X782" s="85" t="n"/>
      <c r="Y782" s="85" t="n"/>
      <c r="Z782" s="85" t="n"/>
      <c r="AA782" s="85" t="n"/>
      <c r="AB782" s="85" t="n"/>
      <c r="AC782" s="86" t="n"/>
      <c r="AD782" s="86" t="n"/>
      <c r="AE782" s="86" t="n"/>
      <c r="AF782" s="85" t="n"/>
      <c r="AG782" s="85" t="n"/>
      <c r="AH782" s="85">
        <f>IF($A782="","",IF(AND($E782="Yes",OR($V782="No",$V782="NOT FOUND")),"YES",""))</f>
        <v/>
      </c>
      <c r="AI782" s="85">
        <f>IF($A782="","",TRIM(IF(AND($M782=0,$I782&lt;&gt;"Yes"),"T0-NoPhishResistant ","")&amp;IF($H782="No","NoMFA ","")&amp;IF(AND($M782=0,$O782="Group only"),"T0-ViaGroupOnly ","")&amp;IF($N782="Yes","BroadAzureScope ","")&amp;IF($T782="Yes","AlsoEntraRole ","")))</f>
        <v/>
      </c>
      <c r="AJ782" s="85">
        <f>IF($A782="","",IF(AD782="","Not Enrolled",IF(TODAY()&gt;AD782,"Review Overdue",IF(AD782-TODAY()&lt;=30,"Review Due Soon","Active"))))</f>
        <v/>
      </c>
      <c r="AK782" s="85">
        <f>IF($A782="","",IF(AE782="","NOT REVIEWED",IF(TODAY()-AE782&gt;90,"OVERDUE",IF(TODAY()-AE782&gt;76,"Due Soon","Current"))))</f>
        <v/>
      </c>
    </row>
    <row r="783" ht="15" customHeight="1" s="39">
      <c r="A783" s="85" t="n"/>
      <c r="B783" s="85" t="n"/>
      <c r="C783" s="85" t="n"/>
      <c r="D783" s="85" t="n"/>
      <c r="E783" s="85" t="n"/>
      <c r="F783" s="86" t="n"/>
      <c r="G783" s="86" t="n"/>
      <c r="H783" s="85" t="n"/>
      <c r="I783" s="85" t="n"/>
      <c r="J783" s="85" t="n"/>
      <c r="K783" s="85" t="n"/>
      <c r="L783" s="85" t="n"/>
      <c r="M783" s="85" t="n"/>
      <c r="N783" s="85" t="n"/>
      <c r="O783" s="85" t="n"/>
      <c r="P783" s="85" t="n"/>
      <c r="Q783" s="85" t="n"/>
      <c r="R783" s="85" t="n"/>
      <c r="S783" s="85" t="n"/>
      <c r="T783" s="85" t="n"/>
      <c r="U783" s="85" t="n"/>
      <c r="V783" s="85" t="n"/>
      <c r="W783" s="85" t="n"/>
      <c r="X783" s="85" t="n"/>
      <c r="Y783" s="85" t="n"/>
      <c r="Z783" s="85" t="n"/>
      <c r="AA783" s="85" t="n"/>
      <c r="AB783" s="85" t="n"/>
      <c r="AC783" s="86" t="n"/>
      <c r="AD783" s="86" t="n"/>
      <c r="AE783" s="86" t="n"/>
      <c r="AF783" s="85" t="n"/>
      <c r="AG783" s="85" t="n"/>
      <c r="AH783" s="85">
        <f>IF($A783="","",IF(AND($E783="Yes",OR($V783="No",$V783="NOT FOUND")),"YES",""))</f>
        <v/>
      </c>
      <c r="AI783" s="85">
        <f>IF($A783="","",TRIM(IF(AND($M783=0,$I783&lt;&gt;"Yes"),"T0-NoPhishResistant ","")&amp;IF($H783="No","NoMFA ","")&amp;IF(AND($M783=0,$O783="Group only"),"T0-ViaGroupOnly ","")&amp;IF($N783="Yes","BroadAzureScope ","")&amp;IF($T783="Yes","AlsoEntraRole ","")))</f>
        <v/>
      </c>
      <c r="AJ783" s="85">
        <f>IF($A783="","",IF(AD783="","Not Enrolled",IF(TODAY()&gt;AD783,"Review Overdue",IF(AD783-TODAY()&lt;=30,"Review Due Soon","Active"))))</f>
        <v/>
      </c>
      <c r="AK783" s="85">
        <f>IF($A783="","",IF(AE783="","NOT REVIEWED",IF(TODAY()-AE783&gt;90,"OVERDUE",IF(TODAY()-AE783&gt;76,"Due Soon","Current"))))</f>
        <v/>
      </c>
    </row>
    <row r="784" ht="15" customHeight="1" s="39">
      <c r="A784" s="85" t="n"/>
      <c r="B784" s="85" t="n"/>
      <c r="C784" s="85" t="n"/>
      <c r="D784" s="85" t="n"/>
      <c r="E784" s="85" t="n"/>
      <c r="F784" s="86" t="n"/>
      <c r="G784" s="86" t="n"/>
      <c r="H784" s="85" t="n"/>
      <c r="I784" s="85" t="n"/>
      <c r="J784" s="85" t="n"/>
      <c r="K784" s="85" t="n"/>
      <c r="L784" s="85" t="n"/>
      <c r="M784" s="85" t="n"/>
      <c r="N784" s="85" t="n"/>
      <c r="O784" s="85" t="n"/>
      <c r="P784" s="85" t="n"/>
      <c r="Q784" s="85" t="n"/>
      <c r="R784" s="85" t="n"/>
      <c r="S784" s="85" t="n"/>
      <c r="T784" s="85" t="n"/>
      <c r="U784" s="85" t="n"/>
      <c r="V784" s="85" t="n"/>
      <c r="W784" s="85" t="n"/>
      <c r="X784" s="85" t="n"/>
      <c r="Y784" s="85" t="n"/>
      <c r="Z784" s="85" t="n"/>
      <c r="AA784" s="85" t="n"/>
      <c r="AB784" s="85" t="n"/>
      <c r="AC784" s="86" t="n"/>
      <c r="AD784" s="86" t="n"/>
      <c r="AE784" s="86" t="n"/>
      <c r="AF784" s="85" t="n"/>
      <c r="AG784" s="85" t="n"/>
      <c r="AH784" s="85">
        <f>IF($A784="","",IF(AND($E784="Yes",OR($V784="No",$V784="NOT FOUND")),"YES",""))</f>
        <v/>
      </c>
      <c r="AI784" s="85">
        <f>IF($A784="","",TRIM(IF(AND($M784=0,$I784&lt;&gt;"Yes"),"T0-NoPhishResistant ","")&amp;IF($H784="No","NoMFA ","")&amp;IF(AND($M784=0,$O784="Group only"),"T0-ViaGroupOnly ","")&amp;IF($N784="Yes","BroadAzureScope ","")&amp;IF($T784="Yes","AlsoEntraRole ","")))</f>
        <v/>
      </c>
      <c r="AJ784" s="85">
        <f>IF($A784="","",IF(AD784="","Not Enrolled",IF(TODAY()&gt;AD784,"Review Overdue",IF(AD784-TODAY()&lt;=30,"Review Due Soon","Active"))))</f>
        <v/>
      </c>
      <c r="AK784" s="85">
        <f>IF($A784="","",IF(AE784="","NOT REVIEWED",IF(TODAY()-AE784&gt;90,"OVERDUE",IF(TODAY()-AE784&gt;76,"Due Soon","Current"))))</f>
        <v/>
      </c>
    </row>
    <row r="785" ht="15" customHeight="1" s="39">
      <c r="A785" s="85" t="n"/>
      <c r="B785" s="85" t="n"/>
      <c r="C785" s="85" t="n"/>
      <c r="D785" s="85" t="n"/>
      <c r="E785" s="85" t="n"/>
      <c r="F785" s="86" t="n"/>
      <c r="G785" s="86" t="n"/>
      <c r="H785" s="85" t="n"/>
      <c r="I785" s="85" t="n"/>
      <c r="J785" s="85" t="n"/>
      <c r="K785" s="85" t="n"/>
      <c r="L785" s="85" t="n"/>
      <c r="M785" s="85" t="n"/>
      <c r="N785" s="85" t="n"/>
      <c r="O785" s="85" t="n"/>
      <c r="P785" s="85" t="n"/>
      <c r="Q785" s="85" t="n"/>
      <c r="R785" s="85" t="n"/>
      <c r="S785" s="85" t="n"/>
      <c r="T785" s="85" t="n"/>
      <c r="U785" s="85" t="n"/>
      <c r="V785" s="85" t="n"/>
      <c r="W785" s="85" t="n"/>
      <c r="X785" s="85" t="n"/>
      <c r="Y785" s="85" t="n"/>
      <c r="Z785" s="85" t="n"/>
      <c r="AA785" s="85" t="n"/>
      <c r="AB785" s="85" t="n"/>
      <c r="AC785" s="86" t="n"/>
      <c r="AD785" s="86" t="n"/>
      <c r="AE785" s="86" t="n"/>
      <c r="AF785" s="85" t="n"/>
      <c r="AG785" s="85" t="n"/>
      <c r="AH785" s="85">
        <f>IF($A785="","",IF(AND($E785="Yes",OR($V785="No",$V785="NOT FOUND")),"YES",""))</f>
        <v/>
      </c>
      <c r="AI785" s="85">
        <f>IF($A785="","",TRIM(IF(AND($M785=0,$I785&lt;&gt;"Yes"),"T0-NoPhishResistant ","")&amp;IF($H785="No","NoMFA ","")&amp;IF(AND($M785=0,$O785="Group only"),"T0-ViaGroupOnly ","")&amp;IF($N785="Yes","BroadAzureScope ","")&amp;IF($T785="Yes","AlsoEntraRole ","")))</f>
        <v/>
      </c>
      <c r="AJ785" s="85">
        <f>IF($A785="","",IF(AD785="","Not Enrolled",IF(TODAY()&gt;AD785,"Review Overdue",IF(AD785-TODAY()&lt;=30,"Review Due Soon","Active"))))</f>
        <v/>
      </c>
      <c r="AK785" s="85">
        <f>IF($A785="","",IF(AE785="","NOT REVIEWED",IF(TODAY()-AE785&gt;90,"OVERDUE",IF(TODAY()-AE785&gt;76,"Due Soon","Current"))))</f>
        <v/>
      </c>
    </row>
    <row r="786" ht="15" customHeight="1" s="39">
      <c r="A786" s="85" t="n"/>
      <c r="B786" s="85" t="n"/>
      <c r="C786" s="85" t="n"/>
      <c r="D786" s="85" t="n"/>
      <c r="E786" s="85" t="n"/>
      <c r="F786" s="86" t="n"/>
      <c r="G786" s="86" t="n"/>
      <c r="H786" s="85" t="n"/>
      <c r="I786" s="85" t="n"/>
      <c r="J786" s="85" t="n"/>
      <c r="K786" s="85" t="n"/>
      <c r="L786" s="85" t="n"/>
      <c r="M786" s="85" t="n"/>
      <c r="N786" s="85" t="n"/>
      <c r="O786" s="85" t="n"/>
      <c r="P786" s="85" t="n"/>
      <c r="Q786" s="85" t="n"/>
      <c r="R786" s="85" t="n"/>
      <c r="S786" s="85" t="n"/>
      <c r="T786" s="85" t="n"/>
      <c r="U786" s="85" t="n"/>
      <c r="V786" s="85" t="n"/>
      <c r="W786" s="85" t="n"/>
      <c r="X786" s="85" t="n"/>
      <c r="Y786" s="85" t="n"/>
      <c r="Z786" s="85" t="n"/>
      <c r="AA786" s="85" t="n"/>
      <c r="AB786" s="85" t="n"/>
      <c r="AC786" s="86" t="n"/>
      <c r="AD786" s="86" t="n"/>
      <c r="AE786" s="86" t="n"/>
      <c r="AF786" s="85" t="n"/>
      <c r="AG786" s="85" t="n"/>
      <c r="AH786" s="85">
        <f>IF($A786="","",IF(AND($E786="Yes",OR($V786="No",$V786="NOT FOUND")),"YES",""))</f>
        <v/>
      </c>
      <c r="AI786" s="85">
        <f>IF($A786="","",TRIM(IF(AND($M786=0,$I786&lt;&gt;"Yes"),"T0-NoPhishResistant ","")&amp;IF($H786="No","NoMFA ","")&amp;IF(AND($M786=0,$O786="Group only"),"T0-ViaGroupOnly ","")&amp;IF($N786="Yes","BroadAzureScope ","")&amp;IF($T786="Yes","AlsoEntraRole ","")))</f>
        <v/>
      </c>
      <c r="AJ786" s="85">
        <f>IF($A786="","",IF(AD786="","Not Enrolled",IF(TODAY()&gt;AD786,"Review Overdue",IF(AD786-TODAY()&lt;=30,"Review Due Soon","Active"))))</f>
        <v/>
      </c>
      <c r="AK786" s="85">
        <f>IF($A786="","",IF(AE786="","NOT REVIEWED",IF(TODAY()-AE786&gt;90,"OVERDUE",IF(TODAY()-AE786&gt;76,"Due Soon","Current"))))</f>
        <v/>
      </c>
    </row>
    <row r="787" ht="15" customHeight="1" s="39">
      <c r="A787" s="85" t="n"/>
      <c r="B787" s="85" t="n"/>
      <c r="C787" s="85" t="n"/>
      <c r="D787" s="85" t="n"/>
      <c r="E787" s="85" t="n"/>
      <c r="F787" s="86" t="n"/>
      <c r="G787" s="86" t="n"/>
      <c r="H787" s="85" t="n"/>
      <c r="I787" s="85" t="n"/>
      <c r="J787" s="85" t="n"/>
      <c r="K787" s="85" t="n"/>
      <c r="L787" s="85" t="n"/>
      <c r="M787" s="85" t="n"/>
      <c r="N787" s="85" t="n"/>
      <c r="O787" s="85" t="n"/>
      <c r="P787" s="85" t="n"/>
      <c r="Q787" s="85" t="n"/>
      <c r="R787" s="85" t="n"/>
      <c r="S787" s="85" t="n"/>
      <c r="T787" s="85" t="n"/>
      <c r="U787" s="85" t="n"/>
      <c r="V787" s="85" t="n"/>
      <c r="W787" s="85" t="n"/>
      <c r="X787" s="85" t="n"/>
      <c r="Y787" s="85" t="n"/>
      <c r="Z787" s="85" t="n"/>
      <c r="AA787" s="85" t="n"/>
      <c r="AB787" s="85" t="n"/>
      <c r="AC787" s="86" t="n"/>
      <c r="AD787" s="86" t="n"/>
      <c r="AE787" s="86" t="n"/>
      <c r="AF787" s="85" t="n"/>
      <c r="AG787" s="85" t="n"/>
      <c r="AH787" s="85">
        <f>IF($A787="","",IF(AND($E787="Yes",OR($V787="No",$V787="NOT FOUND")),"YES",""))</f>
        <v/>
      </c>
      <c r="AI787" s="85">
        <f>IF($A787="","",TRIM(IF(AND($M787=0,$I787&lt;&gt;"Yes"),"T0-NoPhishResistant ","")&amp;IF($H787="No","NoMFA ","")&amp;IF(AND($M787=0,$O787="Group only"),"T0-ViaGroupOnly ","")&amp;IF($N787="Yes","BroadAzureScope ","")&amp;IF($T787="Yes","AlsoEntraRole ","")))</f>
        <v/>
      </c>
      <c r="AJ787" s="85">
        <f>IF($A787="","",IF(AD787="","Not Enrolled",IF(TODAY()&gt;AD787,"Review Overdue",IF(AD787-TODAY()&lt;=30,"Review Due Soon","Active"))))</f>
        <v/>
      </c>
      <c r="AK787" s="85">
        <f>IF($A787="","",IF(AE787="","NOT REVIEWED",IF(TODAY()-AE787&gt;90,"OVERDUE",IF(TODAY()-AE787&gt;76,"Due Soon","Current"))))</f>
        <v/>
      </c>
    </row>
    <row r="788" ht="15" customHeight="1" s="39">
      <c r="A788" s="85" t="n"/>
      <c r="B788" s="85" t="n"/>
      <c r="C788" s="85" t="n"/>
      <c r="D788" s="85" t="n"/>
      <c r="E788" s="85" t="n"/>
      <c r="F788" s="86" t="n"/>
      <c r="G788" s="86" t="n"/>
      <c r="H788" s="85" t="n"/>
      <c r="I788" s="85" t="n"/>
      <c r="J788" s="85" t="n"/>
      <c r="K788" s="85" t="n"/>
      <c r="L788" s="85" t="n"/>
      <c r="M788" s="85" t="n"/>
      <c r="N788" s="85" t="n"/>
      <c r="O788" s="85" t="n"/>
      <c r="P788" s="85" t="n"/>
      <c r="Q788" s="85" t="n"/>
      <c r="R788" s="85" t="n"/>
      <c r="S788" s="85" t="n"/>
      <c r="T788" s="85" t="n"/>
      <c r="U788" s="85" t="n"/>
      <c r="V788" s="85" t="n"/>
      <c r="W788" s="85" t="n"/>
      <c r="X788" s="85" t="n"/>
      <c r="Y788" s="85" t="n"/>
      <c r="Z788" s="85" t="n"/>
      <c r="AA788" s="85" t="n"/>
      <c r="AB788" s="85" t="n"/>
      <c r="AC788" s="86" t="n"/>
      <c r="AD788" s="86" t="n"/>
      <c r="AE788" s="86" t="n"/>
      <c r="AF788" s="85" t="n"/>
      <c r="AG788" s="85" t="n"/>
      <c r="AH788" s="85">
        <f>IF($A788="","",IF(AND($E788="Yes",OR($V788="No",$V788="NOT FOUND")),"YES",""))</f>
        <v/>
      </c>
      <c r="AI788" s="85">
        <f>IF($A788="","",TRIM(IF(AND($M788=0,$I788&lt;&gt;"Yes"),"T0-NoPhishResistant ","")&amp;IF($H788="No","NoMFA ","")&amp;IF(AND($M788=0,$O788="Group only"),"T0-ViaGroupOnly ","")&amp;IF($N788="Yes","BroadAzureScope ","")&amp;IF($T788="Yes","AlsoEntraRole ","")))</f>
        <v/>
      </c>
      <c r="AJ788" s="85">
        <f>IF($A788="","",IF(AD788="","Not Enrolled",IF(TODAY()&gt;AD788,"Review Overdue",IF(AD788-TODAY()&lt;=30,"Review Due Soon","Active"))))</f>
        <v/>
      </c>
      <c r="AK788" s="85">
        <f>IF($A788="","",IF(AE788="","NOT REVIEWED",IF(TODAY()-AE788&gt;90,"OVERDUE",IF(TODAY()-AE788&gt;76,"Due Soon","Current"))))</f>
        <v/>
      </c>
    </row>
    <row r="789" ht="15" customHeight="1" s="39">
      <c r="A789" s="85" t="n"/>
      <c r="B789" s="85" t="n"/>
      <c r="C789" s="85" t="n"/>
      <c r="D789" s="85" t="n"/>
      <c r="E789" s="85" t="n"/>
      <c r="F789" s="86" t="n"/>
      <c r="G789" s="86" t="n"/>
      <c r="H789" s="85" t="n"/>
      <c r="I789" s="85" t="n"/>
      <c r="J789" s="85" t="n"/>
      <c r="K789" s="85" t="n"/>
      <c r="L789" s="85" t="n"/>
      <c r="M789" s="85" t="n"/>
      <c r="N789" s="85" t="n"/>
      <c r="O789" s="85" t="n"/>
      <c r="P789" s="85" t="n"/>
      <c r="Q789" s="85" t="n"/>
      <c r="R789" s="85" t="n"/>
      <c r="S789" s="85" t="n"/>
      <c r="T789" s="85" t="n"/>
      <c r="U789" s="85" t="n"/>
      <c r="V789" s="85" t="n"/>
      <c r="W789" s="85" t="n"/>
      <c r="X789" s="85" t="n"/>
      <c r="Y789" s="85" t="n"/>
      <c r="Z789" s="85" t="n"/>
      <c r="AA789" s="85" t="n"/>
      <c r="AB789" s="85" t="n"/>
      <c r="AC789" s="86" t="n"/>
      <c r="AD789" s="86" t="n"/>
      <c r="AE789" s="86" t="n"/>
      <c r="AF789" s="85" t="n"/>
      <c r="AG789" s="85" t="n"/>
      <c r="AH789" s="85">
        <f>IF($A789="","",IF(AND($E789="Yes",OR($V789="No",$V789="NOT FOUND")),"YES",""))</f>
        <v/>
      </c>
      <c r="AI789" s="85">
        <f>IF($A789="","",TRIM(IF(AND($M789=0,$I789&lt;&gt;"Yes"),"T0-NoPhishResistant ","")&amp;IF($H789="No","NoMFA ","")&amp;IF(AND($M789=0,$O789="Group only"),"T0-ViaGroupOnly ","")&amp;IF($N789="Yes","BroadAzureScope ","")&amp;IF($T789="Yes","AlsoEntraRole ","")))</f>
        <v/>
      </c>
      <c r="AJ789" s="85">
        <f>IF($A789="","",IF(AD789="","Not Enrolled",IF(TODAY()&gt;AD789,"Review Overdue",IF(AD789-TODAY()&lt;=30,"Review Due Soon","Active"))))</f>
        <v/>
      </c>
      <c r="AK789" s="85">
        <f>IF($A789="","",IF(AE789="","NOT REVIEWED",IF(TODAY()-AE789&gt;90,"OVERDUE",IF(TODAY()-AE789&gt;76,"Due Soon","Current"))))</f>
        <v/>
      </c>
    </row>
    <row r="790" ht="15" customHeight="1" s="39">
      <c r="A790" s="85" t="n"/>
      <c r="B790" s="85" t="n"/>
      <c r="C790" s="85" t="n"/>
      <c r="D790" s="85" t="n"/>
      <c r="E790" s="85" t="n"/>
      <c r="F790" s="86" t="n"/>
      <c r="G790" s="86" t="n"/>
      <c r="H790" s="85" t="n"/>
      <c r="I790" s="85" t="n"/>
      <c r="J790" s="85" t="n"/>
      <c r="K790" s="85" t="n"/>
      <c r="L790" s="85" t="n"/>
      <c r="M790" s="85" t="n"/>
      <c r="N790" s="85" t="n"/>
      <c r="O790" s="85" t="n"/>
      <c r="P790" s="85" t="n"/>
      <c r="Q790" s="85" t="n"/>
      <c r="R790" s="85" t="n"/>
      <c r="S790" s="85" t="n"/>
      <c r="T790" s="85" t="n"/>
      <c r="U790" s="85" t="n"/>
      <c r="V790" s="85" t="n"/>
      <c r="W790" s="85" t="n"/>
      <c r="X790" s="85" t="n"/>
      <c r="Y790" s="85" t="n"/>
      <c r="Z790" s="85" t="n"/>
      <c r="AA790" s="85" t="n"/>
      <c r="AB790" s="85" t="n"/>
      <c r="AC790" s="86" t="n"/>
      <c r="AD790" s="86" t="n"/>
      <c r="AE790" s="86" t="n"/>
      <c r="AF790" s="85" t="n"/>
      <c r="AG790" s="85" t="n"/>
      <c r="AH790" s="85">
        <f>IF($A790="","",IF(AND($E790="Yes",OR($V790="No",$V790="NOT FOUND")),"YES",""))</f>
        <v/>
      </c>
      <c r="AI790" s="85">
        <f>IF($A790="","",TRIM(IF(AND($M790=0,$I790&lt;&gt;"Yes"),"T0-NoPhishResistant ","")&amp;IF($H790="No","NoMFA ","")&amp;IF(AND($M790=0,$O790="Group only"),"T0-ViaGroupOnly ","")&amp;IF($N790="Yes","BroadAzureScope ","")&amp;IF($T790="Yes","AlsoEntraRole ","")))</f>
        <v/>
      </c>
      <c r="AJ790" s="85">
        <f>IF($A790="","",IF(AD790="","Not Enrolled",IF(TODAY()&gt;AD790,"Review Overdue",IF(AD790-TODAY()&lt;=30,"Review Due Soon","Active"))))</f>
        <v/>
      </c>
      <c r="AK790" s="85">
        <f>IF($A790="","",IF(AE790="","NOT REVIEWED",IF(TODAY()-AE790&gt;90,"OVERDUE",IF(TODAY()-AE790&gt;76,"Due Soon","Current"))))</f>
        <v/>
      </c>
    </row>
    <row r="791" ht="15" customHeight="1" s="39">
      <c r="A791" s="85" t="n"/>
      <c r="B791" s="85" t="n"/>
      <c r="C791" s="85" t="n"/>
      <c r="D791" s="85" t="n"/>
      <c r="E791" s="85" t="n"/>
      <c r="F791" s="86" t="n"/>
      <c r="G791" s="86" t="n"/>
      <c r="H791" s="85" t="n"/>
      <c r="I791" s="85" t="n"/>
      <c r="J791" s="85" t="n"/>
      <c r="K791" s="85" t="n"/>
      <c r="L791" s="85" t="n"/>
      <c r="M791" s="85" t="n"/>
      <c r="N791" s="85" t="n"/>
      <c r="O791" s="85" t="n"/>
      <c r="P791" s="85" t="n"/>
      <c r="Q791" s="85" t="n"/>
      <c r="R791" s="85" t="n"/>
      <c r="S791" s="85" t="n"/>
      <c r="T791" s="85" t="n"/>
      <c r="U791" s="85" t="n"/>
      <c r="V791" s="85" t="n"/>
      <c r="W791" s="85" t="n"/>
      <c r="X791" s="85" t="n"/>
      <c r="Y791" s="85" t="n"/>
      <c r="Z791" s="85" t="n"/>
      <c r="AA791" s="85" t="n"/>
      <c r="AB791" s="85" t="n"/>
      <c r="AC791" s="86" t="n"/>
      <c r="AD791" s="86" t="n"/>
      <c r="AE791" s="86" t="n"/>
      <c r="AF791" s="85" t="n"/>
      <c r="AG791" s="85" t="n"/>
      <c r="AH791" s="85">
        <f>IF($A791="","",IF(AND($E791="Yes",OR($V791="No",$V791="NOT FOUND")),"YES",""))</f>
        <v/>
      </c>
      <c r="AI791" s="85">
        <f>IF($A791="","",TRIM(IF(AND($M791=0,$I791&lt;&gt;"Yes"),"T0-NoPhishResistant ","")&amp;IF($H791="No","NoMFA ","")&amp;IF(AND($M791=0,$O791="Group only"),"T0-ViaGroupOnly ","")&amp;IF($N791="Yes","BroadAzureScope ","")&amp;IF($T791="Yes","AlsoEntraRole ","")))</f>
        <v/>
      </c>
      <c r="AJ791" s="85">
        <f>IF($A791="","",IF(AD791="","Not Enrolled",IF(TODAY()&gt;AD791,"Review Overdue",IF(AD791-TODAY()&lt;=30,"Review Due Soon","Active"))))</f>
        <v/>
      </c>
      <c r="AK791" s="85">
        <f>IF($A791="","",IF(AE791="","NOT REVIEWED",IF(TODAY()-AE791&gt;90,"OVERDUE",IF(TODAY()-AE791&gt;76,"Due Soon","Current"))))</f>
        <v/>
      </c>
    </row>
    <row r="792" ht="15" customHeight="1" s="39">
      <c r="A792" s="85" t="n"/>
      <c r="B792" s="85" t="n"/>
      <c r="C792" s="85" t="n"/>
      <c r="D792" s="85" t="n"/>
      <c r="E792" s="85" t="n"/>
      <c r="F792" s="86" t="n"/>
      <c r="G792" s="86" t="n"/>
      <c r="H792" s="85" t="n"/>
      <c r="I792" s="85" t="n"/>
      <c r="J792" s="85" t="n"/>
      <c r="K792" s="85" t="n"/>
      <c r="L792" s="85" t="n"/>
      <c r="M792" s="85" t="n"/>
      <c r="N792" s="85" t="n"/>
      <c r="O792" s="85" t="n"/>
      <c r="P792" s="85" t="n"/>
      <c r="Q792" s="85" t="n"/>
      <c r="R792" s="85" t="n"/>
      <c r="S792" s="85" t="n"/>
      <c r="T792" s="85" t="n"/>
      <c r="U792" s="85" t="n"/>
      <c r="V792" s="85" t="n"/>
      <c r="W792" s="85" t="n"/>
      <c r="X792" s="85" t="n"/>
      <c r="Y792" s="85" t="n"/>
      <c r="Z792" s="85" t="n"/>
      <c r="AA792" s="85" t="n"/>
      <c r="AB792" s="85" t="n"/>
      <c r="AC792" s="86" t="n"/>
      <c r="AD792" s="86" t="n"/>
      <c r="AE792" s="86" t="n"/>
      <c r="AF792" s="85" t="n"/>
      <c r="AG792" s="85" t="n"/>
      <c r="AH792" s="85">
        <f>IF($A792="","",IF(AND($E792="Yes",OR($V792="No",$V792="NOT FOUND")),"YES",""))</f>
        <v/>
      </c>
      <c r="AI792" s="85">
        <f>IF($A792="","",TRIM(IF(AND($M792=0,$I792&lt;&gt;"Yes"),"T0-NoPhishResistant ","")&amp;IF($H792="No","NoMFA ","")&amp;IF(AND($M792=0,$O792="Group only"),"T0-ViaGroupOnly ","")&amp;IF($N792="Yes","BroadAzureScope ","")&amp;IF($T792="Yes","AlsoEntraRole ","")))</f>
        <v/>
      </c>
      <c r="AJ792" s="85">
        <f>IF($A792="","",IF(AD792="","Not Enrolled",IF(TODAY()&gt;AD792,"Review Overdue",IF(AD792-TODAY()&lt;=30,"Review Due Soon","Active"))))</f>
        <v/>
      </c>
      <c r="AK792" s="85">
        <f>IF($A792="","",IF(AE792="","NOT REVIEWED",IF(TODAY()-AE792&gt;90,"OVERDUE",IF(TODAY()-AE792&gt;76,"Due Soon","Current"))))</f>
        <v/>
      </c>
    </row>
    <row r="793" ht="15" customHeight="1" s="39">
      <c r="A793" s="85" t="n"/>
      <c r="B793" s="85" t="n"/>
      <c r="C793" s="85" t="n"/>
      <c r="D793" s="85" t="n"/>
      <c r="E793" s="85" t="n"/>
      <c r="F793" s="86" t="n"/>
      <c r="G793" s="86" t="n"/>
      <c r="H793" s="85" t="n"/>
      <c r="I793" s="85" t="n"/>
      <c r="J793" s="85" t="n"/>
      <c r="K793" s="85" t="n"/>
      <c r="L793" s="85" t="n"/>
      <c r="M793" s="85" t="n"/>
      <c r="N793" s="85" t="n"/>
      <c r="O793" s="85" t="n"/>
      <c r="P793" s="85" t="n"/>
      <c r="Q793" s="85" t="n"/>
      <c r="R793" s="85" t="n"/>
      <c r="S793" s="85" t="n"/>
      <c r="T793" s="85" t="n"/>
      <c r="U793" s="85" t="n"/>
      <c r="V793" s="85" t="n"/>
      <c r="W793" s="85" t="n"/>
      <c r="X793" s="85" t="n"/>
      <c r="Y793" s="85" t="n"/>
      <c r="Z793" s="85" t="n"/>
      <c r="AA793" s="85" t="n"/>
      <c r="AB793" s="85" t="n"/>
      <c r="AC793" s="86" t="n"/>
      <c r="AD793" s="86" t="n"/>
      <c r="AE793" s="86" t="n"/>
      <c r="AF793" s="85" t="n"/>
      <c r="AG793" s="85" t="n"/>
      <c r="AH793" s="85">
        <f>IF($A793="","",IF(AND($E793="Yes",OR($V793="No",$V793="NOT FOUND")),"YES",""))</f>
        <v/>
      </c>
      <c r="AI793" s="85">
        <f>IF($A793="","",TRIM(IF(AND($M793=0,$I793&lt;&gt;"Yes"),"T0-NoPhishResistant ","")&amp;IF($H793="No","NoMFA ","")&amp;IF(AND($M793=0,$O793="Group only"),"T0-ViaGroupOnly ","")&amp;IF($N793="Yes","BroadAzureScope ","")&amp;IF($T793="Yes","AlsoEntraRole ","")))</f>
        <v/>
      </c>
      <c r="AJ793" s="85">
        <f>IF($A793="","",IF(AD793="","Not Enrolled",IF(TODAY()&gt;AD793,"Review Overdue",IF(AD793-TODAY()&lt;=30,"Review Due Soon","Active"))))</f>
        <v/>
      </c>
      <c r="AK793" s="85">
        <f>IF($A793="","",IF(AE793="","NOT REVIEWED",IF(TODAY()-AE793&gt;90,"OVERDUE",IF(TODAY()-AE793&gt;76,"Due Soon","Current"))))</f>
        <v/>
      </c>
    </row>
    <row r="794" ht="15" customHeight="1" s="39">
      <c r="A794" s="85" t="n"/>
      <c r="B794" s="85" t="n"/>
      <c r="C794" s="85" t="n"/>
      <c r="D794" s="85" t="n"/>
      <c r="E794" s="85" t="n"/>
      <c r="F794" s="86" t="n"/>
      <c r="G794" s="86" t="n"/>
      <c r="H794" s="85" t="n"/>
      <c r="I794" s="85" t="n"/>
      <c r="J794" s="85" t="n"/>
      <c r="K794" s="85" t="n"/>
      <c r="L794" s="85" t="n"/>
      <c r="M794" s="85" t="n"/>
      <c r="N794" s="85" t="n"/>
      <c r="O794" s="85" t="n"/>
      <c r="P794" s="85" t="n"/>
      <c r="Q794" s="85" t="n"/>
      <c r="R794" s="85" t="n"/>
      <c r="S794" s="85" t="n"/>
      <c r="T794" s="85" t="n"/>
      <c r="U794" s="85" t="n"/>
      <c r="V794" s="85" t="n"/>
      <c r="W794" s="85" t="n"/>
      <c r="X794" s="85" t="n"/>
      <c r="Y794" s="85" t="n"/>
      <c r="Z794" s="85" t="n"/>
      <c r="AA794" s="85" t="n"/>
      <c r="AB794" s="85" t="n"/>
      <c r="AC794" s="86" t="n"/>
      <c r="AD794" s="86" t="n"/>
      <c r="AE794" s="86" t="n"/>
      <c r="AF794" s="85" t="n"/>
      <c r="AG794" s="85" t="n"/>
      <c r="AH794" s="85">
        <f>IF($A794="","",IF(AND($E794="Yes",OR($V794="No",$V794="NOT FOUND")),"YES",""))</f>
        <v/>
      </c>
      <c r="AI794" s="85">
        <f>IF($A794="","",TRIM(IF(AND($M794=0,$I794&lt;&gt;"Yes"),"T0-NoPhishResistant ","")&amp;IF($H794="No","NoMFA ","")&amp;IF(AND($M794=0,$O794="Group only"),"T0-ViaGroupOnly ","")&amp;IF($N794="Yes","BroadAzureScope ","")&amp;IF($T794="Yes","AlsoEntraRole ","")))</f>
        <v/>
      </c>
      <c r="AJ794" s="85">
        <f>IF($A794="","",IF(AD794="","Not Enrolled",IF(TODAY()&gt;AD794,"Review Overdue",IF(AD794-TODAY()&lt;=30,"Review Due Soon","Active"))))</f>
        <v/>
      </c>
      <c r="AK794" s="85">
        <f>IF($A794="","",IF(AE794="","NOT REVIEWED",IF(TODAY()-AE794&gt;90,"OVERDUE",IF(TODAY()-AE794&gt;76,"Due Soon","Current"))))</f>
        <v/>
      </c>
    </row>
    <row r="795" ht="15" customHeight="1" s="39">
      <c r="A795" s="85" t="n"/>
      <c r="B795" s="85" t="n"/>
      <c r="C795" s="85" t="n"/>
      <c r="D795" s="85" t="n"/>
      <c r="E795" s="85" t="n"/>
      <c r="F795" s="86" t="n"/>
      <c r="G795" s="86" t="n"/>
      <c r="H795" s="85" t="n"/>
      <c r="I795" s="85" t="n"/>
      <c r="J795" s="85" t="n"/>
      <c r="K795" s="85" t="n"/>
      <c r="L795" s="85" t="n"/>
      <c r="M795" s="85" t="n"/>
      <c r="N795" s="85" t="n"/>
      <c r="O795" s="85" t="n"/>
      <c r="P795" s="85" t="n"/>
      <c r="Q795" s="85" t="n"/>
      <c r="R795" s="85" t="n"/>
      <c r="S795" s="85" t="n"/>
      <c r="T795" s="85" t="n"/>
      <c r="U795" s="85" t="n"/>
      <c r="V795" s="85" t="n"/>
      <c r="W795" s="85" t="n"/>
      <c r="X795" s="85" t="n"/>
      <c r="Y795" s="85" t="n"/>
      <c r="Z795" s="85" t="n"/>
      <c r="AA795" s="85" t="n"/>
      <c r="AB795" s="85" t="n"/>
      <c r="AC795" s="86" t="n"/>
      <c r="AD795" s="86" t="n"/>
      <c r="AE795" s="86" t="n"/>
      <c r="AF795" s="85" t="n"/>
      <c r="AG795" s="85" t="n"/>
      <c r="AH795" s="85">
        <f>IF($A795="","",IF(AND($E795="Yes",OR($V795="No",$V795="NOT FOUND")),"YES",""))</f>
        <v/>
      </c>
      <c r="AI795" s="85">
        <f>IF($A795="","",TRIM(IF(AND($M795=0,$I795&lt;&gt;"Yes"),"T0-NoPhishResistant ","")&amp;IF($H795="No","NoMFA ","")&amp;IF(AND($M795=0,$O795="Group only"),"T0-ViaGroupOnly ","")&amp;IF($N795="Yes","BroadAzureScope ","")&amp;IF($T795="Yes","AlsoEntraRole ","")))</f>
        <v/>
      </c>
      <c r="AJ795" s="85">
        <f>IF($A795="","",IF(AD795="","Not Enrolled",IF(TODAY()&gt;AD795,"Review Overdue",IF(AD795-TODAY()&lt;=30,"Review Due Soon","Active"))))</f>
        <v/>
      </c>
      <c r="AK795" s="85">
        <f>IF($A795="","",IF(AE795="","NOT REVIEWED",IF(TODAY()-AE795&gt;90,"OVERDUE",IF(TODAY()-AE795&gt;76,"Due Soon","Current"))))</f>
        <v/>
      </c>
    </row>
    <row r="796" ht="15" customHeight="1" s="39">
      <c r="A796" s="85" t="n"/>
      <c r="B796" s="85" t="n"/>
      <c r="C796" s="85" t="n"/>
      <c r="D796" s="85" t="n"/>
      <c r="E796" s="85" t="n"/>
      <c r="F796" s="86" t="n"/>
      <c r="G796" s="86" t="n"/>
      <c r="H796" s="85" t="n"/>
      <c r="I796" s="85" t="n"/>
      <c r="J796" s="85" t="n"/>
      <c r="K796" s="85" t="n"/>
      <c r="L796" s="85" t="n"/>
      <c r="M796" s="85" t="n"/>
      <c r="N796" s="85" t="n"/>
      <c r="O796" s="85" t="n"/>
      <c r="P796" s="85" t="n"/>
      <c r="Q796" s="85" t="n"/>
      <c r="R796" s="85" t="n"/>
      <c r="S796" s="85" t="n"/>
      <c r="T796" s="85" t="n"/>
      <c r="U796" s="85" t="n"/>
      <c r="V796" s="85" t="n"/>
      <c r="W796" s="85" t="n"/>
      <c r="X796" s="85" t="n"/>
      <c r="Y796" s="85" t="n"/>
      <c r="Z796" s="85" t="n"/>
      <c r="AA796" s="85" t="n"/>
      <c r="AB796" s="85" t="n"/>
      <c r="AC796" s="86" t="n"/>
      <c r="AD796" s="86" t="n"/>
      <c r="AE796" s="86" t="n"/>
      <c r="AF796" s="85" t="n"/>
      <c r="AG796" s="85" t="n"/>
      <c r="AH796" s="85">
        <f>IF($A796="","",IF(AND($E796="Yes",OR($V796="No",$V796="NOT FOUND")),"YES",""))</f>
        <v/>
      </c>
      <c r="AI796" s="85">
        <f>IF($A796="","",TRIM(IF(AND($M796=0,$I796&lt;&gt;"Yes"),"T0-NoPhishResistant ","")&amp;IF($H796="No","NoMFA ","")&amp;IF(AND($M796=0,$O796="Group only"),"T0-ViaGroupOnly ","")&amp;IF($N796="Yes","BroadAzureScope ","")&amp;IF($T796="Yes","AlsoEntraRole ","")))</f>
        <v/>
      </c>
      <c r="AJ796" s="85">
        <f>IF($A796="","",IF(AD796="","Not Enrolled",IF(TODAY()&gt;AD796,"Review Overdue",IF(AD796-TODAY()&lt;=30,"Review Due Soon","Active"))))</f>
        <v/>
      </c>
      <c r="AK796" s="85">
        <f>IF($A796="","",IF(AE796="","NOT REVIEWED",IF(TODAY()-AE796&gt;90,"OVERDUE",IF(TODAY()-AE796&gt;76,"Due Soon","Current"))))</f>
        <v/>
      </c>
    </row>
    <row r="797" ht="15" customHeight="1" s="39">
      <c r="A797" s="85" t="n"/>
      <c r="B797" s="85" t="n"/>
      <c r="C797" s="85" t="n"/>
      <c r="D797" s="85" t="n"/>
      <c r="E797" s="85" t="n"/>
      <c r="F797" s="86" t="n"/>
      <c r="G797" s="86" t="n"/>
      <c r="H797" s="85" t="n"/>
      <c r="I797" s="85" t="n"/>
      <c r="J797" s="85" t="n"/>
      <c r="K797" s="85" t="n"/>
      <c r="L797" s="85" t="n"/>
      <c r="M797" s="85" t="n"/>
      <c r="N797" s="85" t="n"/>
      <c r="O797" s="85" t="n"/>
      <c r="P797" s="85" t="n"/>
      <c r="Q797" s="85" t="n"/>
      <c r="R797" s="85" t="n"/>
      <c r="S797" s="85" t="n"/>
      <c r="T797" s="85" t="n"/>
      <c r="U797" s="85" t="n"/>
      <c r="V797" s="85" t="n"/>
      <c r="W797" s="85" t="n"/>
      <c r="X797" s="85" t="n"/>
      <c r="Y797" s="85" t="n"/>
      <c r="Z797" s="85" t="n"/>
      <c r="AA797" s="85" t="n"/>
      <c r="AB797" s="85" t="n"/>
      <c r="AC797" s="86" t="n"/>
      <c r="AD797" s="86" t="n"/>
      <c r="AE797" s="86" t="n"/>
      <c r="AF797" s="85" t="n"/>
      <c r="AG797" s="85" t="n"/>
      <c r="AH797" s="85">
        <f>IF($A797="","",IF(AND($E797="Yes",OR($V797="No",$V797="NOT FOUND")),"YES",""))</f>
        <v/>
      </c>
      <c r="AI797" s="85">
        <f>IF($A797="","",TRIM(IF(AND($M797=0,$I797&lt;&gt;"Yes"),"T0-NoPhishResistant ","")&amp;IF($H797="No","NoMFA ","")&amp;IF(AND($M797=0,$O797="Group only"),"T0-ViaGroupOnly ","")&amp;IF($N797="Yes","BroadAzureScope ","")&amp;IF($T797="Yes","AlsoEntraRole ","")))</f>
        <v/>
      </c>
      <c r="AJ797" s="85">
        <f>IF($A797="","",IF(AD797="","Not Enrolled",IF(TODAY()&gt;AD797,"Review Overdue",IF(AD797-TODAY()&lt;=30,"Review Due Soon","Active"))))</f>
        <v/>
      </c>
      <c r="AK797" s="85">
        <f>IF($A797="","",IF(AE797="","NOT REVIEWED",IF(TODAY()-AE797&gt;90,"OVERDUE",IF(TODAY()-AE797&gt;76,"Due Soon","Current"))))</f>
        <v/>
      </c>
    </row>
    <row r="798" ht="15" customHeight="1" s="39">
      <c r="A798" s="85" t="n"/>
      <c r="B798" s="85" t="n"/>
      <c r="C798" s="85" t="n"/>
      <c r="D798" s="85" t="n"/>
      <c r="E798" s="85" t="n"/>
      <c r="F798" s="86" t="n"/>
      <c r="G798" s="86" t="n"/>
      <c r="H798" s="85" t="n"/>
      <c r="I798" s="85" t="n"/>
      <c r="J798" s="85" t="n"/>
      <c r="K798" s="85" t="n"/>
      <c r="L798" s="85" t="n"/>
      <c r="M798" s="85" t="n"/>
      <c r="N798" s="85" t="n"/>
      <c r="O798" s="85" t="n"/>
      <c r="P798" s="85" t="n"/>
      <c r="Q798" s="85" t="n"/>
      <c r="R798" s="85" t="n"/>
      <c r="S798" s="85" t="n"/>
      <c r="T798" s="85" t="n"/>
      <c r="U798" s="85" t="n"/>
      <c r="V798" s="85" t="n"/>
      <c r="W798" s="85" t="n"/>
      <c r="X798" s="85" t="n"/>
      <c r="Y798" s="85" t="n"/>
      <c r="Z798" s="85" t="n"/>
      <c r="AA798" s="85" t="n"/>
      <c r="AB798" s="85" t="n"/>
      <c r="AC798" s="86" t="n"/>
      <c r="AD798" s="86" t="n"/>
      <c r="AE798" s="86" t="n"/>
      <c r="AF798" s="85" t="n"/>
      <c r="AG798" s="85" t="n"/>
      <c r="AH798" s="85">
        <f>IF($A798="","",IF(AND($E798="Yes",OR($V798="No",$V798="NOT FOUND")),"YES",""))</f>
        <v/>
      </c>
      <c r="AI798" s="85">
        <f>IF($A798="","",TRIM(IF(AND($M798=0,$I798&lt;&gt;"Yes"),"T0-NoPhishResistant ","")&amp;IF($H798="No","NoMFA ","")&amp;IF(AND($M798=0,$O798="Group only"),"T0-ViaGroupOnly ","")&amp;IF($N798="Yes","BroadAzureScope ","")&amp;IF($T798="Yes","AlsoEntraRole ","")))</f>
        <v/>
      </c>
      <c r="AJ798" s="85">
        <f>IF($A798="","",IF(AD798="","Not Enrolled",IF(TODAY()&gt;AD798,"Review Overdue",IF(AD798-TODAY()&lt;=30,"Review Due Soon","Active"))))</f>
        <v/>
      </c>
      <c r="AK798" s="85">
        <f>IF($A798="","",IF(AE798="","NOT REVIEWED",IF(TODAY()-AE798&gt;90,"OVERDUE",IF(TODAY()-AE798&gt;76,"Due Soon","Current"))))</f>
        <v/>
      </c>
    </row>
    <row r="799" ht="15" customHeight="1" s="39">
      <c r="A799" s="85" t="n"/>
      <c r="B799" s="85" t="n"/>
      <c r="C799" s="85" t="n"/>
      <c r="D799" s="85" t="n"/>
      <c r="E799" s="85" t="n"/>
      <c r="F799" s="86" t="n"/>
      <c r="G799" s="86" t="n"/>
      <c r="H799" s="85" t="n"/>
      <c r="I799" s="85" t="n"/>
      <c r="J799" s="85" t="n"/>
      <c r="K799" s="85" t="n"/>
      <c r="L799" s="85" t="n"/>
      <c r="M799" s="85" t="n"/>
      <c r="N799" s="85" t="n"/>
      <c r="O799" s="85" t="n"/>
      <c r="P799" s="85" t="n"/>
      <c r="Q799" s="85" t="n"/>
      <c r="R799" s="85" t="n"/>
      <c r="S799" s="85" t="n"/>
      <c r="T799" s="85" t="n"/>
      <c r="U799" s="85" t="n"/>
      <c r="V799" s="85" t="n"/>
      <c r="W799" s="85" t="n"/>
      <c r="X799" s="85" t="n"/>
      <c r="Y799" s="85" t="n"/>
      <c r="Z799" s="85" t="n"/>
      <c r="AA799" s="85" t="n"/>
      <c r="AB799" s="85" t="n"/>
      <c r="AC799" s="86" t="n"/>
      <c r="AD799" s="86" t="n"/>
      <c r="AE799" s="86" t="n"/>
      <c r="AF799" s="85" t="n"/>
      <c r="AG799" s="85" t="n"/>
      <c r="AH799" s="85">
        <f>IF($A799="","",IF(AND($E799="Yes",OR($V799="No",$V799="NOT FOUND")),"YES",""))</f>
        <v/>
      </c>
      <c r="AI799" s="85">
        <f>IF($A799="","",TRIM(IF(AND($M799=0,$I799&lt;&gt;"Yes"),"T0-NoPhishResistant ","")&amp;IF($H799="No","NoMFA ","")&amp;IF(AND($M799=0,$O799="Group only"),"T0-ViaGroupOnly ","")&amp;IF($N799="Yes","BroadAzureScope ","")&amp;IF($T799="Yes","AlsoEntraRole ","")))</f>
        <v/>
      </c>
      <c r="AJ799" s="85">
        <f>IF($A799="","",IF(AD799="","Not Enrolled",IF(TODAY()&gt;AD799,"Review Overdue",IF(AD799-TODAY()&lt;=30,"Review Due Soon","Active"))))</f>
        <v/>
      </c>
      <c r="AK799" s="85">
        <f>IF($A799="","",IF(AE799="","NOT REVIEWED",IF(TODAY()-AE799&gt;90,"OVERDUE",IF(TODAY()-AE799&gt;76,"Due Soon","Current"))))</f>
        <v/>
      </c>
    </row>
    <row r="800" ht="15" customHeight="1" s="39">
      <c r="A800" s="85" t="n"/>
      <c r="B800" s="85" t="n"/>
      <c r="C800" s="85" t="n"/>
      <c r="D800" s="85" t="n"/>
      <c r="E800" s="85" t="n"/>
      <c r="F800" s="86" t="n"/>
      <c r="G800" s="86" t="n"/>
      <c r="H800" s="85" t="n"/>
      <c r="I800" s="85" t="n"/>
      <c r="J800" s="85" t="n"/>
      <c r="K800" s="85" t="n"/>
      <c r="L800" s="85" t="n"/>
      <c r="M800" s="85" t="n"/>
      <c r="N800" s="85" t="n"/>
      <c r="O800" s="85" t="n"/>
      <c r="P800" s="85" t="n"/>
      <c r="Q800" s="85" t="n"/>
      <c r="R800" s="85" t="n"/>
      <c r="S800" s="85" t="n"/>
      <c r="T800" s="85" t="n"/>
      <c r="U800" s="85" t="n"/>
      <c r="V800" s="85" t="n"/>
      <c r="W800" s="85" t="n"/>
      <c r="X800" s="85" t="n"/>
      <c r="Y800" s="85" t="n"/>
      <c r="Z800" s="85" t="n"/>
      <c r="AA800" s="85" t="n"/>
      <c r="AB800" s="85" t="n"/>
      <c r="AC800" s="86" t="n"/>
      <c r="AD800" s="86" t="n"/>
      <c r="AE800" s="86" t="n"/>
      <c r="AF800" s="85" t="n"/>
      <c r="AG800" s="85" t="n"/>
      <c r="AH800" s="85">
        <f>IF($A800="","",IF(AND($E800="Yes",OR($V800="No",$V800="NOT FOUND")),"YES",""))</f>
        <v/>
      </c>
      <c r="AI800" s="85">
        <f>IF($A800="","",TRIM(IF(AND($M800=0,$I800&lt;&gt;"Yes"),"T0-NoPhishResistant ","")&amp;IF($H800="No","NoMFA ","")&amp;IF(AND($M800=0,$O800="Group only"),"T0-ViaGroupOnly ","")&amp;IF($N800="Yes","BroadAzureScope ","")&amp;IF($T800="Yes","AlsoEntraRole ","")))</f>
        <v/>
      </c>
      <c r="AJ800" s="85">
        <f>IF($A800="","",IF(AD800="","Not Enrolled",IF(TODAY()&gt;AD800,"Review Overdue",IF(AD800-TODAY()&lt;=30,"Review Due Soon","Active"))))</f>
        <v/>
      </c>
      <c r="AK800" s="85">
        <f>IF($A800="","",IF(AE800="","NOT REVIEWED",IF(TODAY()-AE800&gt;90,"OVERDUE",IF(TODAY()-AE800&gt;76,"Due Soon","Current"))))</f>
        <v/>
      </c>
    </row>
    <row r="801" ht="15" customHeight="1" s="39">
      <c r="A801" s="85" t="n"/>
      <c r="B801" s="85" t="n"/>
      <c r="C801" s="85" t="n"/>
      <c r="D801" s="85" t="n"/>
      <c r="E801" s="85" t="n"/>
      <c r="F801" s="86" t="n"/>
      <c r="G801" s="86" t="n"/>
      <c r="H801" s="85" t="n"/>
      <c r="I801" s="85" t="n"/>
      <c r="J801" s="85" t="n"/>
      <c r="K801" s="85" t="n"/>
      <c r="L801" s="85" t="n"/>
      <c r="M801" s="85" t="n"/>
      <c r="N801" s="85" t="n"/>
      <c r="O801" s="85" t="n"/>
      <c r="P801" s="85" t="n"/>
      <c r="Q801" s="85" t="n"/>
      <c r="R801" s="85" t="n"/>
      <c r="S801" s="85" t="n"/>
      <c r="T801" s="85" t="n"/>
      <c r="U801" s="85" t="n"/>
      <c r="V801" s="85" t="n"/>
      <c r="W801" s="85" t="n"/>
      <c r="X801" s="85" t="n"/>
      <c r="Y801" s="85" t="n"/>
      <c r="Z801" s="85" t="n"/>
      <c r="AA801" s="85" t="n"/>
      <c r="AB801" s="85" t="n"/>
      <c r="AC801" s="86" t="n"/>
      <c r="AD801" s="86" t="n"/>
      <c r="AE801" s="86" t="n"/>
      <c r="AF801" s="85" t="n"/>
      <c r="AG801" s="85" t="n"/>
      <c r="AH801" s="85">
        <f>IF($A801="","",IF(AND($E801="Yes",OR($V801="No",$V801="NOT FOUND")),"YES",""))</f>
        <v/>
      </c>
      <c r="AI801" s="85">
        <f>IF($A801="","",TRIM(IF(AND($M801=0,$I801&lt;&gt;"Yes"),"T0-NoPhishResistant ","")&amp;IF($H801="No","NoMFA ","")&amp;IF(AND($M801=0,$O801="Group only"),"T0-ViaGroupOnly ","")&amp;IF($N801="Yes","BroadAzureScope ","")&amp;IF($T801="Yes","AlsoEntraRole ","")))</f>
        <v/>
      </c>
      <c r="AJ801" s="85">
        <f>IF($A801="","",IF(AD801="","Not Enrolled",IF(TODAY()&gt;AD801,"Review Overdue",IF(AD801-TODAY()&lt;=30,"Review Due Soon","Active"))))</f>
        <v/>
      </c>
      <c r="AK801" s="85">
        <f>IF($A801="","",IF(AE801="","NOT REVIEWED",IF(TODAY()-AE801&gt;90,"OVERDUE",IF(TODAY()-AE801&gt;76,"Due Soon","Current"))))</f>
        <v/>
      </c>
    </row>
    <row r="802" ht="15" customHeight="1" s="39">
      <c r="A802" s="85" t="n"/>
      <c r="B802" s="85" t="n"/>
      <c r="C802" s="85" t="n"/>
      <c r="D802" s="85" t="n"/>
      <c r="E802" s="85" t="n"/>
      <c r="F802" s="86" t="n"/>
      <c r="G802" s="86" t="n"/>
      <c r="H802" s="85" t="n"/>
      <c r="I802" s="85" t="n"/>
      <c r="J802" s="85" t="n"/>
      <c r="K802" s="85" t="n"/>
      <c r="L802" s="85" t="n"/>
      <c r="M802" s="85" t="n"/>
      <c r="N802" s="85" t="n"/>
      <c r="O802" s="85" t="n"/>
      <c r="P802" s="85" t="n"/>
      <c r="Q802" s="85" t="n"/>
      <c r="R802" s="85" t="n"/>
      <c r="S802" s="85" t="n"/>
      <c r="T802" s="85" t="n"/>
      <c r="U802" s="85" t="n"/>
      <c r="V802" s="85" t="n"/>
      <c r="W802" s="85" t="n"/>
      <c r="X802" s="85" t="n"/>
      <c r="Y802" s="85" t="n"/>
      <c r="Z802" s="85" t="n"/>
      <c r="AA802" s="85" t="n"/>
      <c r="AB802" s="85" t="n"/>
      <c r="AC802" s="86" t="n"/>
      <c r="AD802" s="86" t="n"/>
      <c r="AE802" s="86" t="n"/>
      <c r="AF802" s="85" t="n"/>
      <c r="AG802" s="85" t="n"/>
      <c r="AH802" s="85">
        <f>IF($A802="","",IF(AND($E802="Yes",OR($V802="No",$V802="NOT FOUND")),"YES",""))</f>
        <v/>
      </c>
      <c r="AI802" s="85">
        <f>IF($A802="","",TRIM(IF(AND($M802=0,$I802&lt;&gt;"Yes"),"T0-NoPhishResistant ","")&amp;IF($H802="No","NoMFA ","")&amp;IF(AND($M802=0,$O802="Group only"),"T0-ViaGroupOnly ","")&amp;IF($N802="Yes","BroadAzureScope ","")&amp;IF($T802="Yes","AlsoEntraRole ","")))</f>
        <v/>
      </c>
      <c r="AJ802" s="85">
        <f>IF($A802="","",IF(AD802="","Not Enrolled",IF(TODAY()&gt;AD802,"Review Overdue",IF(AD802-TODAY()&lt;=30,"Review Due Soon","Active"))))</f>
        <v/>
      </c>
      <c r="AK802" s="85">
        <f>IF($A802="","",IF(AE802="","NOT REVIEWED",IF(TODAY()-AE802&gt;90,"OVERDUE",IF(TODAY()-AE802&gt;76,"Due Soon","Current"))))</f>
        <v/>
      </c>
    </row>
    <row r="803" ht="15" customHeight="1" s="39">
      <c r="A803" s="85" t="n"/>
      <c r="B803" s="85" t="n"/>
      <c r="C803" s="85" t="n"/>
      <c r="D803" s="85" t="n"/>
      <c r="E803" s="85" t="n"/>
      <c r="F803" s="86" t="n"/>
      <c r="G803" s="86" t="n"/>
      <c r="H803" s="85" t="n"/>
      <c r="I803" s="85" t="n"/>
      <c r="J803" s="85" t="n"/>
      <c r="K803" s="85" t="n"/>
      <c r="L803" s="85" t="n"/>
      <c r="M803" s="85" t="n"/>
      <c r="N803" s="85" t="n"/>
      <c r="O803" s="85" t="n"/>
      <c r="P803" s="85" t="n"/>
      <c r="Q803" s="85" t="n"/>
      <c r="R803" s="85" t="n"/>
      <c r="S803" s="85" t="n"/>
      <c r="T803" s="85" t="n"/>
      <c r="U803" s="85" t="n"/>
      <c r="V803" s="85" t="n"/>
      <c r="W803" s="85" t="n"/>
      <c r="X803" s="85" t="n"/>
      <c r="Y803" s="85" t="n"/>
      <c r="Z803" s="85" t="n"/>
      <c r="AA803" s="85" t="n"/>
      <c r="AB803" s="85" t="n"/>
      <c r="AC803" s="86" t="n"/>
      <c r="AD803" s="86" t="n"/>
      <c r="AE803" s="86" t="n"/>
      <c r="AF803" s="85" t="n"/>
      <c r="AG803" s="85" t="n"/>
      <c r="AH803" s="85">
        <f>IF($A803="","",IF(AND($E803="Yes",OR($V803="No",$V803="NOT FOUND")),"YES",""))</f>
        <v/>
      </c>
      <c r="AI803" s="85">
        <f>IF($A803="","",TRIM(IF(AND($M803=0,$I803&lt;&gt;"Yes"),"T0-NoPhishResistant ","")&amp;IF($H803="No","NoMFA ","")&amp;IF(AND($M803=0,$O803="Group only"),"T0-ViaGroupOnly ","")&amp;IF($N803="Yes","BroadAzureScope ","")&amp;IF($T803="Yes","AlsoEntraRole ","")))</f>
        <v/>
      </c>
      <c r="AJ803" s="85">
        <f>IF($A803="","",IF(AD803="","Not Enrolled",IF(TODAY()&gt;AD803,"Review Overdue",IF(AD803-TODAY()&lt;=30,"Review Due Soon","Active"))))</f>
        <v/>
      </c>
      <c r="AK803" s="85">
        <f>IF($A803="","",IF(AE803="","NOT REVIEWED",IF(TODAY()-AE803&gt;90,"OVERDUE",IF(TODAY()-AE803&gt;76,"Due Soon","Current"))))</f>
        <v/>
      </c>
    </row>
    <row r="804" ht="15" customHeight="1" s="39">
      <c r="A804" s="85" t="n"/>
      <c r="B804" s="85" t="n"/>
      <c r="C804" s="85" t="n"/>
      <c r="D804" s="85" t="n"/>
      <c r="E804" s="85" t="n"/>
      <c r="F804" s="86" t="n"/>
      <c r="G804" s="86" t="n"/>
      <c r="H804" s="85" t="n"/>
      <c r="I804" s="85" t="n"/>
      <c r="J804" s="85" t="n"/>
      <c r="K804" s="85" t="n"/>
      <c r="L804" s="85" t="n"/>
      <c r="M804" s="85" t="n"/>
      <c r="N804" s="85" t="n"/>
      <c r="O804" s="85" t="n"/>
      <c r="P804" s="85" t="n"/>
      <c r="Q804" s="85" t="n"/>
      <c r="R804" s="85" t="n"/>
      <c r="S804" s="85" t="n"/>
      <c r="T804" s="85" t="n"/>
      <c r="U804" s="85" t="n"/>
      <c r="V804" s="85" t="n"/>
      <c r="W804" s="85" t="n"/>
      <c r="X804" s="85" t="n"/>
      <c r="Y804" s="85" t="n"/>
      <c r="Z804" s="85" t="n"/>
      <c r="AA804" s="85" t="n"/>
      <c r="AB804" s="85" t="n"/>
      <c r="AC804" s="86" t="n"/>
      <c r="AD804" s="86" t="n"/>
      <c r="AE804" s="86" t="n"/>
      <c r="AF804" s="85" t="n"/>
      <c r="AG804" s="85" t="n"/>
      <c r="AH804" s="85">
        <f>IF($A804="","",IF(AND($E804="Yes",OR($V804="No",$V804="NOT FOUND")),"YES",""))</f>
        <v/>
      </c>
      <c r="AI804" s="85">
        <f>IF($A804="","",TRIM(IF(AND($M804=0,$I804&lt;&gt;"Yes"),"T0-NoPhishResistant ","")&amp;IF($H804="No","NoMFA ","")&amp;IF(AND($M804=0,$O804="Group only"),"T0-ViaGroupOnly ","")&amp;IF($N804="Yes","BroadAzureScope ","")&amp;IF($T804="Yes","AlsoEntraRole ","")))</f>
        <v/>
      </c>
      <c r="AJ804" s="85">
        <f>IF($A804="","",IF(AD804="","Not Enrolled",IF(TODAY()&gt;AD804,"Review Overdue",IF(AD804-TODAY()&lt;=30,"Review Due Soon","Active"))))</f>
        <v/>
      </c>
      <c r="AK804" s="85">
        <f>IF($A804="","",IF(AE804="","NOT REVIEWED",IF(TODAY()-AE804&gt;90,"OVERDUE",IF(TODAY()-AE804&gt;76,"Due Soon","Current"))))</f>
        <v/>
      </c>
    </row>
    <row r="805" ht="15" customHeight="1" s="39">
      <c r="A805" s="85" t="n"/>
      <c r="B805" s="85" t="n"/>
      <c r="C805" s="85" t="n"/>
      <c r="D805" s="85" t="n"/>
      <c r="E805" s="85" t="n"/>
      <c r="F805" s="86" t="n"/>
      <c r="G805" s="86" t="n"/>
      <c r="H805" s="85" t="n"/>
      <c r="I805" s="85" t="n"/>
      <c r="J805" s="85" t="n"/>
      <c r="K805" s="85" t="n"/>
      <c r="L805" s="85" t="n"/>
      <c r="M805" s="85" t="n"/>
      <c r="N805" s="85" t="n"/>
      <c r="O805" s="85" t="n"/>
      <c r="P805" s="85" t="n"/>
      <c r="Q805" s="85" t="n"/>
      <c r="R805" s="85" t="n"/>
      <c r="S805" s="85" t="n"/>
      <c r="T805" s="85" t="n"/>
      <c r="U805" s="85" t="n"/>
      <c r="V805" s="85" t="n"/>
      <c r="W805" s="85" t="n"/>
      <c r="X805" s="85" t="n"/>
      <c r="Y805" s="85" t="n"/>
      <c r="Z805" s="85" t="n"/>
      <c r="AA805" s="85" t="n"/>
      <c r="AB805" s="85" t="n"/>
      <c r="AC805" s="86" t="n"/>
      <c r="AD805" s="86" t="n"/>
      <c r="AE805" s="86" t="n"/>
      <c r="AF805" s="85" t="n"/>
      <c r="AG805" s="85" t="n"/>
      <c r="AH805" s="85">
        <f>IF($A805="","",IF(AND($E805="Yes",OR($V805="No",$V805="NOT FOUND")),"YES",""))</f>
        <v/>
      </c>
      <c r="AI805" s="85">
        <f>IF($A805="","",TRIM(IF(AND($M805=0,$I805&lt;&gt;"Yes"),"T0-NoPhishResistant ","")&amp;IF($H805="No","NoMFA ","")&amp;IF(AND($M805=0,$O805="Group only"),"T0-ViaGroupOnly ","")&amp;IF($N805="Yes","BroadAzureScope ","")&amp;IF($T805="Yes","AlsoEntraRole ","")))</f>
        <v/>
      </c>
      <c r="AJ805" s="85">
        <f>IF($A805="","",IF(AD805="","Not Enrolled",IF(TODAY()&gt;AD805,"Review Overdue",IF(AD805-TODAY()&lt;=30,"Review Due Soon","Active"))))</f>
        <v/>
      </c>
      <c r="AK805" s="85">
        <f>IF($A805="","",IF(AE805="","NOT REVIEWED",IF(TODAY()-AE805&gt;90,"OVERDUE",IF(TODAY()-AE805&gt;76,"Due Soon","Current"))))</f>
        <v/>
      </c>
    </row>
    <row r="806" ht="15" customHeight="1" s="39">
      <c r="A806" s="85" t="n"/>
      <c r="B806" s="85" t="n"/>
      <c r="C806" s="85" t="n"/>
      <c r="D806" s="85" t="n"/>
      <c r="E806" s="85" t="n"/>
      <c r="F806" s="86" t="n"/>
      <c r="G806" s="86" t="n"/>
      <c r="H806" s="85" t="n"/>
      <c r="I806" s="85" t="n"/>
      <c r="J806" s="85" t="n"/>
      <c r="K806" s="85" t="n"/>
      <c r="L806" s="85" t="n"/>
      <c r="M806" s="85" t="n"/>
      <c r="N806" s="85" t="n"/>
      <c r="O806" s="85" t="n"/>
      <c r="P806" s="85" t="n"/>
      <c r="Q806" s="85" t="n"/>
      <c r="R806" s="85" t="n"/>
      <c r="S806" s="85" t="n"/>
      <c r="T806" s="85" t="n"/>
      <c r="U806" s="85" t="n"/>
      <c r="V806" s="85" t="n"/>
      <c r="W806" s="85" t="n"/>
      <c r="X806" s="85" t="n"/>
      <c r="Y806" s="85" t="n"/>
      <c r="Z806" s="85" t="n"/>
      <c r="AA806" s="85" t="n"/>
      <c r="AB806" s="85" t="n"/>
      <c r="AC806" s="86" t="n"/>
      <c r="AD806" s="86" t="n"/>
      <c r="AE806" s="86" t="n"/>
      <c r="AF806" s="85" t="n"/>
      <c r="AG806" s="85" t="n"/>
      <c r="AH806" s="85">
        <f>IF($A806="","",IF(AND($E806="Yes",OR($V806="No",$V806="NOT FOUND")),"YES",""))</f>
        <v/>
      </c>
      <c r="AI806" s="85">
        <f>IF($A806="","",TRIM(IF(AND($M806=0,$I806&lt;&gt;"Yes"),"T0-NoPhishResistant ","")&amp;IF($H806="No","NoMFA ","")&amp;IF(AND($M806=0,$O806="Group only"),"T0-ViaGroupOnly ","")&amp;IF($N806="Yes","BroadAzureScope ","")&amp;IF($T806="Yes","AlsoEntraRole ","")))</f>
        <v/>
      </c>
      <c r="AJ806" s="85">
        <f>IF($A806="","",IF(AD806="","Not Enrolled",IF(TODAY()&gt;AD806,"Review Overdue",IF(AD806-TODAY()&lt;=30,"Review Due Soon","Active"))))</f>
        <v/>
      </c>
      <c r="AK806" s="85">
        <f>IF($A806="","",IF(AE806="","NOT REVIEWED",IF(TODAY()-AE806&gt;90,"OVERDUE",IF(TODAY()-AE806&gt;76,"Due Soon","Current"))))</f>
        <v/>
      </c>
    </row>
    <row r="807" ht="15" customHeight="1" s="39">
      <c r="A807" s="85" t="n"/>
      <c r="B807" s="85" t="n"/>
      <c r="C807" s="85" t="n"/>
      <c r="D807" s="85" t="n"/>
      <c r="E807" s="85" t="n"/>
      <c r="F807" s="86" t="n"/>
      <c r="G807" s="86" t="n"/>
      <c r="H807" s="85" t="n"/>
      <c r="I807" s="85" t="n"/>
      <c r="J807" s="85" t="n"/>
      <c r="K807" s="85" t="n"/>
      <c r="L807" s="85" t="n"/>
      <c r="M807" s="85" t="n"/>
      <c r="N807" s="85" t="n"/>
      <c r="O807" s="85" t="n"/>
      <c r="P807" s="85" t="n"/>
      <c r="Q807" s="85" t="n"/>
      <c r="R807" s="85" t="n"/>
      <c r="S807" s="85" t="n"/>
      <c r="T807" s="85" t="n"/>
      <c r="U807" s="85" t="n"/>
      <c r="V807" s="85" t="n"/>
      <c r="W807" s="85" t="n"/>
      <c r="X807" s="85" t="n"/>
      <c r="Y807" s="85" t="n"/>
      <c r="Z807" s="85" t="n"/>
      <c r="AA807" s="85" t="n"/>
      <c r="AB807" s="85" t="n"/>
      <c r="AC807" s="86" t="n"/>
      <c r="AD807" s="86" t="n"/>
      <c r="AE807" s="86" t="n"/>
      <c r="AF807" s="85" t="n"/>
      <c r="AG807" s="85" t="n"/>
      <c r="AH807" s="85">
        <f>IF($A807="","",IF(AND($E807="Yes",OR($V807="No",$V807="NOT FOUND")),"YES",""))</f>
        <v/>
      </c>
      <c r="AI807" s="85">
        <f>IF($A807="","",TRIM(IF(AND($M807=0,$I807&lt;&gt;"Yes"),"T0-NoPhishResistant ","")&amp;IF($H807="No","NoMFA ","")&amp;IF(AND($M807=0,$O807="Group only"),"T0-ViaGroupOnly ","")&amp;IF($N807="Yes","BroadAzureScope ","")&amp;IF($T807="Yes","AlsoEntraRole ","")))</f>
        <v/>
      </c>
      <c r="AJ807" s="85">
        <f>IF($A807="","",IF(AD807="","Not Enrolled",IF(TODAY()&gt;AD807,"Review Overdue",IF(AD807-TODAY()&lt;=30,"Review Due Soon","Active"))))</f>
        <v/>
      </c>
      <c r="AK807" s="85">
        <f>IF($A807="","",IF(AE807="","NOT REVIEWED",IF(TODAY()-AE807&gt;90,"OVERDUE",IF(TODAY()-AE807&gt;76,"Due Soon","Current"))))</f>
        <v/>
      </c>
    </row>
    <row r="808" ht="15" customHeight="1" s="39">
      <c r="A808" s="85" t="n"/>
      <c r="B808" s="85" t="n"/>
      <c r="C808" s="85" t="n"/>
      <c r="D808" s="85" t="n"/>
      <c r="E808" s="85" t="n"/>
      <c r="F808" s="86" t="n"/>
      <c r="G808" s="86" t="n"/>
      <c r="H808" s="85" t="n"/>
      <c r="I808" s="85" t="n"/>
      <c r="J808" s="85" t="n"/>
      <c r="K808" s="85" t="n"/>
      <c r="L808" s="85" t="n"/>
      <c r="M808" s="85" t="n"/>
      <c r="N808" s="85" t="n"/>
      <c r="O808" s="85" t="n"/>
      <c r="P808" s="85" t="n"/>
      <c r="Q808" s="85" t="n"/>
      <c r="R808" s="85" t="n"/>
      <c r="S808" s="85" t="n"/>
      <c r="T808" s="85" t="n"/>
      <c r="U808" s="85" t="n"/>
      <c r="V808" s="85" t="n"/>
      <c r="W808" s="85" t="n"/>
      <c r="X808" s="85" t="n"/>
      <c r="Y808" s="85" t="n"/>
      <c r="Z808" s="85" t="n"/>
      <c r="AA808" s="85" t="n"/>
      <c r="AB808" s="85" t="n"/>
      <c r="AC808" s="86" t="n"/>
      <c r="AD808" s="86" t="n"/>
      <c r="AE808" s="86" t="n"/>
      <c r="AF808" s="85" t="n"/>
      <c r="AG808" s="85" t="n"/>
      <c r="AH808" s="85">
        <f>IF($A808="","",IF(AND($E808="Yes",OR($V808="No",$V808="NOT FOUND")),"YES",""))</f>
        <v/>
      </c>
      <c r="AI808" s="85">
        <f>IF($A808="","",TRIM(IF(AND($M808=0,$I808&lt;&gt;"Yes"),"T0-NoPhishResistant ","")&amp;IF($H808="No","NoMFA ","")&amp;IF(AND($M808=0,$O808="Group only"),"T0-ViaGroupOnly ","")&amp;IF($N808="Yes","BroadAzureScope ","")&amp;IF($T808="Yes","AlsoEntraRole ","")))</f>
        <v/>
      </c>
      <c r="AJ808" s="85">
        <f>IF($A808="","",IF(AD808="","Not Enrolled",IF(TODAY()&gt;AD808,"Review Overdue",IF(AD808-TODAY()&lt;=30,"Review Due Soon","Active"))))</f>
        <v/>
      </c>
      <c r="AK808" s="85">
        <f>IF($A808="","",IF(AE808="","NOT REVIEWED",IF(TODAY()-AE808&gt;90,"OVERDUE",IF(TODAY()-AE808&gt;76,"Due Soon","Current"))))</f>
        <v/>
      </c>
    </row>
    <row r="809" ht="15" customHeight="1" s="39">
      <c r="A809" s="85" t="n"/>
      <c r="B809" s="85" t="n"/>
      <c r="C809" s="85" t="n"/>
      <c r="D809" s="85" t="n"/>
      <c r="E809" s="85" t="n"/>
      <c r="F809" s="86" t="n"/>
      <c r="G809" s="86" t="n"/>
      <c r="H809" s="85" t="n"/>
      <c r="I809" s="85" t="n"/>
      <c r="J809" s="85" t="n"/>
      <c r="K809" s="85" t="n"/>
      <c r="L809" s="85" t="n"/>
      <c r="M809" s="85" t="n"/>
      <c r="N809" s="85" t="n"/>
      <c r="O809" s="85" t="n"/>
      <c r="P809" s="85" t="n"/>
      <c r="Q809" s="85" t="n"/>
      <c r="R809" s="85" t="n"/>
      <c r="S809" s="85" t="n"/>
      <c r="T809" s="85" t="n"/>
      <c r="U809" s="85" t="n"/>
      <c r="V809" s="85" t="n"/>
      <c r="W809" s="85" t="n"/>
      <c r="X809" s="85" t="n"/>
      <c r="Y809" s="85" t="n"/>
      <c r="Z809" s="85" t="n"/>
      <c r="AA809" s="85" t="n"/>
      <c r="AB809" s="85" t="n"/>
      <c r="AC809" s="86" t="n"/>
      <c r="AD809" s="86" t="n"/>
      <c r="AE809" s="86" t="n"/>
      <c r="AF809" s="85" t="n"/>
      <c r="AG809" s="85" t="n"/>
      <c r="AH809" s="85">
        <f>IF($A809="","",IF(AND($E809="Yes",OR($V809="No",$V809="NOT FOUND")),"YES",""))</f>
        <v/>
      </c>
      <c r="AI809" s="85">
        <f>IF($A809="","",TRIM(IF(AND($M809=0,$I809&lt;&gt;"Yes"),"T0-NoPhishResistant ","")&amp;IF($H809="No","NoMFA ","")&amp;IF(AND($M809=0,$O809="Group only"),"T0-ViaGroupOnly ","")&amp;IF($N809="Yes","BroadAzureScope ","")&amp;IF($T809="Yes","AlsoEntraRole ","")))</f>
        <v/>
      </c>
      <c r="AJ809" s="85">
        <f>IF($A809="","",IF(AD809="","Not Enrolled",IF(TODAY()&gt;AD809,"Review Overdue",IF(AD809-TODAY()&lt;=30,"Review Due Soon","Active"))))</f>
        <v/>
      </c>
      <c r="AK809" s="85">
        <f>IF($A809="","",IF(AE809="","NOT REVIEWED",IF(TODAY()-AE809&gt;90,"OVERDUE",IF(TODAY()-AE809&gt;76,"Due Soon","Current"))))</f>
        <v/>
      </c>
    </row>
    <row r="810" ht="15" customHeight="1" s="39">
      <c r="A810" s="85" t="n"/>
      <c r="B810" s="85" t="n"/>
      <c r="C810" s="85" t="n"/>
      <c r="D810" s="85" t="n"/>
      <c r="E810" s="85" t="n"/>
      <c r="F810" s="86" t="n"/>
      <c r="G810" s="86" t="n"/>
      <c r="H810" s="85" t="n"/>
      <c r="I810" s="85" t="n"/>
      <c r="J810" s="85" t="n"/>
      <c r="K810" s="85" t="n"/>
      <c r="L810" s="85" t="n"/>
      <c r="M810" s="85" t="n"/>
      <c r="N810" s="85" t="n"/>
      <c r="O810" s="85" t="n"/>
      <c r="P810" s="85" t="n"/>
      <c r="Q810" s="85" t="n"/>
      <c r="R810" s="85" t="n"/>
      <c r="S810" s="85" t="n"/>
      <c r="T810" s="85" t="n"/>
      <c r="U810" s="85" t="n"/>
      <c r="V810" s="85" t="n"/>
      <c r="W810" s="85" t="n"/>
      <c r="X810" s="85" t="n"/>
      <c r="Y810" s="85" t="n"/>
      <c r="Z810" s="85" t="n"/>
      <c r="AA810" s="85" t="n"/>
      <c r="AB810" s="85" t="n"/>
      <c r="AC810" s="86" t="n"/>
      <c r="AD810" s="86" t="n"/>
      <c r="AE810" s="86" t="n"/>
      <c r="AF810" s="85" t="n"/>
      <c r="AG810" s="85" t="n"/>
      <c r="AH810" s="85">
        <f>IF($A810="","",IF(AND($E810="Yes",OR($V810="No",$V810="NOT FOUND")),"YES",""))</f>
        <v/>
      </c>
      <c r="AI810" s="85">
        <f>IF($A810="","",TRIM(IF(AND($M810=0,$I810&lt;&gt;"Yes"),"T0-NoPhishResistant ","")&amp;IF($H810="No","NoMFA ","")&amp;IF(AND($M810=0,$O810="Group only"),"T0-ViaGroupOnly ","")&amp;IF($N810="Yes","BroadAzureScope ","")&amp;IF($T810="Yes","AlsoEntraRole ","")))</f>
        <v/>
      </c>
      <c r="AJ810" s="85">
        <f>IF($A810="","",IF(AD810="","Not Enrolled",IF(TODAY()&gt;AD810,"Review Overdue",IF(AD810-TODAY()&lt;=30,"Review Due Soon","Active"))))</f>
        <v/>
      </c>
      <c r="AK810" s="85">
        <f>IF($A810="","",IF(AE810="","NOT REVIEWED",IF(TODAY()-AE810&gt;90,"OVERDUE",IF(TODAY()-AE810&gt;76,"Due Soon","Current"))))</f>
        <v/>
      </c>
    </row>
    <row r="811" ht="15" customHeight="1" s="39">
      <c r="A811" s="85" t="n"/>
      <c r="B811" s="85" t="n"/>
      <c r="C811" s="85" t="n"/>
      <c r="D811" s="85" t="n"/>
      <c r="E811" s="85" t="n"/>
      <c r="F811" s="86" t="n"/>
      <c r="G811" s="86" t="n"/>
      <c r="H811" s="85" t="n"/>
      <c r="I811" s="85" t="n"/>
      <c r="J811" s="85" t="n"/>
      <c r="K811" s="85" t="n"/>
      <c r="L811" s="85" t="n"/>
      <c r="M811" s="85" t="n"/>
      <c r="N811" s="85" t="n"/>
      <c r="O811" s="85" t="n"/>
      <c r="P811" s="85" t="n"/>
      <c r="Q811" s="85" t="n"/>
      <c r="R811" s="85" t="n"/>
      <c r="S811" s="85" t="n"/>
      <c r="T811" s="85" t="n"/>
      <c r="U811" s="85" t="n"/>
      <c r="V811" s="85" t="n"/>
      <c r="W811" s="85" t="n"/>
      <c r="X811" s="85" t="n"/>
      <c r="Y811" s="85" t="n"/>
      <c r="Z811" s="85" t="n"/>
      <c r="AA811" s="85" t="n"/>
      <c r="AB811" s="85" t="n"/>
      <c r="AC811" s="86" t="n"/>
      <c r="AD811" s="86" t="n"/>
      <c r="AE811" s="86" t="n"/>
      <c r="AF811" s="85" t="n"/>
      <c r="AG811" s="85" t="n"/>
      <c r="AH811" s="85">
        <f>IF($A811="","",IF(AND($E811="Yes",OR($V811="No",$V811="NOT FOUND")),"YES",""))</f>
        <v/>
      </c>
      <c r="AI811" s="85">
        <f>IF($A811="","",TRIM(IF(AND($M811=0,$I811&lt;&gt;"Yes"),"T0-NoPhishResistant ","")&amp;IF($H811="No","NoMFA ","")&amp;IF(AND($M811=0,$O811="Group only"),"T0-ViaGroupOnly ","")&amp;IF($N811="Yes","BroadAzureScope ","")&amp;IF($T811="Yes","AlsoEntraRole ","")))</f>
        <v/>
      </c>
      <c r="AJ811" s="85">
        <f>IF($A811="","",IF(AD811="","Not Enrolled",IF(TODAY()&gt;AD811,"Review Overdue",IF(AD811-TODAY()&lt;=30,"Review Due Soon","Active"))))</f>
        <v/>
      </c>
      <c r="AK811" s="85">
        <f>IF($A811="","",IF(AE811="","NOT REVIEWED",IF(TODAY()-AE811&gt;90,"OVERDUE",IF(TODAY()-AE811&gt;76,"Due Soon","Current"))))</f>
        <v/>
      </c>
    </row>
    <row r="812" ht="15" customHeight="1" s="39">
      <c r="A812" s="85" t="n"/>
      <c r="B812" s="85" t="n"/>
      <c r="C812" s="85" t="n"/>
      <c r="D812" s="85" t="n"/>
      <c r="E812" s="85" t="n"/>
      <c r="F812" s="86" t="n"/>
      <c r="G812" s="86" t="n"/>
      <c r="H812" s="85" t="n"/>
      <c r="I812" s="85" t="n"/>
      <c r="J812" s="85" t="n"/>
      <c r="K812" s="85" t="n"/>
      <c r="L812" s="85" t="n"/>
      <c r="M812" s="85" t="n"/>
      <c r="N812" s="85" t="n"/>
      <c r="O812" s="85" t="n"/>
      <c r="P812" s="85" t="n"/>
      <c r="Q812" s="85" t="n"/>
      <c r="R812" s="85" t="n"/>
      <c r="S812" s="85" t="n"/>
      <c r="T812" s="85" t="n"/>
      <c r="U812" s="85" t="n"/>
      <c r="V812" s="85" t="n"/>
      <c r="W812" s="85" t="n"/>
      <c r="X812" s="85" t="n"/>
      <c r="Y812" s="85" t="n"/>
      <c r="Z812" s="85" t="n"/>
      <c r="AA812" s="85" t="n"/>
      <c r="AB812" s="85" t="n"/>
      <c r="AC812" s="86" t="n"/>
      <c r="AD812" s="86" t="n"/>
      <c r="AE812" s="86" t="n"/>
      <c r="AF812" s="85" t="n"/>
      <c r="AG812" s="85" t="n"/>
      <c r="AH812" s="85">
        <f>IF($A812="","",IF(AND($E812="Yes",OR($V812="No",$V812="NOT FOUND")),"YES",""))</f>
        <v/>
      </c>
      <c r="AI812" s="85">
        <f>IF($A812="","",TRIM(IF(AND($M812=0,$I812&lt;&gt;"Yes"),"T0-NoPhishResistant ","")&amp;IF($H812="No","NoMFA ","")&amp;IF(AND($M812=0,$O812="Group only"),"T0-ViaGroupOnly ","")&amp;IF($N812="Yes","BroadAzureScope ","")&amp;IF($T812="Yes","AlsoEntraRole ","")))</f>
        <v/>
      </c>
      <c r="AJ812" s="85">
        <f>IF($A812="","",IF(AD812="","Not Enrolled",IF(TODAY()&gt;AD812,"Review Overdue",IF(AD812-TODAY()&lt;=30,"Review Due Soon","Active"))))</f>
        <v/>
      </c>
      <c r="AK812" s="85">
        <f>IF($A812="","",IF(AE812="","NOT REVIEWED",IF(TODAY()-AE812&gt;90,"OVERDUE",IF(TODAY()-AE812&gt;76,"Due Soon","Current"))))</f>
        <v/>
      </c>
    </row>
    <row r="813" ht="15" customHeight="1" s="39">
      <c r="A813" s="85" t="n"/>
      <c r="B813" s="85" t="n"/>
      <c r="C813" s="85" t="n"/>
      <c r="D813" s="85" t="n"/>
      <c r="E813" s="85" t="n"/>
      <c r="F813" s="86" t="n"/>
      <c r="G813" s="86" t="n"/>
      <c r="H813" s="85" t="n"/>
      <c r="I813" s="85" t="n"/>
      <c r="J813" s="85" t="n"/>
      <c r="K813" s="85" t="n"/>
      <c r="L813" s="85" t="n"/>
      <c r="M813" s="85" t="n"/>
      <c r="N813" s="85" t="n"/>
      <c r="O813" s="85" t="n"/>
      <c r="P813" s="85" t="n"/>
      <c r="Q813" s="85" t="n"/>
      <c r="R813" s="85" t="n"/>
      <c r="S813" s="85" t="n"/>
      <c r="T813" s="85" t="n"/>
      <c r="U813" s="85" t="n"/>
      <c r="V813" s="85" t="n"/>
      <c r="W813" s="85" t="n"/>
      <c r="X813" s="85" t="n"/>
      <c r="Y813" s="85" t="n"/>
      <c r="Z813" s="85" t="n"/>
      <c r="AA813" s="85" t="n"/>
      <c r="AB813" s="85" t="n"/>
      <c r="AC813" s="86" t="n"/>
      <c r="AD813" s="86" t="n"/>
      <c r="AE813" s="86" t="n"/>
      <c r="AF813" s="85" t="n"/>
      <c r="AG813" s="85" t="n"/>
      <c r="AH813" s="85">
        <f>IF($A813="","",IF(AND($E813="Yes",OR($V813="No",$V813="NOT FOUND")),"YES",""))</f>
        <v/>
      </c>
      <c r="AI813" s="85">
        <f>IF($A813="","",TRIM(IF(AND($M813=0,$I813&lt;&gt;"Yes"),"T0-NoPhishResistant ","")&amp;IF($H813="No","NoMFA ","")&amp;IF(AND($M813=0,$O813="Group only"),"T0-ViaGroupOnly ","")&amp;IF($N813="Yes","BroadAzureScope ","")&amp;IF($T813="Yes","AlsoEntraRole ","")))</f>
        <v/>
      </c>
      <c r="AJ813" s="85">
        <f>IF($A813="","",IF(AD813="","Not Enrolled",IF(TODAY()&gt;AD813,"Review Overdue",IF(AD813-TODAY()&lt;=30,"Review Due Soon","Active"))))</f>
        <v/>
      </c>
      <c r="AK813" s="85">
        <f>IF($A813="","",IF(AE813="","NOT REVIEWED",IF(TODAY()-AE813&gt;90,"OVERDUE",IF(TODAY()-AE813&gt;76,"Due Soon","Current"))))</f>
        <v/>
      </c>
    </row>
    <row r="814" ht="15" customHeight="1" s="39">
      <c r="A814" s="85" t="n"/>
      <c r="B814" s="85" t="n"/>
      <c r="C814" s="85" t="n"/>
      <c r="D814" s="85" t="n"/>
      <c r="E814" s="85" t="n"/>
      <c r="F814" s="86" t="n"/>
      <c r="G814" s="86" t="n"/>
      <c r="H814" s="85" t="n"/>
      <c r="I814" s="85" t="n"/>
      <c r="J814" s="85" t="n"/>
      <c r="K814" s="85" t="n"/>
      <c r="L814" s="85" t="n"/>
      <c r="M814" s="85" t="n"/>
      <c r="N814" s="85" t="n"/>
      <c r="O814" s="85" t="n"/>
      <c r="P814" s="85" t="n"/>
      <c r="Q814" s="85" t="n"/>
      <c r="R814" s="85" t="n"/>
      <c r="S814" s="85" t="n"/>
      <c r="T814" s="85" t="n"/>
      <c r="U814" s="85" t="n"/>
      <c r="V814" s="85" t="n"/>
      <c r="W814" s="85" t="n"/>
      <c r="X814" s="85" t="n"/>
      <c r="Y814" s="85" t="n"/>
      <c r="Z814" s="85" t="n"/>
      <c r="AA814" s="85" t="n"/>
      <c r="AB814" s="85" t="n"/>
      <c r="AC814" s="86" t="n"/>
      <c r="AD814" s="86" t="n"/>
      <c r="AE814" s="86" t="n"/>
      <c r="AF814" s="85" t="n"/>
      <c r="AG814" s="85" t="n"/>
      <c r="AH814" s="85">
        <f>IF($A814="","",IF(AND($E814="Yes",OR($V814="No",$V814="NOT FOUND")),"YES",""))</f>
        <v/>
      </c>
      <c r="AI814" s="85">
        <f>IF($A814="","",TRIM(IF(AND($M814=0,$I814&lt;&gt;"Yes"),"T0-NoPhishResistant ","")&amp;IF($H814="No","NoMFA ","")&amp;IF(AND($M814=0,$O814="Group only"),"T0-ViaGroupOnly ","")&amp;IF($N814="Yes","BroadAzureScope ","")&amp;IF($T814="Yes","AlsoEntraRole ","")))</f>
        <v/>
      </c>
      <c r="AJ814" s="85">
        <f>IF($A814="","",IF(AD814="","Not Enrolled",IF(TODAY()&gt;AD814,"Review Overdue",IF(AD814-TODAY()&lt;=30,"Review Due Soon","Active"))))</f>
        <v/>
      </c>
      <c r="AK814" s="85">
        <f>IF($A814="","",IF(AE814="","NOT REVIEWED",IF(TODAY()-AE814&gt;90,"OVERDUE",IF(TODAY()-AE814&gt;76,"Due Soon","Current"))))</f>
        <v/>
      </c>
    </row>
    <row r="815" ht="15" customHeight="1" s="39">
      <c r="A815" s="85" t="n"/>
      <c r="B815" s="85" t="n"/>
      <c r="C815" s="85" t="n"/>
      <c r="D815" s="85" t="n"/>
      <c r="E815" s="85" t="n"/>
      <c r="F815" s="86" t="n"/>
      <c r="G815" s="86" t="n"/>
      <c r="H815" s="85" t="n"/>
      <c r="I815" s="85" t="n"/>
      <c r="J815" s="85" t="n"/>
      <c r="K815" s="85" t="n"/>
      <c r="L815" s="85" t="n"/>
      <c r="M815" s="85" t="n"/>
      <c r="N815" s="85" t="n"/>
      <c r="O815" s="85" t="n"/>
      <c r="P815" s="85" t="n"/>
      <c r="Q815" s="85" t="n"/>
      <c r="R815" s="85" t="n"/>
      <c r="S815" s="85" t="n"/>
      <c r="T815" s="85" t="n"/>
      <c r="U815" s="85" t="n"/>
      <c r="V815" s="85" t="n"/>
      <c r="W815" s="85" t="n"/>
      <c r="X815" s="85" t="n"/>
      <c r="Y815" s="85" t="n"/>
      <c r="Z815" s="85" t="n"/>
      <c r="AA815" s="85" t="n"/>
      <c r="AB815" s="85" t="n"/>
      <c r="AC815" s="86" t="n"/>
      <c r="AD815" s="86" t="n"/>
      <c r="AE815" s="86" t="n"/>
      <c r="AF815" s="85" t="n"/>
      <c r="AG815" s="85" t="n"/>
      <c r="AH815" s="85">
        <f>IF($A815="","",IF(AND($E815="Yes",OR($V815="No",$V815="NOT FOUND")),"YES",""))</f>
        <v/>
      </c>
      <c r="AI815" s="85">
        <f>IF($A815="","",TRIM(IF(AND($M815=0,$I815&lt;&gt;"Yes"),"T0-NoPhishResistant ","")&amp;IF($H815="No","NoMFA ","")&amp;IF(AND($M815=0,$O815="Group only"),"T0-ViaGroupOnly ","")&amp;IF($N815="Yes","BroadAzureScope ","")&amp;IF($T815="Yes","AlsoEntraRole ","")))</f>
        <v/>
      </c>
      <c r="AJ815" s="85">
        <f>IF($A815="","",IF(AD815="","Not Enrolled",IF(TODAY()&gt;AD815,"Review Overdue",IF(AD815-TODAY()&lt;=30,"Review Due Soon","Active"))))</f>
        <v/>
      </c>
      <c r="AK815" s="85">
        <f>IF($A815="","",IF(AE815="","NOT REVIEWED",IF(TODAY()-AE815&gt;90,"OVERDUE",IF(TODAY()-AE815&gt;76,"Due Soon","Current"))))</f>
        <v/>
      </c>
    </row>
    <row r="816" ht="15" customHeight="1" s="39">
      <c r="A816" s="85" t="n"/>
      <c r="B816" s="85" t="n"/>
      <c r="C816" s="85" t="n"/>
      <c r="D816" s="85" t="n"/>
      <c r="E816" s="85" t="n"/>
      <c r="F816" s="86" t="n"/>
      <c r="G816" s="86" t="n"/>
      <c r="H816" s="85" t="n"/>
      <c r="I816" s="85" t="n"/>
      <c r="J816" s="85" t="n"/>
      <c r="K816" s="85" t="n"/>
      <c r="L816" s="85" t="n"/>
      <c r="M816" s="85" t="n"/>
      <c r="N816" s="85" t="n"/>
      <c r="O816" s="85" t="n"/>
      <c r="P816" s="85" t="n"/>
      <c r="Q816" s="85" t="n"/>
      <c r="R816" s="85" t="n"/>
      <c r="S816" s="85" t="n"/>
      <c r="T816" s="85" t="n"/>
      <c r="U816" s="85" t="n"/>
      <c r="V816" s="85" t="n"/>
      <c r="W816" s="85" t="n"/>
      <c r="X816" s="85" t="n"/>
      <c r="Y816" s="85" t="n"/>
      <c r="Z816" s="85" t="n"/>
      <c r="AA816" s="85" t="n"/>
      <c r="AB816" s="85" t="n"/>
      <c r="AC816" s="86" t="n"/>
      <c r="AD816" s="86" t="n"/>
      <c r="AE816" s="86" t="n"/>
      <c r="AF816" s="85" t="n"/>
      <c r="AG816" s="85" t="n"/>
      <c r="AH816" s="85">
        <f>IF($A816="","",IF(AND($E816="Yes",OR($V816="No",$V816="NOT FOUND")),"YES",""))</f>
        <v/>
      </c>
      <c r="AI816" s="85">
        <f>IF($A816="","",TRIM(IF(AND($M816=0,$I816&lt;&gt;"Yes"),"T0-NoPhishResistant ","")&amp;IF($H816="No","NoMFA ","")&amp;IF(AND($M816=0,$O816="Group only"),"T0-ViaGroupOnly ","")&amp;IF($N816="Yes","BroadAzureScope ","")&amp;IF($T816="Yes","AlsoEntraRole ","")))</f>
        <v/>
      </c>
      <c r="AJ816" s="85">
        <f>IF($A816="","",IF(AD816="","Not Enrolled",IF(TODAY()&gt;AD816,"Review Overdue",IF(AD816-TODAY()&lt;=30,"Review Due Soon","Active"))))</f>
        <v/>
      </c>
      <c r="AK816" s="85">
        <f>IF($A816="","",IF(AE816="","NOT REVIEWED",IF(TODAY()-AE816&gt;90,"OVERDUE",IF(TODAY()-AE816&gt;76,"Due Soon","Current"))))</f>
        <v/>
      </c>
    </row>
    <row r="817" ht="15" customHeight="1" s="39">
      <c r="A817" s="85" t="n"/>
      <c r="B817" s="85" t="n"/>
      <c r="C817" s="85" t="n"/>
      <c r="D817" s="85" t="n"/>
      <c r="E817" s="85" t="n"/>
      <c r="F817" s="86" t="n"/>
      <c r="G817" s="86" t="n"/>
      <c r="H817" s="85" t="n"/>
      <c r="I817" s="85" t="n"/>
      <c r="J817" s="85" t="n"/>
      <c r="K817" s="85" t="n"/>
      <c r="L817" s="85" t="n"/>
      <c r="M817" s="85" t="n"/>
      <c r="N817" s="85" t="n"/>
      <c r="O817" s="85" t="n"/>
      <c r="P817" s="85" t="n"/>
      <c r="Q817" s="85" t="n"/>
      <c r="R817" s="85" t="n"/>
      <c r="S817" s="85" t="n"/>
      <c r="T817" s="85" t="n"/>
      <c r="U817" s="85" t="n"/>
      <c r="V817" s="85" t="n"/>
      <c r="W817" s="85" t="n"/>
      <c r="X817" s="85" t="n"/>
      <c r="Y817" s="85" t="n"/>
      <c r="Z817" s="85" t="n"/>
      <c r="AA817" s="85" t="n"/>
      <c r="AB817" s="85" t="n"/>
      <c r="AC817" s="86" t="n"/>
      <c r="AD817" s="86" t="n"/>
      <c r="AE817" s="86" t="n"/>
      <c r="AF817" s="85" t="n"/>
      <c r="AG817" s="85" t="n"/>
      <c r="AH817" s="85">
        <f>IF($A817="","",IF(AND($E817="Yes",OR($V817="No",$V817="NOT FOUND")),"YES",""))</f>
        <v/>
      </c>
      <c r="AI817" s="85">
        <f>IF($A817="","",TRIM(IF(AND($M817=0,$I817&lt;&gt;"Yes"),"T0-NoPhishResistant ","")&amp;IF($H817="No","NoMFA ","")&amp;IF(AND($M817=0,$O817="Group only"),"T0-ViaGroupOnly ","")&amp;IF($N817="Yes","BroadAzureScope ","")&amp;IF($T817="Yes","AlsoEntraRole ","")))</f>
        <v/>
      </c>
      <c r="AJ817" s="85">
        <f>IF($A817="","",IF(AD817="","Not Enrolled",IF(TODAY()&gt;AD817,"Review Overdue",IF(AD817-TODAY()&lt;=30,"Review Due Soon","Active"))))</f>
        <v/>
      </c>
      <c r="AK817" s="85">
        <f>IF($A817="","",IF(AE817="","NOT REVIEWED",IF(TODAY()-AE817&gt;90,"OVERDUE",IF(TODAY()-AE817&gt;76,"Due Soon","Current"))))</f>
        <v/>
      </c>
    </row>
    <row r="818" ht="15" customHeight="1" s="39">
      <c r="A818" s="85" t="n"/>
      <c r="B818" s="85" t="n"/>
      <c r="C818" s="85" t="n"/>
      <c r="D818" s="85" t="n"/>
      <c r="E818" s="85" t="n"/>
      <c r="F818" s="86" t="n"/>
      <c r="G818" s="86" t="n"/>
      <c r="H818" s="85" t="n"/>
      <c r="I818" s="85" t="n"/>
      <c r="J818" s="85" t="n"/>
      <c r="K818" s="85" t="n"/>
      <c r="L818" s="85" t="n"/>
      <c r="M818" s="85" t="n"/>
      <c r="N818" s="85" t="n"/>
      <c r="O818" s="85" t="n"/>
      <c r="P818" s="85" t="n"/>
      <c r="Q818" s="85" t="n"/>
      <c r="R818" s="85" t="n"/>
      <c r="S818" s="85" t="n"/>
      <c r="T818" s="85" t="n"/>
      <c r="U818" s="85" t="n"/>
      <c r="V818" s="85" t="n"/>
      <c r="W818" s="85" t="n"/>
      <c r="X818" s="85" t="n"/>
      <c r="Y818" s="85" t="n"/>
      <c r="Z818" s="85" t="n"/>
      <c r="AA818" s="85" t="n"/>
      <c r="AB818" s="85" t="n"/>
      <c r="AC818" s="86" t="n"/>
      <c r="AD818" s="86" t="n"/>
      <c r="AE818" s="86" t="n"/>
      <c r="AF818" s="85" t="n"/>
      <c r="AG818" s="85" t="n"/>
      <c r="AH818" s="85">
        <f>IF($A818="","",IF(AND($E818="Yes",OR($V818="No",$V818="NOT FOUND")),"YES",""))</f>
        <v/>
      </c>
      <c r="AI818" s="85">
        <f>IF($A818="","",TRIM(IF(AND($M818=0,$I818&lt;&gt;"Yes"),"T0-NoPhishResistant ","")&amp;IF($H818="No","NoMFA ","")&amp;IF(AND($M818=0,$O818="Group only"),"T0-ViaGroupOnly ","")&amp;IF($N818="Yes","BroadAzureScope ","")&amp;IF($T818="Yes","AlsoEntraRole ","")))</f>
        <v/>
      </c>
      <c r="AJ818" s="85">
        <f>IF($A818="","",IF(AD818="","Not Enrolled",IF(TODAY()&gt;AD818,"Review Overdue",IF(AD818-TODAY()&lt;=30,"Review Due Soon","Active"))))</f>
        <v/>
      </c>
      <c r="AK818" s="85">
        <f>IF($A818="","",IF(AE818="","NOT REVIEWED",IF(TODAY()-AE818&gt;90,"OVERDUE",IF(TODAY()-AE818&gt;76,"Due Soon","Current"))))</f>
        <v/>
      </c>
    </row>
    <row r="819" ht="15" customHeight="1" s="39">
      <c r="A819" s="85" t="n"/>
      <c r="B819" s="85" t="n"/>
      <c r="C819" s="85" t="n"/>
      <c r="D819" s="85" t="n"/>
      <c r="E819" s="85" t="n"/>
      <c r="F819" s="86" t="n"/>
      <c r="G819" s="86" t="n"/>
      <c r="H819" s="85" t="n"/>
      <c r="I819" s="85" t="n"/>
      <c r="J819" s="85" t="n"/>
      <c r="K819" s="85" t="n"/>
      <c r="L819" s="85" t="n"/>
      <c r="M819" s="85" t="n"/>
      <c r="N819" s="85" t="n"/>
      <c r="O819" s="85" t="n"/>
      <c r="P819" s="85" t="n"/>
      <c r="Q819" s="85" t="n"/>
      <c r="R819" s="85" t="n"/>
      <c r="S819" s="85" t="n"/>
      <c r="T819" s="85" t="n"/>
      <c r="U819" s="85" t="n"/>
      <c r="V819" s="85" t="n"/>
      <c r="W819" s="85" t="n"/>
      <c r="X819" s="85" t="n"/>
      <c r="Y819" s="85" t="n"/>
      <c r="Z819" s="85" t="n"/>
      <c r="AA819" s="85" t="n"/>
      <c r="AB819" s="85" t="n"/>
      <c r="AC819" s="86" t="n"/>
      <c r="AD819" s="86" t="n"/>
      <c r="AE819" s="86" t="n"/>
      <c r="AF819" s="85" t="n"/>
      <c r="AG819" s="85" t="n"/>
      <c r="AH819" s="85">
        <f>IF($A819="","",IF(AND($E819="Yes",OR($V819="No",$V819="NOT FOUND")),"YES",""))</f>
        <v/>
      </c>
      <c r="AI819" s="85">
        <f>IF($A819="","",TRIM(IF(AND($M819=0,$I819&lt;&gt;"Yes"),"T0-NoPhishResistant ","")&amp;IF($H819="No","NoMFA ","")&amp;IF(AND($M819=0,$O819="Group only"),"T0-ViaGroupOnly ","")&amp;IF($N819="Yes","BroadAzureScope ","")&amp;IF($T819="Yes","AlsoEntraRole ","")))</f>
        <v/>
      </c>
      <c r="AJ819" s="85">
        <f>IF($A819="","",IF(AD819="","Not Enrolled",IF(TODAY()&gt;AD819,"Review Overdue",IF(AD819-TODAY()&lt;=30,"Review Due Soon","Active"))))</f>
        <v/>
      </c>
      <c r="AK819" s="85">
        <f>IF($A819="","",IF(AE819="","NOT REVIEWED",IF(TODAY()-AE819&gt;90,"OVERDUE",IF(TODAY()-AE819&gt;76,"Due Soon","Current"))))</f>
        <v/>
      </c>
    </row>
    <row r="820" ht="15" customHeight="1" s="39">
      <c r="A820" s="85" t="n"/>
      <c r="B820" s="85" t="n"/>
      <c r="C820" s="85" t="n"/>
      <c r="D820" s="85" t="n"/>
      <c r="E820" s="85" t="n"/>
      <c r="F820" s="86" t="n"/>
      <c r="G820" s="86" t="n"/>
      <c r="H820" s="85" t="n"/>
      <c r="I820" s="85" t="n"/>
      <c r="J820" s="85" t="n"/>
      <c r="K820" s="85" t="n"/>
      <c r="L820" s="85" t="n"/>
      <c r="M820" s="85" t="n"/>
      <c r="N820" s="85" t="n"/>
      <c r="O820" s="85" t="n"/>
      <c r="P820" s="85" t="n"/>
      <c r="Q820" s="85" t="n"/>
      <c r="R820" s="85" t="n"/>
      <c r="S820" s="85" t="n"/>
      <c r="T820" s="85" t="n"/>
      <c r="U820" s="85" t="n"/>
      <c r="V820" s="85" t="n"/>
      <c r="W820" s="85" t="n"/>
      <c r="X820" s="85" t="n"/>
      <c r="Y820" s="85" t="n"/>
      <c r="Z820" s="85" t="n"/>
      <c r="AA820" s="85" t="n"/>
      <c r="AB820" s="85" t="n"/>
      <c r="AC820" s="86" t="n"/>
      <c r="AD820" s="86" t="n"/>
      <c r="AE820" s="86" t="n"/>
      <c r="AF820" s="85" t="n"/>
      <c r="AG820" s="85" t="n"/>
      <c r="AH820" s="85">
        <f>IF($A820="","",IF(AND($E820="Yes",OR($V820="No",$V820="NOT FOUND")),"YES",""))</f>
        <v/>
      </c>
      <c r="AI820" s="85">
        <f>IF($A820="","",TRIM(IF(AND($M820=0,$I820&lt;&gt;"Yes"),"T0-NoPhishResistant ","")&amp;IF($H820="No","NoMFA ","")&amp;IF(AND($M820=0,$O820="Group only"),"T0-ViaGroupOnly ","")&amp;IF($N820="Yes","BroadAzureScope ","")&amp;IF($T820="Yes","AlsoEntraRole ","")))</f>
        <v/>
      </c>
      <c r="AJ820" s="85">
        <f>IF($A820="","",IF(AD820="","Not Enrolled",IF(TODAY()&gt;AD820,"Review Overdue",IF(AD820-TODAY()&lt;=30,"Review Due Soon","Active"))))</f>
        <v/>
      </c>
      <c r="AK820" s="85">
        <f>IF($A820="","",IF(AE820="","NOT REVIEWED",IF(TODAY()-AE820&gt;90,"OVERDUE",IF(TODAY()-AE820&gt;76,"Due Soon","Current"))))</f>
        <v/>
      </c>
    </row>
    <row r="821" ht="15" customHeight="1" s="39">
      <c r="A821" s="85" t="n"/>
      <c r="B821" s="85" t="n"/>
      <c r="C821" s="85" t="n"/>
      <c r="D821" s="85" t="n"/>
      <c r="E821" s="85" t="n"/>
      <c r="F821" s="86" t="n"/>
      <c r="G821" s="86" t="n"/>
      <c r="H821" s="85" t="n"/>
      <c r="I821" s="85" t="n"/>
      <c r="J821" s="85" t="n"/>
      <c r="K821" s="85" t="n"/>
      <c r="L821" s="85" t="n"/>
      <c r="M821" s="85" t="n"/>
      <c r="N821" s="85" t="n"/>
      <c r="O821" s="85" t="n"/>
      <c r="P821" s="85" t="n"/>
      <c r="Q821" s="85" t="n"/>
      <c r="R821" s="85" t="n"/>
      <c r="S821" s="85" t="n"/>
      <c r="T821" s="85" t="n"/>
      <c r="U821" s="85" t="n"/>
      <c r="V821" s="85" t="n"/>
      <c r="W821" s="85" t="n"/>
      <c r="X821" s="85" t="n"/>
      <c r="Y821" s="85" t="n"/>
      <c r="Z821" s="85" t="n"/>
      <c r="AA821" s="85" t="n"/>
      <c r="AB821" s="85" t="n"/>
      <c r="AC821" s="86" t="n"/>
      <c r="AD821" s="86" t="n"/>
      <c r="AE821" s="86" t="n"/>
      <c r="AF821" s="85" t="n"/>
      <c r="AG821" s="85" t="n"/>
      <c r="AH821" s="85">
        <f>IF($A821="","",IF(AND($E821="Yes",OR($V821="No",$V821="NOT FOUND")),"YES",""))</f>
        <v/>
      </c>
      <c r="AI821" s="85">
        <f>IF($A821="","",TRIM(IF(AND($M821=0,$I821&lt;&gt;"Yes"),"T0-NoPhishResistant ","")&amp;IF($H821="No","NoMFA ","")&amp;IF(AND($M821=0,$O821="Group only"),"T0-ViaGroupOnly ","")&amp;IF($N821="Yes","BroadAzureScope ","")&amp;IF($T821="Yes","AlsoEntraRole ","")))</f>
        <v/>
      </c>
      <c r="AJ821" s="85">
        <f>IF($A821="","",IF(AD821="","Not Enrolled",IF(TODAY()&gt;AD821,"Review Overdue",IF(AD821-TODAY()&lt;=30,"Review Due Soon","Active"))))</f>
        <v/>
      </c>
      <c r="AK821" s="85">
        <f>IF($A821="","",IF(AE821="","NOT REVIEWED",IF(TODAY()-AE821&gt;90,"OVERDUE",IF(TODAY()-AE821&gt;76,"Due Soon","Current"))))</f>
        <v/>
      </c>
    </row>
    <row r="822" ht="15" customHeight="1" s="39">
      <c r="A822" s="85" t="n"/>
      <c r="B822" s="85" t="n"/>
      <c r="C822" s="85" t="n"/>
      <c r="D822" s="85" t="n"/>
      <c r="E822" s="85" t="n"/>
      <c r="F822" s="86" t="n"/>
      <c r="G822" s="86" t="n"/>
      <c r="H822" s="85" t="n"/>
      <c r="I822" s="85" t="n"/>
      <c r="J822" s="85" t="n"/>
      <c r="K822" s="85" t="n"/>
      <c r="L822" s="85" t="n"/>
      <c r="M822" s="85" t="n"/>
      <c r="N822" s="85" t="n"/>
      <c r="O822" s="85" t="n"/>
      <c r="P822" s="85" t="n"/>
      <c r="Q822" s="85" t="n"/>
      <c r="R822" s="85" t="n"/>
      <c r="S822" s="85" t="n"/>
      <c r="T822" s="85" t="n"/>
      <c r="U822" s="85" t="n"/>
      <c r="V822" s="85" t="n"/>
      <c r="W822" s="85" t="n"/>
      <c r="X822" s="85" t="n"/>
      <c r="Y822" s="85" t="n"/>
      <c r="Z822" s="85" t="n"/>
      <c r="AA822" s="85" t="n"/>
      <c r="AB822" s="85" t="n"/>
      <c r="AC822" s="86" t="n"/>
      <c r="AD822" s="86" t="n"/>
      <c r="AE822" s="86" t="n"/>
      <c r="AF822" s="85" t="n"/>
      <c r="AG822" s="85" t="n"/>
      <c r="AH822" s="85">
        <f>IF($A822="","",IF(AND($E822="Yes",OR($V822="No",$V822="NOT FOUND")),"YES",""))</f>
        <v/>
      </c>
      <c r="AI822" s="85">
        <f>IF($A822="","",TRIM(IF(AND($M822=0,$I822&lt;&gt;"Yes"),"T0-NoPhishResistant ","")&amp;IF($H822="No","NoMFA ","")&amp;IF(AND($M822=0,$O822="Group only"),"T0-ViaGroupOnly ","")&amp;IF($N822="Yes","BroadAzureScope ","")&amp;IF($T822="Yes","AlsoEntraRole ","")))</f>
        <v/>
      </c>
      <c r="AJ822" s="85">
        <f>IF($A822="","",IF(AD822="","Not Enrolled",IF(TODAY()&gt;AD822,"Review Overdue",IF(AD822-TODAY()&lt;=30,"Review Due Soon","Active"))))</f>
        <v/>
      </c>
      <c r="AK822" s="85">
        <f>IF($A822="","",IF(AE822="","NOT REVIEWED",IF(TODAY()-AE822&gt;90,"OVERDUE",IF(TODAY()-AE822&gt;76,"Due Soon","Current"))))</f>
        <v/>
      </c>
    </row>
    <row r="823" ht="15" customHeight="1" s="39">
      <c r="A823" s="85" t="n"/>
      <c r="B823" s="85" t="n"/>
      <c r="C823" s="85" t="n"/>
      <c r="D823" s="85" t="n"/>
      <c r="E823" s="85" t="n"/>
      <c r="F823" s="86" t="n"/>
      <c r="G823" s="86" t="n"/>
      <c r="H823" s="85" t="n"/>
      <c r="I823" s="85" t="n"/>
      <c r="J823" s="85" t="n"/>
      <c r="K823" s="85" t="n"/>
      <c r="L823" s="85" t="n"/>
      <c r="M823" s="85" t="n"/>
      <c r="N823" s="85" t="n"/>
      <c r="O823" s="85" t="n"/>
      <c r="P823" s="85" t="n"/>
      <c r="Q823" s="85" t="n"/>
      <c r="R823" s="85" t="n"/>
      <c r="S823" s="85" t="n"/>
      <c r="T823" s="85" t="n"/>
      <c r="U823" s="85" t="n"/>
      <c r="V823" s="85" t="n"/>
      <c r="W823" s="85" t="n"/>
      <c r="X823" s="85" t="n"/>
      <c r="Y823" s="85" t="n"/>
      <c r="Z823" s="85" t="n"/>
      <c r="AA823" s="85" t="n"/>
      <c r="AB823" s="85" t="n"/>
      <c r="AC823" s="86" t="n"/>
      <c r="AD823" s="86" t="n"/>
      <c r="AE823" s="86" t="n"/>
      <c r="AF823" s="85" t="n"/>
      <c r="AG823" s="85" t="n"/>
      <c r="AH823" s="85">
        <f>IF($A823="","",IF(AND($E823="Yes",OR($V823="No",$V823="NOT FOUND")),"YES",""))</f>
        <v/>
      </c>
      <c r="AI823" s="85">
        <f>IF($A823="","",TRIM(IF(AND($M823=0,$I823&lt;&gt;"Yes"),"T0-NoPhishResistant ","")&amp;IF($H823="No","NoMFA ","")&amp;IF(AND($M823=0,$O823="Group only"),"T0-ViaGroupOnly ","")&amp;IF($N823="Yes","BroadAzureScope ","")&amp;IF($T823="Yes","AlsoEntraRole ","")))</f>
        <v/>
      </c>
      <c r="AJ823" s="85">
        <f>IF($A823="","",IF(AD823="","Not Enrolled",IF(TODAY()&gt;AD823,"Review Overdue",IF(AD823-TODAY()&lt;=30,"Review Due Soon","Active"))))</f>
        <v/>
      </c>
      <c r="AK823" s="85">
        <f>IF($A823="","",IF(AE823="","NOT REVIEWED",IF(TODAY()-AE823&gt;90,"OVERDUE",IF(TODAY()-AE823&gt;76,"Due Soon","Current"))))</f>
        <v/>
      </c>
    </row>
    <row r="824" ht="15" customHeight="1" s="39">
      <c r="A824" s="85" t="n"/>
      <c r="B824" s="85" t="n"/>
      <c r="C824" s="85" t="n"/>
      <c r="D824" s="85" t="n"/>
      <c r="E824" s="85" t="n"/>
      <c r="F824" s="86" t="n"/>
      <c r="G824" s="86" t="n"/>
      <c r="H824" s="85" t="n"/>
      <c r="I824" s="85" t="n"/>
      <c r="J824" s="85" t="n"/>
      <c r="K824" s="85" t="n"/>
      <c r="L824" s="85" t="n"/>
      <c r="M824" s="85" t="n"/>
      <c r="N824" s="85" t="n"/>
      <c r="O824" s="85" t="n"/>
      <c r="P824" s="85" t="n"/>
      <c r="Q824" s="85" t="n"/>
      <c r="R824" s="85" t="n"/>
      <c r="S824" s="85" t="n"/>
      <c r="T824" s="85" t="n"/>
      <c r="U824" s="85" t="n"/>
      <c r="V824" s="85" t="n"/>
      <c r="W824" s="85" t="n"/>
      <c r="X824" s="85" t="n"/>
      <c r="Y824" s="85" t="n"/>
      <c r="Z824" s="85" t="n"/>
      <c r="AA824" s="85" t="n"/>
      <c r="AB824" s="85" t="n"/>
      <c r="AC824" s="86" t="n"/>
      <c r="AD824" s="86" t="n"/>
      <c r="AE824" s="86" t="n"/>
      <c r="AF824" s="85" t="n"/>
      <c r="AG824" s="85" t="n"/>
      <c r="AH824" s="85">
        <f>IF($A824="","",IF(AND($E824="Yes",OR($V824="No",$V824="NOT FOUND")),"YES",""))</f>
        <v/>
      </c>
      <c r="AI824" s="85">
        <f>IF($A824="","",TRIM(IF(AND($M824=0,$I824&lt;&gt;"Yes"),"T0-NoPhishResistant ","")&amp;IF($H824="No","NoMFA ","")&amp;IF(AND($M824=0,$O824="Group only"),"T0-ViaGroupOnly ","")&amp;IF($N824="Yes","BroadAzureScope ","")&amp;IF($T824="Yes","AlsoEntraRole ","")))</f>
        <v/>
      </c>
      <c r="AJ824" s="85">
        <f>IF($A824="","",IF(AD824="","Not Enrolled",IF(TODAY()&gt;AD824,"Review Overdue",IF(AD824-TODAY()&lt;=30,"Review Due Soon","Active"))))</f>
        <v/>
      </c>
      <c r="AK824" s="85">
        <f>IF($A824="","",IF(AE824="","NOT REVIEWED",IF(TODAY()-AE824&gt;90,"OVERDUE",IF(TODAY()-AE824&gt;76,"Due Soon","Current"))))</f>
        <v/>
      </c>
    </row>
    <row r="825" ht="15" customHeight="1" s="39">
      <c r="A825" s="85" t="n"/>
      <c r="B825" s="85" t="n"/>
      <c r="C825" s="85" t="n"/>
      <c r="D825" s="85" t="n"/>
      <c r="E825" s="85" t="n"/>
      <c r="F825" s="86" t="n"/>
      <c r="G825" s="86" t="n"/>
      <c r="H825" s="85" t="n"/>
      <c r="I825" s="85" t="n"/>
      <c r="J825" s="85" t="n"/>
      <c r="K825" s="85" t="n"/>
      <c r="L825" s="85" t="n"/>
      <c r="M825" s="85" t="n"/>
      <c r="N825" s="85" t="n"/>
      <c r="O825" s="85" t="n"/>
      <c r="P825" s="85" t="n"/>
      <c r="Q825" s="85" t="n"/>
      <c r="R825" s="85" t="n"/>
      <c r="S825" s="85" t="n"/>
      <c r="T825" s="85" t="n"/>
      <c r="U825" s="85" t="n"/>
      <c r="V825" s="85" t="n"/>
      <c r="W825" s="85" t="n"/>
      <c r="X825" s="85" t="n"/>
      <c r="Y825" s="85" t="n"/>
      <c r="Z825" s="85" t="n"/>
      <c r="AA825" s="85" t="n"/>
      <c r="AB825" s="85" t="n"/>
      <c r="AC825" s="86" t="n"/>
      <c r="AD825" s="86" t="n"/>
      <c r="AE825" s="86" t="n"/>
      <c r="AF825" s="85" t="n"/>
      <c r="AG825" s="85" t="n"/>
      <c r="AH825" s="85">
        <f>IF($A825="","",IF(AND($E825="Yes",OR($V825="No",$V825="NOT FOUND")),"YES",""))</f>
        <v/>
      </c>
      <c r="AI825" s="85">
        <f>IF($A825="","",TRIM(IF(AND($M825=0,$I825&lt;&gt;"Yes"),"T0-NoPhishResistant ","")&amp;IF($H825="No","NoMFA ","")&amp;IF(AND($M825=0,$O825="Group only"),"T0-ViaGroupOnly ","")&amp;IF($N825="Yes","BroadAzureScope ","")&amp;IF($T825="Yes","AlsoEntraRole ","")))</f>
        <v/>
      </c>
      <c r="AJ825" s="85">
        <f>IF($A825="","",IF(AD825="","Not Enrolled",IF(TODAY()&gt;AD825,"Review Overdue",IF(AD825-TODAY()&lt;=30,"Review Due Soon","Active"))))</f>
        <v/>
      </c>
      <c r="AK825" s="85">
        <f>IF($A825="","",IF(AE825="","NOT REVIEWED",IF(TODAY()-AE825&gt;90,"OVERDUE",IF(TODAY()-AE825&gt;76,"Due Soon","Current"))))</f>
        <v/>
      </c>
    </row>
    <row r="826" ht="15" customHeight="1" s="39">
      <c r="A826" s="85" t="n"/>
      <c r="B826" s="85" t="n"/>
      <c r="C826" s="85" t="n"/>
      <c r="D826" s="85" t="n"/>
      <c r="E826" s="85" t="n"/>
      <c r="F826" s="86" t="n"/>
      <c r="G826" s="86" t="n"/>
      <c r="H826" s="85" t="n"/>
      <c r="I826" s="85" t="n"/>
      <c r="J826" s="85" t="n"/>
      <c r="K826" s="85" t="n"/>
      <c r="L826" s="85" t="n"/>
      <c r="M826" s="85" t="n"/>
      <c r="N826" s="85" t="n"/>
      <c r="O826" s="85" t="n"/>
      <c r="P826" s="85" t="n"/>
      <c r="Q826" s="85" t="n"/>
      <c r="R826" s="85" t="n"/>
      <c r="S826" s="85" t="n"/>
      <c r="T826" s="85" t="n"/>
      <c r="U826" s="85" t="n"/>
      <c r="V826" s="85" t="n"/>
      <c r="W826" s="85" t="n"/>
      <c r="X826" s="85" t="n"/>
      <c r="Y826" s="85" t="n"/>
      <c r="Z826" s="85" t="n"/>
      <c r="AA826" s="85" t="n"/>
      <c r="AB826" s="85" t="n"/>
      <c r="AC826" s="86" t="n"/>
      <c r="AD826" s="86" t="n"/>
      <c r="AE826" s="86" t="n"/>
      <c r="AF826" s="85" t="n"/>
      <c r="AG826" s="85" t="n"/>
      <c r="AH826" s="85">
        <f>IF($A826="","",IF(AND($E826="Yes",OR($V826="No",$V826="NOT FOUND")),"YES",""))</f>
        <v/>
      </c>
      <c r="AI826" s="85">
        <f>IF($A826="","",TRIM(IF(AND($M826=0,$I826&lt;&gt;"Yes"),"T0-NoPhishResistant ","")&amp;IF($H826="No","NoMFA ","")&amp;IF(AND($M826=0,$O826="Group only"),"T0-ViaGroupOnly ","")&amp;IF($N826="Yes","BroadAzureScope ","")&amp;IF($T826="Yes","AlsoEntraRole ","")))</f>
        <v/>
      </c>
      <c r="AJ826" s="85">
        <f>IF($A826="","",IF(AD826="","Not Enrolled",IF(TODAY()&gt;AD826,"Review Overdue",IF(AD826-TODAY()&lt;=30,"Review Due Soon","Active"))))</f>
        <v/>
      </c>
      <c r="AK826" s="85">
        <f>IF($A826="","",IF(AE826="","NOT REVIEWED",IF(TODAY()-AE826&gt;90,"OVERDUE",IF(TODAY()-AE826&gt;76,"Due Soon","Current"))))</f>
        <v/>
      </c>
    </row>
    <row r="827" ht="15" customHeight="1" s="39">
      <c r="A827" s="85" t="n"/>
      <c r="B827" s="85" t="n"/>
      <c r="C827" s="85" t="n"/>
      <c r="D827" s="85" t="n"/>
      <c r="E827" s="85" t="n"/>
      <c r="F827" s="86" t="n"/>
      <c r="G827" s="86" t="n"/>
      <c r="H827" s="85" t="n"/>
      <c r="I827" s="85" t="n"/>
      <c r="J827" s="85" t="n"/>
      <c r="K827" s="85" t="n"/>
      <c r="L827" s="85" t="n"/>
      <c r="M827" s="85" t="n"/>
      <c r="N827" s="85" t="n"/>
      <c r="O827" s="85" t="n"/>
      <c r="P827" s="85" t="n"/>
      <c r="Q827" s="85" t="n"/>
      <c r="R827" s="85" t="n"/>
      <c r="S827" s="85" t="n"/>
      <c r="T827" s="85" t="n"/>
      <c r="U827" s="85" t="n"/>
      <c r="V827" s="85" t="n"/>
      <c r="W827" s="85" t="n"/>
      <c r="X827" s="85" t="n"/>
      <c r="Y827" s="85" t="n"/>
      <c r="Z827" s="85" t="n"/>
      <c r="AA827" s="85" t="n"/>
      <c r="AB827" s="85" t="n"/>
      <c r="AC827" s="86" t="n"/>
      <c r="AD827" s="86" t="n"/>
      <c r="AE827" s="86" t="n"/>
      <c r="AF827" s="85" t="n"/>
      <c r="AG827" s="85" t="n"/>
      <c r="AH827" s="85">
        <f>IF($A827="","",IF(AND($E827="Yes",OR($V827="No",$V827="NOT FOUND")),"YES",""))</f>
        <v/>
      </c>
      <c r="AI827" s="85">
        <f>IF($A827="","",TRIM(IF(AND($M827=0,$I827&lt;&gt;"Yes"),"T0-NoPhishResistant ","")&amp;IF($H827="No","NoMFA ","")&amp;IF(AND($M827=0,$O827="Group only"),"T0-ViaGroupOnly ","")&amp;IF($N827="Yes","BroadAzureScope ","")&amp;IF($T827="Yes","AlsoEntraRole ","")))</f>
        <v/>
      </c>
      <c r="AJ827" s="85">
        <f>IF($A827="","",IF(AD827="","Not Enrolled",IF(TODAY()&gt;AD827,"Review Overdue",IF(AD827-TODAY()&lt;=30,"Review Due Soon","Active"))))</f>
        <v/>
      </c>
      <c r="AK827" s="85">
        <f>IF($A827="","",IF(AE827="","NOT REVIEWED",IF(TODAY()-AE827&gt;90,"OVERDUE",IF(TODAY()-AE827&gt;76,"Due Soon","Current"))))</f>
        <v/>
      </c>
    </row>
    <row r="828" ht="15" customHeight="1" s="39">
      <c r="A828" s="85" t="n"/>
      <c r="B828" s="85" t="n"/>
      <c r="C828" s="85" t="n"/>
      <c r="D828" s="85" t="n"/>
      <c r="E828" s="85" t="n"/>
      <c r="F828" s="86" t="n"/>
      <c r="G828" s="86" t="n"/>
      <c r="H828" s="85" t="n"/>
      <c r="I828" s="85" t="n"/>
      <c r="J828" s="85" t="n"/>
      <c r="K828" s="85" t="n"/>
      <c r="L828" s="85" t="n"/>
      <c r="M828" s="85" t="n"/>
      <c r="N828" s="85" t="n"/>
      <c r="O828" s="85" t="n"/>
      <c r="P828" s="85" t="n"/>
      <c r="Q828" s="85" t="n"/>
      <c r="R828" s="85" t="n"/>
      <c r="S828" s="85" t="n"/>
      <c r="T828" s="85" t="n"/>
      <c r="U828" s="85" t="n"/>
      <c r="V828" s="85" t="n"/>
      <c r="W828" s="85" t="n"/>
      <c r="X828" s="85" t="n"/>
      <c r="Y828" s="85" t="n"/>
      <c r="Z828" s="85" t="n"/>
      <c r="AA828" s="85" t="n"/>
      <c r="AB828" s="85" t="n"/>
      <c r="AC828" s="86" t="n"/>
      <c r="AD828" s="86" t="n"/>
      <c r="AE828" s="86" t="n"/>
      <c r="AF828" s="85" t="n"/>
      <c r="AG828" s="85" t="n"/>
      <c r="AH828" s="85">
        <f>IF($A828="","",IF(AND($E828="Yes",OR($V828="No",$V828="NOT FOUND")),"YES",""))</f>
        <v/>
      </c>
      <c r="AI828" s="85">
        <f>IF($A828="","",TRIM(IF(AND($M828=0,$I828&lt;&gt;"Yes"),"T0-NoPhishResistant ","")&amp;IF($H828="No","NoMFA ","")&amp;IF(AND($M828=0,$O828="Group only"),"T0-ViaGroupOnly ","")&amp;IF($N828="Yes","BroadAzureScope ","")&amp;IF($T828="Yes","AlsoEntraRole ","")))</f>
        <v/>
      </c>
      <c r="AJ828" s="85">
        <f>IF($A828="","",IF(AD828="","Not Enrolled",IF(TODAY()&gt;AD828,"Review Overdue",IF(AD828-TODAY()&lt;=30,"Review Due Soon","Active"))))</f>
        <v/>
      </c>
      <c r="AK828" s="85">
        <f>IF($A828="","",IF(AE828="","NOT REVIEWED",IF(TODAY()-AE828&gt;90,"OVERDUE",IF(TODAY()-AE828&gt;76,"Due Soon","Current"))))</f>
        <v/>
      </c>
    </row>
    <row r="829" ht="15" customHeight="1" s="39">
      <c r="A829" s="85" t="n"/>
      <c r="B829" s="85" t="n"/>
      <c r="C829" s="85" t="n"/>
      <c r="D829" s="85" t="n"/>
      <c r="E829" s="85" t="n"/>
      <c r="F829" s="86" t="n"/>
      <c r="G829" s="86" t="n"/>
      <c r="H829" s="85" t="n"/>
      <c r="I829" s="85" t="n"/>
      <c r="J829" s="85" t="n"/>
      <c r="K829" s="85" t="n"/>
      <c r="L829" s="85" t="n"/>
      <c r="M829" s="85" t="n"/>
      <c r="N829" s="85" t="n"/>
      <c r="O829" s="85" t="n"/>
      <c r="P829" s="85" t="n"/>
      <c r="Q829" s="85" t="n"/>
      <c r="R829" s="85" t="n"/>
      <c r="S829" s="85" t="n"/>
      <c r="T829" s="85" t="n"/>
      <c r="U829" s="85" t="n"/>
      <c r="V829" s="85" t="n"/>
      <c r="W829" s="85" t="n"/>
      <c r="X829" s="85" t="n"/>
      <c r="Y829" s="85" t="n"/>
      <c r="Z829" s="85" t="n"/>
      <c r="AA829" s="85" t="n"/>
      <c r="AB829" s="85" t="n"/>
      <c r="AC829" s="86" t="n"/>
      <c r="AD829" s="86" t="n"/>
      <c r="AE829" s="86" t="n"/>
      <c r="AF829" s="85" t="n"/>
      <c r="AG829" s="85" t="n"/>
      <c r="AH829" s="85">
        <f>IF($A829="","",IF(AND($E829="Yes",OR($V829="No",$V829="NOT FOUND")),"YES",""))</f>
        <v/>
      </c>
      <c r="AI829" s="85">
        <f>IF($A829="","",TRIM(IF(AND($M829=0,$I829&lt;&gt;"Yes"),"T0-NoPhishResistant ","")&amp;IF($H829="No","NoMFA ","")&amp;IF(AND($M829=0,$O829="Group only"),"T0-ViaGroupOnly ","")&amp;IF($N829="Yes","BroadAzureScope ","")&amp;IF($T829="Yes","AlsoEntraRole ","")))</f>
        <v/>
      </c>
      <c r="AJ829" s="85">
        <f>IF($A829="","",IF(AD829="","Not Enrolled",IF(TODAY()&gt;AD829,"Review Overdue",IF(AD829-TODAY()&lt;=30,"Review Due Soon","Active"))))</f>
        <v/>
      </c>
      <c r="AK829" s="85">
        <f>IF($A829="","",IF(AE829="","NOT REVIEWED",IF(TODAY()-AE829&gt;90,"OVERDUE",IF(TODAY()-AE829&gt;76,"Due Soon","Current"))))</f>
        <v/>
      </c>
    </row>
    <row r="830" ht="15" customHeight="1" s="39">
      <c r="A830" s="85" t="n"/>
      <c r="B830" s="85" t="n"/>
      <c r="C830" s="85" t="n"/>
      <c r="D830" s="85" t="n"/>
      <c r="E830" s="85" t="n"/>
      <c r="F830" s="86" t="n"/>
      <c r="G830" s="86" t="n"/>
      <c r="H830" s="85" t="n"/>
      <c r="I830" s="85" t="n"/>
      <c r="J830" s="85" t="n"/>
      <c r="K830" s="85" t="n"/>
      <c r="L830" s="85" t="n"/>
      <c r="M830" s="85" t="n"/>
      <c r="N830" s="85" t="n"/>
      <c r="O830" s="85" t="n"/>
      <c r="P830" s="85" t="n"/>
      <c r="Q830" s="85" t="n"/>
      <c r="R830" s="85" t="n"/>
      <c r="S830" s="85" t="n"/>
      <c r="T830" s="85" t="n"/>
      <c r="U830" s="85" t="n"/>
      <c r="V830" s="85" t="n"/>
      <c r="W830" s="85" t="n"/>
      <c r="X830" s="85" t="n"/>
      <c r="Y830" s="85" t="n"/>
      <c r="Z830" s="85" t="n"/>
      <c r="AA830" s="85" t="n"/>
      <c r="AB830" s="85" t="n"/>
      <c r="AC830" s="86" t="n"/>
      <c r="AD830" s="86" t="n"/>
      <c r="AE830" s="86" t="n"/>
      <c r="AF830" s="85" t="n"/>
      <c r="AG830" s="85" t="n"/>
      <c r="AH830" s="85">
        <f>IF($A830="","",IF(AND($E830="Yes",OR($V830="No",$V830="NOT FOUND")),"YES",""))</f>
        <v/>
      </c>
      <c r="AI830" s="85">
        <f>IF($A830="","",TRIM(IF(AND($M830=0,$I830&lt;&gt;"Yes"),"T0-NoPhishResistant ","")&amp;IF($H830="No","NoMFA ","")&amp;IF(AND($M830=0,$O830="Group only"),"T0-ViaGroupOnly ","")&amp;IF($N830="Yes","BroadAzureScope ","")&amp;IF($T830="Yes","AlsoEntraRole ","")))</f>
        <v/>
      </c>
      <c r="AJ830" s="85">
        <f>IF($A830="","",IF(AD830="","Not Enrolled",IF(TODAY()&gt;AD830,"Review Overdue",IF(AD830-TODAY()&lt;=30,"Review Due Soon","Active"))))</f>
        <v/>
      </c>
      <c r="AK830" s="85">
        <f>IF($A830="","",IF(AE830="","NOT REVIEWED",IF(TODAY()-AE830&gt;90,"OVERDUE",IF(TODAY()-AE830&gt;76,"Due Soon","Current"))))</f>
        <v/>
      </c>
    </row>
    <row r="831" ht="15" customHeight="1" s="39">
      <c r="A831" s="85" t="n"/>
      <c r="B831" s="85" t="n"/>
      <c r="C831" s="85" t="n"/>
      <c r="D831" s="85" t="n"/>
      <c r="E831" s="85" t="n"/>
      <c r="F831" s="86" t="n"/>
      <c r="G831" s="86" t="n"/>
      <c r="H831" s="85" t="n"/>
      <c r="I831" s="85" t="n"/>
      <c r="J831" s="85" t="n"/>
      <c r="K831" s="85" t="n"/>
      <c r="L831" s="85" t="n"/>
      <c r="M831" s="85" t="n"/>
      <c r="N831" s="85" t="n"/>
      <c r="O831" s="85" t="n"/>
      <c r="P831" s="85" t="n"/>
      <c r="Q831" s="85" t="n"/>
      <c r="R831" s="85" t="n"/>
      <c r="S831" s="85" t="n"/>
      <c r="T831" s="85" t="n"/>
      <c r="U831" s="85" t="n"/>
      <c r="V831" s="85" t="n"/>
      <c r="W831" s="85" t="n"/>
      <c r="X831" s="85" t="n"/>
      <c r="Y831" s="85" t="n"/>
      <c r="Z831" s="85" t="n"/>
      <c r="AA831" s="85" t="n"/>
      <c r="AB831" s="85" t="n"/>
      <c r="AC831" s="86" t="n"/>
      <c r="AD831" s="86" t="n"/>
      <c r="AE831" s="86" t="n"/>
      <c r="AF831" s="85" t="n"/>
      <c r="AG831" s="85" t="n"/>
      <c r="AH831" s="85">
        <f>IF($A831="","",IF(AND($E831="Yes",OR($V831="No",$V831="NOT FOUND")),"YES",""))</f>
        <v/>
      </c>
      <c r="AI831" s="85">
        <f>IF($A831="","",TRIM(IF(AND($M831=0,$I831&lt;&gt;"Yes"),"T0-NoPhishResistant ","")&amp;IF($H831="No","NoMFA ","")&amp;IF(AND($M831=0,$O831="Group only"),"T0-ViaGroupOnly ","")&amp;IF($N831="Yes","BroadAzureScope ","")&amp;IF($T831="Yes","AlsoEntraRole ","")))</f>
        <v/>
      </c>
      <c r="AJ831" s="85">
        <f>IF($A831="","",IF(AD831="","Not Enrolled",IF(TODAY()&gt;AD831,"Review Overdue",IF(AD831-TODAY()&lt;=30,"Review Due Soon","Active"))))</f>
        <v/>
      </c>
      <c r="AK831" s="85">
        <f>IF($A831="","",IF(AE831="","NOT REVIEWED",IF(TODAY()-AE831&gt;90,"OVERDUE",IF(TODAY()-AE831&gt;76,"Due Soon","Current"))))</f>
        <v/>
      </c>
    </row>
    <row r="832" ht="15" customHeight="1" s="39">
      <c r="A832" s="85" t="n"/>
      <c r="B832" s="85" t="n"/>
      <c r="C832" s="85" t="n"/>
      <c r="D832" s="85" t="n"/>
      <c r="E832" s="85" t="n"/>
      <c r="F832" s="86" t="n"/>
      <c r="G832" s="86" t="n"/>
      <c r="H832" s="85" t="n"/>
      <c r="I832" s="85" t="n"/>
      <c r="J832" s="85" t="n"/>
      <c r="K832" s="85" t="n"/>
      <c r="L832" s="85" t="n"/>
      <c r="M832" s="85" t="n"/>
      <c r="N832" s="85" t="n"/>
      <c r="O832" s="85" t="n"/>
      <c r="P832" s="85" t="n"/>
      <c r="Q832" s="85" t="n"/>
      <c r="R832" s="85" t="n"/>
      <c r="S832" s="85" t="n"/>
      <c r="T832" s="85" t="n"/>
      <c r="U832" s="85" t="n"/>
      <c r="V832" s="85" t="n"/>
      <c r="W832" s="85" t="n"/>
      <c r="X832" s="85" t="n"/>
      <c r="Y832" s="85" t="n"/>
      <c r="Z832" s="85" t="n"/>
      <c r="AA832" s="85" t="n"/>
      <c r="AB832" s="85" t="n"/>
      <c r="AC832" s="86" t="n"/>
      <c r="AD832" s="86" t="n"/>
      <c r="AE832" s="86" t="n"/>
      <c r="AF832" s="85" t="n"/>
      <c r="AG832" s="85" t="n"/>
      <c r="AH832" s="85">
        <f>IF($A832="","",IF(AND($E832="Yes",OR($V832="No",$V832="NOT FOUND")),"YES",""))</f>
        <v/>
      </c>
      <c r="AI832" s="85">
        <f>IF($A832="","",TRIM(IF(AND($M832=0,$I832&lt;&gt;"Yes"),"T0-NoPhishResistant ","")&amp;IF($H832="No","NoMFA ","")&amp;IF(AND($M832=0,$O832="Group only"),"T0-ViaGroupOnly ","")&amp;IF($N832="Yes","BroadAzureScope ","")&amp;IF($T832="Yes","AlsoEntraRole ","")))</f>
        <v/>
      </c>
      <c r="AJ832" s="85">
        <f>IF($A832="","",IF(AD832="","Not Enrolled",IF(TODAY()&gt;AD832,"Review Overdue",IF(AD832-TODAY()&lt;=30,"Review Due Soon","Active"))))</f>
        <v/>
      </c>
      <c r="AK832" s="85">
        <f>IF($A832="","",IF(AE832="","NOT REVIEWED",IF(TODAY()-AE832&gt;90,"OVERDUE",IF(TODAY()-AE832&gt;76,"Due Soon","Current"))))</f>
        <v/>
      </c>
    </row>
    <row r="833" ht="15" customHeight="1" s="39">
      <c r="A833" s="85" t="n"/>
      <c r="B833" s="85" t="n"/>
      <c r="C833" s="85" t="n"/>
      <c r="D833" s="85" t="n"/>
      <c r="E833" s="85" t="n"/>
      <c r="F833" s="86" t="n"/>
      <c r="G833" s="86" t="n"/>
      <c r="H833" s="85" t="n"/>
      <c r="I833" s="85" t="n"/>
      <c r="J833" s="85" t="n"/>
      <c r="K833" s="85" t="n"/>
      <c r="L833" s="85" t="n"/>
      <c r="M833" s="85" t="n"/>
      <c r="N833" s="85" t="n"/>
      <c r="O833" s="85" t="n"/>
      <c r="P833" s="85" t="n"/>
      <c r="Q833" s="85" t="n"/>
      <c r="R833" s="85" t="n"/>
      <c r="S833" s="85" t="n"/>
      <c r="T833" s="85" t="n"/>
      <c r="U833" s="85" t="n"/>
      <c r="V833" s="85" t="n"/>
      <c r="W833" s="85" t="n"/>
      <c r="X833" s="85" t="n"/>
      <c r="Y833" s="85" t="n"/>
      <c r="Z833" s="85" t="n"/>
      <c r="AA833" s="85" t="n"/>
      <c r="AB833" s="85" t="n"/>
      <c r="AC833" s="86" t="n"/>
      <c r="AD833" s="86" t="n"/>
      <c r="AE833" s="86" t="n"/>
      <c r="AF833" s="85" t="n"/>
      <c r="AG833" s="85" t="n"/>
      <c r="AH833" s="85">
        <f>IF($A833="","",IF(AND($E833="Yes",OR($V833="No",$V833="NOT FOUND")),"YES",""))</f>
        <v/>
      </c>
      <c r="AI833" s="85">
        <f>IF($A833="","",TRIM(IF(AND($M833=0,$I833&lt;&gt;"Yes"),"T0-NoPhishResistant ","")&amp;IF($H833="No","NoMFA ","")&amp;IF(AND($M833=0,$O833="Group only"),"T0-ViaGroupOnly ","")&amp;IF($N833="Yes","BroadAzureScope ","")&amp;IF($T833="Yes","AlsoEntraRole ","")))</f>
        <v/>
      </c>
      <c r="AJ833" s="85">
        <f>IF($A833="","",IF(AD833="","Not Enrolled",IF(TODAY()&gt;AD833,"Review Overdue",IF(AD833-TODAY()&lt;=30,"Review Due Soon","Active"))))</f>
        <v/>
      </c>
      <c r="AK833" s="85">
        <f>IF($A833="","",IF(AE833="","NOT REVIEWED",IF(TODAY()-AE833&gt;90,"OVERDUE",IF(TODAY()-AE833&gt;76,"Due Soon","Current"))))</f>
        <v/>
      </c>
    </row>
    <row r="834" ht="15" customHeight="1" s="39">
      <c r="A834" s="85" t="n"/>
      <c r="B834" s="85" t="n"/>
      <c r="C834" s="85" t="n"/>
      <c r="D834" s="85" t="n"/>
      <c r="E834" s="85" t="n"/>
      <c r="F834" s="86" t="n"/>
      <c r="G834" s="86" t="n"/>
      <c r="H834" s="85" t="n"/>
      <c r="I834" s="85" t="n"/>
      <c r="J834" s="85" t="n"/>
      <c r="K834" s="85" t="n"/>
      <c r="L834" s="85" t="n"/>
      <c r="M834" s="85" t="n"/>
      <c r="N834" s="85" t="n"/>
      <c r="O834" s="85" t="n"/>
      <c r="P834" s="85" t="n"/>
      <c r="Q834" s="85" t="n"/>
      <c r="R834" s="85" t="n"/>
      <c r="S834" s="85" t="n"/>
      <c r="T834" s="85" t="n"/>
      <c r="U834" s="85" t="n"/>
      <c r="V834" s="85" t="n"/>
      <c r="W834" s="85" t="n"/>
      <c r="X834" s="85" t="n"/>
      <c r="Y834" s="85" t="n"/>
      <c r="Z834" s="85" t="n"/>
      <c r="AA834" s="85" t="n"/>
      <c r="AB834" s="85" t="n"/>
      <c r="AC834" s="86" t="n"/>
      <c r="AD834" s="86" t="n"/>
      <c r="AE834" s="86" t="n"/>
      <c r="AF834" s="85" t="n"/>
      <c r="AG834" s="85" t="n"/>
      <c r="AH834" s="85">
        <f>IF($A834="","",IF(AND($E834="Yes",OR($V834="No",$V834="NOT FOUND")),"YES",""))</f>
        <v/>
      </c>
      <c r="AI834" s="85">
        <f>IF($A834="","",TRIM(IF(AND($M834=0,$I834&lt;&gt;"Yes"),"T0-NoPhishResistant ","")&amp;IF($H834="No","NoMFA ","")&amp;IF(AND($M834=0,$O834="Group only"),"T0-ViaGroupOnly ","")&amp;IF($N834="Yes","BroadAzureScope ","")&amp;IF($T834="Yes","AlsoEntraRole ","")))</f>
        <v/>
      </c>
      <c r="AJ834" s="85">
        <f>IF($A834="","",IF(AD834="","Not Enrolled",IF(TODAY()&gt;AD834,"Review Overdue",IF(AD834-TODAY()&lt;=30,"Review Due Soon","Active"))))</f>
        <v/>
      </c>
      <c r="AK834" s="85">
        <f>IF($A834="","",IF(AE834="","NOT REVIEWED",IF(TODAY()-AE834&gt;90,"OVERDUE",IF(TODAY()-AE834&gt;76,"Due Soon","Current"))))</f>
        <v/>
      </c>
    </row>
    <row r="835" ht="15" customHeight="1" s="39">
      <c r="A835" s="85" t="n"/>
      <c r="B835" s="85" t="n"/>
      <c r="C835" s="85" t="n"/>
      <c r="D835" s="85" t="n"/>
      <c r="E835" s="85" t="n"/>
      <c r="F835" s="86" t="n"/>
      <c r="G835" s="86" t="n"/>
      <c r="H835" s="85" t="n"/>
      <c r="I835" s="85" t="n"/>
      <c r="J835" s="85" t="n"/>
      <c r="K835" s="85" t="n"/>
      <c r="L835" s="85" t="n"/>
      <c r="M835" s="85" t="n"/>
      <c r="N835" s="85" t="n"/>
      <c r="O835" s="85" t="n"/>
      <c r="P835" s="85" t="n"/>
      <c r="Q835" s="85" t="n"/>
      <c r="R835" s="85" t="n"/>
      <c r="S835" s="85" t="n"/>
      <c r="T835" s="85" t="n"/>
      <c r="U835" s="85" t="n"/>
      <c r="V835" s="85" t="n"/>
      <c r="W835" s="85" t="n"/>
      <c r="X835" s="85" t="n"/>
      <c r="Y835" s="85" t="n"/>
      <c r="Z835" s="85" t="n"/>
      <c r="AA835" s="85" t="n"/>
      <c r="AB835" s="85" t="n"/>
      <c r="AC835" s="86" t="n"/>
      <c r="AD835" s="86" t="n"/>
      <c r="AE835" s="86" t="n"/>
      <c r="AF835" s="85" t="n"/>
      <c r="AG835" s="85" t="n"/>
      <c r="AH835" s="85">
        <f>IF($A835="","",IF(AND($E835="Yes",OR($V835="No",$V835="NOT FOUND")),"YES",""))</f>
        <v/>
      </c>
      <c r="AI835" s="85">
        <f>IF($A835="","",TRIM(IF(AND($M835=0,$I835&lt;&gt;"Yes"),"T0-NoPhishResistant ","")&amp;IF($H835="No","NoMFA ","")&amp;IF(AND($M835=0,$O835="Group only"),"T0-ViaGroupOnly ","")&amp;IF($N835="Yes","BroadAzureScope ","")&amp;IF($T835="Yes","AlsoEntraRole ","")))</f>
        <v/>
      </c>
      <c r="AJ835" s="85">
        <f>IF($A835="","",IF(AD835="","Not Enrolled",IF(TODAY()&gt;AD835,"Review Overdue",IF(AD835-TODAY()&lt;=30,"Review Due Soon","Active"))))</f>
        <v/>
      </c>
      <c r="AK835" s="85">
        <f>IF($A835="","",IF(AE835="","NOT REVIEWED",IF(TODAY()-AE835&gt;90,"OVERDUE",IF(TODAY()-AE835&gt;76,"Due Soon","Current"))))</f>
        <v/>
      </c>
    </row>
    <row r="836" ht="15" customHeight="1" s="39">
      <c r="A836" s="85" t="n"/>
      <c r="B836" s="85" t="n"/>
      <c r="C836" s="85" t="n"/>
      <c r="D836" s="85" t="n"/>
      <c r="E836" s="85" t="n"/>
      <c r="F836" s="86" t="n"/>
      <c r="G836" s="86" t="n"/>
      <c r="H836" s="85" t="n"/>
      <c r="I836" s="85" t="n"/>
      <c r="J836" s="85" t="n"/>
      <c r="K836" s="85" t="n"/>
      <c r="L836" s="85" t="n"/>
      <c r="M836" s="85" t="n"/>
      <c r="N836" s="85" t="n"/>
      <c r="O836" s="85" t="n"/>
      <c r="P836" s="85" t="n"/>
      <c r="Q836" s="85" t="n"/>
      <c r="R836" s="85" t="n"/>
      <c r="S836" s="85" t="n"/>
      <c r="T836" s="85" t="n"/>
      <c r="U836" s="85" t="n"/>
      <c r="V836" s="85" t="n"/>
      <c r="W836" s="85" t="n"/>
      <c r="X836" s="85" t="n"/>
      <c r="Y836" s="85" t="n"/>
      <c r="Z836" s="85" t="n"/>
      <c r="AA836" s="85" t="n"/>
      <c r="AB836" s="85" t="n"/>
      <c r="AC836" s="86" t="n"/>
      <c r="AD836" s="86" t="n"/>
      <c r="AE836" s="86" t="n"/>
      <c r="AF836" s="85" t="n"/>
      <c r="AG836" s="85" t="n"/>
      <c r="AH836" s="85">
        <f>IF($A836="","",IF(AND($E836="Yes",OR($V836="No",$V836="NOT FOUND")),"YES",""))</f>
        <v/>
      </c>
      <c r="AI836" s="85">
        <f>IF($A836="","",TRIM(IF(AND($M836=0,$I836&lt;&gt;"Yes"),"T0-NoPhishResistant ","")&amp;IF($H836="No","NoMFA ","")&amp;IF(AND($M836=0,$O836="Group only"),"T0-ViaGroupOnly ","")&amp;IF($N836="Yes","BroadAzureScope ","")&amp;IF($T836="Yes","AlsoEntraRole ","")))</f>
        <v/>
      </c>
      <c r="AJ836" s="85">
        <f>IF($A836="","",IF(AD836="","Not Enrolled",IF(TODAY()&gt;AD836,"Review Overdue",IF(AD836-TODAY()&lt;=30,"Review Due Soon","Active"))))</f>
        <v/>
      </c>
      <c r="AK836" s="85">
        <f>IF($A836="","",IF(AE836="","NOT REVIEWED",IF(TODAY()-AE836&gt;90,"OVERDUE",IF(TODAY()-AE836&gt;76,"Due Soon","Current"))))</f>
        <v/>
      </c>
    </row>
    <row r="837" ht="15" customHeight="1" s="39">
      <c r="A837" s="85" t="n"/>
      <c r="B837" s="85" t="n"/>
      <c r="C837" s="85" t="n"/>
      <c r="D837" s="85" t="n"/>
      <c r="E837" s="85" t="n"/>
      <c r="F837" s="86" t="n"/>
      <c r="G837" s="86" t="n"/>
      <c r="H837" s="85" t="n"/>
      <c r="I837" s="85" t="n"/>
      <c r="J837" s="85" t="n"/>
      <c r="K837" s="85" t="n"/>
      <c r="L837" s="85" t="n"/>
      <c r="M837" s="85" t="n"/>
      <c r="N837" s="85" t="n"/>
      <c r="O837" s="85" t="n"/>
      <c r="P837" s="85" t="n"/>
      <c r="Q837" s="85" t="n"/>
      <c r="R837" s="85" t="n"/>
      <c r="S837" s="85" t="n"/>
      <c r="T837" s="85" t="n"/>
      <c r="U837" s="85" t="n"/>
      <c r="V837" s="85" t="n"/>
      <c r="W837" s="85" t="n"/>
      <c r="X837" s="85" t="n"/>
      <c r="Y837" s="85" t="n"/>
      <c r="Z837" s="85" t="n"/>
      <c r="AA837" s="85" t="n"/>
      <c r="AB837" s="85" t="n"/>
      <c r="AC837" s="86" t="n"/>
      <c r="AD837" s="86" t="n"/>
      <c r="AE837" s="86" t="n"/>
      <c r="AF837" s="85" t="n"/>
      <c r="AG837" s="85" t="n"/>
      <c r="AH837" s="85">
        <f>IF($A837="","",IF(AND($E837="Yes",OR($V837="No",$V837="NOT FOUND")),"YES",""))</f>
        <v/>
      </c>
      <c r="AI837" s="85">
        <f>IF($A837="","",TRIM(IF(AND($M837=0,$I837&lt;&gt;"Yes"),"T0-NoPhishResistant ","")&amp;IF($H837="No","NoMFA ","")&amp;IF(AND($M837=0,$O837="Group only"),"T0-ViaGroupOnly ","")&amp;IF($N837="Yes","BroadAzureScope ","")&amp;IF($T837="Yes","AlsoEntraRole ","")))</f>
        <v/>
      </c>
      <c r="AJ837" s="85">
        <f>IF($A837="","",IF(AD837="","Not Enrolled",IF(TODAY()&gt;AD837,"Review Overdue",IF(AD837-TODAY()&lt;=30,"Review Due Soon","Active"))))</f>
        <v/>
      </c>
      <c r="AK837" s="85">
        <f>IF($A837="","",IF(AE837="","NOT REVIEWED",IF(TODAY()-AE837&gt;90,"OVERDUE",IF(TODAY()-AE837&gt;76,"Due Soon","Current"))))</f>
        <v/>
      </c>
    </row>
    <row r="838" ht="15" customHeight="1" s="39">
      <c r="A838" s="85" t="n"/>
      <c r="B838" s="85" t="n"/>
      <c r="C838" s="85" t="n"/>
      <c r="D838" s="85" t="n"/>
      <c r="E838" s="85" t="n"/>
      <c r="F838" s="86" t="n"/>
      <c r="G838" s="86" t="n"/>
      <c r="H838" s="85" t="n"/>
      <c r="I838" s="85" t="n"/>
      <c r="J838" s="85" t="n"/>
      <c r="K838" s="85" t="n"/>
      <c r="L838" s="85" t="n"/>
      <c r="M838" s="85" t="n"/>
      <c r="N838" s="85" t="n"/>
      <c r="O838" s="85" t="n"/>
      <c r="P838" s="85" t="n"/>
      <c r="Q838" s="85" t="n"/>
      <c r="R838" s="85" t="n"/>
      <c r="S838" s="85" t="n"/>
      <c r="T838" s="85" t="n"/>
      <c r="U838" s="85" t="n"/>
      <c r="V838" s="85" t="n"/>
      <c r="W838" s="85" t="n"/>
      <c r="X838" s="85" t="n"/>
      <c r="Y838" s="85" t="n"/>
      <c r="Z838" s="85" t="n"/>
      <c r="AA838" s="85" t="n"/>
      <c r="AB838" s="85" t="n"/>
      <c r="AC838" s="86" t="n"/>
      <c r="AD838" s="86" t="n"/>
      <c r="AE838" s="86" t="n"/>
      <c r="AF838" s="85" t="n"/>
      <c r="AG838" s="85" t="n"/>
      <c r="AH838" s="85">
        <f>IF($A838="","",IF(AND($E838="Yes",OR($V838="No",$V838="NOT FOUND")),"YES",""))</f>
        <v/>
      </c>
      <c r="AI838" s="85">
        <f>IF($A838="","",TRIM(IF(AND($M838=0,$I838&lt;&gt;"Yes"),"T0-NoPhishResistant ","")&amp;IF($H838="No","NoMFA ","")&amp;IF(AND($M838=0,$O838="Group only"),"T0-ViaGroupOnly ","")&amp;IF($N838="Yes","BroadAzureScope ","")&amp;IF($T838="Yes","AlsoEntraRole ","")))</f>
        <v/>
      </c>
      <c r="AJ838" s="85">
        <f>IF($A838="","",IF(AD838="","Not Enrolled",IF(TODAY()&gt;AD838,"Review Overdue",IF(AD838-TODAY()&lt;=30,"Review Due Soon","Active"))))</f>
        <v/>
      </c>
      <c r="AK838" s="85">
        <f>IF($A838="","",IF(AE838="","NOT REVIEWED",IF(TODAY()-AE838&gt;90,"OVERDUE",IF(TODAY()-AE838&gt;76,"Due Soon","Current"))))</f>
        <v/>
      </c>
    </row>
    <row r="839" ht="15" customHeight="1" s="39">
      <c r="A839" s="85" t="n"/>
      <c r="B839" s="85" t="n"/>
      <c r="C839" s="85" t="n"/>
      <c r="D839" s="85" t="n"/>
      <c r="E839" s="85" t="n"/>
      <c r="F839" s="86" t="n"/>
      <c r="G839" s="86" t="n"/>
      <c r="H839" s="85" t="n"/>
      <c r="I839" s="85" t="n"/>
      <c r="J839" s="85" t="n"/>
      <c r="K839" s="85" t="n"/>
      <c r="L839" s="85" t="n"/>
      <c r="M839" s="85" t="n"/>
      <c r="N839" s="85" t="n"/>
      <c r="O839" s="85" t="n"/>
      <c r="P839" s="85" t="n"/>
      <c r="Q839" s="85" t="n"/>
      <c r="R839" s="85" t="n"/>
      <c r="S839" s="85" t="n"/>
      <c r="T839" s="85" t="n"/>
      <c r="U839" s="85" t="n"/>
      <c r="V839" s="85" t="n"/>
      <c r="W839" s="85" t="n"/>
      <c r="X839" s="85" t="n"/>
      <c r="Y839" s="85" t="n"/>
      <c r="Z839" s="85" t="n"/>
      <c r="AA839" s="85" t="n"/>
      <c r="AB839" s="85" t="n"/>
      <c r="AC839" s="86" t="n"/>
      <c r="AD839" s="86" t="n"/>
      <c r="AE839" s="86" t="n"/>
      <c r="AF839" s="85" t="n"/>
      <c r="AG839" s="85" t="n"/>
      <c r="AH839" s="85">
        <f>IF($A839="","",IF(AND($E839="Yes",OR($V839="No",$V839="NOT FOUND")),"YES",""))</f>
        <v/>
      </c>
      <c r="AI839" s="85">
        <f>IF($A839="","",TRIM(IF(AND($M839=0,$I839&lt;&gt;"Yes"),"T0-NoPhishResistant ","")&amp;IF($H839="No","NoMFA ","")&amp;IF(AND($M839=0,$O839="Group only"),"T0-ViaGroupOnly ","")&amp;IF($N839="Yes","BroadAzureScope ","")&amp;IF($T839="Yes","AlsoEntraRole ","")))</f>
        <v/>
      </c>
      <c r="AJ839" s="85">
        <f>IF($A839="","",IF(AD839="","Not Enrolled",IF(TODAY()&gt;AD839,"Review Overdue",IF(AD839-TODAY()&lt;=30,"Review Due Soon","Active"))))</f>
        <v/>
      </c>
      <c r="AK839" s="85">
        <f>IF($A839="","",IF(AE839="","NOT REVIEWED",IF(TODAY()-AE839&gt;90,"OVERDUE",IF(TODAY()-AE839&gt;76,"Due Soon","Current"))))</f>
        <v/>
      </c>
    </row>
    <row r="840" ht="15" customHeight="1" s="39">
      <c r="A840" s="85" t="n"/>
      <c r="B840" s="85" t="n"/>
      <c r="C840" s="85" t="n"/>
      <c r="D840" s="85" t="n"/>
      <c r="E840" s="85" t="n"/>
      <c r="F840" s="86" t="n"/>
      <c r="G840" s="86" t="n"/>
      <c r="H840" s="85" t="n"/>
      <c r="I840" s="85" t="n"/>
      <c r="J840" s="85" t="n"/>
      <c r="K840" s="85" t="n"/>
      <c r="L840" s="85" t="n"/>
      <c r="M840" s="85" t="n"/>
      <c r="N840" s="85" t="n"/>
      <c r="O840" s="85" t="n"/>
      <c r="P840" s="85" t="n"/>
      <c r="Q840" s="85" t="n"/>
      <c r="R840" s="85" t="n"/>
      <c r="S840" s="85" t="n"/>
      <c r="T840" s="85" t="n"/>
      <c r="U840" s="85" t="n"/>
      <c r="V840" s="85" t="n"/>
      <c r="W840" s="85" t="n"/>
      <c r="X840" s="85" t="n"/>
      <c r="Y840" s="85" t="n"/>
      <c r="Z840" s="85" t="n"/>
      <c r="AA840" s="85" t="n"/>
      <c r="AB840" s="85" t="n"/>
      <c r="AC840" s="86" t="n"/>
      <c r="AD840" s="86" t="n"/>
      <c r="AE840" s="86" t="n"/>
      <c r="AF840" s="85" t="n"/>
      <c r="AG840" s="85" t="n"/>
      <c r="AH840" s="85">
        <f>IF($A840="","",IF(AND($E840="Yes",OR($V840="No",$V840="NOT FOUND")),"YES",""))</f>
        <v/>
      </c>
      <c r="AI840" s="85">
        <f>IF($A840="","",TRIM(IF(AND($M840=0,$I840&lt;&gt;"Yes"),"T0-NoPhishResistant ","")&amp;IF($H840="No","NoMFA ","")&amp;IF(AND($M840=0,$O840="Group only"),"T0-ViaGroupOnly ","")&amp;IF($N840="Yes","BroadAzureScope ","")&amp;IF($T840="Yes","AlsoEntraRole ","")))</f>
        <v/>
      </c>
      <c r="AJ840" s="85">
        <f>IF($A840="","",IF(AD840="","Not Enrolled",IF(TODAY()&gt;AD840,"Review Overdue",IF(AD840-TODAY()&lt;=30,"Review Due Soon","Active"))))</f>
        <v/>
      </c>
      <c r="AK840" s="85">
        <f>IF($A840="","",IF(AE840="","NOT REVIEWED",IF(TODAY()-AE840&gt;90,"OVERDUE",IF(TODAY()-AE840&gt;76,"Due Soon","Current"))))</f>
        <v/>
      </c>
    </row>
    <row r="841" ht="15" customHeight="1" s="39">
      <c r="A841" s="85" t="n"/>
      <c r="B841" s="85" t="n"/>
      <c r="C841" s="85" t="n"/>
      <c r="D841" s="85" t="n"/>
      <c r="E841" s="85" t="n"/>
      <c r="F841" s="86" t="n"/>
      <c r="G841" s="86" t="n"/>
      <c r="H841" s="85" t="n"/>
      <c r="I841" s="85" t="n"/>
      <c r="J841" s="85" t="n"/>
      <c r="K841" s="85" t="n"/>
      <c r="L841" s="85" t="n"/>
      <c r="M841" s="85" t="n"/>
      <c r="N841" s="85" t="n"/>
      <c r="O841" s="85" t="n"/>
      <c r="P841" s="85" t="n"/>
      <c r="Q841" s="85" t="n"/>
      <c r="R841" s="85" t="n"/>
      <c r="S841" s="85" t="n"/>
      <c r="T841" s="85" t="n"/>
      <c r="U841" s="85" t="n"/>
      <c r="V841" s="85" t="n"/>
      <c r="W841" s="85" t="n"/>
      <c r="X841" s="85" t="n"/>
      <c r="Y841" s="85" t="n"/>
      <c r="Z841" s="85" t="n"/>
      <c r="AA841" s="85" t="n"/>
      <c r="AB841" s="85" t="n"/>
      <c r="AC841" s="86" t="n"/>
      <c r="AD841" s="86" t="n"/>
      <c r="AE841" s="86" t="n"/>
      <c r="AF841" s="85" t="n"/>
      <c r="AG841" s="85" t="n"/>
      <c r="AH841" s="85">
        <f>IF($A841="","",IF(AND($E841="Yes",OR($V841="No",$V841="NOT FOUND")),"YES",""))</f>
        <v/>
      </c>
      <c r="AI841" s="85">
        <f>IF($A841="","",TRIM(IF(AND($M841=0,$I841&lt;&gt;"Yes"),"T0-NoPhishResistant ","")&amp;IF($H841="No","NoMFA ","")&amp;IF(AND($M841=0,$O841="Group only"),"T0-ViaGroupOnly ","")&amp;IF($N841="Yes","BroadAzureScope ","")&amp;IF($T841="Yes","AlsoEntraRole ","")))</f>
        <v/>
      </c>
      <c r="AJ841" s="85">
        <f>IF($A841="","",IF(AD841="","Not Enrolled",IF(TODAY()&gt;AD841,"Review Overdue",IF(AD841-TODAY()&lt;=30,"Review Due Soon","Active"))))</f>
        <v/>
      </c>
      <c r="AK841" s="85">
        <f>IF($A841="","",IF(AE841="","NOT REVIEWED",IF(TODAY()-AE841&gt;90,"OVERDUE",IF(TODAY()-AE841&gt;76,"Due Soon","Current"))))</f>
        <v/>
      </c>
    </row>
    <row r="842" ht="15" customHeight="1" s="39">
      <c r="A842" s="85" t="n"/>
      <c r="B842" s="85" t="n"/>
      <c r="C842" s="85" t="n"/>
      <c r="D842" s="85" t="n"/>
      <c r="E842" s="85" t="n"/>
      <c r="F842" s="86" t="n"/>
      <c r="G842" s="86" t="n"/>
      <c r="H842" s="85" t="n"/>
      <c r="I842" s="85" t="n"/>
      <c r="J842" s="85" t="n"/>
      <c r="K842" s="85" t="n"/>
      <c r="L842" s="85" t="n"/>
      <c r="M842" s="85" t="n"/>
      <c r="N842" s="85" t="n"/>
      <c r="O842" s="85" t="n"/>
      <c r="P842" s="85" t="n"/>
      <c r="Q842" s="85" t="n"/>
      <c r="R842" s="85" t="n"/>
      <c r="S842" s="85" t="n"/>
      <c r="T842" s="85" t="n"/>
      <c r="U842" s="85" t="n"/>
      <c r="V842" s="85" t="n"/>
      <c r="W842" s="85" t="n"/>
      <c r="X842" s="85" t="n"/>
      <c r="Y842" s="85" t="n"/>
      <c r="Z842" s="85" t="n"/>
      <c r="AA842" s="85" t="n"/>
      <c r="AB842" s="85" t="n"/>
      <c r="AC842" s="86" t="n"/>
      <c r="AD842" s="86" t="n"/>
      <c r="AE842" s="86" t="n"/>
      <c r="AF842" s="85" t="n"/>
      <c r="AG842" s="85" t="n"/>
      <c r="AH842" s="85">
        <f>IF($A842="","",IF(AND($E842="Yes",OR($V842="No",$V842="NOT FOUND")),"YES",""))</f>
        <v/>
      </c>
      <c r="AI842" s="85">
        <f>IF($A842="","",TRIM(IF(AND($M842=0,$I842&lt;&gt;"Yes"),"T0-NoPhishResistant ","")&amp;IF($H842="No","NoMFA ","")&amp;IF(AND($M842=0,$O842="Group only"),"T0-ViaGroupOnly ","")&amp;IF($N842="Yes","BroadAzureScope ","")&amp;IF($T842="Yes","AlsoEntraRole ","")))</f>
        <v/>
      </c>
      <c r="AJ842" s="85">
        <f>IF($A842="","",IF(AD842="","Not Enrolled",IF(TODAY()&gt;AD842,"Review Overdue",IF(AD842-TODAY()&lt;=30,"Review Due Soon","Active"))))</f>
        <v/>
      </c>
      <c r="AK842" s="85">
        <f>IF($A842="","",IF(AE842="","NOT REVIEWED",IF(TODAY()-AE842&gt;90,"OVERDUE",IF(TODAY()-AE842&gt;76,"Due Soon","Current"))))</f>
        <v/>
      </c>
    </row>
    <row r="843" ht="15" customHeight="1" s="39">
      <c r="A843" s="85" t="n"/>
      <c r="B843" s="85" t="n"/>
      <c r="C843" s="85" t="n"/>
      <c r="D843" s="85" t="n"/>
      <c r="E843" s="85" t="n"/>
      <c r="F843" s="86" t="n"/>
      <c r="G843" s="86" t="n"/>
      <c r="H843" s="85" t="n"/>
      <c r="I843" s="85" t="n"/>
      <c r="J843" s="85" t="n"/>
      <c r="K843" s="85" t="n"/>
      <c r="L843" s="85" t="n"/>
      <c r="M843" s="85" t="n"/>
      <c r="N843" s="85" t="n"/>
      <c r="O843" s="85" t="n"/>
      <c r="P843" s="85" t="n"/>
      <c r="Q843" s="85" t="n"/>
      <c r="R843" s="85" t="n"/>
      <c r="S843" s="85" t="n"/>
      <c r="T843" s="85" t="n"/>
      <c r="U843" s="85" t="n"/>
      <c r="V843" s="85" t="n"/>
      <c r="W843" s="85" t="n"/>
      <c r="X843" s="85" t="n"/>
      <c r="Y843" s="85" t="n"/>
      <c r="Z843" s="85" t="n"/>
      <c r="AA843" s="85" t="n"/>
      <c r="AB843" s="85" t="n"/>
      <c r="AC843" s="86" t="n"/>
      <c r="AD843" s="86" t="n"/>
      <c r="AE843" s="86" t="n"/>
      <c r="AF843" s="85" t="n"/>
      <c r="AG843" s="85" t="n"/>
      <c r="AH843" s="85">
        <f>IF($A843="","",IF(AND($E843="Yes",OR($V843="No",$V843="NOT FOUND")),"YES",""))</f>
        <v/>
      </c>
      <c r="AI843" s="85">
        <f>IF($A843="","",TRIM(IF(AND($M843=0,$I843&lt;&gt;"Yes"),"T0-NoPhishResistant ","")&amp;IF($H843="No","NoMFA ","")&amp;IF(AND($M843=0,$O843="Group only"),"T0-ViaGroupOnly ","")&amp;IF($N843="Yes","BroadAzureScope ","")&amp;IF($T843="Yes","AlsoEntraRole ","")))</f>
        <v/>
      </c>
      <c r="AJ843" s="85">
        <f>IF($A843="","",IF(AD843="","Not Enrolled",IF(TODAY()&gt;AD843,"Review Overdue",IF(AD843-TODAY()&lt;=30,"Review Due Soon","Active"))))</f>
        <v/>
      </c>
      <c r="AK843" s="85">
        <f>IF($A843="","",IF(AE843="","NOT REVIEWED",IF(TODAY()-AE843&gt;90,"OVERDUE",IF(TODAY()-AE843&gt;76,"Due Soon","Current"))))</f>
        <v/>
      </c>
    </row>
    <row r="844" ht="15" customHeight="1" s="39">
      <c r="A844" s="85" t="n"/>
      <c r="B844" s="85" t="n"/>
      <c r="C844" s="85" t="n"/>
      <c r="D844" s="85" t="n"/>
      <c r="E844" s="85" t="n"/>
      <c r="F844" s="86" t="n"/>
      <c r="G844" s="86" t="n"/>
      <c r="H844" s="85" t="n"/>
      <c r="I844" s="85" t="n"/>
      <c r="J844" s="85" t="n"/>
      <c r="K844" s="85" t="n"/>
      <c r="L844" s="85" t="n"/>
      <c r="M844" s="85" t="n"/>
      <c r="N844" s="85" t="n"/>
      <c r="O844" s="85" t="n"/>
      <c r="P844" s="85" t="n"/>
      <c r="Q844" s="85" t="n"/>
      <c r="R844" s="85" t="n"/>
      <c r="S844" s="85" t="n"/>
      <c r="T844" s="85" t="n"/>
      <c r="U844" s="85" t="n"/>
      <c r="V844" s="85" t="n"/>
      <c r="W844" s="85" t="n"/>
      <c r="X844" s="85" t="n"/>
      <c r="Y844" s="85" t="n"/>
      <c r="Z844" s="85" t="n"/>
      <c r="AA844" s="85" t="n"/>
      <c r="AB844" s="85" t="n"/>
      <c r="AC844" s="86" t="n"/>
      <c r="AD844" s="86" t="n"/>
      <c r="AE844" s="86" t="n"/>
      <c r="AF844" s="85" t="n"/>
      <c r="AG844" s="85" t="n"/>
      <c r="AH844" s="85">
        <f>IF($A844="","",IF(AND($E844="Yes",OR($V844="No",$V844="NOT FOUND")),"YES",""))</f>
        <v/>
      </c>
      <c r="AI844" s="85">
        <f>IF($A844="","",TRIM(IF(AND($M844=0,$I844&lt;&gt;"Yes"),"T0-NoPhishResistant ","")&amp;IF($H844="No","NoMFA ","")&amp;IF(AND($M844=0,$O844="Group only"),"T0-ViaGroupOnly ","")&amp;IF($N844="Yes","BroadAzureScope ","")&amp;IF($T844="Yes","AlsoEntraRole ","")))</f>
        <v/>
      </c>
      <c r="AJ844" s="85">
        <f>IF($A844="","",IF(AD844="","Not Enrolled",IF(TODAY()&gt;AD844,"Review Overdue",IF(AD844-TODAY()&lt;=30,"Review Due Soon","Active"))))</f>
        <v/>
      </c>
      <c r="AK844" s="85">
        <f>IF($A844="","",IF(AE844="","NOT REVIEWED",IF(TODAY()-AE844&gt;90,"OVERDUE",IF(TODAY()-AE844&gt;76,"Due Soon","Current"))))</f>
        <v/>
      </c>
    </row>
    <row r="845" ht="15" customHeight="1" s="39">
      <c r="A845" s="85" t="n"/>
      <c r="B845" s="85" t="n"/>
      <c r="C845" s="85" t="n"/>
      <c r="D845" s="85" t="n"/>
      <c r="E845" s="85" t="n"/>
      <c r="F845" s="86" t="n"/>
      <c r="G845" s="86" t="n"/>
      <c r="H845" s="85" t="n"/>
      <c r="I845" s="85" t="n"/>
      <c r="J845" s="85" t="n"/>
      <c r="K845" s="85" t="n"/>
      <c r="L845" s="85" t="n"/>
      <c r="M845" s="85" t="n"/>
      <c r="N845" s="85" t="n"/>
      <c r="O845" s="85" t="n"/>
      <c r="P845" s="85" t="n"/>
      <c r="Q845" s="85" t="n"/>
      <c r="R845" s="85" t="n"/>
      <c r="S845" s="85" t="n"/>
      <c r="T845" s="85" t="n"/>
      <c r="U845" s="85" t="n"/>
      <c r="V845" s="85" t="n"/>
      <c r="W845" s="85" t="n"/>
      <c r="X845" s="85" t="n"/>
      <c r="Y845" s="85" t="n"/>
      <c r="Z845" s="85" t="n"/>
      <c r="AA845" s="85" t="n"/>
      <c r="AB845" s="85" t="n"/>
      <c r="AC845" s="86" t="n"/>
      <c r="AD845" s="86" t="n"/>
      <c r="AE845" s="86" t="n"/>
      <c r="AF845" s="85" t="n"/>
      <c r="AG845" s="85" t="n"/>
      <c r="AH845" s="85">
        <f>IF($A845="","",IF(AND($E845="Yes",OR($V845="No",$V845="NOT FOUND")),"YES",""))</f>
        <v/>
      </c>
      <c r="AI845" s="85">
        <f>IF($A845="","",TRIM(IF(AND($M845=0,$I845&lt;&gt;"Yes"),"T0-NoPhishResistant ","")&amp;IF($H845="No","NoMFA ","")&amp;IF(AND($M845=0,$O845="Group only"),"T0-ViaGroupOnly ","")&amp;IF($N845="Yes","BroadAzureScope ","")&amp;IF($T845="Yes","AlsoEntraRole ","")))</f>
        <v/>
      </c>
      <c r="AJ845" s="85">
        <f>IF($A845="","",IF(AD845="","Not Enrolled",IF(TODAY()&gt;AD845,"Review Overdue",IF(AD845-TODAY()&lt;=30,"Review Due Soon","Active"))))</f>
        <v/>
      </c>
      <c r="AK845" s="85">
        <f>IF($A845="","",IF(AE845="","NOT REVIEWED",IF(TODAY()-AE845&gt;90,"OVERDUE",IF(TODAY()-AE845&gt;76,"Due Soon","Current"))))</f>
        <v/>
      </c>
    </row>
    <row r="846" ht="15" customHeight="1" s="39">
      <c r="A846" s="85" t="n"/>
      <c r="B846" s="85" t="n"/>
      <c r="C846" s="85" t="n"/>
      <c r="D846" s="85" t="n"/>
      <c r="E846" s="85" t="n"/>
      <c r="F846" s="86" t="n"/>
      <c r="G846" s="86" t="n"/>
      <c r="H846" s="85" t="n"/>
      <c r="I846" s="85" t="n"/>
      <c r="J846" s="85" t="n"/>
      <c r="K846" s="85" t="n"/>
      <c r="L846" s="85" t="n"/>
      <c r="M846" s="85" t="n"/>
      <c r="N846" s="85" t="n"/>
      <c r="O846" s="85" t="n"/>
      <c r="P846" s="85" t="n"/>
      <c r="Q846" s="85" t="n"/>
      <c r="R846" s="85" t="n"/>
      <c r="S846" s="85" t="n"/>
      <c r="T846" s="85" t="n"/>
      <c r="U846" s="85" t="n"/>
      <c r="V846" s="85" t="n"/>
      <c r="W846" s="85" t="n"/>
      <c r="X846" s="85" t="n"/>
      <c r="Y846" s="85" t="n"/>
      <c r="Z846" s="85" t="n"/>
      <c r="AA846" s="85" t="n"/>
      <c r="AB846" s="85" t="n"/>
      <c r="AC846" s="86" t="n"/>
      <c r="AD846" s="86" t="n"/>
      <c r="AE846" s="86" t="n"/>
      <c r="AF846" s="85" t="n"/>
      <c r="AG846" s="85" t="n"/>
      <c r="AH846" s="85">
        <f>IF($A846="","",IF(AND($E846="Yes",OR($V846="No",$V846="NOT FOUND")),"YES",""))</f>
        <v/>
      </c>
      <c r="AI846" s="85">
        <f>IF($A846="","",TRIM(IF(AND($M846=0,$I846&lt;&gt;"Yes"),"T0-NoPhishResistant ","")&amp;IF($H846="No","NoMFA ","")&amp;IF(AND($M846=0,$O846="Group only"),"T0-ViaGroupOnly ","")&amp;IF($N846="Yes","BroadAzureScope ","")&amp;IF($T846="Yes","AlsoEntraRole ","")))</f>
        <v/>
      </c>
      <c r="AJ846" s="85">
        <f>IF($A846="","",IF(AD846="","Not Enrolled",IF(TODAY()&gt;AD846,"Review Overdue",IF(AD846-TODAY()&lt;=30,"Review Due Soon","Active"))))</f>
        <v/>
      </c>
      <c r="AK846" s="85">
        <f>IF($A846="","",IF(AE846="","NOT REVIEWED",IF(TODAY()-AE846&gt;90,"OVERDUE",IF(TODAY()-AE846&gt;76,"Due Soon","Current"))))</f>
        <v/>
      </c>
    </row>
    <row r="847" ht="15" customHeight="1" s="39">
      <c r="A847" s="85" t="n"/>
      <c r="B847" s="85" t="n"/>
      <c r="C847" s="85" t="n"/>
      <c r="D847" s="85" t="n"/>
      <c r="E847" s="85" t="n"/>
      <c r="F847" s="86" t="n"/>
      <c r="G847" s="86" t="n"/>
      <c r="H847" s="85" t="n"/>
      <c r="I847" s="85" t="n"/>
      <c r="J847" s="85" t="n"/>
      <c r="K847" s="85" t="n"/>
      <c r="L847" s="85" t="n"/>
      <c r="M847" s="85" t="n"/>
      <c r="N847" s="85" t="n"/>
      <c r="O847" s="85" t="n"/>
      <c r="P847" s="85" t="n"/>
      <c r="Q847" s="85" t="n"/>
      <c r="R847" s="85" t="n"/>
      <c r="S847" s="85" t="n"/>
      <c r="T847" s="85" t="n"/>
      <c r="U847" s="85" t="n"/>
      <c r="V847" s="85" t="n"/>
      <c r="W847" s="85" t="n"/>
      <c r="X847" s="85" t="n"/>
      <c r="Y847" s="85" t="n"/>
      <c r="Z847" s="85" t="n"/>
      <c r="AA847" s="85" t="n"/>
      <c r="AB847" s="85" t="n"/>
      <c r="AC847" s="86" t="n"/>
      <c r="AD847" s="86" t="n"/>
      <c r="AE847" s="86" t="n"/>
      <c r="AF847" s="85" t="n"/>
      <c r="AG847" s="85" t="n"/>
      <c r="AH847" s="85">
        <f>IF($A847="","",IF(AND($E847="Yes",OR($V847="No",$V847="NOT FOUND")),"YES",""))</f>
        <v/>
      </c>
      <c r="AI847" s="85">
        <f>IF($A847="","",TRIM(IF(AND($M847=0,$I847&lt;&gt;"Yes"),"T0-NoPhishResistant ","")&amp;IF($H847="No","NoMFA ","")&amp;IF(AND($M847=0,$O847="Group only"),"T0-ViaGroupOnly ","")&amp;IF($N847="Yes","BroadAzureScope ","")&amp;IF($T847="Yes","AlsoEntraRole ","")))</f>
        <v/>
      </c>
      <c r="AJ847" s="85">
        <f>IF($A847="","",IF(AD847="","Not Enrolled",IF(TODAY()&gt;AD847,"Review Overdue",IF(AD847-TODAY()&lt;=30,"Review Due Soon","Active"))))</f>
        <v/>
      </c>
      <c r="AK847" s="85">
        <f>IF($A847="","",IF(AE847="","NOT REVIEWED",IF(TODAY()-AE847&gt;90,"OVERDUE",IF(TODAY()-AE847&gt;76,"Due Soon","Current"))))</f>
        <v/>
      </c>
    </row>
    <row r="848" ht="15" customHeight="1" s="39">
      <c r="A848" s="85" t="n"/>
      <c r="B848" s="85" t="n"/>
      <c r="C848" s="85" t="n"/>
      <c r="D848" s="85" t="n"/>
      <c r="E848" s="85" t="n"/>
      <c r="F848" s="86" t="n"/>
      <c r="G848" s="86" t="n"/>
      <c r="H848" s="85" t="n"/>
      <c r="I848" s="85" t="n"/>
      <c r="J848" s="85" t="n"/>
      <c r="K848" s="85" t="n"/>
      <c r="L848" s="85" t="n"/>
      <c r="M848" s="85" t="n"/>
      <c r="N848" s="85" t="n"/>
      <c r="O848" s="85" t="n"/>
      <c r="P848" s="85" t="n"/>
      <c r="Q848" s="85" t="n"/>
      <c r="R848" s="85" t="n"/>
      <c r="S848" s="85" t="n"/>
      <c r="T848" s="85" t="n"/>
      <c r="U848" s="85" t="n"/>
      <c r="V848" s="85" t="n"/>
      <c r="W848" s="85" t="n"/>
      <c r="X848" s="85" t="n"/>
      <c r="Y848" s="85" t="n"/>
      <c r="Z848" s="85" t="n"/>
      <c r="AA848" s="85" t="n"/>
      <c r="AB848" s="85" t="n"/>
      <c r="AC848" s="86" t="n"/>
      <c r="AD848" s="86" t="n"/>
      <c r="AE848" s="86" t="n"/>
      <c r="AF848" s="85" t="n"/>
      <c r="AG848" s="85" t="n"/>
      <c r="AH848" s="85">
        <f>IF($A848="","",IF(AND($E848="Yes",OR($V848="No",$V848="NOT FOUND")),"YES",""))</f>
        <v/>
      </c>
      <c r="AI848" s="85">
        <f>IF($A848="","",TRIM(IF(AND($M848=0,$I848&lt;&gt;"Yes"),"T0-NoPhishResistant ","")&amp;IF($H848="No","NoMFA ","")&amp;IF(AND($M848=0,$O848="Group only"),"T0-ViaGroupOnly ","")&amp;IF($N848="Yes","BroadAzureScope ","")&amp;IF($T848="Yes","AlsoEntraRole ","")))</f>
        <v/>
      </c>
      <c r="AJ848" s="85">
        <f>IF($A848="","",IF(AD848="","Not Enrolled",IF(TODAY()&gt;AD848,"Review Overdue",IF(AD848-TODAY()&lt;=30,"Review Due Soon","Active"))))</f>
        <v/>
      </c>
      <c r="AK848" s="85">
        <f>IF($A848="","",IF(AE848="","NOT REVIEWED",IF(TODAY()-AE848&gt;90,"OVERDUE",IF(TODAY()-AE848&gt;76,"Due Soon","Current"))))</f>
        <v/>
      </c>
    </row>
    <row r="849" ht="15" customHeight="1" s="39">
      <c r="A849" s="85" t="n"/>
      <c r="B849" s="85" t="n"/>
      <c r="C849" s="85" t="n"/>
      <c r="D849" s="85" t="n"/>
      <c r="E849" s="85" t="n"/>
      <c r="F849" s="86" t="n"/>
      <c r="G849" s="86" t="n"/>
      <c r="H849" s="85" t="n"/>
      <c r="I849" s="85" t="n"/>
      <c r="J849" s="85" t="n"/>
      <c r="K849" s="85" t="n"/>
      <c r="L849" s="85" t="n"/>
      <c r="M849" s="85" t="n"/>
      <c r="N849" s="85" t="n"/>
      <c r="O849" s="85" t="n"/>
      <c r="P849" s="85" t="n"/>
      <c r="Q849" s="85" t="n"/>
      <c r="R849" s="85" t="n"/>
      <c r="S849" s="85" t="n"/>
      <c r="T849" s="85" t="n"/>
      <c r="U849" s="85" t="n"/>
      <c r="V849" s="85" t="n"/>
      <c r="W849" s="85" t="n"/>
      <c r="X849" s="85" t="n"/>
      <c r="Y849" s="85" t="n"/>
      <c r="Z849" s="85" t="n"/>
      <c r="AA849" s="85" t="n"/>
      <c r="AB849" s="85" t="n"/>
      <c r="AC849" s="86" t="n"/>
      <c r="AD849" s="86" t="n"/>
      <c r="AE849" s="86" t="n"/>
      <c r="AF849" s="85" t="n"/>
      <c r="AG849" s="85" t="n"/>
      <c r="AH849" s="85">
        <f>IF($A849="","",IF(AND($E849="Yes",OR($V849="No",$V849="NOT FOUND")),"YES",""))</f>
        <v/>
      </c>
      <c r="AI849" s="85">
        <f>IF($A849="","",TRIM(IF(AND($M849=0,$I849&lt;&gt;"Yes"),"T0-NoPhishResistant ","")&amp;IF($H849="No","NoMFA ","")&amp;IF(AND($M849=0,$O849="Group only"),"T0-ViaGroupOnly ","")&amp;IF($N849="Yes","BroadAzureScope ","")&amp;IF($T849="Yes","AlsoEntraRole ","")))</f>
        <v/>
      </c>
      <c r="AJ849" s="85">
        <f>IF($A849="","",IF(AD849="","Not Enrolled",IF(TODAY()&gt;AD849,"Review Overdue",IF(AD849-TODAY()&lt;=30,"Review Due Soon","Active"))))</f>
        <v/>
      </c>
      <c r="AK849" s="85">
        <f>IF($A849="","",IF(AE849="","NOT REVIEWED",IF(TODAY()-AE849&gt;90,"OVERDUE",IF(TODAY()-AE849&gt;76,"Due Soon","Current"))))</f>
        <v/>
      </c>
    </row>
    <row r="850" ht="15" customHeight="1" s="39">
      <c r="A850" s="85" t="n"/>
      <c r="B850" s="85" t="n"/>
      <c r="C850" s="85" t="n"/>
      <c r="D850" s="85" t="n"/>
      <c r="E850" s="85" t="n"/>
      <c r="F850" s="86" t="n"/>
      <c r="G850" s="86" t="n"/>
      <c r="H850" s="85" t="n"/>
      <c r="I850" s="85" t="n"/>
      <c r="J850" s="85" t="n"/>
      <c r="K850" s="85" t="n"/>
      <c r="L850" s="85" t="n"/>
      <c r="M850" s="85" t="n"/>
      <c r="N850" s="85" t="n"/>
      <c r="O850" s="85" t="n"/>
      <c r="P850" s="85" t="n"/>
      <c r="Q850" s="85" t="n"/>
      <c r="R850" s="85" t="n"/>
      <c r="S850" s="85" t="n"/>
      <c r="T850" s="85" t="n"/>
      <c r="U850" s="85" t="n"/>
      <c r="V850" s="85" t="n"/>
      <c r="W850" s="85" t="n"/>
      <c r="X850" s="85" t="n"/>
      <c r="Y850" s="85" t="n"/>
      <c r="Z850" s="85" t="n"/>
      <c r="AA850" s="85" t="n"/>
      <c r="AB850" s="85" t="n"/>
      <c r="AC850" s="86" t="n"/>
      <c r="AD850" s="86" t="n"/>
      <c r="AE850" s="86" t="n"/>
      <c r="AF850" s="85" t="n"/>
      <c r="AG850" s="85" t="n"/>
      <c r="AH850" s="85">
        <f>IF($A850="","",IF(AND($E850="Yes",OR($V850="No",$V850="NOT FOUND")),"YES",""))</f>
        <v/>
      </c>
      <c r="AI850" s="85">
        <f>IF($A850="","",TRIM(IF(AND($M850=0,$I850&lt;&gt;"Yes"),"T0-NoPhishResistant ","")&amp;IF($H850="No","NoMFA ","")&amp;IF(AND($M850=0,$O850="Group only"),"T0-ViaGroupOnly ","")&amp;IF($N850="Yes","BroadAzureScope ","")&amp;IF($T850="Yes","AlsoEntraRole ","")))</f>
        <v/>
      </c>
      <c r="AJ850" s="85">
        <f>IF($A850="","",IF(AD850="","Not Enrolled",IF(TODAY()&gt;AD850,"Review Overdue",IF(AD850-TODAY()&lt;=30,"Review Due Soon","Active"))))</f>
        <v/>
      </c>
      <c r="AK850" s="85">
        <f>IF($A850="","",IF(AE850="","NOT REVIEWED",IF(TODAY()-AE850&gt;90,"OVERDUE",IF(TODAY()-AE850&gt;76,"Due Soon","Current"))))</f>
        <v/>
      </c>
    </row>
    <row r="851" ht="15" customHeight="1" s="39">
      <c r="A851" s="85" t="n"/>
      <c r="B851" s="85" t="n"/>
      <c r="C851" s="85" t="n"/>
      <c r="D851" s="85" t="n"/>
      <c r="E851" s="85" t="n"/>
      <c r="F851" s="86" t="n"/>
      <c r="G851" s="86" t="n"/>
      <c r="H851" s="85" t="n"/>
      <c r="I851" s="85" t="n"/>
      <c r="J851" s="85" t="n"/>
      <c r="K851" s="85" t="n"/>
      <c r="L851" s="85" t="n"/>
      <c r="M851" s="85" t="n"/>
      <c r="N851" s="85" t="n"/>
      <c r="O851" s="85" t="n"/>
      <c r="P851" s="85" t="n"/>
      <c r="Q851" s="85" t="n"/>
      <c r="R851" s="85" t="n"/>
      <c r="S851" s="85" t="n"/>
      <c r="T851" s="85" t="n"/>
      <c r="U851" s="85" t="n"/>
      <c r="V851" s="85" t="n"/>
      <c r="W851" s="85" t="n"/>
      <c r="X851" s="85" t="n"/>
      <c r="Y851" s="85" t="n"/>
      <c r="Z851" s="85" t="n"/>
      <c r="AA851" s="85" t="n"/>
      <c r="AB851" s="85" t="n"/>
      <c r="AC851" s="86" t="n"/>
      <c r="AD851" s="86" t="n"/>
      <c r="AE851" s="86" t="n"/>
      <c r="AF851" s="85" t="n"/>
      <c r="AG851" s="85" t="n"/>
      <c r="AH851" s="85">
        <f>IF($A851="","",IF(AND($E851="Yes",OR($V851="No",$V851="NOT FOUND")),"YES",""))</f>
        <v/>
      </c>
      <c r="AI851" s="85">
        <f>IF($A851="","",TRIM(IF(AND($M851=0,$I851&lt;&gt;"Yes"),"T0-NoPhishResistant ","")&amp;IF($H851="No","NoMFA ","")&amp;IF(AND($M851=0,$O851="Group only"),"T0-ViaGroupOnly ","")&amp;IF($N851="Yes","BroadAzureScope ","")&amp;IF($T851="Yes","AlsoEntraRole ","")))</f>
        <v/>
      </c>
      <c r="AJ851" s="85">
        <f>IF($A851="","",IF(AD851="","Not Enrolled",IF(TODAY()&gt;AD851,"Review Overdue",IF(AD851-TODAY()&lt;=30,"Review Due Soon","Active"))))</f>
        <v/>
      </c>
      <c r="AK851" s="85">
        <f>IF($A851="","",IF(AE851="","NOT REVIEWED",IF(TODAY()-AE851&gt;90,"OVERDUE",IF(TODAY()-AE851&gt;76,"Due Soon","Current"))))</f>
        <v/>
      </c>
    </row>
    <row r="852" ht="15" customHeight="1" s="39">
      <c r="A852" s="85" t="n"/>
      <c r="B852" s="85" t="n"/>
      <c r="C852" s="85" t="n"/>
      <c r="D852" s="85" t="n"/>
      <c r="E852" s="85" t="n"/>
      <c r="F852" s="86" t="n"/>
      <c r="G852" s="86" t="n"/>
      <c r="H852" s="85" t="n"/>
      <c r="I852" s="85" t="n"/>
      <c r="J852" s="85" t="n"/>
      <c r="K852" s="85" t="n"/>
      <c r="L852" s="85" t="n"/>
      <c r="M852" s="85" t="n"/>
      <c r="N852" s="85" t="n"/>
      <c r="O852" s="85" t="n"/>
      <c r="P852" s="85" t="n"/>
      <c r="Q852" s="85" t="n"/>
      <c r="R852" s="85" t="n"/>
      <c r="S852" s="85" t="n"/>
      <c r="T852" s="85" t="n"/>
      <c r="U852" s="85" t="n"/>
      <c r="V852" s="85" t="n"/>
      <c r="W852" s="85" t="n"/>
      <c r="X852" s="85" t="n"/>
      <c r="Y852" s="85" t="n"/>
      <c r="Z852" s="85" t="n"/>
      <c r="AA852" s="85" t="n"/>
      <c r="AB852" s="85" t="n"/>
      <c r="AC852" s="86" t="n"/>
      <c r="AD852" s="86" t="n"/>
      <c r="AE852" s="86" t="n"/>
      <c r="AF852" s="85" t="n"/>
      <c r="AG852" s="85" t="n"/>
      <c r="AH852" s="85">
        <f>IF($A852="","",IF(AND($E852="Yes",OR($V852="No",$V852="NOT FOUND")),"YES",""))</f>
        <v/>
      </c>
      <c r="AI852" s="85">
        <f>IF($A852="","",TRIM(IF(AND($M852=0,$I852&lt;&gt;"Yes"),"T0-NoPhishResistant ","")&amp;IF($H852="No","NoMFA ","")&amp;IF(AND($M852=0,$O852="Group only"),"T0-ViaGroupOnly ","")&amp;IF($N852="Yes","BroadAzureScope ","")&amp;IF($T852="Yes","AlsoEntraRole ","")))</f>
        <v/>
      </c>
      <c r="AJ852" s="85">
        <f>IF($A852="","",IF(AD852="","Not Enrolled",IF(TODAY()&gt;AD852,"Review Overdue",IF(AD852-TODAY()&lt;=30,"Review Due Soon","Active"))))</f>
        <v/>
      </c>
      <c r="AK852" s="85">
        <f>IF($A852="","",IF(AE852="","NOT REVIEWED",IF(TODAY()-AE852&gt;90,"OVERDUE",IF(TODAY()-AE852&gt;76,"Due Soon","Current"))))</f>
        <v/>
      </c>
    </row>
    <row r="853" ht="15" customHeight="1" s="39">
      <c r="A853" s="85" t="n"/>
      <c r="B853" s="85" t="n"/>
      <c r="C853" s="85" t="n"/>
      <c r="D853" s="85" t="n"/>
      <c r="E853" s="85" t="n"/>
      <c r="F853" s="86" t="n"/>
      <c r="G853" s="86" t="n"/>
      <c r="H853" s="85" t="n"/>
      <c r="I853" s="85" t="n"/>
      <c r="J853" s="85" t="n"/>
      <c r="K853" s="85" t="n"/>
      <c r="L853" s="85" t="n"/>
      <c r="M853" s="85" t="n"/>
      <c r="N853" s="85" t="n"/>
      <c r="O853" s="85" t="n"/>
      <c r="P853" s="85" t="n"/>
      <c r="Q853" s="85" t="n"/>
      <c r="R853" s="85" t="n"/>
      <c r="S853" s="85" t="n"/>
      <c r="T853" s="85" t="n"/>
      <c r="U853" s="85" t="n"/>
      <c r="V853" s="85" t="n"/>
      <c r="W853" s="85" t="n"/>
      <c r="X853" s="85" t="n"/>
      <c r="Y853" s="85" t="n"/>
      <c r="Z853" s="85" t="n"/>
      <c r="AA853" s="85" t="n"/>
      <c r="AB853" s="85" t="n"/>
      <c r="AC853" s="86" t="n"/>
      <c r="AD853" s="86" t="n"/>
      <c r="AE853" s="86" t="n"/>
      <c r="AF853" s="85" t="n"/>
      <c r="AG853" s="85" t="n"/>
      <c r="AH853" s="85">
        <f>IF($A853="","",IF(AND($E853="Yes",OR($V853="No",$V853="NOT FOUND")),"YES",""))</f>
        <v/>
      </c>
      <c r="AI853" s="85">
        <f>IF($A853="","",TRIM(IF(AND($M853=0,$I853&lt;&gt;"Yes"),"T0-NoPhishResistant ","")&amp;IF($H853="No","NoMFA ","")&amp;IF(AND($M853=0,$O853="Group only"),"T0-ViaGroupOnly ","")&amp;IF($N853="Yes","BroadAzureScope ","")&amp;IF($T853="Yes","AlsoEntraRole ","")))</f>
        <v/>
      </c>
      <c r="AJ853" s="85">
        <f>IF($A853="","",IF(AD853="","Not Enrolled",IF(TODAY()&gt;AD853,"Review Overdue",IF(AD853-TODAY()&lt;=30,"Review Due Soon","Active"))))</f>
        <v/>
      </c>
      <c r="AK853" s="85">
        <f>IF($A853="","",IF(AE853="","NOT REVIEWED",IF(TODAY()-AE853&gt;90,"OVERDUE",IF(TODAY()-AE853&gt;76,"Due Soon","Current"))))</f>
        <v/>
      </c>
    </row>
    <row r="854" ht="15" customHeight="1" s="39">
      <c r="A854" s="85" t="n"/>
      <c r="B854" s="85" t="n"/>
      <c r="C854" s="85" t="n"/>
      <c r="D854" s="85" t="n"/>
      <c r="E854" s="85" t="n"/>
      <c r="F854" s="86" t="n"/>
      <c r="G854" s="86" t="n"/>
      <c r="H854" s="85" t="n"/>
      <c r="I854" s="85" t="n"/>
      <c r="J854" s="85" t="n"/>
      <c r="K854" s="85" t="n"/>
      <c r="L854" s="85" t="n"/>
      <c r="M854" s="85" t="n"/>
      <c r="N854" s="85" t="n"/>
      <c r="O854" s="85" t="n"/>
      <c r="P854" s="85" t="n"/>
      <c r="Q854" s="85" t="n"/>
      <c r="R854" s="85" t="n"/>
      <c r="S854" s="85" t="n"/>
      <c r="T854" s="85" t="n"/>
      <c r="U854" s="85" t="n"/>
      <c r="V854" s="85" t="n"/>
      <c r="W854" s="85" t="n"/>
      <c r="X854" s="85" t="n"/>
      <c r="Y854" s="85" t="n"/>
      <c r="Z854" s="85" t="n"/>
      <c r="AA854" s="85" t="n"/>
      <c r="AB854" s="85" t="n"/>
      <c r="AC854" s="86" t="n"/>
      <c r="AD854" s="86" t="n"/>
      <c r="AE854" s="86" t="n"/>
      <c r="AF854" s="85" t="n"/>
      <c r="AG854" s="85" t="n"/>
      <c r="AH854" s="85">
        <f>IF($A854="","",IF(AND($E854="Yes",OR($V854="No",$V854="NOT FOUND")),"YES",""))</f>
        <v/>
      </c>
      <c r="AI854" s="85">
        <f>IF($A854="","",TRIM(IF(AND($M854=0,$I854&lt;&gt;"Yes"),"T0-NoPhishResistant ","")&amp;IF($H854="No","NoMFA ","")&amp;IF(AND($M854=0,$O854="Group only"),"T0-ViaGroupOnly ","")&amp;IF($N854="Yes","BroadAzureScope ","")&amp;IF($T854="Yes","AlsoEntraRole ","")))</f>
        <v/>
      </c>
      <c r="AJ854" s="85">
        <f>IF($A854="","",IF(AD854="","Not Enrolled",IF(TODAY()&gt;AD854,"Review Overdue",IF(AD854-TODAY()&lt;=30,"Review Due Soon","Active"))))</f>
        <v/>
      </c>
      <c r="AK854" s="85">
        <f>IF($A854="","",IF(AE854="","NOT REVIEWED",IF(TODAY()-AE854&gt;90,"OVERDUE",IF(TODAY()-AE854&gt;76,"Due Soon","Current"))))</f>
        <v/>
      </c>
    </row>
    <row r="855" ht="15" customHeight="1" s="39">
      <c r="A855" s="85" t="n"/>
      <c r="B855" s="85" t="n"/>
      <c r="C855" s="85" t="n"/>
      <c r="D855" s="85" t="n"/>
      <c r="E855" s="85" t="n"/>
      <c r="F855" s="86" t="n"/>
      <c r="G855" s="86" t="n"/>
      <c r="H855" s="85" t="n"/>
      <c r="I855" s="85" t="n"/>
      <c r="J855" s="85" t="n"/>
      <c r="K855" s="85" t="n"/>
      <c r="L855" s="85" t="n"/>
      <c r="M855" s="85" t="n"/>
      <c r="N855" s="85" t="n"/>
      <c r="O855" s="85" t="n"/>
      <c r="P855" s="85" t="n"/>
      <c r="Q855" s="85" t="n"/>
      <c r="R855" s="85" t="n"/>
      <c r="S855" s="85" t="n"/>
      <c r="T855" s="85" t="n"/>
      <c r="U855" s="85" t="n"/>
      <c r="V855" s="85" t="n"/>
      <c r="W855" s="85" t="n"/>
      <c r="X855" s="85" t="n"/>
      <c r="Y855" s="85" t="n"/>
      <c r="Z855" s="85" t="n"/>
      <c r="AA855" s="85" t="n"/>
      <c r="AB855" s="85" t="n"/>
      <c r="AC855" s="86" t="n"/>
      <c r="AD855" s="86" t="n"/>
      <c r="AE855" s="86" t="n"/>
      <c r="AF855" s="85" t="n"/>
      <c r="AG855" s="85" t="n"/>
      <c r="AH855" s="85">
        <f>IF($A855="","",IF(AND($E855="Yes",OR($V855="No",$V855="NOT FOUND")),"YES",""))</f>
        <v/>
      </c>
      <c r="AI855" s="85">
        <f>IF($A855="","",TRIM(IF(AND($M855=0,$I855&lt;&gt;"Yes"),"T0-NoPhishResistant ","")&amp;IF($H855="No","NoMFA ","")&amp;IF(AND($M855=0,$O855="Group only"),"T0-ViaGroupOnly ","")&amp;IF($N855="Yes","BroadAzureScope ","")&amp;IF($T855="Yes","AlsoEntraRole ","")))</f>
        <v/>
      </c>
      <c r="AJ855" s="85">
        <f>IF($A855="","",IF(AD855="","Not Enrolled",IF(TODAY()&gt;AD855,"Review Overdue",IF(AD855-TODAY()&lt;=30,"Review Due Soon","Active"))))</f>
        <v/>
      </c>
      <c r="AK855" s="85">
        <f>IF($A855="","",IF(AE855="","NOT REVIEWED",IF(TODAY()-AE855&gt;90,"OVERDUE",IF(TODAY()-AE855&gt;76,"Due Soon","Current"))))</f>
        <v/>
      </c>
    </row>
    <row r="856" ht="15" customHeight="1" s="39">
      <c r="A856" s="85" t="n"/>
      <c r="B856" s="85" t="n"/>
      <c r="C856" s="85" t="n"/>
      <c r="D856" s="85" t="n"/>
      <c r="E856" s="85" t="n"/>
      <c r="F856" s="86" t="n"/>
      <c r="G856" s="86" t="n"/>
      <c r="H856" s="85" t="n"/>
      <c r="I856" s="85" t="n"/>
      <c r="J856" s="85" t="n"/>
      <c r="K856" s="85" t="n"/>
      <c r="L856" s="85" t="n"/>
      <c r="M856" s="85" t="n"/>
      <c r="N856" s="85" t="n"/>
      <c r="O856" s="85" t="n"/>
      <c r="P856" s="85" t="n"/>
      <c r="Q856" s="85" t="n"/>
      <c r="R856" s="85" t="n"/>
      <c r="S856" s="85" t="n"/>
      <c r="T856" s="85" t="n"/>
      <c r="U856" s="85" t="n"/>
      <c r="V856" s="85" t="n"/>
      <c r="W856" s="85" t="n"/>
      <c r="X856" s="85" t="n"/>
      <c r="Y856" s="85" t="n"/>
      <c r="Z856" s="85" t="n"/>
      <c r="AA856" s="85" t="n"/>
      <c r="AB856" s="85" t="n"/>
      <c r="AC856" s="86" t="n"/>
      <c r="AD856" s="86" t="n"/>
      <c r="AE856" s="86" t="n"/>
      <c r="AF856" s="85" t="n"/>
      <c r="AG856" s="85" t="n"/>
      <c r="AH856" s="85">
        <f>IF($A856="","",IF(AND($E856="Yes",OR($V856="No",$V856="NOT FOUND")),"YES",""))</f>
        <v/>
      </c>
      <c r="AI856" s="85">
        <f>IF($A856="","",TRIM(IF(AND($M856=0,$I856&lt;&gt;"Yes"),"T0-NoPhishResistant ","")&amp;IF($H856="No","NoMFA ","")&amp;IF(AND($M856=0,$O856="Group only"),"T0-ViaGroupOnly ","")&amp;IF($N856="Yes","BroadAzureScope ","")&amp;IF($T856="Yes","AlsoEntraRole ","")))</f>
        <v/>
      </c>
      <c r="AJ856" s="85">
        <f>IF($A856="","",IF(AD856="","Not Enrolled",IF(TODAY()&gt;AD856,"Review Overdue",IF(AD856-TODAY()&lt;=30,"Review Due Soon","Active"))))</f>
        <v/>
      </c>
      <c r="AK856" s="85">
        <f>IF($A856="","",IF(AE856="","NOT REVIEWED",IF(TODAY()-AE856&gt;90,"OVERDUE",IF(TODAY()-AE856&gt;76,"Due Soon","Current"))))</f>
        <v/>
      </c>
    </row>
    <row r="857" ht="15" customHeight="1" s="39">
      <c r="A857" s="85" t="n"/>
      <c r="B857" s="85" t="n"/>
      <c r="C857" s="85" t="n"/>
      <c r="D857" s="85" t="n"/>
      <c r="E857" s="85" t="n"/>
      <c r="F857" s="86" t="n"/>
      <c r="G857" s="86" t="n"/>
      <c r="H857" s="85" t="n"/>
      <c r="I857" s="85" t="n"/>
      <c r="J857" s="85" t="n"/>
      <c r="K857" s="85" t="n"/>
      <c r="L857" s="85" t="n"/>
      <c r="M857" s="85" t="n"/>
      <c r="N857" s="85" t="n"/>
      <c r="O857" s="85" t="n"/>
      <c r="P857" s="85" t="n"/>
      <c r="Q857" s="85" t="n"/>
      <c r="R857" s="85" t="n"/>
      <c r="S857" s="85" t="n"/>
      <c r="T857" s="85" t="n"/>
      <c r="U857" s="85" t="n"/>
      <c r="V857" s="85" t="n"/>
      <c r="W857" s="85" t="n"/>
      <c r="X857" s="85" t="n"/>
      <c r="Y857" s="85" t="n"/>
      <c r="Z857" s="85" t="n"/>
      <c r="AA857" s="85" t="n"/>
      <c r="AB857" s="85" t="n"/>
      <c r="AC857" s="86" t="n"/>
      <c r="AD857" s="86" t="n"/>
      <c r="AE857" s="86" t="n"/>
      <c r="AF857" s="85" t="n"/>
      <c r="AG857" s="85" t="n"/>
      <c r="AH857" s="85">
        <f>IF($A857="","",IF(AND($E857="Yes",OR($V857="No",$V857="NOT FOUND")),"YES",""))</f>
        <v/>
      </c>
      <c r="AI857" s="85">
        <f>IF($A857="","",TRIM(IF(AND($M857=0,$I857&lt;&gt;"Yes"),"T0-NoPhishResistant ","")&amp;IF($H857="No","NoMFA ","")&amp;IF(AND($M857=0,$O857="Group only"),"T0-ViaGroupOnly ","")&amp;IF($N857="Yes","BroadAzureScope ","")&amp;IF($T857="Yes","AlsoEntraRole ","")))</f>
        <v/>
      </c>
      <c r="AJ857" s="85">
        <f>IF($A857="","",IF(AD857="","Not Enrolled",IF(TODAY()&gt;AD857,"Review Overdue",IF(AD857-TODAY()&lt;=30,"Review Due Soon","Active"))))</f>
        <v/>
      </c>
      <c r="AK857" s="85">
        <f>IF($A857="","",IF(AE857="","NOT REVIEWED",IF(TODAY()-AE857&gt;90,"OVERDUE",IF(TODAY()-AE857&gt;76,"Due Soon","Current"))))</f>
        <v/>
      </c>
    </row>
    <row r="858" ht="15" customHeight="1" s="39">
      <c r="A858" s="85" t="n"/>
      <c r="B858" s="85" t="n"/>
      <c r="C858" s="85" t="n"/>
      <c r="D858" s="85" t="n"/>
      <c r="E858" s="85" t="n"/>
      <c r="F858" s="86" t="n"/>
      <c r="G858" s="86" t="n"/>
      <c r="H858" s="85" t="n"/>
      <c r="I858" s="85" t="n"/>
      <c r="J858" s="85" t="n"/>
      <c r="K858" s="85" t="n"/>
      <c r="L858" s="85" t="n"/>
      <c r="M858" s="85" t="n"/>
      <c r="N858" s="85" t="n"/>
      <c r="O858" s="85" t="n"/>
      <c r="P858" s="85" t="n"/>
      <c r="Q858" s="85" t="n"/>
      <c r="R858" s="85" t="n"/>
      <c r="S858" s="85" t="n"/>
      <c r="T858" s="85" t="n"/>
      <c r="U858" s="85" t="n"/>
      <c r="V858" s="85" t="n"/>
      <c r="W858" s="85" t="n"/>
      <c r="X858" s="85" t="n"/>
      <c r="Y858" s="85" t="n"/>
      <c r="Z858" s="85" t="n"/>
      <c r="AA858" s="85" t="n"/>
      <c r="AB858" s="85" t="n"/>
      <c r="AC858" s="86" t="n"/>
      <c r="AD858" s="86" t="n"/>
      <c r="AE858" s="86" t="n"/>
      <c r="AF858" s="85" t="n"/>
      <c r="AG858" s="85" t="n"/>
      <c r="AH858" s="85">
        <f>IF($A858="","",IF(AND($E858="Yes",OR($V858="No",$V858="NOT FOUND")),"YES",""))</f>
        <v/>
      </c>
      <c r="AI858" s="85">
        <f>IF($A858="","",TRIM(IF(AND($M858=0,$I858&lt;&gt;"Yes"),"T0-NoPhishResistant ","")&amp;IF($H858="No","NoMFA ","")&amp;IF(AND($M858=0,$O858="Group only"),"T0-ViaGroupOnly ","")&amp;IF($N858="Yes","BroadAzureScope ","")&amp;IF($T858="Yes","AlsoEntraRole ","")))</f>
        <v/>
      </c>
      <c r="AJ858" s="85">
        <f>IF($A858="","",IF(AD858="","Not Enrolled",IF(TODAY()&gt;AD858,"Review Overdue",IF(AD858-TODAY()&lt;=30,"Review Due Soon","Active"))))</f>
        <v/>
      </c>
      <c r="AK858" s="85">
        <f>IF($A858="","",IF(AE858="","NOT REVIEWED",IF(TODAY()-AE858&gt;90,"OVERDUE",IF(TODAY()-AE858&gt;76,"Due Soon","Current"))))</f>
        <v/>
      </c>
    </row>
    <row r="859" ht="15" customHeight="1" s="39">
      <c r="A859" s="85" t="n"/>
      <c r="B859" s="85" t="n"/>
      <c r="C859" s="85" t="n"/>
      <c r="D859" s="85" t="n"/>
      <c r="E859" s="85" t="n"/>
      <c r="F859" s="86" t="n"/>
      <c r="G859" s="86" t="n"/>
      <c r="H859" s="85" t="n"/>
      <c r="I859" s="85" t="n"/>
      <c r="J859" s="85" t="n"/>
      <c r="K859" s="85" t="n"/>
      <c r="L859" s="85" t="n"/>
      <c r="M859" s="85" t="n"/>
      <c r="N859" s="85" t="n"/>
      <c r="O859" s="85" t="n"/>
      <c r="P859" s="85" t="n"/>
      <c r="Q859" s="85" t="n"/>
      <c r="R859" s="85" t="n"/>
      <c r="S859" s="85" t="n"/>
      <c r="T859" s="85" t="n"/>
      <c r="U859" s="85" t="n"/>
      <c r="V859" s="85" t="n"/>
      <c r="W859" s="85" t="n"/>
      <c r="X859" s="85" t="n"/>
      <c r="Y859" s="85" t="n"/>
      <c r="Z859" s="85" t="n"/>
      <c r="AA859" s="85" t="n"/>
      <c r="AB859" s="85" t="n"/>
      <c r="AC859" s="86" t="n"/>
      <c r="AD859" s="86" t="n"/>
      <c r="AE859" s="86" t="n"/>
      <c r="AF859" s="85" t="n"/>
      <c r="AG859" s="85" t="n"/>
      <c r="AH859" s="85">
        <f>IF($A859="","",IF(AND($E859="Yes",OR($V859="No",$V859="NOT FOUND")),"YES",""))</f>
        <v/>
      </c>
      <c r="AI859" s="85">
        <f>IF($A859="","",TRIM(IF(AND($M859=0,$I859&lt;&gt;"Yes"),"T0-NoPhishResistant ","")&amp;IF($H859="No","NoMFA ","")&amp;IF(AND($M859=0,$O859="Group only"),"T0-ViaGroupOnly ","")&amp;IF($N859="Yes","BroadAzureScope ","")&amp;IF($T859="Yes","AlsoEntraRole ","")))</f>
        <v/>
      </c>
      <c r="AJ859" s="85">
        <f>IF($A859="","",IF(AD859="","Not Enrolled",IF(TODAY()&gt;AD859,"Review Overdue",IF(AD859-TODAY()&lt;=30,"Review Due Soon","Active"))))</f>
        <v/>
      </c>
      <c r="AK859" s="85">
        <f>IF($A859="","",IF(AE859="","NOT REVIEWED",IF(TODAY()-AE859&gt;90,"OVERDUE",IF(TODAY()-AE859&gt;76,"Due Soon","Current"))))</f>
        <v/>
      </c>
    </row>
    <row r="860" ht="15" customHeight="1" s="39">
      <c r="A860" s="85" t="n"/>
      <c r="B860" s="85" t="n"/>
      <c r="C860" s="85" t="n"/>
      <c r="D860" s="85" t="n"/>
      <c r="E860" s="85" t="n"/>
      <c r="F860" s="86" t="n"/>
      <c r="G860" s="86" t="n"/>
      <c r="H860" s="85" t="n"/>
      <c r="I860" s="85" t="n"/>
      <c r="J860" s="85" t="n"/>
      <c r="K860" s="85" t="n"/>
      <c r="L860" s="85" t="n"/>
      <c r="M860" s="85" t="n"/>
      <c r="N860" s="85" t="n"/>
      <c r="O860" s="85" t="n"/>
      <c r="P860" s="85" t="n"/>
      <c r="Q860" s="85" t="n"/>
      <c r="R860" s="85" t="n"/>
      <c r="S860" s="85" t="n"/>
      <c r="T860" s="85" t="n"/>
      <c r="U860" s="85" t="n"/>
      <c r="V860" s="85" t="n"/>
      <c r="W860" s="85" t="n"/>
      <c r="X860" s="85" t="n"/>
      <c r="Y860" s="85" t="n"/>
      <c r="Z860" s="85" t="n"/>
      <c r="AA860" s="85" t="n"/>
      <c r="AB860" s="85" t="n"/>
      <c r="AC860" s="86" t="n"/>
      <c r="AD860" s="86" t="n"/>
      <c r="AE860" s="86" t="n"/>
      <c r="AF860" s="85" t="n"/>
      <c r="AG860" s="85" t="n"/>
      <c r="AH860" s="85">
        <f>IF($A860="","",IF(AND($E860="Yes",OR($V860="No",$V860="NOT FOUND")),"YES",""))</f>
        <v/>
      </c>
      <c r="AI860" s="85">
        <f>IF($A860="","",TRIM(IF(AND($M860=0,$I860&lt;&gt;"Yes"),"T0-NoPhishResistant ","")&amp;IF($H860="No","NoMFA ","")&amp;IF(AND($M860=0,$O860="Group only"),"T0-ViaGroupOnly ","")&amp;IF($N860="Yes","BroadAzureScope ","")&amp;IF($T860="Yes","AlsoEntraRole ","")))</f>
        <v/>
      </c>
      <c r="AJ860" s="85">
        <f>IF($A860="","",IF(AD860="","Not Enrolled",IF(TODAY()&gt;AD860,"Review Overdue",IF(AD860-TODAY()&lt;=30,"Review Due Soon","Active"))))</f>
        <v/>
      </c>
      <c r="AK860" s="85">
        <f>IF($A860="","",IF(AE860="","NOT REVIEWED",IF(TODAY()-AE860&gt;90,"OVERDUE",IF(TODAY()-AE860&gt;76,"Due Soon","Current"))))</f>
        <v/>
      </c>
    </row>
    <row r="861" ht="15" customHeight="1" s="39">
      <c r="A861" s="85" t="n"/>
      <c r="B861" s="85" t="n"/>
      <c r="C861" s="85" t="n"/>
      <c r="D861" s="85" t="n"/>
      <c r="E861" s="85" t="n"/>
      <c r="F861" s="86" t="n"/>
      <c r="G861" s="86" t="n"/>
      <c r="H861" s="85" t="n"/>
      <c r="I861" s="85" t="n"/>
      <c r="J861" s="85" t="n"/>
      <c r="K861" s="85" t="n"/>
      <c r="L861" s="85" t="n"/>
      <c r="M861" s="85" t="n"/>
      <c r="N861" s="85" t="n"/>
      <c r="O861" s="85" t="n"/>
      <c r="P861" s="85" t="n"/>
      <c r="Q861" s="85" t="n"/>
      <c r="R861" s="85" t="n"/>
      <c r="S861" s="85" t="n"/>
      <c r="T861" s="85" t="n"/>
      <c r="U861" s="85" t="n"/>
      <c r="V861" s="85" t="n"/>
      <c r="W861" s="85" t="n"/>
      <c r="X861" s="85" t="n"/>
      <c r="Y861" s="85" t="n"/>
      <c r="Z861" s="85" t="n"/>
      <c r="AA861" s="85" t="n"/>
      <c r="AB861" s="85" t="n"/>
      <c r="AC861" s="86" t="n"/>
      <c r="AD861" s="86" t="n"/>
      <c r="AE861" s="86" t="n"/>
      <c r="AF861" s="85" t="n"/>
      <c r="AG861" s="85" t="n"/>
      <c r="AH861" s="85">
        <f>IF($A861="","",IF(AND($E861="Yes",OR($V861="No",$V861="NOT FOUND")),"YES",""))</f>
        <v/>
      </c>
      <c r="AI861" s="85">
        <f>IF($A861="","",TRIM(IF(AND($M861=0,$I861&lt;&gt;"Yes"),"T0-NoPhishResistant ","")&amp;IF($H861="No","NoMFA ","")&amp;IF(AND($M861=0,$O861="Group only"),"T0-ViaGroupOnly ","")&amp;IF($N861="Yes","BroadAzureScope ","")&amp;IF($T861="Yes","AlsoEntraRole ","")))</f>
        <v/>
      </c>
      <c r="AJ861" s="85">
        <f>IF($A861="","",IF(AD861="","Not Enrolled",IF(TODAY()&gt;AD861,"Review Overdue",IF(AD861-TODAY()&lt;=30,"Review Due Soon","Active"))))</f>
        <v/>
      </c>
      <c r="AK861" s="85">
        <f>IF($A861="","",IF(AE861="","NOT REVIEWED",IF(TODAY()-AE861&gt;90,"OVERDUE",IF(TODAY()-AE861&gt;76,"Due Soon","Current"))))</f>
        <v/>
      </c>
    </row>
    <row r="862" ht="15" customHeight="1" s="39">
      <c r="A862" s="85" t="n"/>
      <c r="B862" s="85" t="n"/>
      <c r="C862" s="85" t="n"/>
      <c r="D862" s="85" t="n"/>
      <c r="E862" s="85" t="n"/>
      <c r="F862" s="86" t="n"/>
      <c r="G862" s="86" t="n"/>
      <c r="H862" s="85" t="n"/>
      <c r="I862" s="85" t="n"/>
      <c r="J862" s="85" t="n"/>
      <c r="K862" s="85" t="n"/>
      <c r="L862" s="85" t="n"/>
      <c r="M862" s="85" t="n"/>
      <c r="N862" s="85" t="n"/>
      <c r="O862" s="85" t="n"/>
      <c r="P862" s="85" t="n"/>
      <c r="Q862" s="85" t="n"/>
      <c r="R862" s="85" t="n"/>
      <c r="S862" s="85" t="n"/>
      <c r="T862" s="85" t="n"/>
      <c r="U862" s="85" t="n"/>
      <c r="V862" s="85" t="n"/>
      <c r="W862" s="85" t="n"/>
      <c r="X862" s="85" t="n"/>
      <c r="Y862" s="85" t="n"/>
      <c r="Z862" s="85" t="n"/>
      <c r="AA862" s="85" t="n"/>
      <c r="AB862" s="85" t="n"/>
      <c r="AC862" s="86" t="n"/>
      <c r="AD862" s="86" t="n"/>
      <c r="AE862" s="86" t="n"/>
      <c r="AF862" s="85" t="n"/>
      <c r="AG862" s="85" t="n"/>
      <c r="AH862" s="85">
        <f>IF($A862="","",IF(AND($E862="Yes",OR($V862="No",$V862="NOT FOUND")),"YES",""))</f>
        <v/>
      </c>
      <c r="AI862" s="85">
        <f>IF($A862="","",TRIM(IF(AND($M862=0,$I862&lt;&gt;"Yes"),"T0-NoPhishResistant ","")&amp;IF($H862="No","NoMFA ","")&amp;IF(AND($M862=0,$O862="Group only"),"T0-ViaGroupOnly ","")&amp;IF($N862="Yes","BroadAzureScope ","")&amp;IF($T862="Yes","AlsoEntraRole ","")))</f>
        <v/>
      </c>
      <c r="AJ862" s="85">
        <f>IF($A862="","",IF(AD862="","Not Enrolled",IF(TODAY()&gt;AD862,"Review Overdue",IF(AD862-TODAY()&lt;=30,"Review Due Soon","Active"))))</f>
        <v/>
      </c>
      <c r="AK862" s="85">
        <f>IF($A862="","",IF(AE862="","NOT REVIEWED",IF(TODAY()-AE862&gt;90,"OVERDUE",IF(TODAY()-AE862&gt;76,"Due Soon","Current"))))</f>
        <v/>
      </c>
    </row>
    <row r="863" ht="15" customHeight="1" s="39">
      <c r="A863" s="85" t="n"/>
      <c r="B863" s="85" t="n"/>
      <c r="C863" s="85" t="n"/>
      <c r="D863" s="85" t="n"/>
      <c r="E863" s="85" t="n"/>
      <c r="F863" s="86" t="n"/>
      <c r="G863" s="86" t="n"/>
      <c r="H863" s="85" t="n"/>
      <c r="I863" s="85" t="n"/>
      <c r="J863" s="85" t="n"/>
      <c r="K863" s="85" t="n"/>
      <c r="L863" s="85" t="n"/>
      <c r="M863" s="85" t="n"/>
      <c r="N863" s="85" t="n"/>
      <c r="O863" s="85" t="n"/>
      <c r="P863" s="85" t="n"/>
      <c r="Q863" s="85" t="n"/>
      <c r="R863" s="85" t="n"/>
      <c r="S863" s="85" t="n"/>
      <c r="T863" s="85" t="n"/>
      <c r="U863" s="85" t="n"/>
      <c r="V863" s="85" t="n"/>
      <c r="W863" s="85" t="n"/>
      <c r="X863" s="85" t="n"/>
      <c r="Y863" s="85" t="n"/>
      <c r="Z863" s="85" t="n"/>
      <c r="AA863" s="85" t="n"/>
      <c r="AB863" s="85" t="n"/>
      <c r="AC863" s="86" t="n"/>
      <c r="AD863" s="86" t="n"/>
      <c r="AE863" s="86" t="n"/>
      <c r="AF863" s="85" t="n"/>
      <c r="AG863" s="85" t="n"/>
      <c r="AH863" s="85">
        <f>IF($A863="","",IF(AND($E863="Yes",OR($V863="No",$V863="NOT FOUND")),"YES",""))</f>
        <v/>
      </c>
      <c r="AI863" s="85">
        <f>IF($A863="","",TRIM(IF(AND($M863=0,$I863&lt;&gt;"Yes"),"T0-NoPhishResistant ","")&amp;IF($H863="No","NoMFA ","")&amp;IF(AND($M863=0,$O863="Group only"),"T0-ViaGroupOnly ","")&amp;IF($N863="Yes","BroadAzureScope ","")&amp;IF($T863="Yes","AlsoEntraRole ","")))</f>
        <v/>
      </c>
      <c r="AJ863" s="85">
        <f>IF($A863="","",IF(AD863="","Not Enrolled",IF(TODAY()&gt;AD863,"Review Overdue",IF(AD863-TODAY()&lt;=30,"Review Due Soon","Active"))))</f>
        <v/>
      </c>
      <c r="AK863" s="85">
        <f>IF($A863="","",IF(AE863="","NOT REVIEWED",IF(TODAY()-AE863&gt;90,"OVERDUE",IF(TODAY()-AE863&gt;76,"Due Soon","Current"))))</f>
        <v/>
      </c>
    </row>
    <row r="864" ht="15" customHeight="1" s="39">
      <c r="A864" s="85" t="n"/>
      <c r="B864" s="85" t="n"/>
      <c r="C864" s="85" t="n"/>
      <c r="D864" s="85" t="n"/>
      <c r="E864" s="85" t="n"/>
      <c r="F864" s="86" t="n"/>
      <c r="G864" s="86" t="n"/>
      <c r="H864" s="85" t="n"/>
      <c r="I864" s="85" t="n"/>
      <c r="J864" s="85" t="n"/>
      <c r="K864" s="85" t="n"/>
      <c r="L864" s="85" t="n"/>
      <c r="M864" s="85" t="n"/>
      <c r="N864" s="85" t="n"/>
      <c r="O864" s="85" t="n"/>
      <c r="P864" s="85" t="n"/>
      <c r="Q864" s="85" t="n"/>
      <c r="R864" s="85" t="n"/>
      <c r="S864" s="85" t="n"/>
      <c r="T864" s="85" t="n"/>
      <c r="U864" s="85" t="n"/>
      <c r="V864" s="85" t="n"/>
      <c r="W864" s="85" t="n"/>
      <c r="X864" s="85" t="n"/>
      <c r="Y864" s="85" t="n"/>
      <c r="Z864" s="85" t="n"/>
      <c r="AA864" s="85" t="n"/>
      <c r="AB864" s="85" t="n"/>
      <c r="AC864" s="86" t="n"/>
      <c r="AD864" s="86" t="n"/>
      <c r="AE864" s="86" t="n"/>
      <c r="AF864" s="85" t="n"/>
      <c r="AG864" s="85" t="n"/>
      <c r="AH864" s="85">
        <f>IF($A864="","",IF(AND($E864="Yes",OR($V864="No",$V864="NOT FOUND")),"YES",""))</f>
        <v/>
      </c>
      <c r="AI864" s="85">
        <f>IF($A864="","",TRIM(IF(AND($M864=0,$I864&lt;&gt;"Yes"),"T0-NoPhishResistant ","")&amp;IF($H864="No","NoMFA ","")&amp;IF(AND($M864=0,$O864="Group only"),"T0-ViaGroupOnly ","")&amp;IF($N864="Yes","BroadAzureScope ","")&amp;IF($T864="Yes","AlsoEntraRole ","")))</f>
        <v/>
      </c>
      <c r="AJ864" s="85">
        <f>IF($A864="","",IF(AD864="","Not Enrolled",IF(TODAY()&gt;AD864,"Review Overdue",IF(AD864-TODAY()&lt;=30,"Review Due Soon","Active"))))</f>
        <v/>
      </c>
      <c r="AK864" s="85">
        <f>IF($A864="","",IF(AE864="","NOT REVIEWED",IF(TODAY()-AE864&gt;90,"OVERDUE",IF(TODAY()-AE864&gt;76,"Due Soon","Current"))))</f>
        <v/>
      </c>
    </row>
    <row r="865" ht="15" customHeight="1" s="39">
      <c r="A865" s="85" t="n"/>
      <c r="B865" s="85" t="n"/>
      <c r="C865" s="85" t="n"/>
      <c r="D865" s="85" t="n"/>
      <c r="E865" s="85" t="n"/>
      <c r="F865" s="86" t="n"/>
      <c r="G865" s="86" t="n"/>
      <c r="H865" s="85" t="n"/>
      <c r="I865" s="85" t="n"/>
      <c r="J865" s="85" t="n"/>
      <c r="K865" s="85" t="n"/>
      <c r="L865" s="85" t="n"/>
      <c r="M865" s="85" t="n"/>
      <c r="N865" s="85" t="n"/>
      <c r="O865" s="85" t="n"/>
      <c r="P865" s="85" t="n"/>
      <c r="Q865" s="85" t="n"/>
      <c r="R865" s="85" t="n"/>
      <c r="S865" s="85" t="n"/>
      <c r="T865" s="85" t="n"/>
      <c r="U865" s="85" t="n"/>
      <c r="V865" s="85" t="n"/>
      <c r="W865" s="85" t="n"/>
      <c r="X865" s="85" t="n"/>
      <c r="Y865" s="85" t="n"/>
      <c r="Z865" s="85" t="n"/>
      <c r="AA865" s="85" t="n"/>
      <c r="AB865" s="85" t="n"/>
      <c r="AC865" s="86" t="n"/>
      <c r="AD865" s="86" t="n"/>
      <c r="AE865" s="86" t="n"/>
      <c r="AF865" s="85" t="n"/>
      <c r="AG865" s="85" t="n"/>
      <c r="AH865" s="85">
        <f>IF($A865="","",IF(AND($E865="Yes",OR($V865="No",$V865="NOT FOUND")),"YES",""))</f>
        <v/>
      </c>
      <c r="AI865" s="85">
        <f>IF($A865="","",TRIM(IF(AND($M865=0,$I865&lt;&gt;"Yes"),"T0-NoPhishResistant ","")&amp;IF($H865="No","NoMFA ","")&amp;IF(AND($M865=0,$O865="Group only"),"T0-ViaGroupOnly ","")&amp;IF($N865="Yes","BroadAzureScope ","")&amp;IF($T865="Yes","AlsoEntraRole ","")))</f>
        <v/>
      </c>
      <c r="AJ865" s="85">
        <f>IF($A865="","",IF(AD865="","Not Enrolled",IF(TODAY()&gt;AD865,"Review Overdue",IF(AD865-TODAY()&lt;=30,"Review Due Soon","Active"))))</f>
        <v/>
      </c>
      <c r="AK865" s="85">
        <f>IF($A865="","",IF(AE865="","NOT REVIEWED",IF(TODAY()-AE865&gt;90,"OVERDUE",IF(TODAY()-AE865&gt;76,"Due Soon","Current"))))</f>
        <v/>
      </c>
    </row>
    <row r="866" ht="15" customHeight="1" s="39">
      <c r="A866" s="85" t="n"/>
      <c r="B866" s="85" t="n"/>
      <c r="C866" s="85" t="n"/>
      <c r="D866" s="85" t="n"/>
      <c r="E866" s="85" t="n"/>
      <c r="F866" s="86" t="n"/>
      <c r="G866" s="86" t="n"/>
      <c r="H866" s="85" t="n"/>
      <c r="I866" s="85" t="n"/>
      <c r="J866" s="85" t="n"/>
      <c r="K866" s="85" t="n"/>
      <c r="L866" s="85" t="n"/>
      <c r="M866" s="85" t="n"/>
      <c r="N866" s="85" t="n"/>
      <c r="O866" s="85" t="n"/>
      <c r="P866" s="85" t="n"/>
      <c r="Q866" s="85" t="n"/>
      <c r="R866" s="85" t="n"/>
      <c r="S866" s="85" t="n"/>
      <c r="T866" s="85" t="n"/>
      <c r="U866" s="85" t="n"/>
      <c r="V866" s="85" t="n"/>
      <c r="W866" s="85" t="n"/>
      <c r="X866" s="85" t="n"/>
      <c r="Y866" s="85" t="n"/>
      <c r="Z866" s="85" t="n"/>
      <c r="AA866" s="85" t="n"/>
      <c r="AB866" s="85" t="n"/>
      <c r="AC866" s="86" t="n"/>
      <c r="AD866" s="86" t="n"/>
      <c r="AE866" s="86" t="n"/>
      <c r="AF866" s="85" t="n"/>
      <c r="AG866" s="85" t="n"/>
      <c r="AH866" s="85">
        <f>IF($A866="","",IF(AND($E866="Yes",OR($V866="No",$V866="NOT FOUND")),"YES",""))</f>
        <v/>
      </c>
      <c r="AI866" s="85">
        <f>IF($A866="","",TRIM(IF(AND($M866=0,$I866&lt;&gt;"Yes"),"T0-NoPhishResistant ","")&amp;IF($H866="No","NoMFA ","")&amp;IF(AND($M866=0,$O866="Group only"),"T0-ViaGroupOnly ","")&amp;IF($N866="Yes","BroadAzureScope ","")&amp;IF($T866="Yes","AlsoEntraRole ","")))</f>
        <v/>
      </c>
      <c r="AJ866" s="85">
        <f>IF($A866="","",IF(AD866="","Not Enrolled",IF(TODAY()&gt;AD866,"Review Overdue",IF(AD866-TODAY()&lt;=30,"Review Due Soon","Active"))))</f>
        <v/>
      </c>
      <c r="AK866" s="85">
        <f>IF($A866="","",IF(AE866="","NOT REVIEWED",IF(TODAY()-AE866&gt;90,"OVERDUE",IF(TODAY()-AE866&gt;76,"Due Soon","Current"))))</f>
        <v/>
      </c>
    </row>
    <row r="867" ht="15" customHeight="1" s="39">
      <c r="A867" s="85" t="n"/>
      <c r="B867" s="85" t="n"/>
      <c r="C867" s="85" t="n"/>
      <c r="D867" s="85" t="n"/>
      <c r="E867" s="85" t="n"/>
      <c r="F867" s="86" t="n"/>
      <c r="G867" s="86" t="n"/>
      <c r="H867" s="85" t="n"/>
      <c r="I867" s="85" t="n"/>
      <c r="J867" s="85" t="n"/>
      <c r="K867" s="85" t="n"/>
      <c r="L867" s="85" t="n"/>
      <c r="M867" s="85" t="n"/>
      <c r="N867" s="85" t="n"/>
      <c r="O867" s="85" t="n"/>
      <c r="P867" s="85" t="n"/>
      <c r="Q867" s="85" t="n"/>
      <c r="R867" s="85" t="n"/>
      <c r="S867" s="85" t="n"/>
      <c r="T867" s="85" t="n"/>
      <c r="U867" s="85" t="n"/>
      <c r="V867" s="85" t="n"/>
      <c r="W867" s="85" t="n"/>
      <c r="X867" s="85" t="n"/>
      <c r="Y867" s="85" t="n"/>
      <c r="Z867" s="85" t="n"/>
      <c r="AA867" s="85" t="n"/>
      <c r="AB867" s="85" t="n"/>
      <c r="AC867" s="86" t="n"/>
      <c r="AD867" s="86" t="n"/>
      <c r="AE867" s="86" t="n"/>
      <c r="AF867" s="85" t="n"/>
      <c r="AG867" s="85" t="n"/>
      <c r="AH867" s="85">
        <f>IF($A867="","",IF(AND($E867="Yes",OR($V867="No",$V867="NOT FOUND")),"YES",""))</f>
        <v/>
      </c>
      <c r="AI867" s="85">
        <f>IF($A867="","",TRIM(IF(AND($M867=0,$I867&lt;&gt;"Yes"),"T0-NoPhishResistant ","")&amp;IF($H867="No","NoMFA ","")&amp;IF(AND($M867=0,$O867="Group only"),"T0-ViaGroupOnly ","")&amp;IF($N867="Yes","BroadAzureScope ","")&amp;IF($T867="Yes","AlsoEntraRole ","")))</f>
        <v/>
      </c>
      <c r="AJ867" s="85">
        <f>IF($A867="","",IF(AD867="","Not Enrolled",IF(TODAY()&gt;AD867,"Review Overdue",IF(AD867-TODAY()&lt;=30,"Review Due Soon","Active"))))</f>
        <v/>
      </c>
      <c r="AK867" s="85">
        <f>IF($A867="","",IF(AE867="","NOT REVIEWED",IF(TODAY()-AE867&gt;90,"OVERDUE",IF(TODAY()-AE867&gt;76,"Due Soon","Current"))))</f>
        <v/>
      </c>
    </row>
    <row r="868" ht="15" customHeight="1" s="39">
      <c r="A868" s="85" t="n"/>
      <c r="B868" s="85" t="n"/>
      <c r="C868" s="85" t="n"/>
      <c r="D868" s="85" t="n"/>
      <c r="E868" s="85" t="n"/>
      <c r="F868" s="86" t="n"/>
      <c r="G868" s="86" t="n"/>
      <c r="H868" s="85" t="n"/>
      <c r="I868" s="85" t="n"/>
      <c r="J868" s="85" t="n"/>
      <c r="K868" s="85" t="n"/>
      <c r="L868" s="85" t="n"/>
      <c r="M868" s="85" t="n"/>
      <c r="N868" s="85" t="n"/>
      <c r="O868" s="85" t="n"/>
      <c r="P868" s="85" t="n"/>
      <c r="Q868" s="85" t="n"/>
      <c r="R868" s="85" t="n"/>
      <c r="S868" s="85" t="n"/>
      <c r="T868" s="85" t="n"/>
      <c r="U868" s="85" t="n"/>
      <c r="V868" s="85" t="n"/>
      <c r="W868" s="85" t="n"/>
      <c r="X868" s="85" t="n"/>
      <c r="Y868" s="85" t="n"/>
      <c r="Z868" s="85" t="n"/>
      <c r="AA868" s="85" t="n"/>
      <c r="AB868" s="85" t="n"/>
      <c r="AC868" s="86" t="n"/>
      <c r="AD868" s="86" t="n"/>
      <c r="AE868" s="86" t="n"/>
      <c r="AF868" s="85" t="n"/>
      <c r="AG868" s="85" t="n"/>
      <c r="AH868" s="85">
        <f>IF($A868="","",IF(AND($E868="Yes",OR($V868="No",$V868="NOT FOUND")),"YES",""))</f>
        <v/>
      </c>
      <c r="AI868" s="85">
        <f>IF($A868="","",TRIM(IF(AND($M868=0,$I868&lt;&gt;"Yes"),"T0-NoPhishResistant ","")&amp;IF($H868="No","NoMFA ","")&amp;IF(AND($M868=0,$O868="Group only"),"T0-ViaGroupOnly ","")&amp;IF($N868="Yes","BroadAzureScope ","")&amp;IF($T868="Yes","AlsoEntraRole ","")))</f>
        <v/>
      </c>
      <c r="AJ868" s="85">
        <f>IF($A868="","",IF(AD868="","Not Enrolled",IF(TODAY()&gt;AD868,"Review Overdue",IF(AD868-TODAY()&lt;=30,"Review Due Soon","Active"))))</f>
        <v/>
      </c>
      <c r="AK868" s="85">
        <f>IF($A868="","",IF(AE868="","NOT REVIEWED",IF(TODAY()-AE868&gt;90,"OVERDUE",IF(TODAY()-AE868&gt;76,"Due Soon","Current"))))</f>
        <v/>
      </c>
    </row>
    <row r="869" ht="15" customHeight="1" s="39">
      <c r="A869" s="85" t="n"/>
      <c r="B869" s="85" t="n"/>
      <c r="C869" s="85" t="n"/>
      <c r="D869" s="85" t="n"/>
      <c r="E869" s="85" t="n"/>
      <c r="F869" s="86" t="n"/>
      <c r="G869" s="86" t="n"/>
      <c r="H869" s="85" t="n"/>
      <c r="I869" s="85" t="n"/>
      <c r="J869" s="85" t="n"/>
      <c r="K869" s="85" t="n"/>
      <c r="L869" s="85" t="n"/>
      <c r="M869" s="85" t="n"/>
      <c r="N869" s="85" t="n"/>
      <c r="O869" s="85" t="n"/>
      <c r="P869" s="85" t="n"/>
      <c r="Q869" s="85" t="n"/>
      <c r="R869" s="85" t="n"/>
      <c r="S869" s="85" t="n"/>
      <c r="T869" s="85" t="n"/>
      <c r="U869" s="85" t="n"/>
      <c r="V869" s="85" t="n"/>
      <c r="W869" s="85" t="n"/>
      <c r="X869" s="85" t="n"/>
      <c r="Y869" s="85" t="n"/>
      <c r="Z869" s="85" t="n"/>
      <c r="AA869" s="85" t="n"/>
      <c r="AB869" s="85" t="n"/>
      <c r="AC869" s="86" t="n"/>
      <c r="AD869" s="86" t="n"/>
      <c r="AE869" s="86" t="n"/>
      <c r="AF869" s="85" t="n"/>
      <c r="AG869" s="85" t="n"/>
      <c r="AH869" s="85">
        <f>IF($A869="","",IF(AND($E869="Yes",OR($V869="No",$V869="NOT FOUND")),"YES",""))</f>
        <v/>
      </c>
      <c r="AI869" s="85">
        <f>IF($A869="","",TRIM(IF(AND($M869=0,$I869&lt;&gt;"Yes"),"T0-NoPhishResistant ","")&amp;IF($H869="No","NoMFA ","")&amp;IF(AND($M869=0,$O869="Group only"),"T0-ViaGroupOnly ","")&amp;IF($N869="Yes","BroadAzureScope ","")&amp;IF($T869="Yes","AlsoEntraRole ","")))</f>
        <v/>
      </c>
      <c r="AJ869" s="85">
        <f>IF($A869="","",IF(AD869="","Not Enrolled",IF(TODAY()&gt;AD869,"Review Overdue",IF(AD869-TODAY()&lt;=30,"Review Due Soon","Active"))))</f>
        <v/>
      </c>
      <c r="AK869" s="85">
        <f>IF($A869="","",IF(AE869="","NOT REVIEWED",IF(TODAY()-AE869&gt;90,"OVERDUE",IF(TODAY()-AE869&gt;76,"Due Soon","Current"))))</f>
        <v/>
      </c>
    </row>
    <row r="870" ht="15" customHeight="1" s="39">
      <c r="A870" s="85" t="n"/>
      <c r="B870" s="85" t="n"/>
      <c r="C870" s="85" t="n"/>
      <c r="D870" s="85" t="n"/>
      <c r="E870" s="85" t="n"/>
      <c r="F870" s="86" t="n"/>
      <c r="G870" s="86" t="n"/>
      <c r="H870" s="85" t="n"/>
      <c r="I870" s="85" t="n"/>
      <c r="J870" s="85" t="n"/>
      <c r="K870" s="85" t="n"/>
      <c r="L870" s="85" t="n"/>
      <c r="M870" s="85" t="n"/>
      <c r="N870" s="85" t="n"/>
      <c r="O870" s="85" t="n"/>
      <c r="P870" s="85" t="n"/>
      <c r="Q870" s="85" t="n"/>
      <c r="R870" s="85" t="n"/>
      <c r="S870" s="85" t="n"/>
      <c r="T870" s="85" t="n"/>
      <c r="U870" s="85" t="n"/>
      <c r="V870" s="85" t="n"/>
      <c r="W870" s="85" t="n"/>
      <c r="X870" s="85" t="n"/>
      <c r="Y870" s="85" t="n"/>
      <c r="Z870" s="85" t="n"/>
      <c r="AA870" s="85" t="n"/>
      <c r="AB870" s="85" t="n"/>
      <c r="AC870" s="86" t="n"/>
      <c r="AD870" s="86" t="n"/>
      <c r="AE870" s="86" t="n"/>
      <c r="AF870" s="85" t="n"/>
      <c r="AG870" s="85" t="n"/>
      <c r="AH870" s="85">
        <f>IF($A870="","",IF(AND($E870="Yes",OR($V870="No",$V870="NOT FOUND")),"YES",""))</f>
        <v/>
      </c>
      <c r="AI870" s="85">
        <f>IF($A870="","",TRIM(IF(AND($M870=0,$I870&lt;&gt;"Yes"),"T0-NoPhishResistant ","")&amp;IF($H870="No","NoMFA ","")&amp;IF(AND($M870=0,$O870="Group only"),"T0-ViaGroupOnly ","")&amp;IF($N870="Yes","BroadAzureScope ","")&amp;IF($T870="Yes","AlsoEntraRole ","")))</f>
        <v/>
      </c>
      <c r="AJ870" s="85">
        <f>IF($A870="","",IF(AD870="","Not Enrolled",IF(TODAY()&gt;AD870,"Review Overdue",IF(AD870-TODAY()&lt;=30,"Review Due Soon","Active"))))</f>
        <v/>
      </c>
      <c r="AK870" s="85">
        <f>IF($A870="","",IF(AE870="","NOT REVIEWED",IF(TODAY()-AE870&gt;90,"OVERDUE",IF(TODAY()-AE870&gt;76,"Due Soon","Current"))))</f>
        <v/>
      </c>
    </row>
    <row r="871" ht="15" customHeight="1" s="39">
      <c r="A871" s="85" t="n"/>
      <c r="B871" s="85" t="n"/>
      <c r="C871" s="85" t="n"/>
      <c r="D871" s="85" t="n"/>
      <c r="E871" s="85" t="n"/>
      <c r="F871" s="86" t="n"/>
      <c r="G871" s="86" t="n"/>
      <c r="H871" s="85" t="n"/>
      <c r="I871" s="85" t="n"/>
      <c r="J871" s="85" t="n"/>
      <c r="K871" s="85" t="n"/>
      <c r="L871" s="85" t="n"/>
      <c r="M871" s="85" t="n"/>
      <c r="N871" s="85" t="n"/>
      <c r="O871" s="85" t="n"/>
      <c r="P871" s="85" t="n"/>
      <c r="Q871" s="85" t="n"/>
      <c r="R871" s="85" t="n"/>
      <c r="S871" s="85" t="n"/>
      <c r="T871" s="85" t="n"/>
      <c r="U871" s="85" t="n"/>
      <c r="V871" s="85" t="n"/>
      <c r="W871" s="85" t="n"/>
      <c r="X871" s="85" t="n"/>
      <c r="Y871" s="85" t="n"/>
      <c r="Z871" s="85" t="n"/>
      <c r="AA871" s="85" t="n"/>
      <c r="AB871" s="85" t="n"/>
      <c r="AC871" s="86" t="n"/>
      <c r="AD871" s="86" t="n"/>
      <c r="AE871" s="86" t="n"/>
      <c r="AF871" s="85" t="n"/>
      <c r="AG871" s="85" t="n"/>
      <c r="AH871" s="85">
        <f>IF($A871="","",IF(AND($E871="Yes",OR($V871="No",$V871="NOT FOUND")),"YES",""))</f>
        <v/>
      </c>
      <c r="AI871" s="85">
        <f>IF($A871="","",TRIM(IF(AND($M871=0,$I871&lt;&gt;"Yes"),"T0-NoPhishResistant ","")&amp;IF($H871="No","NoMFA ","")&amp;IF(AND($M871=0,$O871="Group only"),"T0-ViaGroupOnly ","")&amp;IF($N871="Yes","BroadAzureScope ","")&amp;IF($T871="Yes","AlsoEntraRole ","")))</f>
        <v/>
      </c>
      <c r="AJ871" s="85">
        <f>IF($A871="","",IF(AD871="","Not Enrolled",IF(TODAY()&gt;AD871,"Review Overdue",IF(AD871-TODAY()&lt;=30,"Review Due Soon","Active"))))</f>
        <v/>
      </c>
      <c r="AK871" s="85">
        <f>IF($A871="","",IF(AE871="","NOT REVIEWED",IF(TODAY()-AE871&gt;90,"OVERDUE",IF(TODAY()-AE871&gt;76,"Due Soon","Current"))))</f>
        <v/>
      </c>
    </row>
    <row r="872" ht="15" customHeight="1" s="39">
      <c r="A872" s="85" t="n"/>
      <c r="B872" s="85" t="n"/>
      <c r="C872" s="85" t="n"/>
      <c r="D872" s="85" t="n"/>
      <c r="E872" s="85" t="n"/>
      <c r="F872" s="86" t="n"/>
      <c r="G872" s="86" t="n"/>
      <c r="H872" s="85" t="n"/>
      <c r="I872" s="85" t="n"/>
      <c r="J872" s="85" t="n"/>
      <c r="K872" s="85" t="n"/>
      <c r="L872" s="85" t="n"/>
      <c r="M872" s="85" t="n"/>
      <c r="N872" s="85" t="n"/>
      <c r="O872" s="85" t="n"/>
      <c r="P872" s="85" t="n"/>
      <c r="Q872" s="85" t="n"/>
      <c r="R872" s="85" t="n"/>
      <c r="S872" s="85" t="n"/>
      <c r="T872" s="85" t="n"/>
      <c r="U872" s="85" t="n"/>
      <c r="V872" s="85" t="n"/>
      <c r="W872" s="85" t="n"/>
      <c r="X872" s="85" t="n"/>
      <c r="Y872" s="85" t="n"/>
      <c r="Z872" s="85" t="n"/>
      <c r="AA872" s="85" t="n"/>
      <c r="AB872" s="85" t="n"/>
      <c r="AC872" s="86" t="n"/>
      <c r="AD872" s="86" t="n"/>
      <c r="AE872" s="86" t="n"/>
      <c r="AF872" s="85" t="n"/>
      <c r="AG872" s="85" t="n"/>
      <c r="AH872" s="85">
        <f>IF($A872="","",IF(AND($E872="Yes",OR($V872="No",$V872="NOT FOUND")),"YES",""))</f>
        <v/>
      </c>
      <c r="AI872" s="85">
        <f>IF($A872="","",TRIM(IF(AND($M872=0,$I872&lt;&gt;"Yes"),"T0-NoPhishResistant ","")&amp;IF($H872="No","NoMFA ","")&amp;IF(AND($M872=0,$O872="Group only"),"T0-ViaGroupOnly ","")&amp;IF($N872="Yes","BroadAzureScope ","")&amp;IF($T872="Yes","AlsoEntraRole ","")))</f>
        <v/>
      </c>
      <c r="AJ872" s="85">
        <f>IF($A872="","",IF(AD872="","Not Enrolled",IF(TODAY()&gt;AD872,"Review Overdue",IF(AD872-TODAY()&lt;=30,"Review Due Soon","Active"))))</f>
        <v/>
      </c>
      <c r="AK872" s="85">
        <f>IF($A872="","",IF(AE872="","NOT REVIEWED",IF(TODAY()-AE872&gt;90,"OVERDUE",IF(TODAY()-AE872&gt;76,"Due Soon","Current"))))</f>
        <v/>
      </c>
    </row>
    <row r="873" ht="15" customHeight="1" s="39">
      <c r="A873" s="85" t="n"/>
      <c r="B873" s="85" t="n"/>
      <c r="C873" s="85" t="n"/>
      <c r="D873" s="85" t="n"/>
      <c r="E873" s="85" t="n"/>
      <c r="F873" s="86" t="n"/>
      <c r="G873" s="86" t="n"/>
      <c r="H873" s="85" t="n"/>
      <c r="I873" s="85" t="n"/>
      <c r="J873" s="85" t="n"/>
      <c r="K873" s="85" t="n"/>
      <c r="L873" s="85" t="n"/>
      <c r="M873" s="85" t="n"/>
      <c r="N873" s="85" t="n"/>
      <c r="O873" s="85" t="n"/>
      <c r="P873" s="85" t="n"/>
      <c r="Q873" s="85" t="n"/>
      <c r="R873" s="85" t="n"/>
      <c r="S873" s="85" t="n"/>
      <c r="T873" s="85" t="n"/>
      <c r="U873" s="85" t="n"/>
      <c r="V873" s="85" t="n"/>
      <c r="W873" s="85" t="n"/>
      <c r="X873" s="85" t="n"/>
      <c r="Y873" s="85" t="n"/>
      <c r="Z873" s="85" t="n"/>
      <c r="AA873" s="85" t="n"/>
      <c r="AB873" s="85" t="n"/>
      <c r="AC873" s="86" t="n"/>
      <c r="AD873" s="86" t="n"/>
      <c r="AE873" s="86" t="n"/>
      <c r="AF873" s="85" t="n"/>
      <c r="AG873" s="85" t="n"/>
      <c r="AH873" s="85">
        <f>IF($A873="","",IF(AND($E873="Yes",OR($V873="No",$V873="NOT FOUND")),"YES",""))</f>
        <v/>
      </c>
      <c r="AI873" s="85">
        <f>IF($A873="","",TRIM(IF(AND($M873=0,$I873&lt;&gt;"Yes"),"T0-NoPhishResistant ","")&amp;IF($H873="No","NoMFA ","")&amp;IF(AND($M873=0,$O873="Group only"),"T0-ViaGroupOnly ","")&amp;IF($N873="Yes","BroadAzureScope ","")&amp;IF($T873="Yes","AlsoEntraRole ","")))</f>
        <v/>
      </c>
      <c r="AJ873" s="85">
        <f>IF($A873="","",IF(AD873="","Not Enrolled",IF(TODAY()&gt;AD873,"Review Overdue",IF(AD873-TODAY()&lt;=30,"Review Due Soon","Active"))))</f>
        <v/>
      </c>
      <c r="AK873" s="85">
        <f>IF($A873="","",IF(AE873="","NOT REVIEWED",IF(TODAY()-AE873&gt;90,"OVERDUE",IF(TODAY()-AE873&gt;76,"Due Soon","Current"))))</f>
        <v/>
      </c>
    </row>
    <row r="874" ht="15" customHeight="1" s="39">
      <c r="A874" s="85" t="n"/>
      <c r="B874" s="85" t="n"/>
      <c r="C874" s="85" t="n"/>
      <c r="D874" s="85" t="n"/>
      <c r="E874" s="85" t="n"/>
      <c r="F874" s="86" t="n"/>
      <c r="G874" s="86" t="n"/>
      <c r="H874" s="85" t="n"/>
      <c r="I874" s="85" t="n"/>
      <c r="J874" s="85" t="n"/>
      <c r="K874" s="85" t="n"/>
      <c r="L874" s="85" t="n"/>
      <c r="M874" s="85" t="n"/>
      <c r="N874" s="85" t="n"/>
      <c r="O874" s="85" t="n"/>
      <c r="P874" s="85" t="n"/>
      <c r="Q874" s="85" t="n"/>
      <c r="R874" s="85" t="n"/>
      <c r="S874" s="85" t="n"/>
      <c r="T874" s="85" t="n"/>
      <c r="U874" s="85" t="n"/>
      <c r="V874" s="85" t="n"/>
      <c r="W874" s="85" t="n"/>
      <c r="X874" s="85" t="n"/>
      <c r="Y874" s="85" t="n"/>
      <c r="Z874" s="85" t="n"/>
      <c r="AA874" s="85" t="n"/>
      <c r="AB874" s="85" t="n"/>
      <c r="AC874" s="86" t="n"/>
      <c r="AD874" s="86" t="n"/>
      <c r="AE874" s="86" t="n"/>
      <c r="AF874" s="85" t="n"/>
      <c r="AG874" s="85" t="n"/>
      <c r="AH874" s="85">
        <f>IF($A874="","",IF(AND($E874="Yes",OR($V874="No",$V874="NOT FOUND")),"YES",""))</f>
        <v/>
      </c>
      <c r="AI874" s="85">
        <f>IF($A874="","",TRIM(IF(AND($M874=0,$I874&lt;&gt;"Yes"),"T0-NoPhishResistant ","")&amp;IF($H874="No","NoMFA ","")&amp;IF(AND($M874=0,$O874="Group only"),"T0-ViaGroupOnly ","")&amp;IF($N874="Yes","BroadAzureScope ","")&amp;IF($T874="Yes","AlsoEntraRole ","")))</f>
        <v/>
      </c>
      <c r="AJ874" s="85">
        <f>IF($A874="","",IF(AD874="","Not Enrolled",IF(TODAY()&gt;AD874,"Review Overdue",IF(AD874-TODAY()&lt;=30,"Review Due Soon","Active"))))</f>
        <v/>
      </c>
      <c r="AK874" s="85">
        <f>IF($A874="","",IF(AE874="","NOT REVIEWED",IF(TODAY()-AE874&gt;90,"OVERDUE",IF(TODAY()-AE874&gt;76,"Due Soon","Current"))))</f>
        <v/>
      </c>
    </row>
    <row r="875" ht="15" customHeight="1" s="39">
      <c r="A875" s="85" t="n"/>
      <c r="B875" s="85" t="n"/>
      <c r="C875" s="85" t="n"/>
      <c r="D875" s="85" t="n"/>
      <c r="E875" s="85" t="n"/>
      <c r="F875" s="86" t="n"/>
      <c r="G875" s="86" t="n"/>
      <c r="H875" s="85" t="n"/>
      <c r="I875" s="85" t="n"/>
      <c r="J875" s="85" t="n"/>
      <c r="K875" s="85" t="n"/>
      <c r="L875" s="85" t="n"/>
      <c r="M875" s="85" t="n"/>
      <c r="N875" s="85" t="n"/>
      <c r="O875" s="85" t="n"/>
      <c r="P875" s="85" t="n"/>
      <c r="Q875" s="85" t="n"/>
      <c r="R875" s="85" t="n"/>
      <c r="S875" s="85" t="n"/>
      <c r="T875" s="85" t="n"/>
      <c r="U875" s="85" t="n"/>
      <c r="V875" s="85" t="n"/>
      <c r="W875" s="85" t="n"/>
      <c r="X875" s="85" t="n"/>
      <c r="Y875" s="85" t="n"/>
      <c r="Z875" s="85" t="n"/>
      <c r="AA875" s="85" t="n"/>
      <c r="AB875" s="85" t="n"/>
      <c r="AC875" s="86" t="n"/>
      <c r="AD875" s="86" t="n"/>
      <c r="AE875" s="86" t="n"/>
      <c r="AF875" s="85" t="n"/>
      <c r="AG875" s="85" t="n"/>
      <c r="AH875" s="85">
        <f>IF($A875="","",IF(AND($E875="Yes",OR($V875="No",$V875="NOT FOUND")),"YES",""))</f>
        <v/>
      </c>
      <c r="AI875" s="85">
        <f>IF($A875="","",TRIM(IF(AND($M875=0,$I875&lt;&gt;"Yes"),"T0-NoPhishResistant ","")&amp;IF($H875="No","NoMFA ","")&amp;IF(AND($M875=0,$O875="Group only"),"T0-ViaGroupOnly ","")&amp;IF($N875="Yes","BroadAzureScope ","")&amp;IF($T875="Yes","AlsoEntraRole ","")))</f>
        <v/>
      </c>
      <c r="AJ875" s="85">
        <f>IF($A875="","",IF(AD875="","Not Enrolled",IF(TODAY()&gt;AD875,"Review Overdue",IF(AD875-TODAY()&lt;=30,"Review Due Soon","Active"))))</f>
        <v/>
      </c>
      <c r="AK875" s="85">
        <f>IF($A875="","",IF(AE875="","NOT REVIEWED",IF(TODAY()-AE875&gt;90,"OVERDUE",IF(TODAY()-AE875&gt;76,"Due Soon","Current"))))</f>
        <v/>
      </c>
    </row>
    <row r="876" ht="15" customHeight="1" s="39">
      <c r="A876" s="85" t="n"/>
      <c r="B876" s="85" t="n"/>
      <c r="C876" s="85" t="n"/>
      <c r="D876" s="85" t="n"/>
      <c r="E876" s="85" t="n"/>
      <c r="F876" s="86" t="n"/>
      <c r="G876" s="86" t="n"/>
      <c r="H876" s="85" t="n"/>
      <c r="I876" s="85" t="n"/>
      <c r="J876" s="85" t="n"/>
      <c r="K876" s="85" t="n"/>
      <c r="L876" s="85" t="n"/>
      <c r="M876" s="85" t="n"/>
      <c r="N876" s="85" t="n"/>
      <c r="O876" s="85" t="n"/>
      <c r="P876" s="85" t="n"/>
      <c r="Q876" s="85" t="n"/>
      <c r="R876" s="85" t="n"/>
      <c r="S876" s="85" t="n"/>
      <c r="T876" s="85" t="n"/>
      <c r="U876" s="85" t="n"/>
      <c r="V876" s="85" t="n"/>
      <c r="W876" s="85" t="n"/>
      <c r="X876" s="85" t="n"/>
      <c r="Y876" s="85" t="n"/>
      <c r="Z876" s="85" t="n"/>
      <c r="AA876" s="85" t="n"/>
      <c r="AB876" s="85" t="n"/>
      <c r="AC876" s="86" t="n"/>
      <c r="AD876" s="86" t="n"/>
      <c r="AE876" s="86" t="n"/>
      <c r="AF876" s="85" t="n"/>
      <c r="AG876" s="85" t="n"/>
      <c r="AH876" s="85">
        <f>IF($A876="","",IF(AND($E876="Yes",OR($V876="No",$V876="NOT FOUND")),"YES",""))</f>
        <v/>
      </c>
      <c r="AI876" s="85">
        <f>IF($A876="","",TRIM(IF(AND($M876=0,$I876&lt;&gt;"Yes"),"T0-NoPhishResistant ","")&amp;IF($H876="No","NoMFA ","")&amp;IF(AND($M876=0,$O876="Group only"),"T0-ViaGroupOnly ","")&amp;IF($N876="Yes","BroadAzureScope ","")&amp;IF($T876="Yes","AlsoEntraRole ","")))</f>
        <v/>
      </c>
      <c r="AJ876" s="85">
        <f>IF($A876="","",IF(AD876="","Not Enrolled",IF(TODAY()&gt;AD876,"Review Overdue",IF(AD876-TODAY()&lt;=30,"Review Due Soon","Active"))))</f>
        <v/>
      </c>
      <c r="AK876" s="85">
        <f>IF($A876="","",IF(AE876="","NOT REVIEWED",IF(TODAY()-AE876&gt;90,"OVERDUE",IF(TODAY()-AE876&gt;76,"Due Soon","Current"))))</f>
        <v/>
      </c>
    </row>
    <row r="877" ht="15" customHeight="1" s="39">
      <c r="A877" s="85" t="n"/>
      <c r="B877" s="85" t="n"/>
      <c r="C877" s="85" t="n"/>
      <c r="D877" s="85" t="n"/>
      <c r="E877" s="85" t="n"/>
      <c r="F877" s="86" t="n"/>
      <c r="G877" s="86" t="n"/>
      <c r="H877" s="85" t="n"/>
      <c r="I877" s="85" t="n"/>
      <c r="J877" s="85" t="n"/>
      <c r="K877" s="85" t="n"/>
      <c r="L877" s="85" t="n"/>
      <c r="M877" s="85" t="n"/>
      <c r="N877" s="85" t="n"/>
      <c r="O877" s="85" t="n"/>
      <c r="P877" s="85" t="n"/>
      <c r="Q877" s="85" t="n"/>
      <c r="R877" s="85" t="n"/>
      <c r="S877" s="85" t="n"/>
      <c r="T877" s="85" t="n"/>
      <c r="U877" s="85" t="n"/>
      <c r="V877" s="85" t="n"/>
      <c r="W877" s="85" t="n"/>
      <c r="X877" s="85" t="n"/>
      <c r="Y877" s="85" t="n"/>
      <c r="Z877" s="85" t="n"/>
      <c r="AA877" s="85" t="n"/>
      <c r="AB877" s="85" t="n"/>
      <c r="AC877" s="86" t="n"/>
      <c r="AD877" s="86" t="n"/>
      <c r="AE877" s="86" t="n"/>
      <c r="AF877" s="85" t="n"/>
      <c r="AG877" s="85" t="n"/>
      <c r="AH877" s="85">
        <f>IF($A877="","",IF(AND($E877="Yes",OR($V877="No",$V877="NOT FOUND")),"YES",""))</f>
        <v/>
      </c>
      <c r="AI877" s="85">
        <f>IF($A877="","",TRIM(IF(AND($M877=0,$I877&lt;&gt;"Yes"),"T0-NoPhishResistant ","")&amp;IF($H877="No","NoMFA ","")&amp;IF(AND($M877=0,$O877="Group only"),"T0-ViaGroupOnly ","")&amp;IF($N877="Yes","BroadAzureScope ","")&amp;IF($T877="Yes","AlsoEntraRole ","")))</f>
        <v/>
      </c>
      <c r="AJ877" s="85">
        <f>IF($A877="","",IF(AD877="","Not Enrolled",IF(TODAY()&gt;AD877,"Review Overdue",IF(AD877-TODAY()&lt;=30,"Review Due Soon","Active"))))</f>
        <v/>
      </c>
      <c r="AK877" s="85">
        <f>IF($A877="","",IF(AE877="","NOT REVIEWED",IF(TODAY()-AE877&gt;90,"OVERDUE",IF(TODAY()-AE877&gt;76,"Due Soon","Current"))))</f>
        <v/>
      </c>
    </row>
    <row r="878" ht="15" customHeight="1" s="39">
      <c r="A878" s="85" t="n"/>
      <c r="B878" s="85" t="n"/>
      <c r="C878" s="85" t="n"/>
      <c r="D878" s="85" t="n"/>
      <c r="E878" s="85" t="n"/>
      <c r="F878" s="86" t="n"/>
      <c r="G878" s="86" t="n"/>
      <c r="H878" s="85" t="n"/>
      <c r="I878" s="85" t="n"/>
      <c r="J878" s="85" t="n"/>
      <c r="K878" s="85" t="n"/>
      <c r="L878" s="85" t="n"/>
      <c r="M878" s="85" t="n"/>
      <c r="N878" s="85" t="n"/>
      <c r="O878" s="85" t="n"/>
      <c r="P878" s="85" t="n"/>
      <c r="Q878" s="85" t="n"/>
      <c r="R878" s="85" t="n"/>
      <c r="S878" s="85" t="n"/>
      <c r="T878" s="85" t="n"/>
      <c r="U878" s="85" t="n"/>
      <c r="V878" s="85" t="n"/>
      <c r="W878" s="85" t="n"/>
      <c r="X878" s="85" t="n"/>
      <c r="Y878" s="85" t="n"/>
      <c r="Z878" s="85" t="n"/>
      <c r="AA878" s="85" t="n"/>
      <c r="AB878" s="85" t="n"/>
      <c r="AC878" s="86" t="n"/>
      <c r="AD878" s="86" t="n"/>
      <c r="AE878" s="86" t="n"/>
      <c r="AF878" s="85" t="n"/>
      <c r="AG878" s="85" t="n"/>
      <c r="AH878" s="85">
        <f>IF($A878="","",IF(AND($E878="Yes",OR($V878="No",$V878="NOT FOUND")),"YES",""))</f>
        <v/>
      </c>
      <c r="AI878" s="85">
        <f>IF($A878="","",TRIM(IF(AND($M878=0,$I878&lt;&gt;"Yes"),"T0-NoPhishResistant ","")&amp;IF($H878="No","NoMFA ","")&amp;IF(AND($M878=0,$O878="Group only"),"T0-ViaGroupOnly ","")&amp;IF($N878="Yes","BroadAzureScope ","")&amp;IF($T878="Yes","AlsoEntraRole ","")))</f>
        <v/>
      </c>
      <c r="AJ878" s="85">
        <f>IF($A878="","",IF(AD878="","Not Enrolled",IF(TODAY()&gt;AD878,"Review Overdue",IF(AD878-TODAY()&lt;=30,"Review Due Soon","Active"))))</f>
        <v/>
      </c>
      <c r="AK878" s="85">
        <f>IF($A878="","",IF(AE878="","NOT REVIEWED",IF(TODAY()-AE878&gt;90,"OVERDUE",IF(TODAY()-AE878&gt;76,"Due Soon","Current"))))</f>
        <v/>
      </c>
    </row>
    <row r="879" ht="15" customHeight="1" s="39">
      <c r="A879" s="85" t="n"/>
      <c r="B879" s="85" t="n"/>
      <c r="C879" s="85" t="n"/>
      <c r="D879" s="85" t="n"/>
      <c r="E879" s="85" t="n"/>
      <c r="F879" s="86" t="n"/>
      <c r="G879" s="86" t="n"/>
      <c r="H879" s="85" t="n"/>
      <c r="I879" s="85" t="n"/>
      <c r="J879" s="85" t="n"/>
      <c r="K879" s="85" t="n"/>
      <c r="L879" s="85" t="n"/>
      <c r="M879" s="85" t="n"/>
      <c r="N879" s="85" t="n"/>
      <c r="O879" s="85" t="n"/>
      <c r="P879" s="85" t="n"/>
      <c r="Q879" s="85" t="n"/>
      <c r="R879" s="85" t="n"/>
      <c r="S879" s="85" t="n"/>
      <c r="T879" s="85" t="n"/>
      <c r="U879" s="85" t="n"/>
      <c r="V879" s="85" t="n"/>
      <c r="W879" s="85" t="n"/>
      <c r="X879" s="85" t="n"/>
      <c r="Y879" s="85" t="n"/>
      <c r="Z879" s="85" t="n"/>
      <c r="AA879" s="85" t="n"/>
      <c r="AB879" s="85" t="n"/>
      <c r="AC879" s="86" t="n"/>
      <c r="AD879" s="86" t="n"/>
      <c r="AE879" s="86" t="n"/>
      <c r="AF879" s="85" t="n"/>
      <c r="AG879" s="85" t="n"/>
      <c r="AH879" s="85">
        <f>IF($A879="","",IF(AND($E879="Yes",OR($V879="No",$V879="NOT FOUND")),"YES",""))</f>
        <v/>
      </c>
      <c r="AI879" s="85">
        <f>IF($A879="","",TRIM(IF(AND($M879=0,$I879&lt;&gt;"Yes"),"T0-NoPhishResistant ","")&amp;IF($H879="No","NoMFA ","")&amp;IF(AND($M879=0,$O879="Group only"),"T0-ViaGroupOnly ","")&amp;IF($N879="Yes","BroadAzureScope ","")&amp;IF($T879="Yes","AlsoEntraRole ","")))</f>
        <v/>
      </c>
      <c r="AJ879" s="85">
        <f>IF($A879="","",IF(AD879="","Not Enrolled",IF(TODAY()&gt;AD879,"Review Overdue",IF(AD879-TODAY()&lt;=30,"Review Due Soon","Active"))))</f>
        <v/>
      </c>
      <c r="AK879" s="85">
        <f>IF($A879="","",IF(AE879="","NOT REVIEWED",IF(TODAY()-AE879&gt;90,"OVERDUE",IF(TODAY()-AE879&gt;76,"Due Soon","Current"))))</f>
        <v/>
      </c>
    </row>
    <row r="880" ht="15" customHeight="1" s="39">
      <c r="A880" s="85" t="n"/>
      <c r="B880" s="85" t="n"/>
      <c r="C880" s="85" t="n"/>
      <c r="D880" s="85" t="n"/>
      <c r="E880" s="85" t="n"/>
      <c r="F880" s="86" t="n"/>
      <c r="G880" s="86" t="n"/>
      <c r="H880" s="85" t="n"/>
      <c r="I880" s="85" t="n"/>
      <c r="J880" s="85" t="n"/>
      <c r="K880" s="85" t="n"/>
      <c r="L880" s="85" t="n"/>
      <c r="M880" s="85" t="n"/>
      <c r="N880" s="85" t="n"/>
      <c r="O880" s="85" t="n"/>
      <c r="P880" s="85" t="n"/>
      <c r="Q880" s="85" t="n"/>
      <c r="R880" s="85" t="n"/>
      <c r="S880" s="85" t="n"/>
      <c r="T880" s="85" t="n"/>
      <c r="U880" s="85" t="n"/>
      <c r="V880" s="85" t="n"/>
      <c r="W880" s="85" t="n"/>
      <c r="X880" s="85" t="n"/>
      <c r="Y880" s="85" t="n"/>
      <c r="Z880" s="85" t="n"/>
      <c r="AA880" s="85" t="n"/>
      <c r="AB880" s="85" t="n"/>
      <c r="AC880" s="86" t="n"/>
      <c r="AD880" s="86" t="n"/>
      <c r="AE880" s="86" t="n"/>
      <c r="AF880" s="85" t="n"/>
      <c r="AG880" s="85" t="n"/>
      <c r="AH880" s="85">
        <f>IF($A880="","",IF(AND($E880="Yes",OR($V880="No",$V880="NOT FOUND")),"YES",""))</f>
        <v/>
      </c>
      <c r="AI880" s="85">
        <f>IF($A880="","",TRIM(IF(AND($M880=0,$I880&lt;&gt;"Yes"),"T0-NoPhishResistant ","")&amp;IF($H880="No","NoMFA ","")&amp;IF(AND($M880=0,$O880="Group only"),"T0-ViaGroupOnly ","")&amp;IF($N880="Yes","BroadAzureScope ","")&amp;IF($T880="Yes","AlsoEntraRole ","")))</f>
        <v/>
      </c>
      <c r="AJ880" s="85">
        <f>IF($A880="","",IF(AD880="","Not Enrolled",IF(TODAY()&gt;AD880,"Review Overdue",IF(AD880-TODAY()&lt;=30,"Review Due Soon","Active"))))</f>
        <v/>
      </c>
      <c r="AK880" s="85">
        <f>IF($A880="","",IF(AE880="","NOT REVIEWED",IF(TODAY()-AE880&gt;90,"OVERDUE",IF(TODAY()-AE880&gt;76,"Due Soon","Current"))))</f>
        <v/>
      </c>
    </row>
    <row r="881" ht="15" customHeight="1" s="39">
      <c r="A881" s="85" t="n"/>
      <c r="B881" s="85" t="n"/>
      <c r="C881" s="85" t="n"/>
      <c r="D881" s="85" t="n"/>
      <c r="E881" s="85" t="n"/>
      <c r="F881" s="86" t="n"/>
      <c r="G881" s="86" t="n"/>
      <c r="H881" s="85" t="n"/>
      <c r="I881" s="85" t="n"/>
      <c r="J881" s="85" t="n"/>
      <c r="K881" s="85" t="n"/>
      <c r="L881" s="85" t="n"/>
      <c r="M881" s="85" t="n"/>
      <c r="N881" s="85" t="n"/>
      <c r="O881" s="85" t="n"/>
      <c r="P881" s="85" t="n"/>
      <c r="Q881" s="85" t="n"/>
      <c r="R881" s="85" t="n"/>
      <c r="S881" s="85" t="n"/>
      <c r="T881" s="85" t="n"/>
      <c r="U881" s="85" t="n"/>
      <c r="V881" s="85" t="n"/>
      <c r="W881" s="85" t="n"/>
      <c r="X881" s="85" t="n"/>
      <c r="Y881" s="85" t="n"/>
      <c r="Z881" s="85" t="n"/>
      <c r="AA881" s="85" t="n"/>
      <c r="AB881" s="85" t="n"/>
      <c r="AC881" s="86" t="n"/>
      <c r="AD881" s="86" t="n"/>
      <c r="AE881" s="86" t="n"/>
      <c r="AF881" s="85" t="n"/>
      <c r="AG881" s="85" t="n"/>
      <c r="AH881" s="85">
        <f>IF($A881="","",IF(AND($E881="Yes",OR($V881="No",$V881="NOT FOUND")),"YES",""))</f>
        <v/>
      </c>
      <c r="AI881" s="85">
        <f>IF($A881="","",TRIM(IF(AND($M881=0,$I881&lt;&gt;"Yes"),"T0-NoPhishResistant ","")&amp;IF($H881="No","NoMFA ","")&amp;IF(AND($M881=0,$O881="Group only"),"T0-ViaGroupOnly ","")&amp;IF($N881="Yes","BroadAzureScope ","")&amp;IF($T881="Yes","AlsoEntraRole ","")))</f>
        <v/>
      </c>
      <c r="AJ881" s="85">
        <f>IF($A881="","",IF(AD881="","Not Enrolled",IF(TODAY()&gt;AD881,"Review Overdue",IF(AD881-TODAY()&lt;=30,"Review Due Soon","Active"))))</f>
        <v/>
      </c>
      <c r="AK881" s="85">
        <f>IF($A881="","",IF(AE881="","NOT REVIEWED",IF(TODAY()-AE881&gt;90,"OVERDUE",IF(TODAY()-AE881&gt;76,"Due Soon","Current"))))</f>
        <v/>
      </c>
    </row>
    <row r="882" ht="15" customHeight="1" s="39">
      <c r="A882" s="85" t="n"/>
      <c r="B882" s="85" t="n"/>
      <c r="C882" s="85" t="n"/>
      <c r="D882" s="85" t="n"/>
      <c r="E882" s="85" t="n"/>
      <c r="F882" s="86" t="n"/>
      <c r="G882" s="86" t="n"/>
      <c r="H882" s="85" t="n"/>
      <c r="I882" s="85" t="n"/>
      <c r="J882" s="85" t="n"/>
      <c r="K882" s="85" t="n"/>
      <c r="L882" s="85" t="n"/>
      <c r="M882" s="85" t="n"/>
      <c r="N882" s="85" t="n"/>
      <c r="O882" s="85" t="n"/>
      <c r="P882" s="85" t="n"/>
      <c r="Q882" s="85" t="n"/>
      <c r="R882" s="85" t="n"/>
      <c r="S882" s="85" t="n"/>
      <c r="T882" s="85" t="n"/>
      <c r="U882" s="85" t="n"/>
      <c r="V882" s="85" t="n"/>
      <c r="W882" s="85" t="n"/>
      <c r="X882" s="85" t="n"/>
      <c r="Y882" s="85" t="n"/>
      <c r="Z882" s="85" t="n"/>
      <c r="AA882" s="85" t="n"/>
      <c r="AB882" s="85" t="n"/>
      <c r="AC882" s="86" t="n"/>
      <c r="AD882" s="86" t="n"/>
      <c r="AE882" s="86" t="n"/>
      <c r="AF882" s="85" t="n"/>
      <c r="AG882" s="85" t="n"/>
      <c r="AH882" s="85">
        <f>IF($A882="","",IF(AND($E882="Yes",OR($V882="No",$V882="NOT FOUND")),"YES",""))</f>
        <v/>
      </c>
      <c r="AI882" s="85">
        <f>IF($A882="","",TRIM(IF(AND($M882=0,$I882&lt;&gt;"Yes"),"T0-NoPhishResistant ","")&amp;IF($H882="No","NoMFA ","")&amp;IF(AND($M882=0,$O882="Group only"),"T0-ViaGroupOnly ","")&amp;IF($N882="Yes","BroadAzureScope ","")&amp;IF($T882="Yes","AlsoEntraRole ","")))</f>
        <v/>
      </c>
      <c r="AJ882" s="85">
        <f>IF($A882="","",IF(AD882="","Not Enrolled",IF(TODAY()&gt;AD882,"Review Overdue",IF(AD882-TODAY()&lt;=30,"Review Due Soon","Active"))))</f>
        <v/>
      </c>
      <c r="AK882" s="85">
        <f>IF($A882="","",IF(AE882="","NOT REVIEWED",IF(TODAY()-AE882&gt;90,"OVERDUE",IF(TODAY()-AE882&gt;76,"Due Soon","Current"))))</f>
        <v/>
      </c>
    </row>
    <row r="883" ht="15" customHeight="1" s="39">
      <c r="A883" s="85" t="n"/>
      <c r="B883" s="85" t="n"/>
      <c r="C883" s="85" t="n"/>
      <c r="D883" s="85" t="n"/>
      <c r="E883" s="85" t="n"/>
      <c r="F883" s="86" t="n"/>
      <c r="G883" s="86" t="n"/>
      <c r="H883" s="85" t="n"/>
      <c r="I883" s="85" t="n"/>
      <c r="J883" s="85" t="n"/>
      <c r="K883" s="85" t="n"/>
      <c r="L883" s="85" t="n"/>
      <c r="M883" s="85" t="n"/>
      <c r="N883" s="85" t="n"/>
      <c r="O883" s="85" t="n"/>
      <c r="P883" s="85" t="n"/>
      <c r="Q883" s="85" t="n"/>
      <c r="R883" s="85" t="n"/>
      <c r="S883" s="85" t="n"/>
      <c r="T883" s="85" t="n"/>
      <c r="U883" s="85" t="n"/>
      <c r="V883" s="85" t="n"/>
      <c r="W883" s="85" t="n"/>
      <c r="X883" s="85" t="n"/>
      <c r="Y883" s="85" t="n"/>
      <c r="Z883" s="85" t="n"/>
      <c r="AA883" s="85" t="n"/>
      <c r="AB883" s="85" t="n"/>
      <c r="AC883" s="86" t="n"/>
      <c r="AD883" s="86" t="n"/>
      <c r="AE883" s="86" t="n"/>
      <c r="AF883" s="85" t="n"/>
      <c r="AG883" s="85" t="n"/>
      <c r="AH883" s="85">
        <f>IF($A883="","",IF(AND($E883="Yes",OR($V883="No",$V883="NOT FOUND")),"YES",""))</f>
        <v/>
      </c>
      <c r="AI883" s="85">
        <f>IF($A883="","",TRIM(IF(AND($M883=0,$I883&lt;&gt;"Yes"),"T0-NoPhishResistant ","")&amp;IF($H883="No","NoMFA ","")&amp;IF(AND($M883=0,$O883="Group only"),"T0-ViaGroupOnly ","")&amp;IF($N883="Yes","BroadAzureScope ","")&amp;IF($T883="Yes","AlsoEntraRole ","")))</f>
        <v/>
      </c>
      <c r="AJ883" s="85">
        <f>IF($A883="","",IF(AD883="","Not Enrolled",IF(TODAY()&gt;AD883,"Review Overdue",IF(AD883-TODAY()&lt;=30,"Review Due Soon","Active"))))</f>
        <v/>
      </c>
      <c r="AK883" s="85">
        <f>IF($A883="","",IF(AE883="","NOT REVIEWED",IF(TODAY()-AE883&gt;90,"OVERDUE",IF(TODAY()-AE883&gt;76,"Due Soon","Current"))))</f>
        <v/>
      </c>
    </row>
    <row r="884" ht="15" customHeight="1" s="39">
      <c r="A884" s="85" t="n"/>
      <c r="B884" s="85" t="n"/>
      <c r="C884" s="85" t="n"/>
      <c r="D884" s="85" t="n"/>
      <c r="E884" s="85" t="n"/>
      <c r="F884" s="86" t="n"/>
      <c r="G884" s="86" t="n"/>
      <c r="H884" s="85" t="n"/>
      <c r="I884" s="85" t="n"/>
      <c r="J884" s="85" t="n"/>
      <c r="K884" s="85" t="n"/>
      <c r="L884" s="85" t="n"/>
      <c r="M884" s="85" t="n"/>
      <c r="N884" s="85" t="n"/>
      <c r="O884" s="85" t="n"/>
      <c r="P884" s="85" t="n"/>
      <c r="Q884" s="85" t="n"/>
      <c r="R884" s="85" t="n"/>
      <c r="S884" s="85" t="n"/>
      <c r="T884" s="85" t="n"/>
      <c r="U884" s="85" t="n"/>
      <c r="V884" s="85" t="n"/>
      <c r="W884" s="85" t="n"/>
      <c r="X884" s="85" t="n"/>
      <c r="Y884" s="85" t="n"/>
      <c r="Z884" s="85" t="n"/>
      <c r="AA884" s="85" t="n"/>
      <c r="AB884" s="85" t="n"/>
      <c r="AC884" s="86" t="n"/>
      <c r="AD884" s="86" t="n"/>
      <c r="AE884" s="86" t="n"/>
      <c r="AF884" s="85" t="n"/>
      <c r="AG884" s="85" t="n"/>
      <c r="AH884" s="85">
        <f>IF($A884="","",IF(AND($E884="Yes",OR($V884="No",$V884="NOT FOUND")),"YES",""))</f>
        <v/>
      </c>
      <c r="AI884" s="85">
        <f>IF($A884="","",TRIM(IF(AND($M884=0,$I884&lt;&gt;"Yes"),"T0-NoPhishResistant ","")&amp;IF($H884="No","NoMFA ","")&amp;IF(AND($M884=0,$O884="Group only"),"T0-ViaGroupOnly ","")&amp;IF($N884="Yes","BroadAzureScope ","")&amp;IF($T884="Yes","AlsoEntraRole ","")))</f>
        <v/>
      </c>
      <c r="AJ884" s="85">
        <f>IF($A884="","",IF(AD884="","Not Enrolled",IF(TODAY()&gt;AD884,"Review Overdue",IF(AD884-TODAY()&lt;=30,"Review Due Soon","Active"))))</f>
        <v/>
      </c>
      <c r="AK884" s="85">
        <f>IF($A884="","",IF(AE884="","NOT REVIEWED",IF(TODAY()-AE884&gt;90,"OVERDUE",IF(TODAY()-AE884&gt;76,"Due Soon","Current"))))</f>
        <v/>
      </c>
    </row>
    <row r="885" ht="15" customHeight="1" s="39">
      <c r="A885" s="85" t="n"/>
      <c r="B885" s="85" t="n"/>
      <c r="C885" s="85" t="n"/>
      <c r="D885" s="85" t="n"/>
      <c r="E885" s="85" t="n"/>
      <c r="F885" s="86" t="n"/>
      <c r="G885" s="86" t="n"/>
      <c r="H885" s="85" t="n"/>
      <c r="I885" s="85" t="n"/>
      <c r="J885" s="85" t="n"/>
      <c r="K885" s="85" t="n"/>
      <c r="L885" s="85" t="n"/>
      <c r="M885" s="85" t="n"/>
      <c r="N885" s="85" t="n"/>
      <c r="O885" s="85" t="n"/>
      <c r="P885" s="85" t="n"/>
      <c r="Q885" s="85" t="n"/>
      <c r="R885" s="85" t="n"/>
      <c r="S885" s="85" t="n"/>
      <c r="T885" s="85" t="n"/>
      <c r="U885" s="85" t="n"/>
      <c r="V885" s="85" t="n"/>
      <c r="W885" s="85" t="n"/>
      <c r="X885" s="85" t="n"/>
      <c r="Y885" s="85" t="n"/>
      <c r="Z885" s="85" t="n"/>
      <c r="AA885" s="85" t="n"/>
      <c r="AB885" s="85" t="n"/>
      <c r="AC885" s="86" t="n"/>
      <c r="AD885" s="86" t="n"/>
      <c r="AE885" s="86" t="n"/>
      <c r="AF885" s="85" t="n"/>
      <c r="AG885" s="85" t="n"/>
      <c r="AH885" s="85">
        <f>IF($A885="","",IF(AND($E885="Yes",OR($V885="No",$V885="NOT FOUND")),"YES",""))</f>
        <v/>
      </c>
      <c r="AI885" s="85">
        <f>IF($A885="","",TRIM(IF(AND($M885=0,$I885&lt;&gt;"Yes"),"T0-NoPhishResistant ","")&amp;IF($H885="No","NoMFA ","")&amp;IF(AND($M885=0,$O885="Group only"),"T0-ViaGroupOnly ","")&amp;IF($N885="Yes","BroadAzureScope ","")&amp;IF($T885="Yes","AlsoEntraRole ","")))</f>
        <v/>
      </c>
      <c r="AJ885" s="85">
        <f>IF($A885="","",IF(AD885="","Not Enrolled",IF(TODAY()&gt;AD885,"Review Overdue",IF(AD885-TODAY()&lt;=30,"Review Due Soon","Active"))))</f>
        <v/>
      </c>
      <c r="AK885" s="85">
        <f>IF($A885="","",IF(AE885="","NOT REVIEWED",IF(TODAY()-AE885&gt;90,"OVERDUE",IF(TODAY()-AE885&gt;76,"Due Soon","Current"))))</f>
        <v/>
      </c>
    </row>
    <row r="886" ht="15" customHeight="1" s="39">
      <c r="A886" s="85" t="n"/>
      <c r="B886" s="85" t="n"/>
      <c r="C886" s="85" t="n"/>
      <c r="D886" s="85" t="n"/>
      <c r="E886" s="85" t="n"/>
      <c r="F886" s="86" t="n"/>
      <c r="G886" s="86" t="n"/>
      <c r="H886" s="85" t="n"/>
      <c r="I886" s="85" t="n"/>
      <c r="J886" s="85" t="n"/>
      <c r="K886" s="85" t="n"/>
      <c r="L886" s="85" t="n"/>
      <c r="M886" s="85" t="n"/>
      <c r="N886" s="85" t="n"/>
      <c r="O886" s="85" t="n"/>
      <c r="P886" s="85" t="n"/>
      <c r="Q886" s="85" t="n"/>
      <c r="R886" s="85" t="n"/>
      <c r="S886" s="85" t="n"/>
      <c r="T886" s="85" t="n"/>
      <c r="U886" s="85" t="n"/>
      <c r="V886" s="85" t="n"/>
      <c r="W886" s="85" t="n"/>
      <c r="X886" s="85" t="n"/>
      <c r="Y886" s="85" t="n"/>
      <c r="Z886" s="85" t="n"/>
      <c r="AA886" s="85" t="n"/>
      <c r="AB886" s="85" t="n"/>
      <c r="AC886" s="86" t="n"/>
      <c r="AD886" s="86" t="n"/>
      <c r="AE886" s="86" t="n"/>
      <c r="AF886" s="85" t="n"/>
      <c r="AG886" s="85" t="n"/>
      <c r="AH886" s="85">
        <f>IF($A886="","",IF(AND($E886="Yes",OR($V886="No",$V886="NOT FOUND")),"YES",""))</f>
        <v/>
      </c>
      <c r="AI886" s="85">
        <f>IF($A886="","",TRIM(IF(AND($M886=0,$I886&lt;&gt;"Yes"),"T0-NoPhishResistant ","")&amp;IF($H886="No","NoMFA ","")&amp;IF(AND($M886=0,$O886="Group only"),"T0-ViaGroupOnly ","")&amp;IF($N886="Yes","BroadAzureScope ","")&amp;IF($T886="Yes","AlsoEntraRole ","")))</f>
        <v/>
      </c>
      <c r="AJ886" s="85">
        <f>IF($A886="","",IF(AD886="","Not Enrolled",IF(TODAY()&gt;AD886,"Review Overdue",IF(AD886-TODAY()&lt;=30,"Review Due Soon","Active"))))</f>
        <v/>
      </c>
      <c r="AK886" s="85">
        <f>IF($A886="","",IF(AE886="","NOT REVIEWED",IF(TODAY()-AE886&gt;90,"OVERDUE",IF(TODAY()-AE886&gt;76,"Due Soon","Current"))))</f>
        <v/>
      </c>
    </row>
    <row r="887" ht="15" customHeight="1" s="39">
      <c r="A887" s="85" t="n"/>
      <c r="B887" s="85" t="n"/>
      <c r="C887" s="85" t="n"/>
      <c r="D887" s="85" t="n"/>
      <c r="E887" s="85" t="n"/>
      <c r="F887" s="86" t="n"/>
      <c r="G887" s="86" t="n"/>
      <c r="H887" s="85" t="n"/>
      <c r="I887" s="85" t="n"/>
      <c r="J887" s="85" t="n"/>
      <c r="K887" s="85" t="n"/>
      <c r="L887" s="85" t="n"/>
      <c r="M887" s="85" t="n"/>
      <c r="N887" s="85" t="n"/>
      <c r="O887" s="85" t="n"/>
      <c r="P887" s="85" t="n"/>
      <c r="Q887" s="85" t="n"/>
      <c r="R887" s="85" t="n"/>
      <c r="S887" s="85" t="n"/>
      <c r="T887" s="85" t="n"/>
      <c r="U887" s="85" t="n"/>
      <c r="V887" s="85" t="n"/>
      <c r="W887" s="85" t="n"/>
      <c r="X887" s="85" t="n"/>
      <c r="Y887" s="85" t="n"/>
      <c r="Z887" s="85" t="n"/>
      <c r="AA887" s="85" t="n"/>
      <c r="AB887" s="85" t="n"/>
      <c r="AC887" s="86" t="n"/>
      <c r="AD887" s="86" t="n"/>
      <c r="AE887" s="86" t="n"/>
      <c r="AF887" s="85" t="n"/>
      <c r="AG887" s="85" t="n"/>
      <c r="AH887" s="85">
        <f>IF($A887="","",IF(AND($E887="Yes",OR($V887="No",$V887="NOT FOUND")),"YES",""))</f>
        <v/>
      </c>
      <c r="AI887" s="85">
        <f>IF($A887="","",TRIM(IF(AND($M887=0,$I887&lt;&gt;"Yes"),"T0-NoPhishResistant ","")&amp;IF($H887="No","NoMFA ","")&amp;IF(AND($M887=0,$O887="Group only"),"T0-ViaGroupOnly ","")&amp;IF($N887="Yes","BroadAzureScope ","")&amp;IF($T887="Yes","AlsoEntraRole ","")))</f>
        <v/>
      </c>
      <c r="AJ887" s="85">
        <f>IF($A887="","",IF(AD887="","Not Enrolled",IF(TODAY()&gt;AD887,"Review Overdue",IF(AD887-TODAY()&lt;=30,"Review Due Soon","Active"))))</f>
        <v/>
      </c>
      <c r="AK887" s="85">
        <f>IF($A887="","",IF(AE887="","NOT REVIEWED",IF(TODAY()-AE887&gt;90,"OVERDUE",IF(TODAY()-AE887&gt;76,"Due Soon","Current"))))</f>
        <v/>
      </c>
    </row>
    <row r="888" ht="15" customHeight="1" s="39">
      <c r="A888" s="85" t="n"/>
      <c r="B888" s="85" t="n"/>
      <c r="C888" s="85" t="n"/>
      <c r="D888" s="85" t="n"/>
      <c r="E888" s="85" t="n"/>
      <c r="F888" s="86" t="n"/>
      <c r="G888" s="86" t="n"/>
      <c r="H888" s="85" t="n"/>
      <c r="I888" s="85" t="n"/>
      <c r="J888" s="85" t="n"/>
      <c r="K888" s="85" t="n"/>
      <c r="L888" s="85" t="n"/>
      <c r="M888" s="85" t="n"/>
      <c r="N888" s="85" t="n"/>
      <c r="O888" s="85" t="n"/>
      <c r="P888" s="85" t="n"/>
      <c r="Q888" s="85" t="n"/>
      <c r="R888" s="85" t="n"/>
      <c r="S888" s="85" t="n"/>
      <c r="T888" s="85" t="n"/>
      <c r="U888" s="85" t="n"/>
      <c r="V888" s="85" t="n"/>
      <c r="W888" s="85" t="n"/>
      <c r="X888" s="85" t="n"/>
      <c r="Y888" s="85" t="n"/>
      <c r="Z888" s="85" t="n"/>
      <c r="AA888" s="85" t="n"/>
      <c r="AB888" s="85" t="n"/>
      <c r="AC888" s="86" t="n"/>
      <c r="AD888" s="86" t="n"/>
      <c r="AE888" s="86" t="n"/>
      <c r="AF888" s="85" t="n"/>
      <c r="AG888" s="85" t="n"/>
      <c r="AH888" s="85">
        <f>IF($A888="","",IF(AND($E888="Yes",OR($V888="No",$V888="NOT FOUND")),"YES",""))</f>
        <v/>
      </c>
      <c r="AI888" s="85">
        <f>IF($A888="","",TRIM(IF(AND($M888=0,$I888&lt;&gt;"Yes"),"T0-NoPhishResistant ","")&amp;IF($H888="No","NoMFA ","")&amp;IF(AND($M888=0,$O888="Group only"),"T0-ViaGroupOnly ","")&amp;IF($N888="Yes","BroadAzureScope ","")&amp;IF($T888="Yes","AlsoEntraRole ","")))</f>
        <v/>
      </c>
      <c r="AJ888" s="85">
        <f>IF($A888="","",IF(AD888="","Not Enrolled",IF(TODAY()&gt;AD888,"Review Overdue",IF(AD888-TODAY()&lt;=30,"Review Due Soon","Active"))))</f>
        <v/>
      </c>
      <c r="AK888" s="85">
        <f>IF($A888="","",IF(AE888="","NOT REVIEWED",IF(TODAY()-AE888&gt;90,"OVERDUE",IF(TODAY()-AE888&gt;76,"Due Soon","Current"))))</f>
        <v/>
      </c>
    </row>
    <row r="889" ht="15" customHeight="1" s="39">
      <c r="A889" s="85" t="n"/>
      <c r="B889" s="85" t="n"/>
      <c r="C889" s="85" t="n"/>
      <c r="D889" s="85" t="n"/>
      <c r="E889" s="85" t="n"/>
      <c r="F889" s="86" t="n"/>
      <c r="G889" s="86" t="n"/>
      <c r="H889" s="85" t="n"/>
      <c r="I889" s="85" t="n"/>
      <c r="J889" s="85" t="n"/>
      <c r="K889" s="85" t="n"/>
      <c r="L889" s="85" t="n"/>
      <c r="M889" s="85" t="n"/>
      <c r="N889" s="85" t="n"/>
      <c r="O889" s="85" t="n"/>
      <c r="P889" s="85" t="n"/>
      <c r="Q889" s="85" t="n"/>
      <c r="R889" s="85" t="n"/>
      <c r="S889" s="85" t="n"/>
      <c r="T889" s="85" t="n"/>
      <c r="U889" s="85" t="n"/>
      <c r="V889" s="85" t="n"/>
      <c r="W889" s="85" t="n"/>
      <c r="X889" s="85" t="n"/>
      <c r="Y889" s="85" t="n"/>
      <c r="Z889" s="85" t="n"/>
      <c r="AA889" s="85" t="n"/>
      <c r="AB889" s="85" t="n"/>
      <c r="AC889" s="86" t="n"/>
      <c r="AD889" s="86" t="n"/>
      <c r="AE889" s="86" t="n"/>
      <c r="AF889" s="85" t="n"/>
      <c r="AG889" s="85" t="n"/>
      <c r="AH889" s="85">
        <f>IF($A889="","",IF(AND($E889="Yes",OR($V889="No",$V889="NOT FOUND")),"YES",""))</f>
        <v/>
      </c>
      <c r="AI889" s="85">
        <f>IF($A889="","",TRIM(IF(AND($M889=0,$I889&lt;&gt;"Yes"),"T0-NoPhishResistant ","")&amp;IF($H889="No","NoMFA ","")&amp;IF(AND($M889=0,$O889="Group only"),"T0-ViaGroupOnly ","")&amp;IF($N889="Yes","BroadAzureScope ","")&amp;IF($T889="Yes","AlsoEntraRole ","")))</f>
        <v/>
      </c>
      <c r="AJ889" s="85">
        <f>IF($A889="","",IF(AD889="","Not Enrolled",IF(TODAY()&gt;AD889,"Review Overdue",IF(AD889-TODAY()&lt;=30,"Review Due Soon","Active"))))</f>
        <v/>
      </c>
      <c r="AK889" s="85">
        <f>IF($A889="","",IF(AE889="","NOT REVIEWED",IF(TODAY()-AE889&gt;90,"OVERDUE",IF(TODAY()-AE889&gt;76,"Due Soon","Current"))))</f>
        <v/>
      </c>
    </row>
    <row r="890" ht="15" customHeight="1" s="39">
      <c r="A890" s="85" t="n"/>
      <c r="B890" s="85" t="n"/>
      <c r="C890" s="85" t="n"/>
      <c r="D890" s="85" t="n"/>
      <c r="E890" s="85" t="n"/>
      <c r="F890" s="86" t="n"/>
      <c r="G890" s="86" t="n"/>
      <c r="H890" s="85" t="n"/>
      <c r="I890" s="85" t="n"/>
      <c r="J890" s="85" t="n"/>
      <c r="K890" s="85" t="n"/>
      <c r="L890" s="85" t="n"/>
      <c r="M890" s="85" t="n"/>
      <c r="N890" s="85" t="n"/>
      <c r="O890" s="85" t="n"/>
      <c r="P890" s="85" t="n"/>
      <c r="Q890" s="85" t="n"/>
      <c r="R890" s="85" t="n"/>
      <c r="S890" s="85" t="n"/>
      <c r="T890" s="85" t="n"/>
      <c r="U890" s="85" t="n"/>
      <c r="V890" s="85" t="n"/>
      <c r="W890" s="85" t="n"/>
      <c r="X890" s="85" t="n"/>
      <c r="Y890" s="85" t="n"/>
      <c r="Z890" s="85" t="n"/>
      <c r="AA890" s="85" t="n"/>
      <c r="AB890" s="85" t="n"/>
      <c r="AC890" s="86" t="n"/>
      <c r="AD890" s="86" t="n"/>
      <c r="AE890" s="86" t="n"/>
      <c r="AF890" s="85" t="n"/>
      <c r="AG890" s="85" t="n"/>
      <c r="AH890" s="85">
        <f>IF($A890="","",IF(AND($E890="Yes",OR($V890="No",$V890="NOT FOUND")),"YES",""))</f>
        <v/>
      </c>
      <c r="AI890" s="85">
        <f>IF($A890="","",TRIM(IF(AND($M890=0,$I890&lt;&gt;"Yes"),"T0-NoPhishResistant ","")&amp;IF($H890="No","NoMFA ","")&amp;IF(AND($M890=0,$O890="Group only"),"T0-ViaGroupOnly ","")&amp;IF($N890="Yes","BroadAzureScope ","")&amp;IF($T890="Yes","AlsoEntraRole ","")))</f>
        <v/>
      </c>
      <c r="AJ890" s="85">
        <f>IF($A890="","",IF(AD890="","Not Enrolled",IF(TODAY()&gt;AD890,"Review Overdue",IF(AD890-TODAY()&lt;=30,"Review Due Soon","Active"))))</f>
        <v/>
      </c>
      <c r="AK890" s="85">
        <f>IF($A890="","",IF(AE890="","NOT REVIEWED",IF(TODAY()-AE890&gt;90,"OVERDUE",IF(TODAY()-AE890&gt;76,"Due Soon","Current"))))</f>
        <v/>
      </c>
    </row>
    <row r="891" ht="15" customHeight="1" s="39">
      <c r="A891" s="85" t="n"/>
      <c r="B891" s="85" t="n"/>
      <c r="C891" s="85" t="n"/>
      <c r="D891" s="85" t="n"/>
      <c r="E891" s="85" t="n"/>
      <c r="F891" s="86" t="n"/>
      <c r="G891" s="86" t="n"/>
      <c r="H891" s="85" t="n"/>
      <c r="I891" s="85" t="n"/>
      <c r="J891" s="85" t="n"/>
      <c r="K891" s="85" t="n"/>
      <c r="L891" s="85" t="n"/>
      <c r="M891" s="85" t="n"/>
      <c r="N891" s="85" t="n"/>
      <c r="O891" s="85" t="n"/>
      <c r="P891" s="85" t="n"/>
      <c r="Q891" s="85" t="n"/>
      <c r="R891" s="85" t="n"/>
      <c r="S891" s="85" t="n"/>
      <c r="T891" s="85" t="n"/>
      <c r="U891" s="85" t="n"/>
      <c r="V891" s="85" t="n"/>
      <c r="W891" s="85" t="n"/>
      <c r="X891" s="85" t="n"/>
      <c r="Y891" s="85" t="n"/>
      <c r="Z891" s="85" t="n"/>
      <c r="AA891" s="85" t="n"/>
      <c r="AB891" s="85" t="n"/>
      <c r="AC891" s="86" t="n"/>
      <c r="AD891" s="86" t="n"/>
      <c r="AE891" s="86" t="n"/>
      <c r="AF891" s="85" t="n"/>
      <c r="AG891" s="85" t="n"/>
      <c r="AH891" s="85">
        <f>IF($A891="","",IF(AND($E891="Yes",OR($V891="No",$V891="NOT FOUND")),"YES",""))</f>
        <v/>
      </c>
      <c r="AI891" s="85">
        <f>IF($A891="","",TRIM(IF(AND($M891=0,$I891&lt;&gt;"Yes"),"T0-NoPhishResistant ","")&amp;IF($H891="No","NoMFA ","")&amp;IF(AND($M891=0,$O891="Group only"),"T0-ViaGroupOnly ","")&amp;IF($N891="Yes","BroadAzureScope ","")&amp;IF($T891="Yes","AlsoEntraRole ","")))</f>
        <v/>
      </c>
      <c r="AJ891" s="85">
        <f>IF($A891="","",IF(AD891="","Not Enrolled",IF(TODAY()&gt;AD891,"Review Overdue",IF(AD891-TODAY()&lt;=30,"Review Due Soon","Active"))))</f>
        <v/>
      </c>
      <c r="AK891" s="85">
        <f>IF($A891="","",IF(AE891="","NOT REVIEWED",IF(TODAY()-AE891&gt;90,"OVERDUE",IF(TODAY()-AE891&gt;76,"Due Soon","Current"))))</f>
        <v/>
      </c>
    </row>
    <row r="892" ht="15" customHeight="1" s="39">
      <c r="A892" s="85" t="n"/>
      <c r="B892" s="85" t="n"/>
      <c r="C892" s="85" t="n"/>
      <c r="D892" s="85" t="n"/>
      <c r="E892" s="85" t="n"/>
      <c r="F892" s="86" t="n"/>
      <c r="G892" s="86" t="n"/>
      <c r="H892" s="85" t="n"/>
      <c r="I892" s="85" t="n"/>
      <c r="J892" s="85" t="n"/>
      <c r="K892" s="85" t="n"/>
      <c r="L892" s="85" t="n"/>
      <c r="M892" s="85" t="n"/>
      <c r="N892" s="85" t="n"/>
      <c r="O892" s="85" t="n"/>
      <c r="P892" s="85" t="n"/>
      <c r="Q892" s="85" t="n"/>
      <c r="R892" s="85" t="n"/>
      <c r="S892" s="85" t="n"/>
      <c r="T892" s="85" t="n"/>
      <c r="U892" s="85" t="n"/>
      <c r="V892" s="85" t="n"/>
      <c r="W892" s="85" t="n"/>
      <c r="X892" s="85" t="n"/>
      <c r="Y892" s="85" t="n"/>
      <c r="Z892" s="85" t="n"/>
      <c r="AA892" s="85" t="n"/>
      <c r="AB892" s="85" t="n"/>
      <c r="AC892" s="86" t="n"/>
      <c r="AD892" s="86" t="n"/>
      <c r="AE892" s="86" t="n"/>
      <c r="AF892" s="85" t="n"/>
      <c r="AG892" s="85" t="n"/>
      <c r="AH892" s="85">
        <f>IF($A892="","",IF(AND($E892="Yes",OR($V892="No",$V892="NOT FOUND")),"YES",""))</f>
        <v/>
      </c>
      <c r="AI892" s="85">
        <f>IF($A892="","",TRIM(IF(AND($M892=0,$I892&lt;&gt;"Yes"),"T0-NoPhishResistant ","")&amp;IF($H892="No","NoMFA ","")&amp;IF(AND($M892=0,$O892="Group only"),"T0-ViaGroupOnly ","")&amp;IF($N892="Yes","BroadAzureScope ","")&amp;IF($T892="Yes","AlsoEntraRole ","")))</f>
        <v/>
      </c>
      <c r="AJ892" s="85">
        <f>IF($A892="","",IF(AD892="","Not Enrolled",IF(TODAY()&gt;AD892,"Review Overdue",IF(AD892-TODAY()&lt;=30,"Review Due Soon","Active"))))</f>
        <v/>
      </c>
      <c r="AK892" s="85">
        <f>IF($A892="","",IF(AE892="","NOT REVIEWED",IF(TODAY()-AE892&gt;90,"OVERDUE",IF(TODAY()-AE892&gt;76,"Due Soon","Current"))))</f>
        <v/>
      </c>
    </row>
    <row r="893" ht="15" customHeight="1" s="39">
      <c r="A893" s="85" t="n"/>
      <c r="B893" s="85" t="n"/>
      <c r="C893" s="85" t="n"/>
      <c r="D893" s="85" t="n"/>
      <c r="E893" s="85" t="n"/>
      <c r="F893" s="86" t="n"/>
      <c r="G893" s="86" t="n"/>
      <c r="H893" s="85" t="n"/>
      <c r="I893" s="85" t="n"/>
      <c r="J893" s="85" t="n"/>
      <c r="K893" s="85" t="n"/>
      <c r="L893" s="85" t="n"/>
      <c r="M893" s="85" t="n"/>
      <c r="N893" s="85" t="n"/>
      <c r="O893" s="85" t="n"/>
      <c r="P893" s="85" t="n"/>
      <c r="Q893" s="85" t="n"/>
      <c r="R893" s="85" t="n"/>
      <c r="S893" s="85" t="n"/>
      <c r="T893" s="85" t="n"/>
      <c r="U893" s="85" t="n"/>
      <c r="V893" s="85" t="n"/>
      <c r="W893" s="85" t="n"/>
      <c r="X893" s="85" t="n"/>
      <c r="Y893" s="85" t="n"/>
      <c r="Z893" s="85" t="n"/>
      <c r="AA893" s="85" t="n"/>
      <c r="AB893" s="85" t="n"/>
      <c r="AC893" s="86" t="n"/>
      <c r="AD893" s="86" t="n"/>
      <c r="AE893" s="86" t="n"/>
      <c r="AF893" s="85" t="n"/>
      <c r="AG893" s="85" t="n"/>
      <c r="AH893" s="85">
        <f>IF($A893="","",IF(AND($E893="Yes",OR($V893="No",$V893="NOT FOUND")),"YES",""))</f>
        <v/>
      </c>
      <c r="AI893" s="85">
        <f>IF($A893="","",TRIM(IF(AND($M893=0,$I893&lt;&gt;"Yes"),"T0-NoPhishResistant ","")&amp;IF($H893="No","NoMFA ","")&amp;IF(AND($M893=0,$O893="Group only"),"T0-ViaGroupOnly ","")&amp;IF($N893="Yes","BroadAzureScope ","")&amp;IF($T893="Yes","AlsoEntraRole ","")))</f>
        <v/>
      </c>
      <c r="AJ893" s="85">
        <f>IF($A893="","",IF(AD893="","Not Enrolled",IF(TODAY()&gt;AD893,"Review Overdue",IF(AD893-TODAY()&lt;=30,"Review Due Soon","Active"))))</f>
        <v/>
      </c>
      <c r="AK893" s="85">
        <f>IF($A893="","",IF(AE893="","NOT REVIEWED",IF(TODAY()-AE893&gt;90,"OVERDUE",IF(TODAY()-AE893&gt;76,"Due Soon","Current"))))</f>
        <v/>
      </c>
    </row>
    <row r="894" ht="15" customHeight="1" s="39">
      <c r="A894" s="85" t="n"/>
      <c r="B894" s="85" t="n"/>
      <c r="C894" s="85" t="n"/>
      <c r="D894" s="85" t="n"/>
      <c r="E894" s="85" t="n"/>
      <c r="F894" s="86" t="n"/>
      <c r="G894" s="86" t="n"/>
      <c r="H894" s="85" t="n"/>
      <c r="I894" s="85" t="n"/>
      <c r="J894" s="85" t="n"/>
      <c r="K894" s="85" t="n"/>
      <c r="L894" s="85" t="n"/>
      <c r="M894" s="85" t="n"/>
      <c r="N894" s="85" t="n"/>
      <c r="O894" s="85" t="n"/>
      <c r="P894" s="85" t="n"/>
      <c r="Q894" s="85" t="n"/>
      <c r="R894" s="85" t="n"/>
      <c r="S894" s="85" t="n"/>
      <c r="T894" s="85" t="n"/>
      <c r="U894" s="85" t="n"/>
      <c r="V894" s="85" t="n"/>
      <c r="W894" s="85" t="n"/>
      <c r="X894" s="85" t="n"/>
      <c r="Y894" s="85" t="n"/>
      <c r="Z894" s="85" t="n"/>
      <c r="AA894" s="85" t="n"/>
      <c r="AB894" s="85" t="n"/>
      <c r="AC894" s="86" t="n"/>
      <c r="AD894" s="86" t="n"/>
      <c r="AE894" s="86" t="n"/>
      <c r="AF894" s="85" t="n"/>
      <c r="AG894" s="85" t="n"/>
      <c r="AH894" s="85">
        <f>IF($A894="","",IF(AND($E894="Yes",OR($V894="No",$V894="NOT FOUND")),"YES",""))</f>
        <v/>
      </c>
      <c r="AI894" s="85">
        <f>IF($A894="","",TRIM(IF(AND($M894=0,$I894&lt;&gt;"Yes"),"T0-NoPhishResistant ","")&amp;IF($H894="No","NoMFA ","")&amp;IF(AND($M894=0,$O894="Group only"),"T0-ViaGroupOnly ","")&amp;IF($N894="Yes","BroadAzureScope ","")&amp;IF($T894="Yes","AlsoEntraRole ","")))</f>
        <v/>
      </c>
      <c r="AJ894" s="85">
        <f>IF($A894="","",IF(AD894="","Not Enrolled",IF(TODAY()&gt;AD894,"Review Overdue",IF(AD894-TODAY()&lt;=30,"Review Due Soon","Active"))))</f>
        <v/>
      </c>
      <c r="AK894" s="85">
        <f>IF($A894="","",IF(AE894="","NOT REVIEWED",IF(TODAY()-AE894&gt;90,"OVERDUE",IF(TODAY()-AE894&gt;76,"Due Soon","Current"))))</f>
        <v/>
      </c>
    </row>
    <row r="895" ht="15" customHeight="1" s="39">
      <c r="A895" s="85" t="n"/>
      <c r="B895" s="85" t="n"/>
      <c r="C895" s="85" t="n"/>
      <c r="D895" s="85" t="n"/>
      <c r="E895" s="85" t="n"/>
      <c r="F895" s="86" t="n"/>
      <c r="G895" s="86" t="n"/>
      <c r="H895" s="85" t="n"/>
      <c r="I895" s="85" t="n"/>
      <c r="J895" s="85" t="n"/>
      <c r="K895" s="85" t="n"/>
      <c r="L895" s="85" t="n"/>
      <c r="M895" s="85" t="n"/>
      <c r="N895" s="85" t="n"/>
      <c r="O895" s="85" t="n"/>
      <c r="P895" s="85" t="n"/>
      <c r="Q895" s="85" t="n"/>
      <c r="R895" s="85" t="n"/>
      <c r="S895" s="85" t="n"/>
      <c r="T895" s="85" t="n"/>
      <c r="U895" s="85" t="n"/>
      <c r="V895" s="85" t="n"/>
      <c r="W895" s="85" t="n"/>
      <c r="X895" s="85" t="n"/>
      <c r="Y895" s="85" t="n"/>
      <c r="Z895" s="85" t="n"/>
      <c r="AA895" s="85" t="n"/>
      <c r="AB895" s="85" t="n"/>
      <c r="AC895" s="86" t="n"/>
      <c r="AD895" s="86" t="n"/>
      <c r="AE895" s="86" t="n"/>
      <c r="AF895" s="85" t="n"/>
      <c r="AG895" s="85" t="n"/>
      <c r="AH895" s="85">
        <f>IF($A895="","",IF(AND($E895="Yes",OR($V895="No",$V895="NOT FOUND")),"YES",""))</f>
        <v/>
      </c>
      <c r="AI895" s="85">
        <f>IF($A895="","",TRIM(IF(AND($M895=0,$I895&lt;&gt;"Yes"),"T0-NoPhishResistant ","")&amp;IF($H895="No","NoMFA ","")&amp;IF(AND($M895=0,$O895="Group only"),"T0-ViaGroupOnly ","")&amp;IF($N895="Yes","BroadAzureScope ","")&amp;IF($T895="Yes","AlsoEntraRole ","")))</f>
        <v/>
      </c>
      <c r="AJ895" s="85">
        <f>IF($A895="","",IF(AD895="","Not Enrolled",IF(TODAY()&gt;AD895,"Review Overdue",IF(AD895-TODAY()&lt;=30,"Review Due Soon","Active"))))</f>
        <v/>
      </c>
      <c r="AK895" s="85">
        <f>IF($A895="","",IF(AE895="","NOT REVIEWED",IF(TODAY()-AE895&gt;90,"OVERDUE",IF(TODAY()-AE895&gt;76,"Due Soon","Current"))))</f>
        <v/>
      </c>
    </row>
    <row r="896" ht="15" customHeight="1" s="39">
      <c r="A896" s="85" t="n"/>
      <c r="B896" s="85" t="n"/>
      <c r="C896" s="85" t="n"/>
      <c r="D896" s="85" t="n"/>
      <c r="E896" s="85" t="n"/>
      <c r="F896" s="86" t="n"/>
      <c r="G896" s="86" t="n"/>
      <c r="H896" s="85" t="n"/>
      <c r="I896" s="85" t="n"/>
      <c r="J896" s="85" t="n"/>
      <c r="K896" s="85" t="n"/>
      <c r="L896" s="85" t="n"/>
      <c r="M896" s="85" t="n"/>
      <c r="N896" s="85" t="n"/>
      <c r="O896" s="85" t="n"/>
      <c r="P896" s="85" t="n"/>
      <c r="Q896" s="85" t="n"/>
      <c r="R896" s="85" t="n"/>
      <c r="S896" s="85" t="n"/>
      <c r="T896" s="85" t="n"/>
      <c r="U896" s="85" t="n"/>
      <c r="V896" s="85" t="n"/>
      <c r="W896" s="85" t="n"/>
      <c r="X896" s="85" t="n"/>
      <c r="Y896" s="85" t="n"/>
      <c r="Z896" s="85" t="n"/>
      <c r="AA896" s="85" t="n"/>
      <c r="AB896" s="85" t="n"/>
      <c r="AC896" s="86" t="n"/>
      <c r="AD896" s="86" t="n"/>
      <c r="AE896" s="86" t="n"/>
      <c r="AF896" s="85" t="n"/>
      <c r="AG896" s="85" t="n"/>
      <c r="AH896" s="85">
        <f>IF($A896="","",IF(AND($E896="Yes",OR($V896="No",$V896="NOT FOUND")),"YES",""))</f>
        <v/>
      </c>
      <c r="AI896" s="85">
        <f>IF($A896="","",TRIM(IF(AND($M896=0,$I896&lt;&gt;"Yes"),"T0-NoPhishResistant ","")&amp;IF($H896="No","NoMFA ","")&amp;IF(AND($M896=0,$O896="Group only"),"T0-ViaGroupOnly ","")&amp;IF($N896="Yes","BroadAzureScope ","")&amp;IF($T896="Yes","AlsoEntraRole ","")))</f>
        <v/>
      </c>
      <c r="AJ896" s="85">
        <f>IF($A896="","",IF(AD896="","Not Enrolled",IF(TODAY()&gt;AD896,"Review Overdue",IF(AD896-TODAY()&lt;=30,"Review Due Soon","Active"))))</f>
        <v/>
      </c>
      <c r="AK896" s="85">
        <f>IF($A896="","",IF(AE896="","NOT REVIEWED",IF(TODAY()-AE896&gt;90,"OVERDUE",IF(TODAY()-AE896&gt;76,"Due Soon","Current"))))</f>
        <v/>
      </c>
    </row>
    <row r="897" ht="15" customHeight="1" s="39">
      <c r="A897" s="85" t="n"/>
      <c r="B897" s="85" t="n"/>
      <c r="C897" s="85" t="n"/>
      <c r="D897" s="85" t="n"/>
      <c r="E897" s="85" t="n"/>
      <c r="F897" s="86" t="n"/>
      <c r="G897" s="86" t="n"/>
      <c r="H897" s="85" t="n"/>
      <c r="I897" s="85" t="n"/>
      <c r="J897" s="85" t="n"/>
      <c r="K897" s="85" t="n"/>
      <c r="L897" s="85" t="n"/>
      <c r="M897" s="85" t="n"/>
      <c r="N897" s="85" t="n"/>
      <c r="O897" s="85" t="n"/>
      <c r="P897" s="85" t="n"/>
      <c r="Q897" s="85" t="n"/>
      <c r="R897" s="85" t="n"/>
      <c r="S897" s="85" t="n"/>
      <c r="T897" s="85" t="n"/>
      <c r="U897" s="85" t="n"/>
      <c r="V897" s="85" t="n"/>
      <c r="W897" s="85" t="n"/>
      <c r="X897" s="85" t="n"/>
      <c r="Y897" s="85" t="n"/>
      <c r="Z897" s="85" t="n"/>
      <c r="AA897" s="85" t="n"/>
      <c r="AB897" s="85" t="n"/>
      <c r="AC897" s="86" t="n"/>
      <c r="AD897" s="86" t="n"/>
      <c r="AE897" s="86" t="n"/>
      <c r="AF897" s="85" t="n"/>
      <c r="AG897" s="85" t="n"/>
      <c r="AH897" s="85">
        <f>IF($A897="","",IF(AND($E897="Yes",OR($V897="No",$V897="NOT FOUND")),"YES",""))</f>
        <v/>
      </c>
      <c r="AI897" s="85">
        <f>IF($A897="","",TRIM(IF(AND($M897=0,$I897&lt;&gt;"Yes"),"T0-NoPhishResistant ","")&amp;IF($H897="No","NoMFA ","")&amp;IF(AND($M897=0,$O897="Group only"),"T0-ViaGroupOnly ","")&amp;IF($N897="Yes","BroadAzureScope ","")&amp;IF($T897="Yes","AlsoEntraRole ","")))</f>
        <v/>
      </c>
      <c r="AJ897" s="85">
        <f>IF($A897="","",IF(AD897="","Not Enrolled",IF(TODAY()&gt;AD897,"Review Overdue",IF(AD897-TODAY()&lt;=30,"Review Due Soon","Active"))))</f>
        <v/>
      </c>
      <c r="AK897" s="85">
        <f>IF($A897="","",IF(AE897="","NOT REVIEWED",IF(TODAY()-AE897&gt;90,"OVERDUE",IF(TODAY()-AE897&gt;76,"Due Soon","Current"))))</f>
        <v/>
      </c>
    </row>
    <row r="898" ht="15" customHeight="1" s="39">
      <c r="A898" s="85" t="n"/>
      <c r="B898" s="85" t="n"/>
      <c r="C898" s="85" t="n"/>
      <c r="D898" s="85" t="n"/>
      <c r="E898" s="85" t="n"/>
      <c r="F898" s="86" t="n"/>
      <c r="G898" s="86" t="n"/>
      <c r="H898" s="85" t="n"/>
      <c r="I898" s="85" t="n"/>
      <c r="J898" s="85" t="n"/>
      <c r="K898" s="85" t="n"/>
      <c r="L898" s="85" t="n"/>
      <c r="M898" s="85" t="n"/>
      <c r="N898" s="85" t="n"/>
      <c r="O898" s="85" t="n"/>
      <c r="P898" s="85" t="n"/>
      <c r="Q898" s="85" t="n"/>
      <c r="R898" s="85" t="n"/>
      <c r="S898" s="85" t="n"/>
      <c r="T898" s="85" t="n"/>
      <c r="U898" s="85" t="n"/>
      <c r="V898" s="85" t="n"/>
      <c r="W898" s="85" t="n"/>
      <c r="X898" s="85" t="n"/>
      <c r="Y898" s="85" t="n"/>
      <c r="Z898" s="85" t="n"/>
      <c r="AA898" s="85" t="n"/>
      <c r="AB898" s="85" t="n"/>
      <c r="AC898" s="86" t="n"/>
      <c r="AD898" s="86" t="n"/>
      <c r="AE898" s="86" t="n"/>
      <c r="AF898" s="85" t="n"/>
      <c r="AG898" s="85" t="n"/>
      <c r="AH898" s="85">
        <f>IF($A898="","",IF(AND($E898="Yes",OR($V898="No",$V898="NOT FOUND")),"YES",""))</f>
        <v/>
      </c>
      <c r="AI898" s="85">
        <f>IF($A898="","",TRIM(IF(AND($M898=0,$I898&lt;&gt;"Yes"),"T0-NoPhishResistant ","")&amp;IF($H898="No","NoMFA ","")&amp;IF(AND($M898=0,$O898="Group only"),"T0-ViaGroupOnly ","")&amp;IF($N898="Yes","BroadAzureScope ","")&amp;IF($T898="Yes","AlsoEntraRole ","")))</f>
        <v/>
      </c>
      <c r="AJ898" s="85">
        <f>IF($A898="","",IF(AD898="","Not Enrolled",IF(TODAY()&gt;AD898,"Review Overdue",IF(AD898-TODAY()&lt;=30,"Review Due Soon","Active"))))</f>
        <v/>
      </c>
      <c r="AK898" s="85">
        <f>IF($A898="","",IF(AE898="","NOT REVIEWED",IF(TODAY()-AE898&gt;90,"OVERDUE",IF(TODAY()-AE898&gt;76,"Due Soon","Current"))))</f>
        <v/>
      </c>
    </row>
    <row r="899" ht="15" customHeight="1" s="39">
      <c r="A899" s="85" t="n"/>
      <c r="B899" s="85" t="n"/>
      <c r="C899" s="85" t="n"/>
      <c r="D899" s="85" t="n"/>
      <c r="E899" s="85" t="n"/>
      <c r="F899" s="86" t="n"/>
      <c r="G899" s="86" t="n"/>
      <c r="H899" s="85" t="n"/>
      <c r="I899" s="85" t="n"/>
      <c r="J899" s="85" t="n"/>
      <c r="K899" s="85" t="n"/>
      <c r="L899" s="85" t="n"/>
      <c r="M899" s="85" t="n"/>
      <c r="N899" s="85" t="n"/>
      <c r="O899" s="85" t="n"/>
      <c r="P899" s="85" t="n"/>
      <c r="Q899" s="85" t="n"/>
      <c r="R899" s="85" t="n"/>
      <c r="S899" s="85" t="n"/>
      <c r="T899" s="85" t="n"/>
      <c r="U899" s="85" t="n"/>
      <c r="V899" s="85" t="n"/>
      <c r="W899" s="85" t="n"/>
      <c r="X899" s="85" t="n"/>
      <c r="Y899" s="85" t="n"/>
      <c r="Z899" s="85" t="n"/>
      <c r="AA899" s="85" t="n"/>
      <c r="AB899" s="85" t="n"/>
      <c r="AC899" s="86" t="n"/>
      <c r="AD899" s="86" t="n"/>
      <c r="AE899" s="86" t="n"/>
      <c r="AF899" s="85" t="n"/>
      <c r="AG899" s="85" t="n"/>
      <c r="AH899" s="85">
        <f>IF($A899="","",IF(AND($E899="Yes",OR($V899="No",$V899="NOT FOUND")),"YES",""))</f>
        <v/>
      </c>
      <c r="AI899" s="85">
        <f>IF($A899="","",TRIM(IF(AND($M899=0,$I899&lt;&gt;"Yes"),"T0-NoPhishResistant ","")&amp;IF($H899="No","NoMFA ","")&amp;IF(AND($M899=0,$O899="Group only"),"T0-ViaGroupOnly ","")&amp;IF($N899="Yes","BroadAzureScope ","")&amp;IF($T899="Yes","AlsoEntraRole ","")))</f>
        <v/>
      </c>
      <c r="AJ899" s="85">
        <f>IF($A899="","",IF(AD899="","Not Enrolled",IF(TODAY()&gt;AD899,"Review Overdue",IF(AD899-TODAY()&lt;=30,"Review Due Soon","Active"))))</f>
        <v/>
      </c>
      <c r="AK899" s="85">
        <f>IF($A899="","",IF(AE899="","NOT REVIEWED",IF(TODAY()-AE899&gt;90,"OVERDUE",IF(TODAY()-AE899&gt;76,"Due Soon","Current"))))</f>
        <v/>
      </c>
    </row>
    <row r="900" ht="15" customHeight="1" s="39">
      <c r="A900" s="85" t="n"/>
      <c r="B900" s="85" t="n"/>
      <c r="C900" s="85" t="n"/>
      <c r="D900" s="85" t="n"/>
      <c r="E900" s="85" t="n"/>
      <c r="F900" s="86" t="n"/>
      <c r="G900" s="86" t="n"/>
      <c r="H900" s="85" t="n"/>
      <c r="I900" s="85" t="n"/>
      <c r="J900" s="85" t="n"/>
      <c r="K900" s="85" t="n"/>
      <c r="L900" s="85" t="n"/>
      <c r="M900" s="85" t="n"/>
      <c r="N900" s="85" t="n"/>
      <c r="O900" s="85" t="n"/>
      <c r="P900" s="85" t="n"/>
      <c r="Q900" s="85" t="n"/>
      <c r="R900" s="85" t="n"/>
      <c r="S900" s="85" t="n"/>
      <c r="T900" s="85" t="n"/>
      <c r="U900" s="85" t="n"/>
      <c r="V900" s="85" t="n"/>
      <c r="W900" s="85" t="n"/>
      <c r="X900" s="85" t="n"/>
      <c r="Y900" s="85" t="n"/>
      <c r="Z900" s="85" t="n"/>
      <c r="AA900" s="85" t="n"/>
      <c r="AB900" s="85" t="n"/>
      <c r="AC900" s="86" t="n"/>
      <c r="AD900" s="86" t="n"/>
      <c r="AE900" s="86" t="n"/>
      <c r="AF900" s="85" t="n"/>
      <c r="AG900" s="85" t="n"/>
      <c r="AH900" s="85">
        <f>IF($A900="","",IF(AND($E900="Yes",OR($V900="No",$V900="NOT FOUND")),"YES",""))</f>
        <v/>
      </c>
      <c r="AI900" s="85">
        <f>IF($A900="","",TRIM(IF(AND($M900=0,$I900&lt;&gt;"Yes"),"T0-NoPhishResistant ","")&amp;IF($H900="No","NoMFA ","")&amp;IF(AND($M900=0,$O900="Group only"),"T0-ViaGroupOnly ","")&amp;IF($N900="Yes","BroadAzureScope ","")&amp;IF($T900="Yes","AlsoEntraRole ","")))</f>
        <v/>
      </c>
      <c r="AJ900" s="85">
        <f>IF($A900="","",IF(AD900="","Not Enrolled",IF(TODAY()&gt;AD900,"Review Overdue",IF(AD900-TODAY()&lt;=30,"Review Due Soon","Active"))))</f>
        <v/>
      </c>
      <c r="AK900" s="85">
        <f>IF($A900="","",IF(AE900="","NOT REVIEWED",IF(TODAY()-AE900&gt;90,"OVERDUE",IF(TODAY()-AE900&gt;76,"Due Soon","Current"))))</f>
        <v/>
      </c>
    </row>
    <row r="901" ht="15" customHeight="1" s="39">
      <c r="A901" s="85" t="n"/>
      <c r="B901" s="85" t="n"/>
      <c r="C901" s="85" t="n"/>
      <c r="D901" s="85" t="n"/>
      <c r="E901" s="85" t="n"/>
      <c r="F901" s="86" t="n"/>
      <c r="G901" s="86" t="n"/>
      <c r="H901" s="85" t="n"/>
      <c r="I901" s="85" t="n"/>
      <c r="J901" s="85" t="n"/>
      <c r="K901" s="85" t="n"/>
      <c r="L901" s="85" t="n"/>
      <c r="M901" s="85" t="n"/>
      <c r="N901" s="85" t="n"/>
      <c r="O901" s="85" t="n"/>
      <c r="P901" s="85" t="n"/>
      <c r="Q901" s="85" t="n"/>
      <c r="R901" s="85" t="n"/>
      <c r="S901" s="85" t="n"/>
      <c r="T901" s="85" t="n"/>
      <c r="U901" s="85" t="n"/>
      <c r="V901" s="85" t="n"/>
      <c r="W901" s="85" t="n"/>
      <c r="X901" s="85" t="n"/>
      <c r="Y901" s="85" t="n"/>
      <c r="Z901" s="85" t="n"/>
      <c r="AA901" s="85" t="n"/>
      <c r="AB901" s="85" t="n"/>
      <c r="AC901" s="86" t="n"/>
      <c r="AD901" s="86" t="n"/>
      <c r="AE901" s="86" t="n"/>
      <c r="AF901" s="85" t="n"/>
      <c r="AG901" s="85" t="n"/>
      <c r="AH901" s="85">
        <f>IF($A901="","",IF(AND($E901="Yes",OR($V901="No",$V901="NOT FOUND")),"YES",""))</f>
        <v/>
      </c>
      <c r="AI901" s="85">
        <f>IF($A901="","",TRIM(IF(AND($M901=0,$I901&lt;&gt;"Yes"),"T0-NoPhishResistant ","")&amp;IF($H901="No","NoMFA ","")&amp;IF(AND($M901=0,$O901="Group only"),"T0-ViaGroupOnly ","")&amp;IF($N901="Yes","BroadAzureScope ","")&amp;IF($T901="Yes","AlsoEntraRole ","")))</f>
        <v/>
      </c>
      <c r="AJ901" s="85">
        <f>IF($A901="","",IF(AD901="","Not Enrolled",IF(TODAY()&gt;AD901,"Review Overdue",IF(AD901-TODAY()&lt;=30,"Review Due Soon","Active"))))</f>
        <v/>
      </c>
      <c r="AK901" s="85">
        <f>IF($A901="","",IF(AE901="","NOT REVIEWED",IF(TODAY()-AE901&gt;90,"OVERDUE",IF(TODAY()-AE901&gt;76,"Due Soon","Current"))))</f>
        <v/>
      </c>
    </row>
    <row r="902" ht="15" customHeight="1" s="39">
      <c r="A902" s="85" t="n"/>
      <c r="B902" s="85" t="n"/>
      <c r="C902" s="85" t="n"/>
      <c r="D902" s="85" t="n"/>
      <c r="E902" s="85" t="n"/>
      <c r="F902" s="86" t="n"/>
      <c r="G902" s="86" t="n"/>
      <c r="H902" s="85" t="n"/>
      <c r="I902" s="85" t="n"/>
      <c r="J902" s="85" t="n"/>
      <c r="K902" s="85" t="n"/>
      <c r="L902" s="85" t="n"/>
      <c r="M902" s="85" t="n"/>
      <c r="N902" s="85" t="n"/>
      <c r="O902" s="85" t="n"/>
      <c r="P902" s="85" t="n"/>
      <c r="Q902" s="85" t="n"/>
      <c r="R902" s="85" t="n"/>
      <c r="S902" s="85" t="n"/>
      <c r="T902" s="85" t="n"/>
      <c r="U902" s="85" t="n"/>
      <c r="V902" s="85" t="n"/>
      <c r="W902" s="85" t="n"/>
      <c r="X902" s="85" t="n"/>
      <c r="Y902" s="85" t="n"/>
      <c r="Z902" s="85" t="n"/>
      <c r="AA902" s="85" t="n"/>
      <c r="AB902" s="85" t="n"/>
      <c r="AC902" s="86" t="n"/>
      <c r="AD902" s="86" t="n"/>
      <c r="AE902" s="86" t="n"/>
      <c r="AF902" s="85" t="n"/>
      <c r="AG902" s="85" t="n"/>
      <c r="AH902" s="85">
        <f>IF($A902="","",IF(AND($E902="Yes",OR($V902="No",$V902="NOT FOUND")),"YES",""))</f>
        <v/>
      </c>
      <c r="AI902" s="85">
        <f>IF($A902="","",TRIM(IF(AND($M902=0,$I902&lt;&gt;"Yes"),"T0-NoPhishResistant ","")&amp;IF($H902="No","NoMFA ","")&amp;IF(AND($M902=0,$O902="Group only"),"T0-ViaGroupOnly ","")&amp;IF($N902="Yes","BroadAzureScope ","")&amp;IF($T902="Yes","AlsoEntraRole ","")))</f>
        <v/>
      </c>
      <c r="AJ902" s="85">
        <f>IF($A902="","",IF(AD902="","Not Enrolled",IF(TODAY()&gt;AD902,"Review Overdue",IF(AD902-TODAY()&lt;=30,"Review Due Soon","Active"))))</f>
        <v/>
      </c>
      <c r="AK902" s="85">
        <f>IF($A902="","",IF(AE902="","NOT REVIEWED",IF(TODAY()-AE902&gt;90,"OVERDUE",IF(TODAY()-AE902&gt;76,"Due Soon","Current"))))</f>
        <v/>
      </c>
    </row>
    <row r="903" ht="15" customHeight="1" s="39">
      <c r="A903" s="85" t="n"/>
      <c r="B903" s="85" t="n"/>
      <c r="C903" s="85" t="n"/>
      <c r="D903" s="85" t="n"/>
      <c r="E903" s="85" t="n"/>
      <c r="F903" s="86" t="n"/>
      <c r="G903" s="86" t="n"/>
      <c r="H903" s="85" t="n"/>
      <c r="I903" s="85" t="n"/>
      <c r="J903" s="85" t="n"/>
      <c r="K903" s="85" t="n"/>
      <c r="L903" s="85" t="n"/>
      <c r="M903" s="85" t="n"/>
      <c r="N903" s="85" t="n"/>
      <c r="O903" s="85" t="n"/>
      <c r="P903" s="85" t="n"/>
      <c r="Q903" s="85" t="n"/>
      <c r="R903" s="85" t="n"/>
      <c r="S903" s="85" t="n"/>
      <c r="T903" s="85" t="n"/>
      <c r="U903" s="85" t="n"/>
      <c r="V903" s="85" t="n"/>
      <c r="W903" s="85" t="n"/>
      <c r="X903" s="85" t="n"/>
      <c r="Y903" s="85" t="n"/>
      <c r="Z903" s="85" t="n"/>
      <c r="AA903" s="85" t="n"/>
      <c r="AB903" s="85" t="n"/>
      <c r="AC903" s="86" t="n"/>
      <c r="AD903" s="86" t="n"/>
      <c r="AE903" s="86" t="n"/>
      <c r="AF903" s="85" t="n"/>
      <c r="AG903" s="85" t="n"/>
      <c r="AH903" s="85">
        <f>IF($A903="","",IF(AND($E903="Yes",OR($V903="No",$V903="NOT FOUND")),"YES",""))</f>
        <v/>
      </c>
      <c r="AI903" s="85">
        <f>IF($A903="","",TRIM(IF(AND($M903=0,$I903&lt;&gt;"Yes"),"T0-NoPhishResistant ","")&amp;IF($H903="No","NoMFA ","")&amp;IF(AND($M903=0,$O903="Group only"),"T0-ViaGroupOnly ","")&amp;IF($N903="Yes","BroadAzureScope ","")&amp;IF($T903="Yes","AlsoEntraRole ","")))</f>
        <v/>
      </c>
      <c r="AJ903" s="85">
        <f>IF($A903="","",IF(AD903="","Not Enrolled",IF(TODAY()&gt;AD903,"Review Overdue",IF(AD903-TODAY()&lt;=30,"Review Due Soon","Active"))))</f>
        <v/>
      </c>
      <c r="AK903" s="85">
        <f>IF($A903="","",IF(AE903="","NOT REVIEWED",IF(TODAY()-AE903&gt;90,"OVERDUE",IF(TODAY()-AE903&gt;76,"Due Soon","Current"))))</f>
        <v/>
      </c>
    </row>
    <row r="904" ht="15" customHeight="1" s="39">
      <c r="A904" s="85" t="n"/>
      <c r="B904" s="85" t="n"/>
      <c r="C904" s="85" t="n"/>
      <c r="D904" s="85" t="n"/>
      <c r="E904" s="85" t="n"/>
      <c r="F904" s="86" t="n"/>
      <c r="G904" s="86" t="n"/>
      <c r="H904" s="85" t="n"/>
      <c r="I904" s="85" t="n"/>
      <c r="J904" s="85" t="n"/>
      <c r="K904" s="85" t="n"/>
      <c r="L904" s="85" t="n"/>
      <c r="M904" s="85" t="n"/>
      <c r="N904" s="85" t="n"/>
      <c r="O904" s="85" t="n"/>
      <c r="P904" s="85" t="n"/>
      <c r="Q904" s="85" t="n"/>
      <c r="R904" s="85" t="n"/>
      <c r="S904" s="85" t="n"/>
      <c r="T904" s="85" t="n"/>
      <c r="U904" s="85" t="n"/>
      <c r="V904" s="85" t="n"/>
      <c r="W904" s="85" t="n"/>
      <c r="X904" s="85" t="n"/>
      <c r="Y904" s="85" t="n"/>
      <c r="Z904" s="85" t="n"/>
      <c r="AA904" s="85" t="n"/>
      <c r="AB904" s="85" t="n"/>
      <c r="AC904" s="86" t="n"/>
      <c r="AD904" s="86" t="n"/>
      <c r="AE904" s="86" t="n"/>
      <c r="AF904" s="85" t="n"/>
      <c r="AG904" s="85" t="n"/>
      <c r="AH904" s="85">
        <f>IF($A904="","",IF(AND($E904="Yes",OR($V904="No",$V904="NOT FOUND")),"YES",""))</f>
        <v/>
      </c>
      <c r="AI904" s="85">
        <f>IF($A904="","",TRIM(IF(AND($M904=0,$I904&lt;&gt;"Yes"),"T0-NoPhishResistant ","")&amp;IF($H904="No","NoMFA ","")&amp;IF(AND($M904=0,$O904="Group only"),"T0-ViaGroupOnly ","")&amp;IF($N904="Yes","BroadAzureScope ","")&amp;IF($T904="Yes","AlsoEntraRole ","")))</f>
        <v/>
      </c>
      <c r="AJ904" s="85">
        <f>IF($A904="","",IF(AD904="","Not Enrolled",IF(TODAY()&gt;AD904,"Review Overdue",IF(AD904-TODAY()&lt;=30,"Review Due Soon","Active"))))</f>
        <v/>
      </c>
      <c r="AK904" s="85">
        <f>IF($A904="","",IF(AE904="","NOT REVIEWED",IF(TODAY()-AE904&gt;90,"OVERDUE",IF(TODAY()-AE904&gt;76,"Due Soon","Current"))))</f>
        <v/>
      </c>
    </row>
    <row r="905" ht="15" customHeight="1" s="39">
      <c r="A905" s="85" t="n"/>
      <c r="B905" s="85" t="n"/>
      <c r="C905" s="85" t="n"/>
      <c r="D905" s="85" t="n"/>
      <c r="E905" s="85" t="n"/>
      <c r="F905" s="86" t="n"/>
      <c r="G905" s="86" t="n"/>
      <c r="H905" s="85" t="n"/>
      <c r="I905" s="85" t="n"/>
      <c r="J905" s="85" t="n"/>
      <c r="K905" s="85" t="n"/>
      <c r="L905" s="85" t="n"/>
      <c r="M905" s="85" t="n"/>
      <c r="N905" s="85" t="n"/>
      <c r="O905" s="85" t="n"/>
      <c r="P905" s="85" t="n"/>
      <c r="Q905" s="85" t="n"/>
      <c r="R905" s="85" t="n"/>
      <c r="S905" s="85" t="n"/>
      <c r="T905" s="85" t="n"/>
      <c r="U905" s="85" t="n"/>
      <c r="V905" s="85" t="n"/>
      <c r="W905" s="85" t="n"/>
      <c r="X905" s="85" t="n"/>
      <c r="Y905" s="85" t="n"/>
      <c r="Z905" s="85" t="n"/>
      <c r="AA905" s="85" t="n"/>
      <c r="AB905" s="85" t="n"/>
      <c r="AC905" s="86" t="n"/>
      <c r="AD905" s="86" t="n"/>
      <c r="AE905" s="86" t="n"/>
      <c r="AF905" s="85" t="n"/>
      <c r="AG905" s="85" t="n"/>
      <c r="AH905" s="85">
        <f>IF($A905="","",IF(AND($E905="Yes",OR($V905="No",$V905="NOT FOUND")),"YES",""))</f>
        <v/>
      </c>
      <c r="AI905" s="85">
        <f>IF($A905="","",TRIM(IF(AND($M905=0,$I905&lt;&gt;"Yes"),"T0-NoPhishResistant ","")&amp;IF($H905="No","NoMFA ","")&amp;IF(AND($M905=0,$O905="Group only"),"T0-ViaGroupOnly ","")&amp;IF($N905="Yes","BroadAzureScope ","")&amp;IF($T905="Yes","AlsoEntraRole ","")))</f>
        <v/>
      </c>
      <c r="AJ905" s="85">
        <f>IF($A905="","",IF(AD905="","Not Enrolled",IF(TODAY()&gt;AD905,"Review Overdue",IF(AD905-TODAY()&lt;=30,"Review Due Soon","Active"))))</f>
        <v/>
      </c>
      <c r="AK905" s="85">
        <f>IF($A905="","",IF(AE905="","NOT REVIEWED",IF(TODAY()-AE905&gt;90,"OVERDUE",IF(TODAY()-AE905&gt;76,"Due Soon","Current"))))</f>
        <v/>
      </c>
    </row>
    <row r="906" ht="15" customHeight="1" s="39">
      <c r="A906" s="85" t="n"/>
      <c r="B906" s="85" t="n"/>
      <c r="C906" s="85" t="n"/>
      <c r="D906" s="85" t="n"/>
      <c r="E906" s="85" t="n"/>
      <c r="F906" s="86" t="n"/>
      <c r="G906" s="86" t="n"/>
      <c r="H906" s="85" t="n"/>
      <c r="I906" s="85" t="n"/>
      <c r="J906" s="85" t="n"/>
      <c r="K906" s="85" t="n"/>
      <c r="L906" s="85" t="n"/>
      <c r="M906" s="85" t="n"/>
      <c r="N906" s="85" t="n"/>
      <c r="O906" s="85" t="n"/>
      <c r="P906" s="85" t="n"/>
      <c r="Q906" s="85" t="n"/>
      <c r="R906" s="85" t="n"/>
      <c r="S906" s="85" t="n"/>
      <c r="T906" s="85" t="n"/>
      <c r="U906" s="85" t="n"/>
      <c r="V906" s="85" t="n"/>
      <c r="W906" s="85" t="n"/>
      <c r="X906" s="85" t="n"/>
      <c r="Y906" s="85" t="n"/>
      <c r="Z906" s="85" t="n"/>
      <c r="AA906" s="85" t="n"/>
      <c r="AB906" s="85" t="n"/>
      <c r="AC906" s="86" t="n"/>
      <c r="AD906" s="86" t="n"/>
      <c r="AE906" s="86" t="n"/>
      <c r="AF906" s="85" t="n"/>
      <c r="AG906" s="85" t="n"/>
      <c r="AH906" s="85">
        <f>IF($A906="","",IF(AND($E906="Yes",OR($V906="No",$V906="NOT FOUND")),"YES",""))</f>
        <v/>
      </c>
      <c r="AI906" s="85">
        <f>IF($A906="","",TRIM(IF(AND($M906=0,$I906&lt;&gt;"Yes"),"T0-NoPhishResistant ","")&amp;IF($H906="No","NoMFA ","")&amp;IF(AND($M906=0,$O906="Group only"),"T0-ViaGroupOnly ","")&amp;IF($N906="Yes","BroadAzureScope ","")&amp;IF($T906="Yes","AlsoEntraRole ","")))</f>
        <v/>
      </c>
      <c r="AJ906" s="85">
        <f>IF($A906="","",IF(AD906="","Not Enrolled",IF(TODAY()&gt;AD906,"Review Overdue",IF(AD906-TODAY()&lt;=30,"Review Due Soon","Active"))))</f>
        <v/>
      </c>
      <c r="AK906" s="85">
        <f>IF($A906="","",IF(AE906="","NOT REVIEWED",IF(TODAY()-AE906&gt;90,"OVERDUE",IF(TODAY()-AE906&gt;76,"Due Soon","Current"))))</f>
        <v/>
      </c>
    </row>
    <row r="907" ht="15" customHeight="1" s="39">
      <c r="A907" s="85" t="n"/>
      <c r="B907" s="85" t="n"/>
      <c r="C907" s="85" t="n"/>
      <c r="D907" s="85" t="n"/>
      <c r="E907" s="85" t="n"/>
      <c r="F907" s="86" t="n"/>
      <c r="G907" s="86" t="n"/>
      <c r="H907" s="85" t="n"/>
      <c r="I907" s="85" t="n"/>
      <c r="J907" s="85" t="n"/>
      <c r="K907" s="85" t="n"/>
      <c r="L907" s="85" t="n"/>
      <c r="M907" s="85" t="n"/>
      <c r="N907" s="85" t="n"/>
      <c r="O907" s="85" t="n"/>
      <c r="P907" s="85" t="n"/>
      <c r="Q907" s="85" t="n"/>
      <c r="R907" s="85" t="n"/>
      <c r="S907" s="85" t="n"/>
      <c r="T907" s="85" t="n"/>
      <c r="U907" s="85" t="n"/>
      <c r="V907" s="85" t="n"/>
      <c r="W907" s="85" t="n"/>
      <c r="X907" s="85" t="n"/>
      <c r="Y907" s="85" t="n"/>
      <c r="Z907" s="85" t="n"/>
      <c r="AA907" s="85" t="n"/>
      <c r="AB907" s="85" t="n"/>
      <c r="AC907" s="86" t="n"/>
      <c r="AD907" s="86" t="n"/>
      <c r="AE907" s="86" t="n"/>
      <c r="AF907" s="85" t="n"/>
      <c r="AG907" s="85" t="n"/>
      <c r="AH907" s="85">
        <f>IF($A907="","",IF(AND($E907="Yes",OR($V907="No",$V907="NOT FOUND")),"YES",""))</f>
        <v/>
      </c>
      <c r="AI907" s="85">
        <f>IF($A907="","",TRIM(IF(AND($M907=0,$I907&lt;&gt;"Yes"),"T0-NoPhishResistant ","")&amp;IF($H907="No","NoMFA ","")&amp;IF(AND($M907=0,$O907="Group only"),"T0-ViaGroupOnly ","")&amp;IF($N907="Yes","BroadAzureScope ","")&amp;IF($T907="Yes","AlsoEntraRole ","")))</f>
        <v/>
      </c>
      <c r="AJ907" s="85">
        <f>IF($A907="","",IF(AD907="","Not Enrolled",IF(TODAY()&gt;AD907,"Review Overdue",IF(AD907-TODAY()&lt;=30,"Review Due Soon","Active"))))</f>
        <v/>
      </c>
      <c r="AK907" s="85">
        <f>IF($A907="","",IF(AE907="","NOT REVIEWED",IF(TODAY()-AE907&gt;90,"OVERDUE",IF(TODAY()-AE907&gt;76,"Due Soon","Current"))))</f>
        <v/>
      </c>
    </row>
    <row r="908" ht="15" customHeight="1" s="39">
      <c r="A908" s="85" t="n"/>
      <c r="B908" s="85" t="n"/>
      <c r="C908" s="85" t="n"/>
      <c r="D908" s="85" t="n"/>
      <c r="E908" s="85" t="n"/>
      <c r="F908" s="86" t="n"/>
      <c r="G908" s="86" t="n"/>
      <c r="H908" s="85" t="n"/>
      <c r="I908" s="85" t="n"/>
      <c r="J908" s="85" t="n"/>
      <c r="K908" s="85" t="n"/>
      <c r="L908" s="85" t="n"/>
      <c r="M908" s="85" t="n"/>
      <c r="N908" s="85" t="n"/>
      <c r="O908" s="85" t="n"/>
      <c r="P908" s="85" t="n"/>
      <c r="Q908" s="85" t="n"/>
      <c r="R908" s="85" t="n"/>
      <c r="S908" s="85" t="n"/>
      <c r="T908" s="85" t="n"/>
      <c r="U908" s="85" t="n"/>
      <c r="V908" s="85" t="n"/>
      <c r="W908" s="85" t="n"/>
      <c r="X908" s="85" t="n"/>
      <c r="Y908" s="85" t="n"/>
      <c r="Z908" s="85" t="n"/>
      <c r="AA908" s="85" t="n"/>
      <c r="AB908" s="85" t="n"/>
      <c r="AC908" s="86" t="n"/>
      <c r="AD908" s="86" t="n"/>
      <c r="AE908" s="86" t="n"/>
      <c r="AF908" s="85" t="n"/>
      <c r="AG908" s="85" t="n"/>
      <c r="AH908" s="85">
        <f>IF($A908="","",IF(AND($E908="Yes",OR($V908="No",$V908="NOT FOUND")),"YES",""))</f>
        <v/>
      </c>
      <c r="AI908" s="85">
        <f>IF($A908="","",TRIM(IF(AND($M908=0,$I908&lt;&gt;"Yes"),"T0-NoPhishResistant ","")&amp;IF($H908="No","NoMFA ","")&amp;IF(AND($M908=0,$O908="Group only"),"T0-ViaGroupOnly ","")&amp;IF($N908="Yes","BroadAzureScope ","")&amp;IF($T908="Yes","AlsoEntraRole ","")))</f>
        <v/>
      </c>
      <c r="AJ908" s="85">
        <f>IF($A908="","",IF(AD908="","Not Enrolled",IF(TODAY()&gt;AD908,"Review Overdue",IF(AD908-TODAY()&lt;=30,"Review Due Soon","Active"))))</f>
        <v/>
      </c>
      <c r="AK908" s="85">
        <f>IF($A908="","",IF(AE908="","NOT REVIEWED",IF(TODAY()-AE908&gt;90,"OVERDUE",IF(TODAY()-AE908&gt;76,"Due Soon","Current"))))</f>
        <v/>
      </c>
    </row>
    <row r="909" ht="15" customHeight="1" s="39">
      <c r="A909" s="85" t="n"/>
      <c r="B909" s="85" t="n"/>
      <c r="C909" s="85" t="n"/>
      <c r="D909" s="85" t="n"/>
      <c r="E909" s="85" t="n"/>
      <c r="F909" s="86" t="n"/>
      <c r="G909" s="86" t="n"/>
      <c r="H909" s="85" t="n"/>
      <c r="I909" s="85" t="n"/>
      <c r="J909" s="85" t="n"/>
      <c r="K909" s="85" t="n"/>
      <c r="L909" s="85" t="n"/>
      <c r="M909" s="85" t="n"/>
      <c r="N909" s="85" t="n"/>
      <c r="O909" s="85" t="n"/>
      <c r="P909" s="85" t="n"/>
      <c r="Q909" s="85" t="n"/>
      <c r="R909" s="85" t="n"/>
      <c r="S909" s="85" t="n"/>
      <c r="T909" s="85" t="n"/>
      <c r="U909" s="85" t="n"/>
      <c r="V909" s="85" t="n"/>
      <c r="W909" s="85" t="n"/>
      <c r="X909" s="85" t="n"/>
      <c r="Y909" s="85" t="n"/>
      <c r="Z909" s="85" t="n"/>
      <c r="AA909" s="85" t="n"/>
      <c r="AB909" s="85" t="n"/>
      <c r="AC909" s="86" t="n"/>
      <c r="AD909" s="86" t="n"/>
      <c r="AE909" s="86" t="n"/>
      <c r="AF909" s="85" t="n"/>
      <c r="AG909" s="85" t="n"/>
      <c r="AH909" s="85">
        <f>IF($A909="","",IF(AND($E909="Yes",OR($V909="No",$V909="NOT FOUND")),"YES",""))</f>
        <v/>
      </c>
      <c r="AI909" s="85">
        <f>IF($A909="","",TRIM(IF(AND($M909=0,$I909&lt;&gt;"Yes"),"T0-NoPhishResistant ","")&amp;IF($H909="No","NoMFA ","")&amp;IF(AND($M909=0,$O909="Group only"),"T0-ViaGroupOnly ","")&amp;IF($N909="Yes","BroadAzureScope ","")&amp;IF($T909="Yes","AlsoEntraRole ","")))</f>
        <v/>
      </c>
      <c r="AJ909" s="85">
        <f>IF($A909="","",IF(AD909="","Not Enrolled",IF(TODAY()&gt;AD909,"Review Overdue",IF(AD909-TODAY()&lt;=30,"Review Due Soon","Active"))))</f>
        <v/>
      </c>
      <c r="AK909" s="85">
        <f>IF($A909="","",IF(AE909="","NOT REVIEWED",IF(TODAY()-AE909&gt;90,"OVERDUE",IF(TODAY()-AE909&gt;76,"Due Soon","Current"))))</f>
        <v/>
      </c>
    </row>
    <row r="910" ht="15" customHeight="1" s="39">
      <c r="A910" s="85" t="n"/>
      <c r="B910" s="85" t="n"/>
      <c r="C910" s="85" t="n"/>
      <c r="D910" s="85" t="n"/>
      <c r="E910" s="85" t="n"/>
      <c r="F910" s="86" t="n"/>
      <c r="G910" s="86" t="n"/>
      <c r="H910" s="85" t="n"/>
      <c r="I910" s="85" t="n"/>
      <c r="J910" s="85" t="n"/>
      <c r="K910" s="85" t="n"/>
      <c r="L910" s="85" t="n"/>
      <c r="M910" s="85" t="n"/>
      <c r="N910" s="85" t="n"/>
      <c r="O910" s="85" t="n"/>
      <c r="P910" s="85" t="n"/>
      <c r="Q910" s="85" t="n"/>
      <c r="R910" s="85" t="n"/>
      <c r="S910" s="85" t="n"/>
      <c r="T910" s="85" t="n"/>
      <c r="U910" s="85" t="n"/>
      <c r="V910" s="85" t="n"/>
      <c r="W910" s="85" t="n"/>
      <c r="X910" s="85" t="n"/>
      <c r="Y910" s="85" t="n"/>
      <c r="Z910" s="85" t="n"/>
      <c r="AA910" s="85" t="n"/>
      <c r="AB910" s="85" t="n"/>
      <c r="AC910" s="86" t="n"/>
      <c r="AD910" s="86" t="n"/>
      <c r="AE910" s="86" t="n"/>
      <c r="AF910" s="85" t="n"/>
      <c r="AG910" s="85" t="n"/>
      <c r="AH910" s="85">
        <f>IF($A910="","",IF(AND($E910="Yes",OR($V910="No",$V910="NOT FOUND")),"YES",""))</f>
        <v/>
      </c>
      <c r="AI910" s="85">
        <f>IF($A910="","",TRIM(IF(AND($M910=0,$I910&lt;&gt;"Yes"),"T0-NoPhishResistant ","")&amp;IF($H910="No","NoMFA ","")&amp;IF(AND($M910=0,$O910="Group only"),"T0-ViaGroupOnly ","")&amp;IF($N910="Yes","BroadAzureScope ","")&amp;IF($T910="Yes","AlsoEntraRole ","")))</f>
        <v/>
      </c>
      <c r="AJ910" s="85">
        <f>IF($A910="","",IF(AD910="","Not Enrolled",IF(TODAY()&gt;AD910,"Review Overdue",IF(AD910-TODAY()&lt;=30,"Review Due Soon","Active"))))</f>
        <v/>
      </c>
      <c r="AK910" s="85">
        <f>IF($A910="","",IF(AE910="","NOT REVIEWED",IF(TODAY()-AE910&gt;90,"OVERDUE",IF(TODAY()-AE910&gt;76,"Due Soon","Current"))))</f>
        <v/>
      </c>
    </row>
    <row r="911" ht="15" customHeight="1" s="39">
      <c r="A911" s="85" t="n"/>
      <c r="B911" s="85" t="n"/>
      <c r="C911" s="85" t="n"/>
      <c r="D911" s="85" t="n"/>
      <c r="E911" s="85" t="n"/>
      <c r="F911" s="86" t="n"/>
      <c r="G911" s="86" t="n"/>
      <c r="H911" s="85" t="n"/>
      <c r="I911" s="85" t="n"/>
      <c r="J911" s="85" t="n"/>
      <c r="K911" s="85" t="n"/>
      <c r="L911" s="85" t="n"/>
      <c r="M911" s="85" t="n"/>
      <c r="N911" s="85" t="n"/>
      <c r="O911" s="85" t="n"/>
      <c r="P911" s="85" t="n"/>
      <c r="Q911" s="85" t="n"/>
      <c r="R911" s="85" t="n"/>
      <c r="S911" s="85" t="n"/>
      <c r="T911" s="85" t="n"/>
      <c r="U911" s="85" t="n"/>
      <c r="V911" s="85" t="n"/>
      <c r="W911" s="85" t="n"/>
      <c r="X911" s="85" t="n"/>
      <c r="Y911" s="85" t="n"/>
      <c r="Z911" s="85" t="n"/>
      <c r="AA911" s="85" t="n"/>
      <c r="AB911" s="85" t="n"/>
      <c r="AC911" s="86" t="n"/>
      <c r="AD911" s="86" t="n"/>
      <c r="AE911" s="86" t="n"/>
      <c r="AF911" s="85" t="n"/>
      <c r="AG911" s="85" t="n"/>
      <c r="AH911" s="85">
        <f>IF($A911="","",IF(AND($E911="Yes",OR($V911="No",$V911="NOT FOUND")),"YES",""))</f>
        <v/>
      </c>
      <c r="AI911" s="85">
        <f>IF($A911="","",TRIM(IF(AND($M911=0,$I911&lt;&gt;"Yes"),"T0-NoPhishResistant ","")&amp;IF($H911="No","NoMFA ","")&amp;IF(AND($M911=0,$O911="Group only"),"T0-ViaGroupOnly ","")&amp;IF($N911="Yes","BroadAzureScope ","")&amp;IF($T911="Yes","AlsoEntraRole ","")))</f>
        <v/>
      </c>
      <c r="AJ911" s="85">
        <f>IF($A911="","",IF(AD911="","Not Enrolled",IF(TODAY()&gt;AD911,"Review Overdue",IF(AD911-TODAY()&lt;=30,"Review Due Soon","Active"))))</f>
        <v/>
      </c>
      <c r="AK911" s="85">
        <f>IF($A911="","",IF(AE911="","NOT REVIEWED",IF(TODAY()-AE911&gt;90,"OVERDUE",IF(TODAY()-AE911&gt;76,"Due Soon","Current"))))</f>
        <v/>
      </c>
    </row>
    <row r="912" ht="15" customHeight="1" s="39">
      <c r="A912" s="85" t="n"/>
      <c r="B912" s="85" t="n"/>
      <c r="C912" s="85" t="n"/>
      <c r="D912" s="85" t="n"/>
      <c r="E912" s="85" t="n"/>
      <c r="F912" s="86" t="n"/>
      <c r="G912" s="86" t="n"/>
      <c r="H912" s="85" t="n"/>
      <c r="I912" s="85" t="n"/>
      <c r="J912" s="85" t="n"/>
      <c r="K912" s="85" t="n"/>
      <c r="L912" s="85" t="n"/>
      <c r="M912" s="85" t="n"/>
      <c r="N912" s="85" t="n"/>
      <c r="O912" s="85" t="n"/>
      <c r="P912" s="85" t="n"/>
      <c r="Q912" s="85" t="n"/>
      <c r="R912" s="85" t="n"/>
      <c r="S912" s="85" t="n"/>
      <c r="T912" s="85" t="n"/>
      <c r="U912" s="85" t="n"/>
      <c r="V912" s="85" t="n"/>
      <c r="W912" s="85" t="n"/>
      <c r="X912" s="85" t="n"/>
      <c r="Y912" s="85" t="n"/>
      <c r="Z912" s="85" t="n"/>
      <c r="AA912" s="85" t="n"/>
      <c r="AB912" s="85" t="n"/>
      <c r="AC912" s="86" t="n"/>
      <c r="AD912" s="86" t="n"/>
      <c r="AE912" s="86" t="n"/>
      <c r="AF912" s="85" t="n"/>
      <c r="AG912" s="85" t="n"/>
      <c r="AH912" s="85">
        <f>IF($A912="","",IF(AND($E912="Yes",OR($V912="No",$V912="NOT FOUND")),"YES",""))</f>
        <v/>
      </c>
      <c r="AI912" s="85">
        <f>IF($A912="","",TRIM(IF(AND($M912=0,$I912&lt;&gt;"Yes"),"T0-NoPhishResistant ","")&amp;IF($H912="No","NoMFA ","")&amp;IF(AND($M912=0,$O912="Group only"),"T0-ViaGroupOnly ","")&amp;IF($N912="Yes","BroadAzureScope ","")&amp;IF($T912="Yes","AlsoEntraRole ","")))</f>
        <v/>
      </c>
      <c r="AJ912" s="85">
        <f>IF($A912="","",IF(AD912="","Not Enrolled",IF(TODAY()&gt;AD912,"Review Overdue",IF(AD912-TODAY()&lt;=30,"Review Due Soon","Active"))))</f>
        <v/>
      </c>
      <c r="AK912" s="85">
        <f>IF($A912="","",IF(AE912="","NOT REVIEWED",IF(TODAY()-AE912&gt;90,"OVERDUE",IF(TODAY()-AE912&gt;76,"Due Soon","Current"))))</f>
        <v/>
      </c>
    </row>
    <row r="913" ht="15" customHeight="1" s="39">
      <c r="A913" s="85" t="n"/>
      <c r="B913" s="85" t="n"/>
      <c r="C913" s="85" t="n"/>
      <c r="D913" s="85" t="n"/>
      <c r="E913" s="85" t="n"/>
      <c r="F913" s="86" t="n"/>
      <c r="G913" s="86" t="n"/>
      <c r="H913" s="85" t="n"/>
      <c r="I913" s="85" t="n"/>
      <c r="J913" s="85" t="n"/>
      <c r="K913" s="85" t="n"/>
      <c r="L913" s="85" t="n"/>
      <c r="M913" s="85" t="n"/>
      <c r="N913" s="85" t="n"/>
      <c r="O913" s="85" t="n"/>
      <c r="P913" s="85" t="n"/>
      <c r="Q913" s="85" t="n"/>
      <c r="R913" s="85" t="n"/>
      <c r="S913" s="85" t="n"/>
      <c r="T913" s="85" t="n"/>
      <c r="U913" s="85" t="n"/>
      <c r="V913" s="85" t="n"/>
      <c r="W913" s="85" t="n"/>
      <c r="X913" s="85" t="n"/>
      <c r="Y913" s="85" t="n"/>
      <c r="Z913" s="85" t="n"/>
      <c r="AA913" s="85" t="n"/>
      <c r="AB913" s="85" t="n"/>
      <c r="AC913" s="86" t="n"/>
      <c r="AD913" s="86" t="n"/>
      <c r="AE913" s="86" t="n"/>
      <c r="AF913" s="85" t="n"/>
      <c r="AG913" s="85" t="n"/>
      <c r="AH913" s="85">
        <f>IF($A913="","",IF(AND($E913="Yes",OR($V913="No",$V913="NOT FOUND")),"YES",""))</f>
        <v/>
      </c>
      <c r="AI913" s="85">
        <f>IF($A913="","",TRIM(IF(AND($M913=0,$I913&lt;&gt;"Yes"),"T0-NoPhishResistant ","")&amp;IF($H913="No","NoMFA ","")&amp;IF(AND($M913=0,$O913="Group only"),"T0-ViaGroupOnly ","")&amp;IF($N913="Yes","BroadAzureScope ","")&amp;IF($T913="Yes","AlsoEntraRole ","")))</f>
        <v/>
      </c>
      <c r="AJ913" s="85">
        <f>IF($A913="","",IF(AD913="","Not Enrolled",IF(TODAY()&gt;AD913,"Review Overdue",IF(AD913-TODAY()&lt;=30,"Review Due Soon","Active"))))</f>
        <v/>
      </c>
      <c r="AK913" s="85">
        <f>IF($A913="","",IF(AE913="","NOT REVIEWED",IF(TODAY()-AE913&gt;90,"OVERDUE",IF(TODAY()-AE913&gt;76,"Due Soon","Current"))))</f>
        <v/>
      </c>
    </row>
    <row r="914" ht="15" customHeight="1" s="39">
      <c r="A914" s="85" t="n"/>
      <c r="B914" s="85" t="n"/>
      <c r="C914" s="85" t="n"/>
      <c r="D914" s="85" t="n"/>
      <c r="E914" s="85" t="n"/>
      <c r="F914" s="86" t="n"/>
      <c r="G914" s="86" t="n"/>
      <c r="H914" s="85" t="n"/>
      <c r="I914" s="85" t="n"/>
      <c r="J914" s="85" t="n"/>
      <c r="K914" s="85" t="n"/>
      <c r="L914" s="85" t="n"/>
      <c r="M914" s="85" t="n"/>
      <c r="N914" s="85" t="n"/>
      <c r="O914" s="85" t="n"/>
      <c r="P914" s="85" t="n"/>
      <c r="Q914" s="85" t="n"/>
      <c r="R914" s="85" t="n"/>
      <c r="S914" s="85" t="n"/>
      <c r="T914" s="85" t="n"/>
      <c r="U914" s="85" t="n"/>
      <c r="V914" s="85" t="n"/>
      <c r="W914" s="85" t="n"/>
      <c r="X914" s="85" t="n"/>
      <c r="Y914" s="85" t="n"/>
      <c r="Z914" s="85" t="n"/>
      <c r="AA914" s="85" t="n"/>
      <c r="AB914" s="85" t="n"/>
      <c r="AC914" s="86" t="n"/>
      <c r="AD914" s="86" t="n"/>
      <c r="AE914" s="86" t="n"/>
      <c r="AF914" s="85" t="n"/>
      <c r="AG914" s="85" t="n"/>
      <c r="AH914" s="85">
        <f>IF($A914="","",IF(AND($E914="Yes",OR($V914="No",$V914="NOT FOUND")),"YES",""))</f>
        <v/>
      </c>
      <c r="AI914" s="85">
        <f>IF($A914="","",TRIM(IF(AND($M914=0,$I914&lt;&gt;"Yes"),"T0-NoPhishResistant ","")&amp;IF($H914="No","NoMFA ","")&amp;IF(AND($M914=0,$O914="Group only"),"T0-ViaGroupOnly ","")&amp;IF($N914="Yes","BroadAzureScope ","")&amp;IF($T914="Yes","AlsoEntraRole ","")))</f>
        <v/>
      </c>
      <c r="AJ914" s="85">
        <f>IF($A914="","",IF(AD914="","Not Enrolled",IF(TODAY()&gt;AD914,"Review Overdue",IF(AD914-TODAY()&lt;=30,"Review Due Soon","Active"))))</f>
        <v/>
      </c>
      <c r="AK914" s="85">
        <f>IF($A914="","",IF(AE914="","NOT REVIEWED",IF(TODAY()-AE914&gt;90,"OVERDUE",IF(TODAY()-AE914&gt;76,"Due Soon","Current"))))</f>
        <v/>
      </c>
    </row>
    <row r="915" ht="15" customHeight="1" s="39">
      <c r="A915" s="85" t="n"/>
      <c r="B915" s="85" t="n"/>
      <c r="C915" s="85" t="n"/>
      <c r="D915" s="85" t="n"/>
      <c r="E915" s="85" t="n"/>
      <c r="F915" s="86" t="n"/>
      <c r="G915" s="86" t="n"/>
      <c r="H915" s="85" t="n"/>
      <c r="I915" s="85" t="n"/>
      <c r="J915" s="85" t="n"/>
      <c r="K915" s="85" t="n"/>
      <c r="L915" s="85" t="n"/>
      <c r="M915" s="85" t="n"/>
      <c r="N915" s="85" t="n"/>
      <c r="O915" s="85" t="n"/>
      <c r="P915" s="85" t="n"/>
      <c r="Q915" s="85" t="n"/>
      <c r="R915" s="85" t="n"/>
      <c r="S915" s="85" t="n"/>
      <c r="T915" s="85" t="n"/>
      <c r="U915" s="85" t="n"/>
      <c r="V915" s="85" t="n"/>
      <c r="W915" s="85" t="n"/>
      <c r="X915" s="85" t="n"/>
      <c r="Y915" s="85" t="n"/>
      <c r="Z915" s="85" t="n"/>
      <c r="AA915" s="85" t="n"/>
      <c r="AB915" s="85" t="n"/>
      <c r="AC915" s="86" t="n"/>
      <c r="AD915" s="86" t="n"/>
      <c r="AE915" s="86" t="n"/>
      <c r="AF915" s="85" t="n"/>
      <c r="AG915" s="85" t="n"/>
      <c r="AH915" s="85">
        <f>IF($A915="","",IF(AND($E915="Yes",OR($V915="No",$V915="NOT FOUND")),"YES",""))</f>
        <v/>
      </c>
      <c r="AI915" s="85">
        <f>IF($A915="","",TRIM(IF(AND($M915=0,$I915&lt;&gt;"Yes"),"T0-NoPhishResistant ","")&amp;IF($H915="No","NoMFA ","")&amp;IF(AND($M915=0,$O915="Group only"),"T0-ViaGroupOnly ","")&amp;IF($N915="Yes","BroadAzureScope ","")&amp;IF($T915="Yes","AlsoEntraRole ","")))</f>
        <v/>
      </c>
      <c r="AJ915" s="85">
        <f>IF($A915="","",IF(AD915="","Not Enrolled",IF(TODAY()&gt;AD915,"Review Overdue",IF(AD915-TODAY()&lt;=30,"Review Due Soon","Active"))))</f>
        <v/>
      </c>
      <c r="AK915" s="85">
        <f>IF($A915="","",IF(AE915="","NOT REVIEWED",IF(TODAY()-AE915&gt;90,"OVERDUE",IF(TODAY()-AE915&gt;76,"Due Soon","Current"))))</f>
        <v/>
      </c>
    </row>
    <row r="916" ht="15" customHeight="1" s="39">
      <c r="A916" s="85" t="n"/>
      <c r="B916" s="85" t="n"/>
      <c r="C916" s="85" t="n"/>
      <c r="D916" s="85" t="n"/>
      <c r="E916" s="85" t="n"/>
      <c r="F916" s="86" t="n"/>
      <c r="G916" s="86" t="n"/>
      <c r="H916" s="85" t="n"/>
      <c r="I916" s="85" t="n"/>
      <c r="J916" s="85" t="n"/>
      <c r="K916" s="85" t="n"/>
      <c r="L916" s="85" t="n"/>
      <c r="M916" s="85" t="n"/>
      <c r="N916" s="85" t="n"/>
      <c r="O916" s="85" t="n"/>
      <c r="P916" s="85" t="n"/>
      <c r="Q916" s="85" t="n"/>
      <c r="R916" s="85" t="n"/>
      <c r="S916" s="85" t="n"/>
      <c r="T916" s="85" t="n"/>
      <c r="U916" s="85" t="n"/>
      <c r="V916" s="85" t="n"/>
      <c r="W916" s="85" t="n"/>
      <c r="X916" s="85" t="n"/>
      <c r="Y916" s="85" t="n"/>
      <c r="Z916" s="85" t="n"/>
      <c r="AA916" s="85" t="n"/>
      <c r="AB916" s="85" t="n"/>
      <c r="AC916" s="86" t="n"/>
      <c r="AD916" s="86" t="n"/>
      <c r="AE916" s="86" t="n"/>
      <c r="AF916" s="85" t="n"/>
      <c r="AG916" s="85" t="n"/>
      <c r="AH916" s="85">
        <f>IF($A916="","",IF(AND($E916="Yes",OR($V916="No",$V916="NOT FOUND")),"YES",""))</f>
        <v/>
      </c>
      <c r="AI916" s="85">
        <f>IF($A916="","",TRIM(IF(AND($M916=0,$I916&lt;&gt;"Yes"),"T0-NoPhishResistant ","")&amp;IF($H916="No","NoMFA ","")&amp;IF(AND($M916=0,$O916="Group only"),"T0-ViaGroupOnly ","")&amp;IF($N916="Yes","BroadAzureScope ","")&amp;IF($T916="Yes","AlsoEntraRole ","")))</f>
        <v/>
      </c>
      <c r="AJ916" s="85">
        <f>IF($A916="","",IF(AD916="","Not Enrolled",IF(TODAY()&gt;AD916,"Review Overdue",IF(AD916-TODAY()&lt;=30,"Review Due Soon","Active"))))</f>
        <v/>
      </c>
      <c r="AK916" s="85">
        <f>IF($A916="","",IF(AE916="","NOT REVIEWED",IF(TODAY()-AE916&gt;90,"OVERDUE",IF(TODAY()-AE916&gt;76,"Due Soon","Current"))))</f>
        <v/>
      </c>
    </row>
    <row r="917" ht="15" customHeight="1" s="39">
      <c r="A917" s="85" t="n"/>
      <c r="B917" s="85" t="n"/>
      <c r="C917" s="85" t="n"/>
      <c r="D917" s="85" t="n"/>
      <c r="E917" s="85" t="n"/>
      <c r="F917" s="86" t="n"/>
      <c r="G917" s="86" t="n"/>
      <c r="H917" s="85" t="n"/>
      <c r="I917" s="85" t="n"/>
      <c r="J917" s="85" t="n"/>
      <c r="K917" s="85" t="n"/>
      <c r="L917" s="85" t="n"/>
      <c r="M917" s="85" t="n"/>
      <c r="N917" s="85" t="n"/>
      <c r="O917" s="85" t="n"/>
      <c r="P917" s="85" t="n"/>
      <c r="Q917" s="85" t="n"/>
      <c r="R917" s="85" t="n"/>
      <c r="S917" s="85" t="n"/>
      <c r="T917" s="85" t="n"/>
      <c r="U917" s="85" t="n"/>
      <c r="V917" s="85" t="n"/>
      <c r="W917" s="85" t="n"/>
      <c r="X917" s="85" t="n"/>
      <c r="Y917" s="85" t="n"/>
      <c r="Z917" s="85" t="n"/>
      <c r="AA917" s="85" t="n"/>
      <c r="AB917" s="85" t="n"/>
      <c r="AC917" s="86" t="n"/>
      <c r="AD917" s="86" t="n"/>
      <c r="AE917" s="86" t="n"/>
      <c r="AF917" s="85" t="n"/>
      <c r="AG917" s="85" t="n"/>
      <c r="AH917" s="85">
        <f>IF($A917="","",IF(AND($E917="Yes",OR($V917="No",$V917="NOT FOUND")),"YES",""))</f>
        <v/>
      </c>
      <c r="AI917" s="85">
        <f>IF($A917="","",TRIM(IF(AND($M917=0,$I917&lt;&gt;"Yes"),"T0-NoPhishResistant ","")&amp;IF($H917="No","NoMFA ","")&amp;IF(AND($M917=0,$O917="Group only"),"T0-ViaGroupOnly ","")&amp;IF($N917="Yes","BroadAzureScope ","")&amp;IF($T917="Yes","AlsoEntraRole ","")))</f>
        <v/>
      </c>
      <c r="AJ917" s="85">
        <f>IF($A917="","",IF(AD917="","Not Enrolled",IF(TODAY()&gt;AD917,"Review Overdue",IF(AD917-TODAY()&lt;=30,"Review Due Soon","Active"))))</f>
        <v/>
      </c>
      <c r="AK917" s="85">
        <f>IF($A917="","",IF(AE917="","NOT REVIEWED",IF(TODAY()-AE917&gt;90,"OVERDUE",IF(TODAY()-AE917&gt;76,"Due Soon","Current"))))</f>
        <v/>
      </c>
    </row>
    <row r="918" ht="15" customHeight="1" s="39">
      <c r="A918" s="85" t="n"/>
      <c r="B918" s="85" t="n"/>
      <c r="C918" s="85" t="n"/>
      <c r="D918" s="85" t="n"/>
      <c r="E918" s="85" t="n"/>
      <c r="F918" s="86" t="n"/>
      <c r="G918" s="86" t="n"/>
      <c r="H918" s="85" t="n"/>
      <c r="I918" s="85" t="n"/>
      <c r="J918" s="85" t="n"/>
      <c r="K918" s="85" t="n"/>
      <c r="L918" s="85" t="n"/>
      <c r="M918" s="85" t="n"/>
      <c r="N918" s="85" t="n"/>
      <c r="O918" s="85" t="n"/>
      <c r="P918" s="85" t="n"/>
      <c r="Q918" s="85" t="n"/>
      <c r="R918" s="85" t="n"/>
      <c r="S918" s="85" t="n"/>
      <c r="T918" s="85" t="n"/>
      <c r="U918" s="85" t="n"/>
      <c r="V918" s="85" t="n"/>
      <c r="W918" s="85" t="n"/>
      <c r="X918" s="85" t="n"/>
      <c r="Y918" s="85" t="n"/>
      <c r="Z918" s="85" t="n"/>
      <c r="AA918" s="85" t="n"/>
      <c r="AB918" s="85" t="n"/>
      <c r="AC918" s="86" t="n"/>
      <c r="AD918" s="86" t="n"/>
      <c r="AE918" s="86" t="n"/>
      <c r="AF918" s="85" t="n"/>
      <c r="AG918" s="85" t="n"/>
      <c r="AH918" s="85">
        <f>IF($A918="","",IF(AND($E918="Yes",OR($V918="No",$V918="NOT FOUND")),"YES",""))</f>
        <v/>
      </c>
      <c r="AI918" s="85">
        <f>IF($A918="","",TRIM(IF(AND($M918=0,$I918&lt;&gt;"Yes"),"T0-NoPhishResistant ","")&amp;IF($H918="No","NoMFA ","")&amp;IF(AND($M918=0,$O918="Group only"),"T0-ViaGroupOnly ","")&amp;IF($N918="Yes","BroadAzureScope ","")&amp;IF($T918="Yes","AlsoEntraRole ","")))</f>
        <v/>
      </c>
      <c r="AJ918" s="85">
        <f>IF($A918="","",IF(AD918="","Not Enrolled",IF(TODAY()&gt;AD918,"Review Overdue",IF(AD918-TODAY()&lt;=30,"Review Due Soon","Active"))))</f>
        <v/>
      </c>
      <c r="AK918" s="85">
        <f>IF($A918="","",IF(AE918="","NOT REVIEWED",IF(TODAY()-AE918&gt;90,"OVERDUE",IF(TODAY()-AE918&gt;76,"Due Soon","Current"))))</f>
        <v/>
      </c>
    </row>
    <row r="919" ht="15" customHeight="1" s="39">
      <c r="A919" s="85" t="n"/>
      <c r="B919" s="85" t="n"/>
      <c r="C919" s="85" t="n"/>
      <c r="D919" s="85" t="n"/>
      <c r="E919" s="85" t="n"/>
      <c r="F919" s="86" t="n"/>
      <c r="G919" s="86" t="n"/>
      <c r="H919" s="85" t="n"/>
      <c r="I919" s="85" t="n"/>
      <c r="J919" s="85" t="n"/>
      <c r="K919" s="85" t="n"/>
      <c r="L919" s="85" t="n"/>
      <c r="M919" s="85" t="n"/>
      <c r="N919" s="85" t="n"/>
      <c r="O919" s="85" t="n"/>
      <c r="P919" s="85" t="n"/>
      <c r="Q919" s="85" t="n"/>
      <c r="R919" s="85" t="n"/>
      <c r="S919" s="85" t="n"/>
      <c r="T919" s="85" t="n"/>
      <c r="U919" s="85" t="n"/>
      <c r="V919" s="85" t="n"/>
      <c r="W919" s="85" t="n"/>
      <c r="X919" s="85" t="n"/>
      <c r="Y919" s="85" t="n"/>
      <c r="Z919" s="85" t="n"/>
      <c r="AA919" s="85" t="n"/>
      <c r="AB919" s="85" t="n"/>
      <c r="AC919" s="86" t="n"/>
      <c r="AD919" s="86" t="n"/>
      <c r="AE919" s="86" t="n"/>
      <c r="AF919" s="85" t="n"/>
      <c r="AG919" s="85" t="n"/>
      <c r="AH919" s="85">
        <f>IF($A919="","",IF(AND($E919="Yes",OR($V919="No",$V919="NOT FOUND")),"YES",""))</f>
        <v/>
      </c>
      <c r="AI919" s="85">
        <f>IF($A919="","",TRIM(IF(AND($M919=0,$I919&lt;&gt;"Yes"),"T0-NoPhishResistant ","")&amp;IF($H919="No","NoMFA ","")&amp;IF(AND($M919=0,$O919="Group only"),"T0-ViaGroupOnly ","")&amp;IF($N919="Yes","BroadAzureScope ","")&amp;IF($T919="Yes","AlsoEntraRole ","")))</f>
        <v/>
      </c>
      <c r="AJ919" s="85">
        <f>IF($A919="","",IF(AD919="","Not Enrolled",IF(TODAY()&gt;AD919,"Review Overdue",IF(AD919-TODAY()&lt;=30,"Review Due Soon","Active"))))</f>
        <v/>
      </c>
      <c r="AK919" s="85">
        <f>IF($A919="","",IF(AE919="","NOT REVIEWED",IF(TODAY()-AE919&gt;90,"OVERDUE",IF(TODAY()-AE919&gt;76,"Due Soon","Current"))))</f>
        <v/>
      </c>
    </row>
    <row r="920" ht="15" customHeight="1" s="39">
      <c r="A920" s="85" t="n"/>
      <c r="B920" s="85" t="n"/>
      <c r="C920" s="85" t="n"/>
      <c r="D920" s="85" t="n"/>
      <c r="E920" s="85" t="n"/>
      <c r="F920" s="86" t="n"/>
      <c r="G920" s="86" t="n"/>
      <c r="H920" s="85" t="n"/>
      <c r="I920" s="85" t="n"/>
      <c r="J920" s="85" t="n"/>
      <c r="K920" s="85" t="n"/>
      <c r="L920" s="85" t="n"/>
      <c r="M920" s="85" t="n"/>
      <c r="N920" s="85" t="n"/>
      <c r="O920" s="85" t="n"/>
      <c r="P920" s="85" t="n"/>
      <c r="Q920" s="85" t="n"/>
      <c r="R920" s="85" t="n"/>
      <c r="S920" s="85" t="n"/>
      <c r="T920" s="85" t="n"/>
      <c r="U920" s="85" t="n"/>
      <c r="V920" s="85" t="n"/>
      <c r="W920" s="85" t="n"/>
      <c r="X920" s="85" t="n"/>
      <c r="Y920" s="85" t="n"/>
      <c r="Z920" s="85" t="n"/>
      <c r="AA920" s="85" t="n"/>
      <c r="AB920" s="85" t="n"/>
      <c r="AC920" s="86" t="n"/>
      <c r="AD920" s="86" t="n"/>
      <c r="AE920" s="86" t="n"/>
      <c r="AF920" s="85" t="n"/>
      <c r="AG920" s="85" t="n"/>
      <c r="AH920" s="85">
        <f>IF($A920="","",IF(AND($E920="Yes",OR($V920="No",$V920="NOT FOUND")),"YES",""))</f>
        <v/>
      </c>
      <c r="AI920" s="85">
        <f>IF($A920="","",TRIM(IF(AND($M920=0,$I920&lt;&gt;"Yes"),"T0-NoPhishResistant ","")&amp;IF($H920="No","NoMFA ","")&amp;IF(AND($M920=0,$O920="Group only"),"T0-ViaGroupOnly ","")&amp;IF($N920="Yes","BroadAzureScope ","")&amp;IF($T920="Yes","AlsoEntraRole ","")))</f>
        <v/>
      </c>
      <c r="AJ920" s="85">
        <f>IF($A920="","",IF(AD920="","Not Enrolled",IF(TODAY()&gt;AD920,"Review Overdue",IF(AD920-TODAY()&lt;=30,"Review Due Soon","Active"))))</f>
        <v/>
      </c>
      <c r="AK920" s="85">
        <f>IF($A920="","",IF(AE920="","NOT REVIEWED",IF(TODAY()-AE920&gt;90,"OVERDUE",IF(TODAY()-AE920&gt;76,"Due Soon","Current"))))</f>
        <v/>
      </c>
    </row>
    <row r="921" ht="15" customHeight="1" s="39">
      <c r="A921" s="85" t="n"/>
      <c r="B921" s="85" t="n"/>
      <c r="C921" s="85" t="n"/>
      <c r="D921" s="85" t="n"/>
      <c r="E921" s="85" t="n"/>
      <c r="F921" s="86" t="n"/>
      <c r="G921" s="86" t="n"/>
      <c r="H921" s="85" t="n"/>
      <c r="I921" s="85" t="n"/>
      <c r="J921" s="85" t="n"/>
      <c r="K921" s="85" t="n"/>
      <c r="L921" s="85" t="n"/>
      <c r="M921" s="85" t="n"/>
      <c r="N921" s="85" t="n"/>
      <c r="O921" s="85" t="n"/>
      <c r="P921" s="85" t="n"/>
      <c r="Q921" s="85" t="n"/>
      <c r="R921" s="85" t="n"/>
      <c r="S921" s="85" t="n"/>
      <c r="T921" s="85" t="n"/>
      <c r="U921" s="85" t="n"/>
      <c r="V921" s="85" t="n"/>
      <c r="W921" s="85" t="n"/>
      <c r="X921" s="85" t="n"/>
      <c r="Y921" s="85" t="n"/>
      <c r="Z921" s="85" t="n"/>
      <c r="AA921" s="85" t="n"/>
      <c r="AB921" s="85" t="n"/>
      <c r="AC921" s="86" t="n"/>
      <c r="AD921" s="86" t="n"/>
      <c r="AE921" s="86" t="n"/>
      <c r="AF921" s="85" t="n"/>
      <c r="AG921" s="85" t="n"/>
      <c r="AH921" s="85">
        <f>IF($A921="","",IF(AND($E921="Yes",OR($V921="No",$V921="NOT FOUND")),"YES",""))</f>
        <v/>
      </c>
      <c r="AI921" s="85">
        <f>IF($A921="","",TRIM(IF(AND($M921=0,$I921&lt;&gt;"Yes"),"T0-NoPhishResistant ","")&amp;IF($H921="No","NoMFA ","")&amp;IF(AND($M921=0,$O921="Group only"),"T0-ViaGroupOnly ","")&amp;IF($N921="Yes","BroadAzureScope ","")&amp;IF($T921="Yes","AlsoEntraRole ","")))</f>
        <v/>
      </c>
      <c r="AJ921" s="85">
        <f>IF($A921="","",IF(AD921="","Not Enrolled",IF(TODAY()&gt;AD921,"Review Overdue",IF(AD921-TODAY()&lt;=30,"Review Due Soon","Active"))))</f>
        <v/>
      </c>
      <c r="AK921" s="85">
        <f>IF($A921="","",IF(AE921="","NOT REVIEWED",IF(TODAY()-AE921&gt;90,"OVERDUE",IF(TODAY()-AE921&gt;76,"Due Soon","Current"))))</f>
        <v/>
      </c>
    </row>
    <row r="922" ht="15" customHeight="1" s="39">
      <c r="A922" s="85" t="n"/>
      <c r="B922" s="85" t="n"/>
      <c r="C922" s="85" t="n"/>
      <c r="D922" s="85" t="n"/>
      <c r="E922" s="85" t="n"/>
      <c r="F922" s="86" t="n"/>
      <c r="G922" s="86" t="n"/>
      <c r="H922" s="85" t="n"/>
      <c r="I922" s="85" t="n"/>
      <c r="J922" s="85" t="n"/>
      <c r="K922" s="85" t="n"/>
      <c r="L922" s="85" t="n"/>
      <c r="M922" s="85" t="n"/>
      <c r="N922" s="85" t="n"/>
      <c r="O922" s="85" t="n"/>
      <c r="P922" s="85" t="n"/>
      <c r="Q922" s="85" t="n"/>
      <c r="R922" s="85" t="n"/>
      <c r="S922" s="85" t="n"/>
      <c r="T922" s="85" t="n"/>
      <c r="U922" s="85" t="n"/>
      <c r="V922" s="85" t="n"/>
      <c r="W922" s="85" t="n"/>
      <c r="X922" s="85" t="n"/>
      <c r="Y922" s="85" t="n"/>
      <c r="Z922" s="85" t="n"/>
      <c r="AA922" s="85" t="n"/>
      <c r="AB922" s="85" t="n"/>
      <c r="AC922" s="86" t="n"/>
      <c r="AD922" s="86" t="n"/>
      <c r="AE922" s="86" t="n"/>
      <c r="AF922" s="85" t="n"/>
      <c r="AG922" s="85" t="n"/>
      <c r="AH922" s="85">
        <f>IF($A922="","",IF(AND($E922="Yes",OR($V922="No",$V922="NOT FOUND")),"YES",""))</f>
        <v/>
      </c>
      <c r="AI922" s="85">
        <f>IF($A922="","",TRIM(IF(AND($M922=0,$I922&lt;&gt;"Yes"),"T0-NoPhishResistant ","")&amp;IF($H922="No","NoMFA ","")&amp;IF(AND($M922=0,$O922="Group only"),"T0-ViaGroupOnly ","")&amp;IF($N922="Yes","BroadAzureScope ","")&amp;IF($T922="Yes","AlsoEntraRole ","")))</f>
        <v/>
      </c>
      <c r="AJ922" s="85">
        <f>IF($A922="","",IF(AD922="","Not Enrolled",IF(TODAY()&gt;AD922,"Review Overdue",IF(AD922-TODAY()&lt;=30,"Review Due Soon","Active"))))</f>
        <v/>
      </c>
      <c r="AK922" s="85">
        <f>IF($A922="","",IF(AE922="","NOT REVIEWED",IF(TODAY()-AE922&gt;90,"OVERDUE",IF(TODAY()-AE922&gt;76,"Due Soon","Current"))))</f>
        <v/>
      </c>
    </row>
    <row r="923" ht="15" customHeight="1" s="39">
      <c r="A923" s="85" t="n"/>
      <c r="B923" s="85" t="n"/>
      <c r="C923" s="85" t="n"/>
      <c r="D923" s="85" t="n"/>
      <c r="E923" s="85" t="n"/>
      <c r="F923" s="86" t="n"/>
      <c r="G923" s="86" t="n"/>
      <c r="H923" s="85" t="n"/>
      <c r="I923" s="85" t="n"/>
      <c r="J923" s="85" t="n"/>
      <c r="K923" s="85" t="n"/>
      <c r="L923" s="85" t="n"/>
      <c r="M923" s="85" t="n"/>
      <c r="N923" s="85" t="n"/>
      <c r="O923" s="85" t="n"/>
      <c r="P923" s="85" t="n"/>
      <c r="Q923" s="85" t="n"/>
      <c r="R923" s="85" t="n"/>
      <c r="S923" s="85" t="n"/>
      <c r="T923" s="85" t="n"/>
      <c r="U923" s="85" t="n"/>
      <c r="V923" s="85" t="n"/>
      <c r="W923" s="85" t="n"/>
      <c r="X923" s="85" t="n"/>
      <c r="Y923" s="85" t="n"/>
      <c r="Z923" s="85" t="n"/>
      <c r="AA923" s="85" t="n"/>
      <c r="AB923" s="85" t="n"/>
      <c r="AC923" s="86" t="n"/>
      <c r="AD923" s="86" t="n"/>
      <c r="AE923" s="86" t="n"/>
      <c r="AF923" s="85" t="n"/>
      <c r="AG923" s="85" t="n"/>
      <c r="AH923" s="85">
        <f>IF($A923="","",IF(AND($E923="Yes",OR($V923="No",$V923="NOT FOUND")),"YES",""))</f>
        <v/>
      </c>
      <c r="AI923" s="85">
        <f>IF($A923="","",TRIM(IF(AND($M923=0,$I923&lt;&gt;"Yes"),"T0-NoPhishResistant ","")&amp;IF($H923="No","NoMFA ","")&amp;IF(AND($M923=0,$O923="Group only"),"T0-ViaGroupOnly ","")&amp;IF($N923="Yes","BroadAzureScope ","")&amp;IF($T923="Yes","AlsoEntraRole ","")))</f>
        <v/>
      </c>
      <c r="AJ923" s="85">
        <f>IF($A923="","",IF(AD923="","Not Enrolled",IF(TODAY()&gt;AD923,"Review Overdue",IF(AD923-TODAY()&lt;=30,"Review Due Soon","Active"))))</f>
        <v/>
      </c>
      <c r="AK923" s="85">
        <f>IF($A923="","",IF(AE923="","NOT REVIEWED",IF(TODAY()-AE923&gt;90,"OVERDUE",IF(TODAY()-AE923&gt;76,"Due Soon","Current"))))</f>
        <v/>
      </c>
    </row>
    <row r="924" ht="15" customHeight="1" s="39">
      <c r="A924" s="85" t="n"/>
      <c r="B924" s="85" t="n"/>
      <c r="C924" s="85" t="n"/>
      <c r="D924" s="85" t="n"/>
      <c r="E924" s="85" t="n"/>
      <c r="F924" s="86" t="n"/>
      <c r="G924" s="86" t="n"/>
      <c r="H924" s="85" t="n"/>
      <c r="I924" s="85" t="n"/>
      <c r="J924" s="85" t="n"/>
      <c r="K924" s="85" t="n"/>
      <c r="L924" s="85" t="n"/>
      <c r="M924" s="85" t="n"/>
      <c r="N924" s="85" t="n"/>
      <c r="O924" s="85" t="n"/>
      <c r="P924" s="85" t="n"/>
      <c r="Q924" s="85" t="n"/>
      <c r="R924" s="85" t="n"/>
      <c r="S924" s="85" t="n"/>
      <c r="T924" s="85" t="n"/>
      <c r="U924" s="85" t="n"/>
      <c r="V924" s="85" t="n"/>
      <c r="W924" s="85" t="n"/>
      <c r="X924" s="85" t="n"/>
      <c r="Y924" s="85" t="n"/>
      <c r="Z924" s="85" t="n"/>
      <c r="AA924" s="85" t="n"/>
      <c r="AB924" s="85" t="n"/>
      <c r="AC924" s="86" t="n"/>
      <c r="AD924" s="86" t="n"/>
      <c r="AE924" s="86" t="n"/>
      <c r="AF924" s="85" t="n"/>
      <c r="AG924" s="85" t="n"/>
      <c r="AH924" s="85">
        <f>IF($A924="","",IF(AND($E924="Yes",OR($V924="No",$V924="NOT FOUND")),"YES",""))</f>
        <v/>
      </c>
      <c r="AI924" s="85">
        <f>IF($A924="","",TRIM(IF(AND($M924=0,$I924&lt;&gt;"Yes"),"T0-NoPhishResistant ","")&amp;IF($H924="No","NoMFA ","")&amp;IF(AND($M924=0,$O924="Group only"),"T0-ViaGroupOnly ","")&amp;IF($N924="Yes","BroadAzureScope ","")&amp;IF($T924="Yes","AlsoEntraRole ","")))</f>
        <v/>
      </c>
      <c r="AJ924" s="85">
        <f>IF($A924="","",IF(AD924="","Not Enrolled",IF(TODAY()&gt;AD924,"Review Overdue",IF(AD924-TODAY()&lt;=30,"Review Due Soon","Active"))))</f>
        <v/>
      </c>
      <c r="AK924" s="85">
        <f>IF($A924="","",IF(AE924="","NOT REVIEWED",IF(TODAY()-AE924&gt;90,"OVERDUE",IF(TODAY()-AE924&gt;76,"Due Soon","Current"))))</f>
        <v/>
      </c>
    </row>
    <row r="925" ht="15" customHeight="1" s="39">
      <c r="A925" s="85" t="n"/>
      <c r="B925" s="85" t="n"/>
      <c r="C925" s="85" t="n"/>
      <c r="D925" s="85" t="n"/>
      <c r="E925" s="85" t="n"/>
      <c r="F925" s="86" t="n"/>
      <c r="G925" s="86" t="n"/>
      <c r="H925" s="85" t="n"/>
      <c r="I925" s="85" t="n"/>
      <c r="J925" s="85" t="n"/>
      <c r="K925" s="85" t="n"/>
      <c r="L925" s="85" t="n"/>
      <c r="M925" s="85" t="n"/>
      <c r="N925" s="85" t="n"/>
      <c r="O925" s="85" t="n"/>
      <c r="P925" s="85" t="n"/>
      <c r="Q925" s="85" t="n"/>
      <c r="R925" s="85" t="n"/>
      <c r="S925" s="85" t="n"/>
      <c r="T925" s="85" t="n"/>
      <c r="U925" s="85" t="n"/>
      <c r="V925" s="85" t="n"/>
      <c r="W925" s="85" t="n"/>
      <c r="X925" s="85" t="n"/>
      <c r="Y925" s="85" t="n"/>
      <c r="Z925" s="85" t="n"/>
      <c r="AA925" s="85" t="n"/>
      <c r="AB925" s="85" t="n"/>
      <c r="AC925" s="86" t="n"/>
      <c r="AD925" s="86" t="n"/>
      <c r="AE925" s="86" t="n"/>
      <c r="AF925" s="85" t="n"/>
      <c r="AG925" s="85" t="n"/>
      <c r="AH925" s="85">
        <f>IF($A925="","",IF(AND($E925="Yes",OR($V925="No",$V925="NOT FOUND")),"YES",""))</f>
        <v/>
      </c>
      <c r="AI925" s="85">
        <f>IF($A925="","",TRIM(IF(AND($M925=0,$I925&lt;&gt;"Yes"),"T0-NoPhishResistant ","")&amp;IF($H925="No","NoMFA ","")&amp;IF(AND($M925=0,$O925="Group only"),"T0-ViaGroupOnly ","")&amp;IF($N925="Yes","BroadAzureScope ","")&amp;IF($T925="Yes","AlsoEntraRole ","")))</f>
        <v/>
      </c>
      <c r="AJ925" s="85">
        <f>IF($A925="","",IF(AD925="","Not Enrolled",IF(TODAY()&gt;AD925,"Review Overdue",IF(AD925-TODAY()&lt;=30,"Review Due Soon","Active"))))</f>
        <v/>
      </c>
      <c r="AK925" s="85">
        <f>IF($A925="","",IF(AE925="","NOT REVIEWED",IF(TODAY()-AE925&gt;90,"OVERDUE",IF(TODAY()-AE925&gt;76,"Due Soon","Current"))))</f>
        <v/>
      </c>
    </row>
    <row r="926" ht="15" customHeight="1" s="39">
      <c r="A926" s="85" t="n"/>
      <c r="B926" s="85" t="n"/>
      <c r="C926" s="85" t="n"/>
      <c r="D926" s="85" t="n"/>
      <c r="E926" s="85" t="n"/>
      <c r="F926" s="86" t="n"/>
      <c r="G926" s="86" t="n"/>
      <c r="H926" s="85" t="n"/>
      <c r="I926" s="85" t="n"/>
      <c r="J926" s="85" t="n"/>
      <c r="K926" s="85" t="n"/>
      <c r="L926" s="85" t="n"/>
      <c r="M926" s="85" t="n"/>
      <c r="N926" s="85" t="n"/>
      <c r="O926" s="85" t="n"/>
      <c r="P926" s="85" t="n"/>
      <c r="Q926" s="85" t="n"/>
      <c r="R926" s="85" t="n"/>
      <c r="S926" s="85" t="n"/>
      <c r="T926" s="85" t="n"/>
      <c r="U926" s="85" t="n"/>
      <c r="V926" s="85" t="n"/>
      <c r="W926" s="85" t="n"/>
      <c r="X926" s="85" t="n"/>
      <c r="Y926" s="85" t="n"/>
      <c r="Z926" s="85" t="n"/>
      <c r="AA926" s="85" t="n"/>
      <c r="AB926" s="85" t="n"/>
      <c r="AC926" s="86" t="n"/>
      <c r="AD926" s="86" t="n"/>
      <c r="AE926" s="86" t="n"/>
      <c r="AF926" s="85" t="n"/>
      <c r="AG926" s="85" t="n"/>
      <c r="AH926" s="85">
        <f>IF($A926="","",IF(AND($E926="Yes",OR($V926="No",$V926="NOT FOUND")),"YES",""))</f>
        <v/>
      </c>
      <c r="AI926" s="85">
        <f>IF($A926="","",TRIM(IF(AND($M926=0,$I926&lt;&gt;"Yes"),"T0-NoPhishResistant ","")&amp;IF($H926="No","NoMFA ","")&amp;IF(AND($M926=0,$O926="Group only"),"T0-ViaGroupOnly ","")&amp;IF($N926="Yes","BroadAzureScope ","")&amp;IF($T926="Yes","AlsoEntraRole ","")))</f>
        <v/>
      </c>
      <c r="AJ926" s="85">
        <f>IF($A926="","",IF(AD926="","Not Enrolled",IF(TODAY()&gt;AD926,"Review Overdue",IF(AD926-TODAY()&lt;=30,"Review Due Soon","Active"))))</f>
        <v/>
      </c>
      <c r="AK926" s="85">
        <f>IF($A926="","",IF(AE926="","NOT REVIEWED",IF(TODAY()-AE926&gt;90,"OVERDUE",IF(TODAY()-AE926&gt;76,"Due Soon","Current"))))</f>
        <v/>
      </c>
    </row>
    <row r="927" ht="15" customHeight="1" s="39">
      <c r="A927" s="85" t="n"/>
      <c r="B927" s="85" t="n"/>
      <c r="C927" s="85" t="n"/>
      <c r="D927" s="85" t="n"/>
      <c r="E927" s="85" t="n"/>
      <c r="F927" s="86" t="n"/>
      <c r="G927" s="86" t="n"/>
      <c r="H927" s="85" t="n"/>
      <c r="I927" s="85" t="n"/>
      <c r="J927" s="85" t="n"/>
      <c r="K927" s="85" t="n"/>
      <c r="L927" s="85" t="n"/>
      <c r="M927" s="85" t="n"/>
      <c r="N927" s="85" t="n"/>
      <c r="O927" s="85" t="n"/>
      <c r="P927" s="85" t="n"/>
      <c r="Q927" s="85" t="n"/>
      <c r="R927" s="85" t="n"/>
      <c r="S927" s="85" t="n"/>
      <c r="T927" s="85" t="n"/>
      <c r="U927" s="85" t="n"/>
      <c r="V927" s="85" t="n"/>
      <c r="W927" s="85" t="n"/>
      <c r="X927" s="85" t="n"/>
      <c r="Y927" s="85" t="n"/>
      <c r="Z927" s="85" t="n"/>
      <c r="AA927" s="85" t="n"/>
      <c r="AB927" s="85" t="n"/>
      <c r="AC927" s="86" t="n"/>
      <c r="AD927" s="86" t="n"/>
      <c r="AE927" s="86" t="n"/>
      <c r="AF927" s="85" t="n"/>
      <c r="AG927" s="85" t="n"/>
      <c r="AH927" s="85">
        <f>IF($A927="","",IF(AND($E927="Yes",OR($V927="No",$V927="NOT FOUND")),"YES",""))</f>
        <v/>
      </c>
      <c r="AI927" s="85">
        <f>IF($A927="","",TRIM(IF(AND($M927=0,$I927&lt;&gt;"Yes"),"T0-NoPhishResistant ","")&amp;IF($H927="No","NoMFA ","")&amp;IF(AND($M927=0,$O927="Group only"),"T0-ViaGroupOnly ","")&amp;IF($N927="Yes","BroadAzureScope ","")&amp;IF($T927="Yes","AlsoEntraRole ","")))</f>
        <v/>
      </c>
      <c r="AJ927" s="85">
        <f>IF($A927="","",IF(AD927="","Not Enrolled",IF(TODAY()&gt;AD927,"Review Overdue",IF(AD927-TODAY()&lt;=30,"Review Due Soon","Active"))))</f>
        <v/>
      </c>
      <c r="AK927" s="85">
        <f>IF($A927="","",IF(AE927="","NOT REVIEWED",IF(TODAY()-AE927&gt;90,"OVERDUE",IF(TODAY()-AE927&gt;76,"Due Soon","Current"))))</f>
        <v/>
      </c>
    </row>
    <row r="928" ht="15" customHeight="1" s="39">
      <c r="A928" s="85" t="n"/>
      <c r="B928" s="85" t="n"/>
      <c r="C928" s="85" t="n"/>
      <c r="D928" s="85" t="n"/>
      <c r="E928" s="85" t="n"/>
      <c r="F928" s="86" t="n"/>
      <c r="G928" s="86" t="n"/>
      <c r="H928" s="85" t="n"/>
      <c r="I928" s="85" t="n"/>
      <c r="J928" s="85" t="n"/>
      <c r="K928" s="85" t="n"/>
      <c r="L928" s="85" t="n"/>
      <c r="M928" s="85" t="n"/>
      <c r="N928" s="85" t="n"/>
      <c r="O928" s="85" t="n"/>
      <c r="P928" s="85" t="n"/>
      <c r="Q928" s="85" t="n"/>
      <c r="R928" s="85" t="n"/>
      <c r="S928" s="85" t="n"/>
      <c r="T928" s="85" t="n"/>
      <c r="U928" s="85" t="n"/>
      <c r="V928" s="85" t="n"/>
      <c r="W928" s="85" t="n"/>
      <c r="X928" s="85" t="n"/>
      <c r="Y928" s="85" t="n"/>
      <c r="Z928" s="85" t="n"/>
      <c r="AA928" s="85" t="n"/>
      <c r="AB928" s="85" t="n"/>
      <c r="AC928" s="86" t="n"/>
      <c r="AD928" s="86" t="n"/>
      <c r="AE928" s="86" t="n"/>
      <c r="AF928" s="85" t="n"/>
      <c r="AG928" s="85" t="n"/>
      <c r="AH928" s="85">
        <f>IF($A928="","",IF(AND($E928="Yes",OR($V928="No",$V928="NOT FOUND")),"YES",""))</f>
        <v/>
      </c>
      <c r="AI928" s="85">
        <f>IF($A928="","",TRIM(IF(AND($M928=0,$I928&lt;&gt;"Yes"),"T0-NoPhishResistant ","")&amp;IF($H928="No","NoMFA ","")&amp;IF(AND($M928=0,$O928="Group only"),"T0-ViaGroupOnly ","")&amp;IF($N928="Yes","BroadAzureScope ","")&amp;IF($T928="Yes","AlsoEntraRole ","")))</f>
        <v/>
      </c>
      <c r="AJ928" s="85">
        <f>IF($A928="","",IF(AD928="","Not Enrolled",IF(TODAY()&gt;AD928,"Review Overdue",IF(AD928-TODAY()&lt;=30,"Review Due Soon","Active"))))</f>
        <v/>
      </c>
      <c r="AK928" s="85">
        <f>IF($A928="","",IF(AE928="","NOT REVIEWED",IF(TODAY()-AE928&gt;90,"OVERDUE",IF(TODAY()-AE928&gt;76,"Due Soon","Current"))))</f>
        <v/>
      </c>
    </row>
    <row r="929" ht="15" customHeight="1" s="39">
      <c r="A929" s="85" t="n"/>
      <c r="B929" s="85" t="n"/>
      <c r="C929" s="85" t="n"/>
      <c r="D929" s="85" t="n"/>
      <c r="E929" s="85" t="n"/>
      <c r="F929" s="86" t="n"/>
      <c r="G929" s="86" t="n"/>
      <c r="H929" s="85" t="n"/>
      <c r="I929" s="85" t="n"/>
      <c r="J929" s="85" t="n"/>
      <c r="K929" s="85" t="n"/>
      <c r="L929" s="85" t="n"/>
      <c r="M929" s="85" t="n"/>
      <c r="N929" s="85" t="n"/>
      <c r="O929" s="85" t="n"/>
      <c r="P929" s="85" t="n"/>
      <c r="Q929" s="85" t="n"/>
      <c r="R929" s="85" t="n"/>
      <c r="S929" s="85" t="n"/>
      <c r="T929" s="85" t="n"/>
      <c r="U929" s="85" t="n"/>
      <c r="V929" s="85" t="n"/>
      <c r="W929" s="85" t="n"/>
      <c r="X929" s="85" t="n"/>
      <c r="Y929" s="85" t="n"/>
      <c r="Z929" s="85" t="n"/>
      <c r="AA929" s="85" t="n"/>
      <c r="AB929" s="85" t="n"/>
      <c r="AC929" s="86" t="n"/>
      <c r="AD929" s="86" t="n"/>
      <c r="AE929" s="86" t="n"/>
      <c r="AF929" s="85" t="n"/>
      <c r="AG929" s="85" t="n"/>
      <c r="AH929" s="85">
        <f>IF($A929="","",IF(AND($E929="Yes",OR($V929="No",$V929="NOT FOUND")),"YES",""))</f>
        <v/>
      </c>
      <c r="AI929" s="85">
        <f>IF($A929="","",TRIM(IF(AND($M929=0,$I929&lt;&gt;"Yes"),"T0-NoPhishResistant ","")&amp;IF($H929="No","NoMFA ","")&amp;IF(AND($M929=0,$O929="Group only"),"T0-ViaGroupOnly ","")&amp;IF($N929="Yes","BroadAzureScope ","")&amp;IF($T929="Yes","AlsoEntraRole ","")))</f>
        <v/>
      </c>
      <c r="AJ929" s="85">
        <f>IF($A929="","",IF(AD929="","Not Enrolled",IF(TODAY()&gt;AD929,"Review Overdue",IF(AD929-TODAY()&lt;=30,"Review Due Soon","Active"))))</f>
        <v/>
      </c>
      <c r="AK929" s="85">
        <f>IF($A929="","",IF(AE929="","NOT REVIEWED",IF(TODAY()-AE929&gt;90,"OVERDUE",IF(TODAY()-AE929&gt;76,"Due Soon","Current"))))</f>
        <v/>
      </c>
    </row>
    <row r="930" ht="15" customHeight="1" s="39">
      <c r="A930" s="85" t="n"/>
      <c r="B930" s="85" t="n"/>
      <c r="C930" s="85" t="n"/>
      <c r="D930" s="85" t="n"/>
      <c r="E930" s="85" t="n"/>
      <c r="F930" s="86" t="n"/>
      <c r="G930" s="86" t="n"/>
      <c r="H930" s="85" t="n"/>
      <c r="I930" s="85" t="n"/>
      <c r="J930" s="85" t="n"/>
      <c r="K930" s="85" t="n"/>
      <c r="L930" s="85" t="n"/>
      <c r="M930" s="85" t="n"/>
      <c r="N930" s="85" t="n"/>
      <c r="O930" s="85" t="n"/>
      <c r="P930" s="85" t="n"/>
      <c r="Q930" s="85" t="n"/>
      <c r="R930" s="85" t="n"/>
      <c r="S930" s="85" t="n"/>
      <c r="T930" s="85" t="n"/>
      <c r="U930" s="85" t="n"/>
      <c r="V930" s="85" t="n"/>
      <c r="W930" s="85" t="n"/>
      <c r="X930" s="85" t="n"/>
      <c r="Y930" s="85" t="n"/>
      <c r="Z930" s="85" t="n"/>
      <c r="AA930" s="85" t="n"/>
      <c r="AB930" s="85" t="n"/>
      <c r="AC930" s="86" t="n"/>
      <c r="AD930" s="86" t="n"/>
      <c r="AE930" s="86" t="n"/>
      <c r="AF930" s="85" t="n"/>
      <c r="AG930" s="85" t="n"/>
      <c r="AH930" s="85">
        <f>IF($A930="","",IF(AND($E930="Yes",OR($V930="No",$V930="NOT FOUND")),"YES",""))</f>
        <v/>
      </c>
      <c r="AI930" s="85">
        <f>IF($A930="","",TRIM(IF(AND($M930=0,$I930&lt;&gt;"Yes"),"T0-NoPhishResistant ","")&amp;IF($H930="No","NoMFA ","")&amp;IF(AND($M930=0,$O930="Group only"),"T0-ViaGroupOnly ","")&amp;IF($N930="Yes","BroadAzureScope ","")&amp;IF($T930="Yes","AlsoEntraRole ","")))</f>
        <v/>
      </c>
      <c r="AJ930" s="85">
        <f>IF($A930="","",IF(AD930="","Not Enrolled",IF(TODAY()&gt;AD930,"Review Overdue",IF(AD930-TODAY()&lt;=30,"Review Due Soon","Active"))))</f>
        <v/>
      </c>
      <c r="AK930" s="85">
        <f>IF($A930="","",IF(AE930="","NOT REVIEWED",IF(TODAY()-AE930&gt;90,"OVERDUE",IF(TODAY()-AE930&gt;76,"Due Soon","Current"))))</f>
        <v/>
      </c>
    </row>
    <row r="931" ht="15" customHeight="1" s="39">
      <c r="A931" s="85" t="n"/>
      <c r="B931" s="85" t="n"/>
      <c r="C931" s="85" t="n"/>
      <c r="D931" s="85" t="n"/>
      <c r="E931" s="85" t="n"/>
      <c r="F931" s="86" t="n"/>
      <c r="G931" s="86" t="n"/>
      <c r="H931" s="85" t="n"/>
      <c r="I931" s="85" t="n"/>
      <c r="J931" s="85" t="n"/>
      <c r="K931" s="85" t="n"/>
      <c r="L931" s="85" t="n"/>
      <c r="M931" s="85" t="n"/>
      <c r="N931" s="85" t="n"/>
      <c r="O931" s="85" t="n"/>
      <c r="P931" s="85" t="n"/>
      <c r="Q931" s="85" t="n"/>
      <c r="R931" s="85" t="n"/>
      <c r="S931" s="85" t="n"/>
      <c r="T931" s="85" t="n"/>
      <c r="U931" s="85" t="n"/>
      <c r="V931" s="85" t="n"/>
      <c r="W931" s="85" t="n"/>
      <c r="X931" s="85" t="n"/>
      <c r="Y931" s="85" t="n"/>
      <c r="Z931" s="85" t="n"/>
      <c r="AA931" s="85" t="n"/>
      <c r="AB931" s="85" t="n"/>
      <c r="AC931" s="86" t="n"/>
      <c r="AD931" s="86" t="n"/>
      <c r="AE931" s="86" t="n"/>
      <c r="AF931" s="85" t="n"/>
      <c r="AG931" s="85" t="n"/>
      <c r="AH931" s="85">
        <f>IF($A931="","",IF(AND($E931="Yes",OR($V931="No",$V931="NOT FOUND")),"YES",""))</f>
        <v/>
      </c>
      <c r="AI931" s="85">
        <f>IF($A931="","",TRIM(IF(AND($M931=0,$I931&lt;&gt;"Yes"),"T0-NoPhishResistant ","")&amp;IF($H931="No","NoMFA ","")&amp;IF(AND($M931=0,$O931="Group only"),"T0-ViaGroupOnly ","")&amp;IF($N931="Yes","BroadAzureScope ","")&amp;IF($T931="Yes","AlsoEntraRole ","")))</f>
        <v/>
      </c>
      <c r="AJ931" s="85">
        <f>IF($A931="","",IF(AD931="","Not Enrolled",IF(TODAY()&gt;AD931,"Review Overdue",IF(AD931-TODAY()&lt;=30,"Review Due Soon","Active"))))</f>
        <v/>
      </c>
      <c r="AK931" s="85">
        <f>IF($A931="","",IF(AE931="","NOT REVIEWED",IF(TODAY()-AE931&gt;90,"OVERDUE",IF(TODAY()-AE931&gt;76,"Due Soon","Current"))))</f>
        <v/>
      </c>
    </row>
    <row r="932" ht="15" customHeight="1" s="39">
      <c r="A932" s="85" t="n"/>
      <c r="B932" s="85" t="n"/>
      <c r="C932" s="85" t="n"/>
      <c r="D932" s="85" t="n"/>
      <c r="E932" s="85" t="n"/>
      <c r="F932" s="86" t="n"/>
      <c r="G932" s="86" t="n"/>
      <c r="H932" s="85" t="n"/>
      <c r="I932" s="85" t="n"/>
      <c r="J932" s="85" t="n"/>
      <c r="K932" s="85" t="n"/>
      <c r="L932" s="85" t="n"/>
      <c r="M932" s="85" t="n"/>
      <c r="N932" s="85" t="n"/>
      <c r="O932" s="85" t="n"/>
      <c r="P932" s="85" t="n"/>
      <c r="Q932" s="85" t="n"/>
      <c r="R932" s="85" t="n"/>
      <c r="S932" s="85" t="n"/>
      <c r="T932" s="85" t="n"/>
      <c r="U932" s="85" t="n"/>
      <c r="V932" s="85" t="n"/>
      <c r="W932" s="85" t="n"/>
      <c r="X932" s="85" t="n"/>
      <c r="Y932" s="85" t="n"/>
      <c r="Z932" s="85" t="n"/>
      <c r="AA932" s="85" t="n"/>
      <c r="AB932" s="85" t="n"/>
      <c r="AC932" s="86" t="n"/>
      <c r="AD932" s="86" t="n"/>
      <c r="AE932" s="86" t="n"/>
      <c r="AF932" s="85" t="n"/>
      <c r="AG932" s="85" t="n"/>
      <c r="AH932" s="85">
        <f>IF($A932="","",IF(AND($E932="Yes",OR($V932="No",$V932="NOT FOUND")),"YES",""))</f>
        <v/>
      </c>
      <c r="AI932" s="85">
        <f>IF($A932="","",TRIM(IF(AND($M932=0,$I932&lt;&gt;"Yes"),"T0-NoPhishResistant ","")&amp;IF($H932="No","NoMFA ","")&amp;IF(AND($M932=0,$O932="Group only"),"T0-ViaGroupOnly ","")&amp;IF($N932="Yes","BroadAzureScope ","")&amp;IF($T932="Yes","AlsoEntraRole ","")))</f>
        <v/>
      </c>
      <c r="AJ932" s="85">
        <f>IF($A932="","",IF(AD932="","Not Enrolled",IF(TODAY()&gt;AD932,"Review Overdue",IF(AD932-TODAY()&lt;=30,"Review Due Soon","Active"))))</f>
        <v/>
      </c>
      <c r="AK932" s="85">
        <f>IF($A932="","",IF(AE932="","NOT REVIEWED",IF(TODAY()-AE932&gt;90,"OVERDUE",IF(TODAY()-AE932&gt;76,"Due Soon","Current"))))</f>
        <v/>
      </c>
    </row>
    <row r="933" ht="15" customHeight="1" s="39">
      <c r="A933" s="85" t="n"/>
      <c r="B933" s="85" t="n"/>
      <c r="C933" s="85" t="n"/>
      <c r="D933" s="85" t="n"/>
      <c r="E933" s="85" t="n"/>
      <c r="F933" s="86" t="n"/>
      <c r="G933" s="86" t="n"/>
      <c r="H933" s="85" t="n"/>
      <c r="I933" s="85" t="n"/>
      <c r="J933" s="85" t="n"/>
      <c r="K933" s="85" t="n"/>
      <c r="L933" s="85" t="n"/>
      <c r="M933" s="85" t="n"/>
      <c r="N933" s="85" t="n"/>
      <c r="O933" s="85" t="n"/>
      <c r="P933" s="85" t="n"/>
      <c r="Q933" s="85" t="n"/>
      <c r="R933" s="85" t="n"/>
      <c r="S933" s="85" t="n"/>
      <c r="T933" s="85" t="n"/>
      <c r="U933" s="85" t="n"/>
      <c r="V933" s="85" t="n"/>
      <c r="W933" s="85" t="n"/>
      <c r="X933" s="85" t="n"/>
      <c r="Y933" s="85" t="n"/>
      <c r="Z933" s="85" t="n"/>
      <c r="AA933" s="85" t="n"/>
      <c r="AB933" s="85" t="n"/>
      <c r="AC933" s="86" t="n"/>
      <c r="AD933" s="86" t="n"/>
      <c r="AE933" s="86" t="n"/>
      <c r="AF933" s="85" t="n"/>
      <c r="AG933" s="85" t="n"/>
      <c r="AH933" s="85">
        <f>IF($A933="","",IF(AND($E933="Yes",OR($V933="No",$V933="NOT FOUND")),"YES",""))</f>
        <v/>
      </c>
      <c r="AI933" s="85">
        <f>IF($A933="","",TRIM(IF(AND($M933=0,$I933&lt;&gt;"Yes"),"T0-NoPhishResistant ","")&amp;IF($H933="No","NoMFA ","")&amp;IF(AND($M933=0,$O933="Group only"),"T0-ViaGroupOnly ","")&amp;IF($N933="Yes","BroadAzureScope ","")&amp;IF($T933="Yes","AlsoEntraRole ","")))</f>
        <v/>
      </c>
      <c r="AJ933" s="85">
        <f>IF($A933="","",IF(AD933="","Not Enrolled",IF(TODAY()&gt;AD933,"Review Overdue",IF(AD933-TODAY()&lt;=30,"Review Due Soon","Active"))))</f>
        <v/>
      </c>
      <c r="AK933" s="85">
        <f>IF($A933="","",IF(AE933="","NOT REVIEWED",IF(TODAY()-AE933&gt;90,"OVERDUE",IF(TODAY()-AE933&gt;76,"Due Soon","Current"))))</f>
        <v/>
      </c>
    </row>
    <row r="934" ht="15" customHeight="1" s="39">
      <c r="A934" s="85" t="n"/>
      <c r="B934" s="85" t="n"/>
      <c r="C934" s="85" t="n"/>
      <c r="D934" s="85" t="n"/>
      <c r="E934" s="85" t="n"/>
      <c r="F934" s="86" t="n"/>
      <c r="G934" s="86" t="n"/>
      <c r="H934" s="85" t="n"/>
      <c r="I934" s="85" t="n"/>
      <c r="J934" s="85" t="n"/>
      <c r="K934" s="85" t="n"/>
      <c r="L934" s="85" t="n"/>
      <c r="M934" s="85" t="n"/>
      <c r="N934" s="85" t="n"/>
      <c r="O934" s="85" t="n"/>
      <c r="P934" s="85" t="n"/>
      <c r="Q934" s="85" t="n"/>
      <c r="R934" s="85" t="n"/>
      <c r="S934" s="85" t="n"/>
      <c r="T934" s="85" t="n"/>
      <c r="U934" s="85" t="n"/>
      <c r="V934" s="85" t="n"/>
      <c r="W934" s="85" t="n"/>
      <c r="X934" s="85" t="n"/>
      <c r="Y934" s="85" t="n"/>
      <c r="Z934" s="85" t="n"/>
      <c r="AA934" s="85" t="n"/>
      <c r="AB934" s="85" t="n"/>
      <c r="AC934" s="86" t="n"/>
      <c r="AD934" s="86" t="n"/>
      <c r="AE934" s="86" t="n"/>
      <c r="AF934" s="85" t="n"/>
      <c r="AG934" s="85" t="n"/>
      <c r="AH934" s="85">
        <f>IF($A934="","",IF(AND($E934="Yes",OR($V934="No",$V934="NOT FOUND")),"YES",""))</f>
        <v/>
      </c>
      <c r="AI934" s="85">
        <f>IF($A934="","",TRIM(IF(AND($M934=0,$I934&lt;&gt;"Yes"),"T0-NoPhishResistant ","")&amp;IF($H934="No","NoMFA ","")&amp;IF(AND($M934=0,$O934="Group only"),"T0-ViaGroupOnly ","")&amp;IF($N934="Yes","BroadAzureScope ","")&amp;IF($T934="Yes","AlsoEntraRole ","")))</f>
        <v/>
      </c>
      <c r="AJ934" s="85">
        <f>IF($A934="","",IF(AD934="","Not Enrolled",IF(TODAY()&gt;AD934,"Review Overdue",IF(AD934-TODAY()&lt;=30,"Review Due Soon","Active"))))</f>
        <v/>
      </c>
      <c r="AK934" s="85">
        <f>IF($A934="","",IF(AE934="","NOT REVIEWED",IF(TODAY()-AE934&gt;90,"OVERDUE",IF(TODAY()-AE934&gt;76,"Due Soon","Current"))))</f>
        <v/>
      </c>
    </row>
    <row r="935" ht="15" customHeight="1" s="39">
      <c r="A935" s="85" t="n"/>
      <c r="B935" s="85" t="n"/>
      <c r="C935" s="85" t="n"/>
      <c r="D935" s="85" t="n"/>
      <c r="E935" s="85" t="n"/>
      <c r="F935" s="86" t="n"/>
      <c r="G935" s="86" t="n"/>
      <c r="H935" s="85" t="n"/>
      <c r="I935" s="85" t="n"/>
      <c r="J935" s="85" t="n"/>
      <c r="K935" s="85" t="n"/>
      <c r="L935" s="85" t="n"/>
      <c r="M935" s="85" t="n"/>
      <c r="N935" s="85" t="n"/>
      <c r="O935" s="85" t="n"/>
      <c r="P935" s="85" t="n"/>
      <c r="Q935" s="85" t="n"/>
      <c r="R935" s="85" t="n"/>
      <c r="S935" s="85" t="n"/>
      <c r="T935" s="85" t="n"/>
      <c r="U935" s="85" t="n"/>
      <c r="V935" s="85" t="n"/>
      <c r="W935" s="85" t="n"/>
      <c r="X935" s="85" t="n"/>
      <c r="Y935" s="85" t="n"/>
      <c r="Z935" s="85" t="n"/>
      <c r="AA935" s="85" t="n"/>
      <c r="AB935" s="85" t="n"/>
      <c r="AC935" s="86" t="n"/>
      <c r="AD935" s="86" t="n"/>
      <c r="AE935" s="86" t="n"/>
      <c r="AF935" s="85" t="n"/>
      <c r="AG935" s="85" t="n"/>
      <c r="AH935" s="85">
        <f>IF($A935="","",IF(AND($E935="Yes",OR($V935="No",$V935="NOT FOUND")),"YES",""))</f>
        <v/>
      </c>
      <c r="AI935" s="85">
        <f>IF($A935="","",TRIM(IF(AND($M935=0,$I935&lt;&gt;"Yes"),"T0-NoPhishResistant ","")&amp;IF($H935="No","NoMFA ","")&amp;IF(AND($M935=0,$O935="Group only"),"T0-ViaGroupOnly ","")&amp;IF($N935="Yes","BroadAzureScope ","")&amp;IF($T935="Yes","AlsoEntraRole ","")))</f>
        <v/>
      </c>
      <c r="AJ935" s="85">
        <f>IF($A935="","",IF(AD935="","Not Enrolled",IF(TODAY()&gt;AD935,"Review Overdue",IF(AD935-TODAY()&lt;=30,"Review Due Soon","Active"))))</f>
        <v/>
      </c>
      <c r="AK935" s="85">
        <f>IF($A935="","",IF(AE935="","NOT REVIEWED",IF(TODAY()-AE935&gt;90,"OVERDUE",IF(TODAY()-AE935&gt;76,"Due Soon","Current"))))</f>
        <v/>
      </c>
    </row>
    <row r="936" ht="15" customHeight="1" s="39">
      <c r="A936" s="85" t="n"/>
      <c r="B936" s="85" t="n"/>
      <c r="C936" s="85" t="n"/>
      <c r="D936" s="85" t="n"/>
      <c r="E936" s="85" t="n"/>
      <c r="F936" s="86" t="n"/>
      <c r="G936" s="86" t="n"/>
      <c r="H936" s="85" t="n"/>
      <c r="I936" s="85" t="n"/>
      <c r="J936" s="85" t="n"/>
      <c r="K936" s="85" t="n"/>
      <c r="L936" s="85" t="n"/>
      <c r="M936" s="85" t="n"/>
      <c r="N936" s="85" t="n"/>
      <c r="O936" s="85" t="n"/>
      <c r="P936" s="85" t="n"/>
      <c r="Q936" s="85" t="n"/>
      <c r="R936" s="85" t="n"/>
      <c r="S936" s="85" t="n"/>
      <c r="T936" s="85" t="n"/>
      <c r="U936" s="85" t="n"/>
      <c r="V936" s="85" t="n"/>
      <c r="W936" s="85" t="n"/>
      <c r="X936" s="85" t="n"/>
      <c r="Y936" s="85" t="n"/>
      <c r="Z936" s="85" t="n"/>
      <c r="AA936" s="85" t="n"/>
      <c r="AB936" s="85" t="n"/>
      <c r="AC936" s="86" t="n"/>
      <c r="AD936" s="86" t="n"/>
      <c r="AE936" s="86" t="n"/>
      <c r="AF936" s="85" t="n"/>
      <c r="AG936" s="85" t="n"/>
      <c r="AH936" s="85">
        <f>IF($A936="","",IF(AND($E936="Yes",OR($V936="No",$V936="NOT FOUND")),"YES",""))</f>
        <v/>
      </c>
      <c r="AI936" s="85">
        <f>IF($A936="","",TRIM(IF(AND($M936=0,$I936&lt;&gt;"Yes"),"T0-NoPhishResistant ","")&amp;IF($H936="No","NoMFA ","")&amp;IF(AND($M936=0,$O936="Group only"),"T0-ViaGroupOnly ","")&amp;IF($N936="Yes","BroadAzureScope ","")&amp;IF($T936="Yes","AlsoEntraRole ","")))</f>
        <v/>
      </c>
      <c r="AJ936" s="85">
        <f>IF($A936="","",IF(AD936="","Not Enrolled",IF(TODAY()&gt;AD936,"Review Overdue",IF(AD936-TODAY()&lt;=30,"Review Due Soon","Active"))))</f>
        <v/>
      </c>
      <c r="AK936" s="85">
        <f>IF($A936="","",IF(AE936="","NOT REVIEWED",IF(TODAY()-AE936&gt;90,"OVERDUE",IF(TODAY()-AE936&gt;76,"Due Soon","Current"))))</f>
        <v/>
      </c>
    </row>
    <row r="937" ht="15" customHeight="1" s="39">
      <c r="A937" s="85" t="n"/>
      <c r="B937" s="85" t="n"/>
      <c r="C937" s="85" t="n"/>
      <c r="D937" s="85" t="n"/>
      <c r="E937" s="85" t="n"/>
      <c r="F937" s="86" t="n"/>
      <c r="G937" s="86" t="n"/>
      <c r="H937" s="85" t="n"/>
      <c r="I937" s="85" t="n"/>
      <c r="J937" s="85" t="n"/>
      <c r="K937" s="85" t="n"/>
      <c r="L937" s="85" t="n"/>
      <c r="M937" s="85" t="n"/>
      <c r="N937" s="85" t="n"/>
      <c r="O937" s="85" t="n"/>
      <c r="P937" s="85" t="n"/>
      <c r="Q937" s="85" t="n"/>
      <c r="R937" s="85" t="n"/>
      <c r="S937" s="85" t="n"/>
      <c r="T937" s="85" t="n"/>
      <c r="U937" s="85" t="n"/>
      <c r="V937" s="85" t="n"/>
      <c r="W937" s="85" t="n"/>
      <c r="X937" s="85" t="n"/>
      <c r="Y937" s="85" t="n"/>
      <c r="Z937" s="85" t="n"/>
      <c r="AA937" s="85" t="n"/>
      <c r="AB937" s="85" t="n"/>
      <c r="AC937" s="86" t="n"/>
      <c r="AD937" s="86" t="n"/>
      <c r="AE937" s="86" t="n"/>
      <c r="AF937" s="85" t="n"/>
      <c r="AG937" s="85" t="n"/>
      <c r="AH937" s="85">
        <f>IF($A937="","",IF(AND($E937="Yes",OR($V937="No",$V937="NOT FOUND")),"YES",""))</f>
        <v/>
      </c>
      <c r="AI937" s="85">
        <f>IF($A937="","",TRIM(IF(AND($M937=0,$I937&lt;&gt;"Yes"),"T0-NoPhishResistant ","")&amp;IF($H937="No","NoMFA ","")&amp;IF(AND($M937=0,$O937="Group only"),"T0-ViaGroupOnly ","")&amp;IF($N937="Yes","BroadAzureScope ","")&amp;IF($T937="Yes","AlsoEntraRole ","")))</f>
        <v/>
      </c>
      <c r="AJ937" s="85">
        <f>IF($A937="","",IF(AD937="","Not Enrolled",IF(TODAY()&gt;AD937,"Review Overdue",IF(AD937-TODAY()&lt;=30,"Review Due Soon","Active"))))</f>
        <v/>
      </c>
      <c r="AK937" s="85">
        <f>IF($A937="","",IF(AE937="","NOT REVIEWED",IF(TODAY()-AE937&gt;90,"OVERDUE",IF(TODAY()-AE937&gt;76,"Due Soon","Current"))))</f>
        <v/>
      </c>
    </row>
    <row r="938" ht="15" customHeight="1" s="39">
      <c r="A938" s="85" t="n"/>
      <c r="B938" s="85" t="n"/>
      <c r="C938" s="85" t="n"/>
      <c r="D938" s="85" t="n"/>
      <c r="E938" s="85" t="n"/>
      <c r="F938" s="86" t="n"/>
      <c r="G938" s="86" t="n"/>
      <c r="H938" s="85" t="n"/>
      <c r="I938" s="85" t="n"/>
      <c r="J938" s="85" t="n"/>
      <c r="K938" s="85" t="n"/>
      <c r="L938" s="85" t="n"/>
      <c r="M938" s="85" t="n"/>
      <c r="N938" s="85" t="n"/>
      <c r="O938" s="85" t="n"/>
      <c r="P938" s="85" t="n"/>
      <c r="Q938" s="85" t="n"/>
      <c r="R938" s="85" t="n"/>
      <c r="S938" s="85" t="n"/>
      <c r="T938" s="85" t="n"/>
      <c r="U938" s="85" t="n"/>
      <c r="V938" s="85" t="n"/>
      <c r="W938" s="85" t="n"/>
      <c r="X938" s="85" t="n"/>
      <c r="Y938" s="85" t="n"/>
      <c r="Z938" s="85" t="n"/>
      <c r="AA938" s="85" t="n"/>
      <c r="AB938" s="85" t="n"/>
      <c r="AC938" s="86" t="n"/>
      <c r="AD938" s="86" t="n"/>
      <c r="AE938" s="86" t="n"/>
      <c r="AF938" s="85" t="n"/>
      <c r="AG938" s="85" t="n"/>
      <c r="AH938" s="85">
        <f>IF($A938="","",IF(AND($E938="Yes",OR($V938="No",$V938="NOT FOUND")),"YES",""))</f>
        <v/>
      </c>
      <c r="AI938" s="85">
        <f>IF($A938="","",TRIM(IF(AND($M938=0,$I938&lt;&gt;"Yes"),"T0-NoPhishResistant ","")&amp;IF($H938="No","NoMFA ","")&amp;IF(AND($M938=0,$O938="Group only"),"T0-ViaGroupOnly ","")&amp;IF($N938="Yes","BroadAzureScope ","")&amp;IF($T938="Yes","AlsoEntraRole ","")))</f>
        <v/>
      </c>
      <c r="AJ938" s="85">
        <f>IF($A938="","",IF(AD938="","Not Enrolled",IF(TODAY()&gt;AD938,"Review Overdue",IF(AD938-TODAY()&lt;=30,"Review Due Soon","Active"))))</f>
        <v/>
      </c>
      <c r="AK938" s="85">
        <f>IF($A938="","",IF(AE938="","NOT REVIEWED",IF(TODAY()-AE938&gt;90,"OVERDUE",IF(TODAY()-AE938&gt;76,"Due Soon","Current"))))</f>
        <v/>
      </c>
    </row>
    <row r="939" ht="15" customHeight="1" s="39">
      <c r="A939" s="85" t="n"/>
      <c r="B939" s="85" t="n"/>
      <c r="C939" s="85" t="n"/>
      <c r="D939" s="85" t="n"/>
      <c r="E939" s="85" t="n"/>
      <c r="F939" s="86" t="n"/>
      <c r="G939" s="86" t="n"/>
      <c r="H939" s="85" t="n"/>
      <c r="I939" s="85" t="n"/>
      <c r="J939" s="85" t="n"/>
      <c r="K939" s="85" t="n"/>
      <c r="L939" s="85" t="n"/>
      <c r="M939" s="85" t="n"/>
      <c r="N939" s="85" t="n"/>
      <c r="O939" s="85" t="n"/>
      <c r="P939" s="85" t="n"/>
      <c r="Q939" s="85" t="n"/>
      <c r="R939" s="85" t="n"/>
      <c r="S939" s="85" t="n"/>
      <c r="T939" s="85" t="n"/>
      <c r="U939" s="85" t="n"/>
      <c r="V939" s="85" t="n"/>
      <c r="W939" s="85" t="n"/>
      <c r="X939" s="85" t="n"/>
      <c r="Y939" s="85" t="n"/>
      <c r="Z939" s="85" t="n"/>
      <c r="AA939" s="85" t="n"/>
      <c r="AB939" s="85" t="n"/>
      <c r="AC939" s="86" t="n"/>
      <c r="AD939" s="86" t="n"/>
      <c r="AE939" s="86" t="n"/>
      <c r="AF939" s="85" t="n"/>
      <c r="AG939" s="85" t="n"/>
      <c r="AH939" s="85">
        <f>IF($A939="","",IF(AND($E939="Yes",OR($V939="No",$V939="NOT FOUND")),"YES",""))</f>
        <v/>
      </c>
      <c r="AI939" s="85">
        <f>IF($A939="","",TRIM(IF(AND($M939=0,$I939&lt;&gt;"Yes"),"T0-NoPhishResistant ","")&amp;IF($H939="No","NoMFA ","")&amp;IF(AND($M939=0,$O939="Group only"),"T0-ViaGroupOnly ","")&amp;IF($N939="Yes","BroadAzureScope ","")&amp;IF($T939="Yes","AlsoEntraRole ","")))</f>
        <v/>
      </c>
      <c r="AJ939" s="85">
        <f>IF($A939="","",IF(AD939="","Not Enrolled",IF(TODAY()&gt;AD939,"Review Overdue",IF(AD939-TODAY()&lt;=30,"Review Due Soon","Active"))))</f>
        <v/>
      </c>
      <c r="AK939" s="85">
        <f>IF($A939="","",IF(AE939="","NOT REVIEWED",IF(TODAY()-AE939&gt;90,"OVERDUE",IF(TODAY()-AE939&gt;76,"Due Soon","Current"))))</f>
        <v/>
      </c>
    </row>
    <row r="940" ht="15" customHeight="1" s="39">
      <c r="A940" s="85" t="n"/>
      <c r="B940" s="85" t="n"/>
      <c r="C940" s="85" t="n"/>
      <c r="D940" s="85" t="n"/>
      <c r="E940" s="85" t="n"/>
      <c r="F940" s="86" t="n"/>
      <c r="G940" s="86" t="n"/>
      <c r="H940" s="85" t="n"/>
      <c r="I940" s="85" t="n"/>
      <c r="J940" s="85" t="n"/>
      <c r="K940" s="85" t="n"/>
      <c r="L940" s="85" t="n"/>
      <c r="M940" s="85" t="n"/>
      <c r="N940" s="85" t="n"/>
      <c r="O940" s="85" t="n"/>
      <c r="P940" s="85" t="n"/>
      <c r="Q940" s="85" t="n"/>
      <c r="R940" s="85" t="n"/>
      <c r="S940" s="85" t="n"/>
      <c r="T940" s="85" t="n"/>
      <c r="U940" s="85" t="n"/>
      <c r="V940" s="85" t="n"/>
      <c r="W940" s="85" t="n"/>
      <c r="X940" s="85" t="n"/>
      <c r="Y940" s="85" t="n"/>
      <c r="Z940" s="85" t="n"/>
      <c r="AA940" s="85" t="n"/>
      <c r="AB940" s="85" t="n"/>
      <c r="AC940" s="86" t="n"/>
      <c r="AD940" s="86" t="n"/>
      <c r="AE940" s="86" t="n"/>
      <c r="AF940" s="85" t="n"/>
      <c r="AG940" s="85" t="n"/>
      <c r="AH940" s="85">
        <f>IF($A940="","",IF(AND($E940="Yes",OR($V940="No",$V940="NOT FOUND")),"YES",""))</f>
        <v/>
      </c>
      <c r="AI940" s="85">
        <f>IF($A940="","",TRIM(IF(AND($M940=0,$I940&lt;&gt;"Yes"),"T0-NoPhishResistant ","")&amp;IF($H940="No","NoMFA ","")&amp;IF(AND($M940=0,$O940="Group only"),"T0-ViaGroupOnly ","")&amp;IF($N940="Yes","BroadAzureScope ","")&amp;IF($T940="Yes","AlsoEntraRole ","")))</f>
        <v/>
      </c>
      <c r="AJ940" s="85">
        <f>IF($A940="","",IF(AD940="","Not Enrolled",IF(TODAY()&gt;AD940,"Review Overdue",IF(AD940-TODAY()&lt;=30,"Review Due Soon","Active"))))</f>
        <v/>
      </c>
      <c r="AK940" s="85">
        <f>IF($A940="","",IF(AE940="","NOT REVIEWED",IF(TODAY()-AE940&gt;90,"OVERDUE",IF(TODAY()-AE940&gt;76,"Due Soon","Current"))))</f>
        <v/>
      </c>
    </row>
    <row r="941" ht="15" customHeight="1" s="39">
      <c r="A941" s="85" t="n"/>
      <c r="B941" s="85" t="n"/>
      <c r="C941" s="85" t="n"/>
      <c r="D941" s="85" t="n"/>
      <c r="E941" s="85" t="n"/>
      <c r="F941" s="86" t="n"/>
      <c r="G941" s="86" t="n"/>
      <c r="H941" s="85" t="n"/>
      <c r="I941" s="85" t="n"/>
      <c r="J941" s="85" t="n"/>
      <c r="K941" s="85" t="n"/>
      <c r="L941" s="85" t="n"/>
      <c r="M941" s="85" t="n"/>
      <c r="N941" s="85" t="n"/>
      <c r="O941" s="85" t="n"/>
      <c r="P941" s="85" t="n"/>
      <c r="Q941" s="85" t="n"/>
      <c r="R941" s="85" t="n"/>
      <c r="S941" s="85" t="n"/>
      <c r="T941" s="85" t="n"/>
      <c r="U941" s="85" t="n"/>
      <c r="V941" s="85" t="n"/>
      <c r="W941" s="85" t="n"/>
      <c r="X941" s="85" t="n"/>
      <c r="Y941" s="85" t="n"/>
      <c r="Z941" s="85" t="n"/>
      <c r="AA941" s="85" t="n"/>
      <c r="AB941" s="85" t="n"/>
      <c r="AC941" s="86" t="n"/>
      <c r="AD941" s="86" t="n"/>
      <c r="AE941" s="86" t="n"/>
      <c r="AF941" s="85" t="n"/>
      <c r="AG941" s="85" t="n"/>
      <c r="AH941" s="85">
        <f>IF($A941="","",IF(AND($E941="Yes",OR($V941="No",$V941="NOT FOUND")),"YES",""))</f>
        <v/>
      </c>
      <c r="AI941" s="85">
        <f>IF($A941="","",TRIM(IF(AND($M941=0,$I941&lt;&gt;"Yes"),"T0-NoPhishResistant ","")&amp;IF($H941="No","NoMFA ","")&amp;IF(AND($M941=0,$O941="Group only"),"T0-ViaGroupOnly ","")&amp;IF($N941="Yes","BroadAzureScope ","")&amp;IF($T941="Yes","AlsoEntraRole ","")))</f>
        <v/>
      </c>
      <c r="AJ941" s="85">
        <f>IF($A941="","",IF(AD941="","Not Enrolled",IF(TODAY()&gt;AD941,"Review Overdue",IF(AD941-TODAY()&lt;=30,"Review Due Soon","Active"))))</f>
        <v/>
      </c>
      <c r="AK941" s="85">
        <f>IF($A941="","",IF(AE941="","NOT REVIEWED",IF(TODAY()-AE941&gt;90,"OVERDUE",IF(TODAY()-AE941&gt;76,"Due Soon","Current"))))</f>
        <v/>
      </c>
    </row>
    <row r="942" ht="15" customHeight="1" s="39">
      <c r="A942" s="85" t="n"/>
      <c r="B942" s="85" t="n"/>
      <c r="C942" s="85" t="n"/>
      <c r="D942" s="85" t="n"/>
      <c r="E942" s="85" t="n"/>
      <c r="F942" s="86" t="n"/>
      <c r="G942" s="86" t="n"/>
      <c r="H942" s="85" t="n"/>
      <c r="I942" s="85" t="n"/>
      <c r="J942" s="85" t="n"/>
      <c r="K942" s="85" t="n"/>
      <c r="L942" s="85" t="n"/>
      <c r="M942" s="85" t="n"/>
      <c r="N942" s="85" t="n"/>
      <c r="O942" s="85" t="n"/>
      <c r="P942" s="85" t="n"/>
      <c r="Q942" s="85" t="n"/>
      <c r="R942" s="85" t="n"/>
      <c r="S942" s="85" t="n"/>
      <c r="T942" s="85" t="n"/>
      <c r="U942" s="85" t="n"/>
      <c r="V942" s="85" t="n"/>
      <c r="W942" s="85" t="n"/>
      <c r="X942" s="85" t="n"/>
      <c r="Y942" s="85" t="n"/>
      <c r="Z942" s="85" t="n"/>
      <c r="AA942" s="85" t="n"/>
      <c r="AB942" s="85" t="n"/>
      <c r="AC942" s="86" t="n"/>
      <c r="AD942" s="86" t="n"/>
      <c r="AE942" s="86" t="n"/>
      <c r="AF942" s="85" t="n"/>
      <c r="AG942" s="85" t="n"/>
      <c r="AH942" s="85">
        <f>IF($A942="","",IF(AND($E942="Yes",OR($V942="No",$V942="NOT FOUND")),"YES",""))</f>
        <v/>
      </c>
      <c r="AI942" s="85">
        <f>IF($A942="","",TRIM(IF(AND($M942=0,$I942&lt;&gt;"Yes"),"T0-NoPhishResistant ","")&amp;IF($H942="No","NoMFA ","")&amp;IF(AND($M942=0,$O942="Group only"),"T0-ViaGroupOnly ","")&amp;IF($N942="Yes","BroadAzureScope ","")&amp;IF($T942="Yes","AlsoEntraRole ","")))</f>
        <v/>
      </c>
      <c r="AJ942" s="85">
        <f>IF($A942="","",IF(AD942="","Not Enrolled",IF(TODAY()&gt;AD942,"Review Overdue",IF(AD942-TODAY()&lt;=30,"Review Due Soon","Active"))))</f>
        <v/>
      </c>
      <c r="AK942" s="85">
        <f>IF($A942="","",IF(AE942="","NOT REVIEWED",IF(TODAY()-AE942&gt;90,"OVERDUE",IF(TODAY()-AE942&gt;76,"Due Soon","Current"))))</f>
        <v/>
      </c>
    </row>
    <row r="943" ht="15" customHeight="1" s="39">
      <c r="A943" s="85" t="n"/>
      <c r="B943" s="85" t="n"/>
      <c r="C943" s="85" t="n"/>
      <c r="D943" s="85" t="n"/>
      <c r="E943" s="85" t="n"/>
      <c r="F943" s="86" t="n"/>
      <c r="G943" s="86" t="n"/>
      <c r="H943" s="85" t="n"/>
      <c r="I943" s="85" t="n"/>
      <c r="J943" s="85" t="n"/>
      <c r="K943" s="85" t="n"/>
      <c r="L943" s="85" t="n"/>
      <c r="M943" s="85" t="n"/>
      <c r="N943" s="85" t="n"/>
      <c r="O943" s="85" t="n"/>
      <c r="P943" s="85" t="n"/>
      <c r="Q943" s="85" t="n"/>
      <c r="R943" s="85" t="n"/>
      <c r="S943" s="85" t="n"/>
      <c r="T943" s="85" t="n"/>
      <c r="U943" s="85" t="n"/>
      <c r="V943" s="85" t="n"/>
      <c r="W943" s="85" t="n"/>
      <c r="X943" s="85" t="n"/>
      <c r="Y943" s="85" t="n"/>
      <c r="Z943" s="85" t="n"/>
      <c r="AA943" s="85" t="n"/>
      <c r="AB943" s="85" t="n"/>
      <c r="AC943" s="86" t="n"/>
      <c r="AD943" s="86" t="n"/>
      <c r="AE943" s="86" t="n"/>
      <c r="AF943" s="85" t="n"/>
      <c r="AG943" s="85" t="n"/>
      <c r="AH943" s="85">
        <f>IF($A943="","",IF(AND($E943="Yes",OR($V943="No",$V943="NOT FOUND")),"YES",""))</f>
        <v/>
      </c>
      <c r="AI943" s="85">
        <f>IF($A943="","",TRIM(IF(AND($M943=0,$I943&lt;&gt;"Yes"),"T0-NoPhishResistant ","")&amp;IF($H943="No","NoMFA ","")&amp;IF(AND($M943=0,$O943="Group only"),"T0-ViaGroupOnly ","")&amp;IF($N943="Yes","BroadAzureScope ","")&amp;IF($T943="Yes","AlsoEntraRole ","")))</f>
        <v/>
      </c>
      <c r="AJ943" s="85">
        <f>IF($A943="","",IF(AD943="","Not Enrolled",IF(TODAY()&gt;AD943,"Review Overdue",IF(AD943-TODAY()&lt;=30,"Review Due Soon","Active"))))</f>
        <v/>
      </c>
      <c r="AK943" s="85">
        <f>IF($A943="","",IF(AE943="","NOT REVIEWED",IF(TODAY()-AE943&gt;90,"OVERDUE",IF(TODAY()-AE943&gt;76,"Due Soon","Current"))))</f>
        <v/>
      </c>
    </row>
    <row r="944" ht="15" customHeight="1" s="39">
      <c r="A944" s="85" t="n"/>
      <c r="B944" s="85" t="n"/>
      <c r="C944" s="85" t="n"/>
      <c r="D944" s="85" t="n"/>
      <c r="E944" s="85" t="n"/>
      <c r="F944" s="86" t="n"/>
      <c r="G944" s="86" t="n"/>
      <c r="H944" s="85" t="n"/>
      <c r="I944" s="85" t="n"/>
      <c r="J944" s="85" t="n"/>
      <c r="K944" s="85" t="n"/>
      <c r="L944" s="85" t="n"/>
      <c r="M944" s="85" t="n"/>
      <c r="N944" s="85" t="n"/>
      <c r="O944" s="85" t="n"/>
      <c r="P944" s="85" t="n"/>
      <c r="Q944" s="85" t="n"/>
      <c r="R944" s="85" t="n"/>
      <c r="S944" s="85" t="n"/>
      <c r="T944" s="85" t="n"/>
      <c r="U944" s="85" t="n"/>
      <c r="V944" s="85" t="n"/>
      <c r="W944" s="85" t="n"/>
      <c r="X944" s="85" t="n"/>
      <c r="Y944" s="85" t="n"/>
      <c r="Z944" s="85" t="n"/>
      <c r="AA944" s="85" t="n"/>
      <c r="AB944" s="85" t="n"/>
      <c r="AC944" s="86" t="n"/>
      <c r="AD944" s="86" t="n"/>
      <c r="AE944" s="86" t="n"/>
      <c r="AF944" s="85" t="n"/>
      <c r="AG944" s="85" t="n"/>
      <c r="AH944" s="85">
        <f>IF($A944="","",IF(AND($E944="Yes",OR($V944="No",$V944="NOT FOUND")),"YES",""))</f>
        <v/>
      </c>
      <c r="AI944" s="85">
        <f>IF($A944="","",TRIM(IF(AND($M944=0,$I944&lt;&gt;"Yes"),"T0-NoPhishResistant ","")&amp;IF($H944="No","NoMFA ","")&amp;IF(AND($M944=0,$O944="Group only"),"T0-ViaGroupOnly ","")&amp;IF($N944="Yes","BroadAzureScope ","")&amp;IF($T944="Yes","AlsoEntraRole ","")))</f>
        <v/>
      </c>
      <c r="AJ944" s="85">
        <f>IF($A944="","",IF(AD944="","Not Enrolled",IF(TODAY()&gt;AD944,"Review Overdue",IF(AD944-TODAY()&lt;=30,"Review Due Soon","Active"))))</f>
        <v/>
      </c>
      <c r="AK944" s="85">
        <f>IF($A944="","",IF(AE944="","NOT REVIEWED",IF(TODAY()-AE944&gt;90,"OVERDUE",IF(TODAY()-AE944&gt;76,"Due Soon","Current"))))</f>
        <v/>
      </c>
    </row>
    <row r="945" ht="15" customHeight="1" s="39">
      <c r="A945" s="85" t="n"/>
      <c r="B945" s="85" t="n"/>
      <c r="C945" s="85" t="n"/>
      <c r="D945" s="85" t="n"/>
      <c r="E945" s="85" t="n"/>
      <c r="F945" s="86" t="n"/>
      <c r="G945" s="86" t="n"/>
      <c r="H945" s="85" t="n"/>
      <c r="I945" s="85" t="n"/>
      <c r="J945" s="85" t="n"/>
      <c r="K945" s="85" t="n"/>
      <c r="L945" s="85" t="n"/>
      <c r="M945" s="85" t="n"/>
      <c r="N945" s="85" t="n"/>
      <c r="O945" s="85" t="n"/>
      <c r="P945" s="85" t="n"/>
      <c r="Q945" s="85" t="n"/>
      <c r="R945" s="85" t="n"/>
      <c r="S945" s="85" t="n"/>
      <c r="T945" s="85" t="n"/>
      <c r="U945" s="85" t="n"/>
      <c r="V945" s="85" t="n"/>
      <c r="W945" s="85" t="n"/>
      <c r="X945" s="85" t="n"/>
      <c r="Y945" s="85" t="n"/>
      <c r="Z945" s="85" t="n"/>
      <c r="AA945" s="85" t="n"/>
      <c r="AB945" s="85" t="n"/>
      <c r="AC945" s="86" t="n"/>
      <c r="AD945" s="86" t="n"/>
      <c r="AE945" s="86" t="n"/>
      <c r="AF945" s="85" t="n"/>
      <c r="AG945" s="85" t="n"/>
      <c r="AH945" s="85">
        <f>IF($A945="","",IF(AND($E945="Yes",OR($V945="No",$V945="NOT FOUND")),"YES",""))</f>
        <v/>
      </c>
      <c r="AI945" s="85">
        <f>IF($A945="","",TRIM(IF(AND($M945=0,$I945&lt;&gt;"Yes"),"T0-NoPhishResistant ","")&amp;IF($H945="No","NoMFA ","")&amp;IF(AND($M945=0,$O945="Group only"),"T0-ViaGroupOnly ","")&amp;IF($N945="Yes","BroadAzureScope ","")&amp;IF($T945="Yes","AlsoEntraRole ","")))</f>
        <v/>
      </c>
      <c r="AJ945" s="85">
        <f>IF($A945="","",IF(AD945="","Not Enrolled",IF(TODAY()&gt;AD945,"Review Overdue",IF(AD945-TODAY()&lt;=30,"Review Due Soon","Active"))))</f>
        <v/>
      </c>
      <c r="AK945" s="85">
        <f>IF($A945="","",IF(AE945="","NOT REVIEWED",IF(TODAY()-AE945&gt;90,"OVERDUE",IF(TODAY()-AE945&gt;76,"Due Soon","Current"))))</f>
        <v/>
      </c>
    </row>
    <row r="946" ht="15" customHeight="1" s="39">
      <c r="A946" s="85" t="n"/>
      <c r="B946" s="85" t="n"/>
      <c r="C946" s="85" t="n"/>
      <c r="D946" s="85" t="n"/>
      <c r="E946" s="85" t="n"/>
      <c r="F946" s="86" t="n"/>
      <c r="G946" s="86" t="n"/>
      <c r="H946" s="85" t="n"/>
      <c r="I946" s="85" t="n"/>
      <c r="J946" s="85" t="n"/>
      <c r="K946" s="85" t="n"/>
      <c r="L946" s="85" t="n"/>
      <c r="M946" s="85" t="n"/>
      <c r="N946" s="85" t="n"/>
      <c r="O946" s="85" t="n"/>
      <c r="P946" s="85" t="n"/>
      <c r="Q946" s="85" t="n"/>
      <c r="R946" s="85" t="n"/>
      <c r="S946" s="85" t="n"/>
      <c r="T946" s="85" t="n"/>
      <c r="U946" s="85" t="n"/>
      <c r="V946" s="85" t="n"/>
      <c r="W946" s="85" t="n"/>
      <c r="X946" s="85" t="n"/>
      <c r="Y946" s="85" t="n"/>
      <c r="Z946" s="85" t="n"/>
      <c r="AA946" s="85" t="n"/>
      <c r="AB946" s="85" t="n"/>
      <c r="AC946" s="86" t="n"/>
      <c r="AD946" s="86" t="n"/>
      <c r="AE946" s="86" t="n"/>
      <c r="AF946" s="85" t="n"/>
      <c r="AG946" s="85" t="n"/>
      <c r="AH946" s="85">
        <f>IF($A946="","",IF(AND($E946="Yes",OR($V946="No",$V946="NOT FOUND")),"YES",""))</f>
        <v/>
      </c>
      <c r="AI946" s="85">
        <f>IF($A946="","",TRIM(IF(AND($M946=0,$I946&lt;&gt;"Yes"),"T0-NoPhishResistant ","")&amp;IF($H946="No","NoMFA ","")&amp;IF(AND($M946=0,$O946="Group only"),"T0-ViaGroupOnly ","")&amp;IF($N946="Yes","BroadAzureScope ","")&amp;IF($T946="Yes","AlsoEntraRole ","")))</f>
        <v/>
      </c>
      <c r="AJ946" s="85">
        <f>IF($A946="","",IF(AD946="","Not Enrolled",IF(TODAY()&gt;AD946,"Review Overdue",IF(AD946-TODAY()&lt;=30,"Review Due Soon","Active"))))</f>
        <v/>
      </c>
      <c r="AK946" s="85">
        <f>IF($A946="","",IF(AE946="","NOT REVIEWED",IF(TODAY()-AE946&gt;90,"OVERDUE",IF(TODAY()-AE946&gt;76,"Due Soon","Current"))))</f>
        <v/>
      </c>
    </row>
    <row r="947" ht="15" customHeight="1" s="39">
      <c r="A947" s="85" t="n"/>
      <c r="B947" s="85" t="n"/>
      <c r="C947" s="85" t="n"/>
      <c r="D947" s="85" t="n"/>
      <c r="E947" s="85" t="n"/>
      <c r="F947" s="86" t="n"/>
      <c r="G947" s="86" t="n"/>
      <c r="H947" s="85" t="n"/>
      <c r="I947" s="85" t="n"/>
      <c r="J947" s="85" t="n"/>
      <c r="K947" s="85" t="n"/>
      <c r="L947" s="85" t="n"/>
      <c r="M947" s="85" t="n"/>
      <c r="N947" s="85" t="n"/>
      <c r="O947" s="85" t="n"/>
      <c r="P947" s="85" t="n"/>
      <c r="Q947" s="85" t="n"/>
      <c r="R947" s="85" t="n"/>
      <c r="S947" s="85" t="n"/>
      <c r="T947" s="85" t="n"/>
      <c r="U947" s="85" t="n"/>
      <c r="V947" s="85" t="n"/>
      <c r="W947" s="85" t="n"/>
      <c r="X947" s="85" t="n"/>
      <c r="Y947" s="85" t="n"/>
      <c r="Z947" s="85" t="n"/>
      <c r="AA947" s="85" t="n"/>
      <c r="AB947" s="85" t="n"/>
      <c r="AC947" s="86" t="n"/>
      <c r="AD947" s="86" t="n"/>
      <c r="AE947" s="86" t="n"/>
      <c r="AF947" s="85" t="n"/>
      <c r="AG947" s="85" t="n"/>
      <c r="AH947" s="85">
        <f>IF($A947="","",IF(AND($E947="Yes",OR($V947="No",$V947="NOT FOUND")),"YES",""))</f>
        <v/>
      </c>
      <c r="AI947" s="85">
        <f>IF($A947="","",TRIM(IF(AND($M947=0,$I947&lt;&gt;"Yes"),"T0-NoPhishResistant ","")&amp;IF($H947="No","NoMFA ","")&amp;IF(AND($M947=0,$O947="Group only"),"T0-ViaGroupOnly ","")&amp;IF($N947="Yes","BroadAzureScope ","")&amp;IF($T947="Yes","AlsoEntraRole ","")))</f>
        <v/>
      </c>
      <c r="AJ947" s="85">
        <f>IF($A947="","",IF(AD947="","Not Enrolled",IF(TODAY()&gt;AD947,"Review Overdue",IF(AD947-TODAY()&lt;=30,"Review Due Soon","Active"))))</f>
        <v/>
      </c>
      <c r="AK947" s="85">
        <f>IF($A947="","",IF(AE947="","NOT REVIEWED",IF(TODAY()-AE947&gt;90,"OVERDUE",IF(TODAY()-AE947&gt;76,"Due Soon","Current"))))</f>
        <v/>
      </c>
    </row>
    <row r="948" ht="15" customHeight="1" s="39">
      <c r="A948" s="85" t="n"/>
      <c r="B948" s="85" t="n"/>
      <c r="C948" s="85" t="n"/>
      <c r="D948" s="85" t="n"/>
      <c r="E948" s="85" t="n"/>
      <c r="F948" s="86" t="n"/>
      <c r="G948" s="86" t="n"/>
      <c r="H948" s="85" t="n"/>
      <c r="I948" s="85" t="n"/>
      <c r="J948" s="85" t="n"/>
      <c r="K948" s="85" t="n"/>
      <c r="L948" s="85" t="n"/>
      <c r="M948" s="85" t="n"/>
      <c r="N948" s="85" t="n"/>
      <c r="O948" s="85" t="n"/>
      <c r="P948" s="85" t="n"/>
      <c r="Q948" s="85" t="n"/>
      <c r="R948" s="85" t="n"/>
      <c r="S948" s="85" t="n"/>
      <c r="T948" s="85" t="n"/>
      <c r="U948" s="85" t="n"/>
      <c r="V948" s="85" t="n"/>
      <c r="W948" s="85" t="n"/>
      <c r="X948" s="85" t="n"/>
      <c r="Y948" s="85" t="n"/>
      <c r="Z948" s="85" t="n"/>
      <c r="AA948" s="85" t="n"/>
      <c r="AB948" s="85" t="n"/>
      <c r="AC948" s="86" t="n"/>
      <c r="AD948" s="86" t="n"/>
      <c r="AE948" s="86" t="n"/>
      <c r="AF948" s="85" t="n"/>
      <c r="AG948" s="85" t="n"/>
      <c r="AH948" s="85">
        <f>IF($A948="","",IF(AND($E948="Yes",OR($V948="No",$V948="NOT FOUND")),"YES",""))</f>
        <v/>
      </c>
      <c r="AI948" s="85">
        <f>IF($A948="","",TRIM(IF(AND($M948=0,$I948&lt;&gt;"Yes"),"T0-NoPhishResistant ","")&amp;IF($H948="No","NoMFA ","")&amp;IF(AND($M948=0,$O948="Group only"),"T0-ViaGroupOnly ","")&amp;IF($N948="Yes","BroadAzureScope ","")&amp;IF($T948="Yes","AlsoEntraRole ","")))</f>
        <v/>
      </c>
      <c r="AJ948" s="85">
        <f>IF($A948="","",IF(AD948="","Not Enrolled",IF(TODAY()&gt;AD948,"Review Overdue",IF(AD948-TODAY()&lt;=30,"Review Due Soon","Active"))))</f>
        <v/>
      </c>
      <c r="AK948" s="85">
        <f>IF($A948="","",IF(AE948="","NOT REVIEWED",IF(TODAY()-AE948&gt;90,"OVERDUE",IF(TODAY()-AE948&gt;76,"Due Soon","Current"))))</f>
        <v/>
      </c>
    </row>
    <row r="949" ht="15" customHeight="1" s="39">
      <c r="A949" s="85" t="n"/>
      <c r="B949" s="85" t="n"/>
      <c r="C949" s="85" t="n"/>
      <c r="D949" s="85" t="n"/>
      <c r="E949" s="85" t="n"/>
      <c r="F949" s="86" t="n"/>
      <c r="G949" s="86" t="n"/>
      <c r="H949" s="85" t="n"/>
      <c r="I949" s="85" t="n"/>
      <c r="J949" s="85" t="n"/>
      <c r="K949" s="85" t="n"/>
      <c r="L949" s="85" t="n"/>
      <c r="M949" s="85" t="n"/>
      <c r="N949" s="85" t="n"/>
      <c r="O949" s="85" t="n"/>
      <c r="P949" s="85" t="n"/>
      <c r="Q949" s="85" t="n"/>
      <c r="R949" s="85" t="n"/>
      <c r="S949" s="85" t="n"/>
      <c r="T949" s="85" t="n"/>
      <c r="U949" s="85" t="n"/>
      <c r="V949" s="85" t="n"/>
      <c r="W949" s="85" t="n"/>
      <c r="X949" s="85" t="n"/>
      <c r="Y949" s="85" t="n"/>
      <c r="Z949" s="85" t="n"/>
      <c r="AA949" s="85" t="n"/>
      <c r="AB949" s="85" t="n"/>
      <c r="AC949" s="86" t="n"/>
      <c r="AD949" s="86" t="n"/>
      <c r="AE949" s="86" t="n"/>
      <c r="AF949" s="85" t="n"/>
      <c r="AG949" s="85" t="n"/>
      <c r="AH949" s="85">
        <f>IF($A949="","",IF(AND($E949="Yes",OR($V949="No",$V949="NOT FOUND")),"YES",""))</f>
        <v/>
      </c>
      <c r="AI949" s="85">
        <f>IF($A949="","",TRIM(IF(AND($M949=0,$I949&lt;&gt;"Yes"),"T0-NoPhishResistant ","")&amp;IF($H949="No","NoMFA ","")&amp;IF(AND($M949=0,$O949="Group only"),"T0-ViaGroupOnly ","")&amp;IF($N949="Yes","BroadAzureScope ","")&amp;IF($T949="Yes","AlsoEntraRole ","")))</f>
        <v/>
      </c>
      <c r="AJ949" s="85">
        <f>IF($A949="","",IF(AD949="","Not Enrolled",IF(TODAY()&gt;AD949,"Review Overdue",IF(AD949-TODAY()&lt;=30,"Review Due Soon","Active"))))</f>
        <v/>
      </c>
      <c r="AK949" s="85">
        <f>IF($A949="","",IF(AE949="","NOT REVIEWED",IF(TODAY()-AE949&gt;90,"OVERDUE",IF(TODAY()-AE949&gt;76,"Due Soon","Current"))))</f>
        <v/>
      </c>
    </row>
    <row r="950" ht="15" customHeight="1" s="39">
      <c r="A950" s="85" t="n"/>
      <c r="B950" s="85" t="n"/>
      <c r="C950" s="85" t="n"/>
      <c r="D950" s="85" t="n"/>
      <c r="E950" s="85" t="n"/>
      <c r="F950" s="86" t="n"/>
      <c r="G950" s="86" t="n"/>
      <c r="H950" s="85" t="n"/>
      <c r="I950" s="85" t="n"/>
      <c r="J950" s="85" t="n"/>
      <c r="K950" s="85" t="n"/>
      <c r="L950" s="85" t="n"/>
      <c r="M950" s="85" t="n"/>
      <c r="N950" s="85" t="n"/>
      <c r="O950" s="85" t="n"/>
      <c r="P950" s="85" t="n"/>
      <c r="Q950" s="85" t="n"/>
      <c r="R950" s="85" t="n"/>
      <c r="S950" s="85" t="n"/>
      <c r="T950" s="85" t="n"/>
      <c r="U950" s="85" t="n"/>
      <c r="V950" s="85" t="n"/>
      <c r="W950" s="85" t="n"/>
      <c r="X950" s="85" t="n"/>
      <c r="Y950" s="85" t="n"/>
      <c r="Z950" s="85" t="n"/>
      <c r="AA950" s="85" t="n"/>
      <c r="AB950" s="85" t="n"/>
      <c r="AC950" s="86" t="n"/>
      <c r="AD950" s="86" t="n"/>
      <c r="AE950" s="86" t="n"/>
      <c r="AF950" s="85" t="n"/>
      <c r="AG950" s="85" t="n"/>
      <c r="AH950" s="85">
        <f>IF($A950="","",IF(AND($E950="Yes",OR($V950="No",$V950="NOT FOUND")),"YES",""))</f>
        <v/>
      </c>
      <c r="AI950" s="85">
        <f>IF($A950="","",TRIM(IF(AND($M950=0,$I950&lt;&gt;"Yes"),"T0-NoPhishResistant ","")&amp;IF($H950="No","NoMFA ","")&amp;IF(AND($M950=0,$O950="Group only"),"T0-ViaGroupOnly ","")&amp;IF($N950="Yes","BroadAzureScope ","")&amp;IF($T950="Yes","AlsoEntraRole ","")))</f>
        <v/>
      </c>
      <c r="AJ950" s="85">
        <f>IF($A950="","",IF(AD950="","Not Enrolled",IF(TODAY()&gt;AD950,"Review Overdue",IF(AD950-TODAY()&lt;=30,"Review Due Soon","Active"))))</f>
        <v/>
      </c>
      <c r="AK950" s="85">
        <f>IF($A950="","",IF(AE950="","NOT REVIEWED",IF(TODAY()-AE950&gt;90,"OVERDUE",IF(TODAY()-AE950&gt;76,"Due Soon","Current"))))</f>
        <v/>
      </c>
    </row>
    <row r="951" ht="15" customHeight="1" s="39">
      <c r="A951" s="85" t="n"/>
      <c r="B951" s="85" t="n"/>
      <c r="C951" s="85" t="n"/>
      <c r="D951" s="85" t="n"/>
      <c r="E951" s="85" t="n"/>
      <c r="F951" s="86" t="n"/>
      <c r="G951" s="86" t="n"/>
      <c r="H951" s="85" t="n"/>
      <c r="I951" s="85" t="n"/>
      <c r="J951" s="85" t="n"/>
      <c r="K951" s="85" t="n"/>
      <c r="L951" s="85" t="n"/>
      <c r="M951" s="85" t="n"/>
      <c r="N951" s="85" t="n"/>
      <c r="O951" s="85" t="n"/>
      <c r="P951" s="85" t="n"/>
      <c r="Q951" s="85" t="n"/>
      <c r="R951" s="85" t="n"/>
      <c r="S951" s="85" t="n"/>
      <c r="T951" s="85" t="n"/>
      <c r="U951" s="85" t="n"/>
      <c r="V951" s="85" t="n"/>
      <c r="W951" s="85" t="n"/>
      <c r="X951" s="85" t="n"/>
      <c r="Y951" s="85" t="n"/>
      <c r="Z951" s="85" t="n"/>
      <c r="AA951" s="85" t="n"/>
      <c r="AB951" s="85" t="n"/>
      <c r="AC951" s="86" t="n"/>
      <c r="AD951" s="86" t="n"/>
      <c r="AE951" s="86" t="n"/>
      <c r="AF951" s="85" t="n"/>
      <c r="AG951" s="85" t="n"/>
      <c r="AH951" s="85">
        <f>IF($A951="","",IF(AND($E951="Yes",OR($V951="No",$V951="NOT FOUND")),"YES",""))</f>
        <v/>
      </c>
      <c r="AI951" s="85">
        <f>IF($A951="","",TRIM(IF(AND($M951=0,$I951&lt;&gt;"Yes"),"T0-NoPhishResistant ","")&amp;IF($H951="No","NoMFA ","")&amp;IF(AND($M951=0,$O951="Group only"),"T0-ViaGroupOnly ","")&amp;IF($N951="Yes","BroadAzureScope ","")&amp;IF($T951="Yes","AlsoEntraRole ","")))</f>
        <v/>
      </c>
      <c r="AJ951" s="85">
        <f>IF($A951="","",IF(AD951="","Not Enrolled",IF(TODAY()&gt;AD951,"Review Overdue",IF(AD951-TODAY()&lt;=30,"Review Due Soon","Active"))))</f>
        <v/>
      </c>
      <c r="AK951" s="85">
        <f>IF($A951="","",IF(AE951="","NOT REVIEWED",IF(TODAY()-AE951&gt;90,"OVERDUE",IF(TODAY()-AE951&gt;76,"Due Soon","Current"))))</f>
        <v/>
      </c>
    </row>
    <row r="952" ht="15" customHeight="1" s="39">
      <c r="A952" s="85" t="n"/>
      <c r="B952" s="85" t="n"/>
      <c r="C952" s="85" t="n"/>
      <c r="D952" s="85" t="n"/>
      <c r="E952" s="85" t="n"/>
      <c r="F952" s="86" t="n"/>
      <c r="G952" s="86" t="n"/>
      <c r="H952" s="85" t="n"/>
      <c r="I952" s="85" t="n"/>
      <c r="J952" s="85" t="n"/>
      <c r="K952" s="85" t="n"/>
      <c r="L952" s="85" t="n"/>
      <c r="M952" s="85" t="n"/>
      <c r="N952" s="85" t="n"/>
      <c r="O952" s="85" t="n"/>
      <c r="P952" s="85" t="n"/>
      <c r="Q952" s="85" t="n"/>
      <c r="R952" s="85" t="n"/>
      <c r="S952" s="85" t="n"/>
      <c r="T952" s="85" t="n"/>
      <c r="U952" s="85" t="n"/>
      <c r="V952" s="85" t="n"/>
      <c r="W952" s="85" t="n"/>
      <c r="X952" s="85" t="n"/>
      <c r="Y952" s="85" t="n"/>
      <c r="Z952" s="85" t="n"/>
      <c r="AA952" s="85" t="n"/>
      <c r="AB952" s="85" t="n"/>
      <c r="AC952" s="86" t="n"/>
      <c r="AD952" s="86" t="n"/>
      <c r="AE952" s="86" t="n"/>
      <c r="AF952" s="85" t="n"/>
      <c r="AG952" s="85" t="n"/>
      <c r="AH952" s="85">
        <f>IF($A952="","",IF(AND($E952="Yes",OR($V952="No",$V952="NOT FOUND")),"YES",""))</f>
        <v/>
      </c>
      <c r="AI952" s="85">
        <f>IF($A952="","",TRIM(IF(AND($M952=0,$I952&lt;&gt;"Yes"),"T0-NoPhishResistant ","")&amp;IF($H952="No","NoMFA ","")&amp;IF(AND($M952=0,$O952="Group only"),"T0-ViaGroupOnly ","")&amp;IF($N952="Yes","BroadAzureScope ","")&amp;IF($T952="Yes","AlsoEntraRole ","")))</f>
        <v/>
      </c>
      <c r="AJ952" s="85">
        <f>IF($A952="","",IF(AD952="","Not Enrolled",IF(TODAY()&gt;AD952,"Review Overdue",IF(AD952-TODAY()&lt;=30,"Review Due Soon","Active"))))</f>
        <v/>
      </c>
      <c r="AK952" s="85">
        <f>IF($A952="","",IF(AE952="","NOT REVIEWED",IF(TODAY()-AE952&gt;90,"OVERDUE",IF(TODAY()-AE952&gt;76,"Due Soon","Current"))))</f>
        <v/>
      </c>
    </row>
    <row r="953" ht="15" customHeight="1" s="39">
      <c r="A953" s="85" t="n"/>
      <c r="B953" s="85" t="n"/>
      <c r="C953" s="85" t="n"/>
      <c r="D953" s="85" t="n"/>
      <c r="E953" s="85" t="n"/>
      <c r="F953" s="86" t="n"/>
      <c r="G953" s="86" t="n"/>
      <c r="H953" s="85" t="n"/>
      <c r="I953" s="85" t="n"/>
      <c r="J953" s="85" t="n"/>
      <c r="K953" s="85" t="n"/>
      <c r="L953" s="85" t="n"/>
      <c r="M953" s="85" t="n"/>
      <c r="N953" s="85" t="n"/>
      <c r="O953" s="85" t="n"/>
      <c r="P953" s="85" t="n"/>
      <c r="Q953" s="85" t="n"/>
      <c r="R953" s="85" t="n"/>
      <c r="S953" s="85" t="n"/>
      <c r="T953" s="85" t="n"/>
      <c r="U953" s="85" t="n"/>
      <c r="V953" s="85" t="n"/>
      <c r="W953" s="85" t="n"/>
      <c r="X953" s="85" t="n"/>
      <c r="Y953" s="85" t="n"/>
      <c r="Z953" s="85" t="n"/>
      <c r="AA953" s="85" t="n"/>
      <c r="AB953" s="85" t="n"/>
      <c r="AC953" s="86" t="n"/>
      <c r="AD953" s="86" t="n"/>
      <c r="AE953" s="86" t="n"/>
      <c r="AF953" s="85" t="n"/>
      <c r="AG953" s="85" t="n"/>
      <c r="AH953" s="85">
        <f>IF($A953="","",IF(AND($E953="Yes",OR($V953="No",$V953="NOT FOUND")),"YES",""))</f>
        <v/>
      </c>
      <c r="AI953" s="85">
        <f>IF($A953="","",TRIM(IF(AND($M953=0,$I953&lt;&gt;"Yes"),"T0-NoPhishResistant ","")&amp;IF($H953="No","NoMFA ","")&amp;IF(AND($M953=0,$O953="Group only"),"T0-ViaGroupOnly ","")&amp;IF($N953="Yes","BroadAzureScope ","")&amp;IF($T953="Yes","AlsoEntraRole ","")))</f>
        <v/>
      </c>
      <c r="AJ953" s="85">
        <f>IF($A953="","",IF(AD953="","Not Enrolled",IF(TODAY()&gt;AD953,"Review Overdue",IF(AD953-TODAY()&lt;=30,"Review Due Soon","Active"))))</f>
        <v/>
      </c>
      <c r="AK953" s="85">
        <f>IF($A953="","",IF(AE953="","NOT REVIEWED",IF(TODAY()-AE953&gt;90,"OVERDUE",IF(TODAY()-AE953&gt;76,"Due Soon","Current"))))</f>
        <v/>
      </c>
    </row>
    <row r="954" ht="15" customHeight="1" s="39">
      <c r="A954" s="85" t="n"/>
      <c r="B954" s="85" t="n"/>
      <c r="C954" s="85" t="n"/>
      <c r="D954" s="85" t="n"/>
      <c r="E954" s="85" t="n"/>
      <c r="F954" s="86" t="n"/>
      <c r="G954" s="86" t="n"/>
      <c r="H954" s="85" t="n"/>
      <c r="I954" s="85" t="n"/>
      <c r="J954" s="85" t="n"/>
      <c r="K954" s="85" t="n"/>
      <c r="L954" s="85" t="n"/>
      <c r="M954" s="85" t="n"/>
      <c r="N954" s="85" t="n"/>
      <c r="O954" s="85" t="n"/>
      <c r="P954" s="85" t="n"/>
      <c r="Q954" s="85" t="n"/>
      <c r="R954" s="85" t="n"/>
      <c r="S954" s="85" t="n"/>
      <c r="T954" s="85" t="n"/>
      <c r="U954" s="85" t="n"/>
      <c r="V954" s="85" t="n"/>
      <c r="W954" s="85" t="n"/>
      <c r="X954" s="85" t="n"/>
      <c r="Y954" s="85" t="n"/>
      <c r="Z954" s="85" t="n"/>
      <c r="AA954" s="85" t="n"/>
      <c r="AB954" s="85" t="n"/>
      <c r="AC954" s="86" t="n"/>
      <c r="AD954" s="86" t="n"/>
      <c r="AE954" s="86" t="n"/>
      <c r="AF954" s="85" t="n"/>
      <c r="AG954" s="85" t="n"/>
      <c r="AH954" s="85">
        <f>IF($A954="","",IF(AND($E954="Yes",OR($V954="No",$V954="NOT FOUND")),"YES",""))</f>
        <v/>
      </c>
      <c r="AI954" s="85">
        <f>IF($A954="","",TRIM(IF(AND($M954=0,$I954&lt;&gt;"Yes"),"T0-NoPhishResistant ","")&amp;IF($H954="No","NoMFA ","")&amp;IF(AND($M954=0,$O954="Group only"),"T0-ViaGroupOnly ","")&amp;IF($N954="Yes","BroadAzureScope ","")&amp;IF($T954="Yes","AlsoEntraRole ","")))</f>
        <v/>
      </c>
      <c r="AJ954" s="85">
        <f>IF($A954="","",IF(AD954="","Not Enrolled",IF(TODAY()&gt;AD954,"Review Overdue",IF(AD954-TODAY()&lt;=30,"Review Due Soon","Active"))))</f>
        <v/>
      </c>
      <c r="AK954" s="85">
        <f>IF($A954="","",IF(AE954="","NOT REVIEWED",IF(TODAY()-AE954&gt;90,"OVERDUE",IF(TODAY()-AE954&gt;76,"Due Soon","Current"))))</f>
        <v/>
      </c>
    </row>
    <row r="955" ht="15" customHeight="1" s="39">
      <c r="A955" s="85" t="n"/>
      <c r="B955" s="85" t="n"/>
      <c r="C955" s="85" t="n"/>
      <c r="D955" s="85" t="n"/>
      <c r="E955" s="85" t="n"/>
      <c r="F955" s="86" t="n"/>
      <c r="G955" s="86" t="n"/>
      <c r="H955" s="85" t="n"/>
      <c r="I955" s="85" t="n"/>
      <c r="J955" s="85" t="n"/>
      <c r="K955" s="85" t="n"/>
      <c r="L955" s="85" t="n"/>
      <c r="M955" s="85" t="n"/>
      <c r="N955" s="85" t="n"/>
      <c r="O955" s="85" t="n"/>
      <c r="P955" s="85" t="n"/>
      <c r="Q955" s="85" t="n"/>
      <c r="R955" s="85" t="n"/>
      <c r="S955" s="85" t="n"/>
      <c r="T955" s="85" t="n"/>
      <c r="U955" s="85" t="n"/>
      <c r="V955" s="85" t="n"/>
      <c r="W955" s="85" t="n"/>
      <c r="X955" s="85" t="n"/>
      <c r="Y955" s="85" t="n"/>
      <c r="Z955" s="85" t="n"/>
      <c r="AA955" s="85" t="n"/>
      <c r="AB955" s="85" t="n"/>
      <c r="AC955" s="86" t="n"/>
      <c r="AD955" s="86" t="n"/>
      <c r="AE955" s="86" t="n"/>
      <c r="AF955" s="85" t="n"/>
      <c r="AG955" s="85" t="n"/>
      <c r="AH955" s="85">
        <f>IF($A955="","",IF(AND($E955="Yes",OR($V955="No",$V955="NOT FOUND")),"YES",""))</f>
        <v/>
      </c>
      <c r="AI955" s="85">
        <f>IF($A955="","",TRIM(IF(AND($M955=0,$I955&lt;&gt;"Yes"),"T0-NoPhishResistant ","")&amp;IF($H955="No","NoMFA ","")&amp;IF(AND($M955=0,$O955="Group only"),"T0-ViaGroupOnly ","")&amp;IF($N955="Yes","BroadAzureScope ","")&amp;IF($T955="Yes","AlsoEntraRole ","")))</f>
        <v/>
      </c>
      <c r="AJ955" s="85">
        <f>IF($A955="","",IF(AD955="","Not Enrolled",IF(TODAY()&gt;AD955,"Review Overdue",IF(AD955-TODAY()&lt;=30,"Review Due Soon","Active"))))</f>
        <v/>
      </c>
      <c r="AK955" s="85">
        <f>IF($A955="","",IF(AE955="","NOT REVIEWED",IF(TODAY()-AE955&gt;90,"OVERDUE",IF(TODAY()-AE955&gt;76,"Due Soon","Current"))))</f>
        <v/>
      </c>
    </row>
    <row r="956" ht="15" customHeight="1" s="39">
      <c r="A956" s="85" t="n"/>
      <c r="B956" s="85" t="n"/>
      <c r="C956" s="85" t="n"/>
      <c r="D956" s="85" t="n"/>
      <c r="E956" s="85" t="n"/>
      <c r="F956" s="86" t="n"/>
      <c r="G956" s="86" t="n"/>
      <c r="H956" s="85" t="n"/>
      <c r="I956" s="85" t="n"/>
      <c r="J956" s="85" t="n"/>
      <c r="K956" s="85" t="n"/>
      <c r="L956" s="85" t="n"/>
      <c r="M956" s="85" t="n"/>
      <c r="N956" s="85" t="n"/>
      <c r="O956" s="85" t="n"/>
      <c r="P956" s="85" t="n"/>
      <c r="Q956" s="85" t="n"/>
      <c r="R956" s="85" t="n"/>
      <c r="S956" s="85" t="n"/>
      <c r="T956" s="85" t="n"/>
      <c r="U956" s="85" t="n"/>
      <c r="V956" s="85" t="n"/>
      <c r="W956" s="85" t="n"/>
      <c r="X956" s="85" t="n"/>
      <c r="Y956" s="85" t="n"/>
      <c r="Z956" s="85" t="n"/>
      <c r="AA956" s="85" t="n"/>
      <c r="AB956" s="85" t="n"/>
      <c r="AC956" s="86" t="n"/>
      <c r="AD956" s="86" t="n"/>
      <c r="AE956" s="86" t="n"/>
      <c r="AF956" s="85" t="n"/>
      <c r="AG956" s="85" t="n"/>
      <c r="AH956" s="85">
        <f>IF($A956="","",IF(AND($E956="Yes",OR($V956="No",$V956="NOT FOUND")),"YES",""))</f>
        <v/>
      </c>
      <c r="AI956" s="85">
        <f>IF($A956="","",TRIM(IF(AND($M956=0,$I956&lt;&gt;"Yes"),"T0-NoPhishResistant ","")&amp;IF($H956="No","NoMFA ","")&amp;IF(AND($M956=0,$O956="Group only"),"T0-ViaGroupOnly ","")&amp;IF($N956="Yes","BroadAzureScope ","")&amp;IF($T956="Yes","AlsoEntraRole ","")))</f>
        <v/>
      </c>
      <c r="AJ956" s="85">
        <f>IF($A956="","",IF(AD956="","Not Enrolled",IF(TODAY()&gt;AD956,"Review Overdue",IF(AD956-TODAY()&lt;=30,"Review Due Soon","Active"))))</f>
        <v/>
      </c>
      <c r="AK956" s="85">
        <f>IF($A956="","",IF(AE956="","NOT REVIEWED",IF(TODAY()-AE956&gt;90,"OVERDUE",IF(TODAY()-AE956&gt;76,"Due Soon","Current"))))</f>
        <v/>
      </c>
    </row>
    <row r="957" ht="15" customHeight="1" s="39">
      <c r="A957" s="85" t="n"/>
      <c r="B957" s="85" t="n"/>
      <c r="C957" s="85" t="n"/>
      <c r="D957" s="85" t="n"/>
      <c r="E957" s="85" t="n"/>
      <c r="F957" s="86" t="n"/>
      <c r="G957" s="86" t="n"/>
      <c r="H957" s="85" t="n"/>
      <c r="I957" s="85" t="n"/>
      <c r="J957" s="85" t="n"/>
      <c r="K957" s="85" t="n"/>
      <c r="L957" s="85" t="n"/>
      <c r="M957" s="85" t="n"/>
      <c r="N957" s="85" t="n"/>
      <c r="O957" s="85" t="n"/>
      <c r="P957" s="85" t="n"/>
      <c r="Q957" s="85" t="n"/>
      <c r="R957" s="85" t="n"/>
      <c r="S957" s="85" t="n"/>
      <c r="T957" s="85" t="n"/>
      <c r="U957" s="85" t="n"/>
      <c r="V957" s="85" t="n"/>
      <c r="W957" s="85" t="n"/>
      <c r="X957" s="85" t="n"/>
      <c r="Y957" s="85" t="n"/>
      <c r="Z957" s="85" t="n"/>
      <c r="AA957" s="85" t="n"/>
      <c r="AB957" s="85" t="n"/>
      <c r="AC957" s="86" t="n"/>
      <c r="AD957" s="86" t="n"/>
      <c r="AE957" s="86" t="n"/>
      <c r="AF957" s="85" t="n"/>
      <c r="AG957" s="85" t="n"/>
      <c r="AH957" s="85">
        <f>IF($A957="","",IF(AND($E957="Yes",OR($V957="No",$V957="NOT FOUND")),"YES",""))</f>
        <v/>
      </c>
      <c r="AI957" s="85">
        <f>IF($A957="","",TRIM(IF(AND($M957=0,$I957&lt;&gt;"Yes"),"T0-NoPhishResistant ","")&amp;IF($H957="No","NoMFA ","")&amp;IF(AND($M957=0,$O957="Group only"),"T0-ViaGroupOnly ","")&amp;IF($N957="Yes","BroadAzureScope ","")&amp;IF($T957="Yes","AlsoEntraRole ","")))</f>
        <v/>
      </c>
      <c r="AJ957" s="85">
        <f>IF($A957="","",IF(AD957="","Not Enrolled",IF(TODAY()&gt;AD957,"Review Overdue",IF(AD957-TODAY()&lt;=30,"Review Due Soon","Active"))))</f>
        <v/>
      </c>
      <c r="AK957" s="85">
        <f>IF($A957="","",IF(AE957="","NOT REVIEWED",IF(TODAY()-AE957&gt;90,"OVERDUE",IF(TODAY()-AE957&gt;76,"Due Soon","Current"))))</f>
        <v/>
      </c>
    </row>
    <row r="958" ht="15" customHeight="1" s="39">
      <c r="A958" s="85" t="n"/>
      <c r="B958" s="85" t="n"/>
      <c r="C958" s="85" t="n"/>
      <c r="D958" s="85" t="n"/>
      <c r="E958" s="85" t="n"/>
      <c r="F958" s="86" t="n"/>
      <c r="G958" s="86" t="n"/>
      <c r="H958" s="85" t="n"/>
      <c r="I958" s="85" t="n"/>
      <c r="J958" s="85" t="n"/>
      <c r="K958" s="85" t="n"/>
      <c r="L958" s="85" t="n"/>
      <c r="M958" s="85" t="n"/>
      <c r="N958" s="85" t="n"/>
      <c r="O958" s="85" t="n"/>
      <c r="P958" s="85" t="n"/>
      <c r="Q958" s="85" t="n"/>
      <c r="R958" s="85" t="n"/>
      <c r="S958" s="85" t="n"/>
      <c r="T958" s="85" t="n"/>
      <c r="U958" s="85" t="n"/>
      <c r="V958" s="85" t="n"/>
      <c r="W958" s="85" t="n"/>
      <c r="X958" s="85" t="n"/>
      <c r="Y958" s="85" t="n"/>
      <c r="Z958" s="85" t="n"/>
      <c r="AA958" s="85" t="n"/>
      <c r="AB958" s="85" t="n"/>
      <c r="AC958" s="86" t="n"/>
      <c r="AD958" s="86" t="n"/>
      <c r="AE958" s="86" t="n"/>
      <c r="AF958" s="85" t="n"/>
      <c r="AG958" s="85" t="n"/>
      <c r="AH958" s="85">
        <f>IF($A958="","",IF(AND($E958="Yes",OR($V958="No",$V958="NOT FOUND")),"YES",""))</f>
        <v/>
      </c>
      <c r="AI958" s="85">
        <f>IF($A958="","",TRIM(IF(AND($M958=0,$I958&lt;&gt;"Yes"),"T0-NoPhishResistant ","")&amp;IF($H958="No","NoMFA ","")&amp;IF(AND($M958=0,$O958="Group only"),"T0-ViaGroupOnly ","")&amp;IF($N958="Yes","BroadAzureScope ","")&amp;IF($T958="Yes","AlsoEntraRole ","")))</f>
        <v/>
      </c>
      <c r="AJ958" s="85">
        <f>IF($A958="","",IF(AD958="","Not Enrolled",IF(TODAY()&gt;AD958,"Review Overdue",IF(AD958-TODAY()&lt;=30,"Review Due Soon","Active"))))</f>
        <v/>
      </c>
      <c r="AK958" s="85">
        <f>IF($A958="","",IF(AE958="","NOT REVIEWED",IF(TODAY()-AE958&gt;90,"OVERDUE",IF(TODAY()-AE958&gt;76,"Due Soon","Current"))))</f>
        <v/>
      </c>
    </row>
    <row r="959" ht="15" customHeight="1" s="39">
      <c r="A959" s="85" t="n"/>
      <c r="B959" s="85" t="n"/>
      <c r="C959" s="85" t="n"/>
      <c r="D959" s="85" t="n"/>
      <c r="E959" s="85" t="n"/>
      <c r="F959" s="86" t="n"/>
      <c r="G959" s="86" t="n"/>
      <c r="H959" s="85" t="n"/>
      <c r="I959" s="85" t="n"/>
      <c r="J959" s="85" t="n"/>
      <c r="K959" s="85" t="n"/>
      <c r="L959" s="85" t="n"/>
      <c r="M959" s="85" t="n"/>
      <c r="N959" s="85" t="n"/>
      <c r="O959" s="85" t="n"/>
      <c r="P959" s="85" t="n"/>
      <c r="Q959" s="85" t="n"/>
      <c r="R959" s="85" t="n"/>
      <c r="S959" s="85" t="n"/>
      <c r="T959" s="85" t="n"/>
      <c r="U959" s="85" t="n"/>
      <c r="V959" s="85" t="n"/>
      <c r="W959" s="85" t="n"/>
      <c r="X959" s="85" t="n"/>
      <c r="Y959" s="85" t="n"/>
      <c r="Z959" s="85" t="n"/>
      <c r="AA959" s="85" t="n"/>
      <c r="AB959" s="85" t="n"/>
      <c r="AC959" s="86" t="n"/>
      <c r="AD959" s="86" t="n"/>
      <c r="AE959" s="86" t="n"/>
      <c r="AF959" s="85" t="n"/>
      <c r="AG959" s="85" t="n"/>
      <c r="AH959" s="85">
        <f>IF($A959="","",IF(AND($E959="Yes",OR($V959="No",$V959="NOT FOUND")),"YES",""))</f>
        <v/>
      </c>
      <c r="AI959" s="85">
        <f>IF($A959="","",TRIM(IF(AND($M959=0,$I959&lt;&gt;"Yes"),"T0-NoPhishResistant ","")&amp;IF($H959="No","NoMFA ","")&amp;IF(AND($M959=0,$O959="Group only"),"T0-ViaGroupOnly ","")&amp;IF($N959="Yes","BroadAzureScope ","")&amp;IF($T959="Yes","AlsoEntraRole ","")))</f>
        <v/>
      </c>
      <c r="AJ959" s="85">
        <f>IF($A959="","",IF(AD959="","Not Enrolled",IF(TODAY()&gt;AD959,"Review Overdue",IF(AD959-TODAY()&lt;=30,"Review Due Soon","Active"))))</f>
        <v/>
      </c>
      <c r="AK959" s="85">
        <f>IF($A959="","",IF(AE959="","NOT REVIEWED",IF(TODAY()-AE959&gt;90,"OVERDUE",IF(TODAY()-AE959&gt;76,"Due Soon","Current"))))</f>
        <v/>
      </c>
    </row>
    <row r="960" ht="15" customHeight="1" s="39">
      <c r="A960" s="85" t="n"/>
      <c r="B960" s="85" t="n"/>
      <c r="C960" s="85" t="n"/>
      <c r="D960" s="85" t="n"/>
      <c r="E960" s="85" t="n"/>
      <c r="F960" s="86" t="n"/>
      <c r="G960" s="86" t="n"/>
      <c r="H960" s="85" t="n"/>
      <c r="I960" s="85" t="n"/>
      <c r="J960" s="85" t="n"/>
      <c r="K960" s="85" t="n"/>
      <c r="L960" s="85" t="n"/>
      <c r="M960" s="85" t="n"/>
      <c r="N960" s="85" t="n"/>
      <c r="O960" s="85" t="n"/>
      <c r="P960" s="85" t="n"/>
      <c r="Q960" s="85" t="n"/>
      <c r="R960" s="85" t="n"/>
      <c r="S960" s="85" t="n"/>
      <c r="T960" s="85" t="n"/>
      <c r="U960" s="85" t="n"/>
      <c r="V960" s="85" t="n"/>
      <c r="W960" s="85" t="n"/>
      <c r="X960" s="85" t="n"/>
      <c r="Y960" s="85" t="n"/>
      <c r="Z960" s="85" t="n"/>
      <c r="AA960" s="85" t="n"/>
      <c r="AB960" s="85" t="n"/>
      <c r="AC960" s="86" t="n"/>
      <c r="AD960" s="86" t="n"/>
      <c r="AE960" s="86" t="n"/>
      <c r="AF960" s="85" t="n"/>
      <c r="AG960" s="85" t="n"/>
      <c r="AH960" s="85">
        <f>IF($A960="","",IF(AND($E960="Yes",OR($V960="No",$V960="NOT FOUND")),"YES",""))</f>
        <v/>
      </c>
      <c r="AI960" s="85">
        <f>IF($A960="","",TRIM(IF(AND($M960=0,$I960&lt;&gt;"Yes"),"T0-NoPhishResistant ","")&amp;IF($H960="No","NoMFA ","")&amp;IF(AND($M960=0,$O960="Group only"),"T0-ViaGroupOnly ","")&amp;IF($N960="Yes","BroadAzureScope ","")&amp;IF($T960="Yes","AlsoEntraRole ","")))</f>
        <v/>
      </c>
      <c r="AJ960" s="85">
        <f>IF($A960="","",IF(AD960="","Not Enrolled",IF(TODAY()&gt;AD960,"Review Overdue",IF(AD960-TODAY()&lt;=30,"Review Due Soon","Active"))))</f>
        <v/>
      </c>
      <c r="AK960" s="85">
        <f>IF($A960="","",IF(AE960="","NOT REVIEWED",IF(TODAY()-AE960&gt;90,"OVERDUE",IF(TODAY()-AE960&gt;76,"Due Soon","Current"))))</f>
        <v/>
      </c>
    </row>
    <row r="961" ht="15" customHeight="1" s="39">
      <c r="A961" s="85" t="n"/>
      <c r="B961" s="85" t="n"/>
      <c r="C961" s="85" t="n"/>
      <c r="D961" s="85" t="n"/>
      <c r="E961" s="85" t="n"/>
      <c r="F961" s="86" t="n"/>
      <c r="G961" s="86" t="n"/>
      <c r="H961" s="85" t="n"/>
      <c r="I961" s="85" t="n"/>
      <c r="J961" s="85" t="n"/>
      <c r="K961" s="85" t="n"/>
      <c r="L961" s="85" t="n"/>
      <c r="M961" s="85" t="n"/>
      <c r="N961" s="85" t="n"/>
      <c r="O961" s="85" t="n"/>
      <c r="P961" s="85" t="n"/>
      <c r="Q961" s="85" t="n"/>
      <c r="R961" s="85" t="n"/>
      <c r="S961" s="85" t="n"/>
      <c r="T961" s="85" t="n"/>
      <c r="U961" s="85" t="n"/>
      <c r="V961" s="85" t="n"/>
      <c r="W961" s="85" t="n"/>
      <c r="X961" s="85" t="n"/>
      <c r="Y961" s="85" t="n"/>
      <c r="Z961" s="85" t="n"/>
      <c r="AA961" s="85" t="n"/>
      <c r="AB961" s="85" t="n"/>
      <c r="AC961" s="86" t="n"/>
      <c r="AD961" s="86" t="n"/>
      <c r="AE961" s="86" t="n"/>
      <c r="AF961" s="85" t="n"/>
      <c r="AG961" s="85" t="n"/>
      <c r="AH961" s="85">
        <f>IF($A961="","",IF(AND($E961="Yes",OR($V961="No",$V961="NOT FOUND")),"YES",""))</f>
        <v/>
      </c>
      <c r="AI961" s="85">
        <f>IF($A961="","",TRIM(IF(AND($M961=0,$I961&lt;&gt;"Yes"),"T0-NoPhishResistant ","")&amp;IF($H961="No","NoMFA ","")&amp;IF(AND($M961=0,$O961="Group only"),"T0-ViaGroupOnly ","")&amp;IF($N961="Yes","BroadAzureScope ","")&amp;IF($T961="Yes","AlsoEntraRole ","")))</f>
        <v/>
      </c>
      <c r="AJ961" s="85">
        <f>IF($A961="","",IF(AD961="","Not Enrolled",IF(TODAY()&gt;AD961,"Review Overdue",IF(AD961-TODAY()&lt;=30,"Review Due Soon","Active"))))</f>
        <v/>
      </c>
      <c r="AK961" s="85">
        <f>IF($A961="","",IF(AE961="","NOT REVIEWED",IF(TODAY()-AE961&gt;90,"OVERDUE",IF(TODAY()-AE961&gt;76,"Due Soon","Current"))))</f>
        <v/>
      </c>
    </row>
    <row r="962" ht="15" customHeight="1" s="39">
      <c r="A962" s="85" t="n"/>
      <c r="B962" s="85" t="n"/>
      <c r="C962" s="85" t="n"/>
      <c r="D962" s="85" t="n"/>
      <c r="E962" s="85" t="n"/>
      <c r="F962" s="86" t="n"/>
      <c r="G962" s="86" t="n"/>
      <c r="H962" s="85" t="n"/>
      <c r="I962" s="85" t="n"/>
      <c r="J962" s="85" t="n"/>
      <c r="K962" s="85" t="n"/>
      <c r="L962" s="85" t="n"/>
      <c r="M962" s="85" t="n"/>
      <c r="N962" s="85" t="n"/>
      <c r="O962" s="85" t="n"/>
      <c r="P962" s="85" t="n"/>
      <c r="Q962" s="85" t="n"/>
      <c r="R962" s="85" t="n"/>
      <c r="S962" s="85" t="n"/>
      <c r="T962" s="85" t="n"/>
      <c r="U962" s="85" t="n"/>
      <c r="V962" s="85" t="n"/>
      <c r="W962" s="85" t="n"/>
      <c r="X962" s="85" t="n"/>
      <c r="Y962" s="85" t="n"/>
      <c r="Z962" s="85" t="n"/>
      <c r="AA962" s="85" t="n"/>
      <c r="AB962" s="85" t="n"/>
      <c r="AC962" s="86" t="n"/>
      <c r="AD962" s="86" t="n"/>
      <c r="AE962" s="86" t="n"/>
      <c r="AF962" s="85" t="n"/>
      <c r="AG962" s="85" t="n"/>
      <c r="AH962" s="85">
        <f>IF($A962="","",IF(AND($E962="Yes",OR($V962="No",$V962="NOT FOUND")),"YES",""))</f>
        <v/>
      </c>
      <c r="AI962" s="85">
        <f>IF($A962="","",TRIM(IF(AND($M962=0,$I962&lt;&gt;"Yes"),"T0-NoPhishResistant ","")&amp;IF($H962="No","NoMFA ","")&amp;IF(AND($M962=0,$O962="Group only"),"T0-ViaGroupOnly ","")&amp;IF($N962="Yes","BroadAzureScope ","")&amp;IF($T962="Yes","AlsoEntraRole ","")))</f>
        <v/>
      </c>
      <c r="AJ962" s="85">
        <f>IF($A962="","",IF(AD962="","Not Enrolled",IF(TODAY()&gt;AD962,"Review Overdue",IF(AD962-TODAY()&lt;=30,"Review Due Soon","Active"))))</f>
        <v/>
      </c>
      <c r="AK962" s="85">
        <f>IF($A962="","",IF(AE962="","NOT REVIEWED",IF(TODAY()-AE962&gt;90,"OVERDUE",IF(TODAY()-AE962&gt;76,"Due Soon","Current"))))</f>
        <v/>
      </c>
    </row>
    <row r="963" ht="15" customHeight="1" s="39">
      <c r="A963" s="85" t="n"/>
      <c r="B963" s="85" t="n"/>
      <c r="C963" s="85" t="n"/>
      <c r="D963" s="85" t="n"/>
      <c r="E963" s="85" t="n"/>
      <c r="F963" s="86" t="n"/>
      <c r="G963" s="86" t="n"/>
      <c r="H963" s="85" t="n"/>
      <c r="I963" s="85" t="n"/>
      <c r="J963" s="85" t="n"/>
      <c r="K963" s="85" t="n"/>
      <c r="L963" s="85" t="n"/>
      <c r="M963" s="85" t="n"/>
      <c r="N963" s="85" t="n"/>
      <c r="O963" s="85" t="n"/>
      <c r="P963" s="85" t="n"/>
      <c r="Q963" s="85" t="n"/>
      <c r="R963" s="85" t="n"/>
      <c r="S963" s="85" t="n"/>
      <c r="T963" s="85" t="n"/>
      <c r="U963" s="85" t="n"/>
      <c r="V963" s="85" t="n"/>
      <c r="W963" s="85" t="n"/>
      <c r="X963" s="85" t="n"/>
      <c r="Y963" s="85" t="n"/>
      <c r="Z963" s="85" t="n"/>
      <c r="AA963" s="85" t="n"/>
      <c r="AB963" s="85" t="n"/>
      <c r="AC963" s="86" t="n"/>
      <c r="AD963" s="86" t="n"/>
      <c r="AE963" s="86" t="n"/>
      <c r="AF963" s="85" t="n"/>
      <c r="AG963" s="85" t="n"/>
      <c r="AH963" s="85">
        <f>IF($A963="","",IF(AND($E963="Yes",OR($V963="No",$V963="NOT FOUND")),"YES",""))</f>
        <v/>
      </c>
      <c r="AI963" s="85">
        <f>IF($A963="","",TRIM(IF(AND($M963=0,$I963&lt;&gt;"Yes"),"T0-NoPhishResistant ","")&amp;IF($H963="No","NoMFA ","")&amp;IF(AND($M963=0,$O963="Group only"),"T0-ViaGroupOnly ","")&amp;IF($N963="Yes","BroadAzureScope ","")&amp;IF($T963="Yes","AlsoEntraRole ","")))</f>
        <v/>
      </c>
      <c r="AJ963" s="85">
        <f>IF($A963="","",IF(AD963="","Not Enrolled",IF(TODAY()&gt;AD963,"Review Overdue",IF(AD963-TODAY()&lt;=30,"Review Due Soon","Active"))))</f>
        <v/>
      </c>
      <c r="AK963" s="85">
        <f>IF($A963="","",IF(AE963="","NOT REVIEWED",IF(TODAY()-AE963&gt;90,"OVERDUE",IF(TODAY()-AE963&gt;76,"Due Soon","Current"))))</f>
        <v/>
      </c>
    </row>
    <row r="964" ht="15" customHeight="1" s="39">
      <c r="A964" s="85" t="n"/>
      <c r="B964" s="85" t="n"/>
      <c r="C964" s="85" t="n"/>
      <c r="D964" s="85" t="n"/>
      <c r="E964" s="85" t="n"/>
      <c r="F964" s="86" t="n"/>
      <c r="G964" s="86" t="n"/>
      <c r="H964" s="85" t="n"/>
      <c r="I964" s="85" t="n"/>
      <c r="J964" s="85" t="n"/>
      <c r="K964" s="85" t="n"/>
      <c r="L964" s="85" t="n"/>
      <c r="M964" s="85" t="n"/>
      <c r="N964" s="85" t="n"/>
      <c r="O964" s="85" t="n"/>
      <c r="P964" s="85" t="n"/>
      <c r="Q964" s="85" t="n"/>
      <c r="R964" s="85" t="n"/>
      <c r="S964" s="85" t="n"/>
      <c r="T964" s="85" t="n"/>
      <c r="U964" s="85" t="n"/>
      <c r="V964" s="85" t="n"/>
      <c r="W964" s="85" t="n"/>
      <c r="X964" s="85" t="n"/>
      <c r="Y964" s="85" t="n"/>
      <c r="Z964" s="85" t="n"/>
      <c r="AA964" s="85" t="n"/>
      <c r="AB964" s="85" t="n"/>
      <c r="AC964" s="86" t="n"/>
      <c r="AD964" s="86" t="n"/>
      <c r="AE964" s="86" t="n"/>
      <c r="AF964" s="85" t="n"/>
      <c r="AG964" s="85" t="n"/>
      <c r="AH964" s="85">
        <f>IF($A964="","",IF(AND($E964="Yes",OR($V964="No",$V964="NOT FOUND")),"YES",""))</f>
        <v/>
      </c>
      <c r="AI964" s="85">
        <f>IF($A964="","",TRIM(IF(AND($M964=0,$I964&lt;&gt;"Yes"),"T0-NoPhishResistant ","")&amp;IF($H964="No","NoMFA ","")&amp;IF(AND($M964=0,$O964="Group only"),"T0-ViaGroupOnly ","")&amp;IF($N964="Yes","BroadAzureScope ","")&amp;IF($T964="Yes","AlsoEntraRole ","")))</f>
        <v/>
      </c>
      <c r="AJ964" s="85">
        <f>IF($A964="","",IF(AD964="","Not Enrolled",IF(TODAY()&gt;AD964,"Review Overdue",IF(AD964-TODAY()&lt;=30,"Review Due Soon","Active"))))</f>
        <v/>
      </c>
      <c r="AK964" s="85">
        <f>IF($A964="","",IF(AE964="","NOT REVIEWED",IF(TODAY()-AE964&gt;90,"OVERDUE",IF(TODAY()-AE964&gt;76,"Due Soon","Current"))))</f>
        <v/>
      </c>
    </row>
    <row r="965" ht="15" customHeight="1" s="39">
      <c r="A965" s="85" t="n"/>
      <c r="B965" s="85" t="n"/>
      <c r="C965" s="85" t="n"/>
      <c r="D965" s="85" t="n"/>
      <c r="E965" s="85" t="n"/>
      <c r="F965" s="86" t="n"/>
      <c r="G965" s="86" t="n"/>
      <c r="H965" s="85" t="n"/>
      <c r="I965" s="85" t="n"/>
      <c r="J965" s="85" t="n"/>
      <c r="K965" s="85" t="n"/>
      <c r="L965" s="85" t="n"/>
      <c r="M965" s="85" t="n"/>
      <c r="N965" s="85" t="n"/>
      <c r="O965" s="85" t="n"/>
      <c r="P965" s="85" t="n"/>
      <c r="Q965" s="85" t="n"/>
      <c r="R965" s="85" t="n"/>
      <c r="S965" s="85" t="n"/>
      <c r="T965" s="85" t="n"/>
      <c r="U965" s="85" t="n"/>
      <c r="V965" s="85" t="n"/>
      <c r="W965" s="85" t="n"/>
      <c r="X965" s="85" t="n"/>
      <c r="Y965" s="85" t="n"/>
      <c r="Z965" s="85" t="n"/>
      <c r="AA965" s="85" t="n"/>
      <c r="AB965" s="85" t="n"/>
      <c r="AC965" s="86" t="n"/>
      <c r="AD965" s="86" t="n"/>
      <c r="AE965" s="86" t="n"/>
      <c r="AF965" s="85" t="n"/>
      <c r="AG965" s="85" t="n"/>
      <c r="AH965" s="85">
        <f>IF($A965="","",IF(AND($E965="Yes",OR($V965="No",$V965="NOT FOUND")),"YES",""))</f>
        <v/>
      </c>
      <c r="AI965" s="85">
        <f>IF($A965="","",TRIM(IF(AND($M965=0,$I965&lt;&gt;"Yes"),"T0-NoPhishResistant ","")&amp;IF($H965="No","NoMFA ","")&amp;IF(AND($M965=0,$O965="Group only"),"T0-ViaGroupOnly ","")&amp;IF($N965="Yes","BroadAzureScope ","")&amp;IF($T965="Yes","AlsoEntraRole ","")))</f>
        <v/>
      </c>
      <c r="AJ965" s="85">
        <f>IF($A965="","",IF(AD965="","Not Enrolled",IF(TODAY()&gt;AD965,"Review Overdue",IF(AD965-TODAY()&lt;=30,"Review Due Soon","Active"))))</f>
        <v/>
      </c>
      <c r="AK965" s="85">
        <f>IF($A965="","",IF(AE965="","NOT REVIEWED",IF(TODAY()-AE965&gt;90,"OVERDUE",IF(TODAY()-AE965&gt;76,"Due Soon","Current"))))</f>
        <v/>
      </c>
    </row>
    <row r="966" ht="15" customHeight="1" s="39">
      <c r="A966" s="85" t="n"/>
      <c r="B966" s="85" t="n"/>
      <c r="C966" s="85" t="n"/>
      <c r="D966" s="85" t="n"/>
      <c r="E966" s="85" t="n"/>
      <c r="F966" s="86" t="n"/>
      <c r="G966" s="86" t="n"/>
      <c r="H966" s="85" t="n"/>
      <c r="I966" s="85" t="n"/>
      <c r="J966" s="85" t="n"/>
      <c r="K966" s="85" t="n"/>
      <c r="L966" s="85" t="n"/>
      <c r="M966" s="85" t="n"/>
      <c r="N966" s="85" t="n"/>
      <c r="O966" s="85" t="n"/>
      <c r="P966" s="85" t="n"/>
      <c r="Q966" s="85" t="n"/>
      <c r="R966" s="85" t="n"/>
      <c r="S966" s="85" t="n"/>
      <c r="T966" s="85" t="n"/>
      <c r="U966" s="85" t="n"/>
      <c r="V966" s="85" t="n"/>
      <c r="W966" s="85" t="n"/>
      <c r="X966" s="85" t="n"/>
      <c r="Y966" s="85" t="n"/>
      <c r="Z966" s="85" t="n"/>
      <c r="AA966" s="85" t="n"/>
      <c r="AB966" s="85" t="n"/>
      <c r="AC966" s="86" t="n"/>
      <c r="AD966" s="86" t="n"/>
      <c r="AE966" s="86" t="n"/>
      <c r="AF966" s="85" t="n"/>
      <c r="AG966" s="85" t="n"/>
      <c r="AH966" s="85">
        <f>IF($A966="","",IF(AND($E966="Yes",OR($V966="No",$V966="NOT FOUND")),"YES",""))</f>
        <v/>
      </c>
      <c r="AI966" s="85">
        <f>IF($A966="","",TRIM(IF(AND($M966=0,$I966&lt;&gt;"Yes"),"T0-NoPhishResistant ","")&amp;IF($H966="No","NoMFA ","")&amp;IF(AND($M966=0,$O966="Group only"),"T0-ViaGroupOnly ","")&amp;IF($N966="Yes","BroadAzureScope ","")&amp;IF($T966="Yes","AlsoEntraRole ","")))</f>
        <v/>
      </c>
      <c r="AJ966" s="85">
        <f>IF($A966="","",IF(AD966="","Not Enrolled",IF(TODAY()&gt;AD966,"Review Overdue",IF(AD966-TODAY()&lt;=30,"Review Due Soon","Active"))))</f>
        <v/>
      </c>
      <c r="AK966" s="85">
        <f>IF($A966="","",IF(AE966="","NOT REVIEWED",IF(TODAY()-AE966&gt;90,"OVERDUE",IF(TODAY()-AE966&gt;76,"Due Soon","Current"))))</f>
        <v/>
      </c>
    </row>
    <row r="967" ht="15" customHeight="1" s="39">
      <c r="A967" s="85" t="n"/>
      <c r="B967" s="85" t="n"/>
      <c r="C967" s="85" t="n"/>
      <c r="D967" s="85" t="n"/>
      <c r="E967" s="85" t="n"/>
      <c r="F967" s="86" t="n"/>
      <c r="G967" s="86" t="n"/>
      <c r="H967" s="85" t="n"/>
      <c r="I967" s="85" t="n"/>
      <c r="J967" s="85" t="n"/>
      <c r="K967" s="85" t="n"/>
      <c r="L967" s="85" t="n"/>
      <c r="M967" s="85" t="n"/>
      <c r="N967" s="85" t="n"/>
      <c r="O967" s="85" t="n"/>
      <c r="P967" s="85" t="n"/>
      <c r="Q967" s="85" t="n"/>
      <c r="R967" s="85" t="n"/>
      <c r="S967" s="85" t="n"/>
      <c r="T967" s="85" t="n"/>
      <c r="U967" s="85" t="n"/>
      <c r="V967" s="85" t="n"/>
      <c r="W967" s="85" t="n"/>
      <c r="X967" s="85" t="n"/>
      <c r="Y967" s="85" t="n"/>
      <c r="Z967" s="85" t="n"/>
      <c r="AA967" s="85" t="n"/>
      <c r="AB967" s="85" t="n"/>
      <c r="AC967" s="86" t="n"/>
      <c r="AD967" s="86" t="n"/>
      <c r="AE967" s="86" t="n"/>
      <c r="AF967" s="85" t="n"/>
      <c r="AG967" s="85" t="n"/>
      <c r="AH967" s="85">
        <f>IF($A967="","",IF(AND($E967="Yes",OR($V967="No",$V967="NOT FOUND")),"YES",""))</f>
        <v/>
      </c>
      <c r="AI967" s="85">
        <f>IF($A967="","",TRIM(IF(AND($M967=0,$I967&lt;&gt;"Yes"),"T0-NoPhishResistant ","")&amp;IF($H967="No","NoMFA ","")&amp;IF(AND($M967=0,$O967="Group only"),"T0-ViaGroupOnly ","")&amp;IF($N967="Yes","BroadAzureScope ","")&amp;IF($T967="Yes","AlsoEntraRole ","")))</f>
        <v/>
      </c>
      <c r="AJ967" s="85">
        <f>IF($A967="","",IF(AD967="","Not Enrolled",IF(TODAY()&gt;AD967,"Review Overdue",IF(AD967-TODAY()&lt;=30,"Review Due Soon","Active"))))</f>
        <v/>
      </c>
      <c r="AK967" s="85">
        <f>IF($A967="","",IF(AE967="","NOT REVIEWED",IF(TODAY()-AE967&gt;90,"OVERDUE",IF(TODAY()-AE967&gt;76,"Due Soon","Current"))))</f>
        <v/>
      </c>
    </row>
    <row r="968" ht="15" customHeight="1" s="39">
      <c r="A968" s="85" t="n"/>
      <c r="B968" s="85" t="n"/>
      <c r="C968" s="85" t="n"/>
      <c r="D968" s="85" t="n"/>
      <c r="E968" s="85" t="n"/>
      <c r="F968" s="86" t="n"/>
      <c r="G968" s="86" t="n"/>
      <c r="H968" s="85" t="n"/>
      <c r="I968" s="85" t="n"/>
      <c r="J968" s="85" t="n"/>
      <c r="K968" s="85" t="n"/>
      <c r="L968" s="85" t="n"/>
      <c r="M968" s="85" t="n"/>
      <c r="N968" s="85" t="n"/>
      <c r="O968" s="85" t="n"/>
      <c r="P968" s="85" t="n"/>
      <c r="Q968" s="85" t="n"/>
      <c r="R968" s="85" t="n"/>
      <c r="S968" s="85" t="n"/>
      <c r="T968" s="85" t="n"/>
      <c r="U968" s="85" t="n"/>
      <c r="V968" s="85" t="n"/>
      <c r="W968" s="85" t="n"/>
      <c r="X968" s="85" t="n"/>
      <c r="Y968" s="85" t="n"/>
      <c r="Z968" s="85" t="n"/>
      <c r="AA968" s="85" t="n"/>
      <c r="AB968" s="85" t="n"/>
      <c r="AC968" s="86" t="n"/>
      <c r="AD968" s="86" t="n"/>
      <c r="AE968" s="86" t="n"/>
      <c r="AF968" s="85" t="n"/>
      <c r="AG968" s="85" t="n"/>
      <c r="AH968" s="85">
        <f>IF($A968="","",IF(AND($E968="Yes",OR($V968="No",$V968="NOT FOUND")),"YES",""))</f>
        <v/>
      </c>
      <c r="AI968" s="85">
        <f>IF($A968="","",TRIM(IF(AND($M968=0,$I968&lt;&gt;"Yes"),"T0-NoPhishResistant ","")&amp;IF($H968="No","NoMFA ","")&amp;IF(AND($M968=0,$O968="Group only"),"T0-ViaGroupOnly ","")&amp;IF($N968="Yes","BroadAzureScope ","")&amp;IF($T968="Yes","AlsoEntraRole ","")))</f>
        <v/>
      </c>
      <c r="AJ968" s="85">
        <f>IF($A968="","",IF(AD968="","Not Enrolled",IF(TODAY()&gt;AD968,"Review Overdue",IF(AD968-TODAY()&lt;=30,"Review Due Soon","Active"))))</f>
        <v/>
      </c>
      <c r="AK968" s="85">
        <f>IF($A968="","",IF(AE968="","NOT REVIEWED",IF(TODAY()-AE968&gt;90,"OVERDUE",IF(TODAY()-AE968&gt;76,"Due Soon","Current"))))</f>
        <v/>
      </c>
    </row>
    <row r="969" ht="15" customHeight="1" s="39">
      <c r="A969" s="85" t="n"/>
      <c r="B969" s="85" t="n"/>
      <c r="C969" s="85" t="n"/>
      <c r="D969" s="85" t="n"/>
      <c r="E969" s="85" t="n"/>
      <c r="F969" s="86" t="n"/>
      <c r="G969" s="86" t="n"/>
      <c r="H969" s="85" t="n"/>
      <c r="I969" s="85" t="n"/>
      <c r="J969" s="85" t="n"/>
      <c r="K969" s="85" t="n"/>
      <c r="L969" s="85" t="n"/>
      <c r="M969" s="85" t="n"/>
      <c r="N969" s="85" t="n"/>
      <c r="O969" s="85" t="n"/>
      <c r="P969" s="85" t="n"/>
      <c r="Q969" s="85" t="n"/>
      <c r="R969" s="85" t="n"/>
      <c r="S969" s="85" t="n"/>
      <c r="T969" s="85" t="n"/>
      <c r="U969" s="85" t="n"/>
      <c r="V969" s="85" t="n"/>
      <c r="W969" s="85" t="n"/>
      <c r="X969" s="85" t="n"/>
      <c r="Y969" s="85" t="n"/>
      <c r="Z969" s="85" t="n"/>
      <c r="AA969" s="85" t="n"/>
      <c r="AB969" s="85" t="n"/>
      <c r="AC969" s="86" t="n"/>
      <c r="AD969" s="86" t="n"/>
      <c r="AE969" s="86" t="n"/>
      <c r="AF969" s="85" t="n"/>
      <c r="AG969" s="85" t="n"/>
      <c r="AH969" s="85">
        <f>IF($A969="","",IF(AND($E969="Yes",OR($V969="No",$V969="NOT FOUND")),"YES",""))</f>
        <v/>
      </c>
      <c r="AI969" s="85">
        <f>IF($A969="","",TRIM(IF(AND($M969=0,$I969&lt;&gt;"Yes"),"T0-NoPhishResistant ","")&amp;IF($H969="No","NoMFA ","")&amp;IF(AND($M969=0,$O969="Group only"),"T0-ViaGroupOnly ","")&amp;IF($N969="Yes","BroadAzureScope ","")&amp;IF($T969="Yes","AlsoEntraRole ","")))</f>
        <v/>
      </c>
      <c r="AJ969" s="85">
        <f>IF($A969="","",IF(AD969="","Not Enrolled",IF(TODAY()&gt;AD969,"Review Overdue",IF(AD969-TODAY()&lt;=30,"Review Due Soon","Active"))))</f>
        <v/>
      </c>
      <c r="AK969" s="85">
        <f>IF($A969="","",IF(AE969="","NOT REVIEWED",IF(TODAY()-AE969&gt;90,"OVERDUE",IF(TODAY()-AE969&gt;76,"Due Soon","Current"))))</f>
        <v/>
      </c>
    </row>
    <row r="970" ht="15" customHeight="1" s="39">
      <c r="A970" s="85" t="n"/>
      <c r="B970" s="85" t="n"/>
      <c r="C970" s="85" t="n"/>
      <c r="D970" s="85" t="n"/>
      <c r="E970" s="85" t="n"/>
      <c r="F970" s="86" t="n"/>
      <c r="G970" s="86" t="n"/>
      <c r="H970" s="85" t="n"/>
      <c r="I970" s="85" t="n"/>
      <c r="J970" s="85" t="n"/>
      <c r="K970" s="85" t="n"/>
      <c r="L970" s="85" t="n"/>
      <c r="M970" s="85" t="n"/>
      <c r="N970" s="85" t="n"/>
      <c r="O970" s="85" t="n"/>
      <c r="P970" s="85" t="n"/>
      <c r="Q970" s="85" t="n"/>
      <c r="R970" s="85" t="n"/>
      <c r="S970" s="85" t="n"/>
      <c r="T970" s="85" t="n"/>
      <c r="U970" s="85" t="n"/>
      <c r="V970" s="85" t="n"/>
      <c r="W970" s="85" t="n"/>
      <c r="X970" s="85" t="n"/>
      <c r="Y970" s="85" t="n"/>
      <c r="Z970" s="85" t="n"/>
      <c r="AA970" s="85" t="n"/>
      <c r="AB970" s="85" t="n"/>
      <c r="AC970" s="86" t="n"/>
      <c r="AD970" s="86" t="n"/>
      <c r="AE970" s="86" t="n"/>
      <c r="AF970" s="85" t="n"/>
      <c r="AG970" s="85" t="n"/>
      <c r="AH970" s="85">
        <f>IF($A970="","",IF(AND($E970="Yes",OR($V970="No",$V970="NOT FOUND")),"YES",""))</f>
        <v/>
      </c>
      <c r="AI970" s="85">
        <f>IF($A970="","",TRIM(IF(AND($M970=0,$I970&lt;&gt;"Yes"),"T0-NoPhishResistant ","")&amp;IF($H970="No","NoMFA ","")&amp;IF(AND($M970=0,$O970="Group only"),"T0-ViaGroupOnly ","")&amp;IF($N970="Yes","BroadAzureScope ","")&amp;IF($T970="Yes","AlsoEntraRole ","")))</f>
        <v/>
      </c>
      <c r="AJ970" s="85">
        <f>IF($A970="","",IF(AD970="","Not Enrolled",IF(TODAY()&gt;AD970,"Review Overdue",IF(AD970-TODAY()&lt;=30,"Review Due Soon","Active"))))</f>
        <v/>
      </c>
      <c r="AK970" s="85">
        <f>IF($A970="","",IF(AE970="","NOT REVIEWED",IF(TODAY()-AE970&gt;90,"OVERDUE",IF(TODAY()-AE970&gt;76,"Due Soon","Current"))))</f>
        <v/>
      </c>
    </row>
    <row r="971" ht="15" customHeight="1" s="39">
      <c r="A971" s="85" t="n"/>
      <c r="B971" s="85" t="n"/>
      <c r="C971" s="85" t="n"/>
      <c r="D971" s="85" t="n"/>
      <c r="E971" s="85" t="n"/>
      <c r="F971" s="86" t="n"/>
      <c r="G971" s="86" t="n"/>
      <c r="H971" s="85" t="n"/>
      <c r="I971" s="85" t="n"/>
      <c r="J971" s="85" t="n"/>
      <c r="K971" s="85" t="n"/>
      <c r="L971" s="85" t="n"/>
      <c r="M971" s="85" t="n"/>
      <c r="N971" s="85" t="n"/>
      <c r="O971" s="85" t="n"/>
      <c r="P971" s="85" t="n"/>
      <c r="Q971" s="85" t="n"/>
      <c r="R971" s="85" t="n"/>
      <c r="S971" s="85" t="n"/>
      <c r="T971" s="85" t="n"/>
      <c r="U971" s="85" t="n"/>
      <c r="V971" s="85" t="n"/>
      <c r="W971" s="85" t="n"/>
      <c r="X971" s="85" t="n"/>
      <c r="Y971" s="85" t="n"/>
      <c r="Z971" s="85" t="n"/>
      <c r="AA971" s="85" t="n"/>
      <c r="AB971" s="85" t="n"/>
      <c r="AC971" s="86" t="n"/>
      <c r="AD971" s="86" t="n"/>
      <c r="AE971" s="86" t="n"/>
      <c r="AF971" s="85" t="n"/>
      <c r="AG971" s="85" t="n"/>
      <c r="AH971" s="85">
        <f>IF($A971="","",IF(AND($E971="Yes",OR($V971="No",$V971="NOT FOUND")),"YES",""))</f>
        <v/>
      </c>
      <c r="AI971" s="85">
        <f>IF($A971="","",TRIM(IF(AND($M971=0,$I971&lt;&gt;"Yes"),"T0-NoPhishResistant ","")&amp;IF($H971="No","NoMFA ","")&amp;IF(AND($M971=0,$O971="Group only"),"T0-ViaGroupOnly ","")&amp;IF($N971="Yes","BroadAzureScope ","")&amp;IF($T971="Yes","AlsoEntraRole ","")))</f>
        <v/>
      </c>
      <c r="AJ971" s="85">
        <f>IF($A971="","",IF(AD971="","Not Enrolled",IF(TODAY()&gt;AD971,"Review Overdue",IF(AD971-TODAY()&lt;=30,"Review Due Soon","Active"))))</f>
        <v/>
      </c>
      <c r="AK971" s="85">
        <f>IF($A971="","",IF(AE971="","NOT REVIEWED",IF(TODAY()-AE971&gt;90,"OVERDUE",IF(TODAY()-AE971&gt;76,"Due Soon","Current"))))</f>
        <v/>
      </c>
    </row>
    <row r="972" ht="15" customHeight="1" s="39">
      <c r="A972" s="85" t="n"/>
      <c r="B972" s="85" t="n"/>
      <c r="C972" s="85" t="n"/>
      <c r="D972" s="85" t="n"/>
      <c r="E972" s="85" t="n"/>
      <c r="F972" s="86" t="n"/>
      <c r="G972" s="86" t="n"/>
      <c r="H972" s="85" t="n"/>
      <c r="I972" s="85" t="n"/>
      <c r="J972" s="85" t="n"/>
      <c r="K972" s="85" t="n"/>
      <c r="L972" s="85" t="n"/>
      <c r="M972" s="85" t="n"/>
      <c r="N972" s="85" t="n"/>
      <c r="O972" s="85" t="n"/>
      <c r="P972" s="85" t="n"/>
      <c r="Q972" s="85" t="n"/>
      <c r="R972" s="85" t="n"/>
      <c r="S972" s="85" t="n"/>
      <c r="T972" s="85" t="n"/>
      <c r="U972" s="85" t="n"/>
      <c r="V972" s="85" t="n"/>
      <c r="W972" s="85" t="n"/>
      <c r="X972" s="85" t="n"/>
      <c r="Y972" s="85" t="n"/>
      <c r="Z972" s="85" t="n"/>
      <c r="AA972" s="85" t="n"/>
      <c r="AB972" s="85" t="n"/>
      <c r="AC972" s="86" t="n"/>
      <c r="AD972" s="86" t="n"/>
      <c r="AE972" s="86" t="n"/>
      <c r="AF972" s="85" t="n"/>
      <c r="AG972" s="85" t="n"/>
      <c r="AH972" s="85">
        <f>IF($A972="","",IF(AND($E972="Yes",OR($V972="No",$V972="NOT FOUND")),"YES",""))</f>
        <v/>
      </c>
      <c r="AI972" s="85">
        <f>IF($A972="","",TRIM(IF(AND($M972=0,$I972&lt;&gt;"Yes"),"T0-NoPhishResistant ","")&amp;IF($H972="No","NoMFA ","")&amp;IF(AND($M972=0,$O972="Group only"),"T0-ViaGroupOnly ","")&amp;IF($N972="Yes","BroadAzureScope ","")&amp;IF($T972="Yes","AlsoEntraRole ","")))</f>
        <v/>
      </c>
      <c r="AJ972" s="85">
        <f>IF($A972="","",IF(AD972="","Not Enrolled",IF(TODAY()&gt;AD972,"Review Overdue",IF(AD972-TODAY()&lt;=30,"Review Due Soon","Active"))))</f>
        <v/>
      </c>
      <c r="AK972" s="85">
        <f>IF($A972="","",IF(AE972="","NOT REVIEWED",IF(TODAY()-AE972&gt;90,"OVERDUE",IF(TODAY()-AE972&gt;76,"Due Soon","Current"))))</f>
        <v/>
      </c>
    </row>
    <row r="973" ht="15" customHeight="1" s="39">
      <c r="A973" s="85" t="n"/>
      <c r="B973" s="85" t="n"/>
      <c r="C973" s="85" t="n"/>
      <c r="D973" s="85" t="n"/>
      <c r="E973" s="85" t="n"/>
      <c r="F973" s="86" t="n"/>
      <c r="G973" s="86" t="n"/>
      <c r="H973" s="85" t="n"/>
      <c r="I973" s="85" t="n"/>
      <c r="J973" s="85" t="n"/>
      <c r="K973" s="85" t="n"/>
      <c r="L973" s="85" t="n"/>
      <c r="M973" s="85" t="n"/>
      <c r="N973" s="85" t="n"/>
      <c r="O973" s="85" t="n"/>
      <c r="P973" s="85" t="n"/>
      <c r="Q973" s="85" t="n"/>
      <c r="R973" s="85" t="n"/>
      <c r="S973" s="85" t="n"/>
      <c r="T973" s="85" t="n"/>
      <c r="U973" s="85" t="n"/>
      <c r="V973" s="85" t="n"/>
      <c r="W973" s="85" t="n"/>
      <c r="X973" s="85" t="n"/>
      <c r="Y973" s="85" t="n"/>
      <c r="Z973" s="85" t="n"/>
      <c r="AA973" s="85" t="n"/>
      <c r="AB973" s="85" t="n"/>
      <c r="AC973" s="86" t="n"/>
      <c r="AD973" s="86" t="n"/>
      <c r="AE973" s="86" t="n"/>
      <c r="AF973" s="85" t="n"/>
      <c r="AG973" s="85" t="n"/>
      <c r="AH973" s="85">
        <f>IF($A973="","",IF(AND($E973="Yes",OR($V973="No",$V973="NOT FOUND")),"YES",""))</f>
        <v/>
      </c>
      <c r="AI973" s="85">
        <f>IF($A973="","",TRIM(IF(AND($M973=0,$I973&lt;&gt;"Yes"),"T0-NoPhishResistant ","")&amp;IF($H973="No","NoMFA ","")&amp;IF(AND($M973=0,$O973="Group only"),"T0-ViaGroupOnly ","")&amp;IF($N973="Yes","BroadAzureScope ","")&amp;IF($T973="Yes","AlsoEntraRole ","")))</f>
        <v/>
      </c>
      <c r="AJ973" s="85">
        <f>IF($A973="","",IF(AD973="","Not Enrolled",IF(TODAY()&gt;AD973,"Review Overdue",IF(AD973-TODAY()&lt;=30,"Review Due Soon","Active"))))</f>
        <v/>
      </c>
      <c r="AK973" s="85">
        <f>IF($A973="","",IF(AE973="","NOT REVIEWED",IF(TODAY()-AE973&gt;90,"OVERDUE",IF(TODAY()-AE973&gt;76,"Due Soon","Current"))))</f>
        <v/>
      </c>
    </row>
    <row r="974" ht="15" customHeight="1" s="39">
      <c r="A974" s="85" t="n"/>
      <c r="B974" s="85" t="n"/>
      <c r="C974" s="85" t="n"/>
      <c r="D974" s="85" t="n"/>
      <c r="E974" s="85" t="n"/>
      <c r="F974" s="86" t="n"/>
      <c r="G974" s="86" t="n"/>
      <c r="H974" s="85" t="n"/>
      <c r="I974" s="85" t="n"/>
      <c r="J974" s="85" t="n"/>
      <c r="K974" s="85" t="n"/>
      <c r="L974" s="85" t="n"/>
      <c r="M974" s="85" t="n"/>
      <c r="N974" s="85" t="n"/>
      <c r="O974" s="85" t="n"/>
      <c r="P974" s="85" t="n"/>
      <c r="Q974" s="85" t="n"/>
      <c r="R974" s="85" t="n"/>
      <c r="S974" s="85" t="n"/>
      <c r="T974" s="85" t="n"/>
      <c r="U974" s="85" t="n"/>
      <c r="V974" s="85" t="n"/>
      <c r="W974" s="85" t="n"/>
      <c r="X974" s="85" t="n"/>
      <c r="Y974" s="85" t="n"/>
      <c r="Z974" s="85" t="n"/>
      <c r="AA974" s="85" t="n"/>
      <c r="AB974" s="85" t="n"/>
      <c r="AC974" s="86" t="n"/>
      <c r="AD974" s="86" t="n"/>
      <c r="AE974" s="86" t="n"/>
      <c r="AF974" s="85" t="n"/>
      <c r="AG974" s="85" t="n"/>
      <c r="AH974" s="85">
        <f>IF($A974="","",IF(AND($E974="Yes",OR($V974="No",$V974="NOT FOUND")),"YES",""))</f>
        <v/>
      </c>
      <c r="AI974" s="85">
        <f>IF($A974="","",TRIM(IF(AND($M974=0,$I974&lt;&gt;"Yes"),"T0-NoPhishResistant ","")&amp;IF($H974="No","NoMFA ","")&amp;IF(AND($M974=0,$O974="Group only"),"T0-ViaGroupOnly ","")&amp;IF($N974="Yes","BroadAzureScope ","")&amp;IF($T974="Yes","AlsoEntraRole ","")))</f>
        <v/>
      </c>
      <c r="AJ974" s="85">
        <f>IF($A974="","",IF(AD974="","Not Enrolled",IF(TODAY()&gt;AD974,"Review Overdue",IF(AD974-TODAY()&lt;=30,"Review Due Soon","Active"))))</f>
        <v/>
      </c>
      <c r="AK974" s="85">
        <f>IF($A974="","",IF(AE974="","NOT REVIEWED",IF(TODAY()-AE974&gt;90,"OVERDUE",IF(TODAY()-AE974&gt;76,"Due Soon","Current"))))</f>
        <v/>
      </c>
    </row>
    <row r="975" ht="15" customHeight="1" s="39">
      <c r="A975" s="85" t="n"/>
      <c r="B975" s="85" t="n"/>
      <c r="C975" s="85" t="n"/>
      <c r="D975" s="85" t="n"/>
      <c r="E975" s="85" t="n"/>
      <c r="F975" s="86" t="n"/>
      <c r="G975" s="86" t="n"/>
      <c r="H975" s="85" t="n"/>
      <c r="I975" s="85" t="n"/>
      <c r="J975" s="85" t="n"/>
      <c r="K975" s="85" t="n"/>
      <c r="L975" s="85" t="n"/>
      <c r="M975" s="85" t="n"/>
      <c r="N975" s="85" t="n"/>
      <c r="O975" s="85" t="n"/>
      <c r="P975" s="85" t="n"/>
      <c r="Q975" s="85" t="n"/>
      <c r="R975" s="85" t="n"/>
      <c r="S975" s="85" t="n"/>
      <c r="T975" s="85" t="n"/>
      <c r="U975" s="85" t="n"/>
      <c r="V975" s="85" t="n"/>
      <c r="W975" s="85" t="n"/>
      <c r="X975" s="85" t="n"/>
      <c r="Y975" s="85" t="n"/>
      <c r="Z975" s="85" t="n"/>
      <c r="AA975" s="85" t="n"/>
      <c r="AB975" s="85" t="n"/>
      <c r="AC975" s="86" t="n"/>
      <c r="AD975" s="86" t="n"/>
      <c r="AE975" s="86" t="n"/>
      <c r="AF975" s="85" t="n"/>
      <c r="AG975" s="85" t="n"/>
      <c r="AH975" s="85">
        <f>IF($A975="","",IF(AND($E975="Yes",OR($V975="No",$V975="NOT FOUND")),"YES",""))</f>
        <v/>
      </c>
      <c r="AI975" s="85">
        <f>IF($A975="","",TRIM(IF(AND($M975=0,$I975&lt;&gt;"Yes"),"T0-NoPhishResistant ","")&amp;IF($H975="No","NoMFA ","")&amp;IF(AND($M975=0,$O975="Group only"),"T0-ViaGroupOnly ","")&amp;IF($N975="Yes","BroadAzureScope ","")&amp;IF($T975="Yes","AlsoEntraRole ","")))</f>
        <v/>
      </c>
      <c r="AJ975" s="85">
        <f>IF($A975="","",IF(AD975="","Not Enrolled",IF(TODAY()&gt;AD975,"Review Overdue",IF(AD975-TODAY()&lt;=30,"Review Due Soon","Active"))))</f>
        <v/>
      </c>
      <c r="AK975" s="85">
        <f>IF($A975="","",IF(AE975="","NOT REVIEWED",IF(TODAY()-AE975&gt;90,"OVERDUE",IF(TODAY()-AE975&gt;76,"Due Soon","Current"))))</f>
        <v/>
      </c>
    </row>
    <row r="976" ht="15" customHeight="1" s="39">
      <c r="A976" s="85" t="n"/>
      <c r="B976" s="85" t="n"/>
      <c r="C976" s="85" t="n"/>
      <c r="D976" s="85" t="n"/>
      <c r="E976" s="85" t="n"/>
      <c r="F976" s="86" t="n"/>
      <c r="G976" s="86" t="n"/>
      <c r="H976" s="85" t="n"/>
      <c r="I976" s="85" t="n"/>
      <c r="J976" s="85" t="n"/>
      <c r="K976" s="85" t="n"/>
      <c r="L976" s="85" t="n"/>
      <c r="M976" s="85" t="n"/>
      <c r="N976" s="85" t="n"/>
      <c r="O976" s="85" t="n"/>
      <c r="P976" s="85" t="n"/>
      <c r="Q976" s="85" t="n"/>
      <c r="R976" s="85" t="n"/>
      <c r="S976" s="85" t="n"/>
      <c r="T976" s="85" t="n"/>
      <c r="U976" s="85" t="n"/>
      <c r="V976" s="85" t="n"/>
      <c r="W976" s="85" t="n"/>
      <c r="X976" s="85" t="n"/>
      <c r="Y976" s="85" t="n"/>
      <c r="Z976" s="85" t="n"/>
      <c r="AA976" s="85" t="n"/>
      <c r="AB976" s="85" t="n"/>
      <c r="AC976" s="86" t="n"/>
      <c r="AD976" s="86" t="n"/>
      <c r="AE976" s="86" t="n"/>
      <c r="AF976" s="85" t="n"/>
      <c r="AG976" s="85" t="n"/>
      <c r="AH976" s="85">
        <f>IF($A976="","",IF(AND($E976="Yes",OR($V976="No",$V976="NOT FOUND")),"YES",""))</f>
        <v/>
      </c>
      <c r="AI976" s="85">
        <f>IF($A976="","",TRIM(IF(AND($M976=0,$I976&lt;&gt;"Yes"),"T0-NoPhishResistant ","")&amp;IF($H976="No","NoMFA ","")&amp;IF(AND($M976=0,$O976="Group only"),"T0-ViaGroupOnly ","")&amp;IF($N976="Yes","BroadAzureScope ","")&amp;IF($T976="Yes","AlsoEntraRole ","")))</f>
        <v/>
      </c>
      <c r="AJ976" s="85">
        <f>IF($A976="","",IF(AD976="","Not Enrolled",IF(TODAY()&gt;AD976,"Review Overdue",IF(AD976-TODAY()&lt;=30,"Review Due Soon","Active"))))</f>
        <v/>
      </c>
      <c r="AK976" s="85">
        <f>IF($A976="","",IF(AE976="","NOT REVIEWED",IF(TODAY()-AE976&gt;90,"OVERDUE",IF(TODAY()-AE976&gt;76,"Due Soon","Current"))))</f>
        <v/>
      </c>
    </row>
    <row r="977" ht="15" customHeight="1" s="39">
      <c r="A977" s="85" t="n"/>
      <c r="B977" s="85" t="n"/>
      <c r="C977" s="85" t="n"/>
      <c r="D977" s="85" t="n"/>
      <c r="E977" s="85" t="n"/>
      <c r="F977" s="86" t="n"/>
      <c r="G977" s="86" t="n"/>
      <c r="H977" s="85" t="n"/>
      <c r="I977" s="85" t="n"/>
      <c r="J977" s="85" t="n"/>
      <c r="K977" s="85" t="n"/>
      <c r="L977" s="85" t="n"/>
      <c r="M977" s="85" t="n"/>
      <c r="N977" s="85" t="n"/>
      <c r="O977" s="85" t="n"/>
      <c r="P977" s="85" t="n"/>
      <c r="Q977" s="85" t="n"/>
      <c r="R977" s="85" t="n"/>
      <c r="S977" s="85" t="n"/>
      <c r="T977" s="85" t="n"/>
      <c r="U977" s="85" t="n"/>
      <c r="V977" s="85" t="n"/>
      <c r="W977" s="85" t="n"/>
      <c r="X977" s="85" t="n"/>
      <c r="Y977" s="85" t="n"/>
      <c r="Z977" s="85" t="n"/>
      <c r="AA977" s="85" t="n"/>
      <c r="AB977" s="85" t="n"/>
      <c r="AC977" s="86" t="n"/>
      <c r="AD977" s="86" t="n"/>
      <c r="AE977" s="86" t="n"/>
      <c r="AF977" s="85" t="n"/>
      <c r="AG977" s="85" t="n"/>
      <c r="AH977" s="85">
        <f>IF($A977="","",IF(AND($E977="Yes",OR($V977="No",$V977="NOT FOUND")),"YES",""))</f>
        <v/>
      </c>
      <c r="AI977" s="85">
        <f>IF($A977="","",TRIM(IF(AND($M977=0,$I977&lt;&gt;"Yes"),"T0-NoPhishResistant ","")&amp;IF($H977="No","NoMFA ","")&amp;IF(AND($M977=0,$O977="Group only"),"T0-ViaGroupOnly ","")&amp;IF($N977="Yes","BroadAzureScope ","")&amp;IF($T977="Yes","AlsoEntraRole ","")))</f>
        <v/>
      </c>
      <c r="AJ977" s="85">
        <f>IF($A977="","",IF(AD977="","Not Enrolled",IF(TODAY()&gt;AD977,"Review Overdue",IF(AD977-TODAY()&lt;=30,"Review Due Soon","Active"))))</f>
        <v/>
      </c>
      <c r="AK977" s="85">
        <f>IF($A977="","",IF(AE977="","NOT REVIEWED",IF(TODAY()-AE977&gt;90,"OVERDUE",IF(TODAY()-AE977&gt;76,"Due Soon","Current"))))</f>
        <v/>
      </c>
    </row>
    <row r="978" ht="15" customHeight="1" s="39">
      <c r="A978" s="85" t="n"/>
      <c r="B978" s="85" t="n"/>
      <c r="C978" s="85" t="n"/>
      <c r="D978" s="85" t="n"/>
      <c r="E978" s="85" t="n"/>
      <c r="F978" s="86" t="n"/>
      <c r="G978" s="86" t="n"/>
      <c r="H978" s="85" t="n"/>
      <c r="I978" s="85" t="n"/>
      <c r="J978" s="85" t="n"/>
      <c r="K978" s="85" t="n"/>
      <c r="L978" s="85" t="n"/>
      <c r="M978" s="85" t="n"/>
      <c r="N978" s="85" t="n"/>
      <c r="O978" s="85" t="n"/>
      <c r="P978" s="85" t="n"/>
      <c r="Q978" s="85" t="n"/>
      <c r="R978" s="85" t="n"/>
      <c r="S978" s="85" t="n"/>
      <c r="T978" s="85" t="n"/>
      <c r="U978" s="85" t="n"/>
      <c r="V978" s="85" t="n"/>
      <c r="W978" s="85" t="n"/>
      <c r="X978" s="85" t="n"/>
      <c r="Y978" s="85" t="n"/>
      <c r="Z978" s="85" t="n"/>
      <c r="AA978" s="85" t="n"/>
      <c r="AB978" s="85" t="n"/>
      <c r="AC978" s="86" t="n"/>
      <c r="AD978" s="86" t="n"/>
      <c r="AE978" s="86" t="n"/>
      <c r="AF978" s="85" t="n"/>
      <c r="AG978" s="85" t="n"/>
      <c r="AH978" s="85">
        <f>IF($A978="","",IF(AND($E978="Yes",OR($V978="No",$V978="NOT FOUND")),"YES",""))</f>
        <v/>
      </c>
      <c r="AI978" s="85">
        <f>IF($A978="","",TRIM(IF(AND($M978=0,$I978&lt;&gt;"Yes"),"T0-NoPhishResistant ","")&amp;IF($H978="No","NoMFA ","")&amp;IF(AND($M978=0,$O978="Group only"),"T0-ViaGroupOnly ","")&amp;IF($N978="Yes","BroadAzureScope ","")&amp;IF($T978="Yes","AlsoEntraRole ","")))</f>
        <v/>
      </c>
      <c r="AJ978" s="85">
        <f>IF($A978="","",IF(AD978="","Not Enrolled",IF(TODAY()&gt;AD978,"Review Overdue",IF(AD978-TODAY()&lt;=30,"Review Due Soon","Active"))))</f>
        <v/>
      </c>
      <c r="AK978" s="85">
        <f>IF($A978="","",IF(AE978="","NOT REVIEWED",IF(TODAY()-AE978&gt;90,"OVERDUE",IF(TODAY()-AE978&gt;76,"Due Soon","Current"))))</f>
        <v/>
      </c>
    </row>
    <row r="979" ht="15" customHeight="1" s="39">
      <c r="A979" s="85" t="n"/>
      <c r="B979" s="85" t="n"/>
      <c r="C979" s="85" t="n"/>
      <c r="D979" s="85" t="n"/>
      <c r="E979" s="85" t="n"/>
      <c r="F979" s="86" t="n"/>
      <c r="G979" s="86" t="n"/>
      <c r="H979" s="85" t="n"/>
      <c r="I979" s="85" t="n"/>
      <c r="J979" s="85" t="n"/>
      <c r="K979" s="85" t="n"/>
      <c r="L979" s="85" t="n"/>
      <c r="M979" s="85" t="n"/>
      <c r="N979" s="85" t="n"/>
      <c r="O979" s="85" t="n"/>
      <c r="P979" s="85" t="n"/>
      <c r="Q979" s="85" t="n"/>
      <c r="R979" s="85" t="n"/>
      <c r="S979" s="85" t="n"/>
      <c r="T979" s="85" t="n"/>
      <c r="U979" s="85" t="n"/>
      <c r="V979" s="85" t="n"/>
      <c r="W979" s="85" t="n"/>
      <c r="X979" s="85" t="n"/>
      <c r="Y979" s="85" t="n"/>
      <c r="Z979" s="85" t="n"/>
      <c r="AA979" s="85" t="n"/>
      <c r="AB979" s="85" t="n"/>
      <c r="AC979" s="86" t="n"/>
      <c r="AD979" s="86" t="n"/>
      <c r="AE979" s="86" t="n"/>
      <c r="AF979" s="85" t="n"/>
      <c r="AG979" s="85" t="n"/>
      <c r="AH979" s="85">
        <f>IF($A979="","",IF(AND($E979="Yes",OR($V979="No",$V979="NOT FOUND")),"YES",""))</f>
        <v/>
      </c>
      <c r="AI979" s="85">
        <f>IF($A979="","",TRIM(IF(AND($M979=0,$I979&lt;&gt;"Yes"),"T0-NoPhishResistant ","")&amp;IF($H979="No","NoMFA ","")&amp;IF(AND($M979=0,$O979="Group only"),"T0-ViaGroupOnly ","")&amp;IF($N979="Yes","BroadAzureScope ","")&amp;IF($T979="Yes","AlsoEntraRole ","")))</f>
        <v/>
      </c>
      <c r="AJ979" s="85">
        <f>IF($A979="","",IF(AD979="","Not Enrolled",IF(TODAY()&gt;AD979,"Review Overdue",IF(AD979-TODAY()&lt;=30,"Review Due Soon","Active"))))</f>
        <v/>
      </c>
      <c r="AK979" s="85">
        <f>IF($A979="","",IF(AE979="","NOT REVIEWED",IF(TODAY()-AE979&gt;90,"OVERDUE",IF(TODAY()-AE979&gt;76,"Due Soon","Current"))))</f>
        <v/>
      </c>
    </row>
    <row r="980" ht="15" customHeight="1" s="39">
      <c r="A980" s="85" t="n"/>
      <c r="B980" s="85" t="n"/>
      <c r="C980" s="85" t="n"/>
      <c r="D980" s="85" t="n"/>
      <c r="E980" s="85" t="n"/>
      <c r="F980" s="86" t="n"/>
      <c r="G980" s="86" t="n"/>
      <c r="H980" s="85" t="n"/>
      <c r="I980" s="85" t="n"/>
      <c r="J980" s="85" t="n"/>
      <c r="K980" s="85" t="n"/>
      <c r="L980" s="85" t="n"/>
      <c r="M980" s="85" t="n"/>
      <c r="N980" s="85" t="n"/>
      <c r="O980" s="85" t="n"/>
      <c r="P980" s="85" t="n"/>
      <c r="Q980" s="85" t="n"/>
      <c r="R980" s="85" t="n"/>
      <c r="S980" s="85" t="n"/>
      <c r="T980" s="85" t="n"/>
      <c r="U980" s="85" t="n"/>
      <c r="V980" s="85" t="n"/>
      <c r="W980" s="85" t="n"/>
      <c r="X980" s="85" t="n"/>
      <c r="Y980" s="85" t="n"/>
      <c r="Z980" s="85" t="n"/>
      <c r="AA980" s="85" t="n"/>
      <c r="AB980" s="85" t="n"/>
      <c r="AC980" s="86" t="n"/>
      <c r="AD980" s="86" t="n"/>
      <c r="AE980" s="86" t="n"/>
      <c r="AF980" s="85" t="n"/>
      <c r="AG980" s="85" t="n"/>
      <c r="AH980" s="85">
        <f>IF($A980="","",IF(AND($E980="Yes",OR($V980="No",$V980="NOT FOUND")),"YES",""))</f>
        <v/>
      </c>
      <c r="AI980" s="85">
        <f>IF($A980="","",TRIM(IF(AND($M980=0,$I980&lt;&gt;"Yes"),"T0-NoPhishResistant ","")&amp;IF($H980="No","NoMFA ","")&amp;IF(AND($M980=0,$O980="Group only"),"T0-ViaGroupOnly ","")&amp;IF($N980="Yes","BroadAzureScope ","")&amp;IF($T980="Yes","AlsoEntraRole ","")))</f>
        <v/>
      </c>
      <c r="AJ980" s="85">
        <f>IF($A980="","",IF(AD980="","Not Enrolled",IF(TODAY()&gt;AD980,"Review Overdue",IF(AD980-TODAY()&lt;=30,"Review Due Soon","Active"))))</f>
        <v/>
      </c>
      <c r="AK980" s="85">
        <f>IF($A980="","",IF(AE980="","NOT REVIEWED",IF(TODAY()-AE980&gt;90,"OVERDUE",IF(TODAY()-AE980&gt;76,"Due Soon","Current"))))</f>
        <v/>
      </c>
    </row>
    <row r="981" ht="15" customHeight="1" s="39">
      <c r="A981" s="85" t="n"/>
      <c r="B981" s="85" t="n"/>
      <c r="C981" s="85" t="n"/>
      <c r="D981" s="85" t="n"/>
      <c r="E981" s="85" t="n"/>
      <c r="F981" s="86" t="n"/>
      <c r="G981" s="86" t="n"/>
      <c r="H981" s="85" t="n"/>
      <c r="I981" s="85" t="n"/>
      <c r="J981" s="85" t="n"/>
      <c r="K981" s="85" t="n"/>
      <c r="L981" s="85" t="n"/>
      <c r="M981" s="85" t="n"/>
      <c r="N981" s="85" t="n"/>
      <c r="O981" s="85" t="n"/>
      <c r="P981" s="85" t="n"/>
      <c r="Q981" s="85" t="n"/>
      <c r="R981" s="85" t="n"/>
      <c r="S981" s="85" t="n"/>
      <c r="T981" s="85" t="n"/>
      <c r="U981" s="85" t="n"/>
      <c r="V981" s="85" t="n"/>
      <c r="W981" s="85" t="n"/>
      <c r="X981" s="85" t="n"/>
      <c r="Y981" s="85" t="n"/>
      <c r="Z981" s="85" t="n"/>
      <c r="AA981" s="85" t="n"/>
      <c r="AB981" s="85" t="n"/>
      <c r="AC981" s="86" t="n"/>
      <c r="AD981" s="86" t="n"/>
      <c r="AE981" s="86" t="n"/>
      <c r="AF981" s="85" t="n"/>
      <c r="AG981" s="85" t="n"/>
      <c r="AH981" s="85">
        <f>IF($A981="","",IF(AND($E981="Yes",OR($V981="No",$V981="NOT FOUND")),"YES",""))</f>
        <v/>
      </c>
      <c r="AI981" s="85">
        <f>IF($A981="","",TRIM(IF(AND($M981=0,$I981&lt;&gt;"Yes"),"T0-NoPhishResistant ","")&amp;IF($H981="No","NoMFA ","")&amp;IF(AND($M981=0,$O981="Group only"),"T0-ViaGroupOnly ","")&amp;IF($N981="Yes","BroadAzureScope ","")&amp;IF($T981="Yes","AlsoEntraRole ","")))</f>
        <v/>
      </c>
      <c r="AJ981" s="85">
        <f>IF($A981="","",IF(AD981="","Not Enrolled",IF(TODAY()&gt;AD981,"Review Overdue",IF(AD981-TODAY()&lt;=30,"Review Due Soon","Active"))))</f>
        <v/>
      </c>
      <c r="AK981" s="85">
        <f>IF($A981="","",IF(AE981="","NOT REVIEWED",IF(TODAY()-AE981&gt;90,"OVERDUE",IF(TODAY()-AE981&gt;76,"Due Soon","Current"))))</f>
        <v/>
      </c>
    </row>
    <row r="982" ht="15" customHeight="1" s="39">
      <c r="A982" s="85" t="n"/>
      <c r="B982" s="85" t="n"/>
      <c r="C982" s="85" t="n"/>
      <c r="D982" s="85" t="n"/>
      <c r="E982" s="85" t="n"/>
      <c r="F982" s="86" t="n"/>
      <c r="G982" s="86" t="n"/>
      <c r="H982" s="85" t="n"/>
      <c r="I982" s="85" t="n"/>
      <c r="J982" s="85" t="n"/>
      <c r="K982" s="85" t="n"/>
      <c r="L982" s="85" t="n"/>
      <c r="M982" s="85" t="n"/>
      <c r="N982" s="85" t="n"/>
      <c r="O982" s="85" t="n"/>
      <c r="P982" s="85" t="n"/>
      <c r="Q982" s="85" t="n"/>
      <c r="R982" s="85" t="n"/>
      <c r="S982" s="85" t="n"/>
      <c r="T982" s="85" t="n"/>
      <c r="U982" s="85" t="n"/>
      <c r="V982" s="85" t="n"/>
      <c r="W982" s="85" t="n"/>
      <c r="X982" s="85" t="n"/>
      <c r="Y982" s="85" t="n"/>
      <c r="Z982" s="85" t="n"/>
      <c r="AA982" s="85" t="n"/>
      <c r="AB982" s="85" t="n"/>
      <c r="AC982" s="86" t="n"/>
      <c r="AD982" s="86" t="n"/>
      <c r="AE982" s="86" t="n"/>
      <c r="AF982" s="85" t="n"/>
      <c r="AG982" s="85" t="n"/>
      <c r="AH982" s="85">
        <f>IF($A982="","",IF(AND($E982="Yes",OR($V982="No",$V982="NOT FOUND")),"YES",""))</f>
        <v/>
      </c>
      <c r="AI982" s="85">
        <f>IF($A982="","",TRIM(IF(AND($M982=0,$I982&lt;&gt;"Yes"),"T0-NoPhishResistant ","")&amp;IF($H982="No","NoMFA ","")&amp;IF(AND($M982=0,$O982="Group only"),"T0-ViaGroupOnly ","")&amp;IF($N982="Yes","BroadAzureScope ","")&amp;IF($T982="Yes","AlsoEntraRole ","")))</f>
        <v/>
      </c>
      <c r="AJ982" s="85">
        <f>IF($A982="","",IF(AD982="","Not Enrolled",IF(TODAY()&gt;AD982,"Review Overdue",IF(AD982-TODAY()&lt;=30,"Review Due Soon","Active"))))</f>
        <v/>
      </c>
      <c r="AK982" s="85">
        <f>IF($A982="","",IF(AE982="","NOT REVIEWED",IF(TODAY()-AE982&gt;90,"OVERDUE",IF(TODAY()-AE982&gt;76,"Due Soon","Current"))))</f>
        <v/>
      </c>
    </row>
    <row r="983" ht="15" customHeight="1" s="39">
      <c r="A983" s="85" t="n"/>
      <c r="B983" s="85" t="n"/>
      <c r="C983" s="85" t="n"/>
      <c r="D983" s="85" t="n"/>
      <c r="E983" s="85" t="n"/>
      <c r="F983" s="86" t="n"/>
      <c r="G983" s="86" t="n"/>
      <c r="H983" s="85" t="n"/>
      <c r="I983" s="85" t="n"/>
      <c r="J983" s="85" t="n"/>
      <c r="K983" s="85" t="n"/>
      <c r="L983" s="85" t="n"/>
      <c r="M983" s="85" t="n"/>
      <c r="N983" s="85" t="n"/>
      <c r="O983" s="85" t="n"/>
      <c r="P983" s="85" t="n"/>
      <c r="Q983" s="85" t="n"/>
      <c r="R983" s="85" t="n"/>
      <c r="S983" s="85" t="n"/>
      <c r="T983" s="85" t="n"/>
      <c r="U983" s="85" t="n"/>
      <c r="V983" s="85" t="n"/>
      <c r="W983" s="85" t="n"/>
      <c r="X983" s="85" t="n"/>
      <c r="Y983" s="85" t="n"/>
      <c r="Z983" s="85" t="n"/>
      <c r="AA983" s="85" t="n"/>
      <c r="AB983" s="85" t="n"/>
      <c r="AC983" s="86" t="n"/>
      <c r="AD983" s="86" t="n"/>
      <c r="AE983" s="86" t="n"/>
      <c r="AF983" s="85" t="n"/>
      <c r="AG983" s="85" t="n"/>
      <c r="AH983" s="85">
        <f>IF($A983="","",IF(AND($E983="Yes",OR($V983="No",$V983="NOT FOUND")),"YES",""))</f>
        <v/>
      </c>
      <c r="AI983" s="85">
        <f>IF($A983="","",TRIM(IF(AND($M983=0,$I983&lt;&gt;"Yes"),"T0-NoPhishResistant ","")&amp;IF($H983="No","NoMFA ","")&amp;IF(AND($M983=0,$O983="Group only"),"T0-ViaGroupOnly ","")&amp;IF($N983="Yes","BroadAzureScope ","")&amp;IF($T983="Yes","AlsoEntraRole ","")))</f>
        <v/>
      </c>
      <c r="AJ983" s="85">
        <f>IF($A983="","",IF(AD983="","Not Enrolled",IF(TODAY()&gt;AD983,"Review Overdue",IF(AD983-TODAY()&lt;=30,"Review Due Soon","Active"))))</f>
        <v/>
      </c>
      <c r="AK983" s="85">
        <f>IF($A983="","",IF(AE983="","NOT REVIEWED",IF(TODAY()-AE983&gt;90,"OVERDUE",IF(TODAY()-AE983&gt;76,"Due Soon","Current"))))</f>
        <v/>
      </c>
    </row>
    <row r="984" ht="15" customHeight="1" s="39">
      <c r="A984" s="85" t="n"/>
      <c r="B984" s="85" t="n"/>
      <c r="C984" s="85" t="n"/>
      <c r="D984" s="85" t="n"/>
      <c r="E984" s="85" t="n"/>
      <c r="F984" s="86" t="n"/>
      <c r="G984" s="86" t="n"/>
      <c r="H984" s="85" t="n"/>
      <c r="I984" s="85" t="n"/>
      <c r="J984" s="85" t="n"/>
      <c r="K984" s="85" t="n"/>
      <c r="L984" s="85" t="n"/>
      <c r="M984" s="85" t="n"/>
      <c r="N984" s="85" t="n"/>
      <c r="O984" s="85" t="n"/>
      <c r="P984" s="85" t="n"/>
      <c r="Q984" s="85" t="n"/>
      <c r="R984" s="85" t="n"/>
      <c r="S984" s="85" t="n"/>
      <c r="T984" s="85" t="n"/>
      <c r="U984" s="85" t="n"/>
      <c r="V984" s="85" t="n"/>
      <c r="W984" s="85" t="n"/>
      <c r="X984" s="85" t="n"/>
      <c r="Y984" s="85" t="n"/>
      <c r="Z984" s="85" t="n"/>
      <c r="AA984" s="85" t="n"/>
      <c r="AB984" s="85" t="n"/>
      <c r="AC984" s="86" t="n"/>
      <c r="AD984" s="86" t="n"/>
      <c r="AE984" s="86" t="n"/>
      <c r="AF984" s="85" t="n"/>
      <c r="AG984" s="85" t="n"/>
      <c r="AH984" s="85">
        <f>IF($A984="","",IF(AND($E984="Yes",OR($V984="No",$V984="NOT FOUND")),"YES",""))</f>
        <v/>
      </c>
      <c r="AI984" s="85">
        <f>IF($A984="","",TRIM(IF(AND($M984=0,$I984&lt;&gt;"Yes"),"T0-NoPhishResistant ","")&amp;IF($H984="No","NoMFA ","")&amp;IF(AND($M984=0,$O984="Group only"),"T0-ViaGroupOnly ","")&amp;IF($N984="Yes","BroadAzureScope ","")&amp;IF($T984="Yes","AlsoEntraRole ","")))</f>
        <v/>
      </c>
      <c r="AJ984" s="85">
        <f>IF($A984="","",IF(AD984="","Not Enrolled",IF(TODAY()&gt;AD984,"Review Overdue",IF(AD984-TODAY()&lt;=30,"Review Due Soon","Active"))))</f>
        <v/>
      </c>
      <c r="AK984" s="85">
        <f>IF($A984="","",IF(AE984="","NOT REVIEWED",IF(TODAY()-AE984&gt;90,"OVERDUE",IF(TODAY()-AE984&gt;76,"Due Soon","Current"))))</f>
        <v/>
      </c>
    </row>
    <row r="985" ht="15" customHeight="1" s="39">
      <c r="A985" s="85" t="n"/>
      <c r="B985" s="85" t="n"/>
      <c r="C985" s="85" t="n"/>
      <c r="D985" s="85" t="n"/>
      <c r="E985" s="85" t="n"/>
      <c r="F985" s="86" t="n"/>
      <c r="G985" s="86" t="n"/>
      <c r="H985" s="85" t="n"/>
      <c r="I985" s="85" t="n"/>
      <c r="J985" s="85" t="n"/>
      <c r="K985" s="85" t="n"/>
      <c r="L985" s="85" t="n"/>
      <c r="M985" s="85" t="n"/>
      <c r="N985" s="85" t="n"/>
      <c r="O985" s="85" t="n"/>
      <c r="P985" s="85" t="n"/>
      <c r="Q985" s="85" t="n"/>
      <c r="R985" s="85" t="n"/>
      <c r="S985" s="85" t="n"/>
      <c r="T985" s="85" t="n"/>
      <c r="U985" s="85" t="n"/>
      <c r="V985" s="85" t="n"/>
      <c r="W985" s="85" t="n"/>
      <c r="X985" s="85" t="n"/>
      <c r="Y985" s="85" t="n"/>
      <c r="Z985" s="85" t="n"/>
      <c r="AA985" s="85" t="n"/>
      <c r="AB985" s="85" t="n"/>
      <c r="AC985" s="86" t="n"/>
      <c r="AD985" s="86" t="n"/>
      <c r="AE985" s="86" t="n"/>
      <c r="AF985" s="85" t="n"/>
      <c r="AG985" s="85" t="n"/>
      <c r="AH985" s="85">
        <f>IF($A985="","",IF(AND($E985="Yes",OR($V985="No",$V985="NOT FOUND")),"YES",""))</f>
        <v/>
      </c>
      <c r="AI985" s="85">
        <f>IF($A985="","",TRIM(IF(AND($M985=0,$I985&lt;&gt;"Yes"),"T0-NoPhishResistant ","")&amp;IF($H985="No","NoMFA ","")&amp;IF(AND($M985=0,$O985="Group only"),"T0-ViaGroupOnly ","")&amp;IF($N985="Yes","BroadAzureScope ","")&amp;IF($T985="Yes","AlsoEntraRole ","")))</f>
        <v/>
      </c>
      <c r="AJ985" s="85">
        <f>IF($A985="","",IF(AD985="","Not Enrolled",IF(TODAY()&gt;AD985,"Review Overdue",IF(AD985-TODAY()&lt;=30,"Review Due Soon","Active"))))</f>
        <v/>
      </c>
      <c r="AK985" s="85">
        <f>IF($A985="","",IF(AE985="","NOT REVIEWED",IF(TODAY()-AE985&gt;90,"OVERDUE",IF(TODAY()-AE985&gt;76,"Due Soon","Current"))))</f>
        <v/>
      </c>
    </row>
    <row r="986" ht="15" customHeight="1" s="39">
      <c r="A986" s="85" t="n"/>
      <c r="B986" s="85" t="n"/>
      <c r="C986" s="85" t="n"/>
      <c r="D986" s="85" t="n"/>
      <c r="E986" s="85" t="n"/>
      <c r="F986" s="86" t="n"/>
      <c r="G986" s="86" t="n"/>
      <c r="H986" s="85" t="n"/>
      <c r="I986" s="85" t="n"/>
      <c r="J986" s="85" t="n"/>
      <c r="K986" s="85" t="n"/>
      <c r="L986" s="85" t="n"/>
      <c r="M986" s="85" t="n"/>
      <c r="N986" s="85" t="n"/>
      <c r="O986" s="85" t="n"/>
      <c r="P986" s="85" t="n"/>
      <c r="Q986" s="85" t="n"/>
      <c r="R986" s="85" t="n"/>
      <c r="S986" s="85" t="n"/>
      <c r="T986" s="85" t="n"/>
      <c r="U986" s="85" t="n"/>
      <c r="V986" s="85" t="n"/>
      <c r="W986" s="85" t="n"/>
      <c r="X986" s="85" t="n"/>
      <c r="Y986" s="85" t="n"/>
      <c r="Z986" s="85" t="n"/>
      <c r="AA986" s="85" t="n"/>
      <c r="AB986" s="85" t="n"/>
      <c r="AC986" s="86" t="n"/>
      <c r="AD986" s="86" t="n"/>
      <c r="AE986" s="86" t="n"/>
      <c r="AF986" s="85" t="n"/>
      <c r="AG986" s="85" t="n"/>
      <c r="AH986" s="85">
        <f>IF($A986="","",IF(AND($E986="Yes",OR($V986="No",$V986="NOT FOUND")),"YES",""))</f>
        <v/>
      </c>
      <c r="AI986" s="85">
        <f>IF($A986="","",TRIM(IF(AND($M986=0,$I986&lt;&gt;"Yes"),"T0-NoPhishResistant ","")&amp;IF($H986="No","NoMFA ","")&amp;IF(AND($M986=0,$O986="Group only"),"T0-ViaGroupOnly ","")&amp;IF($N986="Yes","BroadAzureScope ","")&amp;IF($T986="Yes","AlsoEntraRole ","")))</f>
        <v/>
      </c>
      <c r="AJ986" s="85">
        <f>IF($A986="","",IF(AD986="","Not Enrolled",IF(TODAY()&gt;AD986,"Review Overdue",IF(AD986-TODAY()&lt;=30,"Review Due Soon","Active"))))</f>
        <v/>
      </c>
      <c r="AK986" s="85">
        <f>IF($A986="","",IF(AE986="","NOT REVIEWED",IF(TODAY()-AE986&gt;90,"OVERDUE",IF(TODAY()-AE986&gt;76,"Due Soon","Current"))))</f>
        <v/>
      </c>
    </row>
    <row r="987" ht="15" customHeight="1" s="39">
      <c r="A987" s="85" t="n"/>
      <c r="B987" s="85" t="n"/>
      <c r="C987" s="85" t="n"/>
      <c r="D987" s="85" t="n"/>
      <c r="E987" s="85" t="n"/>
      <c r="F987" s="86" t="n"/>
      <c r="G987" s="86" t="n"/>
      <c r="H987" s="85" t="n"/>
      <c r="I987" s="85" t="n"/>
      <c r="J987" s="85" t="n"/>
      <c r="K987" s="85" t="n"/>
      <c r="L987" s="85" t="n"/>
      <c r="M987" s="85" t="n"/>
      <c r="N987" s="85" t="n"/>
      <c r="O987" s="85" t="n"/>
      <c r="P987" s="85" t="n"/>
      <c r="Q987" s="85" t="n"/>
      <c r="R987" s="85" t="n"/>
      <c r="S987" s="85" t="n"/>
      <c r="T987" s="85" t="n"/>
      <c r="U987" s="85" t="n"/>
      <c r="V987" s="85" t="n"/>
      <c r="W987" s="85" t="n"/>
      <c r="X987" s="85" t="n"/>
      <c r="Y987" s="85" t="n"/>
      <c r="Z987" s="85" t="n"/>
      <c r="AA987" s="85" t="n"/>
      <c r="AB987" s="85" t="n"/>
      <c r="AC987" s="86" t="n"/>
      <c r="AD987" s="86" t="n"/>
      <c r="AE987" s="86" t="n"/>
      <c r="AF987" s="85" t="n"/>
      <c r="AG987" s="85" t="n"/>
      <c r="AH987" s="85">
        <f>IF($A987="","",IF(AND($E987="Yes",OR($V987="No",$V987="NOT FOUND")),"YES",""))</f>
        <v/>
      </c>
      <c r="AI987" s="85">
        <f>IF($A987="","",TRIM(IF(AND($M987=0,$I987&lt;&gt;"Yes"),"T0-NoPhishResistant ","")&amp;IF($H987="No","NoMFA ","")&amp;IF(AND($M987=0,$O987="Group only"),"T0-ViaGroupOnly ","")&amp;IF($N987="Yes","BroadAzureScope ","")&amp;IF($T987="Yes","AlsoEntraRole ","")))</f>
        <v/>
      </c>
      <c r="AJ987" s="85">
        <f>IF($A987="","",IF(AD987="","Not Enrolled",IF(TODAY()&gt;AD987,"Review Overdue",IF(AD987-TODAY()&lt;=30,"Review Due Soon","Active"))))</f>
        <v/>
      </c>
      <c r="AK987" s="85">
        <f>IF($A987="","",IF(AE987="","NOT REVIEWED",IF(TODAY()-AE987&gt;90,"OVERDUE",IF(TODAY()-AE987&gt;76,"Due Soon","Current"))))</f>
        <v/>
      </c>
    </row>
    <row r="988" ht="15" customHeight="1" s="39">
      <c r="A988" s="85" t="n"/>
      <c r="B988" s="85" t="n"/>
      <c r="C988" s="85" t="n"/>
      <c r="D988" s="85" t="n"/>
      <c r="E988" s="85" t="n"/>
      <c r="F988" s="86" t="n"/>
      <c r="G988" s="86" t="n"/>
      <c r="H988" s="85" t="n"/>
      <c r="I988" s="85" t="n"/>
      <c r="J988" s="85" t="n"/>
      <c r="K988" s="85" t="n"/>
      <c r="L988" s="85" t="n"/>
      <c r="M988" s="85" t="n"/>
      <c r="N988" s="85" t="n"/>
      <c r="O988" s="85" t="n"/>
      <c r="P988" s="85" t="n"/>
      <c r="Q988" s="85" t="n"/>
      <c r="R988" s="85" t="n"/>
      <c r="S988" s="85" t="n"/>
      <c r="T988" s="85" t="n"/>
      <c r="U988" s="85" t="n"/>
      <c r="V988" s="85" t="n"/>
      <c r="W988" s="85" t="n"/>
      <c r="X988" s="85" t="n"/>
      <c r="Y988" s="85" t="n"/>
      <c r="Z988" s="85" t="n"/>
      <c r="AA988" s="85" t="n"/>
      <c r="AB988" s="85" t="n"/>
      <c r="AC988" s="86" t="n"/>
      <c r="AD988" s="86" t="n"/>
      <c r="AE988" s="86" t="n"/>
      <c r="AF988" s="85" t="n"/>
      <c r="AG988" s="85" t="n"/>
      <c r="AH988" s="85">
        <f>IF($A988="","",IF(AND($E988="Yes",OR($V988="No",$V988="NOT FOUND")),"YES",""))</f>
        <v/>
      </c>
      <c r="AI988" s="85">
        <f>IF($A988="","",TRIM(IF(AND($M988=0,$I988&lt;&gt;"Yes"),"T0-NoPhishResistant ","")&amp;IF($H988="No","NoMFA ","")&amp;IF(AND($M988=0,$O988="Group only"),"T0-ViaGroupOnly ","")&amp;IF($N988="Yes","BroadAzureScope ","")&amp;IF($T988="Yes","AlsoEntraRole ","")))</f>
        <v/>
      </c>
      <c r="AJ988" s="85">
        <f>IF($A988="","",IF(AD988="","Not Enrolled",IF(TODAY()&gt;AD988,"Review Overdue",IF(AD988-TODAY()&lt;=30,"Review Due Soon","Active"))))</f>
        <v/>
      </c>
      <c r="AK988" s="85">
        <f>IF($A988="","",IF(AE988="","NOT REVIEWED",IF(TODAY()-AE988&gt;90,"OVERDUE",IF(TODAY()-AE988&gt;76,"Due Soon","Current"))))</f>
        <v/>
      </c>
    </row>
    <row r="989" ht="15" customHeight="1" s="39">
      <c r="A989" s="85" t="n"/>
      <c r="B989" s="85" t="n"/>
      <c r="C989" s="85" t="n"/>
      <c r="D989" s="85" t="n"/>
      <c r="E989" s="85" t="n"/>
      <c r="F989" s="86" t="n"/>
      <c r="G989" s="86" t="n"/>
      <c r="H989" s="85" t="n"/>
      <c r="I989" s="85" t="n"/>
      <c r="J989" s="85" t="n"/>
      <c r="K989" s="85" t="n"/>
      <c r="L989" s="85" t="n"/>
      <c r="M989" s="85" t="n"/>
      <c r="N989" s="85" t="n"/>
      <c r="O989" s="85" t="n"/>
      <c r="P989" s="85" t="n"/>
      <c r="Q989" s="85" t="n"/>
      <c r="R989" s="85" t="n"/>
      <c r="S989" s="85" t="n"/>
      <c r="T989" s="85" t="n"/>
      <c r="U989" s="85" t="n"/>
      <c r="V989" s="85" t="n"/>
      <c r="W989" s="85" t="n"/>
      <c r="X989" s="85" t="n"/>
      <c r="Y989" s="85" t="n"/>
      <c r="Z989" s="85" t="n"/>
      <c r="AA989" s="85" t="n"/>
      <c r="AB989" s="85" t="n"/>
      <c r="AC989" s="86" t="n"/>
      <c r="AD989" s="86" t="n"/>
      <c r="AE989" s="86" t="n"/>
      <c r="AF989" s="85" t="n"/>
      <c r="AG989" s="85" t="n"/>
      <c r="AH989" s="85">
        <f>IF($A989="","",IF(AND($E989="Yes",OR($V989="No",$V989="NOT FOUND")),"YES",""))</f>
        <v/>
      </c>
      <c r="AI989" s="85">
        <f>IF($A989="","",TRIM(IF(AND($M989=0,$I989&lt;&gt;"Yes"),"T0-NoPhishResistant ","")&amp;IF($H989="No","NoMFA ","")&amp;IF(AND($M989=0,$O989="Group only"),"T0-ViaGroupOnly ","")&amp;IF($N989="Yes","BroadAzureScope ","")&amp;IF($T989="Yes","AlsoEntraRole ","")))</f>
        <v/>
      </c>
      <c r="AJ989" s="85">
        <f>IF($A989="","",IF(AD989="","Not Enrolled",IF(TODAY()&gt;AD989,"Review Overdue",IF(AD989-TODAY()&lt;=30,"Review Due Soon","Active"))))</f>
        <v/>
      </c>
      <c r="AK989" s="85">
        <f>IF($A989="","",IF(AE989="","NOT REVIEWED",IF(TODAY()-AE989&gt;90,"OVERDUE",IF(TODAY()-AE989&gt;76,"Due Soon","Current"))))</f>
        <v/>
      </c>
    </row>
    <row r="990" ht="15" customHeight="1" s="39">
      <c r="A990" s="85" t="n"/>
      <c r="B990" s="85" t="n"/>
      <c r="C990" s="85" t="n"/>
      <c r="D990" s="85" t="n"/>
      <c r="E990" s="85" t="n"/>
      <c r="F990" s="86" t="n"/>
      <c r="G990" s="86" t="n"/>
      <c r="H990" s="85" t="n"/>
      <c r="I990" s="85" t="n"/>
      <c r="J990" s="85" t="n"/>
      <c r="K990" s="85" t="n"/>
      <c r="L990" s="85" t="n"/>
      <c r="M990" s="85" t="n"/>
      <c r="N990" s="85" t="n"/>
      <c r="O990" s="85" t="n"/>
      <c r="P990" s="85" t="n"/>
      <c r="Q990" s="85" t="n"/>
      <c r="R990" s="85" t="n"/>
      <c r="S990" s="85" t="n"/>
      <c r="T990" s="85" t="n"/>
      <c r="U990" s="85" t="n"/>
      <c r="V990" s="85" t="n"/>
      <c r="W990" s="85" t="n"/>
      <c r="X990" s="85" t="n"/>
      <c r="Y990" s="85" t="n"/>
      <c r="Z990" s="85" t="n"/>
      <c r="AA990" s="85" t="n"/>
      <c r="AB990" s="85" t="n"/>
      <c r="AC990" s="86" t="n"/>
      <c r="AD990" s="86" t="n"/>
      <c r="AE990" s="86" t="n"/>
      <c r="AF990" s="85" t="n"/>
      <c r="AG990" s="85" t="n"/>
      <c r="AH990" s="85">
        <f>IF($A990="","",IF(AND($E990="Yes",OR($V990="No",$V990="NOT FOUND")),"YES",""))</f>
        <v/>
      </c>
      <c r="AI990" s="85">
        <f>IF($A990="","",TRIM(IF(AND($M990=0,$I990&lt;&gt;"Yes"),"T0-NoPhishResistant ","")&amp;IF($H990="No","NoMFA ","")&amp;IF(AND($M990=0,$O990="Group only"),"T0-ViaGroupOnly ","")&amp;IF($N990="Yes","BroadAzureScope ","")&amp;IF($T990="Yes","AlsoEntraRole ","")))</f>
        <v/>
      </c>
      <c r="AJ990" s="85">
        <f>IF($A990="","",IF(AD990="","Not Enrolled",IF(TODAY()&gt;AD990,"Review Overdue",IF(AD990-TODAY()&lt;=30,"Review Due Soon","Active"))))</f>
        <v/>
      </c>
      <c r="AK990" s="85">
        <f>IF($A990="","",IF(AE990="","NOT REVIEWED",IF(TODAY()-AE990&gt;90,"OVERDUE",IF(TODAY()-AE990&gt;76,"Due Soon","Current"))))</f>
        <v/>
      </c>
    </row>
    <row r="991" ht="15" customHeight="1" s="39">
      <c r="A991" s="85" t="n"/>
      <c r="B991" s="85" t="n"/>
      <c r="C991" s="85" t="n"/>
      <c r="D991" s="85" t="n"/>
      <c r="E991" s="85" t="n"/>
      <c r="F991" s="86" t="n"/>
      <c r="G991" s="86" t="n"/>
      <c r="H991" s="85" t="n"/>
      <c r="I991" s="85" t="n"/>
      <c r="J991" s="85" t="n"/>
      <c r="K991" s="85" t="n"/>
      <c r="L991" s="85" t="n"/>
      <c r="M991" s="85" t="n"/>
      <c r="N991" s="85" t="n"/>
      <c r="O991" s="85" t="n"/>
      <c r="P991" s="85" t="n"/>
      <c r="Q991" s="85" t="n"/>
      <c r="R991" s="85" t="n"/>
      <c r="S991" s="85" t="n"/>
      <c r="T991" s="85" t="n"/>
      <c r="U991" s="85" t="n"/>
      <c r="V991" s="85" t="n"/>
      <c r="W991" s="85" t="n"/>
      <c r="X991" s="85" t="n"/>
      <c r="Y991" s="85" t="n"/>
      <c r="Z991" s="85" t="n"/>
      <c r="AA991" s="85" t="n"/>
      <c r="AB991" s="85" t="n"/>
      <c r="AC991" s="86" t="n"/>
      <c r="AD991" s="86" t="n"/>
      <c r="AE991" s="86" t="n"/>
      <c r="AF991" s="85" t="n"/>
      <c r="AG991" s="85" t="n"/>
      <c r="AH991" s="85">
        <f>IF($A991="","",IF(AND($E991="Yes",OR($V991="No",$V991="NOT FOUND")),"YES",""))</f>
        <v/>
      </c>
      <c r="AI991" s="85">
        <f>IF($A991="","",TRIM(IF(AND($M991=0,$I991&lt;&gt;"Yes"),"T0-NoPhishResistant ","")&amp;IF($H991="No","NoMFA ","")&amp;IF(AND($M991=0,$O991="Group only"),"T0-ViaGroupOnly ","")&amp;IF($N991="Yes","BroadAzureScope ","")&amp;IF($T991="Yes","AlsoEntraRole ","")))</f>
        <v/>
      </c>
      <c r="AJ991" s="85">
        <f>IF($A991="","",IF(AD991="","Not Enrolled",IF(TODAY()&gt;AD991,"Review Overdue",IF(AD991-TODAY()&lt;=30,"Review Due Soon","Active"))))</f>
        <v/>
      </c>
      <c r="AK991" s="85">
        <f>IF($A991="","",IF(AE991="","NOT REVIEWED",IF(TODAY()-AE991&gt;90,"OVERDUE",IF(TODAY()-AE991&gt;76,"Due Soon","Current"))))</f>
        <v/>
      </c>
    </row>
    <row r="992" ht="15" customHeight="1" s="39">
      <c r="A992" s="85" t="n"/>
      <c r="B992" s="85" t="n"/>
      <c r="C992" s="85" t="n"/>
      <c r="D992" s="85" t="n"/>
      <c r="E992" s="85" t="n"/>
      <c r="F992" s="86" t="n"/>
      <c r="G992" s="86" t="n"/>
      <c r="H992" s="85" t="n"/>
      <c r="I992" s="85" t="n"/>
      <c r="J992" s="85" t="n"/>
      <c r="K992" s="85" t="n"/>
      <c r="L992" s="85" t="n"/>
      <c r="M992" s="85" t="n"/>
      <c r="N992" s="85" t="n"/>
      <c r="O992" s="85" t="n"/>
      <c r="P992" s="85" t="n"/>
      <c r="Q992" s="85" t="n"/>
      <c r="R992" s="85" t="n"/>
      <c r="S992" s="85" t="n"/>
      <c r="T992" s="85" t="n"/>
      <c r="U992" s="85" t="n"/>
      <c r="V992" s="85" t="n"/>
      <c r="W992" s="85" t="n"/>
      <c r="X992" s="85" t="n"/>
      <c r="Y992" s="85" t="n"/>
      <c r="Z992" s="85" t="n"/>
      <c r="AA992" s="85" t="n"/>
      <c r="AB992" s="85" t="n"/>
      <c r="AC992" s="86" t="n"/>
      <c r="AD992" s="86" t="n"/>
      <c r="AE992" s="86" t="n"/>
      <c r="AF992" s="85" t="n"/>
      <c r="AG992" s="85" t="n"/>
      <c r="AH992" s="85">
        <f>IF($A992="","",IF(AND($E992="Yes",OR($V992="No",$V992="NOT FOUND")),"YES",""))</f>
        <v/>
      </c>
      <c r="AI992" s="85">
        <f>IF($A992="","",TRIM(IF(AND($M992=0,$I992&lt;&gt;"Yes"),"T0-NoPhishResistant ","")&amp;IF($H992="No","NoMFA ","")&amp;IF(AND($M992=0,$O992="Group only"),"T0-ViaGroupOnly ","")&amp;IF($N992="Yes","BroadAzureScope ","")&amp;IF($T992="Yes","AlsoEntraRole ","")))</f>
        <v/>
      </c>
      <c r="AJ992" s="85">
        <f>IF($A992="","",IF(AD992="","Not Enrolled",IF(TODAY()&gt;AD992,"Review Overdue",IF(AD992-TODAY()&lt;=30,"Review Due Soon","Active"))))</f>
        <v/>
      </c>
      <c r="AK992" s="85">
        <f>IF($A992="","",IF(AE992="","NOT REVIEWED",IF(TODAY()-AE992&gt;90,"OVERDUE",IF(TODAY()-AE992&gt;76,"Due Soon","Current"))))</f>
        <v/>
      </c>
    </row>
    <row r="993" ht="15" customHeight="1" s="39">
      <c r="A993" s="85" t="n"/>
      <c r="B993" s="85" t="n"/>
      <c r="C993" s="85" t="n"/>
      <c r="D993" s="85" t="n"/>
      <c r="E993" s="85" t="n"/>
      <c r="F993" s="86" t="n"/>
      <c r="G993" s="86" t="n"/>
      <c r="H993" s="85" t="n"/>
      <c r="I993" s="85" t="n"/>
      <c r="J993" s="85" t="n"/>
      <c r="K993" s="85" t="n"/>
      <c r="L993" s="85" t="n"/>
      <c r="M993" s="85" t="n"/>
      <c r="N993" s="85" t="n"/>
      <c r="O993" s="85" t="n"/>
      <c r="P993" s="85" t="n"/>
      <c r="Q993" s="85" t="n"/>
      <c r="R993" s="85" t="n"/>
      <c r="S993" s="85" t="n"/>
      <c r="T993" s="85" t="n"/>
      <c r="U993" s="85" t="n"/>
      <c r="V993" s="85" t="n"/>
      <c r="W993" s="85" t="n"/>
      <c r="X993" s="85" t="n"/>
      <c r="Y993" s="85" t="n"/>
      <c r="Z993" s="85" t="n"/>
      <c r="AA993" s="85" t="n"/>
      <c r="AB993" s="85" t="n"/>
      <c r="AC993" s="86" t="n"/>
      <c r="AD993" s="86" t="n"/>
      <c r="AE993" s="86" t="n"/>
      <c r="AF993" s="85" t="n"/>
      <c r="AG993" s="85" t="n"/>
      <c r="AH993" s="85">
        <f>IF($A993="","",IF(AND($E993="Yes",OR($V993="No",$V993="NOT FOUND")),"YES",""))</f>
        <v/>
      </c>
      <c r="AI993" s="85">
        <f>IF($A993="","",TRIM(IF(AND($M993=0,$I993&lt;&gt;"Yes"),"T0-NoPhishResistant ","")&amp;IF($H993="No","NoMFA ","")&amp;IF(AND($M993=0,$O993="Group only"),"T0-ViaGroupOnly ","")&amp;IF($N993="Yes","BroadAzureScope ","")&amp;IF($T993="Yes","AlsoEntraRole ","")))</f>
        <v/>
      </c>
      <c r="AJ993" s="85">
        <f>IF($A993="","",IF(AD993="","Not Enrolled",IF(TODAY()&gt;AD993,"Review Overdue",IF(AD993-TODAY()&lt;=30,"Review Due Soon","Active"))))</f>
        <v/>
      </c>
      <c r="AK993" s="85">
        <f>IF($A993="","",IF(AE993="","NOT REVIEWED",IF(TODAY()-AE993&gt;90,"OVERDUE",IF(TODAY()-AE993&gt;76,"Due Soon","Current"))))</f>
        <v/>
      </c>
    </row>
    <row r="994" ht="15" customHeight="1" s="39">
      <c r="A994" s="85" t="n"/>
      <c r="B994" s="85" t="n"/>
      <c r="C994" s="85" t="n"/>
      <c r="D994" s="85" t="n"/>
      <c r="E994" s="85" t="n"/>
      <c r="F994" s="86" t="n"/>
      <c r="G994" s="86" t="n"/>
      <c r="H994" s="85" t="n"/>
      <c r="I994" s="85" t="n"/>
      <c r="J994" s="85" t="n"/>
      <c r="K994" s="85" t="n"/>
      <c r="L994" s="85" t="n"/>
      <c r="M994" s="85" t="n"/>
      <c r="N994" s="85" t="n"/>
      <c r="O994" s="85" t="n"/>
      <c r="P994" s="85" t="n"/>
      <c r="Q994" s="85" t="n"/>
      <c r="R994" s="85" t="n"/>
      <c r="S994" s="85" t="n"/>
      <c r="T994" s="85" t="n"/>
      <c r="U994" s="85" t="n"/>
      <c r="V994" s="85" t="n"/>
      <c r="W994" s="85" t="n"/>
      <c r="X994" s="85" t="n"/>
      <c r="Y994" s="85" t="n"/>
      <c r="Z994" s="85" t="n"/>
      <c r="AA994" s="85" t="n"/>
      <c r="AB994" s="85" t="n"/>
      <c r="AC994" s="86" t="n"/>
      <c r="AD994" s="86" t="n"/>
      <c r="AE994" s="86" t="n"/>
      <c r="AF994" s="85" t="n"/>
      <c r="AG994" s="85" t="n"/>
      <c r="AH994" s="85">
        <f>IF($A994="","",IF(AND($E994="Yes",OR($V994="No",$V994="NOT FOUND")),"YES",""))</f>
        <v/>
      </c>
      <c r="AI994" s="85">
        <f>IF($A994="","",TRIM(IF(AND($M994=0,$I994&lt;&gt;"Yes"),"T0-NoPhishResistant ","")&amp;IF($H994="No","NoMFA ","")&amp;IF(AND($M994=0,$O994="Group only"),"T0-ViaGroupOnly ","")&amp;IF($N994="Yes","BroadAzureScope ","")&amp;IF($T994="Yes","AlsoEntraRole ","")))</f>
        <v/>
      </c>
      <c r="AJ994" s="85">
        <f>IF($A994="","",IF(AD994="","Not Enrolled",IF(TODAY()&gt;AD994,"Review Overdue",IF(AD994-TODAY()&lt;=30,"Review Due Soon","Active"))))</f>
        <v/>
      </c>
      <c r="AK994" s="85">
        <f>IF($A994="","",IF(AE994="","NOT REVIEWED",IF(TODAY()-AE994&gt;90,"OVERDUE",IF(TODAY()-AE994&gt;76,"Due Soon","Current"))))</f>
        <v/>
      </c>
    </row>
    <row r="995" ht="15" customHeight="1" s="39">
      <c r="A995" s="85" t="n"/>
      <c r="B995" s="85" t="n"/>
      <c r="C995" s="85" t="n"/>
      <c r="D995" s="85" t="n"/>
      <c r="E995" s="85" t="n"/>
      <c r="F995" s="86" t="n"/>
      <c r="G995" s="86" t="n"/>
      <c r="H995" s="85" t="n"/>
      <c r="I995" s="85" t="n"/>
      <c r="J995" s="85" t="n"/>
      <c r="K995" s="85" t="n"/>
      <c r="L995" s="85" t="n"/>
      <c r="M995" s="85" t="n"/>
      <c r="N995" s="85" t="n"/>
      <c r="O995" s="85" t="n"/>
      <c r="P995" s="85" t="n"/>
      <c r="Q995" s="85" t="n"/>
      <c r="R995" s="85" t="n"/>
      <c r="S995" s="85" t="n"/>
      <c r="T995" s="85" t="n"/>
      <c r="U995" s="85" t="n"/>
      <c r="V995" s="85" t="n"/>
      <c r="W995" s="85" t="n"/>
      <c r="X995" s="85" t="n"/>
      <c r="Y995" s="85" t="n"/>
      <c r="Z995" s="85" t="n"/>
      <c r="AA995" s="85" t="n"/>
      <c r="AB995" s="85" t="n"/>
      <c r="AC995" s="86" t="n"/>
      <c r="AD995" s="86" t="n"/>
      <c r="AE995" s="86" t="n"/>
      <c r="AF995" s="85" t="n"/>
      <c r="AG995" s="85" t="n"/>
      <c r="AH995" s="85">
        <f>IF($A995="","",IF(AND($E995="Yes",OR($V995="No",$V995="NOT FOUND")),"YES",""))</f>
        <v/>
      </c>
      <c r="AI995" s="85">
        <f>IF($A995="","",TRIM(IF(AND($M995=0,$I995&lt;&gt;"Yes"),"T0-NoPhishResistant ","")&amp;IF($H995="No","NoMFA ","")&amp;IF(AND($M995=0,$O995="Group only"),"T0-ViaGroupOnly ","")&amp;IF($N995="Yes","BroadAzureScope ","")&amp;IF($T995="Yes","AlsoEntraRole ","")))</f>
        <v/>
      </c>
      <c r="AJ995" s="85">
        <f>IF($A995="","",IF(AD995="","Not Enrolled",IF(TODAY()&gt;AD995,"Review Overdue",IF(AD995-TODAY()&lt;=30,"Review Due Soon","Active"))))</f>
        <v/>
      </c>
      <c r="AK995" s="85">
        <f>IF($A995="","",IF(AE995="","NOT REVIEWED",IF(TODAY()-AE995&gt;90,"OVERDUE",IF(TODAY()-AE995&gt;76,"Due Soon","Current"))))</f>
        <v/>
      </c>
    </row>
    <row r="996" ht="15" customHeight="1" s="39">
      <c r="A996" s="85" t="n"/>
      <c r="B996" s="85" t="n"/>
      <c r="C996" s="85" t="n"/>
      <c r="D996" s="85" t="n"/>
      <c r="E996" s="85" t="n"/>
      <c r="F996" s="86" t="n"/>
      <c r="G996" s="86" t="n"/>
      <c r="H996" s="85" t="n"/>
      <c r="I996" s="85" t="n"/>
      <c r="J996" s="85" t="n"/>
      <c r="K996" s="85" t="n"/>
      <c r="L996" s="85" t="n"/>
      <c r="M996" s="85" t="n"/>
      <c r="N996" s="85" t="n"/>
      <c r="O996" s="85" t="n"/>
      <c r="P996" s="85" t="n"/>
      <c r="Q996" s="85" t="n"/>
      <c r="R996" s="85" t="n"/>
      <c r="S996" s="85" t="n"/>
      <c r="T996" s="85" t="n"/>
      <c r="U996" s="85" t="n"/>
      <c r="V996" s="85" t="n"/>
      <c r="W996" s="85" t="n"/>
      <c r="X996" s="85" t="n"/>
      <c r="Y996" s="85" t="n"/>
      <c r="Z996" s="85" t="n"/>
      <c r="AA996" s="85" t="n"/>
      <c r="AB996" s="85" t="n"/>
      <c r="AC996" s="86" t="n"/>
      <c r="AD996" s="86" t="n"/>
      <c r="AE996" s="86" t="n"/>
      <c r="AF996" s="85" t="n"/>
      <c r="AG996" s="85" t="n"/>
      <c r="AH996" s="85">
        <f>IF($A996="","",IF(AND($E996="Yes",OR($V996="No",$V996="NOT FOUND")),"YES",""))</f>
        <v/>
      </c>
      <c r="AI996" s="85">
        <f>IF($A996="","",TRIM(IF(AND($M996=0,$I996&lt;&gt;"Yes"),"T0-NoPhishResistant ","")&amp;IF($H996="No","NoMFA ","")&amp;IF(AND($M996=0,$O996="Group only"),"T0-ViaGroupOnly ","")&amp;IF($N996="Yes","BroadAzureScope ","")&amp;IF($T996="Yes","AlsoEntraRole ","")))</f>
        <v/>
      </c>
      <c r="AJ996" s="85">
        <f>IF($A996="","",IF(AD996="","Not Enrolled",IF(TODAY()&gt;AD996,"Review Overdue",IF(AD996-TODAY()&lt;=30,"Review Due Soon","Active"))))</f>
        <v/>
      </c>
      <c r="AK996" s="85">
        <f>IF($A996="","",IF(AE996="","NOT REVIEWED",IF(TODAY()-AE996&gt;90,"OVERDUE",IF(TODAY()-AE996&gt;76,"Due Soon","Current"))))</f>
        <v/>
      </c>
    </row>
    <row r="997" ht="15" customHeight="1" s="39">
      <c r="A997" s="85" t="n"/>
      <c r="B997" s="85" t="n"/>
      <c r="C997" s="85" t="n"/>
      <c r="D997" s="85" t="n"/>
      <c r="E997" s="85" t="n"/>
      <c r="F997" s="86" t="n"/>
      <c r="G997" s="86" t="n"/>
      <c r="H997" s="85" t="n"/>
      <c r="I997" s="85" t="n"/>
      <c r="J997" s="85" t="n"/>
      <c r="K997" s="85" t="n"/>
      <c r="L997" s="85" t="n"/>
      <c r="M997" s="85" t="n"/>
      <c r="N997" s="85" t="n"/>
      <c r="O997" s="85" t="n"/>
      <c r="P997" s="85" t="n"/>
      <c r="Q997" s="85" t="n"/>
      <c r="R997" s="85" t="n"/>
      <c r="S997" s="85" t="n"/>
      <c r="T997" s="85" t="n"/>
      <c r="U997" s="85" t="n"/>
      <c r="V997" s="85" t="n"/>
      <c r="W997" s="85" t="n"/>
      <c r="X997" s="85" t="n"/>
      <c r="Y997" s="85" t="n"/>
      <c r="Z997" s="85" t="n"/>
      <c r="AA997" s="85" t="n"/>
      <c r="AB997" s="85" t="n"/>
      <c r="AC997" s="86" t="n"/>
      <c r="AD997" s="86" t="n"/>
      <c r="AE997" s="86" t="n"/>
      <c r="AF997" s="85" t="n"/>
      <c r="AG997" s="85" t="n"/>
      <c r="AH997" s="85">
        <f>IF($A997="","",IF(AND($E997="Yes",OR($V997="No",$V997="NOT FOUND")),"YES",""))</f>
        <v/>
      </c>
      <c r="AI997" s="85">
        <f>IF($A997="","",TRIM(IF(AND($M997=0,$I997&lt;&gt;"Yes"),"T0-NoPhishResistant ","")&amp;IF($H997="No","NoMFA ","")&amp;IF(AND($M997=0,$O997="Group only"),"T0-ViaGroupOnly ","")&amp;IF($N997="Yes","BroadAzureScope ","")&amp;IF($T997="Yes","AlsoEntraRole ","")))</f>
        <v/>
      </c>
      <c r="AJ997" s="85">
        <f>IF($A997="","",IF(AD997="","Not Enrolled",IF(TODAY()&gt;AD997,"Review Overdue",IF(AD997-TODAY()&lt;=30,"Review Due Soon","Active"))))</f>
        <v/>
      </c>
      <c r="AK997" s="85">
        <f>IF($A997="","",IF(AE997="","NOT REVIEWED",IF(TODAY()-AE997&gt;90,"OVERDUE",IF(TODAY()-AE997&gt;76,"Due Soon","Current"))))</f>
        <v/>
      </c>
    </row>
    <row r="998" ht="15" customHeight="1" s="39">
      <c r="A998" s="85" t="n"/>
      <c r="B998" s="85" t="n"/>
      <c r="C998" s="85" t="n"/>
      <c r="D998" s="85" t="n"/>
      <c r="E998" s="85" t="n"/>
      <c r="F998" s="86" t="n"/>
      <c r="G998" s="86" t="n"/>
      <c r="H998" s="85" t="n"/>
      <c r="I998" s="85" t="n"/>
      <c r="J998" s="85" t="n"/>
      <c r="K998" s="85" t="n"/>
      <c r="L998" s="85" t="n"/>
      <c r="M998" s="85" t="n"/>
      <c r="N998" s="85" t="n"/>
      <c r="O998" s="85" t="n"/>
      <c r="P998" s="85" t="n"/>
      <c r="Q998" s="85" t="n"/>
      <c r="R998" s="85" t="n"/>
      <c r="S998" s="85" t="n"/>
      <c r="T998" s="85" t="n"/>
      <c r="U998" s="85" t="n"/>
      <c r="V998" s="85" t="n"/>
      <c r="W998" s="85" t="n"/>
      <c r="X998" s="85" t="n"/>
      <c r="Y998" s="85" t="n"/>
      <c r="Z998" s="85" t="n"/>
      <c r="AA998" s="85" t="n"/>
      <c r="AB998" s="85" t="n"/>
      <c r="AC998" s="86" t="n"/>
      <c r="AD998" s="86" t="n"/>
      <c r="AE998" s="86" t="n"/>
      <c r="AF998" s="85" t="n"/>
      <c r="AG998" s="85" t="n"/>
      <c r="AH998" s="85">
        <f>IF($A998="","",IF(AND($E998="Yes",OR($V998="No",$V998="NOT FOUND")),"YES",""))</f>
        <v/>
      </c>
      <c r="AI998" s="85">
        <f>IF($A998="","",TRIM(IF(AND($M998=0,$I998&lt;&gt;"Yes"),"T0-NoPhishResistant ","")&amp;IF($H998="No","NoMFA ","")&amp;IF(AND($M998=0,$O998="Group only"),"T0-ViaGroupOnly ","")&amp;IF($N998="Yes","BroadAzureScope ","")&amp;IF($T998="Yes","AlsoEntraRole ","")))</f>
        <v/>
      </c>
      <c r="AJ998" s="85">
        <f>IF($A998="","",IF(AD998="","Not Enrolled",IF(TODAY()&gt;AD998,"Review Overdue",IF(AD998-TODAY()&lt;=30,"Review Due Soon","Active"))))</f>
        <v/>
      </c>
      <c r="AK998" s="85">
        <f>IF($A998="","",IF(AE998="","NOT REVIEWED",IF(TODAY()-AE998&gt;90,"OVERDUE",IF(TODAY()-AE998&gt;76,"Due Soon","Current"))))</f>
        <v/>
      </c>
    </row>
    <row r="999" ht="15" customHeight="1" s="39">
      <c r="A999" s="85" t="n"/>
      <c r="B999" s="85" t="n"/>
      <c r="C999" s="85" t="n"/>
      <c r="D999" s="85" t="n"/>
      <c r="E999" s="85" t="n"/>
      <c r="F999" s="86" t="n"/>
      <c r="G999" s="86" t="n"/>
      <c r="H999" s="85" t="n"/>
      <c r="I999" s="85" t="n"/>
      <c r="J999" s="85" t="n"/>
      <c r="K999" s="85" t="n"/>
      <c r="L999" s="85" t="n"/>
      <c r="M999" s="85" t="n"/>
      <c r="N999" s="85" t="n"/>
      <c r="O999" s="85" t="n"/>
      <c r="P999" s="85" t="n"/>
      <c r="Q999" s="85" t="n"/>
      <c r="R999" s="85" t="n"/>
      <c r="S999" s="85" t="n"/>
      <c r="T999" s="85" t="n"/>
      <c r="U999" s="85" t="n"/>
      <c r="V999" s="85" t="n"/>
      <c r="W999" s="85" t="n"/>
      <c r="X999" s="85" t="n"/>
      <c r="Y999" s="85" t="n"/>
      <c r="Z999" s="85" t="n"/>
      <c r="AA999" s="85" t="n"/>
      <c r="AB999" s="85" t="n"/>
      <c r="AC999" s="86" t="n"/>
      <c r="AD999" s="86" t="n"/>
      <c r="AE999" s="86" t="n"/>
      <c r="AF999" s="85" t="n"/>
      <c r="AG999" s="85" t="n"/>
      <c r="AH999" s="85">
        <f>IF($A999="","",IF(AND($E999="Yes",OR($V999="No",$V999="NOT FOUND")),"YES",""))</f>
        <v/>
      </c>
      <c r="AI999" s="85">
        <f>IF($A999="","",TRIM(IF(AND($M999=0,$I999&lt;&gt;"Yes"),"T0-NoPhishResistant ","")&amp;IF($H999="No","NoMFA ","")&amp;IF(AND($M999=0,$O999="Group only"),"T0-ViaGroupOnly ","")&amp;IF($N999="Yes","BroadAzureScope ","")&amp;IF($T999="Yes","AlsoEntraRole ","")))</f>
        <v/>
      </c>
      <c r="AJ999" s="85">
        <f>IF($A999="","",IF(AD999="","Not Enrolled",IF(TODAY()&gt;AD999,"Review Overdue",IF(AD999-TODAY()&lt;=30,"Review Due Soon","Active"))))</f>
        <v/>
      </c>
      <c r="AK999" s="85">
        <f>IF($A999="","",IF(AE999="","NOT REVIEWED",IF(TODAY()-AE999&gt;90,"OVERDUE",IF(TODAY()-AE999&gt;76,"Due Soon","Current"))))</f>
        <v/>
      </c>
    </row>
    <row r="1000" ht="15" customHeight="1" s="39">
      <c r="A1000" s="85" t="n"/>
      <c r="B1000" s="85" t="n"/>
      <c r="C1000" s="85" t="n"/>
      <c r="D1000" s="85" t="n"/>
      <c r="E1000" s="85" t="n"/>
      <c r="F1000" s="86" t="n"/>
      <c r="G1000" s="86" t="n"/>
      <c r="H1000" s="85" t="n"/>
      <c r="I1000" s="85" t="n"/>
      <c r="J1000" s="85" t="n"/>
      <c r="K1000" s="85" t="n"/>
      <c r="L1000" s="85" t="n"/>
      <c r="M1000" s="85" t="n"/>
      <c r="N1000" s="85" t="n"/>
      <c r="O1000" s="85" t="n"/>
      <c r="P1000" s="85" t="n"/>
      <c r="Q1000" s="85" t="n"/>
      <c r="R1000" s="85" t="n"/>
      <c r="S1000" s="85" t="n"/>
      <c r="T1000" s="85" t="n"/>
      <c r="U1000" s="85" t="n"/>
      <c r="V1000" s="85" t="n"/>
      <c r="W1000" s="85" t="n"/>
      <c r="X1000" s="85" t="n"/>
      <c r="Y1000" s="85" t="n"/>
      <c r="Z1000" s="85" t="n"/>
      <c r="AA1000" s="85" t="n"/>
      <c r="AB1000" s="85" t="n"/>
      <c r="AC1000" s="86" t="n"/>
      <c r="AD1000" s="86" t="n"/>
      <c r="AE1000" s="86" t="n"/>
      <c r="AF1000" s="85" t="n"/>
      <c r="AG1000" s="85" t="n"/>
      <c r="AH1000" s="85">
        <f>IF($A1000="","",IF(AND($E1000="Yes",OR($V1000="No",$V1000="NOT FOUND")),"YES",""))</f>
        <v/>
      </c>
      <c r="AI1000" s="85">
        <f>IF($A1000="","",TRIM(IF(AND($M1000=0,$I1000&lt;&gt;"Yes"),"T0-NoPhishResistant ","")&amp;IF($H1000="No","NoMFA ","")&amp;IF(AND($M1000=0,$O1000="Group only"),"T0-ViaGroupOnly ","")&amp;IF($N1000="Yes","BroadAzureScope ","")&amp;IF($T1000="Yes","AlsoEntraRole ","")))</f>
        <v/>
      </c>
      <c r="AJ1000" s="85">
        <f>IF($A1000="","",IF(AD1000="","Not Enrolled",IF(TODAY()&gt;AD1000,"Review Overdue",IF(AD1000-TODAY()&lt;=30,"Review Due Soon","Active"))))</f>
        <v/>
      </c>
      <c r="AK1000" s="85">
        <f>IF($A1000="","",IF(AE1000="","NOT REVIEWED",IF(TODAY()-AE1000&gt;90,"OVERDUE",IF(TODAY()-AE1000&gt;76,"Due Soon","Current"))))</f>
        <v/>
      </c>
    </row>
    <row r="1001" ht="15" customHeight="1" s="39">
      <c r="A1001" s="85" t="n"/>
      <c r="B1001" s="85" t="n"/>
      <c r="C1001" s="85" t="n"/>
      <c r="D1001" s="85" t="n"/>
      <c r="E1001" s="85" t="n"/>
      <c r="F1001" s="86" t="n"/>
      <c r="G1001" s="86" t="n"/>
      <c r="H1001" s="85" t="n"/>
      <c r="I1001" s="85" t="n"/>
      <c r="J1001" s="85" t="n"/>
      <c r="K1001" s="85" t="n"/>
      <c r="L1001" s="85" t="n"/>
      <c r="M1001" s="85" t="n"/>
      <c r="N1001" s="85" t="n"/>
      <c r="O1001" s="85" t="n"/>
      <c r="P1001" s="85" t="n"/>
      <c r="Q1001" s="85" t="n"/>
      <c r="R1001" s="85" t="n"/>
      <c r="S1001" s="85" t="n"/>
      <c r="T1001" s="85" t="n"/>
      <c r="U1001" s="85" t="n"/>
      <c r="V1001" s="85" t="n"/>
      <c r="W1001" s="85" t="n"/>
      <c r="X1001" s="85" t="n"/>
      <c r="Y1001" s="85" t="n"/>
      <c r="Z1001" s="85" t="n"/>
      <c r="AA1001" s="85" t="n"/>
      <c r="AB1001" s="85" t="n"/>
      <c r="AC1001" s="86" t="n"/>
      <c r="AD1001" s="86" t="n"/>
      <c r="AE1001" s="86" t="n"/>
      <c r="AF1001" s="85" t="n"/>
      <c r="AG1001" s="85" t="n"/>
      <c r="AH1001" s="85">
        <f>IF($A1001="","",IF(AND($E1001="Yes",OR($V1001="No",$V1001="NOT FOUND")),"YES",""))</f>
        <v/>
      </c>
      <c r="AI1001" s="85">
        <f>IF($A1001="","",TRIM(IF(AND($M1001=0,$I1001&lt;&gt;"Yes"),"T0-NoPhishResistant ","")&amp;IF($H1001="No","NoMFA ","")&amp;IF(AND($M1001=0,$O1001="Group only"),"T0-ViaGroupOnly ","")&amp;IF($N1001="Yes","BroadAzureScope ","")&amp;IF($T1001="Yes","AlsoEntraRole ","")))</f>
        <v/>
      </c>
      <c r="AJ1001" s="85">
        <f>IF($A1001="","",IF(AD1001="","Not Enrolled",IF(TODAY()&gt;AD1001,"Review Overdue",IF(AD1001-TODAY()&lt;=30,"Review Due Soon","Active"))))</f>
        <v/>
      </c>
      <c r="AK1001" s="85">
        <f>IF($A1001="","",IF(AE1001="","NOT REVIEWED",IF(TODAY()-AE1001&gt;90,"OVERDUE",IF(TODAY()-AE1001&gt;76,"Due Soon","Current"))))</f>
        <v/>
      </c>
    </row>
  </sheetData>
  <autoFilter ref="A1:AK1001"/>
  <conditionalFormatting sqref="M2:M1001">
    <cfRule type="expression" priority="1" dxfId="16">
      <formula>M2=0</formula>
    </cfRule>
    <cfRule type="expression" priority="2" dxfId="17">
      <formula>M2=1</formula>
    </cfRule>
  </conditionalFormatting>
  <conditionalFormatting sqref="I2:I1001">
    <cfRule type="expression" priority="3" dxfId="16">
      <formula>AND(I2="No",$M2&lt;=1)</formula>
    </cfRule>
  </conditionalFormatting>
  <conditionalFormatting sqref="O2:O1001">
    <cfRule type="expression" priority="4" dxfId="17">
      <formula>O2="Group only"</formula>
    </cfRule>
  </conditionalFormatting>
  <conditionalFormatting sqref="N2:N1001">
    <cfRule type="expression" priority="5" dxfId="17">
      <formula>N2="Yes"</formula>
    </cfRule>
  </conditionalFormatting>
  <conditionalFormatting sqref="T2:T1001">
    <cfRule type="expression" priority="6" dxfId="17">
      <formula>T2="Yes"</formula>
    </cfRule>
  </conditionalFormatting>
  <conditionalFormatting sqref="AH2:AH1001">
    <cfRule type="expression" priority="7" dxfId="16">
      <formula>AH2="YES"</formula>
    </cfRule>
  </conditionalFormatting>
  <conditionalFormatting sqref="AI2:AI1001">
    <cfRule type="expression" priority="8" dxfId="16">
      <formula>ISNUMBER(SEARCH("T0-",AI2))</formula>
    </cfRule>
    <cfRule type="expression" priority="9" dxfId="17">
      <formula>AND(AI2&lt;&gt;"",NOT(ISNUMBER(SEARCH("T0-",AI2))))</formula>
    </cfRule>
  </conditionalFormatting>
  <conditionalFormatting sqref="AJ2:AJ1001">
    <cfRule type="expression" priority="10" dxfId="16">
      <formula>OR(AJ2="Review Overdue",AJ2="Not Enrolled")</formula>
    </cfRule>
    <cfRule type="expression" priority="11" dxfId="17">
      <formula>AJ2="Review Due Soon"</formula>
    </cfRule>
    <cfRule type="expression" priority="12" dxfId="18">
      <formula>AJ2="Active"</formula>
    </cfRule>
  </conditionalFormatting>
  <conditionalFormatting sqref="AK2:AK1001">
    <cfRule type="expression" priority="13" dxfId="16">
      <formula>OR(AK2="OVERDUE",AK2="NOT REVIEWED")</formula>
    </cfRule>
    <cfRule type="expression" priority="14" dxfId="17">
      <formula>AK2="Due Soon"</formula>
    </cfRule>
  </conditionalFormatting>
  <dataValidations count="3">
    <dataValidation sqref="Z2:Z1001" showDropDown="0" showInputMessage="0" showErrorMessage="0" allowBlank="1" type="list">
      <formula1>Reference!$C$2:$C$7</formula1>
    </dataValidation>
    <dataValidation sqref="AB2:AB1001" showDropDown="0" showInputMessage="0" showErrorMessage="0" allowBlank="1" type="list">
      <formula1>Reference!$D$2:$D$7</formula1>
    </dataValidation>
    <dataValidation sqref="AF2:AF1001" showDropDown="0" showInputMessage="0" showErrorMessage="0" allowBlank="1" type="list">
      <formula1>Reference!$B$2:$B$8</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filterMode="0">
    <tabColor rgb="FF833C0B"/>
    <outlinePr summaryBelow="1" summaryRight="1"/>
    <pageSetUpPr fitToPage="0"/>
  </sheetPr>
  <dimension ref="A1:AM100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2" customWidth="1" style="38" min="1" max="1"/>
    <col width="26" customWidth="1" style="38" min="2" max="2"/>
    <col width="44" customWidth="1" style="38" min="3" max="3"/>
    <col width="34" customWidth="1" style="38" min="4" max="4"/>
    <col width="18" customWidth="1" style="38" min="5" max="5"/>
    <col width="11" customWidth="1" style="38" min="6" max="6"/>
    <col width="13" customWidth="1" style="38" min="7" max="8"/>
    <col width="15" customWidth="1" style="38" min="9" max="9"/>
    <col width="14" customWidth="1" style="38" min="10" max="10"/>
    <col width="15" customWidth="1" style="38" min="11" max="11"/>
    <col width="14" customWidth="1" style="38" min="12" max="12"/>
    <col width="38" customWidth="1" style="38" min="13" max="13"/>
    <col width="13" customWidth="1" style="38" min="14" max="14"/>
    <col width="24" customWidth="1" style="38" min="15" max="15"/>
    <col width="10" customWidth="1" style="38" min="16" max="16"/>
    <col width="12" customWidth="1" style="38" min="17" max="17"/>
    <col width="13" customWidth="1" style="38" min="18" max="18"/>
    <col width="24" customWidth="1" style="38" min="19" max="19"/>
    <col width="20" customWidth="1" style="38" min="20" max="20"/>
    <col width="15" customWidth="1" style="38" min="21" max="21"/>
    <col width="24" customWidth="1" style="38" min="22" max="22"/>
    <col width="22" customWidth="1" style="38" min="23" max="23"/>
    <col width="24" customWidth="1" style="38" min="24" max="24"/>
    <col width="18" customWidth="1" style="38" min="25" max="25"/>
    <col width="36" customWidth="1" style="38" min="26" max="26"/>
    <col width="14" customWidth="1" style="38" min="27" max="27"/>
    <col width="13" customWidth="1" style="38" min="28" max="28"/>
    <col width="34" customWidth="1" style="38" min="29" max="29"/>
    <col width="22" customWidth="1" style="38" min="30" max="30"/>
    <col width="40" customWidth="1" style="38" min="31" max="31"/>
    <col width="20" customWidth="1" style="38" min="32" max="32"/>
    <col width="14" customWidth="1" style="38" min="33" max="35"/>
    <col width="26" customWidth="1" style="38" min="36" max="36"/>
    <col width="38" customWidth="1" style="38" min="37" max="37"/>
    <col width="16" customWidth="1" style="38" min="38" max="38"/>
    <col width="15" customWidth="1" style="38" min="39" max="39"/>
  </cols>
  <sheetData>
    <row r="1" ht="49.5" customHeight="1" s="39">
      <c r="A1" s="67" t="inlineStr">
        <is>
          <t>SamAccountName</t>
        </is>
      </c>
      <c r="B1" s="67" t="inlineStr">
        <is>
          <t>Display Name</t>
        </is>
      </c>
      <c r="C1" s="67" t="inlineStr">
        <is>
          <t>Distinguished Name</t>
        </is>
      </c>
      <c r="D1" s="67" t="inlineStr">
        <is>
          <t>SID</t>
        </is>
      </c>
      <c r="E1" s="67" t="inlineStr">
        <is>
          <t>Base Username</t>
        </is>
      </c>
      <c r="F1" s="67" t="inlineStr">
        <is>
          <t>Enabled</t>
        </is>
      </c>
      <c r="G1" s="67" t="inlineStr">
        <is>
          <t>Created</t>
        </is>
      </c>
      <c r="H1" s="67" t="inlineStr">
        <is>
          <t>Last Logon</t>
        </is>
      </c>
      <c r="I1" s="67" t="inlineStr">
        <is>
          <t>Password Last Set</t>
        </is>
      </c>
      <c r="J1" s="67" t="inlineStr">
        <is>
          <t>Password Age (days)</t>
        </is>
      </c>
      <c r="K1" s="67" t="inlineStr">
        <is>
          <t>Password Never Expires</t>
        </is>
      </c>
      <c r="L1" s="67" t="inlineStr">
        <is>
          <t>Smartcard Required</t>
        </is>
      </c>
      <c r="M1" s="67" t="inlineStr">
        <is>
          <t>Privileged Groups</t>
        </is>
      </c>
      <c r="N1" s="67" t="inlineStr">
        <is>
          <t>Privileged Group Count</t>
        </is>
      </c>
      <c r="O1" s="67" t="inlineStr">
        <is>
          <t>Highest AD Group</t>
        </is>
      </c>
      <c r="P1" s="67" t="inlineStr">
        <is>
          <t>AD Tier</t>
        </is>
      </c>
      <c r="Q1" s="67" t="inlineStr">
        <is>
          <t>AdminCount</t>
        </is>
      </c>
      <c r="R1" s="67" t="inlineStr">
        <is>
          <t>Total Group Count</t>
        </is>
      </c>
      <c r="S1" s="67" t="inlineStr">
        <is>
          <t>Delegation</t>
        </is>
      </c>
      <c r="T1" s="67" t="inlineStr">
        <is>
          <t>Standard Account</t>
        </is>
      </c>
      <c r="U1" s="67" t="inlineStr">
        <is>
          <t>Standard Acct Enabled</t>
        </is>
      </c>
      <c r="V1" s="67" t="inlineStr">
        <is>
          <t>Person Display Name</t>
        </is>
      </c>
      <c r="W1" s="67" t="inlineStr">
        <is>
          <t>Department</t>
        </is>
      </c>
      <c r="X1" s="67" t="inlineStr">
        <is>
          <t>Job Title</t>
        </is>
      </c>
      <c r="Y1" s="67" t="inlineStr">
        <is>
          <t>ACL-Based Privilege</t>
        </is>
      </c>
      <c r="Z1" s="67" t="inlineStr">
        <is>
          <t>ACL Privilege Detail</t>
        </is>
      </c>
      <c r="AA1" s="55" t="inlineStr">
        <is>
          <t>Days Since Logon</t>
        </is>
      </c>
      <c r="AB1" s="55" t="inlineStr">
        <is>
          <t>ORPHANED?</t>
        </is>
      </c>
      <c r="AC1" s="55" t="inlineStr">
        <is>
          <t>Risk Flags</t>
        </is>
      </c>
      <c r="AD1" s="54" t="inlineStr">
        <is>
          <t>Access Type</t>
        </is>
      </c>
      <c r="AE1" s="54" t="inlineStr">
        <is>
          <t>Business Justification</t>
        </is>
      </c>
      <c r="AF1" s="54" t="inlineStr">
        <is>
          <t>Decided By</t>
        </is>
      </c>
      <c r="AG1" s="54" t="inlineStr">
        <is>
          <t>Review Decision Date</t>
        </is>
      </c>
      <c r="AH1" s="54" t="inlineStr">
        <is>
          <t>Next Review Due</t>
        </is>
      </c>
      <c r="AI1" s="54" t="inlineStr">
        <is>
          <t>Last Reviewed</t>
        </is>
      </c>
      <c r="AJ1" s="54" t="inlineStr">
        <is>
          <t>Review Decision</t>
        </is>
      </c>
      <c r="AK1" s="54" t="inlineStr">
        <is>
          <t>Notes</t>
        </is>
      </c>
      <c r="AL1" s="55" t="inlineStr">
        <is>
          <t>Access Status</t>
        </is>
      </c>
      <c r="AM1" s="55" t="inlineStr">
        <is>
          <t>Review Status</t>
        </is>
      </c>
    </row>
    <row r="2" ht="35.05" customHeight="1" s="39">
      <c r="A2" s="56" t="inlineStr">
        <is>
          <t>jsmith-a</t>
        </is>
      </c>
      <c r="B2" s="56" t="inlineStr">
        <is>
          <t>Jane Smith (Admin)</t>
        </is>
      </c>
      <c r="C2" s="57" t="inlineStr">
        <is>
          <t>CN=jsmith-a,OU=Admin Accounts,DC=corp,DC=com,DC=au</t>
        </is>
      </c>
      <c r="D2" s="57" t="inlineStr">
        <is>
          <t>S-1-5-21-1004336348-1177238915-682003330-3312</t>
        </is>
      </c>
      <c r="E2" s="56" t="inlineStr">
        <is>
          <t>jsmith</t>
        </is>
      </c>
      <c r="F2" s="56" t="inlineStr">
        <is>
          <t>Yes</t>
        </is>
      </c>
      <c r="G2" s="58" t="n">
        <v>44362</v>
      </c>
      <c r="H2" s="58" t="n">
        <v>46245</v>
      </c>
      <c r="I2" s="58" t="n">
        <v>45598</v>
      </c>
      <c r="J2" s="56" t="n">
        <v>650</v>
      </c>
      <c r="K2" s="56" t="inlineStr">
        <is>
          <t>No</t>
        </is>
      </c>
      <c r="L2" s="56" t="inlineStr">
        <is>
          <t>No</t>
        </is>
      </c>
      <c r="M2" s="57" t="inlineStr">
        <is>
          <t>Domain Admins; Server Operators</t>
        </is>
      </c>
      <c r="N2" s="56" t="n">
        <v>2</v>
      </c>
      <c r="O2" s="56" t="inlineStr">
        <is>
          <t>Domain Admins</t>
        </is>
      </c>
      <c r="P2" s="56" t="n">
        <v>0</v>
      </c>
      <c r="Q2" s="56" t="inlineStr">
        <is>
          <t>1</t>
        </is>
      </c>
      <c r="R2" s="56" t="n">
        <v>6</v>
      </c>
      <c r="S2" s="56" t="inlineStr">
        <is>
          <t>None</t>
        </is>
      </c>
      <c r="T2" s="56" t="inlineStr">
        <is>
          <t>jsmith</t>
        </is>
      </c>
      <c r="U2" s="56" t="inlineStr">
        <is>
          <t>Yes</t>
        </is>
      </c>
      <c r="V2" s="56" t="inlineStr">
        <is>
          <t>Jane Smith</t>
        </is>
      </c>
      <c r="W2" s="56" t="inlineStr">
        <is>
          <t>Cloud Platform Engineering</t>
        </is>
      </c>
      <c r="X2" s="56" t="inlineStr">
        <is>
          <t>Principal Engineer</t>
        </is>
      </c>
      <c r="Y2" s="56" t="inlineStr">
        <is>
          <t>No</t>
        </is>
      </c>
      <c r="Z2" s="57" t="n"/>
      <c r="AA2" s="59">
        <f>IF($H2="","",TODAY()-$H2)</f>
        <v/>
      </c>
      <c r="AB2" s="59">
        <f>IF($A2="","",IF(AND($F2="Yes",OR($U2="No",$U2="NOT FOUND")),"YES",""))</f>
        <v/>
      </c>
      <c r="AC2" s="65">
        <f>IF($A2="","",TRIM(IF(AND($P2=0,$L2&lt;&gt;"Yes"),"T0-NoSmartcard ","")&amp;IF(AND($J2&lt;&gt;"",$J2&gt;365),"StalePwd ","")&amp;IF($K2="Yes","PwdNeverExpires ","")&amp;IF(AND($S2&lt;&gt;"",$S2&lt;&gt;"None"),"Delegation ","")&amp;IF(AND($Q2=1,$O2="None"),"StaleAdminCount ","")&amp;IF(AND($F2="Yes",$H2=""),"NeverLoggedOn ","")))</f>
        <v/>
      </c>
      <c r="AD2" s="56" t="inlineStr">
        <is>
          <t>Permanent (BAU duty)</t>
        </is>
      </c>
      <c r="AE2" s="57" t="inlineStr">
        <is>
          <t>Domain controller maintenance and AD schema support.</t>
        </is>
      </c>
      <c r="AF2" s="56" t="inlineStr">
        <is>
          <t>Head of Infrastructure</t>
        </is>
      </c>
      <c r="AG2" s="58" t="n">
        <v>46042</v>
      </c>
      <c r="AH2" s="58" t="n"/>
      <c r="AI2" s="58" t="n">
        <v>46152</v>
      </c>
      <c r="AJ2" s="56" t="inlineStr">
        <is>
          <t>Retain - reduce scope</t>
        </is>
      </c>
      <c r="AK2" s="57" t="inlineStr">
        <is>
          <t>EXAMPLE ROW - delete before use. Domain Admin without smartcard; password 650 days old.</t>
        </is>
      </c>
      <c r="AL2" s="59">
        <f>IF($A2="","",IF(AH2="","Not Enrolled",IF(TODAY()&gt;AH2,"Review Overdue",IF(AH2-TODAY()&lt;=30,"Review Due Soon","Active"))))</f>
        <v/>
      </c>
      <c r="AM2" s="59">
        <f>IF($A2="","",IF(AI2="","NOT REVIEWED",IF(TODAY()-AI2&gt;90,"OVERDUE",IF(TODAY()-AI2&gt;76,"Due Soon","Current"))))</f>
        <v/>
      </c>
    </row>
    <row r="3" ht="15" customHeight="1" s="39">
      <c r="A3" s="60" t="n"/>
      <c r="B3" s="60" t="n"/>
      <c r="C3" s="61" t="n"/>
      <c r="D3" s="61" t="n"/>
      <c r="E3" s="60" t="n"/>
      <c r="F3" s="60" t="n"/>
      <c r="G3" s="62" t="n"/>
      <c r="H3" s="62" t="n"/>
      <c r="I3" s="62" t="n"/>
      <c r="J3" s="60" t="n"/>
      <c r="K3" s="60" t="n"/>
      <c r="L3" s="60" t="n"/>
      <c r="M3" s="61" t="n"/>
      <c r="N3" s="60" t="n"/>
      <c r="O3" s="60" t="n"/>
      <c r="P3" s="60" t="n"/>
      <c r="Q3" s="60" t="n"/>
      <c r="R3" s="60" t="n"/>
      <c r="S3" s="60" t="n"/>
      <c r="T3" s="60" t="n"/>
      <c r="U3" s="60" t="n"/>
      <c r="V3" s="60" t="n"/>
      <c r="W3" s="60" t="n"/>
      <c r="X3" s="60" t="n"/>
      <c r="Y3" s="60" t="n"/>
      <c r="Z3" s="61" t="n"/>
      <c r="AA3" s="63">
        <f>IF($H3="","",TODAY()-$H3)</f>
        <v/>
      </c>
      <c r="AB3" s="63">
        <f>IF($A3="","",IF(AND($F3="Yes",OR($U3="No",$U3="NOT FOUND")),"YES",""))</f>
        <v/>
      </c>
      <c r="AC3" s="66">
        <f>IF($A3="","",TRIM(IF(AND($P3=0,$L3&lt;&gt;"Yes"),"T0-NoSmartcard ","")&amp;IF(AND($J3&lt;&gt;"",$J3&gt;365),"StalePwd ","")&amp;IF($K3="Yes","PwdNeverExpires ","")&amp;IF(AND($S3&lt;&gt;"",$S3&lt;&gt;"None"),"Delegation ","")&amp;IF(AND($Q3=1,$O3="None"),"StaleAdminCount ","")&amp;IF(AND($F3="Yes",$H3=""),"NeverLoggedOn ","")))</f>
        <v/>
      </c>
      <c r="AD3" s="60" t="n"/>
      <c r="AE3" s="61" t="n"/>
      <c r="AF3" s="60" t="n"/>
      <c r="AG3" s="62" t="n"/>
      <c r="AH3" s="62" t="n"/>
      <c r="AI3" s="62" t="n"/>
      <c r="AJ3" s="60" t="n"/>
      <c r="AK3" s="61" t="n"/>
      <c r="AL3" s="63">
        <f>IF($A3="","",IF(AH3="","Not Enrolled",IF(TODAY()&gt;AH3,"Review Overdue",IF(AH3-TODAY()&lt;=30,"Review Due Soon","Active"))))</f>
        <v/>
      </c>
      <c r="AM3" s="63">
        <f>IF($A3="","",IF(AI3="","NOT REVIEWED",IF(TODAY()-AI3&gt;90,"OVERDUE",IF(TODAY()-AI3&gt;76,"Due Soon","Current"))))</f>
        <v/>
      </c>
    </row>
    <row r="4" ht="15" customHeight="1" s="39">
      <c r="A4" s="60" t="n"/>
      <c r="B4" s="60" t="n"/>
      <c r="C4" s="61" t="n"/>
      <c r="D4" s="61" t="n"/>
      <c r="E4" s="60" t="n"/>
      <c r="F4" s="60" t="n"/>
      <c r="G4" s="62" t="n"/>
      <c r="H4" s="62" t="n"/>
      <c r="I4" s="62" t="n"/>
      <c r="J4" s="60" t="n"/>
      <c r="K4" s="60" t="n"/>
      <c r="L4" s="60" t="n"/>
      <c r="M4" s="61" t="n"/>
      <c r="N4" s="60" t="n"/>
      <c r="O4" s="60" t="n"/>
      <c r="P4" s="60" t="n"/>
      <c r="Q4" s="60" t="n"/>
      <c r="R4" s="60" t="n"/>
      <c r="S4" s="60" t="n"/>
      <c r="T4" s="60" t="n"/>
      <c r="U4" s="60" t="n"/>
      <c r="V4" s="60" t="n"/>
      <c r="W4" s="60" t="n"/>
      <c r="X4" s="60" t="n"/>
      <c r="Y4" s="60" t="n"/>
      <c r="Z4" s="61" t="n"/>
      <c r="AA4" s="63">
        <f>IF($H4="","",TODAY()-$H4)</f>
        <v/>
      </c>
      <c r="AB4" s="63">
        <f>IF($A4="","",IF(AND($F4="Yes",OR($U4="No",$U4="NOT FOUND")),"YES",""))</f>
        <v/>
      </c>
      <c r="AC4" s="66">
        <f>IF($A4="","",TRIM(IF(AND($P4=0,$L4&lt;&gt;"Yes"),"T0-NoSmartcard ","")&amp;IF(AND($J4&lt;&gt;"",$J4&gt;365),"StalePwd ","")&amp;IF($K4="Yes","PwdNeverExpires ","")&amp;IF(AND($S4&lt;&gt;"",$S4&lt;&gt;"None"),"Delegation ","")&amp;IF(AND($Q4=1,$O4="None"),"StaleAdminCount ","")&amp;IF(AND($F4="Yes",$H4=""),"NeverLoggedOn ","")))</f>
        <v/>
      </c>
      <c r="AD4" s="60" t="n"/>
      <c r="AE4" s="61" t="n"/>
      <c r="AF4" s="60" t="n"/>
      <c r="AG4" s="62" t="n"/>
      <c r="AH4" s="62" t="n"/>
      <c r="AI4" s="62" t="n"/>
      <c r="AJ4" s="60" t="n"/>
      <c r="AK4" s="61" t="n"/>
      <c r="AL4" s="63">
        <f>IF($A4="","",IF(AH4="","Not Enrolled",IF(TODAY()&gt;AH4,"Review Overdue",IF(AH4-TODAY()&lt;=30,"Review Due Soon","Active"))))</f>
        <v/>
      </c>
      <c r="AM4" s="63">
        <f>IF($A4="","",IF(AI4="","NOT REVIEWED",IF(TODAY()-AI4&gt;90,"OVERDUE",IF(TODAY()-AI4&gt;76,"Due Soon","Current"))))</f>
        <v/>
      </c>
    </row>
    <row r="5" ht="15" customHeight="1" s="39">
      <c r="A5" s="60" t="n"/>
      <c r="B5" s="60" t="n"/>
      <c r="C5" s="61" t="n"/>
      <c r="D5" s="61" t="n"/>
      <c r="E5" s="60" t="n"/>
      <c r="F5" s="60" t="n"/>
      <c r="G5" s="62" t="n"/>
      <c r="H5" s="62" t="n"/>
      <c r="I5" s="62" t="n"/>
      <c r="J5" s="60" t="n"/>
      <c r="K5" s="60" t="n"/>
      <c r="L5" s="60" t="n"/>
      <c r="M5" s="61" t="n"/>
      <c r="N5" s="60" t="n"/>
      <c r="O5" s="60" t="n"/>
      <c r="P5" s="60" t="n"/>
      <c r="Q5" s="60" t="n"/>
      <c r="R5" s="60" t="n"/>
      <c r="S5" s="60" t="n"/>
      <c r="T5" s="60" t="n"/>
      <c r="U5" s="60" t="n"/>
      <c r="V5" s="60" t="n"/>
      <c r="W5" s="60" t="n"/>
      <c r="X5" s="60" t="n"/>
      <c r="Y5" s="60" t="n"/>
      <c r="Z5" s="61" t="n"/>
      <c r="AA5" s="63">
        <f>IF($H5="","",TODAY()-$H5)</f>
        <v/>
      </c>
      <c r="AB5" s="63">
        <f>IF($A5="","",IF(AND($F5="Yes",OR($U5="No",$U5="NOT FOUND")),"YES",""))</f>
        <v/>
      </c>
      <c r="AC5" s="66">
        <f>IF($A5="","",TRIM(IF(AND($P5=0,$L5&lt;&gt;"Yes"),"T0-NoSmartcard ","")&amp;IF(AND($J5&lt;&gt;"",$J5&gt;365),"StalePwd ","")&amp;IF($K5="Yes","PwdNeverExpires ","")&amp;IF(AND($S5&lt;&gt;"",$S5&lt;&gt;"None"),"Delegation ","")&amp;IF(AND($Q5=1,$O5="None"),"StaleAdminCount ","")&amp;IF(AND($F5="Yes",$H5=""),"NeverLoggedOn ","")))</f>
        <v/>
      </c>
      <c r="AD5" s="60" t="n"/>
      <c r="AE5" s="61" t="n"/>
      <c r="AF5" s="60" t="n"/>
      <c r="AG5" s="62" t="n"/>
      <c r="AH5" s="62" t="n"/>
      <c r="AI5" s="62" t="n"/>
      <c r="AJ5" s="60" t="n"/>
      <c r="AK5" s="61" t="n"/>
      <c r="AL5" s="63">
        <f>IF($A5="","",IF(AH5="","Not Enrolled",IF(TODAY()&gt;AH5,"Review Overdue",IF(AH5-TODAY()&lt;=30,"Review Due Soon","Active"))))</f>
        <v/>
      </c>
      <c r="AM5" s="63">
        <f>IF($A5="","",IF(AI5="","NOT REVIEWED",IF(TODAY()-AI5&gt;90,"OVERDUE",IF(TODAY()-AI5&gt;76,"Due Soon","Current"))))</f>
        <v/>
      </c>
    </row>
    <row r="6" ht="15" customHeight="1" s="39">
      <c r="A6" s="60" t="n"/>
      <c r="B6" s="60" t="n"/>
      <c r="C6" s="61" t="n"/>
      <c r="D6" s="61" t="n"/>
      <c r="E6" s="60" t="n"/>
      <c r="F6" s="60" t="n"/>
      <c r="G6" s="62" t="n"/>
      <c r="H6" s="62" t="n"/>
      <c r="I6" s="62" t="n"/>
      <c r="J6" s="60" t="n"/>
      <c r="K6" s="60" t="n"/>
      <c r="L6" s="60" t="n"/>
      <c r="M6" s="61" t="n"/>
      <c r="N6" s="60" t="n"/>
      <c r="O6" s="60" t="n"/>
      <c r="P6" s="60" t="n"/>
      <c r="Q6" s="60" t="n"/>
      <c r="R6" s="60" t="n"/>
      <c r="S6" s="60" t="n"/>
      <c r="T6" s="60" t="n"/>
      <c r="U6" s="60" t="n"/>
      <c r="V6" s="60" t="n"/>
      <c r="W6" s="60" t="n"/>
      <c r="X6" s="60" t="n"/>
      <c r="Y6" s="60" t="n"/>
      <c r="Z6" s="61" t="n"/>
      <c r="AA6" s="63">
        <f>IF($H6="","",TODAY()-$H6)</f>
        <v/>
      </c>
      <c r="AB6" s="63">
        <f>IF($A6="","",IF(AND($F6="Yes",OR($U6="No",$U6="NOT FOUND")),"YES",""))</f>
        <v/>
      </c>
      <c r="AC6" s="66">
        <f>IF($A6="","",TRIM(IF(AND($P6=0,$L6&lt;&gt;"Yes"),"T0-NoSmartcard ","")&amp;IF(AND($J6&lt;&gt;"",$J6&gt;365),"StalePwd ","")&amp;IF($K6="Yes","PwdNeverExpires ","")&amp;IF(AND($S6&lt;&gt;"",$S6&lt;&gt;"None"),"Delegation ","")&amp;IF(AND($Q6=1,$O6="None"),"StaleAdminCount ","")&amp;IF(AND($F6="Yes",$H6=""),"NeverLoggedOn ","")))</f>
        <v/>
      </c>
      <c r="AD6" s="60" t="n"/>
      <c r="AE6" s="61" t="n"/>
      <c r="AF6" s="60" t="n"/>
      <c r="AG6" s="62" t="n"/>
      <c r="AH6" s="62" t="n"/>
      <c r="AI6" s="62" t="n"/>
      <c r="AJ6" s="60" t="n"/>
      <c r="AK6" s="61" t="n"/>
      <c r="AL6" s="63">
        <f>IF($A6="","",IF(AH6="","Not Enrolled",IF(TODAY()&gt;AH6,"Review Overdue",IF(AH6-TODAY()&lt;=30,"Review Due Soon","Active"))))</f>
        <v/>
      </c>
      <c r="AM6" s="63">
        <f>IF($A6="","",IF(AI6="","NOT REVIEWED",IF(TODAY()-AI6&gt;90,"OVERDUE",IF(TODAY()-AI6&gt;76,"Due Soon","Current"))))</f>
        <v/>
      </c>
    </row>
    <row r="7" ht="15" customHeight="1" s="39">
      <c r="A7" s="60" t="n"/>
      <c r="B7" s="60" t="n"/>
      <c r="C7" s="61" t="n"/>
      <c r="D7" s="61" t="n"/>
      <c r="E7" s="60" t="n"/>
      <c r="F7" s="60" t="n"/>
      <c r="G7" s="62" t="n"/>
      <c r="H7" s="62" t="n"/>
      <c r="I7" s="62" t="n"/>
      <c r="J7" s="60" t="n"/>
      <c r="K7" s="60" t="n"/>
      <c r="L7" s="60" t="n"/>
      <c r="M7" s="61" t="n"/>
      <c r="N7" s="60" t="n"/>
      <c r="O7" s="60" t="n"/>
      <c r="P7" s="60" t="n"/>
      <c r="Q7" s="60" t="n"/>
      <c r="R7" s="60" t="n"/>
      <c r="S7" s="60" t="n"/>
      <c r="T7" s="60" t="n"/>
      <c r="U7" s="60" t="n"/>
      <c r="V7" s="60" t="n"/>
      <c r="W7" s="60" t="n"/>
      <c r="X7" s="60" t="n"/>
      <c r="Y7" s="60" t="n"/>
      <c r="Z7" s="61" t="n"/>
      <c r="AA7" s="63">
        <f>IF($H7="","",TODAY()-$H7)</f>
        <v/>
      </c>
      <c r="AB7" s="63">
        <f>IF($A7="","",IF(AND($F7="Yes",OR($U7="No",$U7="NOT FOUND")),"YES",""))</f>
        <v/>
      </c>
      <c r="AC7" s="66">
        <f>IF($A7="","",TRIM(IF(AND($P7=0,$L7&lt;&gt;"Yes"),"T0-NoSmartcard ","")&amp;IF(AND($J7&lt;&gt;"",$J7&gt;365),"StalePwd ","")&amp;IF($K7="Yes","PwdNeverExpires ","")&amp;IF(AND($S7&lt;&gt;"",$S7&lt;&gt;"None"),"Delegation ","")&amp;IF(AND($Q7=1,$O7="None"),"StaleAdminCount ","")&amp;IF(AND($F7="Yes",$H7=""),"NeverLoggedOn ","")))</f>
        <v/>
      </c>
      <c r="AD7" s="60" t="n"/>
      <c r="AE7" s="61" t="n"/>
      <c r="AF7" s="60" t="n"/>
      <c r="AG7" s="62" t="n"/>
      <c r="AH7" s="62" t="n"/>
      <c r="AI7" s="62" t="n"/>
      <c r="AJ7" s="60" t="n"/>
      <c r="AK7" s="61" t="n"/>
      <c r="AL7" s="63">
        <f>IF($A7="","",IF(AH7="","Not Enrolled",IF(TODAY()&gt;AH7,"Review Overdue",IF(AH7-TODAY()&lt;=30,"Review Due Soon","Active"))))</f>
        <v/>
      </c>
      <c r="AM7" s="63">
        <f>IF($A7="","",IF(AI7="","NOT REVIEWED",IF(TODAY()-AI7&gt;90,"OVERDUE",IF(TODAY()-AI7&gt;76,"Due Soon","Current"))))</f>
        <v/>
      </c>
    </row>
    <row r="8" ht="15" customHeight="1" s="39">
      <c r="A8" s="60" t="n"/>
      <c r="B8" s="60" t="n"/>
      <c r="C8" s="61" t="n"/>
      <c r="D8" s="61" t="n"/>
      <c r="E8" s="60" t="n"/>
      <c r="F8" s="60" t="n"/>
      <c r="G8" s="62" t="n"/>
      <c r="H8" s="62" t="n"/>
      <c r="I8" s="62" t="n"/>
      <c r="J8" s="60" t="n"/>
      <c r="K8" s="60" t="n"/>
      <c r="L8" s="60" t="n"/>
      <c r="M8" s="61" t="n"/>
      <c r="N8" s="60" t="n"/>
      <c r="O8" s="60" t="n"/>
      <c r="P8" s="60" t="n"/>
      <c r="Q8" s="60" t="n"/>
      <c r="R8" s="60" t="n"/>
      <c r="S8" s="60" t="n"/>
      <c r="T8" s="60" t="n"/>
      <c r="U8" s="60" t="n"/>
      <c r="V8" s="60" t="n"/>
      <c r="W8" s="60" t="n"/>
      <c r="X8" s="60" t="n"/>
      <c r="Y8" s="60" t="n"/>
      <c r="Z8" s="61" t="n"/>
      <c r="AA8" s="63">
        <f>IF($H8="","",TODAY()-$H8)</f>
        <v/>
      </c>
      <c r="AB8" s="63">
        <f>IF($A8="","",IF(AND($F8="Yes",OR($U8="No",$U8="NOT FOUND")),"YES",""))</f>
        <v/>
      </c>
      <c r="AC8" s="66">
        <f>IF($A8="","",TRIM(IF(AND($P8=0,$L8&lt;&gt;"Yes"),"T0-NoSmartcard ","")&amp;IF(AND($J8&lt;&gt;"",$J8&gt;365),"StalePwd ","")&amp;IF($K8="Yes","PwdNeverExpires ","")&amp;IF(AND($S8&lt;&gt;"",$S8&lt;&gt;"None"),"Delegation ","")&amp;IF(AND($Q8=1,$O8="None"),"StaleAdminCount ","")&amp;IF(AND($F8="Yes",$H8=""),"NeverLoggedOn ","")))</f>
        <v/>
      </c>
      <c r="AD8" s="60" t="n"/>
      <c r="AE8" s="61" t="n"/>
      <c r="AF8" s="60" t="n"/>
      <c r="AG8" s="62" t="n"/>
      <c r="AH8" s="62" t="n"/>
      <c r="AI8" s="62" t="n"/>
      <c r="AJ8" s="60" t="n"/>
      <c r="AK8" s="61" t="n"/>
      <c r="AL8" s="63">
        <f>IF($A8="","",IF(AH8="","Not Enrolled",IF(TODAY()&gt;AH8,"Review Overdue",IF(AH8-TODAY()&lt;=30,"Review Due Soon","Active"))))</f>
        <v/>
      </c>
      <c r="AM8" s="63">
        <f>IF($A8="","",IF(AI8="","NOT REVIEWED",IF(TODAY()-AI8&gt;90,"OVERDUE",IF(TODAY()-AI8&gt;76,"Due Soon","Current"))))</f>
        <v/>
      </c>
    </row>
    <row r="9" ht="15" customHeight="1" s="39">
      <c r="A9" s="60" t="n"/>
      <c r="B9" s="60" t="n"/>
      <c r="C9" s="61" t="n"/>
      <c r="D9" s="61" t="n"/>
      <c r="E9" s="60" t="n"/>
      <c r="F9" s="60" t="n"/>
      <c r="G9" s="62" t="n"/>
      <c r="H9" s="62" t="n"/>
      <c r="I9" s="62" t="n"/>
      <c r="J9" s="60" t="n"/>
      <c r="K9" s="60" t="n"/>
      <c r="L9" s="60" t="n"/>
      <c r="M9" s="61" t="n"/>
      <c r="N9" s="60" t="n"/>
      <c r="O9" s="60" t="n"/>
      <c r="P9" s="60" t="n"/>
      <c r="Q9" s="60" t="n"/>
      <c r="R9" s="60" t="n"/>
      <c r="S9" s="60" t="n"/>
      <c r="T9" s="60" t="n"/>
      <c r="U9" s="60" t="n"/>
      <c r="V9" s="60" t="n"/>
      <c r="W9" s="60" t="n"/>
      <c r="X9" s="60" t="n"/>
      <c r="Y9" s="60" t="n"/>
      <c r="Z9" s="61" t="n"/>
      <c r="AA9" s="63">
        <f>IF($H9="","",TODAY()-$H9)</f>
        <v/>
      </c>
      <c r="AB9" s="63">
        <f>IF($A9="","",IF(AND($F9="Yes",OR($U9="No",$U9="NOT FOUND")),"YES",""))</f>
        <v/>
      </c>
      <c r="AC9" s="66">
        <f>IF($A9="","",TRIM(IF(AND($P9=0,$L9&lt;&gt;"Yes"),"T0-NoSmartcard ","")&amp;IF(AND($J9&lt;&gt;"",$J9&gt;365),"StalePwd ","")&amp;IF($K9="Yes","PwdNeverExpires ","")&amp;IF(AND($S9&lt;&gt;"",$S9&lt;&gt;"None"),"Delegation ","")&amp;IF(AND($Q9=1,$O9="None"),"StaleAdminCount ","")&amp;IF(AND($F9="Yes",$H9=""),"NeverLoggedOn ","")))</f>
        <v/>
      </c>
      <c r="AD9" s="60" t="n"/>
      <c r="AE9" s="61" t="n"/>
      <c r="AF9" s="60" t="n"/>
      <c r="AG9" s="62" t="n"/>
      <c r="AH9" s="62" t="n"/>
      <c r="AI9" s="62" t="n"/>
      <c r="AJ9" s="60" t="n"/>
      <c r="AK9" s="61" t="n"/>
      <c r="AL9" s="63">
        <f>IF($A9="","",IF(AH9="","Not Enrolled",IF(TODAY()&gt;AH9,"Review Overdue",IF(AH9-TODAY()&lt;=30,"Review Due Soon","Active"))))</f>
        <v/>
      </c>
      <c r="AM9" s="63">
        <f>IF($A9="","",IF(AI9="","NOT REVIEWED",IF(TODAY()-AI9&gt;90,"OVERDUE",IF(TODAY()-AI9&gt;76,"Due Soon","Current"))))</f>
        <v/>
      </c>
    </row>
    <row r="10" ht="15" customHeight="1" s="39">
      <c r="A10" s="60" t="n"/>
      <c r="B10" s="60" t="n"/>
      <c r="C10" s="61" t="n"/>
      <c r="D10" s="61" t="n"/>
      <c r="E10" s="60" t="n"/>
      <c r="F10" s="60" t="n"/>
      <c r="G10" s="62" t="n"/>
      <c r="H10" s="62" t="n"/>
      <c r="I10" s="62" t="n"/>
      <c r="J10" s="60" t="n"/>
      <c r="K10" s="60" t="n"/>
      <c r="L10" s="60" t="n"/>
      <c r="M10" s="61" t="n"/>
      <c r="N10" s="60" t="n"/>
      <c r="O10" s="60" t="n"/>
      <c r="P10" s="60" t="n"/>
      <c r="Q10" s="60" t="n"/>
      <c r="R10" s="60" t="n"/>
      <c r="S10" s="60" t="n"/>
      <c r="T10" s="60" t="n"/>
      <c r="U10" s="60" t="n"/>
      <c r="V10" s="60" t="n"/>
      <c r="W10" s="60" t="n"/>
      <c r="X10" s="60" t="n"/>
      <c r="Y10" s="60" t="n"/>
      <c r="Z10" s="61" t="n"/>
      <c r="AA10" s="63">
        <f>IF($H10="","",TODAY()-$H10)</f>
        <v/>
      </c>
      <c r="AB10" s="63">
        <f>IF($A10="","",IF(AND($F10="Yes",OR($U10="No",$U10="NOT FOUND")),"YES",""))</f>
        <v/>
      </c>
      <c r="AC10" s="66">
        <f>IF($A10="","",TRIM(IF(AND($P10=0,$L10&lt;&gt;"Yes"),"T0-NoSmartcard ","")&amp;IF(AND($J10&lt;&gt;"",$J10&gt;365),"StalePwd ","")&amp;IF($K10="Yes","PwdNeverExpires ","")&amp;IF(AND($S10&lt;&gt;"",$S10&lt;&gt;"None"),"Delegation ","")&amp;IF(AND($Q10=1,$O10="None"),"StaleAdminCount ","")&amp;IF(AND($F10="Yes",$H10=""),"NeverLoggedOn ","")))</f>
        <v/>
      </c>
      <c r="AD10" s="60" t="n"/>
      <c r="AE10" s="61" t="n"/>
      <c r="AF10" s="60" t="n"/>
      <c r="AG10" s="62" t="n"/>
      <c r="AH10" s="62" t="n"/>
      <c r="AI10" s="62" t="n"/>
      <c r="AJ10" s="60" t="n"/>
      <c r="AK10" s="61" t="n"/>
      <c r="AL10" s="63">
        <f>IF($A10="","",IF(AH10="","Not Enrolled",IF(TODAY()&gt;AH10,"Review Overdue",IF(AH10-TODAY()&lt;=30,"Review Due Soon","Active"))))</f>
        <v/>
      </c>
      <c r="AM10" s="63">
        <f>IF($A10="","",IF(AI10="","NOT REVIEWED",IF(TODAY()-AI10&gt;90,"OVERDUE",IF(TODAY()-AI10&gt;76,"Due Soon","Current"))))</f>
        <v/>
      </c>
    </row>
    <row r="11" ht="15" customHeight="1" s="39">
      <c r="A11" s="60" t="n"/>
      <c r="B11" s="60" t="n"/>
      <c r="C11" s="61" t="n"/>
      <c r="D11" s="61" t="n"/>
      <c r="E11" s="60" t="n"/>
      <c r="F11" s="60" t="n"/>
      <c r="G11" s="62" t="n"/>
      <c r="H11" s="62" t="n"/>
      <c r="I11" s="62" t="n"/>
      <c r="J11" s="60" t="n"/>
      <c r="K11" s="60" t="n"/>
      <c r="L11" s="60" t="n"/>
      <c r="M11" s="61" t="n"/>
      <c r="N11" s="60" t="n"/>
      <c r="O11" s="60" t="n"/>
      <c r="P11" s="60" t="n"/>
      <c r="Q11" s="60" t="n"/>
      <c r="R11" s="60" t="n"/>
      <c r="S11" s="60" t="n"/>
      <c r="T11" s="60" t="n"/>
      <c r="U11" s="60" t="n"/>
      <c r="V11" s="60" t="n"/>
      <c r="W11" s="60" t="n"/>
      <c r="X11" s="60" t="n"/>
      <c r="Y11" s="60" t="n"/>
      <c r="Z11" s="61" t="n"/>
      <c r="AA11" s="63">
        <f>IF($H11="","",TODAY()-$H11)</f>
        <v/>
      </c>
      <c r="AB11" s="63">
        <f>IF($A11="","",IF(AND($F11="Yes",OR($U11="No",$U11="NOT FOUND")),"YES",""))</f>
        <v/>
      </c>
      <c r="AC11" s="66">
        <f>IF($A11="","",TRIM(IF(AND($P11=0,$L11&lt;&gt;"Yes"),"T0-NoSmartcard ","")&amp;IF(AND($J11&lt;&gt;"",$J11&gt;365),"StalePwd ","")&amp;IF($K11="Yes","PwdNeverExpires ","")&amp;IF(AND($S11&lt;&gt;"",$S11&lt;&gt;"None"),"Delegation ","")&amp;IF(AND($Q11=1,$O11="None"),"StaleAdminCount ","")&amp;IF(AND($F11="Yes",$H11=""),"NeverLoggedOn ","")))</f>
        <v/>
      </c>
      <c r="AD11" s="60" t="n"/>
      <c r="AE11" s="61" t="n"/>
      <c r="AF11" s="60" t="n"/>
      <c r="AG11" s="62" t="n"/>
      <c r="AH11" s="62" t="n"/>
      <c r="AI11" s="62" t="n"/>
      <c r="AJ11" s="60" t="n"/>
      <c r="AK11" s="61" t="n"/>
      <c r="AL11" s="63">
        <f>IF($A11="","",IF(AH11="","Not Enrolled",IF(TODAY()&gt;AH11,"Review Overdue",IF(AH11-TODAY()&lt;=30,"Review Due Soon","Active"))))</f>
        <v/>
      </c>
      <c r="AM11" s="63">
        <f>IF($A11="","",IF(AI11="","NOT REVIEWED",IF(TODAY()-AI11&gt;90,"OVERDUE",IF(TODAY()-AI11&gt;76,"Due Soon","Current"))))</f>
        <v/>
      </c>
    </row>
    <row r="12" ht="15" customHeight="1" s="39">
      <c r="A12" s="60" t="n"/>
      <c r="B12" s="60" t="n"/>
      <c r="C12" s="61" t="n"/>
      <c r="D12" s="61" t="n"/>
      <c r="E12" s="60" t="n"/>
      <c r="F12" s="60" t="n"/>
      <c r="G12" s="62" t="n"/>
      <c r="H12" s="62" t="n"/>
      <c r="I12" s="62" t="n"/>
      <c r="J12" s="60" t="n"/>
      <c r="K12" s="60" t="n"/>
      <c r="L12" s="60" t="n"/>
      <c r="M12" s="61" t="n"/>
      <c r="N12" s="60" t="n"/>
      <c r="O12" s="60" t="n"/>
      <c r="P12" s="60" t="n"/>
      <c r="Q12" s="60" t="n"/>
      <c r="R12" s="60" t="n"/>
      <c r="S12" s="60" t="n"/>
      <c r="T12" s="60" t="n"/>
      <c r="U12" s="60" t="n"/>
      <c r="V12" s="60" t="n"/>
      <c r="W12" s="60" t="n"/>
      <c r="X12" s="60" t="n"/>
      <c r="Y12" s="60" t="n"/>
      <c r="Z12" s="61" t="n"/>
      <c r="AA12" s="63">
        <f>IF($H12="","",TODAY()-$H12)</f>
        <v/>
      </c>
      <c r="AB12" s="63">
        <f>IF($A12="","",IF(AND($F12="Yes",OR($U12="No",$U12="NOT FOUND")),"YES",""))</f>
        <v/>
      </c>
      <c r="AC12" s="66">
        <f>IF($A12="","",TRIM(IF(AND($P12=0,$L12&lt;&gt;"Yes"),"T0-NoSmartcard ","")&amp;IF(AND($J12&lt;&gt;"",$J12&gt;365),"StalePwd ","")&amp;IF($K12="Yes","PwdNeverExpires ","")&amp;IF(AND($S12&lt;&gt;"",$S12&lt;&gt;"None"),"Delegation ","")&amp;IF(AND($Q12=1,$O12="None"),"StaleAdminCount ","")&amp;IF(AND($F12="Yes",$H12=""),"NeverLoggedOn ","")))</f>
        <v/>
      </c>
      <c r="AD12" s="60" t="n"/>
      <c r="AE12" s="61" t="n"/>
      <c r="AF12" s="60" t="n"/>
      <c r="AG12" s="62" t="n"/>
      <c r="AH12" s="62" t="n"/>
      <c r="AI12" s="62" t="n"/>
      <c r="AJ12" s="60" t="n"/>
      <c r="AK12" s="61" t="n"/>
      <c r="AL12" s="63">
        <f>IF($A12="","",IF(AH12="","Not Enrolled",IF(TODAY()&gt;AH12,"Review Overdue",IF(AH12-TODAY()&lt;=30,"Review Due Soon","Active"))))</f>
        <v/>
      </c>
      <c r="AM12" s="63">
        <f>IF($A12="","",IF(AI12="","NOT REVIEWED",IF(TODAY()-AI12&gt;90,"OVERDUE",IF(TODAY()-AI12&gt;76,"Due Soon","Current"))))</f>
        <v/>
      </c>
    </row>
    <row r="13" ht="15" customHeight="1" s="39">
      <c r="A13" s="60" t="n"/>
      <c r="B13" s="60" t="n"/>
      <c r="C13" s="61" t="n"/>
      <c r="D13" s="61" t="n"/>
      <c r="E13" s="60" t="n"/>
      <c r="F13" s="60" t="n"/>
      <c r="G13" s="62" t="n"/>
      <c r="H13" s="62" t="n"/>
      <c r="I13" s="62" t="n"/>
      <c r="J13" s="60" t="n"/>
      <c r="K13" s="60" t="n"/>
      <c r="L13" s="60" t="n"/>
      <c r="M13" s="61" t="n"/>
      <c r="N13" s="60" t="n"/>
      <c r="O13" s="60" t="n"/>
      <c r="P13" s="60" t="n"/>
      <c r="Q13" s="60" t="n"/>
      <c r="R13" s="60" t="n"/>
      <c r="S13" s="60" t="n"/>
      <c r="T13" s="60" t="n"/>
      <c r="U13" s="60" t="n"/>
      <c r="V13" s="60" t="n"/>
      <c r="W13" s="60" t="n"/>
      <c r="X13" s="60" t="n"/>
      <c r="Y13" s="60" t="n"/>
      <c r="Z13" s="61" t="n"/>
      <c r="AA13" s="63">
        <f>IF($H13="","",TODAY()-$H13)</f>
        <v/>
      </c>
      <c r="AB13" s="63">
        <f>IF($A13="","",IF(AND($F13="Yes",OR($U13="No",$U13="NOT FOUND")),"YES",""))</f>
        <v/>
      </c>
      <c r="AC13" s="66">
        <f>IF($A13="","",TRIM(IF(AND($P13=0,$L13&lt;&gt;"Yes"),"T0-NoSmartcard ","")&amp;IF(AND($J13&lt;&gt;"",$J13&gt;365),"StalePwd ","")&amp;IF($K13="Yes","PwdNeverExpires ","")&amp;IF(AND($S13&lt;&gt;"",$S13&lt;&gt;"None"),"Delegation ","")&amp;IF(AND($Q13=1,$O13="None"),"StaleAdminCount ","")&amp;IF(AND($F13="Yes",$H13=""),"NeverLoggedOn ","")))</f>
        <v/>
      </c>
      <c r="AD13" s="60" t="n"/>
      <c r="AE13" s="61" t="n"/>
      <c r="AF13" s="60" t="n"/>
      <c r="AG13" s="62" t="n"/>
      <c r="AH13" s="62" t="n"/>
      <c r="AI13" s="62" t="n"/>
      <c r="AJ13" s="60" t="n"/>
      <c r="AK13" s="61" t="n"/>
      <c r="AL13" s="63">
        <f>IF($A13="","",IF(AH13="","Not Enrolled",IF(TODAY()&gt;AH13,"Review Overdue",IF(AH13-TODAY()&lt;=30,"Review Due Soon","Active"))))</f>
        <v/>
      </c>
      <c r="AM13" s="63">
        <f>IF($A13="","",IF(AI13="","NOT REVIEWED",IF(TODAY()-AI13&gt;90,"OVERDUE",IF(TODAY()-AI13&gt;76,"Due Soon","Current"))))</f>
        <v/>
      </c>
    </row>
    <row r="14" ht="15" customHeight="1" s="39">
      <c r="A14" s="60" t="n"/>
      <c r="B14" s="60" t="n"/>
      <c r="C14" s="61" t="n"/>
      <c r="D14" s="61" t="n"/>
      <c r="E14" s="60" t="n"/>
      <c r="F14" s="60" t="n"/>
      <c r="G14" s="62" t="n"/>
      <c r="H14" s="62" t="n"/>
      <c r="I14" s="62" t="n"/>
      <c r="J14" s="60" t="n"/>
      <c r="K14" s="60" t="n"/>
      <c r="L14" s="60" t="n"/>
      <c r="M14" s="61" t="n"/>
      <c r="N14" s="60" t="n"/>
      <c r="O14" s="60" t="n"/>
      <c r="P14" s="60" t="n"/>
      <c r="Q14" s="60" t="n"/>
      <c r="R14" s="60" t="n"/>
      <c r="S14" s="60" t="n"/>
      <c r="T14" s="60" t="n"/>
      <c r="U14" s="60" t="n"/>
      <c r="V14" s="60" t="n"/>
      <c r="W14" s="60" t="n"/>
      <c r="X14" s="60" t="n"/>
      <c r="Y14" s="60" t="n"/>
      <c r="Z14" s="61" t="n"/>
      <c r="AA14" s="63">
        <f>IF($H14="","",TODAY()-$H14)</f>
        <v/>
      </c>
      <c r="AB14" s="63">
        <f>IF($A14="","",IF(AND($F14="Yes",OR($U14="No",$U14="NOT FOUND")),"YES",""))</f>
        <v/>
      </c>
      <c r="AC14" s="66">
        <f>IF($A14="","",TRIM(IF(AND($P14=0,$L14&lt;&gt;"Yes"),"T0-NoSmartcard ","")&amp;IF(AND($J14&lt;&gt;"",$J14&gt;365),"StalePwd ","")&amp;IF($K14="Yes","PwdNeverExpires ","")&amp;IF(AND($S14&lt;&gt;"",$S14&lt;&gt;"None"),"Delegation ","")&amp;IF(AND($Q14=1,$O14="None"),"StaleAdminCount ","")&amp;IF(AND($F14="Yes",$H14=""),"NeverLoggedOn ","")))</f>
        <v/>
      </c>
      <c r="AD14" s="60" t="n"/>
      <c r="AE14" s="61" t="n"/>
      <c r="AF14" s="60" t="n"/>
      <c r="AG14" s="62" t="n"/>
      <c r="AH14" s="62" t="n"/>
      <c r="AI14" s="62" t="n"/>
      <c r="AJ14" s="60" t="n"/>
      <c r="AK14" s="61" t="n"/>
      <c r="AL14" s="63">
        <f>IF($A14="","",IF(AH14="","Not Enrolled",IF(TODAY()&gt;AH14,"Review Overdue",IF(AH14-TODAY()&lt;=30,"Review Due Soon","Active"))))</f>
        <v/>
      </c>
      <c r="AM14" s="63">
        <f>IF($A14="","",IF(AI14="","NOT REVIEWED",IF(TODAY()-AI14&gt;90,"OVERDUE",IF(TODAY()-AI14&gt;76,"Due Soon","Current"))))</f>
        <v/>
      </c>
    </row>
    <row r="15" ht="15" customHeight="1" s="39">
      <c r="A15" s="60" t="n"/>
      <c r="B15" s="60" t="n"/>
      <c r="C15" s="61" t="n"/>
      <c r="D15" s="61" t="n"/>
      <c r="E15" s="60" t="n"/>
      <c r="F15" s="60" t="n"/>
      <c r="G15" s="62" t="n"/>
      <c r="H15" s="62" t="n"/>
      <c r="I15" s="62" t="n"/>
      <c r="J15" s="60" t="n"/>
      <c r="K15" s="60" t="n"/>
      <c r="L15" s="60" t="n"/>
      <c r="M15" s="61" t="n"/>
      <c r="N15" s="60" t="n"/>
      <c r="O15" s="60" t="n"/>
      <c r="P15" s="60" t="n"/>
      <c r="Q15" s="60" t="n"/>
      <c r="R15" s="60" t="n"/>
      <c r="S15" s="60" t="n"/>
      <c r="T15" s="60" t="n"/>
      <c r="U15" s="60" t="n"/>
      <c r="V15" s="60" t="n"/>
      <c r="W15" s="60" t="n"/>
      <c r="X15" s="60" t="n"/>
      <c r="Y15" s="60" t="n"/>
      <c r="Z15" s="61" t="n"/>
      <c r="AA15" s="63">
        <f>IF($H15="","",TODAY()-$H15)</f>
        <v/>
      </c>
      <c r="AB15" s="63">
        <f>IF($A15="","",IF(AND($F15="Yes",OR($U15="No",$U15="NOT FOUND")),"YES",""))</f>
        <v/>
      </c>
      <c r="AC15" s="66">
        <f>IF($A15="","",TRIM(IF(AND($P15=0,$L15&lt;&gt;"Yes"),"T0-NoSmartcard ","")&amp;IF(AND($J15&lt;&gt;"",$J15&gt;365),"StalePwd ","")&amp;IF($K15="Yes","PwdNeverExpires ","")&amp;IF(AND($S15&lt;&gt;"",$S15&lt;&gt;"None"),"Delegation ","")&amp;IF(AND($Q15=1,$O15="None"),"StaleAdminCount ","")&amp;IF(AND($F15="Yes",$H15=""),"NeverLoggedOn ","")))</f>
        <v/>
      </c>
      <c r="AD15" s="60" t="n"/>
      <c r="AE15" s="61" t="n"/>
      <c r="AF15" s="60" t="n"/>
      <c r="AG15" s="62" t="n"/>
      <c r="AH15" s="62" t="n"/>
      <c r="AI15" s="62" t="n"/>
      <c r="AJ15" s="60" t="n"/>
      <c r="AK15" s="61" t="n"/>
      <c r="AL15" s="63">
        <f>IF($A15="","",IF(AH15="","Not Enrolled",IF(TODAY()&gt;AH15,"Review Overdue",IF(AH15-TODAY()&lt;=30,"Review Due Soon","Active"))))</f>
        <v/>
      </c>
      <c r="AM15" s="63">
        <f>IF($A15="","",IF(AI15="","NOT REVIEWED",IF(TODAY()-AI15&gt;90,"OVERDUE",IF(TODAY()-AI15&gt;76,"Due Soon","Current"))))</f>
        <v/>
      </c>
    </row>
    <row r="16" ht="15" customHeight="1" s="39">
      <c r="A16" s="60" t="n"/>
      <c r="B16" s="60" t="n"/>
      <c r="C16" s="61" t="n"/>
      <c r="D16" s="61" t="n"/>
      <c r="E16" s="60" t="n"/>
      <c r="F16" s="60" t="n"/>
      <c r="G16" s="62" t="n"/>
      <c r="H16" s="62" t="n"/>
      <c r="I16" s="62" t="n"/>
      <c r="J16" s="60" t="n"/>
      <c r="K16" s="60" t="n"/>
      <c r="L16" s="60" t="n"/>
      <c r="M16" s="61" t="n"/>
      <c r="N16" s="60" t="n"/>
      <c r="O16" s="60" t="n"/>
      <c r="P16" s="60" t="n"/>
      <c r="Q16" s="60" t="n"/>
      <c r="R16" s="60" t="n"/>
      <c r="S16" s="60" t="n"/>
      <c r="T16" s="60" t="n"/>
      <c r="U16" s="60" t="n"/>
      <c r="V16" s="60" t="n"/>
      <c r="W16" s="60" t="n"/>
      <c r="X16" s="60" t="n"/>
      <c r="Y16" s="60" t="n"/>
      <c r="Z16" s="61" t="n"/>
      <c r="AA16" s="63">
        <f>IF($H16="","",TODAY()-$H16)</f>
        <v/>
      </c>
      <c r="AB16" s="63">
        <f>IF($A16="","",IF(AND($F16="Yes",OR($U16="No",$U16="NOT FOUND")),"YES",""))</f>
        <v/>
      </c>
      <c r="AC16" s="66">
        <f>IF($A16="","",TRIM(IF(AND($P16=0,$L16&lt;&gt;"Yes"),"T0-NoSmartcard ","")&amp;IF(AND($J16&lt;&gt;"",$J16&gt;365),"StalePwd ","")&amp;IF($K16="Yes","PwdNeverExpires ","")&amp;IF(AND($S16&lt;&gt;"",$S16&lt;&gt;"None"),"Delegation ","")&amp;IF(AND($Q16=1,$O16="None"),"StaleAdminCount ","")&amp;IF(AND($F16="Yes",$H16=""),"NeverLoggedOn ","")))</f>
        <v/>
      </c>
      <c r="AD16" s="60" t="n"/>
      <c r="AE16" s="61" t="n"/>
      <c r="AF16" s="60" t="n"/>
      <c r="AG16" s="62" t="n"/>
      <c r="AH16" s="62" t="n"/>
      <c r="AI16" s="62" t="n"/>
      <c r="AJ16" s="60" t="n"/>
      <c r="AK16" s="61" t="n"/>
      <c r="AL16" s="63">
        <f>IF($A16="","",IF(AH16="","Not Enrolled",IF(TODAY()&gt;AH16,"Review Overdue",IF(AH16-TODAY()&lt;=30,"Review Due Soon","Active"))))</f>
        <v/>
      </c>
      <c r="AM16" s="63">
        <f>IF($A16="","",IF(AI16="","NOT REVIEWED",IF(TODAY()-AI16&gt;90,"OVERDUE",IF(TODAY()-AI16&gt;76,"Due Soon","Current"))))</f>
        <v/>
      </c>
    </row>
    <row r="17" ht="15" customHeight="1" s="39">
      <c r="A17" s="60" t="n"/>
      <c r="B17" s="60" t="n"/>
      <c r="C17" s="61" t="n"/>
      <c r="D17" s="61" t="n"/>
      <c r="E17" s="60" t="n"/>
      <c r="F17" s="60" t="n"/>
      <c r="G17" s="62" t="n"/>
      <c r="H17" s="62" t="n"/>
      <c r="I17" s="62" t="n"/>
      <c r="J17" s="60" t="n"/>
      <c r="K17" s="60" t="n"/>
      <c r="L17" s="60" t="n"/>
      <c r="M17" s="61" t="n"/>
      <c r="N17" s="60" t="n"/>
      <c r="O17" s="60" t="n"/>
      <c r="P17" s="60" t="n"/>
      <c r="Q17" s="60" t="n"/>
      <c r="R17" s="60" t="n"/>
      <c r="S17" s="60" t="n"/>
      <c r="T17" s="60" t="n"/>
      <c r="U17" s="60" t="n"/>
      <c r="V17" s="60" t="n"/>
      <c r="W17" s="60" t="n"/>
      <c r="X17" s="60" t="n"/>
      <c r="Y17" s="60" t="n"/>
      <c r="Z17" s="61" t="n"/>
      <c r="AA17" s="63">
        <f>IF($H17="","",TODAY()-$H17)</f>
        <v/>
      </c>
      <c r="AB17" s="63">
        <f>IF($A17="","",IF(AND($F17="Yes",OR($U17="No",$U17="NOT FOUND")),"YES",""))</f>
        <v/>
      </c>
      <c r="AC17" s="66">
        <f>IF($A17="","",TRIM(IF(AND($P17=0,$L17&lt;&gt;"Yes"),"T0-NoSmartcard ","")&amp;IF(AND($J17&lt;&gt;"",$J17&gt;365),"StalePwd ","")&amp;IF($K17="Yes","PwdNeverExpires ","")&amp;IF(AND($S17&lt;&gt;"",$S17&lt;&gt;"None"),"Delegation ","")&amp;IF(AND($Q17=1,$O17="None"),"StaleAdminCount ","")&amp;IF(AND($F17="Yes",$H17=""),"NeverLoggedOn ","")))</f>
        <v/>
      </c>
      <c r="AD17" s="60" t="n"/>
      <c r="AE17" s="61" t="n"/>
      <c r="AF17" s="60" t="n"/>
      <c r="AG17" s="62" t="n"/>
      <c r="AH17" s="62" t="n"/>
      <c r="AI17" s="62" t="n"/>
      <c r="AJ17" s="60" t="n"/>
      <c r="AK17" s="61" t="n"/>
      <c r="AL17" s="63">
        <f>IF($A17="","",IF(AH17="","Not Enrolled",IF(TODAY()&gt;AH17,"Review Overdue",IF(AH17-TODAY()&lt;=30,"Review Due Soon","Active"))))</f>
        <v/>
      </c>
      <c r="AM17" s="63">
        <f>IF($A17="","",IF(AI17="","NOT REVIEWED",IF(TODAY()-AI17&gt;90,"OVERDUE",IF(TODAY()-AI17&gt;76,"Due Soon","Current"))))</f>
        <v/>
      </c>
    </row>
    <row r="18" ht="15" customHeight="1" s="39">
      <c r="A18" s="60" t="n"/>
      <c r="B18" s="60" t="n"/>
      <c r="C18" s="61" t="n"/>
      <c r="D18" s="61" t="n"/>
      <c r="E18" s="60" t="n"/>
      <c r="F18" s="60" t="n"/>
      <c r="G18" s="62" t="n"/>
      <c r="H18" s="62" t="n"/>
      <c r="I18" s="62" t="n"/>
      <c r="J18" s="60" t="n"/>
      <c r="K18" s="60" t="n"/>
      <c r="L18" s="60" t="n"/>
      <c r="M18" s="61" t="n"/>
      <c r="N18" s="60" t="n"/>
      <c r="O18" s="60" t="n"/>
      <c r="P18" s="60" t="n"/>
      <c r="Q18" s="60" t="n"/>
      <c r="R18" s="60" t="n"/>
      <c r="S18" s="60" t="n"/>
      <c r="T18" s="60" t="n"/>
      <c r="U18" s="60" t="n"/>
      <c r="V18" s="60" t="n"/>
      <c r="W18" s="60" t="n"/>
      <c r="X18" s="60" t="n"/>
      <c r="Y18" s="60" t="n"/>
      <c r="Z18" s="61" t="n"/>
      <c r="AA18" s="63">
        <f>IF($H18="","",TODAY()-$H18)</f>
        <v/>
      </c>
      <c r="AB18" s="63">
        <f>IF($A18="","",IF(AND($F18="Yes",OR($U18="No",$U18="NOT FOUND")),"YES",""))</f>
        <v/>
      </c>
      <c r="AC18" s="66">
        <f>IF($A18="","",TRIM(IF(AND($P18=0,$L18&lt;&gt;"Yes"),"T0-NoSmartcard ","")&amp;IF(AND($J18&lt;&gt;"",$J18&gt;365),"StalePwd ","")&amp;IF($K18="Yes","PwdNeverExpires ","")&amp;IF(AND($S18&lt;&gt;"",$S18&lt;&gt;"None"),"Delegation ","")&amp;IF(AND($Q18=1,$O18="None"),"StaleAdminCount ","")&amp;IF(AND($F18="Yes",$H18=""),"NeverLoggedOn ","")))</f>
        <v/>
      </c>
      <c r="AD18" s="60" t="n"/>
      <c r="AE18" s="61" t="n"/>
      <c r="AF18" s="60" t="n"/>
      <c r="AG18" s="62" t="n"/>
      <c r="AH18" s="62" t="n"/>
      <c r="AI18" s="62" t="n"/>
      <c r="AJ18" s="60" t="n"/>
      <c r="AK18" s="61" t="n"/>
      <c r="AL18" s="63">
        <f>IF($A18="","",IF(AH18="","Not Enrolled",IF(TODAY()&gt;AH18,"Review Overdue",IF(AH18-TODAY()&lt;=30,"Review Due Soon","Active"))))</f>
        <v/>
      </c>
      <c r="AM18" s="63">
        <f>IF($A18="","",IF(AI18="","NOT REVIEWED",IF(TODAY()-AI18&gt;90,"OVERDUE",IF(TODAY()-AI18&gt;76,"Due Soon","Current"))))</f>
        <v/>
      </c>
    </row>
    <row r="19" ht="15" customHeight="1" s="39">
      <c r="A19" s="60" t="n"/>
      <c r="B19" s="60" t="n"/>
      <c r="C19" s="61" t="n"/>
      <c r="D19" s="61" t="n"/>
      <c r="E19" s="60" t="n"/>
      <c r="F19" s="60" t="n"/>
      <c r="G19" s="62" t="n"/>
      <c r="H19" s="62" t="n"/>
      <c r="I19" s="62" t="n"/>
      <c r="J19" s="60" t="n"/>
      <c r="K19" s="60" t="n"/>
      <c r="L19" s="60" t="n"/>
      <c r="M19" s="61" t="n"/>
      <c r="N19" s="60" t="n"/>
      <c r="O19" s="60" t="n"/>
      <c r="P19" s="60" t="n"/>
      <c r="Q19" s="60" t="n"/>
      <c r="R19" s="60" t="n"/>
      <c r="S19" s="60" t="n"/>
      <c r="T19" s="60" t="n"/>
      <c r="U19" s="60" t="n"/>
      <c r="V19" s="60" t="n"/>
      <c r="W19" s="60" t="n"/>
      <c r="X19" s="60" t="n"/>
      <c r="Y19" s="60" t="n"/>
      <c r="Z19" s="61" t="n"/>
      <c r="AA19" s="63">
        <f>IF($H19="","",TODAY()-$H19)</f>
        <v/>
      </c>
      <c r="AB19" s="63">
        <f>IF($A19="","",IF(AND($F19="Yes",OR($U19="No",$U19="NOT FOUND")),"YES",""))</f>
        <v/>
      </c>
      <c r="AC19" s="66">
        <f>IF($A19="","",TRIM(IF(AND($P19=0,$L19&lt;&gt;"Yes"),"T0-NoSmartcard ","")&amp;IF(AND($J19&lt;&gt;"",$J19&gt;365),"StalePwd ","")&amp;IF($K19="Yes","PwdNeverExpires ","")&amp;IF(AND($S19&lt;&gt;"",$S19&lt;&gt;"None"),"Delegation ","")&amp;IF(AND($Q19=1,$O19="None"),"StaleAdminCount ","")&amp;IF(AND($F19="Yes",$H19=""),"NeverLoggedOn ","")))</f>
        <v/>
      </c>
      <c r="AD19" s="60" t="n"/>
      <c r="AE19" s="61" t="n"/>
      <c r="AF19" s="60" t="n"/>
      <c r="AG19" s="62" t="n"/>
      <c r="AH19" s="62" t="n"/>
      <c r="AI19" s="62" t="n"/>
      <c r="AJ19" s="60" t="n"/>
      <c r="AK19" s="61" t="n"/>
      <c r="AL19" s="63">
        <f>IF($A19="","",IF(AH19="","Not Enrolled",IF(TODAY()&gt;AH19,"Review Overdue",IF(AH19-TODAY()&lt;=30,"Review Due Soon","Active"))))</f>
        <v/>
      </c>
      <c r="AM19" s="63">
        <f>IF($A19="","",IF(AI19="","NOT REVIEWED",IF(TODAY()-AI19&gt;90,"OVERDUE",IF(TODAY()-AI19&gt;76,"Due Soon","Current"))))</f>
        <v/>
      </c>
    </row>
    <row r="20" ht="15" customHeight="1" s="39">
      <c r="A20" s="60" t="n"/>
      <c r="B20" s="60" t="n"/>
      <c r="C20" s="61" t="n"/>
      <c r="D20" s="61" t="n"/>
      <c r="E20" s="60" t="n"/>
      <c r="F20" s="60" t="n"/>
      <c r="G20" s="62" t="n"/>
      <c r="H20" s="62" t="n"/>
      <c r="I20" s="62" t="n"/>
      <c r="J20" s="60" t="n"/>
      <c r="K20" s="60" t="n"/>
      <c r="L20" s="60" t="n"/>
      <c r="M20" s="61" t="n"/>
      <c r="N20" s="60" t="n"/>
      <c r="O20" s="60" t="n"/>
      <c r="P20" s="60" t="n"/>
      <c r="Q20" s="60" t="n"/>
      <c r="R20" s="60" t="n"/>
      <c r="S20" s="60" t="n"/>
      <c r="T20" s="60" t="n"/>
      <c r="U20" s="60" t="n"/>
      <c r="V20" s="60" t="n"/>
      <c r="W20" s="60" t="n"/>
      <c r="X20" s="60" t="n"/>
      <c r="Y20" s="60" t="n"/>
      <c r="Z20" s="61" t="n"/>
      <c r="AA20" s="63">
        <f>IF($H20="","",TODAY()-$H20)</f>
        <v/>
      </c>
      <c r="AB20" s="63">
        <f>IF($A20="","",IF(AND($F20="Yes",OR($U20="No",$U20="NOT FOUND")),"YES",""))</f>
        <v/>
      </c>
      <c r="AC20" s="66">
        <f>IF($A20="","",TRIM(IF(AND($P20=0,$L20&lt;&gt;"Yes"),"T0-NoSmartcard ","")&amp;IF(AND($J20&lt;&gt;"",$J20&gt;365),"StalePwd ","")&amp;IF($K20="Yes","PwdNeverExpires ","")&amp;IF(AND($S20&lt;&gt;"",$S20&lt;&gt;"None"),"Delegation ","")&amp;IF(AND($Q20=1,$O20="None"),"StaleAdminCount ","")&amp;IF(AND($F20="Yes",$H20=""),"NeverLoggedOn ","")))</f>
        <v/>
      </c>
      <c r="AD20" s="60" t="n"/>
      <c r="AE20" s="61" t="n"/>
      <c r="AF20" s="60" t="n"/>
      <c r="AG20" s="62" t="n"/>
      <c r="AH20" s="62" t="n"/>
      <c r="AI20" s="62" t="n"/>
      <c r="AJ20" s="60" t="n"/>
      <c r="AK20" s="61" t="n"/>
      <c r="AL20" s="63">
        <f>IF($A20="","",IF(AH20="","Not Enrolled",IF(TODAY()&gt;AH20,"Review Overdue",IF(AH20-TODAY()&lt;=30,"Review Due Soon","Active"))))</f>
        <v/>
      </c>
      <c r="AM20" s="63">
        <f>IF($A20="","",IF(AI20="","NOT REVIEWED",IF(TODAY()-AI20&gt;90,"OVERDUE",IF(TODAY()-AI20&gt;76,"Due Soon","Current"))))</f>
        <v/>
      </c>
    </row>
    <row r="21" ht="15" customHeight="1" s="39">
      <c r="A21" s="60" t="n"/>
      <c r="B21" s="60" t="n"/>
      <c r="C21" s="61" t="n"/>
      <c r="D21" s="61" t="n"/>
      <c r="E21" s="60" t="n"/>
      <c r="F21" s="60" t="n"/>
      <c r="G21" s="62" t="n"/>
      <c r="H21" s="62" t="n"/>
      <c r="I21" s="62" t="n"/>
      <c r="J21" s="60" t="n"/>
      <c r="K21" s="60" t="n"/>
      <c r="L21" s="60" t="n"/>
      <c r="M21" s="61" t="n"/>
      <c r="N21" s="60" t="n"/>
      <c r="O21" s="60" t="n"/>
      <c r="P21" s="60" t="n"/>
      <c r="Q21" s="60" t="n"/>
      <c r="R21" s="60" t="n"/>
      <c r="S21" s="60" t="n"/>
      <c r="T21" s="60" t="n"/>
      <c r="U21" s="60" t="n"/>
      <c r="V21" s="60" t="n"/>
      <c r="W21" s="60" t="n"/>
      <c r="X21" s="60" t="n"/>
      <c r="Y21" s="60" t="n"/>
      <c r="Z21" s="61" t="n"/>
      <c r="AA21" s="63">
        <f>IF($H21="","",TODAY()-$H21)</f>
        <v/>
      </c>
      <c r="AB21" s="63">
        <f>IF($A21="","",IF(AND($F21="Yes",OR($U21="No",$U21="NOT FOUND")),"YES",""))</f>
        <v/>
      </c>
      <c r="AC21" s="66">
        <f>IF($A21="","",TRIM(IF(AND($P21=0,$L21&lt;&gt;"Yes"),"T0-NoSmartcard ","")&amp;IF(AND($J21&lt;&gt;"",$J21&gt;365),"StalePwd ","")&amp;IF($K21="Yes","PwdNeverExpires ","")&amp;IF(AND($S21&lt;&gt;"",$S21&lt;&gt;"None"),"Delegation ","")&amp;IF(AND($Q21=1,$O21="None"),"StaleAdminCount ","")&amp;IF(AND($F21="Yes",$H21=""),"NeverLoggedOn ","")))</f>
        <v/>
      </c>
      <c r="AD21" s="60" t="n"/>
      <c r="AE21" s="61" t="n"/>
      <c r="AF21" s="60" t="n"/>
      <c r="AG21" s="62" t="n"/>
      <c r="AH21" s="62" t="n"/>
      <c r="AI21" s="62" t="n"/>
      <c r="AJ21" s="60" t="n"/>
      <c r="AK21" s="61" t="n"/>
      <c r="AL21" s="63">
        <f>IF($A21="","",IF(AH21="","Not Enrolled",IF(TODAY()&gt;AH21,"Review Overdue",IF(AH21-TODAY()&lt;=30,"Review Due Soon","Active"))))</f>
        <v/>
      </c>
      <c r="AM21" s="63">
        <f>IF($A21="","",IF(AI21="","NOT REVIEWED",IF(TODAY()-AI21&gt;90,"OVERDUE",IF(TODAY()-AI21&gt;76,"Due Soon","Current"))))</f>
        <v/>
      </c>
    </row>
    <row r="22" ht="15" customHeight="1" s="39">
      <c r="A22" s="60" t="n"/>
      <c r="B22" s="60" t="n"/>
      <c r="C22" s="61" t="n"/>
      <c r="D22" s="61" t="n"/>
      <c r="E22" s="60" t="n"/>
      <c r="F22" s="60" t="n"/>
      <c r="G22" s="62" t="n"/>
      <c r="H22" s="62" t="n"/>
      <c r="I22" s="62" t="n"/>
      <c r="J22" s="60" t="n"/>
      <c r="K22" s="60" t="n"/>
      <c r="L22" s="60" t="n"/>
      <c r="M22" s="61" t="n"/>
      <c r="N22" s="60" t="n"/>
      <c r="O22" s="60" t="n"/>
      <c r="P22" s="60" t="n"/>
      <c r="Q22" s="60" t="n"/>
      <c r="R22" s="60" t="n"/>
      <c r="S22" s="60" t="n"/>
      <c r="T22" s="60" t="n"/>
      <c r="U22" s="60" t="n"/>
      <c r="V22" s="60" t="n"/>
      <c r="W22" s="60" t="n"/>
      <c r="X22" s="60" t="n"/>
      <c r="Y22" s="60" t="n"/>
      <c r="Z22" s="61" t="n"/>
      <c r="AA22" s="63">
        <f>IF($H22="","",TODAY()-$H22)</f>
        <v/>
      </c>
      <c r="AB22" s="63">
        <f>IF($A22="","",IF(AND($F22="Yes",OR($U22="No",$U22="NOT FOUND")),"YES",""))</f>
        <v/>
      </c>
      <c r="AC22" s="66">
        <f>IF($A22="","",TRIM(IF(AND($P22=0,$L22&lt;&gt;"Yes"),"T0-NoSmartcard ","")&amp;IF(AND($J22&lt;&gt;"",$J22&gt;365),"StalePwd ","")&amp;IF($K22="Yes","PwdNeverExpires ","")&amp;IF(AND($S22&lt;&gt;"",$S22&lt;&gt;"None"),"Delegation ","")&amp;IF(AND($Q22=1,$O22="None"),"StaleAdminCount ","")&amp;IF(AND($F22="Yes",$H22=""),"NeverLoggedOn ","")))</f>
        <v/>
      </c>
      <c r="AD22" s="60" t="n"/>
      <c r="AE22" s="61" t="n"/>
      <c r="AF22" s="60" t="n"/>
      <c r="AG22" s="62" t="n"/>
      <c r="AH22" s="62" t="n"/>
      <c r="AI22" s="62" t="n"/>
      <c r="AJ22" s="60" t="n"/>
      <c r="AK22" s="61" t="n"/>
      <c r="AL22" s="63">
        <f>IF($A22="","",IF(AH22="","Not Enrolled",IF(TODAY()&gt;AH22,"Review Overdue",IF(AH22-TODAY()&lt;=30,"Review Due Soon","Active"))))</f>
        <v/>
      </c>
      <c r="AM22" s="63">
        <f>IF($A22="","",IF(AI22="","NOT REVIEWED",IF(TODAY()-AI22&gt;90,"OVERDUE",IF(TODAY()-AI22&gt;76,"Due Soon","Current"))))</f>
        <v/>
      </c>
    </row>
    <row r="23" ht="15" customHeight="1" s="39">
      <c r="A23" s="60" t="n"/>
      <c r="B23" s="60" t="n"/>
      <c r="C23" s="61" t="n"/>
      <c r="D23" s="61" t="n"/>
      <c r="E23" s="60" t="n"/>
      <c r="F23" s="60" t="n"/>
      <c r="G23" s="62" t="n"/>
      <c r="H23" s="62" t="n"/>
      <c r="I23" s="62" t="n"/>
      <c r="J23" s="60" t="n"/>
      <c r="K23" s="60" t="n"/>
      <c r="L23" s="60" t="n"/>
      <c r="M23" s="61" t="n"/>
      <c r="N23" s="60" t="n"/>
      <c r="O23" s="60" t="n"/>
      <c r="P23" s="60" t="n"/>
      <c r="Q23" s="60" t="n"/>
      <c r="R23" s="60" t="n"/>
      <c r="S23" s="60" t="n"/>
      <c r="T23" s="60" t="n"/>
      <c r="U23" s="60" t="n"/>
      <c r="V23" s="60" t="n"/>
      <c r="W23" s="60" t="n"/>
      <c r="X23" s="60" t="n"/>
      <c r="Y23" s="60" t="n"/>
      <c r="Z23" s="61" t="n"/>
      <c r="AA23" s="63">
        <f>IF($H23="","",TODAY()-$H23)</f>
        <v/>
      </c>
      <c r="AB23" s="63">
        <f>IF($A23="","",IF(AND($F23="Yes",OR($U23="No",$U23="NOT FOUND")),"YES",""))</f>
        <v/>
      </c>
      <c r="AC23" s="66">
        <f>IF($A23="","",TRIM(IF(AND($P23=0,$L23&lt;&gt;"Yes"),"T0-NoSmartcard ","")&amp;IF(AND($J23&lt;&gt;"",$J23&gt;365),"StalePwd ","")&amp;IF($K23="Yes","PwdNeverExpires ","")&amp;IF(AND($S23&lt;&gt;"",$S23&lt;&gt;"None"),"Delegation ","")&amp;IF(AND($Q23=1,$O23="None"),"StaleAdminCount ","")&amp;IF(AND($F23="Yes",$H23=""),"NeverLoggedOn ","")))</f>
        <v/>
      </c>
      <c r="AD23" s="60" t="n"/>
      <c r="AE23" s="61" t="n"/>
      <c r="AF23" s="60" t="n"/>
      <c r="AG23" s="62" t="n"/>
      <c r="AH23" s="62" t="n"/>
      <c r="AI23" s="62" t="n"/>
      <c r="AJ23" s="60" t="n"/>
      <c r="AK23" s="61" t="n"/>
      <c r="AL23" s="63">
        <f>IF($A23="","",IF(AH23="","Not Enrolled",IF(TODAY()&gt;AH23,"Review Overdue",IF(AH23-TODAY()&lt;=30,"Review Due Soon","Active"))))</f>
        <v/>
      </c>
      <c r="AM23" s="63">
        <f>IF($A23="","",IF(AI23="","NOT REVIEWED",IF(TODAY()-AI23&gt;90,"OVERDUE",IF(TODAY()-AI23&gt;76,"Due Soon","Current"))))</f>
        <v/>
      </c>
    </row>
    <row r="24" ht="15" customHeight="1" s="39">
      <c r="A24" s="60" t="n"/>
      <c r="B24" s="60" t="n"/>
      <c r="C24" s="61" t="n"/>
      <c r="D24" s="61" t="n"/>
      <c r="E24" s="60" t="n"/>
      <c r="F24" s="60" t="n"/>
      <c r="G24" s="62" t="n"/>
      <c r="H24" s="62" t="n"/>
      <c r="I24" s="62" t="n"/>
      <c r="J24" s="60" t="n"/>
      <c r="K24" s="60" t="n"/>
      <c r="L24" s="60" t="n"/>
      <c r="M24" s="61" t="n"/>
      <c r="N24" s="60" t="n"/>
      <c r="O24" s="60" t="n"/>
      <c r="P24" s="60" t="n"/>
      <c r="Q24" s="60" t="n"/>
      <c r="R24" s="60" t="n"/>
      <c r="S24" s="60" t="n"/>
      <c r="T24" s="60" t="n"/>
      <c r="U24" s="60" t="n"/>
      <c r="V24" s="60" t="n"/>
      <c r="W24" s="60" t="n"/>
      <c r="X24" s="60" t="n"/>
      <c r="Y24" s="60" t="n"/>
      <c r="Z24" s="61" t="n"/>
      <c r="AA24" s="63">
        <f>IF($H24="","",TODAY()-$H24)</f>
        <v/>
      </c>
      <c r="AB24" s="63">
        <f>IF($A24="","",IF(AND($F24="Yes",OR($U24="No",$U24="NOT FOUND")),"YES",""))</f>
        <v/>
      </c>
      <c r="AC24" s="66">
        <f>IF($A24="","",TRIM(IF(AND($P24=0,$L24&lt;&gt;"Yes"),"T0-NoSmartcard ","")&amp;IF(AND($J24&lt;&gt;"",$J24&gt;365),"StalePwd ","")&amp;IF($K24="Yes","PwdNeverExpires ","")&amp;IF(AND($S24&lt;&gt;"",$S24&lt;&gt;"None"),"Delegation ","")&amp;IF(AND($Q24=1,$O24="None"),"StaleAdminCount ","")&amp;IF(AND($F24="Yes",$H24=""),"NeverLoggedOn ","")))</f>
        <v/>
      </c>
      <c r="AD24" s="60" t="n"/>
      <c r="AE24" s="61" t="n"/>
      <c r="AF24" s="60" t="n"/>
      <c r="AG24" s="62" t="n"/>
      <c r="AH24" s="62" t="n"/>
      <c r="AI24" s="62" t="n"/>
      <c r="AJ24" s="60" t="n"/>
      <c r="AK24" s="61" t="n"/>
      <c r="AL24" s="63">
        <f>IF($A24="","",IF(AH24="","Not Enrolled",IF(TODAY()&gt;AH24,"Review Overdue",IF(AH24-TODAY()&lt;=30,"Review Due Soon","Active"))))</f>
        <v/>
      </c>
      <c r="AM24" s="63">
        <f>IF($A24="","",IF(AI24="","NOT REVIEWED",IF(TODAY()-AI24&gt;90,"OVERDUE",IF(TODAY()-AI24&gt;76,"Due Soon","Current"))))</f>
        <v/>
      </c>
    </row>
    <row r="25" ht="15" customHeight="1" s="39">
      <c r="A25" s="60" t="n"/>
      <c r="B25" s="60" t="n"/>
      <c r="C25" s="61" t="n"/>
      <c r="D25" s="61" t="n"/>
      <c r="E25" s="60" t="n"/>
      <c r="F25" s="60" t="n"/>
      <c r="G25" s="62" t="n"/>
      <c r="H25" s="62" t="n"/>
      <c r="I25" s="62" t="n"/>
      <c r="J25" s="60" t="n"/>
      <c r="K25" s="60" t="n"/>
      <c r="L25" s="60" t="n"/>
      <c r="M25" s="61" t="n"/>
      <c r="N25" s="60" t="n"/>
      <c r="O25" s="60" t="n"/>
      <c r="P25" s="60" t="n"/>
      <c r="Q25" s="60" t="n"/>
      <c r="R25" s="60" t="n"/>
      <c r="S25" s="60" t="n"/>
      <c r="T25" s="60" t="n"/>
      <c r="U25" s="60" t="n"/>
      <c r="V25" s="60" t="n"/>
      <c r="W25" s="60" t="n"/>
      <c r="X25" s="60" t="n"/>
      <c r="Y25" s="60" t="n"/>
      <c r="Z25" s="61" t="n"/>
      <c r="AA25" s="63">
        <f>IF($H25="","",TODAY()-$H25)</f>
        <v/>
      </c>
      <c r="AB25" s="63">
        <f>IF($A25="","",IF(AND($F25="Yes",OR($U25="No",$U25="NOT FOUND")),"YES",""))</f>
        <v/>
      </c>
      <c r="AC25" s="66">
        <f>IF($A25="","",TRIM(IF(AND($P25=0,$L25&lt;&gt;"Yes"),"T0-NoSmartcard ","")&amp;IF(AND($J25&lt;&gt;"",$J25&gt;365),"StalePwd ","")&amp;IF($K25="Yes","PwdNeverExpires ","")&amp;IF(AND($S25&lt;&gt;"",$S25&lt;&gt;"None"),"Delegation ","")&amp;IF(AND($Q25=1,$O25="None"),"StaleAdminCount ","")&amp;IF(AND($F25="Yes",$H25=""),"NeverLoggedOn ","")))</f>
        <v/>
      </c>
      <c r="AD25" s="60" t="n"/>
      <c r="AE25" s="61" t="n"/>
      <c r="AF25" s="60" t="n"/>
      <c r="AG25" s="62" t="n"/>
      <c r="AH25" s="62" t="n"/>
      <c r="AI25" s="62" t="n"/>
      <c r="AJ25" s="60" t="n"/>
      <c r="AK25" s="61" t="n"/>
      <c r="AL25" s="63">
        <f>IF($A25="","",IF(AH25="","Not Enrolled",IF(TODAY()&gt;AH25,"Review Overdue",IF(AH25-TODAY()&lt;=30,"Review Due Soon","Active"))))</f>
        <v/>
      </c>
      <c r="AM25" s="63">
        <f>IF($A25="","",IF(AI25="","NOT REVIEWED",IF(TODAY()-AI25&gt;90,"OVERDUE",IF(TODAY()-AI25&gt;76,"Due Soon","Current"))))</f>
        <v/>
      </c>
    </row>
    <row r="26" ht="15" customHeight="1" s="39">
      <c r="A26" s="60" t="n"/>
      <c r="B26" s="60" t="n"/>
      <c r="C26" s="61" t="n"/>
      <c r="D26" s="61" t="n"/>
      <c r="E26" s="60" t="n"/>
      <c r="F26" s="60" t="n"/>
      <c r="G26" s="62" t="n"/>
      <c r="H26" s="62" t="n"/>
      <c r="I26" s="62" t="n"/>
      <c r="J26" s="60" t="n"/>
      <c r="K26" s="60" t="n"/>
      <c r="L26" s="60" t="n"/>
      <c r="M26" s="61" t="n"/>
      <c r="N26" s="60" t="n"/>
      <c r="O26" s="60" t="n"/>
      <c r="P26" s="60" t="n"/>
      <c r="Q26" s="60" t="n"/>
      <c r="R26" s="60" t="n"/>
      <c r="S26" s="60" t="n"/>
      <c r="T26" s="60" t="n"/>
      <c r="U26" s="60" t="n"/>
      <c r="V26" s="60" t="n"/>
      <c r="W26" s="60" t="n"/>
      <c r="X26" s="60" t="n"/>
      <c r="Y26" s="60" t="n"/>
      <c r="Z26" s="61" t="n"/>
      <c r="AA26" s="63">
        <f>IF($H26="","",TODAY()-$H26)</f>
        <v/>
      </c>
      <c r="AB26" s="63">
        <f>IF($A26="","",IF(AND($F26="Yes",OR($U26="No",$U26="NOT FOUND")),"YES",""))</f>
        <v/>
      </c>
      <c r="AC26" s="66">
        <f>IF($A26="","",TRIM(IF(AND($P26=0,$L26&lt;&gt;"Yes"),"T0-NoSmartcard ","")&amp;IF(AND($J26&lt;&gt;"",$J26&gt;365),"StalePwd ","")&amp;IF($K26="Yes","PwdNeverExpires ","")&amp;IF(AND($S26&lt;&gt;"",$S26&lt;&gt;"None"),"Delegation ","")&amp;IF(AND($Q26=1,$O26="None"),"StaleAdminCount ","")&amp;IF(AND($F26="Yes",$H26=""),"NeverLoggedOn ","")))</f>
        <v/>
      </c>
      <c r="AD26" s="60" t="n"/>
      <c r="AE26" s="61" t="n"/>
      <c r="AF26" s="60" t="n"/>
      <c r="AG26" s="62" t="n"/>
      <c r="AH26" s="62" t="n"/>
      <c r="AI26" s="62" t="n"/>
      <c r="AJ26" s="60" t="n"/>
      <c r="AK26" s="61" t="n"/>
      <c r="AL26" s="63">
        <f>IF($A26="","",IF(AH26="","Not Enrolled",IF(TODAY()&gt;AH26,"Review Overdue",IF(AH26-TODAY()&lt;=30,"Review Due Soon","Active"))))</f>
        <v/>
      </c>
      <c r="AM26" s="63">
        <f>IF($A26="","",IF(AI26="","NOT REVIEWED",IF(TODAY()-AI26&gt;90,"OVERDUE",IF(TODAY()-AI26&gt;76,"Due Soon","Current"))))</f>
        <v/>
      </c>
    </row>
    <row r="27" ht="15" customHeight="1" s="39">
      <c r="A27" s="60" t="n"/>
      <c r="B27" s="60" t="n"/>
      <c r="C27" s="61" t="n"/>
      <c r="D27" s="61" t="n"/>
      <c r="E27" s="60" t="n"/>
      <c r="F27" s="60" t="n"/>
      <c r="G27" s="62" t="n"/>
      <c r="H27" s="62" t="n"/>
      <c r="I27" s="62" t="n"/>
      <c r="J27" s="60" t="n"/>
      <c r="K27" s="60" t="n"/>
      <c r="L27" s="60" t="n"/>
      <c r="M27" s="61" t="n"/>
      <c r="N27" s="60" t="n"/>
      <c r="O27" s="60" t="n"/>
      <c r="P27" s="60" t="n"/>
      <c r="Q27" s="60" t="n"/>
      <c r="R27" s="60" t="n"/>
      <c r="S27" s="60" t="n"/>
      <c r="T27" s="60" t="n"/>
      <c r="U27" s="60" t="n"/>
      <c r="V27" s="60" t="n"/>
      <c r="W27" s="60" t="n"/>
      <c r="X27" s="60" t="n"/>
      <c r="Y27" s="60" t="n"/>
      <c r="Z27" s="61" t="n"/>
      <c r="AA27" s="63">
        <f>IF($H27="","",TODAY()-$H27)</f>
        <v/>
      </c>
      <c r="AB27" s="63">
        <f>IF($A27="","",IF(AND($F27="Yes",OR($U27="No",$U27="NOT FOUND")),"YES",""))</f>
        <v/>
      </c>
      <c r="AC27" s="66">
        <f>IF($A27="","",TRIM(IF(AND($P27=0,$L27&lt;&gt;"Yes"),"T0-NoSmartcard ","")&amp;IF(AND($J27&lt;&gt;"",$J27&gt;365),"StalePwd ","")&amp;IF($K27="Yes","PwdNeverExpires ","")&amp;IF(AND($S27&lt;&gt;"",$S27&lt;&gt;"None"),"Delegation ","")&amp;IF(AND($Q27=1,$O27="None"),"StaleAdminCount ","")&amp;IF(AND($F27="Yes",$H27=""),"NeverLoggedOn ","")))</f>
        <v/>
      </c>
      <c r="AD27" s="60" t="n"/>
      <c r="AE27" s="61" t="n"/>
      <c r="AF27" s="60" t="n"/>
      <c r="AG27" s="62" t="n"/>
      <c r="AH27" s="62" t="n"/>
      <c r="AI27" s="62" t="n"/>
      <c r="AJ27" s="60" t="n"/>
      <c r="AK27" s="61" t="n"/>
      <c r="AL27" s="63">
        <f>IF($A27="","",IF(AH27="","Not Enrolled",IF(TODAY()&gt;AH27,"Review Overdue",IF(AH27-TODAY()&lt;=30,"Review Due Soon","Active"))))</f>
        <v/>
      </c>
      <c r="AM27" s="63">
        <f>IF($A27="","",IF(AI27="","NOT REVIEWED",IF(TODAY()-AI27&gt;90,"OVERDUE",IF(TODAY()-AI27&gt;76,"Due Soon","Current"))))</f>
        <v/>
      </c>
    </row>
    <row r="28" ht="15" customHeight="1" s="39">
      <c r="A28" s="60" t="n"/>
      <c r="B28" s="60" t="n"/>
      <c r="C28" s="61" t="n"/>
      <c r="D28" s="61" t="n"/>
      <c r="E28" s="60" t="n"/>
      <c r="F28" s="60" t="n"/>
      <c r="G28" s="62" t="n"/>
      <c r="H28" s="62" t="n"/>
      <c r="I28" s="62" t="n"/>
      <c r="J28" s="60" t="n"/>
      <c r="K28" s="60" t="n"/>
      <c r="L28" s="60" t="n"/>
      <c r="M28" s="61" t="n"/>
      <c r="N28" s="60" t="n"/>
      <c r="O28" s="60" t="n"/>
      <c r="P28" s="60" t="n"/>
      <c r="Q28" s="60" t="n"/>
      <c r="R28" s="60" t="n"/>
      <c r="S28" s="60" t="n"/>
      <c r="T28" s="60" t="n"/>
      <c r="U28" s="60" t="n"/>
      <c r="V28" s="60" t="n"/>
      <c r="W28" s="60" t="n"/>
      <c r="X28" s="60" t="n"/>
      <c r="Y28" s="60" t="n"/>
      <c r="Z28" s="61" t="n"/>
      <c r="AA28" s="63">
        <f>IF($H28="","",TODAY()-$H28)</f>
        <v/>
      </c>
      <c r="AB28" s="63">
        <f>IF($A28="","",IF(AND($F28="Yes",OR($U28="No",$U28="NOT FOUND")),"YES",""))</f>
        <v/>
      </c>
      <c r="AC28" s="66">
        <f>IF($A28="","",TRIM(IF(AND($P28=0,$L28&lt;&gt;"Yes"),"T0-NoSmartcard ","")&amp;IF(AND($J28&lt;&gt;"",$J28&gt;365),"StalePwd ","")&amp;IF($K28="Yes","PwdNeverExpires ","")&amp;IF(AND($S28&lt;&gt;"",$S28&lt;&gt;"None"),"Delegation ","")&amp;IF(AND($Q28=1,$O28="None"),"StaleAdminCount ","")&amp;IF(AND($F28="Yes",$H28=""),"NeverLoggedOn ","")))</f>
        <v/>
      </c>
      <c r="AD28" s="60" t="n"/>
      <c r="AE28" s="61" t="n"/>
      <c r="AF28" s="60" t="n"/>
      <c r="AG28" s="62" t="n"/>
      <c r="AH28" s="62" t="n"/>
      <c r="AI28" s="62" t="n"/>
      <c r="AJ28" s="60" t="n"/>
      <c r="AK28" s="61" t="n"/>
      <c r="AL28" s="63">
        <f>IF($A28="","",IF(AH28="","Not Enrolled",IF(TODAY()&gt;AH28,"Review Overdue",IF(AH28-TODAY()&lt;=30,"Review Due Soon","Active"))))</f>
        <v/>
      </c>
      <c r="AM28" s="63">
        <f>IF($A28="","",IF(AI28="","NOT REVIEWED",IF(TODAY()-AI28&gt;90,"OVERDUE",IF(TODAY()-AI28&gt;76,"Due Soon","Current"))))</f>
        <v/>
      </c>
    </row>
    <row r="29" ht="15" customHeight="1" s="39">
      <c r="A29" s="60" t="n"/>
      <c r="B29" s="60" t="n"/>
      <c r="C29" s="61" t="n"/>
      <c r="D29" s="61" t="n"/>
      <c r="E29" s="60" t="n"/>
      <c r="F29" s="60" t="n"/>
      <c r="G29" s="62" t="n"/>
      <c r="H29" s="62" t="n"/>
      <c r="I29" s="62" t="n"/>
      <c r="J29" s="60" t="n"/>
      <c r="K29" s="60" t="n"/>
      <c r="L29" s="60" t="n"/>
      <c r="M29" s="61" t="n"/>
      <c r="N29" s="60" t="n"/>
      <c r="O29" s="60" t="n"/>
      <c r="P29" s="60" t="n"/>
      <c r="Q29" s="60" t="n"/>
      <c r="R29" s="60" t="n"/>
      <c r="S29" s="60" t="n"/>
      <c r="T29" s="60" t="n"/>
      <c r="U29" s="60" t="n"/>
      <c r="V29" s="60" t="n"/>
      <c r="W29" s="60" t="n"/>
      <c r="X29" s="60" t="n"/>
      <c r="Y29" s="60" t="n"/>
      <c r="Z29" s="61" t="n"/>
      <c r="AA29" s="63">
        <f>IF($H29="","",TODAY()-$H29)</f>
        <v/>
      </c>
      <c r="AB29" s="63">
        <f>IF($A29="","",IF(AND($F29="Yes",OR($U29="No",$U29="NOT FOUND")),"YES",""))</f>
        <v/>
      </c>
      <c r="AC29" s="66">
        <f>IF($A29="","",TRIM(IF(AND($P29=0,$L29&lt;&gt;"Yes"),"T0-NoSmartcard ","")&amp;IF(AND($J29&lt;&gt;"",$J29&gt;365),"StalePwd ","")&amp;IF($K29="Yes","PwdNeverExpires ","")&amp;IF(AND($S29&lt;&gt;"",$S29&lt;&gt;"None"),"Delegation ","")&amp;IF(AND($Q29=1,$O29="None"),"StaleAdminCount ","")&amp;IF(AND($F29="Yes",$H29=""),"NeverLoggedOn ","")))</f>
        <v/>
      </c>
      <c r="AD29" s="60" t="n"/>
      <c r="AE29" s="61" t="n"/>
      <c r="AF29" s="60" t="n"/>
      <c r="AG29" s="62" t="n"/>
      <c r="AH29" s="62" t="n"/>
      <c r="AI29" s="62" t="n"/>
      <c r="AJ29" s="60" t="n"/>
      <c r="AK29" s="61" t="n"/>
      <c r="AL29" s="63">
        <f>IF($A29="","",IF(AH29="","Not Enrolled",IF(TODAY()&gt;AH29,"Review Overdue",IF(AH29-TODAY()&lt;=30,"Review Due Soon","Active"))))</f>
        <v/>
      </c>
      <c r="AM29" s="63">
        <f>IF($A29="","",IF(AI29="","NOT REVIEWED",IF(TODAY()-AI29&gt;90,"OVERDUE",IF(TODAY()-AI29&gt;76,"Due Soon","Current"))))</f>
        <v/>
      </c>
    </row>
    <row r="30" ht="15" customHeight="1" s="39">
      <c r="A30" s="60" t="n"/>
      <c r="B30" s="60" t="n"/>
      <c r="C30" s="61" t="n"/>
      <c r="D30" s="61" t="n"/>
      <c r="E30" s="60" t="n"/>
      <c r="F30" s="60" t="n"/>
      <c r="G30" s="62" t="n"/>
      <c r="H30" s="62" t="n"/>
      <c r="I30" s="62" t="n"/>
      <c r="J30" s="60" t="n"/>
      <c r="K30" s="60" t="n"/>
      <c r="L30" s="60" t="n"/>
      <c r="M30" s="61" t="n"/>
      <c r="N30" s="60" t="n"/>
      <c r="O30" s="60" t="n"/>
      <c r="P30" s="60" t="n"/>
      <c r="Q30" s="60" t="n"/>
      <c r="R30" s="60" t="n"/>
      <c r="S30" s="60" t="n"/>
      <c r="T30" s="60" t="n"/>
      <c r="U30" s="60" t="n"/>
      <c r="V30" s="60" t="n"/>
      <c r="W30" s="60" t="n"/>
      <c r="X30" s="60" t="n"/>
      <c r="Y30" s="60" t="n"/>
      <c r="Z30" s="61" t="n"/>
      <c r="AA30" s="63">
        <f>IF($H30="","",TODAY()-$H30)</f>
        <v/>
      </c>
      <c r="AB30" s="63">
        <f>IF($A30="","",IF(AND($F30="Yes",OR($U30="No",$U30="NOT FOUND")),"YES",""))</f>
        <v/>
      </c>
      <c r="AC30" s="66">
        <f>IF($A30="","",TRIM(IF(AND($P30=0,$L30&lt;&gt;"Yes"),"T0-NoSmartcard ","")&amp;IF(AND($J30&lt;&gt;"",$J30&gt;365),"StalePwd ","")&amp;IF($K30="Yes","PwdNeverExpires ","")&amp;IF(AND($S30&lt;&gt;"",$S30&lt;&gt;"None"),"Delegation ","")&amp;IF(AND($Q30=1,$O30="None"),"StaleAdminCount ","")&amp;IF(AND($F30="Yes",$H30=""),"NeverLoggedOn ","")))</f>
        <v/>
      </c>
      <c r="AD30" s="60" t="n"/>
      <c r="AE30" s="61" t="n"/>
      <c r="AF30" s="60" t="n"/>
      <c r="AG30" s="62" t="n"/>
      <c r="AH30" s="62" t="n"/>
      <c r="AI30" s="62" t="n"/>
      <c r="AJ30" s="60" t="n"/>
      <c r="AK30" s="61" t="n"/>
      <c r="AL30" s="63">
        <f>IF($A30="","",IF(AH30="","Not Enrolled",IF(TODAY()&gt;AH30,"Review Overdue",IF(AH30-TODAY()&lt;=30,"Review Due Soon","Active"))))</f>
        <v/>
      </c>
      <c r="AM30" s="63">
        <f>IF($A30="","",IF(AI30="","NOT REVIEWED",IF(TODAY()-AI30&gt;90,"OVERDUE",IF(TODAY()-AI30&gt;76,"Due Soon","Current"))))</f>
        <v/>
      </c>
    </row>
    <row r="31" ht="15" customHeight="1" s="39">
      <c r="A31" s="60" t="n"/>
      <c r="B31" s="60" t="n"/>
      <c r="C31" s="61" t="n"/>
      <c r="D31" s="61" t="n"/>
      <c r="E31" s="60" t="n"/>
      <c r="F31" s="60" t="n"/>
      <c r="G31" s="62" t="n"/>
      <c r="H31" s="62" t="n"/>
      <c r="I31" s="62" t="n"/>
      <c r="J31" s="60" t="n"/>
      <c r="K31" s="60" t="n"/>
      <c r="L31" s="60" t="n"/>
      <c r="M31" s="61" t="n"/>
      <c r="N31" s="60" t="n"/>
      <c r="O31" s="60" t="n"/>
      <c r="P31" s="60" t="n"/>
      <c r="Q31" s="60" t="n"/>
      <c r="R31" s="60" t="n"/>
      <c r="S31" s="60" t="n"/>
      <c r="T31" s="60" t="n"/>
      <c r="U31" s="60" t="n"/>
      <c r="V31" s="60" t="n"/>
      <c r="W31" s="60" t="n"/>
      <c r="X31" s="60" t="n"/>
      <c r="Y31" s="60" t="n"/>
      <c r="Z31" s="61" t="n"/>
      <c r="AA31" s="63">
        <f>IF($H31="","",TODAY()-$H31)</f>
        <v/>
      </c>
      <c r="AB31" s="63">
        <f>IF($A31="","",IF(AND($F31="Yes",OR($U31="No",$U31="NOT FOUND")),"YES",""))</f>
        <v/>
      </c>
      <c r="AC31" s="66">
        <f>IF($A31="","",TRIM(IF(AND($P31=0,$L31&lt;&gt;"Yes"),"T0-NoSmartcard ","")&amp;IF(AND($J31&lt;&gt;"",$J31&gt;365),"StalePwd ","")&amp;IF($K31="Yes","PwdNeverExpires ","")&amp;IF(AND($S31&lt;&gt;"",$S31&lt;&gt;"None"),"Delegation ","")&amp;IF(AND($Q31=1,$O31="None"),"StaleAdminCount ","")&amp;IF(AND($F31="Yes",$H31=""),"NeverLoggedOn ","")))</f>
        <v/>
      </c>
      <c r="AD31" s="60" t="n"/>
      <c r="AE31" s="61" t="n"/>
      <c r="AF31" s="60" t="n"/>
      <c r="AG31" s="62" t="n"/>
      <c r="AH31" s="62" t="n"/>
      <c r="AI31" s="62" t="n"/>
      <c r="AJ31" s="60" t="n"/>
      <c r="AK31" s="61" t="n"/>
      <c r="AL31" s="63">
        <f>IF($A31="","",IF(AH31="","Not Enrolled",IF(TODAY()&gt;AH31,"Review Overdue",IF(AH31-TODAY()&lt;=30,"Review Due Soon","Active"))))</f>
        <v/>
      </c>
      <c r="AM31" s="63">
        <f>IF($A31="","",IF(AI31="","NOT REVIEWED",IF(TODAY()-AI31&gt;90,"OVERDUE",IF(TODAY()-AI31&gt;76,"Due Soon","Current"))))</f>
        <v/>
      </c>
    </row>
    <row r="32" ht="15" customHeight="1" s="39">
      <c r="A32" s="60" t="n"/>
      <c r="B32" s="60" t="n"/>
      <c r="C32" s="61" t="n"/>
      <c r="D32" s="61" t="n"/>
      <c r="E32" s="60" t="n"/>
      <c r="F32" s="60" t="n"/>
      <c r="G32" s="62" t="n"/>
      <c r="H32" s="62" t="n"/>
      <c r="I32" s="62" t="n"/>
      <c r="J32" s="60" t="n"/>
      <c r="K32" s="60" t="n"/>
      <c r="L32" s="60" t="n"/>
      <c r="M32" s="61" t="n"/>
      <c r="N32" s="60" t="n"/>
      <c r="O32" s="60" t="n"/>
      <c r="P32" s="60" t="n"/>
      <c r="Q32" s="60" t="n"/>
      <c r="R32" s="60" t="n"/>
      <c r="S32" s="60" t="n"/>
      <c r="T32" s="60" t="n"/>
      <c r="U32" s="60" t="n"/>
      <c r="V32" s="60" t="n"/>
      <c r="W32" s="60" t="n"/>
      <c r="X32" s="60" t="n"/>
      <c r="Y32" s="60" t="n"/>
      <c r="Z32" s="61" t="n"/>
      <c r="AA32" s="63">
        <f>IF($H32="","",TODAY()-$H32)</f>
        <v/>
      </c>
      <c r="AB32" s="63">
        <f>IF($A32="","",IF(AND($F32="Yes",OR($U32="No",$U32="NOT FOUND")),"YES",""))</f>
        <v/>
      </c>
      <c r="AC32" s="66">
        <f>IF($A32="","",TRIM(IF(AND($P32=0,$L32&lt;&gt;"Yes"),"T0-NoSmartcard ","")&amp;IF(AND($J32&lt;&gt;"",$J32&gt;365),"StalePwd ","")&amp;IF($K32="Yes","PwdNeverExpires ","")&amp;IF(AND($S32&lt;&gt;"",$S32&lt;&gt;"None"),"Delegation ","")&amp;IF(AND($Q32=1,$O32="None"),"StaleAdminCount ","")&amp;IF(AND($F32="Yes",$H32=""),"NeverLoggedOn ","")))</f>
        <v/>
      </c>
      <c r="AD32" s="60" t="n"/>
      <c r="AE32" s="61" t="n"/>
      <c r="AF32" s="60" t="n"/>
      <c r="AG32" s="62" t="n"/>
      <c r="AH32" s="62" t="n"/>
      <c r="AI32" s="62" t="n"/>
      <c r="AJ32" s="60" t="n"/>
      <c r="AK32" s="61" t="n"/>
      <c r="AL32" s="63">
        <f>IF($A32="","",IF(AH32="","Not Enrolled",IF(TODAY()&gt;AH32,"Review Overdue",IF(AH32-TODAY()&lt;=30,"Review Due Soon","Active"))))</f>
        <v/>
      </c>
      <c r="AM32" s="63">
        <f>IF($A32="","",IF(AI32="","NOT REVIEWED",IF(TODAY()-AI32&gt;90,"OVERDUE",IF(TODAY()-AI32&gt;76,"Due Soon","Current"))))</f>
        <v/>
      </c>
    </row>
    <row r="33" ht="15" customHeight="1" s="39">
      <c r="A33" s="60" t="n"/>
      <c r="B33" s="60" t="n"/>
      <c r="C33" s="61" t="n"/>
      <c r="D33" s="61" t="n"/>
      <c r="E33" s="60" t="n"/>
      <c r="F33" s="60" t="n"/>
      <c r="G33" s="62" t="n"/>
      <c r="H33" s="62" t="n"/>
      <c r="I33" s="62" t="n"/>
      <c r="J33" s="60" t="n"/>
      <c r="K33" s="60" t="n"/>
      <c r="L33" s="60" t="n"/>
      <c r="M33" s="61" t="n"/>
      <c r="N33" s="60" t="n"/>
      <c r="O33" s="60" t="n"/>
      <c r="P33" s="60" t="n"/>
      <c r="Q33" s="60" t="n"/>
      <c r="R33" s="60" t="n"/>
      <c r="S33" s="60" t="n"/>
      <c r="T33" s="60" t="n"/>
      <c r="U33" s="60" t="n"/>
      <c r="V33" s="60" t="n"/>
      <c r="W33" s="60" t="n"/>
      <c r="X33" s="60" t="n"/>
      <c r="Y33" s="60" t="n"/>
      <c r="Z33" s="61" t="n"/>
      <c r="AA33" s="63">
        <f>IF($H33="","",TODAY()-$H33)</f>
        <v/>
      </c>
      <c r="AB33" s="63">
        <f>IF($A33="","",IF(AND($F33="Yes",OR($U33="No",$U33="NOT FOUND")),"YES",""))</f>
        <v/>
      </c>
      <c r="AC33" s="66">
        <f>IF($A33="","",TRIM(IF(AND($P33=0,$L33&lt;&gt;"Yes"),"T0-NoSmartcard ","")&amp;IF(AND($J33&lt;&gt;"",$J33&gt;365),"StalePwd ","")&amp;IF($K33="Yes","PwdNeverExpires ","")&amp;IF(AND($S33&lt;&gt;"",$S33&lt;&gt;"None"),"Delegation ","")&amp;IF(AND($Q33=1,$O33="None"),"StaleAdminCount ","")&amp;IF(AND($F33="Yes",$H33=""),"NeverLoggedOn ","")))</f>
        <v/>
      </c>
      <c r="AD33" s="60" t="n"/>
      <c r="AE33" s="61" t="n"/>
      <c r="AF33" s="60" t="n"/>
      <c r="AG33" s="62" t="n"/>
      <c r="AH33" s="62" t="n"/>
      <c r="AI33" s="62" t="n"/>
      <c r="AJ33" s="60" t="n"/>
      <c r="AK33" s="61" t="n"/>
      <c r="AL33" s="63">
        <f>IF($A33="","",IF(AH33="","Not Enrolled",IF(TODAY()&gt;AH33,"Review Overdue",IF(AH33-TODAY()&lt;=30,"Review Due Soon","Active"))))</f>
        <v/>
      </c>
      <c r="AM33" s="63">
        <f>IF($A33="","",IF(AI33="","NOT REVIEWED",IF(TODAY()-AI33&gt;90,"OVERDUE",IF(TODAY()-AI33&gt;76,"Due Soon","Current"))))</f>
        <v/>
      </c>
    </row>
    <row r="34" ht="15" customHeight="1" s="39">
      <c r="A34" s="60" t="n"/>
      <c r="B34" s="60" t="n"/>
      <c r="C34" s="61" t="n"/>
      <c r="D34" s="61" t="n"/>
      <c r="E34" s="60" t="n"/>
      <c r="F34" s="60" t="n"/>
      <c r="G34" s="62" t="n"/>
      <c r="H34" s="62" t="n"/>
      <c r="I34" s="62" t="n"/>
      <c r="J34" s="60" t="n"/>
      <c r="K34" s="60" t="n"/>
      <c r="L34" s="60" t="n"/>
      <c r="M34" s="61" t="n"/>
      <c r="N34" s="60" t="n"/>
      <c r="O34" s="60" t="n"/>
      <c r="P34" s="60" t="n"/>
      <c r="Q34" s="60" t="n"/>
      <c r="R34" s="60" t="n"/>
      <c r="S34" s="60" t="n"/>
      <c r="T34" s="60" t="n"/>
      <c r="U34" s="60" t="n"/>
      <c r="V34" s="60" t="n"/>
      <c r="W34" s="60" t="n"/>
      <c r="X34" s="60" t="n"/>
      <c r="Y34" s="60" t="n"/>
      <c r="Z34" s="61" t="n"/>
      <c r="AA34" s="63">
        <f>IF($H34="","",TODAY()-$H34)</f>
        <v/>
      </c>
      <c r="AB34" s="63">
        <f>IF($A34="","",IF(AND($F34="Yes",OR($U34="No",$U34="NOT FOUND")),"YES",""))</f>
        <v/>
      </c>
      <c r="AC34" s="66">
        <f>IF($A34="","",TRIM(IF(AND($P34=0,$L34&lt;&gt;"Yes"),"T0-NoSmartcard ","")&amp;IF(AND($J34&lt;&gt;"",$J34&gt;365),"StalePwd ","")&amp;IF($K34="Yes","PwdNeverExpires ","")&amp;IF(AND($S34&lt;&gt;"",$S34&lt;&gt;"None"),"Delegation ","")&amp;IF(AND($Q34=1,$O34="None"),"StaleAdminCount ","")&amp;IF(AND($F34="Yes",$H34=""),"NeverLoggedOn ","")))</f>
        <v/>
      </c>
      <c r="AD34" s="60" t="n"/>
      <c r="AE34" s="61" t="n"/>
      <c r="AF34" s="60" t="n"/>
      <c r="AG34" s="62" t="n"/>
      <c r="AH34" s="62" t="n"/>
      <c r="AI34" s="62" t="n"/>
      <c r="AJ34" s="60" t="n"/>
      <c r="AK34" s="61" t="n"/>
      <c r="AL34" s="63">
        <f>IF($A34="","",IF(AH34="","Not Enrolled",IF(TODAY()&gt;AH34,"Review Overdue",IF(AH34-TODAY()&lt;=30,"Review Due Soon","Active"))))</f>
        <v/>
      </c>
      <c r="AM34" s="63">
        <f>IF($A34="","",IF(AI34="","NOT REVIEWED",IF(TODAY()-AI34&gt;90,"OVERDUE",IF(TODAY()-AI34&gt;76,"Due Soon","Current"))))</f>
        <v/>
      </c>
    </row>
    <row r="35" ht="15" customHeight="1" s="39">
      <c r="A35" s="60" t="n"/>
      <c r="B35" s="60" t="n"/>
      <c r="C35" s="61" t="n"/>
      <c r="D35" s="61" t="n"/>
      <c r="E35" s="60" t="n"/>
      <c r="F35" s="60" t="n"/>
      <c r="G35" s="62" t="n"/>
      <c r="H35" s="62" t="n"/>
      <c r="I35" s="62" t="n"/>
      <c r="J35" s="60" t="n"/>
      <c r="K35" s="60" t="n"/>
      <c r="L35" s="60" t="n"/>
      <c r="M35" s="61" t="n"/>
      <c r="N35" s="60" t="n"/>
      <c r="O35" s="60" t="n"/>
      <c r="P35" s="60" t="n"/>
      <c r="Q35" s="60" t="n"/>
      <c r="R35" s="60" t="n"/>
      <c r="S35" s="60" t="n"/>
      <c r="T35" s="60" t="n"/>
      <c r="U35" s="60" t="n"/>
      <c r="V35" s="60" t="n"/>
      <c r="W35" s="60" t="n"/>
      <c r="X35" s="60" t="n"/>
      <c r="Y35" s="60" t="n"/>
      <c r="Z35" s="61" t="n"/>
      <c r="AA35" s="63">
        <f>IF($H35="","",TODAY()-$H35)</f>
        <v/>
      </c>
      <c r="AB35" s="63">
        <f>IF($A35="","",IF(AND($F35="Yes",OR($U35="No",$U35="NOT FOUND")),"YES",""))</f>
        <v/>
      </c>
      <c r="AC35" s="66">
        <f>IF($A35="","",TRIM(IF(AND($P35=0,$L35&lt;&gt;"Yes"),"T0-NoSmartcard ","")&amp;IF(AND($J35&lt;&gt;"",$J35&gt;365),"StalePwd ","")&amp;IF($K35="Yes","PwdNeverExpires ","")&amp;IF(AND($S35&lt;&gt;"",$S35&lt;&gt;"None"),"Delegation ","")&amp;IF(AND($Q35=1,$O35="None"),"StaleAdminCount ","")&amp;IF(AND($F35="Yes",$H35=""),"NeverLoggedOn ","")))</f>
        <v/>
      </c>
      <c r="AD35" s="60" t="n"/>
      <c r="AE35" s="61" t="n"/>
      <c r="AF35" s="60" t="n"/>
      <c r="AG35" s="62" t="n"/>
      <c r="AH35" s="62" t="n"/>
      <c r="AI35" s="62" t="n"/>
      <c r="AJ35" s="60" t="n"/>
      <c r="AK35" s="61" t="n"/>
      <c r="AL35" s="63">
        <f>IF($A35="","",IF(AH35="","Not Enrolled",IF(TODAY()&gt;AH35,"Review Overdue",IF(AH35-TODAY()&lt;=30,"Review Due Soon","Active"))))</f>
        <v/>
      </c>
      <c r="AM35" s="63">
        <f>IF($A35="","",IF(AI35="","NOT REVIEWED",IF(TODAY()-AI35&gt;90,"OVERDUE",IF(TODAY()-AI35&gt;76,"Due Soon","Current"))))</f>
        <v/>
      </c>
    </row>
    <row r="36" ht="15" customHeight="1" s="39">
      <c r="A36" s="60" t="n"/>
      <c r="B36" s="60" t="n"/>
      <c r="C36" s="61" t="n"/>
      <c r="D36" s="61" t="n"/>
      <c r="E36" s="60" t="n"/>
      <c r="F36" s="60" t="n"/>
      <c r="G36" s="62" t="n"/>
      <c r="H36" s="62" t="n"/>
      <c r="I36" s="62" t="n"/>
      <c r="J36" s="60" t="n"/>
      <c r="K36" s="60" t="n"/>
      <c r="L36" s="60" t="n"/>
      <c r="M36" s="61" t="n"/>
      <c r="N36" s="60" t="n"/>
      <c r="O36" s="60" t="n"/>
      <c r="P36" s="60" t="n"/>
      <c r="Q36" s="60" t="n"/>
      <c r="R36" s="60" t="n"/>
      <c r="S36" s="60" t="n"/>
      <c r="T36" s="60" t="n"/>
      <c r="U36" s="60" t="n"/>
      <c r="V36" s="60" t="n"/>
      <c r="W36" s="60" t="n"/>
      <c r="X36" s="60" t="n"/>
      <c r="Y36" s="60" t="n"/>
      <c r="Z36" s="61" t="n"/>
      <c r="AA36" s="63">
        <f>IF($H36="","",TODAY()-$H36)</f>
        <v/>
      </c>
      <c r="AB36" s="63">
        <f>IF($A36="","",IF(AND($F36="Yes",OR($U36="No",$U36="NOT FOUND")),"YES",""))</f>
        <v/>
      </c>
      <c r="AC36" s="66">
        <f>IF($A36="","",TRIM(IF(AND($P36=0,$L36&lt;&gt;"Yes"),"T0-NoSmartcard ","")&amp;IF(AND($J36&lt;&gt;"",$J36&gt;365),"StalePwd ","")&amp;IF($K36="Yes","PwdNeverExpires ","")&amp;IF(AND($S36&lt;&gt;"",$S36&lt;&gt;"None"),"Delegation ","")&amp;IF(AND($Q36=1,$O36="None"),"StaleAdminCount ","")&amp;IF(AND($F36="Yes",$H36=""),"NeverLoggedOn ","")))</f>
        <v/>
      </c>
      <c r="AD36" s="60" t="n"/>
      <c r="AE36" s="61" t="n"/>
      <c r="AF36" s="60" t="n"/>
      <c r="AG36" s="62" t="n"/>
      <c r="AH36" s="62" t="n"/>
      <c r="AI36" s="62" t="n"/>
      <c r="AJ36" s="60" t="n"/>
      <c r="AK36" s="61" t="n"/>
      <c r="AL36" s="63">
        <f>IF($A36="","",IF(AH36="","Not Enrolled",IF(TODAY()&gt;AH36,"Review Overdue",IF(AH36-TODAY()&lt;=30,"Review Due Soon","Active"))))</f>
        <v/>
      </c>
      <c r="AM36" s="63">
        <f>IF($A36="","",IF(AI36="","NOT REVIEWED",IF(TODAY()-AI36&gt;90,"OVERDUE",IF(TODAY()-AI36&gt;76,"Due Soon","Current"))))</f>
        <v/>
      </c>
    </row>
    <row r="37" ht="15" customHeight="1" s="39">
      <c r="A37" s="60" t="n"/>
      <c r="B37" s="60" t="n"/>
      <c r="C37" s="61" t="n"/>
      <c r="D37" s="61" t="n"/>
      <c r="E37" s="60" t="n"/>
      <c r="F37" s="60" t="n"/>
      <c r="G37" s="62" t="n"/>
      <c r="H37" s="62" t="n"/>
      <c r="I37" s="62" t="n"/>
      <c r="J37" s="60" t="n"/>
      <c r="K37" s="60" t="n"/>
      <c r="L37" s="60" t="n"/>
      <c r="M37" s="61" t="n"/>
      <c r="N37" s="60" t="n"/>
      <c r="O37" s="60" t="n"/>
      <c r="P37" s="60" t="n"/>
      <c r="Q37" s="60" t="n"/>
      <c r="R37" s="60" t="n"/>
      <c r="S37" s="60" t="n"/>
      <c r="T37" s="60" t="n"/>
      <c r="U37" s="60" t="n"/>
      <c r="V37" s="60" t="n"/>
      <c r="W37" s="60" t="n"/>
      <c r="X37" s="60" t="n"/>
      <c r="Y37" s="60" t="n"/>
      <c r="Z37" s="61" t="n"/>
      <c r="AA37" s="63">
        <f>IF($H37="","",TODAY()-$H37)</f>
        <v/>
      </c>
      <c r="AB37" s="63">
        <f>IF($A37="","",IF(AND($F37="Yes",OR($U37="No",$U37="NOT FOUND")),"YES",""))</f>
        <v/>
      </c>
      <c r="AC37" s="66">
        <f>IF($A37="","",TRIM(IF(AND($P37=0,$L37&lt;&gt;"Yes"),"T0-NoSmartcard ","")&amp;IF(AND($J37&lt;&gt;"",$J37&gt;365),"StalePwd ","")&amp;IF($K37="Yes","PwdNeverExpires ","")&amp;IF(AND($S37&lt;&gt;"",$S37&lt;&gt;"None"),"Delegation ","")&amp;IF(AND($Q37=1,$O37="None"),"StaleAdminCount ","")&amp;IF(AND($F37="Yes",$H37=""),"NeverLoggedOn ","")))</f>
        <v/>
      </c>
      <c r="AD37" s="60" t="n"/>
      <c r="AE37" s="61" t="n"/>
      <c r="AF37" s="60" t="n"/>
      <c r="AG37" s="62" t="n"/>
      <c r="AH37" s="62" t="n"/>
      <c r="AI37" s="62" t="n"/>
      <c r="AJ37" s="60" t="n"/>
      <c r="AK37" s="61" t="n"/>
      <c r="AL37" s="63">
        <f>IF($A37="","",IF(AH37="","Not Enrolled",IF(TODAY()&gt;AH37,"Review Overdue",IF(AH37-TODAY()&lt;=30,"Review Due Soon","Active"))))</f>
        <v/>
      </c>
      <c r="AM37" s="63">
        <f>IF($A37="","",IF(AI37="","NOT REVIEWED",IF(TODAY()-AI37&gt;90,"OVERDUE",IF(TODAY()-AI37&gt;76,"Due Soon","Current"))))</f>
        <v/>
      </c>
    </row>
    <row r="38" ht="15" customHeight="1" s="39">
      <c r="A38" s="60" t="n"/>
      <c r="B38" s="60" t="n"/>
      <c r="C38" s="61" t="n"/>
      <c r="D38" s="61" t="n"/>
      <c r="E38" s="60" t="n"/>
      <c r="F38" s="60" t="n"/>
      <c r="G38" s="62" t="n"/>
      <c r="H38" s="62" t="n"/>
      <c r="I38" s="62" t="n"/>
      <c r="J38" s="60" t="n"/>
      <c r="K38" s="60" t="n"/>
      <c r="L38" s="60" t="n"/>
      <c r="M38" s="61" t="n"/>
      <c r="N38" s="60" t="n"/>
      <c r="O38" s="60" t="n"/>
      <c r="P38" s="60" t="n"/>
      <c r="Q38" s="60" t="n"/>
      <c r="R38" s="60" t="n"/>
      <c r="S38" s="60" t="n"/>
      <c r="T38" s="60" t="n"/>
      <c r="U38" s="60" t="n"/>
      <c r="V38" s="60" t="n"/>
      <c r="W38" s="60" t="n"/>
      <c r="X38" s="60" t="n"/>
      <c r="Y38" s="60" t="n"/>
      <c r="Z38" s="61" t="n"/>
      <c r="AA38" s="63">
        <f>IF($H38="","",TODAY()-$H38)</f>
        <v/>
      </c>
      <c r="AB38" s="63">
        <f>IF($A38="","",IF(AND($F38="Yes",OR($U38="No",$U38="NOT FOUND")),"YES",""))</f>
        <v/>
      </c>
      <c r="AC38" s="66">
        <f>IF($A38="","",TRIM(IF(AND($P38=0,$L38&lt;&gt;"Yes"),"T0-NoSmartcard ","")&amp;IF(AND($J38&lt;&gt;"",$J38&gt;365),"StalePwd ","")&amp;IF($K38="Yes","PwdNeverExpires ","")&amp;IF(AND($S38&lt;&gt;"",$S38&lt;&gt;"None"),"Delegation ","")&amp;IF(AND($Q38=1,$O38="None"),"StaleAdminCount ","")&amp;IF(AND($F38="Yes",$H38=""),"NeverLoggedOn ","")))</f>
        <v/>
      </c>
      <c r="AD38" s="60" t="n"/>
      <c r="AE38" s="61" t="n"/>
      <c r="AF38" s="60" t="n"/>
      <c r="AG38" s="62" t="n"/>
      <c r="AH38" s="62" t="n"/>
      <c r="AI38" s="62" t="n"/>
      <c r="AJ38" s="60" t="n"/>
      <c r="AK38" s="61" t="n"/>
      <c r="AL38" s="63">
        <f>IF($A38="","",IF(AH38="","Not Enrolled",IF(TODAY()&gt;AH38,"Review Overdue",IF(AH38-TODAY()&lt;=30,"Review Due Soon","Active"))))</f>
        <v/>
      </c>
      <c r="AM38" s="63">
        <f>IF($A38="","",IF(AI38="","NOT REVIEWED",IF(TODAY()-AI38&gt;90,"OVERDUE",IF(TODAY()-AI38&gt;76,"Due Soon","Current"))))</f>
        <v/>
      </c>
    </row>
    <row r="39" ht="15" customHeight="1" s="39">
      <c r="A39" s="60" t="n"/>
      <c r="B39" s="60" t="n"/>
      <c r="C39" s="61" t="n"/>
      <c r="D39" s="61" t="n"/>
      <c r="E39" s="60" t="n"/>
      <c r="F39" s="60" t="n"/>
      <c r="G39" s="62" t="n"/>
      <c r="H39" s="62" t="n"/>
      <c r="I39" s="62" t="n"/>
      <c r="J39" s="60" t="n"/>
      <c r="K39" s="60" t="n"/>
      <c r="L39" s="60" t="n"/>
      <c r="M39" s="61" t="n"/>
      <c r="N39" s="60" t="n"/>
      <c r="O39" s="60" t="n"/>
      <c r="P39" s="60" t="n"/>
      <c r="Q39" s="60" t="n"/>
      <c r="R39" s="60" t="n"/>
      <c r="S39" s="60" t="n"/>
      <c r="T39" s="60" t="n"/>
      <c r="U39" s="60" t="n"/>
      <c r="V39" s="60" t="n"/>
      <c r="W39" s="60" t="n"/>
      <c r="X39" s="60" t="n"/>
      <c r="Y39" s="60" t="n"/>
      <c r="Z39" s="61" t="n"/>
      <c r="AA39" s="63">
        <f>IF($H39="","",TODAY()-$H39)</f>
        <v/>
      </c>
      <c r="AB39" s="63">
        <f>IF($A39="","",IF(AND($F39="Yes",OR($U39="No",$U39="NOT FOUND")),"YES",""))</f>
        <v/>
      </c>
      <c r="AC39" s="66">
        <f>IF($A39="","",TRIM(IF(AND($P39=0,$L39&lt;&gt;"Yes"),"T0-NoSmartcard ","")&amp;IF(AND($J39&lt;&gt;"",$J39&gt;365),"StalePwd ","")&amp;IF($K39="Yes","PwdNeverExpires ","")&amp;IF(AND($S39&lt;&gt;"",$S39&lt;&gt;"None"),"Delegation ","")&amp;IF(AND($Q39=1,$O39="None"),"StaleAdminCount ","")&amp;IF(AND($F39="Yes",$H39=""),"NeverLoggedOn ","")))</f>
        <v/>
      </c>
      <c r="AD39" s="60" t="n"/>
      <c r="AE39" s="61" t="n"/>
      <c r="AF39" s="60" t="n"/>
      <c r="AG39" s="62" t="n"/>
      <c r="AH39" s="62" t="n"/>
      <c r="AI39" s="62" t="n"/>
      <c r="AJ39" s="60" t="n"/>
      <c r="AK39" s="61" t="n"/>
      <c r="AL39" s="63">
        <f>IF($A39="","",IF(AH39="","Not Enrolled",IF(TODAY()&gt;AH39,"Review Overdue",IF(AH39-TODAY()&lt;=30,"Review Due Soon","Active"))))</f>
        <v/>
      </c>
      <c r="AM39" s="63">
        <f>IF($A39="","",IF(AI39="","NOT REVIEWED",IF(TODAY()-AI39&gt;90,"OVERDUE",IF(TODAY()-AI39&gt;76,"Due Soon","Current"))))</f>
        <v/>
      </c>
    </row>
    <row r="40" ht="15" customHeight="1" s="39">
      <c r="A40" s="60" t="n"/>
      <c r="B40" s="60" t="n"/>
      <c r="C40" s="61" t="n"/>
      <c r="D40" s="61" t="n"/>
      <c r="E40" s="60" t="n"/>
      <c r="F40" s="60" t="n"/>
      <c r="G40" s="62" t="n"/>
      <c r="H40" s="62" t="n"/>
      <c r="I40" s="62" t="n"/>
      <c r="J40" s="60" t="n"/>
      <c r="K40" s="60" t="n"/>
      <c r="L40" s="60" t="n"/>
      <c r="M40" s="61" t="n"/>
      <c r="N40" s="60" t="n"/>
      <c r="O40" s="60" t="n"/>
      <c r="P40" s="60" t="n"/>
      <c r="Q40" s="60" t="n"/>
      <c r="R40" s="60" t="n"/>
      <c r="S40" s="60" t="n"/>
      <c r="T40" s="60" t="n"/>
      <c r="U40" s="60" t="n"/>
      <c r="V40" s="60" t="n"/>
      <c r="W40" s="60" t="n"/>
      <c r="X40" s="60" t="n"/>
      <c r="Y40" s="60" t="n"/>
      <c r="Z40" s="61" t="n"/>
      <c r="AA40" s="63">
        <f>IF($H40="","",TODAY()-$H40)</f>
        <v/>
      </c>
      <c r="AB40" s="63">
        <f>IF($A40="","",IF(AND($F40="Yes",OR($U40="No",$U40="NOT FOUND")),"YES",""))</f>
        <v/>
      </c>
      <c r="AC40" s="66">
        <f>IF($A40="","",TRIM(IF(AND($P40=0,$L40&lt;&gt;"Yes"),"T0-NoSmartcard ","")&amp;IF(AND($J40&lt;&gt;"",$J40&gt;365),"StalePwd ","")&amp;IF($K40="Yes","PwdNeverExpires ","")&amp;IF(AND($S40&lt;&gt;"",$S40&lt;&gt;"None"),"Delegation ","")&amp;IF(AND($Q40=1,$O40="None"),"StaleAdminCount ","")&amp;IF(AND($F40="Yes",$H40=""),"NeverLoggedOn ","")))</f>
        <v/>
      </c>
      <c r="AD40" s="60" t="n"/>
      <c r="AE40" s="61" t="n"/>
      <c r="AF40" s="60" t="n"/>
      <c r="AG40" s="62" t="n"/>
      <c r="AH40" s="62" t="n"/>
      <c r="AI40" s="62" t="n"/>
      <c r="AJ40" s="60" t="n"/>
      <c r="AK40" s="61" t="n"/>
      <c r="AL40" s="63">
        <f>IF($A40="","",IF(AH40="","Not Enrolled",IF(TODAY()&gt;AH40,"Review Overdue",IF(AH40-TODAY()&lt;=30,"Review Due Soon","Active"))))</f>
        <v/>
      </c>
      <c r="AM40" s="63">
        <f>IF($A40="","",IF(AI40="","NOT REVIEWED",IF(TODAY()-AI40&gt;90,"OVERDUE",IF(TODAY()-AI40&gt;76,"Due Soon","Current"))))</f>
        <v/>
      </c>
    </row>
    <row r="41" ht="15" customHeight="1" s="39">
      <c r="A41" s="60" t="n"/>
      <c r="B41" s="60" t="n"/>
      <c r="C41" s="61" t="n"/>
      <c r="D41" s="61" t="n"/>
      <c r="E41" s="60" t="n"/>
      <c r="F41" s="60" t="n"/>
      <c r="G41" s="62" t="n"/>
      <c r="H41" s="62" t="n"/>
      <c r="I41" s="62" t="n"/>
      <c r="J41" s="60" t="n"/>
      <c r="K41" s="60" t="n"/>
      <c r="L41" s="60" t="n"/>
      <c r="M41" s="61" t="n"/>
      <c r="N41" s="60" t="n"/>
      <c r="O41" s="60" t="n"/>
      <c r="P41" s="60" t="n"/>
      <c r="Q41" s="60" t="n"/>
      <c r="R41" s="60" t="n"/>
      <c r="S41" s="60" t="n"/>
      <c r="T41" s="60" t="n"/>
      <c r="U41" s="60" t="n"/>
      <c r="V41" s="60" t="n"/>
      <c r="W41" s="60" t="n"/>
      <c r="X41" s="60" t="n"/>
      <c r="Y41" s="60" t="n"/>
      <c r="Z41" s="61" t="n"/>
      <c r="AA41" s="63">
        <f>IF($H41="","",TODAY()-$H41)</f>
        <v/>
      </c>
      <c r="AB41" s="63">
        <f>IF($A41="","",IF(AND($F41="Yes",OR($U41="No",$U41="NOT FOUND")),"YES",""))</f>
        <v/>
      </c>
      <c r="AC41" s="66">
        <f>IF($A41="","",TRIM(IF(AND($P41=0,$L41&lt;&gt;"Yes"),"T0-NoSmartcard ","")&amp;IF(AND($J41&lt;&gt;"",$J41&gt;365),"StalePwd ","")&amp;IF($K41="Yes","PwdNeverExpires ","")&amp;IF(AND($S41&lt;&gt;"",$S41&lt;&gt;"None"),"Delegation ","")&amp;IF(AND($Q41=1,$O41="None"),"StaleAdminCount ","")&amp;IF(AND($F41="Yes",$H41=""),"NeverLoggedOn ","")))</f>
        <v/>
      </c>
      <c r="AD41" s="60" t="n"/>
      <c r="AE41" s="61" t="n"/>
      <c r="AF41" s="60" t="n"/>
      <c r="AG41" s="62" t="n"/>
      <c r="AH41" s="62" t="n"/>
      <c r="AI41" s="62" t="n"/>
      <c r="AJ41" s="60" t="n"/>
      <c r="AK41" s="61" t="n"/>
      <c r="AL41" s="63">
        <f>IF($A41="","",IF(AH41="","Not Enrolled",IF(TODAY()&gt;AH41,"Review Overdue",IF(AH41-TODAY()&lt;=30,"Review Due Soon","Active"))))</f>
        <v/>
      </c>
      <c r="AM41" s="63">
        <f>IF($A41="","",IF(AI41="","NOT REVIEWED",IF(TODAY()-AI41&gt;90,"OVERDUE",IF(TODAY()-AI41&gt;76,"Due Soon","Current"))))</f>
        <v/>
      </c>
    </row>
    <row r="42" ht="15" customHeight="1" s="39">
      <c r="A42" s="60" t="n"/>
      <c r="B42" s="60" t="n"/>
      <c r="C42" s="61" t="n"/>
      <c r="D42" s="61" t="n"/>
      <c r="E42" s="60" t="n"/>
      <c r="F42" s="60" t="n"/>
      <c r="G42" s="62" t="n"/>
      <c r="H42" s="62" t="n"/>
      <c r="I42" s="62" t="n"/>
      <c r="J42" s="60" t="n"/>
      <c r="K42" s="60" t="n"/>
      <c r="L42" s="60" t="n"/>
      <c r="M42" s="61" t="n"/>
      <c r="N42" s="60" t="n"/>
      <c r="O42" s="60" t="n"/>
      <c r="P42" s="60" t="n"/>
      <c r="Q42" s="60" t="n"/>
      <c r="R42" s="60" t="n"/>
      <c r="S42" s="60" t="n"/>
      <c r="T42" s="60" t="n"/>
      <c r="U42" s="60" t="n"/>
      <c r="V42" s="60" t="n"/>
      <c r="W42" s="60" t="n"/>
      <c r="X42" s="60" t="n"/>
      <c r="Y42" s="60" t="n"/>
      <c r="Z42" s="61" t="n"/>
      <c r="AA42" s="63">
        <f>IF($H42="","",TODAY()-$H42)</f>
        <v/>
      </c>
      <c r="AB42" s="63">
        <f>IF($A42="","",IF(AND($F42="Yes",OR($U42="No",$U42="NOT FOUND")),"YES",""))</f>
        <v/>
      </c>
      <c r="AC42" s="66">
        <f>IF($A42="","",TRIM(IF(AND($P42=0,$L42&lt;&gt;"Yes"),"T0-NoSmartcard ","")&amp;IF(AND($J42&lt;&gt;"",$J42&gt;365),"StalePwd ","")&amp;IF($K42="Yes","PwdNeverExpires ","")&amp;IF(AND($S42&lt;&gt;"",$S42&lt;&gt;"None"),"Delegation ","")&amp;IF(AND($Q42=1,$O42="None"),"StaleAdminCount ","")&amp;IF(AND($F42="Yes",$H42=""),"NeverLoggedOn ","")))</f>
        <v/>
      </c>
      <c r="AD42" s="60" t="n"/>
      <c r="AE42" s="61" t="n"/>
      <c r="AF42" s="60" t="n"/>
      <c r="AG42" s="62" t="n"/>
      <c r="AH42" s="62" t="n"/>
      <c r="AI42" s="62" t="n"/>
      <c r="AJ42" s="60" t="n"/>
      <c r="AK42" s="61" t="n"/>
      <c r="AL42" s="63">
        <f>IF($A42="","",IF(AH42="","Not Enrolled",IF(TODAY()&gt;AH42,"Review Overdue",IF(AH42-TODAY()&lt;=30,"Review Due Soon","Active"))))</f>
        <v/>
      </c>
      <c r="AM42" s="63">
        <f>IF($A42="","",IF(AI42="","NOT REVIEWED",IF(TODAY()-AI42&gt;90,"OVERDUE",IF(TODAY()-AI42&gt;76,"Due Soon","Current"))))</f>
        <v/>
      </c>
    </row>
    <row r="43" ht="15" customHeight="1" s="39">
      <c r="A43" s="60" t="n"/>
      <c r="B43" s="60" t="n"/>
      <c r="C43" s="61" t="n"/>
      <c r="D43" s="61" t="n"/>
      <c r="E43" s="60" t="n"/>
      <c r="F43" s="60" t="n"/>
      <c r="G43" s="62" t="n"/>
      <c r="H43" s="62" t="n"/>
      <c r="I43" s="62" t="n"/>
      <c r="J43" s="60" t="n"/>
      <c r="K43" s="60" t="n"/>
      <c r="L43" s="60" t="n"/>
      <c r="M43" s="61" t="n"/>
      <c r="N43" s="60" t="n"/>
      <c r="O43" s="60" t="n"/>
      <c r="P43" s="60" t="n"/>
      <c r="Q43" s="60" t="n"/>
      <c r="R43" s="60" t="n"/>
      <c r="S43" s="60" t="n"/>
      <c r="T43" s="60" t="n"/>
      <c r="U43" s="60" t="n"/>
      <c r="V43" s="60" t="n"/>
      <c r="W43" s="60" t="n"/>
      <c r="X43" s="60" t="n"/>
      <c r="Y43" s="60" t="n"/>
      <c r="Z43" s="61" t="n"/>
      <c r="AA43" s="63">
        <f>IF($H43="","",TODAY()-$H43)</f>
        <v/>
      </c>
      <c r="AB43" s="63">
        <f>IF($A43="","",IF(AND($F43="Yes",OR($U43="No",$U43="NOT FOUND")),"YES",""))</f>
        <v/>
      </c>
      <c r="AC43" s="66">
        <f>IF($A43="","",TRIM(IF(AND($P43=0,$L43&lt;&gt;"Yes"),"T0-NoSmartcard ","")&amp;IF(AND($J43&lt;&gt;"",$J43&gt;365),"StalePwd ","")&amp;IF($K43="Yes","PwdNeverExpires ","")&amp;IF(AND($S43&lt;&gt;"",$S43&lt;&gt;"None"),"Delegation ","")&amp;IF(AND($Q43=1,$O43="None"),"StaleAdminCount ","")&amp;IF(AND($F43="Yes",$H43=""),"NeverLoggedOn ","")))</f>
        <v/>
      </c>
      <c r="AD43" s="60" t="n"/>
      <c r="AE43" s="61" t="n"/>
      <c r="AF43" s="60" t="n"/>
      <c r="AG43" s="62" t="n"/>
      <c r="AH43" s="62" t="n"/>
      <c r="AI43" s="62" t="n"/>
      <c r="AJ43" s="60" t="n"/>
      <c r="AK43" s="61" t="n"/>
      <c r="AL43" s="63">
        <f>IF($A43="","",IF(AH43="","Not Enrolled",IF(TODAY()&gt;AH43,"Review Overdue",IF(AH43-TODAY()&lt;=30,"Review Due Soon","Active"))))</f>
        <v/>
      </c>
      <c r="AM43" s="63">
        <f>IF($A43="","",IF(AI43="","NOT REVIEWED",IF(TODAY()-AI43&gt;90,"OVERDUE",IF(TODAY()-AI43&gt;76,"Due Soon","Current"))))</f>
        <v/>
      </c>
    </row>
    <row r="44" ht="15" customHeight="1" s="39">
      <c r="A44" s="60" t="n"/>
      <c r="B44" s="60" t="n"/>
      <c r="C44" s="61" t="n"/>
      <c r="D44" s="61" t="n"/>
      <c r="E44" s="60" t="n"/>
      <c r="F44" s="60" t="n"/>
      <c r="G44" s="62" t="n"/>
      <c r="H44" s="62" t="n"/>
      <c r="I44" s="62" t="n"/>
      <c r="J44" s="60" t="n"/>
      <c r="K44" s="60" t="n"/>
      <c r="L44" s="60" t="n"/>
      <c r="M44" s="61" t="n"/>
      <c r="N44" s="60" t="n"/>
      <c r="O44" s="60" t="n"/>
      <c r="P44" s="60" t="n"/>
      <c r="Q44" s="60" t="n"/>
      <c r="R44" s="60" t="n"/>
      <c r="S44" s="60" t="n"/>
      <c r="T44" s="60" t="n"/>
      <c r="U44" s="60" t="n"/>
      <c r="V44" s="60" t="n"/>
      <c r="W44" s="60" t="n"/>
      <c r="X44" s="60" t="n"/>
      <c r="Y44" s="60" t="n"/>
      <c r="Z44" s="61" t="n"/>
      <c r="AA44" s="63">
        <f>IF($H44="","",TODAY()-$H44)</f>
        <v/>
      </c>
      <c r="AB44" s="63">
        <f>IF($A44="","",IF(AND($F44="Yes",OR($U44="No",$U44="NOT FOUND")),"YES",""))</f>
        <v/>
      </c>
      <c r="AC44" s="66">
        <f>IF($A44="","",TRIM(IF(AND($P44=0,$L44&lt;&gt;"Yes"),"T0-NoSmartcard ","")&amp;IF(AND($J44&lt;&gt;"",$J44&gt;365),"StalePwd ","")&amp;IF($K44="Yes","PwdNeverExpires ","")&amp;IF(AND($S44&lt;&gt;"",$S44&lt;&gt;"None"),"Delegation ","")&amp;IF(AND($Q44=1,$O44="None"),"StaleAdminCount ","")&amp;IF(AND($F44="Yes",$H44=""),"NeverLoggedOn ","")))</f>
        <v/>
      </c>
      <c r="AD44" s="60" t="n"/>
      <c r="AE44" s="61" t="n"/>
      <c r="AF44" s="60" t="n"/>
      <c r="AG44" s="62" t="n"/>
      <c r="AH44" s="62" t="n"/>
      <c r="AI44" s="62" t="n"/>
      <c r="AJ44" s="60" t="n"/>
      <c r="AK44" s="61" t="n"/>
      <c r="AL44" s="63">
        <f>IF($A44="","",IF(AH44="","Not Enrolled",IF(TODAY()&gt;AH44,"Review Overdue",IF(AH44-TODAY()&lt;=30,"Review Due Soon","Active"))))</f>
        <v/>
      </c>
      <c r="AM44" s="63">
        <f>IF($A44="","",IF(AI44="","NOT REVIEWED",IF(TODAY()-AI44&gt;90,"OVERDUE",IF(TODAY()-AI44&gt;76,"Due Soon","Current"))))</f>
        <v/>
      </c>
    </row>
    <row r="45" ht="15" customHeight="1" s="39">
      <c r="A45" s="60" t="n"/>
      <c r="B45" s="60" t="n"/>
      <c r="C45" s="61" t="n"/>
      <c r="D45" s="61" t="n"/>
      <c r="E45" s="60" t="n"/>
      <c r="F45" s="60" t="n"/>
      <c r="G45" s="62" t="n"/>
      <c r="H45" s="62" t="n"/>
      <c r="I45" s="62" t="n"/>
      <c r="J45" s="60" t="n"/>
      <c r="K45" s="60" t="n"/>
      <c r="L45" s="60" t="n"/>
      <c r="M45" s="61" t="n"/>
      <c r="N45" s="60" t="n"/>
      <c r="O45" s="60" t="n"/>
      <c r="P45" s="60" t="n"/>
      <c r="Q45" s="60" t="n"/>
      <c r="R45" s="60" t="n"/>
      <c r="S45" s="60" t="n"/>
      <c r="T45" s="60" t="n"/>
      <c r="U45" s="60" t="n"/>
      <c r="V45" s="60" t="n"/>
      <c r="W45" s="60" t="n"/>
      <c r="X45" s="60" t="n"/>
      <c r="Y45" s="60" t="n"/>
      <c r="Z45" s="61" t="n"/>
      <c r="AA45" s="63">
        <f>IF($H45="","",TODAY()-$H45)</f>
        <v/>
      </c>
      <c r="AB45" s="63">
        <f>IF($A45="","",IF(AND($F45="Yes",OR($U45="No",$U45="NOT FOUND")),"YES",""))</f>
        <v/>
      </c>
      <c r="AC45" s="66">
        <f>IF($A45="","",TRIM(IF(AND($P45=0,$L45&lt;&gt;"Yes"),"T0-NoSmartcard ","")&amp;IF(AND($J45&lt;&gt;"",$J45&gt;365),"StalePwd ","")&amp;IF($K45="Yes","PwdNeverExpires ","")&amp;IF(AND($S45&lt;&gt;"",$S45&lt;&gt;"None"),"Delegation ","")&amp;IF(AND($Q45=1,$O45="None"),"StaleAdminCount ","")&amp;IF(AND($F45="Yes",$H45=""),"NeverLoggedOn ","")))</f>
        <v/>
      </c>
      <c r="AD45" s="60" t="n"/>
      <c r="AE45" s="61" t="n"/>
      <c r="AF45" s="60" t="n"/>
      <c r="AG45" s="62" t="n"/>
      <c r="AH45" s="62" t="n"/>
      <c r="AI45" s="62" t="n"/>
      <c r="AJ45" s="60" t="n"/>
      <c r="AK45" s="61" t="n"/>
      <c r="AL45" s="63">
        <f>IF($A45="","",IF(AH45="","Not Enrolled",IF(TODAY()&gt;AH45,"Review Overdue",IF(AH45-TODAY()&lt;=30,"Review Due Soon","Active"))))</f>
        <v/>
      </c>
      <c r="AM45" s="63">
        <f>IF($A45="","",IF(AI45="","NOT REVIEWED",IF(TODAY()-AI45&gt;90,"OVERDUE",IF(TODAY()-AI45&gt;76,"Due Soon","Current"))))</f>
        <v/>
      </c>
    </row>
    <row r="46" ht="15" customHeight="1" s="39">
      <c r="A46" s="60" t="n"/>
      <c r="B46" s="60" t="n"/>
      <c r="C46" s="61" t="n"/>
      <c r="D46" s="61" t="n"/>
      <c r="E46" s="60" t="n"/>
      <c r="F46" s="60" t="n"/>
      <c r="G46" s="62" t="n"/>
      <c r="H46" s="62" t="n"/>
      <c r="I46" s="62" t="n"/>
      <c r="J46" s="60" t="n"/>
      <c r="K46" s="60" t="n"/>
      <c r="L46" s="60" t="n"/>
      <c r="M46" s="61" t="n"/>
      <c r="N46" s="60" t="n"/>
      <c r="O46" s="60" t="n"/>
      <c r="P46" s="60" t="n"/>
      <c r="Q46" s="60" t="n"/>
      <c r="R46" s="60" t="n"/>
      <c r="S46" s="60" t="n"/>
      <c r="T46" s="60" t="n"/>
      <c r="U46" s="60" t="n"/>
      <c r="V46" s="60" t="n"/>
      <c r="W46" s="60" t="n"/>
      <c r="X46" s="60" t="n"/>
      <c r="Y46" s="60" t="n"/>
      <c r="Z46" s="61" t="n"/>
      <c r="AA46" s="63">
        <f>IF($H46="","",TODAY()-$H46)</f>
        <v/>
      </c>
      <c r="AB46" s="63">
        <f>IF($A46="","",IF(AND($F46="Yes",OR($U46="No",$U46="NOT FOUND")),"YES",""))</f>
        <v/>
      </c>
      <c r="AC46" s="66">
        <f>IF($A46="","",TRIM(IF(AND($P46=0,$L46&lt;&gt;"Yes"),"T0-NoSmartcard ","")&amp;IF(AND($J46&lt;&gt;"",$J46&gt;365),"StalePwd ","")&amp;IF($K46="Yes","PwdNeverExpires ","")&amp;IF(AND($S46&lt;&gt;"",$S46&lt;&gt;"None"),"Delegation ","")&amp;IF(AND($Q46=1,$O46="None"),"StaleAdminCount ","")&amp;IF(AND($F46="Yes",$H46=""),"NeverLoggedOn ","")))</f>
        <v/>
      </c>
      <c r="AD46" s="60" t="n"/>
      <c r="AE46" s="61" t="n"/>
      <c r="AF46" s="60" t="n"/>
      <c r="AG46" s="62" t="n"/>
      <c r="AH46" s="62" t="n"/>
      <c r="AI46" s="62" t="n"/>
      <c r="AJ46" s="60" t="n"/>
      <c r="AK46" s="61" t="n"/>
      <c r="AL46" s="63">
        <f>IF($A46="","",IF(AH46="","Not Enrolled",IF(TODAY()&gt;AH46,"Review Overdue",IF(AH46-TODAY()&lt;=30,"Review Due Soon","Active"))))</f>
        <v/>
      </c>
      <c r="AM46" s="63">
        <f>IF($A46="","",IF(AI46="","NOT REVIEWED",IF(TODAY()-AI46&gt;90,"OVERDUE",IF(TODAY()-AI46&gt;76,"Due Soon","Current"))))</f>
        <v/>
      </c>
    </row>
    <row r="47" ht="15" customHeight="1" s="39">
      <c r="A47" s="60" t="n"/>
      <c r="B47" s="60" t="n"/>
      <c r="C47" s="61" t="n"/>
      <c r="D47" s="61" t="n"/>
      <c r="E47" s="60" t="n"/>
      <c r="F47" s="60" t="n"/>
      <c r="G47" s="62" t="n"/>
      <c r="H47" s="62" t="n"/>
      <c r="I47" s="62" t="n"/>
      <c r="J47" s="60" t="n"/>
      <c r="K47" s="60" t="n"/>
      <c r="L47" s="60" t="n"/>
      <c r="M47" s="61" t="n"/>
      <c r="N47" s="60" t="n"/>
      <c r="O47" s="60" t="n"/>
      <c r="P47" s="60" t="n"/>
      <c r="Q47" s="60" t="n"/>
      <c r="R47" s="60" t="n"/>
      <c r="S47" s="60" t="n"/>
      <c r="T47" s="60" t="n"/>
      <c r="U47" s="60" t="n"/>
      <c r="V47" s="60" t="n"/>
      <c r="W47" s="60" t="n"/>
      <c r="X47" s="60" t="n"/>
      <c r="Y47" s="60" t="n"/>
      <c r="Z47" s="61" t="n"/>
      <c r="AA47" s="63">
        <f>IF($H47="","",TODAY()-$H47)</f>
        <v/>
      </c>
      <c r="AB47" s="63">
        <f>IF($A47="","",IF(AND($F47="Yes",OR($U47="No",$U47="NOT FOUND")),"YES",""))</f>
        <v/>
      </c>
      <c r="AC47" s="66">
        <f>IF($A47="","",TRIM(IF(AND($P47=0,$L47&lt;&gt;"Yes"),"T0-NoSmartcard ","")&amp;IF(AND($J47&lt;&gt;"",$J47&gt;365),"StalePwd ","")&amp;IF($K47="Yes","PwdNeverExpires ","")&amp;IF(AND($S47&lt;&gt;"",$S47&lt;&gt;"None"),"Delegation ","")&amp;IF(AND($Q47=1,$O47="None"),"StaleAdminCount ","")&amp;IF(AND($F47="Yes",$H47=""),"NeverLoggedOn ","")))</f>
        <v/>
      </c>
      <c r="AD47" s="60" t="n"/>
      <c r="AE47" s="61" t="n"/>
      <c r="AF47" s="60" t="n"/>
      <c r="AG47" s="62" t="n"/>
      <c r="AH47" s="62" t="n"/>
      <c r="AI47" s="62" t="n"/>
      <c r="AJ47" s="60" t="n"/>
      <c r="AK47" s="61" t="n"/>
      <c r="AL47" s="63">
        <f>IF($A47="","",IF(AH47="","Not Enrolled",IF(TODAY()&gt;AH47,"Review Overdue",IF(AH47-TODAY()&lt;=30,"Review Due Soon","Active"))))</f>
        <v/>
      </c>
      <c r="AM47" s="63">
        <f>IF($A47="","",IF(AI47="","NOT REVIEWED",IF(TODAY()-AI47&gt;90,"OVERDUE",IF(TODAY()-AI47&gt;76,"Due Soon","Current"))))</f>
        <v/>
      </c>
    </row>
    <row r="48" ht="15" customHeight="1" s="39">
      <c r="A48" s="60" t="n"/>
      <c r="B48" s="60" t="n"/>
      <c r="C48" s="61" t="n"/>
      <c r="D48" s="61" t="n"/>
      <c r="E48" s="60" t="n"/>
      <c r="F48" s="60" t="n"/>
      <c r="G48" s="62" t="n"/>
      <c r="H48" s="62" t="n"/>
      <c r="I48" s="62" t="n"/>
      <c r="J48" s="60" t="n"/>
      <c r="K48" s="60" t="n"/>
      <c r="L48" s="60" t="n"/>
      <c r="M48" s="61" t="n"/>
      <c r="N48" s="60" t="n"/>
      <c r="O48" s="60" t="n"/>
      <c r="P48" s="60" t="n"/>
      <c r="Q48" s="60" t="n"/>
      <c r="R48" s="60" t="n"/>
      <c r="S48" s="60" t="n"/>
      <c r="T48" s="60" t="n"/>
      <c r="U48" s="60" t="n"/>
      <c r="V48" s="60" t="n"/>
      <c r="W48" s="60" t="n"/>
      <c r="X48" s="60" t="n"/>
      <c r="Y48" s="60" t="n"/>
      <c r="Z48" s="61" t="n"/>
      <c r="AA48" s="63">
        <f>IF($H48="","",TODAY()-$H48)</f>
        <v/>
      </c>
      <c r="AB48" s="63">
        <f>IF($A48="","",IF(AND($F48="Yes",OR($U48="No",$U48="NOT FOUND")),"YES",""))</f>
        <v/>
      </c>
      <c r="AC48" s="66">
        <f>IF($A48="","",TRIM(IF(AND($P48=0,$L48&lt;&gt;"Yes"),"T0-NoSmartcard ","")&amp;IF(AND($J48&lt;&gt;"",$J48&gt;365),"StalePwd ","")&amp;IF($K48="Yes","PwdNeverExpires ","")&amp;IF(AND($S48&lt;&gt;"",$S48&lt;&gt;"None"),"Delegation ","")&amp;IF(AND($Q48=1,$O48="None"),"StaleAdminCount ","")&amp;IF(AND($F48="Yes",$H48=""),"NeverLoggedOn ","")))</f>
        <v/>
      </c>
      <c r="AD48" s="60" t="n"/>
      <c r="AE48" s="61" t="n"/>
      <c r="AF48" s="60" t="n"/>
      <c r="AG48" s="62" t="n"/>
      <c r="AH48" s="62" t="n"/>
      <c r="AI48" s="62" t="n"/>
      <c r="AJ48" s="60" t="n"/>
      <c r="AK48" s="61" t="n"/>
      <c r="AL48" s="63">
        <f>IF($A48="","",IF(AH48="","Not Enrolled",IF(TODAY()&gt;AH48,"Review Overdue",IF(AH48-TODAY()&lt;=30,"Review Due Soon","Active"))))</f>
        <v/>
      </c>
      <c r="AM48" s="63">
        <f>IF($A48="","",IF(AI48="","NOT REVIEWED",IF(TODAY()-AI48&gt;90,"OVERDUE",IF(TODAY()-AI48&gt;76,"Due Soon","Current"))))</f>
        <v/>
      </c>
    </row>
    <row r="49" ht="15" customHeight="1" s="39">
      <c r="A49" s="60" t="n"/>
      <c r="B49" s="60" t="n"/>
      <c r="C49" s="61" t="n"/>
      <c r="D49" s="61" t="n"/>
      <c r="E49" s="60" t="n"/>
      <c r="F49" s="60" t="n"/>
      <c r="G49" s="62" t="n"/>
      <c r="H49" s="62" t="n"/>
      <c r="I49" s="62" t="n"/>
      <c r="J49" s="60" t="n"/>
      <c r="K49" s="60" t="n"/>
      <c r="L49" s="60" t="n"/>
      <c r="M49" s="61" t="n"/>
      <c r="N49" s="60" t="n"/>
      <c r="O49" s="60" t="n"/>
      <c r="P49" s="60" t="n"/>
      <c r="Q49" s="60" t="n"/>
      <c r="R49" s="60" t="n"/>
      <c r="S49" s="60" t="n"/>
      <c r="T49" s="60" t="n"/>
      <c r="U49" s="60" t="n"/>
      <c r="V49" s="60" t="n"/>
      <c r="W49" s="60" t="n"/>
      <c r="X49" s="60" t="n"/>
      <c r="Y49" s="60" t="n"/>
      <c r="Z49" s="61" t="n"/>
      <c r="AA49" s="63">
        <f>IF($H49="","",TODAY()-$H49)</f>
        <v/>
      </c>
      <c r="AB49" s="63">
        <f>IF($A49="","",IF(AND($F49="Yes",OR($U49="No",$U49="NOT FOUND")),"YES",""))</f>
        <v/>
      </c>
      <c r="AC49" s="66">
        <f>IF($A49="","",TRIM(IF(AND($P49=0,$L49&lt;&gt;"Yes"),"T0-NoSmartcard ","")&amp;IF(AND($J49&lt;&gt;"",$J49&gt;365),"StalePwd ","")&amp;IF($K49="Yes","PwdNeverExpires ","")&amp;IF(AND($S49&lt;&gt;"",$S49&lt;&gt;"None"),"Delegation ","")&amp;IF(AND($Q49=1,$O49="None"),"StaleAdminCount ","")&amp;IF(AND($F49="Yes",$H49=""),"NeverLoggedOn ","")))</f>
        <v/>
      </c>
      <c r="AD49" s="60" t="n"/>
      <c r="AE49" s="61" t="n"/>
      <c r="AF49" s="60" t="n"/>
      <c r="AG49" s="62" t="n"/>
      <c r="AH49" s="62" t="n"/>
      <c r="AI49" s="62" t="n"/>
      <c r="AJ49" s="60" t="n"/>
      <c r="AK49" s="61" t="n"/>
      <c r="AL49" s="63">
        <f>IF($A49="","",IF(AH49="","Not Enrolled",IF(TODAY()&gt;AH49,"Review Overdue",IF(AH49-TODAY()&lt;=30,"Review Due Soon","Active"))))</f>
        <v/>
      </c>
      <c r="AM49" s="63">
        <f>IF($A49="","",IF(AI49="","NOT REVIEWED",IF(TODAY()-AI49&gt;90,"OVERDUE",IF(TODAY()-AI49&gt;76,"Due Soon","Current"))))</f>
        <v/>
      </c>
    </row>
    <row r="50" ht="15" customHeight="1" s="39">
      <c r="A50" s="60" t="n"/>
      <c r="B50" s="60" t="n"/>
      <c r="C50" s="61" t="n"/>
      <c r="D50" s="61" t="n"/>
      <c r="E50" s="60" t="n"/>
      <c r="F50" s="60" t="n"/>
      <c r="G50" s="62" t="n"/>
      <c r="H50" s="62" t="n"/>
      <c r="I50" s="62" t="n"/>
      <c r="J50" s="60" t="n"/>
      <c r="K50" s="60" t="n"/>
      <c r="L50" s="60" t="n"/>
      <c r="M50" s="61" t="n"/>
      <c r="N50" s="60" t="n"/>
      <c r="O50" s="60" t="n"/>
      <c r="P50" s="60" t="n"/>
      <c r="Q50" s="60" t="n"/>
      <c r="R50" s="60" t="n"/>
      <c r="S50" s="60" t="n"/>
      <c r="T50" s="60" t="n"/>
      <c r="U50" s="60" t="n"/>
      <c r="V50" s="60" t="n"/>
      <c r="W50" s="60" t="n"/>
      <c r="X50" s="60" t="n"/>
      <c r="Y50" s="60" t="n"/>
      <c r="Z50" s="61" t="n"/>
      <c r="AA50" s="63">
        <f>IF($H50="","",TODAY()-$H50)</f>
        <v/>
      </c>
      <c r="AB50" s="63">
        <f>IF($A50="","",IF(AND($F50="Yes",OR($U50="No",$U50="NOT FOUND")),"YES",""))</f>
        <v/>
      </c>
      <c r="AC50" s="66">
        <f>IF($A50="","",TRIM(IF(AND($P50=0,$L50&lt;&gt;"Yes"),"T0-NoSmartcard ","")&amp;IF(AND($J50&lt;&gt;"",$J50&gt;365),"StalePwd ","")&amp;IF($K50="Yes","PwdNeverExpires ","")&amp;IF(AND($S50&lt;&gt;"",$S50&lt;&gt;"None"),"Delegation ","")&amp;IF(AND($Q50=1,$O50="None"),"StaleAdminCount ","")&amp;IF(AND($F50="Yes",$H50=""),"NeverLoggedOn ","")))</f>
        <v/>
      </c>
      <c r="AD50" s="60" t="n"/>
      <c r="AE50" s="61" t="n"/>
      <c r="AF50" s="60" t="n"/>
      <c r="AG50" s="62" t="n"/>
      <c r="AH50" s="62" t="n"/>
      <c r="AI50" s="62" t="n"/>
      <c r="AJ50" s="60" t="n"/>
      <c r="AK50" s="61" t="n"/>
      <c r="AL50" s="63">
        <f>IF($A50="","",IF(AH50="","Not Enrolled",IF(TODAY()&gt;AH50,"Review Overdue",IF(AH50-TODAY()&lt;=30,"Review Due Soon","Active"))))</f>
        <v/>
      </c>
      <c r="AM50" s="63">
        <f>IF($A50="","",IF(AI50="","NOT REVIEWED",IF(TODAY()-AI50&gt;90,"OVERDUE",IF(TODAY()-AI50&gt;76,"Due Soon","Current"))))</f>
        <v/>
      </c>
    </row>
    <row r="51" ht="15" customHeight="1" s="39">
      <c r="A51" s="60" t="n"/>
      <c r="B51" s="60" t="n"/>
      <c r="C51" s="61" t="n"/>
      <c r="D51" s="61" t="n"/>
      <c r="E51" s="60" t="n"/>
      <c r="F51" s="60" t="n"/>
      <c r="G51" s="62" t="n"/>
      <c r="H51" s="62" t="n"/>
      <c r="I51" s="62" t="n"/>
      <c r="J51" s="60" t="n"/>
      <c r="K51" s="60" t="n"/>
      <c r="L51" s="60" t="n"/>
      <c r="M51" s="61" t="n"/>
      <c r="N51" s="60" t="n"/>
      <c r="O51" s="60" t="n"/>
      <c r="P51" s="60" t="n"/>
      <c r="Q51" s="60" t="n"/>
      <c r="R51" s="60" t="n"/>
      <c r="S51" s="60" t="n"/>
      <c r="T51" s="60" t="n"/>
      <c r="U51" s="60" t="n"/>
      <c r="V51" s="60" t="n"/>
      <c r="W51" s="60" t="n"/>
      <c r="X51" s="60" t="n"/>
      <c r="Y51" s="60" t="n"/>
      <c r="Z51" s="61" t="n"/>
      <c r="AA51" s="63">
        <f>IF($H51="","",TODAY()-$H51)</f>
        <v/>
      </c>
      <c r="AB51" s="63">
        <f>IF($A51="","",IF(AND($F51="Yes",OR($U51="No",$U51="NOT FOUND")),"YES",""))</f>
        <v/>
      </c>
      <c r="AC51" s="66">
        <f>IF($A51="","",TRIM(IF(AND($P51=0,$L51&lt;&gt;"Yes"),"T0-NoSmartcard ","")&amp;IF(AND($J51&lt;&gt;"",$J51&gt;365),"StalePwd ","")&amp;IF($K51="Yes","PwdNeverExpires ","")&amp;IF(AND($S51&lt;&gt;"",$S51&lt;&gt;"None"),"Delegation ","")&amp;IF(AND($Q51=1,$O51="None"),"StaleAdminCount ","")&amp;IF(AND($F51="Yes",$H51=""),"NeverLoggedOn ","")))</f>
        <v/>
      </c>
      <c r="AD51" s="60" t="n"/>
      <c r="AE51" s="61" t="n"/>
      <c r="AF51" s="60" t="n"/>
      <c r="AG51" s="62" t="n"/>
      <c r="AH51" s="62" t="n"/>
      <c r="AI51" s="62" t="n"/>
      <c r="AJ51" s="60" t="n"/>
      <c r="AK51" s="61" t="n"/>
      <c r="AL51" s="63">
        <f>IF($A51="","",IF(AH51="","Not Enrolled",IF(TODAY()&gt;AH51,"Review Overdue",IF(AH51-TODAY()&lt;=30,"Review Due Soon","Active"))))</f>
        <v/>
      </c>
      <c r="AM51" s="63">
        <f>IF($A51="","",IF(AI51="","NOT REVIEWED",IF(TODAY()-AI51&gt;90,"OVERDUE",IF(TODAY()-AI51&gt;76,"Due Soon","Current"))))</f>
        <v/>
      </c>
    </row>
    <row r="52" ht="15" customHeight="1" s="39">
      <c r="A52" s="60" t="n"/>
      <c r="B52" s="60" t="n"/>
      <c r="C52" s="61" t="n"/>
      <c r="D52" s="61" t="n"/>
      <c r="E52" s="60" t="n"/>
      <c r="F52" s="60" t="n"/>
      <c r="G52" s="62" t="n"/>
      <c r="H52" s="62" t="n"/>
      <c r="I52" s="62" t="n"/>
      <c r="J52" s="60" t="n"/>
      <c r="K52" s="60" t="n"/>
      <c r="L52" s="60" t="n"/>
      <c r="M52" s="61" t="n"/>
      <c r="N52" s="60" t="n"/>
      <c r="O52" s="60" t="n"/>
      <c r="P52" s="60" t="n"/>
      <c r="Q52" s="60" t="n"/>
      <c r="R52" s="60" t="n"/>
      <c r="S52" s="60" t="n"/>
      <c r="T52" s="60" t="n"/>
      <c r="U52" s="60" t="n"/>
      <c r="V52" s="60" t="n"/>
      <c r="W52" s="60" t="n"/>
      <c r="X52" s="60" t="n"/>
      <c r="Y52" s="60" t="n"/>
      <c r="Z52" s="61" t="n"/>
      <c r="AA52" s="63">
        <f>IF($H52="","",TODAY()-$H52)</f>
        <v/>
      </c>
      <c r="AB52" s="63">
        <f>IF($A52="","",IF(AND($F52="Yes",OR($U52="No",$U52="NOT FOUND")),"YES",""))</f>
        <v/>
      </c>
      <c r="AC52" s="66">
        <f>IF($A52="","",TRIM(IF(AND($P52=0,$L52&lt;&gt;"Yes"),"T0-NoSmartcard ","")&amp;IF(AND($J52&lt;&gt;"",$J52&gt;365),"StalePwd ","")&amp;IF($K52="Yes","PwdNeverExpires ","")&amp;IF(AND($S52&lt;&gt;"",$S52&lt;&gt;"None"),"Delegation ","")&amp;IF(AND($Q52=1,$O52="None"),"StaleAdminCount ","")&amp;IF(AND($F52="Yes",$H52=""),"NeverLoggedOn ","")))</f>
        <v/>
      </c>
      <c r="AD52" s="60" t="n"/>
      <c r="AE52" s="61" t="n"/>
      <c r="AF52" s="60" t="n"/>
      <c r="AG52" s="62" t="n"/>
      <c r="AH52" s="62" t="n"/>
      <c r="AI52" s="62" t="n"/>
      <c r="AJ52" s="60" t="n"/>
      <c r="AK52" s="61" t="n"/>
      <c r="AL52" s="63">
        <f>IF($A52="","",IF(AH52="","Not Enrolled",IF(TODAY()&gt;AH52,"Review Overdue",IF(AH52-TODAY()&lt;=30,"Review Due Soon","Active"))))</f>
        <v/>
      </c>
      <c r="AM52" s="63">
        <f>IF($A52="","",IF(AI52="","NOT REVIEWED",IF(TODAY()-AI52&gt;90,"OVERDUE",IF(TODAY()-AI52&gt;76,"Due Soon","Current"))))</f>
        <v/>
      </c>
    </row>
    <row r="53" ht="15" customHeight="1" s="39">
      <c r="A53" s="60" t="n"/>
      <c r="B53" s="60" t="n"/>
      <c r="C53" s="61" t="n"/>
      <c r="D53" s="61" t="n"/>
      <c r="E53" s="60" t="n"/>
      <c r="F53" s="60" t="n"/>
      <c r="G53" s="62" t="n"/>
      <c r="H53" s="62" t="n"/>
      <c r="I53" s="62" t="n"/>
      <c r="J53" s="60" t="n"/>
      <c r="K53" s="60" t="n"/>
      <c r="L53" s="60" t="n"/>
      <c r="M53" s="61" t="n"/>
      <c r="N53" s="60" t="n"/>
      <c r="O53" s="60" t="n"/>
      <c r="P53" s="60" t="n"/>
      <c r="Q53" s="60" t="n"/>
      <c r="R53" s="60" t="n"/>
      <c r="S53" s="60" t="n"/>
      <c r="T53" s="60" t="n"/>
      <c r="U53" s="60" t="n"/>
      <c r="V53" s="60" t="n"/>
      <c r="W53" s="60" t="n"/>
      <c r="X53" s="60" t="n"/>
      <c r="Y53" s="60" t="n"/>
      <c r="Z53" s="61" t="n"/>
      <c r="AA53" s="63">
        <f>IF($H53="","",TODAY()-$H53)</f>
        <v/>
      </c>
      <c r="AB53" s="63">
        <f>IF($A53="","",IF(AND($F53="Yes",OR($U53="No",$U53="NOT FOUND")),"YES",""))</f>
        <v/>
      </c>
      <c r="AC53" s="66">
        <f>IF($A53="","",TRIM(IF(AND($P53=0,$L53&lt;&gt;"Yes"),"T0-NoSmartcard ","")&amp;IF(AND($J53&lt;&gt;"",$J53&gt;365),"StalePwd ","")&amp;IF($K53="Yes","PwdNeverExpires ","")&amp;IF(AND($S53&lt;&gt;"",$S53&lt;&gt;"None"),"Delegation ","")&amp;IF(AND($Q53=1,$O53="None"),"StaleAdminCount ","")&amp;IF(AND($F53="Yes",$H53=""),"NeverLoggedOn ","")))</f>
        <v/>
      </c>
      <c r="AD53" s="60" t="n"/>
      <c r="AE53" s="61" t="n"/>
      <c r="AF53" s="60" t="n"/>
      <c r="AG53" s="62" t="n"/>
      <c r="AH53" s="62" t="n"/>
      <c r="AI53" s="62" t="n"/>
      <c r="AJ53" s="60" t="n"/>
      <c r="AK53" s="61" t="n"/>
      <c r="AL53" s="63">
        <f>IF($A53="","",IF(AH53="","Not Enrolled",IF(TODAY()&gt;AH53,"Review Overdue",IF(AH53-TODAY()&lt;=30,"Review Due Soon","Active"))))</f>
        <v/>
      </c>
      <c r="AM53" s="63">
        <f>IF($A53="","",IF(AI53="","NOT REVIEWED",IF(TODAY()-AI53&gt;90,"OVERDUE",IF(TODAY()-AI53&gt;76,"Due Soon","Current"))))</f>
        <v/>
      </c>
    </row>
    <row r="54" ht="15" customHeight="1" s="39">
      <c r="A54" s="60" t="n"/>
      <c r="B54" s="60" t="n"/>
      <c r="C54" s="61" t="n"/>
      <c r="D54" s="61" t="n"/>
      <c r="E54" s="60" t="n"/>
      <c r="F54" s="60" t="n"/>
      <c r="G54" s="62" t="n"/>
      <c r="H54" s="62" t="n"/>
      <c r="I54" s="62" t="n"/>
      <c r="J54" s="60" t="n"/>
      <c r="K54" s="60" t="n"/>
      <c r="L54" s="60" t="n"/>
      <c r="M54" s="61" t="n"/>
      <c r="N54" s="60" t="n"/>
      <c r="O54" s="60" t="n"/>
      <c r="P54" s="60" t="n"/>
      <c r="Q54" s="60" t="n"/>
      <c r="R54" s="60" t="n"/>
      <c r="S54" s="60" t="n"/>
      <c r="T54" s="60" t="n"/>
      <c r="U54" s="60" t="n"/>
      <c r="V54" s="60" t="n"/>
      <c r="W54" s="60" t="n"/>
      <c r="X54" s="60" t="n"/>
      <c r="Y54" s="60" t="n"/>
      <c r="Z54" s="61" t="n"/>
      <c r="AA54" s="63">
        <f>IF($H54="","",TODAY()-$H54)</f>
        <v/>
      </c>
      <c r="AB54" s="63">
        <f>IF($A54="","",IF(AND($F54="Yes",OR($U54="No",$U54="NOT FOUND")),"YES",""))</f>
        <v/>
      </c>
      <c r="AC54" s="66">
        <f>IF($A54="","",TRIM(IF(AND($P54=0,$L54&lt;&gt;"Yes"),"T0-NoSmartcard ","")&amp;IF(AND($J54&lt;&gt;"",$J54&gt;365),"StalePwd ","")&amp;IF($K54="Yes","PwdNeverExpires ","")&amp;IF(AND($S54&lt;&gt;"",$S54&lt;&gt;"None"),"Delegation ","")&amp;IF(AND($Q54=1,$O54="None"),"StaleAdminCount ","")&amp;IF(AND($F54="Yes",$H54=""),"NeverLoggedOn ","")))</f>
        <v/>
      </c>
      <c r="AD54" s="60" t="n"/>
      <c r="AE54" s="61" t="n"/>
      <c r="AF54" s="60" t="n"/>
      <c r="AG54" s="62" t="n"/>
      <c r="AH54" s="62" t="n"/>
      <c r="AI54" s="62" t="n"/>
      <c r="AJ54" s="60" t="n"/>
      <c r="AK54" s="61" t="n"/>
      <c r="AL54" s="63">
        <f>IF($A54="","",IF(AH54="","Not Enrolled",IF(TODAY()&gt;AH54,"Review Overdue",IF(AH54-TODAY()&lt;=30,"Review Due Soon","Active"))))</f>
        <v/>
      </c>
      <c r="AM54" s="63">
        <f>IF($A54="","",IF(AI54="","NOT REVIEWED",IF(TODAY()-AI54&gt;90,"OVERDUE",IF(TODAY()-AI54&gt;76,"Due Soon","Current"))))</f>
        <v/>
      </c>
    </row>
    <row r="55" ht="15" customHeight="1" s="39">
      <c r="A55" s="60" t="n"/>
      <c r="B55" s="60" t="n"/>
      <c r="C55" s="61" t="n"/>
      <c r="D55" s="61" t="n"/>
      <c r="E55" s="60" t="n"/>
      <c r="F55" s="60" t="n"/>
      <c r="G55" s="62" t="n"/>
      <c r="H55" s="62" t="n"/>
      <c r="I55" s="62" t="n"/>
      <c r="J55" s="60" t="n"/>
      <c r="K55" s="60" t="n"/>
      <c r="L55" s="60" t="n"/>
      <c r="M55" s="61" t="n"/>
      <c r="N55" s="60" t="n"/>
      <c r="O55" s="60" t="n"/>
      <c r="P55" s="60" t="n"/>
      <c r="Q55" s="60" t="n"/>
      <c r="R55" s="60" t="n"/>
      <c r="S55" s="60" t="n"/>
      <c r="T55" s="60" t="n"/>
      <c r="U55" s="60" t="n"/>
      <c r="V55" s="60" t="n"/>
      <c r="W55" s="60" t="n"/>
      <c r="X55" s="60" t="n"/>
      <c r="Y55" s="60" t="n"/>
      <c r="Z55" s="61" t="n"/>
      <c r="AA55" s="63">
        <f>IF($H55="","",TODAY()-$H55)</f>
        <v/>
      </c>
      <c r="AB55" s="63">
        <f>IF($A55="","",IF(AND($F55="Yes",OR($U55="No",$U55="NOT FOUND")),"YES",""))</f>
        <v/>
      </c>
      <c r="AC55" s="66">
        <f>IF($A55="","",TRIM(IF(AND($P55=0,$L55&lt;&gt;"Yes"),"T0-NoSmartcard ","")&amp;IF(AND($J55&lt;&gt;"",$J55&gt;365),"StalePwd ","")&amp;IF($K55="Yes","PwdNeverExpires ","")&amp;IF(AND($S55&lt;&gt;"",$S55&lt;&gt;"None"),"Delegation ","")&amp;IF(AND($Q55=1,$O55="None"),"StaleAdminCount ","")&amp;IF(AND($F55="Yes",$H55=""),"NeverLoggedOn ","")))</f>
        <v/>
      </c>
      <c r="AD55" s="60" t="n"/>
      <c r="AE55" s="61" t="n"/>
      <c r="AF55" s="60" t="n"/>
      <c r="AG55" s="62" t="n"/>
      <c r="AH55" s="62" t="n"/>
      <c r="AI55" s="62" t="n"/>
      <c r="AJ55" s="60" t="n"/>
      <c r="AK55" s="61" t="n"/>
      <c r="AL55" s="63">
        <f>IF($A55="","",IF(AH55="","Not Enrolled",IF(TODAY()&gt;AH55,"Review Overdue",IF(AH55-TODAY()&lt;=30,"Review Due Soon","Active"))))</f>
        <v/>
      </c>
      <c r="AM55" s="63">
        <f>IF($A55="","",IF(AI55="","NOT REVIEWED",IF(TODAY()-AI55&gt;90,"OVERDUE",IF(TODAY()-AI55&gt;76,"Due Soon","Current"))))</f>
        <v/>
      </c>
    </row>
    <row r="56" ht="15" customHeight="1" s="39">
      <c r="A56" s="60" t="n"/>
      <c r="B56" s="60" t="n"/>
      <c r="C56" s="61" t="n"/>
      <c r="D56" s="61" t="n"/>
      <c r="E56" s="60" t="n"/>
      <c r="F56" s="60" t="n"/>
      <c r="G56" s="62" t="n"/>
      <c r="H56" s="62" t="n"/>
      <c r="I56" s="62" t="n"/>
      <c r="J56" s="60" t="n"/>
      <c r="K56" s="60" t="n"/>
      <c r="L56" s="60" t="n"/>
      <c r="M56" s="61" t="n"/>
      <c r="N56" s="60" t="n"/>
      <c r="O56" s="60" t="n"/>
      <c r="P56" s="60" t="n"/>
      <c r="Q56" s="60" t="n"/>
      <c r="R56" s="60" t="n"/>
      <c r="S56" s="60" t="n"/>
      <c r="T56" s="60" t="n"/>
      <c r="U56" s="60" t="n"/>
      <c r="V56" s="60" t="n"/>
      <c r="W56" s="60" t="n"/>
      <c r="X56" s="60" t="n"/>
      <c r="Y56" s="60" t="n"/>
      <c r="Z56" s="61" t="n"/>
      <c r="AA56" s="63">
        <f>IF($H56="","",TODAY()-$H56)</f>
        <v/>
      </c>
      <c r="AB56" s="63">
        <f>IF($A56="","",IF(AND($F56="Yes",OR($U56="No",$U56="NOT FOUND")),"YES",""))</f>
        <v/>
      </c>
      <c r="AC56" s="66">
        <f>IF($A56="","",TRIM(IF(AND($P56=0,$L56&lt;&gt;"Yes"),"T0-NoSmartcard ","")&amp;IF(AND($J56&lt;&gt;"",$J56&gt;365),"StalePwd ","")&amp;IF($K56="Yes","PwdNeverExpires ","")&amp;IF(AND($S56&lt;&gt;"",$S56&lt;&gt;"None"),"Delegation ","")&amp;IF(AND($Q56=1,$O56="None"),"StaleAdminCount ","")&amp;IF(AND($F56="Yes",$H56=""),"NeverLoggedOn ","")))</f>
        <v/>
      </c>
      <c r="AD56" s="60" t="n"/>
      <c r="AE56" s="61" t="n"/>
      <c r="AF56" s="60" t="n"/>
      <c r="AG56" s="62" t="n"/>
      <c r="AH56" s="62" t="n"/>
      <c r="AI56" s="62" t="n"/>
      <c r="AJ56" s="60" t="n"/>
      <c r="AK56" s="61" t="n"/>
      <c r="AL56" s="63">
        <f>IF($A56="","",IF(AH56="","Not Enrolled",IF(TODAY()&gt;AH56,"Review Overdue",IF(AH56-TODAY()&lt;=30,"Review Due Soon","Active"))))</f>
        <v/>
      </c>
      <c r="AM56" s="63">
        <f>IF($A56="","",IF(AI56="","NOT REVIEWED",IF(TODAY()-AI56&gt;90,"OVERDUE",IF(TODAY()-AI56&gt;76,"Due Soon","Current"))))</f>
        <v/>
      </c>
    </row>
    <row r="57" ht="15" customHeight="1" s="39">
      <c r="A57" s="60" t="n"/>
      <c r="B57" s="60" t="n"/>
      <c r="C57" s="61" t="n"/>
      <c r="D57" s="61" t="n"/>
      <c r="E57" s="60" t="n"/>
      <c r="F57" s="60" t="n"/>
      <c r="G57" s="62" t="n"/>
      <c r="H57" s="62" t="n"/>
      <c r="I57" s="62" t="n"/>
      <c r="J57" s="60" t="n"/>
      <c r="K57" s="60" t="n"/>
      <c r="L57" s="60" t="n"/>
      <c r="M57" s="61" t="n"/>
      <c r="N57" s="60" t="n"/>
      <c r="O57" s="60" t="n"/>
      <c r="P57" s="60" t="n"/>
      <c r="Q57" s="60" t="n"/>
      <c r="R57" s="60" t="n"/>
      <c r="S57" s="60" t="n"/>
      <c r="T57" s="60" t="n"/>
      <c r="U57" s="60" t="n"/>
      <c r="V57" s="60" t="n"/>
      <c r="W57" s="60" t="n"/>
      <c r="X57" s="60" t="n"/>
      <c r="Y57" s="60" t="n"/>
      <c r="Z57" s="61" t="n"/>
      <c r="AA57" s="63">
        <f>IF($H57="","",TODAY()-$H57)</f>
        <v/>
      </c>
      <c r="AB57" s="63">
        <f>IF($A57="","",IF(AND($F57="Yes",OR($U57="No",$U57="NOT FOUND")),"YES",""))</f>
        <v/>
      </c>
      <c r="AC57" s="66">
        <f>IF($A57="","",TRIM(IF(AND($P57=0,$L57&lt;&gt;"Yes"),"T0-NoSmartcard ","")&amp;IF(AND($J57&lt;&gt;"",$J57&gt;365),"StalePwd ","")&amp;IF($K57="Yes","PwdNeverExpires ","")&amp;IF(AND($S57&lt;&gt;"",$S57&lt;&gt;"None"),"Delegation ","")&amp;IF(AND($Q57=1,$O57="None"),"StaleAdminCount ","")&amp;IF(AND($F57="Yes",$H57=""),"NeverLoggedOn ","")))</f>
        <v/>
      </c>
      <c r="AD57" s="60" t="n"/>
      <c r="AE57" s="61" t="n"/>
      <c r="AF57" s="60" t="n"/>
      <c r="AG57" s="62" t="n"/>
      <c r="AH57" s="62" t="n"/>
      <c r="AI57" s="62" t="n"/>
      <c r="AJ57" s="60" t="n"/>
      <c r="AK57" s="61" t="n"/>
      <c r="AL57" s="63">
        <f>IF($A57="","",IF(AH57="","Not Enrolled",IF(TODAY()&gt;AH57,"Review Overdue",IF(AH57-TODAY()&lt;=30,"Review Due Soon","Active"))))</f>
        <v/>
      </c>
      <c r="AM57" s="63">
        <f>IF($A57="","",IF(AI57="","NOT REVIEWED",IF(TODAY()-AI57&gt;90,"OVERDUE",IF(TODAY()-AI57&gt;76,"Due Soon","Current"))))</f>
        <v/>
      </c>
    </row>
    <row r="58" ht="15" customHeight="1" s="39">
      <c r="A58" s="60" t="n"/>
      <c r="B58" s="60" t="n"/>
      <c r="C58" s="61" t="n"/>
      <c r="D58" s="61" t="n"/>
      <c r="E58" s="60" t="n"/>
      <c r="F58" s="60" t="n"/>
      <c r="G58" s="62" t="n"/>
      <c r="H58" s="62" t="n"/>
      <c r="I58" s="62" t="n"/>
      <c r="J58" s="60" t="n"/>
      <c r="K58" s="60" t="n"/>
      <c r="L58" s="60" t="n"/>
      <c r="M58" s="61" t="n"/>
      <c r="N58" s="60" t="n"/>
      <c r="O58" s="60" t="n"/>
      <c r="P58" s="60" t="n"/>
      <c r="Q58" s="60" t="n"/>
      <c r="R58" s="60" t="n"/>
      <c r="S58" s="60" t="n"/>
      <c r="T58" s="60" t="n"/>
      <c r="U58" s="60" t="n"/>
      <c r="V58" s="60" t="n"/>
      <c r="W58" s="60" t="n"/>
      <c r="X58" s="60" t="n"/>
      <c r="Y58" s="60" t="n"/>
      <c r="Z58" s="61" t="n"/>
      <c r="AA58" s="63">
        <f>IF($H58="","",TODAY()-$H58)</f>
        <v/>
      </c>
      <c r="AB58" s="63">
        <f>IF($A58="","",IF(AND($F58="Yes",OR($U58="No",$U58="NOT FOUND")),"YES",""))</f>
        <v/>
      </c>
      <c r="AC58" s="66">
        <f>IF($A58="","",TRIM(IF(AND($P58=0,$L58&lt;&gt;"Yes"),"T0-NoSmartcard ","")&amp;IF(AND($J58&lt;&gt;"",$J58&gt;365),"StalePwd ","")&amp;IF($K58="Yes","PwdNeverExpires ","")&amp;IF(AND($S58&lt;&gt;"",$S58&lt;&gt;"None"),"Delegation ","")&amp;IF(AND($Q58=1,$O58="None"),"StaleAdminCount ","")&amp;IF(AND($F58="Yes",$H58=""),"NeverLoggedOn ","")))</f>
        <v/>
      </c>
      <c r="AD58" s="60" t="n"/>
      <c r="AE58" s="61" t="n"/>
      <c r="AF58" s="60" t="n"/>
      <c r="AG58" s="62" t="n"/>
      <c r="AH58" s="62" t="n"/>
      <c r="AI58" s="62" t="n"/>
      <c r="AJ58" s="60" t="n"/>
      <c r="AK58" s="61" t="n"/>
      <c r="AL58" s="63">
        <f>IF($A58="","",IF(AH58="","Not Enrolled",IF(TODAY()&gt;AH58,"Review Overdue",IF(AH58-TODAY()&lt;=30,"Review Due Soon","Active"))))</f>
        <v/>
      </c>
      <c r="AM58" s="63">
        <f>IF($A58="","",IF(AI58="","NOT REVIEWED",IF(TODAY()-AI58&gt;90,"OVERDUE",IF(TODAY()-AI58&gt;76,"Due Soon","Current"))))</f>
        <v/>
      </c>
    </row>
    <row r="59" ht="15" customHeight="1" s="39">
      <c r="A59" s="60" t="n"/>
      <c r="B59" s="60" t="n"/>
      <c r="C59" s="61" t="n"/>
      <c r="D59" s="61" t="n"/>
      <c r="E59" s="60" t="n"/>
      <c r="F59" s="60" t="n"/>
      <c r="G59" s="62" t="n"/>
      <c r="H59" s="62" t="n"/>
      <c r="I59" s="62" t="n"/>
      <c r="J59" s="60" t="n"/>
      <c r="K59" s="60" t="n"/>
      <c r="L59" s="60" t="n"/>
      <c r="M59" s="61" t="n"/>
      <c r="N59" s="60" t="n"/>
      <c r="O59" s="60" t="n"/>
      <c r="P59" s="60" t="n"/>
      <c r="Q59" s="60" t="n"/>
      <c r="R59" s="60" t="n"/>
      <c r="S59" s="60" t="n"/>
      <c r="T59" s="60" t="n"/>
      <c r="U59" s="60" t="n"/>
      <c r="V59" s="60" t="n"/>
      <c r="W59" s="60" t="n"/>
      <c r="X59" s="60" t="n"/>
      <c r="Y59" s="60" t="n"/>
      <c r="Z59" s="61" t="n"/>
      <c r="AA59" s="63">
        <f>IF($H59="","",TODAY()-$H59)</f>
        <v/>
      </c>
      <c r="AB59" s="63">
        <f>IF($A59="","",IF(AND($F59="Yes",OR($U59="No",$U59="NOT FOUND")),"YES",""))</f>
        <v/>
      </c>
      <c r="AC59" s="66">
        <f>IF($A59="","",TRIM(IF(AND($P59=0,$L59&lt;&gt;"Yes"),"T0-NoSmartcard ","")&amp;IF(AND($J59&lt;&gt;"",$J59&gt;365),"StalePwd ","")&amp;IF($K59="Yes","PwdNeverExpires ","")&amp;IF(AND($S59&lt;&gt;"",$S59&lt;&gt;"None"),"Delegation ","")&amp;IF(AND($Q59=1,$O59="None"),"StaleAdminCount ","")&amp;IF(AND($F59="Yes",$H59=""),"NeverLoggedOn ","")))</f>
        <v/>
      </c>
      <c r="AD59" s="60" t="n"/>
      <c r="AE59" s="61" t="n"/>
      <c r="AF59" s="60" t="n"/>
      <c r="AG59" s="62" t="n"/>
      <c r="AH59" s="62" t="n"/>
      <c r="AI59" s="62" t="n"/>
      <c r="AJ59" s="60" t="n"/>
      <c r="AK59" s="61" t="n"/>
      <c r="AL59" s="63">
        <f>IF($A59="","",IF(AH59="","Not Enrolled",IF(TODAY()&gt;AH59,"Review Overdue",IF(AH59-TODAY()&lt;=30,"Review Due Soon","Active"))))</f>
        <v/>
      </c>
      <c r="AM59" s="63">
        <f>IF($A59="","",IF(AI59="","NOT REVIEWED",IF(TODAY()-AI59&gt;90,"OVERDUE",IF(TODAY()-AI59&gt;76,"Due Soon","Current"))))</f>
        <v/>
      </c>
    </row>
    <row r="60" ht="15" customHeight="1" s="39">
      <c r="A60" s="60" t="n"/>
      <c r="B60" s="60" t="n"/>
      <c r="C60" s="61" t="n"/>
      <c r="D60" s="61" t="n"/>
      <c r="E60" s="60" t="n"/>
      <c r="F60" s="60" t="n"/>
      <c r="G60" s="62" t="n"/>
      <c r="H60" s="62" t="n"/>
      <c r="I60" s="62" t="n"/>
      <c r="J60" s="60" t="n"/>
      <c r="K60" s="60" t="n"/>
      <c r="L60" s="60" t="n"/>
      <c r="M60" s="61" t="n"/>
      <c r="N60" s="60" t="n"/>
      <c r="O60" s="60" t="n"/>
      <c r="P60" s="60" t="n"/>
      <c r="Q60" s="60" t="n"/>
      <c r="R60" s="60" t="n"/>
      <c r="S60" s="60" t="n"/>
      <c r="T60" s="60" t="n"/>
      <c r="U60" s="60" t="n"/>
      <c r="V60" s="60" t="n"/>
      <c r="W60" s="60" t="n"/>
      <c r="X60" s="60" t="n"/>
      <c r="Y60" s="60" t="n"/>
      <c r="Z60" s="61" t="n"/>
      <c r="AA60" s="63">
        <f>IF($H60="","",TODAY()-$H60)</f>
        <v/>
      </c>
      <c r="AB60" s="63">
        <f>IF($A60="","",IF(AND($F60="Yes",OR($U60="No",$U60="NOT FOUND")),"YES",""))</f>
        <v/>
      </c>
      <c r="AC60" s="66">
        <f>IF($A60="","",TRIM(IF(AND($P60=0,$L60&lt;&gt;"Yes"),"T0-NoSmartcard ","")&amp;IF(AND($J60&lt;&gt;"",$J60&gt;365),"StalePwd ","")&amp;IF($K60="Yes","PwdNeverExpires ","")&amp;IF(AND($S60&lt;&gt;"",$S60&lt;&gt;"None"),"Delegation ","")&amp;IF(AND($Q60=1,$O60="None"),"StaleAdminCount ","")&amp;IF(AND($F60="Yes",$H60=""),"NeverLoggedOn ","")))</f>
        <v/>
      </c>
      <c r="AD60" s="60" t="n"/>
      <c r="AE60" s="61" t="n"/>
      <c r="AF60" s="60" t="n"/>
      <c r="AG60" s="62" t="n"/>
      <c r="AH60" s="62" t="n"/>
      <c r="AI60" s="62" t="n"/>
      <c r="AJ60" s="60" t="n"/>
      <c r="AK60" s="61" t="n"/>
      <c r="AL60" s="63">
        <f>IF($A60="","",IF(AH60="","Not Enrolled",IF(TODAY()&gt;AH60,"Review Overdue",IF(AH60-TODAY()&lt;=30,"Review Due Soon","Active"))))</f>
        <v/>
      </c>
      <c r="AM60" s="63">
        <f>IF($A60="","",IF(AI60="","NOT REVIEWED",IF(TODAY()-AI60&gt;90,"OVERDUE",IF(TODAY()-AI60&gt;76,"Due Soon","Current"))))</f>
        <v/>
      </c>
    </row>
    <row r="61" ht="15" customHeight="1" s="39">
      <c r="A61" s="60" t="n"/>
      <c r="B61" s="60" t="n"/>
      <c r="C61" s="61" t="n"/>
      <c r="D61" s="61" t="n"/>
      <c r="E61" s="60" t="n"/>
      <c r="F61" s="60" t="n"/>
      <c r="G61" s="62" t="n"/>
      <c r="H61" s="62" t="n"/>
      <c r="I61" s="62" t="n"/>
      <c r="J61" s="60" t="n"/>
      <c r="K61" s="60" t="n"/>
      <c r="L61" s="60" t="n"/>
      <c r="M61" s="61" t="n"/>
      <c r="N61" s="60" t="n"/>
      <c r="O61" s="60" t="n"/>
      <c r="P61" s="60" t="n"/>
      <c r="Q61" s="60" t="n"/>
      <c r="R61" s="60" t="n"/>
      <c r="S61" s="60" t="n"/>
      <c r="T61" s="60" t="n"/>
      <c r="U61" s="60" t="n"/>
      <c r="V61" s="60" t="n"/>
      <c r="W61" s="60" t="n"/>
      <c r="X61" s="60" t="n"/>
      <c r="Y61" s="60" t="n"/>
      <c r="Z61" s="61" t="n"/>
      <c r="AA61" s="63">
        <f>IF($H61="","",TODAY()-$H61)</f>
        <v/>
      </c>
      <c r="AB61" s="63">
        <f>IF($A61="","",IF(AND($F61="Yes",OR($U61="No",$U61="NOT FOUND")),"YES",""))</f>
        <v/>
      </c>
      <c r="AC61" s="66">
        <f>IF($A61="","",TRIM(IF(AND($P61=0,$L61&lt;&gt;"Yes"),"T0-NoSmartcard ","")&amp;IF(AND($J61&lt;&gt;"",$J61&gt;365),"StalePwd ","")&amp;IF($K61="Yes","PwdNeverExpires ","")&amp;IF(AND($S61&lt;&gt;"",$S61&lt;&gt;"None"),"Delegation ","")&amp;IF(AND($Q61=1,$O61="None"),"StaleAdminCount ","")&amp;IF(AND($F61="Yes",$H61=""),"NeverLoggedOn ","")))</f>
        <v/>
      </c>
      <c r="AD61" s="60" t="n"/>
      <c r="AE61" s="61" t="n"/>
      <c r="AF61" s="60" t="n"/>
      <c r="AG61" s="62" t="n"/>
      <c r="AH61" s="62" t="n"/>
      <c r="AI61" s="62" t="n"/>
      <c r="AJ61" s="60" t="n"/>
      <c r="AK61" s="61" t="n"/>
      <c r="AL61" s="63">
        <f>IF($A61="","",IF(AH61="","Not Enrolled",IF(TODAY()&gt;AH61,"Review Overdue",IF(AH61-TODAY()&lt;=30,"Review Due Soon","Active"))))</f>
        <v/>
      </c>
      <c r="AM61" s="63">
        <f>IF($A61="","",IF(AI61="","NOT REVIEWED",IF(TODAY()-AI61&gt;90,"OVERDUE",IF(TODAY()-AI61&gt;76,"Due Soon","Current"))))</f>
        <v/>
      </c>
    </row>
    <row r="62" ht="15" customHeight="1" s="39">
      <c r="A62" s="60" t="n"/>
      <c r="B62" s="60" t="n"/>
      <c r="C62" s="61" t="n"/>
      <c r="D62" s="61" t="n"/>
      <c r="E62" s="60" t="n"/>
      <c r="F62" s="60" t="n"/>
      <c r="G62" s="62" t="n"/>
      <c r="H62" s="62" t="n"/>
      <c r="I62" s="62" t="n"/>
      <c r="J62" s="60" t="n"/>
      <c r="K62" s="60" t="n"/>
      <c r="L62" s="60" t="n"/>
      <c r="M62" s="61" t="n"/>
      <c r="N62" s="60" t="n"/>
      <c r="O62" s="60" t="n"/>
      <c r="P62" s="60" t="n"/>
      <c r="Q62" s="60" t="n"/>
      <c r="R62" s="60" t="n"/>
      <c r="S62" s="60" t="n"/>
      <c r="T62" s="60" t="n"/>
      <c r="U62" s="60" t="n"/>
      <c r="V62" s="60" t="n"/>
      <c r="W62" s="60" t="n"/>
      <c r="X62" s="60" t="n"/>
      <c r="Y62" s="60" t="n"/>
      <c r="Z62" s="61" t="n"/>
      <c r="AA62" s="63">
        <f>IF($H62="","",TODAY()-$H62)</f>
        <v/>
      </c>
      <c r="AB62" s="63">
        <f>IF($A62="","",IF(AND($F62="Yes",OR($U62="No",$U62="NOT FOUND")),"YES",""))</f>
        <v/>
      </c>
      <c r="AC62" s="66">
        <f>IF($A62="","",TRIM(IF(AND($P62=0,$L62&lt;&gt;"Yes"),"T0-NoSmartcard ","")&amp;IF(AND($J62&lt;&gt;"",$J62&gt;365),"StalePwd ","")&amp;IF($K62="Yes","PwdNeverExpires ","")&amp;IF(AND($S62&lt;&gt;"",$S62&lt;&gt;"None"),"Delegation ","")&amp;IF(AND($Q62=1,$O62="None"),"StaleAdminCount ","")&amp;IF(AND($F62="Yes",$H62=""),"NeverLoggedOn ","")))</f>
        <v/>
      </c>
      <c r="AD62" s="60" t="n"/>
      <c r="AE62" s="61" t="n"/>
      <c r="AF62" s="60" t="n"/>
      <c r="AG62" s="62" t="n"/>
      <c r="AH62" s="62" t="n"/>
      <c r="AI62" s="62" t="n"/>
      <c r="AJ62" s="60" t="n"/>
      <c r="AK62" s="61" t="n"/>
      <c r="AL62" s="63">
        <f>IF($A62="","",IF(AH62="","Not Enrolled",IF(TODAY()&gt;AH62,"Review Overdue",IF(AH62-TODAY()&lt;=30,"Review Due Soon","Active"))))</f>
        <v/>
      </c>
      <c r="AM62" s="63">
        <f>IF($A62="","",IF(AI62="","NOT REVIEWED",IF(TODAY()-AI62&gt;90,"OVERDUE",IF(TODAY()-AI62&gt;76,"Due Soon","Current"))))</f>
        <v/>
      </c>
    </row>
    <row r="63" ht="15" customHeight="1" s="39">
      <c r="A63" s="60" t="n"/>
      <c r="B63" s="60" t="n"/>
      <c r="C63" s="61" t="n"/>
      <c r="D63" s="61" t="n"/>
      <c r="E63" s="60" t="n"/>
      <c r="F63" s="60" t="n"/>
      <c r="G63" s="62" t="n"/>
      <c r="H63" s="62" t="n"/>
      <c r="I63" s="62" t="n"/>
      <c r="J63" s="60" t="n"/>
      <c r="K63" s="60" t="n"/>
      <c r="L63" s="60" t="n"/>
      <c r="M63" s="61" t="n"/>
      <c r="N63" s="60" t="n"/>
      <c r="O63" s="60" t="n"/>
      <c r="P63" s="60" t="n"/>
      <c r="Q63" s="60" t="n"/>
      <c r="R63" s="60" t="n"/>
      <c r="S63" s="60" t="n"/>
      <c r="T63" s="60" t="n"/>
      <c r="U63" s="60" t="n"/>
      <c r="V63" s="60" t="n"/>
      <c r="W63" s="60" t="n"/>
      <c r="X63" s="60" t="n"/>
      <c r="Y63" s="60" t="n"/>
      <c r="Z63" s="61" t="n"/>
      <c r="AA63" s="63">
        <f>IF($H63="","",TODAY()-$H63)</f>
        <v/>
      </c>
      <c r="AB63" s="63">
        <f>IF($A63="","",IF(AND($F63="Yes",OR($U63="No",$U63="NOT FOUND")),"YES",""))</f>
        <v/>
      </c>
      <c r="AC63" s="66">
        <f>IF($A63="","",TRIM(IF(AND($P63=0,$L63&lt;&gt;"Yes"),"T0-NoSmartcard ","")&amp;IF(AND($J63&lt;&gt;"",$J63&gt;365),"StalePwd ","")&amp;IF($K63="Yes","PwdNeverExpires ","")&amp;IF(AND($S63&lt;&gt;"",$S63&lt;&gt;"None"),"Delegation ","")&amp;IF(AND($Q63=1,$O63="None"),"StaleAdminCount ","")&amp;IF(AND($F63="Yes",$H63=""),"NeverLoggedOn ","")))</f>
        <v/>
      </c>
      <c r="AD63" s="60" t="n"/>
      <c r="AE63" s="61" t="n"/>
      <c r="AF63" s="60" t="n"/>
      <c r="AG63" s="62" t="n"/>
      <c r="AH63" s="62" t="n"/>
      <c r="AI63" s="62" t="n"/>
      <c r="AJ63" s="60" t="n"/>
      <c r="AK63" s="61" t="n"/>
      <c r="AL63" s="63">
        <f>IF($A63="","",IF(AH63="","Not Enrolled",IF(TODAY()&gt;AH63,"Review Overdue",IF(AH63-TODAY()&lt;=30,"Review Due Soon","Active"))))</f>
        <v/>
      </c>
      <c r="AM63" s="63">
        <f>IF($A63="","",IF(AI63="","NOT REVIEWED",IF(TODAY()-AI63&gt;90,"OVERDUE",IF(TODAY()-AI63&gt;76,"Due Soon","Current"))))</f>
        <v/>
      </c>
    </row>
    <row r="64" ht="15" customHeight="1" s="39">
      <c r="A64" s="60" t="n"/>
      <c r="B64" s="60" t="n"/>
      <c r="C64" s="61" t="n"/>
      <c r="D64" s="61" t="n"/>
      <c r="E64" s="60" t="n"/>
      <c r="F64" s="60" t="n"/>
      <c r="G64" s="62" t="n"/>
      <c r="H64" s="62" t="n"/>
      <c r="I64" s="62" t="n"/>
      <c r="J64" s="60" t="n"/>
      <c r="K64" s="60" t="n"/>
      <c r="L64" s="60" t="n"/>
      <c r="M64" s="61" t="n"/>
      <c r="N64" s="60" t="n"/>
      <c r="O64" s="60" t="n"/>
      <c r="P64" s="60" t="n"/>
      <c r="Q64" s="60" t="n"/>
      <c r="R64" s="60" t="n"/>
      <c r="S64" s="60" t="n"/>
      <c r="T64" s="60" t="n"/>
      <c r="U64" s="60" t="n"/>
      <c r="V64" s="60" t="n"/>
      <c r="W64" s="60" t="n"/>
      <c r="X64" s="60" t="n"/>
      <c r="Y64" s="60" t="n"/>
      <c r="Z64" s="61" t="n"/>
      <c r="AA64" s="63">
        <f>IF($H64="","",TODAY()-$H64)</f>
        <v/>
      </c>
      <c r="AB64" s="63">
        <f>IF($A64="","",IF(AND($F64="Yes",OR($U64="No",$U64="NOT FOUND")),"YES",""))</f>
        <v/>
      </c>
      <c r="AC64" s="66">
        <f>IF($A64="","",TRIM(IF(AND($P64=0,$L64&lt;&gt;"Yes"),"T0-NoSmartcard ","")&amp;IF(AND($J64&lt;&gt;"",$J64&gt;365),"StalePwd ","")&amp;IF($K64="Yes","PwdNeverExpires ","")&amp;IF(AND($S64&lt;&gt;"",$S64&lt;&gt;"None"),"Delegation ","")&amp;IF(AND($Q64=1,$O64="None"),"StaleAdminCount ","")&amp;IF(AND($F64="Yes",$H64=""),"NeverLoggedOn ","")))</f>
        <v/>
      </c>
      <c r="AD64" s="60" t="n"/>
      <c r="AE64" s="61" t="n"/>
      <c r="AF64" s="60" t="n"/>
      <c r="AG64" s="62" t="n"/>
      <c r="AH64" s="62" t="n"/>
      <c r="AI64" s="62" t="n"/>
      <c r="AJ64" s="60" t="n"/>
      <c r="AK64" s="61" t="n"/>
      <c r="AL64" s="63">
        <f>IF($A64="","",IF(AH64="","Not Enrolled",IF(TODAY()&gt;AH64,"Review Overdue",IF(AH64-TODAY()&lt;=30,"Review Due Soon","Active"))))</f>
        <v/>
      </c>
      <c r="AM64" s="63">
        <f>IF($A64="","",IF(AI64="","NOT REVIEWED",IF(TODAY()-AI64&gt;90,"OVERDUE",IF(TODAY()-AI64&gt;76,"Due Soon","Current"))))</f>
        <v/>
      </c>
    </row>
    <row r="65" ht="15" customHeight="1" s="39">
      <c r="A65" s="60" t="n"/>
      <c r="B65" s="60" t="n"/>
      <c r="C65" s="61" t="n"/>
      <c r="D65" s="61" t="n"/>
      <c r="E65" s="60" t="n"/>
      <c r="F65" s="60" t="n"/>
      <c r="G65" s="62" t="n"/>
      <c r="H65" s="62" t="n"/>
      <c r="I65" s="62" t="n"/>
      <c r="J65" s="60" t="n"/>
      <c r="K65" s="60" t="n"/>
      <c r="L65" s="60" t="n"/>
      <c r="M65" s="61" t="n"/>
      <c r="N65" s="60" t="n"/>
      <c r="O65" s="60" t="n"/>
      <c r="P65" s="60" t="n"/>
      <c r="Q65" s="60" t="n"/>
      <c r="R65" s="60" t="n"/>
      <c r="S65" s="60" t="n"/>
      <c r="T65" s="60" t="n"/>
      <c r="U65" s="60" t="n"/>
      <c r="V65" s="60" t="n"/>
      <c r="W65" s="60" t="n"/>
      <c r="X65" s="60" t="n"/>
      <c r="Y65" s="60" t="n"/>
      <c r="Z65" s="61" t="n"/>
      <c r="AA65" s="63">
        <f>IF($H65="","",TODAY()-$H65)</f>
        <v/>
      </c>
      <c r="AB65" s="63">
        <f>IF($A65="","",IF(AND($F65="Yes",OR($U65="No",$U65="NOT FOUND")),"YES",""))</f>
        <v/>
      </c>
      <c r="AC65" s="66">
        <f>IF($A65="","",TRIM(IF(AND($P65=0,$L65&lt;&gt;"Yes"),"T0-NoSmartcard ","")&amp;IF(AND($J65&lt;&gt;"",$J65&gt;365),"StalePwd ","")&amp;IF($K65="Yes","PwdNeverExpires ","")&amp;IF(AND($S65&lt;&gt;"",$S65&lt;&gt;"None"),"Delegation ","")&amp;IF(AND($Q65=1,$O65="None"),"StaleAdminCount ","")&amp;IF(AND($F65="Yes",$H65=""),"NeverLoggedOn ","")))</f>
        <v/>
      </c>
      <c r="AD65" s="60" t="n"/>
      <c r="AE65" s="61" t="n"/>
      <c r="AF65" s="60" t="n"/>
      <c r="AG65" s="62" t="n"/>
      <c r="AH65" s="62" t="n"/>
      <c r="AI65" s="62" t="n"/>
      <c r="AJ65" s="60" t="n"/>
      <c r="AK65" s="61" t="n"/>
      <c r="AL65" s="63">
        <f>IF($A65="","",IF(AH65="","Not Enrolled",IF(TODAY()&gt;AH65,"Review Overdue",IF(AH65-TODAY()&lt;=30,"Review Due Soon","Active"))))</f>
        <v/>
      </c>
      <c r="AM65" s="63">
        <f>IF($A65="","",IF(AI65="","NOT REVIEWED",IF(TODAY()-AI65&gt;90,"OVERDUE",IF(TODAY()-AI65&gt;76,"Due Soon","Current"))))</f>
        <v/>
      </c>
    </row>
    <row r="66" ht="15" customHeight="1" s="39">
      <c r="A66" s="60" t="n"/>
      <c r="B66" s="60" t="n"/>
      <c r="C66" s="61" t="n"/>
      <c r="D66" s="61" t="n"/>
      <c r="E66" s="60" t="n"/>
      <c r="F66" s="60" t="n"/>
      <c r="G66" s="62" t="n"/>
      <c r="H66" s="62" t="n"/>
      <c r="I66" s="62" t="n"/>
      <c r="J66" s="60" t="n"/>
      <c r="K66" s="60" t="n"/>
      <c r="L66" s="60" t="n"/>
      <c r="M66" s="61" t="n"/>
      <c r="N66" s="60" t="n"/>
      <c r="O66" s="60" t="n"/>
      <c r="P66" s="60" t="n"/>
      <c r="Q66" s="60" t="n"/>
      <c r="R66" s="60" t="n"/>
      <c r="S66" s="60" t="n"/>
      <c r="T66" s="60" t="n"/>
      <c r="U66" s="60" t="n"/>
      <c r="V66" s="60" t="n"/>
      <c r="W66" s="60" t="n"/>
      <c r="X66" s="60" t="n"/>
      <c r="Y66" s="60" t="n"/>
      <c r="Z66" s="61" t="n"/>
      <c r="AA66" s="63">
        <f>IF($H66="","",TODAY()-$H66)</f>
        <v/>
      </c>
      <c r="AB66" s="63">
        <f>IF($A66="","",IF(AND($F66="Yes",OR($U66="No",$U66="NOT FOUND")),"YES",""))</f>
        <v/>
      </c>
      <c r="AC66" s="66">
        <f>IF($A66="","",TRIM(IF(AND($P66=0,$L66&lt;&gt;"Yes"),"T0-NoSmartcard ","")&amp;IF(AND($J66&lt;&gt;"",$J66&gt;365),"StalePwd ","")&amp;IF($K66="Yes","PwdNeverExpires ","")&amp;IF(AND($S66&lt;&gt;"",$S66&lt;&gt;"None"),"Delegation ","")&amp;IF(AND($Q66=1,$O66="None"),"StaleAdminCount ","")&amp;IF(AND($F66="Yes",$H66=""),"NeverLoggedOn ","")))</f>
        <v/>
      </c>
      <c r="AD66" s="60" t="n"/>
      <c r="AE66" s="61" t="n"/>
      <c r="AF66" s="60" t="n"/>
      <c r="AG66" s="62" t="n"/>
      <c r="AH66" s="62" t="n"/>
      <c r="AI66" s="62" t="n"/>
      <c r="AJ66" s="60" t="n"/>
      <c r="AK66" s="61" t="n"/>
      <c r="AL66" s="63">
        <f>IF($A66="","",IF(AH66="","Not Enrolled",IF(TODAY()&gt;AH66,"Review Overdue",IF(AH66-TODAY()&lt;=30,"Review Due Soon","Active"))))</f>
        <v/>
      </c>
      <c r="AM66" s="63">
        <f>IF($A66="","",IF(AI66="","NOT REVIEWED",IF(TODAY()-AI66&gt;90,"OVERDUE",IF(TODAY()-AI66&gt;76,"Due Soon","Current"))))</f>
        <v/>
      </c>
    </row>
    <row r="67" ht="15" customHeight="1" s="39">
      <c r="A67" s="60" t="n"/>
      <c r="B67" s="60" t="n"/>
      <c r="C67" s="61" t="n"/>
      <c r="D67" s="61" t="n"/>
      <c r="E67" s="60" t="n"/>
      <c r="F67" s="60" t="n"/>
      <c r="G67" s="62" t="n"/>
      <c r="H67" s="62" t="n"/>
      <c r="I67" s="62" t="n"/>
      <c r="J67" s="60" t="n"/>
      <c r="K67" s="60" t="n"/>
      <c r="L67" s="60" t="n"/>
      <c r="M67" s="61" t="n"/>
      <c r="N67" s="60" t="n"/>
      <c r="O67" s="60" t="n"/>
      <c r="P67" s="60" t="n"/>
      <c r="Q67" s="60" t="n"/>
      <c r="R67" s="60" t="n"/>
      <c r="S67" s="60" t="n"/>
      <c r="T67" s="60" t="n"/>
      <c r="U67" s="60" t="n"/>
      <c r="V67" s="60" t="n"/>
      <c r="W67" s="60" t="n"/>
      <c r="X67" s="60" t="n"/>
      <c r="Y67" s="60" t="n"/>
      <c r="Z67" s="61" t="n"/>
      <c r="AA67" s="63">
        <f>IF($H67="","",TODAY()-$H67)</f>
        <v/>
      </c>
      <c r="AB67" s="63">
        <f>IF($A67="","",IF(AND($F67="Yes",OR($U67="No",$U67="NOT FOUND")),"YES",""))</f>
        <v/>
      </c>
      <c r="AC67" s="66">
        <f>IF($A67="","",TRIM(IF(AND($P67=0,$L67&lt;&gt;"Yes"),"T0-NoSmartcard ","")&amp;IF(AND($J67&lt;&gt;"",$J67&gt;365),"StalePwd ","")&amp;IF($K67="Yes","PwdNeverExpires ","")&amp;IF(AND($S67&lt;&gt;"",$S67&lt;&gt;"None"),"Delegation ","")&amp;IF(AND($Q67=1,$O67="None"),"StaleAdminCount ","")&amp;IF(AND($F67="Yes",$H67=""),"NeverLoggedOn ","")))</f>
        <v/>
      </c>
      <c r="AD67" s="60" t="n"/>
      <c r="AE67" s="61" t="n"/>
      <c r="AF67" s="60" t="n"/>
      <c r="AG67" s="62" t="n"/>
      <c r="AH67" s="62" t="n"/>
      <c r="AI67" s="62" t="n"/>
      <c r="AJ67" s="60" t="n"/>
      <c r="AK67" s="61" t="n"/>
      <c r="AL67" s="63">
        <f>IF($A67="","",IF(AH67="","Not Enrolled",IF(TODAY()&gt;AH67,"Review Overdue",IF(AH67-TODAY()&lt;=30,"Review Due Soon","Active"))))</f>
        <v/>
      </c>
      <c r="AM67" s="63">
        <f>IF($A67="","",IF(AI67="","NOT REVIEWED",IF(TODAY()-AI67&gt;90,"OVERDUE",IF(TODAY()-AI67&gt;76,"Due Soon","Current"))))</f>
        <v/>
      </c>
    </row>
    <row r="68" ht="15" customHeight="1" s="39">
      <c r="A68" s="60" t="n"/>
      <c r="B68" s="60" t="n"/>
      <c r="C68" s="61" t="n"/>
      <c r="D68" s="61" t="n"/>
      <c r="E68" s="60" t="n"/>
      <c r="F68" s="60" t="n"/>
      <c r="G68" s="62" t="n"/>
      <c r="H68" s="62" t="n"/>
      <c r="I68" s="62" t="n"/>
      <c r="J68" s="60" t="n"/>
      <c r="K68" s="60" t="n"/>
      <c r="L68" s="60" t="n"/>
      <c r="M68" s="61" t="n"/>
      <c r="N68" s="60" t="n"/>
      <c r="O68" s="60" t="n"/>
      <c r="P68" s="60" t="n"/>
      <c r="Q68" s="60" t="n"/>
      <c r="R68" s="60" t="n"/>
      <c r="S68" s="60" t="n"/>
      <c r="T68" s="60" t="n"/>
      <c r="U68" s="60" t="n"/>
      <c r="V68" s="60" t="n"/>
      <c r="W68" s="60" t="n"/>
      <c r="X68" s="60" t="n"/>
      <c r="Y68" s="60" t="n"/>
      <c r="Z68" s="61" t="n"/>
      <c r="AA68" s="63">
        <f>IF($H68="","",TODAY()-$H68)</f>
        <v/>
      </c>
      <c r="AB68" s="63">
        <f>IF($A68="","",IF(AND($F68="Yes",OR($U68="No",$U68="NOT FOUND")),"YES",""))</f>
        <v/>
      </c>
      <c r="AC68" s="66">
        <f>IF($A68="","",TRIM(IF(AND($P68=0,$L68&lt;&gt;"Yes"),"T0-NoSmartcard ","")&amp;IF(AND($J68&lt;&gt;"",$J68&gt;365),"StalePwd ","")&amp;IF($K68="Yes","PwdNeverExpires ","")&amp;IF(AND($S68&lt;&gt;"",$S68&lt;&gt;"None"),"Delegation ","")&amp;IF(AND($Q68=1,$O68="None"),"StaleAdminCount ","")&amp;IF(AND($F68="Yes",$H68=""),"NeverLoggedOn ","")))</f>
        <v/>
      </c>
      <c r="AD68" s="60" t="n"/>
      <c r="AE68" s="61" t="n"/>
      <c r="AF68" s="60" t="n"/>
      <c r="AG68" s="62" t="n"/>
      <c r="AH68" s="62" t="n"/>
      <c r="AI68" s="62" t="n"/>
      <c r="AJ68" s="60" t="n"/>
      <c r="AK68" s="61" t="n"/>
      <c r="AL68" s="63">
        <f>IF($A68="","",IF(AH68="","Not Enrolled",IF(TODAY()&gt;AH68,"Review Overdue",IF(AH68-TODAY()&lt;=30,"Review Due Soon","Active"))))</f>
        <v/>
      </c>
      <c r="AM68" s="63">
        <f>IF($A68="","",IF(AI68="","NOT REVIEWED",IF(TODAY()-AI68&gt;90,"OVERDUE",IF(TODAY()-AI68&gt;76,"Due Soon","Current"))))</f>
        <v/>
      </c>
    </row>
    <row r="69" ht="15" customHeight="1" s="39">
      <c r="A69" s="60" t="n"/>
      <c r="B69" s="60" t="n"/>
      <c r="C69" s="61" t="n"/>
      <c r="D69" s="61" t="n"/>
      <c r="E69" s="60" t="n"/>
      <c r="F69" s="60" t="n"/>
      <c r="G69" s="62" t="n"/>
      <c r="H69" s="62" t="n"/>
      <c r="I69" s="62" t="n"/>
      <c r="J69" s="60" t="n"/>
      <c r="K69" s="60" t="n"/>
      <c r="L69" s="60" t="n"/>
      <c r="M69" s="61" t="n"/>
      <c r="N69" s="60" t="n"/>
      <c r="O69" s="60" t="n"/>
      <c r="P69" s="60" t="n"/>
      <c r="Q69" s="60" t="n"/>
      <c r="R69" s="60" t="n"/>
      <c r="S69" s="60" t="n"/>
      <c r="T69" s="60" t="n"/>
      <c r="U69" s="60" t="n"/>
      <c r="V69" s="60" t="n"/>
      <c r="W69" s="60" t="n"/>
      <c r="X69" s="60" t="n"/>
      <c r="Y69" s="60" t="n"/>
      <c r="Z69" s="61" t="n"/>
      <c r="AA69" s="63">
        <f>IF($H69="","",TODAY()-$H69)</f>
        <v/>
      </c>
      <c r="AB69" s="63">
        <f>IF($A69="","",IF(AND($F69="Yes",OR($U69="No",$U69="NOT FOUND")),"YES",""))</f>
        <v/>
      </c>
      <c r="AC69" s="66">
        <f>IF($A69="","",TRIM(IF(AND($P69=0,$L69&lt;&gt;"Yes"),"T0-NoSmartcard ","")&amp;IF(AND($J69&lt;&gt;"",$J69&gt;365),"StalePwd ","")&amp;IF($K69="Yes","PwdNeverExpires ","")&amp;IF(AND($S69&lt;&gt;"",$S69&lt;&gt;"None"),"Delegation ","")&amp;IF(AND($Q69=1,$O69="None"),"StaleAdminCount ","")&amp;IF(AND($F69="Yes",$H69=""),"NeverLoggedOn ","")))</f>
        <v/>
      </c>
      <c r="AD69" s="60" t="n"/>
      <c r="AE69" s="61" t="n"/>
      <c r="AF69" s="60" t="n"/>
      <c r="AG69" s="62" t="n"/>
      <c r="AH69" s="62" t="n"/>
      <c r="AI69" s="62" t="n"/>
      <c r="AJ69" s="60" t="n"/>
      <c r="AK69" s="61" t="n"/>
      <c r="AL69" s="63">
        <f>IF($A69="","",IF(AH69="","Not Enrolled",IF(TODAY()&gt;AH69,"Review Overdue",IF(AH69-TODAY()&lt;=30,"Review Due Soon","Active"))))</f>
        <v/>
      </c>
      <c r="AM69" s="63">
        <f>IF($A69="","",IF(AI69="","NOT REVIEWED",IF(TODAY()-AI69&gt;90,"OVERDUE",IF(TODAY()-AI69&gt;76,"Due Soon","Current"))))</f>
        <v/>
      </c>
    </row>
    <row r="70" ht="15" customHeight="1" s="39">
      <c r="A70" s="60" t="n"/>
      <c r="B70" s="60" t="n"/>
      <c r="C70" s="61" t="n"/>
      <c r="D70" s="61" t="n"/>
      <c r="E70" s="60" t="n"/>
      <c r="F70" s="60" t="n"/>
      <c r="G70" s="62" t="n"/>
      <c r="H70" s="62" t="n"/>
      <c r="I70" s="62" t="n"/>
      <c r="J70" s="60" t="n"/>
      <c r="K70" s="60" t="n"/>
      <c r="L70" s="60" t="n"/>
      <c r="M70" s="61" t="n"/>
      <c r="N70" s="60" t="n"/>
      <c r="O70" s="60" t="n"/>
      <c r="P70" s="60" t="n"/>
      <c r="Q70" s="60" t="n"/>
      <c r="R70" s="60" t="n"/>
      <c r="S70" s="60" t="n"/>
      <c r="T70" s="60" t="n"/>
      <c r="U70" s="60" t="n"/>
      <c r="V70" s="60" t="n"/>
      <c r="W70" s="60" t="n"/>
      <c r="X70" s="60" t="n"/>
      <c r="Y70" s="60" t="n"/>
      <c r="Z70" s="61" t="n"/>
      <c r="AA70" s="63">
        <f>IF($H70="","",TODAY()-$H70)</f>
        <v/>
      </c>
      <c r="AB70" s="63">
        <f>IF($A70="","",IF(AND($F70="Yes",OR($U70="No",$U70="NOT FOUND")),"YES",""))</f>
        <v/>
      </c>
      <c r="AC70" s="66">
        <f>IF($A70="","",TRIM(IF(AND($P70=0,$L70&lt;&gt;"Yes"),"T0-NoSmartcard ","")&amp;IF(AND($J70&lt;&gt;"",$J70&gt;365),"StalePwd ","")&amp;IF($K70="Yes","PwdNeverExpires ","")&amp;IF(AND($S70&lt;&gt;"",$S70&lt;&gt;"None"),"Delegation ","")&amp;IF(AND($Q70=1,$O70="None"),"StaleAdminCount ","")&amp;IF(AND($F70="Yes",$H70=""),"NeverLoggedOn ","")))</f>
        <v/>
      </c>
      <c r="AD70" s="60" t="n"/>
      <c r="AE70" s="61" t="n"/>
      <c r="AF70" s="60" t="n"/>
      <c r="AG70" s="62" t="n"/>
      <c r="AH70" s="62" t="n"/>
      <c r="AI70" s="62" t="n"/>
      <c r="AJ70" s="60" t="n"/>
      <c r="AK70" s="61" t="n"/>
      <c r="AL70" s="63">
        <f>IF($A70="","",IF(AH70="","Not Enrolled",IF(TODAY()&gt;AH70,"Review Overdue",IF(AH70-TODAY()&lt;=30,"Review Due Soon","Active"))))</f>
        <v/>
      </c>
      <c r="AM70" s="63">
        <f>IF($A70="","",IF(AI70="","NOT REVIEWED",IF(TODAY()-AI70&gt;90,"OVERDUE",IF(TODAY()-AI70&gt;76,"Due Soon","Current"))))</f>
        <v/>
      </c>
    </row>
    <row r="71" ht="15" customHeight="1" s="39">
      <c r="A71" s="60" t="n"/>
      <c r="B71" s="60" t="n"/>
      <c r="C71" s="61" t="n"/>
      <c r="D71" s="61" t="n"/>
      <c r="E71" s="60" t="n"/>
      <c r="F71" s="60" t="n"/>
      <c r="G71" s="62" t="n"/>
      <c r="H71" s="62" t="n"/>
      <c r="I71" s="62" t="n"/>
      <c r="J71" s="60" t="n"/>
      <c r="K71" s="60" t="n"/>
      <c r="L71" s="60" t="n"/>
      <c r="M71" s="61" t="n"/>
      <c r="N71" s="60" t="n"/>
      <c r="O71" s="60" t="n"/>
      <c r="P71" s="60" t="n"/>
      <c r="Q71" s="60" t="n"/>
      <c r="R71" s="60" t="n"/>
      <c r="S71" s="60" t="n"/>
      <c r="T71" s="60" t="n"/>
      <c r="U71" s="60" t="n"/>
      <c r="V71" s="60" t="n"/>
      <c r="W71" s="60" t="n"/>
      <c r="X71" s="60" t="n"/>
      <c r="Y71" s="60" t="n"/>
      <c r="Z71" s="61" t="n"/>
      <c r="AA71" s="63">
        <f>IF($H71="","",TODAY()-$H71)</f>
        <v/>
      </c>
      <c r="AB71" s="63">
        <f>IF($A71="","",IF(AND($F71="Yes",OR($U71="No",$U71="NOT FOUND")),"YES",""))</f>
        <v/>
      </c>
      <c r="AC71" s="66">
        <f>IF($A71="","",TRIM(IF(AND($P71=0,$L71&lt;&gt;"Yes"),"T0-NoSmartcard ","")&amp;IF(AND($J71&lt;&gt;"",$J71&gt;365),"StalePwd ","")&amp;IF($K71="Yes","PwdNeverExpires ","")&amp;IF(AND($S71&lt;&gt;"",$S71&lt;&gt;"None"),"Delegation ","")&amp;IF(AND($Q71=1,$O71="None"),"StaleAdminCount ","")&amp;IF(AND($F71="Yes",$H71=""),"NeverLoggedOn ","")))</f>
        <v/>
      </c>
      <c r="AD71" s="60" t="n"/>
      <c r="AE71" s="61" t="n"/>
      <c r="AF71" s="60" t="n"/>
      <c r="AG71" s="62" t="n"/>
      <c r="AH71" s="62" t="n"/>
      <c r="AI71" s="62" t="n"/>
      <c r="AJ71" s="60" t="n"/>
      <c r="AK71" s="61" t="n"/>
      <c r="AL71" s="63">
        <f>IF($A71="","",IF(AH71="","Not Enrolled",IF(TODAY()&gt;AH71,"Review Overdue",IF(AH71-TODAY()&lt;=30,"Review Due Soon","Active"))))</f>
        <v/>
      </c>
      <c r="AM71" s="63">
        <f>IF($A71="","",IF(AI71="","NOT REVIEWED",IF(TODAY()-AI71&gt;90,"OVERDUE",IF(TODAY()-AI71&gt;76,"Due Soon","Current"))))</f>
        <v/>
      </c>
    </row>
    <row r="72" ht="15" customHeight="1" s="39">
      <c r="A72" s="60" t="n"/>
      <c r="B72" s="60" t="n"/>
      <c r="C72" s="61" t="n"/>
      <c r="D72" s="61" t="n"/>
      <c r="E72" s="60" t="n"/>
      <c r="F72" s="60" t="n"/>
      <c r="G72" s="62" t="n"/>
      <c r="H72" s="62" t="n"/>
      <c r="I72" s="62" t="n"/>
      <c r="J72" s="60" t="n"/>
      <c r="K72" s="60" t="n"/>
      <c r="L72" s="60" t="n"/>
      <c r="M72" s="61" t="n"/>
      <c r="N72" s="60" t="n"/>
      <c r="O72" s="60" t="n"/>
      <c r="P72" s="60" t="n"/>
      <c r="Q72" s="60" t="n"/>
      <c r="R72" s="60" t="n"/>
      <c r="S72" s="60" t="n"/>
      <c r="T72" s="60" t="n"/>
      <c r="U72" s="60" t="n"/>
      <c r="V72" s="60" t="n"/>
      <c r="W72" s="60" t="n"/>
      <c r="X72" s="60" t="n"/>
      <c r="Y72" s="60" t="n"/>
      <c r="Z72" s="61" t="n"/>
      <c r="AA72" s="63">
        <f>IF($H72="","",TODAY()-$H72)</f>
        <v/>
      </c>
      <c r="AB72" s="63">
        <f>IF($A72="","",IF(AND($F72="Yes",OR($U72="No",$U72="NOT FOUND")),"YES",""))</f>
        <v/>
      </c>
      <c r="AC72" s="66">
        <f>IF($A72="","",TRIM(IF(AND($P72=0,$L72&lt;&gt;"Yes"),"T0-NoSmartcard ","")&amp;IF(AND($J72&lt;&gt;"",$J72&gt;365),"StalePwd ","")&amp;IF($K72="Yes","PwdNeverExpires ","")&amp;IF(AND($S72&lt;&gt;"",$S72&lt;&gt;"None"),"Delegation ","")&amp;IF(AND($Q72=1,$O72="None"),"StaleAdminCount ","")&amp;IF(AND($F72="Yes",$H72=""),"NeverLoggedOn ","")))</f>
        <v/>
      </c>
      <c r="AD72" s="60" t="n"/>
      <c r="AE72" s="61" t="n"/>
      <c r="AF72" s="60" t="n"/>
      <c r="AG72" s="62" t="n"/>
      <c r="AH72" s="62" t="n"/>
      <c r="AI72" s="62" t="n"/>
      <c r="AJ72" s="60" t="n"/>
      <c r="AK72" s="61" t="n"/>
      <c r="AL72" s="63">
        <f>IF($A72="","",IF(AH72="","Not Enrolled",IF(TODAY()&gt;AH72,"Review Overdue",IF(AH72-TODAY()&lt;=30,"Review Due Soon","Active"))))</f>
        <v/>
      </c>
      <c r="AM72" s="63">
        <f>IF($A72="","",IF(AI72="","NOT REVIEWED",IF(TODAY()-AI72&gt;90,"OVERDUE",IF(TODAY()-AI72&gt;76,"Due Soon","Current"))))</f>
        <v/>
      </c>
    </row>
    <row r="73" ht="15" customHeight="1" s="39">
      <c r="A73" s="60" t="n"/>
      <c r="B73" s="60" t="n"/>
      <c r="C73" s="61" t="n"/>
      <c r="D73" s="61" t="n"/>
      <c r="E73" s="60" t="n"/>
      <c r="F73" s="60" t="n"/>
      <c r="G73" s="62" t="n"/>
      <c r="H73" s="62" t="n"/>
      <c r="I73" s="62" t="n"/>
      <c r="J73" s="60" t="n"/>
      <c r="K73" s="60" t="n"/>
      <c r="L73" s="60" t="n"/>
      <c r="M73" s="61" t="n"/>
      <c r="N73" s="60" t="n"/>
      <c r="O73" s="60" t="n"/>
      <c r="P73" s="60" t="n"/>
      <c r="Q73" s="60" t="n"/>
      <c r="R73" s="60" t="n"/>
      <c r="S73" s="60" t="n"/>
      <c r="T73" s="60" t="n"/>
      <c r="U73" s="60" t="n"/>
      <c r="V73" s="60" t="n"/>
      <c r="W73" s="60" t="n"/>
      <c r="X73" s="60" t="n"/>
      <c r="Y73" s="60" t="n"/>
      <c r="Z73" s="61" t="n"/>
      <c r="AA73" s="63">
        <f>IF($H73="","",TODAY()-$H73)</f>
        <v/>
      </c>
      <c r="AB73" s="63">
        <f>IF($A73="","",IF(AND($F73="Yes",OR($U73="No",$U73="NOT FOUND")),"YES",""))</f>
        <v/>
      </c>
      <c r="AC73" s="66">
        <f>IF($A73="","",TRIM(IF(AND($P73=0,$L73&lt;&gt;"Yes"),"T0-NoSmartcard ","")&amp;IF(AND($J73&lt;&gt;"",$J73&gt;365),"StalePwd ","")&amp;IF($K73="Yes","PwdNeverExpires ","")&amp;IF(AND($S73&lt;&gt;"",$S73&lt;&gt;"None"),"Delegation ","")&amp;IF(AND($Q73=1,$O73="None"),"StaleAdminCount ","")&amp;IF(AND($F73="Yes",$H73=""),"NeverLoggedOn ","")))</f>
        <v/>
      </c>
      <c r="AD73" s="60" t="n"/>
      <c r="AE73" s="61" t="n"/>
      <c r="AF73" s="60" t="n"/>
      <c r="AG73" s="62" t="n"/>
      <c r="AH73" s="62" t="n"/>
      <c r="AI73" s="62" t="n"/>
      <c r="AJ73" s="60" t="n"/>
      <c r="AK73" s="61" t="n"/>
      <c r="AL73" s="63">
        <f>IF($A73="","",IF(AH73="","Not Enrolled",IF(TODAY()&gt;AH73,"Review Overdue",IF(AH73-TODAY()&lt;=30,"Review Due Soon","Active"))))</f>
        <v/>
      </c>
      <c r="AM73" s="63">
        <f>IF($A73="","",IF(AI73="","NOT REVIEWED",IF(TODAY()-AI73&gt;90,"OVERDUE",IF(TODAY()-AI73&gt;76,"Due Soon","Current"))))</f>
        <v/>
      </c>
    </row>
    <row r="74" ht="15" customHeight="1" s="39">
      <c r="A74" s="60" t="n"/>
      <c r="B74" s="60" t="n"/>
      <c r="C74" s="61" t="n"/>
      <c r="D74" s="61" t="n"/>
      <c r="E74" s="60" t="n"/>
      <c r="F74" s="60" t="n"/>
      <c r="G74" s="62" t="n"/>
      <c r="H74" s="62" t="n"/>
      <c r="I74" s="62" t="n"/>
      <c r="J74" s="60" t="n"/>
      <c r="K74" s="60" t="n"/>
      <c r="L74" s="60" t="n"/>
      <c r="M74" s="61" t="n"/>
      <c r="N74" s="60" t="n"/>
      <c r="O74" s="60" t="n"/>
      <c r="P74" s="60" t="n"/>
      <c r="Q74" s="60" t="n"/>
      <c r="R74" s="60" t="n"/>
      <c r="S74" s="60" t="n"/>
      <c r="T74" s="60" t="n"/>
      <c r="U74" s="60" t="n"/>
      <c r="V74" s="60" t="n"/>
      <c r="W74" s="60" t="n"/>
      <c r="X74" s="60" t="n"/>
      <c r="Y74" s="60" t="n"/>
      <c r="Z74" s="61" t="n"/>
      <c r="AA74" s="63">
        <f>IF($H74="","",TODAY()-$H74)</f>
        <v/>
      </c>
      <c r="AB74" s="63">
        <f>IF($A74="","",IF(AND($F74="Yes",OR($U74="No",$U74="NOT FOUND")),"YES",""))</f>
        <v/>
      </c>
      <c r="AC74" s="66">
        <f>IF($A74="","",TRIM(IF(AND($P74=0,$L74&lt;&gt;"Yes"),"T0-NoSmartcard ","")&amp;IF(AND($J74&lt;&gt;"",$J74&gt;365),"StalePwd ","")&amp;IF($K74="Yes","PwdNeverExpires ","")&amp;IF(AND($S74&lt;&gt;"",$S74&lt;&gt;"None"),"Delegation ","")&amp;IF(AND($Q74=1,$O74="None"),"StaleAdminCount ","")&amp;IF(AND($F74="Yes",$H74=""),"NeverLoggedOn ","")))</f>
        <v/>
      </c>
      <c r="AD74" s="60" t="n"/>
      <c r="AE74" s="61" t="n"/>
      <c r="AF74" s="60" t="n"/>
      <c r="AG74" s="62" t="n"/>
      <c r="AH74" s="62" t="n"/>
      <c r="AI74" s="62" t="n"/>
      <c r="AJ74" s="60" t="n"/>
      <c r="AK74" s="61" t="n"/>
      <c r="AL74" s="63">
        <f>IF($A74="","",IF(AH74="","Not Enrolled",IF(TODAY()&gt;AH74,"Review Overdue",IF(AH74-TODAY()&lt;=30,"Review Due Soon","Active"))))</f>
        <v/>
      </c>
      <c r="AM74" s="63">
        <f>IF($A74="","",IF(AI74="","NOT REVIEWED",IF(TODAY()-AI74&gt;90,"OVERDUE",IF(TODAY()-AI74&gt;76,"Due Soon","Current"))))</f>
        <v/>
      </c>
    </row>
    <row r="75" ht="15" customHeight="1" s="39">
      <c r="A75" s="60" t="n"/>
      <c r="B75" s="60" t="n"/>
      <c r="C75" s="61" t="n"/>
      <c r="D75" s="61" t="n"/>
      <c r="E75" s="60" t="n"/>
      <c r="F75" s="60" t="n"/>
      <c r="G75" s="62" t="n"/>
      <c r="H75" s="62" t="n"/>
      <c r="I75" s="62" t="n"/>
      <c r="J75" s="60" t="n"/>
      <c r="K75" s="60" t="n"/>
      <c r="L75" s="60" t="n"/>
      <c r="M75" s="61" t="n"/>
      <c r="N75" s="60" t="n"/>
      <c r="O75" s="60" t="n"/>
      <c r="P75" s="60" t="n"/>
      <c r="Q75" s="60" t="n"/>
      <c r="R75" s="60" t="n"/>
      <c r="S75" s="60" t="n"/>
      <c r="T75" s="60" t="n"/>
      <c r="U75" s="60" t="n"/>
      <c r="V75" s="60" t="n"/>
      <c r="W75" s="60" t="n"/>
      <c r="X75" s="60" t="n"/>
      <c r="Y75" s="60" t="n"/>
      <c r="Z75" s="61" t="n"/>
      <c r="AA75" s="63">
        <f>IF($H75="","",TODAY()-$H75)</f>
        <v/>
      </c>
      <c r="AB75" s="63">
        <f>IF($A75="","",IF(AND($F75="Yes",OR($U75="No",$U75="NOT FOUND")),"YES",""))</f>
        <v/>
      </c>
      <c r="AC75" s="66">
        <f>IF($A75="","",TRIM(IF(AND($P75=0,$L75&lt;&gt;"Yes"),"T0-NoSmartcard ","")&amp;IF(AND($J75&lt;&gt;"",$J75&gt;365),"StalePwd ","")&amp;IF($K75="Yes","PwdNeverExpires ","")&amp;IF(AND($S75&lt;&gt;"",$S75&lt;&gt;"None"),"Delegation ","")&amp;IF(AND($Q75=1,$O75="None"),"StaleAdminCount ","")&amp;IF(AND($F75="Yes",$H75=""),"NeverLoggedOn ","")))</f>
        <v/>
      </c>
      <c r="AD75" s="60" t="n"/>
      <c r="AE75" s="61" t="n"/>
      <c r="AF75" s="60" t="n"/>
      <c r="AG75" s="62" t="n"/>
      <c r="AH75" s="62" t="n"/>
      <c r="AI75" s="62" t="n"/>
      <c r="AJ75" s="60" t="n"/>
      <c r="AK75" s="61" t="n"/>
      <c r="AL75" s="63">
        <f>IF($A75="","",IF(AH75="","Not Enrolled",IF(TODAY()&gt;AH75,"Review Overdue",IF(AH75-TODAY()&lt;=30,"Review Due Soon","Active"))))</f>
        <v/>
      </c>
      <c r="AM75" s="63">
        <f>IF($A75="","",IF(AI75="","NOT REVIEWED",IF(TODAY()-AI75&gt;90,"OVERDUE",IF(TODAY()-AI75&gt;76,"Due Soon","Current"))))</f>
        <v/>
      </c>
    </row>
    <row r="76" ht="15" customHeight="1" s="39">
      <c r="A76" s="60" t="n"/>
      <c r="B76" s="60" t="n"/>
      <c r="C76" s="61" t="n"/>
      <c r="D76" s="61" t="n"/>
      <c r="E76" s="60" t="n"/>
      <c r="F76" s="60" t="n"/>
      <c r="G76" s="62" t="n"/>
      <c r="H76" s="62" t="n"/>
      <c r="I76" s="62" t="n"/>
      <c r="J76" s="60" t="n"/>
      <c r="K76" s="60" t="n"/>
      <c r="L76" s="60" t="n"/>
      <c r="M76" s="61" t="n"/>
      <c r="N76" s="60" t="n"/>
      <c r="O76" s="60" t="n"/>
      <c r="P76" s="60" t="n"/>
      <c r="Q76" s="60" t="n"/>
      <c r="R76" s="60" t="n"/>
      <c r="S76" s="60" t="n"/>
      <c r="T76" s="60" t="n"/>
      <c r="U76" s="60" t="n"/>
      <c r="V76" s="60" t="n"/>
      <c r="W76" s="60" t="n"/>
      <c r="X76" s="60" t="n"/>
      <c r="Y76" s="60" t="n"/>
      <c r="Z76" s="61" t="n"/>
      <c r="AA76" s="63">
        <f>IF($H76="","",TODAY()-$H76)</f>
        <v/>
      </c>
      <c r="AB76" s="63">
        <f>IF($A76="","",IF(AND($F76="Yes",OR($U76="No",$U76="NOT FOUND")),"YES",""))</f>
        <v/>
      </c>
      <c r="AC76" s="66">
        <f>IF($A76="","",TRIM(IF(AND($P76=0,$L76&lt;&gt;"Yes"),"T0-NoSmartcard ","")&amp;IF(AND($J76&lt;&gt;"",$J76&gt;365),"StalePwd ","")&amp;IF($K76="Yes","PwdNeverExpires ","")&amp;IF(AND($S76&lt;&gt;"",$S76&lt;&gt;"None"),"Delegation ","")&amp;IF(AND($Q76=1,$O76="None"),"StaleAdminCount ","")&amp;IF(AND($F76="Yes",$H76=""),"NeverLoggedOn ","")))</f>
        <v/>
      </c>
      <c r="AD76" s="60" t="n"/>
      <c r="AE76" s="61" t="n"/>
      <c r="AF76" s="60" t="n"/>
      <c r="AG76" s="62" t="n"/>
      <c r="AH76" s="62" t="n"/>
      <c r="AI76" s="62" t="n"/>
      <c r="AJ76" s="60" t="n"/>
      <c r="AK76" s="61" t="n"/>
      <c r="AL76" s="63">
        <f>IF($A76="","",IF(AH76="","Not Enrolled",IF(TODAY()&gt;AH76,"Review Overdue",IF(AH76-TODAY()&lt;=30,"Review Due Soon","Active"))))</f>
        <v/>
      </c>
      <c r="AM76" s="63">
        <f>IF($A76="","",IF(AI76="","NOT REVIEWED",IF(TODAY()-AI76&gt;90,"OVERDUE",IF(TODAY()-AI76&gt;76,"Due Soon","Current"))))</f>
        <v/>
      </c>
    </row>
    <row r="77" ht="15" customHeight="1" s="39">
      <c r="A77" s="60" t="n"/>
      <c r="B77" s="60" t="n"/>
      <c r="C77" s="61" t="n"/>
      <c r="D77" s="61" t="n"/>
      <c r="E77" s="60" t="n"/>
      <c r="F77" s="60" t="n"/>
      <c r="G77" s="62" t="n"/>
      <c r="H77" s="62" t="n"/>
      <c r="I77" s="62" t="n"/>
      <c r="J77" s="60" t="n"/>
      <c r="K77" s="60" t="n"/>
      <c r="L77" s="60" t="n"/>
      <c r="M77" s="61" t="n"/>
      <c r="N77" s="60" t="n"/>
      <c r="O77" s="60" t="n"/>
      <c r="P77" s="60" t="n"/>
      <c r="Q77" s="60" t="n"/>
      <c r="R77" s="60" t="n"/>
      <c r="S77" s="60" t="n"/>
      <c r="T77" s="60" t="n"/>
      <c r="U77" s="60" t="n"/>
      <c r="V77" s="60" t="n"/>
      <c r="W77" s="60" t="n"/>
      <c r="X77" s="60" t="n"/>
      <c r="Y77" s="60" t="n"/>
      <c r="Z77" s="61" t="n"/>
      <c r="AA77" s="63">
        <f>IF($H77="","",TODAY()-$H77)</f>
        <v/>
      </c>
      <c r="AB77" s="63">
        <f>IF($A77="","",IF(AND($F77="Yes",OR($U77="No",$U77="NOT FOUND")),"YES",""))</f>
        <v/>
      </c>
      <c r="AC77" s="66">
        <f>IF($A77="","",TRIM(IF(AND($P77=0,$L77&lt;&gt;"Yes"),"T0-NoSmartcard ","")&amp;IF(AND($J77&lt;&gt;"",$J77&gt;365),"StalePwd ","")&amp;IF($K77="Yes","PwdNeverExpires ","")&amp;IF(AND($S77&lt;&gt;"",$S77&lt;&gt;"None"),"Delegation ","")&amp;IF(AND($Q77=1,$O77="None"),"StaleAdminCount ","")&amp;IF(AND($F77="Yes",$H77=""),"NeverLoggedOn ","")))</f>
        <v/>
      </c>
      <c r="AD77" s="60" t="n"/>
      <c r="AE77" s="61" t="n"/>
      <c r="AF77" s="60" t="n"/>
      <c r="AG77" s="62" t="n"/>
      <c r="AH77" s="62" t="n"/>
      <c r="AI77" s="62" t="n"/>
      <c r="AJ77" s="60" t="n"/>
      <c r="AK77" s="61" t="n"/>
      <c r="AL77" s="63">
        <f>IF($A77="","",IF(AH77="","Not Enrolled",IF(TODAY()&gt;AH77,"Review Overdue",IF(AH77-TODAY()&lt;=30,"Review Due Soon","Active"))))</f>
        <v/>
      </c>
      <c r="AM77" s="63">
        <f>IF($A77="","",IF(AI77="","NOT REVIEWED",IF(TODAY()-AI77&gt;90,"OVERDUE",IF(TODAY()-AI77&gt;76,"Due Soon","Current"))))</f>
        <v/>
      </c>
    </row>
    <row r="78" ht="15" customHeight="1" s="39">
      <c r="A78" s="60" t="n"/>
      <c r="B78" s="60" t="n"/>
      <c r="C78" s="61" t="n"/>
      <c r="D78" s="61" t="n"/>
      <c r="E78" s="60" t="n"/>
      <c r="F78" s="60" t="n"/>
      <c r="G78" s="62" t="n"/>
      <c r="H78" s="62" t="n"/>
      <c r="I78" s="62" t="n"/>
      <c r="J78" s="60" t="n"/>
      <c r="K78" s="60" t="n"/>
      <c r="L78" s="60" t="n"/>
      <c r="M78" s="61" t="n"/>
      <c r="N78" s="60" t="n"/>
      <c r="O78" s="60" t="n"/>
      <c r="P78" s="60" t="n"/>
      <c r="Q78" s="60" t="n"/>
      <c r="R78" s="60" t="n"/>
      <c r="S78" s="60" t="n"/>
      <c r="T78" s="60" t="n"/>
      <c r="U78" s="60" t="n"/>
      <c r="V78" s="60" t="n"/>
      <c r="W78" s="60" t="n"/>
      <c r="X78" s="60" t="n"/>
      <c r="Y78" s="60" t="n"/>
      <c r="Z78" s="61" t="n"/>
      <c r="AA78" s="63">
        <f>IF($H78="","",TODAY()-$H78)</f>
        <v/>
      </c>
      <c r="AB78" s="63">
        <f>IF($A78="","",IF(AND($F78="Yes",OR($U78="No",$U78="NOT FOUND")),"YES",""))</f>
        <v/>
      </c>
      <c r="AC78" s="66">
        <f>IF($A78="","",TRIM(IF(AND($P78=0,$L78&lt;&gt;"Yes"),"T0-NoSmartcard ","")&amp;IF(AND($J78&lt;&gt;"",$J78&gt;365),"StalePwd ","")&amp;IF($K78="Yes","PwdNeverExpires ","")&amp;IF(AND($S78&lt;&gt;"",$S78&lt;&gt;"None"),"Delegation ","")&amp;IF(AND($Q78=1,$O78="None"),"StaleAdminCount ","")&amp;IF(AND($F78="Yes",$H78=""),"NeverLoggedOn ","")))</f>
        <v/>
      </c>
      <c r="AD78" s="60" t="n"/>
      <c r="AE78" s="61" t="n"/>
      <c r="AF78" s="60" t="n"/>
      <c r="AG78" s="62" t="n"/>
      <c r="AH78" s="62" t="n"/>
      <c r="AI78" s="62" t="n"/>
      <c r="AJ78" s="60" t="n"/>
      <c r="AK78" s="61" t="n"/>
      <c r="AL78" s="63">
        <f>IF($A78="","",IF(AH78="","Not Enrolled",IF(TODAY()&gt;AH78,"Review Overdue",IF(AH78-TODAY()&lt;=30,"Review Due Soon","Active"))))</f>
        <v/>
      </c>
      <c r="AM78" s="63">
        <f>IF($A78="","",IF(AI78="","NOT REVIEWED",IF(TODAY()-AI78&gt;90,"OVERDUE",IF(TODAY()-AI78&gt;76,"Due Soon","Current"))))</f>
        <v/>
      </c>
    </row>
    <row r="79" ht="15" customHeight="1" s="39">
      <c r="A79" s="60" t="n"/>
      <c r="B79" s="60" t="n"/>
      <c r="C79" s="61" t="n"/>
      <c r="D79" s="61" t="n"/>
      <c r="E79" s="60" t="n"/>
      <c r="F79" s="60" t="n"/>
      <c r="G79" s="62" t="n"/>
      <c r="H79" s="62" t="n"/>
      <c r="I79" s="62" t="n"/>
      <c r="J79" s="60" t="n"/>
      <c r="K79" s="60" t="n"/>
      <c r="L79" s="60" t="n"/>
      <c r="M79" s="61" t="n"/>
      <c r="N79" s="60" t="n"/>
      <c r="O79" s="60" t="n"/>
      <c r="P79" s="60" t="n"/>
      <c r="Q79" s="60" t="n"/>
      <c r="R79" s="60" t="n"/>
      <c r="S79" s="60" t="n"/>
      <c r="T79" s="60" t="n"/>
      <c r="U79" s="60" t="n"/>
      <c r="V79" s="60" t="n"/>
      <c r="W79" s="60" t="n"/>
      <c r="X79" s="60" t="n"/>
      <c r="Y79" s="60" t="n"/>
      <c r="Z79" s="61" t="n"/>
      <c r="AA79" s="63">
        <f>IF($H79="","",TODAY()-$H79)</f>
        <v/>
      </c>
      <c r="AB79" s="63">
        <f>IF($A79="","",IF(AND($F79="Yes",OR($U79="No",$U79="NOT FOUND")),"YES",""))</f>
        <v/>
      </c>
      <c r="AC79" s="66">
        <f>IF($A79="","",TRIM(IF(AND($P79=0,$L79&lt;&gt;"Yes"),"T0-NoSmartcard ","")&amp;IF(AND($J79&lt;&gt;"",$J79&gt;365),"StalePwd ","")&amp;IF($K79="Yes","PwdNeverExpires ","")&amp;IF(AND($S79&lt;&gt;"",$S79&lt;&gt;"None"),"Delegation ","")&amp;IF(AND($Q79=1,$O79="None"),"StaleAdminCount ","")&amp;IF(AND($F79="Yes",$H79=""),"NeverLoggedOn ","")))</f>
        <v/>
      </c>
      <c r="AD79" s="60" t="n"/>
      <c r="AE79" s="61" t="n"/>
      <c r="AF79" s="60" t="n"/>
      <c r="AG79" s="62" t="n"/>
      <c r="AH79" s="62" t="n"/>
      <c r="AI79" s="62" t="n"/>
      <c r="AJ79" s="60" t="n"/>
      <c r="AK79" s="61" t="n"/>
      <c r="AL79" s="63">
        <f>IF($A79="","",IF(AH79="","Not Enrolled",IF(TODAY()&gt;AH79,"Review Overdue",IF(AH79-TODAY()&lt;=30,"Review Due Soon","Active"))))</f>
        <v/>
      </c>
      <c r="AM79" s="63">
        <f>IF($A79="","",IF(AI79="","NOT REVIEWED",IF(TODAY()-AI79&gt;90,"OVERDUE",IF(TODAY()-AI79&gt;76,"Due Soon","Current"))))</f>
        <v/>
      </c>
    </row>
    <row r="80" ht="15" customHeight="1" s="39">
      <c r="A80" s="60" t="n"/>
      <c r="B80" s="60" t="n"/>
      <c r="C80" s="61" t="n"/>
      <c r="D80" s="61" t="n"/>
      <c r="E80" s="60" t="n"/>
      <c r="F80" s="60" t="n"/>
      <c r="G80" s="62" t="n"/>
      <c r="H80" s="62" t="n"/>
      <c r="I80" s="62" t="n"/>
      <c r="J80" s="60" t="n"/>
      <c r="K80" s="60" t="n"/>
      <c r="L80" s="60" t="n"/>
      <c r="M80" s="61" t="n"/>
      <c r="N80" s="60" t="n"/>
      <c r="O80" s="60" t="n"/>
      <c r="P80" s="60" t="n"/>
      <c r="Q80" s="60" t="n"/>
      <c r="R80" s="60" t="n"/>
      <c r="S80" s="60" t="n"/>
      <c r="T80" s="60" t="n"/>
      <c r="U80" s="60" t="n"/>
      <c r="V80" s="60" t="n"/>
      <c r="W80" s="60" t="n"/>
      <c r="X80" s="60" t="n"/>
      <c r="Y80" s="60" t="n"/>
      <c r="Z80" s="61" t="n"/>
      <c r="AA80" s="63">
        <f>IF($H80="","",TODAY()-$H80)</f>
        <v/>
      </c>
      <c r="AB80" s="63">
        <f>IF($A80="","",IF(AND($F80="Yes",OR($U80="No",$U80="NOT FOUND")),"YES",""))</f>
        <v/>
      </c>
      <c r="AC80" s="66">
        <f>IF($A80="","",TRIM(IF(AND($P80=0,$L80&lt;&gt;"Yes"),"T0-NoSmartcard ","")&amp;IF(AND($J80&lt;&gt;"",$J80&gt;365),"StalePwd ","")&amp;IF($K80="Yes","PwdNeverExpires ","")&amp;IF(AND($S80&lt;&gt;"",$S80&lt;&gt;"None"),"Delegation ","")&amp;IF(AND($Q80=1,$O80="None"),"StaleAdminCount ","")&amp;IF(AND($F80="Yes",$H80=""),"NeverLoggedOn ","")))</f>
        <v/>
      </c>
      <c r="AD80" s="60" t="n"/>
      <c r="AE80" s="61" t="n"/>
      <c r="AF80" s="60" t="n"/>
      <c r="AG80" s="62" t="n"/>
      <c r="AH80" s="62" t="n"/>
      <c r="AI80" s="62" t="n"/>
      <c r="AJ80" s="60" t="n"/>
      <c r="AK80" s="61" t="n"/>
      <c r="AL80" s="63">
        <f>IF($A80="","",IF(AH80="","Not Enrolled",IF(TODAY()&gt;AH80,"Review Overdue",IF(AH80-TODAY()&lt;=30,"Review Due Soon","Active"))))</f>
        <v/>
      </c>
      <c r="AM80" s="63">
        <f>IF($A80="","",IF(AI80="","NOT REVIEWED",IF(TODAY()-AI80&gt;90,"OVERDUE",IF(TODAY()-AI80&gt;76,"Due Soon","Current"))))</f>
        <v/>
      </c>
    </row>
    <row r="81" ht="15" customHeight="1" s="39">
      <c r="A81" s="60" t="n"/>
      <c r="B81" s="60" t="n"/>
      <c r="C81" s="61" t="n"/>
      <c r="D81" s="61" t="n"/>
      <c r="E81" s="60" t="n"/>
      <c r="F81" s="60" t="n"/>
      <c r="G81" s="62" t="n"/>
      <c r="H81" s="62" t="n"/>
      <c r="I81" s="62" t="n"/>
      <c r="J81" s="60" t="n"/>
      <c r="K81" s="60" t="n"/>
      <c r="L81" s="60" t="n"/>
      <c r="M81" s="61" t="n"/>
      <c r="N81" s="60" t="n"/>
      <c r="O81" s="60" t="n"/>
      <c r="P81" s="60" t="n"/>
      <c r="Q81" s="60" t="n"/>
      <c r="R81" s="60" t="n"/>
      <c r="S81" s="60" t="n"/>
      <c r="T81" s="60" t="n"/>
      <c r="U81" s="60" t="n"/>
      <c r="V81" s="60" t="n"/>
      <c r="W81" s="60" t="n"/>
      <c r="X81" s="60" t="n"/>
      <c r="Y81" s="60" t="n"/>
      <c r="Z81" s="61" t="n"/>
      <c r="AA81" s="63">
        <f>IF($H81="","",TODAY()-$H81)</f>
        <v/>
      </c>
      <c r="AB81" s="63">
        <f>IF($A81="","",IF(AND($F81="Yes",OR($U81="No",$U81="NOT FOUND")),"YES",""))</f>
        <v/>
      </c>
      <c r="AC81" s="66">
        <f>IF($A81="","",TRIM(IF(AND($P81=0,$L81&lt;&gt;"Yes"),"T0-NoSmartcard ","")&amp;IF(AND($J81&lt;&gt;"",$J81&gt;365),"StalePwd ","")&amp;IF($K81="Yes","PwdNeverExpires ","")&amp;IF(AND($S81&lt;&gt;"",$S81&lt;&gt;"None"),"Delegation ","")&amp;IF(AND($Q81=1,$O81="None"),"StaleAdminCount ","")&amp;IF(AND($F81="Yes",$H81=""),"NeverLoggedOn ","")))</f>
        <v/>
      </c>
      <c r="AD81" s="60" t="n"/>
      <c r="AE81" s="61" t="n"/>
      <c r="AF81" s="60" t="n"/>
      <c r="AG81" s="62" t="n"/>
      <c r="AH81" s="62" t="n"/>
      <c r="AI81" s="62" t="n"/>
      <c r="AJ81" s="60" t="n"/>
      <c r="AK81" s="61" t="n"/>
      <c r="AL81" s="63">
        <f>IF($A81="","",IF(AH81="","Not Enrolled",IF(TODAY()&gt;AH81,"Review Overdue",IF(AH81-TODAY()&lt;=30,"Review Due Soon","Active"))))</f>
        <v/>
      </c>
      <c r="AM81" s="63">
        <f>IF($A81="","",IF(AI81="","NOT REVIEWED",IF(TODAY()-AI81&gt;90,"OVERDUE",IF(TODAY()-AI81&gt;76,"Due Soon","Current"))))</f>
        <v/>
      </c>
    </row>
    <row r="82" ht="15" customHeight="1" s="39">
      <c r="A82" s="60" t="n"/>
      <c r="B82" s="60" t="n"/>
      <c r="C82" s="61" t="n"/>
      <c r="D82" s="61" t="n"/>
      <c r="E82" s="60" t="n"/>
      <c r="F82" s="60" t="n"/>
      <c r="G82" s="62" t="n"/>
      <c r="H82" s="62" t="n"/>
      <c r="I82" s="62" t="n"/>
      <c r="J82" s="60" t="n"/>
      <c r="K82" s="60" t="n"/>
      <c r="L82" s="60" t="n"/>
      <c r="M82" s="61" t="n"/>
      <c r="N82" s="60" t="n"/>
      <c r="O82" s="60" t="n"/>
      <c r="P82" s="60" t="n"/>
      <c r="Q82" s="60" t="n"/>
      <c r="R82" s="60" t="n"/>
      <c r="S82" s="60" t="n"/>
      <c r="T82" s="60" t="n"/>
      <c r="U82" s="60" t="n"/>
      <c r="V82" s="60" t="n"/>
      <c r="W82" s="60" t="n"/>
      <c r="X82" s="60" t="n"/>
      <c r="Y82" s="60" t="n"/>
      <c r="Z82" s="61" t="n"/>
      <c r="AA82" s="63">
        <f>IF($H82="","",TODAY()-$H82)</f>
        <v/>
      </c>
      <c r="AB82" s="63">
        <f>IF($A82="","",IF(AND($F82="Yes",OR($U82="No",$U82="NOT FOUND")),"YES",""))</f>
        <v/>
      </c>
      <c r="AC82" s="66">
        <f>IF($A82="","",TRIM(IF(AND($P82=0,$L82&lt;&gt;"Yes"),"T0-NoSmartcard ","")&amp;IF(AND($J82&lt;&gt;"",$J82&gt;365),"StalePwd ","")&amp;IF($K82="Yes","PwdNeverExpires ","")&amp;IF(AND($S82&lt;&gt;"",$S82&lt;&gt;"None"),"Delegation ","")&amp;IF(AND($Q82=1,$O82="None"),"StaleAdminCount ","")&amp;IF(AND($F82="Yes",$H82=""),"NeverLoggedOn ","")))</f>
        <v/>
      </c>
      <c r="AD82" s="60" t="n"/>
      <c r="AE82" s="61" t="n"/>
      <c r="AF82" s="60" t="n"/>
      <c r="AG82" s="62" t="n"/>
      <c r="AH82" s="62" t="n"/>
      <c r="AI82" s="62" t="n"/>
      <c r="AJ82" s="60" t="n"/>
      <c r="AK82" s="61" t="n"/>
      <c r="AL82" s="63">
        <f>IF($A82="","",IF(AH82="","Not Enrolled",IF(TODAY()&gt;AH82,"Review Overdue",IF(AH82-TODAY()&lt;=30,"Review Due Soon","Active"))))</f>
        <v/>
      </c>
      <c r="AM82" s="63">
        <f>IF($A82="","",IF(AI82="","NOT REVIEWED",IF(TODAY()-AI82&gt;90,"OVERDUE",IF(TODAY()-AI82&gt;76,"Due Soon","Current"))))</f>
        <v/>
      </c>
    </row>
    <row r="83" ht="15" customHeight="1" s="39">
      <c r="A83" s="60" t="n"/>
      <c r="B83" s="60" t="n"/>
      <c r="C83" s="61" t="n"/>
      <c r="D83" s="61" t="n"/>
      <c r="E83" s="60" t="n"/>
      <c r="F83" s="60" t="n"/>
      <c r="G83" s="62" t="n"/>
      <c r="H83" s="62" t="n"/>
      <c r="I83" s="62" t="n"/>
      <c r="J83" s="60" t="n"/>
      <c r="K83" s="60" t="n"/>
      <c r="L83" s="60" t="n"/>
      <c r="M83" s="61" t="n"/>
      <c r="N83" s="60" t="n"/>
      <c r="O83" s="60" t="n"/>
      <c r="P83" s="60" t="n"/>
      <c r="Q83" s="60" t="n"/>
      <c r="R83" s="60" t="n"/>
      <c r="S83" s="60" t="n"/>
      <c r="T83" s="60" t="n"/>
      <c r="U83" s="60" t="n"/>
      <c r="V83" s="60" t="n"/>
      <c r="W83" s="60" t="n"/>
      <c r="X83" s="60" t="n"/>
      <c r="Y83" s="60" t="n"/>
      <c r="Z83" s="61" t="n"/>
      <c r="AA83" s="63">
        <f>IF($H83="","",TODAY()-$H83)</f>
        <v/>
      </c>
      <c r="AB83" s="63">
        <f>IF($A83="","",IF(AND($F83="Yes",OR($U83="No",$U83="NOT FOUND")),"YES",""))</f>
        <v/>
      </c>
      <c r="AC83" s="66">
        <f>IF($A83="","",TRIM(IF(AND($P83=0,$L83&lt;&gt;"Yes"),"T0-NoSmartcard ","")&amp;IF(AND($J83&lt;&gt;"",$J83&gt;365),"StalePwd ","")&amp;IF($K83="Yes","PwdNeverExpires ","")&amp;IF(AND($S83&lt;&gt;"",$S83&lt;&gt;"None"),"Delegation ","")&amp;IF(AND($Q83=1,$O83="None"),"StaleAdminCount ","")&amp;IF(AND($F83="Yes",$H83=""),"NeverLoggedOn ","")))</f>
        <v/>
      </c>
      <c r="AD83" s="60" t="n"/>
      <c r="AE83" s="61" t="n"/>
      <c r="AF83" s="60" t="n"/>
      <c r="AG83" s="62" t="n"/>
      <c r="AH83" s="62" t="n"/>
      <c r="AI83" s="62" t="n"/>
      <c r="AJ83" s="60" t="n"/>
      <c r="AK83" s="61" t="n"/>
      <c r="AL83" s="63">
        <f>IF($A83="","",IF(AH83="","Not Enrolled",IF(TODAY()&gt;AH83,"Review Overdue",IF(AH83-TODAY()&lt;=30,"Review Due Soon","Active"))))</f>
        <v/>
      </c>
      <c r="AM83" s="63">
        <f>IF($A83="","",IF(AI83="","NOT REVIEWED",IF(TODAY()-AI83&gt;90,"OVERDUE",IF(TODAY()-AI83&gt;76,"Due Soon","Current"))))</f>
        <v/>
      </c>
    </row>
    <row r="84" ht="15" customHeight="1" s="39">
      <c r="A84" s="60" t="n"/>
      <c r="B84" s="60" t="n"/>
      <c r="C84" s="61" t="n"/>
      <c r="D84" s="61" t="n"/>
      <c r="E84" s="60" t="n"/>
      <c r="F84" s="60" t="n"/>
      <c r="G84" s="62" t="n"/>
      <c r="H84" s="62" t="n"/>
      <c r="I84" s="62" t="n"/>
      <c r="J84" s="60" t="n"/>
      <c r="K84" s="60" t="n"/>
      <c r="L84" s="60" t="n"/>
      <c r="M84" s="61" t="n"/>
      <c r="N84" s="60" t="n"/>
      <c r="O84" s="60" t="n"/>
      <c r="P84" s="60" t="n"/>
      <c r="Q84" s="60" t="n"/>
      <c r="R84" s="60" t="n"/>
      <c r="S84" s="60" t="n"/>
      <c r="T84" s="60" t="n"/>
      <c r="U84" s="60" t="n"/>
      <c r="V84" s="60" t="n"/>
      <c r="W84" s="60" t="n"/>
      <c r="X84" s="60" t="n"/>
      <c r="Y84" s="60" t="n"/>
      <c r="Z84" s="61" t="n"/>
      <c r="AA84" s="63">
        <f>IF($H84="","",TODAY()-$H84)</f>
        <v/>
      </c>
      <c r="AB84" s="63">
        <f>IF($A84="","",IF(AND($F84="Yes",OR($U84="No",$U84="NOT FOUND")),"YES",""))</f>
        <v/>
      </c>
      <c r="AC84" s="66">
        <f>IF($A84="","",TRIM(IF(AND($P84=0,$L84&lt;&gt;"Yes"),"T0-NoSmartcard ","")&amp;IF(AND($J84&lt;&gt;"",$J84&gt;365),"StalePwd ","")&amp;IF($K84="Yes","PwdNeverExpires ","")&amp;IF(AND($S84&lt;&gt;"",$S84&lt;&gt;"None"),"Delegation ","")&amp;IF(AND($Q84=1,$O84="None"),"StaleAdminCount ","")&amp;IF(AND($F84="Yes",$H84=""),"NeverLoggedOn ","")))</f>
        <v/>
      </c>
      <c r="AD84" s="60" t="n"/>
      <c r="AE84" s="61" t="n"/>
      <c r="AF84" s="60" t="n"/>
      <c r="AG84" s="62" t="n"/>
      <c r="AH84" s="62" t="n"/>
      <c r="AI84" s="62" t="n"/>
      <c r="AJ84" s="60" t="n"/>
      <c r="AK84" s="61" t="n"/>
      <c r="AL84" s="63">
        <f>IF($A84="","",IF(AH84="","Not Enrolled",IF(TODAY()&gt;AH84,"Review Overdue",IF(AH84-TODAY()&lt;=30,"Review Due Soon","Active"))))</f>
        <v/>
      </c>
      <c r="AM84" s="63">
        <f>IF($A84="","",IF(AI84="","NOT REVIEWED",IF(TODAY()-AI84&gt;90,"OVERDUE",IF(TODAY()-AI84&gt;76,"Due Soon","Current"))))</f>
        <v/>
      </c>
    </row>
    <row r="85" ht="15" customHeight="1" s="39">
      <c r="A85" s="60" t="n"/>
      <c r="B85" s="60" t="n"/>
      <c r="C85" s="61" t="n"/>
      <c r="D85" s="61" t="n"/>
      <c r="E85" s="60" t="n"/>
      <c r="F85" s="60" t="n"/>
      <c r="G85" s="62" t="n"/>
      <c r="H85" s="62" t="n"/>
      <c r="I85" s="62" t="n"/>
      <c r="J85" s="60" t="n"/>
      <c r="K85" s="60" t="n"/>
      <c r="L85" s="60" t="n"/>
      <c r="M85" s="61" t="n"/>
      <c r="N85" s="60" t="n"/>
      <c r="O85" s="60" t="n"/>
      <c r="P85" s="60" t="n"/>
      <c r="Q85" s="60" t="n"/>
      <c r="R85" s="60" t="n"/>
      <c r="S85" s="60" t="n"/>
      <c r="T85" s="60" t="n"/>
      <c r="U85" s="60" t="n"/>
      <c r="V85" s="60" t="n"/>
      <c r="W85" s="60" t="n"/>
      <c r="X85" s="60" t="n"/>
      <c r="Y85" s="60" t="n"/>
      <c r="Z85" s="61" t="n"/>
      <c r="AA85" s="63">
        <f>IF($H85="","",TODAY()-$H85)</f>
        <v/>
      </c>
      <c r="AB85" s="63">
        <f>IF($A85="","",IF(AND($F85="Yes",OR($U85="No",$U85="NOT FOUND")),"YES",""))</f>
        <v/>
      </c>
      <c r="AC85" s="66">
        <f>IF($A85="","",TRIM(IF(AND($P85=0,$L85&lt;&gt;"Yes"),"T0-NoSmartcard ","")&amp;IF(AND($J85&lt;&gt;"",$J85&gt;365),"StalePwd ","")&amp;IF($K85="Yes","PwdNeverExpires ","")&amp;IF(AND($S85&lt;&gt;"",$S85&lt;&gt;"None"),"Delegation ","")&amp;IF(AND($Q85=1,$O85="None"),"StaleAdminCount ","")&amp;IF(AND($F85="Yes",$H85=""),"NeverLoggedOn ","")))</f>
        <v/>
      </c>
      <c r="AD85" s="60" t="n"/>
      <c r="AE85" s="61" t="n"/>
      <c r="AF85" s="60" t="n"/>
      <c r="AG85" s="62" t="n"/>
      <c r="AH85" s="62" t="n"/>
      <c r="AI85" s="62" t="n"/>
      <c r="AJ85" s="60" t="n"/>
      <c r="AK85" s="61" t="n"/>
      <c r="AL85" s="63">
        <f>IF($A85="","",IF(AH85="","Not Enrolled",IF(TODAY()&gt;AH85,"Review Overdue",IF(AH85-TODAY()&lt;=30,"Review Due Soon","Active"))))</f>
        <v/>
      </c>
      <c r="AM85" s="63">
        <f>IF($A85="","",IF(AI85="","NOT REVIEWED",IF(TODAY()-AI85&gt;90,"OVERDUE",IF(TODAY()-AI85&gt;76,"Due Soon","Current"))))</f>
        <v/>
      </c>
    </row>
    <row r="86" ht="15" customHeight="1" s="39">
      <c r="A86" s="60" t="n"/>
      <c r="B86" s="60" t="n"/>
      <c r="C86" s="61" t="n"/>
      <c r="D86" s="61" t="n"/>
      <c r="E86" s="60" t="n"/>
      <c r="F86" s="60" t="n"/>
      <c r="G86" s="62" t="n"/>
      <c r="H86" s="62" t="n"/>
      <c r="I86" s="62" t="n"/>
      <c r="J86" s="60" t="n"/>
      <c r="K86" s="60" t="n"/>
      <c r="L86" s="60" t="n"/>
      <c r="M86" s="61" t="n"/>
      <c r="N86" s="60" t="n"/>
      <c r="O86" s="60" t="n"/>
      <c r="P86" s="60" t="n"/>
      <c r="Q86" s="60" t="n"/>
      <c r="R86" s="60" t="n"/>
      <c r="S86" s="60" t="n"/>
      <c r="T86" s="60" t="n"/>
      <c r="U86" s="60" t="n"/>
      <c r="V86" s="60" t="n"/>
      <c r="W86" s="60" t="n"/>
      <c r="X86" s="60" t="n"/>
      <c r="Y86" s="60" t="n"/>
      <c r="Z86" s="61" t="n"/>
      <c r="AA86" s="63">
        <f>IF($H86="","",TODAY()-$H86)</f>
        <v/>
      </c>
      <c r="AB86" s="63">
        <f>IF($A86="","",IF(AND($F86="Yes",OR($U86="No",$U86="NOT FOUND")),"YES",""))</f>
        <v/>
      </c>
      <c r="AC86" s="66">
        <f>IF($A86="","",TRIM(IF(AND($P86=0,$L86&lt;&gt;"Yes"),"T0-NoSmartcard ","")&amp;IF(AND($J86&lt;&gt;"",$J86&gt;365),"StalePwd ","")&amp;IF($K86="Yes","PwdNeverExpires ","")&amp;IF(AND($S86&lt;&gt;"",$S86&lt;&gt;"None"),"Delegation ","")&amp;IF(AND($Q86=1,$O86="None"),"StaleAdminCount ","")&amp;IF(AND($F86="Yes",$H86=""),"NeverLoggedOn ","")))</f>
        <v/>
      </c>
      <c r="AD86" s="60" t="n"/>
      <c r="AE86" s="61" t="n"/>
      <c r="AF86" s="60" t="n"/>
      <c r="AG86" s="62" t="n"/>
      <c r="AH86" s="62" t="n"/>
      <c r="AI86" s="62" t="n"/>
      <c r="AJ86" s="60" t="n"/>
      <c r="AK86" s="61" t="n"/>
      <c r="AL86" s="63">
        <f>IF($A86="","",IF(AH86="","Not Enrolled",IF(TODAY()&gt;AH86,"Review Overdue",IF(AH86-TODAY()&lt;=30,"Review Due Soon","Active"))))</f>
        <v/>
      </c>
      <c r="AM86" s="63">
        <f>IF($A86="","",IF(AI86="","NOT REVIEWED",IF(TODAY()-AI86&gt;90,"OVERDUE",IF(TODAY()-AI86&gt;76,"Due Soon","Current"))))</f>
        <v/>
      </c>
    </row>
    <row r="87" ht="15" customHeight="1" s="39">
      <c r="A87" s="60" t="n"/>
      <c r="B87" s="60" t="n"/>
      <c r="C87" s="61" t="n"/>
      <c r="D87" s="61" t="n"/>
      <c r="E87" s="60" t="n"/>
      <c r="F87" s="60" t="n"/>
      <c r="G87" s="62" t="n"/>
      <c r="H87" s="62" t="n"/>
      <c r="I87" s="62" t="n"/>
      <c r="J87" s="60" t="n"/>
      <c r="K87" s="60" t="n"/>
      <c r="L87" s="60" t="n"/>
      <c r="M87" s="61" t="n"/>
      <c r="N87" s="60" t="n"/>
      <c r="O87" s="60" t="n"/>
      <c r="P87" s="60" t="n"/>
      <c r="Q87" s="60" t="n"/>
      <c r="R87" s="60" t="n"/>
      <c r="S87" s="60" t="n"/>
      <c r="T87" s="60" t="n"/>
      <c r="U87" s="60" t="n"/>
      <c r="V87" s="60" t="n"/>
      <c r="W87" s="60" t="n"/>
      <c r="X87" s="60" t="n"/>
      <c r="Y87" s="60" t="n"/>
      <c r="Z87" s="61" t="n"/>
      <c r="AA87" s="63">
        <f>IF($H87="","",TODAY()-$H87)</f>
        <v/>
      </c>
      <c r="AB87" s="63">
        <f>IF($A87="","",IF(AND($F87="Yes",OR($U87="No",$U87="NOT FOUND")),"YES",""))</f>
        <v/>
      </c>
      <c r="AC87" s="66">
        <f>IF($A87="","",TRIM(IF(AND($P87=0,$L87&lt;&gt;"Yes"),"T0-NoSmartcard ","")&amp;IF(AND($J87&lt;&gt;"",$J87&gt;365),"StalePwd ","")&amp;IF($K87="Yes","PwdNeverExpires ","")&amp;IF(AND($S87&lt;&gt;"",$S87&lt;&gt;"None"),"Delegation ","")&amp;IF(AND($Q87=1,$O87="None"),"StaleAdminCount ","")&amp;IF(AND($F87="Yes",$H87=""),"NeverLoggedOn ","")))</f>
        <v/>
      </c>
      <c r="AD87" s="60" t="n"/>
      <c r="AE87" s="61" t="n"/>
      <c r="AF87" s="60" t="n"/>
      <c r="AG87" s="62" t="n"/>
      <c r="AH87" s="62" t="n"/>
      <c r="AI87" s="62" t="n"/>
      <c r="AJ87" s="60" t="n"/>
      <c r="AK87" s="61" t="n"/>
      <c r="AL87" s="63">
        <f>IF($A87="","",IF(AH87="","Not Enrolled",IF(TODAY()&gt;AH87,"Review Overdue",IF(AH87-TODAY()&lt;=30,"Review Due Soon","Active"))))</f>
        <v/>
      </c>
      <c r="AM87" s="63">
        <f>IF($A87="","",IF(AI87="","NOT REVIEWED",IF(TODAY()-AI87&gt;90,"OVERDUE",IF(TODAY()-AI87&gt;76,"Due Soon","Current"))))</f>
        <v/>
      </c>
    </row>
    <row r="88" ht="15" customHeight="1" s="39">
      <c r="A88" s="60" t="n"/>
      <c r="B88" s="60" t="n"/>
      <c r="C88" s="61" t="n"/>
      <c r="D88" s="61" t="n"/>
      <c r="E88" s="60" t="n"/>
      <c r="F88" s="60" t="n"/>
      <c r="G88" s="62" t="n"/>
      <c r="H88" s="62" t="n"/>
      <c r="I88" s="62" t="n"/>
      <c r="J88" s="60" t="n"/>
      <c r="K88" s="60" t="n"/>
      <c r="L88" s="60" t="n"/>
      <c r="M88" s="61" t="n"/>
      <c r="N88" s="60" t="n"/>
      <c r="O88" s="60" t="n"/>
      <c r="P88" s="60" t="n"/>
      <c r="Q88" s="60" t="n"/>
      <c r="R88" s="60" t="n"/>
      <c r="S88" s="60" t="n"/>
      <c r="T88" s="60" t="n"/>
      <c r="U88" s="60" t="n"/>
      <c r="V88" s="60" t="n"/>
      <c r="W88" s="60" t="n"/>
      <c r="X88" s="60" t="n"/>
      <c r="Y88" s="60" t="n"/>
      <c r="Z88" s="61" t="n"/>
      <c r="AA88" s="63">
        <f>IF($H88="","",TODAY()-$H88)</f>
        <v/>
      </c>
      <c r="AB88" s="63">
        <f>IF($A88="","",IF(AND($F88="Yes",OR($U88="No",$U88="NOT FOUND")),"YES",""))</f>
        <v/>
      </c>
      <c r="AC88" s="66">
        <f>IF($A88="","",TRIM(IF(AND($P88=0,$L88&lt;&gt;"Yes"),"T0-NoSmartcard ","")&amp;IF(AND($J88&lt;&gt;"",$J88&gt;365),"StalePwd ","")&amp;IF($K88="Yes","PwdNeverExpires ","")&amp;IF(AND($S88&lt;&gt;"",$S88&lt;&gt;"None"),"Delegation ","")&amp;IF(AND($Q88=1,$O88="None"),"StaleAdminCount ","")&amp;IF(AND($F88="Yes",$H88=""),"NeverLoggedOn ","")))</f>
        <v/>
      </c>
      <c r="AD88" s="60" t="n"/>
      <c r="AE88" s="61" t="n"/>
      <c r="AF88" s="60" t="n"/>
      <c r="AG88" s="62" t="n"/>
      <c r="AH88" s="62" t="n"/>
      <c r="AI88" s="62" t="n"/>
      <c r="AJ88" s="60" t="n"/>
      <c r="AK88" s="61" t="n"/>
      <c r="AL88" s="63">
        <f>IF($A88="","",IF(AH88="","Not Enrolled",IF(TODAY()&gt;AH88,"Review Overdue",IF(AH88-TODAY()&lt;=30,"Review Due Soon","Active"))))</f>
        <v/>
      </c>
      <c r="AM88" s="63">
        <f>IF($A88="","",IF(AI88="","NOT REVIEWED",IF(TODAY()-AI88&gt;90,"OVERDUE",IF(TODAY()-AI88&gt;76,"Due Soon","Current"))))</f>
        <v/>
      </c>
    </row>
    <row r="89" ht="15" customHeight="1" s="39">
      <c r="A89" s="60" t="n"/>
      <c r="B89" s="60" t="n"/>
      <c r="C89" s="61" t="n"/>
      <c r="D89" s="61" t="n"/>
      <c r="E89" s="60" t="n"/>
      <c r="F89" s="60" t="n"/>
      <c r="G89" s="62" t="n"/>
      <c r="H89" s="62" t="n"/>
      <c r="I89" s="62" t="n"/>
      <c r="J89" s="60" t="n"/>
      <c r="K89" s="60" t="n"/>
      <c r="L89" s="60" t="n"/>
      <c r="M89" s="61" t="n"/>
      <c r="N89" s="60" t="n"/>
      <c r="O89" s="60" t="n"/>
      <c r="P89" s="60" t="n"/>
      <c r="Q89" s="60" t="n"/>
      <c r="R89" s="60" t="n"/>
      <c r="S89" s="60" t="n"/>
      <c r="T89" s="60" t="n"/>
      <c r="U89" s="60" t="n"/>
      <c r="V89" s="60" t="n"/>
      <c r="W89" s="60" t="n"/>
      <c r="X89" s="60" t="n"/>
      <c r="Y89" s="60" t="n"/>
      <c r="Z89" s="61" t="n"/>
      <c r="AA89" s="63">
        <f>IF($H89="","",TODAY()-$H89)</f>
        <v/>
      </c>
      <c r="AB89" s="63">
        <f>IF($A89="","",IF(AND($F89="Yes",OR($U89="No",$U89="NOT FOUND")),"YES",""))</f>
        <v/>
      </c>
      <c r="AC89" s="66">
        <f>IF($A89="","",TRIM(IF(AND($P89=0,$L89&lt;&gt;"Yes"),"T0-NoSmartcard ","")&amp;IF(AND($J89&lt;&gt;"",$J89&gt;365),"StalePwd ","")&amp;IF($K89="Yes","PwdNeverExpires ","")&amp;IF(AND($S89&lt;&gt;"",$S89&lt;&gt;"None"),"Delegation ","")&amp;IF(AND($Q89=1,$O89="None"),"StaleAdminCount ","")&amp;IF(AND($F89="Yes",$H89=""),"NeverLoggedOn ","")))</f>
        <v/>
      </c>
      <c r="AD89" s="60" t="n"/>
      <c r="AE89" s="61" t="n"/>
      <c r="AF89" s="60" t="n"/>
      <c r="AG89" s="62" t="n"/>
      <c r="AH89" s="62" t="n"/>
      <c r="AI89" s="62" t="n"/>
      <c r="AJ89" s="60" t="n"/>
      <c r="AK89" s="61" t="n"/>
      <c r="AL89" s="63">
        <f>IF($A89="","",IF(AH89="","Not Enrolled",IF(TODAY()&gt;AH89,"Review Overdue",IF(AH89-TODAY()&lt;=30,"Review Due Soon","Active"))))</f>
        <v/>
      </c>
      <c r="AM89" s="63">
        <f>IF($A89="","",IF(AI89="","NOT REVIEWED",IF(TODAY()-AI89&gt;90,"OVERDUE",IF(TODAY()-AI89&gt;76,"Due Soon","Current"))))</f>
        <v/>
      </c>
    </row>
    <row r="90" ht="15" customHeight="1" s="39">
      <c r="A90" s="60" t="n"/>
      <c r="B90" s="60" t="n"/>
      <c r="C90" s="61" t="n"/>
      <c r="D90" s="61" t="n"/>
      <c r="E90" s="60" t="n"/>
      <c r="F90" s="60" t="n"/>
      <c r="G90" s="62" t="n"/>
      <c r="H90" s="62" t="n"/>
      <c r="I90" s="62" t="n"/>
      <c r="J90" s="60" t="n"/>
      <c r="K90" s="60" t="n"/>
      <c r="L90" s="60" t="n"/>
      <c r="M90" s="61" t="n"/>
      <c r="N90" s="60" t="n"/>
      <c r="O90" s="60" t="n"/>
      <c r="P90" s="60" t="n"/>
      <c r="Q90" s="60" t="n"/>
      <c r="R90" s="60" t="n"/>
      <c r="S90" s="60" t="n"/>
      <c r="T90" s="60" t="n"/>
      <c r="U90" s="60" t="n"/>
      <c r="V90" s="60" t="n"/>
      <c r="W90" s="60" t="n"/>
      <c r="X90" s="60" t="n"/>
      <c r="Y90" s="60" t="n"/>
      <c r="Z90" s="61" t="n"/>
      <c r="AA90" s="63">
        <f>IF($H90="","",TODAY()-$H90)</f>
        <v/>
      </c>
      <c r="AB90" s="63">
        <f>IF($A90="","",IF(AND($F90="Yes",OR($U90="No",$U90="NOT FOUND")),"YES",""))</f>
        <v/>
      </c>
      <c r="AC90" s="66">
        <f>IF($A90="","",TRIM(IF(AND($P90=0,$L90&lt;&gt;"Yes"),"T0-NoSmartcard ","")&amp;IF(AND($J90&lt;&gt;"",$J90&gt;365),"StalePwd ","")&amp;IF($K90="Yes","PwdNeverExpires ","")&amp;IF(AND($S90&lt;&gt;"",$S90&lt;&gt;"None"),"Delegation ","")&amp;IF(AND($Q90=1,$O90="None"),"StaleAdminCount ","")&amp;IF(AND($F90="Yes",$H90=""),"NeverLoggedOn ","")))</f>
        <v/>
      </c>
      <c r="AD90" s="60" t="n"/>
      <c r="AE90" s="61" t="n"/>
      <c r="AF90" s="60" t="n"/>
      <c r="AG90" s="62" t="n"/>
      <c r="AH90" s="62" t="n"/>
      <c r="AI90" s="62" t="n"/>
      <c r="AJ90" s="60" t="n"/>
      <c r="AK90" s="61" t="n"/>
      <c r="AL90" s="63">
        <f>IF($A90="","",IF(AH90="","Not Enrolled",IF(TODAY()&gt;AH90,"Review Overdue",IF(AH90-TODAY()&lt;=30,"Review Due Soon","Active"))))</f>
        <v/>
      </c>
      <c r="AM90" s="63">
        <f>IF($A90="","",IF(AI90="","NOT REVIEWED",IF(TODAY()-AI90&gt;90,"OVERDUE",IF(TODAY()-AI90&gt;76,"Due Soon","Current"))))</f>
        <v/>
      </c>
    </row>
    <row r="91" ht="15" customHeight="1" s="39">
      <c r="A91" s="60" t="n"/>
      <c r="B91" s="60" t="n"/>
      <c r="C91" s="61" t="n"/>
      <c r="D91" s="61" t="n"/>
      <c r="E91" s="60" t="n"/>
      <c r="F91" s="60" t="n"/>
      <c r="G91" s="62" t="n"/>
      <c r="H91" s="62" t="n"/>
      <c r="I91" s="62" t="n"/>
      <c r="J91" s="60" t="n"/>
      <c r="K91" s="60" t="n"/>
      <c r="L91" s="60" t="n"/>
      <c r="M91" s="61" t="n"/>
      <c r="N91" s="60" t="n"/>
      <c r="O91" s="60" t="n"/>
      <c r="P91" s="60" t="n"/>
      <c r="Q91" s="60" t="n"/>
      <c r="R91" s="60" t="n"/>
      <c r="S91" s="60" t="n"/>
      <c r="T91" s="60" t="n"/>
      <c r="U91" s="60" t="n"/>
      <c r="V91" s="60" t="n"/>
      <c r="W91" s="60" t="n"/>
      <c r="X91" s="60" t="n"/>
      <c r="Y91" s="60" t="n"/>
      <c r="Z91" s="61" t="n"/>
      <c r="AA91" s="63">
        <f>IF($H91="","",TODAY()-$H91)</f>
        <v/>
      </c>
      <c r="AB91" s="63">
        <f>IF($A91="","",IF(AND($F91="Yes",OR($U91="No",$U91="NOT FOUND")),"YES",""))</f>
        <v/>
      </c>
      <c r="AC91" s="66">
        <f>IF($A91="","",TRIM(IF(AND($P91=0,$L91&lt;&gt;"Yes"),"T0-NoSmartcard ","")&amp;IF(AND($J91&lt;&gt;"",$J91&gt;365),"StalePwd ","")&amp;IF($K91="Yes","PwdNeverExpires ","")&amp;IF(AND($S91&lt;&gt;"",$S91&lt;&gt;"None"),"Delegation ","")&amp;IF(AND($Q91=1,$O91="None"),"StaleAdminCount ","")&amp;IF(AND($F91="Yes",$H91=""),"NeverLoggedOn ","")))</f>
        <v/>
      </c>
      <c r="AD91" s="60" t="n"/>
      <c r="AE91" s="61" t="n"/>
      <c r="AF91" s="60" t="n"/>
      <c r="AG91" s="62" t="n"/>
      <c r="AH91" s="62" t="n"/>
      <c r="AI91" s="62" t="n"/>
      <c r="AJ91" s="60" t="n"/>
      <c r="AK91" s="61" t="n"/>
      <c r="AL91" s="63">
        <f>IF($A91="","",IF(AH91="","Not Enrolled",IF(TODAY()&gt;AH91,"Review Overdue",IF(AH91-TODAY()&lt;=30,"Review Due Soon","Active"))))</f>
        <v/>
      </c>
      <c r="AM91" s="63">
        <f>IF($A91="","",IF(AI91="","NOT REVIEWED",IF(TODAY()-AI91&gt;90,"OVERDUE",IF(TODAY()-AI91&gt;76,"Due Soon","Current"))))</f>
        <v/>
      </c>
    </row>
    <row r="92" ht="15" customHeight="1" s="39">
      <c r="A92" s="60" t="n"/>
      <c r="B92" s="60" t="n"/>
      <c r="C92" s="61" t="n"/>
      <c r="D92" s="61" t="n"/>
      <c r="E92" s="60" t="n"/>
      <c r="F92" s="60" t="n"/>
      <c r="G92" s="62" t="n"/>
      <c r="H92" s="62" t="n"/>
      <c r="I92" s="62" t="n"/>
      <c r="J92" s="60" t="n"/>
      <c r="K92" s="60" t="n"/>
      <c r="L92" s="60" t="n"/>
      <c r="M92" s="61" t="n"/>
      <c r="N92" s="60" t="n"/>
      <c r="O92" s="60" t="n"/>
      <c r="P92" s="60" t="n"/>
      <c r="Q92" s="60" t="n"/>
      <c r="R92" s="60" t="n"/>
      <c r="S92" s="60" t="n"/>
      <c r="T92" s="60" t="n"/>
      <c r="U92" s="60" t="n"/>
      <c r="V92" s="60" t="n"/>
      <c r="W92" s="60" t="n"/>
      <c r="X92" s="60" t="n"/>
      <c r="Y92" s="60" t="n"/>
      <c r="Z92" s="61" t="n"/>
      <c r="AA92" s="63">
        <f>IF($H92="","",TODAY()-$H92)</f>
        <v/>
      </c>
      <c r="AB92" s="63">
        <f>IF($A92="","",IF(AND($F92="Yes",OR($U92="No",$U92="NOT FOUND")),"YES",""))</f>
        <v/>
      </c>
      <c r="AC92" s="66">
        <f>IF($A92="","",TRIM(IF(AND($P92=0,$L92&lt;&gt;"Yes"),"T0-NoSmartcard ","")&amp;IF(AND($J92&lt;&gt;"",$J92&gt;365),"StalePwd ","")&amp;IF($K92="Yes","PwdNeverExpires ","")&amp;IF(AND($S92&lt;&gt;"",$S92&lt;&gt;"None"),"Delegation ","")&amp;IF(AND($Q92=1,$O92="None"),"StaleAdminCount ","")&amp;IF(AND($F92="Yes",$H92=""),"NeverLoggedOn ","")))</f>
        <v/>
      </c>
      <c r="AD92" s="60" t="n"/>
      <c r="AE92" s="61" t="n"/>
      <c r="AF92" s="60" t="n"/>
      <c r="AG92" s="62" t="n"/>
      <c r="AH92" s="62" t="n"/>
      <c r="AI92" s="62" t="n"/>
      <c r="AJ92" s="60" t="n"/>
      <c r="AK92" s="61" t="n"/>
      <c r="AL92" s="63">
        <f>IF($A92="","",IF(AH92="","Not Enrolled",IF(TODAY()&gt;AH92,"Review Overdue",IF(AH92-TODAY()&lt;=30,"Review Due Soon","Active"))))</f>
        <v/>
      </c>
      <c r="AM92" s="63">
        <f>IF($A92="","",IF(AI92="","NOT REVIEWED",IF(TODAY()-AI92&gt;90,"OVERDUE",IF(TODAY()-AI92&gt;76,"Due Soon","Current"))))</f>
        <v/>
      </c>
    </row>
    <row r="93" ht="15" customHeight="1" s="39">
      <c r="A93" s="60" t="n"/>
      <c r="B93" s="60" t="n"/>
      <c r="C93" s="61" t="n"/>
      <c r="D93" s="61" t="n"/>
      <c r="E93" s="60" t="n"/>
      <c r="F93" s="60" t="n"/>
      <c r="G93" s="62" t="n"/>
      <c r="H93" s="62" t="n"/>
      <c r="I93" s="62" t="n"/>
      <c r="J93" s="60" t="n"/>
      <c r="K93" s="60" t="n"/>
      <c r="L93" s="60" t="n"/>
      <c r="M93" s="61" t="n"/>
      <c r="N93" s="60" t="n"/>
      <c r="O93" s="60" t="n"/>
      <c r="P93" s="60" t="n"/>
      <c r="Q93" s="60" t="n"/>
      <c r="R93" s="60" t="n"/>
      <c r="S93" s="60" t="n"/>
      <c r="T93" s="60" t="n"/>
      <c r="U93" s="60" t="n"/>
      <c r="V93" s="60" t="n"/>
      <c r="W93" s="60" t="n"/>
      <c r="X93" s="60" t="n"/>
      <c r="Y93" s="60" t="n"/>
      <c r="Z93" s="61" t="n"/>
      <c r="AA93" s="63">
        <f>IF($H93="","",TODAY()-$H93)</f>
        <v/>
      </c>
      <c r="AB93" s="63">
        <f>IF($A93="","",IF(AND($F93="Yes",OR($U93="No",$U93="NOT FOUND")),"YES",""))</f>
        <v/>
      </c>
      <c r="AC93" s="66">
        <f>IF($A93="","",TRIM(IF(AND($P93=0,$L93&lt;&gt;"Yes"),"T0-NoSmartcard ","")&amp;IF(AND($J93&lt;&gt;"",$J93&gt;365),"StalePwd ","")&amp;IF($K93="Yes","PwdNeverExpires ","")&amp;IF(AND($S93&lt;&gt;"",$S93&lt;&gt;"None"),"Delegation ","")&amp;IF(AND($Q93=1,$O93="None"),"StaleAdminCount ","")&amp;IF(AND($F93="Yes",$H93=""),"NeverLoggedOn ","")))</f>
        <v/>
      </c>
      <c r="AD93" s="60" t="n"/>
      <c r="AE93" s="61" t="n"/>
      <c r="AF93" s="60" t="n"/>
      <c r="AG93" s="62" t="n"/>
      <c r="AH93" s="62" t="n"/>
      <c r="AI93" s="62" t="n"/>
      <c r="AJ93" s="60" t="n"/>
      <c r="AK93" s="61" t="n"/>
      <c r="AL93" s="63">
        <f>IF($A93="","",IF(AH93="","Not Enrolled",IF(TODAY()&gt;AH93,"Review Overdue",IF(AH93-TODAY()&lt;=30,"Review Due Soon","Active"))))</f>
        <v/>
      </c>
      <c r="AM93" s="63">
        <f>IF($A93="","",IF(AI93="","NOT REVIEWED",IF(TODAY()-AI93&gt;90,"OVERDUE",IF(TODAY()-AI93&gt;76,"Due Soon","Current"))))</f>
        <v/>
      </c>
    </row>
    <row r="94" ht="15" customHeight="1" s="39">
      <c r="A94" s="60" t="n"/>
      <c r="B94" s="60" t="n"/>
      <c r="C94" s="61" t="n"/>
      <c r="D94" s="61" t="n"/>
      <c r="E94" s="60" t="n"/>
      <c r="F94" s="60" t="n"/>
      <c r="G94" s="62" t="n"/>
      <c r="H94" s="62" t="n"/>
      <c r="I94" s="62" t="n"/>
      <c r="J94" s="60" t="n"/>
      <c r="K94" s="60" t="n"/>
      <c r="L94" s="60" t="n"/>
      <c r="M94" s="61" t="n"/>
      <c r="N94" s="60" t="n"/>
      <c r="O94" s="60" t="n"/>
      <c r="P94" s="60" t="n"/>
      <c r="Q94" s="60" t="n"/>
      <c r="R94" s="60" t="n"/>
      <c r="S94" s="60" t="n"/>
      <c r="T94" s="60" t="n"/>
      <c r="U94" s="60" t="n"/>
      <c r="V94" s="60" t="n"/>
      <c r="W94" s="60" t="n"/>
      <c r="X94" s="60" t="n"/>
      <c r="Y94" s="60" t="n"/>
      <c r="Z94" s="61" t="n"/>
      <c r="AA94" s="63">
        <f>IF($H94="","",TODAY()-$H94)</f>
        <v/>
      </c>
      <c r="AB94" s="63">
        <f>IF($A94="","",IF(AND($F94="Yes",OR($U94="No",$U94="NOT FOUND")),"YES",""))</f>
        <v/>
      </c>
      <c r="AC94" s="66">
        <f>IF($A94="","",TRIM(IF(AND($P94=0,$L94&lt;&gt;"Yes"),"T0-NoSmartcard ","")&amp;IF(AND($J94&lt;&gt;"",$J94&gt;365),"StalePwd ","")&amp;IF($K94="Yes","PwdNeverExpires ","")&amp;IF(AND($S94&lt;&gt;"",$S94&lt;&gt;"None"),"Delegation ","")&amp;IF(AND($Q94=1,$O94="None"),"StaleAdminCount ","")&amp;IF(AND($F94="Yes",$H94=""),"NeverLoggedOn ","")))</f>
        <v/>
      </c>
      <c r="AD94" s="60" t="n"/>
      <c r="AE94" s="61" t="n"/>
      <c r="AF94" s="60" t="n"/>
      <c r="AG94" s="62" t="n"/>
      <c r="AH94" s="62" t="n"/>
      <c r="AI94" s="62" t="n"/>
      <c r="AJ94" s="60" t="n"/>
      <c r="AK94" s="61" t="n"/>
      <c r="AL94" s="63">
        <f>IF($A94="","",IF(AH94="","Not Enrolled",IF(TODAY()&gt;AH94,"Review Overdue",IF(AH94-TODAY()&lt;=30,"Review Due Soon","Active"))))</f>
        <v/>
      </c>
      <c r="AM94" s="63">
        <f>IF($A94="","",IF(AI94="","NOT REVIEWED",IF(TODAY()-AI94&gt;90,"OVERDUE",IF(TODAY()-AI94&gt;76,"Due Soon","Current"))))</f>
        <v/>
      </c>
    </row>
    <row r="95" ht="15" customHeight="1" s="39">
      <c r="A95" s="60" t="n"/>
      <c r="B95" s="60" t="n"/>
      <c r="C95" s="61" t="n"/>
      <c r="D95" s="61" t="n"/>
      <c r="E95" s="60" t="n"/>
      <c r="F95" s="60" t="n"/>
      <c r="G95" s="62" t="n"/>
      <c r="H95" s="62" t="n"/>
      <c r="I95" s="62" t="n"/>
      <c r="J95" s="60" t="n"/>
      <c r="K95" s="60" t="n"/>
      <c r="L95" s="60" t="n"/>
      <c r="M95" s="61" t="n"/>
      <c r="N95" s="60" t="n"/>
      <c r="O95" s="60" t="n"/>
      <c r="P95" s="60" t="n"/>
      <c r="Q95" s="60" t="n"/>
      <c r="R95" s="60" t="n"/>
      <c r="S95" s="60" t="n"/>
      <c r="T95" s="60" t="n"/>
      <c r="U95" s="60" t="n"/>
      <c r="V95" s="60" t="n"/>
      <c r="W95" s="60" t="n"/>
      <c r="X95" s="60" t="n"/>
      <c r="Y95" s="60" t="n"/>
      <c r="Z95" s="61" t="n"/>
      <c r="AA95" s="63">
        <f>IF($H95="","",TODAY()-$H95)</f>
        <v/>
      </c>
      <c r="AB95" s="63">
        <f>IF($A95="","",IF(AND($F95="Yes",OR($U95="No",$U95="NOT FOUND")),"YES",""))</f>
        <v/>
      </c>
      <c r="AC95" s="66">
        <f>IF($A95="","",TRIM(IF(AND($P95=0,$L95&lt;&gt;"Yes"),"T0-NoSmartcard ","")&amp;IF(AND($J95&lt;&gt;"",$J95&gt;365),"StalePwd ","")&amp;IF($K95="Yes","PwdNeverExpires ","")&amp;IF(AND($S95&lt;&gt;"",$S95&lt;&gt;"None"),"Delegation ","")&amp;IF(AND($Q95=1,$O95="None"),"StaleAdminCount ","")&amp;IF(AND($F95="Yes",$H95=""),"NeverLoggedOn ","")))</f>
        <v/>
      </c>
      <c r="AD95" s="60" t="n"/>
      <c r="AE95" s="61" t="n"/>
      <c r="AF95" s="60" t="n"/>
      <c r="AG95" s="62" t="n"/>
      <c r="AH95" s="62" t="n"/>
      <c r="AI95" s="62" t="n"/>
      <c r="AJ95" s="60" t="n"/>
      <c r="AK95" s="61" t="n"/>
      <c r="AL95" s="63">
        <f>IF($A95="","",IF(AH95="","Not Enrolled",IF(TODAY()&gt;AH95,"Review Overdue",IF(AH95-TODAY()&lt;=30,"Review Due Soon","Active"))))</f>
        <v/>
      </c>
      <c r="AM95" s="63">
        <f>IF($A95="","",IF(AI95="","NOT REVIEWED",IF(TODAY()-AI95&gt;90,"OVERDUE",IF(TODAY()-AI95&gt;76,"Due Soon","Current"))))</f>
        <v/>
      </c>
    </row>
    <row r="96" ht="15" customHeight="1" s="39">
      <c r="A96" s="60" t="n"/>
      <c r="B96" s="60" t="n"/>
      <c r="C96" s="61" t="n"/>
      <c r="D96" s="61" t="n"/>
      <c r="E96" s="60" t="n"/>
      <c r="F96" s="60" t="n"/>
      <c r="G96" s="62" t="n"/>
      <c r="H96" s="62" t="n"/>
      <c r="I96" s="62" t="n"/>
      <c r="J96" s="60" t="n"/>
      <c r="K96" s="60" t="n"/>
      <c r="L96" s="60" t="n"/>
      <c r="M96" s="61" t="n"/>
      <c r="N96" s="60" t="n"/>
      <c r="O96" s="60" t="n"/>
      <c r="P96" s="60" t="n"/>
      <c r="Q96" s="60" t="n"/>
      <c r="R96" s="60" t="n"/>
      <c r="S96" s="60" t="n"/>
      <c r="T96" s="60" t="n"/>
      <c r="U96" s="60" t="n"/>
      <c r="V96" s="60" t="n"/>
      <c r="W96" s="60" t="n"/>
      <c r="X96" s="60" t="n"/>
      <c r="Y96" s="60" t="n"/>
      <c r="Z96" s="61" t="n"/>
      <c r="AA96" s="63">
        <f>IF($H96="","",TODAY()-$H96)</f>
        <v/>
      </c>
      <c r="AB96" s="63">
        <f>IF($A96="","",IF(AND($F96="Yes",OR($U96="No",$U96="NOT FOUND")),"YES",""))</f>
        <v/>
      </c>
      <c r="AC96" s="66">
        <f>IF($A96="","",TRIM(IF(AND($P96=0,$L96&lt;&gt;"Yes"),"T0-NoSmartcard ","")&amp;IF(AND($J96&lt;&gt;"",$J96&gt;365),"StalePwd ","")&amp;IF($K96="Yes","PwdNeverExpires ","")&amp;IF(AND($S96&lt;&gt;"",$S96&lt;&gt;"None"),"Delegation ","")&amp;IF(AND($Q96=1,$O96="None"),"StaleAdminCount ","")&amp;IF(AND($F96="Yes",$H96=""),"NeverLoggedOn ","")))</f>
        <v/>
      </c>
      <c r="AD96" s="60" t="n"/>
      <c r="AE96" s="61" t="n"/>
      <c r="AF96" s="60" t="n"/>
      <c r="AG96" s="62" t="n"/>
      <c r="AH96" s="62" t="n"/>
      <c r="AI96" s="62" t="n"/>
      <c r="AJ96" s="60" t="n"/>
      <c r="AK96" s="61" t="n"/>
      <c r="AL96" s="63">
        <f>IF($A96="","",IF(AH96="","Not Enrolled",IF(TODAY()&gt;AH96,"Review Overdue",IF(AH96-TODAY()&lt;=30,"Review Due Soon","Active"))))</f>
        <v/>
      </c>
      <c r="AM96" s="63">
        <f>IF($A96="","",IF(AI96="","NOT REVIEWED",IF(TODAY()-AI96&gt;90,"OVERDUE",IF(TODAY()-AI96&gt;76,"Due Soon","Current"))))</f>
        <v/>
      </c>
    </row>
    <row r="97" ht="15" customHeight="1" s="39">
      <c r="A97" s="60" t="n"/>
      <c r="B97" s="60" t="n"/>
      <c r="C97" s="61" t="n"/>
      <c r="D97" s="61" t="n"/>
      <c r="E97" s="60" t="n"/>
      <c r="F97" s="60" t="n"/>
      <c r="G97" s="62" t="n"/>
      <c r="H97" s="62" t="n"/>
      <c r="I97" s="62" t="n"/>
      <c r="J97" s="60" t="n"/>
      <c r="K97" s="60" t="n"/>
      <c r="L97" s="60" t="n"/>
      <c r="M97" s="61" t="n"/>
      <c r="N97" s="60" t="n"/>
      <c r="O97" s="60" t="n"/>
      <c r="P97" s="60" t="n"/>
      <c r="Q97" s="60" t="n"/>
      <c r="R97" s="60" t="n"/>
      <c r="S97" s="60" t="n"/>
      <c r="T97" s="60" t="n"/>
      <c r="U97" s="60" t="n"/>
      <c r="V97" s="60" t="n"/>
      <c r="W97" s="60" t="n"/>
      <c r="X97" s="60" t="n"/>
      <c r="Y97" s="60" t="n"/>
      <c r="Z97" s="61" t="n"/>
      <c r="AA97" s="63">
        <f>IF($H97="","",TODAY()-$H97)</f>
        <v/>
      </c>
      <c r="AB97" s="63">
        <f>IF($A97="","",IF(AND($F97="Yes",OR($U97="No",$U97="NOT FOUND")),"YES",""))</f>
        <v/>
      </c>
      <c r="AC97" s="66">
        <f>IF($A97="","",TRIM(IF(AND($P97=0,$L97&lt;&gt;"Yes"),"T0-NoSmartcard ","")&amp;IF(AND($J97&lt;&gt;"",$J97&gt;365),"StalePwd ","")&amp;IF($K97="Yes","PwdNeverExpires ","")&amp;IF(AND($S97&lt;&gt;"",$S97&lt;&gt;"None"),"Delegation ","")&amp;IF(AND($Q97=1,$O97="None"),"StaleAdminCount ","")&amp;IF(AND($F97="Yes",$H97=""),"NeverLoggedOn ","")))</f>
        <v/>
      </c>
      <c r="AD97" s="60" t="n"/>
      <c r="AE97" s="61" t="n"/>
      <c r="AF97" s="60" t="n"/>
      <c r="AG97" s="62" t="n"/>
      <c r="AH97" s="62" t="n"/>
      <c r="AI97" s="62" t="n"/>
      <c r="AJ97" s="60" t="n"/>
      <c r="AK97" s="61" t="n"/>
      <c r="AL97" s="63">
        <f>IF($A97="","",IF(AH97="","Not Enrolled",IF(TODAY()&gt;AH97,"Review Overdue",IF(AH97-TODAY()&lt;=30,"Review Due Soon","Active"))))</f>
        <v/>
      </c>
      <c r="AM97" s="63">
        <f>IF($A97="","",IF(AI97="","NOT REVIEWED",IF(TODAY()-AI97&gt;90,"OVERDUE",IF(TODAY()-AI97&gt;76,"Due Soon","Current"))))</f>
        <v/>
      </c>
    </row>
    <row r="98" ht="15" customHeight="1" s="39">
      <c r="A98" s="60" t="n"/>
      <c r="B98" s="60" t="n"/>
      <c r="C98" s="61" t="n"/>
      <c r="D98" s="61" t="n"/>
      <c r="E98" s="60" t="n"/>
      <c r="F98" s="60" t="n"/>
      <c r="G98" s="62" t="n"/>
      <c r="H98" s="62" t="n"/>
      <c r="I98" s="62" t="n"/>
      <c r="J98" s="60" t="n"/>
      <c r="K98" s="60" t="n"/>
      <c r="L98" s="60" t="n"/>
      <c r="M98" s="61" t="n"/>
      <c r="N98" s="60" t="n"/>
      <c r="O98" s="60" t="n"/>
      <c r="P98" s="60" t="n"/>
      <c r="Q98" s="60" t="n"/>
      <c r="R98" s="60" t="n"/>
      <c r="S98" s="60" t="n"/>
      <c r="T98" s="60" t="n"/>
      <c r="U98" s="60" t="n"/>
      <c r="V98" s="60" t="n"/>
      <c r="W98" s="60" t="n"/>
      <c r="X98" s="60" t="n"/>
      <c r="Y98" s="60" t="n"/>
      <c r="Z98" s="61" t="n"/>
      <c r="AA98" s="63">
        <f>IF($H98="","",TODAY()-$H98)</f>
        <v/>
      </c>
      <c r="AB98" s="63">
        <f>IF($A98="","",IF(AND($F98="Yes",OR($U98="No",$U98="NOT FOUND")),"YES",""))</f>
        <v/>
      </c>
      <c r="AC98" s="66">
        <f>IF($A98="","",TRIM(IF(AND($P98=0,$L98&lt;&gt;"Yes"),"T0-NoSmartcard ","")&amp;IF(AND($J98&lt;&gt;"",$J98&gt;365),"StalePwd ","")&amp;IF($K98="Yes","PwdNeverExpires ","")&amp;IF(AND($S98&lt;&gt;"",$S98&lt;&gt;"None"),"Delegation ","")&amp;IF(AND($Q98=1,$O98="None"),"StaleAdminCount ","")&amp;IF(AND($F98="Yes",$H98=""),"NeverLoggedOn ","")))</f>
        <v/>
      </c>
      <c r="AD98" s="60" t="n"/>
      <c r="AE98" s="61" t="n"/>
      <c r="AF98" s="60" t="n"/>
      <c r="AG98" s="62" t="n"/>
      <c r="AH98" s="62" t="n"/>
      <c r="AI98" s="62" t="n"/>
      <c r="AJ98" s="60" t="n"/>
      <c r="AK98" s="61" t="n"/>
      <c r="AL98" s="63">
        <f>IF($A98="","",IF(AH98="","Not Enrolled",IF(TODAY()&gt;AH98,"Review Overdue",IF(AH98-TODAY()&lt;=30,"Review Due Soon","Active"))))</f>
        <v/>
      </c>
      <c r="AM98" s="63">
        <f>IF($A98="","",IF(AI98="","NOT REVIEWED",IF(TODAY()-AI98&gt;90,"OVERDUE",IF(TODAY()-AI98&gt;76,"Due Soon","Current"))))</f>
        <v/>
      </c>
    </row>
    <row r="99" ht="15" customHeight="1" s="39">
      <c r="A99" s="60" t="n"/>
      <c r="B99" s="60" t="n"/>
      <c r="C99" s="61" t="n"/>
      <c r="D99" s="61" t="n"/>
      <c r="E99" s="60" t="n"/>
      <c r="F99" s="60" t="n"/>
      <c r="G99" s="62" t="n"/>
      <c r="H99" s="62" t="n"/>
      <c r="I99" s="62" t="n"/>
      <c r="J99" s="60" t="n"/>
      <c r="K99" s="60" t="n"/>
      <c r="L99" s="60" t="n"/>
      <c r="M99" s="61" t="n"/>
      <c r="N99" s="60" t="n"/>
      <c r="O99" s="60" t="n"/>
      <c r="P99" s="60" t="n"/>
      <c r="Q99" s="60" t="n"/>
      <c r="R99" s="60" t="n"/>
      <c r="S99" s="60" t="n"/>
      <c r="T99" s="60" t="n"/>
      <c r="U99" s="60" t="n"/>
      <c r="V99" s="60" t="n"/>
      <c r="W99" s="60" t="n"/>
      <c r="X99" s="60" t="n"/>
      <c r="Y99" s="60" t="n"/>
      <c r="Z99" s="61" t="n"/>
      <c r="AA99" s="63">
        <f>IF($H99="","",TODAY()-$H99)</f>
        <v/>
      </c>
      <c r="AB99" s="63">
        <f>IF($A99="","",IF(AND($F99="Yes",OR($U99="No",$U99="NOT FOUND")),"YES",""))</f>
        <v/>
      </c>
      <c r="AC99" s="66">
        <f>IF($A99="","",TRIM(IF(AND($P99=0,$L99&lt;&gt;"Yes"),"T0-NoSmartcard ","")&amp;IF(AND($J99&lt;&gt;"",$J99&gt;365),"StalePwd ","")&amp;IF($K99="Yes","PwdNeverExpires ","")&amp;IF(AND($S99&lt;&gt;"",$S99&lt;&gt;"None"),"Delegation ","")&amp;IF(AND($Q99=1,$O99="None"),"StaleAdminCount ","")&amp;IF(AND($F99="Yes",$H99=""),"NeverLoggedOn ","")))</f>
        <v/>
      </c>
      <c r="AD99" s="60" t="n"/>
      <c r="AE99" s="61" t="n"/>
      <c r="AF99" s="60" t="n"/>
      <c r="AG99" s="62" t="n"/>
      <c r="AH99" s="62" t="n"/>
      <c r="AI99" s="62" t="n"/>
      <c r="AJ99" s="60" t="n"/>
      <c r="AK99" s="61" t="n"/>
      <c r="AL99" s="63">
        <f>IF($A99="","",IF(AH99="","Not Enrolled",IF(TODAY()&gt;AH99,"Review Overdue",IF(AH99-TODAY()&lt;=30,"Review Due Soon","Active"))))</f>
        <v/>
      </c>
      <c r="AM99" s="63">
        <f>IF($A99="","",IF(AI99="","NOT REVIEWED",IF(TODAY()-AI99&gt;90,"OVERDUE",IF(TODAY()-AI99&gt;76,"Due Soon","Current"))))</f>
        <v/>
      </c>
    </row>
    <row r="100" ht="15" customHeight="1" s="39">
      <c r="A100" s="60" t="n"/>
      <c r="B100" s="60" t="n"/>
      <c r="C100" s="61" t="n"/>
      <c r="D100" s="61" t="n"/>
      <c r="E100" s="60" t="n"/>
      <c r="F100" s="60" t="n"/>
      <c r="G100" s="62" t="n"/>
      <c r="H100" s="62" t="n"/>
      <c r="I100" s="62" t="n"/>
      <c r="J100" s="60" t="n"/>
      <c r="K100" s="60" t="n"/>
      <c r="L100" s="60" t="n"/>
      <c r="M100" s="61" t="n"/>
      <c r="N100" s="60" t="n"/>
      <c r="O100" s="60" t="n"/>
      <c r="P100" s="60" t="n"/>
      <c r="Q100" s="60" t="n"/>
      <c r="R100" s="60" t="n"/>
      <c r="S100" s="60" t="n"/>
      <c r="T100" s="60" t="n"/>
      <c r="U100" s="60" t="n"/>
      <c r="V100" s="60" t="n"/>
      <c r="W100" s="60" t="n"/>
      <c r="X100" s="60" t="n"/>
      <c r="Y100" s="60" t="n"/>
      <c r="Z100" s="61" t="n"/>
      <c r="AA100" s="63">
        <f>IF($H100="","",TODAY()-$H100)</f>
        <v/>
      </c>
      <c r="AB100" s="63">
        <f>IF($A100="","",IF(AND($F100="Yes",OR($U100="No",$U100="NOT FOUND")),"YES",""))</f>
        <v/>
      </c>
      <c r="AC100" s="66">
        <f>IF($A100="","",TRIM(IF(AND($P100=0,$L100&lt;&gt;"Yes"),"T0-NoSmartcard ","")&amp;IF(AND($J100&lt;&gt;"",$J100&gt;365),"StalePwd ","")&amp;IF($K100="Yes","PwdNeverExpires ","")&amp;IF(AND($S100&lt;&gt;"",$S100&lt;&gt;"None"),"Delegation ","")&amp;IF(AND($Q100=1,$O100="None"),"StaleAdminCount ","")&amp;IF(AND($F100="Yes",$H100=""),"NeverLoggedOn ","")))</f>
        <v/>
      </c>
      <c r="AD100" s="60" t="n"/>
      <c r="AE100" s="61" t="n"/>
      <c r="AF100" s="60" t="n"/>
      <c r="AG100" s="62" t="n"/>
      <c r="AH100" s="62" t="n"/>
      <c r="AI100" s="62" t="n"/>
      <c r="AJ100" s="60" t="n"/>
      <c r="AK100" s="61" t="n"/>
      <c r="AL100" s="63">
        <f>IF($A100="","",IF(AH100="","Not Enrolled",IF(TODAY()&gt;AH100,"Review Overdue",IF(AH100-TODAY()&lt;=30,"Review Due Soon","Active"))))</f>
        <v/>
      </c>
      <c r="AM100" s="63">
        <f>IF($A100="","",IF(AI100="","NOT REVIEWED",IF(TODAY()-AI100&gt;90,"OVERDUE",IF(TODAY()-AI100&gt;76,"Due Soon","Current"))))</f>
        <v/>
      </c>
    </row>
    <row r="101" ht="15" customHeight="1" s="39">
      <c r="A101" s="60" t="n"/>
      <c r="B101" s="60" t="n"/>
      <c r="C101" s="61" t="n"/>
      <c r="D101" s="61" t="n"/>
      <c r="E101" s="60" t="n"/>
      <c r="F101" s="60" t="n"/>
      <c r="G101" s="62" t="n"/>
      <c r="H101" s="62" t="n"/>
      <c r="I101" s="62" t="n"/>
      <c r="J101" s="60" t="n"/>
      <c r="K101" s="60" t="n"/>
      <c r="L101" s="60" t="n"/>
      <c r="M101" s="61" t="n"/>
      <c r="N101" s="60" t="n"/>
      <c r="O101" s="60" t="n"/>
      <c r="P101" s="60" t="n"/>
      <c r="Q101" s="60" t="n"/>
      <c r="R101" s="60" t="n"/>
      <c r="S101" s="60" t="n"/>
      <c r="T101" s="60" t="n"/>
      <c r="U101" s="60" t="n"/>
      <c r="V101" s="60" t="n"/>
      <c r="W101" s="60" t="n"/>
      <c r="X101" s="60" t="n"/>
      <c r="Y101" s="60" t="n"/>
      <c r="Z101" s="61" t="n"/>
      <c r="AA101" s="63">
        <f>IF($H101="","",TODAY()-$H101)</f>
        <v/>
      </c>
      <c r="AB101" s="63">
        <f>IF($A101="","",IF(AND($F101="Yes",OR($U101="No",$U101="NOT FOUND")),"YES",""))</f>
        <v/>
      </c>
      <c r="AC101" s="66">
        <f>IF($A101="","",TRIM(IF(AND($P101=0,$L101&lt;&gt;"Yes"),"T0-NoSmartcard ","")&amp;IF(AND($J101&lt;&gt;"",$J101&gt;365),"StalePwd ","")&amp;IF($K101="Yes","PwdNeverExpires ","")&amp;IF(AND($S101&lt;&gt;"",$S101&lt;&gt;"None"),"Delegation ","")&amp;IF(AND($Q101=1,$O101="None"),"StaleAdminCount ","")&amp;IF(AND($F101="Yes",$H101=""),"NeverLoggedOn ","")))</f>
        <v/>
      </c>
      <c r="AD101" s="60" t="n"/>
      <c r="AE101" s="61" t="n"/>
      <c r="AF101" s="60" t="n"/>
      <c r="AG101" s="62" t="n"/>
      <c r="AH101" s="62" t="n"/>
      <c r="AI101" s="62" t="n"/>
      <c r="AJ101" s="60" t="n"/>
      <c r="AK101" s="61" t="n"/>
      <c r="AL101" s="63">
        <f>IF($A101="","",IF(AH101="","Not Enrolled",IF(TODAY()&gt;AH101,"Review Overdue",IF(AH101-TODAY()&lt;=30,"Review Due Soon","Active"))))</f>
        <v/>
      </c>
      <c r="AM101" s="63">
        <f>IF($A101="","",IF(AI101="","NOT REVIEWED",IF(TODAY()-AI101&gt;90,"OVERDUE",IF(TODAY()-AI101&gt;76,"Due Soon","Current"))))</f>
        <v/>
      </c>
    </row>
    <row r="102" ht="15" customHeight="1" s="39">
      <c r="A102" s="60" t="n"/>
      <c r="B102" s="60" t="n"/>
      <c r="C102" s="61" t="n"/>
      <c r="D102" s="61" t="n"/>
      <c r="E102" s="60" t="n"/>
      <c r="F102" s="60" t="n"/>
      <c r="G102" s="62" t="n"/>
      <c r="H102" s="62" t="n"/>
      <c r="I102" s="62" t="n"/>
      <c r="J102" s="60" t="n"/>
      <c r="K102" s="60" t="n"/>
      <c r="L102" s="60" t="n"/>
      <c r="M102" s="61" t="n"/>
      <c r="N102" s="60" t="n"/>
      <c r="O102" s="60" t="n"/>
      <c r="P102" s="60" t="n"/>
      <c r="Q102" s="60" t="n"/>
      <c r="R102" s="60" t="n"/>
      <c r="S102" s="60" t="n"/>
      <c r="T102" s="60" t="n"/>
      <c r="U102" s="60" t="n"/>
      <c r="V102" s="60" t="n"/>
      <c r="W102" s="60" t="n"/>
      <c r="X102" s="60" t="n"/>
      <c r="Y102" s="60" t="n"/>
      <c r="Z102" s="61" t="n"/>
      <c r="AA102" s="63">
        <f>IF($H102="","",TODAY()-$H102)</f>
        <v/>
      </c>
      <c r="AB102" s="63">
        <f>IF($A102="","",IF(AND($F102="Yes",OR($U102="No",$U102="NOT FOUND")),"YES",""))</f>
        <v/>
      </c>
      <c r="AC102" s="66">
        <f>IF($A102="","",TRIM(IF(AND($P102=0,$L102&lt;&gt;"Yes"),"T0-NoSmartcard ","")&amp;IF(AND($J102&lt;&gt;"",$J102&gt;365),"StalePwd ","")&amp;IF($K102="Yes","PwdNeverExpires ","")&amp;IF(AND($S102&lt;&gt;"",$S102&lt;&gt;"None"),"Delegation ","")&amp;IF(AND($Q102=1,$O102="None"),"StaleAdminCount ","")&amp;IF(AND($F102="Yes",$H102=""),"NeverLoggedOn ","")))</f>
        <v/>
      </c>
      <c r="AD102" s="60" t="n"/>
      <c r="AE102" s="61" t="n"/>
      <c r="AF102" s="60" t="n"/>
      <c r="AG102" s="62" t="n"/>
      <c r="AH102" s="62" t="n"/>
      <c r="AI102" s="62" t="n"/>
      <c r="AJ102" s="60" t="n"/>
      <c r="AK102" s="61" t="n"/>
      <c r="AL102" s="63">
        <f>IF($A102="","",IF(AH102="","Not Enrolled",IF(TODAY()&gt;AH102,"Review Overdue",IF(AH102-TODAY()&lt;=30,"Review Due Soon","Active"))))</f>
        <v/>
      </c>
      <c r="AM102" s="63">
        <f>IF($A102="","",IF(AI102="","NOT REVIEWED",IF(TODAY()-AI102&gt;90,"OVERDUE",IF(TODAY()-AI102&gt;76,"Due Soon","Current"))))</f>
        <v/>
      </c>
    </row>
    <row r="103" ht="15" customHeight="1" s="39">
      <c r="A103" s="60" t="n"/>
      <c r="B103" s="60" t="n"/>
      <c r="C103" s="61" t="n"/>
      <c r="D103" s="61" t="n"/>
      <c r="E103" s="60" t="n"/>
      <c r="F103" s="60" t="n"/>
      <c r="G103" s="62" t="n"/>
      <c r="H103" s="62" t="n"/>
      <c r="I103" s="62" t="n"/>
      <c r="J103" s="60" t="n"/>
      <c r="K103" s="60" t="n"/>
      <c r="L103" s="60" t="n"/>
      <c r="M103" s="61" t="n"/>
      <c r="N103" s="60" t="n"/>
      <c r="O103" s="60" t="n"/>
      <c r="P103" s="60" t="n"/>
      <c r="Q103" s="60" t="n"/>
      <c r="R103" s="60" t="n"/>
      <c r="S103" s="60" t="n"/>
      <c r="T103" s="60" t="n"/>
      <c r="U103" s="60" t="n"/>
      <c r="V103" s="60" t="n"/>
      <c r="W103" s="60" t="n"/>
      <c r="X103" s="60" t="n"/>
      <c r="Y103" s="60" t="n"/>
      <c r="Z103" s="61" t="n"/>
      <c r="AA103" s="63">
        <f>IF($H103="","",TODAY()-$H103)</f>
        <v/>
      </c>
      <c r="AB103" s="63">
        <f>IF($A103="","",IF(AND($F103="Yes",OR($U103="No",$U103="NOT FOUND")),"YES",""))</f>
        <v/>
      </c>
      <c r="AC103" s="66">
        <f>IF($A103="","",TRIM(IF(AND($P103=0,$L103&lt;&gt;"Yes"),"T0-NoSmartcard ","")&amp;IF(AND($J103&lt;&gt;"",$J103&gt;365),"StalePwd ","")&amp;IF($K103="Yes","PwdNeverExpires ","")&amp;IF(AND($S103&lt;&gt;"",$S103&lt;&gt;"None"),"Delegation ","")&amp;IF(AND($Q103=1,$O103="None"),"StaleAdminCount ","")&amp;IF(AND($F103="Yes",$H103=""),"NeverLoggedOn ","")))</f>
        <v/>
      </c>
      <c r="AD103" s="60" t="n"/>
      <c r="AE103" s="61" t="n"/>
      <c r="AF103" s="60" t="n"/>
      <c r="AG103" s="62" t="n"/>
      <c r="AH103" s="62" t="n"/>
      <c r="AI103" s="62" t="n"/>
      <c r="AJ103" s="60" t="n"/>
      <c r="AK103" s="61" t="n"/>
      <c r="AL103" s="63">
        <f>IF($A103="","",IF(AH103="","Not Enrolled",IF(TODAY()&gt;AH103,"Review Overdue",IF(AH103-TODAY()&lt;=30,"Review Due Soon","Active"))))</f>
        <v/>
      </c>
      <c r="AM103" s="63">
        <f>IF($A103="","",IF(AI103="","NOT REVIEWED",IF(TODAY()-AI103&gt;90,"OVERDUE",IF(TODAY()-AI103&gt;76,"Due Soon","Current"))))</f>
        <v/>
      </c>
    </row>
    <row r="104" ht="15" customHeight="1" s="39">
      <c r="A104" s="60" t="n"/>
      <c r="B104" s="60" t="n"/>
      <c r="C104" s="61" t="n"/>
      <c r="D104" s="61" t="n"/>
      <c r="E104" s="60" t="n"/>
      <c r="F104" s="60" t="n"/>
      <c r="G104" s="62" t="n"/>
      <c r="H104" s="62" t="n"/>
      <c r="I104" s="62" t="n"/>
      <c r="J104" s="60" t="n"/>
      <c r="K104" s="60" t="n"/>
      <c r="L104" s="60" t="n"/>
      <c r="M104" s="61" t="n"/>
      <c r="N104" s="60" t="n"/>
      <c r="O104" s="60" t="n"/>
      <c r="P104" s="60" t="n"/>
      <c r="Q104" s="60" t="n"/>
      <c r="R104" s="60" t="n"/>
      <c r="S104" s="60" t="n"/>
      <c r="T104" s="60" t="n"/>
      <c r="U104" s="60" t="n"/>
      <c r="V104" s="60" t="n"/>
      <c r="W104" s="60" t="n"/>
      <c r="X104" s="60" t="n"/>
      <c r="Y104" s="60" t="n"/>
      <c r="Z104" s="61" t="n"/>
      <c r="AA104" s="63">
        <f>IF($H104="","",TODAY()-$H104)</f>
        <v/>
      </c>
      <c r="AB104" s="63">
        <f>IF($A104="","",IF(AND($F104="Yes",OR($U104="No",$U104="NOT FOUND")),"YES",""))</f>
        <v/>
      </c>
      <c r="AC104" s="66">
        <f>IF($A104="","",TRIM(IF(AND($P104=0,$L104&lt;&gt;"Yes"),"T0-NoSmartcard ","")&amp;IF(AND($J104&lt;&gt;"",$J104&gt;365),"StalePwd ","")&amp;IF($K104="Yes","PwdNeverExpires ","")&amp;IF(AND($S104&lt;&gt;"",$S104&lt;&gt;"None"),"Delegation ","")&amp;IF(AND($Q104=1,$O104="None"),"StaleAdminCount ","")&amp;IF(AND($F104="Yes",$H104=""),"NeverLoggedOn ","")))</f>
        <v/>
      </c>
      <c r="AD104" s="60" t="n"/>
      <c r="AE104" s="61" t="n"/>
      <c r="AF104" s="60" t="n"/>
      <c r="AG104" s="62" t="n"/>
      <c r="AH104" s="62" t="n"/>
      <c r="AI104" s="62" t="n"/>
      <c r="AJ104" s="60" t="n"/>
      <c r="AK104" s="61" t="n"/>
      <c r="AL104" s="63">
        <f>IF($A104="","",IF(AH104="","Not Enrolled",IF(TODAY()&gt;AH104,"Review Overdue",IF(AH104-TODAY()&lt;=30,"Review Due Soon","Active"))))</f>
        <v/>
      </c>
      <c r="AM104" s="63">
        <f>IF($A104="","",IF(AI104="","NOT REVIEWED",IF(TODAY()-AI104&gt;90,"OVERDUE",IF(TODAY()-AI104&gt;76,"Due Soon","Current"))))</f>
        <v/>
      </c>
    </row>
    <row r="105" ht="15" customHeight="1" s="39">
      <c r="A105" s="60" t="n"/>
      <c r="B105" s="60" t="n"/>
      <c r="C105" s="61" t="n"/>
      <c r="D105" s="61" t="n"/>
      <c r="E105" s="60" t="n"/>
      <c r="F105" s="60" t="n"/>
      <c r="G105" s="62" t="n"/>
      <c r="H105" s="62" t="n"/>
      <c r="I105" s="62" t="n"/>
      <c r="J105" s="60" t="n"/>
      <c r="K105" s="60" t="n"/>
      <c r="L105" s="60" t="n"/>
      <c r="M105" s="61" t="n"/>
      <c r="N105" s="60" t="n"/>
      <c r="O105" s="60" t="n"/>
      <c r="P105" s="60" t="n"/>
      <c r="Q105" s="60" t="n"/>
      <c r="R105" s="60" t="n"/>
      <c r="S105" s="60" t="n"/>
      <c r="T105" s="60" t="n"/>
      <c r="U105" s="60" t="n"/>
      <c r="V105" s="60" t="n"/>
      <c r="W105" s="60" t="n"/>
      <c r="X105" s="60" t="n"/>
      <c r="Y105" s="60" t="n"/>
      <c r="Z105" s="61" t="n"/>
      <c r="AA105" s="63">
        <f>IF($H105="","",TODAY()-$H105)</f>
        <v/>
      </c>
      <c r="AB105" s="63">
        <f>IF($A105="","",IF(AND($F105="Yes",OR($U105="No",$U105="NOT FOUND")),"YES",""))</f>
        <v/>
      </c>
      <c r="AC105" s="66">
        <f>IF($A105="","",TRIM(IF(AND($P105=0,$L105&lt;&gt;"Yes"),"T0-NoSmartcard ","")&amp;IF(AND($J105&lt;&gt;"",$J105&gt;365),"StalePwd ","")&amp;IF($K105="Yes","PwdNeverExpires ","")&amp;IF(AND($S105&lt;&gt;"",$S105&lt;&gt;"None"),"Delegation ","")&amp;IF(AND($Q105=1,$O105="None"),"StaleAdminCount ","")&amp;IF(AND($F105="Yes",$H105=""),"NeverLoggedOn ","")))</f>
        <v/>
      </c>
      <c r="AD105" s="60" t="n"/>
      <c r="AE105" s="61" t="n"/>
      <c r="AF105" s="60" t="n"/>
      <c r="AG105" s="62" t="n"/>
      <c r="AH105" s="62" t="n"/>
      <c r="AI105" s="62" t="n"/>
      <c r="AJ105" s="60" t="n"/>
      <c r="AK105" s="61" t="n"/>
      <c r="AL105" s="63">
        <f>IF($A105="","",IF(AH105="","Not Enrolled",IF(TODAY()&gt;AH105,"Review Overdue",IF(AH105-TODAY()&lt;=30,"Review Due Soon","Active"))))</f>
        <v/>
      </c>
      <c r="AM105" s="63">
        <f>IF($A105="","",IF(AI105="","NOT REVIEWED",IF(TODAY()-AI105&gt;90,"OVERDUE",IF(TODAY()-AI105&gt;76,"Due Soon","Current"))))</f>
        <v/>
      </c>
    </row>
    <row r="106" ht="15" customHeight="1" s="39">
      <c r="A106" s="60" t="n"/>
      <c r="B106" s="60" t="n"/>
      <c r="C106" s="61" t="n"/>
      <c r="D106" s="61" t="n"/>
      <c r="E106" s="60" t="n"/>
      <c r="F106" s="60" t="n"/>
      <c r="G106" s="62" t="n"/>
      <c r="H106" s="62" t="n"/>
      <c r="I106" s="62" t="n"/>
      <c r="J106" s="60" t="n"/>
      <c r="K106" s="60" t="n"/>
      <c r="L106" s="60" t="n"/>
      <c r="M106" s="61" t="n"/>
      <c r="N106" s="60" t="n"/>
      <c r="O106" s="60" t="n"/>
      <c r="P106" s="60" t="n"/>
      <c r="Q106" s="60" t="n"/>
      <c r="R106" s="60" t="n"/>
      <c r="S106" s="60" t="n"/>
      <c r="T106" s="60" t="n"/>
      <c r="U106" s="60" t="n"/>
      <c r="V106" s="60" t="n"/>
      <c r="W106" s="60" t="n"/>
      <c r="X106" s="60" t="n"/>
      <c r="Y106" s="60" t="n"/>
      <c r="Z106" s="61" t="n"/>
      <c r="AA106" s="63">
        <f>IF($H106="","",TODAY()-$H106)</f>
        <v/>
      </c>
      <c r="AB106" s="63">
        <f>IF($A106="","",IF(AND($F106="Yes",OR($U106="No",$U106="NOT FOUND")),"YES",""))</f>
        <v/>
      </c>
      <c r="AC106" s="66">
        <f>IF($A106="","",TRIM(IF(AND($P106=0,$L106&lt;&gt;"Yes"),"T0-NoSmartcard ","")&amp;IF(AND($J106&lt;&gt;"",$J106&gt;365),"StalePwd ","")&amp;IF($K106="Yes","PwdNeverExpires ","")&amp;IF(AND($S106&lt;&gt;"",$S106&lt;&gt;"None"),"Delegation ","")&amp;IF(AND($Q106=1,$O106="None"),"StaleAdminCount ","")&amp;IF(AND($F106="Yes",$H106=""),"NeverLoggedOn ","")))</f>
        <v/>
      </c>
      <c r="AD106" s="60" t="n"/>
      <c r="AE106" s="61" t="n"/>
      <c r="AF106" s="60" t="n"/>
      <c r="AG106" s="62" t="n"/>
      <c r="AH106" s="62" t="n"/>
      <c r="AI106" s="62" t="n"/>
      <c r="AJ106" s="60" t="n"/>
      <c r="AK106" s="61" t="n"/>
      <c r="AL106" s="63">
        <f>IF($A106="","",IF(AH106="","Not Enrolled",IF(TODAY()&gt;AH106,"Review Overdue",IF(AH106-TODAY()&lt;=30,"Review Due Soon","Active"))))</f>
        <v/>
      </c>
      <c r="AM106" s="63">
        <f>IF($A106="","",IF(AI106="","NOT REVIEWED",IF(TODAY()-AI106&gt;90,"OVERDUE",IF(TODAY()-AI106&gt;76,"Due Soon","Current"))))</f>
        <v/>
      </c>
    </row>
    <row r="107" ht="15" customHeight="1" s="39">
      <c r="A107" s="60" t="n"/>
      <c r="B107" s="60" t="n"/>
      <c r="C107" s="61" t="n"/>
      <c r="D107" s="61" t="n"/>
      <c r="E107" s="60" t="n"/>
      <c r="F107" s="60" t="n"/>
      <c r="G107" s="62" t="n"/>
      <c r="H107" s="62" t="n"/>
      <c r="I107" s="62" t="n"/>
      <c r="J107" s="60" t="n"/>
      <c r="K107" s="60" t="n"/>
      <c r="L107" s="60" t="n"/>
      <c r="M107" s="61" t="n"/>
      <c r="N107" s="60" t="n"/>
      <c r="O107" s="60" t="n"/>
      <c r="P107" s="60" t="n"/>
      <c r="Q107" s="60" t="n"/>
      <c r="R107" s="60" t="n"/>
      <c r="S107" s="60" t="n"/>
      <c r="T107" s="60" t="n"/>
      <c r="U107" s="60" t="n"/>
      <c r="V107" s="60" t="n"/>
      <c r="W107" s="60" t="n"/>
      <c r="X107" s="60" t="n"/>
      <c r="Y107" s="60" t="n"/>
      <c r="Z107" s="61" t="n"/>
      <c r="AA107" s="63">
        <f>IF($H107="","",TODAY()-$H107)</f>
        <v/>
      </c>
      <c r="AB107" s="63">
        <f>IF($A107="","",IF(AND($F107="Yes",OR($U107="No",$U107="NOT FOUND")),"YES",""))</f>
        <v/>
      </c>
      <c r="AC107" s="66">
        <f>IF($A107="","",TRIM(IF(AND($P107=0,$L107&lt;&gt;"Yes"),"T0-NoSmartcard ","")&amp;IF(AND($J107&lt;&gt;"",$J107&gt;365),"StalePwd ","")&amp;IF($K107="Yes","PwdNeverExpires ","")&amp;IF(AND($S107&lt;&gt;"",$S107&lt;&gt;"None"),"Delegation ","")&amp;IF(AND($Q107=1,$O107="None"),"StaleAdminCount ","")&amp;IF(AND($F107="Yes",$H107=""),"NeverLoggedOn ","")))</f>
        <v/>
      </c>
      <c r="AD107" s="60" t="n"/>
      <c r="AE107" s="61" t="n"/>
      <c r="AF107" s="60" t="n"/>
      <c r="AG107" s="62" t="n"/>
      <c r="AH107" s="62" t="n"/>
      <c r="AI107" s="62" t="n"/>
      <c r="AJ107" s="60" t="n"/>
      <c r="AK107" s="61" t="n"/>
      <c r="AL107" s="63">
        <f>IF($A107="","",IF(AH107="","Not Enrolled",IF(TODAY()&gt;AH107,"Review Overdue",IF(AH107-TODAY()&lt;=30,"Review Due Soon","Active"))))</f>
        <v/>
      </c>
      <c r="AM107" s="63">
        <f>IF($A107="","",IF(AI107="","NOT REVIEWED",IF(TODAY()-AI107&gt;90,"OVERDUE",IF(TODAY()-AI107&gt;76,"Due Soon","Current"))))</f>
        <v/>
      </c>
    </row>
    <row r="108" ht="15" customHeight="1" s="39">
      <c r="A108" s="60" t="n"/>
      <c r="B108" s="60" t="n"/>
      <c r="C108" s="61" t="n"/>
      <c r="D108" s="61" t="n"/>
      <c r="E108" s="60" t="n"/>
      <c r="F108" s="60" t="n"/>
      <c r="G108" s="62" t="n"/>
      <c r="H108" s="62" t="n"/>
      <c r="I108" s="62" t="n"/>
      <c r="J108" s="60" t="n"/>
      <c r="K108" s="60" t="n"/>
      <c r="L108" s="60" t="n"/>
      <c r="M108" s="61" t="n"/>
      <c r="N108" s="60" t="n"/>
      <c r="O108" s="60" t="n"/>
      <c r="P108" s="60" t="n"/>
      <c r="Q108" s="60" t="n"/>
      <c r="R108" s="60" t="n"/>
      <c r="S108" s="60" t="n"/>
      <c r="T108" s="60" t="n"/>
      <c r="U108" s="60" t="n"/>
      <c r="V108" s="60" t="n"/>
      <c r="W108" s="60" t="n"/>
      <c r="X108" s="60" t="n"/>
      <c r="Y108" s="60" t="n"/>
      <c r="Z108" s="61" t="n"/>
      <c r="AA108" s="63">
        <f>IF($H108="","",TODAY()-$H108)</f>
        <v/>
      </c>
      <c r="AB108" s="63">
        <f>IF($A108="","",IF(AND($F108="Yes",OR($U108="No",$U108="NOT FOUND")),"YES",""))</f>
        <v/>
      </c>
      <c r="AC108" s="66">
        <f>IF($A108="","",TRIM(IF(AND($P108=0,$L108&lt;&gt;"Yes"),"T0-NoSmartcard ","")&amp;IF(AND($J108&lt;&gt;"",$J108&gt;365),"StalePwd ","")&amp;IF($K108="Yes","PwdNeverExpires ","")&amp;IF(AND($S108&lt;&gt;"",$S108&lt;&gt;"None"),"Delegation ","")&amp;IF(AND($Q108=1,$O108="None"),"StaleAdminCount ","")&amp;IF(AND($F108="Yes",$H108=""),"NeverLoggedOn ","")))</f>
        <v/>
      </c>
      <c r="AD108" s="60" t="n"/>
      <c r="AE108" s="61" t="n"/>
      <c r="AF108" s="60" t="n"/>
      <c r="AG108" s="62" t="n"/>
      <c r="AH108" s="62" t="n"/>
      <c r="AI108" s="62" t="n"/>
      <c r="AJ108" s="60" t="n"/>
      <c r="AK108" s="61" t="n"/>
      <c r="AL108" s="63">
        <f>IF($A108="","",IF(AH108="","Not Enrolled",IF(TODAY()&gt;AH108,"Review Overdue",IF(AH108-TODAY()&lt;=30,"Review Due Soon","Active"))))</f>
        <v/>
      </c>
      <c r="AM108" s="63">
        <f>IF($A108="","",IF(AI108="","NOT REVIEWED",IF(TODAY()-AI108&gt;90,"OVERDUE",IF(TODAY()-AI108&gt;76,"Due Soon","Current"))))</f>
        <v/>
      </c>
    </row>
    <row r="109" ht="15" customHeight="1" s="39">
      <c r="A109" s="60" t="n"/>
      <c r="B109" s="60" t="n"/>
      <c r="C109" s="61" t="n"/>
      <c r="D109" s="61" t="n"/>
      <c r="E109" s="60" t="n"/>
      <c r="F109" s="60" t="n"/>
      <c r="G109" s="62" t="n"/>
      <c r="H109" s="62" t="n"/>
      <c r="I109" s="62" t="n"/>
      <c r="J109" s="60" t="n"/>
      <c r="K109" s="60" t="n"/>
      <c r="L109" s="60" t="n"/>
      <c r="M109" s="61" t="n"/>
      <c r="N109" s="60" t="n"/>
      <c r="O109" s="60" t="n"/>
      <c r="P109" s="60" t="n"/>
      <c r="Q109" s="60" t="n"/>
      <c r="R109" s="60" t="n"/>
      <c r="S109" s="60" t="n"/>
      <c r="T109" s="60" t="n"/>
      <c r="U109" s="60" t="n"/>
      <c r="V109" s="60" t="n"/>
      <c r="W109" s="60" t="n"/>
      <c r="X109" s="60" t="n"/>
      <c r="Y109" s="60" t="n"/>
      <c r="Z109" s="61" t="n"/>
      <c r="AA109" s="63">
        <f>IF($H109="","",TODAY()-$H109)</f>
        <v/>
      </c>
      <c r="AB109" s="63">
        <f>IF($A109="","",IF(AND($F109="Yes",OR($U109="No",$U109="NOT FOUND")),"YES",""))</f>
        <v/>
      </c>
      <c r="AC109" s="66">
        <f>IF($A109="","",TRIM(IF(AND($P109=0,$L109&lt;&gt;"Yes"),"T0-NoSmartcard ","")&amp;IF(AND($J109&lt;&gt;"",$J109&gt;365),"StalePwd ","")&amp;IF($K109="Yes","PwdNeverExpires ","")&amp;IF(AND($S109&lt;&gt;"",$S109&lt;&gt;"None"),"Delegation ","")&amp;IF(AND($Q109=1,$O109="None"),"StaleAdminCount ","")&amp;IF(AND($F109="Yes",$H109=""),"NeverLoggedOn ","")))</f>
        <v/>
      </c>
      <c r="AD109" s="60" t="n"/>
      <c r="AE109" s="61" t="n"/>
      <c r="AF109" s="60" t="n"/>
      <c r="AG109" s="62" t="n"/>
      <c r="AH109" s="62" t="n"/>
      <c r="AI109" s="62" t="n"/>
      <c r="AJ109" s="60" t="n"/>
      <c r="AK109" s="61" t="n"/>
      <c r="AL109" s="63">
        <f>IF($A109="","",IF(AH109="","Not Enrolled",IF(TODAY()&gt;AH109,"Review Overdue",IF(AH109-TODAY()&lt;=30,"Review Due Soon","Active"))))</f>
        <v/>
      </c>
      <c r="AM109" s="63">
        <f>IF($A109="","",IF(AI109="","NOT REVIEWED",IF(TODAY()-AI109&gt;90,"OVERDUE",IF(TODAY()-AI109&gt;76,"Due Soon","Current"))))</f>
        <v/>
      </c>
    </row>
    <row r="110" ht="15" customHeight="1" s="39">
      <c r="A110" s="60" t="n"/>
      <c r="B110" s="60" t="n"/>
      <c r="C110" s="61" t="n"/>
      <c r="D110" s="61" t="n"/>
      <c r="E110" s="60" t="n"/>
      <c r="F110" s="60" t="n"/>
      <c r="G110" s="62" t="n"/>
      <c r="H110" s="62" t="n"/>
      <c r="I110" s="62" t="n"/>
      <c r="J110" s="60" t="n"/>
      <c r="K110" s="60" t="n"/>
      <c r="L110" s="60" t="n"/>
      <c r="M110" s="61" t="n"/>
      <c r="N110" s="60" t="n"/>
      <c r="O110" s="60" t="n"/>
      <c r="P110" s="60" t="n"/>
      <c r="Q110" s="60" t="n"/>
      <c r="R110" s="60" t="n"/>
      <c r="S110" s="60" t="n"/>
      <c r="T110" s="60" t="n"/>
      <c r="U110" s="60" t="n"/>
      <c r="V110" s="60" t="n"/>
      <c r="W110" s="60" t="n"/>
      <c r="X110" s="60" t="n"/>
      <c r="Y110" s="60" t="n"/>
      <c r="Z110" s="61" t="n"/>
      <c r="AA110" s="63">
        <f>IF($H110="","",TODAY()-$H110)</f>
        <v/>
      </c>
      <c r="AB110" s="63">
        <f>IF($A110="","",IF(AND($F110="Yes",OR($U110="No",$U110="NOT FOUND")),"YES",""))</f>
        <v/>
      </c>
      <c r="AC110" s="66">
        <f>IF($A110="","",TRIM(IF(AND($P110=0,$L110&lt;&gt;"Yes"),"T0-NoSmartcard ","")&amp;IF(AND($J110&lt;&gt;"",$J110&gt;365),"StalePwd ","")&amp;IF($K110="Yes","PwdNeverExpires ","")&amp;IF(AND($S110&lt;&gt;"",$S110&lt;&gt;"None"),"Delegation ","")&amp;IF(AND($Q110=1,$O110="None"),"StaleAdminCount ","")&amp;IF(AND($F110="Yes",$H110=""),"NeverLoggedOn ","")))</f>
        <v/>
      </c>
      <c r="AD110" s="60" t="n"/>
      <c r="AE110" s="61" t="n"/>
      <c r="AF110" s="60" t="n"/>
      <c r="AG110" s="62" t="n"/>
      <c r="AH110" s="62" t="n"/>
      <c r="AI110" s="62" t="n"/>
      <c r="AJ110" s="60" t="n"/>
      <c r="AK110" s="61" t="n"/>
      <c r="AL110" s="63">
        <f>IF($A110="","",IF(AH110="","Not Enrolled",IF(TODAY()&gt;AH110,"Review Overdue",IF(AH110-TODAY()&lt;=30,"Review Due Soon","Active"))))</f>
        <v/>
      </c>
      <c r="AM110" s="63">
        <f>IF($A110="","",IF(AI110="","NOT REVIEWED",IF(TODAY()-AI110&gt;90,"OVERDUE",IF(TODAY()-AI110&gt;76,"Due Soon","Current"))))</f>
        <v/>
      </c>
    </row>
    <row r="111" ht="15" customHeight="1" s="39">
      <c r="A111" s="60" t="n"/>
      <c r="B111" s="60" t="n"/>
      <c r="C111" s="61" t="n"/>
      <c r="D111" s="61" t="n"/>
      <c r="E111" s="60" t="n"/>
      <c r="F111" s="60" t="n"/>
      <c r="G111" s="62" t="n"/>
      <c r="H111" s="62" t="n"/>
      <c r="I111" s="62" t="n"/>
      <c r="J111" s="60" t="n"/>
      <c r="K111" s="60" t="n"/>
      <c r="L111" s="60" t="n"/>
      <c r="M111" s="61" t="n"/>
      <c r="N111" s="60" t="n"/>
      <c r="O111" s="60" t="n"/>
      <c r="P111" s="60" t="n"/>
      <c r="Q111" s="60" t="n"/>
      <c r="R111" s="60" t="n"/>
      <c r="S111" s="60" t="n"/>
      <c r="T111" s="60" t="n"/>
      <c r="U111" s="60" t="n"/>
      <c r="V111" s="60" t="n"/>
      <c r="W111" s="60" t="n"/>
      <c r="X111" s="60" t="n"/>
      <c r="Y111" s="60" t="n"/>
      <c r="Z111" s="61" t="n"/>
      <c r="AA111" s="63">
        <f>IF($H111="","",TODAY()-$H111)</f>
        <v/>
      </c>
      <c r="AB111" s="63">
        <f>IF($A111="","",IF(AND($F111="Yes",OR($U111="No",$U111="NOT FOUND")),"YES",""))</f>
        <v/>
      </c>
      <c r="AC111" s="66">
        <f>IF($A111="","",TRIM(IF(AND($P111=0,$L111&lt;&gt;"Yes"),"T0-NoSmartcard ","")&amp;IF(AND($J111&lt;&gt;"",$J111&gt;365),"StalePwd ","")&amp;IF($K111="Yes","PwdNeverExpires ","")&amp;IF(AND($S111&lt;&gt;"",$S111&lt;&gt;"None"),"Delegation ","")&amp;IF(AND($Q111=1,$O111="None"),"StaleAdminCount ","")&amp;IF(AND($F111="Yes",$H111=""),"NeverLoggedOn ","")))</f>
        <v/>
      </c>
      <c r="AD111" s="60" t="n"/>
      <c r="AE111" s="61" t="n"/>
      <c r="AF111" s="60" t="n"/>
      <c r="AG111" s="62" t="n"/>
      <c r="AH111" s="62" t="n"/>
      <c r="AI111" s="62" t="n"/>
      <c r="AJ111" s="60" t="n"/>
      <c r="AK111" s="61" t="n"/>
      <c r="AL111" s="63">
        <f>IF($A111="","",IF(AH111="","Not Enrolled",IF(TODAY()&gt;AH111,"Review Overdue",IF(AH111-TODAY()&lt;=30,"Review Due Soon","Active"))))</f>
        <v/>
      </c>
      <c r="AM111" s="63">
        <f>IF($A111="","",IF(AI111="","NOT REVIEWED",IF(TODAY()-AI111&gt;90,"OVERDUE",IF(TODAY()-AI111&gt;76,"Due Soon","Current"))))</f>
        <v/>
      </c>
    </row>
    <row r="112" ht="15" customHeight="1" s="39">
      <c r="A112" s="60" t="n"/>
      <c r="B112" s="60" t="n"/>
      <c r="C112" s="61" t="n"/>
      <c r="D112" s="61" t="n"/>
      <c r="E112" s="60" t="n"/>
      <c r="F112" s="60" t="n"/>
      <c r="G112" s="62" t="n"/>
      <c r="H112" s="62" t="n"/>
      <c r="I112" s="62" t="n"/>
      <c r="J112" s="60" t="n"/>
      <c r="K112" s="60" t="n"/>
      <c r="L112" s="60" t="n"/>
      <c r="M112" s="61" t="n"/>
      <c r="N112" s="60" t="n"/>
      <c r="O112" s="60" t="n"/>
      <c r="P112" s="60" t="n"/>
      <c r="Q112" s="60" t="n"/>
      <c r="R112" s="60" t="n"/>
      <c r="S112" s="60" t="n"/>
      <c r="T112" s="60" t="n"/>
      <c r="U112" s="60" t="n"/>
      <c r="V112" s="60" t="n"/>
      <c r="W112" s="60" t="n"/>
      <c r="X112" s="60" t="n"/>
      <c r="Y112" s="60" t="n"/>
      <c r="Z112" s="61" t="n"/>
      <c r="AA112" s="63">
        <f>IF($H112="","",TODAY()-$H112)</f>
        <v/>
      </c>
      <c r="AB112" s="63">
        <f>IF($A112="","",IF(AND($F112="Yes",OR($U112="No",$U112="NOT FOUND")),"YES",""))</f>
        <v/>
      </c>
      <c r="AC112" s="66">
        <f>IF($A112="","",TRIM(IF(AND($P112=0,$L112&lt;&gt;"Yes"),"T0-NoSmartcard ","")&amp;IF(AND($J112&lt;&gt;"",$J112&gt;365),"StalePwd ","")&amp;IF($K112="Yes","PwdNeverExpires ","")&amp;IF(AND($S112&lt;&gt;"",$S112&lt;&gt;"None"),"Delegation ","")&amp;IF(AND($Q112=1,$O112="None"),"StaleAdminCount ","")&amp;IF(AND($F112="Yes",$H112=""),"NeverLoggedOn ","")))</f>
        <v/>
      </c>
      <c r="AD112" s="60" t="n"/>
      <c r="AE112" s="61" t="n"/>
      <c r="AF112" s="60" t="n"/>
      <c r="AG112" s="62" t="n"/>
      <c r="AH112" s="62" t="n"/>
      <c r="AI112" s="62" t="n"/>
      <c r="AJ112" s="60" t="n"/>
      <c r="AK112" s="61" t="n"/>
      <c r="AL112" s="63">
        <f>IF($A112="","",IF(AH112="","Not Enrolled",IF(TODAY()&gt;AH112,"Review Overdue",IF(AH112-TODAY()&lt;=30,"Review Due Soon","Active"))))</f>
        <v/>
      </c>
      <c r="AM112" s="63">
        <f>IF($A112="","",IF(AI112="","NOT REVIEWED",IF(TODAY()-AI112&gt;90,"OVERDUE",IF(TODAY()-AI112&gt;76,"Due Soon","Current"))))</f>
        <v/>
      </c>
    </row>
    <row r="113" ht="15" customHeight="1" s="39">
      <c r="A113" s="60" t="n"/>
      <c r="B113" s="60" t="n"/>
      <c r="C113" s="61" t="n"/>
      <c r="D113" s="61" t="n"/>
      <c r="E113" s="60" t="n"/>
      <c r="F113" s="60" t="n"/>
      <c r="G113" s="62" t="n"/>
      <c r="H113" s="62" t="n"/>
      <c r="I113" s="62" t="n"/>
      <c r="J113" s="60" t="n"/>
      <c r="K113" s="60" t="n"/>
      <c r="L113" s="60" t="n"/>
      <c r="M113" s="61" t="n"/>
      <c r="N113" s="60" t="n"/>
      <c r="O113" s="60" t="n"/>
      <c r="P113" s="60" t="n"/>
      <c r="Q113" s="60" t="n"/>
      <c r="R113" s="60" t="n"/>
      <c r="S113" s="60" t="n"/>
      <c r="T113" s="60" t="n"/>
      <c r="U113" s="60" t="n"/>
      <c r="V113" s="60" t="n"/>
      <c r="W113" s="60" t="n"/>
      <c r="X113" s="60" t="n"/>
      <c r="Y113" s="60" t="n"/>
      <c r="Z113" s="61" t="n"/>
      <c r="AA113" s="63">
        <f>IF($H113="","",TODAY()-$H113)</f>
        <v/>
      </c>
      <c r="AB113" s="63">
        <f>IF($A113="","",IF(AND($F113="Yes",OR($U113="No",$U113="NOT FOUND")),"YES",""))</f>
        <v/>
      </c>
      <c r="AC113" s="66">
        <f>IF($A113="","",TRIM(IF(AND($P113=0,$L113&lt;&gt;"Yes"),"T0-NoSmartcard ","")&amp;IF(AND($J113&lt;&gt;"",$J113&gt;365),"StalePwd ","")&amp;IF($K113="Yes","PwdNeverExpires ","")&amp;IF(AND($S113&lt;&gt;"",$S113&lt;&gt;"None"),"Delegation ","")&amp;IF(AND($Q113=1,$O113="None"),"StaleAdminCount ","")&amp;IF(AND($F113="Yes",$H113=""),"NeverLoggedOn ","")))</f>
        <v/>
      </c>
      <c r="AD113" s="60" t="n"/>
      <c r="AE113" s="61" t="n"/>
      <c r="AF113" s="60" t="n"/>
      <c r="AG113" s="62" t="n"/>
      <c r="AH113" s="62" t="n"/>
      <c r="AI113" s="62" t="n"/>
      <c r="AJ113" s="60" t="n"/>
      <c r="AK113" s="61" t="n"/>
      <c r="AL113" s="63">
        <f>IF($A113="","",IF(AH113="","Not Enrolled",IF(TODAY()&gt;AH113,"Review Overdue",IF(AH113-TODAY()&lt;=30,"Review Due Soon","Active"))))</f>
        <v/>
      </c>
      <c r="AM113" s="63">
        <f>IF($A113="","",IF(AI113="","NOT REVIEWED",IF(TODAY()-AI113&gt;90,"OVERDUE",IF(TODAY()-AI113&gt;76,"Due Soon","Current"))))</f>
        <v/>
      </c>
    </row>
    <row r="114" ht="15" customHeight="1" s="39">
      <c r="A114" s="60" t="n"/>
      <c r="B114" s="60" t="n"/>
      <c r="C114" s="61" t="n"/>
      <c r="D114" s="61" t="n"/>
      <c r="E114" s="60" t="n"/>
      <c r="F114" s="60" t="n"/>
      <c r="G114" s="62" t="n"/>
      <c r="H114" s="62" t="n"/>
      <c r="I114" s="62" t="n"/>
      <c r="J114" s="60" t="n"/>
      <c r="K114" s="60" t="n"/>
      <c r="L114" s="60" t="n"/>
      <c r="M114" s="61" t="n"/>
      <c r="N114" s="60" t="n"/>
      <c r="O114" s="60" t="n"/>
      <c r="P114" s="60" t="n"/>
      <c r="Q114" s="60" t="n"/>
      <c r="R114" s="60" t="n"/>
      <c r="S114" s="60" t="n"/>
      <c r="T114" s="60" t="n"/>
      <c r="U114" s="60" t="n"/>
      <c r="V114" s="60" t="n"/>
      <c r="W114" s="60" t="n"/>
      <c r="X114" s="60" t="n"/>
      <c r="Y114" s="60" t="n"/>
      <c r="Z114" s="61" t="n"/>
      <c r="AA114" s="63">
        <f>IF($H114="","",TODAY()-$H114)</f>
        <v/>
      </c>
      <c r="AB114" s="63">
        <f>IF($A114="","",IF(AND($F114="Yes",OR($U114="No",$U114="NOT FOUND")),"YES",""))</f>
        <v/>
      </c>
      <c r="AC114" s="66">
        <f>IF($A114="","",TRIM(IF(AND($P114=0,$L114&lt;&gt;"Yes"),"T0-NoSmartcard ","")&amp;IF(AND($J114&lt;&gt;"",$J114&gt;365),"StalePwd ","")&amp;IF($K114="Yes","PwdNeverExpires ","")&amp;IF(AND($S114&lt;&gt;"",$S114&lt;&gt;"None"),"Delegation ","")&amp;IF(AND($Q114=1,$O114="None"),"StaleAdminCount ","")&amp;IF(AND($F114="Yes",$H114=""),"NeverLoggedOn ","")))</f>
        <v/>
      </c>
      <c r="AD114" s="60" t="n"/>
      <c r="AE114" s="61" t="n"/>
      <c r="AF114" s="60" t="n"/>
      <c r="AG114" s="62" t="n"/>
      <c r="AH114" s="62" t="n"/>
      <c r="AI114" s="62" t="n"/>
      <c r="AJ114" s="60" t="n"/>
      <c r="AK114" s="61" t="n"/>
      <c r="AL114" s="63">
        <f>IF($A114="","",IF(AH114="","Not Enrolled",IF(TODAY()&gt;AH114,"Review Overdue",IF(AH114-TODAY()&lt;=30,"Review Due Soon","Active"))))</f>
        <v/>
      </c>
      <c r="AM114" s="63">
        <f>IF($A114="","",IF(AI114="","NOT REVIEWED",IF(TODAY()-AI114&gt;90,"OVERDUE",IF(TODAY()-AI114&gt;76,"Due Soon","Current"))))</f>
        <v/>
      </c>
    </row>
    <row r="115" ht="15" customHeight="1" s="39">
      <c r="A115" s="60" t="n"/>
      <c r="B115" s="60" t="n"/>
      <c r="C115" s="61" t="n"/>
      <c r="D115" s="61" t="n"/>
      <c r="E115" s="60" t="n"/>
      <c r="F115" s="60" t="n"/>
      <c r="G115" s="62" t="n"/>
      <c r="H115" s="62" t="n"/>
      <c r="I115" s="62" t="n"/>
      <c r="J115" s="60" t="n"/>
      <c r="K115" s="60" t="n"/>
      <c r="L115" s="60" t="n"/>
      <c r="M115" s="61" t="n"/>
      <c r="N115" s="60" t="n"/>
      <c r="O115" s="60" t="n"/>
      <c r="P115" s="60" t="n"/>
      <c r="Q115" s="60" t="n"/>
      <c r="R115" s="60" t="n"/>
      <c r="S115" s="60" t="n"/>
      <c r="T115" s="60" t="n"/>
      <c r="U115" s="60" t="n"/>
      <c r="V115" s="60" t="n"/>
      <c r="W115" s="60" t="n"/>
      <c r="X115" s="60" t="n"/>
      <c r="Y115" s="60" t="n"/>
      <c r="Z115" s="61" t="n"/>
      <c r="AA115" s="63">
        <f>IF($H115="","",TODAY()-$H115)</f>
        <v/>
      </c>
      <c r="AB115" s="63">
        <f>IF($A115="","",IF(AND($F115="Yes",OR($U115="No",$U115="NOT FOUND")),"YES",""))</f>
        <v/>
      </c>
      <c r="AC115" s="66">
        <f>IF($A115="","",TRIM(IF(AND($P115=0,$L115&lt;&gt;"Yes"),"T0-NoSmartcard ","")&amp;IF(AND($J115&lt;&gt;"",$J115&gt;365),"StalePwd ","")&amp;IF($K115="Yes","PwdNeverExpires ","")&amp;IF(AND($S115&lt;&gt;"",$S115&lt;&gt;"None"),"Delegation ","")&amp;IF(AND($Q115=1,$O115="None"),"StaleAdminCount ","")&amp;IF(AND($F115="Yes",$H115=""),"NeverLoggedOn ","")))</f>
        <v/>
      </c>
      <c r="AD115" s="60" t="n"/>
      <c r="AE115" s="61" t="n"/>
      <c r="AF115" s="60" t="n"/>
      <c r="AG115" s="62" t="n"/>
      <c r="AH115" s="62" t="n"/>
      <c r="AI115" s="62" t="n"/>
      <c r="AJ115" s="60" t="n"/>
      <c r="AK115" s="61" t="n"/>
      <c r="AL115" s="63">
        <f>IF($A115="","",IF(AH115="","Not Enrolled",IF(TODAY()&gt;AH115,"Review Overdue",IF(AH115-TODAY()&lt;=30,"Review Due Soon","Active"))))</f>
        <v/>
      </c>
      <c r="AM115" s="63">
        <f>IF($A115="","",IF(AI115="","NOT REVIEWED",IF(TODAY()-AI115&gt;90,"OVERDUE",IF(TODAY()-AI115&gt;76,"Due Soon","Current"))))</f>
        <v/>
      </c>
    </row>
    <row r="116" ht="15" customHeight="1" s="39">
      <c r="A116" s="60" t="n"/>
      <c r="B116" s="60" t="n"/>
      <c r="C116" s="61" t="n"/>
      <c r="D116" s="61" t="n"/>
      <c r="E116" s="60" t="n"/>
      <c r="F116" s="60" t="n"/>
      <c r="G116" s="62" t="n"/>
      <c r="H116" s="62" t="n"/>
      <c r="I116" s="62" t="n"/>
      <c r="J116" s="60" t="n"/>
      <c r="K116" s="60" t="n"/>
      <c r="L116" s="60" t="n"/>
      <c r="M116" s="61" t="n"/>
      <c r="N116" s="60" t="n"/>
      <c r="O116" s="60" t="n"/>
      <c r="P116" s="60" t="n"/>
      <c r="Q116" s="60" t="n"/>
      <c r="R116" s="60" t="n"/>
      <c r="S116" s="60" t="n"/>
      <c r="T116" s="60" t="n"/>
      <c r="U116" s="60" t="n"/>
      <c r="V116" s="60" t="n"/>
      <c r="W116" s="60" t="n"/>
      <c r="X116" s="60" t="n"/>
      <c r="Y116" s="60" t="n"/>
      <c r="Z116" s="61" t="n"/>
      <c r="AA116" s="63">
        <f>IF($H116="","",TODAY()-$H116)</f>
        <v/>
      </c>
      <c r="AB116" s="63">
        <f>IF($A116="","",IF(AND($F116="Yes",OR($U116="No",$U116="NOT FOUND")),"YES",""))</f>
        <v/>
      </c>
      <c r="AC116" s="66">
        <f>IF($A116="","",TRIM(IF(AND($P116=0,$L116&lt;&gt;"Yes"),"T0-NoSmartcard ","")&amp;IF(AND($J116&lt;&gt;"",$J116&gt;365),"StalePwd ","")&amp;IF($K116="Yes","PwdNeverExpires ","")&amp;IF(AND($S116&lt;&gt;"",$S116&lt;&gt;"None"),"Delegation ","")&amp;IF(AND($Q116=1,$O116="None"),"StaleAdminCount ","")&amp;IF(AND($F116="Yes",$H116=""),"NeverLoggedOn ","")))</f>
        <v/>
      </c>
      <c r="AD116" s="60" t="n"/>
      <c r="AE116" s="61" t="n"/>
      <c r="AF116" s="60" t="n"/>
      <c r="AG116" s="62" t="n"/>
      <c r="AH116" s="62" t="n"/>
      <c r="AI116" s="62" t="n"/>
      <c r="AJ116" s="60" t="n"/>
      <c r="AK116" s="61" t="n"/>
      <c r="AL116" s="63">
        <f>IF($A116="","",IF(AH116="","Not Enrolled",IF(TODAY()&gt;AH116,"Review Overdue",IF(AH116-TODAY()&lt;=30,"Review Due Soon","Active"))))</f>
        <v/>
      </c>
      <c r="AM116" s="63">
        <f>IF($A116="","",IF(AI116="","NOT REVIEWED",IF(TODAY()-AI116&gt;90,"OVERDUE",IF(TODAY()-AI116&gt;76,"Due Soon","Current"))))</f>
        <v/>
      </c>
    </row>
    <row r="117" ht="15" customHeight="1" s="39">
      <c r="A117" s="60" t="n"/>
      <c r="B117" s="60" t="n"/>
      <c r="C117" s="61" t="n"/>
      <c r="D117" s="61" t="n"/>
      <c r="E117" s="60" t="n"/>
      <c r="F117" s="60" t="n"/>
      <c r="G117" s="62" t="n"/>
      <c r="H117" s="62" t="n"/>
      <c r="I117" s="62" t="n"/>
      <c r="J117" s="60" t="n"/>
      <c r="K117" s="60" t="n"/>
      <c r="L117" s="60" t="n"/>
      <c r="M117" s="61" t="n"/>
      <c r="N117" s="60" t="n"/>
      <c r="O117" s="60" t="n"/>
      <c r="P117" s="60" t="n"/>
      <c r="Q117" s="60" t="n"/>
      <c r="R117" s="60" t="n"/>
      <c r="S117" s="60" t="n"/>
      <c r="T117" s="60" t="n"/>
      <c r="U117" s="60" t="n"/>
      <c r="V117" s="60" t="n"/>
      <c r="W117" s="60" t="n"/>
      <c r="X117" s="60" t="n"/>
      <c r="Y117" s="60" t="n"/>
      <c r="Z117" s="61" t="n"/>
      <c r="AA117" s="63">
        <f>IF($H117="","",TODAY()-$H117)</f>
        <v/>
      </c>
      <c r="AB117" s="63">
        <f>IF($A117="","",IF(AND($F117="Yes",OR($U117="No",$U117="NOT FOUND")),"YES",""))</f>
        <v/>
      </c>
      <c r="AC117" s="66">
        <f>IF($A117="","",TRIM(IF(AND($P117=0,$L117&lt;&gt;"Yes"),"T0-NoSmartcard ","")&amp;IF(AND($J117&lt;&gt;"",$J117&gt;365),"StalePwd ","")&amp;IF($K117="Yes","PwdNeverExpires ","")&amp;IF(AND($S117&lt;&gt;"",$S117&lt;&gt;"None"),"Delegation ","")&amp;IF(AND($Q117=1,$O117="None"),"StaleAdminCount ","")&amp;IF(AND($F117="Yes",$H117=""),"NeverLoggedOn ","")))</f>
        <v/>
      </c>
      <c r="AD117" s="60" t="n"/>
      <c r="AE117" s="61" t="n"/>
      <c r="AF117" s="60" t="n"/>
      <c r="AG117" s="62" t="n"/>
      <c r="AH117" s="62" t="n"/>
      <c r="AI117" s="62" t="n"/>
      <c r="AJ117" s="60" t="n"/>
      <c r="AK117" s="61" t="n"/>
      <c r="AL117" s="63">
        <f>IF($A117="","",IF(AH117="","Not Enrolled",IF(TODAY()&gt;AH117,"Review Overdue",IF(AH117-TODAY()&lt;=30,"Review Due Soon","Active"))))</f>
        <v/>
      </c>
      <c r="AM117" s="63">
        <f>IF($A117="","",IF(AI117="","NOT REVIEWED",IF(TODAY()-AI117&gt;90,"OVERDUE",IF(TODAY()-AI117&gt;76,"Due Soon","Current"))))</f>
        <v/>
      </c>
    </row>
    <row r="118" ht="15" customHeight="1" s="39">
      <c r="A118" s="60" t="n"/>
      <c r="B118" s="60" t="n"/>
      <c r="C118" s="61" t="n"/>
      <c r="D118" s="61" t="n"/>
      <c r="E118" s="60" t="n"/>
      <c r="F118" s="60" t="n"/>
      <c r="G118" s="62" t="n"/>
      <c r="H118" s="62" t="n"/>
      <c r="I118" s="62" t="n"/>
      <c r="J118" s="60" t="n"/>
      <c r="K118" s="60" t="n"/>
      <c r="L118" s="60" t="n"/>
      <c r="M118" s="61" t="n"/>
      <c r="N118" s="60" t="n"/>
      <c r="O118" s="60" t="n"/>
      <c r="P118" s="60" t="n"/>
      <c r="Q118" s="60" t="n"/>
      <c r="R118" s="60" t="n"/>
      <c r="S118" s="60" t="n"/>
      <c r="T118" s="60" t="n"/>
      <c r="U118" s="60" t="n"/>
      <c r="V118" s="60" t="n"/>
      <c r="W118" s="60" t="n"/>
      <c r="X118" s="60" t="n"/>
      <c r="Y118" s="60" t="n"/>
      <c r="Z118" s="61" t="n"/>
      <c r="AA118" s="63">
        <f>IF($H118="","",TODAY()-$H118)</f>
        <v/>
      </c>
      <c r="AB118" s="63">
        <f>IF($A118="","",IF(AND($F118="Yes",OR($U118="No",$U118="NOT FOUND")),"YES",""))</f>
        <v/>
      </c>
      <c r="AC118" s="66">
        <f>IF($A118="","",TRIM(IF(AND($P118=0,$L118&lt;&gt;"Yes"),"T0-NoSmartcard ","")&amp;IF(AND($J118&lt;&gt;"",$J118&gt;365),"StalePwd ","")&amp;IF($K118="Yes","PwdNeverExpires ","")&amp;IF(AND($S118&lt;&gt;"",$S118&lt;&gt;"None"),"Delegation ","")&amp;IF(AND($Q118=1,$O118="None"),"StaleAdminCount ","")&amp;IF(AND($F118="Yes",$H118=""),"NeverLoggedOn ","")))</f>
        <v/>
      </c>
      <c r="AD118" s="60" t="n"/>
      <c r="AE118" s="61" t="n"/>
      <c r="AF118" s="60" t="n"/>
      <c r="AG118" s="62" t="n"/>
      <c r="AH118" s="62" t="n"/>
      <c r="AI118" s="62" t="n"/>
      <c r="AJ118" s="60" t="n"/>
      <c r="AK118" s="61" t="n"/>
      <c r="AL118" s="63">
        <f>IF($A118="","",IF(AH118="","Not Enrolled",IF(TODAY()&gt;AH118,"Review Overdue",IF(AH118-TODAY()&lt;=30,"Review Due Soon","Active"))))</f>
        <v/>
      </c>
      <c r="AM118" s="63">
        <f>IF($A118="","",IF(AI118="","NOT REVIEWED",IF(TODAY()-AI118&gt;90,"OVERDUE",IF(TODAY()-AI118&gt;76,"Due Soon","Current"))))</f>
        <v/>
      </c>
    </row>
    <row r="119" ht="15" customHeight="1" s="39">
      <c r="A119" s="60" t="n"/>
      <c r="B119" s="60" t="n"/>
      <c r="C119" s="61" t="n"/>
      <c r="D119" s="61" t="n"/>
      <c r="E119" s="60" t="n"/>
      <c r="F119" s="60" t="n"/>
      <c r="G119" s="62" t="n"/>
      <c r="H119" s="62" t="n"/>
      <c r="I119" s="62" t="n"/>
      <c r="J119" s="60" t="n"/>
      <c r="K119" s="60" t="n"/>
      <c r="L119" s="60" t="n"/>
      <c r="M119" s="61" t="n"/>
      <c r="N119" s="60" t="n"/>
      <c r="O119" s="60" t="n"/>
      <c r="P119" s="60" t="n"/>
      <c r="Q119" s="60" t="n"/>
      <c r="R119" s="60" t="n"/>
      <c r="S119" s="60" t="n"/>
      <c r="T119" s="60" t="n"/>
      <c r="U119" s="60" t="n"/>
      <c r="V119" s="60" t="n"/>
      <c r="W119" s="60" t="n"/>
      <c r="X119" s="60" t="n"/>
      <c r="Y119" s="60" t="n"/>
      <c r="Z119" s="61" t="n"/>
      <c r="AA119" s="63">
        <f>IF($H119="","",TODAY()-$H119)</f>
        <v/>
      </c>
      <c r="AB119" s="63">
        <f>IF($A119="","",IF(AND($F119="Yes",OR($U119="No",$U119="NOT FOUND")),"YES",""))</f>
        <v/>
      </c>
      <c r="AC119" s="66">
        <f>IF($A119="","",TRIM(IF(AND($P119=0,$L119&lt;&gt;"Yes"),"T0-NoSmartcard ","")&amp;IF(AND($J119&lt;&gt;"",$J119&gt;365),"StalePwd ","")&amp;IF($K119="Yes","PwdNeverExpires ","")&amp;IF(AND($S119&lt;&gt;"",$S119&lt;&gt;"None"),"Delegation ","")&amp;IF(AND($Q119=1,$O119="None"),"StaleAdminCount ","")&amp;IF(AND($F119="Yes",$H119=""),"NeverLoggedOn ","")))</f>
        <v/>
      </c>
      <c r="AD119" s="60" t="n"/>
      <c r="AE119" s="61" t="n"/>
      <c r="AF119" s="60" t="n"/>
      <c r="AG119" s="62" t="n"/>
      <c r="AH119" s="62" t="n"/>
      <c r="AI119" s="62" t="n"/>
      <c r="AJ119" s="60" t="n"/>
      <c r="AK119" s="61" t="n"/>
      <c r="AL119" s="63">
        <f>IF($A119="","",IF(AH119="","Not Enrolled",IF(TODAY()&gt;AH119,"Review Overdue",IF(AH119-TODAY()&lt;=30,"Review Due Soon","Active"))))</f>
        <v/>
      </c>
      <c r="AM119" s="63">
        <f>IF($A119="","",IF(AI119="","NOT REVIEWED",IF(TODAY()-AI119&gt;90,"OVERDUE",IF(TODAY()-AI119&gt;76,"Due Soon","Current"))))</f>
        <v/>
      </c>
    </row>
    <row r="120" ht="15" customHeight="1" s="39">
      <c r="A120" s="60" t="n"/>
      <c r="B120" s="60" t="n"/>
      <c r="C120" s="61" t="n"/>
      <c r="D120" s="61" t="n"/>
      <c r="E120" s="60" t="n"/>
      <c r="F120" s="60" t="n"/>
      <c r="G120" s="62" t="n"/>
      <c r="H120" s="62" t="n"/>
      <c r="I120" s="62" t="n"/>
      <c r="J120" s="60" t="n"/>
      <c r="K120" s="60" t="n"/>
      <c r="L120" s="60" t="n"/>
      <c r="M120" s="61" t="n"/>
      <c r="N120" s="60" t="n"/>
      <c r="O120" s="60" t="n"/>
      <c r="P120" s="60" t="n"/>
      <c r="Q120" s="60" t="n"/>
      <c r="R120" s="60" t="n"/>
      <c r="S120" s="60" t="n"/>
      <c r="T120" s="60" t="n"/>
      <c r="U120" s="60" t="n"/>
      <c r="V120" s="60" t="n"/>
      <c r="W120" s="60" t="n"/>
      <c r="X120" s="60" t="n"/>
      <c r="Y120" s="60" t="n"/>
      <c r="Z120" s="61" t="n"/>
      <c r="AA120" s="63">
        <f>IF($H120="","",TODAY()-$H120)</f>
        <v/>
      </c>
      <c r="AB120" s="63">
        <f>IF($A120="","",IF(AND($F120="Yes",OR($U120="No",$U120="NOT FOUND")),"YES",""))</f>
        <v/>
      </c>
      <c r="AC120" s="66">
        <f>IF($A120="","",TRIM(IF(AND($P120=0,$L120&lt;&gt;"Yes"),"T0-NoSmartcard ","")&amp;IF(AND($J120&lt;&gt;"",$J120&gt;365),"StalePwd ","")&amp;IF($K120="Yes","PwdNeverExpires ","")&amp;IF(AND($S120&lt;&gt;"",$S120&lt;&gt;"None"),"Delegation ","")&amp;IF(AND($Q120=1,$O120="None"),"StaleAdminCount ","")&amp;IF(AND($F120="Yes",$H120=""),"NeverLoggedOn ","")))</f>
        <v/>
      </c>
      <c r="AD120" s="60" t="n"/>
      <c r="AE120" s="61" t="n"/>
      <c r="AF120" s="60" t="n"/>
      <c r="AG120" s="62" t="n"/>
      <c r="AH120" s="62" t="n"/>
      <c r="AI120" s="62" t="n"/>
      <c r="AJ120" s="60" t="n"/>
      <c r="AK120" s="61" t="n"/>
      <c r="AL120" s="63">
        <f>IF($A120="","",IF(AH120="","Not Enrolled",IF(TODAY()&gt;AH120,"Review Overdue",IF(AH120-TODAY()&lt;=30,"Review Due Soon","Active"))))</f>
        <v/>
      </c>
      <c r="AM120" s="63">
        <f>IF($A120="","",IF(AI120="","NOT REVIEWED",IF(TODAY()-AI120&gt;90,"OVERDUE",IF(TODAY()-AI120&gt;76,"Due Soon","Current"))))</f>
        <v/>
      </c>
    </row>
    <row r="121" ht="15" customHeight="1" s="39">
      <c r="A121" s="60" t="n"/>
      <c r="B121" s="60" t="n"/>
      <c r="C121" s="61" t="n"/>
      <c r="D121" s="61" t="n"/>
      <c r="E121" s="60" t="n"/>
      <c r="F121" s="60" t="n"/>
      <c r="G121" s="62" t="n"/>
      <c r="H121" s="62" t="n"/>
      <c r="I121" s="62" t="n"/>
      <c r="J121" s="60" t="n"/>
      <c r="K121" s="60" t="n"/>
      <c r="L121" s="60" t="n"/>
      <c r="M121" s="61" t="n"/>
      <c r="N121" s="60" t="n"/>
      <c r="O121" s="60" t="n"/>
      <c r="P121" s="60" t="n"/>
      <c r="Q121" s="60" t="n"/>
      <c r="R121" s="60" t="n"/>
      <c r="S121" s="60" t="n"/>
      <c r="T121" s="60" t="n"/>
      <c r="U121" s="60" t="n"/>
      <c r="V121" s="60" t="n"/>
      <c r="W121" s="60" t="n"/>
      <c r="X121" s="60" t="n"/>
      <c r="Y121" s="60" t="n"/>
      <c r="Z121" s="61" t="n"/>
      <c r="AA121" s="63">
        <f>IF($H121="","",TODAY()-$H121)</f>
        <v/>
      </c>
      <c r="AB121" s="63">
        <f>IF($A121="","",IF(AND($F121="Yes",OR($U121="No",$U121="NOT FOUND")),"YES",""))</f>
        <v/>
      </c>
      <c r="AC121" s="66">
        <f>IF($A121="","",TRIM(IF(AND($P121=0,$L121&lt;&gt;"Yes"),"T0-NoSmartcard ","")&amp;IF(AND($J121&lt;&gt;"",$J121&gt;365),"StalePwd ","")&amp;IF($K121="Yes","PwdNeverExpires ","")&amp;IF(AND($S121&lt;&gt;"",$S121&lt;&gt;"None"),"Delegation ","")&amp;IF(AND($Q121=1,$O121="None"),"StaleAdminCount ","")&amp;IF(AND($F121="Yes",$H121=""),"NeverLoggedOn ","")))</f>
        <v/>
      </c>
      <c r="AD121" s="60" t="n"/>
      <c r="AE121" s="61" t="n"/>
      <c r="AF121" s="60" t="n"/>
      <c r="AG121" s="62" t="n"/>
      <c r="AH121" s="62" t="n"/>
      <c r="AI121" s="62" t="n"/>
      <c r="AJ121" s="60" t="n"/>
      <c r="AK121" s="61" t="n"/>
      <c r="AL121" s="63">
        <f>IF($A121="","",IF(AH121="","Not Enrolled",IF(TODAY()&gt;AH121,"Review Overdue",IF(AH121-TODAY()&lt;=30,"Review Due Soon","Active"))))</f>
        <v/>
      </c>
      <c r="AM121" s="63">
        <f>IF($A121="","",IF(AI121="","NOT REVIEWED",IF(TODAY()-AI121&gt;90,"OVERDUE",IF(TODAY()-AI121&gt;76,"Due Soon","Current"))))</f>
        <v/>
      </c>
    </row>
    <row r="122" ht="15" customHeight="1" s="39">
      <c r="A122" s="60" t="n"/>
      <c r="B122" s="60" t="n"/>
      <c r="C122" s="61" t="n"/>
      <c r="D122" s="61" t="n"/>
      <c r="E122" s="60" t="n"/>
      <c r="F122" s="60" t="n"/>
      <c r="G122" s="62" t="n"/>
      <c r="H122" s="62" t="n"/>
      <c r="I122" s="62" t="n"/>
      <c r="J122" s="60" t="n"/>
      <c r="K122" s="60" t="n"/>
      <c r="L122" s="60" t="n"/>
      <c r="M122" s="61" t="n"/>
      <c r="N122" s="60" t="n"/>
      <c r="O122" s="60" t="n"/>
      <c r="P122" s="60" t="n"/>
      <c r="Q122" s="60" t="n"/>
      <c r="R122" s="60" t="n"/>
      <c r="S122" s="60" t="n"/>
      <c r="T122" s="60" t="n"/>
      <c r="U122" s="60" t="n"/>
      <c r="V122" s="60" t="n"/>
      <c r="W122" s="60" t="n"/>
      <c r="X122" s="60" t="n"/>
      <c r="Y122" s="60" t="n"/>
      <c r="Z122" s="61" t="n"/>
      <c r="AA122" s="63">
        <f>IF($H122="","",TODAY()-$H122)</f>
        <v/>
      </c>
      <c r="AB122" s="63">
        <f>IF($A122="","",IF(AND($F122="Yes",OR($U122="No",$U122="NOT FOUND")),"YES",""))</f>
        <v/>
      </c>
      <c r="AC122" s="66">
        <f>IF($A122="","",TRIM(IF(AND($P122=0,$L122&lt;&gt;"Yes"),"T0-NoSmartcard ","")&amp;IF(AND($J122&lt;&gt;"",$J122&gt;365),"StalePwd ","")&amp;IF($K122="Yes","PwdNeverExpires ","")&amp;IF(AND($S122&lt;&gt;"",$S122&lt;&gt;"None"),"Delegation ","")&amp;IF(AND($Q122=1,$O122="None"),"StaleAdminCount ","")&amp;IF(AND($F122="Yes",$H122=""),"NeverLoggedOn ","")))</f>
        <v/>
      </c>
      <c r="AD122" s="60" t="n"/>
      <c r="AE122" s="61" t="n"/>
      <c r="AF122" s="60" t="n"/>
      <c r="AG122" s="62" t="n"/>
      <c r="AH122" s="62" t="n"/>
      <c r="AI122" s="62" t="n"/>
      <c r="AJ122" s="60" t="n"/>
      <c r="AK122" s="61" t="n"/>
      <c r="AL122" s="63">
        <f>IF($A122="","",IF(AH122="","Not Enrolled",IF(TODAY()&gt;AH122,"Review Overdue",IF(AH122-TODAY()&lt;=30,"Review Due Soon","Active"))))</f>
        <v/>
      </c>
      <c r="AM122" s="63">
        <f>IF($A122="","",IF(AI122="","NOT REVIEWED",IF(TODAY()-AI122&gt;90,"OVERDUE",IF(TODAY()-AI122&gt;76,"Due Soon","Current"))))</f>
        <v/>
      </c>
    </row>
    <row r="123" ht="15" customHeight="1" s="39">
      <c r="A123" s="60" t="n"/>
      <c r="B123" s="60" t="n"/>
      <c r="C123" s="61" t="n"/>
      <c r="D123" s="61" t="n"/>
      <c r="E123" s="60" t="n"/>
      <c r="F123" s="60" t="n"/>
      <c r="G123" s="62" t="n"/>
      <c r="H123" s="62" t="n"/>
      <c r="I123" s="62" t="n"/>
      <c r="J123" s="60" t="n"/>
      <c r="K123" s="60" t="n"/>
      <c r="L123" s="60" t="n"/>
      <c r="M123" s="61" t="n"/>
      <c r="N123" s="60" t="n"/>
      <c r="O123" s="60" t="n"/>
      <c r="P123" s="60" t="n"/>
      <c r="Q123" s="60" t="n"/>
      <c r="R123" s="60" t="n"/>
      <c r="S123" s="60" t="n"/>
      <c r="T123" s="60" t="n"/>
      <c r="U123" s="60" t="n"/>
      <c r="V123" s="60" t="n"/>
      <c r="W123" s="60" t="n"/>
      <c r="X123" s="60" t="n"/>
      <c r="Y123" s="60" t="n"/>
      <c r="Z123" s="61" t="n"/>
      <c r="AA123" s="63">
        <f>IF($H123="","",TODAY()-$H123)</f>
        <v/>
      </c>
      <c r="AB123" s="63">
        <f>IF($A123="","",IF(AND($F123="Yes",OR($U123="No",$U123="NOT FOUND")),"YES",""))</f>
        <v/>
      </c>
      <c r="AC123" s="66">
        <f>IF($A123="","",TRIM(IF(AND($P123=0,$L123&lt;&gt;"Yes"),"T0-NoSmartcard ","")&amp;IF(AND($J123&lt;&gt;"",$J123&gt;365),"StalePwd ","")&amp;IF($K123="Yes","PwdNeverExpires ","")&amp;IF(AND($S123&lt;&gt;"",$S123&lt;&gt;"None"),"Delegation ","")&amp;IF(AND($Q123=1,$O123="None"),"StaleAdminCount ","")&amp;IF(AND($F123="Yes",$H123=""),"NeverLoggedOn ","")))</f>
        <v/>
      </c>
      <c r="AD123" s="60" t="n"/>
      <c r="AE123" s="61" t="n"/>
      <c r="AF123" s="60" t="n"/>
      <c r="AG123" s="62" t="n"/>
      <c r="AH123" s="62" t="n"/>
      <c r="AI123" s="62" t="n"/>
      <c r="AJ123" s="60" t="n"/>
      <c r="AK123" s="61" t="n"/>
      <c r="AL123" s="63">
        <f>IF($A123="","",IF(AH123="","Not Enrolled",IF(TODAY()&gt;AH123,"Review Overdue",IF(AH123-TODAY()&lt;=30,"Review Due Soon","Active"))))</f>
        <v/>
      </c>
      <c r="AM123" s="63">
        <f>IF($A123="","",IF(AI123="","NOT REVIEWED",IF(TODAY()-AI123&gt;90,"OVERDUE",IF(TODAY()-AI123&gt;76,"Due Soon","Current"))))</f>
        <v/>
      </c>
    </row>
    <row r="124" ht="15" customHeight="1" s="39">
      <c r="A124" s="60" t="n"/>
      <c r="B124" s="60" t="n"/>
      <c r="C124" s="61" t="n"/>
      <c r="D124" s="61" t="n"/>
      <c r="E124" s="60" t="n"/>
      <c r="F124" s="60" t="n"/>
      <c r="G124" s="62" t="n"/>
      <c r="H124" s="62" t="n"/>
      <c r="I124" s="62" t="n"/>
      <c r="J124" s="60" t="n"/>
      <c r="K124" s="60" t="n"/>
      <c r="L124" s="60" t="n"/>
      <c r="M124" s="61" t="n"/>
      <c r="N124" s="60" t="n"/>
      <c r="O124" s="60" t="n"/>
      <c r="P124" s="60" t="n"/>
      <c r="Q124" s="60" t="n"/>
      <c r="R124" s="60" t="n"/>
      <c r="S124" s="60" t="n"/>
      <c r="T124" s="60" t="n"/>
      <c r="U124" s="60" t="n"/>
      <c r="V124" s="60" t="n"/>
      <c r="W124" s="60" t="n"/>
      <c r="X124" s="60" t="n"/>
      <c r="Y124" s="60" t="n"/>
      <c r="Z124" s="61" t="n"/>
      <c r="AA124" s="63">
        <f>IF($H124="","",TODAY()-$H124)</f>
        <v/>
      </c>
      <c r="AB124" s="63">
        <f>IF($A124="","",IF(AND($F124="Yes",OR($U124="No",$U124="NOT FOUND")),"YES",""))</f>
        <v/>
      </c>
      <c r="AC124" s="66">
        <f>IF($A124="","",TRIM(IF(AND($P124=0,$L124&lt;&gt;"Yes"),"T0-NoSmartcard ","")&amp;IF(AND($J124&lt;&gt;"",$J124&gt;365),"StalePwd ","")&amp;IF($K124="Yes","PwdNeverExpires ","")&amp;IF(AND($S124&lt;&gt;"",$S124&lt;&gt;"None"),"Delegation ","")&amp;IF(AND($Q124=1,$O124="None"),"StaleAdminCount ","")&amp;IF(AND($F124="Yes",$H124=""),"NeverLoggedOn ","")))</f>
        <v/>
      </c>
      <c r="AD124" s="60" t="n"/>
      <c r="AE124" s="61" t="n"/>
      <c r="AF124" s="60" t="n"/>
      <c r="AG124" s="62" t="n"/>
      <c r="AH124" s="62" t="n"/>
      <c r="AI124" s="62" t="n"/>
      <c r="AJ124" s="60" t="n"/>
      <c r="AK124" s="61" t="n"/>
      <c r="AL124" s="63">
        <f>IF($A124="","",IF(AH124="","Not Enrolled",IF(TODAY()&gt;AH124,"Review Overdue",IF(AH124-TODAY()&lt;=30,"Review Due Soon","Active"))))</f>
        <v/>
      </c>
      <c r="AM124" s="63">
        <f>IF($A124="","",IF(AI124="","NOT REVIEWED",IF(TODAY()-AI124&gt;90,"OVERDUE",IF(TODAY()-AI124&gt;76,"Due Soon","Current"))))</f>
        <v/>
      </c>
    </row>
    <row r="125" ht="15" customHeight="1" s="39">
      <c r="A125" s="60" t="n"/>
      <c r="B125" s="60" t="n"/>
      <c r="C125" s="61" t="n"/>
      <c r="D125" s="61" t="n"/>
      <c r="E125" s="60" t="n"/>
      <c r="F125" s="60" t="n"/>
      <c r="G125" s="62" t="n"/>
      <c r="H125" s="62" t="n"/>
      <c r="I125" s="62" t="n"/>
      <c r="J125" s="60" t="n"/>
      <c r="K125" s="60" t="n"/>
      <c r="L125" s="60" t="n"/>
      <c r="M125" s="61" t="n"/>
      <c r="N125" s="60" t="n"/>
      <c r="O125" s="60" t="n"/>
      <c r="P125" s="60" t="n"/>
      <c r="Q125" s="60" t="n"/>
      <c r="R125" s="60" t="n"/>
      <c r="S125" s="60" t="n"/>
      <c r="T125" s="60" t="n"/>
      <c r="U125" s="60" t="n"/>
      <c r="V125" s="60" t="n"/>
      <c r="W125" s="60" t="n"/>
      <c r="X125" s="60" t="n"/>
      <c r="Y125" s="60" t="n"/>
      <c r="Z125" s="61" t="n"/>
      <c r="AA125" s="63">
        <f>IF($H125="","",TODAY()-$H125)</f>
        <v/>
      </c>
      <c r="AB125" s="63">
        <f>IF($A125="","",IF(AND($F125="Yes",OR($U125="No",$U125="NOT FOUND")),"YES",""))</f>
        <v/>
      </c>
      <c r="AC125" s="66">
        <f>IF($A125="","",TRIM(IF(AND($P125=0,$L125&lt;&gt;"Yes"),"T0-NoSmartcard ","")&amp;IF(AND($J125&lt;&gt;"",$J125&gt;365),"StalePwd ","")&amp;IF($K125="Yes","PwdNeverExpires ","")&amp;IF(AND($S125&lt;&gt;"",$S125&lt;&gt;"None"),"Delegation ","")&amp;IF(AND($Q125=1,$O125="None"),"StaleAdminCount ","")&amp;IF(AND($F125="Yes",$H125=""),"NeverLoggedOn ","")))</f>
        <v/>
      </c>
      <c r="AD125" s="60" t="n"/>
      <c r="AE125" s="61" t="n"/>
      <c r="AF125" s="60" t="n"/>
      <c r="AG125" s="62" t="n"/>
      <c r="AH125" s="62" t="n"/>
      <c r="AI125" s="62" t="n"/>
      <c r="AJ125" s="60" t="n"/>
      <c r="AK125" s="61" t="n"/>
      <c r="AL125" s="63">
        <f>IF($A125="","",IF(AH125="","Not Enrolled",IF(TODAY()&gt;AH125,"Review Overdue",IF(AH125-TODAY()&lt;=30,"Review Due Soon","Active"))))</f>
        <v/>
      </c>
      <c r="AM125" s="63">
        <f>IF($A125="","",IF(AI125="","NOT REVIEWED",IF(TODAY()-AI125&gt;90,"OVERDUE",IF(TODAY()-AI125&gt;76,"Due Soon","Current"))))</f>
        <v/>
      </c>
    </row>
    <row r="126" ht="15" customHeight="1" s="39">
      <c r="A126" s="60" t="n"/>
      <c r="B126" s="60" t="n"/>
      <c r="C126" s="61" t="n"/>
      <c r="D126" s="61" t="n"/>
      <c r="E126" s="60" t="n"/>
      <c r="F126" s="60" t="n"/>
      <c r="G126" s="62" t="n"/>
      <c r="H126" s="62" t="n"/>
      <c r="I126" s="62" t="n"/>
      <c r="J126" s="60" t="n"/>
      <c r="K126" s="60" t="n"/>
      <c r="L126" s="60" t="n"/>
      <c r="M126" s="61" t="n"/>
      <c r="N126" s="60" t="n"/>
      <c r="O126" s="60" t="n"/>
      <c r="P126" s="60" t="n"/>
      <c r="Q126" s="60" t="n"/>
      <c r="R126" s="60" t="n"/>
      <c r="S126" s="60" t="n"/>
      <c r="T126" s="60" t="n"/>
      <c r="U126" s="60" t="n"/>
      <c r="V126" s="60" t="n"/>
      <c r="W126" s="60" t="n"/>
      <c r="X126" s="60" t="n"/>
      <c r="Y126" s="60" t="n"/>
      <c r="Z126" s="61" t="n"/>
      <c r="AA126" s="63">
        <f>IF($H126="","",TODAY()-$H126)</f>
        <v/>
      </c>
      <c r="AB126" s="63">
        <f>IF($A126="","",IF(AND($F126="Yes",OR($U126="No",$U126="NOT FOUND")),"YES",""))</f>
        <v/>
      </c>
      <c r="AC126" s="66">
        <f>IF($A126="","",TRIM(IF(AND($P126=0,$L126&lt;&gt;"Yes"),"T0-NoSmartcard ","")&amp;IF(AND($J126&lt;&gt;"",$J126&gt;365),"StalePwd ","")&amp;IF($K126="Yes","PwdNeverExpires ","")&amp;IF(AND($S126&lt;&gt;"",$S126&lt;&gt;"None"),"Delegation ","")&amp;IF(AND($Q126=1,$O126="None"),"StaleAdminCount ","")&amp;IF(AND($F126="Yes",$H126=""),"NeverLoggedOn ","")))</f>
        <v/>
      </c>
      <c r="AD126" s="60" t="n"/>
      <c r="AE126" s="61" t="n"/>
      <c r="AF126" s="60" t="n"/>
      <c r="AG126" s="62" t="n"/>
      <c r="AH126" s="62" t="n"/>
      <c r="AI126" s="62" t="n"/>
      <c r="AJ126" s="60" t="n"/>
      <c r="AK126" s="61" t="n"/>
      <c r="AL126" s="63">
        <f>IF($A126="","",IF(AH126="","Not Enrolled",IF(TODAY()&gt;AH126,"Review Overdue",IF(AH126-TODAY()&lt;=30,"Review Due Soon","Active"))))</f>
        <v/>
      </c>
      <c r="AM126" s="63">
        <f>IF($A126="","",IF(AI126="","NOT REVIEWED",IF(TODAY()-AI126&gt;90,"OVERDUE",IF(TODAY()-AI126&gt;76,"Due Soon","Current"))))</f>
        <v/>
      </c>
    </row>
    <row r="127" ht="15" customHeight="1" s="39">
      <c r="A127" s="60" t="n"/>
      <c r="B127" s="60" t="n"/>
      <c r="C127" s="61" t="n"/>
      <c r="D127" s="61" t="n"/>
      <c r="E127" s="60" t="n"/>
      <c r="F127" s="60" t="n"/>
      <c r="G127" s="62" t="n"/>
      <c r="H127" s="62" t="n"/>
      <c r="I127" s="62" t="n"/>
      <c r="J127" s="60" t="n"/>
      <c r="K127" s="60" t="n"/>
      <c r="L127" s="60" t="n"/>
      <c r="M127" s="61" t="n"/>
      <c r="N127" s="60" t="n"/>
      <c r="O127" s="60" t="n"/>
      <c r="P127" s="60" t="n"/>
      <c r="Q127" s="60" t="n"/>
      <c r="R127" s="60" t="n"/>
      <c r="S127" s="60" t="n"/>
      <c r="T127" s="60" t="n"/>
      <c r="U127" s="60" t="n"/>
      <c r="V127" s="60" t="n"/>
      <c r="W127" s="60" t="n"/>
      <c r="X127" s="60" t="n"/>
      <c r="Y127" s="60" t="n"/>
      <c r="Z127" s="61" t="n"/>
      <c r="AA127" s="63">
        <f>IF($H127="","",TODAY()-$H127)</f>
        <v/>
      </c>
      <c r="AB127" s="63">
        <f>IF($A127="","",IF(AND($F127="Yes",OR($U127="No",$U127="NOT FOUND")),"YES",""))</f>
        <v/>
      </c>
      <c r="AC127" s="66">
        <f>IF($A127="","",TRIM(IF(AND($P127=0,$L127&lt;&gt;"Yes"),"T0-NoSmartcard ","")&amp;IF(AND($J127&lt;&gt;"",$J127&gt;365),"StalePwd ","")&amp;IF($K127="Yes","PwdNeverExpires ","")&amp;IF(AND($S127&lt;&gt;"",$S127&lt;&gt;"None"),"Delegation ","")&amp;IF(AND($Q127=1,$O127="None"),"StaleAdminCount ","")&amp;IF(AND($F127="Yes",$H127=""),"NeverLoggedOn ","")))</f>
        <v/>
      </c>
      <c r="AD127" s="60" t="n"/>
      <c r="AE127" s="61" t="n"/>
      <c r="AF127" s="60" t="n"/>
      <c r="AG127" s="62" t="n"/>
      <c r="AH127" s="62" t="n"/>
      <c r="AI127" s="62" t="n"/>
      <c r="AJ127" s="60" t="n"/>
      <c r="AK127" s="61" t="n"/>
      <c r="AL127" s="63">
        <f>IF($A127="","",IF(AH127="","Not Enrolled",IF(TODAY()&gt;AH127,"Review Overdue",IF(AH127-TODAY()&lt;=30,"Review Due Soon","Active"))))</f>
        <v/>
      </c>
      <c r="AM127" s="63">
        <f>IF($A127="","",IF(AI127="","NOT REVIEWED",IF(TODAY()-AI127&gt;90,"OVERDUE",IF(TODAY()-AI127&gt;76,"Due Soon","Current"))))</f>
        <v/>
      </c>
    </row>
    <row r="128" ht="15" customHeight="1" s="39">
      <c r="A128" s="60" t="n"/>
      <c r="B128" s="60" t="n"/>
      <c r="C128" s="61" t="n"/>
      <c r="D128" s="61" t="n"/>
      <c r="E128" s="60" t="n"/>
      <c r="F128" s="60" t="n"/>
      <c r="G128" s="62" t="n"/>
      <c r="H128" s="62" t="n"/>
      <c r="I128" s="62" t="n"/>
      <c r="J128" s="60" t="n"/>
      <c r="K128" s="60" t="n"/>
      <c r="L128" s="60" t="n"/>
      <c r="M128" s="61" t="n"/>
      <c r="N128" s="60" t="n"/>
      <c r="O128" s="60" t="n"/>
      <c r="P128" s="60" t="n"/>
      <c r="Q128" s="60" t="n"/>
      <c r="R128" s="60" t="n"/>
      <c r="S128" s="60" t="n"/>
      <c r="T128" s="60" t="n"/>
      <c r="U128" s="60" t="n"/>
      <c r="V128" s="60" t="n"/>
      <c r="W128" s="60" t="n"/>
      <c r="X128" s="60" t="n"/>
      <c r="Y128" s="60" t="n"/>
      <c r="Z128" s="61" t="n"/>
      <c r="AA128" s="63">
        <f>IF($H128="","",TODAY()-$H128)</f>
        <v/>
      </c>
      <c r="AB128" s="63">
        <f>IF($A128="","",IF(AND($F128="Yes",OR($U128="No",$U128="NOT FOUND")),"YES",""))</f>
        <v/>
      </c>
      <c r="AC128" s="66">
        <f>IF($A128="","",TRIM(IF(AND($P128=0,$L128&lt;&gt;"Yes"),"T0-NoSmartcard ","")&amp;IF(AND($J128&lt;&gt;"",$J128&gt;365),"StalePwd ","")&amp;IF($K128="Yes","PwdNeverExpires ","")&amp;IF(AND($S128&lt;&gt;"",$S128&lt;&gt;"None"),"Delegation ","")&amp;IF(AND($Q128=1,$O128="None"),"StaleAdminCount ","")&amp;IF(AND($F128="Yes",$H128=""),"NeverLoggedOn ","")))</f>
        <v/>
      </c>
      <c r="AD128" s="60" t="n"/>
      <c r="AE128" s="61" t="n"/>
      <c r="AF128" s="60" t="n"/>
      <c r="AG128" s="62" t="n"/>
      <c r="AH128" s="62" t="n"/>
      <c r="AI128" s="62" t="n"/>
      <c r="AJ128" s="60" t="n"/>
      <c r="AK128" s="61" t="n"/>
      <c r="AL128" s="63">
        <f>IF($A128="","",IF(AH128="","Not Enrolled",IF(TODAY()&gt;AH128,"Review Overdue",IF(AH128-TODAY()&lt;=30,"Review Due Soon","Active"))))</f>
        <v/>
      </c>
      <c r="AM128" s="63">
        <f>IF($A128="","",IF(AI128="","NOT REVIEWED",IF(TODAY()-AI128&gt;90,"OVERDUE",IF(TODAY()-AI128&gt;76,"Due Soon","Current"))))</f>
        <v/>
      </c>
    </row>
    <row r="129" ht="15" customHeight="1" s="39">
      <c r="A129" s="60" t="n"/>
      <c r="B129" s="60" t="n"/>
      <c r="C129" s="61" t="n"/>
      <c r="D129" s="61" t="n"/>
      <c r="E129" s="60" t="n"/>
      <c r="F129" s="60" t="n"/>
      <c r="G129" s="62" t="n"/>
      <c r="H129" s="62" t="n"/>
      <c r="I129" s="62" t="n"/>
      <c r="J129" s="60" t="n"/>
      <c r="K129" s="60" t="n"/>
      <c r="L129" s="60" t="n"/>
      <c r="M129" s="61" t="n"/>
      <c r="N129" s="60" t="n"/>
      <c r="O129" s="60" t="n"/>
      <c r="P129" s="60" t="n"/>
      <c r="Q129" s="60" t="n"/>
      <c r="R129" s="60" t="n"/>
      <c r="S129" s="60" t="n"/>
      <c r="T129" s="60" t="n"/>
      <c r="U129" s="60" t="n"/>
      <c r="V129" s="60" t="n"/>
      <c r="W129" s="60" t="n"/>
      <c r="X129" s="60" t="n"/>
      <c r="Y129" s="60" t="n"/>
      <c r="Z129" s="61" t="n"/>
      <c r="AA129" s="63">
        <f>IF($H129="","",TODAY()-$H129)</f>
        <v/>
      </c>
      <c r="AB129" s="63">
        <f>IF($A129="","",IF(AND($F129="Yes",OR($U129="No",$U129="NOT FOUND")),"YES",""))</f>
        <v/>
      </c>
      <c r="AC129" s="66">
        <f>IF($A129="","",TRIM(IF(AND($P129=0,$L129&lt;&gt;"Yes"),"T0-NoSmartcard ","")&amp;IF(AND($J129&lt;&gt;"",$J129&gt;365),"StalePwd ","")&amp;IF($K129="Yes","PwdNeverExpires ","")&amp;IF(AND($S129&lt;&gt;"",$S129&lt;&gt;"None"),"Delegation ","")&amp;IF(AND($Q129=1,$O129="None"),"StaleAdminCount ","")&amp;IF(AND($F129="Yes",$H129=""),"NeverLoggedOn ","")))</f>
        <v/>
      </c>
      <c r="AD129" s="60" t="n"/>
      <c r="AE129" s="61" t="n"/>
      <c r="AF129" s="60" t="n"/>
      <c r="AG129" s="62" t="n"/>
      <c r="AH129" s="62" t="n"/>
      <c r="AI129" s="62" t="n"/>
      <c r="AJ129" s="60" t="n"/>
      <c r="AK129" s="61" t="n"/>
      <c r="AL129" s="63">
        <f>IF($A129="","",IF(AH129="","Not Enrolled",IF(TODAY()&gt;AH129,"Review Overdue",IF(AH129-TODAY()&lt;=30,"Review Due Soon","Active"))))</f>
        <v/>
      </c>
      <c r="AM129" s="63">
        <f>IF($A129="","",IF(AI129="","NOT REVIEWED",IF(TODAY()-AI129&gt;90,"OVERDUE",IF(TODAY()-AI129&gt;76,"Due Soon","Current"))))</f>
        <v/>
      </c>
    </row>
    <row r="130" ht="15" customHeight="1" s="39">
      <c r="A130" s="60" t="n"/>
      <c r="B130" s="60" t="n"/>
      <c r="C130" s="61" t="n"/>
      <c r="D130" s="61" t="n"/>
      <c r="E130" s="60" t="n"/>
      <c r="F130" s="60" t="n"/>
      <c r="G130" s="62" t="n"/>
      <c r="H130" s="62" t="n"/>
      <c r="I130" s="62" t="n"/>
      <c r="J130" s="60" t="n"/>
      <c r="K130" s="60" t="n"/>
      <c r="L130" s="60" t="n"/>
      <c r="M130" s="61" t="n"/>
      <c r="N130" s="60" t="n"/>
      <c r="O130" s="60" t="n"/>
      <c r="P130" s="60" t="n"/>
      <c r="Q130" s="60" t="n"/>
      <c r="R130" s="60" t="n"/>
      <c r="S130" s="60" t="n"/>
      <c r="T130" s="60" t="n"/>
      <c r="U130" s="60" t="n"/>
      <c r="V130" s="60" t="n"/>
      <c r="W130" s="60" t="n"/>
      <c r="X130" s="60" t="n"/>
      <c r="Y130" s="60" t="n"/>
      <c r="Z130" s="61" t="n"/>
      <c r="AA130" s="63">
        <f>IF($H130="","",TODAY()-$H130)</f>
        <v/>
      </c>
      <c r="AB130" s="63">
        <f>IF($A130="","",IF(AND($F130="Yes",OR($U130="No",$U130="NOT FOUND")),"YES",""))</f>
        <v/>
      </c>
      <c r="AC130" s="66">
        <f>IF($A130="","",TRIM(IF(AND($P130=0,$L130&lt;&gt;"Yes"),"T0-NoSmartcard ","")&amp;IF(AND($J130&lt;&gt;"",$J130&gt;365),"StalePwd ","")&amp;IF($K130="Yes","PwdNeverExpires ","")&amp;IF(AND($S130&lt;&gt;"",$S130&lt;&gt;"None"),"Delegation ","")&amp;IF(AND($Q130=1,$O130="None"),"StaleAdminCount ","")&amp;IF(AND($F130="Yes",$H130=""),"NeverLoggedOn ","")))</f>
        <v/>
      </c>
      <c r="AD130" s="60" t="n"/>
      <c r="AE130" s="61" t="n"/>
      <c r="AF130" s="60" t="n"/>
      <c r="AG130" s="62" t="n"/>
      <c r="AH130" s="62" t="n"/>
      <c r="AI130" s="62" t="n"/>
      <c r="AJ130" s="60" t="n"/>
      <c r="AK130" s="61" t="n"/>
      <c r="AL130" s="63">
        <f>IF($A130="","",IF(AH130="","Not Enrolled",IF(TODAY()&gt;AH130,"Review Overdue",IF(AH130-TODAY()&lt;=30,"Review Due Soon","Active"))))</f>
        <v/>
      </c>
      <c r="AM130" s="63">
        <f>IF($A130="","",IF(AI130="","NOT REVIEWED",IF(TODAY()-AI130&gt;90,"OVERDUE",IF(TODAY()-AI130&gt;76,"Due Soon","Current"))))</f>
        <v/>
      </c>
    </row>
    <row r="131" ht="15" customHeight="1" s="39">
      <c r="A131" s="60" t="n"/>
      <c r="B131" s="60" t="n"/>
      <c r="C131" s="61" t="n"/>
      <c r="D131" s="61" t="n"/>
      <c r="E131" s="60" t="n"/>
      <c r="F131" s="60" t="n"/>
      <c r="G131" s="62" t="n"/>
      <c r="H131" s="62" t="n"/>
      <c r="I131" s="62" t="n"/>
      <c r="J131" s="60" t="n"/>
      <c r="K131" s="60" t="n"/>
      <c r="L131" s="60" t="n"/>
      <c r="M131" s="61" t="n"/>
      <c r="N131" s="60" t="n"/>
      <c r="O131" s="60" t="n"/>
      <c r="P131" s="60" t="n"/>
      <c r="Q131" s="60" t="n"/>
      <c r="R131" s="60" t="n"/>
      <c r="S131" s="60" t="n"/>
      <c r="T131" s="60" t="n"/>
      <c r="U131" s="60" t="n"/>
      <c r="V131" s="60" t="n"/>
      <c r="W131" s="60" t="n"/>
      <c r="X131" s="60" t="n"/>
      <c r="Y131" s="60" t="n"/>
      <c r="Z131" s="61" t="n"/>
      <c r="AA131" s="63">
        <f>IF($H131="","",TODAY()-$H131)</f>
        <v/>
      </c>
      <c r="AB131" s="63">
        <f>IF($A131="","",IF(AND($F131="Yes",OR($U131="No",$U131="NOT FOUND")),"YES",""))</f>
        <v/>
      </c>
      <c r="AC131" s="66">
        <f>IF($A131="","",TRIM(IF(AND($P131=0,$L131&lt;&gt;"Yes"),"T0-NoSmartcard ","")&amp;IF(AND($J131&lt;&gt;"",$J131&gt;365),"StalePwd ","")&amp;IF($K131="Yes","PwdNeverExpires ","")&amp;IF(AND($S131&lt;&gt;"",$S131&lt;&gt;"None"),"Delegation ","")&amp;IF(AND($Q131=1,$O131="None"),"StaleAdminCount ","")&amp;IF(AND($F131="Yes",$H131=""),"NeverLoggedOn ","")))</f>
        <v/>
      </c>
      <c r="AD131" s="60" t="n"/>
      <c r="AE131" s="61" t="n"/>
      <c r="AF131" s="60" t="n"/>
      <c r="AG131" s="62" t="n"/>
      <c r="AH131" s="62" t="n"/>
      <c r="AI131" s="62" t="n"/>
      <c r="AJ131" s="60" t="n"/>
      <c r="AK131" s="61" t="n"/>
      <c r="AL131" s="63">
        <f>IF($A131="","",IF(AH131="","Not Enrolled",IF(TODAY()&gt;AH131,"Review Overdue",IF(AH131-TODAY()&lt;=30,"Review Due Soon","Active"))))</f>
        <v/>
      </c>
      <c r="AM131" s="63">
        <f>IF($A131="","",IF(AI131="","NOT REVIEWED",IF(TODAY()-AI131&gt;90,"OVERDUE",IF(TODAY()-AI131&gt;76,"Due Soon","Current"))))</f>
        <v/>
      </c>
    </row>
    <row r="132" ht="15" customHeight="1" s="39">
      <c r="A132" s="60" t="n"/>
      <c r="B132" s="60" t="n"/>
      <c r="C132" s="61" t="n"/>
      <c r="D132" s="61" t="n"/>
      <c r="E132" s="60" t="n"/>
      <c r="F132" s="60" t="n"/>
      <c r="G132" s="62" t="n"/>
      <c r="H132" s="62" t="n"/>
      <c r="I132" s="62" t="n"/>
      <c r="J132" s="60" t="n"/>
      <c r="K132" s="60" t="n"/>
      <c r="L132" s="60" t="n"/>
      <c r="M132" s="61" t="n"/>
      <c r="N132" s="60" t="n"/>
      <c r="O132" s="60" t="n"/>
      <c r="P132" s="60" t="n"/>
      <c r="Q132" s="60" t="n"/>
      <c r="R132" s="60" t="n"/>
      <c r="S132" s="60" t="n"/>
      <c r="T132" s="60" t="n"/>
      <c r="U132" s="60" t="n"/>
      <c r="V132" s="60" t="n"/>
      <c r="W132" s="60" t="n"/>
      <c r="X132" s="60" t="n"/>
      <c r="Y132" s="60" t="n"/>
      <c r="Z132" s="61" t="n"/>
      <c r="AA132" s="63">
        <f>IF($H132="","",TODAY()-$H132)</f>
        <v/>
      </c>
      <c r="AB132" s="63">
        <f>IF($A132="","",IF(AND($F132="Yes",OR($U132="No",$U132="NOT FOUND")),"YES",""))</f>
        <v/>
      </c>
      <c r="AC132" s="66">
        <f>IF($A132="","",TRIM(IF(AND($P132=0,$L132&lt;&gt;"Yes"),"T0-NoSmartcard ","")&amp;IF(AND($J132&lt;&gt;"",$J132&gt;365),"StalePwd ","")&amp;IF($K132="Yes","PwdNeverExpires ","")&amp;IF(AND($S132&lt;&gt;"",$S132&lt;&gt;"None"),"Delegation ","")&amp;IF(AND($Q132=1,$O132="None"),"StaleAdminCount ","")&amp;IF(AND($F132="Yes",$H132=""),"NeverLoggedOn ","")))</f>
        <v/>
      </c>
      <c r="AD132" s="60" t="n"/>
      <c r="AE132" s="61" t="n"/>
      <c r="AF132" s="60" t="n"/>
      <c r="AG132" s="62" t="n"/>
      <c r="AH132" s="62" t="n"/>
      <c r="AI132" s="62" t="n"/>
      <c r="AJ132" s="60" t="n"/>
      <c r="AK132" s="61" t="n"/>
      <c r="AL132" s="63">
        <f>IF($A132="","",IF(AH132="","Not Enrolled",IF(TODAY()&gt;AH132,"Review Overdue",IF(AH132-TODAY()&lt;=30,"Review Due Soon","Active"))))</f>
        <v/>
      </c>
      <c r="AM132" s="63">
        <f>IF($A132="","",IF(AI132="","NOT REVIEWED",IF(TODAY()-AI132&gt;90,"OVERDUE",IF(TODAY()-AI132&gt;76,"Due Soon","Current"))))</f>
        <v/>
      </c>
    </row>
    <row r="133" ht="15" customHeight="1" s="39">
      <c r="A133" s="60" t="n"/>
      <c r="B133" s="60" t="n"/>
      <c r="C133" s="61" t="n"/>
      <c r="D133" s="61" t="n"/>
      <c r="E133" s="60" t="n"/>
      <c r="F133" s="60" t="n"/>
      <c r="G133" s="62" t="n"/>
      <c r="H133" s="62" t="n"/>
      <c r="I133" s="62" t="n"/>
      <c r="J133" s="60" t="n"/>
      <c r="K133" s="60" t="n"/>
      <c r="L133" s="60" t="n"/>
      <c r="M133" s="61" t="n"/>
      <c r="N133" s="60" t="n"/>
      <c r="O133" s="60" t="n"/>
      <c r="P133" s="60" t="n"/>
      <c r="Q133" s="60" t="n"/>
      <c r="R133" s="60" t="n"/>
      <c r="S133" s="60" t="n"/>
      <c r="T133" s="60" t="n"/>
      <c r="U133" s="60" t="n"/>
      <c r="V133" s="60" t="n"/>
      <c r="W133" s="60" t="n"/>
      <c r="X133" s="60" t="n"/>
      <c r="Y133" s="60" t="n"/>
      <c r="Z133" s="61" t="n"/>
      <c r="AA133" s="63">
        <f>IF($H133="","",TODAY()-$H133)</f>
        <v/>
      </c>
      <c r="AB133" s="63">
        <f>IF($A133="","",IF(AND($F133="Yes",OR($U133="No",$U133="NOT FOUND")),"YES",""))</f>
        <v/>
      </c>
      <c r="AC133" s="66">
        <f>IF($A133="","",TRIM(IF(AND($P133=0,$L133&lt;&gt;"Yes"),"T0-NoSmartcard ","")&amp;IF(AND($J133&lt;&gt;"",$J133&gt;365),"StalePwd ","")&amp;IF($K133="Yes","PwdNeverExpires ","")&amp;IF(AND($S133&lt;&gt;"",$S133&lt;&gt;"None"),"Delegation ","")&amp;IF(AND($Q133=1,$O133="None"),"StaleAdminCount ","")&amp;IF(AND($F133="Yes",$H133=""),"NeverLoggedOn ","")))</f>
        <v/>
      </c>
      <c r="AD133" s="60" t="n"/>
      <c r="AE133" s="61" t="n"/>
      <c r="AF133" s="60" t="n"/>
      <c r="AG133" s="62" t="n"/>
      <c r="AH133" s="62" t="n"/>
      <c r="AI133" s="62" t="n"/>
      <c r="AJ133" s="60" t="n"/>
      <c r="AK133" s="61" t="n"/>
      <c r="AL133" s="63">
        <f>IF($A133="","",IF(AH133="","Not Enrolled",IF(TODAY()&gt;AH133,"Review Overdue",IF(AH133-TODAY()&lt;=30,"Review Due Soon","Active"))))</f>
        <v/>
      </c>
      <c r="AM133" s="63">
        <f>IF($A133="","",IF(AI133="","NOT REVIEWED",IF(TODAY()-AI133&gt;90,"OVERDUE",IF(TODAY()-AI133&gt;76,"Due Soon","Current"))))</f>
        <v/>
      </c>
    </row>
    <row r="134" ht="15" customHeight="1" s="39">
      <c r="A134" s="60" t="n"/>
      <c r="B134" s="60" t="n"/>
      <c r="C134" s="61" t="n"/>
      <c r="D134" s="61" t="n"/>
      <c r="E134" s="60" t="n"/>
      <c r="F134" s="60" t="n"/>
      <c r="G134" s="62" t="n"/>
      <c r="H134" s="62" t="n"/>
      <c r="I134" s="62" t="n"/>
      <c r="J134" s="60" t="n"/>
      <c r="K134" s="60" t="n"/>
      <c r="L134" s="60" t="n"/>
      <c r="M134" s="61" t="n"/>
      <c r="N134" s="60" t="n"/>
      <c r="O134" s="60" t="n"/>
      <c r="P134" s="60" t="n"/>
      <c r="Q134" s="60" t="n"/>
      <c r="R134" s="60" t="n"/>
      <c r="S134" s="60" t="n"/>
      <c r="T134" s="60" t="n"/>
      <c r="U134" s="60" t="n"/>
      <c r="V134" s="60" t="n"/>
      <c r="W134" s="60" t="n"/>
      <c r="X134" s="60" t="n"/>
      <c r="Y134" s="60" t="n"/>
      <c r="Z134" s="61" t="n"/>
      <c r="AA134" s="63">
        <f>IF($H134="","",TODAY()-$H134)</f>
        <v/>
      </c>
      <c r="AB134" s="63">
        <f>IF($A134="","",IF(AND($F134="Yes",OR($U134="No",$U134="NOT FOUND")),"YES",""))</f>
        <v/>
      </c>
      <c r="AC134" s="66">
        <f>IF($A134="","",TRIM(IF(AND($P134=0,$L134&lt;&gt;"Yes"),"T0-NoSmartcard ","")&amp;IF(AND($J134&lt;&gt;"",$J134&gt;365),"StalePwd ","")&amp;IF($K134="Yes","PwdNeverExpires ","")&amp;IF(AND($S134&lt;&gt;"",$S134&lt;&gt;"None"),"Delegation ","")&amp;IF(AND($Q134=1,$O134="None"),"StaleAdminCount ","")&amp;IF(AND($F134="Yes",$H134=""),"NeverLoggedOn ","")))</f>
        <v/>
      </c>
      <c r="AD134" s="60" t="n"/>
      <c r="AE134" s="61" t="n"/>
      <c r="AF134" s="60" t="n"/>
      <c r="AG134" s="62" t="n"/>
      <c r="AH134" s="62" t="n"/>
      <c r="AI134" s="62" t="n"/>
      <c r="AJ134" s="60" t="n"/>
      <c r="AK134" s="61" t="n"/>
      <c r="AL134" s="63">
        <f>IF($A134="","",IF(AH134="","Not Enrolled",IF(TODAY()&gt;AH134,"Review Overdue",IF(AH134-TODAY()&lt;=30,"Review Due Soon","Active"))))</f>
        <v/>
      </c>
      <c r="AM134" s="63">
        <f>IF($A134="","",IF(AI134="","NOT REVIEWED",IF(TODAY()-AI134&gt;90,"OVERDUE",IF(TODAY()-AI134&gt;76,"Due Soon","Current"))))</f>
        <v/>
      </c>
    </row>
    <row r="135" ht="15" customHeight="1" s="39">
      <c r="A135" s="60" t="n"/>
      <c r="B135" s="60" t="n"/>
      <c r="C135" s="61" t="n"/>
      <c r="D135" s="61" t="n"/>
      <c r="E135" s="60" t="n"/>
      <c r="F135" s="60" t="n"/>
      <c r="G135" s="62" t="n"/>
      <c r="H135" s="62" t="n"/>
      <c r="I135" s="62" t="n"/>
      <c r="J135" s="60" t="n"/>
      <c r="K135" s="60" t="n"/>
      <c r="L135" s="60" t="n"/>
      <c r="M135" s="61" t="n"/>
      <c r="N135" s="60" t="n"/>
      <c r="O135" s="60" t="n"/>
      <c r="P135" s="60" t="n"/>
      <c r="Q135" s="60" t="n"/>
      <c r="R135" s="60" t="n"/>
      <c r="S135" s="60" t="n"/>
      <c r="T135" s="60" t="n"/>
      <c r="U135" s="60" t="n"/>
      <c r="V135" s="60" t="n"/>
      <c r="W135" s="60" t="n"/>
      <c r="X135" s="60" t="n"/>
      <c r="Y135" s="60" t="n"/>
      <c r="Z135" s="61" t="n"/>
      <c r="AA135" s="63">
        <f>IF($H135="","",TODAY()-$H135)</f>
        <v/>
      </c>
      <c r="AB135" s="63">
        <f>IF($A135="","",IF(AND($F135="Yes",OR($U135="No",$U135="NOT FOUND")),"YES",""))</f>
        <v/>
      </c>
      <c r="AC135" s="66">
        <f>IF($A135="","",TRIM(IF(AND($P135=0,$L135&lt;&gt;"Yes"),"T0-NoSmartcard ","")&amp;IF(AND($J135&lt;&gt;"",$J135&gt;365),"StalePwd ","")&amp;IF($K135="Yes","PwdNeverExpires ","")&amp;IF(AND($S135&lt;&gt;"",$S135&lt;&gt;"None"),"Delegation ","")&amp;IF(AND($Q135=1,$O135="None"),"StaleAdminCount ","")&amp;IF(AND($F135="Yes",$H135=""),"NeverLoggedOn ","")))</f>
        <v/>
      </c>
      <c r="AD135" s="60" t="n"/>
      <c r="AE135" s="61" t="n"/>
      <c r="AF135" s="60" t="n"/>
      <c r="AG135" s="62" t="n"/>
      <c r="AH135" s="62" t="n"/>
      <c r="AI135" s="62" t="n"/>
      <c r="AJ135" s="60" t="n"/>
      <c r="AK135" s="61" t="n"/>
      <c r="AL135" s="63">
        <f>IF($A135="","",IF(AH135="","Not Enrolled",IF(TODAY()&gt;AH135,"Review Overdue",IF(AH135-TODAY()&lt;=30,"Review Due Soon","Active"))))</f>
        <v/>
      </c>
      <c r="AM135" s="63">
        <f>IF($A135="","",IF(AI135="","NOT REVIEWED",IF(TODAY()-AI135&gt;90,"OVERDUE",IF(TODAY()-AI135&gt;76,"Due Soon","Current"))))</f>
        <v/>
      </c>
    </row>
    <row r="136" ht="15" customHeight="1" s="39">
      <c r="A136" s="60" t="n"/>
      <c r="B136" s="60" t="n"/>
      <c r="C136" s="61" t="n"/>
      <c r="D136" s="61" t="n"/>
      <c r="E136" s="60" t="n"/>
      <c r="F136" s="60" t="n"/>
      <c r="G136" s="62" t="n"/>
      <c r="H136" s="62" t="n"/>
      <c r="I136" s="62" t="n"/>
      <c r="J136" s="60" t="n"/>
      <c r="K136" s="60" t="n"/>
      <c r="L136" s="60" t="n"/>
      <c r="M136" s="61" t="n"/>
      <c r="N136" s="60" t="n"/>
      <c r="O136" s="60" t="n"/>
      <c r="P136" s="60" t="n"/>
      <c r="Q136" s="60" t="n"/>
      <c r="R136" s="60" t="n"/>
      <c r="S136" s="60" t="n"/>
      <c r="T136" s="60" t="n"/>
      <c r="U136" s="60" t="n"/>
      <c r="V136" s="60" t="n"/>
      <c r="W136" s="60" t="n"/>
      <c r="X136" s="60" t="n"/>
      <c r="Y136" s="60" t="n"/>
      <c r="Z136" s="61" t="n"/>
      <c r="AA136" s="63">
        <f>IF($H136="","",TODAY()-$H136)</f>
        <v/>
      </c>
      <c r="AB136" s="63">
        <f>IF($A136="","",IF(AND($F136="Yes",OR($U136="No",$U136="NOT FOUND")),"YES",""))</f>
        <v/>
      </c>
      <c r="AC136" s="66">
        <f>IF($A136="","",TRIM(IF(AND($P136=0,$L136&lt;&gt;"Yes"),"T0-NoSmartcard ","")&amp;IF(AND($J136&lt;&gt;"",$J136&gt;365),"StalePwd ","")&amp;IF($K136="Yes","PwdNeverExpires ","")&amp;IF(AND($S136&lt;&gt;"",$S136&lt;&gt;"None"),"Delegation ","")&amp;IF(AND($Q136=1,$O136="None"),"StaleAdminCount ","")&amp;IF(AND($F136="Yes",$H136=""),"NeverLoggedOn ","")))</f>
        <v/>
      </c>
      <c r="AD136" s="60" t="n"/>
      <c r="AE136" s="61" t="n"/>
      <c r="AF136" s="60" t="n"/>
      <c r="AG136" s="62" t="n"/>
      <c r="AH136" s="62" t="n"/>
      <c r="AI136" s="62" t="n"/>
      <c r="AJ136" s="60" t="n"/>
      <c r="AK136" s="61" t="n"/>
      <c r="AL136" s="63">
        <f>IF($A136="","",IF(AH136="","Not Enrolled",IF(TODAY()&gt;AH136,"Review Overdue",IF(AH136-TODAY()&lt;=30,"Review Due Soon","Active"))))</f>
        <v/>
      </c>
      <c r="AM136" s="63">
        <f>IF($A136="","",IF(AI136="","NOT REVIEWED",IF(TODAY()-AI136&gt;90,"OVERDUE",IF(TODAY()-AI136&gt;76,"Due Soon","Current"))))</f>
        <v/>
      </c>
    </row>
    <row r="137" ht="15" customHeight="1" s="39">
      <c r="A137" s="60" t="n"/>
      <c r="B137" s="60" t="n"/>
      <c r="C137" s="61" t="n"/>
      <c r="D137" s="61" t="n"/>
      <c r="E137" s="60" t="n"/>
      <c r="F137" s="60" t="n"/>
      <c r="G137" s="62" t="n"/>
      <c r="H137" s="62" t="n"/>
      <c r="I137" s="62" t="n"/>
      <c r="J137" s="60" t="n"/>
      <c r="K137" s="60" t="n"/>
      <c r="L137" s="60" t="n"/>
      <c r="M137" s="61" t="n"/>
      <c r="N137" s="60" t="n"/>
      <c r="O137" s="60" t="n"/>
      <c r="P137" s="60" t="n"/>
      <c r="Q137" s="60" t="n"/>
      <c r="R137" s="60" t="n"/>
      <c r="S137" s="60" t="n"/>
      <c r="T137" s="60" t="n"/>
      <c r="U137" s="60" t="n"/>
      <c r="V137" s="60" t="n"/>
      <c r="W137" s="60" t="n"/>
      <c r="X137" s="60" t="n"/>
      <c r="Y137" s="60" t="n"/>
      <c r="Z137" s="61" t="n"/>
      <c r="AA137" s="63">
        <f>IF($H137="","",TODAY()-$H137)</f>
        <v/>
      </c>
      <c r="AB137" s="63">
        <f>IF($A137="","",IF(AND($F137="Yes",OR($U137="No",$U137="NOT FOUND")),"YES",""))</f>
        <v/>
      </c>
      <c r="AC137" s="66">
        <f>IF($A137="","",TRIM(IF(AND($P137=0,$L137&lt;&gt;"Yes"),"T0-NoSmartcard ","")&amp;IF(AND($J137&lt;&gt;"",$J137&gt;365),"StalePwd ","")&amp;IF($K137="Yes","PwdNeverExpires ","")&amp;IF(AND($S137&lt;&gt;"",$S137&lt;&gt;"None"),"Delegation ","")&amp;IF(AND($Q137=1,$O137="None"),"StaleAdminCount ","")&amp;IF(AND($F137="Yes",$H137=""),"NeverLoggedOn ","")))</f>
        <v/>
      </c>
      <c r="AD137" s="60" t="n"/>
      <c r="AE137" s="61" t="n"/>
      <c r="AF137" s="60" t="n"/>
      <c r="AG137" s="62" t="n"/>
      <c r="AH137" s="62" t="n"/>
      <c r="AI137" s="62" t="n"/>
      <c r="AJ137" s="60" t="n"/>
      <c r="AK137" s="61" t="n"/>
      <c r="AL137" s="63">
        <f>IF($A137="","",IF(AH137="","Not Enrolled",IF(TODAY()&gt;AH137,"Review Overdue",IF(AH137-TODAY()&lt;=30,"Review Due Soon","Active"))))</f>
        <v/>
      </c>
      <c r="AM137" s="63">
        <f>IF($A137="","",IF(AI137="","NOT REVIEWED",IF(TODAY()-AI137&gt;90,"OVERDUE",IF(TODAY()-AI137&gt;76,"Due Soon","Current"))))</f>
        <v/>
      </c>
    </row>
    <row r="138" ht="15" customHeight="1" s="39">
      <c r="A138" s="60" t="n"/>
      <c r="B138" s="60" t="n"/>
      <c r="C138" s="61" t="n"/>
      <c r="D138" s="61" t="n"/>
      <c r="E138" s="60" t="n"/>
      <c r="F138" s="60" t="n"/>
      <c r="G138" s="62" t="n"/>
      <c r="H138" s="62" t="n"/>
      <c r="I138" s="62" t="n"/>
      <c r="J138" s="60" t="n"/>
      <c r="K138" s="60" t="n"/>
      <c r="L138" s="60" t="n"/>
      <c r="M138" s="61" t="n"/>
      <c r="N138" s="60" t="n"/>
      <c r="O138" s="60" t="n"/>
      <c r="P138" s="60" t="n"/>
      <c r="Q138" s="60" t="n"/>
      <c r="R138" s="60" t="n"/>
      <c r="S138" s="60" t="n"/>
      <c r="T138" s="60" t="n"/>
      <c r="U138" s="60" t="n"/>
      <c r="V138" s="60" t="n"/>
      <c r="W138" s="60" t="n"/>
      <c r="X138" s="60" t="n"/>
      <c r="Y138" s="60" t="n"/>
      <c r="Z138" s="61" t="n"/>
      <c r="AA138" s="63">
        <f>IF($H138="","",TODAY()-$H138)</f>
        <v/>
      </c>
      <c r="AB138" s="63">
        <f>IF($A138="","",IF(AND($F138="Yes",OR($U138="No",$U138="NOT FOUND")),"YES",""))</f>
        <v/>
      </c>
      <c r="AC138" s="66">
        <f>IF($A138="","",TRIM(IF(AND($P138=0,$L138&lt;&gt;"Yes"),"T0-NoSmartcard ","")&amp;IF(AND($J138&lt;&gt;"",$J138&gt;365),"StalePwd ","")&amp;IF($K138="Yes","PwdNeverExpires ","")&amp;IF(AND($S138&lt;&gt;"",$S138&lt;&gt;"None"),"Delegation ","")&amp;IF(AND($Q138=1,$O138="None"),"StaleAdminCount ","")&amp;IF(AND($F138="Yes",$H138=""),"NeverLoggedOn ","")))</f>
        <v/>
      </c>
      <c r="AD138" s="60" t="n"/>
      <c r="AE138" s="61" t="n"/>
      <c r="AF138" s="60" t="n"/>
      <c r="AG138" s="62" t="n"/>
      <c r="AH138" s="62" t="n"/>
      <c r="AI138" s="62" t="n"/>
      <c r="AJ138" s="60" t="n"/>
      <c r="AK138" s="61" t="n"/>
      <c r="AL138" s="63">
        <f>IF($A138="","",IF(AH138="","Not Enrolled",IF(TODAY()&gt;AH138,"Review Overdue",IF(AH138-TODAY()&lt;=30,"Review Due Soon","Active"))))</f>
        <v/>
      </c>
      <c r="AM138" s="63">
        <f>IF($A138="","",IF(AI138="","NOT REVIEWED",IF(TODAY()-AI138&gt;90,"OVERDUE",IF(TODAY()-AI138&gt;76,"Due Soon","Current"))))</f>
        <v/>
      </c>
    </row>
    <row r="139" ht="15" customHeight="1" s="39">
      <c r="A139" s="60" t="n"/>
      <c r="B139" s="60" t="n"/>
      <c r="C139" s="61" t="n"/>
      <c r="D139" s="61" t="n"/>
      <c r="E139" s="60" t="n"/>
      <c r="F139" s="60" t="n"/>
      <c r="G139" s="62" t="n"/>
      <c r="H139" s="62" t="n"/>
      <c r="I139" s="62" t="n"/>
      <c r="J139" s="60" t="n"/>
      <c r="K139" s="60" t="n"/>
      <c r="L139" s="60" t="n"/>
      <c r="M139" s="61" t="n"/>
      <c r="N139" s="60" t="n"/>
      <c r="O139" s="60" t="n"/>
      <c r="P139" s="60" t="n"/>
      <c r="Q139" s="60" t="n"/>
      <c r="R139" s="60" t="n"/>
      <c r="S139" s="60" t="n"/>
      <c r="T139" s="60" t="n"/>
      <c r="U139" s="60" t="n"/>
      <c r="V139" s="60" t="n"/>
      <c r="W139" s="60" t="n"/>
      <c r="X139" s="60" t="n"/>
      <c r="Y139" s="60" t="n"/>
      <c r="Z139" s="61" t="n"/>
      <c r="AA139" s="63">
        <f>IF($H139="","",TODAY()-$H139)</f>
        <v/>
      </c>
      <c r="AB139" s="63">
        <f>IF($A139="","",IF(AND($F139="Yes",OR($U139="No",$U139="NOT FOUND")),"YES",""))</f>
        <v/>
      </c>
      <c r="AC139" s="66">
        <f>IF($A139="","",TRIM(IF(AND($P139=0,$L139&lt;&gt;"Yes"),"T0-NoSmartcard ","")&amp;IF(AND($J139&lt;&gt;"",$J139&gt;365),"StalePwd ","")&amp;IF($K139="Yes","PwdNeverExpires ","")&amp;IF(AND($S139&lt;&gt;"",$S139&lt;&gt;"None"),"Delegation ","")&amp;IF(AND($Q139=1,$O139="None"),"StaleAdminCount ","")&amp;IF(AND($F139="Yes",$H139=""),"NeverLoggedOn ","")))</f>
        <v/>
      </c>
      <c r="AD139" s="60" t="n"/>
      <c r="AE139" s="61" t="n"/>
      <c r="AF139" s="60" t="n"/>
      <c r="AG139" s="62" t="n"/>
      <c r="AH139" s="62" t="n"/>
      <c r="AI139" s="62" t="n"/>
      <c r="AJ139" s="60" t="n"/>
      <c r="AK139" s="61" t="n"/>
      <c r="AL139" s="63">
        <f>IF($A139="","",IF(AH139="","Not Enrolled",IF(TODAY()&gt;AH139,"Review Overdue",IF(AH139-TODAY()&lt;=30,"Review Due Soon","Active"))))</f>
        <v/>
      </c>
      <c r="AM139" s="63">
        <f>IF($A139="","",IF(AI139="","NOT REVIEWED",IF(TODAY()-AI139&gt;90,"OVERDUE",IF(TODAY()-AI139&gt;76,"Due Soon","Current"))))</f>
        <v/>
      </c>
    </row>
    <row r="140" ht="15" customHeight="1" s="39">
      <c r="A140" s="60" t="n"/>
      <c r="B140" s="60" t="n"/>
      <c r="C140" s="61" t="n"/>
      <c r="D140" s="61" t="n"/>
      <c r="E140" s="60" t="n"/>
      <c r="F140" s="60" t="n"/>
      <c r="G140" s="62" t="n"/>
      <c r="H140" s="62" t="n"/>
      <c r="I140" s="62" t="n"/>
      <c r="J140" s="60" t="n"/>
      <c r="K140" s="60" t="n"/>
      <c r="L140" s="60" t="n"/>
      <c r="M140" s="61" t="n"/>
      <c r="N140" s="60" t="n"/>
      <c r="O140" s="60" t="n"/>
      <c r="P140" s="60" t="n"/>
      <c r="Q140" s="60" t="n"/>
      <c r="R140" s="60" t="n"/>
      <c r="S140" s="60" t="n"/>
      <c r="T140" s="60" t="n"/>
      <c r="U140" s="60" t="n"/>
      <c r="V140" s="60" t="n"/>
      <c r="W140" s="60" t="n"/>
      <c r="X140" s="60" t="n"/>
      <c r="Y140" s="60" t="n"/>
      <c r="Z140" s="61" t="n"/>
      <c r="AA140" s="63">
        <f>IF($H140="","",TODAY()-$H140)</f>
        <v/>
      </c>
      <c r="AB140" s="63">
        <f>IF($A140="","",IF(AND($F140="Yes",OR($U140="No",$U140="NOT FOUND")),"YES",""))</f>
        <v/>
      </c>
      <c r="AC140" s="66">
        <f>IF($A140="","",TRIM(IF(AND($P140=0,$L140&lt;&gt;"Yes"),"T0-NoSmartcard ","")&amp;IF(AND($J140&lt;&gt;"",$J140&gt;365),"StalePwd ","")&amp;IF($K140="Yes","PwdNeverExpires ","")&amp;IF(AND($S140&lt;&gt;"",$S140&lt;&gt;"None"),"Delegation ","")&amp;IF(AND($Q140=1,$O140="None"),"StaleAdminCount ","")&amp;IF(AND($F140="Yes",$H140=""),"NeverLoggedOn ","")))</f>
        <v/>
      </c>
      <c r="AD140" s="60" t="n"/>
      <c r="AE140" s="61" t="n"/>
      <c r="AF140" s="60" t="n"/>
      <c r="AG140" s="62" t="n"/>
      <c r="AH140" s="62" t="n"/>
      <c r="AI140" s="62" t="n"/>
      <c r="AJ140" s="60" t="n"/>
      <c r="AK140" s="61" t="n"/>
      <c r="AL140" s="63">
        <f>IF($A140="","",IF(AH140="","Not Enrolled",IF(TODAY()&gt;AH140,"Review Overdue",IF(AH140-TODAY()&lt;=30,"Review Due Soon","Active"))))</f>
        <v/>
      </c>
      <c r="AM140" s="63">
        <f>IF($A140="","",IF(AI140="","NOT REVIEWED",IF(TODAY()-AI140&gt;90,"OVERDUE",IF(TODAY()-AI140&gt;76,"Due Soon","Current"))))</f>
        <v/>
      </c>
    </row>
    <row r="141" ht="15" customHeight="1" s="39">
      <c r="A141" s="60" t="n"/>
      <c r="B141" s="60" t="n"/>
      <c r="C141" s="61" t="n"/>
      <c r="D141" s="61" t="n"/>
      <c r="E141" s="60" t="n"/>
      <c r="F141" s="60" t="n"/>
      <c r="G141" s="62" t="n"/>
      <c r="H141" s="62" t="n"/>
      <c r="I141" s="62" t="n"/>
      <c r="J141" s="60" t="n"/>
      <c r="K141" s="60" t="n"/>
      <c r="L141" s="60" t="n"/>
      <c r="M141" s="61" t="n"/>
      <c r="N141" s="60" t="n"/>
      <c r="O141" s="60" t="n"/>
      <c r="P141" s="60" t="n"/>
      <c r="Q141" s="60" t="n"/>
      <c r="R141" s="60" t="n"/>
      <c r="S141" s="60" t="n"/>
      <c r="T141" s="60" t="n"/>
      <c r="U141" s="60" t="n"/>
      <c r="V141" s="60" t="n"/>
      <c r="W141" s="60" t="n"/>
      <c r="X141" s="60" t="n"/>
      <c r="Y141" s="60" t="n"/>
      <c r="Z141" s="61" t="n"/>
      <c r="AA141" s="63">
        <f>IF($H141="","",TODAY()-$H141)</f>
        <v/>
      </c>
      <c r="AB141" s="63">
        <f>IF($A141="","",IF(AND($F141="Yes",OR($U141="No",$U141="NOT FOUND")),"YES",""))</f>
        <v/>
      </c>
      <c r="AC141" s="66">
        <f>IF($A141="","",TRIM(IF(AND($P141=0,$L141&lt;&gt;"Yes"),"T0-NoSmartcard ","")&amp;IF(AND($J141&lt;&gt;"",$J141&gt;365),"StalePwd ","")&amp;IF($K141="Yes","PwdNeverExpires ","")&amp;IF(AND($S141&lt;&gt;"",$S141&lt;&gt;"None"),"Delegation ","")&amp;IF(AND($Q141=1,$O141="None"),"StaleAdminCount ","")&amp;IF(AND($F141="Yes",$H141=""),"NeverLoggedOn ","")))</f>
        <v/>
      </c>
      <c r="AD141" s="60" t="n"/>
      <c r="AE141" s="61" t="n"/>
      <c r="AF141" s="60" t="n"/>
      <c r="AG141" s="62" t="n"/>
      <c r="AH141" s="62" t="n"/>
      <c r="AI141" s="62" t="n"/>
      <c r="AJ141" s="60" t="n"/>
      <c r="AK141" s="61" t="n"/>
      <c r="AL141" s="63">
        <f>IF($A141="","",IF(AH141="","Not Enrolled",IF(TODAY()&gt;AH141,"Review Overdue",IF(AH141-TODAY()&lt;=30,"Review Due Soon","Active"))))</f>
        <v/>
      </c>
      <c r="AM141" s="63">
        <f>IF($A141="","",IF(AI141="","NOT REVIEWED",IF(TODAY()-AI141&gt;90,"OVERDUE",IF(TODAY()-AI141&gt;76,"Due Soon","Current"))))</f>
        <v/>
      </c>
    </row>
    <row r="142" ht="15" customHeight="1" s="39">
      <c r="A142" s="60" t="n"/>
      <c r="B142" s="60" t="n"/>
      <c r="C142" s="61" t="n"/>
      <c r="D142" s="61" t="n"/>
      <c r="E142" s="60" t="n"/>
      <c r="F142" s="60" t="n"/>
      <c r="G142" s="62" t="n"/>
      <c r="H142" s="62" t="n"/>
      <c r="I142" s="62" t="n"/>
      <c r="J142" s="60" t="n"/>
      <c r="K142" s="60" t="n"/>
      <c r="L142" s="60" t="n"/>
      <c r="M142" s="61" t="n"/>
      <c r="N142" s="60" t="n"/>
      <c r="O142" s="60" t="n"/>
      <c r="P142" s="60" t="n"/>
      <c r="Q142" s="60" t="n"/>
      <c r="R142" s="60" t="n"/>
      <c r="S142" s="60" t="n"/>
      <c r="T142" s="60" t="n"/>
      <c r="U142" s="60" t="n"/>
      <c r="V142" s="60" t="n"/>
      <c r="W142" s="60" t="n"/>
      <c r="X142" s="60" t="n"/>
      <c r="Y142" s="60" t="n"/>
      <c r="Z142" s="61" t="n"/>
      <c r="AA142" s="63">
        <f>IF($H142="","",TODAY()-$H142)</f>
        <v/>
      </c>
      <c r="AB142" s="63">
        <f>IF($A142="","",IF(AND($F142="Yes",OR($U142="No",$U142="NOT FOUND")),"YES",""))</f>
        <v/>
      </c>
      <c r="AC142" s="66">
        <f>IF($A142="","",TRIM(IF(AND($P142=0,$L142&lt;&gt;"Yes"),"T0-NoSmartcard ","")&amp;IF(AND($J142&lt;&gt;"",$J142&gt;365),"StalePwd ","")&amp;IF($K142="Yes","PwdNeverExpires ","")&amp;IF(AND($S142&lt;&gt;"",$S142&lt;&gt;"None"),"Delegation ","")&amp;IF(AND($Q142=1,$O142="None"),"StaleAdminCount ","")&amp;IF(AND($F142="Yes",$H142=""),"NeverLoggedOn ","")))</f>
        <v/>
      </c>
      <c r="AD142" s="60" t="n"/>
      <c r="AE142" s="61" t="n"/>
      <c r="AF142" s="60" t="n"/>
      <c r="AG142" s="62" t="n"/>
      <c r="AH142" s="62" t="n"/>
      <c r="AI142" s="62" t="n"/>
      <c r="AJ142" s="60" t="n"/>
      <c r="AK142" s="61" t="n"/>
      <c r="AL142" s="63">
        <f>IF($A142="","",IF(AH142="","Not Enrolled",IF(TODAY()&gt;AH142,"Review Overdue",IF(AH142-TODAY()&lt;=30,"Review Due Soon","Active"))))</f>
        <v/>
      </c>
      <c r="AM142" s="63">
        <f>IF($A142="","",IF(AI142="","NOT REVIEWED",IF(TODAY()-AI142&gt;90,"OVERDUE",IF(TODAY()-AI142&gt;76,"Due Soon","Current"))))</f>
        <v/>
      </c>
    </row>
    <row r="143" ht="15" customHeight="1" s="39">
      <c r="A143" s="60" t="n"/>
      <c r="B143" s="60" t="n"/>
      <c r="C143" s="61" t="n"/>
      <c r="D143" s="61" t="n"/>
      <c r="E143" s="60" t="n"/>
      <c r="F143" s="60" t="n"/>
      <c r="G143" s="62" t="n"/>
      <c r="H143" s="62" t="n"/>
      <c r="I143" s="62" t="n"/>
      <c r="J143" s="60" t="n"/>
      <c r="K143" s="60" t="n"/>
      <c r="L143" s="60" t="n"/>
      <c r="M143" s="61" t="n"/>
      <c r="N143" s="60" t="n"/>
      <c r="O143" s="60" t="n"/>
      <c r="P143" s="60" t="n"/>
      <c r="Q143" s="60" t="n"/>
      <c r="R143" s="60" t="n"/>
      <c r="S143" s="60" t="n"/>
      <c r="T143" s="60" t="n"/>
      <c r="U143" s="60" t="n"/>
      <c r="V143" s="60" t="n"/>
      <c r="W143" s="60" t="n"/>
      <c r="X143" s="60" t="n"/>
      <c r="Y143" s="60" t="n"/>
      <c r="Z143" s="61" t="n"/>
      <c r="AA143" s="63">
        <f>IF($H143="","",TODAY()-$H143)</f>
        <v/>
      </c>
      <c r="AB143" s="63">
        <f>IF($A143="","",IF(AND($F143="Yes",OR($U143="No",$U143="NOT FOUND")),"YES",""))</f>
        <v/>
      </c>
      <c r="AC143" s="66">
        <f>IF($A143="","",TRIM(IF(AND($P143=0,$L143&lt;&gt;"Yes"),"T0-NoSmartcard ","")&amp;IF(AND($J143&lt;&gt;"",$J143&gt;365),"StalePwd ","")&amp;IF($K143="Yes","PwdNeverExpires ","")&amp;IF(AND($S143&lt;&gt;"",$S143&lt;&gt;"None"),"Delegation ","")&amp;IF(AND($Q143=1,$O143="None"),"StaleAdminCount ","")&amp;IF(AND($F143="Yes",$H143=""),"NeverLoggedOn ","")))</f>
        <v/>
      </c>
      <c r="AD143" s="60" t="n"/>
      <c r="AE143" s="61" t="n"/>
      <c r="AF143" s="60" t="n"/>
      <c r="AG143" s="62" t="n"/>
      <c r="AH143" s="62" t="n"/>
      <c r="AI143" s="62" t="n"/>
      <c r="AJ143" s="60" t="n"/>
      <c r="AK143" s="61" t="n"/>
      <c r="AL143" s="63">
        <f>IF($A143="","",IF(AH143="","Not Enrolled",IF(TODAY()&gt;AH143,"Review Overdue",IF(AH143-TODAY()&lt;=30,"Review Due Soon","Active"))))</f>
        <v/>
      </c>
      <c r="AM143" s="63">
        <f>IF($A143="","",IF(AI143="","NOT REVIEWED",IF(TODAY()-AI143&gt;90,"OVERDUE",IF(TODAY()-AI143&gt;76,"Due Soon","Current"))))</f>
        <v/>
      </c>
    </row>
    <row r="144" ht="15" customHeight="1" s="39">
      <c r="A144" s="60" t="n"/>
      <c r="B144" s="60" t="n"/>
      <c r="C144" s="61" t="n"/>
      <c r="D144" s="61" t="n"/>
      <c r="E144" s="60" t="n"/>
      <c r="F144" s="60" t="n"/>
      <c r="G144" s="62" t="n"/>
      <c r="H144" s="62" t="n"/>
      <c r="I144" s="62" t="n"/>
      <c r="J144" s="60" t="n"/>
      <c r="K144" s="60" t="n"/>
      <c r="L144" s="60" t="n"/>
      <c r="M144" s="61" t="n"/>
      <c r="N144" s="60" t="n"/>
      <c r="O144" s="60" t="n"/>
      <c r="P144" s="60" t="n"/>
      <c r="Q144" s="60" t="n"/>
      <c r="R144" s="60" t="n"/>
      <c r="S144" s="60" t="n"/>
      <c r="T144" s="60" t="n"/>
      <c r="U144" s="60" t="n"/>
      <c r="V144" s="60" t="n"/>
      <c r="W144" s="60" t="n"/>
      <c r="X144" s="60" t="n"/>
      <c r="Y144" s="60" t="n"/>
      <c r="Z144" s="61" t="n"/>
      <c r="AA144" s="63">
        <f>IF($H144="","",TODAY()-$H144)</f>
        <v/>
      </c>
      <c r="AB144" s="63">
        <f>IF($A144="","",IF(AND($F144="Yes",OR($U144="No",$U144="NOT FOUND")),"YES",""))</f>
        <v/>
      </c>
      <c r="AC144" s="66">
        <f>IF($A144="","",TRIM(IF(AND($P144=0,$L144&lt;&gt;"Yes"),"T0-NoSmartcard ","")&amp;IF(AND($J144&lt;&gt;"",$J144&gt;365),"StalePwd ","")&amp;IF($K144="Yes","PwdNeverExpires ","")&amp;IF(AND($S144&lt;&gt;"",$S144&lt;&gt;"None"),"Delegation ","")&amp;IF(AND($Q144=1,$O144="None"),"StaleAdminCount ","")&amp;IF(AND($F144="Yes",$H144=""),"NeverLoggedOn ","")))</f>
        <v/>
      </c>
      <c r="AD144" s="60" t="n"/>
      <c r="AE144" s="61" t="n"/>
      <c r="AF144" s="60" t="n"/>
      <c r="AG144" s="62" t="n"/>
      <c r="AH144" s="62" t="n"/>
      <c r="AI144" s="62" t="n"/>
      <c r="AJ144" s="60" t="n"/>
      <c r="AK144" s="61" t="n"/>
      <c r="AL144" s="63">
        <f>IF($A144="","",IF(AH144="","Not Enrolled",IF(TODAY()&gt;AH144,"Review Overdue",IF(AH144-TODAY()&lt;=30,"Review Due Soon","Active"))))</f>
        <v/>
      </c>
      <c r="AM144" s="63">
        <f>IF($A144="","",IF(AI144="","NOT REVIEWED",IF(TODAY()-AI144&gt;90,"OVERDUE",IF(TODAY()-AI144&gt;76,"Due Soon","Current"))))</f>
        <v/>
      </c>
    </row>
    <row r="145" ht="15" customHeight="1" s="39">
      <c r="A145" s="60" t="n"/>
      <c r="B145" s="60" t="n"/>
      <c r="C145" s="61" t="n"/>
      <c r="D145" s="61" t="n"/>
      <c r="E145" s="60" t="n"/>
      <c r="F145" s="60" t="n"/>
      <c r="G145" s="62" t="n"/>
      <c r="H145" s="62" t="n"/>
      <c r="I145" s="62" t="n"/>
      <c r="J145" s="60" t="n"/>
      <c r="K145" s="60" t="n"/>
      <c r="L145" s="60" t="n"/>
      <c r="M145" s="61" t="n"/>
      <c r="N145" s="60" t="n"/>
      <c r="O145" s="60" t="n"/>
      <c r="P145" s="60" t="n"/>
      <c r="Q145" s="60" t="n"/>
      <c r="R145" s="60" t="n"/>
      <c r="S145" s="60" t="n"/>
      <c r="T145" s="60" t="n"/>
      <c r="U145" s="60" t="n"/>
      <c r="V145" s="60" t="n"/>
      <c r="W145" s="60" t="n"/>
      <c r="X145" s="60" t="n"/>
      <c r="Y145" s="60" t="n"/>
      <c r="Z145" s="61" t="n"/>
      <c r="AA145" s="63">
        <f>IF($H145="","",TODAY()-$H145)</f>
        <v/>
      </c>
      <c r="AB145" s="63">
        <f>IF($A145="","",IF(AND($F145="Yes",OR($U145="No",$U145="NOT FOUND")),"YES",""))</f>
        <v/>
      </c>
      <c r="AC145" s="66">
        <f>IF($A145="","",TRIM(IF(AND($P145=0,$L145&lt;&gt;"Yes"),"T0-NoSmartcard ","")&amp;IF(AND($J145&lt;&gt;"",$J145&gt;365),"StalePwd ","")&amp;IF($K145="Yes","PwdNeverExpires ","")&amp;IF(AND($S145&lt;&gt;"",$S145&lt;&gt;"None"),"Delegation ","")&amp;IF(AND($Q145=1,$O145="None"),"StaleAdminCount ","")&amp;IF(AND($F145="Yes",$H145=""),"NeverLoggedOn ","")))</f>
        <v/>
      </c>
      <c r="AD145" s="60" t="n"/>
      <c r="AE145" s="61" t="n"/>
      <c r="AF145" s="60" t="n"/>
      <c r="AG145" s="62" t="n"/>
      <c r="AH145" s="62" t="n"/>
      <c r="AI145" s="62" t="n"/>
      <c r="AJ145" s="60" t="n"/>
      <c r="AK145" s="61" t="n"/>
      <c r="AL145" s="63">
        <f>IF($A145="","",IF(AH145="","Not Enrolled",IF(TODAY()&gt;AH145,"Review Overdue",IF(AH145-TODAY()&lt;=30,"Review Due Soon","Active"))))</f>
        <v/>
      </c>
      <c r="AM145" s="63">
        <f>IF($A145="","",IF(AI145="","NOT REVIEWED",IF(TODAY()-AI145&gt;90,"OVERDUE",IF(TODAY()-AI145&gt;76,"Due Soon","Current"))))</f>
        <v/>
      </c>
    </row>
    <row r="146" ht="15" customHeight="1" s="39">
      <c r="A146" s="60" t="n"/>
      <c r="B146" s="60" t="n"/>
      <c r="C146" s="61" t="n"/>
      <c r="D146" s="61" t="n"/>
      <c r="E146" s="60" t="n"/>
      <c r="F146" s="60" t="n"/>
      <c r="G146" s="62" t="n"/>
      <c r="H146" s="62" t="n"/>
      <c r="I146" s="62" t="n"/>
      <c r="J146" s="60" t="n"/>
      <c r="K146" s="60" t="n"/>
      <c r="L146" s="60" t="n"/>
      <c r="M146" s="61" t="n"/>
      <c r="N146" s="60" t="n"/>
      <c r="O146" s="60" t="n"/>
      <c r="P146" s="60" t="n"/>
      <c r="Q146" s="60" t="n"/>
      <c r="R146" s="60" t="n"/>
      <c r="S146" s="60" t="n"/>
      <c r="T146" s="60" t="n"/>
      <c r="U146" s="60" t="n"/>
      <c r="V146" s="60" t="n"/>
      <c r="W146" s="60" t="n"/>
      <c r="X146" s="60" t="n"/>
      <c r="Y146" s="60" t="n"/>
      <c r="Z146" s="61" t="n"/>
      <c r="AA146" s="63">
        <f>IF($H146="","",TODAY()-$H146)</f>
        <v/>
      </c>
      <c r="AB146" s="63">
        <f>IF($A146="","",IF(AND($F146="Yes",OR($U146="No",$U146="NOT FOUND")),"YES",""))</f>
        <v/>
      </c>
      <c r="AC146" s="66">
        <f>IF($A146="","",TRIM(IF(AND($P146=0,$L146&lt;&gt;"Yes"),"T0-NoSmartcard ","")&amp;IF(AND($J146&lt;&gt;"",$J146&gt;365),"StalePwd ","")&amp;IF($K146="Yes","PwdNeverExpires ","")&amp;IF(AND($S146&lt;&gt;"",$S146&lt;&gt;"None"),"Delegation ","")&amp;IF(AND($Q146=1,$O146="None"),"StaleAdminCount ","")&amp;IF(AND($F146="Yes",$H146=""),"NeverLoggedOn ","")))</f>
        <v/>
      </c>
      <c r="AD146" s="60" t="n"/>
      <c r="AE146" s="61" t="n"/>
      <c r="AF146" s="60" t="n"/>
      <c r="AG146" s="62" t="n"/>
      <c r="AH146" s="62" t="n"/>
      <c r="AI146" s="62" t="n"/>
      <c r="AJ146" s="60" t="n"/>
      <c r="AK146" s="61" t="n"/>
      <c r="AL146" s="63">
        <f>IF($A146="","",IF(AH146="","Not Enrolled",IF(TODAY()&gt;AH146,"Review Overdue",IF(AH146-TODAY()&lt;=30,"Review Due Soon","Active"))))</f>
        <v/>
      </c>
      <c r="AM146" s="63">
        <f>IF($A146="","",IF(AI146="","NOT REVIEWED",IF(TODAY()-AI146&gt;90,"OVERDUE",IF(TODAY()-AI146&gt;76,"Due Soon","Current"))))</f>
        <v/>
      </c>
    </row>
    <row r="147" ht="15" customHeight="1" s="39">
      <c r="A147" s="60" t="n"/>
      <c r="B147" s="60" t="n"/>
      <c r="C147" s="61" t="n"/>
      <c r="D147" s="61" t="n"/>
      <c r="E147" s="60" t="n"/>
      <c r="F147" s="60" t="n"/>
      <c r="G147" s="62" t="n"/>
      <c r="H147" s="62" t="n"/>
      <c r="I147" s="62" t="n"/>
      <c r="J147" s="60" t="n"/>
      <c r="K147" s="60" t="n"/>
      <c r="L147" s="60" t="n"/>
      <c r="M147" s="61" t="n"/>
      <c r="N147" s="60" t="n"/>
      <c r="O147" s="60" t="n"/>
      <c r="P147" s="60" t="n"/>
      <c r="Q147" s="60" t="n"/>
      <c r="R147" s="60" t="n"/>
      <c r="S147" s="60" t="n"/>
      <c r="T147" s="60" t="n"/>
      <c r="U147" s="60" t="n"/>
      <c r="V147" s="60" t="n"/>
      <c r="W147" s="60" t="n"/>
      <c r="X147" s="60" t="n"/>
      <c r="Y147" s="60" t="n"/>
      <c r="Z147" s="61" t="n"/>
      <c r="AA147" s="63">
        <f>IF($H147="","",TODAY()-$H147)</f>
        <v/>
      </c>
      <c r="AB147" s="63">
        <f>IF($A147="","",IF(AND($F147="Yes",OR($U147="No",$U147="NOT FOUND")),"YES",""))</f>
        <v/>
      </c>
      <c r="AC147" s="66">
        <f>IF($A147="","",TRIM(IF(AND($P147=0,$L147&lt;&gt;"Yes"),"T0-NoSmartcard ","")&amp;IF(AND($J147&lt;&gt;"",$J147&gt;365),"StalePwd ","")&amp;IF($K147="Yes","PwdNeverExpires ","")&amp;IF(AND($S147&lt;&gt;"",$S147&lt;&gt;"None"),"Delegation ","")&amp;IF(AND($Q147=1,$O147="None"),"StaleAdminCount ","")&amp;IF(AND($F147="Yes",$H147=""),"NeverLoggedOn ","")))</f>
        <v/>
      </c>
      <c r="AD147" s="60" t="n"/>
      <c r="AE147" s="61" t="n"/>
      <c r="AF147" s="60" t="n"/>
      <c r="AG147" s="62" t="n"/>
      <c r="AH147" s="62" t="n"/>
      <c r="AI147" s="62" t="n"/>
      <c r="AJ147" s="60" t="n"/>
      <c r="AK147" s="61" t="n"/>
      <c r="AL147" s="63">
        <f>IF($A147="","",IF(AH147="","Not Enrolled",IF(TODAY()&gt;AH147,"Review Overdue",IF(AH147-TODAY()&lt;=30,"Review Due Soon","Active"))))</f>
        <v/>
      </c>
      <c r="AM147" s="63">
        <f>IF($A147="","",IF(AI147="","NOT REVIEWED",IF(TODAY()-AI147&gt;90,"OVERDUE",IF(TODAY()-AI147&gt;76,"Due Soon","Current"))))</f>
        <v/>
      </c>
    </row>
    <row r="148" ht="15" customHeight="1" s="39">
      <c r="A148" s="60" t="n"/>
      <c r="B148" s="60" t="n"/>
      <c r="C148" s="61" t="n"/>
      <c r="D148" s="61" t="n"/>
      <c r="E148" s="60" t="n"/>
      <c r="F148" s="60" t="n"/>
      <c r="G148" s="62" t="n"/>
      <c r="H148" s="62" t="n"/>
      <c r="I148" s="62" t="n"/>
      <c r="J148" s="60" t="n"/>
      <c r="K148" s="60" t="n"/>
      <c r="L148" s="60" t="n"/>
      <c r="M148" s="61" t="n"/>
      <c r="N148" s="60" t="n"/>
      <c r="O148" s="60" t="n"/>
      <c r="P148" s="60" t="n"/>
      <c r="Q148" s="60" t="n"/>
      <c r="R148" s="60" t="n"/>
      <c r="S148" s="60" t="n"/>
      <c r="T148" s="60" t="n"/>
      <c r="U148" s="60" t="n"/>
      <c r="V148" s="60" t="n"/>
      <c r="W148" s="60" t="n"/>
      <c r="X148" s="60" t="n"/>
      <c r="Y148" s="60" t="n"/>
      <c r="Z148" s="61" t="n"/>
      <c r="AA148" s="63">
        <f>IF($H148="","",TODAY()-$H148)</f>
        <v/>
      </c>
      <c r="AB148" s="63">
        <f>IF($A148="","",IF(AND($F148="Yes",OR($U148="No",$U148="NOT FOUND")),"YES",""))</f>
        <v/>
      </c>
      <c r="AC148" s="66">
        <f>IF($A148="","",TRIM(IF(AND($P148=0,$L148&lt;&gt;"Yes"),"T0-NoSmartcard ","")&amp;IF(AND($J148&lt;&gt;"",$J148&gt;365),"StalePwd ","")&amp;IF($K148="Yes","PwdNeverExpires ","")&amp;IF(AND($S148&lt;&gt;"",$S148&lt;&gt;"None"),"Delegation ","")&amp;IF(AND($Q148=1,$O148="None"),"StaleAdminCount ","")&amp;IF(AND($F148="Yes",$H148=""),"NeverLoggedOn ","")))</f>
        <v/>
      </c>
      <c r="AD148" s="60" t="n"/>
      <c r="AE148" s="61" t="n"/>
      <c r="AF148" s="60" t="n"/>
      <c r="AG148" s="62" t="n"/>
      <c r="AH148" s="62" t="n"/>
      <c r="AI148" s="62" t="n"/>
      <c r="AJ148" s="60" t="n"/>
      <c r="AK148" s="61" t="n"/>
      <c r="AL148" s="63">
        <f>IF($A148="","",IF(AH148="","Not Enrolled",IF(TODAY()&gt;AH148,"Review Overdue",IF(AH148-TODAY()&lt;=30,"Review Due Soon","Active"))))</f>
        <v/>
      </c>
      <c r="AM148" s="63">
        <f>IF($A148="","",IF(AI148="","NOT REVIEWED",IF(TODAY()-AI148&gt;90,"OVERDUE",IF(TODAY()-AI148&gt;76,"Due Soon","Current"))))</f>
        <v/>
      </c>
    </row>
    <row r="149" ht="15" customHeight="1" s="39">
      <c r="A149" s="60" t="n"/>
      <c r="B149" s="60" t="n"/>
      <c r="C149" s="61" t="n"/>
      <c r="D149" s="61" t="n"/>
      <c r="E149" s="60" t="n"/>
      <c r="F149" s="60" t="n"/>
      <c r="G149" s="62" t="n"/>
      <c r="H149" s="62" t="n"/>
      <c r="I149" s="62" t="n"/>
      <c r="J149" s="60" t="n"/>
      <c r="K149" s="60" t="n"/>
      <c r="L149" s="60" t="n"/>
      <c r="M149" s="61" t="n"/>
      <c r="N149" s="60" t="n"/>
      <c r="O149" s="60" t="n"/>
      <c r="P149" s="60" t="n"/>
      <c r="Q149" s="60" t="n"/>
      <c r="R149" s="60" t="n"/>
      <c r="S149" s="60" t="n"/>
      <c r="T149" s="60" t="n"/>
      <c r="U149" s="60" t="n"/>
      <c r="V149" s="60" t="n"/>
      <c r="W149" s="60" t="n"/>
      <c r="X149" s="60" t="n"/>
      <c r="Y149" s="60" t="n"/>
      <c r="Z149" s="61" t="n"/>
      <c r="AA149" s="63">
        <f>IF($H149="","",TODAY()-$H149)</f>
        <v/>
      </c>
      <c r="AB149" s="63">
        <f>IF($A149="","",IF(AND($F149="Yes",OR($U149="No",$U149="NOT FOUND")),"YES",""))</f>
        <v/>
      </c>
      <c r="AC149" s="66">
        <f>IF($A149="","",TRIM(IF(AND($P149=0,$L149&lt;&gt;"Yes"),"T0-NoSmartcard ","")&amp;IF(AND($J149&lt;&gt;"",$J149&gt;365),"StalePwd ","")&amp;IF($K149="Yes","PwdNeverExpires ","")&amp;IF(AND($S149&lt;&gt;"",$S149&lt;&gt;"None"),"Delegation ","")&amp;IF(AND($Q149=1,$O149="None"),"StaleAdminCount ","")&amp;IF(AND($F149="Yes",$H149=""),"NeverLoggedOn ","")))</f>
        <v/>
      </c>
      <c r="AD149" s="60" t="n"/>
      <c r="AE149" s="61" t="n"/>
      <c r="AF149" s="60" t="n"/>
      <c r="AG149" s="62" t="n"/>
      <c r="AH149" s="62" t="n"/>
      <c r="AI149" s="62" t="n"/>
      <c r="AJ149" s="60" t="n"/>
      <c r="AK149" s="61" t="n"/>
      <c r="AL149" s="63">
        <f>IF($A149="","",IF(AH149="","Not Enrolled",IF(TODAY()&gt;AH149,"Review Overdue",IF(AH149-TODAY()&lt;=30,"Review Due Soon","Active"))))</f>
        <v/>
      </c>
      <c r="AM149" s="63">
        <f>IF($A149="","",IF(AI149="","NOT REVIEWED",IF(TODAY()-AI149&gt;90,"OVERDUE",IF(TODAY()-AI149&gt;76,"Due Soon","Current"))))</f>
        <v/>
      </c>
    </row>
    <row r="150" ht="15" customHeight="1" s="39">
      <c r="A150" s="60" t="n"/>
      <c r="B150" s="60" t="n"/>
      <c r="C150" s="61" t="n"/>
      <c r="D150" s="61" t="n"/>
      <c r="E150" s="60" t="n"/>
      <c r="F150" s="60" t="n"/>
      <c r="G150" s="62" t="n"/>
      <c r="H150" s="62" t="n"/>
      <c r="I150" s="62" t="n"/>
      <c r="J150" s="60" t="n"/>
      <c r="K150" s="60" t="n"/>
      <c r="L150" s="60" t="n"/>
      <c r="M150" s="61" t="n"/>
      <c r="N150" s="60" t="n"/>
      <c r="O150" s="60" t="n"/>
      <c r="P150" s="60" t="n"/>
      <c r="Q150" s="60" t="n"/>
      <c r="R150" s="60" t="n"/>
      <c r="S150" s="60" t="n"/>
      <c r="T150" s="60" t="n"/>
      <c r="U150" s="60" t="n"/>
      <c r="V150" s="60" t="n"/>
      <c r="W150" s="60" t="n"/>
      <c r="X150" s="60" t="n"/>
      <c r="Y150" s="60" t="n"/>
      <c r="Z150" s="61" t="n"/>
      <c r="AA150" s="63">
        <f>IF($H150="","",TODAY()-$H150)</f>
        <v/>
      </c>
      <c r="AB150" s="63">
        <f>IF($A150="","",IF(AND($F150="Yes",OR($U150="No",$U150="NOT FOUND")),"YES",""))</f>
        <v/>
      </c>
      <c r="AC150" s="66">
        <f>IF($A150="","",TRIM(IF(AND($P150=0,$L150&lt;&gt;"Yes"),"T0-NoSmartcard ","")&amp;IF(AND($J150&lt;&gt;"",$J150&gt;365),"StalePwd ","")&amp;IF($K150="Yes","PwdNeverExpires ","")&amp;IF(AND($S150&lt;&gt;"",$S150&lt;&gt;"None"),"Delegation ","")&amp;IF(AND($Q150=1,$O150="None"),"StaleAdminCount ","")&amp;IF(AND($F150="Yes",$H150=""),"NeverLoggedOn ","")))</f>
        <v/>
      </c>
      <c r="AD150" s="60" t="n"/>
      <c r="AE150" s="61" t="n"/>
      <c r="AF150" s="60" t="n"/>
      <c r="AG150" s="62" t="n"/>
      <c r="AH150" s="62" t="n"/>
      <c r="AI150" s="62" t="n"/>
      <c r="AJ150" s="60" t="n"/>
      <c r="AK150" s="61" t="n"/>
      <c r="AL150" s="63">
        <f>IF($A150="","",IF(AH150="","Not Enrolled",IF(TODAY()&gt;AH150,"Review Overdue",IF(AH150-TODAY()&lt;=30,"Review Due Soon","Active"))))</f>
        <v/>
      </c>
      <c r="AM150" s="63">
        <f>IF($A150="","",IF(AI150="","NOT REVIEWED",IF(TODAY()-AI150&gt;90,"OVERDUE",IF(TODAY()-AI150&gt;76,"Due Soon","Current"))))</f>
        <v/>
      </c>
    </row>
    <row r="151" ht="15" customHeight="1" s="39">
      <c r="A151" s="60" t="n"/>
      <c r="B151" s="60" t="n"/>
      <c r="C151" s="61" t="n"/>
      <c r="D151" s="61" t="n"/>
      <c r="E151" s="60" t="n"/>
      <c r="F151" s="60" t="n"/>
      <c r="G151" s="62" t="n"/>
      <c r="H151" s="62" t="n"/>
      <c r="I151" s="62" t="n"/>
      <c r="J151" s="60" t="n"/>
      <c r="K151" s="60" t="n"/>
      <c r="L151" s="60" t="n"/>
      <c r="M151" s="61" t="n"/>
      <c r="N151" s="60" t="n"/>
      <c r="O151" s="60" t="n"/>
      <c r="P151" s="60" t="n"/>
      <c r="Q151" s="60" t="n"/>
      <c r="R151" s="60" t="n"/>
      <c r="S151" s="60" t="n"/>
      <c r="T151" s="60" t="n"/>
      <c r="U151" s="60" t="n"/>
      <c r="V151" s="60" t="n"/>
      <c r="W151" s="60" t="n"/>
      <c r="X151" s="60" t="n"/>
      <c r="Y151" s="60" t="n"/>
      <c r="Z151" s="61" t="n"/>
      <c r="AA151" s="63">
        <f>IF($H151="","",TODAY()-$H151)</f>
        <v/>
      </c>
      <c r="AB151" s="63">
        <f>IF($A151="","",IF(AND($F151="Yes",OR($U151="No",$U151="NOT FOUND")),"YES",""))</f>
        <v/>
      </c>
      <c r="AC151" s="66">
        <f>IF($A151="","",TRIM(IF(AND($P151=0,$L151&lt;&gt;"Yes"),"T0-NoSmartcard ","")&amp;IF(AND($J151&lt;&gt;"",$J151&gt;365),"StalePwd ","")&amp;IF($K151="Yes","PwdNeverExpires ","")&amp;IF(AND($S151&lt;&gt;"",$S151&lt;&gt;"None"),"Delegation ","")&amp;IF(AND($Q151=1,$O151="None"),"StaleAdminCount ","")&amp;IF(AND($F151="Yes",$H151=""),"NeverLoggedOn ","")))</f>
        <v/>
      </c>
      <c r="AD151" s="60" t="n"/>
      <c r="AE151" s="61" t="n"/>
      <c r="AF151" s="60" t="n"/>
      <c r="AG151" s="62" t="n"/>
      <c r="AH151" s="62" t="n"/>
      <c r="AI151" s="62" t="n"/>
      <c r="AJ151" s="60" t="n"/>
      <c r="AK151" s="61" t="n"/>
      <c r="AL151" s="63">
        <f>IF($A151="","",IF(AH151="","Not Enrolled",IF(TODAY()&gt;AH151,"Review Overdue",IF(AH151-TODAY()&lt;=30,"Review Due Soon","Active"))))</f>
        <v/>
      </c>
      <c r="AM151" s="63">
        <f>IF($A151="","",IF(AI151="","NOT REVIEWED",IF(TODAY()-AI151&gt;90,"OVERDUE",IF(TODAY()-AI151&gt;76,"Due Soon","Current"))))</f>
        <v/>
      </c>
    </row>
    <row r="152" ht="15" customHeight="1" s="39">
      <c r="A152" s="60" t="n"/>
      <c r="B152" s="60" t="n"/>
      <c r="C152" s="61" t="n"/>
      <c r="D152" s="61" t="n"/>
      <c r="E152" s="60" t="n"/>
      <c r="F152" s="60" t="n"/>
      <c r="G152" s="62" t="n"/>
      <c r="H152" s="62" t="n"/>
      <c r="I152" s="62" t="n"/>
      <c r="J152" s="60" t="n"/>
      <c r="K152" s="60" t="n"/>
      <c r="L152" s="60" t="n"/>
      <c r="M152" s="61" t="n"/>
      <c r="N152" s="60" t="n"/>
      <c r="O152" s="60" t="n"/>
      <c r="P152" s="60" t="n"/>
      <c r="Q152" s="60" t="n"/>
      <c r="R152" s="60" t="n"/>
      <c r="S152" s="60" t="n"/>
      <c r="T152" s="60" t="n"/>
      <c r="U152" s="60" t="n"/>
      <c r="V152" s="60" t="n"/>
      <c r="W152" s="60" t="n"/>
      <c r="X152" s="60" t="n"/>
      <c r="Y152" s="60" t="n"/>
      <c r="Z152" s="61" t="n"/>
      <c r="AA152" s="63">
        <f>IF($H152="","",TODAY()-$H152)</f>
        <v/>
      </c>
      <c r="AB152" s="63">
        <f>IF($A152="","",IF(AND($F152="Yes",OR($U152="No",$U152="NOT FOUND")),"YES",""))</f>
        <v/>
      </c>
      <c r="AC152" s="66">
        <f>IF($A152="","",TRIM(IF(AND($P152=0,$L152&lt;&gt;"Yes"),"T0-NoSmartcard ","")&amp;IF(AND($J152&lt;&gt;"",$J152&gt;365),"StalePwd ","")&amp;IF($K152="Yes","PwdNeverExpires ","")&amp;IF(AND($S152&lt;&gt;"",$S152&lt;&gt;"None"),"Delegation ","")&amp;IF(AND($Q152=1,$O152="None"),"StaleAdminCount ","")&amp;IF(AND($F152="Yes",$H152=""),"NeverLoggedOn ","")))</f>
        <v/>
      </c>
      <c r="AD152" s="60" t="n"/>
      <c r="AE152" s="61" t="n"/>
      <c r="AF152" s="60" t="n"/>
      <c r="AG152" s="62" t="n"/>
      <c r="AH152" s="62" t="n"/>
      <c r="AI152" s="62" t="n"/>
      <c r="AJ152" s="60" t="n"/>
      <c r="AK152" s="61" t="n"/>
      <c r="AL152" s="63">
        <f>IF($A152="","",IF(AH152="","Not Enrolled",IF(TODAY()&gt;AH152,"Review Overdue",IF(AH152-TODAY()&lt;=30,"Review Due Soon","Active"))))</f>
        <v/>
      </c>
      <c r="AM152" s="63">
        <f>IF($A152="","",IF(AI152="","NOT REVIEWED",IF(TODAY()-AI152&gt;90,"OVERDUE",IF(TODAY()-AI152&gt;76,"Due Soon","Current"))))</f>
        <v/>
      </c>
    </row>
    <row r="153" ht="15" customHeight="1" s="39">
      <c r="A153" s="60" t="n"/>
      <c r="B153" s="60" t="n"/>
      <c r="C153" s="61" t="n"/>
      <c r="D153" s="61" t="n"/>
      <c r="E153" s="60" t="n"/>
      <c r="F153" s="60" t="n"/>
      <c r="G153" s="62" t="n"/>
      <c r="H153" s="62" t="n"/>
      <c r="I153" s="62" t="n"/>
      <c r="J153" s="60" t="n"/>
      <c r="K153" s="60" t="n"/>
      <c r="L153" s="60" t="n"/>
      <c r="M153" s="61" t="n"/>
      <c r="N153" s="60" t="n"/>
      <c r="O153" s="60" t="n"/>
      <c r="P153" s="60" t="n"/>
      <c r="Q153" s="60" t="n"/>
      <c r="R153" s="60" t="n"/>
      <c r="S153" s="60" t="n"/>
      <c r="T153" s="60" t="n"/>
      <c r="U153" s="60" t="n"/>
      <c r="V153" s="60" t="n"/>
      <c r="W153" s="60" t="n"/>
      <c r="X153" s="60" t="n"/>
      <c r="Y153" s="60" t="n"/>
      <c r="Z153" s="61" t="n"/>
      <c r="AA153" s="63">
        <f>IF($H153="","",TODAY()-$H153)</f>
        <v/>
      </c>
      <c r="AB153" s="63">
        <f>IF($A153="","",IF(AND($F153="Yes",OR($U153="No",$U153="NOT FOUND")),"YES",""))</f>
        <v/>
      </c>
      <c r="AC153" s="66">
        <f>IF($A153="","",TRIM(IF(AND($P153=0,$L153&lt;&gt;"Yes"),"T0-NoSmartcard ","")&amp;IF(AND($J153&lt;&gt;"",$J153&gt;365),"StalePwd ","")&amp;IF($K153="Yes","PwdNeverExpires ","")&amp;IF(AND($S153&lt;&gt;"",$S153&lt;&gt;"None"),"Delegation ","")&amp;IF(AND($Q153=1,$O153="None"),"StaleAdminCount ","")&amp;IF(AND($F153="Yes",$H153=""),"NeverLoggedOn ","")))</f>
        <v/>
      </c>
      <c r="AD153" s="60" t="n"/>
      <c r="AE153" s="61" t="n"/>
      <c r="AF153" s="60" t="n"/>
      <c r="AG153" s="62" t="n"/>
      <c r="AH153" s="62" t="n"/>
      <c r="AI153" s="62" t="n"/>
      <c r="AJ153" s="60" t="n"/>
      <c r="AK153" s="61" t="n"/>
      <c r="AL153" s="63">
        <f>IF($A153="","",IF(AH153="","Not Enrolled",IF(TODAY()&gt;AH153,"Review Overdue",IF(AH153-TODAY()&lt;=30,"Review Due Soon","Active"))))</f>
        <v/>
      </c>
      <c r="AM153" s="63">
        <f>IF($A153="","",IF(AI153="","NOT REVIEWED",IF(TODAY()-AI153&gt;90,"OVERDUE",IF(TODAY()-AI153&gt;76,"Due Soon","Current"))))</f>
        <v/>
      </c>
    </row>
    <row r="154" ht="15" customHeight="1" s="39">
      <c r="A154" s="60" t="n"/>
      <c r="B154" s="60" t="n"/>
      <c r="C154" s="61" t="n"/>
      <c r="D154" s="61" t="n"/>
      <c r="E154" s="60" t="n"/>
      <c r="F154" s="60" t="n"/>
      <c r="G154" s="62" t="n"/>
      <c r="H154" s="62" t="n"/>
      <c r="I154" s="62" t="n"/>
      <c r="J154" s="60" t="n"/>
      <c r="K154" s="60" t="n"/>
      <c r="L154" s="60" t="n"/>
      <c r="M154" s="61" t="n"/>
      <c r="N154" s="60" t="n"/>
      <c r="O154" s="60" t="n"/>
      <c r="P154" s="60" t="n"/>
      <c r="Q154" s="60" t="n"/>
      <c r="R154" s="60" t="n"/>
      <c r="S154" s="60" t="n"/>
      <c r="T154" s="60" t="n"/>
      <c r="U154" s="60" t="n"/>
      <c r="V154" s="60" t="n"/>
      <c r="W154" s="60" t="n"/>
      <c r="X154" s="60" t="n"/>
      <c r="Y154" s="60" t="n"/>
      <c r="Z154" s="61" t="n"/>
      <c r="AA154" s="63">
        <f>IF($H154="","",TODAY()-$H154)</f>
        <v/>
      </c>
      <c r="AB154" s="63">
        <f>IF($A154="","",IF(AND($F154="Yes",OR($U154="No",$U154="NOT FOUND")),"YES",""))</f>
        <v/>
      </c>
      <c r="AC154" s="66">
        <f>IF($A154="","",TRIM(IF(AND($P154=0,$L154&lt;&gt;"Yes"),"T0-NoSmartcard ","")&amp;IF(AND($J154&lt;&gt;"",$J154&gt;365),"StalePwd ","")&amp;IF($K154="Yes","PwdNeverExpires ","")&amp;IF(AND($S154&lt;&gt;"",$S154&lt;&gt;"None"),"Delegation ","")&amp;IF(AND($Q154=1,$O154="None"),"StaleAdminCount ","")&amp;IF(AND($F154="Yes",$H154=""),"NeverLoggedOn ","")))</f>
        <v/>
      </c>
      <c r="AD154" s="60" t="n"/>
      <c r="AE154" s="61" t="n"/>
      <c r="AF154" s="60" t="n"/>
      <c r="AG154" s="62" t="n"/>
      <c r="AH154" s="62" t="n"/>
      <c r="AI154" s="62" t="n"/>
      <c r="AJ154" s="60" t="n"/>
      <c r="AK154" s="61" t="n"/>
      <c r="AL154" s="63">
        <f>IF($A154="","",IF(AH154="","Not Enrolled",IF(TODAY()&gt;AH154,"Review Overdue",IF(AH154-TODAY()&lt;=30,"Review Due Soon","Active"))))</f>
        <v/>
      </c>
      <c r="AM154" s="63">
        <f>IF($A154="","",IF(AI154="","NOT REVIEWED",IF(TODAY()-AI154&gt;90,"OVERDUE",IF(TODAY()-AI154&gt;76,"Due Soon","Current"))))</f>
        <v/>
      </c>
    </row>
    <row r="155" ht="15" customHeight="1" s="39">
      <c r="A155" s="60" t="n"/>
      <c r="B155" s="60" t="n"/>
      <c r="C155" s="61" t="n"/>
      <c r="D155" s="61" t="n"/>
      <c r="E155" s="60" t="n"/>
      <c r="F155" s="60" t="n"/>
      <c r="G155" s="62" t="n"/>
      <c r="H155" s="62" t="n"/>
      <c r="I155" s="62" t="n"/>
      <c r="J155" s="60" t="n"/>
      <c r="K155" s="60" t="n"/>
      <c r="L155" s="60" t="n"/>
      <c r="M155" s="61" t="n"/>
      <c r="N155" s="60" t="n"/>
      <c r="O155" s="60" t="n"/>
      <c r="P155" s="60" t="n"/>
      <c r="Q155" s="60" t="n"/>
      <c r="R155" s="60" t="n"/>
      <c r="S155" s="60" t="n"/>
      <c r="T155" s="60" t="n"/>
      <c r="U155" s="60" t="n"/>
      <c r="V155" s="60" t="n"/>
      <c r="W155" s="60" t="n"/>
      <c r="X155" s="60" t="n"/>
      <c r="Y155" s="60" t="n"/>
      <c r="Z155" s="61" t="n"/>
      <c r="AA155" s="63">
        <f>IF($H155="","",TODAY()-$H155)</f>
        <v/>
      </c>
      <c r="AB155" s="63">
        <f>IF($A155="","",IF(AND($F155="Yes",OR($U155="No",$U155="NOT FOUND")),"YES",""))</f>
        <v/>
      </c>
      <c r="AC155" s="66">
        <f>IF($A155="","",TRIM(IF(AND($P155=0,$L155&lt;&gt;"Yes"),"T0-NoSmartcard ","")&amp;IF(AND($J155&lt;&gt;"",$J155&gt;365),"StalePwd ","")&amp;IF($K155="Yes","PwdNeverExpires ","")&amp;IF(AND($S155&lt;&gt;"",$S155&lt;&gt;"None"),"Delegation ","")&amp;IF(AND($Q155=1,$O155="None"),"StaleAdminCount ","")&amp;IF(AND($F155="Yes",$H155=""),"NeverLoggedOn ","")))</f>
        <v/>
      </c>
      <c r="AD155" s="60" t="n"/>
      <c r="AE155" s="61" t="n"/>
      <c r="AF155" s="60" t="n"/>
      <c r="AG155" s="62" t="n"/>
      <c r="AH155" s="62" t="n"/>
      <c r="AI155" s="62" t="n"/>
      <c r="AJ155" s="60" t="n"/>
      <c r="AK155" s="61" t="n"/>
      <c r="AL155" s="63">
        <f>IF($A155="","",IF(AH155="","Not Enrolled",IF(TODAY()&gt;AH155,"Review Overdue",IF(AH155-TODAY()&lt;=30,"Review Due Soon","Active"))))</f>
        <v/>
      </c>
      <c r="AM155" s="63">
        <f>IF($A155="","",IF(AI155="","NOT REVIEWED",IF(TODAY()-AI155&gt;90,"OVERDUE",IF(TODAY()-AI155&gt;76,"Due Soon","Current"))))</f>
        <v/>
      </c>
    </row>
    <row r="156" ht="15" customHeight="1" s="39">
      <c r="A156" s="60" t="n"/>
      <c r="B156" s="60" t="n"/>
      <c r="C156" s="61" t="n"/>
      <c r="D156" s="61" t="n"/>
      <c r="E156" s="60" t="n"/>
      <c r="F156" s="60" t="n"/>
      <c r="G156" s="62" t="n"/>
      <c r="H156" s="62" t="n"/>
      <c r="I156" s="62" t="n"/>
      <c r="J156" s="60" t="n"/>
      <c r="K156" s="60" t="n"/>
      <c r="L156" s="60" t="n"/>
      <c r="M156" s="61" t="n"/>
      <c r="N156" s="60" t="n"/>
      <c r="O156" s="60" t="n"/>
      <c r="P156" s="60" t="n"/>
      <c r="Q156" s="60" t="n"/>
      <c r="R156" s="60" t="n"/>
      <c r="S156" s="60" t="n"/>
      <c r="T156" s="60" t="n"/>
      <c r="U156" s="60" t="n"/>
      <c r="V156" s="60" t="n"/>
      <c r="W156" s="60" t="n"/>
      <c r="X156" s="60" t="n"/>
      <c r="Y156" s="60" t="n"/>
      <c r="Z156" s="61" t="n"/>
      <c r="AA156" s="63">
        <f>IF($H156="","",TODAY()-$H156)</f>
        <v/>
      </c>
      <c r="AB156" s="63">
        <f>IF($A156="","",IF(AND($F156="Yes",OR($U156="No",$U156="NOT FOUND")),"YES",""))</f>
        <v/>
      </c>
      <c r="AC156" s="66">
        <f>IF($A156="","",TRIM(IF(AND($P156=0,$L156&lt;&gt;"Yes"),"T0-NoSmartcard ","")&amp;IF(AND($J156&lt;&gt;"",$J156&gt;365),"StalePwd ","")&amp;IF($K156="Yes","PwdNeverExpires ","")&amp;IF(AND($S156&lt;&gt;"",$S156&lt;&gt;"None"),"Delegation ","")&amp;IF(AND($Q156=1,$O156="None"),"StaleAdminCount ","")&amp;IF(AND($F156="Yes",$H156=""),"NeverLoggedOn ","")))</f>
        <v/>
      </c>
      <c r="AD156" s="60" t="n"/>
      <c r="AE156" s="61" t="n"/>
      <c r="AF156" s="60" t="n"/>
      <c r="AG156" s="62" t="n"/>
      <c r="AH156" s="62" t="n"/>
      <c r="AI156" s="62" t="n"/>
      <c r="AJ156" s="60" t="n"/>
      <c r="AK156" s="61" t="n"/>
      <c r="AL156" s="63">
        <f>IF($A156="","",IF(AH156="","Not Enrolled",IF(TODAY()&gt;AH156,"Review Overdue",IF(AH156-TODAY()&lt;=30,"Review Due Soon","Active"))))</f>
        <v/>
      </c>
      <c r="AM156" s="63">
        <f>IF($A156="","",IF(AI156="","NOT REVIEWED",IF(TODAY()-AI156&gt;90,"OVERDUE",IF(TODAY()-AI156&gt;76,"Due Soon","Current"))))</f>
        <v/>
      </c>
    </row>
    <row r="157" ht="15" customHeight="1" s="39">
      <c r="A157" s="60" t="n"/>
      <c r="B157" s="60" t="n"/>
      <c r="C157" s="61" t="n"/>
      <c r="D157" s="61" t="n"/>
      <c r="E157" s="60" t="n"/>
      <c r="F157" s="60" t="n"/>
      <c r="G157" s="62" t="n"/>
      <c r="H157" s="62" t="n"/>
      <c r="I157" s="62" t="n"/>
      <c r="J157" s="60" t="n"/>
      <c r="K157" s="60" t="n"/>
      <c r="L157" s="60" t="n"/>
      <c r="M157" s="61" t="n"/>
      <c r="N157" s="60" t="n"/>
      <c r="O157" s="60" t="n"/>
      <c r="P157" s="60" t="n"/>
      <c r="Q157" s="60" t="n"/>
      <c r="R157" s="60" t="n"/>
      <c r="S157" s="60" t="n"/>
      <c r="T157" s="60" t="n"/>
      <c r="U157" s="60" t="n"/>
      <c r="V157" s="60" t="n"/>
      <c r="W157" s="60" t="n"/>
      <c r="X157" s="60" t="n"/>
      <c r="Y157" s="60" t="n"/>
      <c r="Z157" s="61" t="n"/>
      <c r="AA157" s="63">
        <f>IF($H157="","",TODAY()-$H157)</f>
        <v/>
      </c>
      <c r="AB157" s="63">
        <f>IF($A157="","",IF(AND($F157="Yes",OR($U157="No",$U157="NOT FOUND")),"YES",""))</f>
        <v/>
      </c>
      <c r="AC157" s="66">
        <f>IF($A157="","",TRIM(IF(AND($P157=0,$L157&lt;&gt;"Yes"),"T0-NoSmartcard ","")&amp;IF(AND($J157&lt;&gt;"",$J157&gt;365),"StalePwd ","")&amp;IF($K157="Yes","PwdNeverExpires ","")&amp;IF(AND($S157&lt;&gt;"",$S157&lt;&gt;"None"),"Delegation ","")&amp;IF(AND($Q157=1,$O157="None"),"StaleAdminCount ","")&amp;IF(AND($F157="Yes",$H157=""),"NeverLoggedOn ","")))</f>
        <v/>
      </c>
      <c r="AD157" s="60" t="n"/>
      <c r="AE157" s="61" t="n"/>
      <c r="AF157" s="60" t="n"/>
      <c r="AG157" s="62" t="n"/>
      <c r="AH157" s="62" t="n"/>
      <c r="AI157" s="62" t="n"/>
      <c r="AJ157" s="60" t="n"/>
      <c r="AK157" s="61" t="n"/>
      <c r="AL157" s="63">
        <f>IF($A157="","",IF(AH157="","Not Enrolled",IF(TODAY()&gt;AH157,"Review Overdue",IF(AH157-TODAY()&lt;=30,"Review Due Soon","Active"))))</f>
        <v/>
      </c>
      <c r="AM157" s="63">
        <f>IF($A157="","",IF(AI157="","NOT REVIEWED",IF(TODAY()-AI157&gt;90,"OVERDUE",IF(TODAY()-AI157&gt;76,"Due Soon","Current"))))</f>
        <v/>
      </c>
    </row>
    <row r="158" ht="15" customHeight="1" s="39">
      <c r="A158" s="60" t="n"/>
      <c r="B158" s="60" t="n"/>
      <c r="C158" s="61" t="n"/>
      <c r="D158" s="61" t="n"/>
      <c r="E158" s="60" t="n"/>
      <c r="F158" s="60" t="n"/>
      <c r="G158" s="62" t="n"/>
      <c r="H158" s="62" t="n"/>
      <c r="I158" s="62" t="n"/>
      <c r="J158" s="60" t="n"/>
      <c r="K158" s="60" t="n"/>
      <c r="L158" s="60" t="n"/>
      <c r="M158" s="61" t="n"/>
      <c r="N158" s="60" t="n"/>
      <c r="O158" s="60" t="n"/>
      <c r="P158" s="60" t="n"/>
      <c r="Q158" s="60" t="n"/>
      <c r="R158" s="60" t="n"/>
      <c r="S158" s="60" t="n"/>
      <c r="T158" s="60" t="n"/>
      <c r="U158" s="60" t="n"/>
      <c r="V158" s="60" t="n"/>
      <c r="W158" s="60" t="n"/>
      <c r="X158" s="60" t="n"/>
      <c r="Y158" s="60" t="n"/>
      <c r="Z158" s="61" t="n"/>
      <c r="AA158" s="63">
        <f>IF($H158="","",TODAY()-$H158)</f>
        <v/>
      </c>
      <c r="AB158" s="63">
        <f>IF($A158="","",IF(AND($F158="Yes",OR($U158="No",$U158="NOT FOUND")),"YES",""))</f>
        <v/>
      </c>
      <c r="AC158" s="66">
        <f>IF($A158="","",TRIM(IF(AND($P158=0,$L158&lt;&gt;"Yes"),"T0-NoSmartcard ","")&amp;IF(AND($J158&lt;&gt;"",$J158&gt;365),"StalePwd ","")&amp;IF($K158="Yes","PwdNeverExpires ","")&amp;IF(AND($S158&lt;&gt;"",$S158&lt;&gt;"None"),"Delegation ","")&amp;IF(AND($Q158=1,$O158="None"),"StaleAdminCount ","")&amp;IF(AND($F158="Yes",$H158=""),"NeverLoggedOn ","")))</f>
        <v/>
      </c>
      <c r="AD158" s="60" t="n"/>
      <c r="AE158" s="61" t="n"/>
      <c r="AF158" s="60" t="n"/>
      <c r="AG158" s="62" t="n"/>
      <c r="AH158" s="62" t="n"/>
      <c r="AI158" s="62" t="n"/>
      <c r="AJ158" s="60" t="n"/>
      <c r="AK158" s="61" t="n"/>
      <c r="AL158" s="63">
        <f>IF($A158="","",IF(AH158="","Not Enrolled",IF(TODAY()&gt;AH158,"Review Overdue",IF(AH158-TODAY()&lt;=30,"Review Due Soon","Active"))))</f>
        <v/>
      </c>
      <c r="AM158" s="63">
        <f>IF($A158="","",IF(AI158="","NOT REVIEWED",IF(TODAY()-AI158&gt;90,"OVERDUE",IF(TODAY()-AI158&gt;76,"Due Soon","Current"))))</f>
        <v/>
      </c>
    </row>
    <row r="159" ht="15" customHeight="1" s="39">
      <c r="A159" s="60" t="n"/>
      <c r="B159" s="60" t="n"/>
      <c r="C159" s="61" t="n"/>
      <c r="D159" s="61" t="n"/>
      <c r="E159" s="60" t="n"/>
      <c r="F159" s="60" t="n"/>
      <c r="G159" s="62" t="n"/>
      <c r="H159" s="62" t="n"/>
      <c r="I159" s="62" t="n"/>
      <c r="J159" s="60" t="n"/>
      <c r="K159" s="60" t="n"/>
      <c r="L159" s="60" t="n"/>
      <c r="M159" s="61" t="n"/>
      <c r="N159" s="60" t="n"/>
      <c r="O159" s="60" t="n"/>
      <c r="P159" s="60" t="n"/>
      <c r="Q159" s="60" t="n"/>
      <c r="R159" s="60" t="n"/>
      <c r="S159" s="60" t="n"/>
      <c r="T159" s="60" t="n"/>
      <c r="U159" s="60" t="n"/>
      <c r="V159" s="60" t="n"/>
      <c r="W159" s="60" t="n"/>
      <c r="X159" s="60" t="n"/>
      <c r="Y159" s="60" t="n"/>
      <c r="Z159" s="61" t="n"/>
      <c r="AA159" s="63">
        <f>IF($H159="","",TODAY()-$H159)</f>
        <v/>
      </c>
      <c r="AB159" s="63">
        <f>IF($A159="","",IF(AND($F159="Yes",OR($U159="No",$U159="NOT FOUND")),"YES",""))</f>
        <v/>
      </c>
      <c r="AC159" s="66">
        <f>IF($A159="","",TRIM(IF(AND($P159=0,$L159&lt;&gt;"Yes"),"T0-NoSmartcard ","")&amp;IF(AND($J159&lt;&gt;"",$J159&gt;365),"StalePwd ","")&amp;IF($K159="Yes","PwdNeverExpires ","")&amp;IF(AND($S159&lt;&gt;"",$S159&lt;&gt;"None"),"Delegation ","")&amp;IF(AND($Q159=1,$O159="None"),"StaleAdminCount ","")&amp;IF(AND($F159="Yes",$H159=""),"NeverLoggedOn ","")))</f>
        <v/>
      </c>
      <c r="AD159" s="60" t="n"/>
      <c r="AE159" s="61" t="n"/>
      <c r="AF159" s="60" t="n"/>
      <c r="AG159" s="62" t="n"/>
      <c r="AH159" s="62" t="n"/>
      <c r="AI159" s="62" t="n"/>
      <c r="AJ159" s="60" t="n"/>
      <c r="AK159" s="61" t="n"/>
      <c r="AL159" s="63">
        <f>IF($A159="","",IF(AH159="","Not Enrolled",IF(TODAY()&gt;AH159,"Review Overdue",IF(AH159-TODAY()&lt;=30,"Review Due Soon","Active"))))</f>
        <v/>
      </c>
      <c r="AM159" s="63">
        <f>IF($A159="","",IF(AI159="","NOT REVIEWED",IF(TODAY()-AI159&gt;90,"OVERDUE",IF(TODAY()-AI159&gt;76,"Due Soon","Current"))))</f>
        <v/>
      </c>
    </row>
    <row r="160" ht="15" customHeight="1" s="39">
      <c r="A160" s="60" t="n"/>
      <c r="B160" s="60" t="n"/>
      <c r="C160" s="61" t="n"/>
      <c r="D160" s="61" t="n"/>
      <c r="E160" s="60" t="n"/>
      <c r="F160" s="60" t="n"/>
      <c r="G160" s="62" t="n"/>
      <c r="H160" s="62" t="n"/>
      <c r="I160" s="62" t="n"/>
      <c r="J160" s="60" t="n"/>
      <c r="K160" s="60" t="n"/>
      <c r="L160" s="60" t="n"/>
      <c r="M160" s="61" t="n"/>
      <c r="N160" s="60" t="n"/>
      <c r="O160" s="60" t="n"/>
      <c r="P160" s="60" t="n"/>
      <c r="Q160" s="60" t="n"/>
      <c r="R160" s="60" t="n"/>
      <c r="S160" s="60" t="n"/>
      <c r="T160" s="60" t="n"/>
      <c r="U160" s="60" t="n"/>
      <c r="V160" s="60" t="n"/>
      <c r="W160" s="60" t="n"/>
      <c r="X160" s="60" t="n"/>
      <c r="Y160" s="60" t="n"/>
      <c r="Z160" s="61" t="n"/>
      <c r="AA160" s="63">
        <f>IF($H160="","",TODAY()-$H160)</f>
        <v/>
      </c>
      <c r="AB160" s="63">
        <f>IF($A160="","",IF(AND($F160="Yes",OR($U160="No",$U160="NOT FOUND")),"YES",""))</f>
        <v/>
      </c>
      <c r="AC160" s="66">
        <f>IF($A160="","",TRIM(IF(AND($P160=0,$L160&lt;&gt;"Yes"),"T0-NoSmartcard ","")&amp;IF(AND($J160&lt;&gt;"",$J160&gt;365),"StalePwd ","")&amp;IF($K160="Yes","PwdNeverExpires ","")&amp;IF(AND($S160&lt;&gt;"",$S160&lt;&gt;"None"),"Delegation ","")&amp;IF(AND($Q160=1,$O160="None"),"StaleAdminCount ","")&amp;IF(AND($F160="Yes",$H160=""),"NeverLoggedOn ","")))</f>
        <v/>
      </c>
      <c r="AD160" s="60" t="n"/>
      <c r="AE160" s="61" t="n"/>
      <c r="AF160" s="60" t="n"/>
      <c r="AG160" s="62" t="n"/>
      <c r="AH160" s="62" t="n"/>
      <c r="AI160" s="62" t="n"/>
      <c r="AJ160" s="60" t="n"/>
      <c r="AK160" s="61" t="n"/>
      <c r="AL160" s="63">
        <f>IF($A160="","",IF(AH160="","Not Enrolled",IF(TODAY()&gt;AH160,"Review Overdue",IF(AH160-TODAY()&lt;=30,"Review Due Soon","Active"))))</f>
        <v/>
      </c>
      <c r="AM160" s="63">
        <f>IF($A160="","",IF(AI160="","NOT REVIEWED",IF(TODAY()-AI160&gt;90,"OVERDUE",IF(TODAY()-AI160&gt;76,"Due Soon","Current"))))</f>
        <v/>
      </c>
    </row>
    <row r="161" ht="15" customHeight="1" s="39">
      <c r="A161" s="60" t="n"/>
      <c r="B161" s="60" t="n"/>
      <c r="C161" s="61" t="n"/>
      <c r="D161" s="61" t="n"/>
      <c r="E161" s="60" t="n"/>
      <c r="F161" s="60" t="n"/>
      <c r="G161" s="62" t="n"/>
      <c r="H161" s="62" t="n"/>
      <c r="I161" s="62" t="n"/>
      <c r="J161" s="60" t="n"/>
      <c r="K161" s="60" t="n"/>
      <c r="L161" s="60" t="n"/>
      <c r="M161" s="61" t="n"/>
      <c r="N161" s="60" t="n"/>
      <c r="O161" s="60" t="n"/>
      <c r="P161" s="60" t="n"/>
      <c r="Q161" s="60" t="n"/>
      <c r="R161" s="60" t="n"/>
      <c r="S161" s="60" t="n"/>
      <c r="T161" s="60" t="n"/>
      <c r="U161" s="60" t="n"/>
      <c r="V161" s="60" t="n"/>
      <c r="W161" s="60" t="n"/>
      <c r="X161" s="60" t="n"/>
      <c r="Y161" s="60" t="n"/>
      <c r="Z161" s="61" t="n"/>
      <c r="AA161" s="63">
        <f>IF($H161="","",TODAY()-$H161)</f>
        <v/>
      </c>
      <c r="AB161" s="63">
        <f>IF($A161="","",IF(AND($F161="Yes",OR($U161="No",$U161="NOT FOUND")),"YES",""))</f>
        <v/>
      </c>
      <c r="AC161" s="66">
        <f>IF($A161="","",TRIM(IF(AND($P161=0,$L161&lt;&gt;"Yes"),"T0-NoSmartcard ","")&amp;IF(AND($J161&lt;&gt;"",$J161&gt;365),"StalePwd ","")&amp;IF($K161="Yes","PwdNeverExpires ","")&amp;IF(AND($S161&lt;&gt;"",$S161&lt;&gt;"None"),"Delegation ","")&amp;IF(AND($Q161=1,$O161="None"),"StaleAdminCount ","")&amp;IF(AND($F161="Yes",$H161=""),"NeverLoggedOn ","")))</f>
        <v/>
      </c>
      <c r="AD161" s="60" t="n"/>
      <c r="AE161" s="61" t="n"/>
      <c r="AF161" s="60" t="n"/>
      <c r="AG161" s="62" t="n"/>
      <c r="AH161" s="62" t="n"/>
      <c r="AI161" s="62" t="n"/>
      <c r="AJ161" s="60" t="n"/>
      <c r="AK161" s="61" t="n"/>
      <c r="AL161" s="63">
        <f>IF($A161="","",IF(AH161="","Not Enrolled",IF(TODAY()&gt;AH161,"Review Overdue",IF(AH161-TODAY()&lt;=30,"Review Due Soon","Active"))))</f>
        <v/>
      </c>
      <c r="AM161" s="63">
        <f>IF($A161="","",IF(AI161="","NOT REVIEWED",IF(TODAY()-AI161&gt;90,"OVERDUE",IF(TODAY()-AI161&gt;76,"Due Soon","Current"))))</f>
        <v/>
      </c>
    </row>
    <row r="162" ht="15" customHeight="1" s="39">
      <c r="A162" s="60" t="n"/>
      <c r="B162" s="60" t="n"/>
      <c r="C162" s="61" t="n"/>
      <c r="D162" s="61" t="n"/>
      <c r="E162" s="60" t="n"/>
      <c r="F162" s="60" t="n"/>
      <c r="G162" s="62" t="n"/>
      <c r="H162" s="62" t="n"/>
      <c r="I162" s="62" t="n"/>
      <c r="J162" s="60" t="n"/>
      <c r="K162" s="60" t="n"/>
      <c r="L162" s="60" t="n"/>
      <c r="M162" s="61" t="n"/>
      <c r="N162" s="60" t="n"/>
      <c r="O162" s="60" t="n"/>
      <c r="P162" s="60" t="n"/>
      <c r="Q162" s="60" t="n"/>
      <c r="R162" s="60" t="n"/>
      <c r="S162" s="60" t="n"/>
      <c r="T162" s="60" t="n"/>
      <c r="U162" s="60" t="n"/>
      <c r="V162" s="60" t="n"/>
      <c r="W162" s="60" t="n"/>
      <c r="X162" s="60" t="n"/>
      <c r="Y162" s="60" t="n"/>
      <c r="Z162" s="61" t="n"/>
      <c r="AA162" s="63">
        <f>IF($H162="","",TODAY()-$H162)</f>
        <v/>
      </c>
      <c r="AB162" s="63">
        <f>IF($A162="","",IF(AND($F162="Yes",OR($U162="No",$U162="NOT FOUND")),"YES",""))</f>
        <v/>
      </c>
      <c r="AC162" s="66">
        <f>IF($A162="","",TRIM(IF(AND($P162=0,$L162&lt;&gt;"Yes"),"T0-NoSmartcard ","")&amp;IF(AND($J162&lt;&gt;"",$J162&gt;365),"StalePwd ","")&amp;IF($K162="Yes","PwdNeverExpires ","")&amp;IF(AND($S162&lt;&gt;"",$S162&lt;&gt;"None"),"Delegation ","")&amp;IF(AND($Q162=1,$O162="None"),"StaleAdminCount ","")&amp;IF(AND($F162="Yes",$H162=""),"NeverLoggedOn ","")))</f>
        <v/>
      </c>
      <c r="AD162" s="60" t="n"/>
      <c r="AE162" s="61" t="n"/>
      <c r="AF162" s="60" t="n"/>
      <c r="AG162" s="62" t="n"/>
      <c r="AH162" s="62" t="n"/>
      <c r="AI162" s="62" t="n"/>
      <c r="AJ162" s="60" t="n"/>
      <c r="AK162" s="61" t="n"/>
      <c r="AL162" s="63">
        <f>IF($A162="","",IF(AH162="","Not Enrolled",IF(TODAY()&gt;AH162,"Review Overdue",IF(AH162-TODAY()&lt;=30,"Review Due Soon","Active"))))</f>
        <v/>
      </c>
      <c r="AM162" s="63">
        <f>IF($A162="","",IF(AI162="","NOT REVIEWED",IF(TODAY()-AI162&gt;90,"OVERDUE",IF(TODAY()-AI162&gt;76,"Due Soon","Current"))))</f>
        <v/>
      </c>
    </row>
    <row r="163" ht="15" customHeight="1" s="39">
      <c r="A163" s="60" t="n"/>
      <c r="B163" s="60" t="n"/>
      <c r="C163" s="61" t="n"/>
      <c r="D163" s="61" t="n"/>
      <c r="E163" s="60" t="n"/>
      <c r="F163" s="60" t="n"/>
      <c r="G163" s="62" t="n"/>
      <c r="H163" s="62" t="n"/>
      <c r="I163" s="62" t="n"/>
      <c r="J163" s="60" t="n"/>
      <c r="K163" s="60" t="n"/>
      <c r="L163" s="60" t="n"/>
      <c r="M163" s="61" t="n"/>
      <c r="N163" s="60" t="n"/>
      <c r="O163" s="60" t="n"/>
      <c r="P163" s="60" t="n"/>
      <c r="Q163" s="60" t="n"/>
      <c r="R163" s="60" t="n"/>
      <c r="S163" s="60" t="n"/>
      <c r="T163" s="60" t="n"/>
      <c r="U163" s="60" t="n"/>
      <c r="V163" s="60" t="n"/>
      <c r="W163" s="60" t="n"/>
      <c r="X163" s="60" t="n"/>
      <c r="Y163" s="60" t="n"/>
      <c r="Z163" s="61" t="n"/>
      <c r="AA163" s="63">
        <f>IF($H163="","",TODAY()-$H163)</f>
        <v/>
      </c>
      <c r="AB163" s="63">
        <f>IF($A163="","",IF(AND($F163="Yes",OR($U163="No",$U163="NOT FOUND")),"YES",""))</f>
        <v/>
      </c>
      <c r="AC163" s="66">
        <f>IF($A163="","",TRIM(IF(AND($P163=0,$L163&lt;&gt;"Yes"),"T0-NoSmartcard ","")&amp;IF(AND($J163&lt;&gt;"",$J163&gt;365),"StalePwd ","")&amp;IF($K163="Yes","PwdNeverExpires ","")&amp;IF(AND($S163&lt;&gt;"",$S163&lt;&gt;"None"),"Delegation ","")&amp;IF(AND($Q163=1,$O163="None"),"StaleAdminCount ","")&amp;IF(AND($F163="Yes",$H163=""),"NeverLoggedOn ","")))</f>
        <v/>
      </c>
      <c r="AD163" s="60" t="n"/>
      <c r="AE163" s="61" t="n"/>
      <c r="AF163" s="60" t="n"/>
      <c r="AG163" s="62" t="n"/>
      <c r="AH163" s="62" t="n"/>
      <c r="AI163" s="62" t="n"/>
      <c r="AJ163" s="60" t="n"/>
      <c r="AK163" s="61" t="n"/>
      <c r="AL163" s="63">
        <f>IF($A163="","",IF(AH163="","Not Enrolled",IF(TODAY()&gt;AH163,"Review Overdue",IF(AH163-TODAY()&lt;=30,"Review Due Soon","Active"))))</f>
        <v/>
      </c>
      <c r="AM163" s="63">
        <f>IF($A163="","",IF(AI163="","NOT REVIEWED",IF(TODAY()-AI163&gt;90,"OVERDUE",IF(TODAY()-AI163&gt;76,"Due Soon","Current"))))</f>
        <v/>
      </c>
    </row>
    <row r="164" ht="15" customHeight="1" s="39">
      <c r="A164" s="60" t="n"/>
      <c r="B164" s="60" t="n"/>
      <c r="C164" s="61" t="n"/>
      <c r="D164" s="61" t="n"/>
      <c r="E164" s="60" t="n"/>
      <c r="F164" s="60" t="n"/>
      <c r="G164" s="62" t="n"/>
      <c r="H164" s="62" t="n"/>
      <c r="I164" s="62" t="n"/>
      <c r="J164" s="60" t="n"/>
      <c r="K164" s="60" t="n"/>
      <c r="L164" s="60" t="n"/>
      <c r="M164" s="61" t="n"/>
      <c r="N164" s="60" t="n"/>
      <c r="O164" s="60" t="n"/>
      <c r="P164" s="60" t="n"/>
      <c r="Q164" s="60" t="n"/>
      <c r="R164" s="60" t="n"/>
      <c r="S164" s="60" t="n"/>
      <c r="T164" s="60" t="n"/>
      <c r="U164" s="60" t="n"/>
      <c r="V164" s="60" t="n"/>
      <c r="W164" s="60" t="n"/>
      <c r="X164" s="60" t="n"/>
      <c r="Y164" s="60" t="n"/>
      <c r="Z164" s="61" t="n"/>
      <c r="AA164" s="63">
        <f>IF($H164="","",TODAY()-$H164)</f>
        <v/>
      </c>
      <c r="AB164" s="63">
        <f>IF($A164="","",IF(AND($F164="Yes",OR($U164="No",$U164="NOT FOUND")),"YES",""))</f>
        <v/>
      </c>
      <c r="AC164" s="66">
        <f>IF($A164="","",TRIM(IF(AND($P164=0,$L164&lt;&gt;"Yes"),"T0-NoSmartcard ","")&amp;IF(AND($J164&lt;&gt;"",$J164&gt;365),"StalePwd ","")&amp;IF($K164="Yes","PwdNeverExpires ","")&amp;IF(AND($S164&lt;&gt;"",$S164&lt;&gt;"None"),"Delegation ","")&amp;IF(AND($Q164=1,$O164="None"),"StaleAdminCount ","")&amp;IF(AND($F164="Yes",$H164=""),"NeverLoggedOn ","")))</f>
        <v/>
      </c>
      <c r="AD164" s="60" t="n"/>
      <c r="AE164" s="61" t="n"/>
      <c r="AF164" s="60" t="n"/>
      <c r="AG164" s="62" t="n"/>
      <c r="AH164" s="62" t="n"/>
      <c r="AI164" s="62" t="n"/>
      <c r="AJ164" s="60" t="n"/>
      <c r="AK164" s="61" t="n"/>
      <c r="AL164" s="63">
        <f>IF($A164="","",IF(AH164="","Not Enrolled",IF(TODAY()&gt;AH164,"Review Overdue",IF(AH164-TODAY()&lt;=30,"Review Due Soon","Active"))))</f>
        <v/>
      </c>
      <c r="AM164" s="63">
        <f>IF($A164="","",IF(AI164="","NOT REVIEWED",IF(TODAY()-AI164&gt;90,"OVERDUE",IF(TODAY()-AI164&gt;76,"Due Soon","Current"))))</f>
        <v/>
      </c>
    </row>
    <row r="165" ht="15" customHeight="1" s="39">
      <c r="A165" s="60" t="n"/>
      <c r="B165" s="60" t="n"/>
      <c r="C165" s="61" t="n"/>
      <c r="D165" s="61" t="n"/>
      <c r="E165" s="60" t="n"/>
      <c r="F165" s="60" t="n"/>
      <c r="G165" s="62" t="n"/>
      <c r="H165" s="62" t="n"/>
      <c r="I165" s="62" t="n"/>
      <c r="J165" s="60" t="n"/>
      <c r="K165" s="60" t="n"/>
      <c r="L165" s="60" t="n"/>
      <c r="M165" s="61" t="n"/>
      <c r="N165" s="60" t="n"/>
      <c r="O165" s="60" t="n"/>
      <c r="P165" s="60" t="n"/>
      <c r="Q165" s="60" t="n"/>
      <c r="R165" s="60" t="n"/>
      <c r="S165" s="60" t="n"/>
      <c r="T165" s="60" t="n"/>
      <c r="U165" s="60" t="n"/>
      <c r="V165" s="60" t="n"/>
      <c r="W165" s="60" t="n"/>
      <c r="X165" s="60" t="n"/>
      <c r="Y165" s="60" t="n"/>
      <c r="Z165" s="61" t="n"/>
      <c r="AA165" s="63">
        <f>IF($H165="","",TODAY()-$H165)</f>
        <v/>
      </c>
      <c r="AB165" s="63">
        <f>IF($A165="","",IF(AND($F165="Yes",OR($U165="No",$U165="NOT FOUND")),"YES",""))</f>
        <v/>
      </c>
      <c r="AC165" s="66">
        <f>IF($A165="","",TRIM(IF(AND($P165=0,$L165&lt;&gt;"Yes"),"T0-NoSmartcard ","")&amp;IF(AND($J165&lt;&gt;"",$J165&gt;365),"StalePwd ","")&amp;IF($K165="Yes","PwdNeverExpires ","")&amp;IF(AND($S165&lt;&gt;"",$S165&lt;&gt;"None"),"Delegation ","")&amp;IF(AND($Q165=1,$O165="None"),"StaleAdminCount ","")&amp;IF(AND($F165="Yes",$H165=""),"NeverLoggedOn ","")))</f>
        <v/>
      </c>
      <c r="AD165" s="60" t="n"/>
      <c r="AE165" s="61" t="n"/>
      <c r="AF165" s="60" t="n"/>
      <c r="AG165" s="62" t="n"/>
      <c r="AH165" s="62" t="n"/>
      <c r="AI165" s="62" t="n"/>
      <c r="AJ165" s="60" t="n"/>
      <c r="AK165" s="61" t="n"/>
      <c r="AL165" s="63">
        <f>IF($A165="","",IF(AH165="","Not Enrolled",IF(TODAY()&gt;AH165,"Review Overdue",IF(AH165-TODAY()&lt;=30,"Review Due Soon","Active"))))</f>
        <v/>
      </c>
      <c r="AM165" s="63">
        <f>IF($A165="","",IF(AI165="","NOT REVIEWED",IF(TODAY()-AI165&gt;90,"OVERDUE",IF(TODAY()-AI165&gt;76,"Due Soon","Current"))))</f>
        <v/>
      </c>
    </row>
    <row r="166" ht="15" customHeight="1" s="39">
      <c r="A166" s="60" t="n"/>
      <c r="B166" s="60" t="n"/>
      <c r="C166" s="61" t="n"/>
      <c r="D166" s="61" t="n"/>
      <c r="E166" s="60" t="n"/>
      <c r="F166" s="60" t="n"/>
      <c r="G166" s="62" t="n"/>
      <c r="H166" s="62" t="n"/>
      <c r="I166" s="62" t="n"/>
      <c r="J166" s="60" t="n"/>
      <c r="K166" s="60" t="n"/>
      <c r="L166" s="60" t="n"/>
      <c r="M166" s="61" t="n"/>
      <c r="N166" s="60" t="n"/>
      <c r="O166" s="60" t="n"/>
      <c r="P166" s="60" t="n"/>
      <c r="Q166" s="60" t="n"/>
      <c r="R166" s="60" t="n"/>
      <c r="S166" s="60" t="n"/>
      <c r="T166" s="60" t="n"/>
      <c r="U166" s="60" t="n"/>
      <c r="V166" s="60" t="n"/>
      <c r="W166" s="60" t="n"/>
      <c r="X166" s="60" t="n"/>
      <c r="Y166" s="60" t="n"/>
      <c r="Z166" s="61" t="n"/>
      <c r="AA166" s="63">
        <f>IF($H166="","",TODAY()-$H166)</f>
        <v/>
      </c>
      <c r="AB166" s="63">
        <f>IF($A166="","",IF(AND($F166="Yes",OR($U166="No",$U166="NOT FOUND")),"YES",""))</f>
        <v/>
      </c>
      <c r="AC166" s="66">
        <f>IF($A166="","",TRIM(IF(AND($P166=0,$L166&lt;&gt;"Yes"),"T0-NoSmartcard ","")&amp;IF(AND($J166&lt;&gt;"",$J166&gt;365),"StalePwd ","")&amp;IF($K166="Yes","PwdNeverExpires ","")&amp;IF(AND($S166&lt;&gt;"",$S166&lt;&gt;"None"),"Delegation ","")&amp;IF(AND($Q166=1,$O166="None"),"StaleAdminCount ","")&amp;IF(AND($F166="Yes",$H166=""),"NeverLoggedOn ","")))</f>
        <v/>
      </c>
      <c r="AD166" s="60" t="n"/>
      <c r="AE166" s="61" t="n"/>
      <c r="AF166" s="60" t="n"/>
      <c r="AG166" s="62" t="n"/>
      <c r="AH166" s="62" t="n"/>
      <c r="AI166" s="62" t="n"/>
      <c r="AJ166" s="60" t="n"/>
      <c r="AK166" s="61" t="n"/>
      <c r="AL166" s="63">
        <f>IF($A166="","",IF(AH166="","Not Enrolled",IF(TODAY()&gt;AH166,"Review Overdue",IF(AH166-TODAY()&lt;=30,"Review Due Soon","Active"))))</f>
        <v/>
      </c>
      <c r="AM166" s="63">
        <f>IF($A166="","",IF(AI166="","NOT REVIEWED",IF(TODAY()-AI166&gt;90,"OVERDUE",IF(TODAY()-AI166&gt;76,"Due Soon","Current"))))</f>
        <v/>
      </c>
    </row>
    <row r="167" ht="15" customHeight="1" s="39">
      <c r="A167" s="60" t="n"/>
      <c r="B167" s="60" t="n"/>
      <c r="C167" s="61" t="n"/>
      <c r="D167" s="61" t="n"/>
      <c r="E167" s="60" t="n"/>
      <c r="F167" s="60" t="n"/>
      <c r="G167" s="62" t="n"/>
      <c r="H167" s="62" t="n"/>
      <c r="I167" s="62" t="n"/>
      <c r="J167" s="60" t="n"/>
      <c r="K167" s="60" t="n"/>
      <c r="L167" s="60" t="n"/>
      <c r="M167" s="61" t="n"/>
      <c r="N167" s="60" t="n"/>
      <c r="O167" s="60" t="n"/>
      <c r="P167" s="60" t="n"/>
      <c r="Q167" s="60" t="n"/>
      <c r="R167" s="60" t="n"/>
      <c r="S167" s="60" t="n"/>
      <c r="T167" s="60" t="n"/>
      <c r="U167" s="60" t="n"/>
      <c r="V167" s="60" t="n"/>
      <c r="W167" s="60" t="n"/>
      <c r="X167" s="60" t="n"/>
      <c r="Y167" s="60" t="n"/>
      <c r="Z167" s="61" t="n"/>
      <c r="AA167" s="63">
        <f>IF($H167="","",TODAY()-$H167)</f>
        <v/>
      </c>
      <c r="AB167" s="63">
        <f>IF($A167="","",IF(AND($F167="Yes",OR($U167="No",$U167="NOT FOUND")),"YES",""))</f>
        <v/>
      </c>
      <c r="AC167" s="66">
        <f>IF($A167="","",TRIM(IF(AND($P167=0,$L167&lt;&gt;"Yes"),"T0-NoSmartcard ","")&amp;IF(AND($J167&lt;&gt;"",$J167&gt;365),"StalePwd ","")&amp;IF($K167="Yes","PwdNeverExpires ","")&amp;IF(AND($S167&lt;&gt;"",$S167&lt;&gt;"None"),"Delegation ","")&amp;IF(AND($Q167=1,$O167="None"),"StaleAdminCount ","")&amp;IF(AND($F167="Yes",$H167=""),"NeverLoggedOn ","")))</f>
        <v/>
      </c>
      <c r="AD167" s="60" t="n"/>
      <c r="AE167" s="61" t="n"/>
      <c r="AF167" s="60" t="n"/>
      <c r="AG167" s="62" t="n"/>
      <c r="AH167" s="62" t="n"/>
      <c r="AI167" s="62" t="n"/>
      <c r="AJ167" s="60" t="n"/>
      <c r="AK167" s="61" t="n"/>
      <c r="AL167" s="63">
        <f>IF($A167="","",IF(AH167="","Not Enrolled",IF(TODAY()&gt;AH167,"Review Overdue",IF(AH167-TODAY()&lt;=30,"Review Due Soon","Active"))))</f>
        <v/>
      </c>
      <c r="AM167" s="63">
        <f>IF($A167="","",IF(AI167="","NOT REVIEWED",IF(TODAY()-AI167&gt;90,"OVERDUE",IF(TODAY()-AI167&gt;76,"Due Soon","Current"))))</f>
        <v/>
      </c>
    </row>
    <row r="168" ht="15" customHeight="1" s="39">
      <c r="A168" s="60" t="n"/>
      <c r="B168" s="60" t="n"/>
      <c r="C168" s="61" t="n"/>
      <c r="D168" s="61" t="n"/>
      <c r="E168" s="60" t="n"/>
      <c r="F168" s="60" t="n"/>
      <c r="G168" s="62" t="n"/>
      <c r="H168" s="62" t="n"/>
      <c r="I168" s="62" t="n"/>
      <c r="J168" s="60" t="n"/>
      <c r="K168" s="60" t="n"/>
      <c r="L168" s="60" t="n"/>
      <c r="M168" s="61" t="n"/>
      <c r="N168" s="60" t="n"/>
      <c r="O168" s="60" t="n"/>
      <c r="P168" s="60" t="n"/>
      <c r="Q168" s="60" t="n"/>
      <c r="R168" s="60" t="n"/>
      <c r="S168" s="60" t="n"/>
      <c r="T168" s="60" t="n"/>
      <c r="U168" s="60" t="n"/>
      <c r="V168" s="60" t="n"/>
      <c r="W168" s="60" t="n"/>
      <c r="X168" s="60" t="n"/>
      <c r="Y168" s="60" t="n"/>
      <c r="Z168" s="61" t="n"/>
      <c r="AA168" s="63">
        <f>IF($H168="","",TODAY()-$H168)</f>
        <v/>
      </c>
      <c r="AB168" s="63">
        <f>IF($A168="","",IF(AND($F168="Yes",OR($U168="No",$U168="NOT FOUND")),"YES",""))</f>
        <v/>
      </c>
      <c r="AC168" s="66">
        <f>IF($A168="","",TRIM(IF(AND($P168=0,$L168&lt;&gt;"Yes"),"T0-NoSmartcard ","")&amp;IF(AND($J168&lt;&gt;"",$J168&gt;365),"StalePwd ","")&amp;IF($K168="Yes","PwdNeverExpires ","")&amp;IF(AND($S168&lt;&gt;"",$S168&lt;&gt;"None"),"Delegation ","")&amp;IF(AND($Q168=1,$O168="None"),"StaleAdminCount ","")&amp;IF(AND($F168="Yes",$H168=""),"NeverLoggedOn ","")))</f>
        <v/>
      </c>
      <c r="AD168" s="60" t="n"/>
      <c r="AE168" s="61" t="n"/>
      <c r="AF168" s="60" t="n"/>
      <c r="AG168" s="62" t="n"/>
      <c r="AH168" s="62" t="n"/>
      <c r="AI168" s="62" t="n"/>
      <c r="AJ168" s="60" t="n"/>
      <c r="AK168" s="61" t="n"/>
      <c r="AL168" s="63">
        <f>IF($A168="","",IF(AH168="","Not Enrolled",IF(TODAY()&gt;AH168,"Review Overdue",IF(AH168-TODAY()&lt;=30,"Review Due Soon","Active"))))</f>
        <v/>
      </c>
      <c r="AM168" s="63">
        <f>IF($A168="","",IF(AI168="","NOT REVIEWED",IF(TODAY()-AI168&gt;90,"OVERDUE",IF(TODAY()-AI168&gt;76,"Due Soon","Current"))))</f>
        <v/>
      </c>
    </row>
    <row r="169" ht="15" customHeight="1" s="39">
      <c r="A169" s="60" t="n"/>
      <c r="B169" s="60" t="n"/>
      <c r="C169" s="61" t="n"/>
      <c r="D169" s="61" t="n"/>
      <c r="E169" s="60" t="n"/>
      <c r="F169" s="60" t="n"/>
      <c r="G169" s="62" t="n"/>
      <c r="H169" s="62" t="n"/>
      <c r="I169" s="62" t="n"/>
      <c r="J169" s="60" t="n"/>
      <c r="K169" s="60" t="n"/>
      <c r="L169" s="60" t="n"/>
      <c r="M169" s="61" t="n"/>
      <c r="N169" s="60" t="n"/>
      <c r="O169" s="60" t="n"/>
      <c r="P169" s="60" t="n"/>
      <c r="Q169" s="60" t="n"/>
      <c r="R169" s="60" t="n"/>
      <c r="S169" s="60" t="n"/>
      <c r="T169" s="60" t="n"/>
      <c r="U169" s="60" t="n"/>
      <c r="V169" s="60" t="n"/>
      <c r="W169" s="60" t="n"/>
      <c r="X169" s="60" t="n"/>
      <c r="Y169" s="60" t="n"/>
      <c r="Z169" s="61" t="n"/>
      <c r="AA169" s="63">
        <f>IF($H169="","",TODAY()-$H169)</f>
        <v/>
      </c>
      <c r="AB169" s="63">
        <f>IF($A169="","",IF(AND($F169="Yes",OR($U169="No",$U169="NOT FOUND")),"YES",""))</f>
        <v/>
      </c>
      <c r="AC169" s="66">
        <f>IF($A169="","",TRIM(IF(AND($P169=0,$L169&lt;&gt;"Yes"),"T0-NoSmartcard ","")&amp;IF(AND($J169&lt;&gt;"",$J169&gt;365),"StalePwd ","")&amp;IF($K169="Yes","PwdNeverExpires ","")&amp;IF(AND($S169&lt;&gt;"",$S169&lt;&gt;"None"),"Delegation ","")&amp;IF(AND($Q169=1,$O169="None"),"StaleAdminCount ","")&amp;IF(AND($F169="Yes",$H169=""),"NeverLoggedOn ","")))</f>
        <v/>
      </c>
      <c r="AD169" s="60" t="n"/>
      <c r="AE169" s="61" t="n"/>
      <c r="AF169" s="60" t="n"/>
      <c r="AG169" s="62" t="n"/>
      <c r="AH169" s="62" t="n"/>
      <c r="AI169" s="62" t="n"/>
      <c r="AJ169" s="60" t="n"/>
      <c r="AK169" s="61" t="n"/>
      <c r="AL169" s="63">
        <f>IF($A169="","",IF(AH169="","Not Enrolled",IF(TODAY()&gt;AH169,"Review Overdue",IF(AH169-TODAY()&lt;=30,"Review Due Soon","Active"))))</f>
        <v/>
      </c>
      <c r="AM169" s="63">
        <f>IF($A169="","",IF(AI169="","NOT REVIEWED",IF(TODAY()-AI169&gt;90,"OVERDUE",IF(TODAY()-AI169&gt;76,"Due Soon","Current"))))</f>
        <v/>
      </c>
    </row>
    <row r="170" ht="15" customHeight="1" s="39">
      <c r="A170" s="60" t="n"/>
      <c r="B170" s="60" t="n"/>
      <c r="C170" s="61" t="n"/>
      <c r="D170" s="61" t="n"/>
      <c r="E170" s="60" t="n"/>
      <c r="F170" s="60" t="n"/>
      <c r="G170" s="62" t="n"/>
      <c r="H170" s="62" t="n"/>
      <c r="I170" s="62" t="n"/>
      <c r="J170" s="60" t="n"/>
      <c r="K170" s="60" t="n"/>
      <c r="L170" s="60" t="n"/>
      <c r="M170" s="61" t="n"/>
      <c r="N170" s="60" t="n"/>
      <c r="O170" s="60" t="n"/>
      <c r="P170" s="60" t="n"/>
      <c r="Q170" s="60" t="n"/>
      <c r="R170" s="60" t="n"/>
      <c r="S170" s="60" t="n"/>
      <c r="T170" s="60" t="n"/>
      <c r="U170" s="60" t="n"/>
      <c r="V170" s="60" t="n"/>
      <c r="W170" s="60" t="n"/>
      <c r="X170" s="60" t="n"/>
      <c r="Y170" s="60" t="n"/>
      <c r="Z170" s="61" t="n"/>
      <c r="AA170" s="63">
        <f>IF($H170="","",TODAY()-$H170)</f>
        <v/>
      </c>
      <c r="AB170" s="63">
        <f>IF($A170="","",IF(AND($F170="Yes",OR($U170="No",$U170="NOT FOUND")),"YES",""))</f>
        <v/>
      </c>
      <c r="AC170" s="66">
        <f>IF($A170="","",TRIM(IF(AND($P170=0,$L170&lt;&gt;"Yes"),"T0-NoSmartcard ","")&amp;IF(AND($J170&lt;&gt;"",$J170&gt;365),"StalePwd ","")&amp;IF($K170="Yes","PwdNeverExpires ","")&amp;IF(AND($S170&lt;&gt;"",$S170&lt;&gt;"None"),"Delegation ","")&amp;IF(AND($Q170=1,$O170="None"),"StaleAdminCount ","")&amp;IF(AND($F170="Yes",$H170=""),"NeverLoggedOn ","")))</f>
        <v/>
      </c>
      <c r="AD170" s="60" t="n"/>
      <c r="AE170" s="61" t="n"/>
      <c r="AF170" s="60" t="n"/>
      <c r="AG170" s="62" t="n"/>
      <c r="AH170" s="62" t="n"/>
      <c r="AI170" s="62" t="n"/>
      <c r="AJ170" s="60" t="n"/>
      <c r="AK170" s="61" t="n"/>
      <c r="AL170" s="63">
        <f>IF($A170="","",IF(AH170="","Not Enrolled",IF(TODAY()&gt;AH170,"Review Overdue",IF(AH170-TODAY()&lt;=30,"Review Due Soon","Active"))))</f>
        <v/>
      </c>
      <c r="AM170" s="63">
        <f>IF($A170="","",IF(AI170="","NOT REVIEWED",IF(TODAY()-AI170&gt;90,"OVERDUE",IF(TODAY()-AI170&gt;76,"Due Soon","Current"))))</f>
        <v/>
      </c>
    </row>
    <row r="171" ht="15" customHeight="1" s="39">
      <c r="A171" s="60" t="n"/>
      <c r="B171" s="60" t="n"/>
      <c r="C171" s="61" t="n"/>
      <c r="D171" s="61" t="n"/>
      <c r="E171" s="60" t="n"/>
      <c r="F171" s="60" t="n"/>
      <c r="G171" s="62" t="n"/>
      <c r="H171" s="62" t="n"/>
      <c r="I171" s="62" t="n"/>
      <c r="J171" s="60" t="n"/>
      <c r="K171" s="60" t="n"/>
      <c r="L171" s="60" t="n"/>
      <c r="M171" s="61" t="n"/>
      <c r="N171" s="60" t="n"/>
      <c r="O171" s="60" t="n"/>
      <c r="P171" s="60" t="n"/>
      <c r="Q171" s="60" t="n"/>
      <c r="R171" s="60" t="n"/>
      <c r="S171" s="60" t="n"/>
      <c r="T171" s="60" t="n"/>
      <c r="U171" s="60" t="n"/>
      <c r="V171" s="60" t="n"/>
      <c r="W171" s="60" t="n"/>
      <c r="X171" s="60" t="n"/>
      <c r="Y171" s="60" t="n"/>
      <c r="Z171" s="61" t="n"/>
      <c r="AA171" s="63">
        <f>IF($H171="","",TODAY()-$H171)</f>
        <v/>
      </c>
      <c r="AB171" s="63">
        <f>IF($A171="","",IF(AND($F171="Yes",OR($U171="No",$U171="NOT FOUND")),"YES",""))</f>
        <v/>
      </c>
      <c r="AC171" s="66">
        <f>IF($A171="","",TRIM(IF(AND($P171=0,$L171&lt;&gt;"Yes"),"T0-NoSmartcard ","")&amp;IF(AND($J171&lt;&gt;"",$J171&gt;365),"StalePwd ","")&amp;IF($K171="Yes","PwdNeverExpires ","")&amp;IF(AND($S171&lt;&gt;"",$S171&lt;&gt;"None"),"Delegation ","")&amp;IF(AND($Q171=1,$O171="None"),"StaleAdminCount ","")&amp;IF(AND($F171="Yes",$H171=""),"NeverLoggedOn ","")))</f>
        <v/>
      </c>
      <c r="AD171" s="60" t="n"/>
      <c r="AE171" s="61" t="n"/>
      <c r="AF171" s="60" t="n"/>
      <c r="AG171" s="62" t="n"/>
      <c r="AH171" s="62" t="n"/>
      <c r="AI171" s="62" t="n"/>
      <c r="AJ171" s="60" t="n"/>
      <c r="AK171" s="61" t="n"/>
      <c r="AL171" s="63">
        <f>IF($A171="","",IF(AH171="","Not Enrolled",IF(TODAY()&gt;AH171,"Review Overdue",IF(AH171-TODAY()&lt;=30,"Review Due Soon","Active"))))</f>
        <v/>
      </c>
      <c r="AM171" s="63">
        <f>IF($A171="","",IF(AI171="","NOT REVIEWED",IF(TODAY()-AI171&gt;90,"OVERDUE",IF(TODAY()-AI171&gt;76,"Due Soon","Current"))))</f>
        <v/>
      </c>
    </row>
    <row r="172" ht="15" customHeight="1" s="39">
      <c r="A172" s="60" t="n"/>
      <c r="B172" s="60" t="n"/>
      <c r="C172" s="61" t="n"/>
      <c r="D172" s="61" t="n"/>
      <c r="E172" s="60" t="n"/>
      <c r="F172" s="60" t="n"/>
      <c r="G172" s="62" t="n"/>
      <c r="H172" s="62" t="n"/>
      <c r="I172" s="62" t="n"/>
      <c r="J172" s="60" t="n"/>
      <c r="K172" s="60" t="n"/>
      <c r="L172" s="60" t="n"/>
      <c r="M172" s="61" t="n"/>
      <c r="N172" s="60" t="n"/>
      <c r="O172" s="60" t="n"/>
      <c r="P172" s="60" t="n"/>
      <c r="Q172" s="60" t="n"/>
      <c r="R172" s="60" t="n"/>
      <c r="S172" s="60" t="n"/>
      <c r="T172" s="60" t="n"/>
      <c r="U172" s="60" t="n"/>
      <c r="V172" s="60" t="n"/>
      <c r="W172" s="60" t="n"/>
      <c r="X172" s="60" t="n"/>
      <c r="Y172" s="60" t="n"/>
      <c r="Z172" s="61" t="n"/>
      <c r="AA172" s="63">
        <f>IF($H172="","",TODAY()-$H172)</f>
        <v/>
      </c>
      <c r="AB172" s="63">
        <f>IF($A172="","",IF(AND($F172="Yes",OR($U172="No",$U172="NOT FOUND")),"YES",""))</f>
        <v/>
      </c>
      <c r="AC172" s="66">
        <f>IF($A172="","",TRIM(IF(AND($P172=0,$L172&lt;&gt;"Yes"),"T0-NoSmartcard ","")&amp;IF(AND($J172&lt;&gt;"",$J172&gt;365),"StalePwd ","")&amp;IF($K172="Yes","PwdNeverExpires ","")&amp;IF(AND($S172&lt;&gt;"",$S172&lt;&gt;"None"),"Delegation ","")&amp;IF(AND($Q172=1,$O172="None"),"StaleAdminCount ","")&amp;IF(AND($F172="Yes",$H172=""),"NeverLoggedOn ","")))</f>
        <v/>
      </c>
      <c r="AD172" s="60" t="n"/>
      <c r="AE172" s="61" t="n"/>
      <c r="AF172" s="60" t="n"/>
      <c r="AG172" s="62" t="n"/>
      <c r="AH172" s="62" t="n"/>
      <c r="AI172" s="62" t="n"/>
      <c r="AJ172" s="60" t="n"/>
      <c r="AK172" s="61" t="n"/>
      <c r="AL172" s="63">
        <f>IF($A172="","",IF(AH172="","Not Enrolled",IF(TODAY()&gt;AH172,"Review Overdue",IF(AH172-TODAY()&lt;=30,"Review Due Soon","Active"))))</f>
        <v/>
      </c>
      <c r="AM172" s="63">
        <f>IF($A172="","",IF(AI172="","NOT REVIEWED",IF(TODAY()-AI172&gt;90,"OVERDUE",IF(TODAY()-AI172&gt;76,"Due Soon","Current"))))</f>
        <v/>
      </c>
    </row>
    <row r="173" ht="15" customHeight="1" s="39">
      <c r="A173" s="60" t="n"/>
      <c r="B173" s="60" t="n"/>
      <c r="C173" s="61" t="n"/>
      <c r="D173" s="61" t="n"/>
      <c r="E173" s="60" t="n"/>
      <c r="F173" s="60" t="n"/>
      <c r="G173" s="62" t="n"/>
      <c r="H173" s="62" t="n"/>
      <c r="I173" s="62" t="n"/>
      <c r="J173" s="60" t="n"/>
      <c r="K173" s="60" t="n"/>
      <c r="L173" s="60" t="n"/>
      <c r="M173" s="61" t="n"/>
      <c r="N173" s="60" t="n"/>
      <c r="O173" s="60" t="n"/>
      <c r="P173" s="60" t="n"/>
      <c r="Q173" s="60" t="n"/>
      <c r="R173" s="60" t="n"/>
      <c r="S173" s="60" t="n"/>
      <c r="T173" s="60" t="n"/>
      <c r="U173" s="60" t="n"/>
      <c r="V173" s="60" t="n"/>
      <c r="W173" s="60" t="n"/>
      <c r="X173" s="60" t="n"/>
      <c r="Y173" s="60" t="n"/>
      <c r="Z173" s="61" t="n"/>
      <c r="AA173" s="63">
        <f>IF($H173="","",TODAY()-$H173)</f>
        <v/>
      </c>
      <c r="AB173" s="63">
        <f>IF($A173="","",IF(AND($F173="Yes",OR($U173="No",$U173="NOT FOUND")),"YES",""))</f>
        <v/>
      </c>
      <c r="AC173" s="66">
        <f>IF($A173="","",TRIM(IF(AND($P173=0,$L173&lt;&gt;"Yes"),"T0-NoSmartcard ","")&amp;IF(AND($J173&lt;&gt;"",$J173&gt;365),"StalePwd ","")&amp;IF($K173="Yes","PwdNeverExpires ","")&amp;IF(AND($S173&lt;&gt;"",$S173&lt;&gt;"None"),"Delegation ","")&amp;IF(AND($Q173=1,$O173="None"),"StaleAdminCount ","")&amp;IF(AND($F173="Yes",$H173=""),"NeverLoggedOn ","")))</f>
        <v/>
      </c>
      <c r="AD173" s="60" t="n"/>
      <c r="AE173" s="61" t="n"/>
      <c r="AF173" s="60" t="n"/>
      <c r="AG173" s="62" t="n"/>
      <c r="AH173" s="62" t="n"/>
      <c r="AI173" s="62" t="n"/>
      <c r="AJ173" s="60" t="n"/>
      <c r="AK173" s="61" t="n"/>
      <c r="AL173" s="63">
        <f>IF($A173="","",IF(AH173="","Not Enrolled",IF(TODAY()&gt;AH173,"Review Overdue",IF(AH173-TODAY()&lt;=30,"Review Due Soon","Active"))))</f>
        <v/>
      </c>
      <c r="AM173" s="63">
        <f>IF($A173="","",IF(AI173="","NOT REVIEWED",IF(TODAY()-AI173&gt;90,"OVERDUE",IF(TODAY()-AI173&gt;76,"Due Soon","Current"))))</f>
        <v/>
      </c>
    </row>
    <row r="174" ht="15" customHeight="1" s="39">
      <c r="A174" s="60" t="n"/>
      <c r="B174" s="60" t="n"/>
      <c r="C174" s="61" t="n"/>
      <c r="D174" s="61" t="n"/>
      <c r="E174" s="60" t="n"/>
      <c r="F174" s="60" t="n"/>
      <c r="G174" s="62" t="n"/>
      <c r="H174" s="62" t="n"/>
      <c r="I174" s="62" t="n"/>
      <c r="J174" s="60" t="n"/>
      <c r="K174" s="60" t="n"/>
      <c r="L174" s="60" t="n"/>
      <c r="M174" s="61" t="n"/>
      <c r="N174" s="60" t="n"/>
      <c r="O174" s="60" t="n"/>
      <c r="P174" s="60" t="n"/>
      <c r="Q174" s="60" t="n"/>
      <c r="R174" s="60" t="n"/>
      <c r="S174" s="60" t="n"/>
      <c r="T174" s="60" t="n"/>
      <c r="U174" s="60" t="n"/>
      <c r="V174" s="60" t="n"/>
      <c r="W174" s="60" t="n"/>
      <c r="X174" s="60" t="n"/>
      <c r="Y174" s="60" t="n"/>
      <c r="Z174" s="61" t="n"/>
      <c r="AA174" s="63">
        <f>IF($H174="","",TODAY()-$H174)</f>
        <v/>
      </c>
      <c r="AB174" s="63">
        <f>IF($A174="","",IF(AND($F174="Yes",OR($U174="No",$U174="NOT FOUND")),"YES",""))</f>
        <v/>
      </c>
      <c r="AC174" s="66">
        <f>IF($A174="","",TRIM(IF(AND($P174=0,$L174&lt;&gt;"Yes"),"T0-NoSmartcard ","")&amp;IF(AND($J174&lt;&gt;"",$J174&gt;365),"StalePwd ","")&amp;IF($K174="Yes","PwdNeverExpires ","")&amp;IF(AND($S174&lt;&gt;"",$S174&lt;&gt;"None"),"Delegation ","")&amp;IF(AND($Q174=1,$O174="None"),"StaleAdminCount ","")&amp;IF(AND($F174="Yes",$H174=""),"NeverLoggedOn ","")))</f>
        <v/>
      </c>
      <c r="AD174" s="60" t="n"/>
      <c r="AE174" s="61" t="n"/>
      <c r="AF174" s="60" t="n"/>
      <c r="AG174" s="62" t="n"/>
      <c r="AH174" s="62" t="n"/>
      <c r="AI174" s="62" t="n"/>
      <c r="AJ174" s="60" t="n"/>
      <c r="AK174" s="61" t="n"/>
      <c r="AL174" s="63">
        <f>IF($A174="","",IF(AH174="","Not Enrolled",IF(TODAY()&gt;AH174,"Review Overdue",IF(AH174-TODAY()&lt;=30,"Review Due Soon","Active"))))</f>
        <v/>
      </c>
      <c r="AM174" s="63">
        <f>IF($A174="","",IF(AI174="","NOT REVIEWED",IF(TODAY()-AI174&gt;90,"OVERDUE",IF(TODAY()-AI174&gt;76,"Due Soon","Current"))))</f>
        <v/>
      </c>
    </row>
    <row r="175" ht="15" customHeight="1" s="39">
      <c r="A175" s="60" t="n"/>
      <c r="B175" s="60" t="n"/>
      <c r="C175" s="61" t="n"/>
      <c r="D175" s="61" t="n"/>
      <c r="E175" s="60" t="n"/>
      <c r="F175" s="60" t="n"/>
      <c r="G175" s="62" t="n"/>
      <c r="H175" s="62" t="n"/>
      <c r="I175" s="62" t="n"/>
      <c r="J175" s="60" t="n"/>
      <c r="K175" s="60" t="n"/>
      <c r="L175" s="60" t="n"/>
      <c r="M175" s="61" t="n"/>
      <c r="N175" s="60" t="n"/>
      <c r="O175" s="60" t="n"/>
      <c r="P175" s="60" t="n"/>
      <c r="Q175" s="60" t="n"/>
      <c r="R175" s="60" t="n"/>
      <c r="S175" s="60" t="n"/>
      <c r="T175" s="60" t="n"/>
      <c r="U175" s="60" t="n"/>
      <c r="V175" s="60" t="n"/>
      <c r="W175" s="60" t="n"/>
      <c r="X175" s="60" t="n"/>
      <c r="Y175" s="60" t="n"/>
      <c r="Z175" s="61" t="n"/>
      <c r="AA175" s="63">
        <f>IF($H175="","",TODAY()-$H175)</f>
        <v/>
      </c>
      <c r="AB175" s="63">
        <f>IF($A175="","",IF(AND($F175="Yes",OR($U175="No",$U175="NOT FOUND")),"YES",""))</f>
        <v/>
      </c>
      <c r="AC175" s="66">
        <f>IF($A175="","",TRIM(IF(AND($P175=0,$L175&lt;&gt;"Yes"),"T0-NoSmartcard ","")&amp;IF(AND($J175&lt;&gt;"",$J175&gt;365),"StalePwd ","")&amp;IF($K175="Yes","PwdNeverExpires ","")&amp;IF(AND($S175&lt;&gt;"",$S175&lt;&gt;"None"),"Delegation ","")&amp;IF(AND($Q175=1,$O175="None"),"StaleAdminCount ","")&amp;IF(AND($F175="Yes",$H175=""),"NeverLoggedOn ","")))</f>
        <v/>
      </c>
      <c r="AD175" s="60" t="n"/>
      <c r="AE175" s="61" t="n"/>
      <c r="AF175" s="60" t="n"/>
      <c r="AG175" s="62" t="n"/>
      <c r="AH175" s="62" t="n"/>
      <c r="AI175" s="62" t="n"/>
      <c r="AJ175" s="60" t="n"/>
      <c r="AK175" s="61" t="n"/>
      <c r="AL175" s="63">
        <f>IF($A175="","",IF(AH175="","Not Enrolled",IF(TODAY()&gt;AH175,"Review Overdue",IF(AH175-TODAY()&lt;=30,"Review Due Soon","Active"))))</f>
        <v/>
      </c>
      <c r="AM175" s="63">
        <f>IF($A175="","",IF(AI175="","NOT REVIEWED",IF(TODAY()-AI175&gt;90,"OVERDUE",IF(TODAY()-AI175&gt;76,"Due Soon","Current"))))</f>
        <v/>
      </c>
    </row>
    <row r="176" ht="15" customHeight="1" s="39">
      <c r="A176" s="60" t="n"/>
      <c r="B176" s="60" t="n"/>
      <c r="C176" s="61" t="n"/>
      <c r="D176" s="61" t="n"/>
      <c r="E176" s="60" t="n"/>
      <c r="F176" s="60" t="n"/>
      <c r="G176" s="62" t="n"/>
      <c r="H176" s="62" t="n"/>
      <c r="I176" s="62" t="n"/>
      <c r="J176" s="60" t="n"/>
      <c r="K176" s="60" t="n"/>
      <c r="L176" s="60" t="n"/>
      <c r="M176" s="61" t="n"/>
      <c r="N176" s="60" t="n"/>
      <c r="O176" s="60" t="n"/>
      <c r="P176" s="60" t="n"/>
      <c r="Q176" s="60" t="n"/>
      <c r="R176" s="60" t="n"/>
      <c r="S176" s="60" t="n"/>
      <c r="T176" s="60" t="n"/>
      <c r="U176" s="60" t="n"/>
      <c r="V176" s="60" t="n"/>
      <c r="W176" s="60" t="n"/>
      <c r="X176" s="60" t="n"/>
      <c r="Y176" s="60" t="n"/>
      <c r="Z176" s="61" t="n"/>
      <c r="AA176" s="63">
        <f>IF($H176="","",TODAY()-$H176)</f>
        <v/>
      </c>
      <c r="AB176" s="63">
        <f>IF($A176="","",IF(AND($F176="Yes",OR($U176="No",$U176="NOT FOUND")),"YES",""))</f>
        <v/>
      </c>
      <c r="AC176" s="66">
        <f>IF($A176="","",TRIM(IF(AND($P176=0,$L176&lt;&gt;"Yes"),"T0-NoSmartcard ","")&amp;IF(AND($J176&lt;&gt;"",$J176&gt;365),"StalePwd ","")&amp;IF($K176="Yes","PwdNeverExpires ","")&amp;IF(AND($S176&lt;&gt;"",$S176&lt;&gt;"None"),"Delegation ","")&amp;IF(AND($Q176=1,$O176="None"),"StaleAdminCount ","")&amp;IF(AND($F176="Yes",$H176=""),"NeverLoggedOn ","")))</f>
        <v/>
      </c>
      <c r="AD176" s="60" t="n"/>
      <c r="AE176" s="61" t="n"/>
      <c r="AF176" s="60" t="n"/>
      <c r="AG176" s="62" t="n"/>
      <c r="AH176" s="62" t="n"/>
      <c r="AI176" s="62" t="n"/>
      <c r="AJ176" s="60" t="n"/>
      <c r="AK176" s="61" t="n"/>
      <c r="AL176" s="63">
        <f>IF($A176="","",IF(AH176="","Not Enrolled",IF(TODAY()&gt;AH176,"Review Overdue",IF(AH176-TODAY()&lt;=30,"Review Due Soon","Active"))))</f>
        <v/>
      </c>
      <c r="AM176" s="63">
        <f>IF($A176="","",IF(AI176="","NOT REVIEWED",IF(TODAY()-AI176&gt;90,"OVERDUE",IF(TODAY()-AI176&gt;76,"Due Soon","Current"))))</f>
        <v/>
      </c>
    </row>
    <row r="177" ht="15" customHeight="1" s="39">
      <c r="A177" s="60" t="n"/>
      <c r="B177" s="60" t="n"/>
      <c r="C177" s="61" t="n"/>
      <c r="D177" s="61" t="n"/>
      <c r="E177" s="60" t="n"/>
      <c r="F177" s="60" t="n"/>
      <c r="G177" s="62" t="n"/>
      <c r="H177" s="62" t="n"/>
      <c r="I177" s="62" t="n"/>
      <c r="J177" s="60" t="n"/>
      <c r="K177" s="60" t="n"/>
      <c r="L177" s="60" t="n"/>
      <c r="M177" s="61" t="n"/>
      <c r="N177" s="60" t="n"/>
      <c r="O177" s="60" t="n"/>
      <c r="P177" s="60" t="n"/>
      <c r="Q177" s="60" t="n"/>
      <c r="R177" s="60" t="n"/>
      <c r="S177" s="60" t="n"/>
      <c r="T177" s="60" t="n"/>
      <c r="U177" s="60" t="n"/>
      <c r="V177" s="60" t="n"/>
      <c r="W177" s="60" t="n"/>
      <c r="X177" s="60" t="n"/>
      <c r="Y177" s="60" t="n"/>
      <c r="Z177" s="61" t="n"/>
      <c r="AA177" s="63">
        <f>IF($H177="","",TODAY()-$H177)</f>
        <v/>
      </c>
      <c r="AB177" s="63">
        <f>IF($A177="","",IF(AND($F177="Yes",OR($U177="No",$U177="NOT FOUND")),"YES",""))</f>
        <v/>
      </c>
      <c r="AC177" s="66">
        <f>IF($A177="","",TRIM(IF(AND($P177=0,$L177&lt;&gt;"Yes"),"T0-NoSmartcard ","")&amp;IF(AND($J177&lt;&gt;"",$J177&gt;365),"StalePwd ","")&amp;IF($K177="Yes","PwdNeverExpires ","")&amp;IF(AND($S177&lt;&gt;"",$S177&lt;&gt;"None"),"Delegation ","")&amp;IF(AND($Q177=1,$O177="None"),"StaleAdminCount ","")&amp;IF(AND($F177="Yes",$H177=""),"NeverLoggedOn ","")))</f>
        <v/>
      </c>
      <c r="AD177" s="60" t="n"/>
      <c r="AE177" s="61" t="n"/>
      <c r="AF177" s="60" t="n"/>
      <c r="AG177" s="62" t="n"/>
      <c r="AH177" s="62" t="n"/>
      <c r="AI177" s="62" t="n"/>
      <c r="AJ177" s="60" t="n"/>
      <c r="AK177" s="61" t="n"/>
      <c r="AL177" s="63">
        <f>IF($A177="","",IF(AH177="","Not Enrolled",IF(TODAY()&gt;AH177,"Review Overdue",IF(AH177-TODAY()&lt;=30,"Review Due Soon","Active"))))</f>
        <v/>
      </c>
      <c r="AM177" s="63">
        <f>IF($A177="","",IF(AI177="","NOT REVIEWED",IF(TODAY()-AI177&gt;90,"OVERDUE",IF(TODAY()-AI177&gt;76,"Due Soon","Current"))))</f>
        <v/>
      </c>
    </row>
    <row r="178" ht="15" customHeight="1" s="39">
      <c r="A178" s="60" t="n"/>
      <c r="B178" s="60" t="n"/>
      <c r="C178" s="61" t="n"/>
      <c r="D178" s="61" t="n"/>
      <c r="E178" s="60" t="n"/>
      <c r="F178" s="60" t="n"/>
      <c r="G178" s="62" t="n"/>
      <c r="H178" s="62" t="n"/>
      <c r="I178" s="62" t="n"/>
      <c r="J178" s="60" t="n"/>
      <c r="K178" s="60" t="n"/>
      <c r="L178" s="60" t="n"/>
      <c r="M178" s="61" t="n"/>
      <c r="N178" s="60" t="n"/>
      <c r="O178" s="60" t="n"/>
      <c r="P178" s="60" t="n"/>
      <c r="Q178" s="60" t="n"/>
      <c r="R178" s="60" t="n"/>
      <c r="S178" s="60" t="n"/>
      <c r="T178" s="60" t="n"/>
      <c r="U178" s="60" t="n"/>
      <c r="V178" s="60" t="n"/>
      <c r="W178" s="60" t="n"/>
      <c r="X178" s="60" t="n"/>
      <c r="Y178" s="60" t="n"/>
      <c r="Z178" s="61" t="n"/>
      <c r="AA178" s="63">
        <f>IF($H178="","",TODAY()-$H178)</f>
        <v/>
      </c>
      <c r="AB178" s="63">
        <f>IF($A178="","",IF(AND($F178="Yes",OR($U178="No",$U178="NOT FOUND")),"YES",""))</f>
        <v/>
      </c>
      <c r="AC178" s="66">
        <f>IF($A178="","",TRIM(IF(AND($P178=0,$L178&lt;&gt;"Yes"),"T0-NoSmartcard ","")&amp;IF(AND($J178&lt;&gt;"",$J178&gt;365),"StalePwd ","")&amp;IF($K178="Yes","PwdNeverExpires ","")&amp;IF(AND($S178&lt;&gt;"",$S178&lt;&gt;"None"),"Delegation ","")&amp;IF(AND($Q178=1,$O178="None"),"StaleAdminCount ","")&amp;IF(AND($F178="Yes",$H178=""),"NeverLoggedOn ","")))</f>
        <v/>
      </c>
      <c r="AD178" s="60" t="n"/>
      <c r="AE178" s="61" t="n"/>
      <c r="AF178" s="60" t="n"/>
      <c r="AG178" s="62" t="n"/>
      <c r="AH178" s="62" t="n"/>
      <c r="AI178" s="62" t="n"/>
      <c r="AJ178" s="60" t="n"/>
      <c r="AK178" s="61" t="n"/>
      <c r="AL178" s="63">
        <f>IF($A178="","",IF(AH178="","Not Enrolled",IF(TODAY()&gt;AH178,"Review Overdue",IF(AH178-TODAY()&lt;=30,"Review Due Soon","Active"))))</f>
        <v/>
      </c>
      <c r="AM178" s="63">
        <f>IF($A178="","",IF(AI178="","NOT REVIEWED",IF(TODAY()-AI178&gt;90,"OVERDUE",IF(TODAY()-AI178&gt;76,"Due Soon","Current"))))</f>
        <v/>
      </c>
    </row>
    <row r="179" ht="15" customHeight="1" s="39">
      <c r="A179" s="60" t="n"/>
      <c r="B179" s="60" t="n"/>
      <c r="C179" s="61" t="n"/>
      <c r="D179" s="61" t="n"/>
      <c r="E179" s="60" t="n"/>
      <c r="F179" s="60" t="n"/>
      <c r="G179" s="62" t="n"/>
      <c r="H179" s="62" t="n"/>
      <c r="I179" s="62" t="n"/>
      <c r="J179" s="60" t="n"/>
      <c r="K179" s="60" t="n"/>
      <c r="L179" s="60" t="n"/>
      <c r="M179" s="61" t="n"/>
      <c r="N179" s="60" t="n"/>
      <c r="O179" s="60" t="n"/>
      <c r="P179" s="60" t="n"/>
      <c r="Q179" s="60" t="n"/>
      <c r="R179" s="60" t="n"/>
      <c r="S179" s="60" t="n"/>
      <c r="T179" s="60" t="n"/>
      <c r="U179" s="60" t="n"/>
      <c r="V179" s="60" t="n"/>
      <c r="W179" s="60" t="n"/>
      <c r="X179" s="60" t="n"/>
      <c r="Y179" s="60" t="n"/>
      <c r="Z179" s="61" t="n"/>
      <c r="AA179" s="63">
        <f>IF($H179="","",TODAY()-$H179)</f>
        <v/>
      </c>
      <c r="AB179" s="63">
        <f>IF($A179="","",IF(AND($F179="Yes",OR($U179="No",$U179="NOT FOUND")),"YES",""))</f>
        <v/>
      </c>
      <c r="AC179" s="66">
        <f>IF($A179="","",TRIM(IF(AND($P179=0,$L179&lt;&gt;"Yes"),"T0-NoSmartcard ","")&amp;IF(AND($J179&lt;&gt;"",$J179&gt;365),"StalePwd ","")&amp;IF($K179="Yes","PwdNeverExpires ","")&amp;IF(AND($S179&lt;&gt;"",$S179&lt;&gt;"None"),"Delegation ","")&amp;IF(AND($Q179=1,$O179="None"),"StaleAdminCount ","")&amp;IF(AND($F179="Yes",$H179=""),"NeverLoggedOn ","")))</f>
        <v/>
      </c>
      <c r="AD179" s="60" t="n"/>
      <c r="AE179" s="61" t="n"/>
      <c r="AF179" s="60" t="n"/>
      <c r="AG179" s="62" t="n"/>
      <c r="AH179" s="62" t="n"/>
      <c r="AI179" s="62" t="n"/>
      <c r="AJ179" s="60" t="n"/>
      <c r="AK179" s="61" t="n"/>
      <c r="AL179" s="63">
        <f>IF($A179="","",IF(AH179="","Not Enrolled",IF(TODAY()&gt;AH179,"Review Overdue",IF(AH179-TODAY()&lt;=30,"Review Due Soon","Active"))))</f>
        <v/>
      </c>
      <c r="AM179" s="63">
        <f>IF($A179="","",IF(AI179="","NOT REVIEWED",IF(TODAY()-AI179&gt;90,"OVERDUE",IF(TODAY()-AI179&gt;76,"Due Soon","Current"))))</f>
        <v/>
      </c>
    </row>
    <row r="180" ht="15" customHeight="1" s="39">
      <c r="A180" s="60" t="n"/>
      <c r="B180" s="60" t="n"/>
      <c r="C180" s="61" t="n"/>
      <c r="D180" s="61" t="n"/>
      <c r="E180" s="60" t="n"/>
      <c r="F180" s="60" t="n"/>
      <c r="G180" s="62" t="n"/>
      <c r="H180" s="62" t="n"/>
      <c r="I180" s="62" t="n"/>
      <c r="J180" s="60" t="n"/>
      <c r="K180" s="60" t="n"/>
      <c r="L180" s="60" t="n"/>
      <c r="M180" s="61" t="n"/>
      <c r="N180" s="60" t="n"/>
      <c r="O180" s="60" t="n"/>
      <c r="P180" s="60" t="n"/>
      <c r="Q180" s="60" t="n"/>
      <c r="R180" s="60" t="n"/>
      <c r="S180" s="60" t="n"/>
      <c r="T180" s="60" t="n"/>
      <c r="U180" s="60" t="n"/>
      <c r="V180" s="60" t="n"/>
      <c r="W180" s="60" t="n"/>
      <c r="X180" s="60" t="n"/>
      <c r="Y180" s="60" t="n"/>
      <c r="Z180" s="61" t="n"/>
      <c r="AA180" s="63">
        <f>IF($H180="","",TODAY()-$H180)</f>
        <v/>
      </c>
      <c r="AB180" s="63">
        <f>IF($A180="","",IF(AND($F180="Yes",OR($U180="No",$U180="NOT FOUND")),"YES",""))</f>
        <v/>
      </c>
      <c r="AC180" s="66">
        <f>IF($A180="","",TRIM(IF(AND($P180=0,$L180&lt;&gt;"Yes"),"T0-NoSmartcard ","")&amp;IF(AND($J180&lt;&gt;"",$J180&gt;365),"StalePwd ","")&amp;IF($K180="Yes","PwdNeverExpires ","")&amp;IF(AND($S180&lt;&gt;"",$S180&lt;&gt;"None"),"Delegation ","")&amp;IF(AND($Q180=1,$O180="None"),"StaleAdminCount ","")&amp;IF(AND($F180="Yes",$H180=""),"NeverLoggedOn ","")))</f>
        <v/>
      </c>
      <c r="AD180" s="60" t="n"/>
      <c r="AE180" s="61" t="n"/>
      <c r="AF180" s="60" t="n"/>
      <c r="AG180" s="62" t="n"/>
      <c r="AH180" s="62" t="n"/>
      <c r="AI180" s="62" t="n"/>
      <c r="AJ180" s="60" t="n"/>
      <c r="AK180" s="61" t="n"/>
      <c r="AL180" s="63">
        <f>IF($A180="","",IF(AH180="","Not Enrolled",IF(TODAY()&gt;AH180,"Review Overdue",IF(AH180-TODAY()&lt;=30,"Review Due Soon","Active"))))</f>
        <v/>
      </c>
      <c r="AM180" s="63">
        <f>IF($A180="","",IF(AI180="","NOT REVIEWED",IF(TODAY()-AI180&gt;90,"OVERDUE",IF(TODAY()-AI180&gt;76,"Due Soon","Current"))))</f>
        <v/>
      </c>
    </row>
    <row r="181" ht="15" customHeight="1" s="39">
      <c r="A181" s="60" t="n"/>
      <c r="B181" s="60" t="n"/>
      <c r="C181" s="61" t="n"/>
      <c r="D181" s="61" t="n"/>
      <c r="E181" s="60" t="n"/>
      <c r="F181" s="60" t="n"/>
      <c r="G181" s="62" t="n"/>
      <c r="H181" s="62" t="n"/>
      <c r="I181" s="62" t="n"/>
      <c r="J181" s="60" t="n"/>
      <c r="K181" s="60" t="n"/>
      <c r="L181" s="60" t="n"/>
      <c r="M181" s="61" t="n"/>
      <c r="N181" s="60" t="n"/>
      <c r="O181" s="60" t="n"/>
      <c r="P181" s="60" t="n"/>
      <c r="Q181" s="60" t="n"/>
      <c r="R181" s="60" t="n"/>
      <c r="S181" s="60" t="n"/>
      <c r="T181" s="60" t="n"/>
      <c r="U181" s="60" t="n"/>
      <c r="V181" s="60" t="n"/>
      <c r="W181" s="60" t="n"/>
      <c r="X181" s="60" t="n"/>
      <c r="Y181" s="60" t="n"/>
      <c r="Z181" s="61" t="n"/>
      <c r="AA181" s="63">
        <f>IF($H181="","",TODAY()-$H181)</f>
        <v/>
      </c>
      <c r="AB181" s="63">
        <f>IF($A181="","",IF(AND($F181="Yes",OR($U181="No",$U181="NOT FOUND")),"YES",""))</f>
        <v/>
      </c>
      <c r="AC181" s="66">
        <f>IF($A181="","",TRIM(IF(AND($P181=0,$L181&lt;&gt;"Yes"),"T0-NoSmartcard ","")&amp;IF(AND($J181&lt;&gt;"",$J181&gt;365),"StalePwd ","")&amp;IF($K181="Yes","PwdNeverExpires ","")&amp;IF(AND($S181&lt;&gt;"",$S181&lt;&gt;"None"),"Delegation ","")&amp;IF(AND($Q181=1,$O181="None"),"StaleAdminCount ","")&amp;IF(AND($F181="Yes",$H181=""),"NeverLoggedOn ","")))</f>
        <v/>
      </c>
      <c r="AD181" s="60" t="n"/>
      <c r="AE181" s="61" t="n"/>
      <c r="AF181" s="60" t="n"/>
      <c r="AG181" s="62" t="n"/>
      <c r="AH181" s="62" t="n"/>
      <c r="AI181" s="62" t="n"/>
      <c r="AJ181" s="60" t="n"/>
      <c r="AK181" s="61" t="n"/>
      <c r="AL181" s="63">
        <f>IF($A181="","",IF(AH181="","Not Enrolled",IF(TODAY()&gt;AH181,"Review Overdue",IF(AH181-TODAY()&lt;=30,"Review Due Soon","Active"))))</f>
        <v/>
      </c>
      <c r="AM181" s="63">
        <f>IF($A181="","",IF(AI181="","NOT REVIEWED",IF(TODAY()-AI181&gt;90,"OVERDUE",IF(TODAY()-AI181&gt;76,"Due Soon","Current"))))</f>
        <v/>
      </c>
    </row>
    <row r="182" ht="15" customHeight="1" s="39">
      <c r="A182" s="60" t="n"/>
      <c r="B182" s="60" t="n"/>
      <c r="C182" s="61" t="n"/>
      <c r="D182" s="61" t="n"/>
      <c r="E182" s="60" t="n"/>
      <c r="F182" s="60" t="n"/>
      <c r="G182" s="62" t="n"/>
      <c r="H182" s="62" t="n"/>
      <c r="I182" s="62" t="n"/>
      <c r="J182" s="60" t="n"/>
      <c r="K182" s="60" t="n"/>
      <c r="L182" s="60" t="n"/>
      <c r="M182" s="61" t="n"/>
      <c r="N182" s="60" t="n"/>
      <c r="O182" s="60" t="n"/>
      <c r="P182" s="60" t="n"/>
      <c r="Q182" s="60" t="n"/>
      <c r="R182" s="60" t="n"/>
      <c r="S182" s="60" t="n"/>
      <c r="T182" s="60" t="n"/>
      <c r="U182" s="60" t="n"/>
      <c r="V182" s="60" t="n"/>
      <c r="W182" s="60" t="n"/>
      <c r="X182" s="60" t="n"/>
      <c r="Y182" s="60" t="n"/>
      <c r="Z182" s="61" t="n"/>
      <c r="AA182" s="63">
        <f>IF($H182="","",TODAY()-$H182)</f>
        <v/>
      </c>
      <c r="AB182" s="63">
        <f>IF($A182="","",IF(AND($F182="Yes",OR($U182="No",$U182="NOT FOUND")),"YES",""))</f>
        <v/>
      </c>
      <c r="AC182" s="66">
        <f>IF($A182="","",TRIM(IF(AND($P182=0,$L182&lt;&gt;"Yes"),"T0-NoSmartcard ","")&amp;IF(AND($J182&lt;&gt;"",$J182&gt;365),"StalePwd ","")&amp;IF($K182="Yes","PwdNeverExpires ","")&amp;IF(AND($S182&lt;&gt;"",$S182&lt;&gt;"None"),"Delegation ","")&amp;IF(AND($Q182=1,$O182="None"),"StaleAdminCount ","")&amp;IF(AND($F182="Yes",$H182=""),"NeverLoggedOn ","")))</f>
        <v/>
      </c>
      <c r="AD182" s="60" t="n"/>
      <c r="AE182" s="61" t="n"/>
      <c r="AF182" s="60" t="n"/>
      <c r="AG182" s="62" t="n"/>
      <c r="AH182" s="62" t="n"/>
      <c r="AI182" s="62" t="n"/>
      <c r="AJ182" s="60" t="n"/>
      <c r="AK182" s="61" t="n"/>
      <c r="AL182" s="63">
        <f>IF($A182="","",IF(AH182="","Not Enrolled",IF(TODAY()&gt;AH182,"Review Overdue",IF(AH182-TODAY()&lt;=30,"Review Due Soon","Active"))))</f>
        <v/>
      </c>
      <c r="AM182" s="63">
        <f>IF($A182="","",IF(AI182="","NOT REVIEWED",IF(TODAY()-AI182&gt;90,"OVERDUE",IF(TODAY()-AI182&gt;76,"Due Soon","Current"))))</f>
        <v/>
      </c>
    </row>
    <row r="183" ht="15" customHeight="1" s="39">
      <c r="A183" s="60" t="n"/>
      <c r="B183" s="60" t="n"/>
      <c r="C183" s="61" t="n"/>
      <c r="D183" s="61" t="n"/>
      <c r="E183" s="60" t="n"/>
      <c r="F183" s="60" t="n"/>
      <c r="G183" s="62" t="n"/>
      <c r="H183" s="62" t="n"/>
      <c r="I183" s="62" t="n"/>
      <c r="J183" s="60" t="n"/>
      <c r="K183" s="60" t="n"/>
      <c r="L183" s="60" t="n"/>
      <c r="M183" s="61" t="n"/>
      <c r="N183" s="60" t="n"/>
      <c r="O183" s="60" t="n"/>
      <c r="P183" s="60" t="n"/>
      <c r="Q183" s="60" t="n"/>
      <c r="R183" s="60" t="n"/>
      <c r="S183" s="60" t="n"/>
      <c r="T183" s="60" t="n"/>
      <c r="U183" s="60" t="n"/>
      <c r="V183" s="60" t="n"/>
      <c r="W183" s="60" t="n"/>
      <c r="X183" s="60" t="n"/>
      <c r="Y183" s="60" t="n"/>
      <c r="Z183" s="61" t="n"/>
      <c r="AA183" s="63">
        <f>IF($H183="","",TODAY()-$H183)</f>
        <v/>
      </c>
      <c r="AB183" s="63">
        <f>IF($A183="","",IF(AND($F183="Yes",OR($U183="No",$U183="NOT FOUND")),"YES",""))</f>
        <v/>
      </c>
      <c r="AC183" s="66">
        <f>IF($A183="","",TRIM(IF(AND($P183=0,$L183&lt;&gt;"Yes"),"T0-NoSmartcard ","")&amp;IF(AND($J183&lt;&gt;"",$J183&gt;365),"StalePwd ","")&amp;IF($K183="Yes","PwdNeverExpires ","")&amp;IF(AND($S183&lt;&gt;"",$S183&lt;&gt;"None"),"Delegation ","")&amp;IF(AND($Q183=1,$O183="None"),"StaleAdminCount ","")&amp;IF(AND($F183="Yes",$H183=""),"NeverLoggedOn ","")))</f>
        <v/>
      </c>
      <c r="AD183" s="60" t="n"/>
      <c r="AE183" s="61" t="n"/>
      <c r="AF183" s="60" t="n"/>
      <c r="AG183" s="62" t="n"/>
      <c r="AH183" s="62" t="n"/>
      <c r="AI183" s="62" t="n"/>
      <c r="AJ183" s="60" t="n"/>
      <c r="AK183" s="61" t="n"/>
      <c r="AL183" s="63">
        <f>IF($A183="","",IF(AH183="","Not Enrolled",IF(TODAY()&gt;AH183,"Review Overdue",IF(AH183-TODAY()&lt;=30,"Review Due Soon","Active"))))</f>
        <v/>
      </c>
      <c r="AM183" s="63">
        <f>IF($A183="","",IF(AI183="","NOT REVIEWED",IF(TODAY()-AI183&gt;90,"OVERDUE",IF(TODAY()-AI183&gt;76,"Due Soon","Current"))))</f>
        <v/>
      </c>
    </row>
    <row r="184" ht="15" customHeight="1" s="39">
      <c r="A184" s="60" t="n"/>
      <c r="B184" s="60" t="n"/>
      <c r="C184" s="61" t="n"/>
      <c r="D184" s="61" t="n"/>
      <c r="E184" s="60" t="n"/>
      <c r="F184" s="60" t="n"/>
      <c r="G184" s="62" t="n"/>
      <c r="H184" s="62" t="n"/>
      <c r="I184" s="62" t="n"/>
      <c r="J184" s="60" t="n"/>
      <c r="K184" s="60" t="n"/>
      <c r="L184" s="60" t="n"/>
      <c r="M184" s="61" t="n"/>
      <c r="N184" s="60" t="n"/>
      <c r="O184" s="60" t="n"/>
      <c r="P184" s="60" t="n"/>
      <c r="Q184" s="60" t="n"/>
      <c r="R184" s="60" t="n"/>
      <c r="S184" s="60" t="n"/>
      <c r="T184" s="60" t="n"/>
      <c r="U184" s="60" t="n"/>
      <c r="V184" s="60" t="n"/>
      <c r="W184" s="60" t="n"/>
      <c r="X184" s="60" t="n"/>
      <c r="Y184" s="60" t="n"/>
      <c r="Z184" s="61" t="n"/>
      <c r="AA184" s="63">
        <f>IF($H184="","",TODAY()-$H184)</f>
        <v/>
      </c>
      <c r="AB184" s="63">
        <f>IF($A184="","",IF(AND($F184="Yes",OR($U184="No",$U184="NOT FOUND")),"YES",""))</f>
        <v/>
      </c>
      <c r="AC184" s="66">
        <f>IF($A184="","",TRIM(IF(AND($P184=0,$L184&lt;&gt;"Yes"),"T0-NoSmartcard ","")&amp;IF(AND($J184&lt;&gt;"",$J184&gt;365),"StalePwd ","")&amp;IF($K184="Yes","PwdNeverExpires ","")&amp;IF(AND($S184&lt;&gt;"",$S184&lt;&gt;"None"),"Delegation ","")&amp;IF(AND($Q184=1,$O184="None"),"StaleAdminCount ","")&amp;IF(AND($F184="Yes",$H184=""),"NeverLoggedOn ","")))</f>
        <v/>
      </c>
      <c r="AD184" s="60" t="n"/>
      <c r="AE184" s="61" t="n"/>
      <c r="AF184" s="60" t="n"/>
      <c r="AG184" s="62" t="n"/>
      <c r="AH184" s="62" t="n"/>
      <c r="AI184" s="62" t="n"/>
      <c r="AJ184" s="60" t="n"/>
      <c r="AK184" s="61" t="n"/>
      <c r="AL184" s="63">
        <f>IF($A184="","",IF(AH184="","Not Enrolled",IF(TODAY()&gt;AH184,"Review Overdue",IF(AH184-TODAY()&lt;=30,"Review Due Soon","Active"))))</f>
        <v/>
      </c>
      <c r="AM184" s="63">
        <f>IF($A184="","",IF(AI184="","NOT REVIEWED",IF(TODAY()-AI184&gt;90,"OVERDUE",IF(TODAY()-AI184&gt;76,"Due Soon","Current"))))</f>
        <v/>
      </c>
    </row>
    <row r="185" ht="15" customHeight="1" s="39">
      <c r="A185" s="60" t="n"/>
      <c r="B185" s="60" t="n"/>
      <c r="C185" s="61" t="n"/>
      <c r="D185" s="61" t="n"/>
      <c r="E185" s="60" t="n"/>
      <c r="F185" s="60" t="n"/>
      <c r="G185" s="62" t="n"/>
      <c r="H185" s="62" t="n"/>
      <c r="I185" s="62" t="n"/>
      <c r="J185" s="60" t="n"/>
      <c r="K185" s="60" t="n"/>
      <c r="L185" s="60" t="n"/>
      <c r="M185" s="61" t="n"/>
      <c r="N185" s="60" t="n"/>
      <c r="O185" s="60" t="n"/>
      <c r="P185" s="60" t="n"/>
      <c r="Q185" s="60" t="n"/>
      <c r="R185" s="60" t="n"/>
      <c r="S185" s="60" t="n"/>
      <c r="T185" s="60" t="n"/>
      <c r="U185" s="60" t="n"/>
      <c r="V185" s="60" t="n"/>
      <c r="W185" s="60" t="n"/>
      <c r="X185" s="60" t="n"/>
      <c r="Y185" s="60" t="n"/>
      <c r="Z185" s="61" t="n"/>
      <c r="AA185" s="63">
        <f>IF($H185="","",TODAY()-$H185)</f>
        <v/>
      </c>
      <c r="AB185" s="63">
        <f>IF($A185="","",IF(AND($F185="Yes",OR($U185="No",$U185="NOT FOUND")),"YES",""))</f>
        <v/>
      </c>
      <c r="AC185" s="66">
        <f>IF($A185="","",TRIM(IF(AND($P185=0,$L185&lt;&gt;"Yes"),"T0-NoSmartcard ","")&amp;IF(AND($J185&lt;&gt;"",$J185&gt;365),"StalePwd ","")&amp;IF($K185="Yes","PwdNeverExpires ","")&amp;IF(AND($S185&lt;&gt;"",$S185&lt;&gt;"None"),"Delegation ","")&amp;IF(AND($Q185=1,$O185="None"),"StaleAdminCount ","")&amp;IF(AND($F185="Yes",$H185=""),"NeverLoggedOn ","")))</f>
        <v/>
      </c>
      <c r="AD185" s="60" t="n"/>
      <c r="AE185" s="61" t="n"/>
      <c r="AF185" s="60" t="n"/>
      <c r="AG185" s="62" t="n"/>
      <c r="AH185" s="62" t="n"/>
      <c r="AI185" s="62" t="n"/>
      <c r="AJ185" s="60" t="n"/>
      <c r="AK185" s="61" t="n"/>
      <c r="AL185" s="63">
        <f>IF($A185="","",IF(AH185="","Not Enrolled",IF(TODAY()&gt;AH185,"Review Overdue",IF(AH185-TODAY()&lt;=30,"Review Due Soon","Active"))))</f>
        <v/>
      </c>
      <c r="AM185" s="63">
        <f>IF($A185="","",IF(AI185="","NOT REVIEWED",IF(TODAY()-AI185&gt;90,"OVERDUE",IF(TODAY()-AI185&gt;76,"Due Soon","Current"))))</f>
        <v/>
      </c>
    </row>
    <row r="186" ht="15" customHeight="1" s="39">
      <c r="A186" s="60" t="n"/>
      <c r="B186" s="60" t="n"/>
      <c r="C186" s="61" t="n"/>
      <c r="D186" s="61" t="n"/>
      <c r="E186" s="60" t="n"/>
      <c r="F186" s="60" t="n"/>
      <c r="G186" s="62" t="n"/>
      <c r="H186" s="62" t="n"/>
      <c r="I186" s="62" t="n"/>
      <c r="J186" s="60" t="n"/>
      <c r="K186" s="60" t="n"/>
      <c r="L186" s="60" t="n"/>
      <c r="M186" s="61" t="n"/>
      <c r="N186" s="60" t="n"/>
      <c r="O186" s="60" t="n"/>
      <c r="P186" s="60" t="n"/>
      <c r="Q186" s="60" t="n"/>
      <c r="R186" s="60" t="n"/>
      <c r="S186" s="60" t="n"/>
      <c r="T186" s="60" t="n"/>
      <c r="U186" s="60" t="n"/>
      <c r="V186" s="60" t="n"/>
      <c r="W186" s="60" t="n"/>
      <c r="X186" s="60" t="n"/>
      <c r="Y186" s="60" t="n"/>
      <c r="Z186" s="61" t="n"/>
      <c r="AA186" s="63">
        <f>IF($H186="","",TODAY()-$H186)</f>
        <v/>
      </c>
      <c r="AB186" s="63">
        <f>IF($A186="","",IF(AND($F186="Yes",OR($U186="No",$U186="NOT FOUND")),"YES",""))</f>
        <v/>
      </c>
      <c r="AC186" s="66">
        <f>IF($A186="","",TRIM(IF(AND($P186=0,$L186&lt;&gt;"Yes"),"T0-NoSmartcard ","")&amp;IF(AND($J186&lt;&gt;"",$J186&gt;365),"StalePwd ","")&amp;IF($K186="Yes","PwdNeverExpires ","")&amp;IF(AND($S186&lt;&gt;"",$S186&lt;&gt;"None"),"Delegation ","")&amp;IF(AND($Q186=1,$O186="None"),"StaleAdminCount ","")&amp;IF(AND($F186="Yes",$H186=""),"NeverLoggedOn ","")))</f>
        <v/>
      </c>
      <c r="AD186" s="60" t="n"/>
      <c r="AE186" s="61" t="n"/>
      <c r="AF186" s="60" t="n"/>
      <c r="AG186" s="62" t="n"/>
      <c r="AH186" s="62" t="n"/>
      <c r="AI186" s="62" t="n"/>
      <c r="AJ186" s="60" t="n"/>
      <c r="AK186" s="61" t="n"/>
      <c r="AL186" s="63">
        <f>IF($A186="","",IF(AH186="","Not Enrolled",IF(TODAY()&gt;AH186,"Review Overdue",IF(AH186-TODAY()&lt;=30,"Review Due Soon","Active"))))</f>
        <v/>
      </c>
      <c r="AM186" s="63">
        <f>IF($A186="","",IF(AI186="","NOT REVIEWED",IF(TODAY()-AI186&gt;90,"OVERDUE",IF(TODAY()-AI186&gt;76,"Due Soon","Current"))))</f>
        <v/>
      </c>
    </row>
    <row r="187" ht="15" customHeight="1" s="39">
      <c r="A187" s="60" t="n"/>
      <c r="B187" s="60" t="n"/>
      <c r="C187" s="61" t="n"/>
      <c r="D187" s="61" t="n"/>
      <c r="E187" s="60" t="n"/>
      <c r="F187" s="60" t="n"/>
      <c r="G187" s="62" t="n"/>
      <c r="H187" s="62" t="n"/>
      <c r="I187" s="62" t="n"/>
      <c r="J187" s="60" t="n"/>
      <c r="K187" s="60" t="n"/>
      <c r="L187" s="60" t="n"/>
      <c r="M187" s="61" t="n"/>
      <c r="N187" s="60" t="n"/>
      <c r="O187" s="60" t="n"/>
      <c r="P187" s="60" t="n"/>
      <c r="Q187" s="60" t="n"/>
      <c r="R187" s="60" t="n"/>
      <c r="S187" s="60" t="n"/>
      <c r="T187" s="60" t="n"/>
      <c r="U187" s="60" t="n"/>
      <c r="V187" s="60" t="n"/>
      <c r="W187" s="60" t="n"/>
      <c r="X187" s="60" t="n"/>
      <c r="Y187" s="60" t="n"/>
      <c r="Z187" s="61" t="n"/>
      <c r="AA187" s="63">
        <f>IF($H187="","",TODAY()-$H187)</f>
        <v/>
      </c>
      <c r="AB187" s="63">
        <f>IF($A187="","",IF(AND($F187="Yes",OR($U187="No",$U187="NOT FOUND")),"YES",""))</f>
        <v/>
      </c>
      <c r="AC187" s="66">
        <f>IF($A187="","",TRIM(IF(AND($P187=0,$L187&lt;&gt;"Yes"),"T0-NoSmartcard ","")&amp;IF(AND($J187&lt;&gt;"",$J187&gt;365),"StalePwd ","")&amp;IF($K187="Yes","PwdNeverExpires ","")&amp;IF(AND($S187&lt;&gt;"",$S187&lt;&gt;"None"),"Delegation ","")&amp;IF(AND($Q187=1,$O187="None"),"StaleAdminCount ","")&amp;IF(AND($F187="Yes",$H187=""),"NeverLoggedOn ","")))</f>
        <v/>
      </c>
      <c r="AD187" s="60" t="n"/>
      <c r="AE187" s="61" t="n"/>
      <c r="AF187" s="60" t="n"/>
      <c r="AG187" s="62" t="n"/>
      <c r="AH187" s="62" t="n"/>
      <c r="AI187" s="62" t="n"/>
      <c r="AJ187" s="60" t="n"/>
      <c r="AK187" s="61" t="n"/>
      <c r="AL187" s="63">
        <f>IF($A187="","",IF(AH187="","Not Enrolled",IF(TODAY()&gt;AH187,"Review Overdue",IF(AH187-TODAY()&lt;=30,"Review Due Soon","Active"))))</f>
        <v/>
      </c>
      <c r="AM187" s="63">
        <f>IF($A187="","",IF(AI187="","NOT REVIEWED",IF(TODAY()-AI187&gt;90,"OVERDUE",IF(TODAY()-AI187&gt;76,"Due Soon","Current"))))</f>
        <v/>
      </c>
    </row>
    <row r="188" ht="15" customHeight="1" s="39">
      <c r="A188" s="60" t="n"/>
      <c r="B188" s="60" t="n"/>
      <c r="C188" s="61" t="n"/>
      <c r="D188" s="61" t="n"/>
      <c r="E188" s="60" t="n"/>
      <c r="F188" s="60" t="n"/>
      <c r="G188" s="62" t="n"/>
      <c r="H188" s="62" t="n"/>
      <c r="I188" s="62" t="n"/>
      <c r="J188" s="60" t="n"/>
      <c r="K188" s="60" t="n"/>
      <c r="L188" s="60" t="n"/>
      <c r="M188" s="61" t="n"/>
      <c r="N188" s="60" t="n"/>
      <c r="O188" s="60" t="n"/>
      <c r="P188" s="60" t="n"/>
      <c r="Q188" s="60" t="n"/>
      <c r="R188" s="60" t="n"/>
      <c r="S188" s="60" t="n"/>
      <c r="T188" s="60" t="n"/>
      <c r="U188" s="60" t="n"/>
      <c r="V188" s="60" t="n"/>
      <c r="W188" s="60" t="n"/>
      <c r="X188" s="60" t="n"/>
      <c r="Y188" s="60" t="n"/>
      <c r="Z188" s="61" t="n"/>
      <c r="AA188" s="63">
        <f>IF($H188="","",TODAY()-$H188)</f>
        <v/>
      </c>
      <c r="AB188" s="63">
        <f>IF($A188="","",IF(AND($F188="Yes",OR($U188="No",$U188="NOT FOUND")),"YES",""))</f>
        <v/>
      </c>
      <c r="AC188" s="66">
        <f>IF($A188="","",TRIM(IF(AND($P188=0,$L188&lt;&gt;"Yes"),"T0-NoSmartcard ","")&amp;IF(AND($J188&lt;&gt;"",$J188&gt;365),"StalePwd ","")&amp;IF($K188="Yes","PwdNeverExpires ","")&amp;IF(AND($S188&lt;&gt;"",$S188&lt;&gt;"None"),"Delegation ","")&amp;IF(AND($Q188=1,$O188="None"),"StaleAdminCount ","")&amp;IF(AND($F188="Yes",$H188=""),"NeverLoggedOn ","")))</f>
        <v/>
      </c>
      <c r="AD188" s="60" t="n"/>
      <c r="AE188" s="61" t="n"/>
      <c r="AF188" s="60" t="n"/>
      <c r="AG188" s="62" t="n"/>
      <c r="AH188" s="62" t="n"/>
      <c r="AI188" s="62" t="n"/>
      <c r="AJ188" s="60" t="n"/>
      <c r="AK188" s="61" t="n"/>
      <c r="AL188" s="63">
        <f>IF($A188="","",IF(AH188="","Not Enrolled",IF(TODAY()&gt;AH188,"Review Overdue",IF(AH188-TODAY()&lt;=30,"Review Due Soon","Active"))))</f>
        <v/>
      </c>
      <c r="AM188" s="63">
        <f>IF($A188="","",IF(AI188="","NOT REVIEWED",IF(TODAY()-AI188&gt;90,"OVERDUE",IF(TODAY()-AI188&gt;76,"Due Soon","Current"))))</f>
        <v/>
      </c>
    </row>
    <row r="189" ht="15" customHeight="1" s="39">
      <c r="A189" s="60" t="n"/>
      <c r="B189" s="60" t="n"/>
      <c r="C189" s="61" t="n"/>
      <c r="D189" s="61" t="n"/>
      <c r="E189" s="60" t="n"/>
      <c r="F189" s="60" t="n"/>
      <c r="G189" s="62" t="n"/>
      <c r="H189" s="62" t="n"/>
      <c r="I189" s="62" t="n"/>
      <c r="J189" s="60" t="n"/>
      <c r="K189" s="60" t="n"/>
      <c r="L189" s="60" t="n"/>
      <c r="M189" s="61" t="n"/>
      <c r="N189" s="60" t="n"/>
      <c r="O189" s="60" t="n"/>
      <c r="P189" s="60" t="n"/>
      <c r="Q189" s="60" t="n"/>
      <c r="R189" s="60" t="n"/>
      <c r="S189" s="60" t="n"/>
      <c r="T189" s="60" t="n"/>
      <c r="U189" s="60" t="n"/>
      <c r="V189" s="60" t="n"/>
      <c r="W189" s="60" t="n"/>
      <c r="X189" s="60" t="n"/>
      <c r="Y189" s="60" t="n"/>
      <c r="Z189" s="61" t="n"/>
      <c r="AA189" s="63">
        <f>IF($H189="","",TODAY()-$H189)</f>
        <v/>
      </c>
      <c r="AB189" s="63">
        <f>IF($A189="","",IF(AND($F189="Yes",OR($U189="No",$U189="NOT FOUND")),"YES",""))</f>
        <v/>
      </c>
      <c r="AC189" s="66">
        <f>IF($A189="","",TRIM(IF(AND($P189=0,$L189&lt;&gt;"Yes"),"T0-NoSmartcard ","")&amp;IF(AND($J189&lt;&gt;"",$J189&gt;365),"StalePwd ","")&amp;IF($K189="Yes","PwdNeverExpires ","")&amp;IF(AND($S189&lt;&gt;"",$S189&lt;&gt;"None"),"Delegation ","")&amp;IF(AND($Q189=1,$O189="None"),"StaleAdminCount ","")&amp;IF(AND($F189="Yes",$H189=""),"NeverLoggedOn ","")))</f>
        <v/>
      </c>
      <c r="AD189" s="60" t="n"/>
      <c r="AE189" s="61" t="n"/>
      <c r="AF189" s="60" t="n"/>
      <c r="AG189" s="62" t="n"/>
      <c r="AH189" s="62" t="n"/>
      <c r="AI189" s="62" t="n"/>
      <c r="AJ189" s="60" t="n"/>
      <c r="AK189" s="61" t="n"/>
      <c r="AL189" s="63">
        <f>IF($A189="","",IF(AH189="","Not Enrolled",IF(TODAY()&gt;AH189,"Review Overdue",IF(AH189-TODAY()&lt;=30,"Review Due Soon","Active"))))</f>
        <v/>
      </c>
      <c r="AM189" s="63">
        <f>IF($A189="","",IF(AI189="","NOT REVIEWED",IF(TODAY()-AI189&gt;90,"OVERDUE",IF(TODAY()-AI189&gt;76,"Due Soon","Current"))))</f>
        <v/>
      </c>
    </row>
    <row r="190" ht="15" customHeight="1" s="39">
      <c r="A190" s="60" t="n"/>
      <c r="B190" s="60" t="n"/>
      <c r="C190" s="61" t="n"/>
      <c r="D190" s="61" t="n"/>
      <c r="E190" s="60" t="n"/>
      <c r="F190" s="60" t="n"/>
      <c r="G190" s="62" t="n"/>
      <c r="H190" s="62" t="n"/>
      <c r="I190" s="62" t="n"/>
      <c r="J190" s="60" t="n"/>
      <c r="K190" s="60" t="n"/>
      <c r="L190" s="60" t="n"/>
      <c r="M190" s="61" t="n"/>
      <c r="N190" s="60" t="n"/>
      <c r="O190" s="60" t="n"/>
      <c r="P190" s="60" t="n"/>
      <c r="Q190" s="60" t="n"/>
      <c r="R190" s="60" t="n"/>
      <c r="S190" s="60" t="n"/>
      <c r="T190" s="60" t="n"/>
      <c r="U190" s="60" t="n"/>
      <c r="V190" s="60" t="n"/>
      <c r="W190" s="60" t="n"/>
      <c r="X190" s="60" t="n"/>
      <c r="Y190" s="60" t="n"/>
      <c r="Z190" s="61" t="n"/>
      <c r="AA190" s="63">
        <f>IF($H190="","",TODAY()-$H190)</f>
        <v/>
      </c>
      <c r="AB190" s="63">
        <f>IF($A190="","",IF(AND($F190="Yes",OR($U190="No",$U190="NOT FOUND")),"YES",""))</f>
        <v/>
      </c>
      <c r="AC190" s="66">
        <f>IF($A190="","",TRIM(IF(AND($P190=0,$L190&lt;&gt;"Yes"),"T0-NoSmartcard ","")&amp;IF(AND($J190&lt;&gt;"",$J190&gt;365),"StalePwd ","")&amp;IF($K190="Yes","PwdNeverExpires ","")&amp;IF(AND($S190&lt;&gt;"",$S190&lt;&gt;"None"),"Delegation ","")&amp;IF(AND($Q190=1,$O190="None"),"StaleAdminCount ","")&amp;IF(AND($F190="Yes",$H190=""),"NeverLoggedOn ","")))</f>
        <v/>
      </c>
      <c r="AD190" s="60" t="n"/>
      <c r="AE190" s="61" t="n"/>
      <c r="AF190" s="60" t="n"/>
      <c r="AG190" s="62" t="n"/>
      <c r="AH190" s="62" t="n"/>
      <c r="AI190" s="62" t="n"/>
      <c r="AJ190" s="60" t="n"/>
      <c r="AK190" s="61" t="n"/>
      <c r="AL190" s="63">
        <f>IF($A190="","",IF(AH190="","Not Enrolled",IF(TODAY()&gt;AH190,"Review Overdue",IF(AH190-TODAY()&lt;=30,"Review Due Soon","Active"))))</f>
        <v/>
      </c>
      <c r="AM190" s="63">
        <f>IF($A190="","",IF(AI190="","NOT REVIEWED",IF(TODAY()-AI190&gt;90,"OVERDUE",IF(TODAY()-AI190&gt;76,"Due Soon","Current"))))</f>
        <v/>
      </c>
    </row>
    <row r="191" ht="15" customHeight="1" s="39">
      <c r="A191" s="60" t="n"/>
      <c r="B191" s="60" t="n"/>
      <c r="C191" s="61" t="n"/>
      <c r="D191" s="61" t="n"/>
      <c r="E191" s="60" t="n"/>
      <c r="F191" s="60" t="n"/>
      <c r="G191" s="62" t="n"/>
      <c r="H191" s="62" t="n"/>
      <c r="I191" s="62" t="n"/>
      <c r="J191" s="60" t="n"/>
      <c r="K191" s="60" t="n"/>
      <c r="L191" s="60" t="n"/>
      <c r="M191" s="61" t="n"/>
      <c r="N191" s="60" t="n"/>
      <c r="O191" s="60" t="n"/>
      <c r="P191" s="60" t="n"/>
      <c r="Q191" s="60" t="n"/>
      <c r="R191" s="60" t="n"/>
      <c r="S191" s="60" t="n"/>
      <c r="T191" s="60" t="n"/>
      <c r="U191" s="60" t="n"/>
      <c r="V191" s="60" t="n"/>
      <c r="W191" s="60" t="n"/>
      <c r="X191" s="60" t="n"/>
      <c r="Y191" s="60" t="n"/>
      <c r="Z191" s="61" t="n"/>
      <c r="AA191" s="63">
        <f>IF($H191="","",TODAY()-$H191)</f>
        <v/>
      </c>
      <c r="AB191" s="63">
        <f>IF($A191="","",IF(AND($F191="Yes",OR($U191="No",$U191="NOT FOUND")),"YES",""))</f>
        <v/>
      </c>
      <c r="AC191" s="66">
        <f>IF($A191="","",TRIM(IF(AND($P191=0,$L191&lt;&gt;"Yes"),"T0-NoSmartcard ","")&amp;IF(AND($J191&lt;&gt;"",$J191&gt;365),"StalePwd ","")&amp;IF($K191="Yes","PwdNeverExpires ","")&amp;IF(AND($S191&lt;&gt;"",$S191&lt;&gt;"None"),"Delegation ","")&amp;IF(AND($Q191=1,$O191="None"),"StaleAdminCount ","")&amp;IF(AND($F191="Yes",$H191=""),"NeverLoggedOn ","")))</f>
        <v/>
      </c>
      <c r="AD191" s="60" t="n"/>
      <c r="AE191" s="61" t="n"/>
      <c r="AF191" s="60" t="n"/>
      <c r="AG191" s="62" t="n"/>
      <c r="AH191" s="62" t="n"/>
      <c r="AI191" s="62" t="n"/>
      <c r="AJ191" s="60" t="n"/>
      <c r="AK191" s="61" t="n"/>
      <c r="AL191" s="63">
        <f>IF($A191="","",IF(AH191="","Not Enrolled",IF(TODAY()&gt;AH191,"Review Overdue",IF(AH191-TODAY()&lt;=30,"Review Due Soon","Active"))))</f>
        <v/>
      </c>
      <c r="AM191" s="63">
        <f>IF($A191="","",IF(AI191="","NOT REVIEWED",IF(TODAY()-AI191&gt;90,"OVERDUE",IF(TODAY()-AI191&gt;76,"Due Soon","Current"))))</f>
        <v/>
      </c>
    </row>
    <row r="192" ht="15" customHeight="1" s="39">
      <c r="A192" s="60" t="n"/>
      <c r="B192" s="60" t="n"/>
      <c r="C192" s="61" t="n"/>
      <c r="D192" s="61" t="n"/>
      <c r="E192" s="60" t="n"/>
      <c r="F192" s="60" t="n"/>
      <c r="G192" s="62" t="n"/>
      <c r="H192" s="62" t="n"/>
      <c r="I192" s="62" t="n"/>
      <c r="J192" s="60" t="n"/>
      <c r="K192" s="60" t="n"/>
      <c r="L192" s="60" t="n"/>
      <c r="M192" s="61" t="n"/>
      <c r="N192" s="60" t="n"/>
      <c r="O192" s="60" t="n"/>
      <c r="P192" s="60" t="n"/>
      <c r="Q192" s="60" t="n"/>
      <c r="R192" s="60" t="n"/>
      <c r="S192" s="60" t="n"/>
      <c r="T192" s="60" t="n"/>
      <c r="U192" s="60" t="n"/>
      <c r="V192" s="60" t="n"/>
      <c r="W192" s="60" t="n"/>
      <c r="X192" s="60" t="n"/>
      <c r="Y192" s="60" t="n"/>
      <c r="Z192" s="61" t="n"/>
      <c r="AA192" s="63">
        <f>IF($H192="","",TODAY()-$H192)</f>
        <v/>
      </c>
      <c r="AB192" s="63">
        <f>IF($A192="","",IF(AND($F192="Yes",OR($U192="No",$U192="NOT FOUND")),"YES",""))</f>
        <v/>
      </c>
      <c r="AC192" s="66">
        <f>IF($A192="","",TRIM(IF(AND($P192=0,$L192&lt;&gt;"Yes"),"T0-NoSmartcard ","")&amp;IF(AND($J192&lt;&gt;"",$J192&gt;365),"StalePwd ","")&amp;IF($K192="Yes","PwdNeverExpires ","")&amp;IF(AND($S192&lt;&gt;"",$S192&lt;&gt;"None"),"Delegation ","")&amp;IF(AND($Q192=1,$O192="None"),"StaleAdminCount ","")&amp;IF(AND($F192="Yes",$H192=""),"NeverLoggedOn ","")))</f>
        <v/>
      </c>
      <c r="AD192" s="60" t="n"/>
      <c r="AE192" s="61" t="n"/>
      <c r="AF192" s="60" t="n"/>
      <c r="AG192" s="62" t="n"/>
      <c r="AH192" s="62" t="n"/>
      <c r="AI192" s="62" t="n"/>
      <c r="AJ192" s="60" t="n"/>
      <c r="AK192" s="61" t="n"/>
      <c r="AL192" s="63">
        <f>IF($A192="","",IF(AH192="","Not Enrolled",IF(TODAY()&gt;AH192,"Review Overdue",IF(AH192-TODAY()&lt;=30,"Review Due Soon","Active"))))</f>
        <v/>
      </c>
      <c r="AM192" s="63">
        <f>IF($A192="","",IF(AI192="","NOT REVIEWED",IF(TODAY()-AI192&gt;90,"OVERDUE",IF(TODAY()-AI192&gt;76,"Due Soon","Current"))))</f>
        <v/>
      </c>
    </row>
    <row r="193" ht="15" customHeight="1" s="39">
      <c r="A193" s="60" t="n"/>
      <c r="B193" s="60" t="n"/>
      <c r="C193" s="61" t="n"/>
      <c r="D193" s="61" t="n"/>
      <c r="E193" s="60" t="n"/>
      <c r="F193" s="60" t="n"/>
      <c r="G193" s="62" t="n"/>
      <c r="H193" s="62" t="n"/>
      <c r="I193" s="62" t="n"/>
      <c r="J193" s="60" t="n"/>
      <c r="K193" s="60" t="n"/>
      <c r="L193" s="60" t="n"/>
      <c r="M193" s="61" t="n"/>
      <c r="N193" s="60" t="n"/>
      <c r="O193" s="60" t="n"/>
      <c r="P193" s="60" t="n"/>
      <c r="Q193" s="60" t="n"/>
      <c r="R193" s="60" t="n"/>
      <c r="S193" s="60" t="n"/>
      <c r="T193" s="60" t="n"/>
      <c r="U193" s="60" t="n"/>
      <c r="V193" s="60" t="n"/>
      <c r="W193" s="60" t="n"/>
      <c r="X193" s="60" t="n"/>
      <c r="Y193" s="60" t="n"/>
      <c r="Z193" s="61" t="n"/>
      <c r="AA193" s="63">
        <f>IF($H193="","",TODAY()-$H193)</f>
        <v/>
      </c>
      <c r="AB193" s="63">
        <f>IF($A193="","",IF(AND($F193="Yes",OR($U193="No",$U193="NOT FOUND")),"YES",""))</f>
        <v/>
      </c>
      <c r="AC193" s="66">
        <f>IF($A193="","",TRIM(IF(AND($P193=0,$L193&lt;&gt;"Yes"),"T0-NoSmartcard ","")&amp;IF(AND($J193&lt;&gt;"",$J193&gt;365),"StalePwd ","")&amp;IF($K193="Yes","PwdNeverExpires ","")&amp;IF(AND($S193&lt;&gt;"",$S193&lt;&gt;"None"),"Delegation ","")&amp;IF(AND($Q193=1,$O193="None"),"StaleAdminCount ","")&amp;IF(AND($F193="Yes",$H193=""),"NeverLoggedOn ","")))</f>
        <v/>
      </c>
      <c r="AD193" s="60" t="n"/>
      <c r="AE193" s="61" t="n"/>
      <c r="AF193" s="60" t="n"/>
      <c r="AG193" s="62" t="n"/>
      <c r="AH193" s="62" t="n"/>
      <c r="AI193" s="62" t="n"/>
      <c r="AJ193" s="60" t="n"/>
      <c r="AK193" s="61" t="n"/>
      <c r="AL193" s="63">
        <f>IF($A193="","",IF(AH193="","Not Enrolled",IF(TODAY()&gt;AH193,"Review Overdue",IF(AH193-TODAY()&lt;=30,"Review Due Soon","Active"))))</f>
        <v/>
      </c>
      <c r="AM193" s="63">
        <f>IF($A193="","",IF(AI193="","NOT REVIEWED",IF(TODAY()-AI193&gt;90,"OVERDUE",IF(TODAY()-AI193&gt;76,"Due Soon","Current"))))</f>
        <v/>
      </c>
    </row>
    <row r="194" ht="15" customHeight="1" s="39">
      <c r="A194" s="60" t="n"/>
      <c r="B194" s="60" t="n"/>
      <c r="C194" s="61" t="n"/>
      <c r="D194" s="61" t="n"/>
      <c r="E194" s="60" t="n"/>
      <c r="F194" s="60" t="n"/>
      <c r="G194" s="62" t="n"/>
      <c r="H194" s="62" t="n"/>
      <c r="I194" s="62" t="n"/>
      <c r="J194" s="60" t="n"/>
      <c r="K194" s="60" t="n"/>
      <c r="L194" s="60" t="n"/>
      <c r="M194" s="61" t="n"/>
      <c r="N194" s="60" t="n"/>
      <c r="O194" s="60" t="n"/>
      <c r="P194" s="60" t="n"/>
      <c r="Q194" s="60" t="n"/>
      <c r="R194" s="60" t="n"/>
      <c r="S194" s="60" t="n"/>
      <c r="T194" s="60" t="n"/>
      <c r="U194" s="60" t="n"/>
      <c r="V194" s="60" t="n"/>
      <c r="W194" s="60" t="n"/>
      <c r="X194" s="60" t="n"/>
      <c r="Y194" s="60" t="n"/>
      <c r="Z194" s="61" t="n"/>
      <c r="AA194" s="63">
        <f>IF($H194="","",TODAY()-$H194)</f>
        <v/>
      </c>
      <c r="AB194" s="63">
        <f>IF($A194="","",IF(AND($F194="Yes",OR($U194="No",$U194="NOT FOUND")),"YES",""))</f>
        <v/>
      </c>
      <c r="AC194" s="66">
        <f>IF($A194="","",TRIM(IF(AND($P194=0,$L194&lt;&gt;"Yes"),"T0-NoSmartcard ","")&amp;IF(AND($J194&lt;&gt;"",$J194&gt;365),"StalePwd ","")&amp;IF($K194="Yes","PwdNeverExpires ","")&amp;IF(AND($S194&lt;&gt;"",$S194&lt;&gt;"None"),"Delegation ","")&amp;IF(AND($Q194=1,$O194="None"),"StaleAdminCount ","")&amp;IF(AND($F194="Yes",$H194=""),"NeverLoggedOn ","")))</f>
        <v/>
      </c>
      <c r="AD194" s="60" t="n"/>
      <c r="AE194" s="61" t="n"/>
      <c r="AF194" s="60" t="n"/>
      <c r="AG194" s="62" t="n"/>
      <c r="AH194" s="62" t="n"/>
      <c r="AI194" s="62" t="n"/>
      <c r="AJ194" s="60" t="n"/>
      <c r="AK194" s="61" t="n"/>
      <c r="AL194" s="63">
        <f>IF($A194="","",IF(AH194="","Not Enrolled",IF(TODAY()&gt;AH194,"Review Overdue",IF(AH194-TODAY()&lt;=30,"Review Due Soon","Active"))))</f>
        <v/>
      </c>
      <c r="AM194" s="63">
        <f>IF($A194="","",IF(AI194="","NOT REVIEWED",IF(TODAY()-AI194&gt;90,"OVERDUE",IF(TODAY()-AI194&gt;76,"Due Soon","Current"))))</f>
        <v/>
      </c>
    </row>
    <row r="195" ht="15" customHeight="1" s="39">
      <c r="A195" s="60" t="n"/>
      <c r="B195" s="60" t="n"/>
      <c r="C195" s="61" t="n"/>
      <c r="D195" s="61" t="n"/>
      <c r="E195" s="60" t="n"/>
      <c r="F195" s="60" t="n"/>
      <c r="G195" s="62" t="n"/>
      <c r="H195" s="62" t="n"/>
      <c r="I195" s="62" t="n"/>
      <c r="J195" s="60" t="n"/>
      <c r="K195" s="60" t="n"/>
      <c r="L195" s="60" t="n"/>
      <c r="M195" s="61" t="n"/>
      <c r="N195" s="60" t="n"/>
      <c r="O195" s="60" t="n"/>
      <c r="P195" s="60" t="n"/>
      <c r="Q195" s="60" t="n"/>
      <c r="R195" s="60" t="n"/>
      <c r="S195" s="60" t="n"/>
      <c r="T195" s="60" t="n"/>
      <c r="U195" s="60" t="n"/>
      <c r="V195" s="60" t="n"/>
      <c r="W195" s="60" t="n"/>
      <c r="X195" s="60" t="n"/>
      <c r="Y195" s="60" t="n"/>
      <c r="Z195" s="61" t="n"/>
      <c r="AA195" s="63">
        <f>IF($H195="","",TODAY()-$H195)</f>
        <v/>
      </c>
      <c r="AB195" s="63">
        <f>IF($A195="","",IF(AND($F195="Yes",OR($U195="No",$U195="NOT FOUND")),"YES",""))</f>
        <v/>
      </c>
      <c r="AC195" s="66">
        <f>IF($A195="","",TRIM(IF(AND($P195=0,$L195&lt;&gt;"Yes"),"T0-NoSmartcard ","")&amp;IF(AND($J195&lt;&gt;"",$J195&gt;365),"StalePwd ","")&amp;IF($K195="Yes","PwdNeverExpires ","")&amp;IF(AND($S195&lt;&gt;"",$S195&lt;&gt;"None"),"Delegation ","")&amp;IF(AND($Q195=1,$O195="None"),"StaleAdminCount ","")&amp;IF(AND($F195="Yes",$H195=""),"NeverLoggedOn ","")))</f>
        <v/>
      </c>
      <c r="AD195" s="60" t="n"/>
      <c r="AE195" s="61" t="n"/>
      <c r="AF195" s="60" t="n"/>
      <c r="AG195" s="62" t="n"/>
      <c r="AH195" s="62" t="n"/>
      <c r="AI195" s="62" t="n"/>
      <c r="AJ195" s="60" t="n"/>
      <c r="AK195" s="61" t="n"/>
      <c r="AL195" s="63">
        <f>IF($A195="","",IF(AH195="","Not Enrolled",IF(TODAY()&gt;AH195,"Review Overdue",IF(AH195-TODAY()&lt;=30,"Review Due Soon","Active"))))</f>
        <v/>
      </c>
      <c r="AM195" s="63">
        <f>IF($A195="","",IF(AI195="","NOT REVIEWED",IF(TODAY()-AI195&gt;90,"OVERDUE",IF(TODAY()-AI195&gt;76,"Due Soon","Current"))))</f>
        <v/>
      </c>
    </row>
    <row r="196" ht="15" customHeight="1" s="39">
      <c r="A196" s="60" t="n"/>
      <c r="B196" s="60" t="n"/>
      <c r="C196" s="61" t="n"/>
      <c r="D196" s="61" t="n"/>
      <c r="E196" s="60" t="n"/>
      <c r="F196" s="60" t="n"/>
      <c r="G196" s="62" t="n"/>
      <c r="H196" s="62" t="n"/>
      <c r="I196" s="62" t="n"/>
      <c r="J196" s="60" t="n"/>
      <c r="K196" s="60" t="n"/>
      <c r="L196" s="60" t="n"/>
      <c r="M196" s="61" t="n"/>
      <c r="N196" s="60" t="n"/>
      <c r="O196" s="60" t="n"/>
      <c r="P196" s="60" t="n"/>
      <c r="Q196" s="60" t="n"/>
      <c r="R196" s="60" t="n"/>
      <c r="S196" s="60" t="n"/>
      <c r="T196" s="60" t="n"/>
      <c r="U196" s="60" t="n"/>
      <c r="V196" s="60" t="n"/>
      <c r="W196" s="60" t="n"/>
      <c r="X196" s="60" t="n"/>
      <c r="Y196" s="60" t="n"/>
      <c r="Z196" s="61" t="n"/>
      <c r="AA196" s="63">
        <f>IF($H196="","",TODAY()-$H196)</f>
        <v/>
      </c>
      <c r="AB196" s="63">
        <f>IF($A196="","",IF(AND($F196="Yes",OR($U196="No",$U196="NOT FOUND")),"YES",""))</f>
        <v/>
      </c>
      <c r="AC196" s="66">
        <f>IF($A196="","",TRIM(IF(AND($P196=0,$L196&lt;&gt;"Yes"),"T0-NoSmartcard ","")&amp;IF(AND($J196&lt;&gt;"",$J196&gt;365),"StalePwd ","")&amp;IF($K196="Yes","PwdNeverExpires ","")&amp;IF(AND($S196&lt;&gt;"",$S196&lt;&gt;"None"),"Delegation ","")&amp;IF(AND($Q196=1,$O196="None"),"StaleAdminCount ","")&amp;IF(AND($F196="Yes",$H196=""),"NeverLoggedOn ","")))</f>
        <v/>
      </c>
      <c r="AD196" s="60" t="n"/>
      <c r="AE196" s="61" t="n"/>
      <c r="AF196" s="60" t="n"/>
      <c r="AG196" s="62" t="n"/>
      <c r="AH196" s="62" t="n"/>
      <c r="AI196" s="62" t="n"/>
      <c r="AJ196" s="60" t="n"/>
      <c r="AK196" s="61" t="n"/>
      <c r="AL196" s="63">
        <f>IF($A196="","",IF(AH196="","Not Enrolled",IF(TODAY()&gt;AH196,"Review Overdue",IF(AH196-TODAY()&lt;=30,"Review Due Soon","Active"))))</f>
        <v/>
      </c>
      <c r="AM196" s="63">
        <f>IF($A196="","",IF(AI196="","NOT REVIEWED",IF(TODAY()-AI196&gt;90,"OVERDUE",IF(TODAY()-AI196&gt;76,"Due Soon","Current"))))</f>
        <v/>
      </c>
    </row>
    <row r="197" ht="15" customHeight="1" s="39">
      <c r="A197" s="60" t="n"/>
      <c r="B197" s="60" t="n"/>
      <c r="C197" s="61" t="n"/>
      <c r="D197" s="61" t="n"/>
      <c r="E197" s="60" t="n"/>
      <c r="F197" s="60" t="n"/>
      <c r="G197" s="62" t="n"/>
      <c r="H197" s="62" t="n"/>
      <c r="I197" s="62" t="n"/>
      <c r="J197" s="60" t="n"/>
      <c r="K197" s="60" t="n"/>
      <c r="L197" s="60" t="n"/>
      <c r="M197" s="61" t="n"/>
      <c r="N197" s="60" t="n"/>
      <c r="O197" s="60" t="n"/>
      <c r="P197" s="60" t="n"/>
      <c r="Q197" s="60" t="n"/>
      <c r="R197" s="60" t="n"/>
      <c r="S197" s="60" t="n"/>
      <c r="T197" s="60" t="n"/>
      <c r="U197" s="60" t="n"/>
      <c r="V197" s="60" t="n"/>
      <c r="W197" s="60" t="n"/>
      <c r="X197" s="60" t="n"/>
      <c r="Y197" s="60" t="n"/>
      <c r="Z197" s="61" t="n"/>
      <c r="AA197" s="63">
        <f>IF($H197="","",TODAY()-$H197)</f>
        <v/>
      </c>
      <c r="AB197" s="63">
        <f>IF($A197="","",IF(AND($F197="Yes",OR($U197="No",$U197="NOT FOUND")),"YES",""))</f>
        <v/>
      </c>
      <c r="AC197" s="66">
        <f>IF($A197="","",TRIM(IF(AND($P197=0,$L197&lt;&gt;"Yes"),"T0-NoSmartcard ","")&amp;IF(AND($J197&lt;&gt;"",$J197&gt;365),"StalePwd ","")&amp;IF($K197="Yes","PwdNeverExpires ","")&amp;IF(AND($S197&lt;&gt;"",$S197&lt;&gt;"None"),"Delegation ","")&amp;IF(AND($Q197=1,$O197="None"),"StaleAdminCount ","")&amp;IF(AND($F197="Yes",$H197=""),"NeverLoggedOn ","")))</f>
        <v/>
      </c>
      <c r="AD197" s="60" t="n"/>
      <c r="AE197" s="61" t="n"/>
      <c r="AF197" s="60" t="n"/>
      <c r="AG197" s="62" t="n"/>
      <c r="AH197" s="62" t="n"/>
      <c r="AI197" s="62" t="n"/>
      <c r="AJ197" s="60" t="n"/>
      <c r="AK197" s="61" t="n"/>
      <c r="AL197" s="63">
        <f>IF($A197="","",IF(AH197="","Not Enrolled",IF(TODAY()&gt;AH197,"Review Overdue",IF(AH197-TODAY()&lt;=30,"Review Due Soon","Active"))))</f>
        <v/>
      </c>
      <c r="AM197" s="63">
        <f>IF($A197="","",IF(AI197="","NOT REVIEWED",IF(TODAY()-AI197&gt;90,"OVERDUE",IF(TODAY()-AI197&gt;76,"Due Soon","Current"))))</f>
        <v/>
      </c>
    </row>
    <row r="198" ht="15" customHeight="1" s="39">
      <c r="A198" s="60" t="n"/>
      <c r="B198" s="60" t="n"/>
      <c r="C198" s="61" t="n"/>
      <c r="D198" s="61" t="n"/>
      <c r="E198" s="60" t="n"/>
      <c r="F198" s="60" t="n"/>
      <c r="G198" s="62" t="n"/>
      <c r="H198" s="62" t="n"/>
      <c r="I198" s="62" t="n"/>
      <c r="J198" s="60" t="n"/>
      <c r="K198" s="60" t="n"/>
      <c r="L198" s="60" t="n"/>
      <c r="M198" s="61" t="n"/>
      <c r="N198" s="60" t="n"/>
      <c r="O198" s="60" t="n"/>
      <c r="P198" s="60" t="n"/>
      <c r="Q198" s="60" t="n"/>
      <c r="R198" s="60" t="n"/>
      <c r="S198" s="60" t="n"/>
      <c r="T198" s="60" t="n"/>
      <c r="U198" s="60" t="n"/>
      <c r="V198" s="60" t="n"/>
      <c r="W198" s="60" t="n"/>
      <c r="X198" s="60" t="n"/>
      <c r="Y198" s="60" t="n"/>
      <c r="Z198" s="61" t="n"/>
      <c r="AA198" s="63">
        <f>IF($H198="","",TODAY()-$H198)</f>
        <v/>
      </c>
      <c r="AB198" s="63">
        <f>IF($A198="","",IF(AND($F198="Yes",OR($U198="No",$U198="NOT FOUND")),"YES",""))</f>
        <v/>
      </c>
      <c r="AC198" s="66">
        <f>IF($A198="","",TRIM(IF(AND($P198=0,$L198&lt;&gt;"Yes"),"T0-NoSmartcard ","")&amp;IF(AND($J198&lt;&gt;"",$J198&gt;365),"StalePwd ","")&amp;IF($K198="Yes","PwdNeverExpires ","")&amp;IF(AND($S198&lt;&gt;"",$S198&lt;&gt;"None"),"Delegation ","")&amp;IF(AND($Q198=1,$O198="None"),"StaleAdminCount ","")&amp;IF(AND($F198="Yes",$H198=""),"NeverLoggedOn ","")))</f>
        <v/>
      </c>
      <c r="AD198" s="60" t="n"/>
      <c r="AE198" s="61" t="n"/>
      <c r="AF198" s="60" t="n"/>
      <c r="AG198" s="62" t="n"/>
      <c r="AH198" s="62" t="n"/>
      <c r="AI198" s="62" t="n"/>
      <c r="AJ198" s="60" t="n"/>
      <c r="AK198" s="61" t="n"/>
      <c r="AL198" s="63">
        <f>IF($A198="","",IF(AH198="","Not Enrolled",IF(TODAY()&gt;AH198,"Review Overdue",IF(AH198-TODAY()&lt;=30,"Review Due Soon","Active"))))</f>
        <v/>
      </c>
      <c r="AM198" s="63">
        <f>IF($A198="","",IF(AI198="","NOT REVIEWED",IF(TODAY()-AI198&gt;90,"OVERDUE",IF(TODAY()-AI198&gt;76,"Due Soon","Current"))))</f>
        <v/>
      </c>
    </row>
    <row r="199" ht="15" customHeight="1" s="39">
      <c r="A199" s="60" t="n"/>
      <c r="B199" s="60" t="n"/>
      <c r="C199" s="61" t="n"/>
      <c r="D199" s="61" t="n"/>
      <c r="E199" s="60" t="n"/>
      <c r="F199" s="60" t="n"/>
      <c r="G199" s="62" t="n"/>
      <c r="H199" s="62" t="n"/>
      <c r="I199" s="62" t="n"/>
      <c r="J199" s="60" t="n"/>
      <c r="K199" s="60" t="n"/>
      <c r="L199" s="60" t="n"/>
      <c r="M199" s="61" t="n"/>
      <c r="N199" s="60" t="n"/>
      <c r="O199" s="60" t="n"/>
      <c r="P199" s="60" t="n"/>
      <c r="Q199" s="60" t="n"/>
      <c r="R199" s="60" t="n"/>
      <c r="S199" s="60" t="n"/>
      <c r="T199" s="60" t="n"/>
      <c r="U199" s="60" t="n"/>
      <c r="V199" s="60" t="n"/>
      <c r="W199" s="60" t="n"/>
      <c r="X199" s="60" t="n"/>
      <c r="Y199" s="60" t="n"/>
      <c r="Z199" s="61" t="n"/>
      <c r="AA199" s="63">
        <f>IF($H199="","",TODAY()-$H199)</f>
        <v/>
      </c>
      <c r="AB199" s="63">
        <f>IF($A199="","",IF(AND($F199="Yes",OR($U199="No",$U199="NOT FOUND")),"YES",""))</f>
        <v/>
      </c>
      <c r="AC199" s="66">
        <f>IF($A199="","",TRIM(IF(AND($P199=0,$L199&lt;&gt;"Yes"),"T0-NoSmartcard ","")&amp;IF(AND($J199&lt;&gt;"",$J199&gt;365),"StalePwd ","")&amp;IF($K199="Yes","PwdNeverExpires ","")&amp;IF(AND($S199&lt;&gt;"",$S199&lt;&gt;"None"),"Delegation ","")&amp;IF(AND($Q199=1,$O199="None"),"StaleAdminCount ","")&amp;IF(AND($F199="Yes",$H199=""),"NeverLoggedOn ","")))</f>
        <v/>
      </c>
      <c r="AD199" s="60" t="n"/>
      <c r="AE199" s="61" t="n"/>
      <c r="AF199" s="60" t="n"/>
      <c r="AG199" s="62" t="n"/>
      <c r="AH199" s="62" t="n"/>
      <c r="AI199" s="62" t="n"/>
      <c r="AJ199" s="60" t="n"/>
      <c r="AK199" s="61" t="n"/>
      <c r="AL199" s="63">
        <f>IF($A199="","",IF(AH199="","Not Enrolled",IF(TODAY()&gt;AH199,"Review Overdue",IF(AH199-TODAY()&lt;=30,"Review Due Soon","Active"))))</f>
        <v/>
      </c>
      <c r="AM199" s="63">
        <f>IF($A199="","",IF(AI199="","NOT REVIEWED",IF(TODAY()-AI199&gt;90,"OVERDUE",IF(TODAY()-AI199&gt;76,"Due Soon","Current"))))</f>
        <v/>
      </c>
    </row>
    <row r="200" ht="15" customHeight="1" s="39">
      <c r="A200" s="60" t="n"/>
      <c r="B200" s="60" t="n"/>
      <c r="C200" s="61" t="n"/>
      <c r="D200" s="61" t="n"/>
      <c r="E200" s="60" t="n"/>
      <c r="F200" s="60" t="n"/>
      <c r="G200" s="62" t="n"/>
      <c r="H200" s="62" t="n"/>
      <c r="I200" s="62" t="n"/>
      <c r="J200" s="60" t="n"/>
      <c r="K200" s="60" t="n"/>
      <c r="L200" s="60" t="n"/>
      <c r="M200" s="61" t="n"/>
      <c r="N200" s="60" t="n"/>
      <c r="O200" s="60" t="n"/>
      <c r="P200" s="60" t="n"/>
      <c r="Q200" s="60" t="n"/>
      <c r="R200" s="60" t="n"/>
      <c r="S200" s="60" t="n"/>
      <c r="T200" s="60" t="n"/>
      <c r="U200" s="60" t="n"/>
      <c r="V200" s="60" t="n"/>
      <c r="W200" s="60" t="n"/>
      <c r="X200" s="60" t="n"/>
      <c r="Y200" s="60" t="n"/>
      <c r="Z200" s="61" t="n"/>
      <c r="AA200" s="63">
        <f>IF($H200="","",TODAY()-$H200)</f>
        <v/>
      </c>
      <c r="AB200" s="63">
        <f>IF($A200="","",IF(AND($F200="Yes",OR($U200="No",$U200="NOT FOUND")),"YES",""))</f>
        <v/>
      </c>
      <c r="AC200" s="66">
        <f>IF($A200="","",TRIM(IF(AND($P200=0,$L200&lt;&gt;"Yes"),"T0-NoSmartcard ","")&amp;IF(AND($J200&lt;&gt;"",$J200&gt;365),"StalePwd ","")&amp;IF($K200="Yes","PwdNeverExpires ","")&amp;IF(AND($S200&lt;&gt;"",$S200&lt;&gt;"None"),"Delegation ","")&amp;IF(AND($Q200=1,$O200="None"),"StaleAdminCount ","")&amp;IF(AND($F200="Yes",$H200=""),"NeverLoggedOn ","")))</f>
        <v/>
      </c>
      <c r="AD200" s="60" t="n"/>
      <c r="AE200" s="61" t="n"/>
      <c r="AF200" s="60" t="n"/>
      <c r="AG200" s="62" t="n"/>
      <c r="AH200" s="62" t="n"/>
      <c r="AI200" s="62" t="n"/>
      <c r="AJ200" s="60" t="n"/>
      <c r="AK200" s="61" t="n"/>
      <c r="AL200" s="63">
        <f>IF($A200="","",IF(AH200="","Not Enrolled",IF(TODAY()&gt;AH200,"Review Overdue",IF(AH200-TODAY()&lt;=30,"Review Due Soon","Active"))))</f>
        <v/>
      </c>
      <c r="AM200" s="63">
        <f>IF($A200="","",IF(AI200="","NOT REVIEWED",IF(TODAY()-AI200&gt;90,"OVERDUE",IF(TODAY()-AI200&gt;76,"Due Soon","Current"))))</f>
        <v/>
      </c>
    </row>
    <row r="201" ht="15" customHeight="1" s="39">
      <c r="A201" s="60" t="n"/>
      <c r="B201" s="60" t="n"/>
      <c r="C201" s="61" t="n"/>
      <c r="D201" s="61" t="n"/>
      <c r="E201" s="60" t="n"/>
      <c r="F201" s="60" t="n"/>
      <c r="G201" s="62" t="n"/>
      <c r="H201" s="62" t="n"/>
      <c r="I201" s="62" t="n"/>
      <c r="J201" s="60" t="n"/>
      <c r="K201" s="60" t="n"/>
      <c r="L201" s="60" t="n"/>
      <c r="M201" s="61" t="n"/>
      <c r="N201" s="60" t="n"/>
      <c r="O201" s="60" t="n"/>
      <c r="P201" s="60" t="n"/>
      <c r="Q201" s="60" t="n"/>
      <c r="R201" s="60" t="n"/>
      <c r="S201" s="60" t="n"/>
      <c r="T201" s="60" t="n"/>
      <c r="U201" s="60" t="n"/>
      <c r="V201" s="60" t="n"/>
      <c r="W201" s="60" t="n"/>
      <c r="X201" s="60" t="n"/>
      <c r="Y201" s="60" t="n"/>
      <c r="Z201" s="61" t="n"/>
      <c r="AA201" s="63">
        <f>IF($H201="","",TODAY()-$H201)</f>
        <v/>
      </c>
      <c r="AB201" s="63">
        <f>IF($A201="","",IF(AND($F201="Yes",OR($U201="No",$U201="NOT FOUND")),"YES",""))</f>
        <v/>
      </c>
      <c r="AC201" s="66">
        <f>IF($A201="","",TRIM(IF(AND($P201=0,$L201&lt;&gt;"Yes"),"T0-NoSmartcard ","")&amp;IF(AND($J201&lt;&gt;"",$J201&gt;365),"StalePwd ","")&amp;IF($K201="Yes","PwdNeverExpires ","")&amp;IF(AND($S201&lt;&gt;"",$S201&lt;&gt;"None"),"Delegation ","")&amp;IF(AND($Q201=1,$O201="None"),"StaleAdminCount ","")&amp;IF(AND($F201="Yes",$H201=""),"NeverLoggedOn ","")))</f>
        <v/>
      </c>
      <c r="AD201" s="60" t="n"/>
      <c r="AE201" s="61" t="n"/>
      <c r="AF201" s="60" t="n"/>
      <c r="AG201" s="62" t="n"/>
      <c r="AH201" s="62" t="n"/>
      <c r="AI201" s="62" t="n"/>
      <c r="AJ201" s="60" t="n"/>
      <c r="AK201" s="61" t="n"/>
      <c r="AL201" s="63">
        <f>IF($A201="","",IF(AH201="","Not Enrolled",IF(TODAY()&gt;AH201,"Review Overdue",IF(AH201-TODAY()&lt;=30,"Review Due Soon","Active"))))</f>
        <v/>
      </c>
      <c r="AM201" s="63">
        <f>IF($A201="","",IF(AI201="","NOT REVIEWED",IF(TODAY()-AI201&gt;90,"OVERDUE",IF(TODAY()-AI201&gt;76,"Due Soon","Current"))))</f>
        <v/>
      </c>
    </row>
    <row r="202" ht="15" customHeight="1" s="39">
      <c r="A202" s="60" t="n"/>
      <c r="B202" s="60" t="n"/>
      <c r="C202" s="61" t="n"/>
      <c r="D202" s="61" t="n"/>
      <c r="E202" s="60" t="n"/>
      <c r="F202" s="60" t="n"/>
      <c r="G202" s="62" t="n"/>
      <c r="H202" s="62" t="n"/>
      <c r="I202" s="62" t="n"/>
      <c r="J202" s="60" t="n"/>
      <c r="K202" s="60" t="n"/>
      <c r="L202" s="60" t="n"/>
      <c r="M202" s="61" t="n"/>
      <c r="N202" s="60" t="n"/>
      <c r="O202" s="60" t="n"/>
      <c r="P202" s="60" t="n"/>
      <c r="Q202" s="60" t="n"/>
      <c r="R202" s="60" t="n"/>
      <c r="S202" s="60" t="n"/>
      <c r="T202" s="60" t="n"/>
      <c r="U202" s="60" t="n"/>
      <c r="V202" s="60" t="n"/>
      <c r="W202" s="60" t="n"/>
      <c r="X202" s="60" t="n"/>
      <c r="Y202" s="60" t="n"/>
      <c r="Z202" s="61" t="n"/>
      <c r="AA202" s="63">
        <f>IF($H202="","",TODAY()-$H202)</f>
        <v/>
      </c>
      <c r="AB202" s="63">
        <f>IF($A202="","",IF(AND($F202="Yes",OR($U202="No",$U202="NOT FOUND")),"YES",""))</f>
        <v/>
      </c>
      <c r="AC202" s="66">
        <f>IF($A202="","",TRIM(IF(AND($P202=0,$L202&lt;&gt;"Yes"),"T0-NoSmartcard ","")&amp;IF(AND($J202&lt;&gt;"",$J202&gt;365),"StalePwd ","")&amp;IF($K202="Yes","PwdNeverExpires ","")&amp;IF(AND($S202&lt;&gt;"",$S202&lt;&gt;"None"),"Delegation ","")&amp;IF(AND($Q202=1,$O202="None"),"StaleAdminCount ","")&amp;IF(AND($F202="Yes",$H202=""),"NeverLoggedOn ","")))</f>
        <v/>
      </c>
      <c r="AD202" s="60" t="n"/>
      <c r="AE202" s="61" t="n"/>
      <c r="AF202" s="60" t="n"/>
      <c r="AG202" s="62" t="n"/>
      <c r="AH202" s="62" t="n"/>
      <c r="AI202" s="62" t="n"/>
      <c r="AJ202" s="60" t="n"/>
      <c r="AK202" s="61" t="n"/>
      <c r="AL202" s="63">
        <f>IF($A202="","",IF(AH202="","Not Enrolled",IF(TODAY()&gt;AH202,"Review Overdue",IF(AH202-TODAY()&lt;=30,"Review Due Soon","Active"))))</f>
        <v/>
      </c>
      <c r="AM202" s="63">
        <f>IF($A202="","",IF(AI202="","NOT REVIEWED",IF(TODAY()-AI202&gt;90,"OVERDUE",IF(TODAY()-AI202&gt;76,"Due Soon","Current"))))</f>
        <v/>
      </c>
    </row>
    <row r="203" ht="15" customHeight="1" s="39">
      <c r="A203" s="60" t="n"/>
      <c r="B203" s="60" t="n"/>
      <c r="C203" s="61" t="n"/>
      <c r="D203" s="61" t="n"/>
      <c r="E203" s="60" t="n"/>
      <c r="F203" s="60" t="n"/>
      <c r="G203" s="62" t="n"/>
      <c r="H203" s="62" t="n"/>
      <c r="I203" s="62" t="n"/>
      <c r="J203" s="60" t="n"/>
      <c r="K203" s="60" t="n"/>
      <c r="L203" s="60" t="n"/>
      <c r="M203" s="61" t="n"/>
      <c r="N203" s="60" t="n"/>
      <c r="O203" s="60" t="n"/>
      <c r="P203" s="60" t="n"/>
      <c r="Q203" s="60" t="n"/>
      <c r="R203" s="60" t="n"/>
      <c r="S203" s="60" t="n"/>
      <c r="T203" s="60" t="n"/>
      <c r="U203" s="60" t="n"/>
      <c r="V203" s="60" t="n"/>
      <c r="W203" s="60" t="n"/>
      <c r="X203" s="60" t="n"/>
      <c r="Y203" s="60" t="n"/>
      <c r="Z203" s="61" t="n"/>
      <c r="AA203" s="63">
        <f>IF($H203="","",TODAY()-$H203)</f>
        <v/>
      </c>
      <c r="AB203" s="63">
        <f>IF($A203="","",IF(AND($F203="Yes",OR($U203="No",$U203="NOT FOUND")),"YES",""))</f>
        <v/>
      </c>
      <c r="AC203" s="66">
        <f>IF($A203="","",TRIM(IF(AND($P203=0,$L203&lt;&gt;"Yes"),"T0-NoSmartcard ","")&amp;IF(AND($J203&lt;&gt;"",$J203&gt;365),"StalePwd ","")&amp;IF($K203="Yes","PwdNeverExpires ","")&amp;IF(AND($S203&lt;&gt;"",$S203&lt;&gt;"None"),"Delegation ","")&amp;IF(AND($Q203=1,$O203="None"),"StaleAdminCount ","")&amp;IF(AND($F203="Yes",$H203=""),"NeverLoggedOn ","")))</f>
        <v/>
      </c>
      <c r="AD203" s="60" t="n"/>
      <c r="AE203" s="61" t="n"/>
      <c r="AF203" s="60" t="n"/>
      <c r="AG203" s="62" t="n"/>
      <c r="AH203" s="62" t="n"/>
      <c r="AI203" s="62" t="n"/>
      <c r="AJ203" s="60" t="n"/>
      <c r="AK203" s="61" t="n"/>
      <c r="AL203" s="63">
        <f>IF($A203="","",IF(AH203="","Not Enrolled",IF(TODAY()&gt;AH203,"Review Overdue",IF(AH203-TODAY()&lt;=30,"Review Due Soon","Active"))))</f>
        <v/>
      </c>
      <c r="AM203" s="63">
        <f>IF($A203="","",IF(AI203="","NOT REVIEWED",IF(TODAY()-AI203&gt;90,"OVERDUE",IF(TODAY()-AI203&gt;76,"Due Soon","Current"))))</f>
        <v/>
      </c>
    </row>
    <row r="204" ht="15" customHeight="1" s="39">
      <c r="A204" s="60" t="n"/>
      <c r="B204" s="60" t="n"/>
      <c r="C204" s="61" t="n"/>
      <c r="D204" s="61" t="n"/>
      <c r="E204" s="60" t="n"/>
      <c r="F204" s="60" t="n"/>
      <c r="G204" s="62" t="n"/>
      <c r="H204" s="62" t="n"/>
      <c r="I204" s="62" t="n"/>
      <c r="J204" s="60" t="n"/>
      <c r="K204" s="60" t="n"/>
      <c r="L204" s="60" t="n"/>
      <c r="M204" s="61" t="n"/>
      <c r="N204" s="60" t="n"/>
      <c r="O204" s="60" t="n"/>
      <c r="P204" s="60" t="n"/>
      <c r="Q204" s="60" t="n"/>
      <c r="R204" s="60" t="n"/>
      <c r="S204" s="60" t="n"/>
      <c r="T204" s="60" t="n"/>
      <c r="U204" s="60" t="n"/>
      <c r="V204" s="60" t="n"/>
      <c r="W204" s="60" t="n"/>
      <c r="X204" s="60" t="n"/>
      <c r="Y204" s="60" t="n"/>
      <c r="Z204" s="61" t="n"/>
      <c r="AA204" s="63">
        <f>IF($H204="","",TODAY()-$H204)</f>
        <v/>
      </c>
      <c r="AB204" s="63">
        <f>IF($A204="","",IF(AND($F204="Yes",OR($U204="No",$U204="NOT FOUND")),"YES",""))</f>
        <v/>
      </c>
      <c r="AC204" s="66">
        <f>IF($A204="","",TRIM(IF(AND($P204=0,$L204&lt;&gt;"Yes"),"T0-NoSmartcard ","")&amp;IF(AND($J204&lt;&gt;"",$J204&gt;365),"StalePwd ","")&amp;IF($K204="Yes","PwdNeverExpires ","")&amp;IF(AND($S204&lt;&gt;"",$S204&lt;&gt;"None"),"Delegation ","")&amp;IF(AND($Q204=1,$O204="None"),"StaleAdminCount ","")&amp;IF(AND($F204="Yes",$H204=""),"NeverLoggedOn ","")))</f>
        <v/>
      </c>
      <c r="AD204" s="60" t="n"/>
      <c r="AE204" s="61" t="n"/>
      <c r="AF204" s="60" t="n"/>
      <c r="AG204" s="62" t="n"/>
      <c r="AH204" s="62" t="n"/>
      <c r="AI204" s="62" t="n"/>
      <c r="AJ204" s="60" t="n"/>
      <c r="AK204" s="61" t="n"/>
      <c r="AL204" s="63">
        <f>IF($A204="","",IF(AH204="","Not Enrolled",IF(TODAY()&gt;AH204,"Review Overdue",IF(AH204-TODAY()&lt;=30,"Review Due Soon","Active"))))</f>
        <v/>
      </c>
      <c r="AM204" s="63">
        <f>IF($A204="","",IF(AI204="","NOT REVIEWED",IF(TODAY()-AI204&gt;90,"OVERDUE",IF(TODAY()-AI204&gt;76,"Due Soon","Current"))))</f>
        <v/>
      </c>
    </row>
    <row r="205" ht="15" customHeight="1" s="39">
      <c r="A205" s="60" t="n"/>
      <c r="B205" s="60" t="n"/>
      <c r="C205" s="61" t="n"/>
      <c r="D205" s="61" t="n"/>
      <c r="E205" s="60" t="n"/>
      <c r="F205" s="60" t="n"/>
      <c r="G205" s="62" t="n"/>
      <c r="H205" s="62" t="n"/>
      <c r="I205" s="62" t="n"/>
      <c r="J205" s="60" t="n"/>
      <c r="K205" s="60" t="n"/>
      <c r="L205" s="60" t="n"/>
      <c r="M205" s="61" t="n"/>
      <c r="N205" s="60" t="n"/>
      <c r="O205" s="60" t="n"/>
      <c r="P205" s="60" t="n"/>
      <c r="Q205" s="60" t="n"/>
      <c r="R205" s="60" t="n"/>
      <c r="S205" s="60" t="n"/>
      <c r="T205" s="60" t="n"/>
      <c r="U205" s="60" t="n"/>
      <c r="V205" s="60" t="n"/>
      <c r="W205" s="60" t="n"/>
      <c r="X205" s="60" t="n"/>
      <c r="Y205" s="60" t="n"/>
      <c r="Z205" s="61" t="n"/>
      <c r="AA205" s="63">
        <f>IF($H205="","",TODAY()-$H205)</f>
        <v/>
      </c>
      <c r="AB205" s="63">
        <f>IF($A205="","",IF(AND($F205="Yes",OR($U205="No",$U205="NOT FOUND")),"YES",""))</f>
        <v/>
      </c>
      <c r="AC205" s="66">
        <f>IF($A205="","",TRIM(IF(AND($P205=0,$L205&lt;&gt;"Yes"),"T0-NoSmartcard ","")&amp;IF(AND($J205&lt;&gt;"",$J205&gt;365),"StalePwd ","")&amp;IF($K205="Yes","PwdNeverExpires ","")&amp;IF(AND($S205&lt;&gt;"",$S205&lt;&gt;"None"),"Delegation ","")&amp;IF(AND($Q205=1,$O205="None"),"StaleAdminCount ","")&amp;IF(AND($F205="Yes",$H205=""),"NeverLoggedOn ","")))</f>
        <v/>
      </c>
      <c r="AD205" s="60" t="n"/>
      <c r="AE205" s="61" t="n"/>
      <c r="AF205" s="60" t="n"/>
      <c r="AG205" s="62" t="n"/>
      <c r="AH205" s="62" t="n"/>
      <c r="AI205" s="62" t="n"/>
      <c r="AJ205" s="60" t="n"/>
      <c r="AK205" s="61" t="n"/>
      <c r="AL205" s="63">
        <f>IF($A205="","",IF(AH205="","Not Enrolled",IF(TODAY()&gt;AH205,"Review Overdue",IF(AH205-TODAY()&lt;=30,"Review Due Soon","Active"))))</f>
        <v/>
      </c>
      <c r="AM205" s="63">
        <f>IF($A205="","",IF(AI205="","NOT REVIEWED",IF(TODAY()-AI205&gt;90,"OVERDUE",IF(TODAY()-AI205&gt;76,"Due Soon","Current"))))</f>
        <v/>
      </c>
    </row>
    <row r="206" ht="15" customHeight="1" s="39">
      <c r="A206" s="60" t="n"/>
      <c r="B206" s="60" t="n"/>
      <c r="C206" s="61" t="n"/>
      <c r="D206" s="61" t="n"/>
      <c r="E206" s="60" t="n"/>
      <c r="F206" s="60" t="n"/>
      <c r="G206" s="62" t="n"/>
      <c r="H206" s="62" t="n"/>
      <c r="I206" s="62" t="n"/>
      <c r="J206" s="60" t="n"/>
      <c r="K206" s="60" t="n"/>
      <c r="L206" s="60" t="n"/>
      <c r="M206" s="61" t="n"/>
      <c r="N206" s="60" t="n"/>
      <c r="O206" s="60" t="n"/>
      <c r="P206" s="60" t="n"/>
      <c r="Q206" s="60" t="n"/>
      <c r="R206" s="60" t="n"/>
      <c r="S206" s="60" t="n"/>
      <c r="T206" s="60" t="n"/>
      <c r="U206" s="60" t="n"/>
      <c r="V206" s="60" t="n"/>
      <c r="W206" s="60" t="n"/>
      <c r="X206" s="60" t="n"/>
      <c r="Y206" s="60" t="n"/>
      <c r="Z206" s="61" t="n"/>
      <c r="AA206" s="63">
        <f>IF($H206="","",TODAY()-$H206)</f>
        <v/>
      </c>
      <c r="AB206" s="63">
        <f>IF($A206="","",IF(AND($F206="Yes",OR($U206="No",$U206="NOT FOUND")),"YES",""))</f>
        <v/>
      </c>
      <c r="AC206" s="66">
        <f>IF($A206="","",TRIM(IF(AND($P206=0,$L206&lt;&gt;"Yes"),"T0-NoSmartcard ","")&amp;IF(AND($J206&lt;&gt;"",$J206&gt;365),"StalePwd ","")&amp;IF($K206="Yes","PwdNeverExpires ","")&amp;IF(AND($S206&lt;&gt;"",$S206&lt;&gt;"None"),"Delegation ","")&amp;IF(AND($Q206=1,$O206="None"),"StaleAdminCount ","")&amp;IF(AND($F206="Yes",$H206=""),"NeverLoggedOn ","")))</f>
        <v/>
      </c>
      <c r="AD206" s="60" t="n"/>
      <c r="AE206" s="61" t="n"/>
      <c r="AF206" s="60" t="n"/>
      <c r="AG206" s="62" t="n"/>
      <c r="AH206" s="62" t="n"/>
      <c r="AI206" s="62" t="n"/>
      <c r="AJ206" s="60" t="n"/>
      <c r="AK206" s="61" t="n"/>
      <c r="AL206" s="63">
        <f>IF($A206="","",IF(AH206="","Not Enrolled",IF(TODAY()&gt;AH206,"Review Overdue",IF(AH206-TODAY()&lt;=30,"Review Due Soon","Active"))))</f>
        <v/>
      </c>
      <c r="AM206" s="63">
        <f>IF($A206="","",IF(AI206="","NOT REVIEWED",IF(TODAY()-AI206&gt;90,"OVERDUE",IF(TODAY()-AI206&gt;76,"Due Soon","Current"))))</f>
        <v/>
      </c>
    </row>
    <row r="207" ht="15" customHeight="1" s="39">
      <c r="A207" s="60" t="n"/>
      <c r="B207" s="60" t="n"/>
      <c r="C207" s="61" t="n"/>
      <c r="D207" s="61" t="n"/>
      <c r="E207" s="60" t="n"/>
      <c r="F207" s="60" t="n"/>
      <c r="G207" s="62" t="n"/>
      <c r="H207" s="62" t="n"/>
      <c r="I207" s="62" t="n"/>
      <c r="J207" s="60" t="n"/>
      <c r="K207" s="60" t="n"/>
      <c r="L207" s="60" t="n"/>
      <c r="M207" s="61" t="n"/>
      <c r="N207" s="60" t="n"/>
      <c r="O207" s="60" t="n"/>
      <c r="P207" s="60" t="n"/>
      <c r="Q207" s="60" t="n"/>
      <c r="R207" s="60" t="n"/>
      <c r="S207" s="60" t="n"/>
      <c r="T207" s="60" t="n"/>
      <c r="U207" s="60" t="n"/>
      <c r="V207" s="60" t="n"/>
      <c r="W207" s="60" t="n"/>
      <c r="X207" s="60" t="n"/>
      <c r="Y207" s="60" t="n"/>
      <c r="Z207" s="61" t="n"/>
      <c r="AA207" s="63">
        <f>IF($H207="","",TODAY()-$H207)</f>
        <v/>
      </c>
      <c r="AB207" s="63">
        <f>IF($A207="","",IF(AND($F207="Yes",OR($U207="No",$U207="NOT FOUND")),"YES",""))</f>
        <v/>
      </c>
      <c r="AC207" s="66">
        <f>IF($A207="","",TRIM(IF(AND($P207=0,$L207&lt;&gt;"Yes"),"T0-NoSmartcard ","")&amp;IF(AND($J207&lt;&gt;"",$J207&gt;365),"StalePwd ","")&amp;IF($K207="Yes","PwdNeverExpires ","")&amp;IF(AND($S207&lt;&gt;"",$S207&lt;&gt;"None"),"Delegation ","")&amp;IF(AND($Q207=1,$O207="None"),"StaleAdminCount ","")&amp;IF(AND($F207="Yes",$H207=""),"NeverLoggedOn ","")))</f>
        <v/>
      </c>
      <c r="AD207" s="60" t="n"/>
      <c r="AE207" s="61" t="n"/>
      <c r="AF207" s="60" t="n"/>
      <c r="AG207" s="62" t="n"/>
      <c r="AH207" s="62" t="n"/>
      <c r="AI207" s="62" t="n"/>
      <c r="AJ207" s="60" t="n"/>
      <c r="AK207" s="61" t="n"/>
      <c r="AL207" s="63">
        <f>IF($A207="","",IF(AH207="","Not Enrolled",IF(TODAY()&gt;AH207,"Review Overdue",IF(AH207-TODAY()&lt;=30,"Review Due Soon","Active"))))</f>
        <v/>
      </c>
      <c r="AM207" s="63">
        <f>IF($A207="","",IF(AI207="","NOT REVIEWED",IF(TODAY()-AI207&gt;90,"OVERDUE",IF(TODAY()-AI207&gt;76,"Due Soon","Current"))))</f>
        <v/>
      </c>
    </row>
    <row r="208" ht="15" customHeight="1" s="39">
      <c r="A208" s="60" t="n"/>
      <c r="B208" s="60" t="n"/>
      <c r="C208" s="61" t="n"/>
      <c r="D208" s="61" t="n"/>
      <c r="E208" s="60" t="n"/>
      <c r="F208" s="60" t="n"/>
      <c r="G208" s="62" t="n"/>
      <c r="H208" s="62" t="n"/>
      <c r="I208" s="62" t="n"/>
      <c r="J208" s="60" t="n"/>
      <c r="K208" s="60" t="n"/>
      <c r="L208" s="60" t="n"/>
      <c r="M208" s="61" t="n"/>
      <c r="N208" s="60" t="n"/>
      <c r="O208" s="60" t="n"/>
      <c r="P208" s="60" t="n"/>
      <c r="Q208" s="60" t="n"/>
      <c r="R208" s="60" t="n"/>
      <c r="S208" s="60" t="n"/>
      <c r="T208" s="60" t="n"/>
      <c r="U208" s="60" t="n"/>
      <c r="V208" s="60" t="n"/>
      <c r="W208" s="60" t="n"/>
      <c r="X208" s="60" t="n"/>
      <c r="Y208" s="60" t="n"/>
      <c r="Z208" s="61" t="n"/>
      <c r="AA208" s="63">
        <f>IF($H208="","",TODAY()-$H208)</f>
        <v/>
      </c>
      <c r="AB208" s="63">
        <f>IF($A208="","",IF(AND($F208="Yes",OR($U208="No",$U208="NOT FOUND")),"YES",""))</f>
        <v/>
      </c>
      <c r="AC208" s="66">
        <f>IF($A208="","",TRIM(IF(AND($P208=0,$L208&lt;&gt;"Yes"),"T0-NoSmartcard ","")&amp;IF(AND($J208&lt;&gt;"",$J208&gt;365),"StalePwd ","")&amp;IF($K208="Yes","PwdNeverExpires ","")&amp;IF(AND($S208&lt;&gt;"",$S208&lt;&gt;"None"),"Delegation ","")&amp;IF(AND($Q208=1,$O208="None"),"StaleAdminCount ","")&amp;IF(AND($F208="Yes",$H208=""),"NeverLoggedOn ","")))</f>
        <v/>
      </c>
      <c r="AD208" s="60" t="n"/>
      <c r="AE208" s="61" t="n"/>
      <c r="AF208" s="60" t="n"/>
      <c r="AG208" s="62" t="n"/>
      <c r="AH208" s="62" t="n"/>
      <c r="AI208" s="62" t="n"/>
      <c r="AJ208" s="60" t="n"/>
      <c r="AK208" s="61" t="n"/>
      <c r="AL208" s="63">
        <f>IF($A208="","",IF(AH208="","Not Enrolled",IF(TODAY()&gt;AH208,"Review Overdue",IF(AH208-TODAY()&lt;=30,"Review Due Soon","Active"))))</f>
        <v/>
      </c>
      <c r="AM208" s="63">
        <f>IF($A208="","",IF(AI208="","NOT REVIEWED",IF(TODAY()-AI208&gt;90,"OVERDUE",IF(TODAY()-AI208&gt;76,"Due Soon","Current"))))</f>
        <v/>
      </c>
    </row>
    <row r="209" ht="15" customHeight="1" s="39">
      <c r="A209" s="60" t="n"/>
      <c r="B209" s="60" t="n"/>
      <c r="C209" s="61" t="n"/>
      <c r="D209" s="61" t="n"/>
      <c r="E209" s="60" t="n"/>
      <c r="F209" s="60" t="n"/>
      <c r="G209" s="62" t="n"/>
      <c r="H209" s="62" t="n"/>
      <c r="I209" s="62" t="n"/>
      <c r="J209" s="60" t="n"/>
      <c r="K209" s="60" t="n"/>
      <c r="L209" s="60" t="n"/>
      <c r="M209" s="61" t="n"/>
      <c r="N209" s="60" t="n"/>
      <c r="O209" s="60" t="n"/>
      <c r="P209" s="60" t="n"/>
      <c r="Q209" s="60" t="n"/>
      <c r="R209" s="60" t="n"/>
      <c r="S209" s="60" t="n"/>
      <c r="T209" s="60" t="n"/>
      <c r="U209" s="60" t="n"/>
      <c r="V209" s="60" t="n"/>
      <c r="W209" s="60" t="n"/>
      <c r="X209" s="60" t="n"/>
      <c r="Y209" s="60" t="n"/>
      <c r="Z209" s="61" t="n"/>
      <c r="AA209" s="63">
        <f>IF($H209="","",TODAY()-$H209)</f>
        <v/>
      </c>
      <c r="AB209" s="63">
        <f>IF($A209="","",IF(AND($F209="Yes",OR($U209="No",$U209="NOT FOUND")),"YES",""))</f>
        <v/>
      </c>
      <c r="AC209" s="66">
        <f>IF($A209="","",TRIM(IF(AND($P209=0,$L209&lt;&gt;"Yes"),"T0-NoSmartcard ","")&amp;IF(AND($J209&lt;&gt;"",$J209&gt;365),"StalePwd ","")&amp;IF($K209="Yes","PwdNeverExpires ","")&amp;IF(AND($S209&lt;&gt;"",$S209&lt;&gt;"None"),"Delegation ","")&amp;IF(AND($Q209=1,$O209="None"),"StaleAdminCount ","")&amp;IF(AND($F209="Yes",$H209=""),"NeverLoggedOn ","")))</f>
        <v/>
      </c>
      <c r="AD209" s="60" t="n"/>
      <c r="AE209" s="61" t="n"/>
      <c r="AF209" s="60" t="n"/>
      <c r="AG209" s="62" t="n"/>
      <c r="AH209" s="62" t="n"/>
      <c r="AI209" s="62" t="n"/>
      <c r="AJ209" s="60" t="n"/>
      <c r="AK209" s="61" t="n"/>
      <c r="AL209" s="63">
        <f>IF($A209="","",IF(AH209="","Not Enrolled",IF(TODAY()&gt;AH209,"Review Overdue",IF(AH209-TODAY()&lt;=30,"Review Due Soon","Active"))))</f>
        <v/>
      </c>
      <c r="AM209" s="63">
        <f>IF($A209="","",IF(AI209="","NOT REVIEWED",IF(TODAY()-AI209&gt;90,"OVERDUE",IF(TODAY()-AI209&gt;76,"Due Soon","Current"))))</f>
        <v/>
      </c>
    </row>
    <row r="210" ht="15" customHeight="1" s="39">
      <c r="A210" s="60" t="n"/>
      <c r="B210" s="60" t="n"/>
      <c r="C210" s="61" t="n"/>
      <c r="D210" s="61" t="n"/>
      <c r="E210" s="60" t="n"/>
      <c r="F210" s="60" t="n"/>
      <c r="G210" s="62" t="n"/>
      <c r="H210" s="62" t="n"/>
      <c r="I210" s="62" t="n"/>
      <c r="J210" s="60" t="n"/>
      <c r="K210" s="60" t="n"/>
      <c r="L210" s="60" t="n"/>
      <c r="M210" s="61" t="n"/>
      <c r="N210" s="60" t="n"/>
      <c r="O210" s="60" t="n"/>
      <c r="P210" s="60" t="n"/>
      <c r="Q210" s="60" t="n"/>
      <c r="R210" s="60" t="n"/>
      <c r="S210" s="60" t="n"/>
      <c r="T210" s="60" t="n"/>
      <c r="U210" s="60" t="n"/>
      <c r="V210" s="60" t="n"/>
      <c r="W210" s="60" t="n"/>
      <c r="X210" s="60" t="n"/>
      <c r="Y210" s="60" t="n"/>
      <c r="Z210" s="61" t="n"/>
      <c r="AA210" s="63">
        <f>IF($H210="","",TODAY()-$H210)</f>
        <v/>
      </c>
      <c r="AB210" s="63">
        <f>IF($A210="","",IF(AND($F210="Yes",OR($U210="No",$U210="NOT FOUND")),"YES",""))</f>
        <v/>
      </c>
      <c r="AC210" s="66">
        <f>IF($A210="","",TRIM(IF(AND($P210=0,$L210&lt;&gt;"Yes"),"T0-NoSmartcard ","")&amp;IF(AND($J210&lt;&gt;"",$J210&gt;365),"StalePwd ","")&amp;IF($K210="Yes","PwdNeverExpires ","")&amp;IF(AND($S210&lt;&gt;"",$S210&lt;&gt;"None"),"Delegation ","")&amp;IF(AND($Q210=1,$O210="None"),"StaleAdminCount ","")&amp;IF(AND($F210="Yes",$H210=""),"NeverLoggedOn ","")))</f>
        <v/>
      </c>
      <c r="AD210" s="60" t="n"/>
      <c r="AE210" s="61" t="n"/>
      <c r="AF210" s="60" t="n"/>
      <c r="AG210" s="62" t="n"/>
      <c r="AH210" s="62" t="n"/>
      <c r="AI210" s="62" t="n"/>
      <c r="AJ210" s="60" t="n"/>
      <c r="AK210" s="61" t="n"/>
      <c r="AL210" s="63">
        <f>IF($A210="","",IF(AH210="","Not Enrolled",IF(TODAY()&gt;AH210,"Review Overdue",IF(AH210-TODAY()&lt;=30,"Review Due Soon","Active"))))</f>
        <v/>
      </c>
      <c r="AM210" s="63">
        <f>IF($A210="","",IF(AI210="","NOT REVIEWED",IF(TODAY()-AI210&gt;90,"OVERDUE",IF(TODAY()-AI210&gt;76,"Due Soon","Current"))))</f>
        <v/>
      </c>
    </row>
    <row r="211" ht="15" customHeight="1" s="39">
      <c r="A211" s="60" t="n"/>
      <c r="B211" s="60" t="n"/>
      <c r="C211" s="61" t="n"/>
      <c r="D211" s="61" t="n"/>
      <c r="E211" s="60" t="n"/>
      <c r="F211" s="60" t="n"/>
      <c r="G211" s="62" t="n"/>
      <c r="H211" s="62" t="n"/>
      <c r="I211" s="62" t="n"/>
      <c r="J211" s="60" t="n"/>
      <c r="K211" s="60" t="n"/>
      <c r="L211" s="60" t="n"/>
      <c r="M211" s="61" t="n"/>
      <c r="N211" s="60" t="n"/>
      <c r="O211" s="60" t="n"/>
      <c r="P211" s="60" t="n"/>
      <c r="Q211" s="60" t="n"/>
      <c r="R211" s="60" t="n"/>
      <c r="S211" s="60" t="n"/>
      <c r="T211" s="60" t="n"/>
      <c r="U211" s="60" t="n"/>
      <c r="V211" s="60" t="n"/>
      <c r="W211" s="60" t="n"/>
      <c r="X211" s="60" t="n"/>
      <c r="Y211" s="60" t="n"/>
      <c r="Z211" s="61" t="n"/>
      <c r="AA211" s="63">
        <f>IF($H211="","",TODAY()-$H211)</f>
        <v/>
      </c>
      <c r="AB211" s="63">
        <f>IF($A211="","",IF(AND($F211="Yes",OR($U211="No",$U211="NOT FOUND")),"YES",""))</f>
        <v/>
      </c>
      <c r="AC211" s="66">
        <f>IF($A211="","",TRIM(IF(AND($P211=0,$L211&lt;&gt;"Yes"),"T0-NoSmartcard ","")&amp;IF(AND($J211&lt;&gt;"",$J211&gt;365),"StalePwd ","")&amp;IF($K211="Yes","PwdNeverExpires ","")&amp;IF(AND($S211&lt;&gt;"",$S211&lt;&gt;"None"),"Delegation ","")&amp;IF(AND($Q211=1,$O211="None"),"StaleAdminCount ","")&amp;IF(AND($F211="Yes",$H211=""),"NeverLoggedOn ","")))</f>
        <v/>
      </c>
      <c r="AD211" s="60" t="n"/>
      <c r="AE211" s="61" t="n"/>
      <c r="AF211" s="60" t="n"/>
      <c r="AG211" s="62" t="n"/>
      <c r="AH211" s="62" t="n"/>
      <c r="AI211" s="62" t="n"/>
      <c r="AJ211" s="60" t="n"/>
      <c r="AK211" s="61" t="n"/>
      <c r="AL211" s="63">
        <f>IF($A211="","",IF(AH211="","Not Enrolled",IF(TODAY()&gt;AH211,"Review Overdue",IF(AH211-TODAY()&lt;=30,"Review Due Soon","Active"))))</f>
        <v/>
      </c>
      <c r="AM211" s="63">
        <f>IF($A211="","",IF(AI211="","NOT REVIEWED",IF(TODAY()-AI211&gt;90,"OVERDUE",IF(TODAY()-AI211&gt;76,"Due Soon","Current"))))</f>
        <v/>
      </c>
    </row>
    <row r="212" ht="15" customHeight="1" s="39">
      <c r="A212" s="60" t="n"/>
      <c r="B212" s="60" t="n"/>
      <c r="C212" s="61" t="n"/>
      <c r="D212" s="61" t="n"/>
      <c r="E212" s="60" t="n"/>
      <c r="F212" s="60" t="n"/>
      <c r="G212" s="62" t="n"/>
      <c r="H212" s="62" t="n"/>
      <c r="I212" s="62" t="n"/>
      <c r="J212" s="60" t="n"/>
      <c r="K212" s="60" t="n"/>
      <c r="L212" s="60" t="n"/>
      <c r="M212" s="61" t="n"/>
      <c r="N212" s="60" t="n"/>
      <c r="O212" s="60" t="n"/>
      <c r="P212" s="60" t="n"/>
      <c r="Q212" s="60" t="n"/>
      <c r="R212" s="60" t="n"/>
      <c r="S212" s="60" t="n"/>
      <c r="T212" s="60" t="n"/>
      <c r="U212" s="60" t="n"/>
      <c r="V212" s="60" t="n"/>
      <c r="W212" s="60" t="n"/>
      <c r="X212" s="60" t="n"/>
      <c r="Y212" s="60" t="n"/>
      <c r="Z212" s="61" t="n"/>
      <c r="AA212" s="63">
        <f>IF($H212="","",TODAY()-$H212)</f>
        <v/>
      </c>
      <c r="AB212" s="63">
        <f>IF($A212="","",IF(AND($F212="Yes",OR($U212="No",$U212="NOT FOUND")),"YES",""))</f>
        <v/>
      </c>
      <c r="AC212" s="66">
        <f>IF($A212="","",TRIM(IF(AND($P212=0,$L212&lt;&gt;"Yes"),"T0-NoSmartcard ","")&amp;IF(AND($J212&lt;&gt;"",$J212&gt;365),"StalePwd ","")&amp;IF($K212="Yes","PwdNeverExpires ","")&amp;IF(AND($S212&lt;&gt;"",$S212&lt;&gt;"None"),"Delegation ","")&amp;IF(AND($Q212=1,$O212="None"),"StaleAdminCount ","")&amp;IF(AND($F212="Yes",$H212=""),"NeverLoggedOn ","")))</f>
        <v/>
      </c>
      <c r="AD212" s="60" t="n"/>
      <c r="AE212" s="61" t="n"/>
      <c r="AF212" s="60" t="n"/>
      <c r="AG212" s="62" t="n"/>
      <c r="AH212" s="62" t="n"/>
      <c r="AI212" s="62" t="n"/>
      <c r="AJ212" s="60" t="n"/>
      <c r="AK212" s="61" t="n"/>
      <c r="AL212" s="63">
        <f>IF($A212="","",IF(AH212="","Not Enrolled",IF(TODAY()&gt;AH212,"Review Overdue",IF(AH212-TODAY()&lt;=30,"Review Due Soon","Active"))))</f>
        <v/>
      </c>
      <c r="AM212" s="63">
        <f>IF($A212="","",IF(AI212="","NOT REVIEWED",IF(TODAY()-AI212&gt;90,"OVERDUE",IF(TODAY()-AI212&gt;76,"Due Soon","Current"))))</f>
        <v/>
      </c>
    </row>
    <row r="213" ht="15" customHeight="1" s="39">
      <c r="A213" s="60" t="n"/>
      <c r="B213" s="60" t="n"/>
      <c r="C213" s="61" t="n"/>
      <c r="D213" s="61" t="n"/>
      <c r="E213" s="60" t="n"/>
      <c r="F213" s="60" t="n"/>
      <c r="G213" s="62" t="n"/>
      <c r="H213" s="62" t="n"/>
      <c r="I213" s="62" t="n"/>
      <c r="J213" s="60" t="n"/>
      <c r="K213" s="60" t="n"/>
      <c r="L213" s="60" t="n"/>
      <c r="M213" s="61" t="n"/>
      <c r="N213" s="60" t="n"/>
      <c r="O213" s="60" t="n"/>
      <c r="P213" s="60" t="n"/>
      <c r="Q213" s="60" t="n"/>
      <c r="R213" s="60" t="n"/>
      <c r="S213" s="60" t="n"/>
      <c r="T213" s="60" t="n"/>
      <c r="U213" s="60" t="n"/>
      <c r="V213" s="60" t="n"/>
      <c r="W213" s="60" t="n"/>
      <c r="X213" s="60" t="n"/>
      <c r="Y213" s="60" t="n"/>
      <c r="Z213" s="61" t="n"/>
      <c r="AA213" s="63">
        <f>IF($H213="","",TODAY()-$H213)</f>
        <v/>
      </c>
      <c r="AB213" s="63">
        <f>IF($A213="","",IF(AND($F213="Yes",OR($U213="No",$U213="NOT FOUND")),"YES",""))</f>
        <v/>
      </c>
      <c r="AC213" s="66">
        <f>IF($A213="","",TRIM(IF(AND($P213=0,$L213&lt;&gt;"Yes"),"T0-NoSmartcard ","")&amp;IF(AND($J213&lt;&gt;"",$J213&gt;365),"StalePwd ","")&amp;IF($K213="Yes","PwdNeverExpires ","")&amp;IF(AND($S213&lt;&gt;"",$S213&lt;&gt;"None"),"Delegation ","")&amp;IF(AND($Q213=1,$O213="None"),"StaleAdminCount ","")&amp;IF(AND($F213="Yes",$H213=""),"NeverLoggedOn ","")))</f>
        <v/>
      </c>
      <c r="AD213" s="60" t="n"/>
      <c r="AE213" s="61" t="n"/>
      <c r="AF213" s="60" t="n"/>
      <c r="AG213" s="62" t="n"/>
      <c r="AH213" s="62" t="n"/>
      <c r="AI213" s="62" t="n"/>
      <c r="AJ213" s="60" t="n"/>
      <c r="AK213" s="61" t="n"/>
      <c r="AL213" s="63">
        <f>IF($A213="","",IF(AH213="","Not Enrolled",IF(TODAY()&gt;AH213,"Review Overdue",IF(AH213-TODAY()&lt;=30,"Review Due Soon","Active"))))</f>
        <v/>
      </c>
      <c r="AM213" s="63">
        <f>IF($A213="","",IF(AI213="","NOT REVIEWED",IF(TODAY()-AI213&gt;90,"OVERDUE",IF(TODAY()-AI213&gt;76,"Due Soon","Current"))))</f>
        <v/>
      </c>
    </row>
    <row r="214" ht="15" customHeight="1" s="39">
      <c r="A214" s="60" t="n"/>
      <c r="B214" s="60" t="n"/>
      <c r="C214" s="61" t="n"/>
      <c r="D214" s="61" t="n"/>
      <c r="E214" s="60" t="n"/>
      <c r="F214" s="60" t="n"/>
      <c r="G214" s="62" t="n"/>
      <c r="H214" s="62" t="n"/>
      <c r="I214" s="62" t="n"/>
      <c r="J214" s="60" t="n"/>
      <c r="K214" s="60" t="n"/>
      <c r="L214" s="60" t="n"/>
      <c r="M214" s="61" t="n"/>
      <c r="N214" s="60" t="n"/>
      <c r="O214" s="60" t="n"/>
      <c r="P214" s="60" t="n"/>
      <c r="Q214" s="60" t="n"/>
      <c r="R214" s="60" t="n"/>
      <c r="S214" s="60" t="n"/>
      <c r="T214" s="60" t="n"/>
      <c r="U214" s="60" t="n"/>
      <c r="V214" s="60" t="n"/>
      <c r="W214" s="60" t="n"/>
      <c r="X214" s="60" t="n"/>
      <c r="Y214" s="60" t="n"/>
      <c r="Z214" s="61" t="n"/>
      <c r="AA214" s="63">
        <f>IF($H214="","",TODAY()-$H214)</f>
        <v/>
      </c>
      <c r="AB214" s="63">
        <f>IF($A214="","",IF(AND($F214="Yes",OR($U214="No",$U214="NOT FOUND")),"YES",""))</f>
        <v/>
      </c>
      <c r="AC214" s="66">
        <f>IF($A214="","",TRIM(IF(AND($P214=0,$L214&lt;&gt;"Yes"),"T0-NoSmartcard ","")&amp;IF(AND($J214&lt;&gt;"",$J214&gt;365),"StalePwd ","")&amp;IF($K214="Yes","PwdNeverExpires ","")&amp;IF(AND($S214&lt;&gt;"",$S214&lt;&gt;"None"),"Delegation ","")&amp;IF(AND($Q214=1,$O214="None"),"StaleAdminCount ","")&amp;IF(AND($F214="Yes",$H214=""),"NeverLoggedOn ","")))</f>
        <v/>
      </c>
      <c r="AD214" s="60" t="n"/>
      <c r="AE214" s="61" t="n"/>
      <c r="AF214" s="60" t="n"/>
      <c r="AG214" s="62" t="n"/>
      <c r="AH214" s="62" t="n"/>
      <c r="AI214" s="62" t="n"/>
      <c r="AJ214" s="60" t="n"/>
      <c r="AK214" s="61" t="n"/>
      <c r="AL214" s="63">
        <f>IF($A214="","",IF(AH214="","Not Enrolled",IF(TODAY()&gt;AH214,"Review Overdue",IF(AH214-TODAY()&lt;=30,"Review Due Soon","Active"))))</f>
        <v/>
      </c>
      <c r="AM214" s="63">
        <f>IF($A214="","",IF(AI214="","NOT REVIEWED",IF(TODAY()-AI214&gt;90,"OVERDUE",IF(TODAY()-AI214&gt;76,"Due Soon","Current"))))</f>
        <v/>
      </c>
    </row>
    <row r="215" ht="15" customHeight="1" s="39">
      <c r="A215" s="60" t="n"/>
      <c r="B215" s="60" t="n"/>
      <c r="C215" s="61" t="n"/>
      <c r="D215" s="61" t="n"/>
      <c r="E215" s="60" t="n"/>
      <c r="F215" s="60" t="n"/>
      <c r="G215" s="62" t="n"/>
      <c r="H215" s="62" t="n"/>
      <c r="I215" s="62" t="n"/>
      <c r="J215" s="60" t="n"/>
      <c r="K215" s="60" t="n"/>
      <c r="L215" s="60" t="n"/>
      <c r="M215" s="61" t="n"/>
      <c r="N215" s="60" t="n"/>
      <c r="O215" s="60" t="n"/>
      <c r="P215" s="60" t="n"/>
      <c r="Q215" s="60" t="n"/>
      <c r="R215" s="60" t="n"/>
      <c r="S215" s="60" t="n"/>
      <c r="T215" s="60" t="n"/>
      <c r="U215" s="60" t="n"/>
      <c r="V215" s="60" t="n"/>
      <c r="W215" s="60" t="n"/>
      <c r="X215" s="60" t="n"/>
      <c r="Y215" s="60" t="n"/>
      <c r="Z215" s="61" t="n"/>
      <c r="AA215" s="63">
        <f>IF($H215="","",TODAY()-$H215)</f>
        <v/>
      </c>
      <c r="AB215" s="63">
        <f>IF($A215="","",IF(AND($F215="Yes",OR($U215="No",$U215="NOT FOUND")),"YES",""))</f>
        <v/>
      </c>
      <c r="AC215" s="66">
        <f>IF($A215="","",TRIM(IF(AND($P215=0,$L215&lt;&gt;"Yes"),"T0-NoSmartcard ","")&amp;IF(AND($J215&lt;&gt;"",$J215&gt;365),"StalePwd ","")&amp;IF($K215="Yes","PwdNeverExpires ","")&amp;IF(AND($S215&lt;&gt;"",$S215&lt;&gt;"None"),"Delegation ","")&amp;IF(AND($Q215=1,$O215="None"),"StaleAdminCount ","")&amp;IF(AND($F215="Yes",$H215=""),"NeverLoggedOn ","")))</f>
        <v/>
      </c>
      <c r="AD215" s="60" t="n"/>
      <c r="AE215" s="61" t="n"/>
      <c r="AF215" s="60" t="n"/>
      <c r="AG215" s="62" t="n"/>
      <c r="AH215" s="62" t="n"/>
      <c r="AI215" s="62" t="n"/>
      <c r="AJ215" s="60" t="n"/>
      <c r="AK215" s="61" t="n"/>
      <c r="AL215" s="63">
        <f>IF($A215="","",IF(AH215="","Not Enrolled",IF(TODAY()&gt;AH215,"Review Overdue",IF(AH215-TODAY()&lt;=30,"Review Due Soon","Active"))))</f>
        <v/>
      </c>
      <c r="AM215" s="63">
        <f>IF($A215="","",IF(AI215="","NOT REVIEWED",IF(TODAY()-AI215&gt;90,"OVERDUE",IF(TODAY()-AI215&gt;76,"Due Soon","Current"))))</f>
        <v/>
      </c>
    </row>
    <row r="216" ht="15" customHeight="1" s="39">
      <c r="A216" s="60" t="n"/>
      <c r="B216" s="60" t="n"/>
      <c r="C216" s="61" t="n"/>
      <c r="D216" s="61" t="n"/>
      <c r="E216" s="60" t="n"/>
      <c r="F216" s="60" t="n"/>
      <c r="G216" s="62" t="n"/>
      <c r="H216" s="62" t="n"/>
      <c r="I216" s="62" t="n"/>
      <c r="J216" s="60" t="n"/>
      <c r="K216" s="60" t="n"/>
      <c r="L216" s="60" t="n"/>
      <c r="M216" s="61" t="n"/>
      <c r="N216" s="60" t="n"/>
      <c r="O216" s="60" t="n"/>
      <c r="P216" s="60" t="n"/>
      <c r="Q216" s="60" t="n"/>
      <c r="R216" s="60" t="n"/>
      <c r="S216" s="60" t="n"/>
      <c r="T216" s="60" t="n"/>
      <c r="U216" s="60" t="n"/>
      <c r="V216" s="60" t="n"/>
      <c r="W216" s="60" t="n"/>
      <c r="X216" s="60" t="n"/>
      <c r="Y216" s="60" t="n"/>
      <c r="Z216" s="61" t="n"/>
      <c r="AA216" s="63">
        <f>IF($H216="","",TODAY()-$H216)</f>
        <v/>
      </c>
      <c r="AB216" s="63">
        <f>IF($A216="","",IF(AND($F216="Yes",OR($U216="No",$U216="NOT FOUND")),"YES",""))</f>
        <v/>
      </c>
      <c r="AC216" s="66">
        <f>IF($A216="","",TRIM(IF(AND($P216=0,$L216&lt;&gt;"Yes"),"T0-NoSmartcard ","")&amp;IF(AND($J216&lt;&gt;"",$J216&gt;365),"StalePwd ","")&amp;IF($K216="Yes","PwdNeverExpires ","")&amp;IF(AND($S216&lt;&gt;"",$S216&lt;&gt;"None"),"Delegation ","")&amp;IF(AND($Q216=1,$O216="None"),"StaleAdminCount ","")&amp;IF(AND($F216="Yes",$H216=""),"NeverLoggedOn ","")))</f>
        <v/>
      </c>
      <c r="AD216" s="60" t="n"/>
      <c r="AE216" s="61" t="n"/>
      <c r="AF216" s="60" t="n"/>
      <c r="AG216" s="62" t="n"/>
      <c r="AH216" s="62" t="n"/>
      <c r="AI216" s="62" t="n"/>
      <c r="AJ216" s="60" t="n"/>
      <c r="AK216" s="61" t="n"/>
      <c r="AL216" s="63">
        <f>IF($A216="","",IF(AH216="","Not Enrolled",IF(TODAY()&gt;AH216,"Review Overdue",IF(AH216-TODAY()&lt;=30,"Review Due Soon","Active"))))</f>
        <v/>
      </c>
      <c r="AM216" s="63">
        <f>IF($A216="","",IF(AI216="","NOT REVIEWED",IF(TODAY()-AI216&gt;90,"OVERDUE",IF(TODAY()-AI216&gt;76,"Due Soon","Current"))))</f>
        <v/>
      </c>
    </row>
    <row r="217" ht="15" customHeight="1" s="39">
      <c r="A217" s="60" t="n"/>
      <c r="B217" s="60" t="n"/>
      <c r="C217" s="61" t="n"/>
      <c r="D217" s="61" t="n"/>
      <c r="E217" s="60" t="n"/>
      <c r="F217" s="60" t="n"/>
      <c r="G217" s="62" t="n"/>
      <c r="H217" s="62" t="n"/>
      <c r="I217" s="62" t="n"/>
      <c r="J217" s="60" t="n"/>
      <c r="K217" s="60" t="n"/>
      <c r="L217" s="60" t="n"/>
      <c r="M217" s="61" t="n"/>
      <c r="N217" s="60" t="n"/>
      <c r="O217" s="60" t="n"/>
      <c r="P217" s="60" t="n"/>
      <c r="Q217" s="60" t="n"/>
      <c r="R217" s="60" t="n"/>
      <c r="S217" s="60" t="n"/>
      <c r="T217" s="60" t="n"/>
      <c r="U217" s="60" t="n"/>
      <c r="V217" s="60" t="n"/>
      <c r="W217" s="60" t="n"/>
      <c r="X217" s="60" t="n"/>
      <c r="Y217" s="60" t="n"/>
      <c r="Z217" s="61" t="n"/>
      <c r="AA217" s="63">
        <f>IF($H217="","",TODAY()-$H217)</f>
        <v/>
      </c>
      <c r="AB217" s="63">
        <f>IF($A217="","",IF(AND($F217="Yes",OR($U217="No",$U217="NOT FOUND")),"YES",""))</f>
        <v/>
      </c>
      <c r="AC217" s="66">
        <f>IF($A217="","",TRIM(IF(AND($P217=0,$L217&lt;&gt;"Yes"),"T0-NoSmartcard ","")&amp;IF(AND($J217&lt;&gt;"",$J217&gt;365),"StalePwd ","")&amp;IF($K217="Yes","PwdNeverExpires ","")&amp;IF(AND($S217&lt;&gt;"",$S217&lt;&gt;"None"),"Delegation ","")&amp;IF(AND($Q217=1,$O217="None"),"StaleAdminCount ","")&amp;IF(AND($F217="Yes",$H217=""),"NeverLoggedOn ","")))</f>
        <v/>
      </c>
      <c r="AD217" s="60" t="n"/>
      <c r="AE217" s="61" t="n"/>
      <c r="AF217" s="60" t="n"/>
      <c r="AG217" s="62" t="n"/>
      <c r="AH217" s="62" t="n"/>
      <c r="AI217" s="62" t="n"/>
      <c r="AJ217" s="60" t="n"/>
      <c r="AK217" s="61" t="n"/>
      <c r="AL217" s="63">
        <f>IF($A217="","",IF(AH217="","Not Enrolled",IF(TODAY()&gt;AH217,"Review Overdue",IF(AH217-TODAY()&lt;=30,"Review Due Soon","Active"))))</f>
        <v/>
      </c>
      <c r="AM217" s="63">
        <f>IF($A217="","",IF(AI217="","NOT REVIEWED",IF(TODAY()-AI217&gt;90,"OVERDUE",IF(TODAY()-AI217&gt;76,"Due Soon","Current"))))</f>
        <v/>
      </c>
    </row>
    <row r="218" ht="15" customHeight="1" s="39">
      <c r="A218" s="60" t="n"/>
      <c r="B218" s="60" t="n"/>
      <c r="C218" s="61" t="n"/>
      <c r="D218" s="61" t="n"/>
      <c r="E218" s="60" t="n"/>
      <c r="F218" s="60" t="n"/>
      <c r="G218" s="62" t="n"/>
      <c r="H218" s="62" t="n"/>
      <c r="I218" s="62" t="n"/>
      <c r="J218" s="60" t="n"/>
      <c r="K218" s="60" t="n"/>
      <c r="L218" s="60" t="n"/>
      <c r="M218" s="61" t="n"/>
      <c r="N218" s="60" t="n"/>
      <c r="O218" s="60" t="n"/>
      <c r="P218" s="60" t="n"/>
      <c r="Q218" s="60" t="n"/>
      <c r="R218" s="60" t="n"/>
      <c r="S218" s="60" t="n"/>
      <c r="T218" s="60" t="n"/>
      <c r="U218" s="60" t="n"/>
      <c r="V218" s="60" t="n"/>
      <c r="W218" s="60" t="n"/>
      <c r="X218" s="60" t="n"/>
      <c r="Y218" s="60" t="n"/>
      <c r="Z218" s="61" t="n"/>
      <c r="AA218" s="63">
        <f>IF($H218="","",TODAY()-$H218)</f>
        <v/>
      </c>
      <c r="AB218" s="63">
        <f>IF($A218="","",IF(AND($F218="Yes",OR($U218="No",$U218="NOT FOUND")),"YES",""))</f>
        <v/>
      </c>
      <c r="AC218" s="66">
        <f>IF($A218="","",TRIM(IF(AND($P218=0,$L218&lt;&gt;"Yes"),"T0-NoSmartcard ","")&amp;IF(AND($J218&lt;&gt;"",$J218&gt;365),"StalePwd ","")&amp;IF($K218="Yes","PwdNeverExpires ","")&amp;IF(AND($S218&lt;&gt;"",$S218&lt;&gt;"None"),"Delegation ","")&amp;IF(AND($Q218=1,$O218="None"),"StaleAdminCount ","")&amp;IF(AND($F218="Yes",$H218=""),"NeverLoggedOn ","")))</f>
        <v/>
      </c>
      <c r="AD218" s="60" t="n"/>
      <c r="AE218" s="61" t="n"/>
      <c r="AF218" s="60" t="n"/>
      <c r="AG218" s="62" t="n"/>
      <c r="AH218" s="62" t="n"/>
      <c r="AI218" s="62" t="n"/>
      <c r="AJ218" s="60" t="n"/>
      <c r="AK218" s="61" t="n"/>
      <c r="AL218" s="63">
        <f>IF($A218="","",IF(AH218="","Not Enrolled",IF(TODAY()&gt;AH218,"Review Overdue",IF(AH218-TODAY()&lt;=30,"Review Due Soon","Active"))))</f>
        <v/>
      </c>
      <c r="AM218" s="63">
        <f>IF($A218="","",IF(AI218="","NOT REVIEWED",IF(TODAY()-AI218&gt;90,"OVERDUE",IF(TODAY()-AI218&gt;76,"Due Soon","Current"))))</f>
        <v/>
      </c>
    </row>
    <row r="219" ht="15" customHeight="1" s="39">
      <c r="A219" s="60" t="n"/>
      <c r="B219" s="60" t="n"/>
      <c r="C219" s="61" t="n"/>
      <c r="D219" s="61" t="n"/>
      <c r="E219" s="60" t="n"/>
      <c r="F219" s="60" t="n"/>
      <c r="G219" s="62" t="n"/>
      <c r="H219" s="62" t="n"/>
      <c r="I219" s="62" t="n"/>
      <c r="J219" s="60" t="n"/>
      <c r="K219" s="60" t="n"/>
      <c r="L219" s="60" t="n"/>
      <c r="M219" s="61" t="n"/>
      <c r="N219" s="60" t="n"/>
      <c r="O219" s="60" t="n"/>
      <c r="P219" s="60" t="n"/>
      <c r="Q219" s="60" t="n"/>
      <c r="R219" s="60" t="n"/>
      <c r="S219" s="60" t="n"/>
      <c r="T219" s="60" t="n"/>
      <c r="U219" s="60" t="n"/>
      <c r="V219" s="60" t="n"/>
      <c r="W219" s="60" t="n"/>
      <c r="X219" s="60" t="n"/>
      <c r="Y219" s="60" t="n"/>
      <c r="Z219" s="61" t="n"/>
      <c r="AA219" s="63">
        <f>IF($H219="","",TODAY()-$H219)</f>
        <v/>
      </c>
      <c r="AB219" s="63">
        <f>IF($A219="","",IF(AND($F219="Yes",OR($U219="No",$U219="NOT FOUND")),"YES",""))</f>
        <v/>
      </c>
      <c r="AC219" s="66">
        <f>IF($A219="","",TRIM(IF(AND($P219=0,$L219&lt;&gt;"Yes"),"T0-NoSmartcard ","")&amp;IF(AND($J219&lt;&gt;"",$J219&gt;365),"StalePwd ","")&amp;IF($K219="Yes","PwdNeverExpires ","")&amp;IF(AND($S219&lt;&gt;"",$S219&lt;&gt;"None"),"Delegation ","")&amp;IF(AND($Q219=1,$O219="None"),"StaleAdminCount ","")&amp;IF(AND($F219="Yes",$H219=""),"NeverLoggedOn ","")))</f>
        <v/>
      </c>
      <c r="AD219" s="60" t="n"/>
      <c r="AE219" s="61" t="n"/>
      <c r="AF219" s="60" t="n"/>
      <c r="AG219" s="62" t="n"/>
      <c r="AH219" s="62" t="n"/>
      <c r="AI219" s="62" t="n"/>
      <c r="AJ219" s="60" t="n"/>
      <c r="AK219" s="61" t="n"/>
      <c r="AL219" s="63">
        <f>IF($A219="","",IF(AH219="","Not Enrolled",IF(TODAY()&gt;AH219,"Review Overdue",IF(AH219-TODAY()&lt;=30,"Review Due Soon","Active"))))</f>
        <v/>
      </c>
      <c r="AM219" s="63">
        <f>IF($A219="","",IF(AI219="","NOT REVIEWED",IF(TODAY()-AI219&gt;90,"OVERDUE",IF(TODAY()-AI219&gt;76,"Due Soon","Current"))))</f>
        <v/>
      </c>
    </row>
    <row r="220" ht="15" customHeight="1" s="39">
      <c r="A220" s="60" t="n"/>
      <c r="B220" s="60" t="n"/>
      <c r="C220" s="61" t="n"/>
      <c r="D220" s="61" t="n"/>
      <c r="E220" s="60" t="n"/>
      <c r="F220" s="60" t="n"/>
      <c r="G220" s="62" t="n"/>
      <c r="H220" s="62" t="n"/>
      <c r="I220" s="62" t="n"/>
      <c r="J220" s="60" t="n"/>
      <c r="K220" s="60" t="n"/>
      <c r="L220" s="60" t="n"/>
      <c r="M220" s="61" t="n"/>
      <c r="N220" s="60" t="n"/>
      <c r="O220" s="60" t="n"/>
      <c r="P220" s="60" t="n"/>
      <c r="Q220" s="60" t="n"/>
      <c r="R220" s="60" t="n"/>
      <c r="S220" s="60" t="n"/>
      <c r="T220" s="60" t="n"/>
      <c r="U220" s="60" t="n"/>
      <c r="V220" s="60" t="n"/>
      <c r="W220" s="60" t="n"/>
      <c r="X220" s="60" t="n"/>
      <c r="Y220" s="60" t="n"/>
      <c r="Z220" s="61" t="n"/>
      <c r="AA220" s="63">
        <f>IF($H220="","",TODAY()-$H220)</f>
        <v/>
      </c>
      <c r="AB220" s="63">
        <f>IF($A220="","",IF(AND($F220="Yes",OR($U220="No",$U220="NOT FOUND")),"YES",""))</f>
        <v/>
      </c>
      <c r="AC220" s="66">
        <f>IF($A220="","",TRIM(IF(AND($P220=0,$L220&lt;&gt;"Yes"),"T0-NoSmartcard ","")&amp;IF(AND($J220&lt;&gt;"",$J220&gt;365),"StalePwd ","")&amp;IF($K220="Yes","PwdNeverExpires ","")&amp;IF(AND($S220&lt;&gt;"",$S220&lt;&gt;"None"),"Delegation ","")&amp;IF(AND($Q220=1,$O220="None"),"StaleAdminCount ","")&amp;IF(AND($F220="Yes",$H220=""),"NeverLoggedOn ","")))</f>
        <v/>
      </c>
      <c r="AD220" s="60" t="n"/>
      <c r="AE220" s="61" t="n"/>
      <c r="AF220" s="60" t="n"/>
      <c r="AG220" s="62" t="n"/>
      <c r="AH220" s="62" t="n"/>
      <c r="AI220" s="62" t="n"/>
      <c r="AJ220" s="60" t="n"/>
      <c r="AK220" s="61" t="n"/>
      <c r="AL220" s="63">
        <f>IF($A220="","",IF(AH220="","Not Enrolled",IF(TODAY()&gt;AH220,"Review Overdue",IF(AH220-TODAY()&lt;=30,"Review Due Soon","Active"))))</f>
        <v/>
      </c>
      <c r="AM220" s="63">
        <f>IF($A220="","",IF(AI220="","NOT REVIEWED",IF(TODAY()-AI220&gt;90,"OVERDUE",IF(TODAY()-AI220&gt;76,"Due Soon","Current"))))</f>
        <v/>
      </c>
    </row>
    <row r="221" ht="15" customHeight="1" s="39">
      <c r="A221" s="60" t="n"/>
      <c r="B221" s="60" t="n"/>
      <c r="C221" s="61" t="n"/>
      <c r="D221" s="61" t="n"/>
      <c r="E221" s="60" t="n"/>
      <c r="F221" s="60" t="n"/>
      <c r="G221" s="62" t="n"/>
      <c r="H221" s="62" t="n"/>
      <c r="I221" s="62" t="n"/>
      <c r="J221" s="60" t="n"/>
      <c r="K221" s="60" t="n"/>
      <c r="L221" s="60" t="n"/>
      <c r="M221" s="61" t="n"/>
      <c r="N221" s="60" t="n"/>
      <c r="O221" s="60" t="n"/>
      <c r="P221" s="60" t="n"/>
      <c r="Q221" s="60" t="n"/>
      <c r="R221" s="60" t="n"/>
      <c r="S221" s="60" t="n"/>
      <c r="T221" s="60" t="n"/>
      <c r="U221" s="60" t="n"/>
      <c r="V221" s="60" t="n"/>
      <c r="W221" s="60" t="n"/>
      <c r="X221" s="60" t="n"/>
      <c r="Y221" s="60" t="n"/>
      <c r="Z221" s="61" t="n"/>
      <c r="AA221" s="63">
        <f>IF($H221="","",TODAY()-$H221)</f>
        <v/>
      </c>
      <c r="AB221" s="63">
        <f>IF($A221="","",IF(AND($F221="Yes",OR($U221="No",$U221="NOT FOUND")),"YES",""))</f>
        <v/>
      </c>
      <c r="AC221" s="66">
        <f>IF($A221="","",TRIM(IF(AND($P221=0,$L221&lt;&gt;"Yes"),"T0-NoSmartcard ","")&amp;IF(AND($J221&lt;&gt;"",$J221&gt;365),"StalePwd ","")&amp;IF($K221="Yes","PwdNeverExpires ","")&amp;IF(AND($S221&lt;&gt;"",$S221&lt;&gt;"None"),"Delegation ","")&amp;IF(AND($Q221=1,$O221="None"),"StaleAdminCount ","")&amp;IF(AND($F221="Yes",$H221=""),"NeverLoggedOn ","")))</f>
        <v/>
      </c>
      <c r="AD221" s="60" t="n"/>
      <c r="AE221" s="61" t="n"/>
      <c r="AF221" s="60" t="n"/>
      <c r="AG221" s="62" t="n"/>
      <c r="AH221" s="62" t="n"/>
      <c r="AI221" s="62" t="n"/>
      <c r="AJ221" s="60" t="n"/>
      <c r="AK221" s="61" t="n"/>
      <c r="AL221" s="63">
        <f>IF($A221="","",IF(AH221="","Not Enrolled",IF(TODAY()&gt;AH221,"Review Overdue",IF(AH221-TODAY()&lt;=30,"Review Due Soon","Active"))))</f>
        <v/>
      </c>
      <c r="AM221" s="63">
        <f>IF($A221="","",IF(AI221="","NOT REVIEWED",IF(TODAY()-AI221&gt;90,"OVERDUE",IF(TODAY()-AI221&gt;76,"Due Soon","Current"))))</f>
        <v/>
      </c>
    </row>
    <row r="222" ht="15" customHeight="1" s="39">
      <c r="A222" s="60" t="n"/>
      <c r="B222" s="60" t="n"/>
      <c r="C222" s="61" t="n"/>
      <c r="D222" s="61" t="n"/>
      <c r="E222" s="60" t="n"/>
      <c r="F222" s="60" t="n"/>
      <c r="G222" s="62" t="n"/>
      <c r="H222" s="62" t="n"/>
      <c r="I222" s="62" t="n"/>
      <c r="J222" s="60" t="n"/>
      <c r="K222" s="60" t="n"/>
      <c r="L222" s="60" t="n"/>
      <c r="M222" s="61" t="n"/>
      <c r="N222" s="60" t="n"/>
      <c r="O222" s="60" t="n"/>
      <c r="P222" s="60" t="n"/>
      <c r="Q222" s="60" t="n"/>
      <c r="R222" s="60" t="n"/>
      <c r="S222" s="60" t="n"/>
      <c r="T222" s="60" t="n"/>
      <c r="U222" s="60" t="n"/>
      <c r="V222" s="60" t="n"/>
      <c r="W222" s="60" t="n"/>
      <c r="X222" s="60" t="n"/>
      <c r="Y222" s="60" t="n"/>
      <c r="Z222" s="61" t="n"/>
      <c r="AA222" s="63">
        <f>IF($H222="","",TODAY()-$H222)</f>
        <v/>
      </c>
      <c r="AB222" s="63">
        <f>IF($A222="","",IF(AND($F222="Yes",OR($U222="No",$U222="NOT FOUND")),"YES",""))</f>
        <v/>
      </c>
      <c r="AC222" s="66">
        <f>IF($A222="","",TRIM(IF(AND($P222=0,$L222&lt;&gt;"Yes"),"T0-NoSmartcard ","")&amp;IF(AND($J222&lt;&gt;"",$J222&gt;365),"StalePwd ","")&amp;IF($K222="Yes","PwdNeverExpires ","")&amp;IF(AND($S222&lt;&gt;"",$S222&lt;&gt;"None"),"Delegation ","")&amp;IF(AND($Q222=1,$O222="None"),"StaleAdminCount ","")&amp;IF(AND($F222="Yes",$H222=""),"NeverLoggedOn ","")))</f>
        <v/>
      </c>
      <c r="AD222" s="60" t="n"/>
      <c r="AE222" s="61" t="n"/>
      <c r="AF222" s="60" t="n"/>
      <c r="AG222" s="62" t="n"/>
      <c r="AH222" s="62" t="n"/>
      <c r="AI222" s="62" t="n"/>
      <c r="AJ222" s="60" t="n"/>
      <c r="AK222" s="61" t="n"/>
      <c r="AL222" s="63">
        <f>IF($A222="","",IF(AH222="","Not Enrolled",IF(TODAY()&gt;AH222,"Review Overdue",IF(AH222-TODAY()&lt;=30,"Review Due Soon","Active"))))</f>
        <v/>
      </c>
      <c r="AM222" s="63">
        <f>IF($A222="","",IF(AI222="","NOT REVIEWED",IF(TODAY()-AI222&gt;90,"OVERDUE",IF(TODAY()-AI222&gt;76,"Due Soon","Current"))))</f>
        <v/>
      </c>
    </row>
    <row r="223" ht="15" customHeight="1" s="39">
      <c r="A223" s="60" t="n"/>
      <c r="B223" s="60" t="n"/>
      <c r="C223" s="61" t="n"/>
      <c r="D223" s="61" t="n"/>
      <c r="E223" s="60" t="n"/>
      <c r="F223" s="60" t="n"/>
      <c r="G223" s="62" t="n"/>
      <c r="H223" s="62" t="n"/>
      <c r="I223" s="62" t="n"/>
      <c r="J223" s="60" t="n"/>
      <c r="K223" s="60" t="n"/>
      <c r="L223" s="60" t="n"/>
      <c r="M223" s="61" t="n"/>
      <c r="N223" s="60" t="n"/>
      <c r="O223" s="60" t="n"/>
      <c r="P223" s="60" t="n"/>
      <c r="Q223" s="60" t="n"/>
      <c r="R223" s="60" t="n"/>
      <c r="S223" s="60" t="n"/>
      <c r="T223" s="60" t="n"/>
      <c r="U223" s="60" t="n"/>
      <c r="V223" s="60" t="n"/>
      <c r="W223" s="60" t="n"/>
      <c r="X223" s="60" t="n"/>
      <c r="Y223" s="60" t="n"/>
      <c r="Z223" s="61" t="n"/>
      <c r="AA223" s="63">
        <f>IF($H223="","",TODAY()-$H223)</f>
        <v/>
      </c>
      <c r="AB223" s="63">
        <f>IF($A223="","",IF(AND($F223="Yes",OR($U223="No",$U223="NOT FOUND")),"YES",""))</f>
        <v/>
      </c>
      <c r="AC223" s="66">
        <f>IF($A223="","",TRIM(IF(AND($P223=0,$L223&lt;&gt;"Yes"),"T0-NoSmartcard ","")&amp;IF(AND($J223&lt;&gt;"",$J223&gt;365),"StalePwd ","")&amp;IF($K223="Yes","PwdNeverExpires ","")&amp;IF(AND($S223&lt;&gt;"",$S223&lt;&gt;"None"),"Delegation ","")&amp;IF(AND($Q223=1,$O223="None"),"StaleAdminCount ","")&amp;IF(AND($F223="Yes",$H223=""),"NeverLoggedOn ","")))</f>
        <v/>
      </c>
      <c r="AD223" s="60" t="n"/>
      <c r="AE223" s="61" t="n"/>
      <c r="AF223" s="60" t="n"/>
      <c r="AG223" s="62" t="n"/>
      <c r="AH223" s="62" t="n"/>
      <c r="AI223" s="62" t="n"/>
      <c r="AJ223" s="60" t="n"/>
      <c r="AK223" s="61" t="n"/>
      <c r="AL223" s="63">
        <f>IF($A223="","",IF(AH223="","Not Enrolled",IF(TODAY()&gt;AH223,"Review Overdue",IF(AH223-TODAY()&lt;=30,"Review Due Soon","Active"))))</f>
        <v/>
      </c>
      <c r="AM223" s="63">
        <f>IF($A223="","",IF(AI223="","NOT REVIEWED",IF(TODAY()-AI223&gt;90,"OVERDUE",IF(TODAY()-AI223&gt;76,"Due Soon","Current"))))</f>
        <v/>
      </c>
    </row>
    <row r="224" ht="15" customHeight="1" s="39">
      <c r="A224" s="60" t="n"/>
      <c r="B224" s="60" t="n"/>
      <c r="C224" s="61" t="n"/>
      <c r="D224" s="61" t="n"/>
      <c r="E224" s="60" t="n"/>
      <c r="F224" s="60" t="n"/>
      <c r="G224" s="62" t="n"/>
      <c r="H224" s="62" t="n"/>
      <c r="I224" s="62" t="n"/>
      <c r="J224" s="60" t="n"/>
      <c r="K224" s="60" t="n"/>
      <c r="L224" s="60" t="n"/>
      <c r="M224" s="61" t="n"/>
      <c r="N224" s="60" t="n"/>
      <c r="O224" s="60" t="n"/>
      <c r="P224" s="60" t="n"/>
      <c r="Q224" s="60" t="n"/>
      <c r="R224" s="60" t="n"/>
      <c r="S224" s="60" t="n"/>
      <c r="T224" s="60" t="n"/>
      <c r="U224" s="60" t="n"/>
      <c r="V224" s="60" t="n"/>
      <c r="W224" s="60" t="n"/>
      <c r="X224" s="60" t="n"/>
      <c r="Y224" s="60" t="n"/>
      <c r="Z224" s="61" t="n"/>
      <c r="AA224" s="63">
        <f>IF($H224="","",TODAY()-$H224)</f>
        <v/>
      </c>
      <c r="AB224" s="63">
        <f>IF($A224="","",IF(AND($F224="Yes",OR($U224="No",$U224="NOT FOUND")),"YES",""))</f>
        <v/>
      </c>
      <c r="AC224" s="66">
        <f>IF($A224="","",TRIM(IF(AND($P224=0,$L224&lt;&gt;"Yes"),"T0-NoSmartcard ","")&amp;IF(AND($J224&lt;&gt;"",$J224&gt;365),"StalePwd ","")&amp;IF($K224="Yes","PwdNeverExpires ","")&amp;IF(AND($S224&lt;&gt;"",$S224&lt;&gt;"None"),"Delegation ","")&amp;IF(AND($Q224=1,$O224="None"),"StaleAdminCount ","")&amp;IF(AND($F224="Yes",$H224=""),"NeverLoggedOn ","")))</f>
        <v/>
      </c>
      <c r="AD224" s="60" t="n"/>
      <c r="AE224" s="61" t="n"/>
      <c r="AF224" s="60" t="n"/>
      <c r="AG224" s="62" t="n"/>
      <c r="AH224" s="62" t="n"/>
      <c r="AI224" s="62" t="n"/>
      <c r="AJ224" s="60" t="n"/>
      <c r="AK224" s="61" t="n"/>
      <c r="AL224" s="63">
        <f>IF($A224="","",IF(AH224="","Not Enrolled",IF(TODAY()&gt;AH224,"Review Overdue",IF(AH224-TODAY()&lt;=30,"Review Due Soon","Active"))))</f>
        <v/>
      </c>
      <c r="AM224" s="63">
        <f>IF($A224="","",IF(AI224="","NOT REVIEWED",IF(TODAY()-AI224&gt;90,"OVERDUE",IF(TODAY()-AI224&gt;76,"Due Soon","Current"))))</f>
        <v/>
      </c>
    </row>
    <row r="225" ht="15" customHeight="1" s="39">
      <c r="A225" s="60" t="n"/>
      <c r="B225" s="60" t="n"/>
      <c r="C225" s="61" t="n"/>
      <c r="D225" s="61" t="n"/>
      <c r="E225" s="60" t="n"/>
      <c r="F225" s="60" t="n"/>
      <c r="G225" s="62" t="n"/>
      <c r="H225" s="62" t="n"/>
      <c r="I225" s="62" t="n"/>
      <c r="J225" s="60" t="n"/>
      <c r="K225" s="60" t="n"/>
      <c r="L225" s="60" t="n"/>
      <c r="M225" s="61" t="n"/>
      <c r="N225" s="60" t="n"/>
      <c r="O225" s="60" t="n"/>
      <c r="P225" s="60" t="n"/>
      <c r="Q225" s="60" t="n"/>
      <c r="R225" s="60" t="n"/>
      <c r="S225" s="60" t="n"/>
      <c r="T225" s="60" t="n"/>
      <c r="U225" s="60" t="n"/>
      <c r="V225" s="60" t="n"/>
      <c r="W225" s="60" t="n"/>
      <c r="X225" s="60" t="n"/>
      <c r="Y225" s="60" t="n"/>
      <c r="Z225" s="61" t="n"/>
      <c r="AA225" s="63">
        <f>IF($H225="","",TODAY()-$H225)</f>
        <v/>
      </c>
      <c r="AB225" s="63">
        <f>IF($A225="","",IF(AND($F225="Yes",OR($U225="No",$U225="NOT FOUND")),"YES",""))</f>
        <v/>
      </c>
      <c r="AC225" s="66">
        <f>IF($A225="","",TRIM(IF(AND($P225=0,$L225&lt;&gt;"Yes"),"T0-NoSmartcard ","")&amp;IF(AND($J225&lt;&gt;"",$J225&gt;365),"StalePwd ","")&amp;IF($K225="Yes","PwdNeverExpires ","")&amp;IF(AND($S225&lt;&gt;"",$S225&lt;&gt;"None"),"Delegation ","")&amp;IF(AND($Q225=1,$O225="None"),"StaleAdminCount ","")&amp;IF(AND($F225="Yes",$H225=""),"NeverLoggedOn ","")))</f>
        <v/>
      </c>
      <c r="AD225" s="60" t="n"/>
      <c r="AE225" s="61" t="n"/>
      <c r="AF225" s="60" t="n"/>
      <c r="AG225" s="62" t="n"/>
      <c r="AH225" s="62" t="n"/>
      <c r="AI225" s="62" t="n"/>
      <c r="AJ225" s="60" t="n"/>
      <c r="AK225" s="61" t="n"/>
      <c r="AL225" s="63">
        <f>IF($A225="","",IF(AH225="","Not Enrolled",IF(TODAY()&gt;AH225,"Review Overdue",IF(AH225-TODAY()&lt;=30,"Review Due Soon","Active"))))</f>
        <v/>
      </c>
      <c r="AM225" s="63">
        <f>IF($A225="","",IF(AI225="","NOT REVIEWED",IF(TODAY()-AI225&gt;90,"OVERDUE",IF(TODAY()-AI225&gt;76,"Due Soon","Current"))))</f>
        <v/>
      </c>
    </row>
    <row r="226" ht="15" customHeight="1" s="39">
      <c r="A226" s="60" t="n"/>
      <c r="B226" s="60" t="n"/>
      <c r="C226" s="61" t="n"/>
      <c r="D226" s="61" t="n"/>
      <c r="E226" s="60" t="n"/>
      <c r="F226" s="60" t="n"/>
      <c r="G226" s="62" t="n"/>
      <c r="H226" s="62" t="n"/>
      <c r="I226" s="62" t="n"/>
      <c r="J226" s="60" t="n"/>
      <c r="K226" s="60" t="n"/>
      <c r="L226" s="60" t="n"/>
      <c r="M226" s="61" t="n"/>
      <c r="N226" s="60" t="n"/>
      <c r="O226" s="60" t="n"/>
      <c r="P226" s="60" t="n"/>
      <c r="Q226" s="60" t="n"/>
      <c r="R226" s="60" t="n"/>
      <c r="S226" s="60" t="n"/>
      <c r="T226" s="60" t="n"/>
      <c r="U226" s="60" t="n"/>
      <c r="V226" s="60" t="n"/>
      <c r="W226" s="60" t="n"/>
      <c r="X226" s="60" t="n"/>
      <c r="Y226" s="60" t="n"/>
      <c r="Z226" s="61" t="n"/>
      <c r="AA226" s="63">
        <f>IF($H226="","",TODAY()-$H226)</f>
        <v/>
      </c>
      <c r="AB226" s="63">
        <f>IF($A226="","",IF(AND($F226="Yes",OR($U226="No",$U226="NOT FOUND")),"YES",""))</f>
        <v/>
      </c>
      <c r="AC226" s="66">
        <f>IF($A226="","",TRIM(IF(AND($P226=0,$L226&lt;&gt;"Yes"),"T0-NoSmartcard ","")&amp;IF(AND($J226&lt;&gt;"",$J226&gt;365),"StalePwd ","")&amp;IF($K226="Yes","PwdNeverExpires ","")&amp;IF(AND($S226&lt;&gt;"",$S226&lt;&gt;"None"),"Delegation ","")&amp;IF(AND($Q226=1,$O226="None"),"StaleAdminCount ","")&amp;IF(AND($F226="Yes",$H226=""),"NeverLoggedOn ","")))</f>
        <v/>
      </c>
      <c r="AD226" s="60" t="n"/>
      <c r="AE226" s="61" t="n"/>
      <c r="AF226" s="60" t="n"/>
      <c r="AG226" s="62" t="n"/>
      <c r="AH226" s="62" t="n"/>
      <c r="AI226" s="62" t="n"/>
      <c r="AJ226" s="60" t="n"/>
      <c r="AK226" s="61" t="n"/>
      <c r="AL226" s="63">
        <f>IF($A226="","",IF(AH226="","Not Enrolled",IF(TODAY()&gt;AH226,"Review Overdue",IF(AH226-TODAY()&lt;=30,"Review Due Soon","Active"))))</f>
        <v/>
      </c>
      <c r="AM226" s="63">
        <f>IF($A226="","",IF(AI226="","NOT REVIEWED",IF(TODAY()-AI226&gt;90,"OVERDUE",IF(TODAY()-AI226&gt;76,"Due Soon","Current"))))</f>
        <v/>
      </c>
    </row>
    <row r="227" ht="15" customHeight="1" s="39">
      <c r="A227" s="60" t="n"/>
      <c r="B227" s="60" t="n"/>
      <c r="C227" s="61" t="n"/>
      <c r="D227" s="61" t="n"/>
      <c r="E227" s="60" t="n"/>
      <c r="F227" s="60" t="n"/>
      <c r="G227" s="62" t="n"/>
      <c r="H227" s="62" t="n"/>
      <c r="I227" s="62" t="n"/>
      <c r="J227" s="60" t="n"/>
      <c r="K227" s="60" t="n"/>
      <c r="L227" s="60" t="n"/>
      <c r="M227" s="61" t="n"/>
      <c r="N227" s="60" t="n"/>
      <c r="O227" s="60" t="n"/>
      <c r="P227" s="60" t="n"/>
      <c r="Q227" s="60" t="n"/>
      <c r="R227" s="60" t="n"/>
      <c r="S227" s="60" t="n"/>
      <c r="T227" s="60" t="n"/>
      <c r="U227" s="60" t="n"/>
      <c r="V227" s="60" t="n"/>
      <c r="W227" s="60" t="n"/>
      <c r="X227" s="60" t="n"/>
      <c r="Y227" s="60" t="n"/>
      <c r="Z227" s="61" t="n"/>
      <c r="AA227" s="63">
        <f>IF($H227="","",TODAY()-$H227)</f>
        <v/>
      </c>
      <c r="AB227" s="63">
        <f>IF($A227="","",IF(AND($F227="Yes",OR($U227="No",$U227="NOT FOUND")),"YES",""))</f>
        <v/>
      </c>
      <c r="AC227" s="66">
        <f>IF($A227="","",TRIM(IF(AND($P227=0,$L227&lt;&gt;"Yes"),"T0-NoSmartcard ","")&amp;IF(AND($J227&lt;&gt;"",$J227&gt;365),"StalePwd ","")&amp;IF($K227="Yes","PwdNeverExpires ","")&amp;IF(AND($S227&lt;&gt;"",$S227&lt;&gt;"None"),"Delegation ","")&amp;IF(AND($Q227=1,$O227="None"),"StaleAdminCount ","")&amp;IF(AND($F227="Yes",$H227=""),"NeverLoggedOn ","")))</f>
        <v/>
      </c>
      <c r="AD227" s="60" t="n"/>
      <c r="AE227" s="61" t="n"/>
      <c r="AF227" s="60" t="n"/>
      <c r="AG227" s="62" t="n"/>
      <c r="AH227" s="62" t="n"/>
      <c r="AI227" s="62" t="n"/>
      <c r="AJ227" s="60" t="n"/>
      <c r="AK227" s="61" t="n"/>
      <c r="AL227" s="63">
        <f>IF($A227="","",IF(AH227="","Not Enrolled",IF(TODAY()&gt;AH227,"Review Overdue",IF(AH227-TODAY()&lt;=30,"Review Due Soon","Active"))))</f>
        <v/>
      </c>
      <c r="AM227" s="63">
        <f>IF($A227="","",IF(AI227="","NOT REVIEWED",IF(TODAY()-AI227&gt;90,"OVERDUE",IF(TODAY()-AI227&gt;76,"Due Soon","Current"))))</f>
        <v/>
      </c>
    </row>
    <row r="228" ht="15" customHeight="1" s="39">
      <c r="A228" s="60" t="n"/>
      <c r="B228" s="60" t="n"/>
      <c r="C228" s="61" t="n"/>
      <c r="D228" s="61" t="n"/>
      <c r="E228" s="60" t="n"/>
      <c r="F228" s="60" t="n"/>
      <c r="G228" s="62" t="n"/>
      <c r="H228" s="62" t="n"/>
      <c r="I228" s="62" t="n"/>
      <c r="J228" s="60" t="n"/>
      <c r="K228" s="60" t="n"/>
      <c r="L228" s="60" t="n"/>
      <c r="M228" s="61" t="n"/>
      <c r="N228" s="60" t="n"/>
      <c r="O228" s="60" t="n"/>
      <c r="P228" s="60" t="n"/>
      <c r="Q228" s="60" t="n"/>
      <c r="R228" s="60" t="n"/>
      <c r="S228" s="60" t="n"/>
      <c r="T228" s="60" t="n"/>
      <c r="U228" s="60" t="n"/>
      <c r="V228" s="60" t="n"/>
      <c r="W228" s="60" t="n"/>
      <c r="X228" s="60" t="n"/>
      <c r="Y228" s="60" t="n"/>
      <c r="Z228" s="61" t="n"/>
      <c r="AA228" s="63">
        <f>IF($H228="","",TODAY()-$H228)</f>
        <v/>
      </c>
      <c r="AB228" s="63">
        <f>IF($A228="","",IF(AND($F228="Yes",OR($U228="No",$U228="NOT FOUND")),"YES",""))</f>
        <v/>
      </c>
      <c r="AC228" s="66">
        <f>IF($A228="","",TRIM(IF(AND($P228=0,$L228&lt;&gt;"Yes"),"T0-NoSmartcard ","")&amp;IF(AND($J228&lt;&gt;"",$J228&gt;365),"StalePwd ","")&amp;IF($K228="Yes","PwdNeverExpires ","")&amp;IF(AND($S228&lt;&gt;"",$S228&lt;&gt;"None"),"Delegation ","")&amp;IF(AND($Q228=1,$O228="None"),"StaleAdminCount ","")&amp;IF(AND($F228="Yes",$H228=""),"NeverLoggedOn ","")))</f>
        <v/>
      </c>
      <c r="AD228" s="60" t="n"/>
      <c r="AE228" s="61" t="n"/>
      <c r="AF228" s="60" t="n"/>
      <c r="AG228" s="62" t="n"/>
      <c r="AH228" s="62" t="n"/>
      <c r="AI228" s="62" t="n"/>
      <c r="AJ228" s="60" t="n"/>
      <c r="AK228" s="61" t="n"/>
      <c r="AL228" s="63">
        <f>IF($A228="","",IF(AH228="","Not Enrolled",IF(TODAY()&gt;AH228,"Review Overdue",IF(AH228-TODAY()&lt;=30,"Review Due Soon","Active"))))</f>
        <v/>
      </c>
      <c r="AM228" s="63">
        <f>IF($A228="","",IF(AI228="","NOT REVIEWED",IF(TODAY()-AI228&gt;90,"OVERDUE",IF(TODAY()-AI228&gt;76,"Due Soon","Current"))))</f>
        <v/>
      </c>
    </row>
    <row r="229" ht="15" customHeight="1" s="39">
      <c r="A229" s="60" t="n"/>
      <c r="B229" s="60" t="n"/>
      <c r="C229" s="61" t="n"/>
      <c r="D229" s="61" t="n"/>
      <c r="E229" s="60" t="n"/>
      <c r="F229" s="60" t="n"/>
      <c r="G229" s="62" t="n"/>
      <c r="H229" s="62" t="n"/>
      <c r="I229" s="62" t="n"/>
      <c r="J229" s="60" t="n"/>
      <c r="K229" s="60" t="n"/>
      <c r="L229" s="60" t="n"/>
      <c r="M229" s="61" t="n"/>
      <c r="N229" s="60" t="n"/>
      <c r="O229" s="60" t="n"/>
      <c r="P229" s="60" t="n"/>
      <c r="Q229" s="60" t="n"/>
      <c r="R229" s="60" t="n"/>
      <c r="S229" s="60" t="n"/>
      <c r="T229" s="60" t="n"/>
      <c r="U229" s="60" t="n"/>
      <c r="V229" s="60" t="n"/>
      <c r="W229" s="60" t="n"/>
      <c r="X229" s="60" t="n"/>
      <c r="Y229" s="60" t="n"/>
      <c r="Z229" s="61" t="n"/>
      <c r="AA229" s="63">
        <f>IF($H229="","",TODAY()-$H229)</f>
        <v/>
      </c>
      <c r="AB229" s="63">
        <f>IF($A229="","",IF(AND($F229="Yes",OR($U229="No",$U229="NOT FOUND")),"YES",""))</f>
        <v/>
      </c>
      <c r="AC229" s="66">
        <f>IF($A229="","",TRIM(IF(AND($P229=0,$L229&lt;&gt;"Yes"),"T0-NoSmartcard ","")&amp;IF(AND($J229&lt;&gt;"",$J229&gt;365),"StalePwd ","")&amp;IF($K229="Yes","PwdNeverExpires ","")&amp;IF(AND($S229&lt;&gt;"",$S229&lt;&gt;"None"),"Delegation ","")&amp;IF(AND($Q229=1,$O229="None"),"StaleAdminCount ","")&amp;IF(AND($F229="Yes",$H229=""),"NeverLoggedOn ","")))</f>
        <v/>
      </c>
      <c r="AD229" s="60" t="n"/>
      <c r="AE229" s="61" t="n"/>
      <c r="AF229" s="60" t="n"/>
      <c r="AG229" s="62" t="n"/>
      <c r="AH229" s="62" t="n"/>
      <c r="AI229" s="62" t="n"/>
      <c r="AJ229" s="60" t="n"/>
      <c r="AK229" s="61" t="n"/>
      <c r="AL229" s="63">
        <f>IF($A229="","",IF(AH229="","Not Enrolled",IF(TODAY()&gt;AH229,"Review Overdue",IF(AH229-TODAY()&lt;=30,"Review Due Soon","Active"))))</f>
        <v/>
      </c>
      <c r="AM229" s="63">
        <f>IF($A229="","",IF(AI229="","NOT REVIEWED",IF(TODAY()-AI229&gt;90,"OVERDUE",IF(TODAY()-AI229&gt;76,"Due Soon","Current"))))</f>
        <v/>
      </c>
    </row>
    <row r="230" ht="15" customHeight="1" s="39">
      <c r="A230" s="60" t="n"/>
      <c r="B230" s="60" t="n"/>
      <c r="C230" s="61" t="n"/>
      <c r="D230" s="61" t="n"/>
      <c r="E230" s="60" t="n"/>
      <c r="F230" s="60" t="n"/>
      <c r="G230" s="62" t="n"/>
      <c r="H230" s="62" t="n"/>
      <c r="I230" s="62" t="n"/>
      <c r="J230" s="60" t="n"/>
      <c r="K230" s="60" t="n"/>
      <c r="L230" s="60" t="n"/>
      <c r="M230" s="61" t="n"/>
      <c r="N230" s="60" t="n"/>
      <c r="O230" s="60" t="n"/>
      <c r="P230" s="60" t="n"/>
      <c r="Q230" s="60" t="n"/>
      <c r="R230" s="60" t="n"/>
      <c r="S230" s="60" t="n"/>
      <c r="T230" s="60" t="n"/>
      <c r="U230" s="60" t="n"/>
      <c r="V230" s="60" t="n"/>
      <c r="W230" s="60" t="n"/>
      <c r="X230" s="60" t="n"/>
      <c r="Y230" s="60" t="n"/>
      <c r="Z230" s="61" t="n"/>
      <c r="AA230" s="63">
        <f>IF($H230="","",TODAY()-$H230)</f>
        <v/>
      </c>
      <c r="AB230" s="63">
        <f>IF($A230="","",IF(AND($F230="Yes",OR($U230="No",$U230="NOT FOUND")),"YES",""))</f>
        <v/>
      </c>
      <c r="AC230" s="66">
        <f>IF($A230="","",TRIM(IF(AND($P230=0,$L230&lt;&gt;"Yes"),"T0-NoSmartcard ","")&amp;IF(AND($J230&lt;&gt;"",$J230&gt;365),"StalePwd ","")&amp;IF($K230="Yes","PwdNeverExpires ","")&amp;IF(AND($S230&lt;&gt;"",$S230&lt;&gt;"None"),"Delegation ","")&amp;IF(AND($Q230=1,$O230="None"),"StaleAdminCount ","")&amp;IF(AND($F230="Yes",$H230=""),"NeverLoggedOn ","")))</f>
        <v/>
      </c>
      <c r="AD230" s="60" t="n"/>
      <c r="AE230" s="61" t="n"/>
      <c r="AF230" s="60" t="n"/>
      <c r="AG230" s="62" t="n"/>
      <c r="AH230" s="62" t="n"/>
      <c r="AI230" s="62" t="n"/>
      <c r="AJ230" s="60" t="n"/>
      <c r="AK230" s="61" t="n"/>
      <c r="AL230" s="63">
        <f>IF($A230="","",IF(AH230="","Not Enrolled",IF(TODAY()&gt;AH230,"Review Overdue",IF(AH230-TODAY()&lt;=30,"Review Due Soon","Active"))))</f>
        <v/>
      </c>
      <c r="AM230" s="63">
        <f>IF($A230="","",IF(AI230="","NOT REVIEWED",IF(TODAY()-AI230&gt;90,"OVERDUE",IF(TODAY()-AI230&gt;76,"Due Soon","Current"))))</f>
        <v/>
      </c>
    </row>
    <row r="231" ht="15" customHeight="1" s="39">
      <c r="A231" s="60" t="n"/>
      <c r="B231" s="60" t="n"/>
      <c r="C231" s="61" t="n"/>
      <c r="D231" s="61" t="n"/>
      <c r="E231" s="60" t="n"/>
      <c r="F231" s="60" t="n"/>
      <c r="G231" s="62" t="n"/>
      <c r="H231" s="62" t="n"/>
      <c r="I231" s="62" t="n"/>
      <c r="J231" s="60" t="n"/>
      <c r="K231" s="60" t="n"/>
      <c r="L231" s="60" t="n"/>
      <c r="M231" s="61" t="n"/>
      <c r="N231" s="60" t="n"/>
      <c r="O231" s="60" t="n"/>
      <c r="P231" s="60" t="n"/>
      <c r="Q231" s="60" t="n"/>
      <c r="R231" s="60" t="n"/>
      <c r="S231" s="60" t="n"/>
      <c r="T231" s="60" t="n"/>
      <c r="U231" s="60" t="n"/>
      <c r="V231" s="60" t="n"/>
      <c r="W231" s="60" t="n"/>
      <c r="X231" s="60" t="n"/>
      <c r="Y231" s="60" t="n"/>
      <c r="Z231" s="61" t="n"/>
      <c r="AA231" s="63">
        <f>IF($H231="","",TODAY()-$H231)</f>
        <v/>
      </c>
      <c r="AB231" s="63">
        <f>IF($A231="","",IF(AND($F231="Yes",OR($U231="No",$U231="NOT FOUND")),"YES",""))</f>
        <v/>
      </c>
      <c r="AC231" s="66">
        <f>IF($A231="","",TRIM(IF(AND($P231=0,$L231&lt;&gt;"Yes"),"T0-NoSmartcard ","")&amp;IF(AND($J231&lt;&gt;"",$J231&gt;365),"StalePwd ","")&amp;IF($K231="Yes","PwdNeverExpires ","")&amp;IF(AND($S231&lt;&gt;"",$S231&lt;&gt;"None"),"Delegation ","")&amp;IF(AND($Q231=1,$O231="None"),"StaleAdminCount ","")&amp;IF(AND($F231="Yes",$H231=""),"NeverLoggedOn ","")))</f>
        <v/>
      </c>
      <c r="AD231" s="60" t="n"/>
      <c r="AE231" s="61" t="n"/>
      <c r="AF231" s="60" t="n"/>
      <c r="AG231" s="62" t="n"/>
      <c r="AH231" s="62" t="n"/>
      <c r="AI231" s="62" t="n"/>
      <c r="AJ231" s="60" t="n"/>
      <c r="AK231" s="61" t="n"/>
      <c r="AL231" s="63">
        <f>IF($A231="","",IF(AH231="","Not Enrolled",IF(TODAY()&gt;AH231,"Review Overdue",IF(AH231-TODAY()&lt;=30,"Review Due Soon","Active"))))</f>
        <v/>
      </c>
      <c r="AM231" s="63">
        <f>IF($A231="","",IF(AI231="","NOT REVIEWED",IF(TODAY()-AI231&gt;90,"OVERDUE",IF(TODAY()-AI231&gt;76,"Due Soon","Current"))))</f>
        <v/>
      </c>
    </row>
    <row r="232" ht="15" customHeight="1" s="39">
      <c r="A232" s="60" t="n"/>
      <c r="B232" s="60" t="n"/>
      <c r="C232" s="61" t="n"/>
      <c r="D232" s="61" t="n"/>
      <c r="E232" s="60" t="n"/>
      <c r="F232" s="60" t="n"/>
      <c r="G232" s="62" t="n"/>
      <c r="H232" s="62" t="n"/>
      <c r="I232" s="62" t="n"/>
      <c r="J232" s="60" t="n"/>
      <c r="K232" s="60" t="n"/>
      <c r="L232" s="60" t="n"/>
      <c r="M232" s="61" t="n"/>
      <c r="N232" s="60" t="n"/>
      <c r="O232" s="60" t="n"/>
      <c r="P232" s="60" t="n"/>
      <c r="Q232" s="60" t="n"/>
      <c r="R232" s="60" t="n"/>
      <c r="S232" s="60" t="n"/>
      <c r="T232" s="60" t="n"/>
      <c r="U232" s="60" t="n"/>
      <c r="V232" s="60" t="n"/>
      <c r="W232" s="60" t="n"/>
      <c r="X232" s="60" t="n"/>
      <c r="Y232" s="60" t="n"/>
      <c r="Z232" s="61" t="n"/>
      <c r="AA232" s="63">
        <f>IF($H232="","",TODAY()-$H232)</f>
        <v/>
      </c>
      <c r="AB232" s="63">
        <f>IF($A232="","",IF(AND($F232="Yes",OR($U232="No",$U232="NOT FOUND")),"YES",""))</f>
        <v/>
      </c>
      <c r="AC232" s="66">
        <f>IF($A232="","",TRIM(IF(AND($P232=0,$L232&lt;&gt;"Yes"),"T0-NoSmartcard ","")&amp;IF(AND($J232&lt;&gt;"",$J232&gt;365),"StalePwd ","")&amp;IF($K232="Yes","PwdNeverExpires ","")&amp;IF(AND($S232&lt;&gt;"",$S232&lt;&gt;"None"),"Delegation ","")&amp;IF(AND($Q232=1,$O232="None"),"StaleAdminCount ","")&amp;IF(AND($F232="Yes",$H232=""),"NeverLoggedOn ","")))</f>
        <v/>
      </c>
      <c r="AD232" s="60" t="n"/>
      <c r="AE232" s="61" t="n"/>
      <c r="AF232" s="60" t="n"/>
      <c r="AG232" s="62" t="n"/>
      <c r="AH232" s="62" t="n"/>
      <c r="AI232" s="62" t="n"/>
      <c r="AJ232" s="60" t="n"/>
      <c r="AK232" s="61" t="n"/>
      <c r="AL232" s="63">
        <f>IF($A232="","",IF(AH232="","Not Enrolled",IF(TODAY()&gt;AH232,"Review Overdue",IF(AH232-TODAY()&lt;=30,"Review Due Soon","Active"))))</f>
        <v/>
      </c>
      <c r="AM232" s="63">
        <f>IF($A232="","",IF(AI232="","NOT REVIEWED",IF(TODAY()-AI232&gt;90,"OVERDUE",IF(TODAY()-AI232&gt;76,"Due Soon","Current"))))</f>
        <v/>
      </c>
    </row>
    <row r="233" ht="15" customHeight="1" s="39">
      <c r="A233" s="60" t="n"/>
      <c r="B233" s="60" t="n"/>
      <c r="C233" s="61" t="n"/>
      <c r="D233" s="61" t="n"/>
      <c r="E233" s="60" t="n"/>
      <c r="F233" s="60" t="n"/>
      <c r="G233" s="62" t="n"/>
      <c r="H233" s="62" t="n"/>
      <c r="I233" s="62" t="n"/>
      <c r="J233" s="60" t="n"/>
      <c r="K233" s="60" t="n"/>
      <c r="L233" s="60" t="n"/>
      <c r="M233" s="61" t="n"/>
      <c r="N233" s="60" t="n"/>
      <c r="O233" s="60" t="n"/>
      <c r="P233" s="60" t="n"/>
      <c r="Q233" s="60" t="n"/>
      <c r="R233" s="60" t="n"/>
      <c r="S233" s="60" t="n"/>
      <c r="T233" s="60" t="n"/>
      <c r="U233" s="60" t="n"/>
      <c r="V233" s="60" t="n"/>
      <c r="W233" s="60" t="n"/>
      <c r="X233" s="60" t="n"/>
      <c r="Y233" s="60" t="n"/>
      <c r="Z233" s="61" t="n"/>
      <c r="AA233" s="63">
        <f>IF($H233="","",TODAY()-$H233)</f>
        <v/>
      </c>
      <c r="AB233" s="63">
        <f>IF($A233="","",IF(AND($F233="Yes",OR($U233="No",$U233="NOT FOUND")),"YES",""))</f>
        <v/>
      </c>
      <c r="AC233" s="66">
        <f>IF($A233="","",TRIM(IF(AND($P233=0,$L233&lt;&gt;"Yes"),"T0-NoSmartcard ","")&amp;IF(AND($J233&lt;&gt;"",$J233&gt;365),"StalePwd ","")&amp;IF($K233="Yes","PwdNeverExpires ","")&amp;IF(AND($S233&lt;&gt;"",$S233&lt;&gt;"None"),"Delegation ","")&amp;IF(AND($Q233=1,$O233="None"),"StaleAdminCount ","")&amp;IF(AND($F233="Yes",$H233=""),"NeverLoggedOn ","")))</f>
        <v/>
      </c>
      <c r="AD233" s="60" t="n"/>
      <c r="AE233" s="61" t="n"/>
      <c r="AF233" s="60" t="n"/>
      <c r="AG233" s="62" t="n"/>
      <c r="AH233" s="62" t="n"/>
      <c r="AI233" s="62" t="n"/>
      <c r="AJ233" s="60" t="n"/>
      <c r="AK233" s="61" t="n"/>
      <c r="AL233" s="63">
        <f>IF($A233="","",IF(AH233="","Not Enrolled",IF(TODAY()&gt;AH233,"Review Overdue",IF(AH233-TODAY()&lt;=30,"Review Due Soon","Active"))))</f>
        <v/>
      </c>
      <c r="AM233" s="63">
        <f>IF($A233="","",IF(AI233="","NOT REVIEWED",IF(TODAY()-AI233&gt;90,"OVERDUE",IF(TODAY()-AI233&gt;76,"Due Soon","Current"))))</f>
        <v/>
      </c>
    </row>
    <row r="234" ht="15" customHeight="1" s="39">
      <c r="A234" s="60" t="n"/>
      <c r="B234" s="60" t="n"/>
      <c r="C234" s="61" t="n"/>
      <c r="D234" s="61" t="n"/>
      <c r="E234" s="60" t="n"/>
      <c r="F234" s="60" t="n"/>
      <c r="G234" s="62" t="n"/>
      <c r="H234" s="62" t="n"/>
      <c r="I234" s="62" t="n"/>
      <c r="J234" s="60" t="n"/>
      <c r="K234" s="60" t="n"/>
      <c r="L234" s="60" t="n"/>
      <c r="M234" s="61" t="n"/>
      <c r="N234" s="60" t="n"/>
      <c r="O234" s="60" t="n"/>
      <c r="P234" s="60" t="n"/>
      <c r="Q234" s="60" t="n"/>
      <c r="R234" s="60" t="n"/>
      <c r="S234" s="60" t="n"/>
      <c r="T234" s="60" t="n"/>
      <c r="U234" s="60" t="n"/>
      <c r="V234" s="60" t="n"/>
      <c r="W234" s="60" t="n"/>
      <c r="X234" s="60" t="n"/>
      <c r="Y234" s="60" t="n"/>
      <c r="Z234" s="61" t="n"/>
      <c r="AA234" s="63">
        <f>IF($H234="","",TODAY()-$H234)</f>
        <v/>
      </c>
      <c r="AB234" s="63">
        <f>IF($A234="","",IF(AND($F234="Yes",OR($U234="No",$U234="NOT FOUND")),"YES",""))</f>
        <v/>
      </c>
      <c r="AC234" s="66">
        <f>IF($A234="","",TRIM(IF(AND($P234=0,$L234&lt;&gt;"Yes"),"T0-NoSmartcard ","")&amp;IF(AND($J234&lt;&gt;"",$J234&gt;365),"StalePwd ","")&amp;IF($K234="Yes","PwdNeverExpires ","")&amp;IF(AND($S234&lt;&gt;"",$S234&lt;&gt;"None"),"Delegation ","")&amp;IF(AND($Q234=1,$O234="None"),"StaleAdminCount ","")&amp;IF(AND($F234="Yes",$H234=""),"NeverLoggedOn ","")))</f>
        <v/>
      </c>
      <c r="AD234" s="60" t="n"/>
      <c r="AE234" s="61" t="n"/>
      <c r="AF234" s="60" t="n"/>
      <c r="AG234" s="62" t="n"/>
      <c r="AH234" s="62" t="n"/>
      <c r="AI234" s="62" t="n"/>
      <c r="AJ234" s="60" t="n"/>
      <c r="AK234" s="61" t="n"/>
      <c r="AL234" s="63">
        <f>IF($A234="","",IF(AH234="","Not Enrolled",IF(TODAY()&gt;AH234,"Review Overdue",IF(AH234-TODAY()&lt;=30,"Review Due Soon","Active"))))</f>
        <v/>
      </c>
      <c r="AM234" s="63">
        <f>IF($A234="","",IF(AI234="","NOT REVIEWED",IF(TODAY()-AI234&gt;90,"OVERDUE",IF(TODAY()-AI234&gt;76,"Due Soon","Current"))))</f>
        <v/>
      </c>
    </row>
    <row r="235" ht="15" customHeight="1" s="39">
      <c r="A235" s="60" t="n"/>
      <c r="B235" s="60" t="n"/>
      <c r="C235" s="61" t="n"/>
      <c r="D235" s="61" t="n"/>
      <c r="E235" s="60" t="n"/>
      <c r="F235" s="60" t="n"/>
      <c r="G235" s="62" t="n"/>
      <c r="H235" s="62" t="n"/>
      <c r="I235" s="62" t="n"/>
      <c r="J235" s="60" t="n"/>
      <c r="K235" s="60" t="n"/>
      <c r="L235" s="60" t="n"/>
      <c r="M235" s="61" t="n"/>
      <c r="N235" s="60" t="n"/>
      <c r="O235" s="60" t="n"/>
      <c r="P235" s="60" t="n"/>
      <c r="Q235" s="60" t="n"/>
      <c r="R235" s="60" t="n"/>
      <c r="S235" s="60" t="n"/>
      <c r="T235" s="60" t="n"/>
      <c r="U235" s="60" t="n"/>
      <c r="V235" s="60" t="n"/>
      <c r="W235" s="60" t="n"/>
      <c r="X235" s="60" t="n"/>
      <c r="Y235" s="60" t="n"/>
      <c r="Z235" s="61" t="n"/>
      <c r="AA235" s="63">
        <f>IF($H235="","",TODAY()-$H235)</f>
        <v/>
      </c>
      <c r="AB235" s="63">
        <f>IF($A235="","",IF(AND($F235="Yes",OR($U235="No",$U235="NOT FOUND")),"YES",""))</f>
        <v/>
      </c>
      <c r="AC235" s="66">
        <f>IF($A235="","",TRIM(IF(AND($P235=0,$L235&lt;&gt;"Yes"),"T0-NoSmartcard ","")&amp;IF(AND($J235&lt;&gt;"",$J235&gt;365),"StalePwd ","")&amp;IF($K235="Yes","PwdNeverExpires ","")&amp;IF(AND($S235&lt;&gt;"",$S235&lt;&gt;"None"),"Delegation ","")&amp;IF(AND($Q235=1,$O235="None"),"StaleAdminCount ","")&amp;IF(AND($F235="Yes",$H235=""),"NeverLoggedOn ","")))</f>
        <v/>
      </c>
      <c r="AD235" s="60" t="n"/>
      <c r="AE235" s="61" t="n"/>
      <c r="AF235" s="60" t="n"/>
      <c r="AG235" s="62" t="n"/>
      <c r="AH235" s="62" t="n"/>
      <c r="AI235" s="62" t="n"/>
      <c r="AJ235" s="60" t="n"/>
      <c r="AK235" s="61" t="n"/>
      <c r="AL235" s="63">
        <f>IF($A235="","",IF(AH235="","Not Enrolled",IF(TODAY()&gt;AH235,"Review Overdue",IF(AH235-TODAY()&lt;=30,"Review Due Soon","Active"))))</f>
        <v/>
      </c>
      <c r="AM235" s="63">
        <f>IF($A235="","",IF(AI235="","NOT REVIEWED",IF(TODAY()-AI235&gt;90,"OVERDUE",IF(TODAY()-AI235&gt;76,"Due Soon","Current"))))</f>
        <v/>
      </c>
    </row>
    <row r="236" ht="15" customHeight="1" s="39">
      <c r="A236" s="60" t="n"/>
      <c r="B236" s="60" t="n"/>
      <c r="C236" s="61" t="n"/>
      <c r="D236" s="61" t="n"/>
      <c r="E236" s="60" t="n"/>
      <c r="F236" s="60" t="n"/>
      <c r="G236" s="62" t="n"/>
      <c r="H236" s="62" t="n"/>
      <c r="I236" s="62" t="n"/>
      <c r="J236" s="60" t="n"/>
      <c r="K236" s="60" t="n"/>
      <c r="L236" s="60" t="n"/>
      <c r="M236" s="61" t="n"/>
      <c r="N236" s="60" t="n"/>
      <c r="O236" s="60" t="n"/>
      <c r="P236" s="60" t="n"/>
      <c r="Q236" s="60" t="n"/>
      <c r="R236" s="60" t="n"/>
      <c r="S236" s="60" t="n"/>
      <c r="T236" s="60" t="n"/>
      <c r="U236" s="60" t="n"/>
      <c r="V236" s="60" t="n"/>
      <c r="W236" s="60" t="n"/>
      <c r="X236" s="60" t="n"/>
      <c r="Y236" s="60" t="n"/>
      <c r="Z236" s="61" t="n"/>
      <c r="AA236" s="63">
        <f>IF($H236="","",TODAY()-$H236)</f>
        <v/>
      </c>
      <c r="AB236" s="63">
        <f>IF($A236="","",IF(AND($F236="Yes",OR($U236="No",$U236="NOT FOUND")),"YES",""))</f>
        <v/>
      </c>
      <c r="AC236" s="66">
        <f>IF($A236="","",TRIM(IF(AND($P236=0,$L236&lt;&gt;"Yes"),"T0-NoSmartcard ","")&amp;IF(AND($J236&lt;&gt;"",$J236&gt;365),"StalePwd ","")&amp;IF($K236="Yes","PwdNeverExpires ","")&amp;IF(AND($S236&lt;&gt;"",$S236&lt;&gt;"None"),"Delegation ","")&amp;IF(AND($Q236=1,$O236="None"),"StaleAdminCount ","")&amp;IF(AND($F236="Yes",$H236=""),"NeverLoggedOn ","")))</f>
        <v/>
      </c>
      <c r="AD236" s="60" t="n"/>
      <c r="AE236" s="61" t="n"/>
      <c r="AF236" s="60" t="n"/>
      <c r="AG236" s="62" t="n"/>
      <c r="AH236" s="62" t="n"/>
      <c r="AI236" s="62" t="n"/>
      <c r="AJ236" s="60" t="n"/>
      <c r="AK236" s="61" t="n"/>
      <c r="AL236" s="63">
        <f>IF($A236="","",IF(AH236="","Not Enrolled",IF(TODAY()&gt;AH236,"Review Overdue",IF(AH236-TODAY()&lt;=30,"Review Due Soon","Active"))))</f>
        <v/>
      </c>
      <c r="AM236" s="63">
        <f>IF($A236="","",IF(AI236="","NOT REVIEWED",IF(TODAY()-AI236&gt;90,"OVERDUE",IF(TODAY()-AI236&gt;76,"Due Soon","Current"))))</f>
        <v/>
      </c>
    </row>
    <row r="237" ht="15" customHeight="1" s="39">
      <c r="A237" s="60" t="n"/>
      <c r="B237" s="60" t="n"/>
      <c r="C237" s="61" t="n"/>
      <c r="D237" s="61" t="n"/>
      <c r="E237" s="60" t="n"/>
      <c r="F237" s="60" t="n"/>
      <c r="G237" s="62" t="n"/>
      <c r="H237" s="62" t="n"/>
      <c r="I237" s="62" t="n"/>
      <c r="J237" s="60" t="n"/>
      <c r="K237" s="60" t="n"/>
      <c r="L237" s="60" t="n"/>
      <c r="M237" s="61" t="n"/>
      <c r="N237" s="60" t="n"/>
      <c r="O237" s="60" t="n"/>
      <c r="P237" s="60" t="n"/>
      <c r="Q237" s="60" t="n"/>
      <c r="R237" s="60" t="n"/>
      <c r="S237" s="60" t="n"/>
      <c r="T237" s="60" t="n"/>
      <c r="U237" s="60" t="n"/>
      <c r="V237" s="60" t="n"/>
      <c r="W237" s="60" t="n"/>
      <c r="X237" s="60" t="n"/>
      <c r="Y237" s="60" t="n"/>
      <c r="Z237" s="61" t="n"/>
      <c r="AA237" s="63">
        <f>IF($H237="","",TODAY()-$H237)</f>
        <v/>
      </c>
      <c r="AB237" s="63">
        <f>IF($A237="","",IF(AND($F237="Yes",OR($U237="No",$U237="NOT FOUND")),"YES",""))</f>
        <v/>
      </c>
      <c r="AC237" s="66">
        <f>IF($A237="","",TRIM(IF(AND($P237=0,$L237&lt;&gt;"Yes"),"T0-NoSmartcard ","")&amp;IF(AND($J237&lt;&gt;"",$J237&gt;365),"StalePwd ","")&amp;IF($K237="Yes","PwdNeverExpires ","")&amp;IF(AND($S237&lt;&gt;"",$S237&lt;&gt;"None"),"Delegation ","")&amp;IF(AND($Q237=1,$O237="None"),"StaleAdminCount ","")&amp;IF(AND($F237="Yes",$H237=""),"NeverLoggedOn ","")))</f>
        <v/>
      </c>
      <c r="AD237" s="60" t="n"/>
      <c r="AE237" s="61" t="n"/>
      <c r="AF237" s="60" t="n"/>
      <c r="AG237" s="62" t="n"/>
      <c r="AH237" s="62" t="n"/>
      <c r="AI237" s="62" t="n"/>
      <c r="AJ237" s="60" t="n"/>
      <c r="AK237" s="61" t="n"/>
      <c r="AL237" s="63">
        <f>IF($A237="","",IF(AH237="","Not Enrolled",IF(TODAY()&gt;AH237,"Review Overdue",IF(AH237-TODAY()&lt;=30,"Review Due Soon","Active"))))</f>
        <v/>
      </c>
      <c r="AM237" s="63">
        <f>IF($A237="","",IF(AI237="","NOT REVIEWED",IF(TODAY()-AI237&gt;90,"OVERDUE",IF(TODAY()-AI237&gt;76,"Due Soon","Current"))))</f>
        <v/>
      </c>
    </row>
    <row r="238" ht="15" customHeight="1" s="39">
      <c r="A238" s="60" t="n"/>
      <c r="B238" s="60" t="n"/>
      <c r="C238" s="61" t="n"/>
      <c r="D238" s="61" t="n"/>
      <c r="E238" s="60" t="n"/>
      <c r="F238" s="60" t="n"/>
      <c r="G238" s="62" t="n"/>
      <c r="H238" s="62" t="n"/>
      <c r="I238" s="62" t="n"/>
      <c r="J238" s="60" t="n"/>
      <c r="K238" s="60" t="n"/>
      <c r="L238" s="60" t="n"/>
      <c r="M238" s="61" t="n"/>
      <c r="N238" s="60" t="n"/>
      <c r="O238" s="60" t="n"/>
      <c r="P238" s="60" t="n"/>
      <c r="Q238" s="60" t="n"/>
      <c r="R238" s="60" t="n"/>
      <c r="S238" s="60" t="n"/>
      <c r="T238" s="60" t="n"/>
      <c r="U238" s="60" t="n"/>
      <c r="V238" s="60" t="n"/>
      <c r="W238" s="60" t="n"/>
      <c r="X238" s="60" t="n"/>
      <c r="Y238" s="60" t="n"/>
      <c r="Z238" s="61" t="n"/>
      <c r="AA238" s="63">
        <f>IF($H238="","",TODAY()-$H238)</f>
        <v/>
      </c>
      <c r="AB238" s="63">
        <f>IF($A238="","",IF(AND($F238="Yes",OR($U238="No",$U238="NOT FOUND")),"YES",""))</f>
        <v/>
      </c>
      <c r="AC238" s="66">
        <f>IF($A238="","",TRIM(IF(AND($P238=0,$L238&lt;&gt;"Yes"),"T0-NoSmartcard ","")&amp;IF(AND($J238&lt;&gt;"",$J238&gt;365),"StalePwd ","")&amp;IF($K238="Yes","PwdNeverExpires ","")&amp;IF(AND($S238&lt;&gt;"",$S238&lt;&gt;"None"),"Delegation ","")&amp;IF(AND($Q238=1,$O238="None"),"StaleAdminCount ","")&amp;IF(AND($F238="Yes",$H238=""),"NeverLoggedOn ","")))</f>
        <v/>
      </c>
      <c r="AD238" s="60" t="n"/>
      <c r="AE238" s="61" t="n"/>
      <c r="AF238" s="60" t="n"/>
      <c r="AG238" s="62" t="n"/>
      <c r="AH238" s="62" t="n"/>
      <c r="AI238" s="62" t="n"/>
      <c r="AJ238" s="60" t="n"/>
      <c r="AK238" s="61" t="n"/>
      <c r="AL238" s="63">
        <f>IF($A238="","",IF(AH238="","Not Enrolled",IF(TODAY()&gt;AH238,"Review Overdue",IF(AH238-TODAY()&lt;=30,"Review Due Soon","Active"))))</f>
        <v/>
      </c>
      <c r="AM238" s="63">
        <f>IF($A238="","",IF(AI238="","NOT REVIEWED",IF(TODAY()-AI238&gt;90,"OVERDUE",IF(TODAY()-AI238&gt;76,"Due Soon","Current"))))</f>
        <v/>
      </c>
    </row>
    <row r="239" ht="15" customHeight="1" s="39">
      <c r="A239" s="60" t="n"/>
      <c r="B239" s="60" t="n"/>
      <c r="C239" s="61" t="n"/>
      <c r="D239" s="61" t="n"/>
      <c r="E239" s="60" t="n"/>
      <c r="F239" s="60" t="n"/>
      <c r="G239" s="62" t="n"/>
      <c r="H239" s="62" t="n"/>
      <c r="I239" s="62" t="n"/>
      <c r="J239" s="60" t="n"/>
      <c r="K239" s="60" t="n"/>
      <c r="L239" s="60" t="n"/>
      <c r="M239" s="61" t="n"/>
      <c r="N239" s="60" t="n"/>
      <c r="O239" s="60" t="n"/>
      <c r="P239" s="60" t="n"/>
      <c r="Q239" s="60" t="n"/>
      <c r="R239" s="60" t="n"/>
      <c r="S239" s="60" t="n"/>
      <c r="T239" s="60" t="n"/>
      <c r="U239" s="60" t="n"/>
      <c r="V239" s="60" t="n"/>
      <c r="W239" s="60" t="n"/>
      <c r="X239" s="60" t="n"/>
      <c r="Y239" s="60" t="n"/>
      <c r="Z239" s="61" t="n"/>
      <c r="AA239" s="63">
        <f>IF($H239="","",TODAY()-$H239)</f>
        <v/>
      </c>
      <c r="AB239" s="63">
        <f>IF($A239="","",IF(AND($F239="Yes",OR($U239="No",$U239="NOT FOUND")),"YES",""))</f>
        <v/>
      </c>
      <c r="AC239" s="66">
        <f>IF($A239="","",TRIM(IF(AND($P239=0,$L239&lt;&gt;"Yes"),"T0-NoSmartcard ","")&amp;IF(AND($J239&lt;&gt;"",$J239&gt;365),"StalePwd ","")&amp;IF($K239="Yes","PwdNeverExpires ","")&amp;IF(AND($S239&lt;&gt;"",$S239&lt;&gt;"None"),"Delegation ","")&amp;IF(AND($Q239=1,$O239="None"),"StaleAdminCount ","")&amp;IF(AND($F239="Yes",$H239=""),"NeverLoggedOn ","")))</f>
        <v/>
      </c>
      <c r="AD239" s="60" t="n"/>
      <c r="AE239" s="61" t="n"/>
      <c r="AF239" s="60" t="n"/>
      <c r="AG239" s="62" t="n"/>
      <c r="AH239" s="62" t="n"/>
      <c r="AI239" s="62" t="n"/>
      <c r="AJ239" s="60" t="n"/>
      <c r="AK239" s="61" t="n"/>
      <c r="AL239" s="63">
        <f>IF($A239="","",IF(AH239="","Not Enrolled",IF(TODAY()&gt;AH239,"Review Overdue",IF(AH239-TODAY()&lt;=30,"Review Due Soon","Active"))))</f>
        <v/>
      </c>
      <c r="AM239" s="63">
        <f>IF($A239="","",IF(AI239="","NOT REVIEWED",IF(TODAY()-AI239&gt;90,"OVERDUE",IF(TODAY()-AI239&gt;76,"Due Soon","Current"))))</f>
        <v/>
      </c>
    </row>
    <row r="240" ht="15" customHeight="1" s="39">
      <c r="A240" s="60" t="n"/>
      <c r="B240" s="60" t="n"/>
      <c r="C240" s="61" t="n"/>
      <c r="D240" s="61" t="n"/>
      <c r="E240" s="60" t="n"/>
      <c r="F240" s="60" t="n"/>
      <c r="G240" s="62" t="n"/>
      <c r="H240" s="62" t="n"/>
      <c r="I240" s="62" t="n"/>
      <c r="J240" s="60" t="n"/>
      <c r="K240" s="60" t="n"/>
      <c r="L240" s="60" t="n"/>
      <c r="M240" s="61" t="n"/>
      <c r="N240" s="60" t="n"/>
      <c r="O240" s="60" t="n"/>
      <c r="P240" s="60" t="n"/>
      <c r="Q240" s="60" t="n"/>
      <c r="R240" s="60" t="n"/>
      <c r="S240" s="60" t="n"/>
      <c r="T240" s="60" t="n"/>
      <c r="U240" s="60" t="n"/>
      <c r="V240" s="60" t="n"/>
      <c r="W240" s="60" t="n"/>
      <c r="X240" s="60" t="n"/>
      <c r="Y240" s="60" t="n"/>
      <c r="Z240" s="61" t="n"/>
      <c r="AA240" s="63">
        <f>IF($H240="","",TODAY()-$H240)</f>
        <v/>
      </c>
      <c r="AB240" s="63">
        <f>IF($A240="","",IF(AND($F240="Yes",OR($U240="No",$U240="NOT FOUND")),"YES",""))</f>
        <v/>
      </c>
      <c r="AC240" s="66">
        <f>IF($A240="","",TRIM(IF(AND($P240=0,$L240&lt;&gt;"Yes"),"T0-NoSmartcard ","")&amp;IF(AND($J240&lt;&gt;"",$J240&gt;365),"StalePwd ","")&amp;IF($K240="Yes","PwdNeverExpires ","")&amp;IF(AND($S240&lt;&gt;"",$S240&lt;&gt;"None"),"Delegation ","")&amp;IF(AND($Q240=1,$O240="None"),"StaleAdminCount ","")&amp;IF(AND($F240="Yes",$H240=""),"NeverLoggedOn ","")))</f>
        <v/>
      </c>
      <c r="AD240" s="60" t="n"/>
      <c r="AE240" s="61" t="n"/>
      <c r="AF240" s="60" t="n"/>
      <c r="AG240" s="62" t="n"/>
      <c r="AH240" s="62" t="n"/>
      <c r="AI240" s="62" t="n"/>
      <c r="AJ240" s="60" t="n"/>
      <c r="AK240" s="61" t="n"/>
      <c r="AL240" s="63">
        <f>IF($A240="","",IF(AH240="","Not Enrolled",IF(TODAY()&gt;AH240,"Review Overdue",IF(AH240-TODAY()&lt;=30,"Review Due Soon","Active"))))</f>
        <v/>
      </c>
      <c r="AM240" s="63">
        <f>IF($A240="","",IF(AI240="","NOT REVIEWED",IF(TODAY()-AI240&gt;90,"OVERDUE",IF(TODAY()-AI240&gt;76,"Due Soon","Current"))))</f>
        <v/>
      </c>
    </row>
    <row r="241" ht="15" customHeight="1" s="39">
      <c r="A241" s="60" t="n"/>
      <c r="B241" s="60" t="n"/>
      <c r="C241" s="61" t="n"/>
      <c r="D241" s="61" t="n"/>
      <c r="E241" s="60" t="n"/>
      <c r="F241" s="60" t="n"/>
      <c r="G241" s="62" t="n"/>
      <c r="H241" s="62" t="n"/>
      <c r="I241" s="62" t="n"/>
      <c r="J241" s="60" t="n"/>
      <c r="K241" s="60" t="n"/>
      <c r="L241" s="60" t="n"/>
      <c r="M241" s="61" t="n"/>
      <c r="N241" s="60" t="n"/>
      <c r="O241" s="60" t="n"/>
      <c r="P241" s="60" t="n"/>
      <c r="Q241" s="60" t="n"/>
      <c r="R241" s="60" t="n"/>
      <c r="S241" s="60" t="n"/>
      <c r="T241" s="60" t="n"/>
      <c r="U241" s="60" t="n"/>
      <c r="V241" s="60" t="n"/>
      <c r="W241" s="60" t="n"/>
      <c r="X241" s="60" t="n"/>
      <c r="Y241" s="60" t="n"/>
      <c r="Z241" s="61" t="n"/>
      <c r="AA241" s="63">
        <f>IF($H241="","",TODAY()-$H241)</f>
        <v/>
      </c>
      <c r="AB241" s="63">
        <f>IF($A241="","",IF(AND($F241="Yes",OR($U241="No",$U241="NOT FOUND")),"YES",""))</f>
        <v/>
      </c>
      <c r="AC241" s="66">
        <f>IF($A241="","",TRIM(IF(AND($P241=0,$L241&lt;&gt;"Yes"),"T0-NoSmartcard ","")&amp;IF(AND($J241&lt;&gt;"",$J241&gt;365),"StalePwd ","")&amp;IF($K241="Yes","PwdNeverExpires ","")&amp;IF(AND($S241&lt;&gt;"",$S241&lt;&gt;"None"),"Delegation ","")&amp;IF(AND($Q241=1,$O241="None"),"StaleAdminCount ","")&amp;IF(AND($F241="Yes",$H241=""),"NeverLoggedOn ","")))</f>
        <v/>
      </c>
      <c r="AD241" s="60" t="n"/>
      <c r="AE241" s="61" t="n"/>
      <c r="AF241" s="60" t="n"/>
      <c r="AG241" s="62" t="n"/>
      <c r="AH241" s="62" t="n"/>
      <c r="AI241" s="62" t="n"/>
      <c r="AJ241" s="60" t="n"/>
      <c r="AK241" s="61" t="n"/>
      <c r="AL241" s="63">
        <f>IF($A241="","",IF(AH241="","Not Enrolled",IF(TODAY()&gt;AH241,"Review Overdue",IF(AH241-TODAY()&lt;=30,"Review Due Soon","Active"))))</f>
        <v/>
      </c>
      <c r="AM241" s="63">
        <f>IF($A241="","",IF(AI241="","NOT REVIEWED",IF(TODAY()-AI241&gt;90,"OVERDUE",IF(TODAY()-AI241&gt;76,"Due Soon","Current"))))</f>
        <v/>
      </c>
    </row>
    <row r="242" ht="15" customHeight="1" s="39">
      <c r="A242" s="60" t="n"/>
      <c r="B242" s="60" t="n"/>
      <c r="C242" s="61" t="n"/>
      <c r="D242" s="61" t="n"/>
      <c r="E242" s="60" t="n"/>
      <c r="F242" s="60" t="n"/>
      <c r="G242" s="62" t="n"/>
      <c r="H242" s="62" t="n"/>
      <c r="I242" s="62" t="n"/>
      <c r="J242" s="60" t="n"/>
      <c r="K242" s="60" t="n"/>
      <c r="L242" s="60" t="n"/>
      <c r="M242" s="61" t="n"/>
      <c r="N242" s="60" t="n"/>
      <c r="O242" s="60" t="n"/>
      <c r="P242" s="60" t="n"/>
      <c r="Q242" s="60" t="n"/>
      <c r="R242" s="60" t="n"/>
      <c r="S242" s="60" t="n"/>
      <c r="T242" s="60" t="n"/>
      <c r="U242" s="60" t="n"/>
      <c r="V242" s="60" t="n"/>
      <c r="W242" s="60" t="n"/>
      <c r="X242" s="60" t="n"/>
      <c r="Y242" s="60" t="n"/>
      <c r="Z242" s="61" t="n"/>
      <c r="AA242" s="63">
        <f>IF($H242="","",TODAY()-$H242)</f>
        <v/>
      </c>
      <c r="AB242" s="63">
        <f>IF($A242="","",IF(AND($F242="Yes",OR($U242="No",$U242="NOT FOUND")),"YES",""))</f>
        <v/>
      </c>
      <c r="AC242" s="66">
        <f>IF($A242="","",TRIM(IF(AND($P242=0,$L242&lt;&gt;"Yes"),"T0-NoSmartcard ","")&amp;IF(AND($J242&lt;&gt;"",$J242&gt;365),"StalePwd ","")&amp;IF($K242="Yes","PwdNeverExpires ","")&amp;IF(AND($S242&lt;&gt;"",$S242&lt;&gt;"None"),"Delegation ","")&amp;IF(AND($Q242=1,$O242="None"),"StaleAdminCount ","")&amp;IF(AND($F242="Yes",$H242=""),"NeverLoggedOn ","")))</f>
        <v/>
      </c>
      <c r="AD242" s="60" t="n"/>
      <c r="AE242" s="61" t="n"/>
      <c r="AF242" s="60" t="n"/>
      <c r="AG242" s="62" t="n"/>
      <c r="AH242" s="62" t="n"/>
      <c r="AI242" s="62" t="n"/>
      <c r="AJ242" s="60" t="n"/>
      <c r="AK242" s="61" t="n"/>
      <c r="AL242" s="63">
        <f>IF($A242="","",IF(AH242="","Not Enrolled",IF(TODAY()&gt;AH242,"Review Overdue",IF(AH242-TODAY()&lt;=30,"Review Due Soon","Active"))))</f>
        <v/>
      </c>
      <c r="AM242" s="63">
        <f>IF($A242="","",IF(AI242="","NOT REVIEWED",IF(TODAY()-AI242&gt;90,"OVERDUE",IF(TODAY()-AI242&gt;76,"Due Soon","Current"))))</f>
        <v/>
      </c>
    </row>
    <row r="243" ht="15" customHeight="1" s="39">
      <c r="A243" s="60" t="n"/>
      <c r="B243" s="60" t="n"/>
      <c r="C243" s="61" t="n"/>
      <c r="D243" s="61" t="n"/>
      <c r="E243" s="60" t="n"/>
      <c r="F243" s="60" t="n"/>
      <c r="G243" s="62" t="n"/>
      <c r="H243" s="62" t="n"/>
      <c r="I243" s="62" t="n"/>
      <c r="J243" s="60" t="n"/>
      <c r="K243" s="60" t="n"/>
      <c r="L243" s="60" t="n"/>
      <c r="M243" s="61" t="n"/>
      <c r="N243" s="60" t="n"/>
      <c r="O243" s="60" t="n"/>
      <c r="P243" s="60" t="n"/>
      <c r="Q243" s="60" t="n"/>
      <c r="R243" s="60" t="n"/>
      <c r="S243" s="60" t="n"/>
      <c r="T243" s="60" t="n"/>
      <c r="U243" s="60" t="n"/>
      <c r="V243" s="60" t="n"/>
      <c r="W243" s="60" t="n"/>
      <c r="X243" s="60" t="n"/>
      <c r="Y243" s="60" t="n"/>
      <c r="Z243" s="61" t="n"/>
      <c r="AA243" s="63">
        <f>IF($H243="","",TODAY()-$H243)</f>
        <v/>
      </c>
      <c r="AB243" s="63">
        <f>IF($A243="","",IF(AND($F243="Yes",OR($U243="No",$U243="NOT FOUND")),"YES",""))</f>
        <v/>
      </c>
      <c r="AC243" s="66">
        <f>IF($A243="","",TRIM(IF(AND($P243=0,$L243&lt;&gt;"Yes"),"T0-NoSmartcard ","")&amp;IF(AND($J243&lt;&gt;"",$J243&gt;365),"StalePwd ","")&amp;IF($K243="Yes","PwdNeverExpires ","")&amp;IF(AND($S243&lt;&gt;"",$S243&lt;&gt;"None"),"Delegation ","")&amp;IF(AND($Q243=1,$O243="None"),"StaleAdminCount ","")&amp;IF(AND($F243="Yes",$H243=""),"NeverLoggedOn ","")))</f>
        <v/>
      </c>
      <c r="AD243" s="60" t="n"/>
      <c r="AE243" s="61" t="n"/>
      <c r="AF243" s="60" t="n"/>
      <c r="AG243" s="62" t="n"/>
      <c r="AH243" s="62" t="n"/>
      <c r="AI243" s="62" t="n"/>
      <c r="AJ243" s="60" t="n"/>
      <c r="AK243" s="61" t="n"/>
      <c r="AL243" s="63">
        <f>IF($A243="","",IF(AH243="","Not Enrolled",IF(TODAY()&gt;AH243,"Review Overdue",IF(AH243-TODAY()&lt;=30,"Review Due Soon","Active"))))</f>
        <v/>
      </c>
      <c r="AM243" s="63">
        <f>IF($A243="","",IF(AI243="","NOT REVIEWED",IF(TODAY()-AI243&gt;90,"OVERDUE",IF(TODAY()-AI243&gt;76,"Due Soon","Current"))))</f>
        <v/>
      </c>
    </row>
    <row r="244" ht="15" customHeight="1" s="39">
      <c r="A244" s="60" t="n"/>
      <c r="B244" s="60" t="n"/>
      <c r="C244" s="61" t="n"/>
      <c r="D244" s="61" t="n"/>
      <c r="E244" s="60" t="n"/>
      <c r="F244" s="60" t="n"/>
      <c r="G244" s="62" t="n"/>
      <c r="H244" s="62" t="n"/>
      <c r="I244" s="62" t="n"/>
      <c r="J244" s="60" t="n"/>
      <c r="K244" s="60" t="n"/>
      <c r="L244" s="60" t="n"/>
      <c r="M244" s="61" t="n"/>
      <c r="N244" s="60" t="n"/>
      <c r="O244" s="60" t="n"/>
      <c r="P244" s="60" t="n"/>
      <c r="Q244" s="60" t="n"/>
      <c r="R244" s="60" t="n"/>
      <c r="S244" s="60" t="n"/>
      <c r="T244" s="60" t="n"/>
      <c r="U244" s="60" t="n"/>
      <c r="V244" s="60" t="n"/>
      <c r="W244" s="60" t="n"/>
      <c r="X244" s="60" t="n"/>
      <c r="Y244" s="60" t="n"/>
      <c r="Z244" s="61" t="n"/>
      <c r="AA244" s="63">
        <f>IF($H244="","",TODAY()-$H244)</f>
        <v/>
      </c>
      <c r="AB244" s="63">
        <f>IF($A244="","",IF(AND($F244="Yes",OR($U244="No",$U244="NOT FOUND")),"YES",""))</f>
        <v/>
      </c>
      <c r="AC244" s="66">
        <f>IF($A244="","",TRIM(IF(AND($P244=0,$L244&lt;&gt;"Yes"),"T0-NoSmartcard ","")&amp;IF(AND($J244&lt;&gt;"",$J244&gt;365),"StalePwd ","")&amp;IF($K244="Yes","PwdNeverExpires ","")&amp;IF(AND($S244&lt;&gt;"",$S244&lt;&gt;"None"),"Delegation ","")&amp;IF(AND($Q244=1,$O244="None"),"StaleAdminCount ","")&amp;IF(AND($F244="Yes",$H244=""),"NeverLoggedOn ","")))</f>
        <v/>
      </c>
      <c r="AD244" s="60" t="n"/>
      <c r="AE244" s="61" t="n"/>
      <c r="AF244" s="60" t="n"/>
      <c r="AG244" s="62" t="n"/>
      <c r="AH244" s="62" t="n"/>
      <c r="AI244" s="62" t="n"/>
      <c r="AJ244" s="60" t="n"/>
      <c r="AK244" s="61" t="n"/>
      <c r="AL244" s="63">
        <f>IF($A244="","",IF(AH244="","Not Enrolled",IF(TODAY()&gt;AH244,"Review Overdue",IF(AH244-TODAY()&lt;=30,"Review Due Soon","Active"))))</f>
        <v/>
      </c>
      <c r="AM244" s="63">
        <f>IF($A244="","",IF(AI244="","NOT REVIEWED",IF(TODAY()-AI244&gt;90,"OVERDUE",IF(TODAY()-AI244&gt;76,"Due Soon","Current"))))</f>
        <v/>
      </c>
    </row>
    <row r="245" ht="15" customHeight="1" s="39">
      <c r="A245" s="60" t="n"/>
      <c r="B245" s="60" t="n"/>
      <c r="C245" s="61" t="n"/>
      <c r="D245" s="61" t="n"/>
      <c r="E245" s="60" t="n"/>
      <c r="F245" s="60" t="n"/>
      <c r="G245" s="62" t="n"/>
      <c r="H245" s="62" t="n"/>
      <c r="I245" s="62" t="n"/>
      <c r="J245" s="60" t="n"/>
      <c r="K245" s="60" t="n"/>
      <c r="L245" s="60" t="n"/>
      <c r="M245" s="61" t="n"/>
      <c r="N245" s="60" t="n"/>
      <c r="O245" s="60" t="n"/>
      <c r="P245" s="60" t="n"/>
      <c r="Q245" s="60" t="n"/>
      <c r="R245" s="60" t="n"/>
      <c r="S245" s="60" t="n"/>
      <c r="T245" s="60" t="n"/>
      <c r="U245" s="60" t="n"/>
      <c r="V245" s="60" t="n"/>
      <c r="W245" s="60" t="n"/>
      <c r="X245" s="60" t="n"/>
      <c r="Y245" s="60" t="n"/>
      <c r="Z245" s="61" t="n"/>
      <c r="AA245" s="63">
        <f>IF($H245="","",TODAY()-$H245)</f>
        <v/>
      </c>
      <c r="AB245" s="63">
        <f>IF($A245="","",IF(AND($F245="Yes",OR($U245="No",$U245="NOT FOUND")),"YES",""))</f>
        <v/>
      </c>
      <c r="AC245" s="66">
        <f>IF($A245="","",TRIM(IF(AND($P245=0,$L245&lt;&gt;"Yes"),"T0-NoSmartcard ","")&amp;IF(AND($J245&lt;&gt;"",$J245&gt;365),"StalePwd ","")&amp;IF($K245="Yes","PwdNeverExpires ","")&amp;IF(AND($S245&lt;&gt;"",$S245&lt;&gt;"None"),"Delegation ","")&amp;IF(AND($Q245=1,$O245="None"),"StaleAdminCount ","")&amp;IF(AND($F245="Yes",$H245=""),"NeverLoggedOn ","")))</f>
        <v/>
      </c>
      <c r="AD245" s="60" t="n"/>
      <c r="AE245" s="61" t="n"/>
      <c r="AF245" s="60" t="n"/>
      <c r="AG245" s="62" t="n"/>
      <c r="AH245" s="62" t="n"/>
      <c r="AI245" s="62" t="n"/>
      <c r="AJ245" s="60" t="n"/>
      <c r="AK245" s="61" t="n"/>
      <c r="AL245" s="63">
        <f>IF($A245="","",IF(AH245="","Not Enrolled",IF(TODAY()&gt;AH245,"Review Overdue",IF(AH245-TODAY()&lt;=30,"Review Due Soon","Active"))))</f>
        <v/>
      </c>
      <c r="AM245" s="63">
        <f>IF($A245="","",IF(AI245="","NOT REVIEWED",IF(TODAY()-AI245&gt;90,"OVERDUE",IF(TODAY()-AI245&gt;76,"Due Soon","Current"))))</f>
        <v/>
      </c>
    </row>
    <row r="246" ht="15" customHeight="1" s="39">
      <c r="A246" s="60" t="n"/>
      <c r="B246" s="60" t="n"/>
      <c r="C246" s="61" t="n"/>
      <c r="D246" s="61" t="n"/>
      <c r="E246" s="60" t="n"/>
      <c r="F246" s="60" t="n"/>
      <c r="G246" s="62" t="n"/>
      <c r="H246" s="62" t="n"/>
      <c r="I246" s="62" t="n"/>
      <c r="J246" s="60" t="n"/>
      <c r="K246" s="60" t="n"/>
      <c r="L246" s="60" t="n"/>
      <c r="M246" s="61" t="n"/>
      <c r="N246" s="60" t="n"/>
      <c r="O246" s="60" t="n"/>
      <c r="P246" s="60" t="n"/>
      <c r="Q246" s="60" t="n"/>
      <c r="R246" s="60" t="n"/>
      <c r="S246" s="60" t="n"/>
      <c r="T246" s="60" t="n"/>
      <c r="U246" s="60" t="n"/>
      <c r="V246" s="60" t="n"/>
      <c r="W246" s="60" t="n"/>
      <c r="X246" s="60" t="n"/>
      <c r="Y246" s="60" t="n"/>
      <c r="Z246" s="61" t="n"/>
      <c r="AA246" s="63">
        <f>IF($H246="","",TODAY()-$H246)</f>
        <v/>
      </c>
      <c r="AB246" s="63">
        <f>IF($A246="","",IF(AND($F246="Yes",OR($U246="No",$U246="NOT FOUND")),"YES",""))</f>
        <v/>
      </c>
      <c r="AC246" s="66">
        <f>IF($A246="","",TRIM(IF(AND($P246=0,$L246&lt;&gt;"Yes"),"T0-NoSmartcard ","")&amp;IF(AND($J246&lt;&gt;"",$J246&gt;365),"StalePwd ","")&amp;IF($K246="Yes","PwdNeverExpires ","")&amp;IF(AND($S246&lt;&gt;"",$S246&lt;&gt;"None"),"Delegation ","")&amp;IF(AND($Q246=1,$O246="None"),"StaleAdminCount ","")&amp;IF(AND($F246="Yes",$H246=""),"NeverLoggedOn ","")))</f>
        <v/>
      </c>
      <c r="AD246" s="60" t="n"/>
      <c r="AE246" s="61" t="n"/>
      <c r="AF246" s="60" t="n"/>
      <c r="AG246" s="62" t="n"/>
      <c r="AH246" s="62" t="n"/>
      <c r="AI246" s="62" t="n"/>
      <c r="AJ246" s="60" t="n"/>
      <c r="AK246" s="61" t="n"/>
      <c r="AL246" s="63">
        <f>IF($A246="","",IF(AH246="","Not Enrolled",IF(TODAY()&gt;AH246,"Review Overdue",IF(AH246-TODAY()&lt;=30,"Review Due Soon","Active"))))</f>
        <v/>
      </c>
      <c r="AM246" s="63">
        <f>IF($A246="","",IF(AI246="","NOT REVIEWED",IF(TODAY()-AI246&gt;90,"OVERDUE",IF(TODAY()-AI246&gt;76,"Due Soon","Current"))))</f>
        <v/>
      </c>
    </row>
    <row r="247" ht="15" customHeight="1" s="39">
      <c r="A247" s="60" t="n"/>
      <c r="B247" s="60" t="n"/>
      <c r="C247" s="61" t="n"/>
      <c r="D247" s="61" t="n"/>
      <c r="E247" s="60" t="n"/>
      <c r="F247" s="60" t="n"/>
      <c r="G247" s="62" t="n"/>
      <c r="H247" s="62" t="n"/>
      <c r="I247" s="62" t="n"/>
      <c r="J247" s="60" t="n"/>
      <c r="K247" s="60" t="n"/>
      <c r="L247" s="60" t="n"/>
      <c r="M247" s="61" t="n"/>
      <c r="N247" s="60" t="n"/>
      <c r="O247" s="60" t="n"/>
      <c r="P247" s="60" t="n"/>
      <c r="Q247" s="60" t="n"/>
      <c r="R247" s="60" t="n"/>
      <c r="S247" s="60" t="n"/>
      <c r="T247" s="60" t="n"/>
      <c r="U247" s="60" t="n"/>
      <c r="V247" s="60" t="n"/>
      <c r="W247" s="60" t="n"/>
      <c r="X247" s="60" t="n"/>
      <c r="Y247" s="60" t="n"/>
      <c r="Z247" s="61" t="n"/>
      <c r="AA247" s="63">
        <f>IF($H247="","",TODAY()-$H247)</f>
        <v/>
      </c>
      <c r="AB247" s="63">
        <f>IF($A247="","",IF(AND($F247="Yes",OR($U247="No",$U247="NOT FOUND")),"YES",""))</f>
        <v/>
      </c>
      <c r="AC247" s="66">
        <f>IF($A247="","",TRIM(IF(AND($P247=0,$L247&lt;&gt;"Yes"),"T0-NoSmartcard ","")&amp;IF(AND($J247&lt;&gt;"",$J247&gt;365),"StalePwd ","")&amp;IF($K247="Yes","PwdNeverExpires ","")&amp;IF(AND($S247&lt;&gt;"",$S247&lt;&gt;"None"),"Delegation ","")&amp;IF(AND($Q247=1,$O247="None"),"StaleAdminCount ","")&amp;IF(AND($F247="Yes",$H247=""),"NeverLoggedOn ","")))</f>
        <v/>
      </c>
      <c r="AD247" s="60" t="n"/>
      <c r="AE247" s="61" t="n"/>
      <c r="AF247" s="60" t="n"/>
      <c r="AG247" s="62" t="n"/>
      <c r="AH247" s="62" t="n"/>
      <c r="AI247" s="62" t="n"/>
      <c r="AJ247" s="60" t="n"/>
      <c r="AK247" s="61" t="n"/>
      <c r="AL247" s="63">
        <f>IF($A247="","",IF(AH247="","Not Enrolled",IF(TODAY()&gt;AH247,"Review Overdue",IF(AH247-TODAY()&lt;=30,"Review Due Soon","Active"))))</f>
        <v/>
      </c>
      <c r="AM247" s="63">
        <f>IF($A247="","",IF(AI247="","NOT REVIEWED",IF(TODAY()-AI247&gt;90,"OVERDUE",IF(TODAY()-AI247&gt;76,"Due Soon","Current"))))</f>
        <v/>
      </c>
    </row>
    <row r="248" ht="15" customHeight="1" s="39">
      <c r="A248" s="60" t="n"/>
      <c r="B248" s="60" t="n"/>
      <c r="C248" s="61" t="n"/>
      <c r="D248" s="61" t="n"/>
      <c r="E248" s="60" t="n"/>
      <c r="F248" s="60" t="n"/>
      <c r="G248" s="62" t="n"/>
      <c r="H248" s="62" t="n"/>
      <c r="I248" s="62" t="n"/>
      <c r="J248" s="60" t="n"/>
      <c r="K248" s="60" t="n"/>
      <c r="L248" s="60" t="n"/>
      <c r="M248" s="61" t="n"/>
      <c r="N248" s="60" t="n"/>
      <c r="O248" s="60" t="n"/>
      <c r="P248" s="60" t="n"/>
      <c r="Q248" s="60" t="n"/>
      <c r="R248" s="60" t="n"/>
      <c r="S248" s="60" t="n"/>
      <c r="T248" s="60" t="n"/>
      <c r="U248" s="60" t="n"/>
      <c r="V248" s="60" t="n"/>
      <c r="W248" s="60" t="n"/>
      <c r="X248" s="60" t="n"/>
      <c r="Y248" s="60" t="n"/>
      <c r="Z248" s="61" t="n"/>
      <c r="AA248" s="63">
        <f>IF($H248="","",TODAY()-$H248)</f>
        <v/>
      </c>
      <c r="AB248" s="63">
        <f>IF($A248="","",IF(AND($F248="Yes",OR($U248="No",$U248="NOT FOUND")),"YES",""))</f>
        <v/>
      </c>
      <c r="AC248" s="66">
        <f>IF($A248="","",TRIM(IF(AND($P248=0,$L248&lt;&gt;"Yes"),"T0-NoSmartcard ","")&amp;IF(AND($J248&lt;&gt;"",$J248&gt;365),"StalePwd ","")&amp;IF($K248="Yes","PwdNeverExpires ","")&amp;IF(AND($S248&lt;&gt;"",$S248&lt;&gt;"None"),"Delegation ","")&amp;IF(AND($Q248=1,$O248="None"),"StaleAdminCount ","")&amp;IF(AND($F248="Yes",$H248=""),"NeverLoggedOn ","")))</f>
        <v/>
      </c>
      <c r="AD248" s="60" t="n"/>
      <c r="AE248" s="61" t="n"/>
      <c r="AF248" s="60" t="n"/>
      <c r="AG248" s="62" t="n"/>
      <c r="AH248" s="62" t="n"/>
      <c r="AI248" s="62" t="n"/>
      <c r="AJ248" s="60" t="n"/>
      <c r="AK248" s="61" t="n"/>
      <c r="AL248" s="63">
        <f>IF($A248="","",IF(AH248="","Not Enrolled",IF(TODAY()&gt;AH248,"Review Overdue",IF(AH248-TODAY()&lt;=30,"Review Due Soon","Active"))))</f>
        <v/>
      </c>
      <c r="AM248" s="63">
        <f>IF($A248="","",IF(AI248="","NOT REVIEWED",IF(TODAY()-AI248&gt;90,"OVERDUE",IF(TODAY()-AI248&gt;76,"Due Soon","Current"))))</f>
        <v/>
      </c>
    </row>
    <row r="249" ht="15" customHeight="1" s="39">
      <c r="A249" s="60" t="n"/>
      <c r="B249" s="60" t="n"/>
      <c r="C249" s="61" t="n"/>
      <c r="D249" s="61" t="n"/>
      <c r="E249" s="60" t="n"/>
      <c r="F249" s="60" t="n"/>
      <c r="G249" s="62" t="n"/>
      <c r="H249" s="62" t="n"/>
      <c r="I249" s="62" t="n"/>
      <c r="J249" s="60" t="n"/>
      <c r="K249" s="60" t="n"/>
      <c r="L249" s="60" t="n"/>
      <c r="M249" s="61" t="n"/>
      <c r="N249" s="60" t="n"/>
      <c r="O249" s="60" t="n"/>
      <c r="P249" s="60" t="n"/>
      <c r="Q249" s="60" t="n"/>
      <c r="R249" s="60" t="n"/>
      <c r="S249" s="60" t="n"/>
      <c r="T249" s="60" t="n"/>
      <c r="U249" s="60" t="n"/>
      <c r="V249" s="60" t="n"/>
      <c r="W249" s="60" t="n"/>
      <c r="X249" s="60" t="n"/>
      <c r="Y249" s="60" t="n"/>
      <c r="Z249" s="61" t="n"/>
      <c r="AA249" s="63">
        <f>IF($H249="","",TODAY()-$H249)</f>
        <v/>
      </c>
      <c r="AB249" s="63">
        <f>IF($A249="","",IF(AND($F249="Yes",OR($U249="No",$U249="NOT FOUND")),"YES",""))</f>
        <v/>
      </c>
      <c r="AC249" s="66">
        <f>IF($A249="","",TRIM(IF(AND($P249=0,$L249&lt;&gt;"Yes"),"T0-NoSmartcard ","")&amp;IF(AND($J249&lt;&gt;"",$J249&gt;365),"StalePwd ","")&amp;IF($K249="Yes","PwdNeverExpires ","")&amp;IF(AND($S249&lt;&gt;"",$S249&lt;&gt;"None"),"Delegation ","")&amp;IF(AND($Q249=1,$O249="None"),"StaleAdminCount ","")&amp;IF(AND($F249="Yes",$H249=""),"NeverLoggedOn ","")))</f>
        <v/>
      </c>
      <c r="AD249" s="60" t="n"/>
      <c r="AE249" s="61" t="n"/>
      <c r="AF249" s="60" t="n"/>
      <c r="AG249" s="62" t="n"/>
      <c r="AH249" s="62" t="n"/>
      <c r="AI249" s="62" t="n"/>
      <c r="AJ249" s="60" t="n"/>
      <c r="AK249" s="61" t="n"/>
      <c r="AL249" s="63">
        <f>IF($A249="","",IF(AH249="","Not Enrolled",IF(TODAY()&gt;AH249,"Review Overdue",IF(AH249-TODAY()&lt;=30,"Review Due Soon","Active"))))</f>
        <v/>
      </c>
      <c r="AM249" s="63">
        <f>IF($A249="","",IF(AI249="","NOT REVIEWED",IF(TODAY()-AI249&gt;90,"OVERDUE",IF(TODAY()-AI249&gt;76,"Due Soon","Current"))))</f>
        <v/>
      </c>
    </row>
    <row r="250" ht="15" customHeight="1" s="39">
      <c r="A250" s="60" t="n"/>
      <c r="B250" s="60" t="n"/>
      <c r="C250" s="61" t="n"/>
      <c r="D250" s="61" t="n"/>
      <c r="E250" s="60" t="n"/>
      <c r="F250" s="60" t="n"/>
      <c r="G250" s="62" t="n"/>
      <c r="H250" s="62" t="n"/>
      <c r="I250" s="62" t="n"/>
      <c r="J250" s="60" t="n"/>
      <c r="K250" s="60" t="n"/>
      <c r="L250" s="60" t="n"/>
      <c r="M250" s="61" t="n"/>
      <c r="N250" s="60" t="n"/>
      <c r="O250" s="60" t="n"/>
      <c r="P250" s="60" t="n"/>
      <c r="Q250" s="60" t="n"/>
      <c r="R250" s="60" t="n"/>
      <c r="S250" s="60" t="n"/>
      <c r="T250" s="60" t="n"/>
      <c r="U250" s="60" t="n"/>
      <c r="V250" s="60" t="n"/>
      <c r="W250" s="60" t="n"/>
      <c r="X250" s="60" t="n"/>
      <c r="Y250" s="60" t="n"/>
      <c r="Z250" s="61" t="n"/>
      <c r="AA250" s="63">
        <f>IF($H250="","",TODAY()-$H250)</f>
        <v/>
      </c>
      <c r="AB250" s="63">
        <f>IF($A250="","",IF(AND($F250="Yes",OR($U250="No",$U250="NOT FOUND")),"YES",""))</f>
        <v/>
      </c>
      <c r="AC250" s="66">
        <f>IF($A250="","",TRIM(IF(AND($P250=0,$L250&lt;&gt;"Yes"),"T0-NoSmartcard ","")&amp;IF(AND($J250&lt;&gt;"",$J250&gt;365),"StalePwd ","")&amp;IF($K250="Yes","PwdNeverExpires ","")&amp;IF(AND($S250&lt;&gt;"",$S250&lt;&gt;"None"),"Delegation ","")&amp;IF(AND($Q250=1,$O250="None"),"StaleAdminCount ","")&amp;IF(AND($F250="Yes",$H250=""),"NeverLoggedOn ","")))</f>
        <v/>
      </c>
      <c r="AD250" s="60" t="n"/>
      <c r="AE250" s="61" t="n"/>
      <c r="AF250" s="60" t="n"/>
      <c r="AG250" s="62" t="n"/>
      <c r="AH250" s="62" t="n"/>
      <c r="AI250" s="62" t="n"/>
      <c r="AJ250" s="60" t="n"/>
      <c r="AK250" s="61" t="n"/>
      <c r="AL250" s="63">
        <f>IF($A250="","",IF(AH250="","Not Enrolled",IF(TODAY()&gt;AH250,"Review Overdue",IF(AH250-TODAY()&lt;=30,"Review Due Soon","Active"))))</f>
        <v/>
      </c>
      <c r="AM250" s="63">
        <f>IF($A250="","",IF(AI250="","NOT REVIEWED",IF(TODAY()-AI250&gt;90,"OVERDUE",IF(TODAY()-AI250&gt;76,"Due Soon","Current"))))</f>
        <v/>
      </c>
    </row>
    <row r="251" ht="15" customHeight="1" s="39">
      <c r="A251" s="60" t="n"/>
      <c r="B251" s="60" t="n"/>
      <c r="C251" s="61" t="n"/>
      <c r="D251" s="61" t="n"/>
      <c r="E251" s="60" t="n"/>
      <c r="F251" s="60" t="n"/>
      <c r="G251" s="62" t="n"/>
      <c r="H251" s="62" t="n"/>
      <c r="I251" s="62" t="n"/>
      <c r="J251" s="60" t="n"/>
      <c r="K251" s="60" t="n"/>
      <c r="L251" s="60" t="n"/>
      <c r="M251" s="61" t="n"/>
      <c r="N251" s="60" t="n"/>
      <c r="O251" s="60" t="n"/>
      <c r="P251" s="60" t="n"/>
      <c r="Q251" s="60" t="n"/>
      <c r="R251" s="60" t="n"/>
      <c r="S251" s="60" t="n"/>
      <c r="T251" s="60" t="n"/>
      <c r="U251" s="60" t="n"/>
      <c r="V251" s="60" t="n"/>
      <c r="W251" s="60" t="n"/>
      <c r="X251" s="60" t="n"/>
      <c r="Y251" s="60" t="n"/>
      <c r="Z251" s="61" t="n"/>
      <c r="AA251" s="63">
        <f>IF($H251="","",TODAY()-$H251)</f>
        <v/>
      </c>
      <c r="AB251" s="63">
        <f>IF($A251="","",IF(AND($F251="Yes",OR($U251="No",$U251="NOT FOUND")),"YES",""))</f>
        <v/>
      </c>
      <c r="AC251" s="66">
        <f>IF($A251="","",TRIM(IF(AND($P251=0,$L251&lt;&gt;"Yes"),"T0-NoSmartcard ","")&amp;IF(AND($J251&lt;&gt;"",$J251&gt;365),"StalePwd ","")&amp;IF($K251="Yes","PwdNeverExpires ","")&amp;IF(AND($S251&lt;&gt;"",$S251&lt;&gt;"None"),"Delegation ","")&amp;IF(AND($Q251=1,$O251="None"),"StaleAdminCount ","")&amp;IF(AND($F251="Yes",$H251=""),"NeverLoggedOn ","")))</f>
        <v/>
      </c>
      <c r="AD251" s="60" t="n"/>
      <c r="AE251" s="61" t="n"/>
      <c r="AF251" s="60" t="n"/>
      <c r="AG251" s="62" t="n"/>
      <c r="AH251" s="62" t="n"/>
      <c r="AI251" s="62" t="n"/>
      <c r="AJ251" s="60" t="n"/>
      <c r="AK251" s="61" t="n"/>
      <c r="AL251" s="63">
        <f>IF($A251="","",IF(AH251="","Not Enrolled",IF(TODAY()&gt;AH251,"Review Overdue",IF(AH251-TODAY()&lt;=30,"Review Due Soon","Active"))))</f>
        <v/>
      </c>
      <c r="AM251" s="63">
        <f>IF($A251="","",IF(AI251="","NOT REVIEWED",IF(TODAY()-AI251&gt;90,"OVERDUE",IF(TODAY()-AI251&gt;76,"Due Soon","Current"))))</f>
        <v/>
      </c>
    </row>
    <row r="252" ht="15" customHeight="1" s="39">
      <c r="A252" s="60" t="n"/>
      <c r="B252" s="60" t="n"/>
      <c r="C252" s="61" t="n"/>
      <c r="D252" s="61" t="n"/>
      <c r="E252" s="60" t="n"/>
      <c r="F252" s="60" t="n"/>
      <c r="G252" s="62" t="n"/>
      <c r="H252" s="62" t="n"/>
      <c r="I252" s="62" t="n"/>
      <c r="J252" s="60" t="n"/>
      <c r="K252" s="60" t="n"/>
      <c r="L252" s="60" t="n"/>
      <c r="M252" s="61" t="n"/>
      <c r="N252" s="60" t="n"/>
      <c r="O252" s="60" t="n"/>
      <c r="P252" s="60" t="n"/>
      <c r="Q252" s="60" t="n"/>
      <c r="R252" s="60" t="n"/>
      <c r="S252" s="60" t="n"/>
      <c r="T252" s="60" t="n"/>
      <c r="U252" s="60" t="n"/>
      <c r="V252" s="60" t="n"/>
      <c r="W252" s="60" t="n"/>
      <c r="X252" s="60" t="n"/>
      <c r="Y252" s="60" t="n"/>
      <c r="Z252" s="61" t="n"/>
      <c r="AA252" s="63">
        <f>IF($H252="","",TODAY()-$H252)</f>
        <v/>
      </c>
      <c r="AB252" s="63">
        <f>IF($A252="","",IF(AND($F252="Yes",OR($U252="No",$U252="NOT FOUND")),"YES",""))</f>
        <v/>
      </c>
      <c r="AC252" s="66">
        <f>IF($A252="","",TRIM(IF(AND($P252=0,$L252&lt;&gt;"Yes"),"T0-NoSmartcard ","")&amp;IF(AND($J252&lt;&gt;"",$J252&gt;365),"StalePwd ","")&amp;IF($K252="Yes","PwdNeverExpires ","")&amp;IF(AND($S252&lt;&gt;"",$S252&lt;&gt;"None"),"Delegation ","")&amp;IF(AND($Q252=1,$O252="None"),"StaleAdminCount ","")&amp;IF(AND($F252="Yes",$H252=""),"NeverLoggedOn ","")))</f>
        <v/>
      </c>
      <c r="AD252" s="60" t="n"/>
      <c r="AE252" s="61" t="n"/>
      <c r="AF252" s="60" t="n"/>
      <c r="AG252" s="62" t="n"/>
      <c r="AH252" s="62" t="n"/>
      <c r="AI252" s="62" t="n"/>
      <c r="AJ252" s="60" t="n"/>
      <c r="AK252" s="61" t="n"/>
      <c r="AL252" s="63">
        <f>IF($A252="","",IF(AH252="","Not Enrolled",IF(TODAY()&gt;AH252,"Review Overdue",IF(AH252-TODAY()&lt;=30,"Review Due Soon","Active"))))</f>
        <v/>
      </c>
      <c r="AM252" s="63">
        <f>IF($A252="","",IF(AI252="","NOT REVIEWED",IF(TODAY()-AI252&gt;90,"OVERDUE",IF(TODAY()-AI252&gt;76,"Due Soon","Current"))))</f>
        <v/>
      </c>
    </row>
    <row r="253" ht="15" customHeight="1" s="39">
      <c r="A253" s="60" t="n"/>
      <c r="B253" s="60" t="n"/>
      <c r="C253" s="61" t="n"/>
      <c r="D253" s="61" t="n"/>
      <c r="E253" s="60" t="n"/>
      <c r="F253" s="60" t="n"/>
      <c r="G253" s="62" t="n"/>
      <c r="H253" s="62" t="n"/>
      <c r="I253" s="62" t="n"/>
      <c r="J253" s="60" t="n"/>
      <c r="K253" s="60" t="n"/>
      <c r="L253" s="60" t="n"/>
      <c r="M253" s="61" t="n"/>
      <c r="N253" s="60" t="n"/>
      <c r="O253" s="60" t="n"/>
      <c r="P253" s="60" t="n"/>
      <c r="Q253" s="60" t="n"/>
      <c r="R253" s="60" t="n"/>
      <c r="S253" s="60" t="n"/>
      <c r="T253" s="60" t="n"/>
      <c r="U253" s="60" t="n"/>
      <c r="V253" s="60" t="n"/>
      <c r="W253" s="60" t="n"/>
      <c r="X253" s="60" t="n"/>
      <c r="Y253" s="60" t="n"/>
      <c r="Z253" s="61" t="n"/>
      <c r="AA253" s="63">
        <f>IF($H253="","",TODAY()-$H253)</f>
        <v/>
      </c>
      <c r="AB253" s="63">
        <f>IF($A253="","",IF(AND($F253="Yes",OR($U253="No",$U253="NOT FOUND")),"YES",""))</f>
        <v/>
      </c>
      <c r="AC253" s="66">
        <f>IF($A253="","",TRIM(IF(AND($P253=0,$L253&lt;&gt;"Yes"),"T0-NoSmartcard ","")&amp;IF(AND($J253&lt;&gt;"",$J253&gt;365),"StalePwd ","")&amp;IF($K253="Yes","PwdNeverExpires ","")&amp;IF(AND($S253&lt;&gt;"",$S253&lt;&gt;"None"),"Delegation ","")&amp;IF(AND($Q253=1,$O253="None"),"StaleAdminCount ","")&amp;IF(AND($F253="Yes",$H253=""),"NeverLoggedOn ","")))</f>
        <v/>
      </c>
      <c r="AD253" s="60" t="n"/>
      <c r="AE253" s="61" t="n"/>
      <c r="AF253" s="60" t="n"/>
      <c r="AG253" s="62" t="n"/>
      <c r="AH253" s="62" t="n"/>
      <c r="AI253" s="62" t="n"/>
      <c r="AJ253" s="60" t="n"/>
      <c r="AK253" s="61" t="n"/>
      <c r="AL253" s="63">
        <f>IF($A253="","",IF(AH253="","Not Enrolled",IF(TODAY()&gt;AH253,"Review Overdue",IF(AH253-TODAY()&lt;=30,"Review Due Soon","Active"))))</f>
        <v/>
      </c>
      <c r="AM253" s="63">
        <f>IF($A253="","",IF(AI253="","NOT REVIEWED",IF(TODAY()-AI253&gt;90,"OVERDUE",IF(TODAY()-AI253&gt;76,"Due Soon","Current"))))</f>
        <v/>
      </c>
    </row>
    <row r="254" ht="15" customHeight="1" s="39">
      <c r="A254" s="60" t="n"/>
      <c r="B254" s="60" t="n"/>
      <c r="C254" s="61" t="n"/>
      <c r="D254" s="61" t="n"/>
      <c r="E254" s="60" t="n"/>
      <c r="F254" s="60" t="n"/>
      <c r="G254" s="62" t="n"/>
      <c r="H254" s="62" t="n"/>
      <c r="I254" s="62" t="n"/>
      <c r="J254" s="60" t="n"/>
      <c r="K254" s="60" t="n"/>
      <c r="L254" s="60" t="n"/>
      <c r="M254" s="61" t="n"/>
      <c r="N254" s="60" t="n"/>
      <c r="O254" s="60" t="n"/>
      <c r="P254" s="60" t="n"/>
      <c r="Q254" s="60" t="n"/>
      <c r="R254" s="60" t="n"/>
      <c r="S254" s="60" t="n"/>
      <c r="T254" s="60" t="n"/>
      <c r="U254" s="60" t="n"/>
      <c r="V254" s="60" t="n"/>
      <c r="W254" s="60" t="n"/>
      <c r="X254" s="60" t="n"/>
      <c r="Y254" s="60" t="n"/>
      <c r="Z254" s="61" t="n"/>
      <c r="AA254" s="63">
        <f>IF($H254="","",TODAY()-$H254)</f>
        <v/>
      </c>
      <c r="AB254" s="63">
        <f>IF($A254="","",IF(AND($F254="Yes",OR($U254="No",$U254="NOT FOUND")),"YES",""))</f>
        <v/>
      </c>
      <c r="AC254" s="66">
        <f>IF($A254="","",TRIM(IF(AND($P254=0,$L254&lt;&gt;"Yes"),"T0-NoSmartcard ","")&amp;IF(AND($J254&lt;&gt;"",$J254&gt;365),"StalePwd ","")&amp;IF($K254="Yes","PwdNeverExpires ","")&amp;IF(AND($S254&lt;&gt;"",$S254&lt;&gt;"None"),"Delegation ","")&amp;IF(AND($Q254=1,$O254="None"),"StaleAdminCount ","")&amp;IF(AND($F254="Yes",$H254=""),"NeverLoggedOn ","")))</f>
        <v/>
      </c>
      <c r="AD254" s="60" t="n"/>
      <c r="AE254" s="61" t="n"/>
      <c r="AF254" s="60" t="n"/>
      <c r="AG254" s="62" t="n"/>
      <c r="AH254" s="62" t="n"/>
      <c r="AI254" s="62" t="n"/>
      <c r="AJ254" s="60" t="n"/>
      <c r="AK254" s="61" t="n"/>
      <c r="AL254" s="63">
        <f>IF($A254="","",IF(AH254="","Not Enrolled",IF(TODAY()&gt;AH254,"Review Overdue",IF(AH254-TODAY()&lt;=30,"Review Due Soon","Active"))))</f>
        <v/>
      </c>
      <c r="AM254" s="63">
        <f>IF($A254="","",IF(AI254="","NOT REVIEWED",IF(TODAY()-AI254&gt;90,"OVERDUE",IF(TODAY()-AI254&gt;76,"Due Soon","Current"))))</f>
        <v/>
      </c>
    </row>
    <row r="255" ht="15" customHeight="1" s="39">
      <c r="A255" s="60" t="n"/>
      <c r="B255" s="60" t="n"/>
      <c r="C255" s="61" t="n"/>
      <c r="D255" s="61" t="n"/>
      <c r="E255" s="60" t="n"/>
      <c r="F255" s="60" t="n"/>
      <c r="G255" s="62" t="n"/>
      <c r="H255" s="62" t="n"/>
      <c r="I255" s="62" t="n"/>
      <c r="J255" s="60" t="n"/>
      <c r="K255" s="60" t="n"/>
      <c r="L255" s="60" t="n"/>
      <c r="M255" s="61" t="n"/>
      <c r="N255" s="60" t="n"/>
      <c r="O255" s="60" t="n"/>
      <c r="P255" s="60" t="n"/>
      <c r="Q255" s="60" t="n"/>
      <c r="R255" s="60" t="n"/>
      <c r="S255" s="60" t="n"/>
      <c r="T255" s="60" t="n"/>
      <c r="U255" s="60" t="n"/>
      <c r="V255" s="60" t="n"/>
      <c r="W255" s="60" t="n"/>
      <c r="X255" s="60" t="n"/>
      <c r="Y255" s="60" t="n"/>
      <c r="Z255" s="61" t="n"/>
      <c r="AA255" s="63">
        <f>IF($H255="","",TODAY()-$H255)</f>
        <v/>
      </c>
      <c r="AB255" s="63">
        <f>IF($A255="","",IF(AND($F255="Yes",OR($U255="No",$U255="NOT FOUND")),"YES",""))</f>
        <v/>
      </c>
      <c r="AC255" s="66">
        <f>IF($A255="","",TRIM(IF(AND($P255=0,$L255&lt;&gt;"Yes"),"T0-NoSmartcard ","")&amp;IF(AND($J255&lt;&gt;"",$J255&gt;365),"StalePwd ","")&amp;IF($K255="Yes","PwdNeverExpires ","")&amp;IF(AND($S255&lt;&gt;"",$S255&lt;&gt;"None"),"Delegation ","")&amp;IF(AND($Q255=1,$O255="None"),"StaleAdminCount ","")&amp;IF(AND($F255="Yes",$H255=""),"NeverLoggedOn ","")))</f>
        <v/>
      </c>
      <c r="AD255" s="60" t="n"/>
      <c r="AE255" s="61" t="n"/>
      <c r="AF255" s="60" t="n"/>
      <c r="AG255" s="62" t="n"/>
      <c r="AH255" s="62" t="n"/>
      <c r="AI255" s="62" t="n"/>
      <c r="AJ255" s="60" t="n"/>
      <c r="AK255" s="61" t="n"/>
      <c r="AL255" s="63">
        <f>IF($A255="","",IF(AH255="","Not Enrolled",IF(TODAY()&gt;AH255,"Review Overdue",IF(AH255-TODAY()&lt;=30,"Review Due Soon","Active"))))</f>
        <v/>
      </c>
      <c r="AM255" s="63">
        <f>IF($A255="","",IF(AI255="","NOT REVIEWED",IF(TODAY()-AI255&gt;90,"OVERDUE",IF(TODAY()-AI255&gt;76,"Due Soon","Current"))))</f>
        <v/>
      </c>
    </row>
    <row r="256" ht="15" customHeight="1" s="39">
      <c r="A256" s="60" t="n"/>
      <c r="B256" s="60" t="n"/>
      <c r="C256" s="61" t="n"/>
      <c r="D256" s="61" t="n"/>
      <c r="E256" s="60" t="n"/>
      <c r="F256" s="60" t="n"/>
      <c r="G256" s="62" t="n"/>
      <c r="H256" s="62" t="n"/>
      <c r="I256" s="62" t="n"/>
      <c r="J256" s="60" t="n"/>
      <c r="K256" s="60" t="n"/>
      <c r="L256" s="60" t="n"/>
      <c r="M256" s="61" t="n"/>
      <c r="N256" s="60" t="n"/>
      <c r="O256" s="60" t="n"/>
      <c r="P256" s="60" t="n"/>
      <c r="Q256" s="60" t="n"/>
      <c r="R256" s="60" t="n"/>
      <c r="S256" s="60" t="n"/>
      <c r="T256" s="60" t="n"/>
      <c r="U256" s="60" t="n"/>
      <c r="V256" s="60" t="n"/>
      <c r="W256" s="60" t="n"/>
      <c r="X256" s="60" t="n"/>
      <c r="Y256" s="60" t="n"/>
      <c r="Z256" s="61" t="n"/>
      <c r="AA256" s="63">
        <f>IF($H256="","",TODAY()-$H256)</f>
        <v/>
      </c>
      <c r="AB256" s="63">
        <f>IF($A256="","",IF(AND($F256="Yes",OR($U256="No",$U256="NOT FOUND")),"YES",""))</f>
        <v/>
      </c>
      <c r="AC256" s="66">
        <f>IF($A256="","",TRIM(IF(AND($P256=0,$L256&lt;&gt;"Yes"),"T0-NoSmartcard ","")&amp;IF(AND($J256&lt;&gt;"",$J256&gt;365),"StalePwd ","")&amp;IF($K256="Yes","PwdNeverExpires ","")&amp;IF(AND($S256&lt;&gt;"",$S256&lt;&gt;"None"),"Delegation ","")&amp;IF(AND($Q256=1,$O256="None"),"StaleAdminCount ","")&amp;IF(AND($F256="Yes",$H256=""),"NeverLoggedOn ","")))</f>
        <v/>
      </c>
      <c r="AD256" s="60" t="n"/>
      <c r="AE256" s="61" t="n"/>
      <c r="AF256" s="60" t="n"/>
      <c r="AG256" s="62" t="n"/>
      <c r="AH256" s="62" t="n"/>
      <c r="AI256" s="62" t="n"/>
      <c r="AJ256" s="60" t="n"/>
      <c r="AK256" s="61" t="n"/>
      <c r="AL256" s="63">
        <f>IF($A256="","",IF(AH256="","Not Enrolled",IF(TODAY()&gt;AH256,"Review Overdue",IF(AH256-TODAY()&lt;=30,"Review Due Soon","Active"))))</f>
        <v/>
      </c>
      <c r="AM256" s="63">
        <f>IF($A256="","",IF(AI256="","NOT REVIEWED",IF(TODAY()-AI256&gt;90,"OVERDUE",IF(TODAY()-AI256&gt;76,"Due Soon","Current"))))</f>
        <v/>
      </c>
    </row>
    <row r="257" ht="15" customHeight="1" s="39">
      <c r="A257" s="60" t="n"/>
      <c r="B257" s="60" t="n"/>
      <c r="C257" s="61" t="n"/>
      <c r="D257" s="61" t="n"/>
      <c r="E257" s="60" t="n"/>
      <c r="F257" s="60" t="n"/>
      <c r="G257" s="62" t="n"/>
      <c r="H257" s="62" t="n"/>
      <c r="I257" s="62" t="n"/>
      <c r="J257" s="60" t="n"/>
      <c r="K257" s="60" t="n"/>
      <c r="L257" s="60" t="n"/>
      <c r="M257" s="61" t="n"/>
      <c r="N257" s="60" t="n"/>
      <c r="O257" s="60" t="n"/>
      <c r="P257" s="60" t="n"/>
      <c r="Q257" s="60" t="n"/>
      <c r="R257" s="60" t="n"/>
      <c r="S257" s="60" t="n"/>
      <c r="T257" s="60" t="n"/>
      <c r="U257" s="60" t="n"/>
      <c r="V257" s="60" t="n"/>
      <c r="W257" s="60" t="n"/>
      <c r="X257" s="60" t="n"/>
      <c r="Y257" s="60" t="n"/>
      <c r="Z257" s="61" t="n"/>
      <c r="AA257" s="63">
        <f>IF($H257="","",TODAY()-$H257)</f>
        <v/>
      </c>
      <c r="AB257" s="63">
        <f>IF($A257="","",IF(AND($F257="Yes",OR($U257="No",$U257="NOT FOUND")),"YES",""))</f>
        <v/>
      </c>
      <c r="AC257" s="66">
        <f>IF($A257="","",TRIM(IF(AND($P257=0,$L257&lt;&gt;"Yes"),"T0-NoSmartcard ","")&amp;IF(AND($J257&lt;&gt;"",$J257&gt;365),"StalePwd ","")&amp;IF($K257="Yes","PwdNeverExpires ","")&amp;IF(AND($S257&lt;&gt;"",$S257&lt;&gt;"None"),"Delegation ","")&amp;IF(AND($Q257=1,$O257="None"),"StaleAdminCount ","")&amp;IF(AND($F257="Yes",$H257=""),"NeverLoggedOn ","")))</f>
        <v/>
      </c>
      <c r="AD257" s="60" t="n"/>
      <c r="AE257" s="61" t="n"/>
      <c r="AF257" s="60" t="n"/>
      <c r="AG257" s="62" t="n"/>
      <c r="AH257" s="62" t="n"/>
      <c r="AI257" s="62" t="n"/>
      <c r="AJ257" s="60" t="n"/>
      <c r="AK257" s="61" t="n"/>
      <c r="AL257" s="63">
        <f>IF($A257="","",IF(AH257="","Not Enrolled",IF(TODAY()&gt;AH257,"Review Overdue",IF(AH257-TODAY()&lt;=30,"Review Due Soon","Active"))))</f>
        <v/>
      </c>
      <c r="AM257" s="63">
        <f>IF($A257="","",IF(AI257="","NOT REVIEWED",IF(TODAY()-AI257&gt;90,"OVERDUE",IF(TODAY()-AI257&gt;76,"Due Soon","Current"))))</f>
        <v/>
      </c>
    </row>
    <row r="258" ht="15" customHeight="1" s="39">
      <c r="A258" s="60" t="n"/>
      <c r="B258" s="60" t="n"/>
      <c r="C258" s="61" t="n"/>
      <c r="D258" s="61" t="n"/>
      <c r="E258" s="60" t="n"/>
      <c r="F258" s="60" t="n"/>
      <c r="G258" s="62" t="n"/>
      <c r="H258" s="62" t="n"/>
      <c r="I258" s="62" t="n"/>
      <c r="J258" s="60" t="n"/>
      <c r="K258" s="60" t="n"/>
      <c r="L258" s="60" t="n"/>
      <c r="M258" s="61" t="n"/>
      <c r="N258" s="60" t="n"/>
      <c r="O258" s="60" t="n"/>
      <c r="P258" s="60" t="n"/>
      <c r="Q258" s="60" t="n"/>
      <c r="R258" s="60" t="n"/>
      <c r="S258" s="60" t="n"/>
      <c r="T258" s="60" t="n"/>
      <c r="U258" s="60" t="n"/>
      <c r="V258" s="60" t="n"/>
      <c r="W258" s="60" t="n"/>
      <c r="X258" s="60" t="n"/>
      <c r="Y258" s="60" t="n"/>
      <c r="Z258" s="61" t="n"/>
      <c r="AA258" s="63">
        <f>IF($H258="","",TODAY()-$H258)</f>
        <v/>
      </c>
      <c r="AB258" s="63">
        <f>IF($A258="","",IF(AND($F258="Yes",OR($U258="No",$U258="NOT FOUND")),"YES",""))</f>
        <v/>
      </c>
      <c r="AC258" s="66">
        <f>IF($A258="","",TRIM(IF(AND($P258=0,$L258&lt;&gt;"Yes"),"T0-NoSmartcard ","")&amp;IF(AND($J258&lt;&gt;"",$J258&gt;365),"StalePwd ","")&amp;IF($K258="Yes","PwdNeverExpires ","")&amp;IF(AND($S258&lt;&gt;"",$S258&lt;&gt;"None"),"Delegation ","")&amp;IF(AND($Q258=1,$O258="None"),"StaleAdminCount ","")&amp;IF(AND($F258="Yes",$H258=""),"NeverLoggedOn ","")))</f>
        <v/>
      </c>
      <c r="AD258" s="60" t="n"/>
      <c r="AE258" s="61" t="n"/>
      <c r="AF258" s="60" t="n"/>
      <c r="AG258" s="62" t="n"/>
      <c r="AH258" s="62" t="n"/>
      <c r="AI258" s="62" t="n"/>
      <c r="AJ258" s="60" t="n"/>
      <c r="AK258" s="61" t="n"/>
      <c r="AL258" s="63">
        <f>IF($A258="","",IF(AH258="","Not Enrolled",IF(TODAY()&gt;AH258,"Review Overdue",IF(AH258-TODAY()&lt;=30,"Review Due Soon","Active"))))</f>
        <v/>
      </c>
      <c r="AM258" s="63">
        <f>IF($A258="","",IF(AI258="","NOT REVIEWED",IF(TODAY()-AI258&gt;90,"OVERDUE",IF(TODAY()-AI258&gt;76,"Due Soon","Current"))))</f>
        <v/>
      </c>
    </row>
    <row r="259" ht="15" customHeight="1" s="39">
      <c r="A259" s="60" t="n"/>
      <c r="B259" s="60" t="n"/>
      <c r="C259" s="61" t="n"/>
      <c r="D259" s="61" t="n"/>
      <c r="E259" s="60" t="n"/>
      <c r="F259" s="60" t="n"/>
      <c r="G259" s="62" t="n"/>
      <c r="H259" s="62" t="n"/>
      <c r="I259" s="62" t="n"/>
      <c r="J259" s="60" t="n"/>
      <c r="K259" s="60" t="n"/>
      <c r="L259" s="60" t="n"/>
      <c r="M259" s="61" t="n"/>
      <c r="N259" s="60" t="n"/>
      <c r="O259" s="60" t="n"/>
      <c r="P259" s="60" t="n"/>
      <c r="Q259" s="60" t="n"/>
      <c r="R259" s="60" t="n"/>
      <c r="S259" s="60" t="n"/>
      <c r="T259" s="60" t="n"/>
      <c r="U259" s="60" t="n"/>
      <c r="V259" s="60" t="n"/>
      <c r="W259" s="60" t="n"/>
      <c r="X259" s="60" t="n"/>
      <c r="Y259" s="60" t="n"/>
      <c r="Z259" s="61" t="n"/>
      <c r="AA259" s="63">
        <f>IF($H259="","",TODAY()-$H259)</f>
        <v/>
      </c>
      <c r="AB259" s="63">
        <f>IF($A259="","",IF(AND($F259="Yes",OR($U259="No",$U259="NOT FOUND")),"YES",""))</f>
        <v/>
      </c>
      <c r="AC259" s="66">
        <f>IF($A259="","",TRIM(IF(AND($P259=0,$L259&lt;&gt;"Yes"),"T0-NoSmartcard ","")&amp;IF(AND($J259&lt;&gt;"",$J259&gt;365),"StalePwd ","")&amp;IF($K259="Yes","PwdNeverExpires ","")&amp;IF(AND($S259&lt;&gt;"",$S259&lt;&gt;"None"),"Delegation ","")&amp;IF(AND($Q259=1,$O259="None"),"StaleAdminCount ","")&amp;IF(AND($F259="Yes",$H259=""),"NeverLoggedOn ","")))</f>
        <v/>
      </c>
      <c r="AD259" s="60" t="n"/>
      <c r="AE259" s="61" t="n"/>
      <c r="AF259" s="60" t="n"/>
      <c r="AG259" s="62" t="n"/>
      <c r="AH259" s="62" t="n"/>
      <c r="AI259" s="62" t="n"/>
      <c r="AJ259" s="60" t="n"/>
      <c r="AK259" s="61" t="n"/>
      <c r="AL259" s="63">
        <f>IF($A259="","",IF(AH259="","Not Enrolled",IF(TODAY()&gt;AH259,"Review Overdue",IF(AH259-TODAY()&lt;=30,"Review Due Soon","Active"))))</f>
        <v/>
      </c>
      <c r="AM259" s="63">
        <f>IF($A259="","",IF(AI259="","NOT REVIEWED",IF(TODAY()-AI259&gt;90,"OVERDUE",IF(TODAY()-AI259&gt;76,"Due Soon","Current"))))</f>
        <v/>
      </c>
    </row>
    <row r="260" ht="15" customHeight="1" s="39">
      <c r="A260" s="60" t="n"/>
      <c r="B260" s="60" t="n"/>
      <c r="C260" s="61" t="n"/>
      <c r="D260" s="61" t="n"/>
      <c r="E260" s="60" t="n"/>
      <c r="F260" s="60" t="n"/>
      <c r="G260" s="62" t="n"/>
      <c r="H260" s="62" t="n"/>
      <c r="I260" s="62" t="n"/>
      <c r="J260" s="60" t="n"/>
      <c r="K260" s="60" t="n"/>
      <c r="L260" s="60" t="n"/>
      <c r="M260" s="61" t="n"/>
      <c r="N260" s="60" t="n"/>
      <c r="O260" s="60" t="n"/>
      <c r="P260" s="60" t="n"/>
      <c r="Q260" s="60" t="n"/>
      <c r="R260" s="60" t="n"/>
      <c r="S260" s="60" t="n"/>
      <c r="T260" s="60" t="n"/>
      <c r="U260" s="60" t="n"/>
      <c r="V260" s="60" t="n"/>
      <c r="W260" s="60" t="n"/>
      <c r="X260" s="60" t="n"/>
      <c r="Y260" s="60" t="n"/>
      <c r="Z260" s="61" t="n"/>
      <c r="AA260" s="63">
        <f>IF($H260="","",TODAY()-$H260)</f>
        <v/>
      </c>
      <c r="AB260" s="63">
        <f>IF($A260="","",IF(AND($F260="Yes",OR($U260="No",$U260="NOT FOUND")),"YES",""))</f>
        <v/>
      </c>
      <c r="AC260" s="66">
        <f>IF($A260="","",TRIM(IF(AND($P260=0,$L260&lt;&gt;"Yes"),"T0-NoSmartcard ","")&amp;IF(AND($J260&lt;&gt;"",$J260&gt;365),"StalePwd ","")&amp;IF($K260="Yes","PwdNeverExpires ","")&amp;IF(AND($S260&lt;&gt;"",$S260&lt;&gt;"None"),"Delegation ","")&amp;IF(AND($Q260=1,$O260="None"),"StaleAdminCount ","")&amp;IF(AND($F260="Yes",$H260=""),"NeverLoggedOn ","")))</f>
        <v/>
      </c>
      <c r="AD260" s="60" t="n"/>
      <c r="AE260" s="61" t="n"/>
      <c r="AF260" s="60" t="n"/>
      <c r="AG260" s="62" t="n"/>
      <c r="AH260" s="62" t="n"/>
      <c r="AI260" s="62" t="n"/>
      <c r="AJ260" s="60" t="n"/>
      <c r="AK260" s="61" t="n"/>
      <c r="AL260" s="63">
        <f>IF($A260="","",IF(AH260="","Not Enrolled",IF(TODAY()&gt;AH260,"Review Overdue",IF(AH260-TODAY()&lt;=30,"Review Due Soon","Active"))))</f>
        <v/>
      </c>
      <c r="AM260" s="63">
        <f>IF($A260="","",IF(AI260="","NOT REVIEWED",IF(TODAY()-AI260&gt;90,"OVERDUE",IF(TODAY()-AI260&gt;76,"Due Soon","Current"))))</f>
        <v/>
      </c>
    </row>
    <row r="261" ht="15" customHeight="1" s="39">
      <c r="A261" s="60" t="n"/>
      <c r="B261" s="60" t="n"/>
      <c r="C261" s="61" t="n"/>
      <c r="D261" s="61" t="n"/>
      <c r="E261" s="60" t="n"/>
      <c r="F261" s="60" t="n"/>
      <c r="G261" s="62" t="n"/>
      <c r="H261" s="62" t="n"/>
      <c r="I261" s="62" t="n"/>
      <c r="J261" s="60" t="n"/>
      <c r="K261" s="60" t="n"/>
      <c r="L261" s="60" t="n"/>
      <c r="M261" s="61" t="n"/>
      <c r="N261" s="60" t="n"/>
      <c r="O261" s="60" t="n"/>
      <c r="P261" s="60" t="n"/>
      <c r="Q261" s="60" t="n"/>
      <c r="R261" s="60" t="n"/>
      <c r="S261" s="60" t="n"/>
      <c r="T261" s="60" t="n"/>
      <c r="U261" s="60" t="n"/>
      <c r="V261" s="60" t="n"/>
      <c r="W261" s="60" t="n"/>
      <c r="X261" s="60" t="n"/>
      <c r="Y261" s="60" t="n"/>
      <c r="Z261" s="61" t="n"/>
      <c r="AA261" s="63">
        <f>IF($H261="","",TODAY()-$H261)</f>
        <v/>
      </c>
      <c r="AB261" s="63">
        <f>IF($A261="","",IF(AND($F261="Yes",OR($U261="No",$U261="NOT FOUND")),"YES",""))</f>
        <v/>
      </c>
      <c r="AC261" s="66">
        <f>IF($A261="","",TRIM(IF(AND($P261=0,$L261&lt;&gt;"Yes"),"T0-NoSmartcard ","")&amp;IF(AND($J261&lt;&gt;"",$J261&gt;365),"StalePwd ","")&amp;IF($K261="Yes","PwdNeverExpires ","")&amp;IF(AND($S261&lt;&gt;"",$S261&lt;&gt;"None"),"Delegation ","")&amp;IF(AND($Q261=1,$O261="None"),"StaleAdminCount ","")&amp;IF(AND($F261="Yes",$H261=""),"NeverLoggedOn ","")))</f>
        <v/>
      </c>
      <c r="AD261" s="60" t="n"/>
      <c r="AE261" s="61" t="n"/>
      <c r="AF261" s="60" t="n"/>
      <c r="AG261" s="62" t="n"/>
      <c r="AH261" s="62" t="n"/>
      <c r="AI261" s="62" t="n"/>
      <c r="AJ261" s="60" t="n"/>
      <c r="AK261" s="61" t="n"/>
      <c r="AL261" s="63">
        <f>IF($A261="","",IF(AH261="","Not Enrolled",IF(TODAY()&gt;AH261,"Review Overdue",IF(AH261-TODAY()&lt;=30,"Review Due Soon","Active"))))</f>
        <v/>
      </c>
      <c r="AM261" s="63">
        <f>IF($A261="","",IF(AI261="","NOT REVIEWED",IF(TODAY()-AI261&gt;90,"OVERDUE",IF(TODAY()-AI261&gt;76,"Due Soon","Current"))))</f>
        <v/>
      </c>
    </row>
    <row r="262" ht="15" customHeight="1" s="39">
      <c r="A262" s="60" t="n"/>
      <c r="B262" s="60" t="n"/>
      <c r="C262" s="61" t="n"/>
      <c r="D262" s="61" t="n"/>
      <c r="E262" s="60" t="n"/>
      <c r="F262" s="60" t="n"/>
      <c r="G262" s="62" t="n"/>
      <c r="H262" s="62" t="n"/>
      <c r="I262" s="62" t="n"/>
      <c r="J262" s="60" t="n"/>
      <c r="K262" s="60" t="n"/>
      <c r="L262" s="60" t="n"/>
      <c r="M262" s="61" t="n"/>
      <c r="N262" s="60" t="n"/>
      <c r="O262" s="60" t="n"/>
      <c r="P262" s="60" t="n"/>
      <c r="Q262" s="60" t="n"/>
      <c r="R262" s="60" t="n"/>
      <c r="S262" s="60" t="n"/>
      <c r="T262" s="60" t="n"/>
      <c r="U262" s="60" t="n"/>
      <c r="V262" s="60" t="n"/>
      <c r="W262" s="60" t="n"/>
      <c r="X262" s="60" t="n"/>
      <c r="Y262" s="60" t="n"/>
      <c r="Z262" s="61" t="n"/>
      <c r="AA262" s="63">
        <f>IF($H262="","",TODAY()-$H262)</f>
        <v/>
      </c>
      <c r="AB262" s="63">
        <f>IF($A262="","",IF(AND($F262="Yes",OR($U262="No",$U262="NOT FOUND")),"YES",""))</f>
        <v/>
      </c>
      <c r="AC262" s="66">
        <f>IF($A262="","",TRIM(IF(AND($P262=0,$L262&lt;&gt;"Yes"),"T0-NoSmartcard ","")&amp;IF(AND($J262&lt;&gt;"",$J262&gt;365),"StalePwd ","")&amp;IF($K262="Yes","PwdNeverExpires ","")&amp;IF(AND($S262&lt;&gt;"",$S262&lt;&gt;"None"),"Delegation ","")&amp;IF(AND($Q262=1,$O262="None"),"StaleAdminCount ","")&amp;IF(AND($F262="Yes",$H262=""),"NeverLoggedOn ","")))</f>
        <v/>
      </c>
      <c r="AD262" s="60" t="n"/>
      <c r="AE262" s="61" t="n"/>
      <c r="AF262" s="60" t="n"/>
      <c r="AG262" s="62" t="n"/>
      <c r="AH262" s="62" t="n"/>
      <c r="AI262" s="62" t="n"/>
      <c r="AJ262" s="60" t="n"/>
      <c r="AK262" s="61" t="n"/>
      <c r="AL262" s="63">
        <f>IF($A262="","",IF(AH262="","Not Enrolled",IF(TODAY()&gt;AH262,"Review Overdue",IF(AH262-TODAY()&lt;=30,"Review Due Soon","Active"))))</f>
        <v/>
      </c>
      <c r="AM262" s="63">
        <f>IF($A262="","",IF(AI262="","NOT REVIEWED",IF(TODAY()-AI262&gt;90,"OVERDUE",IF(TODAY()-AI262&gt;76,"Due Soon","Current"))))</f>
        <v/>
      </c>
    </row>
    <row r="263" ht="15" customHeight="1" s="39">
      <c r="A263" s="60" t="n"/>
      <c r="B263" s="60" t="n"/>
      <c r="C263" s="61" t="n"/>
      <c r="D263" s="61" t="n"/>
      <c r="E263" s="60" t="n"/>
      <c r="F263" s="60" t="n"/>
      <c r="G263" s="62" t="n"/>
      <c r="H263" s="62" t="n"/>
      <c r="I263" s="62" t="n"/>
      <c r="J263" s="60" t="n"/>
      <c r="K263" s="60" t="n"/>
      <c r="L263" s="60" t="n"/>
      <c r="M263" s="61" t="n"/>
      <c r="N263" s="60" t="n"/>
      <c r="O263" s="60" t="n"/>
      <c r="P263" s="60" t="n"/>
      <c r="Q263" s="60" t="n"/>
      <c r="R263" s="60" t="n"/>
      <c r="S263" s="60" t="n"/>
      <c r="T263" s="60" t="n"/>
      <c r="U263" s="60" t="n"/>
      <c r="V263" s="60" t="n"/>
      <c r="W263" s="60" t="n"/>
      <c r="X263" s="60" t="n"/>
      <c r="Y263" s="60" t="n"/>
      <c r="Z263" s="61" t="n"/>
      <c r="AA263" s="63">
        <f>IF($H263="","",TODAY()-$H263)</f>
        <v/>
      </c>
      <c r="AB263" s="63">
        <f>IF($A263="","",IF(AND($F263="Yes",OR($U263="No",$U263="NOT FOUND")),"YES",""))</f>
        <v/>
      </c>
      <c r="AC263" s="66">
        <f>IF($A263="","",TRIM(IF(AND($P263=0,$L263&lt;&gt;"Yes"),"T0-NoSmartcard ","")&amp;IF(AND($J263&lt;&gt;"",$J263&gt;365),"StalePwd ","")&amp;IF($K263="Yes","PwdNeverExpires ","")&amp;IF(AND($S263&lt;&gt;"",$S263&lt;&gt;"None"),"Delegation ","")&amp;IF(AND($Q263=1,$O263="None"),"StaleAdminCount ","")&amp;IF(AND($F263="Yes",$H263=""),"NeverLoggedOn ","")))</f>
        <v/>
      </c>
      <c r="AD263" s="60" t="n"/>
      <c r="AE263" s="61" t="n"/>
      <c r="AF263" s="60" t="n"/>
      <c r="AG263" s="62" t="n"/>
      <c r="AH263" s="62" t="n"/>
      <c r="AI263" s="62" t="n"/>
      <c r="AJ263" s="60" t="n"/>
      <c r="AK263" s="61" t="n"/>
      <c r="AL263" s="63">
        <f>IF($A263="","",IF(AH263="","Not Enrolled",IF(TODAY()&gt;AH263,"Review Overdue",IF(AH263-TODAY()&lt;=30,"Review Due Soon","Active"))))</f>
        <v/>
      </c>
      <c r="AM263" s="63">
        <f>IF($A263="","",IF(AI263="","NOT REVIEWED",IF(TODAY()-AI263&gt;90,"OVERDUE",IF(TODAY()-AI263&gt;76,"Due Soon","Current"))))</f>
        <v/>
      </c>
    </row>
    <row r="264" ht="15" customHeight="1" s="39">
      <c r="A264" s="60" t="n"/>
      <c r="B264" s="60" t="n"/>
      <c r="C264" s="61" t="n"/>
      <c r="D264" s="61" t="n"/>
      <c r="E264" s="60" t="n"/>
      <c r="F264" s="60" t="n"/>
      <c r="G264" s="62" t="n"/>
      <c r="H264" s="62" t="n"/>
      <c r="I264" s="62" t="n"/>
      <c r="J264" s="60" t="n"/>
      <c r="K264" s="60" t="n"/>
      <c r="L264" s="60" t="n"/>
      <c r="M264" s="61" t="n"/>
      <c r="N264" s="60" t="n"/>
      <c r="O264" s="60" t="n"/>
      <c r="P264" s="60" t="n"/>
      <c r="Q264" s="60" t="n"/>
      <c r="R264" s="60" t="n"/>
      <c r="S264" s="60" t="n"/>
      <c r="T264" s="60" t="n"/>
      <c r="U264" s="60" t="n"/>
      <c r="V264" s="60" t="n"/>
      <c r="W264" s="60" t="n"/>
      <c r="X264" s="60" t="n"/>
      <c r="Y264" s="60" t="n"/>
      <c r="Z264" s="61" t="n"/>
      <c r="AA264" s="63">
        <f>IF($H264="","",TODAY()-$H264)</f>
        <v/>
      </c>
      <c r="AB264" s="63">
        <f>IF($A264="","",IF(AND($F264="Yes",OR($U264="No",$U264="NOT FOUND")),"YES",""))</f>
        <v/>
      </c>
      <c r="AC264" s="66">
        <f>IF($A264="","",TRIM(IF(AND($P264=0,$L264&lt;&gt;"Yes"),"T0-NoSmartcard ","")&amp;IF(AND($J264&lt;&gt;"",$J264&gt;365),"StalePwd ","")&amp;IF($K264="Yes","PwdNeverExpires ","")&amp;IF(AND($S264&lt;&gt;"",$S264&lt;&gt;"None"),"Delegation ","")&amp;IF(AND($Q264=1,$O264="None"),"StaleAdminCount ","")&amp;IF(AND($F264="Yes",$H264=""),"NeverLoggedOn ","")))</f>
        <v/>
      </c>
      <c r="AD264" s="60" t="n"/>
      <c r="AE264" s="61" t="n"/>
      <c r="AF264" s="60" t="n"/>
      <c r="AG264" s="62" t="n"/>
      <c r="AH264" s="62" t="n"/>
      <c r="AI264" s="62" t="n"/>
      <c r="AJ264" s="60" t="n"/>
      <c r="AK264" s="61" t="n"/>
      <c r="AL264" s="63">
        <f>IF($A264="","",IF(AH264="","Not Enrolled",IF(TODAY()&gt;AH264,"Review Overdue",IF(AH264-TODAY()&lt;=30,"Review Due Soon","Active"))))</f>
        <v/>
      </c>
      <c r="AM264" s="63">
        <f>IF($A264="","",IF(AI264="","NOT REVIEWED",IF(TODAY()-AI264&gt;90,"OVERDUE",IF(TODAY()-AI264&gt;76,"Due Soon","Current"))))</f>
        <v/>
      </c>
    </row>
    <row r="265" ht="15" customHeight="1" s="39">
      <c r="A265" s="60" t="n"/>
      <c r="B265" s="60" t="n"/>
      <c r="C265" s="61" t="n"/>
      <c r="D265" s="61" t="n"/>
      <c r="E265" s="60" t="n"/>
      <c r="F265" s="60" t="n"/>
      <c r="G265" s="62" t="n"/>
      <c r="H265" s="62" t="n"/>
      <c r="I265" s="62" t="n"/>
      <c r="J265" s="60" t="n"/>
      <c r="K265" s="60" t="n"/>
      <c r="L265" s="60" t="n"/>
      <c r="M265" s="61" t="n"/>
      <c r="N265" s="60" t="n"/>
      <c r="O265" s="60" t="n"/>
      <c r="P265" s="60" t="n"/>
      <c r="Q265" s="60" t="n"/>
      <c r="R265" s="60" t="n"/>
      <c r="S265" s="60" t="n"/>
      <c r="T265" s="60" t="n"/>
      <c r="U265" s="60" t="n"/>
      <c r="V265" s="60" t="n"/>
      <c r="W265" s="60" t="n"/>
      <c r="X265" s="60" t="n"/>
      <c r="Y265" s="60" t="n"/>
      <c r="Z265" s="61" t="n"/>
      <c r="AA265" s="63">
        <f>IF($H265="","",TODAY()-$H265)</f>
        <v/>
      </c>
      <c r="AB265" s="63">
        <f>IF($A265="","",IF(AND($F265="Yes",OR($U265="No",$U265="NOT FOUND")),"YES",""))</f>
        <v/>
      </c>
      <c r="AC265" s="66">
        <f>IF($A265="","",TRIM(IF(AND($P265=0,$L265&lt;&gt;"Yes"),"T0-NoSmartcard ","")&amp;IF(AND($J265&lt;&gt;"",$J265&gt;365),"StalePwd ","")&amp;IF($K265="Yes","PwdNeverExpires ","")&amp;IF(AND($S265&lt;&gt;"",$S265&lt;&gt;"None"),"Delegation ","")&amp;IF(AND($Q265=1,$O265="None"),"StaleAdminCount ","")&amp;IF(AND($F265="Yes",$H265=""),"NeverLoggedOn ","")))</f>
        <v/>
      </c>
      <c r="AD265" s="60" t="n"/>
      <c r="AE265" s="61" t="n"/>
      <c r="AF265" s="60" t="n"/>
      <c r="AG265" s="62" t="n"/>
      <c r="AH265" s="62" t="n"/>
      <c r="AI265" s="62" t="n"/>
      <c r="AJ265" s="60" t="n"/>
      <c r="AK265" s="61" t="n"/>
      <c r="AL265" s="63">
        <f>IF($A265="","",IF(AH265="","Not Enrolled",IF(TODAY()&gt;AH265,"Review Overdue",IF(AH265-TODAY()&lt;=30,"Review Due Soon","Active"))))</f>
        <v/>
      </c>
      <c r="AM265" s="63">
        <f>IF($A265="","",IF(AI265="","NOT REVIEWED",IF(TODAY()-AI265&gt;90,"OVERDUE",IF(TODAY()-AI265&gt;76,"Due Soon","Current"))))</f>
        <v/>
      </c>
    </row>
    <row r="266" ht="15" customHeight="1" s="39">
      <c r="A266" s="60" t="n"/>
      <c r="B266" s="60" t="n"/>
      <c r="C266" s="61" t="n"/>
      <c r="D266" s="61" t="n"/>
      <c r="E266" s="60" t="n"/>
      <c r="F266" s="60" t="n"/>
      <c r="G266" s="62" t="n"/>
      <c r="H266" s="62" t="n"/>
      <c r="I266" s="62" t="n"/>
      <c r="J266" s="60" t="n"/>
      <c r="K266" s="60" t="n"/>
      <c r="L266" s="60" t="n"/>
      <c r="M266" s="61" t="n"/>
      <c r="N266" s="60" t="n"/>
      <c r="O266" s="60" t="n"/>
      <c r="P266" s="60" t="n"/>
      <c r="Q266" s="60" t="n"/>
      <c r="R266" s="60" t="n"/>
      <c r="S266" s="60" t="n"/>
      <c r="T266" s="60" t="n"/>
      <c r="U266" s="60" t="n"/>
      <c r="V266" s="60" t="n"/>
      <c r="W266" s="60" t="n"/>
      <c r="X266" s="60" t="n"/>
      <c r="Y266" s="60" t="n"/>
      <c r="Z266" s="61" t="n"/>
      <c r="AA266" s="63">
        <f>IF($H266="","",TODAY()-$H266)</f>
        <v/>
      </c>
      <c r="AB266" s="63">
        <f>IF($A266="","",IF(AND($F266="Yes",OR($U266="No",$U266="NOT FOUND")),"YES",""))</f>
        <v/>
      </c>
      <c r="AC266" s="66">
        <f>IF($A266="","",TRIM(IF(AND($P266=0,$L266&lt;&gt;"Yes"),"T0-NoSmartcard ","")&amp;IF(AND($J266&lt;&gt;"",$J266&gt;365),"StalePwd ","")&amp;IF($K266="Yes","PwdNeverExpires ","")&amp;IF(AND($S266&lt;&gt;"",$S266&lt;&gt;"None"),"Delegation ","")&amp;IF(AND($Q266=1,$O266="None"),"StaleAdminCount ","")&amp;IF(AND($F266="Yes",$H266=""),"NeverLoggedOn ","")))</f>
        <v/>
      </c>
      <c r="AD266" s="60" t="n"/>
      <c r="AE266" s="61" t="n"/>
      <c r="AF266" s="60" t="n"/>
      <c r="AG266" s="62" t="n"/>
      <c r="AH266" s="62" t="n"/>
      <c r="AI266" s="62" t="n"/>
      <c r="AJ266" s="60" t="n"/>
      <c r="AK266" s="61" t="n"/>
      <c r="AL266" s="63">
        <f>IF($A266="","",IF(AH266="","Not Enrolled",IF(TODAY()&gt;AH266,"Review Overdue",IF(AH266-TODAY()&lt;=30,"Review Due Soon","Active"))))</f>
        <v/>
      </c>
      <c r="AM266" s="63">
        <f>IF($A266="","",IF(AI266="","NOT REVIEWED",IF(TODAY()-AI266&gt;90,"OVERDUE",IF(TODAY()-AI266&gt;76,"Due Soon","Current"))))</f>
        <v/>
      </c>
    </row>
    <row r="267" ht="15" customHeight="1" s="39">
      <c r="A267" s="60" t="n"/>
      <c r="B267" s="60" t="n"/>
      <c r="C267" s="61" t="n"/>
      <c r="D267" s="61" t="n"/>
      <c r="E267" s="60" t="n"/>
      <c r="F267" s="60" t="n"/>
      <c r="G267" s="62" t="n"/>
      <c r="H267" s="62" t="n"/>
      <c r="I267" s="62" t="n"/>
      <c r="J267" s="60" t="n"/>
      <c r="K267" s="60" t="n"/>
      <c r="L267" s="60" t="n"/>
      <c r="M267" s="61" t="n"/>
      <c r="N267" s="60" t="n"/>
      <c r="O267" s="60" t="n"/>
      <c r="P267" s="60" t="n"/>
      <c r="Q267" s="60" t="n"/>
      <c r="R267" s="60" t="n"/>
      <c r="S267" s="60" t="n"/>
      <c r="T267" s="60" t="n"/>
      <c r="U267" s="60" t="n"/>
      <c r="V267" s="60" t="n"/>
      <c r="W267" s="60" t="n"/>
      <c r="X267" s="60" t="n"/>
      <c r="Y267" s="60" t="n"/>
      <c r="Z267" s="61" t="n"/>
      <c r="AA267" s="63">
        <f>IF($H267="","",TODAY()-$H267)</f>
        <v/>
      </c>
      <c r="AB267" s="63">
        <f>IF($A267="","",IF(AND($F267="Yes",OR($U267="No",$U267="NOT FOUND")),"YES",""))</f>
        <v/>
      </c>
      <c r="AC267" s="66">
        <f>IF($A267="","",TRIM(IF(AND($P267=0,$L267&lt;&gt;"Yes"),"T0-NoSmartcard ","")&amp;IF(AND($J267&lt;&gt;"",$J267&gt;365),"StalePwd ","")&amp;IF($K267="Yes","PwdNeverExpires ","")&amp;IF(AND($S267&lt;&gt;"",$S267&lt;&gt;"None"),"Delegation ","")&amp;IF(AND($Q267=1,$O267="None"),"StaleAdminCount ","")&amp;IF(AND($F267="Yes",$H267=""),"NeverLoggedOn ","")))</f>
        <v/>
      </c>
      <c r="AD267" s="60" t="n"/>
      <c r="AE267" s="61" t="n"/>
      <c r="AF267" s="60" t="n"/>
      <c r="AG267" s="62" t="n"/>
      <c r="AH267" s="62" t="n"/>
      <c r="AI267" s="62" t="n"/>
      <c r="AJ267" s="60" t="n"/>
      <c r="AK267" s="61" t="n"/>
      <c r="AL267" s="63">
        <f>IF($A267="","",IF(AH267="","Not Enrolled",IF(TODAY()&gt;AH267,"Review Overdue",IF(AH267-TODAY()&lt;=30,"Review Due Soon","Active"))))</f>
        <v/>
      </c>
      <c r="AM267" s="63">
        <f>IF($A267="","",IF(AI267="","NOT REVIEWED",IF(TODAY()-AI267&gt;90,"OVERDUE",IF(TODAY()-AI267&gt;76,"Due Soon","Current"))))</f>
        <v/>
      </c>
    </row>
    <row r="268" ht="15" customHeight="1" s="39">
      <c r="A268" s="60" t="n"/>
      <c r="B268" s="60" t="n"/>
      <c r="C268" s="61" t="n"/>
      <c r="D268" s="61" t="n"/>
      <c r="E268" s="60" t="n"/>
      <c r="F268" s="60" t="n"/>
      <c r="G268" s="62" t="n"/>
      <c r="H268" s="62" t="n"/>
      <c r="I268" s="62" t="n"/>
      <c r="J268" s="60" t="n"/>
      <c r="K268" s="60" t="n"/>
      <c r="L268" s="60" t="n"/>
      <c r="M268" s="61" t="n"/>
      <c r="N268" s="60" t="n"/>
      <c r="O268" s="60" t="n"/>
      <c r="P268" s="60" t="n"/>
      <c r="Q268" s="60" t="n"/>
      <c r="R268" s="60" t="n"/>
      <c r="S268" s="60" t="n"/>
      <c r="T268" s="60" t="n"/>
      <c r="U268" s="60" t="n"/>
      <c r="V268" s="60" t="n"/>
      <c r="W268" s="60" t="n"/>
      <c r="X268" s="60" t="n"/>
      <c r="Y268" s="60" t="n"/>
      <c r="Z268" s="61" t="n"/>
      <c r="AA268" s="63">
        <f>IF($H268="","",TODAY()-$H268)</f>
        <v/>
      </c>
      <c r="AB268" s="63">
        <f>IF($A268="","",IF(AND($F268="Yes",OR($U268="No",$U268="NOT FOUND")),"YES",""))</f>
        <v/>
      </c>
      <c r="AC268" s="66">
        <f>IF($A268="","",TRIM(IF(AND($P268=0,$L268&lt;&gt;"Yes"),"T0-NoSmartcard ","")&amp;IF(AND($J268&lt;&gt;"",$J268&gt;365),"StalePwd ","")&amp;IF($K268="Yes","PwdNeverExpires ","")&amp;IF(AND($S268&lt;&gt;"",$S268&lt;&gt;"None"),"Delegation ","")&amp;IF(AND($Q268=1,$O268="None"),"StaleAdminCount ","")&amp;IF(AND($F268="Yes",$H268=""),"NeverLoggedOn ","")))</f>
        <v/>
      </c>
      <c r="AD268" s="60" t="n"/>
      <c r="AE268" s="61" t="n"/>
      <c r="AF268" s="60" t="n"/>
      <c r="AG268" s="62" t="n"/>
      <c r="AH268" s="62" t="n"/>
      <c r="AI268" s="62" t="n"/>
      <c r="AJ268" s="60" t="n"/>
      <c r="AK268" s="61" t="n"/>
      <c r="AL268" s="63">
        <f>IF($A268="","",IF(AH268="","Not Enrolled",IF(TODAY()&gt;AH268,"Review Overdue",IF(AH268-TODAY()&lt;=30,"Review Due Soon","Active"))))</f>
        <v/>
      </c>
      <c r="AM268" s="63">
        <f>IF($A268="","",IF(AI268="","NOT REVIEWED",IF(TODAY()-AI268&gt;90,"OVERDUE",IF(TODAY()-AI268&gt;76,"Due Soon","Current"))))</f>
        <v/>
      </c>
    </row>
    <row r="269" ht="15" customHeight="1" s="39">
      <c r="A269" s="60" t="n"/>
      <c r="B269" s="60" t="n"/>
      <c r="C269" s="61" t="n"/>
      <c r="D269" s="61" t="n"/>
      <c r="E269" s="60" t="n"/>
      <c r="F269" s="60" t="n"/>
      <c r="G269" s="62" t="n"/>
      <c r="H269" s="62" t="n"/>
      <c r="I269" s="62" t="n"/>
      <c r="J269" s="60" t="n"/>
      <c r="K269" s="60" t="n"/>
      <c r="L269" s="60" t="n"/>
      <c r="M269" s="61" t="n"/>
      <c r="N269" s="60" t="n"/>
      <c r="O269" s="60" t="n"/>
      <c r="P269" s="60" t="n"/>
      <c r="Q269" s="60" t="n"/>
      <c r="R269" s="60" t="n"/>
      <c r="S269" s="60" t="n"/>
      <c r="T269" s="60" t="n"/>
      <c r="U269" s="60" t="n"/>
      <c r="V269" s="60" t="n"/>
      <c r="W269" s="60" t="n"/>
      <c r="X269" s="60" t="n"/>
      <c r="Y269" s="60" t="n"/>
      <c r="Z269" s="61" t="n"/>
      <c r="AA269" s="63">
        <f>IF($H269="","",TODAY()-$H269)</f>
        <v/>
      </c>
      <c r="AB269" s="63">
        <f>IF($A269="","",IF(AND($F269="Yes",OR($U269="No",$U269="NOT FOUND")),"YES",""))</f>
        <v/>
      </c>
      <c r="AC269" s="66">
        <f>IF($A269="","",TRIM(IF(AND($P269=0,$L269&lt;&gt;"Yes"),"T0-NoSmartcard ","")&amp;IF(AND($J269&lt;&gt;"",$J269&gt;365),"StalePwd ","")&amp;IF($K269="Yes","PwdNeverExpires ","")&amp;IF(AND($S269&lt;&gt;"",$S269&lt;&gt;"None"),"Delegation ","")&amp;IF(AND($Q269=1,$O269="None"),"StaleAdminCount ","")&amp;IF(AND($F269="Yes",$H269=""),"NeverLoggedOn ","")))</f>
        <v/>
      </c>
      <c r="AD269" s="60" t="n"/>
      <c r="AE269" s="61" t="n"/>
      <c r="AF269" s="60" t="n"/>
      <c r="AG269" s="62" t="n"/>
      <c r="AH269" s="62" t="n"/>
      <c r="AI269" s="62" t="n"/>
      <c r="AJ269" s="60" t="n"/>
      <c r="AK269" s="61" t="n"/>
      <c r="AL269" s="63">
        <f>IF($A269="","",IF(AH269="","Not Enrolled",IF(TODAY()&gt;AH269,"Review Overdue",IF(AH269-TODAY()&lt;=30,"Review Due Soon","Active"))))</f>
        <v/>
      </c>
      <c r="AM269" s="63">
        <f>IF($A269="","",IF(AI269="","NOT REVIEWED",IF(TODAY()-AI269&gt;90,"OVERDUE",IF(TODAY()-AI269&gt;76,"Due Soon","Current"))))</f>
        <v/>
      </c>
    </row>
    <row r="270" ht="15" customHeight="1" s="39">
      <c r="A270" s="60" t="n"/>
      <c r="B270" s="60" t="n"/>
      <c r="C270" s="61" t="n"/>
      <c r="D270" s="61" t="n"/>
      <c r="E270" s="60" t="n"/>
      <c r="F270" s="60" t="n"/>
      <c r="G270" s="62" t="n"/>
      <c r="H270" s="62" t="n"/>
      <c r="I270" s="62" t="n"/>
      <c r="J270" s="60" t="n"/>
      <c r="K270" s="60" t="n"/>
      <c r="L270" s="60" t="n"/>
      <c r="M270" s="61" t="n"/>
      <c r="N270" s="60" t="n"/>
      <c r="O270" s="60" t="n"/>
      <c r="P270" s="60" t="n"/>
      <c r="Q270" s="60" t="n"/>
      <c r="R270" s="60" t="n"/>
      <c r="S270" s="60" t="n"/>
      <c r="T270" s="60" t="n"/>
      <c r="U270" s="60" t="n"/>
      <c r="V270" s="60" t="n"/>
      <c r="W270" s="60" t="n"/>
      <c r="X270" s="60" t="n"/>
      <c r="Y270" s="60" t="n"/>
      <c r="Z270" s="61" t="n"/>
      <c r="AA270" s="63">
        <f>IF($H270="","",TODAY()-$H270)</f>
        <v/>
      </c>
      <c r="AB270" s="63">
        <f>IF($A270="","",IF(AND($F270="Yes",OR($U270="No",$U270="NOT FOUND")),"YES",""))</f>
        <v/>
      </c>
      <c r="AC270" s="66">
        <f>IF($A270="","",TRIM(IF(AND($P270=0,$L270&lt;&gt;"Yes"),"T0-NoSmartcard ","")&amp;IF(AND($J270&lt;&gt;"",$J270&gt;365),"StalePwd ","")&amp;IF($K270="Yes","PwdNeverExpires ","")&amp;IF(AND($S270&lt;&gt;"",$S270&lt;&gt;"None"),"Delegation ","")&amp;IF(AND($Q270=1,$O270="None"),"StaleAdminCount ","")&amp;IF(AND($F270="Yes",$H270=""),"NeverLoggedOn ","")))</f>
        <v/>
      </c>
      <c r="AD270" s="60" t="n"/>
      <c r="AE270" s="61" t="n"/>
      <c r="AF270" s="60" t="n"/>
      <c r="AG270" s="62" t="n"/>
      <c r="AH270" s="62" t="n"/>
      <c r="AI270" s="62" t="n"/>
      <c r="AJ270" s="60" t="n"/>
      <c r="AK270" s="61" t="n"/>
      <c r="AL270" s="63">
        <f>IF($A270="","",IF(AH270="","Not Enrolled",IF(TODAY()&gt;AH270,"Review Overdue",IF(AH270-TODAY()&lt;=30,"Review Due Soon","Active"))))</f>
        <v/>
      </c>
      <c r="AM270" s="63">
        <f>IF($A270="","",IF(AI270="","NOT REVIEWED",IF(TODAY()-AI270&gt;90,"OVERDUE",IF(TODAY()-AI270&gt;76,"Due Soon","Current"))))</f>
        <v/>
      </c>
    </row>
    <row r="271" ht="15" customHeight="1" s="39">
      <c r="A271" s="60" t="n"/>
      <c r="B271" s="60" t="n"/>
      <c r="C271" s="61" t="n"/>
      <c r="D271" s="61" t="n"/>
      <c r="E271" s="60" t="n"/>
      <c r="F271" s="60" t="n"/>
      <c r="G271" s="62" t="n"/>
      <c r="H271" s="62" t="n"/>
      <c r="I271" s="62" t="n"/>
      <c r="J271" s="60" t="n"/>
      <c r="K271" s="60" t="n"/>
      <c r="L271" s="60" t="n"/>
      <c r="M271" s="61" t="n"/>
      <c r="N271" s="60" t="n"/>
      <c r="O271" s="60" t="n"/>
      <c r="P271" s="60" t="n"/>
      <c r="Q271" s="60" t="n"/>
      <c r="R271" s="60" t="n"/>
      <c r="S271" s="60" t="n"/>
      <c r="T271" s="60" t="n"/>
      <c r="U271" s="60" t="n"/>
      <c r="V271" s="60" t="n"/>
      <c r="W271" s="60" t="n"/>
      <c r="X271" s="60" t="n"/>
      <c r="Y271" s="60" t="n"/>
      <c r="Z271" s="61" t="n"/>
      <c r="AA271" s="63">
        <f>IF($H271="","",TODAY()-$H271)</f>
        <v/>
      </c>
      <c r="AB271" s="63">
        <f>IF($A271="","",IF(AND($F271="Yes",OR($U271="No",$U271="NOT FOUND")),"YES",""))</f>
        <v/>
      </c>
      <c r="AC271" s="66">
        <f>IF($A271="","",TRIM(IF(AND($P271=0,$L271&lt;&gt;"Yes"),"T0-NoSmartcard ","")&amp;IF(AND($J271&lt;&gt;"",$J271&gt;365),"StalePwd ","")&amp;IF($K271="Yes","PwdNeverExpires ","")&amp;IF(AND($S271&lt;&gt;"",$S271&lt;&gt;"None"),"Delegation ","")&amp;IF(AND($Q271=1,$O271="None"),"StaleAdminCount ","")&amp;IF(AND($F271="Yes",$H271=""),"NeverLoggedOn ","")))</f>
        <v/>
      </c>
      <c r="AD271" s="60" t="n"/>
      <c r="AE271" s="61" t="n"/>
      <c r="AF271" s="60" t="n"/>
      <c r="AG271" s="62" t="n"/>
      <c r="AH271" s="62" t="n"/>
      <c r="AI271" s="62" t="n"/>
      <c r="AJ271" s="60" t="n"/>
      <c r="AK271" s="61" t="n"/>
      <c r="AL271" s="63">
        <f>IF($A271="","",IF(AH271="","Not Enrolled",IF(TODAY()&gt;AH271,"Review Overdue",IF(AH271-TODAY()&lt;=30,"Review Due Soon","Active"))))</f>
        <v/>
      </c>
      <c r="AM271" s="63">
        <f>IF($A271="","",IF(AI271="","NOT REVIEWED",IF(TODAY()-AI271&gt;90,"OVERDUE",IF(TODAY()-AI271&gt;76,"Due Soon","Current"))))</f>
        <v/>
      </c>
    </row>
    <row r="272" ht="15" customHeight="1" s="39">
      <c r="A272" s="60" t="n"/>
      <c r="B272" s="60" t="n"/>
      <c r="C272" s="61" t="n"/>
      <c r="D272" s="61" t="n"/>
      <c r="E272" s="60" t="n"/>
      <c r="F272" s="60" t="n"/>
      <c r="G272" s="62" t="n"/>
      <c r="H272" s="62" t="n"/>
      <c r="I272" s="62" t="n"/>
      <c r="J272" s="60" t="n"/>
      <c r="K272" s="60" t="n"/>
      <c r="L272" s="60" t="n"/>
      <c r="M272" s="61" t="n"/>
      <c r="N272" s="60" t="n"/>
      <c r="O272" s="60" t="n"/>
      <c r="P272" s="60" t="n"/>
      <c r="Q272" s="60" t="n"/>
      <c r="R272" s="60" t="n"/>
      <c r="S272" s="60" t="n"/>
      <c r="T272" s="60" t="n"/>
      <c r="U272" s="60" t="n"/>
      <c r="V272" s="60" t="n"/>
      <c r="W272" s="60" t="n"/>
      <c r="X272" s="60" t="n"/>
      <c r="Y272" s="60" t="n"/>
      <c r="Z272" s="61" t="n"/>
      <c r="AA272" s="63">
        <f>IF($H272="","",TODAY()-$H272)</f>
        <v/>
      </c>
      <c r="AB272" s="63">
        <f>IF($A272="","",IF(AND($F272="Yes",OR($U272="No",$U272="NOT FOUND")),"YES",""))</f>
        <v/>
      </c>
      <c r="AC272" s="66">
        <f>IF($A272="","",TRIM(IF(AND($P272=0,$L272&lt;&gt;"Yes"),"T0-NoSmartcard ","")&amp;IF(AND($J272&lt;&gt;"",$J272&gt;365),"StalePwd ","")&amp;IF($K272="Yes","PwdNeverExpires ","")&amp;IF(AND($S272&lt;&gt;"",$S272&lt;&gt;"None"),"Delegation ","")&amp;IF(AND($Q272=1,$O272="None"),"StaleAdminCount ","")&amp;IF(AND($F272="Yes",$H272=""),"NeverLoggedOn ","")))</f>
        <v/>
      </c>
      <c r="AD272" s="60" t="n"/>
      <c r="AE272" s="61" t="n"/>
      <c r="AF272" s="60" t="n"/>
      <c r="AG272" s="62" t="n"/>
      <c r="AH272" s="62" t="n"/>
      <c r="AI272" s="62" t="n"/>
      <c r="AJ272" s="60" t="n"/>
      <c r="AK272" s="61" t="n"/>
      <c r="AL272" s="63">
        <f>IF($A272="","",IF(AH272="","Not Enrolled",IF(TODAY()&gt;AH272,"Review Overdue",IF(AH272-TODAY()&lt;=30,"Review Due Soon","Active"))))</f>
        <v/>
      </c>
      <c r="AM272" s="63">
        <f>IF($A272="","",IF(AI272="","NOT REVIEWED",IF(TODAY()-AI272&gt;90,"OVERDUE",IF(TODAY()-AI272&gt;76,"Due Soon","Current"))))</f>
        <v/>
      </c>
    </row>
    <row r="273" ht="15" customHeight="1" s="39">
      <c r="A273" s="60" t="n"/>
      <c r="B273" s="60" t="n"/>
      <c r="C273" s="61" t="n"/>
      <c r="D273" s="61" t="n"/>
      <c r="E273" s="60" t="n"/>
      <c r="F273" s="60" t="n"/>
      <c r="G273" s="62" t="n"/>
      <c r="H273" s="62" t="n"/>
      <c r="I273" s="62" t="n"/>
      <c r="J273" s="60" t="n"/>
      <c r="K273" s="60" t="n"/>
      <c r="L273" s="60" t="n"/>
      <c r="M273" s="61" t="n"/>
      <c r="N273" s="60" t="n"/>
      <c r="O273" s="60" t="n"/>
      <c r="P273" s="60" t="n"/>
      <c r="Q273" s="60" t="n"/>
      <c r="R273" s="60" t="n"/>
      <c r="S273" s="60" t="n"/>
      <c r="T273" s="60" t="n"/>
      <c r="U273" s="60" t="n"/>
      <c r="V273" s="60" t="n"/>
      <c r="W273" s="60" t="n"/>
      <c r="X273" s="60" t="n"/>
      <c r="Y273" s="60" t="n"/>
      <c r="Z273" s="61" t="n"/>
      <c r="AA273" s="63">
        <f>IF($H273="","",TODAY()-$H273)</f>
        <v/>
      </c>
      <c r="AB273" s="63">
        <f>IF($A273="","",IF(AND($F273="Yes",OR($U273="No",$U273="NOT FOUND")),"YES",""))</f>
        <v/>
      </c>
      <c r="AC273" s="66">
        <f>IF($A273="","",TRIM(IF(AND($P273=0,$L273&lt;&gt;"Yes"),"T0-NoSmartcard ","")&amp;IF(AND($J273&lt;&gt;"",$J273&gt;365),"StalePwd ","")&amp;IF($K273="Yes","PwdNeverExpires ","")&amp;IF(AND($S273&lt;&gt;"",$S273&lt;&gt;"None"),"Delegation ","")&amp;IF(AND($Q273=1,$O273="None"),"StaleAdminCount ","")&amp;IF(AND($F273="Yes",$H273=""),"NeverLoggedOn ","")))</f>
        <v/>
      </c>
      <c r="AD273" s="60" t="n"/>
      <c r="AE273" s="61" t="n"/>
      <c r="AF273" s="60" t="n"/>
      <c r="AG273" s="62" t="n"/>
      <c r="AH273" s="62" t="n"/>
      <c r="AI273" s="62" t="n"/>
      <c r="AJ273" s="60" t="n"/>
      <c r="AK273" s="61" t="n"/>
      <c r="AL273" s="63">
        <f>IF($A273="","",IF(AH273="","Not Enrolled",IF(TODAY()&gt;AH273,"Review Overdue",IF(AH273-TODAY()&lt;=30,"Review Due Soon","Active"))))</f>
        <v/>
      </c>
      <c r="AM273" s="63">
        <f>IF($A273="","",IF(AI273="","NOT REVIEWED",IF(TODAY()-AI273&gt;90,"OVERDUE",IF(TODAY()-AI273&gt;76,"Due Soon","Current"))))</f>
        <v/>
      </c>
    </row>
    <row r="274" ht="15" customHeight="1" s="39">
      <c r="A274" s="60" t="n"/>
      <c r="B274" s="60" t="n"/>
      <c r="C274" s="61" t="n"/>
      <c r="D274" s="61" t="n"/>
      <c r="E274" s="60" t="n"/>
      <c r="F274" s="60" t="n"/>
      <c r="G274" s="62" t="n"/>
      <c r="H274" s="62" t="n"/>
      <c r="I274" s="62" t="n"/>
      <c r="J274" s="60" t="n"/>
      <c r="K274" s="60" t="n"/>
      <c r="L274" s="60" t="n"/>
      <c r="M274" s="61" t="n"/>
      <c r="N274" s="60" t="n"/>
      <c r="O274" s="60" t="n"/>
      <c r="P274" s="60" t="n"/>
      <c r="Q274" s="60" t="n"/>
      <c r="R274" s="60" t="n"/>
      <c r="S274" s="60" t="n"/>
      <c r="T274" s="60" t="n"/>
      <c r="U274" s="60" t="n"/>
      <c r="V274" s="60" t="n"/>
      <c r="W274" s="60" t="n"/>
      <c r="X274" s="60" t="n"/>
      <c r="Y274" s="60" t="n"/>
      <c r="Z274" s="61" t="n"/>
      <c r="AA274" s="63">
        <f>IF($H274="","",TODAY()-$H274)</f>
        <v/>
      </c>
      <c r="AB274" s="63">
        <f>IF($A274="","",IF(AND($F274="Yes",OR($U274="No",$U274="NOT FOUND")),"YES",""))</f>
        <v/>
      </c>
      <c r="AC274" s="66">
        <f>IF($A274="","",TRIM(IF(AND($P274=0,$L274&lt;&gt;"Yes"),"T0-NoSmartcard ","")&amp;IF(AND($J274&lt;&gt;"",$J274&gt;365),"StalePwd ","")&amp;IF($K274="Yes","PwdNeverExpires ","")&amp;IF(AND($S274&lt;&gt;"",$S274&lt;&gt;"None"),"Delegation ","")&amp;IF(AND($Q274=1,$O274="None"),"StaleAdminCount ","")&amp;IF(AND($F274="Yes",$H274=""),"NeverLoggedOn ","")))</f>
        <v/>
      </c>
      <c r="AD274" s="60" t="n"/>
      <c r="AE274" s="61" t="n"/>
      <c r="AF274" s="60" t="n"/>
      <c r="AG274" s="62" t="n"/>
      <c r="AH274" s="62" t="n"/>
      <c r="AI274" s="62" t="n"/>
      <c r="AJ274" s="60" t="n"/>
      <c r="AK274" s="61" t="n"/>
      <c r="AL274" s="63">
        <f>IF($A274="","",IF(AH274="","Not Enrolled",IF(TODAY()&gt;AH274,"Review Overdue",IF(AH274-TODAY()&lt;=30,"Review Due Soon","Active"))))</f>
        <v/>
      </c>
      <c r="AM274" s="63">
        <f>IF($A274="","",IF(AI274="","NOT REVIEWED",IF(TODAY()-AI274&gt;90,"OVERDUE",IF(TODAY()-AI274&gt;76,"Due Soon","Current"))))</f>
        <v/>
      </c>
    </row>
    <row r="275" ht="15" customHeight="1" s="39">
      <c r="A275" s="60" t="n"/>
      <c r="B275" s="60" t="n"/>
      <c r="C275" s="61" t="n"/>
      <c r="D275" s="61" t="n"/>
      <c r="E275" s="60" t="n"/>
      <c r="F275" s="60" t="n"/>
      <c r="G275" s="62" t="n"/>
      <c r="H275" s="62" t="n"/>
      <c r="I275" s="62" t="n"/>
      <c r="J275" s="60" t="n"/>
      <c r="K275" s="60" t="n"/>
      <c r="L275" s="60" t="n"/>
      <c r="M275" s="61" t="n"/>
      <c r="N275" s="60" t="n"/>
      <c r="O275" s="60" t="n"/>
      <c r="P275" s="60" t="n"/>
      <c r="Q275" s="60" t="n"/>
      <c r="R275" s="60" t="n"/>
      <c r="S275" s="60" t="n"/>
      <c r="T275" s="60" t="n"/>
      <c r="U275" s="60" t="n"/>
      <c r="V275" s="60" t="n"/>
      <c r="W275" s="60" t="n"/>
      <c r="X275" s="60" t="n"/>
      <c r="Y275" s="60" t="n"/>
      <c r="Z275" s="61" t="n"/>
      <c r="AA275" s="63">
        <f>IF($H275="","",TODAY()-$H275)</f>
        <v/>
      </c>
      <c r="AB275" s="63">
        <f>IF($A275="","",IF(AND($F275="Yes",OR($U275="No",$U275="NOT FOUND")),"YES",""))</f>
        <v/>
      </c>
      <c r="AC275" s="66">
        <f>IF($A275="","",TRIM(IF(AND($P275=0,$L275&lt;&gt;"Yes"),"T0-NoSmartcard ","")&amp;IF(AND($J275&lt;&gt;"",$J275&gt;365),"StalePwd ","")&amp;IF($K275="Yes","PwdNeverExpires ","")&amp;IF(AND($S275&lt;&gt;"",$S275&lt;&gt;"None"),"Delegation ","")&amp;IF(AND($Q275=1,$O275="None"),"StaleAdminCount ","")&amp;IF(AND($F275="Yes",$H275=""),"NeverLoggedOn ","")))</f>
        <v/>
      </c>
      <c r="AD275" s="60" t="n"/>
      <c r="AE275" s="61" t="n"/>
      <c r="AF275" s="60" t="n"/>
      <c r="AG275" s="62" t="n"/>
      <c r="AH275" s="62" t="n"/>
      <c r="AI275" s="62" t="n"/>
      <c r="AJ275" s="60" t="n"/>
      <c r="AK275" s="61" t="n"/>
      <c r="AL275" s="63">
        <f>IF($A275="","",IF(AH275="","Not Enrolled",IF(TODAY()&gt;AH275,"Review Overdue",IF(AH275-TODAY()&lt;=30,"Review Due Soon","Active"))))</f>
        <v/>
      </c>
      <c r="AM275" s="63">
        <f>IF($A275="","",IF(AI275="","NOT REVIEWED",IF(TODAY()-AI275&gt;90,"OVERDUE",IF(TODAY()-AI275&gt;76,"Due Soon","Current"))))</f>
        <v/>
      </c>
    </row>
    <row r="276" ht="15" customHeight="1" s="39">
      <c r="A276" s="60" t="n"/>
      <c r="B276" s="60" t="n"/>
      <c r="C276" s="61" t="n"/>
      <c r="D276" s="61" t="n"/>
      <c r="E276" s="60" t="n"/>
      <c r="F276" s="60" t="n"/>
      <c r="G276" s="62" t="n"/>
      <c r="H276" s="62" t="n"/>
      <c r="I276" s="62" t="n"/>
      <c r="J276" s="60" t="n"/>
      <c r="K276" s="60" t="n"/>
      <c r="L276" s="60" t="n"/>
      <c r="M276" s="61" t="n"/>
      <c r="N276" s="60" t="n"/>
      <c r="O276" s="60" t="n"/>
      <c r="P276" s="60" t="n"/>
      <c r="Q276" s="60" t="n"/>
      <c r="R276" s="60" t="n"/>
      <c r="S276" s="60" t="n"/>
      <c r="T276" s="60" t="n"/>
      <c r="U276" s="60" t="n"/>
      <c r="V276" s="60" t="n"/>
      <c r="W276" s="60" t="n"/>
      <c r="X276" s="60" t="n"/>
      <c r="Y276" s="60" t="n"/>
      <c r="Z276" s="61" t="n"/>
      <c r="AA276" s="63">
        <f>IF($H276="","",TODAY()-$H276)</f>
        <v/>
      </c>
      <c r="AB276" s="63">
        <f>IF($A276="","",IF(AND($F276="Yes",OR($U276="No",$U276="NOT FOUND")),"YES",""))</f>
        <v/>
      </c>
      <c r="AC276" s="66">
        <f>IF($A276="","",TRIM(IF(AND($P276=0,$L276&lt;&gt;"Yes"),"T0-NoSmartcard ","")&amp;IF(AND($J276&lt;&gt;"",$J276&gt;365),"StalePwd ","")&amp;IF($K276="Yes","PwdNeverExpires ","")&amp;IF(AND($S276&lt;&gt;"",$S276&lt;&gt;"None"),"Delegation ","")&amp;IF(AND($Q276=1,$O276="None"),"StaleAdminCount ","")&amp;IF(AND($F276="Yes",$H276=""),"NeverLoggedOn ","")))</f>
        <v/>
      </c>
      <c r="AD276" s="60" t="n"/>
      <c r="AE276" s="61" t="n"/>
      <c r="AF276" s="60" t="n"/>
      <c r="AG276" s="62" t="n"/>
      <c r="AH276" s="62" t="n"/>
      <c r="AI276" s="62" t="n"/>
      <c r="AJ276" s="60" t="n"/>
      <c r="AK276" s="61" t="n"/>
      <c r="AL276" s="63">
        <f>IF($A276="","",IF(AH276="","Not Enrolled",IF(TODAY()&gt;AH276,"Review Overdue",IF(AH276-TODAY()&lt;=30,"Review Due Soon","Active"))))</f>
        <v/>
      </c>
      <c r="AM276" s="63">
        <f>IF($A276="","",IF(AI276="","NOT REVIEWED",IF(TODAY()-AI276&gt;90,"OVERDUE",IF(TODAY()-AI276&gt;76,"Due Soon","Current"))))</f>
        <v/>
      </c>
    </row>
    <row r="277" ht="15" customHeight="1" s="39">
      <c r="A277" s="60" t="n"/>
      <c r="B277" s="60" t="n"/>
      <c r="C277" s="61" t="n"/>
      <c r="D277" s="61" t="n"/>
      <c r="E277" s="60" t="n"/>
      <c r="F277" s="60" t="n"/>
      <c r="G277" s="62" t="n"/>
      <c r="H277" s="62" t="n"/>
      <c r="I277" s="62" t="n"/>
      <c r="J277" s="60" t="n"/>
      <c r="K277" s="60" t="n"/>
      <c r="L277" s="60" t="n"/>
      <c r="M277" s="61" t="n"/>
      <c r="N277" s="60" t="n"/>
      <c r="O277" s="60" t="n"/>
      <c r="P277" s="60" t="n"/>
      <c r="Q277" s="60" t="n"/>
      <c r="R277" s="60" t="n"/>
      <c r="S277" s="60" t="n"/>
      <c r="T277" s="60" t="n"/>
      <c r="U277" s="60" t="n"/>
      <c r="V277" s="60" t="n"/>
      <c r="W277" s="60" t="n"/>
      <c r="X277" s="60" t="n"/>
      <c r="Y277" s="60" t="n"/>
      <c r="Z277" s="61" t="n"/>
      <c r="AA277" s="63">
        <f>IF($H277="","",TODAY()-$H277)</f>
        <v/>
      </c>
      <c r="AB277" s="63">
        <f>IF($A277="","",IF(AND($F277="Yes",OR($U277="No",$U277="NOT FOUND")),"YES",""))</f>
        <v/>
      </c>
      <c r="AC277" s="66">
        <f>IF($A277="","",TRIM(IF(AND($P277=0,$L277&lt;&gt;"Yes"),"T0-NoSmartcard ","")&amp;IF(AND($J277&lt;&gt;"",$J277&gt;365),"StalePwd ","")&amp;IF($K277="Yes","PwdNeverExpires ","")&amp;IF(AND($S277&lt;&gt;"",$S277&lt;&gt;"None"),"Delegation ","")&amp;IF(AND($Q277=1,$O277="None"),"StaleAdminCount ","")&amp;IF(AND($F277="Yes",$H277=""),"NeverLoggedOn ","")))</f>
        <v/>
      </c>
      <c r="AD277" s="60" t="n"/>
      <c r="AE277" s="61" t="n"/>
      <c r="AF277" s="60" t="n"/>
      <c r="AG277" s="62" t="n"/>
      <c r="AH277" s="62" t="n"/>
      <c r="AI277" s="62" t="n"/>
      <c r="AJ277" s="60" t="n"/>
      <c r="AK277" s="61" t="n"/>
      <c r="AL277" s="63">
        <f>IF($A277="","",IF(AH277="","Not Enrolled",IF(TODAY()&gt;AH277,"Review Overdue",IF(AH277-TODAY()&lt;=30,"Review Due Soon","Active"))))</f>
        <v/>
      </c>
      <c r="AM277" s="63">
        <f>IF($A277="","",IF(AI277="","NOT REVIEWED",IF(TODAY()-AI277&gt;90,"OVERDUE",IF(TODAY()-AI277&gt;76,"Due Soon","Current"))))</f>
        <v/>
      </c>
    </row>
    <row r="278" ht="15" customHeight="1" s="39">
      <c r="A278" s="60" t="n"/>
      <c r="B278" s="60" t="n"/>
      <c r="C278" s="61" t="n"/>
      <c r="D278" s="61" t="n"/>
      <c r="E278" s="60" t="n"/>
      <c r="F278" s="60" t="n"/>
      <c r="G278" s="62" t="n"/>
      <c r="H278" s="62" t="n"/>
      <c r="I278" s="62" t="n"/>
      <c r="J278" s="60" t="n"/>
      <c r="K278" s="60" t="n"/>
      <c r="L278" s="60" t="n"/>
      <c r="M278" s="61" t="n"/>
      <c r="N278" s="60" t="n"/>
      <c r="O278" s="60" t="n"/>
      <c r="P278" s="60" t="n"/>
      <c r="Q278" s="60" t="n"/>
      <c r="R278" s="60" t="n"/>
      <c r="S278" s="60" t="n"/>
      <c r="T278" s="60" t="n"/>
      <c r="U278" s="60" t="n"/>
      <c r="V278" s="60" t="n"/>
      <c r="W278" s="60" t="n"/>
      <c r="X278" s="60" t="n"/>
      <c r="Y278" s="60" t="n"/>
      <c r="Z278" s="61" t="n"/>
      <c r="AA278" s="63">
        <f>IF($H278="","",TODAY()-$H278)</f>
        <v/>
      </c>
      <c r="AB278" s="63">
        <f>IF($A278="","",IF(AND($F278="Yes",OR($U278="No",$U278="NOT FOUND")),"YES",""))</f>
        <v/>
      </c>
      <c r="AC278" s="66">
        <f>IF($A278="","",TRIM(IF(AND($P278=0,$L278&lt;&gt;"Yes"),"T0-NoSmartcard ","")&amp;IF(AND($J278&lt;&gt;"",$J278&gt;365),"StalePwd ","")&amp;IF($K278="Yes","PwdNeverExpires ","")&amp;IF(AND($S278&lt;&gt;"",$S278&lt;&gt;"None"),"Delegation ","")&amp;IF(AND($Q278=1,$O278="None"),"StaleAdminCount ","")&amp;IF(AND($F278="Yes",$H278=""),"NeverLoggedOn ","")))</f>
        <v/>
      </c>
      <c r="AD278" s="60" t="n"/>
      <c r="AE278" s="61" t="n"/>
      <c r="AF278" s="60" t="n"/>
      <c r="AG278" s="62" t="n"/>
      <c r="AH278" s="62" t="n"/>
      <c r="AI278" s="62" t="n"/>
      <c r="AJ278" s="60" t="n"/>
      <c r="AK278" s="61" t="n"/>
      <c r="AL278" s="63">
        <f>IF($A278="","",IF(AH278="","Not Enrolled",IF(TODAY()&gt;AH278,"Review Overdue",IF(AH278-TODAY()&lt;=30,"Review Due Soon","Active"))))</f>
        <v/>
      </c>
      <c r="AM278" s="63">
        <f>IF($A278="","",IF(AI278="","NOT REVIEWED",IF(TODAY()-AI278&gt;90,"OVERDUE",IF(TODAY()-AI278&gt;76,"Due Soon","Current"))))</f>
        <v/>
      </c>
    </row>
    <row r="279" ht="15" customHeight="1" s="39">
      <c r="A279" s="60" t="n"/>
      <c r="B279" s="60" t="n"/>
      <c r="C279" s="61" t="n"/>
      <c r="D279" s="61" t="n"/>
      <c r="E279" s="60" t="n"/>
      <c r="F279" s="60" t="n"/>
      <c r="G279" s="62" t="n"/>
      <c r="H279" s="62" t="n"/>
      <c r="I279" s="62" t="n"/>
      <c r="J279" s="60" t="n"/>
      <c r="K279" s="60" t="n"/>
      <c r="L279" s="60" t="n"/>
      <c r="M279" s="61" t="n"/>
      <c r="N279" s="60" t="n"/>
      <c r="O279" s="60" t="n"/>
      <c r="P279" s="60" t="n"/>
      <c r="Q279" s="60" t="n"/>
      <c r="R279" s="60" t="n"/>
      <c r="S279" s="60" t="n"/>
      <c r="T279" s="60" t="n"/>
      <c r="U279" s="60" t="n"/>
      <c r="V279" s="60" t="n"/>
      <c r="W279" s="60" t="n"/>
      <c r="X279" s="60" t="n"/>
      <c r="Y279" s="60" t="n"/>
      <c r="Z279" s="61" t="n"/>
      <c r="AA279" s="63">
        <f>IF($H279="","",TODAY()-$H279)</f>
        <v/>
      </c>
      <c r="AB279" s="63">
        <f>IF($A279="","",IF(AND($F279="Yes",OR($U279="No",$U279="NOT FOUND")),"YES",""))</f>
        <v/>
      </c>
      <c r="AC279" s="66">
        <f>IF($A279="","",TRIM(IF(AND($P279=0,$L279&lt;&gt;"Yes"),"T0-NoSmartcard ","")&amp;IF(AND($J279&lt;&gt;"",$J279&gt;365),"StalePwd ","")&amp;IF($K279="Yes","PwdNeverExpires ","")&amp;IF(AND($S279&lt;&gt;"",$S279&lt;&gt;"None"),"Delegation ","")&amp;IF(AND($Q279=1,$O279="None"),"StaleAdminCount ","")&amp;IF(AND($F279="Yes",$H279=""),"NeverLoggedOn ","")))</f>
        <v/>
      </c>
      <c r="AD279" s="60" t="n"/>
      <c r="AE279" s="61" t="n"/>
      <c r="AF279" s="60" t="n"/>
      <c r="AG279" s="62" t="n"/>
      <c r="AH279" s="62" t="n"/>
      <c r="AI279" s="62" t="n"/>
      <c r="AJ279" s="60" t="n"/>
      <c r="AK279" s="61" t="n"/>
      <c r="AL279" s="63">
        <f>IF($A279="","",IF(AH279="","Not Enrolled",IF(TODAY()&gt;AH279,"Review Overdue",IF(AH279-TODAY()&lt;=30,"Review Due Soon","Active"))))</f>
        <v/>
      </c>
      <c r="AM279" s="63">
        <f>IF($A279="","",IF(AI279="","NOT REVIEWED",IF(TODAY()-AI279&gt;90,"OVERDUE",IF(TODAY()-AI279&gt;76,"Due Soon","Current"))))</f>
        <v/>
      </c>
    </row>
    <row r="280" ht="15" customHeight="1" s="39">
      <c r="A280" s="60" t="n"/>
      <c r="B280" s="60" t="n"/>
      <c r="C280" s="61" t="n"/>
      <c r="D280" s="61" t="n"/>
      <c r="E280" s="60" t="n"/>
      <c r="F280" s="60" t="n"/>
      <c r="G280" s="62" t="n"/>
      <c r="H280" s="62" t="n"/>
      <c r="I280" s="62" t="n"/>
      <c r="J280" s="60" t="n"/>
      <c r="K280" s="60" t="n"/>
      <c r="L280" s="60" t="n"/>
      <c r="M280" s="61" t="n"/>
      <c r="N280" s="60" t="n"/>
      <c r="O280" s="60" t="n"/>
      <c r="P280" s="60" t="n"/>
      <c r="Q280" s="60" t="n"/>
      <c r="R280" s="60" t="n"/>
      <c r="S280" s="60" t="n"/>
      <c r="T280" s="60" t="n"/>
      <c r="U280" s="60" t="n"/>
      <c r="V280" s="60" t="n"/>
      <c r="W280" s="60" t="n"/>
      <c r="X280" s="60" t="n"/>
      <c r="Y280" s="60" t="n"/>
      <c r="Z280" s="61" t="n"/>
      <c r="AA280" s="63">
        <f>IF($H280="","",TODAY()-$H280)</f>
        <v/>
      </c>
      <c r="AB280" s="63">
        <f>IF($A280="","",IF(AND($F280="Yes",OR($U280="No",$U280="NOT FOUND")),"YES",""))</f>
        <v/>
      </c>
      <c r="AC280" s="66">
        <f>IF($A280="","",TRIM(IF(AND($P280=0,$L280&lt;&gt;"Yes"),"T0-NoSmartcard ","")&amp;IF(AND($J280&lt;&gt;"",$J280&gt;365),"StalePwd ","")&amp;IF($K280="Yes","PwdNeverExpires ","")&amp;IF(AND($S280&lt;&gt;"",$S280&lt;&gt;"None"),"Delegation ","")&amp;IF(AND($Q280=1,$O280="None"),"StaleAdminCount ","")&amp;IF(AND($F280="Yes",$H280=""),"NeverLoggedOn ","")))</f>
        <v/>
      </c>
      <c r="AD280" s="60" t="n"/>
      <c r="AE280" s="61" t="n"/>
      <c r="AF280" s="60" t="n"/>
      <c r="AG280" s="62" t="n"/>
      <c r="AH280" s="62" t="n"/>
      <c r="AI280" s="62" t="n"/>
      <c r="AJ280" s="60" t="n"/>
      <c r="AK280" s="61" t="n"/>
      <c r="AL280" s="63">
        <f>IF($A280="","",IF(AH280="","Not Enrolled",IF(TODAY()&gt;AH280,"Review Overdue",IF(AH280-TODAY()&lt;=30,"Review Due Soon","Active"))))</f>
        <v/>
      </c>
      <c r="AM280" s="63">
        <f>IF($A280="","",IF(AI280="","NOT REVIEWED",IF(TODAY()-AI280&gt;90,"OVERDUE",IF(TODAY()-AI280&gt;76,"Due Soon","Current"))))</f>
        <v/>
      </c>
    </row>
    <row r="281" ht="15" customHeight="1" s="39">
      <c r="A281" s="60" t="n"/>
      <c r="B281" s="60" t="n"/>
      <c r="C281" s="61" t="n"/>
      <c r="D281" s="61" t="n"/>
      <c r="E281" s="60" t="n"/>
      <c r="F281" s="60" t="n"/>
      <c r="G281" s="62" t="n"/>
      <c r="H281" s="62" t="n"/>
      <c r="I281" s="62" t="n"/>
      <c r="J281" s="60" t="n"/>
      <c r="K281" s="60" t="n"/>
      <c r="L281" s="60" t="n"/>
      <c r="M281" s="61" t="n"/>
      <c r="N281" s="60" t="n"/>
      <c r="O281" s="60" t="n"/>
      <c r="P281" s="60" t="n"/>
      <c r="Q281" s="60" t="n"/>
      <c r="R281" s="60" t="n"/>
      <c r="S281" s="60" t="n"/>
      <c r="T281" s="60" t="n"/>
      <c r="U281" s="60" t="n"/>
      <c r="V281" s="60" t="n"/>
      <c r="W281" s="60" t="n"/>
      <c r="X281" s="60" t="n"/>
      <c r="Y281" s="60" t="n"/>
      <c r="Z281" s="61" t="n"/>
      <c r="AA281" s="63">
        <f>IF($H281="","",TODAY()-$H281)</f>
        <v/>
      </c>
      <c r="AB281" s="63">
        <f>IF($A281="","",IF(AND($F281="Yes",OR($U281="No",$U281="NOT FOUND")),"YES",""))</f>
        <v/>
      </c>
      <c r="AC281" s="66">
        <f>IF($A281="","",TRIM(IF(AND($P281=0,$L281&lt;&gt;"Yes"),"T0-NoSmartcard ","")&amp;IF(AND($J281&lt;&gt;"",$J281&gt;365),"StalePwd ","")&amp;IF($K281="Yes","PwdNeverExpires ","")&amp;IF(AND($S281&lt;&gt;"",$S281&lt;&gt;"None"),"Delegation ","")&amp;IF(AND($Q281=1,$O281="None"),"StaleAdminCount ","")&amp;IF(AND($F281="Yes",$H281=""),"NeverLoggedOn ","")))</f>
        <v/>
      </c>
      <c r="AD281" s="60" t="n"/>
      <c r="AE281" s="61" t="n"/>
      <c r="AF281" s="60" t="n"/>
      <c r="AG281" s="62" t="n"/>
      <c r="AH281" s="62" t="n"/>
      <c r="AI281" s="62" t="n"/>
      <c r="AJ281" s="60" t="n"/>
      <c r="AK281" s="61" t="n"/>
      <c r="AL281" s="63">
        <f>IF($A281="","",IF(AH281="","Not Enrolled",IF(TODAY()&gt;AH281,"Review Overdue",IF(AH281-TODAY()&lt;=30,"Review Due Soon","Active"))))</f>
        <v/>
      </c>
      <c r="AM281" s="63">
        <f>IF($A281="","",IF(AI281="","NOT REVIEWED",IF(TODAY()-AI281&gt;90,"OVERDUE",IF(TODAY()-AI281&gt;76,"Due Soon","Current"))))</f>
        <v/>
      </c>
    </row>
    <row r="282" ht="15" customHeight="1" s="39">
      <c r="A282" s="60" t="n"/>
      <c r="B282" s="60" t="n"/>
      <c r="C282" s="61" t="n"/>
      <c r="D282" s="61" t="n"/>
      <c r="E282" s="60" t="n"/>
      <c r="F282" s="60" t="n"/>
      <c r="G282" s="62" t="n"/>
      <c r="H282" s="62" t="n"/>
      <c r="I282" s="62" t="n"/>
      <c r="J282" s="60" t="n"/>
      <c r="K282" s="60" t="n"/>
      <c r="L282" s="60" t="n"/>
      <c r="M282" s="61" t="n"/>
      <c r="N282" s="60" t="n"/>
      <c r="O282" s="60" t="n"/>
      <c r="P282" s="60" t="n"/>
      <c r="Q282" s="60" t="n"/>
      <c r="R282" s="60" t="n"/>
      <c r="S282" s="60" t="n"/>
      <c r="T282" s="60" t="n"/>
      <c r="U282" s="60" t="n"/>
      <c r="V282" s="60" t="n"/>
      <c r="W282" s="60" t="n"/>
      <c r="X282" s="60" t="n"/>
      <c r="Y282" s="60" t="n"/>
      <c r="Z282" s="61" t="n"/>
      <c r="AA282" s="63">
        <f>IF($H282="","",TODAY()-$H282)</f>
        <v/>
      </c>
      <c r="AB282" s="63">
        <f>IF($A282="","",IF(AND($F282="Yes",OR($U282="No",$U282="NOT FOUND")),"YES",""))</f>
        <v/>
      </c>
      <c r="AC282" s="66">
        <f>IF($A282="","",TRIM(IF(AND($P282=0,$L282&lt;&gt;"Yes"),"T0-NoSmartcard ","")&amp;IF(AND($J282&lt;&gt;"",$J282&gt;365),"StalePwd ","")&amp;IF($K282="Yes","PwdNeverExpires ","")&amp;IF(AND($S282&lt;&gt;"",$S282&lt;&gt;"None"),"Delegation ","")&amp;IF(AND($Q282=1,$O282="None"),"StaleAdminCount ","")&amp;IF(AND($F282="Yes",$H282=""),"NeverLoggedOn ","")))</f>
        <v/>
      </c>
      <c r="AD282" s="60" t="n"/>
      <c r="AE282" s="61" t="n"/>
      <c r="AF282" s="60" t="n"/>
      <c r="AG282" s="62" t="n"/>
      <c r="AH282" s="62" t="n"/>
      <c r="AI282" s="62" t="n"/>
      <c r="AJ282" s="60" t="n"/>
      <c r="AK282" s="61" t="n"/>
      <c r="AL282" s="63">
        <f>IF($A282="","",IF(AH282="","Not Enrolled",IF(TODAY()&gt;AH282,"Review Overdue",IF(AH282-TODAY()&lt;=30,"Review Due Soon","Active"))))</f>
        <v/>
      </c>
      <c r="AM282" s="63">
        <f>IF($A282="","",IF(AI282="","NOT REVIEWED",IF(TODAY()-AI282&gt;90,"OVERDUE",IF(TODAY()-AI282&gt;76,"Due Soon","Current"))))</f>
        <v/>
      </c>
    </row>
    <row r="283" ht="15" customHeight="1" s="39">
      <c r="A283" s="60" t="n"/>
      <c r="B283" s="60" t="n"/>
      <c r="C283" s="61" t="n"/>
      <c r="D283" s="61" t="n"/>
      <c r="E283" s="60" t="n"/>
      <c r="F283" s="60" t="n"/>
      <c r="G283" s="62" t="n"/>
      <c r="H283" s="62" t="n"/>
      <c r="I283" s="62" t="n"/>
      <c r="J283" s="60" t="n"/>
      <c r="K283" s="60" t="n"/>
      <c r="L283" s="60" t="n"/>
      <c r="M283" s="61" t="n"/>
      <c r="N283" s="60" t="n"/>
      <c r="O283" s="60" t="n"/>
      <c r="P283" s="60" t="n"/>
      <c r="Q283" s="60" t="n"/>
      <c r="R283" s="60" t="n"/>
      <c r="S283" s="60" t="n"/>
      <c r="T283" s="60" t="n"/>
      <c r="U283" s="60" t="n"/>
      <c r="V283" s="60" t="n"/>
      <c r="W283" s="60" t="n"/>
      <c r="X283" s="60" t="n"/>
      <c r="Y283" s="60" t="n"/>
      <c r="Z283" s="61" t="n"/>
      <c r="AA283" s="63">
        <f>IF($H283="","",TODAY()-$H283)</f>
        <v/>
      </c>
      <c r="AB283" s="63">
        <f>IF($A283="","",IF(AND($F283="Yes",OR($U283="No",$U283="NOT FOUND")),"YES",""))</f>
        <v/>
      </c>
      <c r="AC283" s="66">
        <f>IF($A283="","",TRIM(IF(AND($P283=0,$L283&lt;&gt;"Yes"),"T0-NoSmartcard ","")&amp;IF(AND($J283&lt;&gt;"",$J283&gt;365),"StalePwd ","")&amp;IF($K283="Yes","PwdNeverExpires ","")&amp;IF(AND($S283&lt;&gt;"",$S283&lt;&gt;"None"),"Delegation ","")&amp;IF(AND($Q283=1,$O283="None"),"StaleAdminCount ","")&amp;IF(AND($F283="Yes",$H283=""),"NeverLoggedOn ","")))</f>
        <v/>
      </c>
      <c r="AD283" s="60" t="n"/>
      <c r="AE283" s="61" t="n"/>
      <c r="AF283" s="60" t="n"/>
      <c r="AG283" s="62" t="n"/>
      <c r="AH283" s="62" t="n"/>
      <c r="AI283" s="62" t="n"/>
      <c r="AJ283" s="60" t="n"/>
      <c r="AK283" s="61" t="n"/>
      <c r="AL283" s="63">
        <f>IF($A283="","",IF(AH283="","Not Enrolled",IF(TODAY()&gt;AH283,"Review Overdue",IF(AH283-TODAY()&lt;=30,"Review Due Soon","Active"))))</f>
        <v/>
      </c>
      <c r="AM283" s="63">
        <f>IF($A283="","",IF(AI283="","NOT REVIEWED",IF(TODAY()-AI283&gt;90,"OVERDUE",IF(TODAY()-AI283&gt;76,"Due Soon","Current"))))</f>
        <v/>
      </c>
    </row>
    <row r="284" ht="15" customHeight="1" s="39">
      <c r="A284" s="60" t="n"/>
      <c r="B284" s="60" t="n"/>
      <c r="C284" s="61" t="n"/>
      <c r="D284" s="61" t="n"/>
      <c r="E284" s="60" t="n"/>
      <c r="F284" s="60" t="n"/>
      <c r="G284" s="62" t="n"/>
      <c r="H284" s="62" t="n"/>
      <c r="I284" s="62" t="n"/>
      <c r="J284" s="60" t="n"/>
      <c r="K284" s="60" t="n"/>
      <c r="L284" s="60" t="n"/>
      <c r="M284" s="61" t="n"/>
      <c r="N284" s="60" t="n"/>
      <c r="O284" s="60" t="n"/>
      <c r="P284" s="60" t="n"/>
      <c r="Q284" s="60" t="n"/>
      <c r="R284" s="60" t="n"/>
      <c r="S284" s="60" t="n"/>
      <c r="T284" s="60" t="n"/>
      <c r="U284" s="60" t="n"/>
      <c r="V284" s="60" t="n"/>
      <c r="W284" s="60" t="n"/>
      <c r="X284" s="60" t="n"/>
      <c r="Y284" s="60" t="n"/>
      <c r="Z284" s="61" t="n"/>
      <c r="AA284" s="63">
        <f>IF($H284="","",TODAY()-$H284)</f>
        <v/>
      </c>
      <c r="AB284" s="63">
        <f>IF($A284="","",IF(AND($F284="Yes",OR($U284="No",$U284="NOT FOUND")),"YES",""))</f>
        <v/>
      </c>
      <c r="AC284" s="66">
        <f>IF($A284="","",TRIM(IF(AND($P284=0,$L284&lt;&gt;"Yes"),"T0-NoSmartcard ","")&amp;IF(AND($J284&lt;&gt;"",$J284&gt;365),"StalePwd ","")&amp;IF($K284="Yes","PwdNeverExpires ","")&amp;IF(AND($S284&lt;&gt;"",$S284&lt;&gt;"None"),"Delegation ","")&amp;IF(AND($Q284=1,$O284="None"),"StaleAdminCount ","")&amp;IF(AND($F284="Yes",$H284=""),"NeverLoggedOn ","")))</f>
        <v/>
      </c>
      <c r="AD284" s="60" t="n"/>
      <c r="AE284" s="61" t="n"/>
      <c r="AF284" s="60" t="n"/>
      <c r="AG284" s="62" t="n"/>
      <c r="AH284" s="62" t="n"/>
      <c r="AI284" s="62" t="n"/>
      <c r="AJ284" s="60" t="n"/>
      <c r="AK284" s="61" t="n"/>
      <c r="AL284" s="63">
        <f>IF($A284="","",IF(AH284="","Not Enrolled",IF(TODAY()&gt;AH284,"Review Overdue",IF(AH284-TODAY()&lt;=30,"Review Due Soon","Active"))))</f>
        <v/>
      </c>
      <c r="AM284" s="63">
        <f>IF($A284="","",IF(AI284="","NOT REVIEWED",IF(TODAY()-AI284&gt;90,"OVERDUE",IF(TODAY()-AI284&gt;76,"Due Soon","Current"))))</f>
        <v/>
      </c>
    </row>
    <row r="285" ht="15" customHeight="1" s="39">
      <c r="A285" s="60" t="n"/>
      <c r="B285" s="60" t="n"/>
      <c r="C285" s="61" t="n"/>
      <c r="D285" s="61" t="n"/>
      <c r="E285" s="60" t="n"/>
      <c r="F285" s="60" t="n"/>
      <c r="G285" s="62" t="n"/>
      <c r="H285" s="62" t="n"/>
      <c r="I285" s="62" t="n"/>
      <c r="J285" s="60" t="n"/>
      <c r="K285" s="60" t="n"/>
      <c r="L285" s="60" t="n"/>
      <c r="M285" s="61" t="n"/>
      <c r="N285" s="60" t="n"/>
      <c r="O285" s="60" t="n"/>
      <c r="P285" s="60" t="n"/>
      <c r="Q285" s="60" t="n"/>
      <c r="R285" s="60" t="n"/>
      <c r="S285" s="60" t="n"/>
      <c r="T285" s="60" t="n"/>
      <c r="U285" s="60" t="n"/>
      <c r="V285" s="60" t="n"/>
      <c r="W285" s="60" t="n"/>
      <c r="X285" s="60" t="n"/>
      <c r="Y285" s="60" t="n"/>
      <c r="Z285" s="61" t="n"/>
      <c r="AA285" s="63">
        <f>IF($H285="","",TODAY()-$H285)</f>
        <v/>
      </c>
      <c r="AB285" s="63">
        <f>IF($A285="","",IF(AND($F285="Yes",OR($U285="No",$U285="NOT FOUND")),"YES",""))</f>
        <v/>
      </c>
      <c r="AC285" s="66">
        <f>IF($A285="","",TRIM(IF(AND($P285=0,$L285&lt;&gt;"Yes"),"T0-NoSmartcard ","")&amp;IF(AND($J285&lt;&gt;"",$J285&gt;365),"StalePwd ","")&amp;IF($K285="Yes","PwdNeverExpires ","")&amp;IF(AND($S285&lt;&gt;"",$S285&lt;&gt;"None"),"Delegation ","")&amp;IF(AND($Q285=1,$O285="None"),"StaleAdminCount ","")&amp;IF(AND($F285="Yes",$H285=""),"NeverLoggedOn ","")))</f>
        <v/>
      </c>
      <c r="AD285" s="60" t="n"/>
      <c r="AE285" s="61" t="n"/>
      <c r="AF285" s="60" t="n"/>
      <c r="AG285" s="62" t="n"/>
      <c r="AH285" s="62" t="n"/>
      <c r="AI285" s="62" t="n"/>
      <c r="AJ285" s="60" t="n"/>
      <c r="AK285" s="61" t="n"/>
      <c r="AL285" s="63">
        <f>IF($A285="","",IF(AH285="","Not Enrolled",IF(TODAY()&gt;AH285,"Review Overdue",IF(AH285-TODAY()&lt;=30,"Review Due Soon","Active"))))</f>
        <v/>
      </c>
      <c r="AM285" s="63">
        <f>IF($A285="","",IF(AI285="","NOT REVIEWED",IF(TODAY()-AI285&gt;90,"OVERDUE",IF(TODAY()-AI285&gt;76,"Due Soon","Current"))))</f>
        <v/>
      </c>
    </row>
    <row r="286" ht="15" customHeight="1" s="39">
      <c r="A286" s="60" t="n"/>
      <c r="B286" s="60" t="n"/>
      <c r="C286" s="61" t="n"/>
      <c r="D286" s="61" t="n"/>
      <c r="E286" s="60" t="n"/>
      <c r="F286" s="60" t="n"/>
      <c r="G286" s="62" t="n"/>
      <c r="H286" s="62" t="n"/>
      <c r="I286" s="62" t="n"/>
      <c r="J286" s="60" t="n"/>
      <c r="K286" s="60" t="n"/>
      <c r="L286" s="60" t="n"/>
      <c r="M286" s="61" t="n"/>
      <c r="N286" s="60" t="n"/>
      <c r="O286" s="60" t="n"/>
      <c r="P286" s="60" t="n"/>
      <c r="Q286" s="60" t="n"/>
      <c r="R286" s="60" t="n"/>
      <c r="S286" s="60" t="n"/>
      <c r="T286" s="60" t="n"/>
      <c r="U286" s="60" t="n"/>
      <c r="V286" s="60" t="n"/>
      <c r="W286" s="60" t="n"/>
      <c r="X286" s="60" t="n"/>
      <c r="Y286" s="60" t="n"/>
      <c r="Z286" s="61" t="n"/>
      <c r="AA286" s="63">
        <f>IF($H286="","",TODAY()-$H286)</f>
        <v/>
      </c>
      <c r="AB286" s="63">
        <f>IF($A286="","",IF(AND($F286="Yes",OR($U286="No",$U286="NOT FOUND")),"YES",""))</f>
        <v/>
      </c>
      <c r="AC286" s="66">
        <f>IF($A286="","",TRIM(IF(AND($P286=0,$L286&lt;&gt;"Yes"),"T0-NoSmartcard ","")&amp;IF(AND($J286&lt;&gt;"",$J286&gt;365),"StalePwd ","")&amp;IF($K286="Yes","PwdNeverExpires ","")&amp;IF(AND($S286&lt;&gt;"",$S286&lt;&gt;"None"),"Delegation ","")&amp;IF(AND($Q286=1,$O286="None"),"StaleAdminCount ","")&amp;IF(AND($F286="Yes",$H286=""),"NeverLoggedOn ","")))</f>
        <v/>
      </c>
      <c r="AD286" s="60" t="n"/>
      <c r="AE286" s="61" t="n"/>
      <c r="AF286" s="60" t="n"/>
      <c r="AG286" s="62" t="n"/>
      <c r="AH286" s="62" t="n"/>
      <c r="AI286" s="62" t="n"/>
      <c r="AJ286" s="60" t="n"/>
      <c r="AK286" s="61" t="n"/>
      <c r="AL286" s="63">
        <f>IF($A286="","",IF(AH286="","Not Enrolled",IF(TODAY()&gt;AH286,"Review Overdue",IF(AH286-TODAY()&lt;=30,"Review Due Soon","Active"))))</f>
        <v/>
      </c>
      <c r="AM286" s="63">
        <f>IF($A286="","",IF(AI286="","NOT REVIEWED",IF(TODAY()-AI286&gt;90,"OVERDUE",IF(TODAY()-AI286&gt;76,"Due Soon","Current"))))</f>
        <v/>
      </c>
    </row>
    <row r="287" ht="15" customHeight="1" s="39">
      <c r="A287" s="60" t="n"/>
      <c r="B287" s="60" t="n"/>
      <c r="C287" s="61" t="n"/>
      <c r="D287" s="61" t="n"/>
      <c r="E287" s="60" t="n"/>
      <c r="F287" s="60" t="n"/>
      <c r="G287" s="62" t="n"/>
      <c r="H287" s="62" t="n"/>
      <c r="I287" s="62" t="n"/>
      <c r="J287" s="60" t="n"/>
      <c r="K287" s="60" t="n"/>
      <c r="L287" s="60" t="n"/>
      <c r="M287" s="61" t="n"/>
      <c r="N287" s="60" t="n"/>
      <c r="O287" s="60" t="n"/>
      <c r="P287" s="60" t="n"/>
      <c r="Q287" s="60" t="n"/>
      <c r="R287" s="60" t="n"/>
      <c r="S287" s="60" t="n"/>
      <c r="T287" s="60" t="n"/>
      <c r="U287" s="60" t="n"/>
      <c r="V287" s="60" t="n"/>
      <c r="W287" s="60" t="n"/>
      <c r="X287" s="60" t="n"/>
      <c r="Y287" s="60" t="n"/>
      <c r="Z287" s="61" t="n"/>
      <c r="AA287" s="63">
        <f>IF($H287="","",TODAY()-$H287)</f>
        <v/>
      </c>
      <c r="AB287" s="63">
        <f>IF($A287="","",IF(AND($F287="Yes",OR($U287="No",$U287="NOT FOUND")),"YES",""))</f>
        <v/>
      </c>
      <c r="AC287" s="66">
        <f>IF($A287="","",TRIM(IF(AND($P287=0,$L287&lt;&gt;"Yes"),"T0-NoSmartcard ","")&amp;IF(AND($J287&lt;&gt;"",$J287&gt;365),"StalePwd ","")&amp;IF($K287="Yes","PwdNeverExpires ","")&amp;IF(AND($S287&lt;&gt;"",$S287&lt;&gt;"None"),"Delegation ","")&amp;IF(AND($Q287=1,$O287="None"),"StaleAdminCount ","")&amp;IF(AND($F287="Yes",$H287=""),"NeverLoggedOn ","")))</f>
        <v/>
      </c>
      <c r="AD287" s="60" t="n"/>
      <c r="AE287" s="61" t="n"/>
      <c r="AF287" s="60" t="n"/>
      <c r="AG287" s="62" t="n"/>
      <c r="AH287" s="62" t="n"/>
      <c r="AI287" s="62" t="n"/>
      <c r="AJ287" s="60" t="n"/>
      <c r="AK287" s="61" t="n"/>
      <c r="AL287" s="63">
        <f>IF($A287="","",IF(AH287="","Not Enrolled",IF(TODAY()&gt;AH287,"Review Overdue",IF(AH287-TODAY()&lt;=30,"Review Due Soon","Active"))))</f>
        <v/>
      </c>
      <c r="AM287" s="63">
        <f>IF($A287="","",IF(AI287="","NOT REVIEWED",IF(TODAY()-AI287&gt;90,"OVERDUE",IF(TODAY()-AI287&gt;76,"Due Soon","Current"))))</f>
        <v/>
      </c>
    </row>
    <row r="288" ht="15" customHeight="1" s="39">
      <c r="A288" s="60" t="n"/>
      <c r="B288" s="60" t="n"/>
      <c r="C288" s="61" t="n"/>
      <c r="D288" s="61" t="n"/>
      <c r="E288" s="60" t="n"/>
      <c r="F288" s="60" t="n"/>
      <c r="G288" s="62" t="n"/>
      <c r="H288" s="62" t="n"/>
      <c r="I288" s="62" t="n"/>
      <c r="J288" s="60" t="n"/>
      <c r="K288" s="60" t="n"/>
      <c r="L288" s="60" t="n"/>
      <c r="M288" s="61" t="n"/>
      <c r="N288" s="60" t="n"/>
      <c r="O288" s="60" t="n"/>
      <c r="P288" s="60" t="n"/>
      <c r="Q288" s="60" t="n"/>
      <c r="R288" s="60" t="n"/>
      <c r="S288" s="60" t="n"/>
      <c r="T288" s="60" t="n"/>
      <c r="U288" s="60" t="n"/>
      <c r="V288" s="60" t="n"/>
      <c r="W288" s="60" t="n"/>
      <c r="X288" s="60" t="n"/>
      <c r="Y288" s="60" t="n"/>
      <c r="Z288" s="61" t="n"/>
      <c r="AA288" s="63">
        <f>IF($H288="","",TODAY()-$H288)</f>
        <v/>
      </c>
      <c r="AB288" s="63">
        <f>IF($A288="","",IF(AND($F288="Yes",OR($U288="No",$U288="NOT FOUND")),"YES",""))</f>
        <v/>
      </c>
      <c r="AC288" s="66">
        <f>IF($A288="","",TRIM(IF(AND($P288=0,$L288&lt;&gt;"Yes"),"T0-NoSmartcard ","")&amp;IF(AND($J288&lt;&gt;"",$J288&gt;365),"StalePwd ","")&amp;IF($K288="Yes","PwdNeverExpires ","")&amp;IF(AND($S288&lt;&gt;"",$S288&lt;&gt;"None"),"Delegation ","")&amp;IF(AND($Q288=1,$O288="None"),"StaleAdminCount ","")&amp;IF(AND($F288="Yes",$H288=""),"NeverLoggedOn ","")))</f>
        <v/>
      </c>
      <c r="AD288" s="60" t="n"/>
      <c r="AE288" s="61" t="n"/>
      <c r="AF288" s="60" t="n"/>
      <c r="AG288" s="62" t="n"/>
      <c r="AH288" s="62" t="n"/>
      <c r="AI288" s="62" t="n"/>
      <c r="AJ288" s="60" t="n"/>
      <c r="AK288" s="61" t="n"/>
      <c r="AL288" s="63">
        <f>IF($A288="","",IF(AH288="","Not Enrolled",IF(TODAY()&gt;AH288,"Review Overdue",IF(AH288-TODAY()&lt;=30,"Review Due Soon","Active"))))</f>
        <v/>
      </c>
      <c r="AM288" s="63">
        <f>IF($A288="","",IF(AI288="","NOT REVIEWED",IF(TODAY()-AI288&gt;90,"OVERDUE",IF(TODAY()-AI288&gt;76,"Due Soon","Current"))))</f>
        <v/>
      </c>
    </row>
    <row r="289" ht="15" customHeight="1" s="39">
      <c r="A289" s="60" t="n"/>
      <c r="B289" s="60" t="n"/>
      <c r="C289" s="61" t="n"/>
      <c r="D289" s="61" t="n"/>
      <c r="E289" s="60" t="n"/>
      <c r="F289" s="60" t="n"/>
      <c r="G289" s="62" t="n"/>
      <c r="H289" s="62" t="n"/>
      <c r="I289" s="62" t="n"/>
      <c r="J289" s="60" t="n"/>
      <c r="K289" s="60" t="n"/>
      <c r="L289" s="60" t="n"/>
      <c r="M289" s="61" t="n"/>
      <c r="N289" s="60" t="n"/>
      <c r="O289" s="60" t="n"/>
      <c r="P289" s="60" t="n"/>
      <c r="Q289" s="60" t="n"/>
      <c r="R289" s="60" t="n"/>
      <c r="S289" s="60" t="n"/>
      <c r="T289" s="60" t="n"/>
      <c r="U289" s="60" t="n"/>
      <c r="V289" s="60" t="n"/>
      <c r="W289" s="60" t="n"/>
      <c r="X289" s="60" t="n"/>
      <c r="Y289" s="60" t="n"/>
      <c r="Z289" s="61" t="n"/>
      <c r="AA289" s="63">
        <f>IF($H289="","",TODAY()-$H289)</f>
        <v/>
      </c>
      <c r="AB289" s="63">
        <f>IF($A289="","",IF(AND($F289="Yes",OR($U289="No",$U289="NOT FOUND")),"YES",""))</f>
        <v/>
      </c>
      <c r="AC289" s="66">
        <f>IF($A289="","",TRIM(IF(AND($P289=0,$L289&lt;&gt;"Yes"),"T0-NoSmartcard ","")&amp;IF(AND($J289&lt;&gt;"",$J289&gt;365),"StalePwd ","")&amp;IF($K289="Yes","PwdNeverExpires ","")&amp;IF(AND($S289&lt;&gt;"",$S289&lt;&gt;"None"),"Delegation ","")&amp;IF(AND($Q289=1,$O289="None"),"StaleAdminCount ","")&amp;IF(AND($F289="Yes",$H289=""),"NeverLoggedOn ","")))</f>
        <v/>
      </c>
      <c r="AD289" s="60" t="n"/>
      <c r="AE289" s="61" t="n"/>
      <c r="AF289" s="60" t="n"/>
      <c r="AG289" s="62" t="n"/>
      <c r="AH289" s="62" t="n"/>
      <c r="AI289" s="62" t="n"/>
      <c r="AJ289" s="60" t="n"/>
      <c r="AK289" s="61" t="n"/>
      <c r="AL289" s="63">
        <f>IF($A289="","",IF(AH289="","Not Enrolled",IF(TODAY()&gt;AH289,"Review Overdue",IF(AH289-TODAY()&lt;=30,"Review Due Soon","Active"))))</f>
        <v/>
      </c>
      <c r="AM289" s="63">
        <f>IF($A289="","",IF(AI289="","NOT REVIEWED",IF(TODAY()-AI289&gt;90,"OVERDUE",IF(TODAY()-AI289&gt;76,"Due Soon","Current"))))</f>
        <v/>
      </c>
    </row>
    <row r="290" ht="15" customHeight="1" s="39">
      <c r="A290" s="60" t="n"/>
      <c r="B290" s="60" t="n"/>
      <c r="C290" s="61" t="n"/>
      <c r="D290" s="61" t="n"/>
      <c r="E290" s="60" t="n"/>
      <c r="F290" s="60" t="n"/>
      <c r="G290" s="62" t="n"/>
      <c r="H290" s="62" t="n"/>
      <c r="I290" s="62" t="n"/>
      <c r="J290" s="60" t="n"/>
      <c r="K290" s="60" t="n"/>
      <c r="L290" s="60" t="n"/>
      <c r="M290" s="61" t="n"/>
      <c r="N290" s="60" t="n"/>
      <c r="O290" s="60" t="n"/>
      <c r="P290" s="60" t="n"/>
      <c r="Q290" s="60" t="n"/>
      <c r="R290" s="60" t="n"/>
      <c r="S290" s="60" t="n"/>
      <c r="T290" s="60" t="n"/>
      <c r="U290" s="60" t="n"/>
      <c r="V290" s="60" t="n"/>
      <c r="W290" s="60" t="n"/>
      <c r="X290" s="60" t="n"/>
      <c r="Y290" s="60" t="n"/>
      <c r="Z290" s="61" t="n"/>
      <c r="AA290" s="63">
        <f>IF($H290="","",TODAY()-$H290)</f>
        <v/>
      </c>
      <c r="AB290" s="63">
        <f>IF($A290="","",IF(AND($F290="Yes",OR($U290="No",$U290="NOT FOUND")),"YES",""))</f>
        <v/>
      </c>
      <c r="AC290" s="66">
        <f>IF($A290="","",TRIM(IF(AND($P290=0,$L290&lt;&gt;"Yes"),"T0-NoSmartcard ","")&amp;IF(AND($J290&lt;&gt;"",$J290&gt;365),"StalePwd ","")&amp;IF($K290="Yes","PwdNeverExpires ","")&amp;IF(AND($S290&lt;&gt;"",$S290&lt;&gt;"None"),"Delegation ","")&amp;IF(AND($Q290=1,$O290="None"),"StaleAdminCount ","")&amp;IF(AND($F290="Yes",$H290=""),"NeverLoggedOn ","")))</f>
        <v/>
      </c>
      <c r="AD290" s="60" t="n"/>
      <c r="AE290" s="61" t="n"/>
      <c r="AF290" s="60" t="n"/>
      <c r="AG290" s="62" t="n"/>
      <c r="AH290" s="62" t="n"/>
      <c r="AI290" s="62" t="n"/>
      <c r="AJ290" s="60" t="n"/>
      <c r="AK290" s="61" t="n"/>
      <c r="AL290" s="63">
        <f>IF($A290="","",IF(AH290="","Not Enrolled",IF(TODAY()&gt;AH290,"Review Overdue",IF(AH290-TODAY()&lt;=30,"Review Due Soon","Active"))))</f>
        <v/>
      </c>
      <c r="AM290" s="63">
        <f>IF($A290="","",IF(AI290="","NOT REVIEWED",IF(TODAY()-AI290&gt;90,"OVERDUE",IF(TODAY()-AI290&gt;76,"Due Soon","Current"))))</f>
        <v/>
      </c>
    </row>
    <row r="291" ht="15" customHeight="1" s="39">
      <c r="A291" s="60" t="n"/>
      <c r="B291" s="60" t="n"/>
      <c r="C291" s="61" t="n"/>
      <c r="D291" s="61" t="n"/>
      <c r="E291" s="60" t="n"/>
      <c r="F291" s="60" t="n"/>
      <c r="G291" s="62" t="n"/>
      <c r="H291" s="62" t="n"/>
      <c r="I291" s="62" t="n"/>
      <c r="J291" s="60" t="n"/>
      <c r="K291" s="60" t="n"/>
      <c r="L291" s="60" t="n"/>
      <c r="M291" s="61" t="n"/>
      <c r="N291" s="60" t="n"/>
      <c r="O291" s="60" t="n"/>
      <c r="P291" s="60" t="n"/>
      <c r="Q291" s="60" t="n"/>
      <c r="R291" s="60" t="n"/>
      <c r="S291" s="60" t="n"/>
      <c r="T291" s="60" t="n"/>
      <c r="U291" s="60" t="n"/>
      <c r="V291" s="60" t="n"/>
      <c r="W291" s="60" t="n"/>
      <c r="X291" s="60" t="n"/>
      <c r="Y291" s="60" t="n"/>
      <c r="Z291" s="61" t="n"/>
      <c r="AA291" s="63">
        <f>IF($H291="","",TODAY()-$H291)</f>
        <v/>
      </c>
      <c r="AB291" s="63">
        <f>IF($A291="","",IF(AND($F291="Yes",OR($U291="No",$U291="NOT FOUND")),"YES",""))</f>
        <v/>
      </c>
      <c r="AC291" s="66">
        <f>IF($A291="","",TRIM(IF(AND($P291=0,$L291&lt;&gt;"Yes"),"T0-NoSmartcard ","")&amp;IF(AND($J291&lt;&gt;"",$J291&gt;365),"StalePwd ","")&amp;IF($K291="Yes","PwdNeverExpires ","")&amp;IF(AND($S291&lt;&gt;"",$S291&lt;&gt;"None"),"Delegation ","")&amp;IF(AND($Q291=1,$O291="None"),"StaleAdminCount ","")&amp;IF(AND($F291="Yes",$H291=""),"NeverLoggedOn ","")))</f>
        <v/>
      </c>
      <c r="AD291" s="60" t="n"/>
      <c r="AE291" s="61" t="n"/>
      <c r="AF291" s="60" t="n"/>
      <c r="AG291" s="62" t="n"/>
      <c r="AH291" s="62" t="n"/>
      <c r="AI291" s="62" t="n"/>
      <c r="AJ291" s="60" t="n"/>
      <c r="AK291" s="61" t="n"/>
      <c r="AL291" s="63">
        <f>IF($A291="","",IF(AH291="","Not Enrolled",IF(TODAY()&gt;AH291,"Review Overdue",IF(AH291-TODAY()&lt;=30,"Review Due Soon","Active"))))</f>
        <v/>
      </c>
      <c r="AM291" s="63">
        <f>IF($A291="","",IF(AI291="","NOT REVIEWED",IF(TODAY()-AI291&gt;90,"OVERDUE",IF(TODAY()-AI291&gt;76,"Due Soon","Current"))))</f>
        <v/>
      </c>
    </row>
    <row r="292" ht="15" customHeight="1" s="39">
      <c r="A292" s="60" t="n"/>
      <c r="B292" s="60" t="n"/>
      <c r="C292" s="61" t="n"/>
      <c r="D292" s="61" t="n"/>
      <c r="E292" s="60" t="n"/>
      <c r="F292" s="60" t="n"/>
      <c r="G292" s="62" t="n"/>
      <c r="H292" s="62" t="n"/>
      <c r="I292" s="62" t="n"/>
      <c r="J292" s="60" t="n"/>
      <c r="K292" s="60" t="n"/>
      <c r="L292" s="60" t="n"/>
      <c r="M292" s="61" t="n"/>
      <c r="N292" s="60" t="n"/>
      <c r="O292" s="60" t="n"/>
      <c r="P292" s="60" t="n"/>
      <c r="Q292" s="60" t="n"/>
      <c r="R292" s="60" t="n"/>
      <c r="S292" s="60" t="n"/>
      <c r="T292" s="60" t="n"/>
      <c r="U292" s="60" t="n"/>
      <c r="V292" s="60" t="n"/>
      <c r="W292" s="60" t="n"/>
      <c r="X292" s="60" t="n"/>
      <c r="Y292" s="60" t="n"/>
      <c r="Z292" s="61" t="n"/>
      <c r="AA292" s="63">
        <f>IF($H292="","",TODAY()-$H292)</f>
        <v/>
      </c>
      <c r="AB292" s="63">
        <f>IF($A292="","",IF(AND($F292="Yes",OR($U292="No",$U292="NOT FOUND")),"YES",""))</f>
        <v/>
      </c>
      <c r="AC292" s="66">
        <f>IF($A292="","",TRIM(IF(AND($P292=0,$L292&lt;&gt;"Yes"),"T0-NoSmartcard ","")&amp;IF(AND($J292&lt;&gt;"",$J292&gt;365),"StalePwd ","")&amp;IF($K292="Yes","PwdNeverExpires ","")&amp;IF(AND($S292&lt;&gt;"",$S292&lt;&gt;"None"),"Delegation ","")&amp;IF(AND($Q292=1,$O292="None"),"StaleAdminCount ","")&amp;IF(AND($F292="Yes",$H292=""),"NeverLoggedOn ","")))</f>
        <v/>
      </c>
      <c r="AD292" s="60" t="n"/>
      <c r="AE292" s="61" t="n"/>
      <c r="AF292" s="60" t="n"/>
      <c r="AG292" s="62" t="n"/>
      <c r="AH292" s="62" t="n"/>
      <c r="AI292" s="62" t="n"/>
      <c r="AJ292" s="60" t="n"/>
      <c r="AK292" s="61" t="n"/>
      <c r="AL292" s="63">
        <f>IF($A292="","",IF(AH292="","Not Enrolled",IF(TODAY()&gt;AH292,"Review Overdue",IF(AH292-TODAY()&lt;=30,"Review Due Soon","Active"))))</f>
        <v/>
      </c>
      <c r="AM292" s="63">
        <f>IF($A292="","",IF(AI292="","NOT REVIEWED",IF(TODAY()-AI292&gt;90,"OVERDUE",IF(TODAY()-AI292&gt;76,"Due Soon","Current"))))</f>
        <v/>
      </c>
    </row>
    <row r="293" ht="15" customHeight="1" s="39">
      <c r="A293" s="60" t="n"/>
      <c r="B293" s="60" t="n"/>
      <c r="C293" s="61" t="n"/>
      <c r="D293" s="61" t="n"/>
      <c r="E293" s="60" t="n"/>
      <c r="F293" s="60" t="n"/>
      <c r="G293" s="62" t="n"/>
      <c r="H293" s="62" t="n"/>
      <c r="I293" s="62" t="n"/>
      <c r="J293" s="60" t="n"/>
      <c r="K293" s="60" t="n"/>
      <c r="L293" s="60" t="n"/>
      <c r="M293" s="61" t="n"/>
      <c r="N293" s="60" t="n"/>
      <c r="O293" s="60" t="n"/>
      <c r="P293" s="60" t="n"/>
      <c r="Q293" s="60" t="n"/>
      <c r="R293" s="60" t="n"/>
      <c r="S293" s="60" t="n"/>
      <c r="T293" s="60" t="n"/>
      <c r="U293" s="60" t="n"/>
      <c r="V293" s="60" t="n"/>
      <c r="W293" s="60" t="n"/>
      <c r="X293" s="60" t="n"/>
      <c r="Y293" s="60" t="n"/>
      <c r="Z293" s="61" t="n"/>
      <c r="AA293" s="63">
        <f>IF($H293="","",TODAY()-$H293)</f>
        <v/>
      </c>
      <c r="AB293" s="63">
        <f>IF($A293="","",IF(AND($F293="Yes",OR($U293="No",$U293="NOT FOUND")),"YES",""))</f>
        <v/>
      </c>
      <c r="AC293" s="66">
        <f>IF($A293="","",TRIM(IF(AND($P293=0,$L293&lt;&gt;"Yes"),"T0-NoSmartcard ","")&amp;IF(AND($J293&lt;&gt;"",$J293&gt;365),"StalePwd ","")&amp;IF($K293="Yes","PwdNeverExpires ","")&amp;IF(AND($S293&lt;&gt;"",$S293&lt;&gt;"None"),"Delegation ","")&amp;IF(AND($Q293=1,$O293="None"),"StaleAdminCount ","")&amp;IF(AND($F293="Yes",$H293=""),"NeverLoggedOn ","")))</f>
        <v/>
      </c>
      <c r="AD293" s="60" t="n"/>
      <c r="AE293" s="61" t="n"/>
      <c r="AF293" s="60" t="n"/>
      <c r="AG293" s="62" t="n"/>
      <c r="AH293" s="62" t="n"/>
      <c r="AI293" s="62" t="n"/>
      <c r="AJ293" s="60" t="n"/>
      <c r="AK293" s="61" t="n"/>
      <c r="AL293" s="63">
        <f>IF($A293="","",IF(AH293="","Not Enrolled",IF(TODAY()&gt;AH293,"Review Overdue",IF(AH293-TODAY()&lt;=30,"Review Due Soon","Active"))))</f>
        <v/>
      </c>
      <c r="AM293" s="63">
        <f>IF($A293="","",IF(AI293="","NOT REVIEWED",IF(TODAY()-AI293&gt;90,"OVERDUE",IF(TODAY()-AI293&gt;76,"Due Soon","Current"))))</f>
        <v/>
      </c>
    </row>
    <row r="294" ht="15" customHeight="1" s="39">
      <c r="A294" s="60" t="n"/>
      <c r="B294" s="60" t="n"/>
      <c r="C294" s="61" t="n"/>
      <c r="D294" s="61" t="n"/>
      <c r="E294" s="60" t="n"/>
      <c r="F294" s="60" t="n"/>
      <c r="G294" s="62" t="n"/>
      <c r="H294" s="62" t="n"/>
      <c r="I294" s="62" t="n"/>
      <c r="J294" s="60" t="n"/>
      <c r="K294" s="60" t="n"/>
      <c r="L294" s="60" t="n"/>
      <c r="M294" s="61" t="n"/>
      <c r="N294" s="60" t="n"/>
      <c r="O294" s="60" t="n"/>
      <c r="P294" s="60" t="n"/>
      <c r="Q294" s="60" t="n"/>
      <c r="R294" s="60" t="n"/>
      <c r="S294" s="60" t="n"/>
      <c r="T294" s="60" t="n"/>
      <c r="U294" s="60" t="n"/>
      <c r="V294" s="60" t="n"/>
      <c r="W294" s="60" t="n"/>
      <c r="X294" s="60" t="n"/>
      <c r="Y294" s="60" t="n"/>
      <c r="Z294" s="61" t="n"/>
      <c r="AA294" s="63">
        <f>IF($H294="","",TODAY()-$H294)</f>
        <v/>
      </c>
      <c r="AB294" s="63">
        <f>IF($A294="","",IF(AND($F294="Yes",OR($U294="No",$U294="NOT FOUND")),"YES",""))</f>
        <v/>
      </c>
      <c r="AC294" s="66">
        <f>IF($A294="","",TRIM(IF(AND($P294=0,$L294&lt;&gt;"Yes"),"T0-NoSmartcard ","")&amp;IF(AND($J294&lt;&gt;"",$J294&gt;365),"StalePwd ","")&amp;IF($K294="Yes","PwdNeverExpires ","")&amp;IF(AND($S294&lt;&gt;"",$S294&lt;&gt;"None"),"Delegation ","")&amp;IF(AND($Q294=1,$O294="None"),"StaleAdminCount ","")&amp;IF(AND($F294="Yes",$H294=""),"NeverLoggedOn ","")))</f>
        <v/>
      </c>
      <c r="AD294" s="60" t="n"/>
      <c r="AE294" s="61" t="n"/>
      <c r="AF294" s="60" t="n"/>
      <c r="AG294" s="62" t="n"/>
      <c r="AH294" s="62" t="n"/>
      <c r="AI294" s="62" t="n"/>
      <c r="AJ294" s="60" t="n"/>
      <c r="AK294" s="61" t="n"/>
      <c r="AL294" s="63">
        <f>IF($A294="","",IF(AH294="","Not Enrolled",IF(TODAY()&gt;AH294,"Review Overdue",IF(AH294-TODAY()&lt;=30,"Review Due Soon","Active"))))</f>
        <v/>
      </c>
      <c r="AM294" s="63">
        <f>IF($A294="","",IF(AI294="","NOT REVIEWED",IF(TODAY()-AI294&gt;90,"OVERDUE",IF(TODAY()-AI294&gt;76,"Due Soon","Current"))))</f>
        <v/>
      </c>
    </row>
    <row r="295" ht="15" customHeight="1" s="39">
      <c r="A295" s="60" t="n"/>
      <c r="B295" s="60" t="n"/>
      <c r="C295" s="61" t="n"/>
      <c r="D295" s="61" t="n"/>
      <c r="E295" s="60" t="n"/>
      <c r="F295" s="60" t="n"/>
      <c r="G295" s="62" t="n"/>
      <c r="H295" s="62" t="n"/>
      <c r="I295" s="62" t="n"/>
      <c r="J295" s="60" t="n"/>
      <c r="K295" s="60" t="n"/>
      <c r="L295" s="60" t="n"/>
      <c r="M295" s="61" t="n"/>
      <c r="N295" s="60" t="n"/>
      <c r="O295" s="60" t="n"/>
      <c r="P295" s="60" t="n"/>
      <c r="Q295" s="60" t="n"/>
      <c r="R295" s="60" t="n"/>
      <c r="S295" s="60" t="n"/>
      <c r="T295" s="60" t="n"/>
      <c r="U295" s="60" t="n"/>
      <c r="V295" s="60" t="n"/>
      <c r="W295" s="60" t="n"/>
      <c r="X295" s="60" t="n"/>
      <c r="Y295" s="60" t="n"/>
      <c r="Z295" s="61" t="n"/>
      <c r="AA295" s="63">
        <f>IF($H295="","",TODAY()-$H295)</f>
        <v/>
      </c>
      <c r="AB295" s="63">
        <f>IF($A295="","",IF(AND($F295="Yes",OR($U295="No",$U295="NOT FOUND")),"YES",""))</f>
        <v/>
      </c>
      <c r="AC295" s="66">
        <f>IF($A295="","",TRIM(IF(AND($P295=0,$L295&lt;&gt;"Yes"),"T0-NoSmartcard ","")&amp;IF(AND($J295&lt;&gt;"",$J295&gt;365),"StalePwd ","")&amp;IF($K295="Yes","PwdNeverExpires ","")&amp;IF(AND($S295&lt;&gt;"",$S295&lt;&gt;"None"),"Delegation ","")&amp;IF(AND($Q295=1,$O295="None"),"StaleAdminCount ","")&amp;IF(AND($F295="Yes",$H295=""),"NeverLoggedOn ","")))</f>
        <v/>
      </c>
      <c r="AD295" s="60" t="n"/>
      <c r="AE295" s="61" t="n"/>
      <c r="AF295" s="60" t="n"/>
      <c r="AG295" s="62" t="n"/>
      <c r="AH295" s="62" t="n"/>
      <c r="AI295" s="62" t="n"/>
      <c r="AJ295" s="60" t="n"/>
      <c r="AK295" s="61" t="n"/>
      <c r="AL295" s="63">
        <f>IF($A295="","",IF(AH295="","Not Enrolled",IF(TODAY()&gt;AH295,"Review Overdue",IF(AH295-TODAY()&lt;=30,"Review Due Soon","Active"))))</f>
        <v/>
      </c>
      <c r="AM295" s="63">
        <f>IF($A295="","",IF(AI295="","NOT REVIEWED",IF(TODAY()-AI295&gt;90,"OVERDUE",IF(TODAY()-AI295&gt;76,"Due Soon","Current"))))</f>
        <v/>
      </c>
    </row>
    <row r="296" ht="15" customHeight="1" s="39">
      <c r="A296" s="60" t="n"/>
      <c r="B296" s="60" t="n"/>
      <c r="C296" s="61" t="n"/>
      <c r="D296" s="61" t="n"/>
      <c r="E296" s="60" t="n"/>
      <c r="F296" s="60" t="n"/>
      <c r="G296" s="62" t="n"/>
      <c r="H296" s="62" t="n"/>
      <c r="I296" s="62" t="n"/>
      <c r="J296" s="60" t="n"/>
      <c r="K296" s="60" t="n"/>
      <c r="L296" s="60" t="n"/>
      <c r="M296" s="61" t="n"/>
      <c r="N296" s="60" t="n"/>
      <c r="O296" s="60" t="n"/>
      <c r="P296" s="60" t="n"/>
      <c r="Q296" s="60" t="n"/>
      <c r="R296" s="60" t="n"/>
      <c r="S296" s="60" t="n"/>
      <c r="T296" s="60" t="n"/>
      <c r="U296" s="60" t="n"/>
      <c r="V296" s="60" t="n"/>
      <c r="W296" s="60" t="n"/>
      <c r="X296" s="60" t="n"/>
      <c r="Y296" s="60" t="n"/>
      <c r="Z296" s="61" t="n"/>
      <c r="AA296" s="63">
        <f>IF($H296="","",TODAY()-$H296)</f>
        <v/>
      </c>
      <c r="AB296" s="63">
        <f>IF($A296="","",IF(AND($F296="Yes",OR($U296="No",$U296="NOT FOUND")),"YES",""))</f>
        <v/>
      </c>
      <c r="AC296" s="66">
        <f>IF($A296="","",TRIM(IF(AND($P296=0,$L296&lt;&gt;"Yes"),"T0-NoSmartcard ","")&amp;IF(AND($J296&lt;&gt;"",$J296&gt;365),"StalePwd ","")&amp;IF($K296="Yes","PwdNeverExpires ","")&amp;IF(AND($S296&lt;&gt;"",$S296&lt;&gt;"None"),"Delegation ","")&amp;IF(AND($Q296=1,$O296="None"),"StaleAdminCount ","")&amp;IF(AND($F296="Yes",$H296=""),"NeverLoggedOn ","")))</f>
        <v/>
      </c>
      <c r="AD296" s="60" t="n"/>
      <c r="AE296" s="61" t="n"/>
      <c r="AF296" s="60" t="n"/>
      <c r="AG296" s="62" t="n"/>
      <c r="AH296" s="62" t="n"/>
      <c r="AI296" s="62" t="n"/>
      <c r="AJ296" s="60" t="n"/>
      <c r="AK296" s="61" t="n"/>
      <c r="AL296" s="63">
        <f>IF($A296="","",IF(AH296="","Not Enrolled",IF(TODAY()&gt;AH296,"Review Overdue",IF(AH296-TODAY()&lt;=30,"Review Due Soon","Active"))))</f>
        <v/>
      </c>
      <c r="AM296" s="63">
        <f>IF($A296="","",IF(AI296="","NOT REVIEWED",IF(TODAY()-AI296&gt;90,"OVERDUE",IF(TODAY()-AI296&gt;76,"Due Soon","Current"))))</f>
        <v/>
      </c>
    </row>
    <row r="297" ht="15" customHeight="1" s="39">
      <c r="A297" s="60" t="n"/>
      <c r="B297" s="60" t="n"/>
      <c r="C297" s="61" t="n"/>
      <c r="D297" s="61" t="n"/>
      <c r="E297" s="60" t="n"/>
      <c r="F297" s="60" t="n"/>
      <c r="G297" s="62" t="n"/>
      <c r="H297" s="62" t="n"/>
      <c r="I297" s="62" t="n"/>
      <c r="J297" s="60" t="n"/>
      <c r="K297" s="60" t="n"/>
      <c r="L297" s="60" t="n"/>
      <c r="M297" s="61" t="n"/>
      <c r="N297" s="60" t="n"/>
      <c r="O297" s="60" t="n"/>
      <c r="P297" s="60" t="n"/>
      <c r="Q297" s="60" t="n"/>
      <c r="R297" s="60" t="n"/>
      <c r="S297" s="60" t="n"/>
      <c r="T297" s="60" t="n"/>
      <c r="U297" s="60" t="n"/>
      <c r="V297" s="60" t="n"/>
      <c r="W297" s="60" t="n"/>
      <c r="X297" s="60" t="n"/>
      <c r="Y297" s="60" t="n"/>
      <c r="Z297" s="61" t="n"/>
      <c r="AA297" s="63">
        <f>IF($H297="","",TODAY()-$H297)</f>
        <v/>
      </c>
      <c r="AB297" s="63">
        <f>IF($A297="","",IF(AND($F297="Yes",OR($U297="No",$U297="NOT FOUND")),"YES",""))</f>
        <v/>
      </c>
      <c r="AC297" s="66">
        <f>IF($A297="","",TRIM(IF(AND($P297=0,$L297&lt;&gt;"Yes"),"T0-NoSmartcard ","")&amp;IF(AND($J297&lt;&gt;"",$J297&gt;365),"StalePwd ","")&amp;IF($K297="Yes","PwdNeverExpires ","")&amp;IF(AND($S297&lt;&gt;"",$S297&lt;&gt;"None"),"Delegation ","")&amp;IF(AND($Q297=1,$O297="None"),"StaleAdminCount ","")&amp;IF(AND($F297="Yes",$H297=""),"NeverLoggedOn ","")))</f>
        <v/>
      </c>
      <c r="AD297" s="60" t="n"/>
      <c r="AE297" s="61" t="n"/>
      <c r="AF297" s="60" t="n"/>
      <c r="AG297" s="62" t="n"/>
      <c r="AH297" s="62" t="n"/>
      <c r="AI297" s="62" t="n"/>
      <c r="AJ297" s="60" t="n"/>
      <c r="AK297" s="61" t="n"/>
      <c r="AL297" s="63">
        <f>IF($A297="","",IF(AH297="","Not Enrolled",IF(TODAY()&gt;AH297,"Review Overdue",IF(AH297-TODAY()&lt;=30,"Review Due Soon","Active"))))</f>
        <v/>
      </c>
      <c r="AM297" s="63">
        <f>IF($A297="","",IF(AI297="","NOT REVIEWED",IF(TODAY()-AI297&gt;90,"OVERDUE",IF(TODAY()-AI297&gt;76,"Due Soon","Current"))))</f>
        <v/>
      </c>
    </row>
    <row r="298" ht="15" customHeight="1" s="39">
      <c r="A298" s="60" t="n"/>
      <c r="B298" s="60" t="n"/>
      <c r="C298" s="61" t="n"/>
      <c r="D298" s="61" t="n"/>
      <c r="E298" s="60" t="n"/>
      <c r="F298" s="60" t="n"/>
      <c r="G298" s="62" t="n"/>
      <c r="H298" s="62" t="n"/>
      <c r="I298" s="62" t="n"/>
      <c r="J298" s="60" t="n"/>
      <c r="K298" s="60" t="n"/>
      <c r="L298" s="60" t="n"/>
      <c r="M298" s="61" t="n"/>
      <c r="N298" s="60" t="n"/>
      <c r="O298" s="60" t="n"/>
      <c r="P298" s="60" t="n"/>
      <c r="Q298" s="60" t="n"/>
      <c r="R298" s="60" t="n"/>
      <c r="S298" s="60" t="n"/>
      <c r="T298" s="60" t="n"/>
      <c r="U298" s="60" t="n"/>
      <c r="V298" s="60" t="n"/>
      <c r="W298" s="60" t="n"/>
      <c r="X298" s="60" t="n"/>
      <c r="Y298" s="60" t="n"/>
      <c r="Z298" s="61" t="n"/>
      <c r="AA298" s="63">
        <f>IF($H298="","",TODAY()-$H298)</f>
        <v/>
      </c>
      <c r="AB298" s="63">
        <f>IF($A298="","",IF(AND($F298="Yes",OR($U298="No",$U298="NOT FOUND")),"YES",""))</f>
        <v/>
      </c>
      <c r="AC298" s="66">
        <f>IF($A298="","",TRIM(IF(AND($P298=0,$L298&lt;&gt;"Yes"),"T0-NoSmartcard ","")&amp;IF(AND($J298&lt;&gt;"",$J298&gt;365),"StalePwd ","")&amp;IF($K298="Yes","PwdNeverExpires ","")&amp;IF(AND($S298&lt;&gt;"",$S298&lt;&gt;"None"),"Delegation ","")&amp;IF(AND($Q298=1,$O298="None"),"StaleAdminCount ","")&amp;IF(AND($F298="Yes",$H298=""),"NeverLoggedOn ","")))</f>
        <v/>
      </c>
      <c r="AD298" s="60" t="n"/>
      <c r="AE298" s="61" t="n"/>
      <c r="AF298" s="60" t="n"/>
      <c r="AG298" s="62" t="n"/>
      <c r="AH298" s="62" t="n"/>
      <c r="AI298" s="62" t="n"/>
      <c r="AJ298" s="60" t="n"/>
      <c r="AK298" s="61" t="n"/>
      <c r="AL298" s="63">
        <f>IF($A298="","",IF(AH298="","Not Enrolled",IF(TODAY()&gt;AH298,"Review Overdue",IF(AH298-TODAY()&lt;=30,"Review Due Soon","Active"))))</f>
        <v/>
      </c>
      <c r="AM298" s="63">
        <f>IF($A298="","",IF(AI298="","NOT REVIEWED",IF(TODAY()-AI298&gt;90,"OVERDUE",IF(TODAY()-AI298&gt;76,"Due Soon","Current"))))</f>
        <v/>
      </c>
    </row>
    <row r="299" ht="15" customHeight="1" s="39">
      <c r="A299" s="60" t="n"/>
      <c r="B299" s="60" t="n"/>
      <c r="C299" s="61" t="n"/>
      <c r="D299" s="61" t="n"/>
      <c r="E299" s="60" t="n"/>
      <c r="F299" s="60" t="n"/>
      <c r="G299" s="62" t="n"/>
      <c r="H299" s="62" t="n"/>
      <c r="I299" s="62" t="n"/>
      <c r="J299" s="60" t="n"/>
      <c r="K299" s="60" t="n"/>
      <c r="L299" s="60" t="n"/>
      <c r="M299" s="61" t="n"/>
      <c r="N299" s="60" t="n"/>
      <c r="O299" s="60" t="n"/>
      <c r="P299" s="60" t="n"/>
      <c r="Q299" s="60" t="n"/>
      <c r="R299" s="60" t="n"/>
      <c r="S299" s="60" t="n"/>
      <c r="T299" s="60" t="n"/>
      <c r="U299" s="60" t="n"/>
      <c r="V299" s="60" t="n"/>
      <c r="W299" s="60" t="n"/>
      <c r="X299" s="60" t="n"/>
      <c r="Y299" s="60" t="n"/>
      <c r="Z299" s="61" t="n"/>
      <c r="AA299" s="63">
        <f>IF($H299="","",TODAY()-$H299)</f>
        <v/>
      </c>
      <c r="AB299" s="63">
        <f>IF($A299="","",IF(AND($F299="Yes",OR($U299="No",$U299="NOT FOUND")),"YES",""))</f>
        <v/>
      </c>
      <c r="AC299" s="66">
        <f>IF($A299="","",TRIM(IF(AND($P299=0,$L299&lt;&gt;"Yes"),"T0-NoSmartcard ","")&amp;IF(AND($J299&lt;&gt;"",$J299&gt;365),"StalePwd ","")&amp;IF($K299="Yes","PwdNeverExpires ","")&amp;IF(AND($S299&lt;&gt;"",$S299&lt;&gt;"None"),"Delegation ","")&amp;IF(AND($Q299=1,$O299="None"),"StaleAdminCount ","")&amp;IF(AND($F299="Yes",$H299=""),"NeverLoggedOn ","")))</f>
        <v/>
      </c>
      <c r="AD299" s="60" t="n"/>
      <c r="AE299" s="61" t="n"/>
      <c r="AF299" s="60" t="n"/>
      <c r="AG299" s="62" t="n"/>
      <c r="AH299" s="62" t="n"/>
      <c r="AI299" s="62" t="n"/>
      <c r="AJ299" s="60" t="n"/>
      <c r="AK299" s="61" t="n"/>
      <c r="AL299" s="63">
        <f>IF($A299="","",IF(AH299="","Not Enrolled",IF(TODAY()&gt;AH299,"Review Overdue",IF(AH299-TODAY()&lt;=30,"Review Due Soon","Active"))))</f>
        <v/>
      </c>
      <c r="AM299" s="63">
        <f>IF($A299="","",IF(AI299="","NOT REVIEWED",IF(TODAY()-AI299&gt;90,"OVERDUE",IF(TODAY()-AI299&gt;76,"Due Soon","Current"))))</f>
        <v/>
      </c>
    </row>
    <row r="300" ht="15" customHeight="1" s="39">
      <c r="A300" s="60" t="n"/>
      <c r="B300" s="60" t="n"/>
      <c r="C300" s="61" t="n"/>
      <c r="D300" s="61" t="n"/>
      <c r="E300" s="60" t="n"/>
      <c r="F300" s="60" t="n"/>
      <c r="G300" s="62" t="n"/>
      <c r="H300" s="62" t="n"/>
      <c r="I300" s="62" t="n"/>
      <c r="J300" s="60" t="n"/>
      <c r="K300" s="60" t="n"/>
      <c r="L300" s="60" t="n"/>
      <c r="M300" s="61" t="n"/>
      <c r="N300" s="60" t="n"/>
      <c r="O300" s="60" t="n"/>
      <c r="P300" s="60" t="n"/>
      <c r="Q300" s="60" t="n"/>
      <c r="R300" s="60" t="n"/>
      <c r="S300" s="60" t="n"/>
      <c r="T300" s="60" t="n"/>
      <c r="U300" s="60" t="n"/>
      <c r="V300" s="60" t="n"/>
      <c r="W300" s="60" t="n"/>
      <c r="X300" s="60" t="n"/>
      <c r="Y300" s="60" t="n"/>
      <c r="Z300" s="61" t="n"/>
      <c r="AA300" s="63">
        <f>IF($H300="","",TODAY()-$H300)</f>
        <v/>
      </c>
      <c r="AB300" s="63">
        <f>IF($A300="","",IF(AND($F300="Yes",OR($U300="No",$U300="NOT FOUND")),"YES",""))</f>
        <v/>
      </c>
      <c r="AC300" s="66">
        <f>IF($A300="","",TRIM(IF(AND($P300=0,$L300&lt;&gt;"Yes"),"T0-NoSmartcard ","")&amp;IF(AND($J300&lt;&gt;"",$J300&gt;365),"StalePwd ","")&amp;IF($K300="Yes","PwdNeverExpires ","")&amp;IF(AND($S300&lt;&gt;"",$S300&lt;&gt;"None"),"Delegation ","")&amp;IF(AND($Q300=1,$O300="None"),"StaleAdminCount ","")&amp;IF(AND($F300="Yes",$H300=""),"NeverLoggedOn ","")))</f>
        <v/>
      </c>
      <c r="AD300" s="60" t="n"/>
      <c r="AE300" s="61" t="n"/>
      <c r="AF300" s="60" t="n"/>
      <c r="AG300" s="62" t="n"/>
      <c r="AH300" s="62" t="n"/>
      <c r="AI300" s="62" t="n"/>
      <c r="AJ300" s="60" t="n"/>
      <c r="AK300" s="61" t="n"/>
      <c r="AL300" s="63">
        <f>IF($A300="","",IF(AH300="","Not Enrolled",IF(TODAY()&gt;AH300,"Review Overdue",IF(AH300-TODAY()&lt;=30,"Review Due Soon","Active"))))</f>
        <v/>
      </c>
      <c r="AM300" s="63">
        <f>IF($A300="","",IF(AI300="","NOT REVIEWED",IF(TODAY()-AI300&gt;90,"OVERDUE",IF(TODAY()-AI300&gt;76,"Due Soon","Current"))))</f>
        <v/>
      </c>
    </row>
    <row r="301" ht="15" customHeight="1" s="39">
      <c r="A301" s="60" t="n"/>
      <c r="B301" s="60" t="n"/>
      <c r="C301" s="61" t="n"/>
      <c r="D301" s="61" t="n"/>
      <c r="E301" s="60" t="n"/>
      <c r="F301" s="60" t="n"/>
      <c r="G301" s="62" t="n"/>
      <c r="H301" s="62" t="n"/>
      <c r="I301" s="62" t="n"/>
      <c r="J301" s="60" t="n"/>
      <c r="K301" s="60" t="n"/>
      <c r="L301" s="60" t="n"/>
      <c r="M301" s="61" t="n"/>
      <c r="N301" s="60" t="n"/>
      <c r="O301" s="60" t="n"/>
      <c r="P301" s="60" t="n"/>
      <c r="Q301" s="60" t="n"/>
      <c r="R301" s="60" t="n"/>
      <c r="S301" s="60" t="n"/>
      <c r="T301" s="60" t="n"/>
      <c r="U301" s="60" t="n"/>
      <c r="V301" s="60" t="n"/>
      <c r="W301" s="60" t="n"/>
      <c r="X301" s="60" t="n"/>
      <c r="Y301" s="60" t="n"/>
      <c r="Z301" s="61" t="n"/>
      <c r="AA301" s="63">
        <f>IF($H301="","",TODAY()-$H301)</f>
        <v/>
      </c>
      <c r="AB301" s="63">
        <f>IF($A301="","",IF(AND($F301="Yes",OR($U301="No",$U301="NOT FOUND")),"YES",""))</f>
        <v/>
      </c>
      <c r="AC301" s="66">
        <f>IF($A301="","",TRIM(IF(AND($P301=0,$L301&lt;&gt;"Yes"),"T0-NoSmartcard ","")&amp;IF(AND($J301&lt;&gt;"",$J301&gt;365),"StalePwd ","")&amp;IF($K301="Yes","PwdNeverExpires ","")&amp;IF(AND($S301&lt;&gt;"",$S301&lt;&gt;"None"),"Delegation ","")&amp;IF(AND($Q301=1,$O301="None"),"StaleAdminCount ","")&amp;IF(AND($F301="Yes",$H301=""),"NeverLoggedOn ","")))</f>
        <v/>
      </c>
      <c r="AD301" s="60" t="n"/>
      <c r="AE301" s="61" t="n"/>
      <c r="AF301" s="60" t="n"/>
      <c r="AG301" s="62" t="n"/>
      <c r="AH301" s="62" t="n"/>
      <c r="AI301" s="62" t="n"/>
      <c r="AJ301" s="60" t="n"/>
      <c r="AK301" s="61" t="n"/>
      <c r="AL301" s="63">
        <f>IF($A301="","",IF(AH301="","Not Enrolled",IF(TODAY()&gt;AH301,"Review Overdue",IF(AH301-TODAY()&lt;=30,"Review Due Soon","Active"))))</f>
        <v/>
      </c>
      <c r="AM301" s="63">
        <f>IF($A301="","",IF(AI301="","NOT REVIEWED",IF(TODAY()-AI301&gt;90,"OVERDUE",IF(TODAY()-AI301&gt;76,"Due Soon","Current"))))</f>
        <v/>
      </c>
    </row>
    <row r="302" ht="15" customHeight="1" s="39">
      <c r="A302" s="60" t="n"/>
      <c r="B302" s="60" t="n"/>
      <c r="C302" s="61" t="n"/>
      <c r="D302" s="61" t="n"/>
      <c r="E302" s="60" t="n"/>
      <c r="F302" s="60" t="n"/>
      <c r="G302" s="62" t="n"/>
      <c r="H302" s="62" t="n"/>
      <c r="I302" s="62" t="n"/>
      <c r="J302" s="60" t="n"/>
      <c r="K302" s="60" t="n"/>
      <c r="L302" s="60" t="n"/>
      <c r="M302" s="61" t="n"/>
      <c r="N302" s="60" t="n"/>
      <c r="O302" s="60" t="n"/>
      <c r="P302" s="60" t="n"/>
      <c r="Q302" s="60" t="n"/>
      <c r="R302" s="60" t="n"/>
      <c r="S302" s="60" t="n"/>
      <c r="T302" s="60" t="n"/>
      <c r="U302" s="60" t="n"/>
      <c r="V302" s="60" t="n"/>
      <c r="W302" s="60" t="n"/>
      <c r="X302" s="60" t="n"/>
      <c r="Y302" s="60" t="n"/>
      <c r="Z302" s="61" t="n"/>
      <c r="AA302" s="63">
        <f>IF($H302="","",TODAY()-$H302)</f>
        <v/>
      </c>
      <c r="AB302" s="63">
        <f>IF($A302="","",IF(AND($F302="Yes",OR($U302="No",$U302="NOT FOUND")),"YES",""))</f>
        <v/>
      </c>
      <c r="AC302" s="66">
        <f>IF($A302="","",TRIM(IF(AND($P302=0,$L302&lt;&gt;"Yes"),"T0-NoSmartcard ","")&amp;IF(AND($J302&lt;&gt;"",$J302&gt;365),"StalePwd ","")&amp;IF($K302="Yes","PwdNeverExpires ","")&amp;IF(AND($S302&lt;&gt;"",$S302&lt;&gt;"None"),"Delegation ","")&amp;IF(AND($Q302=1,$O302="None"),"StaleAdminCount ","")&amp;IF(AND($F302="Yes",$H302=""),"NeverLoggedOn ","")))</f>
        <v/>
      </c>
      <c r="AD302" s="60" t="n"/>
      <c r="AE302" s="61" t="n"/>
      <c r="AF302" s="60" t="n"/>
      <c r="AG302" s="62" t="n"/>
      <c r="AH302" s="62" t="n"/>
      <c r="AI302" s="62" t="n"/>
      <c r="AJ302" s="60" t="n"/>
      <c r="AK302" s="61" t="n"/>
      <c r="AL302" s="63">
        <f>IF($A302="","",IF(AH302="","Not Enrolled",IF(TODAY()&gt;AH302,"Review Overdue",IF(AH302-TODAY()&lt;=30,"Review Due Soon","Active"))))</f>
        <v/>
      </c>
      <c r="AM302" s="63">
        <f>IF($A302="","",IF(AI302="","NOT REVIEWED",IF(TODAY()-AI302&gt;90,"OVERDUE",IF(TODAY()-AI302&gt;76,"Due Soon","Current"))))</f>
        <v/>
      </c>
    </row>
    <row r="303" ht="15" customHeight="1" s="39">
      <c r="A303" s="60" t="n"/>
      <c r="B303" s="60" t="n"/>
      <c r="C303" s="61" t="n"/>
      <c r="D303" s="61" t="n"/>
      <c r="E303" s="60" t="n"/>
      <c r="F303" s="60" t="n"/>
      <c r="G303" s="62" t="n"/>
      <c r="H303" s="62" t="n"/>
      <c r="I303" s="62" t="n"/>
      <c r="J303" s="60" t="n"/>
      <c r="K303" s="60" t="n"/>
      <c r="L303" s="60" t="n"/>
      <c r="M303" s="61" t="n"/>
      <c r="N303" s="60" t="n"/>
      <c r="O303" s="60" t="n"/>
      <c r="P303" s="60" t="n"/>
      <c r="Q303" s="60" t="n"/>
      <c r="R303" s="60" t="n"/>
      <c r="S303" s="60" t="n"/>
      <c r="T303" s="60" t="n"/>
      <c r="U303" s="60" t="n"/>
      <c r="V303" s="60" t="n"/>
      <c r="W303" s="60" t="n"/>
      <c r="X303" s="60" t="n"/>
      <c r="Y303" s="60" t="n"/>
      <c r="Z303" s="61" t="n"/>
      <c r="AA303" s="63">
        <f>IF($H303="","",TODAY()-$H303)</f>
        <v/>
      </c>
      <c r="AB303" s="63">
        <f>IF($A303="","",IF(AND($F303="Yes",OR($U303="No",$U303="NOT FOUND")),"YES",""))</f>
        <v/>
      </c>
      <c r="AC303" s="66">
        <f>IF($A303="","",TRIM(IF(AND($P303=0,$L303&lt;&gt;"Yes"),"T0-NoSmartcard ","")&amp;IF(AND($J303&lt;&gt;"",$J303&gt;365),"StalePwd ","")&amp;IF($K303="Yes","PwdNeverExpires ","")&amp;IF(AND($S303&lt;&gt;"",$S303&lt;&gt;"None"),"Delegation ","")&amp;IF(AND($Q303=1,$O303="None"),"StaleAdminCount ","")&amp;IF(AND($F303="Yes",$H303=""),"NeverLoggedOn ","")))</f>
        <v/>
      </c>
      <c r="AD303" s="60" t="n"/>
      <c r="AE303" s="61" t="n"/>
      <c r="AF303" s="60" t="n"/>
      <c r="AG303" s="62" t="n"/>
      <c r="AH303" s="62" t="n"/>
      <c r="AI303" s="62" t="n"/>
      <c r="AJ303" s="60" t="n"/>
      <c r="AK303" s="61" t="n"/>
      <c r="AL303" s="63">
        <f>IF($A303="","",IF(AH303="","Not Enrolled",IF(TODAY()&gt;AH303,"Review Overdue",IF(AH303-TODAY()&lt;=30,"Review Due Soon","Active"))))</f>
        <v/>
      </c>
      <c r="AM303" s="63">
        <f>IF($A303="","",IF(AI303="","NOT REVIEWED",IF(TODAY()-AI303&gt;90,"OVERDUE",IF(TODAY()-AI303&gt;76,"Due Soon","Current"))))</f>
        <v/>
      </c>
    </row>
    <row r="304" ht="15" customHeight="1" s="39">
      <c r="A304" s="60" t="n"/>
      <c r="B304" s="60" t="n"/>
      <c r="C304" s="61" t="n"/>
      <c r="D304" s="61" t="n"/>
      <c r="E304" s="60" t="n"/>
      <c r="F304" s="60" t="n"/>
      <c r="G304" s="62" t="n"/>
      <c r="H304" s="62" t="n"/>
      <c r="I304" s="62" t="n"/>
      <c r="J304" s="60" t="n"/>
      <c r="K304" s="60" t="n"/>
      <c r="L304" s="60" t="n"/>
      <c r="M304" s="61" t="n"/>
      <c r="N304" s="60" t="n"/>
      <c r="O304" s="60" t="n"/>
      <c r="P304" s="60" t="n"/>
      <c r="Q304" s="60" t="n"/>
      <c r="R304" s="60" t="n"/>
      <c r="S304" s="60" t="n"/>
      <c r="T304" s="60" t="n"/>
      <c r="U304" s="60" t="n"/>
      <c r="V304" s="60" t="n"/>
      <c r="W304" s="60" t="n"/>
      <c r="X304" s="60" t="n"/>
      <c r="Y304" s="60" t="n"/>
      <c r="Z304" s="61" t="n"/>
      <c r="AA304" s="63">
        <f>IF($H304="","",TODAY()-$H304)</f>
        <v/>
      </c>
      <c r="AB304" s="63">
        <f>IF($A304="","",IF(AND($F304="Yes",OR($U304="No",$U304="NOT FOUND")),"YES",""))</f>
        <v/>
      </c>
      <c r="AC304" s="66">
        <f>IF($A304="","",TRIM(IF(AND($P304=0,$L304&lt;&gt;"Yes"),"T0-NoSmartcard ","")&amp;IF(AND($J304&lt;&gt;"",$J304&gt;365),"StalePwd ","")&amp;IF($K304="Yes","PwdNeverExpires ","")&amp;IF(AND($S304&lt;&gt;"",$S304&lt;&gt;"None"),"Delegation ","")&amp;IF(AND($Q304=1,$O304="None"),"StaleAdminCount ","")&amp;IF(AND($F304="Yes",$H304=""),"NeverLoggedOn ","")))</f>
        <v/>
      </c>
      <c r="AD304" s="60" t="n"/>
      <c r="AE304" s="61" t="n"/>
      <c r="AF304" s="60" t="n"/>
      <c r="AG304" s="62" t="n"/>
      <c r="AH304" s="62" t="n"/>
      <c r="AI304" s="62" t="n"/>
      <c r="AJ304" s="60" t="n"/>
      <c r="AK304" s="61" t="n"/>
      <c r="AL304" s="63">
        <f>IF($A304="","",IF(AH304="","Not Enrolled",IF(TODAY()&gt;AH304,"Review Overdue",IF(AH304-TODAY()&lt;=30,"Review Due Soon","Active"))))</f>
        <v/>
      </c>
      <c r="AM304" s="63">
        <f>IF($A304="","",IF(AI304="","NOT REVIEWED",IF(TODAY()-AI304&gt;90,"OVERDUE",IF(TODAY()-AI304&gt;76,"Due Soon","Current"))))</f>
        <v/>
      </c>
    </row>
    <row r="305" ht="15" customHeight="1" s="39">
      <c r="A305" s="60" t="n"/>
      <c r="B305" s="60" t="n"/>
      <c r="C305" s="61" t="n"/>
      <c r="D305" s="61" t="n"/>
      <c r="E305" s="60" t="n"/>
      <c r="F305" s="60" t="n"/>
      <c r="G305" s="62" t="n"/>
      <c r="H305" s="62" t="n"/>
      <c r="I305" s="62" t="n"/>
      <c r="J305" s="60" t="n"/>
      <c r="K305" s="60" t="n"/>
      <c r="L305" s="60" t="n"/>
      <c r="M305" s="61" t="n"/>
      <c r="N305" s="60" t="n"/>
      <c r="O305" s="60" t="n"/>
      <c r="P305" s="60" t="n"/>
      <c r="Q305" s="60" t="n"/>
      <c r="R305" s="60" t="n"/>
      <c r="S305" s="60" t="n"/>
      <c r="T305" s="60" t="n"/>
      <c r="U305" s="60" t="n"/>
      <c r="V305" s="60" t="n"/>
      <c r="W305" s="60" t="n"/>
      <c r="X305" s="60" t="n"/>
      <c r="Y305" s="60" t="n"/>
      <c r="Z305" s="61" t="n"/>
      <c r="AA305" s="63">
        <f>IF($H305="","",TODAY()-$H305)</f>
        <v/>
      </c>
      <c r="AB305" s="63">
        <f>IF($A305="","",IF(AND($F305="Yes",OR($U305="No",$U305="NOT FOUND")),"YES",""))</f>
        <v/>
      </c>
      <c r="AC305" s="66">
        <f>IF($A305="","",TRIM(IF(AND($P305=0,$L305&lt;&gt;"Yes"),"T0-NoSmartcard ","")&amp;IF(AND($J305&lt;&gt;"",$J305&gt;365),"StalePwd ","")&amp;IF($K305="Yes","PwdNeverExpires ","")&amp;IF(AND($S305&lt;&gt;"",$S305&lt;&gt;"None"),"Delegation ","")&amp;IF(AND($Q305=1,$O305="None"),"StaleAdminCount ","")&amp;IF(AND($F305="Yes",$H305=""),"NeverLoggedOn ","")))</f>
        <v/>
      </c>
      <c r="AD305" s="60" t="n"/>
      <c r="AE305" s="61" t="n"/>
      <c r="AF305" s="60" t="n"/>
      <c r="AG305" s="62" t="n"/>
      <c r="AH305" s="62" t="n"/>
      <c r="AI305" s="62" t="n"/>
      <c r="AJ305" s="60" t="n"/>
      <c r="AK305" s="61" t="n"/>
      <c r="AL305" s="63">
        <f>IF($A305="","",IF(AH305="","Not Enrolled",IF(TODAY()&gt;AH305,"Review Overdue",IF(AH305-TODAY()&lt;=30,"Review Due Soon","Active"))))</f>
        <v/>
      </c>
      <c r="AM305" s="63">
        <f>IF($A305="","",IF(AI305="","NOT REVIEWED",IF(TODAY()-AI305&gt;90,"OVERDUE",IF(TODAY()-AI305&gt;76,"Due Soon","Current"))))</f>
        <v/>
      </c>
    </row>
    <row r="306" ht="15" customHeight="1" s="39">
      <c r="A306" s="60" t="n"/>
      <c r="B306" s="60" t="n"/>
      <c r="C306" s="61" t="n"/>
      <c r="D306" s="61" t="n"/>
      <c r="E306" s="60" t="n"/>
      <c r="F306" s="60" t="n"/>
      <c r="G306" s="62" t="n"/>
      <c r="H306" s="62" t="n"/>
      <c r="I306" s="62" t="n"/>
      <c r="J306" s="60" t="n"/>
      <c r="K306" s="60" t="n"/>
      <c r="L306" s="60" t="n"/>
      <c r="M306" s="61" t="n"/>
      <c r="N306" s="60" t="n"/>
      <c r="O306" s="60" t="n"/>
      <c r="P306" s="60" t="n"/>
      <c r="Q306" s="60" t="n"/>
      <c r="R306" s="60" t="n"/>
      <c r="S306" s="60" t="n"/>
      <c r="T306" s="60" t="n"/>
      <c r="U306" s="60" t="n"/>
      <c r="V306" s="60" t="n"/>
      <c r="W306" s="60" t="n"/>
      <c r="X306" s="60" t="n"/>
      <c r="Y306" s="60" t="n"/>
      <c r="Z306" s="61" t="n"/>
      <c r="AA306" s="63">
        <f>IF($H306="","",TODAY()-$H306)</f>
        <v/>
      </c>
      <c r="AB306" s="63">
        <f>IF($A306="","",IF(AND($F306="Yes",OR($U306="No",$U306="NOT FOUND")),"YES",""))</f>
        <v/>
      </c>
      <c r="AC306" s="66">
        <f>IF($A306="","",TRIM(IF(AND($P306=0,$L306&lt;&gt;"Yes"),"T0-NoSmartcard ","")&amp;IF(AND($J306&lt;&gt;"",$J306&gt;365),"StalePwd ","")&amp;IF($K306="Yes","PwdNeverExpires ","")&amp;IF(AND($S306&lt;&gt;"",$S306&lt;&gt;"None"),"Delegation ","")&amp;IF(AND($Q306=1,$O306="None"),"StaleAdminCount ","")&amp;IF(AND($F306="Yes",$H306=""),"NeverLoggedOn ","")))</f>
        <v/>
      </c>
      <c r="AD306" s="60" t="n"/>
      <c r="AE306" s="61" t="n"/>
      <c r="AF306" s="60" t="n"/>
      <c r="AG306" s="62" t="n"/>
      <c r="AH306" s="62" t="n"/>
      <c r="AI306" s="62" t="n"/>
      <c r="AJ306" s="60" t="n"/>
      <c r="AK306" s="61" t="n"/>
      <c r="AL306" s="63">
        <f>IF($A306="","",IF(AH306="","Not Enrolled",IF(TODAY()&gt;AH306,"Review Overdue",IF(AH306-TODAY()&lt;=30,"Review Due Soon","Active"))))</f>
        <v/>
      </c>
      <c r="AM306" s="63">
        <f>IF($A306="","",IF(AI306="","NOT REVIEWED",IF(TODAY()-AI306&gt;90,"OVERDUE",IF(TODAY()-AI306&gt;76,"Due Soon","Current"))))</f>
        <v/>
      </c>
    </row>
    <row r="307" ht="15" customHeight="1" s="39">
      <c r="A307" s="60" t="n"/>
      <c r="B307" s="60" t="n"/>
      <c r="C307" s="61" t="n"/>
      <c r="D307" s="61" t="n"/>
      <c r="E307" s="60" t="n"/>
      <c r="F307" s="60" t="n"/>
      <c r="G307" s="62" t="n"/>
      <c r="H307" s="62" t="n"/>
      <c r="I307" s="62" t="n"/>
      <c r="J307" s="60" t="n"/>
      <c r="K307" s="60" t="n"/>
      <c r="L307" s="60" t="n"/>
      <c r="M307" s="61" t="n"/>
      <c r="N307" s="60" t="n"/>
      <c r="O307" s="60" t="n"/>
      <c r="P307" s="60" t="n"/>
      <c r="Q307" s="60" t="n"/>
      <c r="R307" s="60" t="n"/>
      <c r="S307" s="60" t="n"/>
      <c r="T307" s="60" t="n"/>
      <c r="U307" s="60" t="n"/>
      <c r="V307" s="60" t="n"/>
      <c r="W307" s="60" t="n"/>
      <c r="X307" s="60" t="n"/>
      <c r="Y307" s="60" t="n"/>
      <c r="Z307" s="61" t="n"/>
      <c r="AA307" s="63">
        <f>IF($H307="","",TODAY()-$H307)</f>
        <v/>
      </c>
      <c r="AB307" s="63">
        <f>IF($A307="","",IF(AND($F307="Yes",OR($U307="No",$U307="NOT FOUND")),"YES",""))</f>
        <v/>
      </c>
      <c r="AC307" s="66">
        <f>IF($A307="","",TRIM(IF(AND($P307=0,$L307&lt;&gt;"Yes"),"T0-NoSmartcard ","")&amp;IF(AND($J307&lt;&gt;"",$J307&gt;365),"StalePwd ","")&amp;IF($K307="Yes","PwdNeverExpires ","")&amp;IF(AND($S307&lt;&gt;"",$S307&lt;&gt;"None"),"Delegation ","")&amp;IF(AND($Q307=1,$O307="None"),"StaleAdminCount ","")&amp;IF(AND($F307="Yes",$H307=""),"NeverLoggedOn ","")))</f>
        <v/>
      </c>
      <c r="AD307" s="60" t="n"/>
      <c r="AE307" s="61" t="n"/>
      <c r="AF307" s="60" t="n"/>
      <c r="AG307" s="62" t="n"/>
      <c r="AH307" s="62" t="n"/>
      <c r="AI307" s="62" t="n"/>
      <c r="AJ307" s="60" t="n"/>
      <c r="AK307" s="61" t="n"/>
      <c r="AL307" s="63">
        <f>IF($A307="","",IF(AH307="","Not Enrolled",IF(TODAY()&gt;AH307,"Review Overdue",IF(AH307-TODAY()&lt;=30,"Review Due Soon","Active"))))</f>
        <v/>
      </c>
      <c r="AM307" s="63">
        <f>IF($A307="","",IF(AI307="","NOT REVIEWED",IF(TODAY()-AI307&gt;90,"OVERDUE",IF(TODAY()-AI307&gt;76,"Due Soon","Current"))))</f>
        <v/>
      </c>
    </row>
    <row r="308" ht="15" customHeight="1" s="39">
      <c r="A308" s="60" t="n"/>
      <c r="B308" s="60" t="n"/>
      <c r="C308" s="61" t="n"/>
      <c r="D308" s="61" t="n"/>
      <c r="E308" s="60" t="n"/>
      <c r="F308" s="60" t="n"/>
      <c r="G308" s="62" t="n"/>
      <c r="H308" s="62" t="n"/>
      <c r="I308" s="62" t="n"/>
      <c r="J308" s="60" t="n"/>
      <c r="K308" s="60" t="n"/>
      <c r="L308" s="60" t="n"/>
      <c r="M308" s="61" t="n"/>
      <c r="N308" s="60" t="n"/>
      <c r="O308" s="60" t="n"/>
      <c r="P308" s="60" t="n"/>
      <c r="Q308" s="60" t="n"/>
      <c r="R308" s="60" t="n"/>
      <c r="S308" s="60" t="n"/>
      <c r="T308" s="60" t="n"/>
      <c r="U308" s="60" t="n"/>
      <c r="V308" s="60" t="n"/>
      <c r="W308" s="60" t="n"/>
      <c r="X308" s="60" t="n"/>
      <c r="Y308" s="60" t="n"/>
      <c r="Z308" s="61" t="n"/>
      <c r="AA308" s="63">
        <f>IF($H308="","",TODAY()-$H308)</f>
        <v/>
      </c>
      <c r="AB308" s="63">
        <f>IF($A308="","",IF(AND($F308="Yes",OR($U308="No",$U308="NOT FOUND")),"YES",""))</f>
        <v/>
      </c>
      <c r="AC308" s="66">
        <f>IF($A308="","",TRIM(IF(AND($P308=0,$L308&lt;&gt;"Yes"),"T0-NoSmartcard ","")&amp;IF(AND($J308&lt;&gt;"",$J308&gt;365),"StalePwd ","")&amp;IF($K308="Yes","PwdNeverExpires ","")&amp;IF(AND($S308&lt;&gt;"",$S308&lt;&gt;"None"),"Delegation ","")&amp;IF(AND($Q308=1,$O308="None"),"StaleAdminCount ","")&amp;IF(AND($F308="Yes",$H308=""),"NeverLoggedOn ","")))</f>
        <v/>
      </c>
      <c r="AD308" s="60" t="n"/>
      <c r="AE308" s="61" t="n"/>
      <c r="AF308" s="60" t="n"/>
      <c r="AG308" s="62" t="n"/>
      <c r="AH308" s="62" t="n"/>
      <c r="AI308" s="62" t="n"/>
      <c r="AJ308" s="60" t="n"/>
      <c r="AK308" s="61" t="n"/>
      <c r="AL308" s="63">
        <f>IF($A308="","",IF(AH308="","Not Enrolled",IF(TODAY()&gt;AH308,"Review Overdue",IF(AH308-TODAY()&lt;=30,"Review Due Soon","Active"))))</f>
        <v/>
      </c>
      <c r="AM308" s="63">
        <f>IF($A308="","",IF(AI308="","NOT REVIEWED",IF(TODAY()-AI308&gt;90,"OVERDUE",IF(TODAY()-AI308&gt;76,"Due Soon","Current"))))</f>
        <v/>
      </c>
    </row>
    <row r="309" ht="15" customHeight="1" s="39">
      <c r="A309" s="60" t="n"/>
      <c r="B309" s="60" t="n"/>
      <c r="C309" s="61" t="n"/>
      <c r="D309" s="61" t="n"/>
      <c r="E309" s="60" t="n"/>
      <c r="F309" s="60" t="n"/>
      <c r="G309" s="62" t="n"/>
      <c r="H309" s="62" t="n"/>
      <c r="I309" s="62" t="n"/>
      <c r="J309" s="60" t="n"/>
      <c r="K309" s="60" t="n"/>
      <c r="L309" s="60" t="n"/>
      <c r="M309" s="61" t="n"/>
      <c r="N309" s="60" t="n"/>
      <c r="O309" s="60" t="n"/>
      <c r="P309" s="60" t="n"/>
      <c r="Q309" s="60" t="n"/>
      <c r="R309" s="60" t="n"/>
      <c r="S309" s="60" t="n"/>
      <c r="T309" s="60" t="n"/>
      <c r="U309" s="60" t="n"/>
      <c r="V309" s="60" t="n"/>
      <c r="W309" s="60" t="n"/>
      <c r="X309" s="60" t="n"/>
      <c r="Y309" s="60" t="n"/>
      <c r="Z309" s="61" t="n"/>
      <c r="AA309" s="63">
        <f>IF($H309="","",TODAY()-$H309)</f>
        <v/>
      </c>
      <c r="AB309" s="63">
        <f>IF($A309="","",IF(AND($F309="Yes",OR($U309="No",$U309="NOT FOUND")),"YES",""))</f>
        <v/>
      </c>
      <c r="AC309" s="66">
        <f>IF($A309="","",TRIM(IF(AND($P309=0,$L309&lt;&gt;"Yes"),"T0-NoSmartcard ","")&amp;IF(AND($J309&lt;&gt;"",$J309&gt;365),"StalePwd ","")&amp;IF($K309="Yes","PwdNeverExpires ","")&amp;IF(AND($S309&lt;&gt;"",$S309&lt;&gt;"None"),"Delegation ","")&amp;IF(AND($Q309=1,$O309="None"),"StaleAdminCount ","")&amp;IF(AND($F309="Yes",$H309=""),"NeverLoggedOn ","")))</f>
        <v/>
      </c>
      <c r="AD309" s="60" t="n"/>
      <c r="AE309" s="61" t="n"/>
      <c r="AF309" s="60" t="n"/>
      <c r="AG309" s="62" t="n"/>
      <c r="AH309" s="62" t="n"/>
      <c r="AI309" s="62" t="n"/>
      <c r="AJ309" s="60" t="n"/>
      <c r="AK309" s="61" t="n"/>
      <c r="AL309" s="63">
        <f>IF($A309="","",IF(AH309="","Not Enrolled",IF(TODAY()&gt;AH309,"Review Overdue",IF(AH309-TODAY()&lt;=30,"Review Due Soon","Active"))))</f>
        <v/>
      </c>
      <c r="AM309" s="63">
        <f>IF($A309="","",IF(AI309="","NOT REVIEWED",IF(TODAY()-AI309&gt;90,"OVERDUE",IF(TODAY()-AI309&gt;76,"Due Soon","Current"))))</f>
        <v/>
      </c>
    </row>
    <row r="310" ht="15" customHeight="1" s="39">
      <c r="A310" s="60" t="n"/>
      <c r="B310" s="60" t="n"/>
      <c r="C310" s="61" t="n"/>
      <c r="D310" s="61" t="n"/>
      <c r="E310" s="60" t="n"/>
      <c r="F310" s="60" t="n"/>
      <c r="G310" s="62" t="n"/>
      <c r="H310" s="62" t="n"/>
      <c r="I310" s="62" t="n"/>
      <c r="J310" s="60" t="n"/>
      <c r="K310" s="60" t="n"/>
      <c r="L310" s="60" t="n"/>
      <c r="M310" s="61" t="n"/>
      <c r="N310" s="60" t="n"/>
      <c r="O310" s="60" t="n"/>
      <c r="P310" s="60" t="n"/>
      <c r="Q310" s="60" t="n"/>
      <c r="R310" s="60" t="n"/>
      <c r="S310" s="60" t="n"/>
      <c r="T310" s="60" t="n"/>
      <c r="U310" s="60" t="n"/>
      <c r="V310" s="60" t="n"/>
      <c r="W310" s="60" t="n"/>
      <c r="X310" s="60" t="n"/>
      <c r="Y310" s="60" t="n"/>
      <c r="Z310" s="61" t="n"/>
      <c r="AA310" s="63">
        <f>IF($H310="","",TODAY()-$H310)</f>
        <v/>
      </c>
      <c r="AB310" s="63">
        <f>IF($A310="","",IF(AND($F310="Yes",OR($U310="No",$U310="NOT FOUND")),"YES",""))</f>
        <v/>
      </c>
      <c r="AC310" s="66">
        <f>IF($A310="","",TRIM(IF(AND($P310=0,$L310&lt;&gt;"Yes"),"T0-NoSmartcard ","")&amp;IF(AND($J310&lt;&gt;"",$J310&gt;365),"StalePwd ","")&amp;IF($K310="Yes","PwdNeverExpires ","")&amp;IF(AND($S310&lt;&gt;"",$S310&lt;&gt;"None"),"Delegation ","")&amp;IF(AND($Q310=1,$O310="None"),"StaleAdminCount ","")&amp;IF(AND($F310="Yes",$H310=""),"NeverLoggedOn ","")))</f>
        <v/>
      </c>
      <c r="AD310" s="60" t="n"/>
      <c r="AE310" s="61" t="n"/>
      <c r="AF310" s="60" t="n"/>
      <c r="AG310" s="62" t="n"/>
      <c r="AH310" s="62" t="n"/>
      <c r="AI310" s="62" t="n"/>
      <c r="AJ310" s="60" t="n"/>
      <c r="AK310" s="61" t="n"/>
      <c r="AL310" s="63">
        <f>IF($A310="","",IF(AH310="","Not Enrolled",IF(TODAY()&gt;AH310,"Review Overdue",IF(AH310-TODAY()&lt;=30,"Review Due Soon","Active"))))</f>
        <v/>
      </c>
      <c r="AM310" s="63">
        <f>IF($A310="","",IF(AI310="","NOT REVIEWED",IF(TODAY()-AI310&gt;90,"OVERDUE",IF(TODAY()-AI310&gt;76,"Due Soon","Current"))))</f>
        <v/>
      </c>
    </row>
    <row r="311" ht="15" customHeight="1" s="39">
      <c r="A311" s="60" t="n"/>
      <c r="B311" s="60" t="n"/>
      <c r="C311" s="61" t="n"/>
      <c r="D311" s="61" t="n"/>
      <c r="E311" s="60" t="n"/>
      <c r="F311" s="60" t="n"/>
      <c r="G311" s="62" t="n"/>
      <c r="H311" s="62" t="n"/>
      <c r="I311" s="62" t="n"/>
      <c r="J311" s="60" t="n"/>
      <c r="K311" s="60" t="n"/>
      <c r="L311" s="60" t="n"/>
      <c r="M311" s="61" t="n"/>
      <c r="N311" s="60" t="n"/>
      <c r="O311" s="60" t="n"/>
      <c r="P311" s="60" t="n"/>
      <c r="Q311" s="60" t="n"/>
      <c r="R311" s="60" t="n"/>
      <c r="S311" s="60" t="n"/>
      <c r="T311" s="60" t="n"/>
      <c r="U311" s="60" t="n"/>
      <c r="V311" s="60" t="n"/>
      <c r="W311" s="60" t="n"/>
      <c r="X311" s="60" t="n"/>
      <c r="Y311" s="60" t="n"/>
      <c r="Z311" s="61" t="n"/>
      <c r="AA311" s="63">
        <f>IF($H311="","",TODAY()-$H311)</f>
        <v/>
      </c>
      <c r="AB311" s="63">
        <f>IF($A311="","",IF(AND($F311="Yes",OR($U311="No",$U311="NOT FOUND")),"YES",""))</f>
        <v/>
      </c>
      <c r="AC311" s="66">
        <f>IF($A311="","",TRIM(IF(AND($P311=0,$L311&lt;&gt;"Yes"),"T0-NoSmartcard ","")&amp;IF(AND($J311&lt;&gt;"",$J311&gt;365),"StalePwd ","")&amp;IF($K311="Yes","PwdNeverExpires ","")&amp;IF(AND($S311&lt;&gt;"",$S311&lt;&gt;"None"),"Delegation ","")&amp;IF(AND($Q311=1,$O311="None"),"StaleAdminCount ","")&amp;IF(AND($F311="Yes",$H311=""),"NeverLoggedOn ","")))</f>
        <v/>
      </c>
      <c r="AD311" s="60" t="n"/>
      <c r="AE311" s="61" t="n"/>
      <c r="AF311" s="60" t="n"/>
      <c r="AG311" s="62" t="n"/>
      <c r="AH311" s="62" t="n"/>
      <c r="AI311" s="62" t="n"/>
      <c r="AJ311" s="60" t="n"/>
      <c r="AK311" s="61" t="n"/>
      <c r="AL311" s="63">
        <f>IF($A311="","",IF(AH311="","Not Enrolled",IF(TODAY()&gt;AH311,"Review Overdue",IF(AH311-TODAY()&lt;=30,"Review Due Soon","Active"))))</f>
        <v/>
      </c>
      <c r="AM311" s="63">
        <f>IF($A311="","",IF(AI311="","NOT REVIEWED",IF(TODAY()-AI311&gt;90,"OVERDUE",IF(TODAY()-AI311&gt;76,"Due Soon","Current"))))</f>
        <v/>
      </c>
    </row>
    <row r="312" ht="15" customHeight="1" s="39">
      <c r="A312" s="60" t="n"/>
      <c r="B312" s="60" t="n"/>
      <c r="C312" s="61" t="n"/>
      <c r="D312" s="61" t="n"/>
      <c r="E312" s="60" t="n"/>
      <c r="F312" s="60" t="n"/>
      <c r="G312" s="62" t="n"/>
      <c r="H312" s="62" t="n"/>
      <c r="I312" s="62" t="n"/>
      <c r="J312" s="60" t="n"/>
      <c r="K312" s="60" t="n"/>
      <c r="L312" s="60" t="n"/>
      <c r="M312" s="61" t="n"/>
      <c r="N312" s="60" t="n"/>
      <c r="O312" s="60" t="n"/>
      <c r="P312" s="60" t="n"/>
      <c r="Q312" s="60" t="n"/>
      <c r="R312" s="60" t="n"/>
      <c r="S312" s="60" t="n"/>
      <c r="T312" s="60" t="n"/>
      <c r="U312" s="60" t="n"/>
      <c r="V312" s="60" t="n"/>
      <c r="W312" s="60" t="n"/>
      <c r="X312" s="60" t="n"/>
      <c r="Y312" s="60" t="n"/>
      <c r="Z312" s="61" t="n"/>
      <c r="AA312" s="63">
        <f>IF($H312="","",TODAY()-$H312)</f>
        <v/>
      </c>
      <c r="AB312" s="63">
        <f>IF($A312="","",IF(AND($F312="Yes",OR($U312="No",$U312="NOT FOUND")),"YES",""))</f>
        <v/>
      </c>
      <c r="AC312" s="66">
        <f>IF($A312="","",TRIM(IF(AND($P312=0,$L312&lt;&gt;"Yes"),"T0-NoSmartcard ","")&amp;IF(AND($J312&lt;&gt;"",$J312&gt;365),"StalePwd ","")&amp;IF($K312="Yes","PwdNeverExpires ","")&amp;IF(AND($S312&lt;&gt;"",$S312&lt;&gt;"None"),"Delegation ","")&amp;IF(AND($Q312=1,$O312="None"),"StaleAdminCount ","")&amp;IF(AND($F312="Yes",$H312=""),"NeverLoggedOn ","")))</f>
        <v/>
      </c>
      <c r="AD312" s="60" t="n"/>
      <c r="AE312" s="61" t="n"/>
      <c r="AF312" s="60" t="n"/>
      <c r="AG312" s="62" t="n"/>
      <c r="AH312" s="62" t="n"/>
      <c r="AI312" s="62" t="n"/>
      <c r="AJ312" s="60" t="n"/>
      <c r="AK312" s="61" t="n"/>
      <c r="AL312" s="63">
        <f>IF($A312="","",IF(AH312="","Not Enrolled",IF(TODAY()&gt;AH312,"Review Overdue",IF(AH312-TODAY()&lt;=30,"Review Due Soon","Active"))))</f>
        <v/>
      </c>
      <c r="AM312" s="63">
        <f>IF($A312="","",IF(AI312="","NOT REVIEWED",IF(TODAY()-AI312&gt;90,"OVERDUE",IF(TODAY()-AI312&gt;76,"Due Soon","Current"))))</f>
        <v/>
      </c>
    </row>
    <row r="313" ht="15" customHeight="1" s="39">
      <c r="A313" s="60" t="n"/>
      <c r="B313" s="60" t="n"/>
      <c r="C313" s="61" t="n"/>
      <c r="D313" s="61" t="n"/>
      <c r="E313" s="60" t="n"/>
      <c r="F313" s="60" t="n"/>
      <c r="G313" s="62" t="n"/>
      <c r="H313" s="62" t="n"/>
      <c r="I313" s="62" t="n"/>
      <c r="J313" s="60" t="n"/>
      <c r="K313" s="60" t="n"/>
      <c r="L313" s="60" t="n"/>
      <c r="M313" s="61" t="n"/>
      <c r="N313" s="60" t="n"/>
      <c r="O313" s="60" t="n"/>
      <c r="P313" s="60" t="n"/>
      <c r="Q313" s="60" t="n"/>
      <c r="R313" s="60" t="n"/>
      <c r="S313" s="60" t="n"/>
      <c r="T313" s="60" t="n"/>
      <c r="U313" s="60" t="n"/>
      <c r="V313" s="60" t="n"/>
      <c r="W313" s="60" t="n"/>
      <c r="X313" s="60" t="n"/>
      <c r="Y313" s="60" t="n"/>
      <c r="Z313" s="61" t="n"/>
      <c r="AA313" s="63">
        <f>IF($H313="","",TODAY()-$H313)</f>
        <v/>
      </c>
      <c r="AB313" s="63">
        <f>IF($A313="","",IF(AND($F313="Yes",OR($U313="No",$U313="NOT FOUND")),"YES",""))</f>
        <v/>
      </c>
      <c r="AC313" s="66">
        <f>IF($A313="","",TRIM(IF(AND($P313=0,$L313&lt;&gt;"Yes"),"T0-NoSmartcard ","")&amp;IF(AND($J313&lt;&gt;"",$J313&gt;365),"StalePwd ","")&amp;IF($K313="Yes","PwdNeverExpires ","")&amp;IF(AND($S313&lt;&gt;"",$S313&lt;&gt;"None"),"Delegation ","")&amp;IF(AND($Q313=1,$O313="None"),"StaleAdminCount ","")&amp;IF(AND($F313="Yes",$H313=""),"NeverLoggedOn ","")))</f>
        <v/>
      </c>
      <c r="AD313" s="60" t="n"/>
      <c r="AE313" s="61" t="n"/>
      <c r="AF313" s="60" t="n"/>
      <c r="AG313" s="62" t="n"/>
      <c r="AH313" s="62" t="n"/>
      <c r="AI313" s="62" t="n"/>
      <c r="AJ313" s="60" t="n"/>
      <c r="AK313" s="61" t="n"/>
      <c r="AL313" s="63">
        <f>IF($A313="","",IF(AH313="","Not Enrolled",IF(TODAY()&gt;AH313,"Review Overdue",IF(AH313-TODAY()&lt;=30,"Review Due Soon","Active"))))</f>
        <v/>
      </c>
      <c r="AM313" s="63">
        <f>IF($A313="","",IF(AI313="","NOT REVIEWED",IF(TODAY()-AI313&gt;90,"OVERDUE",IF(TODAY()-AI313&gt;76,"Due Soon","Current"))))</f>
        <v/>
      </c>
    </row>
    <row r="314" ht="15" customHeight="1" s="39">
      <c r="A314" s="60" t="n"/>
      <c r="B314" s="60" t="n"/>
      <c r="C314" s="61" t="n"/>
      <c r="D314" s="61" t="n"/>
      <c r="E314" s="60" t="n"/>
      <c r="F314" s="60" t="n"/>
      <c r="G314" s="62" t="n"/>
      <c r="H314" s="62" t="n"/>
      <c r="I314" s="62" t="n"/>
      <c r="J314" s="60" t="n"/>
      <c r="K314" s="60" t="n"/>
      <c r="L314" s="60" t="n"/>
      <c r="M314" s="61" t="n"/>
      <c r="N314" s="60" t="n"/>
      <c r="O314" s="60" t="n"/>
      <c r="P314" s="60" t="n"/>
      <c r="Q314" s="60" t="n"/>
      <c r="R314" s="60" t="n"/>
      <c r="S314" s="60" t="n"/>
      <c r="T314" s="60" t="n"/>
      <c r="U314" s="60" t="n"/>
      <c r="V314" s="60" t="n"/>
      <c r="W314" s="60" t="n"/>
      <c r="X314" s="60" t="n"/>
      <c r="Y314" s="60" t="n"/>
      <c r="Z314" s="61" t="n"/>
      <c r="AA314" s="63">
        <f>IF($H314="","",TODAY()-$H314)</f>
        <v/>
      </c>
      <c r="AB314" s="63">
        <f>IF($A314="","",IF(AND($F314="Yes",OR($U314="No",$U314="NOT FOUND")),"YES",""))</f>
        <v/>
      </c>
      <c r="AC314" s="66">
        <f>IF($A314="","",TRIM(IF(AND($P314=0,$L314&lt;&gt;"Yes"),"T0-NoSmartcard ","")&amp;IF(AND($J314&lt;&gt;"",$J314&gt;365),"StalePwd ","")&amp;IF($K314="Yes","PwdNeverExpires ","")&amp;IF(AND($S314&lt;&gt;"",$S314&lt;&gt;"None"),"Delegation ","")&amp;IF(AND($Q314=1,$O314="None"),"StaleAdminCount ","")&amp;IF(AND($F314="Yes",$H314=""),"NeverLoggedOn ","")))</f>
        <v/>
      </c>
      <c r="AD314" s="60" t="n"/>
      <c r="AE314" s="61" t="n"/>
      <c r="AF314" s="60" t="n"/>
      <c r="AG314" s="62" t="n"/>
      <c r="AH314" s="62" t="n"/>
      <c r="AI314" s="62" t="n"/>
      <c r="AJ314" s="60" t="n"/>
      <c r="AK314" s="61" t="n"/>
      <c r="AL314" s="63">
        <f>IF($A314="","",IF(AH314="","Not Enrolled",IF(TODAY()&gt;AH314,"Review Overdue",IF(AH314-TODAY()&lt;=30,"Review Due Soon","Active"))))</f>
        <v/>
      </c>
      <c r="AM314" s="63">
        <f>IF($A314="","",IF(AI314="","NOT REVIEWED",IF(TODAY()-AI314&gt;90,"OVERDUE",IF(TODAY()-AI314&gt;76,"Due Soon","Current"))))</f>
        <v/>
      </c>
    </row>
    <row r="315" ht="15" customHeight="1" s="39">
      <c r="A315" s="60" t="n"/>
      <c r="B315" s="60" t="n"/>
      <c r="C315" s="61" t="n"/>
      <c r="D315" s="61" t="n"/>
      <c r="E315" s="60" t="n"/>
      <c r="F315" s="60" t="n"/>
      <c r="G315" s="62" t="n"/>
      <c r="H315" s="62" t="n"/>
      <c r="I315" s="62" t="n"/>
      <c r="J315" s="60" t="n"/>
      <c r="K315" s="60" t="n"/>
      <c r="L315" s="60" t="n"/>
      <c r="M315" s="61" t="n"/>
      <c r="N315" s="60" t="n"/>
      <c r="O315" s="60" t="n"/>
      <c r="P315" s="60" t="n"/>
      <c r="Q315" s="60" t="n"/>
      <c r="R315" s="60" t="n"/>
      <c r="S315" s="60" t="n"/>
      <c r="T315" s="60" t="n"/>
      <c r="U315" s="60" t="n"/>
      <c r="V315" s="60" t="n"/>
      <c r="W315" s="60" t="n"/>
      <c r="X315" s="60" t="n"/>
      <c r="Y315" s="60" t="n"/>
      <c r="Z315" s="61" t="n"/>
      <c r="AA315" s="63">
        <f>IF($H315="","",TODAY()-$H315)</f>
        <v/>
      </c>
      <c r="AB315" s="63">
        <f>IF($A315="","",IF(AND($F315="Yes",OR($U315="No",$U315="NOT FOUND")),"YES",""))</f>
        <v/>
      </c>
      <c r="AC315" s="66">
        <f>IF($A315="","",TRIM(IF(AND($P315=0,$L315&lt;&gt;"Yes"),"T0-NoSmartcard ","")&amp;IF(AND($J315&lt;&gt;"",$J315&gt;365),"StalePwd ","")&amp;IF($K315="Yes","PwdNeverExpires ","")&amp;IF(AND($S315&lt;&gt;"",$S315&lt;&gt;"None"),"Delegation ","")&amp;IF(AND($Q315=1,$O315="None"),"StaleAdminCount ","")&amp;IF(AND($F315="Yes",$H315=""),"NeverLoggedOn ","")))</f>
        <v/>
      </c>
      <c r="AD315" s="60" t="n"/>
      <c r="AE315" s="61" t="n"/>
      <c r="AF315" s="60" t="n"/>
      <c r="AG315" s="62" t="n"/>
      <c r="AH315" s="62" t="n"/>
      <c r="AI315" s="62" t="n"/>
      <c r="AJ315" s="60" t="n"/>
      <c r="AK315" s="61" t="n"/>
      <c r="AL315" s="63">
        <f>IF($A315="","",IF(AH315="","Not Enrolled",IF(TODAY()&gt;AH315,"Review Overdue",IF(AH315-TODAY()&lt;=30,"Review Due Soon","Active"))))</f>
        <v/>
      </c>
      <c r="AM315" s="63">
        <f>IF($A315="","",IF(AI315="","NOT REVIEWED",IF(TODAY()-AI315&gt;90,"OVERDUE",IF(TODAY()-AI315&gt;76,"Due Soon","Current"))))</f>
        <v/>
      </c>
    </row>
    <row r="316" ht="15" customHeight="1" s="39">
      <c r="A316" s="60" t="n"/>
      <c r="B316" s="60" t="n"/>
      <c r="C316" s="61" t="n"/>
      <c r="D316" s="61" t="n"/>
      <c r="E316" s="60" t="n"/>
      <c r="F316" s="60" t="n"/>
      <c r="G316" s="62" t="n"/>
      <c r="H316" s="62" t="n"/>
      <c r="I316" s="62" t="n"/>
      <c r="J316" s="60" t="n"/>
      <c r="K316" s="60" t="n"/>
      <c r="L316" s="60" t="n"/>
      <c r="M316" s="61" t="n"/>
      <c r="N316" s="60" t="n"/>
      <c r="O316" s="60" t="n"/>
      <c r="P316" s="60" t="n"/>
      <c r="Q316" s="60" t="n"/>
      <c r="R316" s="60" t="n"/>
      <c r="S316" s="60" t="n"/>
      <c r="T316" s="60" t="n"/>
      <c r="U316" s="60" t="n"/>
      <c r="V316" s="60" t="n"/>
      <c r="W316" s="60" t="n"/>
      <c r="X316" s="60" t="n"/>
      <c r="Y316" s="60" t="n"/>
      <c r="Z316" s="61" t="n"/>
      <c r="AA316" s="63">
        <f>IF($H316="","",TODAY()-$H316)</f>
        <v/>
      </c>
      <c r="AB316" s="63">
        <f>IF($A316="","",IF(AND($F316="Yes",OR($U316="No",$U316="NOT FOUND")),"YES",""))</f>
        <v/>
      </c>
      <c r="AC316" s="66">
        <f>IF($A316="","",TRIM(IF(AND($P316=0,$L316&lt;&gt;"Yes"),"T0-NoSmartcard ","")&amp;IF(AND($J316&lt;&gt;"",$J316&gt;365),"StalePwd ","")&amp;IF($K316="Yes","PwdNeverExpires ","")&amp;IF(AND($S316&lt;&gt;"",$S316&lt;&gt;"None"),"Delegation ","")&amp;IF(AND($Q316=1,$O316="None"),"StaleAdminCount ","")&amp;IF(AND($F316="Yes",$H316=""),"NeverLoggedOn ","")))</f>
        <v/>
      </c>
      <c r="AD316" s="60" t="n"/>
      <c r="AE316" s="61" t="n"/>
      <c r="AF316" s="60" t="n"/>
      <c r="AG316" s="62" t="n"/>
      <c r="AH316" s="62" t="n"/>
      <c r="AI316" s="62" t="n"/>
      <c r="AJ316" s="60" t="n"/>
      <c r="AK316" s="61" t="n"/>
      <c r="AL316" s="63">
        <f>IF($A316="","",IF(AH316="","Not Enrolled",IF(TODAY()&gt;AH316,"Review Overdue",IF(AH316-TODAY()&lt;=30,"Review Due Soon","Active"))))</f>
        <v/>
      </c>
      <c r="AM316" s="63">
        <f>IF($A316="","",IF(AI316="","NOT REVIEWED",IF(TODAY()-AI316&gt;90,"OVERDUE",IF(TODAY()-AI316&gt;76,"Due Soon","Current"))))</f>
        <v/>
      </c>
    </row>
    <row r="317" ht="15" customHeight="1" s="39">
      <c r="A317" s="60" t="n"/>
      <c r="B317" s="60" t="n"/>
      <c r="C317" s="61" t="n"/>
      <c r="D317" s="61" t="n"/>
      <c r="E317" s="60" t="n"/>
      <c r="F317" s="60" t="n"/>
      <c r="G317" s="62" t="n"/>
      <c r="H317" s="62" t="n"/>
      <c r="I317" s="62" t="n"/>
      <c r="J317" s="60" t="n"/>
      <c r="K317" s="60" t="n"/>
      <c r="L317" s="60" t="n"/>
      <c r="M317" s="61" t="n"/>
      <c r="N317" s="60" t="n"/>
      <c r="O317" s="60" t="n"/>
      <c r="P317" s="60" t="n"/>
      <c r="Q317" s="60" t="n"/>
      <c r="R317" s="60" t="n"/>
      <c r="S317" s="60" t="n"/>
      <c r="T317" s="60" t="n"/>
      <c r="U317" s="60" t="n"/>
      <c r="V317" s="60" t="n"/>
      <c r="W317" s="60" t="n"/>
      <c r="X317" s="60" t="n"/>
      <c r="Y317" s="60" t="n"/>
      <c r="Z317" s="61" t="n"/>
      <c r="AA317" s="63">
        <f>IF($H317="","",TODAY()-$H317)</f>
        <v/>
      </c>
      <c r="AB317" s="63">
        <f>IF($A317="","",IF(AND($F317="Yes",OR($U317="No",$U317="NOT FOUND")),"YES",""))</f>
        <v/>
      </c>
      <c r="AC317" s="66">
        <f>IF($A317="","",TRIM(IF(AND($P317=0,$L317&lt;&gt;"Yes"),"T0-NoSmartcard ","")&amp;IF(AND($J317&lt;&gt;"",$J317&gt;365),"StalePwd ","")&amp;IF($K317="Yes","PwdNeverExpires ","")&amp;IF(AND($S317&lt;&gt;"",$S317&lt;&gt;"None"),"Delegation ","")&amp;IF(AND($Q317=1,$O317="None"),"StaleAdminCount ","")&amp;IF(AND($F317="Yes",$H317=""),"NeverLoggedOn ","")))</f>
        <v/>
      </c>
      <c r="AD317" s="60" t="n"/>
      <c r="AE317" s="61" t="n"/>
      <c r="AF317" s="60" t="n"/>
      <c r="AG317" s="62" t="n"/>
      <c r="AH317" s="62" t="n"/>
      <c r="AI317" s="62" t="n"/>
      <c r="AJ317" s="60" t="n"/>
      <c r="AK317" s="61" t="n"/>
      <c r="AL317" s="63">
        <f>IF($A317="","",IF(AH317="","Not Enrolled",IF(TODAY()&gt;AH317,"Review Overdue",IF(AH317-TODAY()&lt;=30,"Review Due Soon","Active"))))</f>
        <v/>
      </c>
      <c r="AM317" s="63">
        <f>IF($A317="","",IF(AI317="","NOT REVIEWED",IF(TODAY()-AI317&gt;90,"OVERDUE",IF(TODAY()-AI317&gt;76,"Due Soon","Current"))))</f>
        <v/>
      </c>
    </row>
    <row r="318" ht="15" customHeight="1" s="39">
      <c r="A318" s="60" t="n"/>
      <c r="B318" s="60" t="n"/>
      <c r="C318" s="61" t="n"/>
      <c r="D318" s="61" t="n"/>
      <c r="E318" s="60" t="n"/>
      <c r="F318" s="60" t="n"/>
      <c r="G318" s="62" t="n"/>
      <c r="H318" s="62" t="n"/>
      <c r="I318" s="62" t="n"/>
      <c r="J318" s="60" t="n"/>
      <c r="K318" s="60" t="n"/>
      <c r="L318" s="60" t="n"/>
      <c r="M318" s="61" t="n"/>
      <c r="N318" s="60" t="n"/>
      <c r="O318" s="60" t="n"/>
      <c r="P318" s="60" t="n"/>
      <c r="Q318" s="60" t="n"/>
      <c r="R318" s="60" t="n"/>
      <c r="S318" s="60" t="n"/>
      <c r="T318" s="60" t="n"/>
      <c r="U318" s="60" t="n"/>
      <c r="V318" s="60" t="n"/>
      <c r="W318" s="60" t="n"/>
      <c r="X318" s="60" t="n"/>
      <c r="Y318" s="60" t="n"/>
      <c r="Z318" s="61" t="n"/>
      <c r="AA318" s="63">
        <f>IF($H318="","",TODAY()-$H318)</f>
        <v/>
      </c>
      <c r="AB318" s="63">
        <f>IF($A318="","",IF(AND($F318="Yes",OR($U318="No",$U318="NOT FOUND")),"YES",""))</f>
        <v/>
      </c>
      <c r="AC318" s="66">
        <f>IF($A318="","",TRIM(IF(AND($P318=0,$L318&lt;&gt;"Yes"),"T0-NoSmartcard ","")&amp;IF(AND($J318&lt;&gt;"",$J318&gt;365),"StalePwd ","")&amp;IF($K318="Yes","PwdNeverExpires ","")&amp;IF(AND($S318&lt;&gt;"",$S318&lt;&gt;"None"),"Delegation ","")&amp;IF(AND($Q318=1,$O318="None"),"StaleAdminCount ","")&amp;IF(AND($F318="Yes",$H318=""),"NeverLoggedOn ","")))</f>
        <v/>
      </c>
      <c r="AD318" s="60" t="n"/>
      <c r="AE318" s="61" t="n"/>
      <c r="AF318" s="60" t="n"/>
      <c r="AG318" s="62" t="n"/>
      <c r="AH318" s="62" t="n"/>
      <c r="AI318" s="62" t="n"/>
      <c r="AJ318" s="60" t="n"/>
      <c r="AK318" s="61" t="n"/>
      <c r="AL318" s="63">
        <f>IF($A318="","",IF(AH318="","Not Enrolled",IF(TODAY()&gt;AH318,"Review Overdue",IF(AH318-TODAY()&lt;=30,"Review Due Soon","Active"))))</f>
        <v/>
      </c>
      <c r="AM318" s="63">
        <f>IF($A318="","",IF(AI318="","NOT REVIEWED",IF(TODAY()-AI318&gt;90,"OVERDUE",IF(TODAY()-AI318&gt;76,"Due Soon","Current"))))</f>
        <v/>
      </c>
    </row>
    <row r="319" ht="15" customHeight="1" s="39">
      <c r="A319" s="60" t="n"/>
      <c r="B319" s="60" t="n"/>
      <c r="C319" s="61" t="n"/>
      <c r="D319" s="61" t="n"/>
      <c r="E319" s="60" t="n"/>
      <c r="F319" s="60" t="n"/>
      <c r="G319" s="62" t="n"/>
      <c r="H319" s="62" t="n"/>
      <c r="I319" s="62" t="n"/>
      <c r="J319" s="60" t="n"/>
      <c r="K319" s="60" t="n"/>
      <c r="L319" s="60" t="n"/>
      <c r="M319" s="61" t="n"/>
      <c r="N319" s="60" t="n"/>
      <c r="O319" s="60" t="n"/>
      <c r="P319" s="60" t="n"/>
      <c r="Q319" s="60" t="n"/>
      <c r="R319" s="60" t="n"/>
      <c r="S319" s="60" t="n"/>
      <c r="T319" s="60" t="n"/>
      <c r="U319" s="60" t="n"/>
      <c r="V319" s="60" t="n"/>
      <c r="W319" s="60" t="n"/>
      <c r="X319" s="60" t="n"/>
      <c r="Y319" s="60" t="n"/>
      <c r="Z319" s="61" t="n"/>
      <c r="AA319" s="63">
        <f>IF($H319="","",TODAY()-$H319)</f>
        <v/>
      </c>
      <c r="AB319" s="63">
        <f>IF($A319="","",IF(AND($F319="Yes",OR($U319="No",$U319="NOT FOUND")),"YES",""))</f>
        <v/>
      </c>
      <c r="AC319" s="66">
        <f>IF($A319="","",TRIM(IF(AND($P319=0,$L319&lt;&gt;"Yes"),"T0-NoSmartcard ","")&amp;IF(AND($J319&lt;&gt;"",$J319&gt;365),"StalePwd ","")&amp;IF($K319="Yes","PwdNeverExpires ","")&amp;IF(AND($S319&lt;&gt;"",$S319&lt;&gt;"None"),"Delegation ","")&amp;IF(AND($Q319=1,$O319="None"),"StaleAdminCount ","")&amp;IF(AND($F319="Yes",$H319=""),"NeverLoggedOn ","")))</f>
        <v/>
      </c>
      <c r="AD319" s="60" t="n"/>
      <c r="AE319" s="61" t="n"/>
      <c r="AF319" s="60" t="n"/>
      <c r="AG319" s="62" t="n"/>
      <c r="AH319" s="62" t="n"/>
      <c r="AI319" s="62" t="n"/>
      <c r="AJ319" s="60" t="n"/>
      <c r="AK319" s="61" t="n"/>
      <c r="AL319" s="63">
        <f>IF($A319="","",IF(AH319="","Not Enrolled",IF(TODAY()&gt;AH319,"Review Overdue",IF(AH319-TODAY()&lt;=30,"Review Due Soon","Active"))))</f>
        <v/>
      </c>
      <c r="AM319" s="63">
        <f>IF($A319="","",IF(AI319="","NOT REVIEWED",IF(TODAY()-AI319&gt;90,"OVERDUE",IF(TODAY()-AI319&gt;76,"Due Soon","Current"))))</f>
        <v/>
      </c>
    </row>
    <row r="320" ht="15" customHeight="1" s="39">
      <c r="A320" s="60" t="n"/>
      <c r="B320" s="60" t="n"/>
      <c r="C320" s="61" t="n"/>
      <c r="D320" s="61" t="n"/>
      <c r="E320" s="60" t="n"/>
      <c r="F320" s="60" t="n"/>
      <c r="G320" s="62" t="n"/>
      <c r="H320" s="62" t="n"/>
      <c r="I320" s="62" t="n"/>
      <c r="J320" s="60" t="n"/>
      <c r="K320" s="60" t="n"/>
      <c r="L320" s="60" t="n"/>
      <c r="M320" s="61" t="n"/>
      <c r="N320" s="60" t="n"/>
      <c r="O320" s="60" t="n"/>
      <c r="P320" s="60" t="n"/>
      <c r="Q320" s="60" t="n"/>
      <c r="R320" s="60" t="n"/>
      <c r="S320" s="60" t="n"/>
      <c r="T320" s="60" t="n"/>
      <c r="U320" s="60" t="n"/>
      <c r="V320" s="60" t="n"/>
      <c r="W320" s="60" t="n"/>
      <c r="X320" s="60" t="n"/>
      <c r="Y320" s="60" t="n"/>
      <c r="Z320" s="61" t="n"/>
      <c r="AA320" s="63">
        <f>IF($H320="","",TODAY()-$H320)</f>
        <v/>
      </c>
      <c r="AB320" s="63">
        <f>IF($A320="","",IF(AND($F320="Yes",OR($U320="No",$U320="NOT FOUND")),"YES",""))</f>
        <v/>
      </c>
      <c r="AC320" s="66">
        <f>IF($A320="","",TRIM(IF(AND($P320=0,$L320&lt;&gt;"Yes"),"T0-NoSmartcard ","")&amp;IF(AND($J320&lt;&gt;"",$J320&gt;365),"StalePwd ","")&amp;IF($K320="Yes","PwdNeverExpires ","")&amp;IF(AND($S320&lt;&gt;"",$S320&lt;&gt;"None"),"Delegation ","")&amp;IF(AND($Q320=1,$O320="None"),"StaleAdminCount ","")&amp;IF(AND($F320="Yes",$H320=""),"NeverLoggedOn ","")))</f>
        <v/>
      </c>
      <c r="AD320" s="60" t="n"/>
      <c r="AE320" s="61" t="n"/>
      <c r="AF320" s="60" t="n"/>
      <c r="AG320" s="62" t="n"/>
      <c r="AH320" s="62" t="n"/>
      <c r="AI320" s="62" t="n"/>
      <c r="AJ320" s="60" t="n"/>
      <c r="AK320" s="61" t="n"/>
      <c r="AL320" s="63">
        <f>IF($A320="","",IF(AH320="","Not Enrolled",IF(TODAY()&gt;AH320,"Review Overdue",IF(AH320-TODAY()&lt;=30,"Review Due Soon","Active"))))</f>
        <v/>
      </c>
      <c r="AM320" s="63">
        <f>IF($A320="","",IF(AI320="","NOT REVIEWED",IF(TODAY()-AI320&gt;90,"OVERDUE",IF(TODAY()-AI320&gt;76,"Due Soon","Current"))))</f>
        <v/>
      </c>
    </row>
    <row r="321" ht="15" customHeight="1" s="39">
      <c r="A321" s="60" t="n"/>
      <c r="B321" s="60" t="n"/>
      <c r="C321" s="61" t="n"/>
      <c r="D321" s="61" t="n"/>
      <c r="E321" s="60" t="n"/>
      <c r="F321" s="60" t="n"/>
      <c r="G321" s="62" t="n"/>
      <c r="H321" s="62" t="n"/>
      <c r="I321" s="62" t="n"/>
      <c r="J321" s="60" t="n"/>
      <c r="K321" s="60" t="n"/>
      <c r="L321" s="60" t="n"/>
      <c r="M321" s="61" t="n"/>
      <c r="N321" s="60" t="n"/>
      <c r="O321" s="60" t="n"/>
      <c r="P321" s="60" t="n"/>
      <c r="Q321" s="60" t="n"/>
      <c r="R321" s="60" t="n"/>
      <c r="S321" s="60" t="n"/>
      <c r="T321" s="60" t="n"/>
      <c r="U321" s="60" t="n"/>
      <c r="V321" s="60" t="n"/>
      <c r="W321" s="60" t="n"/>
      <c r="X321" s="60" t="n"/>
      <c r="Y321" s="60" t="n"/>
      <c r="Z321" s="61" t="n"/>
      <c r="AA321" s="63">
        <f>IF($H321="","",TODAY()-$H321)</f>
        <v/>
      </c>
      <c r="AB321" s="63">
        <f>IF($A321="","",IF(AND($F321="Yes",OR($U321="No",$U321="NOT FOUND")),"YES",""))</f>
        <v/>
      </c>
      <c r="AC321" s="66">
        <f>IF($A321="","",TRIM(IF(AND($P321=0,$L321&lt;&gt;"Yes"),"T0-NoSmartcard ","")&amp;IF(AND($J321&lt;&gt;"",$J321&gt;365),"StalePwd ","")&amp;IF($K321="Yes","PwdNeverExpires ","")&amp;IF(AND($S321&lt;&gt;"",$S321&lt;&gt;"None"),"Delegation ","")&amp;IF(AND($Q321=1,$O321="None"),"StaleAdminCount ","")&amp;IF(AND($F321="Yes",$H321=""),"NeverLoggedOn ","")))</f>
        <v/>
      </c>
      <c r="AD321" s="60" t="n"/>
      <c r="AE321" s="61" t="n"/>
      <c r="AF321" s="60" t="n"/>
      <c r="AG321" s="62" t="n"/>
      <c r="AH321" s="62" t="n"/>
      <c r="AI321" s="62" t="n"/>
      <c r="AJ321" s="60" t="n"/>
      <c r="AK321" s="61" t="n"/>
      <c r="AL321" s="63">
        <f>IF($A321="","",IF(AH321="","Not Enrolled",IF(TODAY()&gt;AH321,"Review Overdue",IF(AH321-TODAY()&lt;=30,"Review Due Soon","Active"))))</f>
        <v/>
      </c>
      <c r="AM321" s="63">
        <f>IF($A321="","",IF(AI321="","NOT REVIEWED",IF(TODAY()-AI321&gt;90,"OVERDUE",IF(TODAY()-AI321&gt;76,"Due Soon","Current"))))</f>
        <v/>
      </c>
    </row>
    <row r="322" ht="15" customHeight="1" s="39">
      <c r="A322" s="60" t="n"/>
      <c r="B322" s="60" t="n"/>
      <c r="C322" s="61" t="n"/>
      <c r="D322" s="61" t="n"/>
      <c r="E322" s="60" t="n"/>
      <c r="F322" s="60" t="n"/>
      <c r="G322" s="62" t="n"/>
      <c r="H322" s="62" t="n"/>
      <c r="I322" s="62" t="n"/>
      <c r="J322" s="60" t="n"/>
      <c r="K322" s="60" t="n"/>
      <c r="L322" s="60" t="n"/>
      <c r="M322" s="61" t="n"/>
      <c r="N322" s="60" t="n"/>
      <c r="O322" s="60" t="n"/>
      <c r="P322" s="60" t="n"/>
      <c r="Q322" s="60" t="n"/>
      <c r="R322" s="60" t="n"/>
      <c r="S322" s="60" t="n"/>
      <c r="T322" s="60" t="n"/>
      <c r="U322" s="60" t="n"/>
      <c r="V322" s="60" t="n"/>
      <c r="W322" s="60" t="n"/>
      <c r="X322" s="60" t="n"/>
      <c r="Y322" s="60" t="n"/>
      <c r="Z322" s="61" t="n"/>
      <c r="AA322" s="63">
        <f>IF($H322="","",TODAY()-$H322)</f>
        <v/>
      </c>
      <c r="AB322" s="63">
        <f>IF($A322="","",IF(AND($F322="Yes",OR($U322="No",$U322="NOT FOUND")),"YES",""))</f>
        <v/>
      </c>
      <c r="AC322" s="66">
        <f>IF($A322="","",TRIM(IF(AND($P322=0,$L322&lt;&gt;"Yes"),"T0-NoSmartcard ","")&amp;IF(AND($J322&lt;&gt;"",$J322&gt;365),"StalePwd ","")&amp;IF($K322="Yes","PwdNeverExpires ","")&amp;IF(AND($S322&lt;&gt;"",$S322&lt;&gt;"None"),"Delegation ","")&amp;IF(AND($Q322=1,$O322="None"),"StaleAdminCount ","")&amp;IF(AND($F322="Yes",$H322=""),"NeverLoggedOn ","")))</f>
        <v/>
      </c>
      <c r="AD322" s="60" t="n"/>
      <c r="AE322" s="61" t="n"/>
      <c r="AF322" s="60" t="n"/>
      <c r="AG322" s="62" t="n"/>
      <c r="AH322" s="62" t="n"/>
      <c r="AI322" s="62" t="n"/>
      <c r="AJ322" s="60" t="n"/>
      <c r="AK322" s="61" t="n"/>
      <c r="AL322" s="63">
        <f>IF($A322="","",IF(AH322="","Not Enrolled",IF(TODAY()&gt;AH322,"Review Overdue",IF(AH322-TODAY()&lt;=30,"Review Due Soon","Active"))))</f>
        <v/>
      </c>
      <c r="AM322" s="63">
        <f>IF($A322="","",IF(AI322="","NOT REVIEWED",IF(TODAY()-AI322&gt;90,"OVERDUE",IF(TODAY()-AI322&gt;76,"Due Soon","Current"))))</f>
        <v/>
      </c>
    </row>
    <row r="323" ht="15" customHeight="1" s="39">
      <c r="A323" s="60" t="n"/>
      <c r="B323" s="60" t="n"/>
      <c r="C323" s="61" t="n"/>
      <c r="D323" s="61" t="n"/>
      <c r="E323" s="60" t="n"/>
      <c r="F323" s="60" t="n"/>
      <c r="G323" s="62" t="n"/>
      <c r="H323" s="62" t="n"/>
      <c r="I323" s="62" t="n"/>
      <c r="J323" s="60" t="n"/>
      <c r="K323" s="60" t="n"/>
      <c r="L323" s="60" t="n"/>
      <c r="M323" s="61" t="n"/>
      <c r="N323" s="60" t="n"/>
      <c r="O323" s="60" t="n"/>
      <c r="P323" s="60" t="n"/>
      <c r="Q323" s="60" t="n"/>
      <c r="R323" s="60" t="n"/>
      <c r="S323" s="60" t="n"/>
      <c r="T323" s="60" t="n"/>
      <c r="U323" s="60" t="n"/>
      <c r="V323" s="60" t="n"/>
      <c r="W323" s="60" t="n"/>
      <c r="X323" s="60" t="n"/>
      <c r="Y323" s="60" t="n"/>
      <c r="Z323" s="61" t="n"/>
      <c r="AA323" s="63">
        <f>IF($H323="","",TODAY()-$H323)</f>
        <v/>
      </c>
      <c r="AB323" s="63">
        <f>IF($A323="","",IF(AND($F323="Yes",OR($U323="No",$U323="NOT FOUND")),"YES",""))</f>
        <v/>
      </c>
      <c r="AC323" s="66">
        <f>IF($A323="","",TRIM(IF(AND($P323=0,$L323&lt;&gt;"Yes"),"T0-NoSmartcard ","")&amp;IF(AND($J323&lt;&gt;"",$J323&gt;365),"StalePwd ","")&amp;IF($K323="Yes","PwdNeverExpires ","")&amp;IF(AND($S323&lt;&gt;"",$S323&lt;&gt;"None"),"Delegation ","")&amp;IF(AND($Q323=1,$O323="None"),"StaleAdminCount ","")&amp;IF(AND($F323="Yes",$H323=""),"NeverLoggedOn ","")))</f>
        <v/>
      </c>
      <c r="AD323" s="60" t="n"/>
      <c r="AE323" s="61" t="n"/>
      <c r="AF323" s="60" t="n"/>
      <c r="AG323" s="62" t="n"/>
      <c r="AH323" s="62" t="n"/>
      <c r="AI323" s="62" t="n"/>
      <c r="AJ323" s="60" t="n"/>
      <c r="AK323" s="61" t="n"/>
      <c r="AL323" s="63">
        <f>IF($A323="","",IF(AH323="","Not Enrolled",IF(TODAY()&gt;AH323,"Review Overdue",IF(AH323-TODAY()&lt;=30,"Review Due Soon","Active"))))</f>
        <v/>
      </c>
      <c r="AM323" s="63">
        <f>IF($A323="","",IF(AI323="","NOT REVIEWED",IF(TODAY()-AI323&gt;90,"OVERDUE",IF(TODAY()-AI323&gt;76,"Due Soon","Current"))))</f>
        <v/>
      </c>
    </row>
    <row r="324" ht="15" customHeight="1" s="39">
      <c r="A324" s="60" t="n"/>
      <c r="B324" s="60" t="n"/>
      <c r="C324" s="61" t="n"/>
      <c r="D324" s="61" t="n"/>
      <c r="E324" s="60" t="n"/>
      <c r="F324" s="60" t="n"/>
      <c r="G324" s="62" t="n"/>
      <c r="H324" s="62" t="n"/>
      <c r="I324" s="62" t="n"/>
      <c r="J324" s="60" t="n"/>
      <c r="K324" s="60" t="n"/>
      <c r="L324" s="60" t="n"/>
      <c r="M324" s="61" t="n"/>
      <c r="N324" s="60" t="n"/>
      <c r="O324" s="60" t="n"/>
      <c r="P324" s="60" t="n"/>
      <c r="Q324" s="60" t="n"/>
      <c r="R324" s="60" t="n"/>
      <c r="S324" s="60" t="n"/>
      <c r="T324" s="60" t="n"/>
      <c r="U324" s="60" t="n"/>
      <c r="V324" s="60" t="n"/>
      <c r="W324" s="60" t="n"/>
      <c r="X324" s="60" t="n"/>
      <c r="Y324" s="60" t="n"/>
      <c r="Z324" s="61" t="n"/>
      <c r="AA324" s="63">
        <f>IF($H324="","",TODAY()-$H324)</f>
        <v/>
      </c>
      <c r="AB324" s="63">
        <f>IF($A324="","",IF(AND($F324="Yes",OR($U324="No",$U324="NOT FOUND")),"YES",""))</f>
        <v/>
      </c>
      <c r="AC324" s="66">
        <f>IF($A324="","",TRIM(IF(AND($P324=0,$L324&lt;&gt;"Yes"),"T0-NoSmartcard ","")&amp;IF(AND($J324&lt;&gt;"",$J324&gt;365),"StalePwd ","")&amp;IF($K324="Yes","PwdNeverExpires ","")&amp;IF(AND($S324&lt;&gt;"",$S324&lt;&gt;"None"),"Delegation ","")&amp;IF(AND($Q324=1,$O324="None"),"StaleAdminCount ","")&amp;IF(AND($F324="Yes",$H324=""),"NeverLoggedOn ","")))</f>
        <v/>
      </c>
      <c r="AD324" s="60" t="n"/>
      <c r="AE324" s="61" t="n"/>
      <c r="AF324" s="60" t="n"/>
      <c r="AG324" s="62" t="n"/>
      <c r="AH324" s="62" t="n"/>
      <c r="AI324" s="62" t="n"/>
      <c r="AJ324" s="60" t="n"/>
      <c r="AK324" s="61" t="n"/>
      <c r="AL324" s="63">
        <f>IF($A324="","",IF(AH324="","Not Enrolled",IF(TODAY()&gt;AH324,"Review Overdue",IF(AH324-TODAY()&lt;=30,"Review Due Soon","Active"))))</f>
        <v/>
      </c>
      <c r="AM324" s="63">
        <f>IF($A324="","",IF(AI324="","NOT REVIEWED",IF(TODAY()-AI324&gt;90,"OVERDUE",IF(TODAY()-AI324&gt;76,"Due Soon","Current"))))</f>
        <v/>
      </c>
    </row>
    <row r="325" ht="15" customHeight="1" s="39">
      <c r="A325" s="60" t="n"/>
      <c r="B325" s="60" t="n"/>
      <c r="C325" s="61" t="n"/>
      <c r="D325" s="61" t="n"/>
      <c r="E325" s="60" t="n"/>
      <c r="F325" s="60" t="n"/>
      <c r="G325" s="62" t="n"/>
      <c r="H325" s="62" t="n"/>
      <c r="I325" s="62" t="n"/>
      <c r="J325" s="60" t="n"/>
      <c r="K325" s="60" t="n"/>
      <c r="L325" s="60" t="n"/>
      <c r="M325" s="61" t="n"/>
      <c r="N325" s="60" t="n"/>
      <c r="O325" s="60" t="n"/>
      <c r="P325" s="60" t="n"/>
      <c r="Q325" s="60" t="n"/>
      <c r="R325" s="60" t="n"/>
      <c r="S325" s="60" t="n"/>
      <c r="T325" s="60" t="n"/>
      <c r="U325" s="60" t="n"/>
      <c r="V325" s="60" t="n"/>
      <c r="W325" s="60" t="n"/>
      <c r="X325" s="60" t="n"/>
      <c r="Y325" s="60" t="n"/>
      <c r="Z325" s="61" t="n"/>
      <c r="AA325" s="63">
        <f>IF($H325="","",TODAY()-$H325)</f>
        <v/>
      </c>
      <c r="AB325" s="63">
        <f>IF($A325="","",IF(AND($F325="Yes",OR($U325="No",$U325="NOT FOUND")),"YES",""))</f>
        <v/>
      </c>
      <c r="AC325" s="66">
        <f>IF($A325="","",TRIM(IF(AND($P325=0,$L325&lt;&gt;"Yes"),"T0-NoSmartcard ","")&amp;IF(AND($J325&lt;&gt;"",$J325&gt;365),"StalePwd ","")&amp;IF($K325="Yes","PwdNeverExpires ","")&amp;IF(AND($S325&lt;&gt;"",$S325&lt;&gt;"None"),"Delegation ","")&amp;IF(AND($Q325=1,$O325="None"),"StaleAdminCount ","")&amp;IF(AND($F325="Yes",$H325=""),"NeverLoggedOn ","")))</f>
        <v/>
      </c>
      <c r="AD325" s="60" t="n"/>
      <c r="AE325" s="61" t="n"/>
      <c r="AF325" s="60" t="n"/>
      <c r="AG325" s="62" t="n"/>
      <c r="AH325" s="62" t="n"/>
      <c r="AI325" s="62" t="n"/>
      <c r="AJ325" s="60" t="n"/>
      <c r="AK325" s="61" t="n"/>
      <c r="AL325" s="63">
        <f>IF($A325="","",IF(AH325="","Not Enrolled",IF(TODAY()&gt;AH325,"Review Overdue",IF(AH325-TODAY()&lt;=30,"Review Due Soon","Active"))))</f>
        <v/>
      </c>
      <c r="AM325" s="63">
        <f>IF($A325="","",IF(AI325="","NOT REVIEWED",IF(TODAY()-AI325&gt;90,"OVERDUE",IF(TODAY()-AI325&gt;76,"Due Soon","Current"))))</f>
        <v/>
      </c>
    </row>
    <row r="326" ht="15" customHeight="1" s="39">
      <c r="A326" s="60" t="n"/>
      <c r="B326" s="60" t="n"/>
      <c r="C326" s="61" t="n"/>
      <c r="D326" s="61" t="n"/>
      <c r="E326" s="60" t="n"/>
      <c r="F326" s="60" t="n"/>
      <c r="G326" s="62" t="n"/>
      <c r="H326" s="62" t="n"/>
      <c r="I326" s="62" t="n"/>
      <c r="J326" s="60" t="n"/>
      <c r="K326" s="60" t="n"/>
      <c r="L326" s="60" t="n"/>
      <c r="M326" s="61" t="n"/>
      <c r="N326" s="60" t="n"/>
      <c r="O326" s="60" t="n"/>
      <c r="P326" s="60" t="n"/>
      <c r="Q326" s="60" t="n"/>
      <c r="R326" s="60" t="n"/>
      <c r="S326" s="60" t="n"/>
      <c r="T326" s="60" t="n"/>
      <c r="U326" s="60" t="n"/>
      <c r="V326" s="60" t="n"/>
      <c r="W326" s="60" t="n"/>
      <c r="X326" s="60" t="n"/>
      <c r="Y326" s="60" t="n"/>
      <c r="Z326" s="61" t="n"/>
      <c r="AA326" s="63">
        <f>IF($H326="","",TODAY()-$H326)</f>
        <v/>
      </c>
      <c r="AB326" s="63">
        <f>IF($A326="","",IF(AND($F326="Yes",OR($U326="No",$U326="NOT FOUND")),"YES",""))</f>
        <v/>
      </c>
      <c r="AC326" s="66">
        <f>IF($A326="","",TRIM(IF(AND($P326=0,$L326&lt;&gt;"Yes"),"T0-NoSmartcard ","")&amp;IF(AND($J326&lt;&gt;"",$J326&gt;365),"StalePwd ","")&amp;IF($K326="Yes","PwdNeverExpires ","")&amp;IF(AND($S326&lt;&gt;"",$S326&lt;&gt;"None"),"Delegation ","")&amp;IF(AND($Q326=1,$O326="None"),"StaleAdminCount ","")&amp;IF(AND($F326="Yes",$H326=""),"NeverLoggedOn ","")))</f>
        <v/>
      </c>
      <c r="AD326" s="60" t="n"/>
      <c r="AE326" s="61" t="n"/>
      <c r="AF326" s="60" t="n"/>
      <c r="AG326" s="62" t="n"/>
      <c r="AH326" s="62" t="n"/>
      <c r="AI326" s="62" t="n"/>
      <c r="AJ326" s="60" t="n"/>
      <c r="AK326" s="61" t="n"/>
      <c r="AL326" s="63">
        <f>IF($A326="","",IF(AH326="","Not Enrolled",IF(TODAY()&gt;AH326,"Review Overdue",IF(AH326-TODAY()&lt;=30,"Review Due Soon","Active"))))</f>
        <v/>
      </c>
      <c r="AM326" s="63">
        <f>IF($A326="","",IF(AI326="","NOT REVIEWED",IF(TODAY()-AI326&gt;90,"OVERDUE",IF(TODAY()-AI326&gt;76,"Due Soon","Current"))))</f>
        <v/>
      </c>
    </row>
    <row r="327" ht="15" customHeight="1" s="39">
      <c r="A327" s="60" t="n"/>
      <c r="B327" s="60" t="n"/>
      <c r="C327" s="61" t="n"/>
      <c r="D327" s="61" t="n"/>
      <c r="E327" s="60" t="n"/>
      <c r="F327" s="60" t="n"/>
      <c r="G327" s="62" t="n"/>
      <c r="H327" s="62" t="n"/>
      <c r="I327" s="62" t="n"/>
      <c r="J327" s="60" t="n"/>
      <c r="K327" s="60" t="n"/>
      <c r="L327" s="60" t="n"/>
      <c r="M327" s="61" t="n"/>
      <c r="N327" s="60" t="n"/>
      <c r="O327" s="60" t="n"/>
      <c r="P327" s="60" t="n"/>
      <c r="Q327" s="60" t="n"/>
      <c r="R327" s="60" t="n"/>
      <c r="S327" s="60" t="n"/>
      <c r="T327" s="60" t="n"/>
      <c r="U327" s="60" t="n"/>
      <c r="V327" s="60" t="n"/>
      <c r="W327" s="60" t="n"/>
      <c r="X327" s="60" t="n"/>
      <c r="Y327" s="60" t="n"/>
      <c r="Z327" s="61" t="n"/>
      <c r="AA327" s="63">
        <f>IF($H327="","",TODAY()-$H327)</f>
        <v/>
      </c>
      <c r="AB327" s="63">
        <f>IF($A327="","",IF(AND($F327="Yes",OR($U327="No",$U327="NOT FOUND")),"YES",""))</f>
        <v/>
      </c>
      <c r="AC327" s="66">
        <f>IF($A327="","",TRIM(IF(AND($P327=0,$L327&lt;&gt;"Yes"),"T0-NoSmartcard ","")&amp;IF(AND($J327&lt;&gt;"",$J327&gt;365),"StalePwd ","")&amp;IF($K327="Yes","PwdNeverExpires ","")&amp;IF(AND($S327&lt;&gt;"",$S327&lt;&gt;"None"),"Delegation ","")&amp;IF(AND($Q327=1,$O327="None"),"StaleAdminCount ","")&amp;IF(AND($F327="Yes",$H327=""),"NeverLoggedOn ","")))</f>
        <v/>
      </c>
      <c r="AD327" s="60" t="n"/>
      <c r="AE327" s="61" t="n"/>
      <c r="AF327" s="60" t="n"/>
      <c r="AG327" s="62" t="n"/>
      <c r="AH327" s="62" t="n"/>
      <c r="AI327" s="62" t="n"/>
      <c r="AJ327" s="60" t="n"/>
      <c r="AK327" s="61" t="n"/>
      <c r="AL327" s="63">
        <f>IF($A327="","",IF(AH327="","Not Enrolled",IF(TODAY()&gt;AH327,"Review Overdue",IF(AH327-TODAY()&lt;=30,"Review Due Soon","Active"))))</f>
        <v/>
      </c>
      <c r="AM327" s="63">
        <f>IF($A327="","",IF(AI327="","NOT REVIEWED",IF(TODAY()-AI327&gt;90,"OVERDUE",IF(TODAY()-AI327&gt;76,"Due Soon","Current"))))</f>
        <v/>
      </c>
    </row>
    <row r="328" ht="15" customHeight="1" s="39">
      <c r="A328" s="60" t="n"/>
      <c r="B328" s="60" t="n"/>
      <c r="C328" s="61" t="n"/>
      <c r="D328" s="61" t="n"/>
      <c r="E328" s="60" t="n"/>
      <c r="F328" s="60" t="n"/>
      <c r="G328" s="62" t="n"/>
      <c r="H328" s="62" t="n"/>
      <c r="I328" s="62" t="n"/>
      <c r="J328" s="60" t="n"/>
      <c r="K328" s="60" t="n"/>
      <c r="L328" s="60" t="n"/>
      <c r="M328" s="61" t="n"/>
      <c r="N328" s="60" t="n"/>
      <c r="O328" s="60" t="n"/>
      <c r="P328" s="60" t="n"/>
      <c r="Q328" s="60" t="n"/>
      <c r="R328" s="60" t="n"/>
      <c r="S328" s="60" t="n"/>
      <c r="T328" s="60" t="n"/>
      <c r="U328" s="60" t="n"/>
      <c r="V328" s="60" t="n"/>
      <c r="W328" s="60" t="n"/>
      <c r="X328" s="60" t="n"/>
      <c r="Y328" s="60" t="n"/>
      <c r="Z328" s="61" t="n"/>
      <c r="AA328" s="63">
        <f>IF($H328="","",TODAY()-$H328)</f>
        <v/>
      </c>
      <c r="AB328" s="63">
        <f>IF($A328="","",IF(AND($F328="Yes",OR($U328="No",$U328="NOT FOUND")),"YES",""))</f>
        <v/>
      </c>
      <c r="AC328" s="66">
        <f>IF($A328="","",TRIM(IF(AND($P328=0,$L328&lt;&gt;"Yes"),"T0-NoSmartcard ","")&amp;IF(AND($J328&lt;&gt;"",$J328&gt;365),"StalePwd ","")&amp;IF($K328="Yes","PwdNeverExpires ","")&amp;IF(AND($S328&lt;&gt;"",$S328&lt;&gt;"None"),"Delegation ","")&amp;IF(AND($Q328=1,$O328="None"),"StaleAdminCount ","")&amp;IF(AND($F328="Yes",$H328=""),"NeverLoggedOn ","")))</f>
        <v/>
      </c>
      <c r="AD328" s="60" t="n"/>
      <c r="AE328" s="61" t="n"/>
      <c r="AF328" s="60" t="n"/>
      <c r="AG328" s="62" t="n"/>
      <c r="AH328" s="62" t="n"/>
      <c r="AI328" s="62" t="n"/>
      <c r="AJ328" s="60" t="n"/>
      <c r="AK328" s="61" t="n"/>
      <c r="AL328" s="63">
        <f>IF($A328="","",IF(AH328="","Not Enrolled",IF(TODAY()&gt;AH328,"Review Overdue",IF(AH328-TODAY()&lt;=30,"Review Due Soon","Active"))))</f>
        <v/>
      </c>
      <c r="AM328" s="63">
        <f>IF($A328="","",IF(AI328="","NOT REVIEWED",IF(TODAY()-AI328&gt;90,"OVERDUE",IF(TODAY()-AI328&gt;76,"Due Soon","Current"))))</f>
        <v/>
      </c>
    </row>
    <row r="329" ht="15" customHeight="1" s="39">
      <c r="A329" s="60" t="n"/>
      <c r="B329" s="60" t="n"/>
      <c r="C329" s="61" t="n"/>
      <c r="D329" s="61" t="n"/>
      <c r="E329" s="60" t="n"/>
      <c r="F329" s="60" t="n"/>
      <c r="G329" s="62" t="n"/>
      <c r="H329" s="62" t="n"/>
      <c r="I329" s="62" t="n"/>
      <c r="J329" s="60" t="n"/>
      <c r="K329" s="60" t="n"/>
      <c r="L329" s="60" t="n"/>
      <c r="M329" s="61" t="n"/>
      <c r="N329" s="60" t="n"/>
      <c r="O329" s="60" t="n"/>
      <c r="P329" s="60" t="n"/>
      <c r="Q329" s="60" t="n"/>
      <c r="R329" s="60" t="n"/>
      <c r="S329" s="60" t="n"/>
      <c r="T329" s="60" t="n"/>
      <c r="U329" s="60" t="n"/>
      <c r="V329" s="60" t="n"/>
      <c r="W329" s="60" t="n"/>
      <c r="X329" s="60" t="n"/>
      <c r="Y329" s="60" t="n"/>
      <c r="Z329" s="61" t="n"/>
      <c r="AA329" s="63">
        <f>IF($H329="","",TODAY()-$H329)</f>
        <v/>
      </c>
      <c r="AB329" s="63">
        <f>IF($A329="","",IF(AND($F329="Yes",OR($U329="No",$U329="NOT FOUND")),"YES",""))</f>
        <v/>
      </c>
      <c r="AC329" s="66">
        <f>IF($A329="","",TRIM(IF(AND($P329=0,$L329&lt;&gt;"Yes"),"T0-NoSmartcard ","")&amp;IF(AND($J329&lt;&gt;"",$J329&gt;365),"StalePwd ","")&amp;IF($K329="Yes","PwdNeverExpires ","")&amp;IF(AND($S329&lt;&gt;"",$S329&lt;&gt;"None"),"Delegation ","")&amp;IF(AND($Q329=1,$O329="None"),"StaleAdminCount ","")&amp;IF(AND($F329="Yes",$H329=""),"NeverLoggedOn ","")))</f>
        <v/>
      </c>
      <c r="AD329" s="60" t="n"/>
      <c r="AE329" s="61" t="n"/>
      <c r="AF329" s="60" t="n"/>
      <c r="AG329" s="62" t="n"/>
      <c r="AH329" s="62" t="n"/>
      <c r="AI329" s="62" t="n"/>
      <c r="AJ329" s="60" t="n"/>
      <c r="AK329" s="61" t="n"/>
      <c r="AL329" s="63">
        <f>IF($A329="","",IF(AH329="","Not Enrolled",IF(TODAY()&gt;AH329,"Review Overdue",IF(AH329-TODAY()&lt;=30,"Review Due Soon","Active"))))</f>
        <v/>
      </c>
      <c r="AM329" s="63">
        <f>IF($A329="","",IF(AI329="","NOT REVIEWED",IF(TODAY()-AI329&gt;90,"OVERDUE",IF(TODAY()-AI329&gt;76,"Due Soon","Current"))))</f>
        <v/>
      </c>
    </row>
    <row r="330" ht="15" customHeight="1" s="39">
      <c r="A330" s="60" t="n"/>
      <c r="B330" s="60" t="n"/>
      <c r="C330" s="61" t="n"/>
      <c r="D330" s="61" t="n"/>
      <c r="E330" s="60" t="n"/>
      <c r="F330" s="60" t="n"/>
      <c r="G330" s="62" t="n"/>
      <c r="H330" s="62" t="n"/>
      <c r="I330" s="62" t="n"/>
      <c r="J330" s="60" t="n"/>
      <c r="K330" s="60" t="n"/>
      <c r="L330" s="60" t="n"/>
      <c r="M330" s="61" t="n"/>
      <c r="N330" s="60" t="n"/>
      <c r="O330" s="60" t="n"/>
      <c r="P330" s="60" t="n"/>
      <c r="Q330" s="60" t="n"/>
      <c r="R330" s="60" t="n"/>
      <c r="S330" s="60" t="n"/>
      <c r="T330" s="60" t="n"/>
      <c r="U330" s="60" t="n"/>
      <c r="V330" s="60" t="n"/>
      <c r="W330" s="60" t="n"/>
      <c r="X330" s="60" t="n"/>
      <c r="Y330" s="60" t="n"/>
      <c r="Z330" s="61" t="n"/>
      <c r="AA330" s="63">
        <f>IF($H330="","",TODAY()-$H330)</f>
        <v/>
      </c>
      <c r="AB330" s="63">
        <f>IF($A330="","",IF(AND($F330="Yes",OR($U330="No",$U330="NOT FOUND")),"YES",""))</f>
        <v/>
      </c>
      <c r="AC330" s="66">
        <f>IF($A330="","",TRIM(IF(AND($P330=0,$L330&lt;&gt;"Yes"),"T0-NoSmartcard ","")&amp;IF(AND($J330&lt;&gt;"",$J330&gt;365),"StalePwd ","")&amp;IF($K330="Yes","PwdNeverExpires ","")&amp;IF(AND($S330&lt;&gt;"",$S330&lt;&gt;"None"),"Delegation ","")&amp;IF(AND($Q330=1,$O330="None"),"StaleAdminCount ","")&amp;IF(AND($F330="Yes",$H330=""),"NeverLoggedOn ","")))</f>
        <v/>
      </c>
      <c r="AD330" s="60" t="n"/>
      <c r="AE330" s="61" t="n"/>
      <c r="AF330" s="60" t="n"/>
      <c r="AG330" s="62" t="n"/>
      <c r="AH330" s="62" t="n"/>
      <c r="AI330" s="62" t="n"/>
      <c r="AJ330" s="60" t="n"/>
      <c r="AK330" s="61" t="n"/>
      <c r="AL330" s="63">
        <f>IF($A330="","",IF(AH330="","Not Enrolled",IF(TODAY()&gt;AH330,"Review Overdue",IF(AH330-TODAY()&lt;=30,"Review Due Soon","Active"))))</f>
        <v/>
      </c>
      <c r="AM330" s="63">
        <f>IF($A330="","",IF(AI330="","NOT REVIEWED",IF(TODAY()-AI330&gt;90,"OVERDUE",IF(TODAY()-AI330&gt;76,"Due Soon","Current"))))</f>
        <v/>
      </c>
    </row>
    <row r="331" ht="15" customHeight="1" s="39">
      <c r="A331" s="60" t="n"/>
      <c r="B331" s="60" t="n"/>
      <c r="C331" s="61" t="n"/>
      <c r="D331" s="61" t="n"/>
      <c r="E331" s="60" t="n"/>
      <c r="F331" s="60" t="n"/>
      <c r="G331" s="62" t="n"/>
      <c r="H331" s="62" t="n"/>
      <c r="I331" s="62" t="n"/>
      <c r="J331" s="60" t="n"/>
      <c r="K331" s="60" t="n"/>
      <c r="L331" s="60" t="n"/>
      <c r="M331" s="61" t="n"/>
      <c r="N331" s="60" t="n"/>
      <c r="O331" s="60" t="n"/>
      <c r="P331" s="60" t="n"/>
      <c r="Q331" s="60" t="n"/>
      <c r="R331" s="60" t="n"/>
      <c r="S331" s="60" t="n"/>
      <c r="T331" s="60" t="n"/>
      <c r="U331" s="60" t="n"/>
      <c r="V331" s="60" t="n"/>
      <c r="W331" s="60" t="n"/>
      <c r="X331" s="60" t="n"/>
      <c r="Y331" s="60" t="n"/>
      <c r="Z331" s="61" t="n"/>
      <c r="AA331" s="63">
        <f>IF($H331="","",TODAY()-$H331)</f>
        <v/>
      </c>
      <c r="AB331" s="63">
        <f>IF($A331="","",IF(AND($F331="Yes",OR($U331="No",$U331="NOT FOUND")),"YES",""))</f>
        <v/>
      </c>
      <c r="AC331" s="66">
        <f>IF($A331="","",TRIM(IF(AND($P331=0,$L331&lt;&gt;"Yes"),"T0-NoSmartcard ","")&amp;IF(AND($J331&lt;&gt;"",$J331&gt;365),"StalePwd ","")&amp;IF($K331="Yes","PwdNeverExpires ","")&amp;IF(AND($S331&lt;&gt;"",$S331&lt;&gt;"None"),"Delegation ","")&amp;IF(AND($Q331=1,$O331="None"),"StaleAdminCount ","")&amp;IF(AND($F331="Yes",$H331=""),"NeverLoggedOn ","")))</f>
        <v/>
      </c>
      <c r="AD331" s="60" t="n"/>
      <c r="AE331" s="61" t="n"/>
      <c r="AF331" s="60" t="n"/>
      <c r="AG331" s="62" t="n"/>
      <c r="AH331" s="62" t="n"/>
      <c r="AI331" s="62" t="n"/>
      <c r="AJ331" s="60" t="n"/>
      <c r="AK331" s="61" t="n"/>
      <c r="AL331" s="63">
        <f>IF($A331="","",IF(AH331="","Not Enrolled",IF(TODAY()&gt;AH331,"Review Overdue",IF(AH331-TODAY()&lt;=30,"Review Due Soon","Active"))))</f>
        <v/>
      </c>
      <c r="AM331" s="63">
        <f>IF($A331="","",IF(AI331="","NOT REVIEWED",IF(TODAY()-AI331&gt;90,"OVERDUE",IF(TODAY()-AI331&gt;76,"Due Soon","Current"))))</f>
        <v/>
      </c>
    </row>
    <row r="332" ht="15" customHeight="1" s="39">
      <c r="A332" s="60" t="n"/>
      <c r="B332" s="60" t="n"/>
      <c r="C332" s="61" t="n"/>
      <c r="D332" s="61" t="n"/>
      <c r="E332" s="60" t="n"/>
      <c r="F332" s="60" t="n"/>
      <c r="G332" s="62" t="n"/>
      <c r="H332" s="62" t="n"/>
      <c r="I332" s="62" t="n"/>
      <c r="J332" s="60" t="n"/>
      <c r="K332" s="60" t="n"/>
      <c r="L332" s="60" t="n"/>
      <c r="M332" s="61" t="n"/>
      <c r="N332" s="60" t="n"/>
      <c r="O332" s="60" t="n"/>
      <c r="P332" s="60" t="n"/>
      <c r="Q332" s="60" t="n"/>
      <c r="R332" s="60" t="n"/>
      <c r="S332" s="60" t="n"/>
      <c r="T332" s="60" t="n"/>
      <c r="U332" s="60" t="n"/>
      <c r="V332" s="60" t="n"/>
      <c r="W332" s="60" t="n"/>
      <c r="X332" s="60" t="n"/>
      <c r="Y332" s="60" t="n"/>
      <c r="Z332" s="61" t="n"/>
      <c r="AA332" s="63">
        <f>IF($H332="","",TODAY()-$H332)</f>
        <v/>
      </c>
      <c r="AB332" s="63">
        <f>IF($A332="","",IF(AND($F332="Yes",OR($U332="No",$U332="NOT FOUND")),"YES",""))</f>
        <v/>
      </c>
      <c r="AC332" s="66">
        <f>IF($A332="","",TRIM(IF(AND($P332=0,$L332&lt;&gt;"Yes"),"T0-NoSmartcard ","")&amp;IF(AND($J332&lt;&gt;"",$J332&gt;365),"StalePwd ","")&amp;IF($K332="Yes","PwdNeverExpires ","")&amp;IF(AND($S332&lt;&gt;"",$S332&lt;&gt;"None"),"Delegation ","")&amp;IF(AND($Q332=1,$O332="None"),"StaleAdminCount ","")&amp;IF(AND($F332="Yes",$H332=""),"NeverLoggedOn ","")))</f>
        <v/>
      </c>
      <c r="AD332" s="60" t="n"/>
      <c r="AE332" s="61" t="n"/>
      <c r="AF332" s="60" t="n"/>
      <c r="AG332" s="62" t="n"/>
      <c r="AH332" s="62" t="n"/>
      <c r="AI332" s="62" t="n"/>
      <c r="AJ332" s="60" t="n"/>
      <c r="AK332" s="61" t="n"/>
      <c r="AL332" s="63">
        <f>IF($A332="","",IF(AH332="","Not Enrolled",IF(TODAY()&gt;AH332,"Review Overdue",IF(AH332-TODAY()&lt;=30,"Review Due Soon","Active"))))</f>
        <v/>
      </c>
      <c r="AM332" s="63">
        <f>IF($A332="","",IF(AI332="","NOT REVIEWED",IF(TODAY()-AI332&gt;90,"OVERDUE",IF(TODAY()-AI332&gt;76,"Due Soon","Current"))))</f>
        <v/>
      </c>
    </row>
    <row r="333" ht="15" customHeight="1" s="39">
      <c r="A333" s="60" t="n"/>
      <c r="B333" s="60" t="n"/>
      <c r="C333" s="61" t="n"/>
      <c r="D333" s="61" t="n"/>
      <c r="E333" s="60" t="n"/>
      <c r="F333" s="60" t="n"/>
      <c r="G333" s="62" t="n"/>
      <c r="H333" s="62" t="n"/>
      <c r="I333" s="62" t="n"/>
      <c r="J333" s="60" t="n"/>
      <c r="K333" s="60" t="n"/>
      <c r="L333" s="60" t="n"/>
      <c r="M333" s="61" t="n"/>
      <c r="N333" s="60" t="n"/>
      <c r="O333" s="60" t="n"/>
      <c r="P333" s="60" t="n"/>
      <c r="Q333" s="60" t="n"/>
      <c r="R333" s="60" t="n"/>
      <c r="S333" s="60" t="n"/>
      <c r="T333" s="60" t="n"/>
      <c r="U333" s="60" t="n"/>
      <c r="V333" s="60" t="n"/>
      <c r="W333" s="60" t="n"/>
      <c r="X333" s="60" t="n"/>
      <c r="Y333" s="60" t="n"/>
      <c r="Z333" s="61" t="n"/>
      <c r="AA333" s="63">
        <f>IF($H333="","",TODAY()-$H333)</f>
        <v/>
      </c>
      <c r="AB333" s="63">
        <f>IF($A333="","",IF(AND($F333="Yes",OR($U333="No",$U333="NOT FOUND")),"YES",""))</f>
        <v/>
      </c>
      <c r="AC333" s="66">
        <f>IF($A333="","",TRIM(IF(AND($P333=0,$L333&lt;&gt;"Yes"),"T0-NoSmartcard ","")&amp;IF(AND($J333&lt;&gt;"",$J333&gt;365),"StalePwd ","")&amp;IF($K333="Yes","PwdNeverExpires ","")&amp;IF(AND($S333&lt;&gt;"",$S333&lt;&gt;"None"),"Delegation ","")&amp;IF(AND($Q333=1,$O333="None"),"StaleAdminCount ","")&amp;IF(AND($F333="Yes",$H333=""),"NeverLoggedOn ","")))</f>
        <v/>
      </c>
      <c r="AD333" s="60" t="n"/>
      <c r="AE333" s="61" t="n"/>
      <c r="AF333" s="60" t="n"/>
      <c r="AG333" s="62" t="n"/>
      <c r="AH333" s="62" t="n"/>
      <c r="AI333" s="62" t="n"/>
      <c r="AJ333" s="60" t="n"/>
      <c r="AK333" s="61" t="n"/>
      <c r="AL333" s="63">
        <f>IF($A333="","",IF(AH333="","Not Enrolled",IF(TODAY()&gt;AH333,"Review Overdue",IF(AH333-TODAY()&lt;=30,"Review Due Soon","Active"))))</f>
        <v/>
      </c>
      <c r="AM333" s="63">
        <f>IF($A333="","",IF(AI333="","NOT REVIEWED",IF(TODAY()-AI333&gt;90,"OVERDUE",IF(TODAY()-AI333&gt;76,"Due Soon","Current"))))</f>
        <v/>
      </c>
    </row>
    <row r="334" ht="15" customHeight="1" s="39">
      <c r="A334" s="60" t="n"/>
      <c r="B334" s="60" t="n"/>
      <c r="C334" s="61" t="n"/>
      <c r="D334" s="61" t="n"/>
      <c r="E334" s="60" t="n"/>
      <c r="F334" s="60" t="n"/>
      <c r="G334" s="62" t="n"/>
      <c r="H334" s="62" t="n"/>
      <c r="I334" s="62" t="n"/>
      <c r="J334" s="60" t="n"/>
      <c r="K334" s="60" t="n"/>
      <c r="L334" s="60" t="n"/>
      <c r="M334" s="61" t="n"/>
      <c r="N334" s="60" t="n"/>
      <c r="O334" s="60" t="n"/>
      <c r="P334" s="60" t="n"/>
      <c r="Q334" s="60" t="n"/>
      <c r="R334" s="60" t="n"/>
      <c r="S334" s="60" t="n"/>
      <c r="T334" s="60" t="n"/>
      <c r="U334" s="60" t="n"/>
      <c r="V334" s="60" t="n"/>
      <c r="W334" s="60" t="n"/>
      <c r="X334" s="60" t="n"/>
      <c r="Y334" s="60" t="n"/>
      <c r="Z334" s="61" t="n"/>
      <c r="AA334" s="63">
        <f>IF($H334="","",TODAY()-$H334)</f>
        <v/>
      </c>
      <c r="AB334" s="63">
        <f>IF($A334="","",IF(AND($F334="Yes",OR($U334="No",$U334="NOT FOUND")),"YES",""))</f>
        <v/>
      </c>
      <c r="AC334" s="66">
        <f>IF($A334="","",TRIM(IF(AND($P334=0,$L334&lt;&gt;"Yes"),"T0-NoSmartcard ","")&amp;IF(AND($J334&lt;&gt;"",$J334&gt;365),"StalePwd ","")&amp;IF($K334="Yes","PwdNeverExpires ","")&amp;IF(AND($S334&lt;&gt;"",$S334&lt;&gt;"None"),"Delegation ","")&amp;IF(AND($Q334=1,$O334="None"),"StaleAdminCount ","")&amp;IF(AND($F334="Yes",$H334=""),"NeverLoggedOn ","")))</f>
        <v/>
      </c>
      <c r="AD334" s="60" t="n"/>
      <c r="AE334" s="61" t="n"/>
      <c r="AF334" s="60" t="n"/>
      <c r="AG334" s="62" t="n"/>
      <c r="AH334" s="62" t="n"/>
      <c r="AI334" s="62" t="n"/>
      <c r="AJ334" s="60" t="n"/>
      <c r="AK334" s="61" t="n"/>
      <c r="AL334" s="63">
        <f>IF($A334="","",IF(AH334="","Not Enrolled",IF(TODAY()&gt;AH334,"Review Overdue",IF(AH334-TODAY()&lt;=30,"Review Due Soon","Active"))))</f>
        <v/>
      </c>
      <c r="AM334" s="63">
        <f>IF($A334="","",IF(AI334="","NOT REVIEWED",IF(TODAY()-AI334&gt;90,"OVERDUE",IF(TODAY()-AI334&gt;76,"Due Soon","Current"))))</f>
        <v/>
      </c>
    </row>
    <row r="335" ht="15" customHeight="1" s="39">
      <c r="A335" s="60" t="n"/>
      <c r="B335" s="60" t="n"/>
      <c r="C335" s="61" t="n"/>
      <c r="D335" s="61" t="n"/>
      <c r="E335" s="60" t="n"/>
      <c r="F335" s="60" t="n"/>
      <c r="G335" s="62" t="n"/>
      <c r="H335" s="62" t="n"/>
      <c r="I335" s="62" t="n"/>
      <c r="J335" s="60" t="n"/>
      <c r="K335" s="60" t="n"/>
      <c r="L335" s="60" t="n"/>
      <c r="M335" s="61" t="n"/>
      <c r="N335" s="60" t="n"/>
      <c r="O335" s="60" t="n"/>
      <c r="P335" s="60" t="n"/>
      <c r="Q335" s="60" t="n"/>
      <c r="R335" s="60" t="n"/>
      <c r="S335" s="60" t="n"/>
      <c r="T335" s="60" t="n"/>
      <c r="U335" s="60" t="n"/>
      <c r="V335" s="60" t="n"/>
      <c r="W335" s="60" t="n"/>
      <c r="X335" s="60" t="n"/>
      <c r="Y335" s="60" t="n"/>
      <c r="Z335" s="61" t="n"/>
      <c r="AA335" s="63">
        <f>IF($H335="","",TODAY()-$H335)</f>
        <v/>
      </c>
      <c r="AB335" s="63">
        <f>IF($A335="","",IF(AND($F335="Yes",OR($U335="No",$U335="NOT FOUND")),"YES",""))</f>
        <v/>
      </c>
      <c r="AC335" s="66">
        <f>IF($A335="","",TRIM(IF(AND($P335=0,$L335&lt;&gt;"Yes"),"T0-NoSmartcard ","")&amp;IF(AND($J335&lt;&gt;"",$J335&gt;365),"StalePwd ","")&amp;IF($K335="Yes","PwdNeverExpires ","")&amp;IF(AND($S335&lt;&gt;"",$S335&lt;&gt;"None"),"Delegation ","")&amp;IF(AND($Q335=1,$O335="None"),"StaleAdminCount ","")&amp;IF(AND($F335="Yes",$H335=""),"NeverLoggedOn ","")))</f>
        <v/>
      </c>
      <c r="AD335" s="60" t="n"/>
      <c r="AE335" s="61" t="n"/>
      <c r="AF335" s="60" t="n"/>
      <c r="AG335" s="62" t="n"/>
      <c r="AH335" s="62" t="n"/>
      <c r="AI335" s="62" t="n"/>
      <c r="AJ335" s="60" t="n"/>
      <c r="AK335" s="61" t="n"/>
      <c r="AL335" s="63">
        <f>IF($A335="","",IF(AH335="","Not Enrolled",IF(TODAY()&gt;AH335,"Review Overdue",IF(AH335-TODAY()&lt;=30,"Review Due Soon","Active"))))</f>
        <v/>
      </c>
      <c r="AM335" s="63">
        <f>IF($A335="","",IF(AI335="","NOT REVIEWED",IF(TODAY()-AI335&gt;90,"OVERDUE",IF(TODAY()-AI335&gt;76,"Due Soon","Current"))))</f>
        <v/>
      </c>
    </row>
    <row r="336" ht="15" customHeight="1" s="39">
      <c r="A336" s="60" t="n"/>
      <c r="B336" s="60" t="n"/>
      <c r="C336" s="61" t="n"/>
      <c r="D336" s="61" t="n"/>
      <c r="E336" s="60" t="n"/>
      <c r="F336" s="60" t="n"/>
      <c r="G336" s="62" t="n"/>
      <c r="H336" s="62" t="n"/>
      <c r="I336" s="62" t="n"/>
      <c r="J336" s="60" t="n"/>
      <c r="K336" s="60" t="n"/>
      <c r="L336" s="60" t="n"/>
      <c r="M336" s="61" t="n"/>
      <c r="N336" s="60" t="n"/>
      <c r="O336" s="60" t="n"/>
      <c r="P336" s="60" t="n"/>
      <c r="Q336" s="60" t="n"/>
      <c r="R336" s="60" t="n"/>
      <c r="S336" s="60" t="n"/>
      <c r="T336" s="60" t="n"/>
      <c r="U336" s="60" t="n"/>
      <c r="V336" s="60" t="n"/>
      <c r="W336" s="60" t="n"/>
      <c r="X336" s="60" t="n"/>
      <c r="Y336" s="60" t="n"/>
      <c r="Z336" s="61" t="n"/>
      <c r="AA336" s="63">
        <f>IF($H336="","",TODAY()-$H336)</f>
        <v/>
      </c>
      <c r="AB336" s="63">
        <f>IF($A336="","",IF(AND($F336="Yes",OR($U336="No",$U336="NOT FOUND")),"YES",""))</f>
        <v/>
      </c>
      <c r="AC336" s="66">
        <f>IF($A336="","",TRIM(IF(AND($P336=0,$L336&lt;&gt;"Yes"),"T0-NoSmartcard ","")&amp;IF(AND($J336&lt;&gt;"",$J336&gt;365),"StalePwd ","")&amp;IF($K336="Yes","PwdNeverExpires ","")&amp;IF(AND($S336&lt;&gt;"",$S336&lt;&gt;"None"),"Delegation ","")&amp;IF(AND($Q336=1,$O336="None"),"StaleAdminCount ","")&amp;IF(AND($F336="Yes",$H336=""),"NeverLoggedOn ","")))</f>
        <v/>
      </c>
      <c r="AD336" s="60" t="n"/>
      <c r="AE336" s="61" t="n"/>
      <c r="AF336" s="60" t="n"/>
      <c r="AG336" s="62" t="n"/>
      <c r="AH336" s="62" t="n"/>
      <c r="AI336" s="62" t="n"/>
      <c r="AJ336" s="60" t="n"/>
      <c r="AK336" s="61" t="n"/>
      <c r="AL336" s="63">
        <f>IF($A336="","",IF(AH336="","Not Enrolled",IF(TODAY()&gt;AH336,"Review Overdue",IF(AH336-TODAY()&lt;=30,"Review Due Soon","Active"))))</f>
        <v/>
      </c>
      <c r="AM336" s="63">
        <f>IF($A336="","",IF(AI336="","NOT REVIEWED",IF(TODAY()-AI336&gt;90,"OVERDUE",IF(TODAY()-AI336&gt;76,"Due Soon","Current"))))</f>
        <v/>
      </c>
    </row>
    <row r="337" ht="15" customHeight="1" s="39">
      <c r="A337" s="60" t="n"/>
      <c r="B337" s="60" t="n"/>
      <c r="C337" s="61" t="n"/>
      <c r="D337" s="61" t="n"/>
      <c r="E337" s="60" t="n"/>
      <c r="F337" s="60" t="n"/>
      <c r="G337" s="62" t="n"/>
      <c r="H337" s="62" t="n"/>
      <c r="I337" s="62" t="n"/>
      <c r="J337" s="60" t="n"/>
      <c r="K337" s="60" t="n"/>
      <c r="L337" s="60" t="n"/>
      <c r="M337" s="61" t="n"/>
      <c r="N337" s="60" t="n"/>
      <c r="O337" s="60" t="n"/>
      <c r="P337" s="60" t="n"/>
      <c r="Q337" s="60" t="n"/>
      <c r="R337" s="60" t="n"/>
      <c r="S337" s="60" t="n"/>
      <c r="T337" s="60" t="n"/>
      <c r="U337" s="60" t="n"/>
      <c r="V337" s="60" t="n"/>
      <c r="W337" s="60" t="n"/>
      <c r="X337" s="60" t="n"/>
      <c r="Y337" s="60" t="n"/>
      <c r="Z337" s="61" t="n"/>
      <c r="AA337" s="63">
        <f>IF($H337="","",TODAY()-$H337)</f>
        <v/>
      </c>
      <c r="AB337" s="63">
        <f>IF($A337="","",IF(AND($F337="Yes",OR($U337="No",$U337="NOT FOUND")),"YES",""))</f>
        <v/>
      </c>
      <c r="AC337" s="66">
        <f>IF($A337="","",TRIM(IF(AND($P337=0,$L337&lt;&gt;"Yes"),"T0-NoSmartcard ","")&amp;IF(AND($J337&lt;&gt;"",$J337&gt;365),"StalePwd ","")&amp;IF($K337="Yes","PwdNeverExpires ","")&amp;IF(AND($S337&lt;&gt;"",$S337&lt;&gt;"None"),"Delegation ","")&amp;IF(AND($Q337=1,$O337="None"),"StaleAdminCount ","")&amp;IF(AND($F337="Yes",$H337=""),"NeverLoggedOn ","")))</f>
        <v/>
      </c>
      <c r="AD337" s="60" t="n"/>
      <c r="AE337" s="61" t="n"/>
      <c r="AF337" s="60" t="n"/>
      <c r="AG337" s="62" t="n"/>
      <c r="AH337" s="62" t="n"/>
      <c r="AI337" s="62" t="n"/>
      <c r="AJ337" s="60" t="n"/>
      <c r="AK337" s="61" t="n"/>
      <c r="AL337" s="63">
        <f>IF($A337="","",IF(AH337="","Not Enrolled",IF(TODAY()&gt;AH337,"Review Overdue",IF(AH337-TODAY()&lt;=30,"Review Due Soon","Active"))))</f>
        <v/>
      </c>
      <c r="AM337" s="63">
        <f>IF($A337="","",IF(AI337="","NOT REVIEWED",IF(TODAY()-AI337&gt;90,"OVERDUE",IF(TODAY()-AI337&gt;76,"Due Soon","Current"))))</f>
        <v/>
      </c>
    </row>
    <row r="338" ht="15" customHeight="1" s="39">
      <c r="A338" s="60" t="n"/>
      <c r="B338" s="60" t="n"/>
      <c r="C338" s="61" t="n"/>
      <c r="D338" s="61" t="n"/>
      <c r="E338" s="60" t="n"/>
      <c r="F338" s="60" t="n"/>
      <c r="G338" s="62" t="n"/>
      <c r="H338" s="62" t="n"/>
      <c r="I338" s="62" t="n"/>
      <c r="J338" s="60" t="n"/>
      <c r="K338" s="60" t="n"/>
      <c r="L338" s="60" t="n"/>
      <c r="M338" s="61" t="n"/>
      <c r="N338" s="60" t="n"/>
      <c r="O338" s="60" t="n"/>
      <c r="P338" s="60" t="n"/>
      <c r="Q338" s="60" t="n"/>
      <c r="R338" s="60" t="n"/>
      <c r="S338" s="60" t="n"/>
      <c r="T338" s="60" t="n"/>
      <c r="U338" s="60" t="n"/>
      <c r="V338" s="60" t="n"/>
      <c r="W338" s="60" t="n"/>
      <c r="X338" s="60" t="n"/>
      <c r="Y338" s="60" t="n"/>
      <c r="Z338" s="61" t="n"/>
      <c r="AA338" s="63">
        <f>IF($H338="","",TODAY()-$H338)</f>
        <v/>
      </c>
      <c r="AB338" s="63">
        <f>IF($A338="","",IF(AND($F338="Yes",OR($U338="No",$U338="NOT FOUND")),"YES",""))</f>
        <v/>
      </c>
      <c r="AC338" s="66">
        <f>IF($A338="","",TRIM(IF(AND($P338=0,$L338&lt;&gt;"Yes"),"T0-NoSmartcard ","")&amp;IF(AND($J338&lt;&gt;"",$J338&gt;365),"StalePwd ","")&amp;IF($K338="Yes","PwdNeverExpires ","")&amp;IF(AND($S338&lt;&gt;"",$S338&lt;&gt;"None"),"Delegation ","")&amp;IF(AND($Q338=1,$O338="None"),"StaleAdminCount ","")&amp;IF(AND($F338="Yes",$H338=""),"NeverLoggedOn ","")))</f>
        <v/>
      </c>
      <c r="AD338" s="60" t="n"/>
      <c r="AE338" s="61" t="n"/>
      <c r="AF338" s="60" t="n"/>
      <c r="AG338" s="62" t="n"/>
      <c r="AH338" s="62" t="n"/>
      <c r="AI338" s="62" t="n"/>
      <c r="AJ338" s="60" t="n"/>
      <c r="AK338" s="61" t="n"/>
      <c r="AL338" s="63">
        <f>IF($A338="","",IF(AH338="","Not Enrolled",IF(TODAY()&gt;AH338,"Review Overdue",IF(AH338-TODAY()&lt;=30,"Review Due Soon","Active"))))</f>
        <v/>
      </c>
      <c r="AM338" s="63">
        <f>IF($A338="","",IF(AI338="","NOT REVIEWED",IF(TODAY()-AI338&gt;90,"OVERDUE",IF(TODAY()-AI338&gt;76,"Due Soon","Current"))))</f>
        <v/>
      </c>
    </row>
    <row r="339" ht="15" customHeight="1" s="39">
      <c r="A339" s="60" t="n"/>
      <c r="B339" s="60" t="n"/>
      <c r="C339" s="61" t="n"/>
      <c r="D339" s="61" t="n"/>
      <c r="E339" s="60" t="n"/>
      <c r="F339" s="60" t="n"/>
      <c r="G339" s="62" t="n"/>
      <c r="H339" s="62" t="n"/>
      <c r="I339" s="62" t="n"/>
      <c r="J339" s="60" t="n"/>
      <c r="K339" s="60" t="n"/>
      <c r="L339" s="60" t="n"/>
      <c r="M339" s="61" t="n"/>
      <c r="N339" s="60" t="n"/>
      <c r="O339" s="60" t="n"/>
      <c r="P339" s="60" t="n"/>
      <c r="Q339" s="60" t="n"/>
      <c r="R339" s="60" t="n"/>
      <c r="S339" s="60" t="n"/>
      <c r="T339" s="60" t="n"/>
      <c r="U339" s="60" t="n"/>
      <c r="V339" s="60" t="n"/>
      <c r="W339" s="60" t="n"/>
      <c r="X339" s="60" t="n"/>
      <c r="Y339" s="60" t="n"/>
      <c r="Z339" s="61" t="n"/>
      <c r="AA339" s="63">
        <f>IF($H339="","",TODAY()-$H339)</f>
        <v/>
      </c>
      <c r="AB339" s="63">
        <f>IF($A339="","",IF(AND($F339="Yes",OR($U339="No",$U339="NOT FOUND")),"YES",""))</f>
        <v/>
      </c>
      <c r="AC339" s="66">
        <f>IF($A339="","",TRIM(IF(AND($P339=0,$L339&lt;&gt;"Yes"),"T0-NoSmartcard ","")&amp;IF(AND($J339&lt;&gt;"",$J339&gt;365),"StalePwd ","")&amp;IF($K339="Yes","PwdNeverExpires ","")&amp;IF(AND($S339&lt;&gt;"",$S339&lt;&gt;"None"),"Delegation ","")&amp;IF(AND($Q339=1,$O339="None"),"StaleAdminCount ","")&amp;IF(AND($F339="Yes",$H339=""),"NeverLoggedOn ","")))</f>
        <v/>
      </c>
      <c r="AD339" s="60" t="n"/>
      <c r="AE339" s="61" t="n"/>
      <c r="AF339" s="60" t="n"/>
      <c r="AG339" s="62" t="n"/>
      <c r="AH339" s="62" t="n"/>
      <c r="AI339" s="62" t="n"/>
      <c r="AJ339" s="60" t="n"/>
      <c r="AK339" s="61" t="n"/>
      <c r="AL339" s="63">
        <f>IF($A339="","",IF(AH339="","Not Enrolled",IF(TODAY()&gt;AH339,"Review Overdue",IF(AH339-TODAY()&lt;=30,"Review Due Soon","Active"))))</f>
        <v/>
      </c>
      <c r="AM339" s="63">
        <f>IF($A339="","",IF(AI339="","NOT REVIEWED",IF(TODAY()-AI339&gt;90,"OVERDUE",IF(TODAY()-AI339&gt;76,"Due Soon","Current"))))</f>
        <v/>
      </c>
    </row>
    <row r="340" ht="15" customHeight="1" s="39">
      <c r="A340" s="60" t="n"/>
      <c r="B340" s="60" t="n"/>
      <c r="C340" s="61" t="n"/>
      <c r="D340" s="61" t="n"/>
      <c r="E340" s="60" t="n"/>
      <c r="F340" s="60" t="n"/>
      <c r="G340" s="62" t="n"/>
      <c r="H340" s="62" t="n"/>
      <c r="I340" s="62" t="n"/>
      <c r="J340" s="60" t="n"/>
      <c r="K340" s="60" t="n"/>
      <c r="L340" s="60" t="n"/>
      <c r="M340" s="61" t="n"/>
      <c r="N340" s="60" t="n"/>
      <c r="O340" s="60" t="n"/>
      <c r="P340" s="60" t="n"/>
      <c r="Q340" s="60" t="n"/>
      <c r="R340" s="60" t="n"/>
      <c r="S340" s="60" t="n"/>
      <c r="T340" s="60" t="n"/>
      <c r="U340" s="60" t="n"/>
      <c r="V340" s="60" t="n"/>
      <c r="W340" s="60" t="n"/>
      <c r="X340" s="60" t="n"/>
      <c r="Y340" s="60" t="n"/>
      <c r="Z340" s="61" t="n"/>
      <c r="AA340" s="63">
        <f>IF($H340="","",TODAY()-$H340)</f>
        <v/>
      </c>
      <c r="AB340" s="63">
        <f>IF($A340="","",IF(AND($F340="Yes",OR($U340="No",$U340="NOT FOUND")),"YES",""))</f>
        <v/>
      </c>
      <c r="AC340" s="66">
        <f>IF($A340="","",TRIM(IF(AND($P340=0,$L340&lt;&gt;"Yes"),"T0-NoSmartcard ","")&amp;IF(AND($J340&lt;&gt;"",$J340&gt;365),"StalePwd ","")&amp;IF($K340="Yes","PwdNeverExpires ","")&amp;IF(AND($S340&lt;&gt;"",$S340&lt;&gt;"None"),"Delegation ","")&amp;IF(AND($Q340=1,$O340="None"),"StaleAdminCount ","")&amp;IF(AND($F340="Yes",$H340=""),"NeverLoggedOn ","")))</f>
        <v/>
      </c>
      <c r="AD340" s="60" t="n"/>
      <c r="AE340" s="61" t="n"/>
      <c r="AF340" s="60" t="n"/>
      <c r="AG340" s="62" t="n"/>
      <c r="AH340" s="62" t="n"/>
      <c r="AI340" s="62" t="n"/>
      <c r="AJ340" s="60" t="n"/>
      <c r="AK340" s="61" t="n"/>
      <c r="AL340" s="63">
        <f>IF($A340="","",IF(AH340="","Not Enrolled",IF(TODAY()&gt;AH340,"Review Overdue",IF(AH340-TODAY()&lt;=30,"Review Due Soon","Active"))))</f>
        <v/>
      </c>
      <c r="AM340" s="63">
        <f>IF($A340="","",IF(AI340="","NOT REVIEWED",IF(TODAY()-AI340&gt;90,"OVERDUE",IF(TODAY()-AI340&gt;76,"Due Soon","Current"))))</f>
        <v/>
      </c>
    </row>
    <row r="341" ht="15" customHeight="1" s="39">
      <c r="A341" s="60" t="n"/>
      <c r="B341" s="60" t="n"/>
      <c r="C341" s="61" t="n"/>
      <c r="D341" s="61" t="n"/>
      <c r="E341" s="60" t="n"/>
      <c r="F341" s="60" t="n"/>
      <c r="G341" s="62" t="n"/>
      <c r="H341" s="62" t="n"/>
      <c r="I341" s="62" t="n"/>
      <c r="J341" s="60" t="n"/>
      <c r="K341" s="60" t="n"/>
      <c r="L341" s="60" t="n"/>
      <c r="M341" s="61" t="n"/>
      <c r="N341" s="60" t="n"/>
      <c r="O341" s="60" t="n"/>
      <c r="P341" s="60" t="n"/>
      <c r="Q341" s="60" t="n"/>
      <c r="R341" s="60" t="n"/>
      <c r="S341" s="60" t="n"/>
      <c r="T341" s="60" t="n"/>
      <c r="U341" s="60" t="n"/>
      <c r="V341" s="60" t="n"/>
      <c r="W341" s="60" t="n"/>
      <c r="X341" s="60" t="n"/>
      <c r="Y341" s="60" t="n"/>
      <c r="Z341" s="61" t="n"/>
      <c r="AA341" s="63">
        <f>IF($H341="","",TODAY()-$H341)</f>
        <v/>
      </c>
      <c r="AB341" s="63">
        <f>IF($A341="","",IF(AND($F341="Yes",OR($U341="No",$U341="NOT FOUND")),"YES",""))</f>
        <v/>
      </c>
      <c r="AC341" s="66">
        <f>IF($A341="","",TRIM(IF(AND($P341=0,$L341&lt;&gt;"Yes"),"T0-NoSmartcard ","")&amp;IF(AND($J341&lt;&gt;"",$J341&gt;365),"StalePwd ","")&amp;IF($K341="Yes","PwdNeverExpires ","")&amp;IF(AND($S341&lt;&gt;"",$S341&lt;&gt;"None"),"Delegation ","")&amp;IF(AND($Q341=1,$O341="None"),"StaleAdminCount ","")&amp;IF(AND($F341="Yes",$H341=""),"NeverLoggedOn ","")))</f>
        <v/>
      </c>
      <c r="AD341" s="60" t="n"/>
      <c r="AE341" s="61" t="n"/>
      <c r="AF341" s="60" t="n"/>
      <c r="AG341" s="62" t="n"/>
      <c r="AH341" s="62" t="n"/>
      <c r="AI341" s="62" t="n"/>
      <c r="AJ341" s="60" t="n"/>
      <c r="AK341" s="61" t="n"/>
      <c r="AL341" s="63">
        <f>IF($A341="","",IF(AH341="","Not Enrolled",IF(TODAY()&gt;AH341,"Review Overdue",IF(AH341-TODAY()&lt;=30,"Review Due Soon","Active"))))</f>
        <v/>
      </c>
      <c r="AM341" s="63">
        <f>IF($A341="","",IF(AI341="","NOT REVIEWED",IF(TODAY()-AI341&gt;90,"OVERDUE",IF(TODAY()-AI341&gt;76,"Due Soon","Current"))))</f>
        <v/>
      </c>
    </row>
    <row r="342" ht="15" customHeight="1" s="39">
      <c r="A342" s="60" t="n"/>
      <c r="B342" s="60" t="n"/>
      <c r="C342" s="61" t="n"/>
      <c r="D342" s="61" t="n"/>
      <c r="E342" s="60" t="n"/>
      <c r="F342" s="60" t="n"/>
      <c r="G342" s="62" t="n"/>
      <c r="H342" s="62" t="n"/>
      <c r="I342" s="62" t="n"/>
      <c r="J342" s="60" t="n"/>
      <c r="K342" s="60" t="n"/>
      <c r="L342" s="60" t="n"/>
      <c r="M342" s="61" t="n"/>
      <c r="N342" s="60" t="n"/>
      <c r="O342" s="60" t="n"/>
      <c r="P342" s="60" t="n"/>
      <c r="Q342" s="60" t="n"/>
      <c r="R342" s="60" t="n"/>
      <c r="S342" s="60" t="n"/>
      <c r="T342" s="60" t="n"/>
      <c r="U342" s="60" t="n"/>
      <c r="V342" s="60" t="n"/>
      <c r="W342" s="60" t="n"/>
      <c r="X342" s="60" t="n"/>
      <c r="Y342" s="60" t="n"/>
      <c r="Z342" s="61" t="n"/>
      <c r="AA342" s="63">
        <f>IF($H342="","",TODAY()-$H342)</f>
        <v/>
      </c>
      <c r="AB342" s="63">
        <f>IF($A342="","",IF(AND($F342="Yes",OR($U342="No",$U342="NOT FOUND")),"YES",""))</f>
        <v/>
      </c>
      <c r="AC342" s="66">
        <f>IF($A342="","",TRIM(IF(AND($P342=0,$L342&lt;&gt;"Yes"),"T0-NoSmartcard ","")&amp;IF(AND($J342&lt;&gt;"",$J342&gt;365),"StalePwd ","")&amp;IF($K342="Yes","PwdNeverExpires ","")&amp;IF(AND($S342&lt;&gt;"",$S342&lt;&gt;"None"),"Delegation ","")&amp;IF(AND($Q342=1,$O342="None"),"StaleAdminCount ","")&amp;IF(AND($F342="Yes",$H342=""),"NeverLoggedOn ","")))</f>
        <v/>
      </c>
      <c r="AD342" s="60" t="n"/>
      <c r="AE342" s="61" t="n"/>
      <c r="AF342" s="60" t="n"/>
      <c r="AG342" s="62" t="n"/>
      <c r="AH342" s="62" t="n"/>
      <c r="AI342" s="62" t="n"/>
      <c r="AJ342" s="60" t="n"/>
      <c r="AK342" s="61" t="n"/>
      <c r="AL342" s="63">
        <f>IF($A342="","",IF(AH342="","Not Enrolled",IF(TODAY()&gt;AH342,"Review Overdue",IF(AH342-TODAY()&lt;=30,"Review Due Soon","Active"))))</f>
        <v/>
      </c>
      <c r="AM342" s="63">
        <f>IF($A342="","",IF(AI342="","NOT REVIEWED",IF(TODAY()-AI342&gt;90,"OVERDUE",IF(TODAY()-AI342&gt;76,"Due Soon","Current"))))</f>
        <v/>
      </c>
    </row>
    <row r="343" ht="15" customHeight="1" s="39">
      <c r="A343" s="60" t="n"/>
      <c r="B343" s="60" t="n"/>
      <c r="C343" s="61" t="n"/>
      <c r="D343" s="61" t="n"/>
      <c r="E343" s="60" t="n"/>
      <c r="F343" s="60" t="n"/>
      <c r="G343" s="62" t="n"/>
      <c r="H343" s="62" t="n"/>
      <c r="I343" s="62" t="n"/>
      <c r="J343" s="60" t="n"/>
      <c r="K343" s="60" t="n"/>
      <c r="L343" s="60" t="n"/>
      <c r="M343" s="61" t="n"/>
      <c r="N343" s="60" t="n"/>
      <c r="O343" s="60" t="n"/>
      <c r="P343" s="60" t="n"/>
      <c r="Q343" s="60" t="n"/>
      <c r="R343" s="60" t="n"/>
      <c r="S343" s="60" t="n"/>
      <c r="T343" s="60" t="n"/>
      <c r="U343" s="60" t="n"/>
      <c r="V343" s="60" t="n"/>
      <c r="W343" s="60" t="n"/>
      <c r="X343" s="60" t="n"/>
      <c r="Y343" s="60" t="n"/>
      <c r="Z343" s="61" t="n"/>
      <c r="AA343" s="63">
        <f>IF($H343="","",TODAY()-$H343)</f>
        <v/>
      </c>
      <c r="AB343" s="63">
        <f>IF($A343="","",IF(AND($F343="Yes",OR($U343="No",$U343="NOT FOUND")),"YES",""))</f>
        <v/>
      </c>
      <c r="AC343" s="66">
        <f>IF($A343="","",TRIM(IF(AND($P343=0,$L343&lt;&gt;"Yes"),"T0-NoSmartcard ","")&amp;IF(AND($J343&lt;&gt;"",$J343&gt;365),"StalePwd ","")&amp;IF($K343="Yes","PwdNeverExpires ","")&amp;IF(AND($S343&lt;&gt;"",$S343&lt;&gt;"None"),"Delegation ","")&amp;IF(AND($Q343=1,$O343="None"),"StaleAdminCount ","")&amp;IF(AND($F343="Yes",$H343=""),"NeverLoggedOn ","")))</f>
        <v/>
      </c>
      <c r="AD343" s="60" t="n"/>
      <c r="AE343" s="61" t="n"/>
      <c r="AF343" s="60" t="n"/>
      <c r="AG343" s="62" t="n"/>
      <c r="AH343" s="62" t="n"/>
      <c r="AI343" s="62" t="n"/>
      <c r="AJ343" s="60" t="n"/>
      <c r="AK343" s="61" t="n"/>
      <c r="AL343" s="63">
        <f>IF($A343="","",IF(AH343="","Not Enrolled",IF(TODAY()&gt;AH343,"Review Overdue",IF(AH343-TODAY()&lt;=30,"Review Due Soon","Active"))))</f>
        <v/>
      </c>
      <c r="AM343" s="63">
        <f>IF($A343="","",IF(AI343="","NOT REVIEWED",IF(TODAY()-AI343&gt;90,"OVERDUE",IF(TODAY()-AI343&gt;76,"Due Soon","Current"))))</f>
        <v/>
      </c>
    </row>
    <row r="344" ht="15" customHeight="1" s="39">
      <c r="A344" s="60" t="n"/>
      <c r="B344" s="60" t="n"/>
      <c r="C344" s="61" t="n"/>
      <c r="D344" s="61" t="n"/>
      <c r="E344" s="60" t="n"/>
      <c r="F344" s="60" t="n"/>
      <c r="G344" s="62" t="n"/>
      <c r="H344" s="62" t="n"/>
      <c r="I344" s="62" t="n"/>
      <c r="J344" s="60" t="n"/>
      <c r="K344" s="60" t="n"/>
      <c r="L344" s="60" t="n"/>
      <c r="M344" s="61" t="n"/>
      <c r="N344" s="60" t="n"/>
      <c r="O344" s="60" t="n"/>
      <c r="P344" s="60" t="n"/>
      <c r="Q344" s="60" t="n"/>
      <c r="R344" s="60" t="n"/>
      <c r="S344" s="60" t="n"/>
      <c r="T344" s="60" t="n"/>
      <c r="U344" s="60" t="n"/>
      <c r="V344" s="60" t="n"/>
      <c r="W344" s="60" t="n"/>
      <c r="X344" s="60" t="n"/>
      <c r="Y344" s="60" t="n"/>
      <c r="Z344" s="61" t="n"/>
      <c r="AA344" s="63">
        <f>IF($H344="","",TODAY()-$H344)</f>
        <v/>
      </c>
      <c r="AB344" s="63">
        <f>IF($A344="","",IF(AND($F344="Yes",OR($U344="No",$U344="NOT FOUND")),"YES",""))</f>
        <v/>
      </c>
      <c r="AC344" s="66">
        <f>IF($A344="","",TRIM(IF(AND($P344=0,$L344&lt;&gt;"Yes"),"T0-NoSmartcard ","")&amp;IF(AND($J344&lt;&gt;"",$J344&gt;365),"StalePwd ","")&amp;IF($K344="Yes","PwdNeverExpires ","")&amp;IF(AND($S344&lt;&gt;"",$S344&lt;&gt;"None"),"Delegation ","")&amp;IF(AND($Q344=1,$O344="None"),"StaleAdminCount ","")&amp;IF(AND($F344="Yes",$H344=""),"NeverLoggedOn ","")))</f>
        <v/>
      </c>
      <c r="AD344" s="60" t="n"/>
      <c r="AE344" s="61" t="n"/>
      <c r="AF344" s="60" t="n"/>
      <c r="AG344" s="62" t="n"/>
      <c r="AH344" s="62" t="n"/>
      <c r="AI344" s="62" t="n"/>
      <c r="AJ344" s="60" t="n"/>
      <c r="AK344" s="61" t="n"/>
      <c r="AL344" s="63">
        <f>IF($A344="","",IF(AH344="","Not Enrolled",IF(TODAY()&gt;AH344,"Review Overdue",IF(AH344-TODAY()&lt;=30,"Review Due Soon","Active"))))</f>
        <v/>
      </c>
      <c r="AM344" s="63">
        <f>IF($A344="","",IF(AI344="","NOT REVIEWED",IF(TODAY()-AI344&gt;90,"OVERDUE",IF(TODAY()-AI344&gt;76,"Due Soon","Current"))))</f>
        <v/>
      </c>
    </row>
    <row r="345" ht="15" customHeight="1" s="39">
      <c r="A345" s="60" t="n"/>
      <c r="B345" s="60" t="n"/>
      <c r="C345" s="61" t="n"/>
      <c r="D345" s="61" t="n"/>
      <c r="E345" s="60" t="n"/>
      <c r="F345" s="60" t="n"/>
      <c r="G345" s="62" t="n"/>
      <c r="H345" s="62" t="n"/>
      <c r="I345" s="62" t="n"/>
      <c r="J345" s="60" t="n"/>
      <c r="K345" s="60" t="n"/>
      <c r="L345" s="60" t="n"/>
      <c r="M345" s="61" t="n"/>
      <c r="N345" s="60" t="n"/>
      <c r="O345" s="60" t="n"/>
      <c r="P345" s="60" t="n"/>
      <c r="Q345" s="60" t="n"/>
      <c r="R345" s="60" t="n"/>
      <c r="S345" s="60" t="n"/>
      <c r="T345" s="60" t="n"/>
      <c r="U345" s="60" t="n"/>
      <c r="V345" s="60" t="n"/>
      <c r="W345" s="60" t="n"/>
      <c r="X345" s="60" t="n"/>
      <c r="Y345" s="60" t="n"/>
      <c r="Z345" s="61" t="n"/>
      <c r="AA345" s="63">
        <f>IF($H345="","",TODAY()-$H345)</f>
        <v/>
      </c>
      <c r="AB345" s="63">
        <f>IF($A345="","",IF(AND($F345="Yes",OR($U345="No",$U345="NOT FOUND")),"YES",""))</f>
        <v/>
      </c>
      <c r="AC345" s="66">
        <f>IF($A345="","",TRIM(IF(AND($P345=0,$L345&lt;&gt;"Yes"),"T0-NoSmartcard ","")&amp;IF(AND($J345&lt;&gt;"",$J345&gt;365),"StalePwd ","")&amp;IF($K345="Yes","PwdNeverExpires ","")&amp;IF(AND($S345&lt;&gt;"",$S345&lt;&gt;"None"),"Delegation ","")&amp;IF(AND($Q345=1,$O345="None"),"StaleAdminCount ","")&amp;IF(AND($F345="Yes",$H345=""),"NeverLoggedOn ","")))</f>
        <v/>
      </c>
      <c r="AD345" s="60" t="n"/>
      <c r="AE345" s="61" t="n"/>
      <c r="AF345" s="60" t="n"/>
      <c r="AG345" s="62" t="n"/>
      <c r="AH345" s="62" t="n"/>
      <c r="AI345" s="62" t="n"/>
      <c r="AJ345" s="60" t="n"/>
      <c r="AK345" s="61" t="n"/>
      <c r="AL345" s="63">
        <f>IF($A345="","",IF(AH345="","Not Enrolled",IF(TODAY()&gt;AH345,"Review Overdue",IF(AH345-TODAY()&lt;=30,"Review Due Soon","Active"))))</f>
        <v/>
      </c>
      <c r="AM345" s="63">
        <f>IF($A345="","",IF(AI345="","NOT REVIEWED",IF(TODAY()-AI345&gt;90,"OVERDUE",IF(TODAY()-AI345&gt;76,"Due Soon","Current"))))</f>
        <v/>
      </c>
    </row>
    <row r="346" ht="15" customHeight="1" s="39">
      <c r="A346" s="60" t="n"/>
      <c r="B346" s="60" t="n"/>
      <c r="C346" s="61" t="n"/>
      <c r="D346" s="61" t="n"/>
      <c r="E346" s="60" t="n"/>
      <c r="F346" s="60" t="n"/>
      <c r="G346" s="62" t="n"/>
      <c r="H346" s="62" t="n"/>
      <c r="I346" s="62" t="n"/>
      <c r="J346" s="60" t="n"/>
      <c r="K346" s="60" t="n"/>
      <c r="L346" s="60" t="n"/>
      <c r="M346" s="61" t="n"/>
      <c r="N346" s="60" t="n"/>
      <c r="O346" s="60" t="n"/>
      <c r="P346" s="60" t="n"/>
      <c r="Q346" s="60" t="n"/>
      <c r="R346" s="60" t="n"/>
      <c r="S346" s="60" t="n"/>
      <c r="T346" s="60" t="n"/>
      <c r="U346" s="60" t="n"/>
      <c r="V346" s="60" t="n"/>
      <c r="W346" s="60" t="n"/>
      <c r="X346" s="60" t="n"/>
      <c r="Y346" s="60" t="n"/>
      <c r="Z346" s="61" t="n"/>
      <c r="AA346" s="63">
        <f>IF($H346="","",TODAY()-$H346)</f>
        <v/>
      </c>
      <c r="AB346" s="63">
        <f>IF($A346="","",IF(AND($F346="Yes",OR($U346="No",$U346="NOT FOUND")),"YES",""))</f>
        <v/>
      </c>
      <c r="AC346" s="66">
        <f>IF($A346="","",TRIM(IF(AND($P346=0,$L346&lt;&gt;"Yes"),"T0-NoSmartcard ","")&amp;IF(AND($J346&lt;&gt;"",$J346&gt;365),"StalePwd ","")&amp;IF($K346="Yes","PwdNeverExpires ","")&amp;IF(AND($S346&lt;&gt;"",$S346&lt;&gt;"None"),"Delegation ","")&amp;IF(AND($Q346=1,$O346="None"),"StaleAdminCount ","")&amp;IF(AND($F346="Yes",$H346=""),"NeverLoggedOn ","")))</f>
        <v/>
      </c>
      <c r="AD346" s="60" t="n"/>
      <c r="AE346" s="61" t="n"/>
      <c r="AF346" s="60" t="n"/>
      <c r="AG346" s="62" t="n"/>
      <c r="AH346" s="62" t="n"/>
      <c r="AI346" s="62" t="n"/>
      <c r="AJ346" s="60" t="n"/>
      <c r="AK346" s="61" t="n"/>
      <c r="AL346" s="63">
        <f>IF($A346="","",IF(AH346="","Not Enrolled",IF(TODAY()&gt;AH346,"Review Overdue",IF(AH346-TODAY()&lt;=30,"Review Due Soon","Active"))))</f>
        <v/>
      </c>
      <c r="AM346" s="63">
        <f>IF($A346="","",IF(AI346="","NOT REVIEWED",IF(TODAY()-AI346&gt;90,"OVERDUE",IF(TODAY()-AI346&gt;76,"Due Soon","Current"))))</f>
        <v/>
      </c>
    </row>
    <row r="347" ht="15" customHeight="1" s="39">
      <c r="A347" s="60" t="n"/>
      <c r="B347" s="60" t="n"/>
      <c r="C347" s="61" t="n"/>
      <c r="D347" s="61" t="n"/>
      <c r="E347" s="60" t="n"/>
      <c r="F347" s="60" t="n"/>
      <c r="G347" s="62" t="n"/>
      <c r="H347" s="62" t="n"/>
      <c r="I347" s="62" t="n"/>
      <c r="J347" s="60" t="n"/>
      <c r="K347" s="60" t="n"/>
      <c r="L347" s="60" t="n"/>
      <c r="M347" s="61" t="n"/>
      <c r="N347" s="60" t="n"/>
      <c r="O347" s="60" t="n"/>
      <c r="P347" s="60" t="n"/>
      <c r="Q347" s="60" t="n"/>
      <c r="R347" s="60" t="n"/>
      <c r="S347" s="60" t="n"/>
      <c r="T347" s="60" t="n"/>
      <c r="U347" s="60" t="n"/>
      <c r="V347" s="60" t="n"/>
      <c r="W347" s="60" t="n"/>
      <c r="X347" s="60" t="n"/>
      <c r="Y347" s="60" t="n"/>
      <c r="Z347" s="61" t="n"/>
      <c r="AA347" s="63">
        <f>IF($H347="","",TODAY()-$H347)</f>
        <v/>
      </c>
      <c r="AB347" s="63">
        <f>IF($A347="","",IF(AND($F347="Yes",OR($U347="No",$U347="NOT FOUND")),"YES",""))</f>
        <v/>
      </c>
      <c r="AC347" s="66">
        <f>IF($A347="","",TRIM(IF(AND($P347=0,$L347&lt;&gt;"Yes"),"T0-NoSmartcard ","")&amp;IF(AND($J347&lt;&gt;"",$J347&gt;365),"StalePwd ","")&amp;IF($K347="Yes","PwdNeverExpires ","")&amp;IF(AND($S347&lt;&gt;"",$S347&lt;&gt;"None"),"Delegation ","")&amp;IF(AND($Q347=1,$O347="None"),"StaleAdminCount ","")&amp;IF(AND($F347="Yes",$H347=""),"NeverLoggedOn ","")))</f>
        <v/>
      </c>
      <c r="AD347" s="60" t="n"/>
      <c r="AE347" s="61" t="n"/>
      <c r="AF347" s="60" t="n"/>
      <c r="AG347" s="62" t="n"/>
      <c r="AH347" s="62" t="n"/>
      <c r="AI347" s="62" t="n"/>
      <c r="AJ347" s="60" t="n"/>
      <c r="AK347" s="61" t="n"/>
      <c r="AL347" s="63">
        <f>IF($A347="","",IF(AH347="","Not Enrolled",IF(TODAY()&gt;AH347,"Review Overdue",IF(AH347-TODAY()&lt;=30,"Review Due Soon","Active"))))</f>
        <v/>
      </c>
      <c r="AM347" s="63">
        <f>IF($A347="","",IF(AI347="","NOT REVIEWED",IF(TODAY()-AI347&gt;90,"OVERDUE",IF(TODAY()-AI347&gt;76,"Due Soon","Current"))))</f>
        <v/>
      </c>
    </row>
    <row r="348" ht="15" customHeight="1" s="39">
      <c r="A348" s="60" t="n"/>
      <c r="B348" s="60" t="n"/>
      <c r="C348" s="61" t="n"/>
      <c r="D348" s="61" t="n"/>
      <c r="E348" s="60" t="n"/>
      <c r="F348" s="60" t="n"/>
      <c r="G348" s="62" t="n"/>
      <c r="H348" s="62" t="n"/>
      <c r="I348" s="62" t="n"/>
      <c r="J348" s="60" t="n"/>
      <c r="K348" s="60" t="n"/>
      <c r="L348" s="60" t="n"/>
      <c r="M348" s="61" t="n"/>
      <c r="N348" s="60" t="n"/>
      <c r="O348" s="60" t="n"/>
      <c r="P348" s="60" t="n"/>
      <c r="Q348" s="60" t="n"/>
      <c r="R348" s="60" t="n"/>
      <c r="S348" s="60" t="n"/>
      <c r="T348" s="60" t="n"/>
      <c r="U348" s="60" t="n"/>
      <c r="V348" s="60" t="n"/>
      <c r="W348" s="60" t="n"/>
      <c r="X348" s="60" t="n"/>
      <c r="Y348" s="60" t="n"/>
      <c r="Z348" s="61" t="n"/>
      <c r="AA348" s="63">
        <f>IF($H348="","",TODAY()-$H348)</f>
        <v/>
      </c>
      <c r="AB348" s="63">
        <f>IF($A348="","",IF(AND($F348="Yes",OR($U348="No",$U348="NOT FOUND")),"YES",""))</f>
        <v/>
      </c>
      <c r="AC348" s="66">
        <f>IF($A348="","",TRIM(IF(AND($P348=0,$L348&lt;&gt;"Yes"),"T0-NoSmartcard ","")&amp;IF(AND($J348&lt;&gt;"",$J348&gt;365),"StalePwd ","")&amp;IF($K348="Yes","PwdNeverExpires ","")&amp;IF(AND($S348&lt;&gt;"",$S348&lt;&gt;"None"),"Delegation ","")&amp;IF(AND($Q348=1,$O348="None"),"StaleAdminCount ","")&amp;IF(AND($F348="Yes",$H348=""),"NeverLoggedOn ","")))</f>
        <v/>
      </c>
      <c r="AD348" s="60" t="n"/>
      <c r="AE348" s="61" t="n"/>
      <c r="AF348" s="60" t="n"/>
      <c r="AG348" s="62" t="n"/>
      <c r="AH348" s="62" t="n"/>
      <c r="AI348" s="62" t="n"/>
      <c r="AJ348" s="60" t="n"/>
      <c r="AK348" s="61" t="n"/>
      <c r="AL348" s="63">
        <f>IF($A348="","",IF(AH348="","Not Enrolled",IF(TODAY()&gt;AH348,"Review Overdue",IF(AH348-TODAY()&lt;=30,"Review Due Soon","Active"))))</f>
        <v/>
      </c>
      <c r="AM348" s="63">
        <f>IF($A348="","",IF(AI348="","NOT REVIEWED",IF(TODAY()-AI348&gt;90,"OVERDUE",IF(TODAY()-AI348&gt;76,"Due Soon","Current"))))</f>
        <v/>
      </c>
    </row>
    <row r="349" ht="15" customHeight="1" s="39">
      <c r="A349" s="60" t="n"/>
      <c r="B349" s="60" t="n"/>
      <c r="C349" s="61" t="n"/>
      <c r="D349" s="61" t="n"/>
      <c r="E349" s="60" t="n"/>
      <c r="F349" s="60" t="n"/>
      <c r="G349" s="62" t="n"/>
      <c r="H349" s="62" t="n"/>
      <c r="I349" s="62" t="n"/>
      <c r="J349" s="60" t="n"/>
      <c r="K349" s="60" t="n"/>
      <c r="L349" s="60" t="n"/>
      <c r="M349" s="61" t="n"/>
      <c r="N349" s="60" t="n"/>
      <c r="O349" s="60" t="n"/>
      <c r="P349" s="60" t="n"/>
      <c r="Q349" s="60" t="n"/>
      <c r="R349" s="60" t="n"/>
      <c r="S349" s="60" t="n"/>
      <c r="T349" s="60" t="n"/>
      <c r="U349" s="60" t="n"/>
      <c r="V349" s="60" t="n"/>
      <c r="W349" s="60" t="n"/>
      <c r="X349" s="60" t="n"/>
      <c r="Y349" s="60" t="n"/>
      <c r="Z349" s="61" t="n"/>
      <c r="AA349" s="63">
        <f>IF($H349="","",TODAY()-$H349)</f>
        <v/>
      </c>
      <c r="AB349" s="63">
        <f>IF($A349="","",IF(AND($F349="Yes",OR($U349="No",$U349="NOT FOUND")),"YES",""))</f>
        <v/>
      </c>
      <c r="AC349" s="66">
        <f>IF($A349="","",TRIM(IF(AND($P349=0,$L349&lt;&gt;"Yes"),"T0-NoSmartcard ","")&amp;IF(AND($J349&lt;&gt;"",$J349&gt;365),"StalePwd ","")&amp;IF($K349="Yes","PwdNeverExpires ","")&amp;IF(AND($S349&lt;&gt;"",$S349&lt;&gt;"None"),"Delegation ","")&amp;IF(AND($Q349=1,$O349="None"),"StaleAdminCount ","")&amp;IF(AND($F349="Yes",$H349=""),"NeverLoggedOn ","")))</f>
        <v/>
      </c>
      <c r="AD349" s="60" t="n"/>
      <c r="AE349" s="61" t="n"/>
      <c r="AF349" s="60" t="n"/>
      <c r="AG349" s="62" t="n"/>
      <c r="AH349" s="62" t="n"/>
      <c r="AI349" s="62" t="n"/>
      <c r="AJ349" s="60" t="n"/>
      <c r="AK349" s="61" t="n"/>
      <c r="AL349" s="63">
        <f>IF($A349="","",IF(AH349="","Not Enrolled",IF(TODAY()&gt;AH349,"Review Overdue",IF(AH349-TODAY()&lt;=30,"Review Due Soon","Active"))))</f>
        <v/>
      </c>
      <c r="AM349" s="63">
        <f>IF($A349="","",IF(AI349="","NOT REVIEWED",IF(TODAY()-AI349&gt;90,"OVERDUE",IF(TODAY()-AI349&gt;76,"Due Soon","Current"))))</f>
        <v/>
      </c>
    </row>
    <row r="350" ht="15" customHeight="1" s="39">
      <c r="A350" s="60" t="n"/>
      <c r="B350" s="60" t="n"/>
      <c r="C350" s="61" t="n"/>
      <c r="D350" s="61" t="n"/>
      <c r="E350" s="60" t="n"/>
      <c r="F350" s="60" t="n"/>
      <c r="G350" s="62" t="n"/>
      <c r="H350" s="62" t="n"/>
      <c r="I350" s="62" t="n"/>
      <c r="J350" s="60" t="n"/>
      <c r="K350" s="60" t="n"/>
      <c r="L350" s="60" t="n"/>
      <c r="M350" s="61" t="n"/>
      <c r="N350" s="60" t="n"/>
      <c r="O350" s="60" t="n"/>
      <c r="P350" s="60" t="n"/>
      <c r="Q350" s="60" t="n"/>
      <c r="R350" s="60" t="n"/>
      <c r="S350" s="60" t="n"/>
      <c r="T350" s="60" t="n"/>
      <c r="U350" s="60" t="n"/>
      <c r="V350" s="60" t="n"/>
      <c r="W350" s="60" t="n"/>
      <c r="X350" s="60" t="n"/>
      <c r="Y350" s="60" t="n"/>
      <c r="Z350" s="61" t="n"/>
      <c r="AA350" s="63">
        <f>IF($H350="","",TODAY()-$H350)</f>
        <v/>
      </c>
      <c r="AB350" s="63">
        <f>IF($A350="","",IF(AND($F350="Yes",OR($U350="No",$U350="NOT FOUND")),"YES",""))</f>
        <v/>
      </c>
      <c r="AC350" s="66">
        <f>IF($A350="","",TRIM(IF(AND($P350=0,$L350&lt;&gt;"Yes"),"T0-NoSmartcard ","")&amp;IF(AND($J350&lt;&gt;"",$J350&gt;365),"StalePwd ","")&amp;IF($K350="Yes","PwdNeverExpires ","")&amp;IF(AND($S350&lt;&gt;"",$S350&lt;&gt;"None"),"Delegation ","")&amp;IF(AND($Q350=1,$O350="None"),"StaleAdminCount ","")&amp;IF(AND($F350="Yes",$H350=""),"NeverLoggedOn ","")))</f>
        <v/>
      </c>
      <c r="AD350" s="60" t="n"/>
      <c r="AE350" s="61" t="n"/>
      <c r="AF350" s="60" t="n"/>
      <c r="AG350" s="62" t="n"/>
      <c r="AH350" s="62" t="n"/>
      <c r="AI350" s="62" t="n"/>
      <c r="AJ350" s="60" t="n"/>
      <c r="AK350" s="61" t="n"/>
      <c r="AL350" s="63">
        <f>IF($A350="","",IF(AH350="","Not Enrolled",IF(TODAY()&gt;AH350,"Review Overdue",IF(AH350-TODAY()&lt;=30,"Review Due Soon","Active"))))</f>
        <v/>
      </c>
      <c r="AM350" s="63">
        <f>IF($A350="","",IF(AI350="","NOT REVIEWED",IF(TODAY()-AI350&gt;90,"OVERDUE",IF(TODAY()-AI350&gt;76,"Due Soon","Current"))))</f>
        <v/>
      </c>
    </row>
    <row r="351" ht="15" customHeight="1" s="39">
      <c r="A351" s="60" t="n"/>
      <c r="B351" s="60" t="n"/>
      <c r="C351" s="61" t="n"/>
      <c r="D351" s="61" t="n"/>
      <c r="E351" s="60" t="n"/>
      <c r="F351" s="60" t="n"/>
      <c r="G351" s="62" t="n"/>
      <c r="H351" s="62" t="n"/>
      <c r="I351" s="62" t="n"/>
      <c r="J351" s="60" t="n"/>
      <c r="K351" s="60" t="n"/>
      <c r="L351" s="60" t="n"/>
      <c r="M351" s="61" t="n"/>
      <c r="N351" s="60" t="n"/>
      <c r="O351" s="60" t="n"/>
      <c r="P351" s="60" t="n"/>
      <c r="Q351" s="60" t="n"/>
      <c r="R351" s="60" t="n"/>
      <c r="S351" s="60" t="n"/>
      <c r="T351" s="60" t="n"/>
      <c r="U351" s="60" t="n"/>
      <c r="V351" s="60" t="n"/>
      <c r="W351" s="60" t="n"/>
      <c r="X351" s="60" t="n"/>
      <c r="Y351" s="60" t="n"/>
      <c r="Z351" s="61" t="n"/>
      <c r="AA351" s="63">
        <f>IF($H351="","",TODAY()-$H351)</f>
        <v/>
      </c>
      <c r="AB351" s="63">
        <f>IF($A351="","",IF(AND($F351="Yes",OR($U351="No",$U351="NOT FOUND")),"YES",""))</f>
        <v/>
      </c>
      <c r="AC351" s="66">
        <f>IF($A351="","",TRIM(IF(AND($P351=0,$L351&lt;&gt;"Yes"),"T0-NoSmartcard ","")&amp;IF(AND($J351&lt;&gt;"",$J351&gt;365),"StalePwd ","")&amp;IF($K351="Yes","PwdNeverExpires ","")&amp;IF(AND($S351&lt;&gt;"",$S351&lt;&gt;"None"),"Delegation ","")&amp;IF(AND($Q351=1,$O351="None"),"StaleAdminCount ","")&amp;IF(AND($F351="Yes",$H351=""),"NeverLoggedOn ","")))</f>
        <v/>
      </c>
      <c r="AD351" s="60" t="n"/>
      <c r="AE351" s="61" t="n"/>
      <c r="AF351" s="60" t="n"/>
      <c r="AG351" s="62" t="n"/>
      <c r="AH351" s="62" t="n"/>
      <c r="AI351" s="62" t="n"/>
      <c r="AJ351" s="60" t="n"/>
      <c r="AK351" s="61" t="n"/>
      <c r="AL351" s="63">
        <f>IF($A351="","",IF(AH351="","Not Enrolled",IF(TODAY()&gt;AH351,"Review Overdue",IF(AH351-TODAY()&lt;=30,"Review Due Soon","Active"))))</f>
        <v/>
      </c>
      <c r="AM351" s="63">
        <f>IF($A351="","",IF(AI351="","NOT REVIEWED",IF(TODAY()-AI351&gt;90,"OVERDUE",IF(TODAY()-AI351&gt;76,"Due Soon","Current"))))</f>
        <v/>
      </c>
    </row>
    <row r="352" ht="15" customHeight="1" s="39">
      <c r="A352" s="60" t="n"/>
      <c r="B352" s="60" t="n"/>
      <c r="C352" s="61" t="n"/>
      <c r="D352" s="61" t="n"/>
      <c r="E352" s="60" t="n"/>
      <c r="F352" s="60" t="n"/>
      <c r="G352" s="62" t="n"/>
      <c r="H352" s="62" t="n"/>
      <c r="I352" s="62" t="n"/>
      <c r="J352" s="60" t="n"/>
      <c r="K352" s="60" t="n"/>
      <c r="L352" s="60" t="n"/>
      <c r="M352" s="61" t="n"/>
      <c r="N352" s="60" t="n"/>
      <c r="O352" s="60" t="n"/>
      <c r="P352" s="60" t="n"/>
      <c r="Q352" s="60" t="n"/>
      <c r="R352" s="60" t="n"/>
      <c r="S352" s="60" t="n"/>
      <c r="T352" s="60" t="n"/>
      <c r="U352" s="60" t="n"/>
      <c r="V352" s="60" t="n"/>
      <c r="W352" s="60" t="n"/>
      <c r="X352" s="60" t="n"/>
      <c r="Y352" s="60" t="n"/>
      <c r="Z352" s="61" t="n"/>
      <c r="AA352" s="63">
        <f>IF($H352="","",TODAY()-$H352)</f>
        <v/>
      </c>
      <c r="AB352" s="63">
        <f>IF($A352="","",IF(AND($F352="Yes",OR($U352="No",$U352="NOT FOUND")),"YES",""))</f>
        <v/>
      </c>
      <c r="AC352" s="66">
        <f>IF($A352="","",TRIM(IF(AND($P352=0,$L352&lt;&gt;"Yes"),"T0-NoSmartcard ","")&amp;IF(AND($J352&lt;&gt;"",$J352&gt;365),"StalePwd ","")&amp;IF($K352="Yes","PwdNeverExpires ","")&amp;IF(AND($S352&lt;&gt;"",$S352&lt;&gt;"None"),"Delegation ","")&amp;IF(AND($Q352=1,$O352="None"),"StaleAdminCount ","")&amp;IF(AND($F352="Yes",$H352=""),"NeverLoggedOn ","")))</f>
        <v/>
      </c>
      <c r="AD352" s="60" t="n"/>
      <c r="AE352" s="61" t="n"/>
      <c r="AF352" s="60" t="n"/>
      <c r="AG352" s="62" t="n"/>
      <c r="AH352" s="62" t="n"/>
      <c r="AI352" s="62" t="n"/>
      <c r="AJ352" s="60" t="n"/>
      <c r="AK352" s="61" t="n"/>
      <c r="AL352" s="63">
        <f>IF($A352="","",IF(AH352="","Not Enrolled",IF(TODAY()&gt;AH352,"Review Overdue",IF(AH352-TODAY()&lt;=30,"Review Due Soon","Active"))))</f>
        <v/>
      </c>
      <c r="AM352" s="63">
        <f>IF($A352="","",IF(AI352="","NOT REVIEWED",IF(TODAY()-AI352&gt;90,"OVERDUE",IF(TODAY()-AI352&gt;76,"Due Soon","Current"))))</f>
        <v/>
      </c>
    </row>
    <row r="353" ht="15" customHeight="1" s="39">
      <c r="A353" s="60" t="n"/>
      <c r="B353" s="60" t="n"/>
      <c r="C353" s="61" t="n"/>
      <c r="D353" s="61" t="n"/>
      <c r="E353" s="60" t="n"/>
      <c r="F353" s="60" t="n"/>
      <c r="G353" s="62" t="n"/>
      <c r="H353" s="62" t="n"/>
      <c r="I353" s="62" t="n"/>
      <c r="J353" s="60" t="n"/>
      <c r="K353" s="60" t="n"/>
      <c r="L353" s="60" t="n"/>
      <c r="M353" s="61" t="n"/>
      <c r="N353" s="60" t="n"/>
      <c r="O353" s="60" t="n"/>
      <c r="P353" s="60" t="n"/>
      <c r="Q353" s="60" t="n"/>
      <c r="R353" s="60" t="n"/>
      <c r="S353" s="60" t="n"/>
      <c r="T353" s="60" t="n"/>
      <c r="U353" s="60" t="n"/>
      <c r="V353" s="60" t="n"/>
      <c r="W353" s="60" t="n"/>
      <c r="X353" s="60" t="n"/>
      <c r="Y353" s="60" t="n"/>
      <c r="Z353" s="61" t="n"/>
      <c r="AA353" s="63">
        <f>IF($H353="","",TODAY()-$H353)</f>
        <v/>
      </c>
      <c r="AB353" s="63">
        <f>IF($A353="","",IF(AND($F353="Yes",OR($U353="No",$U353="NOT FOUND")),"YES",""))</f>
        <v/>
      </c>
      <c r="AC353" s="66">
        <f>IF($A353="","",TRIM(IF(AND($P353=0,$L353&lt;&gt;"Yes"),"T0-NoSmartcard ","")&amp;IF(AND($J353&lt;&gt;"",$J353&gt;365),"StalePwd ","")&amp;IF($K353="Yes","PwdNeverExpires ","")&amp;IF(AND($S353&lt;&gt;"",$S353&lt;&gt;"None"),"Delegation ","")&amp;IF(AND($Q353=1,$O353="None"),"StaleAdminCount ","")&amp;IF(AND($F353="Yes",$H353=""),"NeverLoggedOn ","")))</f>
        <v/>
      </c>
      <c r="AD353" s="60" t="n"/>
      <c r="AE353" s="61" t="n"/>
      <c r="AF353" s="60" t="n"/>
      <c r="AG353" s="62" t="n"/>
      <c r="AH353" s="62" t="n"/>
      <c r="AI353" s="62" t="n"/>
      <c r="AJ353" s="60" t="n"/>
      <c r="AK353" s="61" t="n"/>
      <c r="AL353" s="63">
        <f>IF($A353="","",IF(AH353="","Not Enrolled",IF(TODAY()&gt;AH353,"Review Overdue",IF(AH353-TODAY()&lt;=30,"Review Due Soon","Active"))))</f>
        <v/>
      </c>
      <c r="AM353" s="63">
        <f>IF($A353="","",IF(AI353="","NOT REVIEWED",IF(TODAY()-AI353&gt;90,"OVERDUE",IF(TODAY()-AI353&gt;76,"Due Soon","Current"))))</f>
        <v/>
      </c>
    </row>
    <row r="354" ht="15" customHeight="1" s="39">
      <c r="A354" s="60" t="n"/>
      <c r="B354" s="60" t="n"/>
      <c r="C354" s="61" t="n"/>
      <c r="D354" s="61" t="n"/>
      <c r="E354" s="60" t="n"/>
      <c r="F354" s="60" t="n"/>
      <c r="G354" s="62" t="n"/>
      <c r="H354" s="62" t="n"/>
      <c r="I354" s="62" t="n"/>
      <c r="J354" s="60" t="n"/>
      <c r="K354" s="60" t="n"/>
      <c r="L354" s="60" t="n"/>
      <c r="M354" s="61" t="n"/>
      <c r="N354" s="60" t="n"/>
      <c r="O354" s="60" t="n"/>
      <c r="P354" s="60" t="n"/>
      <c r="Q354" s="60" t="n"/>
      <c r="R354" s="60" t="n"/>
      <c r="S354" s="60" t="n"/>
      <c r="T354" s="60" t="n"/>
      <c r="U354" s="60" t="n"/>
      <c r="V354" s="60" t="n"/>
      <c r="W354" s="60" t="n"/>
      <c r="X354" s="60" t="n"/>
      <c r="Y354" s="60" t="n"/>
      <c r="Z354" s="61" t="n"/>
      <c r="AA354" s="63">
        <f>IF($H354="","",TODAY()-$H354)</f>
        <v/>
      </c>
      <c r="AB354" s="63">
        <f>IF($A354="","",IF(AND($F354="Yes",OR($U354="No",$U354="NOT FOUND")),"YES",""))</f>
        <v/>
      </c>
      <c r="AC354" s="66">
        <f>IF($A354="","",TRIM(IF(AND($P354=0,$L354&lt;&gt;"Yes"),"T0-NoSmartcard ","")&amp;IF(AND($J354&lt;&gt;"",$J354&gt;365),"StalePwd ","")&amp;IF($K354="Yes","PwdNeverExpires ","")&amp;IF(AND($S354&lt;&gt;"",$S354&lt;&gt;"None"),"Delegation ","")&amp;IF(AND($Q354=1,$O354="None"),"StaleAdminCount ","")&amp;IF(AND($F354="Yes",$H354=""),"NeverLoggedOn ","")))</f>
        <v/>
      </c>
      <c r="AD354" s="60" t="n"/>
      <c r="AE354" s="61" t="n"/>
      <c r="AF354" s="60" t="n"/>
      <c r="AG354" s="62" t="n"/>
      <c r="AH354" s="62" t="n"/>
      <c r="AI354" s="62" t="n"/>
      <c r="AJ354" s="60" t="n"/>
      <c r="AK354" s="61" t="n"/>
      <c r="AL354" s="63">
        <f>IF($A354="","",IF(AH354="","Not Enrolled",IF(TODAY()&gt;AH354,"Review Overdue",IF(AH354-TODAY()&lt;=30,"Review Due Soon","Active"))))</f>
        <v/>
      </c>
      <c r="AM354" s="63">
        <f>IF($A354="","",IF(AI354="","NOT REVIEWED",IF(TODAY()-AI354&gt;90,"OVERDUE",IF(TODAY()-AI354&gt;76,"Due Soon","Current"))))</f>
        <v/>
      </c>
    </row>
    <row r="355" ht="15" customHeight="1" s="39">
      <c r="A355" s="60" t="n"/>
      <c r="B355" s="60" t="n"/>
      <c r="C355" s="61" t="n"/>
      <c r="D355" s="61" t="n"/>
      <c r="E355" s="60" t="n"/>
      <c r="F355" s="60" t="n"/>
      <c r="G355" s="62" t="n"/>
      <c r="H355" s="62" t="n"/>
      <c r="I355" s="62" t="n"/>
      <c r="J355" s="60" t="n"/>
      <c r="K355" s="60" t="n"/>
      <c r="L355" s="60" t="n"/>
      <c r="M355" s="61" t="n"/>
      <c r="N355" s="60" t="n"/>
      <c r="O355" s="60" t="n"/>
      <c r="P355" s="60" t="n"/>
      <c r="Q355" s="60" t="n"/>
      <c r="R355" s="60" t="n"/>
      <c r="S355" s="60" t="n"/>
      <c r="T355" s="60" t="n"/>
      <c r="U355" s="60" t="n"/>
      <c r="V355" s="60" t="n"/>
      <c r="W355" s="60" t="n"/>
      <c r="X355" s="60" t="n"/>
      <c r="Y355" s="60" t="n"/>
      <c r="Z355" s="61" t="n"/>
      <c r="AA355" s="63">
        <f>IF($H355="","",TODAY()-$H355)</f>
        <v/>
      </c>
      <c r="AB355" s="63">
        <f>IF($A355="","",IF(AND($F355="Yes",OR($U355="No",$U355="NOT FOUND")),"YES",""))</f>
        <v/>
      </c>
      <c r="AC355" s="66">
        <f>IF($A355="","",TRIM(IF(AND($P355=0,$L355&lt;&gt;"Yes"),"T0-NoSmartcard ","")&amp;IF(AND($J355&lt;&gt;"",$J355&gt;365),"StalePwd ","")&amp;IF($K355="Yes","PwdNeverExpires ","")&amp;IF(AND($S355&lt;&gt;"",$S355&lt;&gt;"None"),"Delegation ","")&amp;IF(AND($Q355=1,$O355="None"),"StaleAdminCount ","")&amp;IF(AND($F355="Yes",$H355=""),"NeverLoggedOn ","")))</f>
        <v/>
      </c>
      <c r="AD355" s="60" t="n"/>
      <c r="AE355" s="61" t="n"/>
      <c r="AF355" s="60" t="n"/>
      <c r="AG355" s="62" t="n"/>
      <c r="AH355" s="62" t="n"/>
      <c r="AI355" s="62" t="n"/>
      <c r="AJ355" s="60" t="n"/>
      <c r="AK355" s="61" t="n"/>
      <c r="AL355" s="63">
        <f>IF($A355="","",IF(AH355="","Not Enrolled",IF(TODAY()&gt;AH355,"Review Overdue",IF(AH355-TODAY()&lt;=30,"Review Due Soon","Active"))))</f>
        <v/>
      </c>
      <c r="AM355" s="63">
        <f>IF($A355="","",IF(AI355="","NOT REVIEWED",IF(TODAY()-AI355&gt;90,"OVERDUE",IF(TODAY()-AI355&gt;76,"Due Soon","Current"))))</f>
        <v/>
      </c>
    </row>
    <row r="356" ht="15" customHeight="1" s="39">
      <c r="A356" s="60" t="n"/>
      <c r="B356" s="60" t="n"/>
      <c r="C356" s="61" t="n"/>
      <c r="D356" s="61" t="n"/>
      <c r="E356" s="60" t="n"/>
      <c r="F356" s="60" t="n"/>
      <c r="G356" s="62" t="n"/>
      <c r="H356" s="62" t="n"/>
      <c r="I356" s="62" t="n"/>
      <c r="J356" s="60" t="n"/>
      <c r="K356" s="60" t="n"/>
      <c r="L356" s="60" t="n"/>
      <c r="M356" s="61" t="n"/>
      <c r="N356" s="60" t="n"/>
      <c r="O356" s="60" t="n"/>
      <c r="P356" s="60" t="n"/>
      <c r="Q356" s="60" t="n"/>
      <c r="R356" s="60" t="n"/>
      <c r="S356" s="60" t="n"/>
      <c r="T356" s="60" t="n"/>
      <c r="U356" s="60" t="n"/>
      <c r="V356" s="60" t="n"/>
      <c r="W356" s="60" t="n"/>
      <c r="X356" s="60" t="n"/>
      <c r="Y356" s="60" t="n"/>
      <c r="Z356" s="61" t="n"/>
      <c r="AA356" s="63">
        <f>IF($H356="","",TODAY()-$H356)</f>
        <v/>
      </c>
      <c r="AB356" s="63">
        <f>IF($A356="","",IF(AND($F356="Yes",OR($U356="No",$U356="NOT FOUND")),"YES",""))</f>
        <v/>
      </c>
      <c r="AC356" s="66">
        <f>IF($A356="","",TRIM(IF(AND($P356=0,$L356&lt;&gt;"Yes"),"T0-NoSmartcard ","")&amp;IF(AND($J356&lt;&gt;"",$J356&gt;365),"StalePwd ","")&amp;IF($K356="Yes","PwdNeverExpires ","")&amp;IF(AND($S356&lt;&gt;"",$S356&lt;&gt;"None"),"Delegation ","")&amp;IF(AND($Q356=1,$O356="None"),"StaleAdminCount ","")&amp;IF(AND($F356="Yes",$H356=""),"NeverLoggedOn ","")))</f>
        <v/>
      </c>
      <c r="AD356" s="60" t="n"/>
      <c r="AE356" s="61" t="n"/>
      <c r="AF356" s="60" t="n"/>
      <c r="AG356" s="62" t="n"/>
      <c r="AH356" s="62" t="n"/>
      <c r="AI356" s="62" t="n"/>
      <c r="AJ356" s="60" t="n"/>
      <c r="AK356" s="61" t="n"/>
      <c r="AL356" s="63">
        <f>IF($A356="","",IF(AH356="","Not Enrolled",IF(TODAY()&gt;AH356,"Review Overdue",IF(AH356-TODAY()&lt;=30,"Review Due Soon","Active"))))</f>
        <v/>
      </c>
      <c r="AM356" s="63">
        <f>IF($A356="","",IF(AI356="","NOT REVIEWED",IF(TODAY()-AI356&gt;90,"OVERDUE",IF(TODAY()-AI356&gt;76,"Due Soon","Current"))))</f>
        <v/>
      </c>
    </row>
    <row r="357" ht="15" customHeight="1" s="39">
      <c r="A357" s="60" t="n"/>
      <c r="B357" s="60" t="n"/>
      <c r="C357" s="61" t="n"/>
      <c r="D357" s="61" t="n"/>
      <c r="E357" s="60" t="n"/>
      <c r="F357" s="60" t="n"/>
      <c r="G357" s="62" t="n"/>
      <c r="H357" s="62" t="n"/>
      <c r="I357" s="62" t="n"/>
      <c r="J357" s="60" t="n"/>
      <c r="K357" s="60" t="n"/>
      <c r="L357" s="60" t="n"/>
      <c r="M357" s="61" t="n"/>
      <c r="N357" s="60" t="n"/>
      <c r="O357" s="60" t="n"/>
      <c r="P357" s="60" t="n"/>
      <c r="Q357" s="60" t="n"/>
      <c r="R357" s="60" t="n"/>
      <c r="S357" s="60" t="n"/>
      <c r="T357" s="60" t="n"/>
      <c r="U357" s="60" t="n"/>
      <c r="V357" s="60" t="n"/>
      <c r="W357" s="60" t="n"/>
      <c r="X357" s="60" t="n"/>
      <c r="Y357" s="60" t="n"/>
      <c r="Z357" s="61" t="n"/>
      <c r="AA357" s="63">
        <f>IF($H357="","",TODAY()-$H357)</f>
        <v/>
      </c>
      <c r="AB357" s="63">
        <f>IF($A357="","",IF(AND($F357="Yes",OR($U357="No",$U357="NOT FOUND")),"YES",""))</f>
        <v/>
      </c>
      <c r="AC357" s="66">
        <f>IF($A357="","",TRIM(IF(AND($P357=0,$L357&lt;&gt;"Yes"),"T0-NoSmartcard ","")&amp;IF(AND($J357&lt;&gt;"",$J357&gt;365),"StalePwd ","")&amp;IF($K357="Yes","PwdNeverExpires ","")&amp;IF(AND($S357&lt;&gt;"",$S357&lt;&gt;"None"),"Delegation ","")&amp;IF(AND($Q357=1,$O357="None"),"StaleAdminCount ","")&amp;IF(AND($F357="Yes",$H357=""),"NeverLoggedOn ","")))</f>
        <v/>
      </c>
      <c r="AD357" s="60" t="n"/>
      <c r="AE357" s="61" t="n"/>
      <c r="AF357" s="60" t="n"/>
      <c r="AG357" s="62" t="n"/>
      <c r="AH357" s="62" t="n"/>
      <c r="AI357" s="62" t="n"/>
      <c r="AJ357" s="60" t="n"/>
      <c r="AK357" s="61" t="n"/>
      <c r="AL357" s="63">
        <f>IF($A357="","",IF(AH357="","Not Enrolled",IF(TODAY()&gt;AH357,"Review Overdue",IF(AH357-TODAY()&lt;=30,"Review Due Soon","Active"))))</f>
        <v/>
      </c>
      <c r="AM357" s="63">
        <f>IF($A357="","",IF(AI357="","NOT REVIEWED",IF(TODAY()-AI357&gt;90,"OVERDUE",IF(TODAY()-AI357&gt;76,"Due Soon","Current"))))</f>
        <v/>
      </c>
    </row>
    <row r="358" ht="15" customHeight="1" s="39">
      <c r="A358" s="60" t="n"/>
      <c r="B358" s="60" t="n"/>
      <c r="C358" s="61" t="n"/>
      <c r="D358" s="61" t="n"/>
      <c r="E358" s="60" t="n"/>
      <c r="F358" s="60" t="n"/>
      <c r="G358" s="62" t="n"/>
      <c r="H358" s="62" t="n"/>
      <c r="I358" s="62" t="n"/>
      <c r="J358" s="60" t="n"/>
      <c r="K358" s="60" t="n"/>
      <c r="L358" s="60" t="n"/>
      <c r="M358" s="61" t="n"/>
      <c r="N358" s="60" t="n"/>
      <c r="O358" s="60" t="n"/>
      <c r="P358" s="60" t="n"/>
      <c r="Q358" s="60" t="n"/>
      <c r="R358" s="60" t="n"/>
      <c r="S358" s="60" t="n"/>
      <c r="T358" s="60" t="n"/>
      <c r="U358" s="60" t="n"/>
      <c r="V358" s="60" t="n"/>
      <c r="W358" s="60" t="n"/>
      <c r="X358" s="60" t="n"/>
      <c r="Y358" s="60" t="n"/>
      <c r="Z358" s="61" t="n"/>
      <c r="AA358" s="63">
        <f>IF($H358="","",TODAY()-$H358)</f>
        <v/>
      </c>
      <c r="AB358" s="63">
        <f>IF($A358="","",IF(AND($F358="Yes",OR($U358="No",$U358="NOT FOUND")),"YES",""))</f>
        <v/>
      </c>
      <c r="AC358" s="66">
        <f>IF($A358="","",TRIM(IF(AND($P358=0,$L358&lt;&gt;"Yes"),"T0-NoSmartcard ","")&amp;IF(AND($J358&lt;&gt;"",$J358&gt;365),"StalePwd ","")&amp;IF($K358="Yes","PwdNeverExpires ","")&amp;IF(AND($S358&lt;&gt;"",$S358&lt;&gt;"None"),"Delegation ","")&amp;IF(AND($Q358=1,$O358="None"),"StaleAdminCount ","")&amp;IF(AND($F358="Yes",$H358=""),"NeverLoggedOn ","")))</f>
        <v/>
      </c>
      <c r="AD358" s="60" t="n"/>
      <c r="AE358" s="61" t="n"/>
      <c r="AF358" s="60" t="n"/>
      <c r="AG358" s="62" t="n"/>
      <c r="AH358" s="62" t="n"/>
      <c r="AI358" s="62" t="n"/>
      <c r="AJ358" s="60" t="n"/>
      <c r="AK358" s="61" t="n"/>
      <c r="AL358" s="63">
        <f>IF($A358="","",IF(AH358="","Not Enrolled",IF(TODAY()&gt;AH358,"Review Overdue",IF(AH358-TODAY()&lt;=30,"Review Due Soon","Active"))))</f>
        <v/>
      </c>
      <c r="AM358" s="63">
        <f>IF($A358="","",IF(AI358="","NOT REVIEWED",IF(TODAY()-AI358&gt;90,"OVERDUE",IF(TODAY()-AI358&gt;76,"Due Soon","Current"))))</f>
        <v/>
      </c>
    </row>
    <row r="359" ht="15" customHeight="1" s="39">
      <c r="A359" s="60" t="n"/>
      <c r="B359" s="60" t="n"/>
      <c r="C359" s="61" t="n"/>
      <c r="D359" s="61" t="n"/>
      <c r="E359" s="60" t="n"/>
      <c r="F359" s="60" t="n"/>
      <c r="G359" s="62" t="n"/>
      <c r="H359" s="62" t="n"/>
      <c r="I359" s="62" t="n"/>
      <c r="J359" s="60" t="n"/>
      <c r="K359" s="60" t="n"/>
      <c r="L359" s="60" t="n"/>
      <c r="M359" s="61" t="n"/>
      <c r="N359" s="60" t="n"/>
      <c r="O359" s="60" t="n"/>
      <c r="P359" s="60" t="n"/>
      <c r="Q359" s="60" t="n"/>
      <c r="R359" s="60" t="n"/>
      <c r="S359" s="60" t="n"/>
      <c r="T359" s="60" t="n"/>
      <c r="U359" s="60" t="n"/>
      <c r="V359" s="60" t="n"/>
      <c r="W359" s="60" t="n"/>
      <c r="X359" s="60" t="n"/>
      <c r="Y359" s="60" t="n"/>
      <c r="Z359" s="61" t="n"/>
      <c r="AA359" s="63">
        <f>IF($H359="","",TODAY()-$H359)</f>
        <v/>
      </c>
      <c r="AB359" s="63">
        <f>IF($A359="","",IF(AND($F359="Yes",OR($U359="No",$U359="NOT FOUND")),"YES",""))</f>
        <v/>
      </c>
      <c r="AC359" s="66">
        <f>IF($A359="","",TRIM(IF(AND($P359=0,$L359&lt;&gt;"Yes"),"T0-NoSmartcard ","")&amp;IF(AND($J359&lt;&gt;"",$J359&gt;365),"StalePwd ","")&amp;IF($K359="Yes","PwdNeverExpires ","")&amp;IF(AND($S359&lt;&gt;"",$S359&lt;&gt;"None"),"Delegation ","")&amp;IF(AND($Q359=1,$O359="None"),"StaleAdminCount ","")&amp;IF(AND($F359="Yes",$H359=""),"NeverLoggedOn ","")))</f>
        <v/>
      </c>
      <c r="AD359" s="60" t="n"/>
      <c r="AE359" s="61" t="n"/>
      <c r="AF359" s="60" t="n"/>
      <c r="AG359" s="62" t="n"/>
      <c r="AH359" s="62" t="n"/>
      <c r="AI359" s="62" t="n"/>
      <c r="AJ359" s="60" t="n"/>
      <c r="AK359" s="61" t="n"/>
      <c r="AL359" s="63">
        <f>IF($A359="","",IF(AH359="","Not Enrolled",IF(TODAY()&gt;AH359,"Review Overdue",IF(AH359-TODAY()&lt;=30,"Review Due Soon","Active"))))</f>
        <v/>
      </c>
      <c r="AM359" s="63">
        <f>IF($A359="","",IF(AI359="","NOT REVIEWED",IF(TODAY()-AI359&gt;90,"OVERDUE",IF(TODAY()-AI359&gt;76,"Due Soon","Current"))))</f>
        <v/>
      </c>
    </row>
    <row r="360" ht="15" customHeight="1" s="39">
      <c r="A360" s="60" t="n"/>
      <c r="B360" s="60" t="n"/>
      <c r="C360" s="61" t="n"/>
      <c r="D360" s="61" t="n"/>
      <c r="E360" s="60" t="n"/>
      <c r="F360" s="60" t="n"/>
      <c r="G360" s="62" t="n"/>
      <c r="H360" s="62" t="n"/>
      <c r="I360" s="62" t="n"/>
      <c r="J360" s="60" t="n"/>
      <c r="K360" s="60" t="n"/>
      <c r="L360" s="60" t="n"/>
      <c r="M360" s="61" t="n"/>
      <c r="N360" s="60" t="n"/>
      <c r="O360" s="60" t="n"/>
      <c r="P360" s="60" t="n"/>
      <c r="Q360" s="60" t="n"/>
      <c r="R360" s="60" t="n"/>
      <c r="S360" s="60" t="n"/>
      <c r="T360" s="60" t="n"/>
      <c r="U360" s="60" t="n"/>
      <c r="V360" s="60" t="n"/>
      <c r="W360" s="60" t="n"/>
      <c r="X360" s="60" t="n"/>
      <c r="Y360" s="60" t="n"/>
      <c r="Z360" s="61" t="n"/>
      <c r="AA360" s="63">
        <f>IF($H360="","",TODAY()-$H360)</f>
        <v/>
      </c>
      <c r="AB360" s="63">
        <f>IF($A360="","",IF(AND($F360="Yes",OR($U360="No",$U360="NOT FOUND")),"YES",""))</f>
        <v/>
      </c>
      <c r="AC360" s="66">
        <f>IF($A360="","",TRIM(IF(AND($P360=0,$L360&lt;&gt;"Yes"),"T0-NoSmartcard ","")&amp;IF(AND($J360&lt;&gt;"",$J360&gt;365),"StalePwd ","")&amp;IF($K360="Yes","PwdNeverExpires ","")&amp;IF(AND($S360&lt;&gt;"",$S360&lt;&gt;"None"),"Delegation ","")&amp;IF(AND($Q360=1,$O360="None"),"StaleAdminCount ","")&amp;IF(AND($F360="Yes",$H360=""),"NeverLoggedOn ","")))</f>
        <v/>
      </c>
      <c r="AD360" s="60" t="n"/>
      <c r="AE360" s="61" t="n"/>
      <c r="AF360" s="60" t="n"/>
      <c r="AG360" s="62" t="n"/>
      <c r="AH360" s="62" t="n"/>
      <c r="AI360" s="62" t="n"/>
      <c r="AJ360" s="60" t="n"/>
      <c r="AK360" s="61" t="n"/>
      <c r="AL360" s="63">
        <f>IF($A360="","",IF(AH360="","Not Enrolled",IF(TODAY()&gt;AH360,"Review Overdue",IF(AH360-TODAY()&lt;=30,"Review Due Soon","Active"))))</f>
        <v/>
      </c>
      <c r="AM360" s="63">
        <f>IF($A360="","",IF(AI360="","NOT REVIEWED",IF(TODAY()-AI360&gt;90,"OVERDUE",IF(TODAY()-AI360&gt;76,"Due Soon","Current"))))</f>
        <v/>
      </c>
    </row>
    <row r="361" ht="15" customHeight="1" s="39">
      <c r="A361" s="60" t="n"/>
      <c r="B361" s="60" t="n"/>
      <c r="C361" s="61" t="n"/>
      <c r="D361" s="61" t="n"/>
      <c r="E361" s="60" t="n"/>
      <c r="F361" s="60" t="n"/>
      <c r="G361" s="62" t="n"/>
      <c r="H361" s="62" t="n"/>
      <c r="I361" s="62" t="n"/>
      <c r="J361" s="60" t="n"/>
      <c r="K361" s="60" t="n"/>
      <c r="L361" s="60" t="n"/>
      <c r="M361" s="61" t="n"/>
      <c r="N361" s="60" t="n"/>
      <c r="O361" s="60" t="n"/>
      <c r="P361" s="60" t="n"/>
      <c r="Q361" s="60" t="n"/>
      <c r="R361" s="60" t="n"/>
      <c r="S361" s="60" t="n"/>
      <c r="T361" s="60" t="n"/>
      <c r="U361" s="60" t="n"/>
      <c r="V361" s="60" t="n"/>
      <c r="W361" s="60" t="n"/>
      <c r="X361" s="60" t="n"/>
      <c r="Y361" s="60" t="n"/>
      <c r="Z361" s="61" t="n"/>
      <c r="AA361" s="63">
        <f>IF($H361="","",TODAY()-$H361)</f>
        <v/>
      </c>
      <c r="AB361" s="63">
        <f>IF($A361="","",IF(AND($F361="Yes",OR($U361="No",$U361="NOT FOUND")),"YES",""))</f>
        <v/>
      </c>
      <c r="AC361" s="66">
        <f>IF($A361="","",TRIM(IF(AND($P361=0,$L361&lt;&gt;"Yes"),"T0-NoSmartcard ","")&amp;IF(AND($J361&lt;&gt;"",$J361&gt;365),"StalePwd ","")&amp;IF($K361="Yes","PwdNeverExpires ","")&amp;IF(AND($S361&lt;&gt;"",$S361&lt;&gt;"None"),"Delegation ","")&amp;IF(AND($Q361=1,$O361="None"),"StaleAdminCount ","")&amp;IF(AND($F361="Yes",$H361=""),"NeverLoggedOn ","")))</f>
        <v/>
      </c>
      <c r="AD361" s="60" t="n"/>
      <c r="AE361" s="61" t="n"/>
      <c r="AF361" s="60" t="n"/>
      <c r="AG361" s="62" t="n"/>
      <c r="AH361" s="62" t="n"/>
      <c r="AI361" s="62" t="n"/>
      <c r="AJ361" s="60" t="n"/>
      <c r="AK361" s="61" t="n"/>
      <c r="AL361" s="63">
        <f>IF($A361="","",IF(AH361="","Not Enrolled",IF(TODAY()&gt;AH361,"Review Overdue",IF(AH361-TODAY()&lt;=30,"Review Due Soon","Active"))))</f>
        <v/>
      </c>
      <c r="AM361" s="63">
        <f>IF($A361="","",IF(AI361="","NOT REVIEWED",IF(TODAY()-AI361&gt;90,"OVERDUE",IF(TODAY()-AI361&gt;76,"Due Soon","Current"))))</f>
        <v/>
      </c>
    </row>
    <row r="362" ht="15" customHeight="1" s="39">
      <c r="A362" s="60" t="n"/>
      <c r="B362" s="60" t="n"/>
      <c r="C362" s="61" t="n"/>
      <c r="D362" s="61" t="n"/>
      <c r="E362" s="60" t="n"/>
      <c r="F362" s="60" t="n"/>
      <c r="G362" s="62" t="n"/>
      <c r="H362" s="62" t="n"/>
      <c r="I362" s="62" t="n"/>
      <c r="J362" s="60" t="n"/>
      <c r="K362" s="60" t="n"/>
      <c r="L362" s="60" t="n"/>
      <c r="M362" s="61" t="n"/>
      <c r="N362" s="60" t="n"/>
      <c r="O362" s="60" t="n"/>
      <c r="P362" s="60" t="n"/>
      <c r="Q362" s="60" t="n"/>
      <c r="R362" s="60" t="n"/>
      <c r="S362" s="60" t="n"/>
      <c r="T362" s="60" t="n"/>
      <c r="U362" s="60" t="n"/>
      <c r="V362" s="60" t="n"/>
      <c r="W362" s="60" t="n"/>
      <c r="X362" s="60" t="n"/>
      <c r="Y362" s="60" t="n"/>
      <c r="Z362" s="61" t="n"/>
      <c r="AA362" s="63">
        <f>IF($H362="","",TODAY()-$H362)</f>
        <v/>
      </c>
      <c r="AB362" s="63">
        <f>IF($A362="","",IF(AND($F362="Yes",OR($U362="No",$U362="NOT FOUND")),"YES",""))</f>
        <v/>
      </c>
      <c r="AC362" s="66">
        <f>IF($A362="","",TRIM(IF(AND($P362=0,$L362&lt;&gt;"Yes"),"T0-NoSmartcard ","")&amp;IF(AND($J362&lt;&gt;"",$J362&gt;365),"StalePwd ","")&amp;IF($K362="Yes","PwdNeverExpires ","")&amp;IF(AND($S362&lt;&gt;"",$S362&lt;&gt;"None"),"Delegation ","")&amp;IF(AND($Q362=1,$O362="None"),"StaleAdminCount ","")&amp;IF(AND($F362="Yes",$H362=""),"NeverLoggedOn ","")))</f>
        <v/>
      </c>
      <c r="AD362" s="60" t="n"/>
      <c r="AE362" s="61" t="n"/>
      <c r="AF362" s="60" t="n"/>
      <c r="AG362" s="62" t="n"/>
      <c r="AH362" s="62" t="n"/>
      <c r="AI362" s="62" t="n"/>
      <c r="AJ362" s="60" t="n"/>
      <c r="AK362" s="61" t="n"/>
      <c r="AL362" s="63">
        <f>IF($A362="","",IF(AH362="","Not Enrolled",IF(TODAY()&gt;AH362,"Review Overdue",IF(AH362-TODAY()&lt;=30,"Review Due Soon","Active"))))</f>
        <v/>
      </c>
      <c r="AM362" s="63">
        <f>IF($A362="","",IF(AI362="","NOT REVIEWED",IF(TODAY()-AI362&gt;90,"OVERDUE",IF(TODAY()-AI362&gt;76,"Due Soon","Current"))))</f>
        <v/>
      </c>
    </row>
    <row r="363" ht="15" customHeight="1" s="39">
      <c r="A363" s="60" t="n"/>
      <c r="B363" s="60" t="n"/>
      <c r="C363" s="61" t="n"/>
      <c r="D363" s="61" t="n"/>
      <c r="E363" s="60" t="n"/>
      <c r="F363" s="60" t="n"/>
      <c r="G363" s="62" t="n"/>
      <c r="H363" s="62" t="n"/>
      <c r="I363" s="62" t="n"/>
      <c r="J363" s="60" t="n"/>
      <c r="K363" s="60" t="n"/>
      <c r="L363" s="60" t="n"/>
      <c r="M363" s="61" t="n"/>
      <c r="N363" s="60" t="n"/>
      <c r="O363" s="60" t="n"/>
      <c r="P363" s="60" t="n"/>
      <c r="Q363" s="60" t="n"/>
      <c r="R363" s="60" t="n"/>
      <c r="S363" s="60" t="n"/>
      <c r="T363" s="60" t="n"/>
      <c r="U363" s="60" t="n"/>
      <c r="V363" s="60" t="n"/>
      <c r="W363" s="60" t="n"/>
      <c r="X363" s="60" t="n"/>
      <c r="Y363" s="60" t="n"/>
      <c r="Z363" s="61" t="n"/>
      <c r="AA363" s="63">
        <f>IF($H363="","",TODAY()-$H363)</f>
        <v/>
      </c>
      <c r="AB363" s="63">
        <f>IF($A363="","",IF(AND($F363="Yes",OR($U363="No",$U363="NOT FOUND")),"YES",""))</f>
        <v/>
      </c>
      <c r="AC363" s="66">
        <f>IF($A363="","",TRIM(IF(AND($P363=0,$L363&lt;&gt;"Yes"),"T0-NoSmartcard ","")&amp;IF(AND($J363&lt;&gt;"",$J363&gt;365),"StalePwd ","")&amp;IF($K363="Yes","PwdNeverExpires ","")&amp;IF(AND($S363&lt;&gt;"",$S363&lt;&gt;"None"),"Delegation ","")&amp;IF(AND($Q363=1,$O363="None"),"StaleAdminCount ","")&amp;IF(AND($F363="Yes",$H363=""),"NeverLoggedOn ","")))</f>
        <v/>
      </c>
      <c r="AD363" s="60" t="n"/>
      <c r="AE363" s="61" t="n"/>
      <c r="AF363" s="60" t="n"/>
      <c r="AG363" s="62" t="n"/>
      <c r="AH363" s="62" t="n"/>
      <c r="AI363" s="62" t="n"/>
      <c r="AJ363" s="60" t="n"/>
      <c r="AK363" s="61" t="n"/>
      <c r="AL363" s="63">
        <f>IF($A363="","",IF(AH363="","Not Enrolled",IF(TODAY()&gt;AH363,"Review Overdue",IF(AH363-TODAY()&lt;=30,"Review Due Soon","Active"))))</f>
        <v/>
      </c>
      <c r="AM363" s="63">
        <f>IF($A363="","",IF(AI363="","NOT REVIEWED",IF(TODAY()-AI363&gt;90,"OVERDUE",IF(TODAY()-AI363&gt;76,"Due Soon","Current"))))</f>
        <v/>
      </c>
    </row>
    <row r="364" ht="15" customHeight="1" s="39">
      <c r="A364" s="60" t="n"/>
      <c r="B364" s="60" t="n"/>
      <c r="C364" s="61" t="n"/>
      <c r="D364" s="61" t="n"/>
      <c r="E364" s="60" t="n"/>
      <c r="F364" s="60" t="n"/>
      <c r="G364" s="62" t="n"/>
      <c r="H364" s="62" t="n"/>
      <c r="I364" s="62" t="n"/>
      <c r="J364" s="60" t="n"/>
      <c r="K364" s="60" t="n"/>
      <c r="L364" s="60" t="n"/>
      <c r="M364" s="61" t="n"/>
      <c r="N364" s="60" t="n"/>
      <c r="O364" s="60" t="n"/>
      <c r="P364" s="60" t="n"/>
      <c r="Q364" s="60" t="n"/>
      <c r="R364" s="60" t="n"/>
      <c r="S364" s="60" t="n"/>
      <c r="T364" s="60" t="n"/>
      <c r="U364" s="60" t="n"/>
      <c r="V364" s="60" t="n"/>
      <c r="W364" s="60" t="n"/>
      <c r="X364" s="60" t="n"/>
      <c r="Y364" s="60" t="n"/>
      <c r="Z364" s="61" t="n"/>
      <c r="AA364" s="63">
        <f>IF($H364="","",TODAY()-$H364)</f>
        <v/>
      </c>
      <c r="AB364" s="63">
        <f>IF($A364="","",IF(AND($F364="Yes",OR($U364="No",$U364="NOT FOUND")),"YES",""))</f>
        <v/>
      </c>
      <c r="AC364" s="66">
        <f>IF($A364="","",TRIM(IF(AND($P364=0,$L364&lt;&gt;"Yes"),"T0-NoSmartcard ","")&amp;IF(AND($J364&lt;&gt;"",$J364&gt;365),"StalePwd ","")&amp;IF($K364="Yes","PwdNeverExpires ","")&amp;IF(AND($S364&lt;&gt;"",$S364&lt;&gt;"None"),"Delegation ","")&amp;IF(AND($Q364=1,$O364="None"),"StaleAdminCount ","")&amp;IF(AND($F364="Yes",$H364=""),"NeverLoggedOn ","")))</f>
        <v/>
      </c>
      <c r="AD364" s="60" t="n"/>
      <c r="AE364" s="61" t="n"/>
      <c r="AF364" s="60" t="n"/>
      <c r="AG364" s="62" t="n"/>
      <c r="AH364" s="62" t="n"/>
      <c r="AI364" s="62" t="n"/>
      <c r="AJ364" s="60" t="n"/>
      <c r="AK364" s="61" t="n"/>
      <c r="AL364" s="63">
        <f>IF($A364="","",IF(AH364="","Not Enrolled",IF(TODAY()&gt;AH364,"Review Overdue",IF(AH364-TODAY()&lt;=30,"Review Due Soon","Active"))))</f>
        <v/>
      </c>
      <c r="AM364" s="63">
        <f>IF($A364="","",IF(AI364="","NOT REVIEWED",IF(TODAY()-AI364&gt;90,"OVERDUE",IF(TODAY()-AI364&gt;76,"Due Soon","Current"))))</f>
        <v/>
      </c>
    </row>
    <row r="365" ht="15" customHeight="1" s="39">
      <c r="A365" s="60" t="n"/>
      <c r="B365" s="60" t="n"/>
      <c r="C365" s="61" t="n"/>
      <c r="D365" s="61" t="n"/>
      <c r="E365" s="60" t="n"/>
      <c r="F365" s="60" t="n"/>
      <c r="G365" s="62" t="n"/>
      <c r="H365" s="62" t="n"/>
      <c r="I365" s="62" t="n"/>
      <c r="J365" s="60" t="n"/>
      <c r="K365" s="60" t="n"/>
      <c r="L365" s="60" t="n"/>
      <c r="M365" s="61" t="n"/>
      <c r="N365" s="60" t="n"/>
      <c r="O365" s="60" t="n"/>
      <c r="P365" s="60" t="n"/>
      <c r="Q365" s="60" t="n"/>
      <c r="R365" s="60" t="n"/>
      <c r="S365" s="60" t="n"/>
      <c r="T365" s="60" t="n"/>
      <c r="U365" s="60" t="n"/>
      <c r="V365" s="60" t="n"/>
      <c r="W365" s="60" t="n"/>
      <c r="X365" s="60" t="n"/>
      <c r="Y365" s="60" t="n"/>
      <c r="Z365" s="61" t="n"/>
      <c r="AA365" s="63">
        <f>IF($H365="","",TODAY()-$H365)</f>
        <v/>
      </c>
      <c r="AB365" s="63">
        <f>IF($A365="","",IF(AND($F365="Yes",OR($U365="No",$U365="NOT FOUND")),"YES",""))</f>
        <v/>
      </c>
      <c r="AC365" s="66">
        <f>IF($A365="","",TRIM(IF(AND($P365=0,$L365&lt;&gt;"Yes"),"T0-NoSmartcard ","")&amp;IF(AND($J365&lt;&gt;"",$J365&gt;365),"StalePwd ","")&amp;IF($K365="Yes","PwdNeverExpires ","")&amp;IF(AND($S365&lt;&gt;"",$S365&lt;&gt;"None"),"Delegation ","")&amp;IF(AND($Q365=1,$O365="None"),"StaleAdminCount ","")&amp;IF(AND($F365="Yes",$H365=""),"NeverLoggedOn ","")))</f>
        <v/>
      </c>
      <c r="AD365" s="60" t="n"/>
      <c r="AE365" s="61" t="n"/>
      <c r="AF365" s="60" t="n"/>
      <c r="AG365" s="62" t="n"/>
      <c r="AH365" s="62" t="n"/>
      <c r="AI365" s="62" t="n"/>
      <c r="AJ365" s="60" t="n"/>
      <c r="AK365" s="61" t="n"/>
      <c r="AL365" s="63">
        <f>IF($A365="","",IF(AH365="","Not Enrolled",IF(TODAY()&gt;AH365,"Review Overdue",IF(AH365-TODAY()&lt;=30,"Review Due Soon","Active"))))</f>
        <v/>
      </c>
      <c r="AM365" s="63">
        <f>IF($A365="","",IF(AI365="","NOT REVIEWED",IF(TODAY()-AI365&gt;90,"OVERDUE",IF(TODAY()-AI365&gt;76,"Due Soon","Current"))))</f>
        <v/>
      </c>
    </row>
    <row r="366" ht="15" customHeight="1" s="39">
      <c r="A366" s="60" t="n"/>
      <c r="B366" s="60" t="n"/>
      <c r="C366" s="61" t="n"/>
      <c r="D366" s="61" t="n"/>
      <c r="E366" s="60" t="n"/>
      <c r="F366" s="60" t="n"/>
      <c r="G366" s="62" t="n"/>
      <c r="H366" s="62" t="n"/>
      <c r="I366" s="62" t="n"/>
      <c r="J366" s="60" t="n"/>
      <c r="K366" s="60" t="n"/>
      <c r="L366" s="60" t="n"/>
      <c r="M366" s="61" t="n"/>
      <c r="N366" s="60" t="n"/>
      <c r="O366" s="60" t="n"/>
      <c r="P366" s="60" t="n"/>
      <c r="Q366" s="60" t="n"/>
      <c r="R366" s="60" t="n"/>
      <c r="S366" s="60" t="n"/>
      <c r="T366" s="60" t="n"/>
      <c r="U366" s="60" t="n"/>
      <c r="V366" s="60" t="n"/>
      <c r="W366" s="60" t="n"/>
      <c r="X366" s="60" t="n"/>
      <c r="Y366" s="60" t="n"/>
      <c r="Z366" s="61" t="n"/>
      <c r="AA366" s="63">
        <f>IF($H366="","",TODAY()-$H366)</f>
        <v/>
      </c>
      <c r="AB366" s="63">
        <f>IF($A366="","",IF(AND($F366="Yes",OR($U366="No",$U366="NOT FOUND")),"YES",""))</f>
        <v/>
      </c>
      <c r="AC366" s="66">
        <f>IF($A366="","",TRIM(IF(AND($P366=0,$L366&lt;&gt;"Yes"),"T0-NoSmartcard ","")&amp;IF(AND($J366&lt;&gt;"",$J366&gt;365),"StalePwd ","")&amp;IF($K366="Yes","PwdNeverExpires ","")&amp;IF(AND($S366&lt;&gt;"",$S366&lt;&gt;"None"),"Delegation ","")&amp;IF(AND($Q366=1,$O366="None"),"StaleAdminCount ","")&amp;IF(AND($F366="Yes",$H366=""),"NeverLoggedOn ","")))</f>
        <v/>
      </c>
      <c r="AD366" s="60" t="n"/>
      <c r="AE366" s="61" t="n"/>
      <c r="AF366" s="60" t="n"/>
      <c r="AG366" s="62" t="n"/>
      <c r="AH366" s="62" t="n"/>
      <c r="AI366" s="62" t="n"/>
      <c r="AJ366" s="60" t="n"/>
      <c r="AK366" s="61" t="n"/>
      <c r="AL366" s="63">
        <f>IF($A366="","",IF(AH366="","Not Enrolled",IF(TODAY()&gt;AH366,"Review Overdue",IF(AH366-TODAY()&lt;=30,"Review Due Soon","Active"))))</f>
        <v/>
      </c>
      <c r="AM366" s="63">
        <f>IF($A366="","",IF(AI366="","NOT REVIEWED",IF(TODAY()-AI366&gt;90,"OVERDUE",IF(TODAY()-AI366&gt;76,"Due Soon","Current"))))</f>
        <v/>
      </c>
    </row>
    <row r="367" ht="15" customHeight="1" s="39">
      <c r="A367" s="60" t="n"/>
      <c r="B367" s="60" t="n"/>
      <c r="C367" s="61" t="n"/>
      <c r="D367" s="61" t="n"/>
      <c r="E367" s="60" t="n"/>
      <c r="F367" s="60" t="n"/>
      <c r="G367" s="62" t="n"/>
      <c r="H367" s="62" t="n"/>
      <c r="I367" s="62" t="n"/>
      <c r="J367" s="60" t="n"/>
      <c r="K367" s="60" t="n"/>
      <c r="L367" s="60" t="n"/>
      <c r="M367" s="61" t="n"/>
      <c r="N367" s="60" t="n"/>
      <c r="O367" s="60" t="n"/>
      <c r="P367" s="60" t="n"/>
      <c r="Q367" s="60" t="n"/>
      <c r="R367" s="60" t="n"/>
      <c r="S367" s="60" t="n"/>
      <c r="T367" s="60" t="n"/>
      <c r="U367" s="60" t="n"/>
      <c r="V367" s="60" t="n"/>
      <c r="W367" s="60" t="n"/>
      <c r="X367" s="60" t="n"/>
      <c r="Y367" s="60" t="n"/>
      <c r="Z367" s="61" t="n"/>
      <c r="AA367" s="63">
        <f>IF($H367="","",TODAY()-$H367)</f>
        <v/>
      </c>
      <c r="AB367" s="63">
        <f>IF($A367="","",IF(AND($F367="Yes",OR($U367="No",$U367="NOT FOUND")),"YES",""))</f>
        <v/>
      </c>
      <c r="AC367" s="66">
        <f>IF($A367="","",TRIM(IF(AND($P367=0,$L367&lt;&gt;"Yes"),"T0-NoSmartcard ","")&amp;IF(AND($J367&lt;&gt;"",$J367&gt;365),"StalePwd ","")&amp;IF($K367="Yes","PwdNeverExpires ","")&amp;IF(AND($S367&lt;&gt;"",$S367&lt;&gt;"None"),"Delegation ","")&amp;IF(AND($Q367=1,$O367="None"),"StaleAdminCount ","")&amp;IF(AND($F367="Yes",$H367=""),"NeverLoggedOn ","")))</f>
        <v/>
      </c>
      <c r="AD367" s="60" t="n"/>
      <c r="AE367" s="61" t="n"/>
      <c r="AF367" s="60" t="n"/>
      <c r="AG367" s="62" t="n"/>
      <c r="AH367" s="62" t="n"/>
      <c r="AI367" s="62" t="n"/>
      <c r="AJ367" s="60" t="n"/>
      <c r="AK367" s="61" t="n"/>
      <c r="AL367" s="63">
        <f>IF($A367="","",IF(AH367="","Not Enrolled",IF(TODAY()&gt;AH367,"Review Overdue",IF(AH367-TODAY()&lt;=30,"Review Due Soon","Active"))))</f>
        <v/>
      </c>
      <c r="AM367" s="63">
        <f>IF($A367="","",IF(AI367="","NOT REVIEWED",IF(TODAY()-AI367&gt;90,"OVERDUE",IF(TODAY()-AI367&gt;76,"Due Soon","Current"))))</f>
        <v/>
      </c>
    </row>
    <row r="368" ht="15" customHeight="1" s="39">
      <c r="A368" s="60" t="n"/>
      <c r="B368" s="60" t="n"/>
      <c r="C368" s="61" t="n"/>
      <c r="D368" s="61" t="n"/>
      <c r="E368" s="60" t="n"/>
      <c r="F368" s="60" t="n"/>
      <c r="G368" s="62" t="n"/>
      <c r="H368" s="62" t="n"/>
      <c r="I368" s="62" t="n"/>
      <c r="J368" s="60" t="n"/>
      <c r="K368" s="60" t="n"/>
      <c r="L368" s="60" t="n"/>
      <c r="M368" s="61" t="n"/>
      <c r="N368" s="60" t="n"/>
      <c r="O368" s="60" t="n"/>
      <c r="P368" s="60" t="n"/>
      <c r="Q368" s="60" t="n"/>
      <c r="R368" s="60" t="n"/>
      <c r="S368" s="60" t="n"/>
      <c r="T368" s="60" t="n"/>
      <c r="U368" s="60" t="n"/>
      <c r="V368" s="60" t="n"/>
      <c r="W368" s="60" t="n"/>
      <c r="X368" s="60" t="n"/>
      <c r="Y368" s="60" t="n"/>
      <c r="Z368" s="61" t="n"/>
      <c r="AA368" s="63">
        <f>IF($H368="","",TODAY()-$H368)</f>
        <v/>
      </c>
      <c r="AB368" s="63">
        <f>IF($A368="","",IF(AND($F368="Yes",OR($U368="No",$U368="NOT FOUND")),"YES",""))</f>
        <v/>
      </c>
      <c r="AC368" s="66">
        <f>IF($A368="","",TRIM(IF(AND($P368=0,$L368&lt;&gt;"Yes"),"T0-NoSmartcard ","")&amp;IF(AND($J368&lt;&gt;"",$J368&gt;365),"StalePwd ","")&amp;IF($K368="Yes","PwdNeverExpires ","")&amp;IF(AND($S368&lt;&gt;"",$S368&lt;&gt;"None"),"Delegation ","")&amp;IF(AND($Q368=1,$O368="None"),"StaleAdminCount ","")&amp;IF(AND($F368="Yes",$H368=""),"NeverLoggedOn ","")))</f>
        <v/>
      </c>
      <c r="AD368" s="60" t="n"/>
      <c r="AE368" s="61" t="n"/>
      <c r="AF368" s="60" t="n"/>
      <c r="AG368" s="62" t="n"/>
      <c r="AH368" s="62" t="n"/>
      <c r="AI368" s="62" t="n"/>
      <c r="AJ368" s="60" t="n"/>
      <c r="AK368" s="61" t="n"/>
      <c r="AL368" s="63">
        <f>IF($A368="","",IF(AH368="","Not Enrolled",IF(TODAY()&gt;AH368,"Review Overdue",IF(AH368-TODAY()&lt;=30,"Review Due Soon","Active"))))</f>
        <v/>
      </c>
      <c r="AM368" s="63">
        <f>IF($A368="","",IF(AI368="","NOT REVIEWED",IF(TODAY()-AI368&gt;90,"OVERDUE",IF(TODAY()-AI368&gt;76,"Due Soon","Current"))))</f>
        <v/>
      </c>
    </row>
    <row r="369" ht="15" customHeight="1" s="39">
      <c r="A369" s="60" t="n"/>
      <c r="B369" s="60" t="n"/>
      <c r="C369" s="61" t="n"/>
      <c r="D369" s="61" t="n"/>
      <c r="E369" s="60" t="n"/>
      <c r="F369" s="60" t="n"/>
      <c r="G369" s="62" t="n"/>
      <c r="H369" s="62" t="n"/>
      <c r="I369" s="62" t="n"/>
      <c r="J369" s="60" t="n"/>
      <c r="K369" s="60" t="n"/>
      <c r="L369" s="60" t="n"/>
      <c r="M369" s="61" t="n"/>
      <c r="N369" s="60" t="n"/>
      <c r="O369" s="60" t="n"/>
      <c r="P369" s="60" t="n"/>
      <c r="Q369" s="60" t="n"/>
      <c r="R369" s="60" t="n"/>
      <c r="S369" s="60" t="n"/>
      <c r="T369" s="60" t="n"/>
      <c r="U369" s="60" t="n"/>
      <c r="V369" s="60" t="n"/>
      <c r="W369" s="60" t="n"/>
      <c r="X369" s="60" t="n"/>
      <c r="Y369" s="60" t="n"/>
      <c r="Z369" s="61" t="n"/>
      <c r="AA369" s="63">
        <f>IF($H369="","",TODAY()-$H369)</f>
        <v/>
      </c>
      <c r="AB369" s="63">
        <f>IF($A369="","",IF(AND($F369="Yes",OR($U369="No",$U369="NOT FOUND")),"YES",""))</f>
        <v/>
      </c>
      <c r="AC369" s="66">
        <f>IF($A369="","",TRIM(IF(AND($P369=0,$L369&lt;&gt;"Yes"),"T0-NoSmartcard ","")&amp;IF(AND($J369&lt;&gt;"",$J369&gt;365),"StalePwd ","")&amp;IF($K369="Yes","PwdNeverExpires ","")&amp;IF(AND($S369&lt;&gt;"",$S369&lt;&gt;"None"),"Delegation ","")&amp;IF(AND($Q369=1,$O369="None"),"StaleAdminCount ","")&amp;IF(AND($F369="Yes",$H369=""),"NeverLoggedOn ","")))</f>
        <v/>
      </c>
      <c r="AD369" s="60" t="n"/>
      <c r="AE369" s="61" t="n"/>
      <c r="AF369" s="60" t="n"/>
      <c r="AG369" s="62" t="n"/>
      <c r="AH369" s="62" t="n"/>
      <c r="AI369" s="62" t="n"/>
      <c r="AJ369" s="60" t="n"/>
      <c r="AK369" s="61" t="n"/>
      <c r="AL369" s="63">
        <f>IF($A369="","",IF(AH369="","Not Enrolled",IF(TODAY()&gt;AH369,"Review Overdue",IF(AH369-TODAY()&lt;=30,"Review Due Soon","Active"))))</f>
        <v/>
      </c>
      <c r="AM369" s="63">
        <f>IF($A369="","",IF(AI369="","NOT REVIEWED",IF(TODAY()-AI369&gt;90,"OVERDUE",IF(TODAY()-AI369&gt;76,"Due Soon","Current"))))</f>
        <v/>
      </c>
    </row>
    <row r="370" ht="15" customHeight="1" s="39">
      <c r="A370" s="60" t="n"/>
      <c r="B370" s="60" t="n"/>
      <c r="C370" s="61" t="n"/>
      <c r="D370" s="61" t="n"/>
      <c r="E370" s="60" t="n"/>
      <c r="F370" s="60" t="n"/>
      <c r="G370" s="62" t="n"/>
      <c r="H370" s="62" t="n"/>
      <c r="I370" s="62" t="n"/>
      <c r="J370" s="60" t="n"/>
      <c r="K370" s="60" t="n"/>
      <c r="L370" s="60" t="n"/>
      <c r="M370" s="61" t="n"/>
      <c r="N370" s="60" t="n"/>
      <c r="O370" s="60" t="n"/>
      <c r="P370" s="60" t="n"/>
      <c r="Q370" s="60" t="n"/>
      <c r="R370" s="60" t="n"/>
      <c r="S370" s="60" t="n"/>
      <c r="T370" s="60" t="n"/>
      <c r="U370" s="60" t="n"/>
      <c r="V370" s="60" t="n"/>
      <c r="W370" s="60" t="n"/>
      <c r="X370" s="60" t="n"/>
      <c r="Y370" s="60" t="n"/>
      <c r="Z370" s="61" t="n"/>
      <c r="AA370" s="63">
        <f>IF($H370="","",TODAY()-$H370)</f>
        <v/>
      </c>
      <c r="AB370" s="63">
        <f>IF($A370="","",IF(AND($F370="Yes",OR($U370="No",$U370="NOT FOUND")),"YES",""))</f>
        <v/>
      </c>
      <c r="AC370" s="66">
        <f>IF($A370="","",TRIM(IF(AND($P370=0,$L370&lt;&gt;"Yes"),"T0-NoSmartcard ","")&amp;IF(AND($J370&lt;&gt;"",$J370&gt;365),"StalePwd ","")&amp;IF($K370="Yes","PwdNeverExpires ","")&amp;IF(AND($S370&lt;&gt;"",$S370&lt;&gt;"None"),"Delegation ","")&amp;IF(AND($Q370=1,$O370="None"),"StaleAdminCount ","")&amp;IF(AND($F370="Yes",$H370=""),"NeverLoggedOn ","")))</f>
        <v/>
      </c>
      <c r="AD370" s="60" t="n"/>
      <c r="AE370" s="61" t="n"/>
      <c r="AF370" s="60" t="n"/>
      <c r="AG370" s="62" t="n"/>
      <c r="AH370" s="62" t="n"/>
      <c r="AI370" s="62" t="n"/>
      <c r="AJ370" s="60" t="n"/>
      <c r="AK370" s="61" t="n"/>
      <c r="AL370" s="63">
        <f>IF($A370="","",IF(AH370="","Not Enrolled",IF(TODAY()&gt;AH370,"Review Overdue",IF(AH370-TODAY()&lt;=30,"Review Due Soon","Active"))))</f>
        <v/>
      </c>
      <c r="AM370" s="63">
        <f>IF($A370="","",IF(AI370="","NOT REVIEWED",IF(TODAY()-AI370&gt;90,"OVERDUE",IF(TODAY()-AI370&gt;76,"Due Soon","Current"))))</f>
        <v/>
      </c>
    </row>
    <row r="371" ht="15" customHeight="1" s="39">
      <c r="A371" s="60" t="n"/>
      <c r="B371" s="60" t="n"/>
      <c r="C371" s="61" t="n"/>
      <c r="D371" s="61" t="n"/>
      <c r="E371" s="60" t="n"/>
      <c r="F371" s="60" t="n"/>
      <c r="G371" s="62" t="n"/>
      <c r="H371" s="62" t="n"/>
      <c r="I371" s="62" t="n"/>
      <c r="J371" s="60" t="n"/>
      <c r="K371" s="60" t="n"/>
      <c r="L371" s="60" t="n"/>
      <c r="M371" s="61" t="n"/>
      <c r="N371" s="60" t="n"/>
      <c r="O371" s="60" t="n"/>
      <c r="P371" s="60" t="n"/>
      <c r="Q371" s="60" t="n"/>
      <c r="R371" s="60" t="n"/>
      <c r="S371" s="60" t="n"/>
      <c r="T371" s="60" t="n"/>
      <c r="U371" s="60" t="n"/>
      <c r="V371" s="60" t="n"/>
      <c r="W371" s="60" t="n"/>
      <c r="X371" s="60" t="n"/>
      <c r="Y371" s="60" t="n"/>
      <c r="Z371" s="61" t="n"/>
      <c r="AA371" s="63">
        <f>IF($H371="","",TODAY()-$H371)</f>
        <v/>
      </c>
      <c r="AB371" s="63">
        <f>IF($A371="","",IF(AND($F371="Yes",OR($U371="No",$U371="NOT FOUND")),"YES",""))</f>
        <v/>
      </c>
      <c r="AC371" s="66">
        <f>IF($A371="","",TRIM(IF(AND($P371=0,$L371&lt;&gt;"Yes"),"T0-NoSmartcard ","")&amp;IF(AND($J371&lt;&gt;"",$J371&gt;365),"StalePwd ","")&amp;IF($K371="Yes","PwdNeverExpires ","")&amp;IF(AND($S371&lt;&gt;"",$S371&lt;&gt;"None"),"Delegation ","")&amp;IF(AND($Q371=1,$O371="None"),"StaleAdminCount ","")&amp;IF(AND($F371="Yes",$H371=""),"NeverLoggedOn ","")))</f>
        <v/>
      </c>
      <c r="AD371" s="60" t="n"/>
      <c r="AE371" s="61" t="n"/>
      <c r="AF371" s="60" t="n"/>
      <c r="AG371" s="62" t="n"/>
      <c r="AH371" s="62" t="n"/>
      <c r="AI371" s="62" t="n"/>
      <c r="AJ371" s="60" t="n"/>
      <c r="AK371" s="61" t="n"/>
      <c r="AL371" s="63">
        <f>IF($A371="","",IF(AH371="","Not Enrolled",IF(TODAY()&gt;AH371,"Review Overdue",IF(AH371-TODAY()&lt;=30,"Review Due Soon","Active"))))</f>
        <v/>
      </c>
      <c r="AM371" s="63">
        <f>IF($A371="","",IF(AI371="","NOT REVIEWED",IF(TODAY()-AI371&gt;90,"OVERDUE",IF(TODAY()-AI371&gt;76,"Due Soon","Current"))))</f>
        <v/>
      </c>
    </row>
    <row r="372" ht="15" customHeight="1" s="39">
      <c r="A372" s="60" t="n"/>
      <c r="B372" s="60" t="n"/>
      <c r="C372" s="61" t="n"/>
      <c r="D372" s="61" t="n"/>
      <c r="E372" s="60" t="n"/>
      <c r="F372" s="60" t="n"/>
      <c r="G372" s="62" t="n"/>
      <c r="H372" s="62" t="n"/>
      <c r="I372" s="62" t="n"/>
      <c r="J372" s="60" t="n"/>
      <c r="K372" s="60" t="n"/>
      <c r="L372" s="60" t="n"/>
      <c r="M372" s="61" t="n"/>
      <c r="N372" s="60" t="n"/>
      <c r="O372" s="60" t="n"/>
      <c r="P372" s="60" t="n"/>
      <c r="Q372" s="60" t="n"/>
      <c r="R372" s="60" t="n"/>
      <c r="S372" s="60" t="n"/>
      <c r="T372" s="60" t="n"/>
      <c r="U372" s="60" t="n"/>
      <c r="V372" s="60" t="n"/>
      <c r="W372" s="60" t="n"/>
      <c r="X372" s="60" t="n"/>
      <c r="Y372" s="60" t="n"/>
      <c r="Z372" s="61" t="n"/>
      <c r="AA372" s="63">
        <f>IF($H372="","",TODAY()-$H372)</f>
        <v/>
      </c>
      <c r="AB372" s="63">
        <f>IF($A372="","",IF(AND($F372="Yes",OR($U372="No",$U372="NOT FOUND")),"YES",""))</f>
        <v/>
      </c>
      <c r="AC372" s="66">
        <f>IF($A372="","",TRIM(IF(AND($P372=0,$L372&lt;&gt;"Yes"),"T0-NoSmartcard ","")&amp;IF(AND($J372&lt;&gt;"",$J372&gt;365),"StalePwd ","")&amp;IF($K372="Yes","PwdNeverExpires ","")&amp;IF(AND($S372&lt;&gt;"",$S372&lt;&gt;"None"),"Delegation ","")&amp;IF(AND($Q372=1,$O372="None"),"StaleAdminCount ","")&amp;IF(AND($F372="Yes",$H372=""),"NeverLoggedOn ","")))</f>
        <v/>
      </c>
      <c r="AD372" s="60" t="n"/>
      <c r="AE372" s="61" t="n"/>
      <c r="AF372" s="60" t="n"/>
      <c r="AG372" s="62" t="n"/>
      <c r="AH372" s="62" t="n"/>
      <c r="AI372" s="62" t="n"/>
      <c r="AJ372" s="60" t="n"/>
      <c r="AK372" s="61" t="n"/>
      <c r="AL372" s="63">
        <f>IF($A372="","",IF(AH372="","Not Enrolled",IF(TODAY()&gt;AH372,"Review Overdue",IF(AH372-TODAY()&lt;=30,"Review Due Soon","Active"))))</f>
        <v/>
      </c>
      <c r="AM372" s="63">
        <f>IF($A372="","",IF(AI372="","NOT REVIEWED",IF(TODAY()-AI372&gt;90,"OVERDUE",IF(TODAY()-AI372&gt;76,"Due Soon","Current"))))</f>
        <v/>
      </c>
    </row>
    <row r="373" ht="15" customHeight="1" s="39">
      <c r="A373" s="60" t="n"/>
      <c r="B373" s="60" t="n"/>
      <c r="C373" s="61" t="n"/>
      <c r="D373" s="61" t="n"/>
      <c r="E373" s="60" t="n"/>
      <c r="F373" s="60" t="n"/>
      <c r="G373" s="62" t="n"/>
      <c r="H373" s="62" t="n"/>
      <c r="I373" s="62" t="n"/>
      <c r="J373" s="60" t="n"/>
      <c r="K373" s="60" t="n"/>
      <c r="L373" s="60" t="n"/>
      <c r="M373" s="61" t="n"/>
      <c r="N373" s="60" t="n"/>
      <c r="O373" s="60" t="n"/>
      <c r="P373" s="60" t="n"/>
      <c r="Q373" s="60" t="n"/>
      <c r="R373" s="60" t="n"/>
      <c r="S373" s="60" t="n"/>
      <c r="T373" s="60" t="n"/>
      <c r="U373" s="60" t="n"/>
      <c r="V373" s="60" t="n"/>
      <c r="W373" s="60" t="n"/>
      <c r="X373" s="60" t="n"/>
      <c r="Y373" s="60" t="n"/>
      <c r="Z373" s="61" t="n"/>
      <c r="AA373" s="63">
        <f>IF($H373="","",TODAY()-$H373)</f>
        <v/>
      </c>
      <c r="AB373" s="63">
        <f>IF($A373="","",IF(AND($F373="Yes",OR($U373="No",$U373="NOT FOUND")),"YES",""))</f>
        <v/>
      </c>
      <c r="AC373" s="66">
        <f>IF($A373="","",TRIM(IF(AND($P373=0,$L373&lt;&gt;"Yes"),"T0-NoSmartcard ","")&amp;IF(AND($J373&lt;&gt;"",$J373&gt;365),"StalePwd ","")&amp;IF($K373="Yes","PwdNeverExpires ","")&amp;IF(AND($S373&lt;&gt;"",$S373&lt;&gt;"None"),"Delegation ","")&amp;IF(AND($Q373=1,$O373="None"),"StaleAdminCount ","")&amp;IF(AND($F373="Yes",$H373=""),"NeverLoggedOn ","")))</f>
        <v/>
      </c>
      <c r="AD373" s="60" t="n"/>
      <c r="AE373" s="61" t="n"/>
      <c r="AF373" s="60" t="n"/>
      <c r="AG373" s="62" t="n"/>
      <c r="AH373" s="62" t="n"/>
      <c r="AI373" s="62" t="n"/>
      <c r="AJ373" s="60" t="n"/>
      <c r="AK373" s="61" t="n"/>
      <c r="AL373" s="63">
        <f>IF($A373="","",IF(AH373="","Not Enrolled",IF(TODAY()&gt;AH373,"Review Overdue",IF(AH373-TODAY()&lt;=30,"Review Due Soon","Active"))))</f>
        <v/>
      </c>
      <c r="AM373" s="63">
        <f>IF($A373="","",IF(AI373="","NOT REVIEWED",IF(TODAY()-AI373&gt;90,"OVERDUE",IF(TODAY()-AI373&gt;76,"Due Soon","Current"))))</f>
        <v/>
      </c>
    </row>
    <row r="374" ht="15" customHeight="1" s="39">
      <c r="A374" s="60" t="n"/>
      <c r="B374" s="60" t="n"/>
      <c r="C374" s="61" t="n"/>
      <c r="D374" s="61" t="n"/>
      <c r="E374" s="60" t="n"/>
      <c r="F374" s="60" t="n"/>
      <c r="G374" s="62" t="n"/>
      <c r="H374" s="62" t="n"/>
      <c r="I374" s="62" t="n"/>
      <c r="J374" s="60" t="n"/>
      <c r="K374" s="60" t="n"/>
      <c r="L374" s="60" t="n"/>
      <c r="M374" s="61" t="n"/>
      <c r="N374" s="60" t="n"/>
      <c r="O374" s="60" t="n"/>
      <c r="P374" s="60" t="n"/>
      <c r="Q374" s="60" t="n"/>
      <c r="R374" s="60" t="n"/>
      <c r="S374" s="60" t="n"/>
      <c r="T374" s="60" t="n"/>
      <c r="U374" s="60" t="n"/>
      <c r="V374" s="60" t="n"/>
      <c r="W374" s="60" t="n"/>
      <c r="X374" s="60" t="n"/>
      <c r="Y374" s="60" t="n"/>
      <c r="Z374" s="61" t="n"/>
      <c r="AA374" s="63">
        <f>IF($H374="","",TODAY()-$H374)</f>
        <v/>
      </c>
      <c r="AB374" s="63">
        <f>IF($A374="","",IF(AND($F374="Yes",OR($U374="No",$U374="NOT FOUND")),"YES",""))</f>
        <v/>
      </c>
      <c r="AC374" s="66">
        <f>IF($A374="","",TRIM(IF(AND($P374=0,$L374&lt;&gt;"Yes"),"T0-NoSmartcard ","")&amp;IF(AND($J374&lt;&gt;"",$J374&gt;365),"StalePwd ","")&amp;IF($K374="Yes","PwdNeverExpires ","")&amp;IF(AND($S374&lt;&gt;"",$S374&lt;&gt;"None"),"Delegation ","")&amp;IF(AND($Q374=1,$O374="None"),"StaleAdminCount ","")&amp;IF(AND($F374="Yes",$H374=""),"NeverLoggedOn ","")))</f>
        <v/>
      </c>
      <c r="AD374" s="60" t="n"/>
      <c r="AE374" s="61" t="n"/>
      <c r="AF374" s="60" t="n"/>
      <c r="AG374" s="62" t="n"/>
      <c r="AH374" s="62" t="n"/>
      <c r="AI374" s="62" t="n"/>
      <c r="AJ374" s="60" t="n"/>
      <c r="AK374" s="61" t="n"/>
      <c r="AL374" s="63">
        <f>IF($A374="","",IF(AH374="","Not Enrolled",IF(TODAY()&gt;AH374,"Review Overdue",IF(AH374-TODAY()&lt;=30,"Review Due Soon","Active"))))</f>
        <v/>
      </c>
      <c r="AM374" s="63">
        <f>IF($A374="","",IF(AI374="","NOT REVIEWED",IF(TODAY()-AI374&gt;90,"OVERDUE",IF(TODAY()-AI374&gt;76,"Due Soon","Current"))))</f>
        <v/>
      </c>
    </row>
    <row r="375" ht="15" customHeight="1" s="39">
      <c r="A375" s="60" t="n"/>
      <c r="B375" s="60" t="n"/>
      <c r="C375" s="61" t="n"/>
      <c r="D375" s="61" t="n"/>
      <c r="E375" s="60" t="n"/>
      <c r="F375" s="60" t="n"/>
      <c r="G375" s="62" t="n"/>
      <c r="H375" s="62" t="n"/>
      <c r="I375" s="62" t="n"/>
      <c r="J375" s="60" t="n"/>
      <c r="K375" s="60" t="n"/>
      <c r="L375" s="60" t="n"/>
      <c r="M375" s="61" t="n"/>
      <c r="N375" s="60" t="n"/>
      <c r="O375" s="60" t="n"/>
      <c r="P375" s="60" t="n"/>
      <c r="Q375" s="60" t="n"/>
      <c r="R375" s="60" t="n"/>
      <c r="S375" s="60" t="n"/>
      <c r="T375" s="60" t="n"/>
      <c r="U375" s="60" t="n"/>
      <c r="V375" s="60" t="n"/>
      <c r="W375" s="60" t="n"/>
      <c r="X375" s="60" t="n"/>
      <c r="Y375" s="60" t="n"/>
      <c r="Z375" s="61" t="n"/>
      <c r="AA375" s="63">
        <f>IF($H375="","",TODAY()-$H375)</f>
        <v/>
      </c>
      <c r="AB375" s="63">
        <f>IF($A375="","",IF(AND($F375="Yes",OR($U375="No",$U375="NOT FOUND")),"YES",""))</f>
        <v/>
      </c>
      <c r="AC375" s="66">
        <f>IF($A375="","",TRIM(IF(AND($P375=0,$L375&lt;&gt;"Yes"),"T0-NoSmartcard ","")&amp;IF(AND($J375&lt;&gt;"",$J375&gt;365),"StalePwd ","")&amp;IF($K375="Yes","PwdNeverExpires ","")&amp;IF(AND($S375&lt;&gt;"",$S375&lt;&gt;"None"),"Delegation ","")&amp;IF(AND($Q375=1,$O375="None"),"StaleAdminCount ","")&amp;IF(AND($F375="Yes",$H375=""),"NeverLoggedOn ","")))</f>
        <v/>
      </c>
      <c r="AD375" s="60" t="n"/>
      <c r="AE375" s="61" t="n"/>
      <c r="AF375" s="60" t="n"/>
      <c r="AG375" s="62" t="n"/>
      <c r="AH375" s="62" t="n"/>
      <c r="AI375" s="62" t="n"/>
      <c r="AJ375" s="60" t="n"/>
      <c r="AK375" s="61" t="n"/>
      <c r="AL375" s="63">
        <f>IF($A375="","",IF(AH375="","Not Enrolled",IF(TODAY()&gt;AH375,"Review Overdue",IF(AH375-TODAY()&lt;=30,"Review Due Soon","Active"))))</f>
        <v/>
      </c>
      <c r="AM375" s="63">
        <f>IF($A375="","",IF(AI375="","NOT REVIEWED",IF(TODAY()-AI375&gt;90,"OVERDUE",IF(TODAY()-AI375&gt;76,"Due Soon","Current"))))</f>
        <v/>
      </c>
    </row>
    <row r="376" ht="15" customHeight="1" s="39">
      <c r="A376" s="60" t="n"/>
      <c r="B376" s="60" t="n"/>
      <c r="C376" s="61" t="n"/>
      <c r="D376" s="61" t="n"/>
      <c r="E376" s="60" t="n"/>
      <c r="F376" s="60" t="n"/>
      <c r="G376" s="62" t="n"/>
      <c r="H376" s="62" t="n"/>
      <c r="I376" s="62" t="n"/>
      <c r="J376" s="60" t="n"/>
      <c r="K376" s="60" t="n"/>
      <c r="L376" s="60" t="n"/>
      <c r="M376" s="61" t="n"/>
      <c r="N376" s="60" t="n"/>
      <c r="O376" s="60" t="n"/>
      <c r="P376" s="60" t="n"/>
      <c r="Q376" s="60" t="n"/>
      <c r="R376" s="60" t="n"/>
      <c r="S376" s="60" t="n"/>
      <c r="T376" s="60" t="n"/>
      <c r="U376" s="60" t="n"/>
      <c r="V376" s="60" t="n"/>
      <c r="W376" s="60" t="n"/>
      <c r="X376" s="60" t="n"/>
      <c r="Y376" s="60" t="n"/>
      <c r="Z376" s="61" t="n"/>
      <c r="AA376" s="63">
        <f>IF($H376="","",TODAY()-$H376)</f>
        <v/>
      </c>
      <c r="AB376" s="63">
        <f>IF($A376="","",IF(AND($F376="Yes",OR($U376="No",$U376="NOT FOUND")),"YES",""))</f>
        <v/>
      </c>
      <c r="AC376" s="66">
        <f>IF($A376="","",TRIM(IF(AND($P376=0,$L376&lt;&gt;"Yes"),"T0-NoSmartcard ","")&amp;IF(AND($J376&lt;&gt;"",$J376&gt;365),"StalePwd ","")&amp;IF($K376="Yes","PwdNeverExpires ","")&amp;IF(AND($S376&lt;&gt;"",$S376&lt;&gt;"None"),"Delegation ","")&amp;IF(AND($Q376=1,$O376="None"),"StaleAdminCount ","")&amp;IF(AND($F376="Yes",$H376=""),"NeverLoggedOn ","")))</f>
        <v/>
      </c>
      <c r="AD376" s="60" t="n"/>
      <c r="AE376" s="61" t="n"/>
      <c r="AF376" s="60" t="n"/>
      <c r="AG376" s="62" t="n"/>
      <c r="AH376" s="62" t="n"/>
      <c r="AI376" s="62" t="n"/>
      <c r="AJ376" s="60" t="n"/>
      <c r="AK376" s="61" t="n"/>
      <c r="AL376" s="63">
        <f>IF($A376="","",IF(AH376="","Not Enrolled",IF(TODAY()&gt;AH376,"Review Overdue",IF(AH376-TODAY()&lt;=30,"Review Due Soon","Active"))))</f>
        <v/>
      </c>
      <c r="AM376" s="63">
        <f>IF($A376="","",IF(AI376="","NOT REVIEWED",IF(TODAY()-AI376&gt;90,"OVERDUE",IF(TODAY()-AI376&gt;76,"Due Soon","Current"))))</f>
        <v/>
      </c>
    </row>
    <row r="377" ht="15" customHeight="1" s="39">
      <c r="A377" s="60" t="n"/>
      <c r="B377" s="60" t="n"/>
      <c r="C377" s="61" t="n"/>
      <c r="D377" s="61" t="n"/>
      <c r="E377" s="60" t="n"/>
      <c r="F377" s="60" t="n"/>
      <c r="G377" s="62" t="n"/>
      <c r="H377" s="62" t="n"/>
      <c r="I377" s="62" t="n"/>
      <c r="J377" s="60" t="n"/>
      <c r="K377" s="60" t="n"/>
      <c r="L377" s="60" t="n"/>
      <c r="M377" s="61" t="n"/>
      <c r="N377" s="60" t="n"/>
      <c r="O377" s="60" t="n"/>
      <c r="P377" s="60" t="n"/>
      <c r="Q377" s="60" t="n"/>
      <c r="R377" s="60" t="n"/>
      <c r="S377" s="60" t="n"/>
      <c r="T377" s="60" t="n"/>
      <c r="U377" s="60" t="n"/>
      <c r="V377" s="60" t="n"/>
      <c r="W377" s="60" t="n"/>
      <c r="X377" s="60" t="n"/>
      <c r="Y377" s="60" t="n"/>
      <c r="Z377" s="61" t="n"/>
      <c r="AA377" s="63">
        <f>IF($H377="","",TODAY()-$H377)</f>
        <v/>
      </c>
      <c r="AB377" s="63">
        <f>IF($A377="","",IF(AND($F377="Yes",OR($U377="No",$U377="NOT FOUND")),"YES",""))</f>
        <v/>
      </c>
      <c r="AC377" s="66">
        <f>IF($A377="","",TRIM(IF(AND($P377=0,$L377&lt;&gt;"Yes"),"T0-NoSmartcard ","")&amp;IF(AND($J377&lt;&gt;"",$J377&gt;365),"StalePwd ","")&amp;IF($K377="Yes","PwdNeverExpires ","")&amp;IF(AND($S377&lt;&gt;"",$S377&lt;&gt;"None"),"Delegation ","")&amp;IF(AND($Q377=1,$O377="None"),"StaleAdminCount ","")&amp;IF(AND($F377="Yes",$H377=""),"NeverLoggedOn ","")))</f>
        <v/>
      </c>
      <c r="AD377" s="60" t="n"/>
      <c r="AE377" s="61" t="n"/>
      <c r="AF377" s="60" t="n"/>
      <c r="AG377" s="62" t="n"/>
      <c r="AH377" s="62" t="n"/>
      <c r="AI377" s="62" t="n"/>
      <c r="AJ377" s="60" t="n"/>
      <c r="AK377" s="61" t="n"/>
      <c r="AL377" s="63">
        <f>IF($A377="","",IF(AH377="","Not Enrolled",IF(TODAY()&gt;AH377,"Review Overdue",IF(AH377-TODAY()&lt;=30,"Review Due Soon","Active"))))</f>
        <v/>
      </c>
      <c r="AM377" s="63">
        <f>IF($A377="","",IF(AI377="","NOT REVIEWED",IF(TODAY()-AI377&gt;90,"OVERDUE",IF(TODAY()-AI377&gt;76,"Due Soon","Current"))))</f>
        <v/>
      </c>
    </row>
    <row r="378" ht="15" customHeight="1" s="39">
      <c r="A378" s="60" t="n"/>
      <c r="B378" s="60" t="n"/>
      <c r="C378" s="61" t="n"/>
      <c r="D378" s="61" t="n"/>
      <c r="E378" s="60" t="n"/>
      <c r="F378" s="60" t="n"/>
      <c r="G378" s="62" t="n"/>
      <c r="H378" s="62" t="n"/>
      <c r="I378" s="62" t="n"/>
      <c r="J378" s="60" t="n"/>
      <c r="K378" s="60" t="n"/>
      <c r="L378" s="60" t="n"/>
      <c r="M378" s="61" t="n"/>
      <c r="N378" s="60" t="n"/>
      <c r="O378" s="60" t="n"/>
      <c r="P378" s="60" t="n"/>
      <c r="Q378" s="60" t="n"/>
      <c r="R378" s="60" t="n"/>
      <c r="S378" s="60" t="n"/>
      <c r="T378" s="60" t="n"/>
      <c r="U378" s="60" t="n"/>
      <c r="V378" s="60" t="n"/>
      <c r="W378" s="60" t="n"/>
      <c r="X378" s="60" t="n"/>
      <c r="Y378" s="60" t="n"/>
      <c r="Z378" s="61" t="n"/>
      <c r="AA378" s="63">
        <f>IF($H378="","",TODAY()-$H378)</f>
        <v/>
      </c>
      <c r="AB378" s="63">
        <f>IF($A378="","",IF(AND($F378="Yes",OR($U378="No",$U378="NOT FOUND")),"YES",""))</f>
        <v/>
      </c>
      <c r="AC378" s="66">
        <f>IF($A378="","",TRIM(IF(AND($P378=0,$L378&lt;&gt;"Yes"),"T0-NoSmartcard ","")&amp;IF(AND($J378&lt;&gt;"",$J378&gt;365),"StalePwd ","")&amp;IF($K378="Yes","PwdNeverExpires ","")&amp;IF(AND($S378&lt;&gt;"",$S378&lt;&gt;"None"),"Delegation ","")&amp;IF(AND($Q378=1,$O378="None"),"StaleAdminCount ","")&amp;IF(AND($F378="Yes",$H378=""),"NeverLoggedOn ","")))</f>
        <v/>
      </c>
      <c r="AD378" s="60" t="n"/>
      <c r="AE378" s="61" t="n"/>
      <c r="AF378" s="60" t="n"/>
      <c r="AG378" s="62" t="n"/>
      <c r="AH378" s="62" t="n"/>
      <c r="AI378" s="62" t="n"/>
      <c r="AJ378" s="60" t="n"/>
      <c r="AK378" s="61" t="n"/>
      <c r="AL378" s="63">
        <f>IF($A378="","",IF(AH378="","Not Enrolled",IF(TODAY()&gt;AH378,"Review Overdue",IF(AH378-TODAY()&lt;=30,"Review Due Soon","Active"))))</f>
        <v/>
      </c>
      <c r="AM378" s="63">
        <f>IF($A378="","",IF(AI378="","NOT REVIEWED",IF(TODAY()-AI378&gt;90,"OVERDUE",IF(TODAY()-AI378&gt;76,"Due Soon","Current"))))</f>
        <v/>
      </c>
    </row>
    <row r="379" ht="15" customHeight="1" s="39">
      <c r="A379" s="60" t="n"/>
      <c r="B379" s="60" t="n"/>
      <c r="C379" s="61" t="n"/>
      <c r="D379" s="61" t="n"/>
      <c r="E379" s="60" t="n"/>
      <c r="F379" s="60" t="n"/>
      <c r="G379" s="62" t="n"/>
      <c r="H379" s="62" t="n"/>
      <c r="I379" s="62" t="n"/>
      <c r="J379" s="60" t="n"/>
      <c r="K379" s="60" t="n"/>
      <c r="L379" s="60" t="n"/>
      <c r="M379" s="61" t="n"/>
      <c r="N379" s="60" t="n"/>
      <c r="O379" s="60" t="n"/>
      <c r="P379" s="60" t="n"/>
      <c r="Q379" s="60" t="n"/>
      <c r="R379" s="60" t="n"/>
      <c r="S379" s="60" t="n"/>
      <c r="T379" s="60" t="n"/>
      <c r="U379" s="60" t="n"/>
      <c r="V379" s="60" t="n"/>
      <c r="W379" s="60" t="n"/>
      <c r="X379" s="60" t="n"/>
      <c r="Y379" s="60" t="n"/>
      <c r="Z379" s="61" t="n"/>
      <c r="AA379" s="63">
        <f>IF($H379="","",TODAY()-$H379)</f>
        <v/>
      </c>
      <c r="AB379" s="63">
        <f>IF($A379="","",IF(AND($F379="Yes",OR($U379="No",$U379="NOT FOUND")),"YES",""))</f>
        <v/>
      </c>
      <c r="AC379" s="66">
        <f>IF($A379="","",TRIM(IF(AND($P379=0,$L379&lt;&gt;"Yes"),"T0-NoSmartcard ","")&amp;IF(AND($J379&lt;&gt;"",$J379&gt;365),"StalePwd ","")&amp;IF($K379="Yes","PwdNeverExpires ","")&amp;IF(AND($S379&lt;&gt;"",$S379&lt;&gt;"None"),"Delegation ","")&amp;IF(AND($Q379=1,$O379="None"),"StaleAdminCount ","")&amp;IF(AND($F379="Yes",$H379=""),"NeverLoggedOn ","")))</f>
        <v/>
      </c>
      <c r="AD379" s="60" t="n"/>
      <c r="AE379" s="61" t="n"/>
      <c r="AF379" s="60" t="n"/>
      <c r="AG379" s="62" t="n"/>
      <c r="AH379" s="62" t="n"/>
      <c r="AI379" s="62" t="n"/>
      <c r="AJ379" s="60" t="n"/>
      <c r="AK379" s="61" t="n"/>
      <c r="AL379" s="63">
        <f>IF($A379="","",IF(AH379="","Not Enrolled",IF(TODAY()&gt;AH379,"Review Overdue",IF(AH379-TODAY()&lt;=30,"Review Due Soon","Active"))))</f>
        <v/>
      </c>
      <c r="AM379" s="63">
        <f>IF($A379="","",IF(AI379="","NOT REVIEWED",IF(TODAY()-AI379&gt;90,"OVERDUE",IF(TODAY()-AI379&gt;76,"Due Soon","Current"))))</f>
        <v/>
      </c>
    </row>
    <row r="380" ht="15" customHeight="1" s="39">
      <c r="A380" s="60" t="n"/>
      <c r="B380" s="60" t="n"/>
      <c r="C380" s="61" t="n"/>
      <c r="D380" s="61" t="n"/>
      <c r="E380" s="60" t="n"/>
      <c r="F380" s="60" t="n"/>
      <c r="G380" s="62" t="n"/>
      <c r="H380" s="62" t="n"/>
      <c r="I380" s="62" t="n"/>
      <c r="J380" s="60" t="n"/>
      <c r="K380" s="60" t="n"/>
      <c r="L380" s="60" t="n"/>
      <c r="M380" s="61" t="n"/>
      <c r="N380" s="60" t="n"/>
      <c r="O380" s="60" t="n"/>
      <c r="P380" s="60" t="n"/>
      <c r="Q380" s="60" t="n"/>
      <c r="R380" s="60" t="n"/>
      <c r="S380" s="60" t="n"/>
      <c r="T380" s="60" t="n"/>
      <c r="U380" s="60" t="n"/>
      <c r="V380" s="60" t="n"/>
      <c r="W380" s="60" t="n"/>
      <c r="X380" s="60" t="n"/>
      <c r="Y380" s="60" t="n"/>
      <c r="Z380" s="61" t="n"/>
      <c r="AA380" s="63">
        <f>IF($H380="","",TODAY()-$H380)</f>
        <v/>
      </c>
      <c r="AB380" s="63">
        <f>IF($A380="","",IF(AND($F380="Yes",OR($U380="No",$U380="NOT FOUND")),"YES",""))</f>
        <v/>
      </c>
      <c r="AC380" s="66">
        <f>IF($A380="","",TRIM(IF(AND($P380=0,$L380&lt;&gt;"Yes"),"T0-NoSmartcard ","")&amp;IF(AND($J380&lt;&gt;"",$J380&gt;365),"StalePwd ","")&amp;IF($K380="Yes","PwdNeverExpires ","")&amp;IF(AND($S380&lt;&gt;"",$S380&lt;&gt;"None"),"Delegation ","")&amp;IF(AND($Q380=1,$O380="None"),"StaleAdminCount ","")&amp;IF(AND($F380="Yes",$H380=""),"NeverLoggedOn ","")))</f>
        <v/>
      </c>
      <c r="AD380" s="60" t="n"/>
      <c r="AE380" s="61" t="n"/>
      <c r="AF380" s="60" t="n"/>
      <c r="AG380" s="62" t="n"/>
      <c r="AH380" s="62" t="n"/>
      <c r="AI380" s="62" t="n"/>
      <c r="AJ380" s="60" t="n"/>
      <c r="AK380" s="61" t="n"/>
      <c r="AL380" s="63">
        <f>IF($A380="","",IF(AH380="","Not Enrolled",IF(TODAY()&gt;AH380,"Review Overdue",IF(AH380-TODAY()&lt;=30,"Review Due Soon","Active"))))</f>
        <v/>
      </c>
      <c r="AM380" s="63">
        <f>IF($A380="","",IF(AI380="","NOT REVIEWED",IF(TODAY()-AI380&gt;90,"OVERDUE",IF(TODAY()-AI380&gt;76,"Due Soon","Current"))))</f>
        <v/>
      </c>
    </row>
    <row r="381" ht="15" customHeight="1" s="39">
      <c r="A381" s="60" t="n"/>
      <c r="B381" s="60" t="n"/>
      <c r="C381" s="61" t="n"/>
      <c r="D381" s="61" t="n"/>
      <c r="E381" s="60" t="n"/>
      <c r="F381" s="60" t="n"/>
      <c r="G381" s="62" t="n"/>
      <c r="H381" s="62" t="n"/>
      <c r="I381" s="62" t="n"/>
      <c r="J381" s="60" t="n"/>
      <c r="K381" s="60" t="n"/>
      <c r="L381" s="60" t="n"/>
      <c r="M381" s="61" t="n"/>
      <c r="N381" s="60" t="n"/>
      <c r="O381" s="60" t="n"/>
      <c r="P381" s="60" t="n"/>
      <c r="Q381" s="60" t="n"/>
      <c r="R381" s="60" t="n"/>
      <c r="S381" s="60" t="n"/>
      <c r="T381" s="60" t="n"/>
      <c r="U381" s="60" t="n"/>
      <c r="V381" s="60" t="n"/>
      <c r="W381" s="60" t="n"/>
      <c r="X381" s="60" t="n"/>
      <c r="Y381" s="60" t="n"/>
      <c r="Z381" s="61" t="n"/>
      <c r="AA381" s="63">
        <f>IF($H381="","",TODAY()-$H381)</f>
        <v/>
      </c>
      <c r="AB381" s="63">
        <f>IF($A381="","",IF(AND($F381="Yes",OR($U381="No",$U381="NOT FOUND")),"YES",""))</f>
        <v/>
      </c>
      <c r="AC381" s="66">
        <f>IF($A381="","",TRIM(IF(AND($P381=0,$L381&lt;&gt;"Yes"),"T0-NoSmartcard ","")&amp;IF(AND($J381&lt;&gt;"",$J381&gt;365),"StalePwd ","")&amp;IF($K381="Yes","PwdNeverExpires ","")&amp;IF(AND($S381&lt;&gt;"",$S381&lt;&gt;"None"),"Delegation ","")&amp;IF(AND($Q381=1,$O381="None"),"StaleAdminCount ","")&amp;IF(AND($F381="Yes",$H381=""),"NeverLoggedOn ","")))</f>
        <v/>
      </c>
      <c r="AD381" s="60" t="n"/>
      <c r="AE381" s="61" t="n"/>
      <c r="AF381" s="60" t="n"/>
      <c r="AG381" s="62" t="n"/>
      <c r="AH381" s="62" t="n"/>
      <c r="AI381" s="62" t="n"/>
      <c r="AJ381" s="60" t="n"/>
      <c r="AK381" s="61" t="n"/>
      <c r="AL381" s="63">
        <f>IF($A381="","",IF(AH381="","Not Enrolled",IF(TODAY()&gt;AH381,"Review Overdue",IF(AH381-TODAY()&lt;=30,"Review Due Soon","Active"))))</f>
        <v/>
      </c>
      <c r="AM381" s="63">
        <f>IF($A381="","",IF(AI381="","NOT REVIEWED",IF(TODAY()-AI381&gt;90,"OVERDUE",IF(TODAY()-AI381&gt;76,"Due Soon","Current"))))</f>
        <v/>
      </c>
    </row>
    <row r="382" ht="15" customHeight="1" s="39">
      <c r="A382" s="60" t="n"/>
      <c r="B382" s="60" t="n"/>
      <c r="C382" s="61" t="n"/>
      <c r="D382" s="61" t="n"/>
      <c r="E382" s="60" t="n"/>
      <c r="F382" s="60" t="n"/>
      <c r="G382" s="62" t="n"/>
      <c r="H382" s="62" t="n"/>
      <c r="I382" s="62" t="n"/>
      <c r="J382" s="60" t="n"/>
      <c r="K382" s="60" t="n"/>
      <c r="L382" s="60" t="n"/>
      <c r="M382" s="61" t="n"/>
      <c r="N382" s="60" t="n"/>
      <c r="O382" s="60" t="n"/>
      <c r="P382" s="60" t="n"/>
      <c r="Q382" s="60" t="n"/>
      <c r="R382" s="60" t="n"/>
      <c r="S382" s="60" t="n"/>
      <c r="T382" s="60" t="n"/>
      <c r="U382" s="60" t="n"/>
      <c r="V382" s="60" t="n"/>
      <c r="W382" s="60" t="n"/>
      <c r="X382" s="60" t="n"/>
      <c r="Y382" s="60" t="n"/>
      <c r="Z382" s="61" t="n"/>
      <c r="AA382" s="63">
        <f>IF($H382="","",TODAY()-$H382)</f>
        <v/>
      </c>
      <c r="AB382" s="63">
        <f>IF($A382="","",IF(AND($F382="Yes",OR($U382="No",$U382="NOT FOUND")),"YES",""))</f>
        <v/>
      </c>
      <c r="AC382" s="66">
        <f>IF($A382="","",TRIM(IF(AND($P382=0,$L382&lt;&gt;"Yes"),"T0-NoSmartcard ","")&amp;IF(AND($J382&lt;&gt;"",$J382&gt;365),"StalePwd ","")&amp;IF($K382="Yes","PwdNeverExpires ","")&amp;IF(AND($S382&lt;&gt;"",$S382&lt;&gt;"None"),"Delegation ","")&amp;IF(AND($Q382=1,$O382="None"),"StaleAdminCount ","")&amp;IF(AND($F382="Yes",$H382=""),"NeverLoggedOn ","")))</f>
        <v/>
      </c>
      <c r="AD382" s="60" t="n"/>
      <c r="AE382" s="61" t="n"/>
      <c r="AF382" s="60" t="n"/>
      <c r="AG382" s="62" t="n"/>
      <c r="AH382" s="62" t="n"/>
      <c r="AI382" s="62" t="n"/>
      <c r="AJ382" s="60" t="n"/>
      <c r="AK382" s="61" t="n"/>
      <c r="AL382" s="63">
        <f>IF($A382="","",IF(AH382="","Not Enrolled",IF(TODAY()&gt;AH382,"Review Overdue",IF(AH382-TODAY()&lt;=30,"Review Due Soon","Active"))))</f>
        <v/>
      </c>
      <c r="AM382" s="63">
        <f>IF($A382="","",IF(AI382="","NOT REVIEWED",IF(TODAY()-AI382&gt;90,"OVERDUE",IF(TODAY()-AI382&gt;76,"Due Soon","Current"))))</f>
        <v/>
      </c>
    </row>
    <row r="383" ht="15" customHeight="1" s="39">
      <c r="A383" s="60" t="n"/>
      <c r="B383" s="60" t="n"/>
      <c r="C383" s="61" t="n"/>
      <c r="D383" s="61" t="n"/>
      <c r="E383" s="60" t="n"/>
      <c r="F383" s="60" t="n"/>
      <c r="G383" s="62" t="n"/>
      <c r="H383" s="62" t="n"/>
      <c r="I383" s="62" t="n"/>
      <c r="J383" s="60" t="n"/>
      <c r="K383" s="60" t="n"/>
      <c r="L383" s="60" t="n"/>
      <c r="M383" s="61" t="n"/>
      <c r="N383" s="60" t="n"/>
      <c r="O383" s="60" t="n"/>
      <c r="P383" s="60" t="n"/>
      <c r="Q383" s="60" t="n"/>
      <c r="R383" s="60" t="n"/>
      <c r="S383" s="60" t="n"/>
      <c r="T383" s="60" t="n"/>
      <c r="U383" s="60" t="n"/>
      <c r="V383" s="60" t="n"/>
      <c r="W383" s="60" t="n"/>
      <c r="X383" s="60" t="n"/>
      <c r="Y383" s="60" t="n"/>
      <c r="Z383" s="61" t="n"/>
      <c r="AA383" s="63">
        <f>IF($H383="","",TODAY()-$H383)</f>
        <v/>
      </c>
      <c r="AB383" s="63">
        <f>IF($A383="","",IF(AND($F383="Yes",OR($U383="No",$U383="NOT FOUND")),"YES",""))</f>
        <v/>
      </c>
      <c r="AC383" s="66">
        <f>IF($A383="","",TRIM(IF(AND($P383=0,$L383&lt;&gt;"Yes"),"T0-NoSmartcard ","")&amp;IF(AND($J383&lt;&gt;"",$J383&gt;365),"StalePwd ","")&amp;IF($K383="Yes","PwdNeverExpires ","")&amp;IF(AND($S383&lt;&gt;"",$S383&lt;&gt;"None"),"Delegation ","")&amp;IF(AND($Q383=1,$O383="None"),"StaleAdminCount ","")&amp;IF(AND($F383="Yes",$H383=""),"NeverLoggedOn ","")))</f>
        <v/>
      </c>
      <c r="AD383" s="60" t="n"/>
      <c r="AE383" s="61" t="n"/>
      <c r="AF383" s="60" t="n"/>
      <c r="AG383" s="62" t="n"/>
      <c r="AH383" s="62" t="n"/>
      <c r="AI383" s="62" t="n"/>
      <c r="AJ383" s="60" t="n"/>
      <c r="AK383" s="61" t="n"/>
      <c r="AL383" s="63">
        <f>IF($A383="","",IF(AH383="","Not Enrolled",IF(TODAY()&gt;AH383,"Review Overdue",IF(AH383-TODAY()&lt;=30,"Review Due Soon","Active"))))</f>
        <v/>
      </c>
      <c r="AM383" s="63">
        <f>IF($A383="","",IF(AI383="","NOT REVIEWED",IF(TODAY()-AI383&gt;90,"OVERDUE",IF(TODAY()-AI383&gt;76,"Due Soon","Current"))))</f>
        <v/>
      </c>
    </row>
    <row r="384" ht="15" customHeight="1" s="39">
      <c r="A384" s="60" t="n"/>
      <c r="B384" s="60" t="n"/>
      <c r="C384" s="61" t="n"/>
      <c r="D384" s="61" t="n"/>
      <c r="E384" s="60" t="n"/>
      <c r="F384" s="60" t="n"/>
      <c r="G384" s="62" t="n"/>
      <c r="H384" s="62" t="n"/>
      <c r="I384" s="62" t="n"/>
      <c r="J384" s="60" t="n"/>
      <c r="K384" s="60" t="n"/>
      <c r="L384" s="60" t="n"/>
      <c r="M384" s="61" t="n"/>
      <c r="N384" s="60" t="n"/>
      <c r="O384" s="60" t="n"/>
      <c r="P384" s="60" t="n"/>
      <c r="Q384" s="60" t="n"/>
      <c r="R384" s="60" t="n"/>
      <c r="S384" s="60" t="n"/>
      <c r="T384" s="60" t="n"/>
      <c r="U384" s="60" t="n"/>
      <c r="V384" s="60" t="n"/>
      <c r="W384" s="60" t="n"/>
      <c r="X384" s="60" t="n"/>
      <c r="Y384" s="60" t="n"/>
      <c r="Z384" s="61" t="n"/>
      <c r="AA384" s="63">
        <f>IF($H384="","",TODAY()-$H384)</f>
        <v/>
      </c>
      <c r="AB384" s="63">
        <f>IF($A384="","",IF(AND($F384="Yes",OR($U384="No",$U384="NOT FOUND")),"YES",""))</f>
        <v/>
      </c>
      <c r="AC384" s="66">
        <f>IF($A384="","",TRIM(IF(AND($P384=0,$L384&lt;&gt;"Yes"),"T0-NoSmartcard ","")&amp;IF(AND($J384&lt;&gt;"",$J384&gt;365),"StalePwd ","")&amp;IF($K384="Yes","PwdNeverExpires ","")&amp;IF(AND($S384&lt;&gt;"",$S384&lt;&gt;"None"),"Delegation ","")&amp;IF(AND($Q384=1,$O384="None"),"StaleAdminCount ","")&amp;IF(AND($F384="Yes",$H384=""),"NeverLoggedOn ","")))</f>
        <v/>
      </c>
      <c r="AD384" s="60" t="n"/>
      <c r="AE384" s="61" t="n"/>
      <c r="AF384" s="60" t="n"/>
      <c r="AG384" s="62" t="n"/>
      <c r="AH384" s="62" t="n"/>
      <c r="AI384" s="62" t="n"/>
      <c r="AJ384" s="60" t="n"/>
      <c r="AK384" s="61" t="n"/>
      <c r="AL384" s="63">
        <f>IF($A384="","",IF(AH384="","Not Enrolled",IF(TODAY()&gt;AH384,"Review Overdue",IF(AH384-TODAY()&lt;=30,"Review Due Soon","Active"))))</f>
        <v/>
      </c>
      <c r="AM384" s="63">
        <f>IF($A384="","",IF(AI384="","NOT REVIEWED",IF(TODAY()-AI384&gt;90,"OVERDUE",IF(TODAY()-AI384&gt;76,"Due Soon","Current"))))</f>
        <v/>
      </c>
    </row>
    <row r="385" ht="15" customHeight="1" s="39">
      <c r="A385" s="60" t="n"/>
      <c r="B385" s="60" t="n"/>
      <c r="C385" s="61" t="n"/>
      <c r="D385" s="61" t="n"/>
      <c r="E385" s="60" t="n"/>
      <c r="F385" s="60" t="n"/>
      <c r="G385" s="62" t="n"/>
      <c r="H385" s="62" t="n"/>
      <c r="I385" s="62" t="n"/>
      <c r="J385" s="60" t="n"/>
      <c r="K385" s="60" t="n"/>
      <c r="L385" s="60" t="n"/>
      <c r="M385" s="61" t="n"/>
      <c r="N385" s="60" t="n"/>
      <c r="O385" s="60" t="n"/>
      <c r="P385" s="60" t="n"/>
      <c r="Q385" s="60" t="n"/>
      <c r="R385" s="60" t="n"/>
      <c r="S385" s="60" t="n"/>
      <c r="T385" s="60" t="n"/>
      <c r="U385" s="60" t="n"/>
      <c r="V385" s="60" t="n"/>
      <c r="W385" s="60" t="n"/>
      <c r="X385" s="60" t="n"/>
      <c r="Y385" s="60" t="n"/>
      <c r="Z385" s="61" t="n"/>
      <c r="AA385" s="63">
        <f>IF($H385="","",TODAY()-$H385)</f>
        <v/>
      </c>
      <c r="AB385" s="63">
        <f>IF($A385="","",IF(AND($F385="Yes",OR($U385="No",$U385="NOT FOUND")),"YES",""))</f>
        <v/>
      </c>
      <c r="AC385" s="66">
        <f>IF($A385="","",TRIM(IF(AND($P385=0,$L385&lt;&gt;"Yes"),"T0-NoSmartcard ","")&amp;IF(AND($J385&lt;&gt;"",$J385&gt;365),"StalePwd ","")&amp;IF($K385="Yes","PwdNeverExpires ","")&amp;IF(AND($S385&lt;&gt;"",$S385&lt;&gt;"None"),"Delegation ","")&amp;IF(AND($Q385=1,$O385="None"),"StaleAdminCount ","")&amp;IF(AND($F385="Yes",$H385=""),"NeverLoggedOn ","")))</f>
        <v/>
      </c>
      <c r="AD385" s="60" t="n"/>
      <c r="AE385" s="61" t="n"/>
      <c r="AF385" s="60" t="n"/>
      <c r="AG385" s="62" t="n"/>
      <c r="AH385" s="62" t="n"/>
      <c r="AI385" s="62" t="n"/>
      <c r="AJ385" s="60" t="n"/>
      <c r="AK385" s="61" t="n"/>
      <c r="AL385" s="63">
        <f>IF($A385="","",IF(AH385="","Not Enrolled",IF(TODAY()&gt;AH385,"Review Overdue",IF(AH385-TODAY()&lt;=30,"Review Due Soon","Active"))))</f>
        <v/>
      </c>
      <c r="AM385" s="63">
        <f>IF($A385="","",IF(AI385="","NOT REVIEWED",IF(TODAY()-AI385&gt;90,"OVERDUE",IF(TODAY()-AI385&gt;76,"Due Soon","Current"))))</f>
        <v/>
      </c>
    </row>
    <row r="386" ht="15" customHeight="1" s="39">
      <c r="A386" s="60" t="n"/>
      <c r="B386" s="60" t="n"/>
      <c r="C386" s="61" t="n"/>
      <c r="D386" s="61" t="n"/>
      <c r="E386" s="60" t="n"/>
      <c r="F386" s="60" t="n"/>
      <c r="G386" s="62" t="n"/>
      <c r="H386" s="62" t="n"/>
      <c r="I386" s="62" t="n"/>
      <c r="J386" s="60" t="n"/>
      <c r="K386" s="60" t="n"/>
      <c r="L386" s="60" t="n"/>
      <c r="M386" s="61" t="n"/>
      <c r="N386" s="60" t="n"/>
      <c r="O386" s="60" t="n"/>
      <c r="P386" s="60" t="n"/>
      <c r="Q386" s="60" t="n"/>
      <c r="R386" s="60" t="n"/>
      <c r="S386" s="60" t="n"/>
      <c r="T386" s="60" t="n"/>
      <c r="U386" s="60" t="n"/>
      <c r="V386" s="60" t="n"/>
      <c r="W386" s="60" t="n"/>
      <c r="X386" s="60" t="n"/>
      <c r="Y386" s="60" t="n"/>
      <c r="Z386" s="61" t="n"/>
      <c r="AA386" s="63">
        <f>IF($H386="","",TODAY()-$H386)</f>
        <v/>
      </c>
      <c r="AB386" s="63">
        <f>IF($A386="","",IF(AND($F386="Yes",OR($U386="No",$U386="NOT FOUND")),"YES",""))</f>
        <v/>
      </c>
      <c r="AC386" s="66">
        <f>IF($A386="","",TRIM(IF(AND($P386=0,$L386&lt;&gt;"Yes"),"T0-NoSmartcard ","")&amp;IF(AND($J386&lt;&gt;"",$J386&gt;365),"StalePwd ","")&amp;IF($K386="Yes","PwdNeverExpires ","")&amp;IF(AND($S386&lt;&gt;"",$S386&lt;&gt;"None"),"Delegation ","")&amp;IF(AND($Q386=1,$O386="None"),"StaleAdminCount ","")&amp;IF(AND($F386="Yes",$H386=""),"NeverLoggedOn ","")))</f>
        <v/>
      </c>
      <c r="AD386" s="60" t="n"/>
      <c r="AE386" s="61" t="n"/>
      <c r="AF386" s="60" t="n"/>
      <c r="AG386" s="62" t="n"/>
      <c r="AH386" s="62" t="n"/>
      <c r="AI386" s="62" t="n"/>
      <c r="AJ386" s="60" t="n"/>
      <c r="AK386" s="61" t="n"/>
      <c r="AL386" s="63">
        <f>IF($A386="","",IF(AH386="","Not Enrolled",IF(TODAY()&gt;AH386,"Review Overdue",IF(AH386-TODAY()&lt;=30,"Review Due Soon","Active"))))</f>
        <v/>
      </c>
      <c r="AM386" s="63">
        <f>IF($A386="","",IF(AI386="","NOT REVIEWED",IF(TODAY()-AI386&gt;90,"OVERDUE",IF(TODAY()-AI386&gt;76,"Due Soon","Current"))))</f>
        <v/>
      </c>
    </row>
    <row r="387" ht="15" customHeight="1" s="39">
      <c r="A387" s="60" t="n"/>
      <c r="B387" s="60" t="n"/>
      <c r="C387" s="61" t="n"/>
      <c r="D387" s="61" t="n"/>
      <c r="E387" s="60" t="n"/>
      <c r="F387" s="60" t="n"/>
      <c r="G387" s="62" t="n"/>
      <c r="H387" s="62" t="n"/>
      <c r="I387" s="62" t="n"/>
      <c r="J387" s="60" t="n"/>
      <c r="K387" s="60" t="n"/>
      <c r="L387" s="60" t="n"/>
      <c r="M387" s="61" t="n"/>
      <c r="N387" s="60" t="n"/>
      <c r="O387" s="60" t="n"/>
      <c r="P387" s="60" t="n"/>
      <c r="Q387" s="60" t="n"/>
      <c r="R387" s="60" t="n"/>
      <c r="S387" s="60" t="n"/>
      <c r="T387" s="60" t="n"/>
      <c r="U387" s="60" t="n"/>
      <c r="V387" s="60" t="n"/>
      <c r="W387" s="60" t="n"/>
      <c r="X387" s="60" t="n"/>
      <c r="Y387" s="60" t="n"/>
      <c r="Z387" s="61" t="n"/>
      <c r="AA387" s="63">
        <f>IF($H387="","",TODAY()-$H387)</f>
        <v/>
      </c>
      <c r="AB387" s="63">
        <f>IF($A387="","",IF(AND($F387="Yes",OR($U387="No",$U387="NOT FOUND")),"YES",""))</f>
        <v/>
      </c>
      <c r="AC387" s="66">
        <f>IF($A387="","",TRIM(IF(AND($P387=0,$L387&lt;&gt;"Yes"),"T0-NoSmartcard ","")&amp;IF(AND($J387&lt;&gt;"",$J387&gt;365),"StalePwd ","")&amp;IF($K387="Yes","PwdNeverExpires ","")&amp;IF(AND($S387&lt;&gt;"",$S387&lt;&gt;"None"),"Delegation ","")&amp;IF(AND($Q387=1,$O387="None"),"StaleAdminCount ","")&amp;IF(AND($F387="Yes",$H387=""),"NeverLoggedOn ","")))</f>
        <v/>
      </c>
      <c r="AD387" s="60" t="n"/>
      <c r="AE387" s="61" t="n"/>
      <c r="AF387" s="60" t="n"/>
      <c r="AG387" s="62" t="n"/>
      <c r="AH387" s="62" t="n"/>
      <c r="AI387" s="62" t="n"/>
      <c r="AJ387" s="60" t="n"/>
      <c r="AK387" s="61" t="n"/>
      <c r="AL387" s="63">
        <f>IF($A387="","",IF(AH387="","Not Enrolled",IF(TODAY()&gt;AH387,"Review Overdue",IF(AH387-TODAY()&lt;=30,"Review Due Soon","Active"))))</f>
        <v/>
      </c>
      <c r="AM387" s="63">
        <f>IF($A387="","",IF(AI387="","NOT REVIEWED",IF(TODAY()-AI387&gt;90,"OVERDUE",IF(TODAY()-AI387&gt;76,"Due Soon","Current"))))</f>
        <v/>
      </c>
    </row>
    <row r="388" ht="15" customHeight="1" s="39">
      <c r="A388" s="60" t="n"/>
      <c r="B388" s="60" t="n"/>
      <c r="C388" s="61" t="n"/>
      <c r="D388" s="61" t="n"/>
      <c r="E388" s="60" t="n"/>
      <c r="F388" s="60" t="n"/>
      <c r="G388" s="62" t="n"/>
      <c r="H388" s="62" t="n"/>
      <c r="I388" s="62" t="n"/>
      <c r="J388" s="60" t="n"/>
      <c r="K388" s="60" t="n"/>
      <c r="L388" s="60" t="n"/>
      <c r="M388" s="61" t="n"/>
      <c r="N388" s="60" t="n"/>
      <c r="O388" s="60" t="n"/>
      <c r="P388" s="60" t="n"/>
      <c r="Q388" s="60" t="n"/>
      <c r="R388" s="60" t="n"/>
      <c r="S388" s="60" t="n"/>
      <c r="T388" s="60" t="n"/>
      <c r="U388" s="60" t="n"/>
      <c r="V388" s="60" t="n"/>
      <c r="W388" s="60" t="n"/>
      <c r="X388" s="60" t="n"/>
      <c r="Y388" s="60" t="n"/>
      <c r="Z388" s="61" t="n"/>
      <c r="AA388" s="63">
        <f>IF($H388="","",TODAY()-$H388)</f>
        <v/>
      </c>
      <c r="AB388" s="63">
        <f>IF($A388="","",IF(AND($F388="Yes",OR($U388="No",$U388="NOT FOUND")),"YES",""))</f>
        <v/>
      </c>
      <c r="AC388" s="66">
        <f>IF($A388="","",TRIM(IF(AND($P388=0,$L388&lt;&gt;"Yes"),"T0-NoSmartcard ","")&amp;IF(AND($J388&lt;&gt;"",$J388&gt;365),"StalePwd ","")&amp;IF($K388="Yes","PwdNeverExpires ","")&amp;IF(AND($S388&lt;&gt;"",$S388&lt;&gt;"None"),"Delegation ","")&amp;IF(AND($Q388=1,$O388="None"),"StaleAdminCount ","")&amp;IF(AND($F388="Yes",$H388=""),"NeverLoggedOn ","")))</f>
        <v/>
      </c>
      <c r="AD388" s="60" t="n"/>
      <c r="AE388" s="61" t="n"/>
      <c r="AF388" s="60" t="n"/>
      <c r="AG388" s="62" t="n"/>
      <c r="AH388" s="62" t="n"/>
      <c r="AI388" s="62" t="n"/>
      <c r="AJ388" s="60" t="n"/>
      <c r="AK388" s="61" t="n"/>
      <c r="AL388" s="63">
        <f>IF($A388="","",IF(AH388="","Not Enrolled",IF(TODAY()&gt;AH388,"Review Overdue",IF(AH388-TODAY()&lt;=30,"Review Due Soon","Active"))))</f>
        <v/>
      </c>
      <c r="AM388" s="63">
        <f>IF($A388="","",IF(AI388="","NOT REVIEWED",IF(TODAY()-AI388&gt;90,"OVERDUE",IF(TODAY()-AI388&gt;76,"Due Soon","Current"))))</f>
        <v/>
      </c>
    </row>
    <row r="389" ht="15" customHeight="1" s="39">
      <c r="A389" s="60" t="n"/>
      <c r="B389" s="60" t="n"/>
      <c r="C389" s="61" t="n"/>
      <c r="D389" s="61" t="n"/>
      <c r="E389" s="60" t="n"/>
      <c r="F389" s="60" t="n"/>
      <c r="G389" s="62" t="n"/>
      <c r="H389" s="62" t="n"/>
      <c r="I389" s="62" t="n"/>
      <c r="J389" s="60" t="n"/>
      <c r="K389" s="60" t="n"/>
      <c r="L389" s="60" t="n"/>
      <c r="M389" s="61" t="n"/>
      <c r="N389" s="60" t="n"/>
      <c r="O389" s="60" t="n"/>
      <c r="P389" s="60" t="n"/>
      <c r="Q389" s="60" t="n"/>
      <c r="R389" s="60" t="n"/>
      <c r="S389" s="60" t="n"/>
      <c r="T389" s="60" t="n"/>
      <c r="U389" s="60" t="n"/>
      <c r="V389" s="60" t="n"/>
      <c r="W389" s="60" t="n"/>
      <c r="X389" s="60" t="n"/>
      <c r="Y389" s="60" t="n"/>
      <c r="Z389" s="61" t="n"/>
      <c r="AA389" s="63">
        <f>IF($H389="","",TODAY()-$H389)</f>
        <v/>
      </c>
      <c r="AB389" s="63">
        <f>IF($A389="","",IF(AND($F389="Yes",OR($U389="No",$U389="NOT FOUND")),"YES",""))</f>
        <v/>
      </c>
      <c r="AC389" s="66">
        <f>IF($A389="","",TRIM(IF(AND($P389=0,$L389&lt;&gt;"Yes"),"T0-NoSmartcard ","")&amp;IF(AND($J389&lt;&gt;"",$J389&gt;365),"StalePwd ","")&amp;IF($K389="Yes","PwdNeverExpires ","")&amp;IF(AND($S389&lt;&gt;"",$S389&lt;&gt;"None"),"Delegation ","")&amp;IF(AND($Q389=1,$O389="None"),"StaleAdminCount ","")&amp;IF(AND($F389="Yes",$H389=""),"NeverLoggedOn ","")))</f>
        <v/>
      </c>
      <c r="AD389" s="60" t="n"/>
      <c r="AE389" s="61" t="n"/>
      <c r="AF389" s="60" t="n"/>
      <c r="AG389" s="62" t="n"/>
      <c r="AH389" s="62" t="n"/>
      <c r="AI389" s="62" t="n"/>
      <c r="AJ389" s="60" t="n"/>
      <c r="AK389" s="61" t="n"/>
      <c r="AL389" s="63">
        <f>IF($A389="","",IF(AH389="","Not Enrolled",IF(TODAY()&gt;AH389,"Review Overdue",IF(AH389-TODAY()&lt;=30,"Review Due Soon","Active"))))</f>
        <v/>
      </c>
      <c r="AM389" s="63">
        <f>IF($A389="","",IF(AI389="","NOT REVIEWED",IF(TODAY()-AI389&gt;90,"OVERDUE",IF(TODAY()-AI389&gt;76,"Due Soon","Current"))))</f>
        <v/>
      </c>
    </row>
    <row r="390" ht="15" customHeight="1" s="39">
      <c r="A390" s="60" t="n"/>
      <c r="B390" s="60" t="n"/>
      <c r="C390" s="61" t="n"/>
      <c r="D390" s="61" t="n"/>
      <c r="E390" s="60" t="n"/>
      <c r="F390" s="60" t="n"/>
      <c r="G390" s="62" t="n"/>
      <c r="H390" s="62" t="n"/>
      <c r="I390" s="62" t="n"/>
      <c r="J390" s="60" t="n"/>
      <c r="K390" s="60" t="n"/>
      <c r="L390" s="60" t="n"/>
      <c r="M390" s="61" t="n"/>
      <c r="N390" s="60" t="n"/>
      <c r="O390" s="60" t="n"/>
      <c r="P390" s="60" t="n"/>
      <c r="Q390" s="60" t="n"/>
      <c r="R390" s="60" t="n"/>
      <c r="S390" s="60" t="n"/>
      <c r="T390" s="60" t="n"/>
      <c r="U390" s="60" t="n"/>
      <c r="V390" s="60" t="n"/>
      <c r="W390" s="60" t="n"/>
      <c r="X390" s="60" t="n"/>
      <c r="Y390" s="60" t="n"/>
      <c r="Z390" s="61" t="n"/>
      <c r="AA390" s="63">
        <f>IF($H390="","",TODAY()-$H390)</f>
        <v/>
      </c>
      <c r="AB390" s="63">
        <f>IF($A390="","",IF(AND($F390="Yes",OR($U390="No",$U390="NOT FOUND")),"YES",""))</f>
        <v/>
      </c>
      <c r="AC390" s="66">
        <f>IF($A390="","",TRIM(IF(AND($P390=0,$L390&lt;&gt;"Yes"),"T0-NoSmartcard ","")&amp;IF(AND($J390&lt;&gt;"",$J390&gt;365),"StalePwd ","")&amp;IF($K390="Yes","PwdNeverExpires ","")&amp;IF(AND($S390&lt;&gt;"",$S390&lt;&gt;"None"),"Delegation ","")&amp;IF(AND($Q390=1,$O390="None"),"StaleAdminCount ","")&amp;IF(AND($F390="Yes",$H390=""),"NeverLoggedOn ","")))</f>
        <v/>
      </c>
      <c r="AD390" s="60" t="n"/>
      <c r="AE390" s="61" t="n"/>
      <c r="AF390" s="60" t="n"/>
      <c r="AG390" s="62" t="n"/>
      <c r="AH390" s="62" t="n"/>
      <c r="AI390" s="62" t="n"/>
      <c r="AJ390" s="60" t="n"/>
      <c r="AK390" s="61" t="n"/>
      <c r="AL390" s="63">
        <f>IF($A390="","",IF(AH390="","Not Enrolled",IF(TODAY()&gt;AH390,"Review Overdue",IF(AH390-TODAY()&lt;=30,"Review Due Soon","Active"))))</f>
        <v/>
      </c>
      <c r="AM390" s="63">
        <f>IF($A390="","",IF(AI390="","NOT REVIEWED",IF(TODAY()-AI390&gt;90,"OVERDUE",IF(TODAY()-AI390&gt;76,"Due Soon","Current"))))</f>
        <v/>
      </c>
    </row>
    <row r="391" ht="15" customHeight="1" s="39">
      <c r="A391" s="60" t="n"/>
      <c r="B391" s="60" t="n"/>
      <c r="C391" s="61" t="n"/>
      <c r="D391" s="61" t="n"/>
      <c r="E391" s="60" t="n"/>
      <c r="F391" s="60" t="n"/>
      <c r="G391" s="62" t="n"/>
      <c r="H391" s="62" t="n"/>
      <c r="I391" s="62" t="n"/>
      <c r="J391" s="60" t="n"/>
      <c r="K391" s="60" t="n"/>
      <c r="L391" s="60" t="n"/>
      <c r="M391" s="61" t="n"/>
      <c r="N391" s="60" t="n"/>
      <c r="O391" s="60" t="n"/>
      <c r="P391" s="60" t="n"/>
      <c r="Q391" s="60" t="n"/>
      <c r="R391" s="60" t="n"/>
      <c r="S391" s="60" t="n"/>
      <c r="T391" s="60" t="n"/>
      <c r="U391" s="60" t="n"/>
      <c r="V391" s="60" t="n"/>
      <c r="W391" s="60" t="n"/>
      <c r="X391" s="60" t="n"/>
      <c r="Y391" s="60" t="n"/>
      <c r="Z391" s="61" t="n"/>
      <c r="AA391" s="63">
        <f>IF($H391="","",TODAY()-$H391)</f>
        <v/>
      </c>
      <c r="AB391" s="63">
        <f>IF($A391="","",IF(AND($F391="Yes",OR($U391="No",$U391="NOT FOUND")),"YES",""))</f>
        <v/>
      </c>
      <c r="AC391" s="66">
        <f>IF($A391="","",TRIM(IF(AND($P391=0,$L391&lt;&gt;"Yes"),"T0-NoSmartcard ","")&amp;IF(AND($J391&lt;&gt;"",$J391&gt;365),"StalePwd ","")&amp;IF($K391="Yes","PwdNeverExpires ","")&amp;IF(AND($S391&lt;&gt;"",$S391&lt;&gt;"None"),"Delegation ","")&amp;IF(AND($Q391=1,$O391="None"),"StaleAdminCount ","")&amp;IF(AND($F391="Yes",$H391=""),"NeverLoggedOn ","")))</f>
        <v/>
      </c>
      <c r="AD391" s="60" t="n"/>
      <c r="AE391" s="61" t="n"/>
      <c r="AF391" s="60" t="n"/>
      <c r="AG391" s="62" t="n"/>
      <c r="AH391" s="62" t="n"/>
      <c r="AI391" s="62" t="n"/>
      <c r="AJ391" s="60" t="n"/>
      <c r="AK391" s="61" t="n"/>
      <c r="AL391" s="63">
        <f>IF($A391="","",IF(AH391="","Not Enrolled",IF(TODAY()&gt;AH391,"Review Overdue",IF(AH391-TODAY()&lt;=30,"Review Due Soon","Active"))))</f>
        <v/>
      </c>
      <c r="AM391" s="63">
        <f>IF($A391="","",IF(AI391="","NOT REVIEWED",IF(TODAY()-AI391&gt;90,"OVERDUE",IF(TODAY()-AI391&gt;76,"Due Soon","Current"))))</f>
        <v/>
      </c>
    </row>
    <row r="392" ht="15" customHeight="1" s="39">
      <c r="A392" s="60" t="n"/>
      <c r="B392" s="60" t="n"/>
      <c r="C392" s="61" t="n"/>
      <c r="D392" s="61" t="n"/>
      <c r="E392" s="60" t="n"/>
      <c r="F392" s="60" t="n"/>
      <c r="G392" s="62" t="n"/>
      <c r="H392" s="62" t="n"/>
      <c r="I392" s="62" t="n"/>
      <c r="J392" s="60" t="n"/>
      <c r="K392" s="60" t="n"/>
      <c r="L392" s="60" t="n"/>
      <c r="M392" s="61" t="n"/>
      <c r="N392" s="60" t="n"/>
      <c r="O392" s="60" t="n"/>
      <c r="P392" s="60" t="n"/>
      <c r="Q392" s="60" t="n"/>
      <c r="R392" s="60" t="n"/>
      <c r="S392" s="60" t="n"/>
      <c r="T392" s="60" t="n"/>
      <c r="U392" s="60" t="n"/>
      <c r="V392" s="60" t="n"/>
      <c r="W392" s="60" t="n"/>
      <c r="X392" s="60" t="n"/>
      <c r="Y392" s="60" t="n"/>
      <c r="Z392" s="61" t="n"/>
      <c r="AA392" s="63">
        <f>IF($H392="","",TODAY()-$H392)</f>
        <v/>
      </c>
      <c r="AB392" s="63">
        <f>IF($A392="","",IF(AND($F392="Yes",OR($U392="No",$U392="NOT FOUND")),"YES",""))</f>
        <v/>
      </c>
      <c r="AC392" s="66">
        <f>IF($A392="","",TRIM(IF(AND($P392=0,$L392&lt;&gt;"Yes"),"T0-NoSmartcard ","")&amp;IF(AND($J392&lt;&gt;"",$J392&gt;365),"StalePwd ","")&amp;IF($K392="Yes","PwdNeverExpires ","")&amp;IF(AND($S392&lt;&gt;"",$S392&lt;&gt;"None"),"Delegation ","")&amp;IF(AND($Q392=1,$O392="None"),"StaleAdminCount ","")&amp;IF(AND($F392="Yes",$H392=""),"NeverLoggedOn ","")))</f>
        <v/>
      </c>
      <c r="AD392" s="60" t="n"/>
      <c r="AE392" s="61" t="n"/>
      <c r="AF392" s="60" t="n"/>
      <c r="AG392" s="62" t="n"/>
      <c r="AH392" s="62" t="n"/>
      <c r="AI392" s="62" t="n"/>
      <c r="AJ392" s="60" t="n"/>
      <c r="AK392" s="61" t="n"/>
      <c r="AL392" s="63">
        <f>IF($A392="","",IF(AH392="","Not Enrolled",IF(TODAY()&gt;AH392,"Review Overdue",IF(AH392-TODAY()&lt;=30,"Review Due Soon","Active"))))</f>
        <v/>
      </c>
      <c r="AM392" s="63">
        <f>IF($A392="","",IF(AI392="","NOT REVIEWED",IF(TODAY()-AI392&gt;90,"OVERDUE",IF(TODAY()-AI392&gt;76,"Due Soon","Current"))))</f>
        <v/>
      </c>
    </row>
    <row r="393" ht="15" customHeight="1" s="39">
      <c r="A393" s="60" t="n"/>
      <c r="B393" s="60" t="n"/>
      <c r="C393" s="61" t="n"/>
      <c r="D393" s="61" t="n"/>
      <c r="E393" s="60" t="n"/>
      <c r="F393" s="60" t="n"/>
      <c r="G393" s="62" t="n"/>
      <c r="H393" s="62" t="n"/>
      <c r="I393" s="62" t="n"/>
      <c r="J393" s="60" t="n"/>
      <c r="K393" s="60" t="n"/>
      <c r="L393" s="60" t="n"/>
      <c r="M393" s="61" t="n"/>
      <c r="N393" s="60" t="n"/>
      <c r="O393" s="60" t="n"/>
      <c r="P393" s="60" t="n"/>
      <c r="Q393" s="60" t="n"/>
      <c r="R393" s="60" t="n"/>
      <c r="S393" s="60" t="n"/>
      <c r="T393" s="60" t="n"/>
      <c r="U393" s="60" t="n"/>
      <c r="V393" s="60" t="n"/>
      <c r="W393" s="60" t="n"/>
      <c r="X393" s="60" t="n"/>
      <c r="Y393" s="60" t="n"/>
      <c r="Z393" s="61" t="n"/>
      <c r="AA393" s="63">
        <f>IF($H393="","",TODAY()-$H393)</f>
        <v/>
      </c>
      <c r="AB393" s="63">
        <f>IF($A393="","",IF(AND($F393="Yes",OR($U393="No",$U393="NOT FOUND")),"YES",""))</f>
        <v/>
      </c>
      <c r="AC393" s="66">
        <f>IF($A393="","",TRIM(IF(AND($P393=0,$L393&lt;&gt;"Yes"),"T0-NoSmartcard ","")&amp;IF(AND($J393&lt;&gt;"",$J393&gt;365),"StalePwd ","")&amp;IF($K393="Yes","PwdNeverExpires ","")&amp;IF(AND($S393&lt;&gt;"",$S393&lt;&gt;"None"),"Delegation ","")&amp;IF(AND($Q393=1,$O393="None"),"StaleAdminCount ","")&amp;IF(AND($F393="Yes",$H393=""),"NeverLoggedOn ","")))</f>
        <v/>
      </c>
      <c r="AD393" s="60" t="n"/>
      <c r="AE393" s="61" t="n"/>
      <c r="AF393" s="60" t="n"/>
      <c r="AG393" s="62" t="n"/>
      <c r="AH393" s="62" t="n"/>
      <c r="AI393" s="62" t="n"/>
      <c r="AJ393" s="60" t="n"/>
      <c r="AK393" s="61" t="n"/>
      <c r="AL393" s="63">
        <f>IF($A393="","",IF(AH393="","Not Enrolled",IF(TODAY()&gt;AH393,"Review Overdue",IF(AH393-TODAY()&lt;=30,"Review Due Soon","Active"))))</f>
        <v/>
      </c>
      <c r="AM393" s="63">
        <f>IF($A393="","",IF(AI393="","NOT REVIEWED",IF(TODAY()-AI393&gt;90,"OVERDUE",IF(TODAY()-AI393&gt;76,"Due Soon","Current"))))</f>
        <v/>
      </c>
    </row>
    <row r="394" ht="15" customHeight="1" s="39">
      <c r="A394" s="60" t="n"/>
      <c r="B394" s="60" t="n"/>
      <c r="C394" s="61" t="n"/>
      <c r="D394" s="61" t="n"/>
      <c r="E394" s="60" t="n"/>
      <c r="F394" s="60" t="n"/>
      <c r="G394" s="62" t="n"/>
      <c r="H394" s="62" t="n"/>
      <c r="I394" s="62" t="n"/>
      <c r="J394" s="60" t="n"/>
      <c r="K394" s="60" t="n"/>
      <c r="L394" s="60" t="n"/>
      <c r="M394" s="61" t="n"/>
      <c r="N394" s="60" t="n"/>
      <c r="O394" s="60" t="n"/>
      <c r="P394" s="60" t="n"/>
      <c r="Q394" s="60" t="n"/>
      <c r="R394" s="60" t="n"/>
      <c r="S394" s="60" t="n"/>
      <c r="T394" s="60" t="n"/>
      <c r="U394" s="60" t="n"/>
      <c r="V394" s="60" t="n"/>
      <c r="W394" s="60" t="n"/>
      <c r="X394" s="60" t="n"/>
      <c r="Y394" s="60" t="n"/>
      <c r="Z394" s="61" t="n"/>
      <c r="AA394" s="63">
        <f>IF($H394="","",TODAY()-$H394)</f>
        <v/>
      </c>
      <c r="AB394" s="63">
        <f>IF($A394="","",IF(AND($F394="Yes",OR($U394="No",$U394="NOT FOUND")),"YES",""))</f>
        <v/>
      </c>
      <c r="AC394" s="66">
        <f>IF($A394="","",TRIM(IF(AND($P394=0,$L394&lt;&gt;"Yes"),"T0-NoSmartcard ","")&amp;IF(AND($J394&lt;&gt;"",$J394&gt;365),"StalePwd ","")&amp;IF($K394="Yes","PwdNeverExpires ","")&amp;IF(AND($S394&lt;&gt;"",$S394&lt;&gt;"None"),"Delegation ","")&amp;IF(AND($Q394=1,$O394="None"),"StaleAdminCount ","")&amp;IF(AND($F394="Yes",$H394=""),"NeverLoggedOn ","")))</f>
        <v/>
      </c>
      <c r="AD394" s="60" t="n"/>
      <c r="AE394" s="61" t="n"/>
      <c r="AF394" s="60" t="n"/>
      <c r="AG394" s="62" t="n"/>
      <c r="AH394" s="62" t="n"/>
      <c r="AI394" s="62" t="n"/>
      <c r="AJ394" s="60" t="n"/>
      <c r="AK394" s="61" t="n"/>
      <c r="AL394" s="63">
        <f>IF($A394="","",IF(AH394="","Not Enrolled",IF(TODAY()&gt;AH394,"Review Overdue",IF(AH394-TODAY()&lt;=30,"Review Due Soon","Active"))))</f>
        <v/>
      </c>
      <c r="AM394" s="63">
        <f>IF($A394="","",IF(AI394="","NOT REVIEWED",IF(TODAY()-AI394&gt;90,"OVERDUE",IF(TODAY()-AI394&gt;76,"Due Soon","Current"))))</f>
        <v/>
      </c>
    </row>
    <row r="395" ht="15" customHeight="1" s="39">
      <c r="A395" s="60" t="n"/>
      <c r="B395" s="60" t="n"/>
      <c r="C395" s="61" t="n"/>
      <c r="D395" s="61" t="n"/>
      <c r="E395" s="60" t="n"/>
      <c r="F395" s="60" t="n"/>
      <c r="G395" s="62" t="n"/>
      <c r="H395" s="62" t="n"/>
      <c r="I395" s="62" t="n"/>
      <c r="J395" s="60" t="n"/>
      <c r="K395" s="60" t="n"/>
      <c r="L395" s="60" t="n"/>
      <c r="M395" s="61" t="n"/>
      <c r="N395" s="60" t="n"/>
      <c r="O395" s="60" t="n"/>
      <c r="P395" s="60" t="n"/>
      <c r="Q395" s="60" t="n"/>
      <c r="R395" s="60" t="n"/>
      <c r="S395" s="60" t="n"/>
      <c r="T395" s="60" t="n"/>
      <c r="U395" s="60" t="n"/>
      <c r="V395" s="60" t="n"/>
      <c r="W395" s="60" t="n"/>
      <c r="X395" s="60" t="n"/>
      <c r="Y395" s="60" t="n"/>
      <c r="Z395" s="61" t="n"/>
      <c r="AA395" s="63">
        <f>IF($H395="","",TODAY()-$H395)</f>
        <v/>
      </c>
      <c r="AB395" s="63">
        <f>IF($A395="","",IF(AND($F395="Yes",OR($U395="No",$U395="NOT FOUND")),"YES",""))</f>
        <v/>
      </c>
      <c r="AC395" s="66">
        <f>IF($A395="","",TRIM(IF(AND($P395=0,$L395&lt;&gt;"Yes"),"T0-NoSmartcard ","")&amp;IF(AND($J395&lt;&gt;"",$J395&gt;365),"StalePwd ","")&amp;IF($K395="Yes","PwdNeverExpires ","")&amp;IF(AND($S395&lt;&gt;"",$S395&lt;&gt;"None"),"Delegation ","")&amp;IF(AND($Q395=1,$O395="None"),"StaleAdminCount ","")&amp;IF(AND($F395="Yes",$H395=""),"NeverLoggedOn ","")))</f>
        <v/>
      </c>
      <c r="AD395" s="60" t="n"/>
      <c r="AE395" s="61" t="n"/>
      <c r="AF395" s="60" t="n"/>
      <c r="AG395" s="62" t="n"/>
      <c r="AH395" s="62" t="n"/>
      <c r="AI395" s="62" t="n"/>
      <c r="AJ395" s="60" t="n"/>
      <c r="AK395" s="61" t="n"/>
      <c r="AL395" s="63">
        <f>IF($A395="","",IF(AH395="","Not Enrolled",IF(TODAY()&gt;AH395,"Review Overdue",IF(AH395-TODAY()&lt;=30,"Review Due Soon","Active"))))</f>
        <v/>
      </c>
      <c r="AM395" s="63">
        <f>IF($A395="","",IF(AI395="","NOT REVIEWED",IF(TODAY()-AI395&gt;90,"OVERDUE",IF(TODAY()-AI395&gt;76,"Due Soon","Current"))))</f>
        <v/>
      </c>
    </row>
    <row r="396" ht="15" customHeight="1" s="39">
      <c r="A396" s="60" t="n"/>
      <c r="B396" s="60" t="n"/>
      <c r="C396" s="61" t="n"/>
      <c r="D396" s="61" t="n"/>
      <c r="E396" s="60" t="n"/>
      <c r="F396" s="60" t="n"/>
      <c r="G396" s="62" t="n"/>
      <c r="H396" s="62" t="n"/>
      <c r="I396" s="62" t="n"/>
      <c r="J396" s="60" t="n"/>
      <c r="K396" s="60" t="n"/>
      <c r="L396" s="60" t="n"/>
      <c r="M396" s="61" t="n"/>
      <c r="N396" s="60" t="n"/>
      <c r="O396" s="60" t="n"/>
      <c r="P396" s="60" t="n"/>
      <c r="Q396" s="60" t="n"/>
      <c r="R396" s="60" t="n"/>
      <c r="S396" s="60" t="n"/>
      <c r="T396" s="60" t="n"/>
      <c r="U396" s="60" t="n"/>
      <c r="V396" s="60" t="n"/>
      <c r="W396" s="60" t="n"/>
      <c r="X396" s="60" t="n"/>
      <c r="Y396" s="60" t="n"/>
      <c r="Z396" s="61" t="n"/>
      <c r="AA396" s="63">
        <f>IF($H396="","",TODAY()-$H396)</f>
        <v/>
      </c>
      <c r="AB396" s="63">
        <f>IF($A396="","",IF(AND($F396="Yes",OR($U396="No",$U396="NOT FOUND")),"YES",""))</f>
        <v/>
      </c>
      <c r="AC396" s="66">
        <f>IF($A396="","",TRIM(IF(AND($P396=0,$L396&lt;&gt;"Yes"),"T0-NoSmartcard ","")&amp;IF(AND($J396&lt;&gt;"",$J396&gt;365),"StalePwd ","")&amp;IF($K396="Yes","PwdNeverExpires ","")&amp;IF(AND($S396&lt;&gt;"",$S396&lt;&gt;"None"),"Delegation ","")&amp;IF(AND($Q396=1,$O396="None"),"StaleAdminCount ","")&amp;IF(AND($F396="Yes",$H396=""),"NeverLoggedOn ","")))</f>
        <v/>
      </c>
      <c r="AD396" s="60" t="n"/>
      <c r="AE396" s="61" t="n"/>
      <c r="AF396" s="60" t="n"/>
      <c r="AG396" s="62" t="n"/>
      <c r="AH396" s="62" t="n"/>
      <c r="AI396" s="62" t="n"/>
      <c r="AJ396" s="60" t="n"/>
      <c r="AK396" s="61" t="n"/>
      <c r="AL396" s="63">
        <f>IF($A396="","",IF(AH396="","Not Enrolled",IF(TODAY()&gt;AH396,"Review Overdue",IF(AH396-TODAY()&lt;=30,"Review Due Soon","Active"))))</f>
        <v/>
      </c>
      <c r="AM396" s="63">
        <f>IF($A396="","",IF(AI396="","NOT REVIEWED",IF(TODAY()-AI396&gt;90,"OVERDUE",IF(TODAY()-AI396&gt;76,"Due Soon","Current"))))</f>
        <v/>
      </c>
    </row>
    <row r="397" ht="15" customHeight="1" s="39">
      <c r="A397" s="60" t="n"/>
      <c r="B397" s="60" t="n"/>
      <c r="C397" s="61" t="n"/>
      <c r="D397" s="61" t="n"/>
      <c r="E397" s="60" t="n"/>
      <c r="F397" s="60" t="n"/>
      <c r="G397" s="62" t="n"/>
      <c r="H397" s="62" t="n"/>
      <c r="I397" s="62" t="n"/>
      <c r="J397" s="60" t="n"/>
      <c r="K397" s="60" t="n"/>
      <c r="L397" s="60" t="n"/>
      <c r="M397" s="61" t="n"/>
      <c r="N397" s="60" t="n"/>
      <c r="O397" s="60" t="n"/>
      <c r="P397" s="60" t="n"/>
      <c r="Q397" s="60" t="n"/>
      <c r="R397" s="60" t="n"/>
      <c r="S397" s="60" t="n"/>
      <c r="T397" s="60" t="n"/>
      <c r="U397" s="60" t="n"/>
      <c r="V397" s="60" t="n"/>
      <c r="W397" s="60" t="n"/>
      <c r="X397" s="60" t="n"/>
      <c r="Y397" s="60" t="n"/>
      <c r="Z397" s="61" t="n"/>
      <c r="AA397" s="63">
        <f>IF($H397="","",TODAY()-$H397)</f>
        <v/>
      </c>
      <c r="AB397" s="63">
        <f>IF($A397="","",IF(AND($F397="Yes",OR($U397="No",$U397="NOT FOUND")),"YES",""))</f>
        <v/>
      </c>
      <c r="AC397" s="66">
        <f>IF($A397="","",TRIM(IF(AND($P397=0,$L397&lt;&gt;"Yes"),"T0-NoSmartcard ","")&amp;IF(AND($J397&lt;&gt;"",$J397&gt;365),"StalePwd ","")&amp;IF($K397="Yes","PwdNeverExpires ","")&amp;IF(AND($S397&lt;&gt;"",$S397&lt;&gt;"None"),"Delegation ","")&amp;IF(AND($Q397=1,$O397="None"),"StaleAdminCount ","")&amp;IF(AND($F397="Yes",$H397=""),"NeverLoggedOn ","")))</f>
        <v/>
      </c>
      <c r="AD397" s="60" t="n"/>
      <c r="AE397" s="61" t="n"/>
      <c r="AF397" s="60" t="n"/>
      <c r="AG397" s="62" t="n"/>
      <c r="AH397" s="62" t="n"/>
      <c r="AI397" s="62" t="n"/>
      <c r="AJ397" s="60" t="n"/>
      <c r="AK397" s="61" t="n"/>
      <c r="AL397" s="63">
        <f>IF($A397="","",IF(AH397="","Not Enrolled",IF(TODAY()&gt;AH397,"Review Overdue",IF(AH397-TODAY()&lt;=30,"Review Due Soon","Active"))))</f>
        <v/>
      </c>
      <c r="AM397" s="63">
        <f>IF($A397="","",IF(AI397="","NOT REVIEWED",IF(TODAY()-AI397&gt;90,"OVERDUE",IF(TODAY()-AI397&gt;76,"Due Soon","Current"))))</f>
        <v/>
      </c>
    </row>
    <row r="398" ht="15" customHeight="1" s="39">
      <c r="A398" s="60" t="n"/>
      <c r="B398" s="60" t="n"/>
      <c r="C398" s="61" t="n"/>
      <c r="D398" s="61" t="n"/>
      <c r="E398" s="60" t="n"/>
      <c r="F398" s="60" t="n"/>
      <c r="G398" s="62" t="n"/>
      <c r="H398" s="62" t="n"/>
      <c r="I398" s="62" t="n"/>
      <c r="J398" s="60" t="n"/>
      <c r="K398" s="60" t="n"/>
      <c r="L398" s="60" t="n"/>
      <c r="M398" s="61" t="n"/>
      <c r="N398" s="60" t="n"/>
      <c r="O398" s="60" t="n"/>
      <c r="P398" s="60" t="n"/>
      <c r="Q398" s="60" t="n"/>
      <c r="R398" s="60" t="n"/>
      <c r="S398" s="60" t="n"/>
      <c r="T398" s="60" t="n"/>
      <c r="U398" s="60" t="n"/>
      <c r="V398" s="60" t="n"/>
      <c r="W398" s="60" t="n"/>
      <c r="X398" s="60" t="n"/>
      <c r="Y398" s="60" t="n"/>
      <c r="Z398" s="61" t="n"/>
      <c r="AA398" s="63">
        <f>IF($H398="","",TODAY()-$H398)</f>
        <v/>
      </c>
      <c r="AB398" s="63">
        <f>IF($A398="","",IF(AND($F398="Yes",OR($U398="No",$U398="NOT FOUND")),"YES",""))</f>
        <v/>
      </c>
      <c r="AC398" s="66">
        <f>IF($A398="","",TRIM(IF(AND($P398=0,$L398&lt;&gt;"Yes"),"T0-NoSmartcard ","")&amp;IF(AND($J398&lt;&gt;"",$J398&gt;365),"StalePwd ","")&amp;IF($K398="Yes","PwdNeverExpires ","")&amp;IF(AND($S398&lt;&gt;"",$S398&lt;&gt;"None"),"Delegation ","")&amp;IF(AND($Q398=1,$O398="None"),"StaleAdminCount ","")&amp;IF(AND($F398="Yes",$H398=""),"NeverLoggedOn ","")))</f>
        <v/>
      </c>
      <c r="AD398" s="60" t="n"/>
      <c r="AE398" s="61" t="n"/>
      <c r="AF398" s="60" t="n"/>
      <c r="AG398" s="62" t="n"/>
      <c r="AH398" s="62" t="n"/>
      <c r="AI398" s="62" t="n"/>
      <c r="AJ398" s="60" t="n"/>
      <c r="AK398" s="61" t="n"/>
      <c r="AL398" s="63">
        <f>IF($A398="","",IF(AH398="","Not Enrolled",IF(TODAY()&gt;AH398,"Review Overdue",IF(AH398-TODAY()&lt;=30,"Review Due Soon","Active"))))</f>
        <v/>
      </c>
      <c r="AM398" s="63">
        <f>IF($A398="","",IF(AI398="","NOT REVIEWED",IF(TODAY()-AI398&gt;90,"OVERDUE",IF(TODAY()-AI398&gt;76,"Due Soon","Current"))))</f>
        <v/>
      </c>
    </row>
    <row r="399" ht="15" customHeight="1" s="39">
      <c r="A399" s="60" t="n"/>
      <c r="B399" s="60" t="n"/>
      <c r="C399" s="61" t="n"/>
      <c r="D399" s="61" t="n"/>
      <c r="E399" s="60" t="n"/>
      <c r="F399" s="60" t="n"/>
      <c r="G399" s="62" t="n"/>
      <c r="H399" s="62" t="n"/>
      <c r="I399" s="62" t="n"/>
      <c r="J399" s="60" t="n"/>
      <c r="K399" s="60" t="n"/>
      <c r="L399" s="60" t="n"/>
      <c r="M399" s="61" t="n"/>
      <c r="N399" s="60" t="n"/>
      <c r="O399" s="60" t="n"/>
      <c r="P399" s="60" t="n"/>
      <c r="Q399" s="60" t="n"/>
      <c r="R399" s="60" t="n"/>
      <c r="S399" s="60" t="n"/>
      <c r="T399" s="60" t="n"/>
      <c r="U399" s="60" t="n"/>
      <c r="V399" s="60" t="n"/>
      <c r="W399" s="60" t="n"/>
      <c r="X399" s="60" t="n"/>
      <c r="Y399" s="60" t="n"/>
      <c r="Z399" s="61" t="n"/>
      <c r="AA399" s="63">
        <f>IF($H399="","",TODAY()-$H399)</f>
        <v/>
      </c>
      <c r="AB399" s="63">
        <f>IF($A399="","",IF(AND($F399="Yes",OR($U399="No",$U399="NOT FOUND")),"YES",""))</f>
        <v/>
      </c>
      <c r="AC399" s="66">
        <f>IF($A399="","",TRIM(IF(AND($P399=0,$L399&lt;&gt;"Yes"),"T0-NoSmartcard ","")&amp;IF(AND($J399&lt;&gt;"",$J399&gt;365),"StalePwd ","")&amp;IF($K399="Yes","PwdNeverExpires ","")&amp;IF(AND($S399&lt;&gt;"",$S399&lt;&gt;"None"),"Delegation ","")&amp;IF(AND($Q399=1,$O399="None"),"StaleAdminCount ","")&amp;IF(AND($F399="Yes",$H399=""),"NeverLoggedOn ","")))</f>
        <v/>
      </c>
      <c r="AD399" s="60" t="n"/>
      <c r="AE399" s="61" t="n"/>
      <c r="AF399" s="60" t="n"/>
      <c r="AG399" s="62" t="n"/>
      <c r="AH399" s="62" t="n"/>
      <c r="AI399" s="62" t="n"/>
      <c r="AJ399" s="60" t="n"/>
      <c r="AK399" s="61" t="n"/>
      <c r="AL399" s="63">
        <f>IF($A399="","",IF(AH399="","Not Enrolled",IF(TODAY()&gt;AH399,"Review Overdue",IF(AH399-TODAY()&lt;=30,"Review Due Soon","Active"))))</f>
        <v/>
      </c>
      <c r="AM399" s="63">
        <f>IF($A399="","",IF(AI399="","NOT REVIEWED",IF(TODAY()-AI399&gt;90,"OVERDUE",IF(TODAY()-AI399&gt;76,"Due Soon","Current"))))</f>
        <v/>
      </c>
    </row>
    <row r="400" ht="15" customHeight="1" s="39">
      <c r="A400" s="60" t="n"/>
      <c r="B400" s="60" t="n"/>
      <c r="C400" s="61" t="n"/>
      <c r="D400" s="61" t="n"/>
      <c r="E400" s="60" t="n"/>
      <c r="F400" s="60" t="n"/>
      <c r="G400" s="62" t="n"/>
      <c r="H400" s="62" t="n"/>
      <c r="I400" s="62" t="n"/>
      <c r="J400" s="60" t="n"/>
      <c r="K400" s="60" t="n"/>
      <c r="L400" s="60" t="n"/>
      <c r="M400" s="61" t="n"/>
      <c r="N400" s="60" t="n"/>
      <c r="O400" s="60" t="n"/>
      <c r="P400" s="60" t="n"/>
      <c r="Q400" s="60" t="n"/>
      <c r="R400" s="60" t="n"/>
      <c r="S400" s="60" t="n"/>
      <c r="T400" s="60" t="n"/>
      <c r="U400" s="60" t="n"/>
      <c r="V400" s="60" t="n"/>
      <c r="W400" s="60" t="n"/>
      <c r="X400" s="60" t="n"/>
      <c r="Y400" s="60" t="n"/>
      <c r="Z400" s="61" t="n"/>
      <c r="AA400" s="63">
        <f>IF($H400="","",TODAY()-$H400)</f>
        <v/>
      </c>
      <c r="AB400" s="63">
        <f>IF($A400="","",IF(AND($F400="Yes",OR($U400="No",$U400="NOT FOUND")),"YES",""))</f>
        <v/>
      </c>
      <c r="AC400" s="66">
        <f>IF($A400="","",TRIM(IF(AND($P400=0,$L400&lt;&gt;"Yes"),"T0-NoSmartcard ","")&amp;IF(AND($J400&lt;&gt;"",$J400&gt;365),"StalePwd ","")&amp;IF($K400="Yes","PwdNeverExpires ","")&amp;IF(AND($S400&lt;&gt;"",$S400&lt;&gt;"None"),"Delegation ","")&amp;IF(AND($Q400=1,$O400="None"),"StaleAdminCount ","")&amp;IF(AND($F400="Yes",$H400=""),"NeverLoggedOn ","")))</f>
        <v/>
      </c>
      <c r="AD400" s="60" t="n"/>
      <c r="AE400" s="61" t="n"/>
      <c r="AF400" s="60" t="n"/>
      <c r="AG400" s="62" t="n"/>
      <c r="AH400" s="62" t="n"/>
      <c r="AI400" s="62" t="n"/>
      <c r="AJ400" s="60" t="n"/>
      <c r="AK400" s="61" t="n"/>
      <c r="AL400" s="63">
        <f>IF($A400="","",IF(AH400="","Not Enrolled",IF(TODAY()&gt;AH400,"Review Overdue",IF(AH400-TODAY()&lt;=30,"Review Due Soon","Active"))))</f>
        <v/>
      </c>
      <c r="AM400" s="63">
        <f>IF($A400="","",IF(AI400="","NOT REVIEWED",IF(TODAY()-AI400&gt;90,"OVERDUE",IF(TODAY()-AI400&gt;76,"Due Soon","Current"))))</f>
        <v/>
      </c>
    </row>
    <row r="401" ht="15" customHeight="1" s="39">
      <c r="A401" s="60" t="n"/>
      <c r="B401" s="60" t="n"/>
      <c r="C401" s="61" t="n"/>
      <c r="D401" s="61" t="n"/>
      <c r="E401" s="60" t="n"/>
      <c r="F401" s="60" t="n"/>
      <c r="G401" s="62" t="n"/>
      <c r="H401" s="62" t="n"/>
      <c r="I401" s="62" t="n"/>
      <c r="J401" s="60" t="n"/>
      <c r="K401" s="60" t="n"/>
      <c r="L401" s="60" t="n"/>
      <c r="M401" s="61" t="n"/>
      <c r="N401" s="60" t="n"/>
      <c r="O401" s="60" t="n"/>
      <c r="P401" s="60" t="n"/>
      <c r="Q401" s="60" t="n"/>
      <c r="R401" s="60" t="n"/>
      <c r="S401" s="60" t="n"/>
      <c r="T401" s="60" t="n"/>
      <c r="U401" s="60" t="n"/>
      <c r="V401" s="60" t="n"/>
      <c r="W401" s="60" t="n"/>
      <c r="X401" s="60" t="n"/>
      <c r="Y401" s="60" t="n"/>
      <c r="Z401" s="61" t="n"/>
      <c r="AA401" s="63">
        <f>IF($H401="","",TODAY()-$H401)</f>
        <v/>
      </c>
      <c r="AB401" s="63">
        <f>IF($A401="","",IF(AND($F401="Yes",OR($U401="No",$U401="NOT FOUND")),"YES",""))</f>
        <v/>
      </c>
      <c r="AC401" s="66">
        <f>IF($A401="","",TRIM(IF(AND($P401=0,$L401&lt;&gt;"Yes"),"T0-NoSmartcard ","")&amp;IF(AND($J401&lt;&gt;"",$J401&gt;365),"StalePwd ","")&amp;IF($K401="Yes","PwdNeverExpires ","")&amp;IF(AND($S401&lt;&gt;"",$S401&lt;&gt;"None"),"Delegation ","")&amp;IF(AND($Q401=1,$O401="None"),"StaleAdminCount ","")&amp;IF(AND($F401="Yes",$H401=""),"NeverLoggedOn ","")))</f>
        <v/>
      </c>
      <c r="AD401" s="60" t="n"/>
      <c r="AE401" s="61" t="n"/>
      <c r="AF401" s="60" t="n"/>
      <c r="AG401" s="62" t="n"/>
      <c r="AH401" s="62" t="n"/>
      <c r="AI401" s="62" t="n"/>
      <c r="AJ401" s="60" t="n"/>
      <c r="AK401" s="61" t="n"/>
      <c r="AL401" s="63">
        <f>IF($A401="","",IF(AH401="","Not Enrolled",IF(TODAY()&gt;AH401,"Review Overdue",IF(AH401-TODAY()&lt;=30,"Review Due Soon","Active"))))</f>
        <v/>
      </c>
      <c r="AM401" s="63">
        <f>IF($A401="","",IF(AI401="","NOT REVIEWED",IF(TODAY()-AI401&gt;90,"OVERDUE",IF(TODAY()-AI401&gt;76,"Due Soon","Current"))))</f>
        <v/>
      </c>
    </row>
    <row r="402" ht="15" customHeight="1" s="39">
      <c r="A402" s="60" t="n"/>
      <c r="B402" s="60" t="n"/>
      <c r="C402" s="61" t="n"/>
      <c r="D402" s="61" t="n"/>
      <c r="E402" s="60" t="n"/>
      <c r="F402" s="60" t="n"/>
      <c r="G402" s="62" t="n"/>
      <c r="H402" s="62" t="n"/>
      <c r="I402" s="62" t="n"/>
      <c r="J402" s="60" t="n"/>
      <c r="K402" s="60" t="n"/>
      <c r="L402" s="60" t="n"/>
      <c r="M402" s="61" t="n"/>
      <c r="N402" s="60" t="n"/>
      <c r="O402" s="60" t="n"/>
      <c r="P402" s="60" t="n"/>
      <c r="Q402" s="60" t="n"/>
      <c r="R402" s="60" t="n"/>
      <c r="S402" s="60" t="n"/>
      <c r="T402" s="60" t="n"/>
      <c r="U402" s="60" t="n"/>
      <c r="V402" s="60" t="n"/>
      <c r="W402" s="60" t="n"/>
      <c r="X402" s="60" t="n"/>
      <c r="Y402" s="60" t="n"/>
      <c r="Z402" s="61" t="n"/>
      <c r="AA402" s="63">
        <f>IF($H402="","",TODAY()-$H402)</f>
        <v/>
      </c>
      <c r="AB402" s="63">
        <f>IF($A402="","",IF(AND($F402="Yes",OR($U402="No",$U402="NOT FOUND")),"YES",""))</f>
        <v/>
      </c>
      <c r="AC402" s="66">
        <f>IF($A402="","",TRIM(IF(AND($P402=0,$L402&lt;&gt;"Yes"),"T0-NoSmartcard ","")&amp;IF(AND($J402&lt;&gt;"",$J402&gt;365),"StalePwd ","")&amp;IF($K402="Yes","PwdNeverExpires ","")&amp;IF(AND($S402&lt;&gt;"",$S402&lt;&gt;"None"),"Delegation ","")&amp;IF(AND($Q402=1,$O402="None"),"StaleAdminCount ","")&amp;IF(AND($F402="Yes",$H402=""),"NeverLoggedOn ","")))</f>
        <v/>
      </c>
      <c r="AD402" s="60" t="n"/>
      <c r="AE402" s="61" t="n"/>
      <c r="AF402" s="60" t="n"/>
      <c r="AG402" s="62" t="n"/>
      <c r="AH402" s="62" t="n"/>
      <c r="AI402" s="62" t="n"/>
      <c r="AJ402" s="60" t="n"/>
      <c r="AK402" s="61" t="n"/>
      <c r="AL402" s="63">
        <f>IF($A402="","",IF(AH402="","Not Enrolled",IF(TODAY()&gt;AH402,"Review Overdue",IF(AH402-TODAY()&lt;=30,"Review Due Soon","Active"))))</f>
        <v/>
      </c>
      <c r="AM402" s="63">
        <f>IF($A402="","",IF(AI402="","NOT REVIEWED",IF(TODAY()-AI402&gt;90,"OVERDUE",IF(TODAY()-AI402&gt;76,"Due Soon","Current"))))</f>
        <v/>
      </c>
    </row>
    <row r="403" ht="15" customHeight="1" s="39">
      <c r="A403" s="60" t="n"/>
      <c r="B403" s="60" t="n"/>
      <c r="C403" s="61" t="n"/>
      <c r="D403" s="61" t="n"/>
      <c r="E403" s="60" t="n"/>
      <c r="F403" s="60" t="n"/>
      <c r="G403" s="62" t="n"/>
      <c r="H403" s="62" t="n"/>
      <c r="I403" s="62" t="n"/>
      <c r="J403" s="60" t="n"/>
      <c r="K403" s="60" t="n"/>
      <c r="L403" s="60" t="n"/>
      <c r="M403" s="61" t="n"/>
      <c r="N403" s="60" t="n"/>
      <c r="O403" s="60" t="n"/>
      <c r="P403" s="60" t="n"/>
      <c r="Q403" s="60" t="n"/>
      <c r="R403" s="60" t="n"/>
      <c r="S403" s="60" t="n"/>
      <c r="T403" s="60" t="n"/>
      <c r="U403" s="60" t="n"/>
      <c r="V403" s="60" t="n"/>
      <c r="W403" s="60" t="n"/>
      <c r="X403" s="60" t="n"/>
      <c r="Y403" s="60" t="n"/>
      <c r="Z403" s="61" t="n"/>
      <c r="AA403" s="63">
        <f>IF($H403="","",TODAY()-$H403)</f>
        <v/>
      </c>
      <c r="AB403" s="63">
        <f>IF($A403="","",IF(AND($F403="Yes",OR($U403="No",$U403="NOT FOUND")),"YES",""))</f>
        <v/>
      </c>
      <c r="AC403" s="66">
        <f>IF($A403="","",TRIM(IF(AND($P403=0,$L403&lt;&gt;"Yes"),"T0-NoSmartcard ","")&amp;IF(AND($J403&lt;&gt;"",$J403&gt;365),"StalePwd ","")&amp;IF($K403="Yes","PwdNeverExpires ","")&amp;IF(AND($S403&lt;&gt;"",$S403&lt;&gt;"None"),"Delegation ","")&amp;IF(AND($Q403=1,$O403="None"),"StaleAdminCount ","")&amp;IF(AND($F403="Yes",$H403=""),"NeverLoggedOn ","")))</f>
        <v/>
      </c>
      <c r="AD403" s="60" t="n"/>
      <c r="AE403" s="61" t="n"/>
      <c r="AF403" s="60" t="n"/>
      <c r="AG403" s="62" t="n"/>
      <c r="AH403" s="62" t="n"/>
      <c r="AI403" s="62" t="n"/>
      <c r="AJ403" s="60" t="n"/>
      <c r="AK403" s="61" t="n"/>
      <c r="AL403" s="63">
        <f>IF($A403="","",IF(AH403="","Not Enrolled",IF(TODAY()&gt;AH403,"Review Overdue",IF(AH403-TODAY()&lt;=30,"Review Due Soon","Active"))))</f>
        <v/>
      </c>
      <c r="AM403" s="63">
        <f>IF($A403="","",IF(AI403="","NOT REVIEWED",IF(TODAY()-AI403&gt;90,"OVERDUE",IF(TODAY()-AI403&gt;76,"Due Soon","Current"))))</f>
        <v/>
      </c>
    </row>
    <row r="404" ht="15" customHeight="1" s="39">
      <c r="A404" s="60" t="n"/>
      <c r="B404" s="60" t="n"/>
      <c r="C404" s="61" t="n"/>
      <c r="D404" s="61" t="n"/>
      <c r="E404" s="60" t="n"/>
      <c r="F404" s="60" t="n"/>
      <c r="G404" s="62" t="n"/>
      <c r="H404" s="62" t="n"/>
      <c r="I404" s="62" t="n"/>
      <c r="J404" s="60" t="n"/>
      <c r="K404" s="60" t="n"/>
      <c r="L404" s="60" t="n"/>
      <c r="M404" s="61" t="n"/>
      <c r="N404" s="60" t="n"/>
      <c r="O404" s="60" t="n"/>
      <c r="P404" s="60" t="n"/>
      <c r="Q404" s="60" t="n"/>
      <c r="R404" s="60" t="n"/>
      <c r="S404" s="60" t="n"/>
      <c r="T404" s="60" t="n"/>
      <c r="U404" s="60" t="n"/>
      <c r="V404" s="60" t="n"/>
      <c r="W404" s="60" t="n"/>
      <c r="X404" s="60" t="n"/>
      <c r="Y404" s="60" t="n"/>
      <c r="Z404" s="61" t="n"/>
      <c r="AA404" s="63">
        <f>IF($H404="","",TODAY()-$H404)</f>
        <v/>
      </c>
      <c r="AB404" s="63">
        <f>IF($A404="","",IF(AND($F404="Yes",OR($U404="No",$U404="NOT FOUND")),"YES",""))</f>
        <v/>
      </c>
      <c r="AC404" s="66">
        <f>IF($A404="","",TRIM(IF(AND($P404=0,$L404&lt;&gt;"Yes"),"T0-NoSmartcard ","")&amp;IF(AND($J404&lt;&gt;"",$J404&gt;365),"StalePwd ","")&amp;IF($K404="Yes","PwdNeverExpires ","")&amp;IF(AND($S404&lt;&gt;"",$S404&lt;&gt;"None"),"Delegation ","")&amp;IF(AND($Q404=1,$O404="None"),"StaleAdminCount ","")&amp;IF(AND($F404="Yes",$H404=""),"NeverLoggedOn ","")))</f>
        <v/>
      </c>
      <c r="AD404" s="60" t="n"/>
      <c r="AE404" s="61" t="n"/>
      <c r="AF404" s="60" t="n"/>
      <c r="AG404" s="62" t="n"/>
      <c r="AH404" s="62" t="n"/>
      <c r="AI404" s="62" t="n"/>
      <c r="AJ404" s="60" t="n"/>
      <c r="AK404" s="61" t="n"/>
      <c r="AL404" s="63">
        <f>IF($A404="","",IF(AH404="","Not Enrolled",IF(TODAY()&gt;AH404,"Review Overdue",IF(AH404-TODAY()&lt;=30,"Review Due Soon","Active"))))</f>
        <v/>
      </c>
      <c r="AM404" s="63">
        <f>IF($A404="","",IF(AI404="","NOT REVIEWED",IF(TODAY()-AI404&gt;90,"OVERDUE",IF(TODAY()-AI404&gt;76,"Due Soon","Current"))))</f>
        <v/>
      </c>
    </row>
    <row r="405" ht="15" customHeight="1" s="39">
      <c r="A405" s="60" t="n"/>
      <c r="B405" s="60" t="n"/>
      <c r="C405" s="61" t="n"/>
      <c r="D405" s="61" t="n"/>
      <c r="E405" s="60" t="n"/>
      <c r="F405" s="60" t="n"/>
      <c r="G405" s="62" t="n"/>
      <c r="H405" s="62" t="n"/>
      <c r="I405" s="62" t="n"/>
      <c r="J405" s="60" t="n"/>
      <c r="K405" s="60" t="n"/>
      <c r="L405" s="60" t="n"/>
      <c r="M405" s="61" t="n"/>
      <c r="N405" s="60" t="n"/>
      <c r="O405" s="60" t="n"/>
      <c r="P405" s="60" t="n"/>
      <c r="Q405" s="60" t="n"/>
      <c r="R405" s="60" t="n"/>
      <c r="S405" s="60" t="n"/>
      <c r="T405" s="60" t="n"/>
      <c r="U405" s="60" t="n"/>
      <c r="V405" s="60" t="n"/>
      <c r="W405" s="60" t="n"/>
      <c r="X405" s="60" t="n"/>
      <c r="Y405" s="60" t="n"/>
      <c r="Z405" s="61" t="n"/>
      <c r="AA405" s="63">
        <f>IF($H405="","",TODAY()-$H405)</f>
        <v/>
      </c>
      <c r="AB405" s="63">
        <f>IF($A405="","",IF(AND($F405="Yes",OR($U405="No",$U405="NOT FOUND")),"YES",""))</f>
        <v/>
      </c>
      <c r="AC405" s="66">
        <f>IF($A405="","",TRIM(IF(AND($P405=0,$L405&lt;&gt;"Yes"),"T0-NoSmartcard ","")&amp;IF(AND($J405&lt;&gt;"",$J405&gt;365),"StalePwd ","")&amp;IF($K405="Yes","PwdNeverExpires ","")&amp;IF(AND($S405&lt;&gt;"",$S405&lt;&gt;"None"),"Delegation ","")&amp;IF(AND($Q405=1,$O405="None"),"StaleAdminCount ","")&amp;IF(AND($F405="Yes",$H405=""),"NeverLoggedOn ","")))</f>
        <v/>
      </c>
      <c r="AD405" s="60" t="n"/>
      <c r="AE405" s="61" t="n"/>
      <c r="AF405" s="60" t="n"/>
      <c r="AG405" s="62" t="n"/>
      <c r="AH405" s="62" t="n"/>
      <c r="AI405" s="62" t="n"/>
      <c r="AJ405" s="60" t="n"/>
      <c r="AK405" s="61" t="n"/>
      <c r="AL405" s="63">
        <f>IF($A405="","",IF(AH405="","Not Enrolled",IF(TODAY()&gt;AH405,"Review Overdue",IF(AH405-TODAY()&lt;=30,"Review Due Soon","Active"))))</f>
        <v/>
      </c>
      <c r="AM405" s="63">
        <f>IF($A405="","",IF(AI405="","NOT REVIEWED",IF(TODAY()-AI405&gt;90,"OVERDUE",IF(TODAY()-AI405&gt;76,"Due Soon","Current"))))</f>
        <v/>
      </c>
    </row>
    <row r="406" ht="15" customHeight="1" s="39">
      <c r="A406" s="60" t="n"/>
      <c r="B406" s="60" t="n"/>
      <c r="C406" s="61" t="n"/>
      <c r="D406" s="61" t="n"/>
      <c r="E406" s="60" t="n"/>
      <c r="F406" s="60" t="n"/>
      <c r="G406" s="62" t="n"/>
      <c r="H406" s="62" t="n"/>
      <c r="I406" s="62" t="n"/>
      <c r="J406" s="60" t="n"/>
      <c r="K406" s="60" t="n"/>
      <c r="L406" s="60" t="n"/>
      <c r="M406" s="61" t="n"/>
      <c r="N406" s="60" t="n"/>
      <c r="O406" s="60" t="n"/>
      <c r="P406" s="60" t="n"/>
      <c r="Q406" s="60" t="n"/>
      <c r="R406" s="60" t="n"/>
      <c r="S406" s="60" t="n"/>
      <c r="T406" s="60" t="n"/>
      <c r="U406" s="60" t="n"/>
      <c r="V406" s="60" t="n"/>
      <c r="W406" s="60" t="n"/>
      <c r="X406" s="60" t="n"/>
      <c r="Y406" s="60" t="n"/>
      <c r="Z406" s="61" t="n"/>
      <c r="AA406" s="63">
        <f>IF($H406="","",TODAY()-$H406)</f>
        <v/>
      </c>
      <c r="AB406" s="63">
        <f>IF($A406="","",IF(AND($F406="Yes",OR($U406="No",$U406="NOT FOUND")),"YES",""))</f>
        <v/>
      </c>
      <c r="AC406" s="66">
        <f>IF($A406="","",TRIM(IF(AND($P406=0,$L406&lt;&gt;"Yes"),"T0-NoSmartcard ","")&amp;IF(AND($J406&lt;&gt;"",$J406&gt;365),"StalePwd ","")&amp;IF($K406="Yes","PwdNeverExpires ","")&amp;IF(AND($S406&lt;&gt;"",$S406&lt;&gt;"None"),"Delegation ","")&amp;IF(AND($Q406=1,$O406="None"),"StaleAdminCount ","")&amp;IF(AND($F406="Yes",$H406=""),"NeverLoggedOn ","")))</f>
        <v/>
      </c>
      <c r="AD406" s="60" t="n"/>
      <c r="AE406" s="61" t="n"/>
      <c r="AF406" s="60" t="n"/>
      <c r="AG406" s="62" t="n"/>
      <c r="AH406" s="62" t="n"/>
      <c r="AI406" s="62" t="n"/>
      <c r="AJ406" s="60" t="n"/>
      <c r="AK406" s="61" t="n"/>
      <c r="AL406" s="63">
        <f>IF($A406="","",IF(AH406="","Not Enrolled",IF(TODAY()&gt;AH406,"Review Overdue",IF(AH406-TODAY()&lt;=30,"Review Due Soon","Active"))))</f>
        <v/>
      </c>
      <c r="AM406" s="63">
        <f>IF($A406="","",IF(AI406="","NOT REVIEWED",IF(TODAY()-AI406&gt;90,"OVERDUE",IF(TODAY()-AI406&gt;76,"Due Soon","Current"))))</f>
        <v/>
      </c>
    </row>
    <row r="407" ht="15" customHeight="1" s="39">
      <c r="A407" s="60" t="n"/>
      <c r="B407" s="60" t="n"/>
      <c r="C407" s="61" t="n"/>
      <c r="D407" s="61" t="n"/>
      <c r="E407" s="60" t="n"/>
      <c r="F407" s="60" t="n"/>
      <c r="G407" s="62" t="n"/>
      <c r="H407" s="62" t="n"/>
      <c r="I407" s="62" t="n"/>
      <c r="J407" s="60" t="n"/>
      <c r="K407" s="60" t="n"/>
      <c r="L407" s="60" t="n"/>
      <c r="M407" s="61" t="n"/>
      <c r="N407" s="60" t="n"/>
      <c r="O407" s="60" t="n"/>
      <c r="P407" s="60" t="n"/>
      <c r="Q407" s="60" t="n"/>
      <c r="R407" s="60" t="n"/>
      <c r="S407" s="60" t="n"/>
      <c r="T407" s="60" t="n"/>
      <c r="U407" s="60" t="n"/>
      <c r="V407" s="60" t="n"/>
      <c r="W407" s="60" t="n"/>
      <c r="X407" s="60" t="n"/>
      <c r="Y407" s="60" t="n"/>
      <c r="Z407" s="61" t="n"/>
      <c r="AA407" s="63">
        <f>IF($H407="","",TODAY()-$H407)</f>
        <v/>
      </c>
      <c r="AB407" s="63">
        <f>IF($A407="","",IF(AND($F407="Yes",OR($U407="No",$U407="NOT FOUND")),"YES",""))</f>
        <v/>
      </c>
      <c r="AC407" s="66">
        <f>IF($A407="","",TRIM(IF(AND($P407=0,$L407&lt;&gt;"Yes"),"T0-NoSmartcard ","")&amp;IF(AND($J407&lt;&gt;"",$J407&gt;365),"StalePwd ","")&amp;IF($K407="Yes","PwdNeverExpires ","")&amp;IF(AND($S407&lt;&gt;"",$S407&lt;&gt;"None"),"Delegation ","")&amp;IF(AND($Q407=1,$O407="None"),"StaleAdminCount ","")&amp;IF(AND($F407="Yes",$H407=""),"NeverLoggedOn ","")))</f>
        <v/>
      </c>
      <c r="AD407" s="60" t="n"/>
      <c r="AE407" s="61" t="n"/>
      <c r="AF407" s="60" t="n"/>
      <c r="AG407" s="62" t="n"/>
      <c r="AH407" s="62" t="n"/>
      <c r="AI407" s="62" t="n"/>
      <c r="AJ407" s="60" t="n"/>
      <c r="AK407" s="61" t="n"/>
      <c r="AL407" s="63">
        <f>IF($A407="","",IF(AH407="","Not Enrolled",IF(TODAY()&gt;AH407,"Review Overdue",IF(AH407-TODAY()&lt;=30,"Review Due Soon","Active"))))</f>
        <v/>
      </c>
      <c r="AM407" s="63">
        <f>IF($A407="","",IF(AI407="","NOT REVIEWED",IF(TODAY()-AI407&gt;90,"OVERDUE",IF(TODAY()-AI407&gt;76,"Due Soon","Current"))))</f>
        <v/>
      </c>
    </row>
    <row r="408" ht="15" customHeight="1" s="39">
      <c r="A408" s="60" t="n"/>
      <c r="B408" s="60" t="n"/>
      <c r="C408" s="61" t="n"/>
      <c r="D408" s="61" t="n"/>
      <c r="E408" s="60" t="n"/>
      <c r="F408" s="60" t="n"/>
      <c r="G408" s="62" t="n"/>
      <c r="H408" s="62" t="n"/>
      <c r="I408" s="62" t="n"/>
      <c r="J408" s="60" t="n"/>
      <c r="K408" s="60" t="n"/>
      <c r="L408" s="60" t="n"/>
      <c r="M408" s="61" t="n"/>
      <c r="N408" s="60" t="n"/>
      <c r="O408" s="60" t="n"/>
      <c r="P408" s="60" t="n"/>
      <c r="Q408" s="60" t="n"/>
      <c r="R408" s="60" t="n"/>
      <c r="S408" s="60" t="n"/>
      <c r="T408" s="60" t="n"/>
      <c r="U408" s="60" t="n"/>
      <c r="V408" s="60" t="n"/>
      <c r="W408" s="60" t="n"/>
      <c r="X408" s="60" t="n"/>
      <c r="Y408" s="60" t="n"/>
      <c r="Z408" s="61" t="n"/>
      <c r="AA408" s="63">
        <f>IF($H408="","",TODAY()-$H408)</f>
        <v/>
      </c>
      <c r="AB408" s="63">
        <f>IF($A408="","",IF(AND($F408="Yes",OR($U408="No",$U408="NOT FOUND")),"YES",""))</f>
        <v/>
      </c>
      <c r="AC408" s="66">
        <f>IF($A408="","",TRIM(IF(AND($P408=0,$L408&lt;&gt;"Yes"),"T0-NoSmartcard ","")&amp;IF(AND($J408&lt;&gt;"",$J408&gt;365),"StalePwd ","")&amp;IF($K408="Yes","PwdNeverExpires ","")&amp;IF(AND($S408&lt;&gt;"",$S408&lt;&gt;"None"),"Delegation ","")&amp;IF(AND($Q408=1,$O408="None"),"StaleAdminCount ","")&amp;IF(AND($F408="Yes",$H408=""),"NeverLoggedOn ","")))</f>
        <v/>
      </c>
      <c r="AD408" s="60" t="n"/>
      <c r="AE408" s="61" t="n"/>
      <c r="AF408" s="60" t="n"/>
      <c r="AG408" s="62" t="n"/>
      <c r="AH408" s="62" t="n"/>
      <c r="AI408" s="62" t="n"/>
      <c r="AJ408" s="60" t="n"/>
      <c r="AK408" s="61" t="n"/>
      <c r="AL408" s="63">
        <f>IF($A408="","",IF(AH408="","Not Enrolled",IF(TODAY()&gt;AH408,"Review Overdue",IF(AH408-TODAY()&lt;=30,"Review Due Soon","Active"))))</f>
        <v/>
      </c>
      <c r="AM408" s="63">
        <f>IF($A408="","",IF(AI408="","NOT REVIEWED",IF(TODAY()-AI408&gt;90,"OVERDUE",IF(TODAY()-AI408&gt;76,"Due Soon","Current"))))</f>
        <v/>
      </c>
    </row>
    <row r="409" ht="15" customHeight="1" s="39">
      <c r="A409" s="60" t="n"/>
      <c r="B409" s="60" t="n"/>
      <c r="C409" s="61" t="n"/>
      <c r="D409" s="61" t="n"/>
      <c r="E409" s="60" t="n"/>
      <c r="F409" s="60" t="n"/>
      <c r="G409" s="62" t="n"/>
      <c r="H409" s="62" t="n"/>
      <c r="I409" s="62" t="n"/>
      <c r="J409" s="60" t="n"/>
      <c r="K409" s="60" t="n"/>
      <c r="L409" s="60" t="n"/>
      <c r="M409" s="61" t="n"/>
      <c r="N409" s="60" t="n"/>
      <c r="O409" s="60" t="n"/>
      <c r="P409" s="60" t="n"/>
      <c r="Q409" s="60" t="n"/>
      <c r="R409" s="60" t="n"/>
      <c r="S409" s="60" t="n"/>
      <c r="T409" s="60" t="n"/>
      <c r="U409" s="60" t="n"/>
      <c r="V409" s="60" t="n"/>
      <c r="W409" s="60" t="n"/>
      <c r="X409" s="60" t="n"/>
      <c r="Y409" s="60" t="n"/>
      <c r="Z409" s="61" t="n"/>
      <c r="AA409" s="63">
        <f>IF($H409="","",TODAY()-$H409)</f>
        <v/>
      </c>
      <c r="AB409" s="63">
        <f>IF($A409="","",IF(AND($F409="Yes",OR($U409="No",$U409="NOT FOUND")),"YES",""))</f>
        <v/>
      </c>
      <c r="AC409" s="66">
        <f>IF($A409="","",TRIM(IF(AND($P409=0,$L409&lt;&gt;"Yes"),"T0-NoSmartcard ","")&amp;IF(AND($J409&lt;&gt;"",$J409&gt;365),"StalePwd ","")&amp;IF($K409="Yes","PwdNeverExpires ","")&amp;IF(AND($S409&lt;&gt;"",$S409&lt;&gt;"None"),"Delegation ","")&amp;IF(AND($Q409=1,$O409="None"),"StaleAdminCount ","")&amp;IF(AND($F409="Yes",$H409=""),"NeverLoggedOn ","")))</f>
        <v/>
      </c>
      <c r="AD409" s="60" t="n"/>
      <c r="AE409" s="61" t="n"/>
      <c r="AF409" s="60" t="n"/>
      <c r="AG409" s="62" t="n"/>
      <c r="AH409" s="62" t="n"/>
      <c r="AI409" s="62" t="n"/>
      <c r="AJ409" s="60" t="n"/>
      <c r="AK409" s="61" t="n"/>
      <c r="AL409" s="63">
        <f>IF($A409="","",IF(AH409="","Not Enrolled",IF(TODAY()&gt;AH409,"Review Overdue",IF(AH409-TODAY()&lt;=30,"Review Due Soon","Active"))))</f>
        <v/>
      </c>
      <c r="AM409" s="63">
        <f>IF($A409="","",IF(AI409="","NOT REVIEWED",IF(TODAY()-AI409&gt;90,"OVERDUE",IF(TODAY()-AI409&gt;76,"Due Soon","Current"))))</f>
        <v/>
      </c>
    </row>
    <row r="410" ht="15" customHeight="1" s="39">
      <c r="A410" s="60" t="n"/>
      <c r="B410" s="60" t="n"/>
      <c r="C410" s="61" t="n"/>
      <c r="D410" s="61" t="n"/>
      <c r="E410" s="60" t="n"/>
      <c r="F410" s="60" t="n"/>
      <c r="G410" s="62" t="n"/>
      <c r="H410" s="62" t="n"/>
      <c r="I410" s="62" t="n"/>
      <c r="J410" s="60" t="n"/>
      <c r="K410" s="60" t="n"/>
      <c r="L410" s="60" t="n"/>
      <c r="M410" s="61" t="n"/>
      <c r="N410" s="60" t="n"/>
      <c r="O410" s="60" t="n"/>
      <c r="P410" s="60" t="n"/>
      <c r="Q410" s="60" t="n"/>
      <c r="R410" s="60" t="n"/>
      <c r="S410" s="60" t="n"/>
      <c r="T410" s="60" t="n"/>
      <c r="U410" s="60" t="n"/>
      <c r="V410" s="60" t="n"/>
      <c r="W410" s="60" t="n"/>
      <c r="X410" s="60" t="n"/>
      <c r="Y410" s="60" t="n"/>
      <c r="Z410" s="61" t="n"/>
      <c r="AA410" s="63">
        <f>IF($H410="","",TODAY()-$H410)</f>
        <v/>
      </c>
      <c r="AB410" s="63">
        <f>IF($A410="","",IF(AND($F410="Yes",OR($U410="No",$U410="NOT FOUND")),"YES",""))</f>
        <v/>
      </c>
      <c r="AC410" s="66">
        <f>IF($A410="","",TRIM(IF(AND($P410=0,$L410&lt;&gt;"Yes"),"T0-NoSmartcard ","")&amp;IF(AND($J410&lt;&gt;"",$J410&gt;365),"StalePwd ","")&amp;IF($K410="Yes","PwdNeverExpires ","")&amp;IF(AND($S410&lt;&gt;"",$S410&lt;&gt;"None"),"Delegation ","")&amp;IF(AND($Q410=1,$O410="None"),"StaleAdminCount ","")&amp;IF(AND($F410="Yes",$H410=""),"NeverLoggedOn ","")))</f>
        <v/>
      </c>
      <c r="AD410" s="60" t="n"/>
      <c r="AE410" s="61" t="n"/>
      <c r="AF410" s="60" t="n"/>
      <c r="AG410" s="62" t="n"/>
      <c r="AH410" s="62" t="n"/>
      <c r="AI410" s="62" t="n"/>
      <c r="AJ410" s="60" t="n"/>
      <c r="AK410" s="61" t="n"/>
      <c r="AL410" s="63">
        <f>IF($A410="","",IF(AH410="","Not Enrolled",IF(TODAY()&gt;AH410,"Review Overdue",IF(AH410-TODAY()&lt;=30,"Review Due Soon","Active"))))</f>
        <v/>
      </c>
      <c r="AM410" s="63">
        <f>IF($A410="","",IF(AI410="","NOT REVIEWED",IF(TODAY()-AI410&gt;90,"OVERDUE",IF(TODAY()-AI410&gt;76,"Due Soon","Current"))))</f>
        <v/>
      </c>
    </row>
    <row r="411" ht="15" customHeight="1" s="39">
      <c r="A411" s="60" t="n"/>
      <c r="B411" s="60" t="n"/>
      <c r="C411" s="61" t="n"/>
      <c r="D411" s="61" t="n"/>
      <c r="E411" s="60" t="n"/>
      <c r="F411" s="60" t="n"/>
      <c r="G411" s="62" t="n"/>
      <c r="H411" s="62" t="n"/>
      <c r="I411" s="62" t="n"/>
      <c r="J411" s="60" t="n"/>
      <c r="K411" s="60" t="n"/>
      <c r="L411" s="60" t="n"/>
      <c r="M411" s="61" t="n"/>
      <c r="N411" s="60" t="n"/>
      <c r="O411" s="60" t="n"/>
      <c r="P411" s="60" t="n"/>
      <c r="Q411" s="60" t="n"/>
      <c r="R411" s="60" t="n"/>
      <c r="S411" s="60" t="n"/>
      <c r="T411" s="60" t="n"/>
      <c r="U411" s="60" t="n"/>
      <c r="V411" s="60" t="n"/>
      <c r="W411" s="60" t="n"/>
      <c r="X411" s="60" t="n"/>
      <c r="Y411" s="60" t="n"/>
      <c r="Z411" s="61" t="n"/>
      <c r="AA411" s="63">
        <f>IF($H411="","",TODAY()-$H411)</f>
        <v/>
      </c>
      <c r="AB411" s="63">
        <f>IF($A411="","",IF(AND($F411="Yes",OR($U411="No",$U411="NOT FOUND")),"YES",""))</f>
        <v/>
      </c>
      <c r="AC411" s="66">
        <f>IF($A411="","",TRIM(IF(AND($P411=0,$L411&lt;&gt;"Yes"),"T0-NoSmartcard ","")&amp;IF(AND($J411&lt;&gt;"",$J411&gt;365),"StalePwd ","")&amp;IF($K411="Yes","PwdNeverExpires ","")&amp;IF(AND($S411&lt;&gt;"",$S411&lt;&gt;"None"),"Delegation ","")&amp;IF(AND($Q411=1,$O411="None"),"StaleAdminCount ","")&amp;IF(AND($F411="Yes",$H411=""),"NeverLoggedOn ","")))</f>
        <v/>
      </c>
      <c r="AD411" s="60" t="n"/>
      <c r="AE411" s="61" t="n"/>
      <c r="AF411" s="60" t="n"/>
      <c r="AG411" s="62" t="n"/>
      <c r="AH411" s="62" t="n"/>
      <c r="AI411" s="62" t="n"/>
      <c r="AJ411" s="60" t="n"/>
      <c r="AK411" s="61" t="n"/>
      <c r="AL411" s="63">
        <f>IF($A411="","",IF(AH411="","Not Enrolled",IF(TODAY()&gt;AH411,"Review Overdue",IF(AH411-TODAY()&lt;=30,"Review Due Soon","Active"))))</f>
        <v/>
      </c>
      <c r="AM411" s="63">
        <f>IF($A411="","",IF(AI411="","NOT REVIEWED",IF(TODAY()-AI411&gt;90,"OVERDUE",IF(TODAY()-AI411&gt;76,"Due Soon","Current"))))</f>
        <v/>
      </c>
    </row>
    <row r="412" ht="15" customHeight="1" s="39">
      <c r="A412" s="60" t="n"/>
      <c r="B412" s="60" t="n"/>
      <c r="C412" s="61" t="n"/>
      <c r="D412" s="61" t="n"/>
      <c r="E412" s="60" t="n"/>
      <c r="F412" s="60" t="n"/>
      <c r="G412" s="62" t="n"/>
      <c r="H412" s="62" t="n"/>
      <c r="I412" s="62" t="n"/>
      <c r="J412" s="60" t="n"/>
      <c r="K412" s="60" t="n"/>
      <c r="L412" s="60" t="n"/>
      <c r="M412" s="61" t="n"/>
      <c r="N412" s="60" t="n"/>
      <c r="O412" s="60" t="n"/>
      <c r="P412" s="60" t="n"/>
      <c r="Q412" s="60" t="n"/>
      <c r="R412" s="60" t="n"/>
      <c r="S412" s="60" t="n"/>
      <c r="T412" s="60" t="n"/>
      <c r="U412" s="60" t="n"/>
      <c r="V412" s="60" t="n"/>
      <c r="W412" s="60" t="n"/>
      <c r="X412" s="60" t="n"/>
      <c r="Y412" s="60" t="n"/>
      <c r="Z412" s="61" t="n"/>
      <c r="AA412" s="63">
        <f>IF($H412="","",TODAY()-$H412)</f>
        <v/>
      </c>
      <c r="AB412" s="63">
        <f>IF($A412="","",IF(AND($F412="Yes",OR($U412="No",$U412="NOT FOUND")),"YES",""))</f>
        <v/>
      </c>
      <c r="AC412" s="66">
        <f>IF($A412="","",TRIM(IF(AND($P412=0,$L412&lt;&gt;"Yes"),"T0-NoSmartcard ","")&amp;IF(AND($J412&lt;&gt;"",$J412&gt;365),"StalePwd ","")&amp;IF($K412="Yes","PwdNeverExpires ","")&amp;IF(AND($S412&lt;&gt;"",$S412&lt;&gt;"None"),"Delegation ","")&amp;IF(AND($Q412=1,$O412="None"),"StaleAdminCount ","")&amp;IF(AND($F412="Yes",$H412=""),"NeverLoggedOn ","")))</f>
        <v/>
      </c>
      <c r="AD412" s="60" t="n"/>
      <c r="AE412" s="61" t="n"/>
      <c r="AF412" s="60" t="n"/>
      <c r="AG412" s="62" t="n"/>
      <c r="AH412" s="62" t="n"/>
      <c r="AI412" s="62" t="n"/>
      <c r="AJ412" s="60" t="n"/>
      <c r="AK412" s="61" t="n"/>
      <c r="AL412" s="63">
        <f>IF($A412="","",IF(AH412="","Not Enrolled",IF(TODAY()&gt;AH412,"Review Overdue",IF(AH412-TODAY()&lt;=30,"Review Due Soon","Active"))))</f>
        <v/>
      </c>
      <c r="AM412" s="63">
        <f>IF($A412="","",IF(AI412="","NOT REVIEWED",IF(TODAY()-AI412&gt;90,"OVERDUE",IF(TODAY()-AI412&gt;76,"Due Soon","Current"))))</f>
        <v/>
      </c>
    </row>
    <row r="413" ht="15" customHeight="1" s="39">
      <c r="A413" s="60" t="n"/>
      <c r="B413" s="60" t="n"/>
      <c r="C413" s="61" t="n"/>
      <c r="D413" s="61" t="n"/>
      <c r="E413" s="60" t="n"/>
      <c r="F413" s="60" t="n"/>
      <c r="G413" s="62" t="n"/>
      <c r="H413" s="62" t="n"/>
      <c r="I413" s="62" t="n"/>
      <c r="J413" s="60" t="n"/>
      <c r="K413" s="60" t="n"/>
      <c r="L413" s="60" t="n"/>
      <c r="M413" s="61" t="n"/>
      <c r="N413" s="60" t="n"/>
      <c r="O413" s="60" t="n"/>
      <c r="P413" s="60" t="n"/>
      <c r="Q413" s="60" t="n"/>
      <c r="R413" s="60" t="n"/>
      <c r="S413" s="60" t="n"/>
      <c r="T413" s="60" t="n"/>
      <c r="U413" s="60" t="n"/>
      <c r="V413" s="60" t="n"/>
      <c r="W413" s="60" t="n"/>
      <c r="X413" s="60" t="n"/>
      <c r="Y413" s="60" t="n"/>
      <c r="Z413" s="61" t="n"/>
      <c r="AA413" s="63">
        <f>IF($H413="","",TODAY()-$H413)</f>
        <v/>
      </c>
      <c r="AB413" s="63">
        <f>IF($A413="","",IF(AND($F413="Yes",OR($U413="No",$U413="NOT FOUND")),"YES",""))</f>
        <v/>
      </c>
      <c r="AC413" s="66">
        <f>IF($A413="","",TRIM(IF(AND($P413=0,$L413&lt;&gt;"Yes"),"T0-NoSmartcard ","")&amp;IF(AND($J413&lt;&gt;"",$J413&gt;365),"StalePwd ","")&amp;IF($K413="Yes","PwdNeverExpires ","")&amp;IF(AND($S413&lt;&gt;"",$S413&lt;&gt;"None"),"Delegation ","")&amp;IF(AND($Q413=1,$O413="None"),"StaleAdminCount ","")&amp;IF(AND($F413="Yes",$H413=""),"NeverLoggedOn ","")))</f>
        <v/>
      </c>
      <c r="AD413" s="60" t="n"/>
      <c r="AE413" s="61" t="n"/>
      <c r="AF413" s="60" t="n"/>
      <c r="AG413" s="62" t="n"/>
      <c r="AH413" s="62" t="n"/>
      <c r="AI413" s="62" t="n"/>
      <c r="AJ413" s="60" t="n"/>
      <c r="AK413" s="61" t="n"/>
      <c r="AL413" s="63">
        <f>IF($A413="","",IF(AH413="","Not Enrolled",IF(TODAY()&gt;AH413,"Review Overdue",IF(AH413-TODAY()&lt;=30,"Review Due Soon","Active"))))</f>
        <v/>
      </c>
      <c r="AM413" s="63">
        <f>IF($A413="","",IF(AI413="","NOT REVIEWED",IF(TODAY()-AI413&gt;90,"OVERDUE",IF(TODAY()-AI413&gt;76,"Due Soon","Current"))))</f>
        <v/>
      </c>
    </row>
    <row r="414" ht="15" customHeight="1" s="39">
      <c r="A414" s="60" t="n"/>
      <c r="B414" s="60" t="n"/>
      <c r="C414" s="61" t="n"/>
      <c r="D414" s="61" t="n"/>
      <c r="E414" s="60" t="n"/>
      <c r="F414" s="60" t="n"/>
      <c r="G414" s="62" t="n"/>
      <c r="H414" s="62" t="n"/>
      <c r="I414" s="62" t="n"/>
      <c r="J414" s="60" t="n"/>
      <c r="K414" s="60" t="n"/>
      <c r="L414" s="60" t="n"/>
      <c r="M414" s="61" t="n"/>
      <c r="N414" s="60" t="n"/>
      <c r="O414" s="60" t="n"/>
      <c r="P414" s="60" t="n"/>
      <c r="Q414" s="60" t="n"/>
      <c r="R414" s="60" t="n"/>
      <c r="S414" s="60" t="n"/>
      <c r="T414" s="60" t="n"/>
      <c r="U414" s="60" t="n"/>
      <c r="V414" s="60" t="n"/>
      <c r="W414" s="60" t="n"/>
      <c r="X414" s="60" t="n"/>
      <c r="Y414" s="60" t="n"/>
      <c r="Z414" s="61" t="n"/>
      <c r="AA414" s="63">
        <f>IF($H414="","",TODAY()-$H414)</f>
        <v/>
      </c>
      <c r="AB414" s="63">
        <f>IF($A414="","",IF(AND($F414="Yes",OR($U414="No",$U414="NOT FOUND")),"YES",""))</f>
        <v/>
      </c>
      <c r="AC414" s="66">
        <f>IF($A414="","",TRIM(IF(AND($P414=0,$L414&lt;&gt;"Yes"),"T0-NoSmartcard ","")&amp;IF(AND($J414&lt;&gt;"",$J414&gt;365),"StalePwd ","")&amp;IF($K414="Yes","PwdNeverExpires ","")&amp;IF(AND($S414&lt;&gt;"",$S414&lt;&gt;"None"),"Delegation ","")&amp;IF(AND($Q414=1,$O414="None"),"StaleAdminCount ","")&amp;IF(AND($F414="Yes",$H414=""),"NeverLoggedOn ","")))</f>
        <v/>
      </c>
      <c r="AD414" s="60" t="n"/>
      <c r="AE414" s="61" t="n"/>
      <c r="AF414" s="60" t="n"/>
      <c r="AG414" s="62" t="n"/>
      <c r="AH414" s="62" t="n"/>
      <c r="AI414" s="62" t="n"/>
      <c r="AJ414" s="60" t="n"/>
      <c r="AK414" s="61" t="n"/>
      <c r="AL414" s="63">
        <f>IF($A414="","",IF(AH414="","Not Enrolled",IF(TODAY()&gt;AH414,"Review Overdue",IF(AH414-TODAY()&lt;=30,"Review Due Soon","Active"))))</f>
        <v/>
      </c>
      <c r="AM414" s="63">
        <f>IF($A414="","",IF(AI414="","NOT REVIEWED",IF(TODAY()-AI414&gt;90,"OVERDUE",IF(TODAY()-AI414&gt;76,"Due Soon","Current"))))</f>
        <v/>
      </c>
    </row>
    <row r="415" ht="15" customHeight="1" s="39">
      <c r="A415" s="60" t="n"/>
      <c r="B415" s="60" t="n"/>
      <c r="C415" s="61" t="n"/>
      <c r="D415" s="61" t="n"/>
      <c r="E415" s="60" t="n"/>
      <c r="F415" s="60" t="n"/>
      <c r="G415" s="62" t="n"/>
      <c r="H415" s="62" t="n"/>
      <c r="I415" s="62" t="n"/>
      <c r="J415" s="60" t="n"/>
      <c r="K415" s="60" t="n"/>
      <c r="L415" s="60" t="n"/>
      <c r="M415" s="61" t="n"/>
      <c r="N415" s="60" t="n"/>
      <c r="O415" s="60" t="n"/>
      <c r="P415" s="60" t="n"/>
      <c r="Q415" s="60" t="n"/>
      <c r="R415" s="60" t="n"/>
      <c r="S415" s="60" t="n"/>
      <c r="T415" s="60" t="n"/>
      <c r="U415" s="60" t="n"/>
      <c r="V415" s="60" t="n"/>
      <c r="W415" s="60" t="n"/>
      <c r="X415" s="60" t="n"/>
      <c r="Y415" s="60" t="n"/>
      <c r="Z415" s="61" t="n"/>
      <c r="AA415" s="63">
        <f>IF($H415="","",TODAY()-$H415)</f>
        <v/>
      </c>
      <c r="AB415" s="63">
        <f>IF($A415="","",IF(AND($F415="Yes",OR($U415="No",$U415="NOT FOUND")),"YES",""))</f>
        <v/>
      </c>
      <c r="AC415" s="66">
        <f>IF($A415="","",TRIM(IF(AND($P415=0,$L415&lt;&gt;"Yes"),"T0-NoSmartcard ","")&amp;IF(AND($J415&lt;&gt;"",$J415&gt;365),"StalePwd ","")&amp;IF($K415="Yes","PwdNeverExpires ","")&amp;IF(AND($S415&lt;&gt;"",$S415&lt;&gt;"None"),"Delegation ","")&amp;IF(AND($Q415=1,$O415="None"),"StaleAdminCount ","")&amp;IF(AND($F415="Yes",$H415=""),"NeverLoggedOn ","")))</f>
        <v/>
      </c>
      <c r="AD415" s="60" t="n"/>
      <c r="AE415" s="61" t="n"/>
      <c r="AF415" s="60" t="n"/>
      <c r="AG415" s="62" t="n"/>
      <c r="AH415" s="62" t="n"/>
      <c r="AI415" s="62" t="n"/>
      <c r="AJ415" s="60" t="n"/>
      <c r="AK415" s="61" t="n"/>
      <c r="AL415" s="63">
        <f>IF($A415="","",IF(AH415="","Not Enrolled",IF(TODAY()&gt;AH415,"Review Overdue",IF(AH415-TODAY()&lt;=30,"Review Due Soon","Active"))))</f>
        <v/>
      </c>
      <c r="AM415" s="63">
        <f>IF($A415="","",IF(AI415="","NOT REVIEWED",IF(TODAY()-AI415&gt;90,"OVERDUE",IF(TODAY()-AI415&gt;76,"Due Soon","Current"))))</f>
        <v/>
      </c>
    </row>
    <row r="416" ht="15" customHeight="1" s="39">
      <c r="A416" s="60" t="n"/>
      <c r="B416" s="60" t="n"/>
      <c r="C416" s="61" t="n"/>
      <c r="D416" s="61" t="n"/>
      <c r="E416" s="60" t="n"/>
      <c r="F416" s="60" t="n"/>
      <c r="G416" s="62" t="n"/>
      <c r="H416" s="62" t="n"/>
      <c r="I416" s="62" t="n"/>
      <c r="J416" s="60" t="n"/>
      <c r="K416" s="60" t="n"/>
      <c r="L416" s="60" t="n"/>
      <c r="M416" s="61" t="n"/>
      <c r="N416" s="60" t="n"/>
      <c r="O416" s="60" t="n"/>
      <c r="P416" s="60" t="n"/>
      <c r="Q416" s="60" t="n"/>
      <c r="R416" s="60" t="n"/>
      <c r="S416" s="60" t="n"/>
      <c r="T416" s="60" t="n"/>
      <c r="U416" s="60" t="n"/>
      <c r="V416" s="60" t="n"/>
      <c r="W416" s="60" t="n"/>
      <c r="X416" s="60" t="n"/>
      <c r="Y416" s="60" t="n"/>
      <c r="Z416" s="61" t="n"/>
      <c r="AA416" s="63">
        <f>IF($H416="","",TODAY()-$H416)</f>
        <v/>
      </c>
      <c r="AB416" s="63">
        <f>IF($A416="","",IF(AND($F416="Yes",OR($U416="No",$U416="NOT FOUND")),"YES",""))</f>
        <v/>
      </c>
      <c r="AC416" s="66">
        <f>IF($A416="","",TRIM(IF(AND($P416=0,$L416&lt;&gt;"Yes"),"T0-NoSmartcard ","")&amp;IF(AND($J416&lt;&gt;"",$J416&gt;365),"StalePwd ","")&amp;IF($K416="Yes","PwdNeverExpires ","")&amp;IF(AND($S416&lt;&gt;"",$S416&lt;&gt;"None"),"Delegation ","")&amp;IF(AND($Q416=1,$O416="None"),"StaleAdminCount ","")&amp;IF(AND($F416="Yes",$H416=""),"NeverLoggedOn ","")))</f>
        <v/>
      </c>
      <c r="AD416" s="60" t="n"/>
      <c r="AE416" s="61" t="n"/>
      <c r="AF416" s="60" t="n"/>
      <c r="AG416" s="62" t="n"/>
      <c r="AH416" s="62" t="n"/>
      <c r="AI416" s="62" t="n"/>
      <c r="AJ416" s="60" t="n"/>
      <c r="AK416" s="61" t="n"/>
      <c r="AL416" s="63">
        <f>IF($A416="","",IF(AH416="","Not Enrolled",IF(TODAY()&gt;AH416,"Review Overdue",IF(AH416-TODAY()&lt;=30,"Review Due Soon","Active"))))</f>
        <v/>
      </c>
      <c r="AM416" s="63">
        <f>IF($A416="","",IF(AI416="","NOT REVIEWED",IF(TODAY()-AI416&gt;90,"OVERDUE",IF(TODAY()-AI416&gt;76,"Due Soon","Current"))))</f>
        <v/>
      </c>
    </row>
    <row r="417" ht="15" customHeight="1" s="39">
      <c r="A417" s="60" t="n"/>
      <c r="B417" s="60" t="n"/>
      <c r="C417" s="61" t="n"/>
      <c r="D417" s="61" t="n"/>
      <c r="E417" s="60" t="n"/>
      <c r="F417" s="60" t="n"/>
      <c r="G417" s="62" t="n"/>
      <c r="H417" s="62" t="n"/>
      <c r="I417" s="62" t="n"/>
      <c r="J417" s="60" t="n"/>
      <c r="K417" s="60" t="n"/>
      <c r="L417" s="60" t="n"/>
      <c r="M417" s="61" t="n"/>
      <c r="N417" s="60" t="n"/>
      <c r="O417" s="60" t="n"/>
      <c r="P417" s="60" t="n"/>
      <c r="Q417" s="60" t="n"/>
      <c r="R417" s="60" t="n"/>
      <c r="S417" s="60" t="n"/>
      <c r="T417" s="60" t="n"/>
      <c r="U417" s="60" t="n"/>
      <c r="V417" s="60" t="n"/>
      <c r="W417" s="60" t="n"/>
      <c r="X417" s="60" t="n"/>
      <c r="Y417" s="60" t="n"/>
      <c r="Z417" s="61" t="n"/>
      <c r="AA417" s="63">
        <f>IF($H417="","",TODAY()-$H417)</f>
        <v/>
      </c>
      <c r="AB417" s="63">
        <f>IF($A417="","",IF(AND($F417="Yes",OR($U417="No",$U417="NOT FOUND")),"YES",""))</f>
        <v/>
      </c>
      <c r="AC417" s="66">
        <f>IF($A417="","",TRIM(IF(AND($P417=0,$L417&lt;&gt;"Yes"),"T0-NoSmartcard ","")&amp;IF(AND($J417&lt;&gt;"",$J417&gt;365),"StalePwd ","")&amp;IF($K417="Yes","PwdNeverExpires ","")&amp;IF(AND($S417&lt;&gt;"",$S417&lt;&gt;"None"),"Delegation ","")&amp;IF(AND($Q417=1,$O417="None"),"StaleAdminCount ","")&amp;IF(AND($F417="Yes",$H417=""),"NeverLoggedOn ","")))</f>
        <v/>
      </c>
      <c r="AD417" s="60" t="n"/>
      <c r="AE417" s="61" t="n"/>
      <c r="AF417" s="60" t="n"/>
      <c r="AG417" s="62" t="n"/>
      <c r="AH417" s="62" t="n"/>
      <c r="AI417" s="62" t="n"/>
      <c r="AJ417" s="60" t="n"/>
      <c r="AK417" s="61" t="n"/>
      <c r="AL417" s="63">
        <f>IF($A417="","",IF(AH417="","Not Enrolled",IF(TODAY()&gt;AH417,"Review Overdue",IF(AH417-TODAY()&lt;=30,"Review Due Soon","Active"))))</f>
        <v/>
      </c>
      <c r="AM417" s="63">
        <f>IF($A417="","",IF(AI417="","NOT REVIEWED",IF(TODAY()-AI417&gt;90,"OVERDUE",IF(TODAY()-AI417&gt;76,"Due Soon","Current"))))</f>
        <v/>
      </c>
    </row>
    <row r="418" ht="15" customHeight="1" s="39">
      <c r="A418" s="60" t="n"/>
      <c r="B418" s="60" t="n"/>
      <c r="C418" s="61" t="n"/>
      <c r="D418" s="61" t="n"/>
      <c r="E418" s="60" t="n"/>
      <c r="F418" s="60" t="n"/>
      <c r="G418" s="62" t="n"/>
      <c r="H418" s="62" t="n"/>
      <c r="I418" s="62" t="n"/>
      <c r="J418" s="60" t="n"/>
      <c r="K418" s="60" t="n"/>
      <c r="L418" s="60" t="n"/>
      <c r="M418" s="61" t="n"/>
      <c r="N418" s="60" t="n"/>
      <c r="O418" s="60" t="n"/>
      <c r="P418" s="60" t="n"/>
      <c r="Q418" s="60" t="n"/>
      <c r="R418" s="60" t="n"/>
      <c r="S418" s="60" t="n"/>
      <c r="T418" s="60" t="n"/>
      <c r="U418" s="60" t="n"/>
      <c r="V418" s="60" t="n"/>
      <c r="W418" s="60" t="n"/>
      <c r="X418" s="60" t="n"/>
      <c r="Y418" s="60" t="n"/>
      <c r="Z418" s="61" t="n"/>
      <c r="AA418" s="63">
        <f>IF($H418="","",TODAY()-$H418)</f>
        <v/>
      </c>
      <c r="AB418" s="63">
        <f>IF($A418="","",IF(AND($F418="Yes",OR($U418="No",$U418="NOT FOUND")),"YES",""))</f>
        <v/>
      </c>
      <c r="AC418" s="66">
        <f>IF($A418="","",TRIM(IF(AND($P418=0,$L418&lt;&gt;"Yes"),"T0-NoSmartcard ","")&amp;IF(AND($J418&lt;&gt;"",$J418&gt;365),"StalePwd ","")&amp;IF($K418="Yes","PwdNeverExpires ","")&amp;IF(AND($S418&lt;&gt;"",$S418&lt;&gt;"None"),"Delegation ","")&amp;IF(AND($Q418=1,$O418="None"),"StaleAdminCount ","")&amp;IF(AND($F418="Yes",$H418=""),"NeverLoggedOn ","")))</f>
        <v/>
      </c>
      <c r="AD418" s="60" t="n"/>
      <c r="AE418" s="61" t="n"/>
      <c r="AF418" s="60" t="n"/>
      <c r="AG418" s="62" t="n"/>
      <c r="AH418" s="62" t="n"/>
      <c r="AI418" s="62" t="n"/>
      <c r="AJ418" s="60" t="n"/>
      <c r="AK418" s="61" t="n"/>
      <c r="AL418" s="63">
        <f>IF($A418="","",IF(AH418="","Not Enrolled",IF(TODAY()&gt;AH418,"Review Overdue",IF(AH418-TODAY()&lt;=30,"Review Due Soon","Active"))))</f>
        <v/>
      </c>
      <c r="AM418" s="63">
        <f>IF($A418="","",IF(AI418="","NOT REVIEWED",IF(TODAY()-AI418&gt;90,"OVERDUE",IF(TODAY()-AI418&gt;76,"Due Soon","Current"))))</f>
        <v/>
      </c>
    </row>
    <row r="419" ht="15" customHeight="1" s="39">
      <c r="A419" s="60" t="n"/>
      <c r="B419" s="60" t="n"/>
      <c r="C419" s="61" t="n"/>
      <c r="D419" s="61" t="n"/>
      <c r="E419" s="60" t="n"/>
      <c r="F419" s="60" t="n"/>
      <c r="G419" s="62" t="n"/>
      <c r="H419" s="62" t="n"/>
      <c r="I419" s="62" t="n"/>
      <c r="J419" s="60" t="n"/>
      <c r="K419" s="60" t="n"/>
      <c r="L419" s="60" t="n"/>
      <c r="M419" s="61" t="n"/>
      <c r="N419" s="60" t="n"/>
      <c r="O419" s="60" t="n"/>
      <c r="P419" s="60" t="n"/>
      <c r="Q419" s="60" t="n"/>
      <c r="R419" s="60" t="n"/>
      <c r="S419" s="60" t="n"/>
      <c r="T419" s="60" t="n"/>
      <c r="U419" s="60" t="n"/>
      <c r="V419" s="60" t="n"/>
      <c r="W419" s="60" t="n"/>
      <c r="X419" s="60" t="n"/>
      <c r="Y419" s="60" t="n"/>
      <c r="Z419" s="61" t="n"/>
      <c r="AA419" s="63">
        <f>IF($H419="","",TODAY()-$H419)</f>
        <v/>
      </c>
      <c r="AB419" s="63">
        <f>IF($A419="","",IF(AND($F419="Yes",OR($U419="No",$U419="NOT FOUND")),"YES",""))</f>
        <v/>
      </c>
      <c r="AC419" s="66">
        <f>IF($A419="","",TRIM(IF(AND($P419=0,$L419&lt;&gt;"Yes"),"T0-NoSmartcard ","")&amp;IF(AND($J419&lt;&gt;"",$J419&gt;365),"StalePwd ","")&amp;IF($K419="Yes","PwdNeverExpires ","")&amp;IF(AND($S419&lt;&gt;"",$S419&lt;&gt;"None"),"Delegation ","")&amp;IF(AND($Q419=1,$O419="None"),"StaleAdminCount ","")&amp;IF(AND($F419="Yes",$H419=""),"NeverLoggedOn ","")))</f>
        <v/>
      </c>
      <c r="AD419" s="60" t="n"/>
      <c r="AE419" s="61" t="n"/>
      <c r="AF419" s="60" t="n"/>
      <c r="AG419" s="62" t="n"/>
      <c r="AH419" s="62" t="n"/>
      <c r="AI419" s="62" t="n"/>
      <c r="AJ419" s="60" t="n"/>
      <c r="AK419" s="61" t="n"/>
      <c r="AL419" s="63">
        <f>IF($A419="","",IF(AH419="","Not Enrolled",IF(TODAY()&gt;AH419,"Review Overdue",IF(AH419-TODAY()&lt;=30,"Review Due Soon","Active"))))</f>
        <v/>
      </c>
      <c r="AM419" s="63">
        <f>IF($A419="","",IF(AI419="","NOT REVIEWED",IF(TODAY()-AI419&gt;90,"OVERDUE",IF(TODAY()-AI419&gt;76,"Due Soon","Current"))))</f>
        <v/>
      </c>
    </row>
    <row r="420" ht="15" customHeight="1" s="39">
      <c r="A420" s="60" t="n"/>
      <c r="B420" s="60" t="n"/>
      <c r="C420" s="61" t="n"/>
      <c r="D420" s="61" t="n"/>
      <c r="E420" s="60" t="n"/>
      <c r="F420" s="60" t="n"/>
      <c r="G420" s="62" t="n"/>
      <c r="H420" s="62" t="n"/>
      <c r="I420" s="62" t="n"/>
      <c r="J420" s="60" t="n"/>
      <c r="K420" s="60" t="n"/>
      <c r="L420" s="60" t="n"/>
      <c r="M420" s="61" t="n"/>
      <c r="N420" s="60" t="n"/>
      <c r="O420" s="60" t="n"/>
      <c r="P420" s="60" t="n"/>
      <c r="Q420" s="60" t="n"/>
      <c r="R420" s="60" t="n"/>
      <c r="S420" s="60" t="n"/>
      <c r="T420" s="60" t="n"/>
      <c r="U420" s="60" t="n"/>
      <c r="V420" s="60" t="n"/>
      <c r="W420" s="60" t="n"/>
      <c r="X420" s="60" t="n"/>
      <c r="Y420" s="60" t="n"/>
      <c r="Z420" s="61" t="n"/>
      <c r="AA420" s="63">
        <f>IF($H420="","",TODAY()-$H420)</f>
        <v/>
      </c>
      <c r="AB420" s="63">
        <f>IF($A420="","",IF(AND($F420="Yes",OR($U420="No",$U420="NOT FOUND")),"YES",""))</f>
        <v/>
      </c>
      <c r="AC420" s="66">
        <f>IF($A420="","",TRIM(IF(AND($P420=0,$L420&lt;&gt;"Yes"),"T0-NoSmartcard ","")&amp;IF(AND($J420&lt;&gt;"",$J420&gt;365),"StalePwd ","")&amp;IF($K420="Yes","PwdNeverExpires ","")&amp;IF(AND($S420&lt;&gt;"",$S420&lt;&gt;"None"),"Delegation ","")&amp;IF(AND($Q420=1,$O420="None"),"StaleAdminCount ","")&amp;IF(AND($F420="Yes",$H420=""),"NeverLoggedOn ","")))</f>
        <v/>
      </c>
      <c r="AD420" s="60" t="n"/>
      <c r="AE420" s="61" t="n"/>
      <c r="AF420" s="60" t="n"/>
      <c r="AG420" s="62" t="n"/>
      <c r="AH420" s="62" t="n"/>
      <c r="AI420" s="62" t="n"/>
      <c r="AJ420" s="60" t="n"/>
      <c r="AK420" s="61" t="n"/>
      <c r="AL420" s="63">
        <f>IF($A420="","",IF(AH420="","Not Enrolled",IF(TODAY()&gt;AH420,"Review Overdue",IF(AH420-TODAY()&lt;=30,"Review Due Soon","Active"))))</f>
        <v/>
      </c>
      <c r="AM420" s="63">
        <f>IF($A420="","",IF(AI420="","NOT REVIEWED",IF(TODAY()-AI420&gt;90,"OVERDUE",IF(TODAY()-AI420&gt;76,"Due Soon","Current"))))</f>
        <v/>
      </c>
    </row>
    <row r="421" ht="15" customHeight="1" s="39">
      <c r="A421" s="60" t="n"/>
      <c r="B421" s="60" t="n"/>
      <c r="C421" s="61" t="n"/>
      <c r="D421" s="61" t="n"/>
      <c r="E421" s="60" t="n"/>
      <c r="F421" s="60" t="n"/>
      <c r="G421" s="62" t="n"/>
      <c r="H421" s="62" t="n"/>
      <c r="I421" s="62" t="n"/>
      <c r="J421" s="60" t="n"/>
      <c r="K421" s="60" t="n"/>
      <c r="L421" s="60" t="n"/>
      <c r="M421" s="61" t="n"/>
      <c r="N421" s="60" t="n"/>
      <c r="O421" s="60" t="n"/>
      <c r="P421" s="60" t="n"/>
      <c r="Q421" s="60" t="n"/>
      <c r="R421" s="60" t="n"/>
      <c r="S421" s="60" t="n"/>
      <c r="T421" s="60" t="n"/>
      <c r="U421" s="60" t="n"/>
      <c r="V421" s="60" t="n"/>
      <c r="W421" s="60" t="n"/>
      <c r="X421" s="60" t="n"/>
      <c r="Y421" s="60" t="n"/>
      <c r="Z421" s="61" t="n"/>
      <c r="AA421" s="63">
        <f>IF($H421="","",TODAY()-$H421)</f>
        <v/>
      </c>
      <c r="AB421" s="63">
        <f>IF($A421="","",IF(AND($F421="Yes",OR($U421="No",$U421="NOT FOUND")),"YES",""))</f>
        <v/>
      </c>
      <c r="AC421" s="66">
        <f>IF($A421="","",TRIM(IF(AND($P421=0,$L421&lt;&gt;"Yes"),"T0-NoSmartcard ","")&amp;IF(AND($J421&lt;&gt;"",$J421&gt;365),"StalePwd ","")&amp;IF($K421="Yes","PwdNeverExpires ","")&amp;IF(AND($S421&lt;&gt;"",$S421&lt;&gt;"None"),"Delegation ","")&amp;IF(AND($Q421=1,$O421="None"),"StaleAdminCount ","")&amp;IF(AND($F421="Yes",$H421=""),"NeverLoggedOn ","")))</f>
        <v/>
      </c>
      <c r="AD421" s="60" t="n"/>
      <c r="AE421" s="61" t="n"/>
      <c r="AF421" s="60" t="n"/>
      <c r="AG421" s="62" t="n"/>
      <c r="AH421" s="62" t="n"/>
      <c r="AI421" s="62" t="n"/>
      <c r="AJ421" s="60" t="n"/>
      <c r="AK421" s="61" t="n"/>
      <c r="AL421" s="63">
        <f>IF($A421="","",IF(AH421="","Not Enrolled",IF(TODAY()&gt;AH421,"Review Overdue",IF(AH421-TODAY()&lt;=30,"Review Due Soon","Active"))))</f>
        <v/>
      </c>
      <c r="AM421" s="63">
        <f>IF($A421="","",IF(AI421="","NOT REVIEWED",IF(TODAY()-AI421&gt;90,"OVERDUE",IF(TODAY()-AI421&gt;76,"Due Soon","Current"))))</f>
        <v/>
      </c>
    </row>
    <row r="422" ht="15" customHeight="1" s="39">
      <c r="A422" s="60" t="n"/>
      <c r="B422" s="60" t="n"/>
      <c r="C422" s="61" t="n"/>
      <c r="D422" s="61" t="n"/>
      <c r="E422" s="60" t="n"/>
      <c r="F422" s="60" t="n"/>
      <c r="G422" s="62" t="n"/>
      <c r="H422" s="62" t="n"/>
      <c r="I422" s="62" t="n"/>
      <c r="J422" s="60" t="n"/>
      <c r="K422" s="60" t="n"/>
      <c r="L422" s="60" t="n"/>
      <c r="M422" s="61" t="n"/>
      <c r="N422" s="60" t="n"/>
      <c r="O422" s="60" t="n"/>
      <c r="P422" s="60" t="n"/>
      <c r="Q422" s="60" t="n"/>
      <c r="R422" s="60" t="n"/>
      <c r="S422" s="60" t="n"/>
      <c r="T422" s="60" t="n"/>
      <c r="U422" s="60" t="n"/>
      <c r="V422" s="60" t="n"/>
      <c r="W422" s="60" t="n"/>
      <c r="X422" s="60" t="n"/>
      <c r="Y422" s="60" t="n"/>
      <c r="Z422" s="61" t="n"/>
      <c r="AA422" s="63">
        <f>IF($H422="","",TODAY()-$H422)</f>
        <v/>
      </c>
      <c r="AB422" s="63">
        <f>IF($A422="","",IF(AND($F422="Yes",OR($U422="No",$U422="NOT FOUND")),"YES",""))</f>
        <v/>
      </c>
      <c r="AC422" s="66">
        <f>IF($A422="","",TRIM(IF(AND($P422=0,$L422&lt;&gt;"Yes"),"T0-NoSmartcard ","")&amp;IF(AND($J422&lt;&gt;"",$J422&gt;365),"StalePwd ","")&amp;IF($K422="Yes","PwdNeverExpires ","")&amp;IF(AND($S422&lt;&gt;"",$S422&lt;&gt;"None"),"Delegation ","")&amp;IF(AND($Q422=1,$O422="None"),"StaleAdminCount ","")&amp;IF(AND($F422="Yes",$H422=""),"NeverLoggedOn ","")))</f>
        <v/>
      </c>
      <c r="AD422" s="60" t="n"/>
      <c r="AE422" s="61" t="n"/>
      <c r="AF422" s="60" t="n"/>
      <c r="AG422" s="62" t="n"/>
      <c r="AH422" s="62" t="n"/>
      <c r="AI422" s="62" t="n"/>
      <c r="AJ422" s="60" t="n"/>
      <c r="AK422" s="61" t="n"/>
      <c r="AL422" s="63">
        <f>IF($A422="","",IF(AH422="","Not Enrolled",IF(TODAY()&gt;AH422,"Review Overdue",IF(AH422-TODAY()&lt;=30,"Review Due Soon","Active"))))</f>
        <v/>
      </c>
      <c r="AM422" s="63">
        <f>IF($A422="","",IF(AI422="","NOT REVIEWED",IF(TODAY()-AI422&gt;90,"OVERDUE",IF(TODAY()-AI422&gt;76,"Due Soon","Current"))))</f>
        <v/>
      </c>
    </row>
    <row r="423" ht="15" customHeight="1" s="39">
      <c r="A423" s="60" t="n"/>
      <c r="B423" s="60" t="n"/>
      <c r="C423" s="61" t="n"/>
      <c r="D423" s="61" t="n"/>
      <c r="E423" s="60" t="n"/>
      <c r="F423" s="60" t="n"/>
      <c r="G423" s="62" t="n"/>
      <c r="H423" s="62" t="n"/>
      <c r="I423" s="62" t="n"/>
      <c r="J423" s="60" t="n"/>
      <c r="K423" s="60" t="n"/>
      <c r="L423" s="60" t="n"/>
      <c r="M423" s="61" t="n"/>
      <c r="N423" s="60" t="n"/>
      <c r="O423" s="60" t="n"/>
      <c r="P423" s="60" t="n"/>
      <c r="Q423" s="60" t="n"/>
      <c r="R423" s="60" t="n"/>
      <c r="S423" s="60" t="n"/>
      <c r="T423" s="60" t="n"/>
      <c r="U423" s="60" t="n"/>
      <c r="V423" s="60" t="n"/>
      <c r="W423" s="60" t="n"/>
      <c r="X423" s="60" t="n"/>
      <c r="Y423" s="60" t="n"/>
      <c r="Z423" s="61" t="n"/>
      <c r="AA423" s="63">
        <f>IF($H423="","",TODAY()-$H423)</f>
        <v/>
      </c>
      <c r="AB423" s="63">
        <f>IF($A423="","",IF(AND($F423="Yes",OR($U423="No",$U423="NOT FOUND")),"YES",""))</f>
        <v/>
      </c>
      <c r="AC423" s="66">
        <f>IF($A423="","",TRIM(IF(AND($P423=0,$L423&lt;&gt;"Yes"),"T0-NoSmartcard ","")&amp;IF(AND($J423&lt;&gt;"",$J423&gt;365),"StalePwd ","")&amp;IF($K423="Yes","PwdNeverExpires ","")&amp;IF(AND($S423&lt;&gt;"",$S423&lt;&gt;"None"),"Delegation ","")&amp;IF(AND($Q423=1,$O423="None"),"StaleAdminCount ","")&amp;IF(AND($F423="Yes",$H423=""),"NeverLoggedOn ","")))</f>
        <v/>
      </c>
      <c r="AD423" s="60" t="n"/>
      <c r="AE423" s="61" t="n"/>
      <c r="AF423" s="60" t="n"/>
      <c r="AG423" s="62" t="n"/>
      <c r="AH423" s="62" t="n"/>
      <c r="AI423" s="62" t="n"/>
      <c r="AJ423" s="60" t="n"/>
      <c r="AK423" s="61" t="n"/>
      <c r="AL423" s="63">
        <f>IF($A423="","",IF(AH423="","Not Enrolled",IF(TODAY()&gt;AH423,"Review Overdue",IF(AH423-TODAY()&lt;=30,"Review Due Soon","Active"))))</f>
        <v/>
      </c>
      <c r="AM423" s="63">
        <f>IF($A423="","",IF(AI423="","NOT REVIEWED",IF(TODAY()-AI423&gt;90,"OVERDUE",IF(TODAY()-AI423&gt;76,"Due Soon","Current"))))</f>
        <v/>
      </c>
    </row>
    <row r="424" ht="15" customHeight="1" s="39">
      <c r="A424" s="60" t="n"/>
      <c r="B424" s="60" t="n"/>
      <c r="C424" s="61" t="n"/>
      <c r="D424" s="61" t="n"/>
      <c r="E424" s="60" t="n"/>
      <c r="F424" s="60" t="n"/>
      <c r="G424" s="62" t="n"/>
      <c r="H424" s="62" t="n"/>
      <c r="I424" s="62" t="n"/>
      <c r="J424" s="60" t="n"/>
      <c r="K424" s="60" t="n"/>
      <c r="L424" s="60" t="n"/>
      <c r="M424" s="61" t="n"/>
      <c r="N424" s="60" t="n"/>
      <c r="O424" s="60" t="n"/>
      <c r="P424" s="60" t="n"/>
      <c r="Q424" s="60" t="n"/>
      <c r="R424" s="60" t="n"/>
      <c r="S424" s="60" t="n"/>
      <c r="T424" s="60" t="n"/>
      <c r="U424" s="60" t="n"/>
      <c r="V424" s="60" t="n"/>
      <c r="W424" s="60" t="n"/>
      <c r="X424" s="60" t="n"/>
      <c r="Y424" s="60" t="n"/>
      <c r="Z424" s="61" t="n"/>
      <c r="AA424" s="63">
        <f>IF($H424="","",TODAY()-$H424)</f>
        <v/>
      </c>
      <c r="AB424" s="63">
        <f>IF($A424="","",IF(AND($F424="Yes",OR($U424="No",$U424="NOT FOUND")),"YES",""))</f>
        <v/>
      </c>
      <c r="AC424" s="66">
        <f>IF($A424="","",TRIM(IF(AND($P424=0,$L424&lt;&gt;"Yes"),"T0-NoSmartcard ","")&amp;IF(AND($J424&lt;&gt;"",$J424&gt;365),"StalePwd ","")&amp;IF($K424="Yes","PwdNeverExpires ","")&amp;IF(AND($S424&lt;&gt;"",$S424&lt;&gt;"None"),"Delegation ","")&amp;IF(AND($Q424=1,$O424="None"),"StaleAdminCount ","")&amp;IF(AND($F424="Yes",$H424=""),"NeverLoggedOn ","")))</f>
        <v/>
      </c>
      <c r="AD424" s="60" t="n"/>
      <c r="AE424" s="61" t="n"/>
      <c r="AF424" s="60" t="n"/>
      <c r="AG424" s="62" t="n"/>
      <c r="AH424" s="62" t="n"/>
      <c r="AI424" s="62" t="n"/>
      <c r="AJ424" s="60" t="n"/>
      <c r="AK424" s="61" t="n"/>
      <c r="AL424" s="63">
        <f>IF($A424="","",IF(AH424="","Not Enrolled",IF(TODAY()&gt;AH424,"Review Overdue",IF(AH424-TODAY()&lt;=30,"Review Due Soon","Active"))))</f>
        <v/>
      </c>
      <c r="AM424" s="63">
        <f>IF($A424="","",IF(AI424="","NOT REVIEWED",IF(TODAY()-AI424&gt;90,"OVERDUE",IF(TODAY()-AI424&gt;76,"Due Soon","Current"))))</f>
        <v/>
      </c>
    </row>
    <row r="425" ht="15" customHeight="1" s="39">
      <c r="A425" s="60" t="n"/>
      <c r="B425" s="60" t="n"/>
      <c r="C425" s="61" t="n"/>
      <c r="D425" s="61" t="n"/>
      <c r="E425" s="60" t="n"/>
      <c r="F425" s="60" t="n"/>
      <c r="G425" s="62" t="n"/>
      <c r="H425" s="62" t="n"/>
      <c r="I425" s="62" t="n"/>
      <c r="J425" s="60" t="n"/>
      <c r="K425" s="60" t="n"/>
      <c r="L425" s="60" t="n"/>
      <c r="M425" s="61" t="n"/>
      <c r="N425" s="60" t="n"/>
      <c r="O425" s="60" t="n"/>
      <c r="P425" s="60" t="n"/>
      <c r="Q425" s="60" t="n"/>
      <c r="R425" s="60" t="n"/>
      <c r="S425" s="60" t="n"/>
      <c r="T425" s="60" t="n"/>
      <c r="U425" s="60" t="n"/>
      <c r="V425" s="60" t="n"/>
      <c r="W425" s="60" t="n"/>
      <c r="X425" s="60" t="n"/>
      <c r="Y425" s="60" t="n"/>
      <c r="Z425" s="61" t="n"/>
      <c r="AA425" s="63">
        <f>IF($H425="","",TODAY()-$H425)</f>
        <v/>
      </c>
      <c r="AB425" s="63">
        <f>IF($A425="","",IF(AND($F425="Yes",OR($U425="No",$U425="NOT FOUND")),"YES",""))</f>
        <v/>
      </c>
      <c r="AC425" s="66">
        <f>IF($A425="","",TRIM(IF(AND($P425=0,$L425&lt;&gt;"Yes"),"T0-NoSmartcard ","")&amp;IF(AND($J425&lt;&gt;"",$J425&gt;365),"StalePwd ","")&amp;IF($K425="Yes","PwdNeverExpires ","")&amp;IF(AND($S425&lt;&gt;"",$S425&lt;&gt;"None"),"Delegation ","")&amp;IF(AND($Q425=1,$O425="None"),"StaleAdminCount ","")&amp;IF(AND($F425="Yes",$H425=""),"NeverLoggedOn ","")))</f>
        <v/>
      </c>
      <c r="AD425" s="60" t="n"/>
      <c r="AE425" s="61" t="n"/>
      <c r="AF425" s="60" t="n"/>
      <c r="AG425" s="62" t="n"/>
      <c r="AH425" s="62" t="n"/>
      <c r="AI425" s="62" t="n"/>
      <c r="AJ425" s="60" t="n"/>
      <c r="AK425" s="61" t="n"/>
      <c r="AL425" s="63">
        <f>IF($A425="","",IF(AH425="","Not Enrolled",IF(TODAY()&gt;AH425,"Review Overdue",IF(AH425-TODAY()&lt;=30,"Review Due Soon","Active"))))</f>
        <v/>
      </c>
      <c r="AM425" s="63">
        <f>IF($A425="","",IF(AI425="","NOT REVIEWED",IF(TODAY()-AI425&gt;90,"OVERDUE",IF(TODAY()-AI425&gt;76,"Due Soon","Current"))))</f>
        <v/>
      </c>
    </row>
    <row r="426" ht="15" customHeight="1" s="39">
      <c r="A426" s="60" t="n"/>
      <c r="B426" s="60" t="n"/>
      <c r="C426" s="61" t="n"/>
      <c r="D426" s="61" t="n"/>
      <c r="E426" s="60" t="n"/>
      <c r="F426" s="60" t="n"/>
      <c r="G426" s="62" t="n"/>
      <c r="H426" s="62" t="n"/>
      <c r="I426" s="62" t="n"/>
      <c r="J426" s="60" t="n"/>
      <c r="K426" s="60" t="n"/>
      <c r="L426" s="60" t="n"/>
      <c r="M426" s="61" t="n"/>
      <c r="N426" s="60" t="n"/>
      <c r="O426" s="60" t="n"/>
      <c r="P426" s="60" t="n"/>
      <c r="Q426" s="60" t="n"/>
      <c r="R426" s="60" t="n"/>
      <c r="S426" s="60" t="n"/>
      <c r="T426" s="60" t="n"/>
      <c r="U426" s="60" t="n"/>
      <c r="V426" s="60" t="n"/>
      <c r="W426" s="60" t="n"/>
      <c r="X426" s="60" t="n"/>
      <c r="Y426" s="60" t="n"/>
      <c r="Z426" s="61" t="n"/>
      <c r="AA426" s="63">
        <f>IF($H426="","",TODAY()-$H426)</f>
        <v/>
      </c>
      <c r="AB426" s="63">
        <f>IF($A426="","",IF(AND($F426="Yes",OR($U426="No",$U426="NOT FOUND")),"YES",""))</f>
        <v/>
      </c>
      <c r="AC426" s="66">
        <f>IF($A426="","",TRIM(IF(AND($P426=0,$L426&lt;&gt;"Yes"),"T0-NoSmartcard ","")&amp;IF(AND($J426&lt;&gt;"",$J426&gt;365),"StalePwd ","")&amp;IF($K426="Yes","PwdNeverExpires ","")&amp;IF(AND($S426&lt;&gt;"",$S426&lt;&gt;"None"),"Delegation ","")&amp;IF(AND($Q426=1,$O426="None"),"StaleAdminCount ","")&amp;IF(AND($F426="Yes",$H426=""),"NeverLoggedOn ","")))</f>
        <v/>
      </c>
      <c r="AD426" s="60" t="n"/>
      <c r="AE426" s="61" t="n"/>
      <c r="AF426" s="60" t="n"/>
      <c r="AG426" s="62" t="n"/>
      <c r="AH426" s="62" t="n"/>
      <c r="AI426" s="62" t="n"/>
      <c r="AJ426" s="60" t="n"/>
      <c r="AK426" s="61" t="n"/>
      <c r="AL426" s="63">
        <f>IF($A426="","",IF(AH426="","Not Enrolled",IF(TODAY()&gt;AH426,"Review Overdue",IF(AH426-TODAY()&lt;=30,"Review Due Soon","Active"))))</f>
        <v/>
      </c>
      <c r="AM426" s="63">
        <f>IF($A426="","",IF(AI426="","NOT REVIEWED",IF(TODAY()-AI426&gt;90,"OVERDUE",IF(TODAY()-AI426&gt;76,"Due Soon","Current"))))</f>
        <v/>
      </c>
    </row>
    <row r="427" ht="15" customHeight="1" s="39">
      <c r="A427" s="60" t="n"/>
      <c r="B427" s="60" t="n"/>
      <c r="C427" s="61" t="n"/>
      <c r="D427" s="61" t="n"/>
      <c r="E427" s="60" t="n"/>
      <c r="F427" s="60" t="n"/>
      <c r="G427" s="62" t="n"/>
      <c r="H427" s="62" t="n"/>
      <c r="I427" s="62" t="n"/>
      <c r="J427" s="60" t="n"/>
      <c r="K427" s="60" t="n"/>
      <c r="L427" s="60" t="n"/>
      <c r="M427" s="61" t="n"/>
      <c r="N427" s="60" t="n"/>
      <c r="O427" s="60" t="n"/>
      <c r="P427" s="60" t="n"/>
      <c r="Q427" s="60" t="n"/>
      <c r="R427" s="60" t="n"/>
      <c r="S427" s="60" t="n"/>
      <c r="T427" s="60" t="n"/>
      <c r="U427" s="60" t="n"/>
      <c r="V427" s="60" t="n"/>
      <c r="W427" s="60" t="n"/>
      <c r="X427" s="60" t="n"/>
      <c r="Y427" s="60" t="n"/>
      <c r="Z427" s="61" t="n"/>
      <c r="AA427" s="63">
        <f>IF($H427="","",TODAY()-$H427)</f>
        <v/>
      </c>
      <c r="AB427" s="63">
        <f>IF($A427="","",IF(AND($F427="Yes",OR($U427="No",$U427="NOT FOUND")),"YES",""))</f>
        <v/>
      </c>
      <c r="AC427" s="66">
        <f>IF($A427="","",TRIM(IF(AND($P427=0,$L427&lt;&gt;"Yes"),"T0-NoSmartcard ","")&amp;IF(AND($J427&lt;&gt;"",$J427&gt;365),"StalePwd ","")&amp;IF($K427="Yes","PwdNeverExpires ","")&amp;IF(AND($S427&lt;&gt;"",$S427&lt;&gt;"None"),"Delegation ","")&amp;IF(AND($Q427=1,$O427="None"),"StaleAdminCount ","")&amp;IF(AND($F427="Yes",$H427=""),"NeverLoggedOn ","")))</f>
        <v/>
      </c>
      <c r="AD427" s="60" t="n"/>
      <c r="AE427" s="61" t="n"/>
      <c r="AF427" s="60" t="n"/>
      <c r="AG427" s="62" t="n"/>
      <c r="AH427" s="62" t="n"/>
      <c r="AI427" s="62" t="n"/>
      <c r="AJ427" s="60" t="n"/>
      <c r="AK427" s="61" t="n"/>
      <c r="AL427" s="63">
        <f>IF($A427="","",IF(AH427="","Not Enrolled",IF(TODAY()&gt;AH427,"Review Overdue",IF(AH427-TODAY()&lt;=30,"Review Due Soon","Active"))))</f>
        <v/>
      </c>
      <c r="AM427" s="63">
        <f>IF($A427="","",IF(AI427="","NOT REVIEWED",IF(TODAY()-AI427&gt;90,"OVERDUE",IF(TODAY()-AI427&gt;76,"Due Soon","Current"))))</f>
        <v/>
      </c>
    </row>
    <row r="428" ht="15" customHeight="1" s="39">
      <c r="A428" s="60" t="n"/>
      <c r="B428" s="60" t="n"/>
      <c r="C428" s="61" t="n"/>
      <c r="D428" s="61" t="n"/>
      <c r="E428" s="60" t="n"/>
      <c r="F428" s="60" t="n"/>
      <c r="G428" s="62" t="n"/>
      <c r="H428" s="62" t="n"/>
      <c r="I428" s="62" t="n"/>
      <c r="J428" s="60" t="n"/>
      <c r="K428" s="60" t="n"/>
      <c r="L428" s="60" t="n"/>
      <c r="M428" s="61" t="n"/>
      <c r="N428" s="60" t="n"/>
      <c r="O428" s="60" t="n"/>
      <c r="P428" s="60" t="n"/>
      <c r="Q428" s="60" t="n"/>
      <c r="R428" s="60" t="n"/>
      <c r="S428" s="60" t="n"/>
      <c r="T428" s="60" t="n"/>
      <c r="U428" s="60" t="n"/>
      <c r="V428" s="60" t="n"/>
      <c r="W428" s="60" t="n"/>
      <c r="X428" s="60" t="n"/>
      <c r="Y428" s="60" t="n"/>
      <c r="Z428" s="61" t="n"/>
      <c r="AA428" s="63">
        <f>IF($H428="","",TODAY()-$H428)</f>
        <v/>
      </c>
      <c r="AB428" s="63">
        <f>IF($A428="","",IF(AND($F428="Yes",OR($U428="No",$U428="NOT FOUND")),"YES",""))</f>
        <v/>
      </c>
      <c r="AC428" s="66">
        <f>IF($A428="","",TRIM(IF(AND($P428=0,$L428&lt;&gt;"Yes"),"T0-NoSmartcard ","")&amp;IF(AND($J428&lt;&gt;"",$J428&gt;365),"StalePwd ","")&amp;IF($K428="Yes","PwdNeverExpires ","")&amp;IF(AND($S428&lt;&gt;"",$S428&lt;&gt;"None"),"Delegation ","")&amp;IF(AND($Q428=1,$O428="None"),"StaleAdminCount ","")&amp;IF(AND($F428="Yes",$H428=""),"NeverLoggedOn ","")))</f>
        <v/>
      </c>
      <c r="AD428" s="60" t="n"/>
      <c r="AE428" s="61" t="n"/>
      <c r="AF428" s="60" t="n"/>
      <c r="AG428" s="62" t="n"/>
      <c r="AH428" s="62" t="n"/>
      <c r="AI428" s="62" t="n"/>
      <c r="AJ428" s="60" t="n"/>
      <c r="AK428" s="61" t="n"/>
      <c r="AL428" s="63">
        <f>IF($A428="","",IF(AH428="","Not Enrolled",IF(TODAY()&gt;AH428,"Review Overdue",IF(AH428-TODAY()&lt;=30,"Review Due Soon","Active"))))</f>
        <v/>
      </c>
      <c r="AM428" s="63">
        <f>IF($A428="","",IF(AI428="","NOT REVIEWED",IF(TODAY()-AI428&gt;90,"OVERDUE",IF(TODAY()-AI428&gt;76,"Due Soon","Current"))))</f>
        <v/>
      </c>
    </row>
    <row r="429" ht="15" customHeight="1" s="39">
      <c r="A429" s="60" t="n"/>
      <c r="B429" s="60" t="n"/>
      <c r="C429" s="61" t="n"/>
      <c r="D429" s="61" t="n"/>
      <c r="E429" s="60" t="n"/>
      <c r="F429" s="60" t="n"/>
      <c r="G429" s="62" t="n"/>
      <c r="H429" s="62" t="n"/>
      <c r="I429" s="62" t="n"/>
      <c r="J429" s="60" t="n"/>
      <c r="K429" s="60" t="n"/>
      <c r="L429" s="60" t="n"/>
      <c r="M429" s="61" t="n"/>
      <c r="N429" s="60" t="n"/>
      <c r="O429" s="60" t="n"/>
      <c r="P429" s="60" t="n"/>
      <c r="Q429" s="60" t="n"/>
      <c r="R429" s="60" t="n"/>
      <c r="S429" s="60" t="n"/>
      <c r="T429" s="60" t="n"/>
      <c r="U429" s="60" t="n"/>
      <c r="V429" s="60" t="n"/>
      <c r="W429" s="60" t="n"/>
      <c r="X429" s="60" t="n"/>
      <c r="Y429" s="60" t="n"/>
      <c r="Z429" s="61" t="n"/>
      <c r="AA429" s="63">
        <f>IF($H429="","",TODAY()-$H429)</f>
        <v/>
      </c>
      <c r="AB429" s="63">
        <f>IF($A429="","",IF(AND($F429="Yes",OR($U429="No",$U429="NOT FOUND")),"YES",""))</f>
        <v/>
      </c>
      <c r="AC429" s="66">
        <f>IF($A429="","",TRIM(IF(AND($P429=0,$L429&lt;&gt;"Yes"),"T0-NoSmartcard ","")&amp;IF(AND($J429&lt;&gt;"",$J429&gt;365),"StalePwd ","")&amp;IF($K429="Yes","PwdNeverExpires ","")&amp;IF(AND($S429&lt;&gt;"",$S429&lt;&gt;"None"),"Delegation ","")&amp;IF(AND($Q429=1,$O429="None"),"StaleAdminCount ","")&amp;IF(AND($F429="Yes",$H429=""),"NeverLoggedOn ","")))</f>
        <v/>
      </c>
      <c r="AD429" s="60" t="n"/>
      <c r="AE429" s="61" t="n"/>
      <c r="AF429" s="60" t="n"/>
      <c r="AG429" s="62" t="n"/>
      <c r="AH429" s="62" t="n"/>
      <c r="AI429" s="62" t="n"/>
      <c r="AJ429" s="60" t="n"/>
      <c r="AK429" s="61" t="n"/>
      <c r="AL429" s="63">
        <f>IF($A429="","",IF(AH429="","Not Enrolled",IF(TODAY()&gt;AH429,"Review Overdue",IF(AH429-TODAY()&lt;=30,"Review Due Soon","Active"))))</f>
        <v/>
      </c>
      <c r="AM429" s="63">
        <f>IF($A429="","",IF(AI429="","NOT REVIEWED",IF(TODAY()-AI429&gt;90,"OVERDUE",IF(TODAY()-AI429&gt;76,"Due Soon","Current"))))</f>
        <v/>
      </c>
    </row>
    <row r="430" ht="15" customHeight="1" s="39">
      <c r="A430" s="60" t="n"/>
      <c r="B430" s="60" t="n"/>
      <c r="C430" s="61" t="n"/>
      <c r="D430" s="61" t="n"/>
      <c r="E430" s="60" t="n"/>
      <c r="F430" s="60" t="n"/>
      <c r="G430" s="62" t="n"/>
      <c r="H430" s="62" t="n"/>
      <c r="I430" s="62" t="n"/>
      <c r="J430" s="60" t="n"/>
      <c r="K430" s="60" t="n"/>
      <c r="L430" s="60" t="n"/>
      <c r="M430" s="61" t="n"/>
      <c r="N430" s="60" t="n"/>
      <c r="O430" s="60" t="n"/>
      <c r="P430" s="60" t="n"/>
      <c r="Q430" s="60" t="n"/>
      <c r="R430" s="60" t="n"/>
      <c r="S430" s="60" t="n"/>
      <c r="T430" s="60" t="n"/>
      <c r="U430" s="60" t="n"/>
      <c r="V430" s="60" t="n"/>
      <c r="W430" s="60" t="n"/>
      <c r="X430" s="60" t="n"/>
      <c r="Y430" s="60" t="n"/>
      <c r="Z430" s="61" t="n"/>
      <c r="AA430" s="63">
        <f>IF($H430="","",TODAY()-$H430)</f>
        <v/>
      </c>
      <c r="AB430" s="63">
        <f>IF($A430="","",IF(AND($F430="Yes",OR($U430="No",$U430="NOT FOUND")),"YES",""))</f>
        <v/>
      </c>
      <c r="AC430" s="66">
        <f>IF($A430="","",TRIM(IF(AND($P430=0,$L430&lt;&gt;"Yes"),"T0-NoSmartcard ","")&amp;IF(AND($J430&lt;&gt;"",$J430&gt;365),"StalePwd ","")&amp;IF($K430="Yes","PwdNeverExpires ","")&amp;IF(AND($S430&lt;&gt;"",$S430&lt;&gt;"None"),"Delegation ","")&amp;IF(AND($Q430=1,$O430="None"),"StaleAdminCount ","")&amp;IF(AND($F430="Yes",$H430=""),"NeverLoggedOn ","")))</f>
        <v/>
      </c>
      <c r="AD430" s="60" t="n"/>
      <c r="AE430" s="61" t="n"/>
      <c r="AF430" s="60" t="n"/>
      <c r="AG430" s="62" t="n"/>
      <c r="AH430" s="62" t="n"/>
      <c r="AI430" s="62" t="n"/>
      <c r="AJ430" s="60" t="n"/>
      <c r="AK430" s="61" t="n"/>
      <c r="AL430" s="63">
        <f>IF($A430="","",IF(AH430="","Not Enrolled",IF(TODAY()&gt;AH430,"Review Overdue",IF(AH430-TODAY()&lt;=30,"Review Due Soon","Active"))))</f>
        <v/>
      </c>
      <c r="AM430" s="63">
        <f>IF($A430="","",IF(AI430="","NOT REVIEWED",IF(TODAY()-AI430&gt;90,"OVERDUE",IF(TODAY()-AI430&gt;76,"Due Soon","Current"))))</f>
        <v/>
      </c>
    </row>
    <row r="431" ht="15" customHeight="1" s="39">
      <c r="A431" s="60" t="n"/>
      <c r="B431" s="60" t="n"/>
      <c r="C431" s="61" t="n"/>
      <c r="D431" s="61" t="n"/>
      <c r="E431" s="60" t="n"/>
      <c r="F431" s="60" t="n"/>
      <c r="G431" s="62" t="n"/>
      <c r="H431" s="62" t="n"/>
      <c r="I431" s="62" t="n"/>
      <c r="J431" s="60" t="n"/>
      <c r="K431" s="60" t="n"/>
      <c r="L431" s="60" t="n"/>
      <c r="M431" s="61" t="n"/>
      <c r="N431" s="60" t="n"/>
      <c r="O431" s="60" t="n"/>
      <c r="P431" s="60" t="n"/>
      <c r="Q431" s="60" t="n"/>
      <c r="R431" s="60" t="n"/>
      <c r="S431" s="60" t="n"/>
      <c r="T431" s="60" t="n"/>
      <c r="U431" s="60" t="n"/>
      <c r="V431" s="60" t="n"/>
      <c r="W431" s="60" t="n"/>
      <c r="X431" s="60" t="n"/>
      <c r="Y431" s="60" t="n"/>
      <c r="Z431" s="61" t="n"/>
      <c r="AA431" s="63">
        <f>IF($H431="","",TODAY()-$H431)</f>
        <v/>
      </c>
      <c r="AB431" s="63">
        <f>IF($A431="","",IF(AND($F431="Yes",OR($U431="No",$U431="NOT FOUND")),"YES",""))</f>
        <v/>
      </c>
      <c r="AC431" s="66">
        <f>IF($A431="","",TRIM(IF(AND($P431=0,$L431&lt;&gt;"Yes"),"T0-NoSmartcard ","")&amp;IF(AND($J431&lt;&gt;"",$J431&gt;365),"StalePwd ","")&amp;IF($K431="Yes","PwdNeverExpires ","")&amp;IF(AND($S431&lt;&gt;"",$S431&lt;&gt;"None"),"Delegation ","")&amp;IF(AND($Q431=1,$O431="None"),"StaleAdminCount ","")&amp;IF(AND($F431="Yes",$H431=""),"NeverLoggedOn ","")))</f>
        <v/>
      </c>
      <c r="AD431" s="60" t="n"/>
      <c r="AE431" s="61" t="n"/>
      <c r="AF431" s="60" t="n"/>
      <c r="AG431" s="62" t="n"/>
      <c r="AH431" s="62" t="n"/>
      <c r="AI431" s="62" t="n"/>
      <c r="AJ431" s="60" t="n"/>
      <c r="AK431" s="61" t="n"/>
      <c r="AL431" s="63">
        <f>IF($A431="","",IF(AH431="","Not Enrolled",IF(TODAY()&gt;AH431,"Review Overdue",IF(AH431-TODAY()&lt;=30,"Review Due Soon","Active"))))</f>
        <v/>
      </c>
      <c r="AM431" s="63">
        <f>IF($A431="","",IF(AI431="","NOT REVIEWED",IF(TODAY()-AI431&gt;90,"OVERDUE",IF(TODAY()-AI431&gt;76,"Due Soon","Current"))))</f>
        <v/>
      </c>
    </row>
    <row r="432" ht="15" customHeight="1" s="39">
      <c r="A432" s="60" t="n"/>
      <c r="B432" s="60" t="n"/>
      <c r="C432" s="61" t="n"/>
      <c r="D432" s="61" t="n"/>
      <c r="E432" s="60" t="n"/>
      <c r="F432" s="60" t="n"/>
      <c r="G432" s="62" t="n"/>
      <c r="H432" s="62" t="n"/>
      <c r="I432" s="62" t="n"/>
      <c r="J432" s="60" t="n"/>
      <c r="K432" s="60" t="n"/>
      <c r="L432" s="60" t="n"/>
      <c r="M432" s="61" t="n"/>
      <c r="N432" s="60" t="n"/>
      <c r="O432" s="60" t="n"/>
      <c r="P432" s="60" t="n"/>
      <c r="Q432" s="60" t="n"/>
      <c r="R432" s="60" t="n"/>
      <c r="S432" s="60" t="n"/>
      <c r="T432" s="60" t="n"/>
      <c r="U432" s="60" t="n"/>
      <c r="V432" s="60" t="n"/>
      <c r="W432" s="60" t="n"/>
      <c r="X432" s="60" t="n"/>
      <c r="Y432" s="60" t="n"/>
      <c r="Z432" s="61" t="n"/>
      <c r="AA432" s="63">
        <f>IF($H432="","",TODAY()-$H432)</f>
        <v/>
      </c>
      <c r="AB432" s="63">
        <f>IF($A432="","",IF(AND($F432="Yes",OR($U432="No",$U432="NOT FOUND")),"YES",""))</f>
        <v/>
      </c>
      <c r="AC432" s="66">
        <f>IF($A432="","",TRIM(IF(AND($P432=0,$L432&lt;&gt;"Yes"),"T0-NoSmartcard ","")&amp;IF(AND($J432&lt;&gt;"",$J432&gt;365),"StalePwd ","")&amp;IF($K432="Yes","PwdNeverExpires ","")&amp;IF(AND($S432&lt;&gt;"",$S432&lt;&gt;"None"),"Delegation ","")&amp;IF(AND($Q432=1,$O432="None"),"StaleAdminCount ","")&amp;IF(AND($F432="Yes",$H432=""),"NeverLoggedOn ","")))</f>
        <v/>
      </c>
      <c r="AD432" s="60" t="n"/>
      <c r="AE432" s="61" t="n"/>
      <c r="AF432" s="60" t="n"/>
      <c r="AG432" s="62" t="n"/>
      <c r="AH432" s="62" t="n"/>
      <c r="AI432" s="62" t="n"/>
      <c r="AJ432" s="60" t="n"/>
      <c r="AK432" s="61" t="n"/>
      <c r="AL432" s="63">
        <f>IF($A432="","",IF(AH432="","Not Enrolled",IF(TODAY()&gt;AH432,"Review Overdue",IF(AH432-TODAY()&lt;=30,"Review Due Soon","Active"))))</f>
        <v/>
      </c>
      <c r="AM432" s="63">
        <f>IF($A432="","",IF(AI432="","NOT REVIEWED",IF(TODAY()-AI432&gt;90,"OVERDUE",IF(TODAY()-AI432&gt;76,"Due Soon","Current"))))</f>
        <v/>
      </c>
    </row>
    <row r="433" ht="15" customHeight="1" s="39">
      <c r="A433" s="60" t="n"/>
      <c r="B433" s="60" t="n"/>
      <c r="C433" s="61" t="n"/>
      <c r="D433" s="61" t="n"/>
      <c r="E433" s="60" t="n"/>
      <c r="F433" s="60" t="n"/>
      <c r="G433" s="62" t="n"/>
      <c r="H433" s="62" t="n"/>
      <c r="I433" s="62" t="n"/>
      <c r="J433" s="60" t="n"/>
      <c r="K433" s="60" t="n"/>
      <c r="L433" s="60" t="n"/>
      <c r="M433" s="61" t="n"/>
      <c r="N433" s="60" t="n"/>
      <c r="O433" s="60" t="n"/>
      <c r="P433" s="60" t="n"/>
      <c r="Q433" s="60" t="n"/>
      <c r="R433" s="60" t="n"/>
      <c r="S433" s="60" t="n"/>
      <c r="T433" s="60" t="n"/>
      <c r="U433" s="60" t="n"/>
      <c r="V433" s="60" t="n"/>
      <c r="W433" s="60" t="n"/>
      <c r="X433" s="60" t="n"/>
      <c r="Y433" s="60" t="n"/>
      <c r="Z433" s="61" t="n"/>
      <c r="AA433" s="63">
        <f>IF($H433="","",TODAY()-$H433)</f>
        <v/>
      </c>
      <c r="AB433" s="63">
        <f>IF($A433="","",IF(AND($F433="Yes",OR($U433="No",$U433="NOT FOUND")),"YES",""))</f>
        <v/>
      </c>
      <c r="AC433" s="66">
        <f>IF($A433="","",TRIM(IF(AND($P433=0,$L433&lt;&gt;"Yes"),"T0-NoSmartcard ","")&amp;IF(AND($J433&lt;&gt;"",$J433&gt;365),"StalePwd ","")&amp;IF($K433="Yes","PwdNeverExpires ","")&amp;IF(AND($S433&lt;&gt;"",$S433&lt;&gt;"None"),"Delegation ","")&amp;IF(AND($Q433=1,$O433="None"),"StaleAdminCount ","")&amp;IF(AND($F433="Yes",$H433=""),"NeverLoggedOn ","")))</f>
        <v/>
      </c>
      <c r="AD433" s="60" t="n"/>
      <c r="AE433" s="61" t="n"/>
      <c r="AF433" s="60" t="n"/>
      <c r="AG433" s="62" t="n"/>
      <c r="AH433" s="62" t="n"/>
      <c r="AI433" s="62" t="n"/>
      <c r="AJ433" s="60" t="n"/>
      <c r="AK433" s="61" t="n"/>
      <c r="AL433" s="63">
        <f>IF($A433="","",IF(AH433="","Not Enrolled",IF(TODAY()&gt;AH433,"Review Overdue",IF(AH433-TODAY()&lt;=30,"Review Due Soon","Active"))))</f>
        <v/>
      </c>
      <c r="AM433" s="63">
        <f>IF($A433="","",IF(AI433="","NOT REVIEWED",IF(TODAY()-AI433&gt;90,"OVERDUE",IF(TODAY()-AI433&gt;76,"Due Soon","Current"))))</f>
        <v/>
      </c>
    </row>
    <row r="434" ht="15" customHeight="1" s="39">
      <c r="A434" s="60" t="n"/>
      <c r="B434" s="60" t="n"/>
      <c r="C434" s="61" t="n"/>
      <c r="D434" s="61" t="n"/>
      <c r="E434" s="60" t="n"/>
      <c r="F434" s="60" t="n"/>
      <c r="G434" s="62" t="n"/>
      <c r="H434" s="62" t="n"/>
      <c r="I434" s="62" t="n"/>
      <c r="J434" s="60" t="n"/>
      <c r="K434" s="60" t="n"/>
      <c r="L434" s="60" t="n"/>
      <c r="M434" s="61" t="n"/>
      <c r="N434" s="60" t="n"/>
      <c r="O434" s="60" t="n"/>
      <c r="P434" s="60" t="n"/>
      <c r="Q434" s="60" t="n"/>
      <c r="R434" s="60" t="n"/>
      <c r="S434" s="60" t="n"/>
      <c r="T434" s="60" t="n"/>
      <c r="U434" s="60" t="n"/>
      <c r="V434" s="60" t="n"/>
      <c r="W434" s="60" t="n"/>
      <c r="X434" s="60" t="n"/>
      <c r="Y434" s="60" t="n"/>
      <c r="Z434" s="61" t="n"/>
      <c r="AA434" s="63">
        <f>IF($H434="","",TODAY()-$H434)</f>
        <v/>
      </c>
      <c r="AB434" s="63">
        <f>IF($A434="","",IF(AND($F434="Yes",OR($U434="No",$U434="NOT FOUND")),"YES",""))</f>
        <v/>
      </c>
      <c r="AC434" s="66">
        <f>IF($A434="","",TRIM(IF(AND($P434=0,$L434&lt;&gt;"Yes"),"T0-NoSmartcard ","")&amp;IF(AND($J434&lt;&gt;"",$J434&gt;365),"StalePwd ","")&amp;IF($K434="Yes","PwdNeverExpires ","")&amp;IF(AND($S434&lt;&gt;"",$S434&lt;&gt;"None"),"Delegation ","")&amp;IF(AND($Q434=1,$O434="None"),"StaleAdminCount ","")&amp;IF(AND($F434="Yes",$H434=""),"NeverLoggedOn ","")))</f>
        <v/>
      </c>
      <c r="AD434" s="60" t="n"/>
      <c r="AE434" s="61" t="n"/>
      <c r="AF434" s="60" t="n"/>
      <c r="AG434" s="62" t="n"/>
      <c r="AH434" s="62" t="n"/>
      <c r="AI434" s="62" t="n"/>
      <c r="AJ434" s="60" t="n"/>
      <c r="AK434" s="61" t="n"/>
      <c r="AL434" s="63">
        <f>IF($A434="","",IF(AH434="","Not Enrolled",IF(TODAY()&gt;AH434,"Review Overdue",IF(AH434-TODAY()&lt;=30,"Review Due Soon","Active"))))</f>
        <v/>
      </c>
      <c r="AM434" s="63">
        <f>IF($A434="","",IF(AI434="","NOT REVIEWED",IF(TODAY()-AI434&gt;90,"OVERDUE",IF(TODAY()-AI434&gt;76,"Due Soon","Current"))))</f>
        <v/>
      </c>
    </row>
    <row r="435" ht="15" customHeight="1" s="39">
      <c r="A435" s="60" t="n"/>
      <c r="B435" s="60" t="n"/>
      <c r="C435" s="61" t="n"/>
      <c r="D435" s="61" t="n"/>
      <c r="E435" s="60" t="n"/>
      <c r="F435" s="60" t="n"/>
      <c r="G435" s="62" t="n"/>
      <c r="H435" s="62" t="n"/>
      <c r="I435" s="62" t="n"/>
      <c r="J435" s="60" t="n"/>
      <c r="K435" s="60" t="n"/>
      <c r="L435" s="60" t="n"/>
      <c r="M435" s="61" t="n"/>
      <c r="N435" s="60" t="n"/>
      <c r="O435" s="60" t="n"/>
      <c r="P435" s="60" t="n"/>
      <c r="Q435" s="60" t="n"/>
      <c r="R435" s="60" t="n"/>
      <c r="S435" s="60" t="n"/>
      <c r="T435" s="60" t="n"/>
      <c r="U435" s="60" t="n"/>
      <c r="V435" s="60" t="n"/>
      <c r="W435" s="60" t="n"/>
      <c r="X435" s="60" t="n"/>
      <c r="Y435" s="60" t="n"/>
      <c r="Z435" s="61" t="n"/>
      <c r="AA435" s="63">
        <f>IF($H435="","",TODAY()-$H435)</f>
        <v/>
      </c>
      <c r="AB435" s="63">
        <f>IF($A435="","",IF(AND($F435="Yes",OR($U435="No",$U435="NOT FOUND")),"YES",""))</f>
        <v/>
      </c>
      <c r="AC435" s="66">
        <f>IF($A435="","",TRIM(IF(AND($P435=0,$L435&lt;&gt;"Yes"),"T0-NoSmartcard ","")&amp;IF(AND($J435&lt;&gt;"",$J435&gt;365),"StalePwd ","")&amp;IF($K435="Yes","PwdNeverExpires ","")&amp;IF(AND($S435&lt;&gt;"",$S435&lt;&gt;"None"),"Delegation ","")&amp;IF(AND($Q435=1,$O435="None"),"StaleAdminCount ","")&amp;IF(AND($F435="Yes",$H435=""),"NeverLoggedOn ","")))</f>
        <v/>
      </c>
      <c r="AD435" s="60" t="n"/>
      <c r="AE435" s="61" t="n"/>
      <c r="AF435" s="60" t="n"/>
      <c r="AG435" s="62" t="n"/>
      <c r="AH435" s="62" t="n"/>
      <c r="AI435" s="62" t="n"/>
      <c r="AJ435" s="60" t="n"/>
      <c r="AK435" s="61" t="n"/>
      <c r="AL435" s="63">
        <f>IF($A435="","",IF(AH435="","Not Enrolled",IF(TODAY()&gt;AH435,"Review Overdue",IF(AH435-TODAY()&lt;=30,"Review Due Soon","Active"))))</f>
        <v/>
      </c>
      <c r="AM435" s="63">
        <f>IF($A435="","",IF(AI435="","NOT REVIEWED",IF(TODAY()-AI435&gt;90,"OVERDUE",IF(TODAY()-AI435&gt;76,"Due Soon","Current"))))</f>
        <v/>
      </c>
    </row>
    <row r="436" ht="15" customHeight="1" s="39">
      <c r="A436" s="60" t="n"/>
      <c r="B436" s="60" t="n"/>
      <c r="C436" s="61" t="n"/>
      <c r="D436" s="61" t="n"/>
      <c r="E436" s="60" t="n"/>
      <c r="F436" s="60" t="n"/>
      <c r="G436" s="62" t="n"/>
      <c r="H436" s="62" t="n"/>
      <c r="I436" s="62" t="n"/>
      <c r="J436" s="60" t="n"/>
      <c r="K436" s="60" t="n"/>
      <c r="L436" s="60" t="n"/>
      <c r="M436" s="61" t="n"/>
      <c r="N436" s="60" t="n"/>
      <c r="O436" s="60" t="n"/>
      <c r="P436" s="60" t="n"/>
      <c r="Q436" s="60" t="n"/>
      <c r="R436" s="60" t="n"/>
      <c r="S436" s="60" t="n"/>
      <c r="T436" s="60" t="n"/>
      <c r="U436" s="60" t="n"/>
      <c r="V436" s="60" t="n"/>
      <c r="W436" s="60" t="n"/>
      <c r="X436" s="60" t="n"/>
      <c r="Y436" s="60" t="n"/>
      <c r="Z436" s="61" t="n"/>
      <c r="AA436" s="63">
        <f>IF($H436="","",TODAY()-$H436)</f>
        <v/>
      </c>
      <c r="AB436" s="63">
        <f>IF($A436="","",IF(AND($F436="Yes",OR($U436="No",$U436="NOT FOUND")),"YES",""))</f>
        <v/>
      </c>
      <c r="AC436" s="66">
        <f>IF($A436="","",TRIM(IF(AND($P436=0,$L436&lt;&gt;"Yes"),"T0-NoSmartcard ","")&amp;IF(AND($J436&lt;&gt;"",$J436&gt;365),"StalePwd ","")&amp;IF($K436="Yes","PwdNeverExpires ","")&amp;IF(AND($S436&lt;&gt;"",$S436&lt;&gt;"None"),"Delegation ","")&amp;IF(AND($Q436=1,$O436="None"),"StaleAdminCount ","")&amp;IF(AND($F436="Yes",$H436=""),"NeverLoggedOn ","")))</f>
        <v/>
      </c>
      <c r="AD436" s="60" t="n"/>
      <c r="AE436" s="61" t="n"/>
      <c r="AF436" s="60" t="n"/>
      <c r="AG436" s="62" t="n"/>
      <c r="AH436" s="62" t="n"/>
      <c r="AI436" s="62" t="n"/>
      <c r="AJ436" s="60" t="n"/>
      <c r="AK436" s="61" t="n"/>
      <c r="AL436" s="63">
        <f>IF($A436="","",IF(AH436="","Not Enrolled",IF(TODAY()&gt;AH436,"Review Overdue",IF(AH436-TODAY()&lt;=30,"Review Due Soon","Active"))))</f>
        <v/>
      </c>
      <c r="AM436" s="63">
        <f>IF($A436="","",IF(AI436="","NOT REVIEWED",IF(TODAY()-AI436&gt;90,"OVERDUE",IF(TODAY()-AI436&gt;76,"Due Soon","Current"))))</f>
        <v/>
      </c>
    </row>
    <row r="437" ht="15" customHeight="1" s="39">
      <c r="A437" s="60" t="n"/>
      <c r="B437" s="60" t="n"/>
      <c r="C437" s="61" t="n"/>
      <c r="D437" s="61" t="n"/>
      <c r="E437" s="60" t="n"/>
      <c r="F437" s="60" t="n"/>
      <c r="G437" s="62" t="n"/>
      <c r="H437" s="62" t="n"/>
      <c r="I437" s="62" t="n"/>
      <c r="J437" s="60" t="n"/>
      <c r="K437" s="60" t="n"/>
      <c r="L437" s="60" t="n"/>
      <c r="M437" s="61" t="n"/>
      <c r="N437" s="60" t="n"/>
      <c r="O437" s="60" t="n"/>
      <c r="P437" s="60" t="n"/>
      <c r="Q437" s="60" t="n"/>
      <c r="R437" s="60" t="n"/>
      <c r="S437" s="60" t="n"/>
      <c r="T437" s="60" t="n"/>
      <c r="U437" s="60" t="n"/>
      <c r="V437" s="60" t="n"/>
      <c r="W437" s="60" t="n"/>
      <c r="X437" s="60" t="n"/>
      <c r="Y437" s="60" t="n"/>
      <c r="Z437" s="61" t="n"/>
      <c r="AA437" s="63">
        <f>IF($H437="","",TODAY()-$H437)</f>
        <v/>
      </c>
      <c r="AB437" s="63">
        <f>IF($A437="","",IF(AND($F437="Yes",OR($U437="No",$U437="NOT FOUND")),"YES",""))</f>
        <v/>
      </c>
      <c r="AC437" s="66">
        <f>IF($A437="","",TRIM(IF(AND($P437=0,$L437&lt;&gt;"Yes"),"T0-NoSmartcard ","")&amp;IF(AND($J437&lt;&gt;"",$J437&gt;365),"StalePwd ","")&amp;IF($K437="Yes","PwdNeverExpires ","")&amp;IF(AND($S437&lt;&gt;"",$S437&lt;&gt;"None"),"Delegation ","")&amp;IF(AND($Q437=1,$O437="None"),"StaleAdminCount ","")&amp;IF(AND($F437="Yes",$H437=""),"NeverLoggedOn ","")))</f>
        <v/>
      </c>
      <c r="AD437" s="60" t="n"/>
      <c r="AE437" s="61" t="n"/>
      <c r="AF437" s="60" t="n"/>
      <c r="AG437" s="62" t="n"/>
      <c r="AH437" s="62" t="n"/>
      <c r="AI437" s="62" t="n"/>
      <c r="AJ437" s="60" t="n"/>
      <c r="AK437" s="61" t="n"/>
      <c r="AL437" s="63">
        <f>IF($A437="","",IF(AH437="","Not Enrolled",IF(TODAY()&gt;AH437,"Review Overdue",IF(AH437-TODAY()&lt;=30,"Review Due Soon","Active"))))</f>
        <v/>
      </c>
      <c r="AM437" s="63">
        <f>IF($A437="","",IF(AI437="","NOT REVIEWED",IF(TODAY()-AI437&gt;90,"OVERDUE",IF(TODAY()-AI437&gt;76,"Due Soon","Current"))))</f>
        <v/>
      </c>
    </row>
    <row r="438" ht="15" customHeight="1" s="39">
      <c r="A438" s="60" t="n"/>
      <c r="B438" s="60" t="n"/>
      <c r="C438" s="61" t="n"/>
      <c r="D438" s="61" t="n"/>
      <c r="E438" s="60" t="n"/>
      <c r="F438" s="60" t="n"/>
      <c r="G438" s="62" t="n"/>
      <c r="H438" s="62" t="n"/>
      <c r="I438" s="62" t="n"/>
      <c r="J438" s="60" t="n"/>
      <c r="K438" s="60" t="n"/>
      <c r="L438" s="60" t="n"/>
      <c r="M438" s="61" t="n"/>
      <c r="N438" s="60" t="n"/>
      <c r="O438" s="60" t="n"/>
      <c r="P438" s="60" t="n"/>
      <c r="Q438" s="60" t="n"/>
      <c r="R438" s="60" t="n"/>
      <c r="S438" s="60" t="n"/>
      <c r="T438" s="60" t="n"/>
      <c r="U438" s="60" t="n"/>
      <c r="V438" s="60" t="n"/>
      <c r="W438" s="60" t="n"/>
      <c r="X438" s="60" t="n"/>
      <c r="Y438" s="60" t="n"/>
      <c r="Z438" s="61" t="n"/>
      <c r="AA438" s="63">
        <f>IF($H438="","",TODAY()-$H438)</f>
        <v/>
      </c>
      <c r="AB438" s="63">
        <f>IF($A438="","",IF(AND($F438="Yes",OR($U438="No",$U438="NOT FOUND")),"YES",""))</f>
        <v/>
      </c>
      <c r="AC438" s="66">
        <f>IF($A438="","",TRIM(IF(AND($P438=0,$L438&lt;&gt;"Yes"),"T0-NoSmartcard ","")&amp;IF(AND($J438&lt;&gt;"",$J438&gt;365),"StalePwd ","")&amp;IF($K438="Yes","PwdNeverExpires ","")&amp;IF(AND($S438&lt;&gt;"",$S438&lt;&gt;"None"),"Delegation ","")&amp;IF(AND($Q438=1,$O438="None"),"StaleAdminCount ","")&amp;IF(AND($F438="Yes",$H438=""),"NeverLoggedOn ","")))</f>
        <v/>
      </c>
      <c r="AD438" s="60" t="n"/>
      <c r="AE438" s="61" t="n"/>
      <c r="AF438" s="60" t="n"/>
      <c r="AG438" s="62" t="n"/>
      <c r="AH438" s="62" t="n"/>
      <c r="AI438" s="62" t="n"/>
      <c r="AJ438" s="60" t="n"/>
      <c r="AK438" s="61" t="n"/>
      <c r="AL438" s="63">
        <f>IF($A438="","",IF(AH438="","Not Enrolled",IF(TODAY()&gt;AH438,"Review Overdue",IF(AH438-TODAY()&lt;=30,"Review Due Soon","Active"))))</f>
        <v/>
      </c>
      <c r="AM438" s="63">
        <f>IF($A438="","",IF(AI438="","NOT REVIEWED",IF(TODAY()-AI438&gt;90,"OVERDUE",IF(TODAY()-AI438&gt;76,"Due Soon","Current"))))</f>
        <v/>
      </c>
    </row>
    <row r="439" ht="15" customHeight="1" s="39">
      <c r="A439" s="60" t="n"/>
      <c r="B439" s="60" t="n"/>
      <c r="C439" s="61" t="n"/>
      <c r="D439" s="61" t="n"/>
      <c r="E439" s="60" t="n"/>
      <c r="F439" s="60" t="n"/>
      <c r="G439" s="62" t="n"/>
      <c r="H439" s="62" t="n"/>
      <c r="I439" s="62" t="n"/>
      <c r="J439" s="60" t="n"/>
      <c r="K439" s="60" t="n"/>
      <c r="L439" s="60" t="n"/>
      <c r="M439" s="61" t="n"/>
      <c r="N439" s="60" t="n"/>
      <c r="O439" s="60" t="n"/>
      <c r="P439" s="60" t="n"/>
      <c r="Q439" s="60" t="n"/>
      <c r="R439" s="60" t="n"/>
      <c r="S439" s="60" t="n"/>
      <c r="T439" s="60" t="n"/>
      <c r="U439" s="60" t="n"/>
      <c r="V439" s="60" t="n"/>
      <c r="W439" s="60" t="n"/>
      <c r="X439" s="60" t="n"/>
      <c r="Y439" s="60" t="n"/>
      <c r="Z439" s="61" t="n"/>
      <c r="AA439" s="63">
        <f>IF($H439="","",TODAY()-$H439)</f>
        <v/>
      </c>
      <c r="AB439" s="63">
        <f>IF($A439="","",IF(AND($F439="Yes",OR($U439="No",$U439="NOT FOUND")),"YES",""))</f>
        <v/>
      </c>
      <c r="AC439" s="66">
        <f>IF($A439="","",TRIM(IF(AND($P439=0,$L439&lt;&gt;"Yes"),"T0-NoSmartcard ","")&amp;IF(AND($J439&lt;&gt;"",$J439&gt;365),"StalePwd ","")&amp;IF($K439="Yes","PwdNeverExpires ","")&amp;IF(AND($S439&lt;&gt;"",$S439&lt;&gt;"None"),"Delegation ","")&amp;IF(AND($Q439=1,$O439="None"),"StaleAdminCount ","")&amp;IF(AND($F439="Yes",$H439=""),"NeverLoggedOn ","")))</f>
        <v/>
      </c>
      <c r="AD439" s="60" t="n"/>
      <c r="AE439" s="61" t="n"/>
      <c r="AF439" s="60" t="n"/>
      <c r="AG439" s="62" t="n"/>
      <c r="AH439" s="62" t="n"/>
      <c r="AI439" s="62" t="n"/>
      <c r="AJ439" s="60" t="n"/>
      <c r="AK439" s="61" t="n"/>
      <c r="AL439" s="63">
        <f>IF($A439="","",IF(AH439="","Not Enrolled",IF(TODAY()&gt;AH439,"Review Overdue",IF(AH439-TODAY()&lt;=30,"Review Due Soon","Active"))))</f>
        <v/>
      </c>
      <c r="AM439" s="63">
        <f>IF($A439="","",IF(AI439="","NOT REVIEWED",IF(TODAY()-AI439&gt;90,"OVERDUE",IF(TODAY()-AI439&gt;76,"Due Soon","Current"))))</f>
        <v/>
      </c>
    </row>
    <row r="440" ht="15" customHeight="1" s="39">
      <c r="A440" s="60" t="n"/>
      <c r="B440" s="60" t="n"/>
      <c r="C440" s="61" t="n"/>
      <c r="D440" s="61" t="n"/>
      <c r="E440" s="60" t="n"/>
      <c r="F440" s="60" t="n"/>
      <c r="G440" s="62" t="n"/>
      <c r="H440" s="62" t="n"/>
      <c r="I440" s="62" t="n"/>
      <c r="J440" s="60" t="n"/>
      <c r="K440" s="60" t="n"/>
      <c r="L440" s="60" t="n"/>
      <c r="M440" s="61" t="n"/>
      <c r="N440" s="60" t="n"/>
      <c r="O440" s="60" t="n"/>
      <c r="P440" s="60" t="n"/>
      <c r="Q440" s="60" t="n"/>
      <c r="R440" s="60" t="n"/>
      <c r="S440" s="60" t="n"/>
      <c r="T440" s="60" t="n"/>
      <c r="U440" s="60" t="n"/>
      <c r="V440" s="60" t="n"/>
      <c r="W440" s="60" t="n"/>
      <c r="X440" s="60" t="n"/>
      <c r="Y440" s="60" t="n"/>
      <c r="Z440" s="61" t="n"/>
      <c r="AA440" s="63">
        <f>IF($H440="","",TODAY()-$H440)</f>
        <v/>
      </c>
      <c r="AB440" s="63">
        <f>IF($A440="","",IF(AND($F440="Yes",OR($U440="No",$U440="NOT FOUND")),"YES",""))</f>
        <v/>
      </c>
      <c r="AC440" s="66">
        <f>IF($A440="","",TRIM(IF(AND($P440=0,$L440&lt;&gt;"Yes"),"T0-NoSmartcard ","")&amp;IF(AND($J440&lt;&gt;"",$J440&gt;365),"StalePwd ","")&amp;IF($K440="Yes","PwdNeverExpires ","")&amp;IF(AND($S440&lt;&gt;"",$S440&lt;&gt;"None"),"Delegation ","")&amp;IF(AND($Q440=1,$O440="None"),"StaleAdminCount ","")&amp;IF(AND($F440="Yes",$H440=""),"NeverLoggedOn ","")))</f>
        <v/>
      </c>
      <c r="AD440" s="60" t="n"/>
      <c r="AE440" s="61" t="n"/>
      <c r="AF440" s="60" t="n"/>
      <c r="AG440" s="62" t="n"/>
      <c r="AH440" s="62" t="n"/>
      <c r="AI440" s="62" t="n"/>
      <c r="AJ440" s="60" t="n"/>
      <c r="AK440" s="61" t="n"/>
      <c r="AL440" s="63">
        <f>IF($A440="","",IF(AH440="","Not Enrolled",IF(TODAY()&gt;AH440,"Review Overdue",IF(AH440-TODAY()&lt;=30,"Review Due Soon","Active"))))</f>
        <v/>
      </c>
      <c r="AM440" s="63">
        <f>IF($A440="","",IF(AI440="","NOT REVIEWED",IF(TODAY()-AI440&gt;90,"OVERDUE",IF(TODAY()-AI440&gt;76,"Due Soon","Current"))))</f>
        <v/>
      </c>
    </row>
    <row r="441" ht="15" customHeight="1" s="39">
      <c r="A441" s="60" t="n"/>
      <c r="B441" s="60" t="n"/>
      <c r="C441" s="61" t="n"/>
      <c r="D441" s="61" t="n"/>
      <c r="E441" s="60" t="n"/>
      <c r="F441" s="60" t="n"/>
      <c r="G441" s="62" t="n"/>
      <c r="H441" s="62" t="n"/>
      <c r="I441" s="62" t="n"/>
      <c r="J441" s="60" t="n"/>
      <c r="K441" s="60" t="n"/>
      <c r="L441" s="60" t="n"/>
      <c r="M441" s="61" t="n"/>
      <c r="N441" s="60" t="n"/>
      <c r="O441" s="60" t="n"/>
      <c r="P441" s="60" t="n"/>
      <c r="Q441" s="60" t="n"/>
      <c r="R441" s="60" t="n"/>
      <c r="S441" s="60" t="n"/>
      <c r="T441" s="60" t="n"/>
      <c r="U441" s="60" t="n"/>
      <c r="V441" s="60" t="n"/>
      <c r="W441" s="60" t="n"/>
      <c r="X441" s="60" t="n"/>
      <c r="Y441" s="60" t="n"/>
      <c r="Z441" s="61" t="n"/>
      <c r="AA441" s="63">
        <f>IF($H441="","",TODAY()-$H441)</f>
        <v/>
      </c>
      <c r="AB441" s="63">
        <f>IF($A441="","",IF(AND($F441="Yes",OR($U441="No",$U441="NOT FOUND")),"YES",""))</f>
        <v/>
      </c>
      <c r="AC441" s="66">
        <f>IF($A441="","",TRIM(IF(AND($P441=0,$L441&lt;&gt;"Yes"),"T0-NoSmartcard ","")&amp;IF(AND($J441&lt;&gt;"",$J441&gt;365),"StalePwd ","")&amp;IF($K441="Yes","PwdNeverExpires ","")&amp;IF(AND($S441&lt;&gt;"",$S441&lt;&gt;"None"),"Delegation ","")&amp;IF(AND($Q441=1,$O441="None"),"StaleAdminCount ","")&amp;IF(AND($F441="Yes",$H441=""),"NeverLoggedOn ","")))</f>
        <v/>
      </c>
      <c r="AD441" s="60" t="n"/>
      <c r="AE441" s="61" t="n"/>
      <c r="AF441" s="60" t="n"/>
      <c r="AG441" s="62" t="n"/>
      <c r="AH441" s="62" t="n"/>
      <c r="AI441" s="62" t="n"/>
      <c r="AJ441" s="60" t="n"/>
      <c r="AK441" s="61" t="n"/>
      <c r="AL441" s="63">
        <f>IF($A441="","",IF(AH441="","Not Enrolled",IF(TODAY()&gt;AH441,"Review Overdue",IF(AH441-TODAY()&lt;=30,"Review Due Soon","Active"))))</f>
        <v/>
      </c>
      <c r="AM441" s="63">
        <f>IF($A441="","",IF(AI441="","NOT REVIEWED",IF(TODAY()-AI441&gt;90,"OVERDUE",IF(TODAY()-AI441&gt;76,"Due Soon","Current"))))</f>
        <v/>
      </c>
    </row>
    <row r="442" ht="15" customHeight="1" s="39">
      <c r="A442" s="60" t="n"/>
      <c r="B442" s="60" t="n"/>
      <c r="C442" s="61" t="n"/>
      <c r="D442" s="61" t="n"/>
      <c r="E442" s="60" t="n"/>
      <c r="F442" s="60" t="n"/>
      <c r="G442" s="62" t="n"/>
      <c r="H442" s="62" t="n"/>
      <c r="I442" s="62" t="n"/>
      <c r="J442" s="60" t="n"/>
      <c r="K442" s="60" t="n"/>
      <c r="L442" s="60" t="n"/>
      <c r="M442" s="61" t="n"/>
      <c r="N442" s="60" t="n"/>
      <c r="O442" s="60" t="n"/>
      <c r="P442" s="60" t="n"/>
      <c r="Q442" s="60" t="n"/>
      <c r="R442" s="60" t="n"/>
      <c r="S442" s="60" t="n"/>
      <c r="T442" s="60" t="n"/>
      <c r="U442" s="60" t="n"/>
      <c r="V442" s="60" t="n"/>
      <c r="W442" s="60" t="n"/>
      <c r="X442" s="60" t="n"/>
      <c r="Y442" s="60" t="n"/>
      <c r="Z442" s="61" t="n"/>
      <c r="AA442" s="63">
        <f>IF($H442="","",TODAY()-$H442)</f>
        <v/>
      </c>
      <c r="AB442" s="63">
        <f>IF($A442="","",IF(AND($F442="Yes",OR($U442="No",$U442="NOT FOUND")),"YES",""))</f>
        <v/>
      </c>
      <c r="AC442" s="66">
        <f>IF($A442="","",TRIM(IF(AND($P442=0,$L442&lt;&gt;"Yes"),"T0-NoSmartcard ","")&amp;IF(AND($J442&lt;&gt;"",$J442&gt;365),"StalePwd ","")&amp;IF($K442="Yes","PwdNeverExpires ","")&amp;IF(AND($S442&lt;&gt;"",$S442&lt;&gt;"None"),"Delegation ","")&amp;IF(AND($Q442=1,$O442="None"),"StaleAdminCount ","")&amp;IF(AND($F442="Yes",$H442=""),"NeverLoggedOn ","")))</f>
        <v/>
      </c>
      <c r="AD442" s="60" t="n"/>
      <c r="AE442" s="61" t="n"/>
      <c r="AF442" s="60" t="n"/>
      <c r="AG442" s="62" t="n"/>
      <c r="AH442" s="62" t="n"/>
      <c r="AI442" s="62" t="n"/>
      <c r="AJ442" s="60" t="n"/>
      <c r="AK442" s="61" t="n"/>
      <c r="AL442" s="63">
        <f>IF($A442="","",IF(AH442="","Not Enrolled",IF(TODAY()&gt;AH442,"Review Overdue",IF(AH442-TODAY()&lt;=30,"Review Due Soon","Active"))))</f>
        <v/>
      </c>
      <c r="AM442" s="63">
        <f>IF($A442="","",IF(AI442="","NOT REVIEWED",IF(TODAY()-AI442&gt;90,"OVERDUE",IF(TODAY()-AI442&gt;76,"Due Soon","Current"))))</f>
        <v/>
      </c>
    </row>
    <row r="443" ht="15" customHeight="1" s="39">
      <c r="A443" s="60" t="n"/>
      <c r="B443" s="60" t="n"/>
      <c r="C443" s="61" t="n"/>
      <c r="D443" s="61" t="n"/>
      <c r="E443" s="60" t="n"/>
      <c r="F443" s="60" t="n"/>
      <c r="G443" s="62" t="n"/>
      <c r="H443" s="62" t="n"/>
      <c r="I443" s="62" t="n"/>
      <c r="J443" s="60" t="n"/>
      <c r="K443" s="60" t="n"/>
      <c r="L443" s="60" t="n"/>
      <c r="M443" s="61" t="n"/>
      <c r="N443" s="60" t="n"/>
      <c r="O443" s="60" t="n"/>
      <c r="P443" s="60" t="n"/>
      <c r="Q443" s="60" t="n"/>
      <c r="R443" s="60" t="n"/>
      <c r="S443" s="60" t="n"/>
      <c r="T443" s="60" t="n"/>
      <c r="U443" s="60" t="n"/>
      <c r="V443" s="60" t="n"/>
      <c r="W443" s="60" t="n"/>
      <c r="X443" s="60" t="n"/>
      <c r="Y443" s="60" t="n"/>
      <c r="Z443" s="61" t="n"/>
      <c r="AA443" s="63">
        <f>IF($H443="","",TODAY()-$H443)</f>
        <v/>
      </c>
      <c r="AB443" s="63">
        <f>IF($A443="","",IF(AND($F443="Yes",OR($U443="No",$U443="NOT FOUND")),"YES",""))</f>
        <v/>
      </c>
      <c r="AC443" s="66">
        <f>IF($A443="","",TRIM(IF(AND($P443=0,$L443&lt;&gt;"Yes"),"T0-NoSmartcard ","")&amp;IF(AND($J443&lt;&gt;"",$J443&gt;365),"StalePwd ","")&amp;IF($K443="Yes","PwdNeverExpires ","")&amp;IF(AND($S443&lt;&gt;"",$S443&lt;&gt;"None"),"Delegation ","")&amp;IF(AND($Q443=1,$O443="None"),"StaleAdminCount ","")&amp;IF(AND($F443="Yes",$H443=""),"NeverLoggedOn ","")))</f>
        <v/>
      </c>
      <c r="AD443" s="60" t="n"/>
      <c r="AE443" s="61" t="n"/>
      <c r="AF443" s="60" t="n"/>
      <c r="AG443" s="62" t="n"/>
      <c r="AH443" s="62" t="n"/>
      <c r="AI443" s="62" t="n"/>
      <c r="AJ443" s="60" t="n"/>
      <c r="AK443" s="61" t="n"/>
      <c r="AL443" s="63">
        <f>IF($A443="","",IF(AH443="","Not Enrolled",IF(TODAY()&gt;AH443,"Review Overdue",IF(AH443-TODAY()&lt;=30,"Review Due Soon","Active"))))</f>
        <v/>
      </c>
      <c r="AM443" s="63">
        <f>IF($A443="","",IF(AI443="","NOT REVIEWED",IF(TODAY()-AI443&gt;90,"OVERDUE",IF(TODAY()-AI443&gt;76,"Due Soon","Current"))))</f>
        <v/>
      </c>
    </row>
    <row r="444" ht="15" customHeight="1" s="39">
      <c r="A444" s="60" t="n"/>
      <c r="B444" s="60" t="n"/>
      <c r="C444" s="61" t="n"/>
      <c r="D444" s="61" t="n"/>
      <c r="E444" s="60" t="n"/>
      <c r="F444" s="60" t="n"/>
      <c r="G444" s="62" t="n"/>
      <c r="H444" s="62" t="n"/>
      <c r="I444" s="62" t="n"/>
      <c r="J444" s="60" t="n"/>
      <c r="K444" s="60" t="n"/>
      <c r="L444" s="60" t="n"/>
      <c r="M444" s="61" t="n"/>
      <c r="N444" s="60" t="n"/>
      <c r="O444" s="60" t="n"/>
      <c r="P444" s="60" t="n"/>
      <c r="Q444" s="60" t="n"/>
      <c r="R444" s="60" t="n"/>
      <c r="S444" s="60" t="n"/>
      <c r="T444" s="60" t="n"/>
      <c r="U444" s="60" t="n"/>
      <c r="V444" s="60" t="n"/>
      <c r="W444" s="60" t="n"/>
      <c r="X444" s="60" t="n"/>
      <c r="Y444" s="60" t="n"/>
      <c r="Z444" s="61" t="n"/>
      <c r="AA444" s="63">
        <f>IF($H444="","",TODAY()-$H444)</f>
        <v/>
      </c>
      <c r="AB444" s="63">
        <f>IF($A444="","",IF(AND($F444="Yes",OR($U444="No",$U444="NOT FOUND")),"YES",""))</f>
        <v/>
      </c>
      <c r="AC444" s="66">
        <f>IF($A444="","",TRIM(IF(AND($P444=0,$L444&lt;&gt;"Yes"),"T0-NoSmartcard ","")&amp;IF(AND($J444&lt;&gt;"",$J444&gt;365),"StalePwd ","")&amp;IF($K444="Yes","PwdNeverExpires ","")&amp;IF(AND($S444&lt;&gt;"",$S444&lt;&gt;"None"),"Delegation ","")&amp;IF(AND($Q444=1,$O444="None"),"StaleAdminCount ","")&amp;IF(AND($F444="Yes",$H444=""),"NeverLoggedOn ","")))</f>
        <v/>
      </c>
      <c r="AD444" s="60" t="n"/>
      <c r="AE444" s="61" t="n"/>
      <c r="AF444" s="60" t="n"/>
      <c r="AG444" s="62" t="n"/>
      <c r="AH444" s="62" t="n"/>
      <c r="AI444" s="62" t="n"/>
      <c r="AJ444" s="60" t="n"/>
      <c r="AK444" s="61" t="n"/>
      <c r="AL444" s="63">
        <f>IF($A444="","",IF(AH444="","Not Enrolled",IF(TODAY()&gt;AH444,"Review Overdue",IF(AH444-TODAY()&lt;=30,"Review Due Soon","Active"))))</f>
        <v/>
      </c>
      <c r="AM444" s="63">
        <f>IF($A444="","",IF(AI444="","NOT REVIEWED",IF(TODAY()-AI444&gt;90,"OVERDUE",IF(TODAY()-AI444&gt;76,"Due Soon","Current"))))</f>
        <v/>
      </c>
    </row>
    <row r="445" ht="15" customHeight="1" s="39">
      <c r="A445" s="60" t="n"/>
      <c r="B445" s="60" t="n"/>
      <c r="C445" s="61" t="n"/>
      <c r="D445" s="61" t="n"/>
      <c r="E445" s="60" t="n"/>
      <c r="F445" s="60" t="n"/>
      <c r="G445" s="62" t="n"/>
      <c r="H445" s="62" t="n"/>
      <c r="I445" s="62" t="n"/>
      <c r="J445" s="60" t="n"/>
      <c r="K445" s="60" t="n"/>
      <c r="L445" s="60" t="n"/>
      <c r="M445" s="61" t="n"/>
      <c r="N445" s="60" t="n"/>
      <c r="O445" s="60" t="n"/>
      <c r="P445" s="60" t="n"/>
      <c r="Q445" s="60" t="n"/>
      <c r="R445" s="60" t="n"/>
      <c r="S445" s="60" t="n"/>
      <c r="T445" s="60" t="n"/>
      <c r="U445" s="60" t="n"/>
      <c r="V445" s="60" t="n"/>
      <c r="W445" s="60" t="n"/>
      <c r="X445" s="60" t="n"/>
      <c r="Y445" s="60" t="n"/>
      <c r="Z445" s="61" t="n"/>
      <c r="AA445" s="63">
        <f>IF($H445="","",TODAY()-$H445)</f>
        <v/>
      </c>
      <c r="AB445" s="63">
        <f>IF($A445="","",IF(AND($F445="Yes",OR($U445="No",$U445="NOT FOUND")),"YES",""))</f>
        <v/>
      </c>
      <c r="AC445" s="66">
        <f>IF($A445="","",TRIM(IF(AND($P445=0,$L445&lt;&gt;"Yes"),"T0-NoSmartcard ","")&amp;IF(AND($J445&lt;&gt;"",$J445&gt;365),"StalePwd ","")&amp;IF($K445="Yes","PwdNeverExpires ","")&amp;IF(AND($S445&lt;&gt;"",$S445&lt;&gt;"None"),"Delegation ","")&amp;IF(AND($Q445=1,$O445="None"),"StaleAdminCount ","")&amp;IF(AND($F445="Yes",$H445=""),"NeverLoggedOn ","")))</f>
        <v/>
      </c>
      <c r="AD445" s="60" t="n"/>
      <c r="AE445" s="61" t="n"/>
      <c r="AF445" s="60" t="n"/>
      <c r="AG445" s="62" t="n"/>
      <c r="AH445" s="62" t="n"/>
      <c r="AI445" s="62" t="n"/>
      <c r="AJ445" s="60" t="n"/>
      <c r="AK445" s="61" t="n"/>
      <c r="AL445" s="63">
        <f>IF($A445="","",IF(AH445="","Not Enrolled",IF(TODAY()&gt;AH445,"Review Overdue",IF(AH445-TODAY()&lt;=30,"Review Due Soon","Active"))))</f>
        <v/>
      </c>
      <c r="AM445" s="63">
        <f>IF($A445="","",IF(AI445="","NOT REVIEWED",IF(TODAY()-AI445&gt;90,"OVERDUE",IF(TODAY()-AI445&gt;76,"Due Soon","Current"))))</f>
        <v/>
      </c>
    </row>
    <row r="446" ht="15" customHeight="1" s="39">
      <c r="A446" s="60" t="n"/>
      <c r="B446" s="60" t="n"/>
      <c r="C446" s="61" t="n"/>
      <c r="D446" s="61" t="n"/>
      <c r="E446" s="60" t="n"/>
      <c r="F446" s="60" t="n"/>
      <c r="G446" s="62" t="n"/>
      <c r="H446" s="62" t="n"/>
      <c r="I446" s="62" t="n"/>
      <c r="J446" s="60" t="n"/>
      <c r="K446" s="60" t="n"/>
      <c r="L446" s="60" t="n"/>
      <c r="M446" s="61" t="n"/>
      <c r="N446" s="60" t="n"/>
      <c r="O446" s="60" t="n"/>
      <c r="P446" s="60" t="n"/>
      <c r="Q446" s="60" t="n"/>
      <c r="R446" s="60" t="n"/>
      <c r="S446" s="60" t="n"/>
      <c r="T446" s="60" t="n"/>
      <c r="U446" s="60" t="n"/>
      <c r="V446" s="60" t="n"/>
      <c r="W446" s="60" t="n"/>
      <c r="X446" s="60" t="n"/>
      <c r="Y446" s="60" t="n"/>
      <c r="Z446" s="61" t="n"/>
      <c r="AA446" s="63">
        <f>IF($H446="","",TODAY()-$H446)</f>
        <v/>
      </c>
      <c r="AB446" s="63">
        <f>IF($A446="","",IF(AND($F446="Yes",OR($U446="No",$U446="NOT FOUND")),"YES",""))</f>
        <v/>
      </c>
      <c r="AC446" s="66">
        <f>IF($A446="","",TRIM(IF(AND($P446=0,$L446&lt;&gt;"Yes"),"T0-NoSmartcard ","")&amp;IF(AND($J446&lt;&gt;"",$J446&gt;365),"StalePwd ","")&amp;IF($K446="Yes","PwdNeverExpires ","")&amp;IF(AND($S446&lt;&gt;"",$S446&lt;&gt;"None"),"Delegation ","")&amp;IF(AND($Q446=1,$O446="None"),"StaleAdminCount ","")&amp;IF(AND($F446="Yes",$H446=""),"NeverLoggedOn ","")))</f>
        <v/>
      </c>
      <c r="AD446" s="60" t="n"/>
      <c r="AE446" s="61" t="n"/>
      <c r="AF446" s="60" t="n"/>
      <c r="AG446" s="62" t="n"/>
      <c r="AH446" s="62" t="n"/>
      <c r="AI446" s="62" t="n"/>
      <c r="AJ446" s="60" t="n"/>
      <c r="AK446" s="61" t="n"/>
      <c r="AL446" s="63">
        <f>IF($A446="","",IF(AH446="","Not Enrolled",IF(TODAY()&gt;AH446,"Review Overdue",IF(AH446-TODAY()&lt;=30,"Review Due Soon","Active"))))</f>
        <v/>
      </c>
      <c r="AM446" s="63">
        <f>IF($A446="","",IF(AI446="","NOT REVIEWED",IF(TODAY()-AI446&gt;90,"OVERDUE",IF(TODAY()-AI446&gt;76,"Due Soon","Current"))))</f>
        <v/>
      </c>
    </row>
    <row r="447" ht="15" customHeight="1" s="39">
      <c r="A447" s="60" t="n"/>
      <c r="B447" s="60" t="n"/>
      <c r="C447" s="61" t="n"/>
      <c r="D447" s="61" t="n"/>
      <c r="E447" s="60" t="n"/>
      <c r="F447" s="60" t="n"/>
      <c r="G447" s="62" t="n"/>
      <c r="H447" s="62" t="n"/>
      <c r="I447" s="62" t="n"/>
      <c r="J447" s="60" t="n"/>
      <c r="K447" s="60" t="n"/>
      <c r="L447" s="60" t="n"/>
      <c r="M447" s="61" t="n"/>
      <c r="N447" s="60" t="n"/>
      <c r="O447" s="60" t="n"/>
      <c r="P447" s="60" t="n"/>
      <c r="Q447" s="60" t="n"/>
      <c r="R447" s="60" t="n"/>
      <c r="S447" s="60" t="n"/>
      <c r="T447" s="60" t="n"/>
      <c r="U447" s="60" t="n"/>
      <c r="V447" s="60" t="n"/>
      <c r="W447" s="60" t="n"/>
      <c r="X447" s="60" t="n"/>
      <c r="Y447" s="60" t="n"/>
      <c r="Z447" s="61" t="n"/>
      <c r="AA447" s="63">
        <f>IF($H447="","",TODAY()-$H447)</f>
        <v/>
      </c>
      <c r="AB447" s="63">
        <f>IF($A447="","",IF(AND($F447="Yes",OR($U447="No",$U447="NOT FOUND")),"YES",""))</f>
        <v/>
      </c>
      <c r="AC447" s="66">
        <f>IF($A447="","",TRIM(IF(AND($P447=0,$L447&lt;&gt;"Yes"),"T0-NoSmartcard ","")&amp;IF(AND($J447&lt;&gt;"",$J447&gt;365),"StalePwd ","")&amp;IF($K447="Yes","PwdNeverExpires ","")&amp;IF(AND($S447&lt;&gt;"",$S447&lt;&gt;"None"),"Delegation ","")&amp;IF(AND($Q447=1,$O447="None"),"StaleAdminCount ","")&amp;IF(AND($F447="Yes",$H447=""),"NeverLoggedOn ","")))</f>
        <v/>
      </c>
      <c r="AD447" s="60" t="n"/>
      <c r="AE447" s="61" t="n"/>
      <c r="AF447" s="60" t="n"/>
      <c r="AG447" s="62" t="n"/>
      <c r="AH447" s="62" t="n"/>
      <c r="AI447" s="62" t="n"/>
      <c r="AJ447" s="60" t="n"/>
      <c r="AK447" s="61" t="n"/>
      <c r="AL447" s="63">
        <f>IF($A447="","",IF(AH447="","Not Enrolled",IF(TODAY()&gt;AH447,"Review Overdue",IF(AH447-TODAY()&lt;=30,"Review Due Soon","Active"))))</f>
        <v/>
      </c>
      <c r="AM447" s="63">
        <f>IF($A447="","",IF(AI447="","NOT REVIEWED",IF(TODAY()-AI447&gt;90,"OVERDUE",IF(TODAY()-AI447&gt;76,"Due Soon","Current"))))</f>
        <v/>
      </c>
    </row>
    <row r="448" ht="15" customHeight="1" s="39">
      <c r="A448" s="60" t="n"/>
      <c r="B448" s="60" t="n"/>
      <c r="C448" s="61" t="n"/>
      <c r="D448" s="61" t="n"/>
      <c r="E448" s="60" t="n"/>
      <c r="F448" s="60" t="n"/>
      <c r="G448" s="62" t="n"/>
      <c r="H448" s="62" t="n"/>
      <c r="I448" s="62" t="n"/>
      <c r="J448" s="60" t="n"/>
      <c r="K448" s="60" t="n"/>
      <c r="L448" s="60" t="n"/>
      <c r="M448" s="61" t="n"/>
      <c r="N448" s="60" t="n"/>
      <c r="O448" s="60" t="n"/>
      <c r="P448" s="60" t="n"/>
      <c r="Q448" s="60" t="n"/>
      <c r="R448" s="60" t="n"/>
      <c r="S448" s="60" t="n"/>
      <c r="T448" s="60" t="n"/>
      <c r="U448" s="60" t="n"/>
      <c r="V448" s="60" t="n"/>
      <c r="W448" s="60" t="n"/>
      <c r="X448" s="60" t="n"/>
      <c r="Y448" s="60" t="n"/>
      <c r="Z448" s="61" t="n"/>
      <c r="AA448" s="63">
        <f>IF($H448="","",TODAY()-$H448)</f>
        <v/>
      </c>
      <c r="AB448" s="63">
        <f>IF($A448="","",IF(AND($F448="Yes",OR($U448="No",$U448="NOT FOUND")),"YES",""))</f>
        <v/>
      </c>
      <c r="AC448" s="66">
        <f>IF($A448="","",TRIM(IF(AND($P448=0,$L448&lt;&gt;"Yes"),"T0-NoSmartcard ","")&amp;IF(AND($J448&lt;&gt;"",$J448&gt;365),"StalePwd ","")&amp;IF($K448="Yes","PwdNeverExpires ","")&amp;IF(AND($S448&lt;&gt;"",$S448&lt;&gt;"None"),"Delegation ","")&amp;IF(AND($Q448=1,$O448="None"),"StaleAdminCount ","")&amp;IF(AND($F448="Yes",$H448=""),"NeverLoggedOn ","")))</f>
        <v/>
      </c>
      <c r="AD448" s="60" t="n"/>
      <c r="AE448" s="61" t="n"/>
      <c r="AF448" s="60" t="n"/>
      <c r="AG448" s="62" t="n"/>
      <c r="AH448" s="62" t="n"/>
      <c r="AI448" s="62" t="n"/>
      <c r="AJ448" s="60" t="n"/>
      <c r="AK448" s="61" t="n"/>
      <c r="AL448" s="63">
        <f>IF($A448="","",IF(AH448="","Not Enrolled",IF(TODAY()&gt;AH448,"Review Overdue",IF(AH448-TODAY()&lt;=30,"Review Due Soon","Active"))))</f>
        <v/>
      </c>
      <c r="AM448" s="63">
        <f>IF($A448="","",IF(AI448="","NOT REVIEWED",IF(TODAY()-AI448&gt;90,"OVERDUE",IF(TODAY()-AI448&gt;76,"Due Soon","Current"))))</f>
        <v/>
      </c>
    </row>
    <row r="449" ht="15" customHeight="1" s="39">
      <c r="A449" s="60" t="n"/>
      <c r="B449" s="60" t="n"/>
      <c r="C449" s="61" t="n"/>
      <c r="D449" s="61" t="n"/>
      <c r="E449" s="60" t="n"/>
      <c r="F449" s="60" t="n"/>
      <c r="G449" s="62" t="n"/>
      <c r="H449" s="62" t="n"/>
      <c r="I449" s="62" t="n"/>
      <c r="J449" s="60" t="n"/>
      <c r="K449" s="60" t="n"/>
      <c r="L449" s="60" t="n"/>
      <c r="M449" s="61" t="n"/>
      <c r="N449" s="60" t="n"/>
      <c r="O449" s="60" t="n"/>
      <c r="P449" s="60" t="n"/>
      <c r="Q449" s="60" t="n"/>
      <c r="R449" s="60" t="n"/>
      <c r="S449" s="60" t="n"/>
      <c r="T449" s="60" t="n"/>
      <c r="U449" s="60" t="n"/>
      <c r="V449" s="60" t="n"/>
      <c r="W449" s="60" t="n"/>
      <c r="X449" s="60" t="n"/>
      <c r="Y449" s="60" t="n"/>
      <c r="Z449" s="61" t="n"/>
      <c r="AA449" s="63">
        <f>IF($H449="","",TODAY()-$H449)</f>
        <v/>
      </c>
      <c r="AB449" s="63">
        <f>IF($A449="","",IF(AND($F449="Yes",OR($U449="No",$U449="NOT FOUND")),"YES",""))</f>
        <v/>
      </c>
      <c r="AC449" s="66">
        <f>IF($A449="","",TRIM(IF(AND($P449=0,$L449&lt;&gt;"Yes"),"T0-NoSmartcard ","")&amp;IF(AND($J449&lt;&gt;"",$J449&gt;365),"StalePwd ","")&amp;IF($K449="Yes","PwdNeverExpires ","")&amp;IF(AND($S449&lt;&gt;"",$S449&lt;&gt;"None"),"Delegation ","")&amp;IF(AND($Q449=1,$O449="None"),"StaleAdminCount ","")&amp;IF(AND($F449="Yes",$H449=""),"NeverLoggedOn ","")))</f>
        <v/>
      </c>
      <c r="AD449" s="60" t="n"/>
      <c r="AE449" s="61" t="n"/>
      <c r="AF449" s="60" t="n"/>
      <c r="AG449" s="62" t="n"/>
      <c r="AH449" s="62" t="n"/>
      <c r="AI449" s="62" t="n"/>
      <c r="AJ449" s="60" t="n"/>
      <c r="AK449" s="61" t="n"/>
      <c r="AL449" s="63">
        <f>IF($A449="","",IF(AH449="","Not Enrolled",IF(TODAY()&gt;AH449,"Review Overdue",IF(AH449-TODAY()&lt;=30,"Review Due Soon","Active"))))</f>
        <v/>
      </c>
      <c r="AM449" s="63">
        <f>IF($A449="","",IF(AI449="","NOT REVIEWED",IF(TODAY()-AI449&gt;90,"OVERDUE",IF(TODAY()-AI449&gt;76,"Due Soon","Current"))))</f>
        <v/>
      </c>
    </row>
    <row r="450" ht="15" customHeight="1" s="39">
      <c r="A450" s="60" t="n"/>
      <c r="B450" s="60" t="n"/>
      <c r="C450" s="61" t="n"/>
      <c r="D450" s="61" t="n"/>
      <c r="E450" s="60" t="n"/>
      <c r="F450" s="60" t="n"/>
      <c r="G450" s="62" t="n"/>
      <c r="H450" s="62" t="n"/>
      <c r="I450" s="62" t="n"/>
      <c r="J450" s="60" t="n"/>
      <c r="K450" s="60" t="n"/>
      <c r="L450" s="60" t="n"/>
      <c r="M450" s="61" t="n"/>
      <c r="N450" s="60" t="n"/>
      <c r="O450" s="60" t="n"/>
      <c r="P450" s="60" t="n"/>
      <c r="Q450" s="60" t="n"/>
      <c r="R450" s="60" t="n"/>
      <c r="S450" s="60" t="n"/>
      <c r="T450" s="60" t="n"/>
      <c r="U450" s="60" t="n"/>
      <c r="V450" s="60" t="n"/>
      <c r="W450" s="60" t="n"/>
      <c r="X450" s="60" t="n"/>
      <c r="Y450" s="60" t="n"/>
      <c r="Z450" s="61" t="n"/>
      <c r="AA450" s="63">
        <f>IF($H450="","",TODAY()-$H450)</f>
        <v/>
      </c>
      <c r="AB450" s="63">
        <f>IF($A450="","",IF(AND($F450="Yes",OR($U450="No",$U450="NOT FOUND")),"YES",""))</f>
        <v/>
      </c>
      <c r="AC450" s="66">
        <f>IF($A450="","",TRIM(IF(AND($P450=0,$L450&lt;&gt;"Yes"),"T0-NoSmartcard ","")&amp;IF(AND($J450&lt;&gt;"",$J450&gt;365),"StalePwd ","")&amp;IF($K450="Yes","PwdNeverExpires ","")&amp;IF(AND($S450&lt;&gt;"",$S450&lt;&gt;"None"),"Delegation ","")&amp;IF(AND($Q450=1,$O450="None"),"StaleAdminCount ","")&amp;IF(AND($F450="Yes",$H450=""),"NeverLoggedOn ","")))</f>
        <v/>
      </c>
      <c r="AD450" s="60" t="n"/>
      <c r="AE450" s="61" t="n"/>
      <c r="AF450" s="60" t="n"/>
      <c r="AG450" s="62" t="n"/>
      <c r="AH450" s="62" t="n"/>
      <c r="AI450" s="62" t="n"/>
      <c r="AJ450" s="60" t="n"/>
      <c r="AK450" s="61" t="n"/>
      <c r="AL450" s="63">
        <f>IF($A450="","",IF(AH450="","Not Enrolled",IF(TODAY()&gt;AH450,"Review Overdue",IF(AH450-TODAY()&lt;=30,"Review Due Soon","Active"))))</f>
        <v/>
      </c>
      <c r="AM450" s="63">
        <f>IF($A450="","",IF(AI450="","NOT REVIEWED",IF(TODAY()-AI450&gt;90,"OVERDUE",IF(TODAY()-AI450&gt;76,"Due Soon","Current"))))</f>
        <v/>
      </c>
    </row>
    <row r="451" ht="15" customHeight="1" s="39">
      <c r="A451" s="60" t="n"/>
      <c r="B451" s="60" t="n"/>
      <c r="C451" s="61" t="n"/>
      <c r="D451" s="61" t="n"/>
      <c r="E451" s="60" t="n"/>
      <c r="F451" s="60" t="n"/>
      <c r="G451" s="62" t="n"/>
      <c r="H451" s="62" t="n"/>
      <c r="I451" s="62" t="n"/>
      <c r="J451" s="60" t="n"/>
      <c r="K451" s="60" t="n"/>
      <c r="L451" s="60" t="n"/>
      <c r="M451" s="61" t="n"/>
      <c r="N451" s="60" t="n"/>
      <c r="O451" s="60" t="n"/>
      <c r="P451" s="60" t="n"/>
      <c r="Q451" s="60" t="n"/>
      <c r="R451" s="60" t="n"/>
      <c r="S451" s="60" t="n"/>
      <c r="T451" s="60" t="n"/>
      <c r="U451" s="60" t="n"/>
      <c r="V451" s="60" t="n"/>
      <c r="W451" s="60" t="n"/>
      <c r="X451" s="60" t="n"/>
      <c r="Y451" s="60" t="n"/>
      <c r="Z451" s="61" t="n"/>
      <c r="AA451" s="63">
        <f>IF($H451="","",TODAY()-$H451)</f>
        <v/>
      </c>
      <c r="AB451" s="63">
        <f>IF($A451="","",IF(AND($F451="Yes",OR($U451="No",$U451="NOT FOUND")),"YES",""))</f>
        <v/>
      </c>
      <c r="AC451" s="66">
        <f>IF($A451="","",TRIM(IF(AND($P451=0,$L451&lt;&gt;"Yes"),"T0-NoSmartcard ","")&amp;IF(AND($J451&lt;&gt;"",$J451&gt;365),"StalePwd ","")&amp;IF($K451="Yes","PwdNeverExpires ","")&amp;IF(AND($S451&lt;&gt;"",$S451&lt;&gt;"None"),"Delegation ","")&amp;IF(AND($Q451=1,$O451="None"),"StaleAdminCount ","")&amp;IF(AND($F451="Yes",$H451=""),"NeverLoggedOn ","")))</f>
        <v/>
      </c>
      <c r="AD451" s="60" t="n"/>
      <c r="AE451" s="61" t="n"/>
      <c r="AF451" s="60" t="n"/>
      <c r="AG451" s="62" t="n"/>
      <c r="AH451" s="62" t="n"/>
      <c r="AI451" s="62" t="n"/>
      <c r="AJ451" s="60" t="n"/>
      <c r="AK451" s="61" t="n"/>
      <c r="AL451" s="63">
        <f>IF($A451="","",IF(AH451="","Not Enrolled",IF(TODAY()&gt;AH451,"Review Overdue",IF(AH451-TODAY()&lt;=30,"Review Due Soon","Active"))))</f>
        <v/>
      </c>
      <c r="AM451" s="63">
        <f>IF($A451="","",IF(AI451="","NOT REVIEWED",IF(TODAY()-AI451&gt;90,"OVERDUE",IF(TODAY()-AI451&gt;76,"Due Soon","Current"))))</f>
        <v/>
      </c>
    </row>
    <row r="452" ht="15" customHeight="1" s="39">
      <c r="A452" s="60" t="n"/>
      <c r="B452" s="60" t="n"/>
      <c r="C452" s="61" t="n"/>
      <c r="D452" s="61" t="n"/>
      <c r="E452" s="60" t="n"/>
      <c r="F452" s="60" t="n"/>
      <c r="G452" s="62" t="n"/>
      <c r="H452" s="62" t="n"/>
      <c r="I452" s="62" t="n"/>
      <c r="J452" s="60" t="n"/>
      <c r="K452" s="60" t="n"/>
      <c r="L452" s="60" t="n"/>
      <c r="M452" s="61" t="n"/>
      <c r="N452" s="60" t="n"/>
      <c r="O452" s="60" t="n"/>
      <c r="P452" s="60" t="n"/>
      <c r="Q452" s="60" t="n"/>
      <c r="R452" s="60" t="n"/>
      <c r="S452" s="60" t="n"/>
      <c r="T452" s="60" t="n"/>
      <c r="U452" s="60" t="n"/>
      <c r="V452" s="60" t="n"/>
      <c r="W452" s="60" t="n"/>
      <c r="X452" s="60" t="n"/>
      <c r="Y452" s="60" t="n"/>
      <c r="Z452" s="61" t="n"/>
      <c r="AA452" s="63">
        <f>IF($H452="","",TODAY()-$H452)</f>
        <v/>
      </c>
      <c r="AB452" s="63">
        <f>IF($A452="","",IF(AND($F452="Yes",OR($U452="No",$U452="NOT FOUND")),"YES",""))</f>
        <v/>
      </c>
      <c r="AC452" s="66">
        <f>IF($A452="","",TRIM(IF(AND($P452=0,$L452&lt;&gt;"Yes"),"T0-NoSmartcard ","")&amp;IF(AND($J452&lt;&gt;"",$J452&gt;365),"StalePwd ","")&amp;IF($K452="Yes","PwdNeverExpires ","")&amp;IF(AND($S452&lt;&gt;"",$S452&lt;&gt;"None"),"Delegation ","")&amp;IF(AND($Q452=1,$O452="None"),"StaleAdminCount ","")&amp;IF(AND($F452="Yes",$H452=""),"NeverLoggedOn ","")))</f>
        <v/>
      </c>
      <c r="AD452" s="60" t="n"/>
      <c r="AE452" s="61" t="n"/>
      <c r="AF452" s="60" t="n"/>
      <c r="AG452" s="62" t="n"/>
      <c r="AH452" s="62" t="n"/>
      <c r="AI452" s="62" t="n"/>
      <c r="AJ452" s="60" t="n"/>
      <c r="AK452" s="61" t="n"/>
      <c r="AL452" s="63">
        <f>IF($A452="","",IF(AH452="","Not Enrolled",IF(TODAY()&gt;AH452,"Review Overdue",IF(AH452-TODAY()&lt;=30,"Review Due Soon","Active"))))</f>
        <v/>
      </c>
      <c r="AM452" s="63">
        <f>IF($A452="","",IF(AI452="","NOT REVIEWED",IF(TODAY()-AI452&gt;90,"OVERDUE",IF(TODAY()-AI452&gt;76,"Due Soon","Current"))))</f>
        <v/>
      </c>
    </row>
    <row r="453" ht="15" customHeight="1" s="39">
      <c r="A453" s="60" t="n"/>
      <c r="B453" s="60" t="n"/>
      <c r="C453" s="61" t="n"/>
      <c r="D453" s="61" t="n"/>
      <c r="E453" s="60" t="n"/>
      <c r="F453" s="60" t="n"/>
      <c r="G453" s="62" t="n"/>
      <c r="H453" s="62" t="n"/>
      <c r="I453" s="62" t="n"/>
      <c r="J453" s="60" t="n"/>
      <c r="K453" s="60" t="n"/>
      <c r="L453" s="60" t="n"/>
      <c r="M453" s="61" t="n"/>
      <c r="N453" s="60" t="n"/>
      <c r="O453" s="60" t="n"/>
      <c r="P453" s="60" t="n"/>
      <c r="Q453" s="60" t="n"/>
      <c r="R453" s="60" t="n"/>
      <c r="S453" s="60" t="n"/>
      <c r="T453" s="60" t="n"/>
      <c r="U453" s="60" t="n"/>
      <c r="V453" s="60" t="n"/>
      <c r="W453" s="60" t="n"/>
      <c r="X453" s="60" t="n"/>
      <c r="Y453" s="60" t="n"/>
      <c r="Z453" s="61" t="n"/>
      <c r="AA453" s="63">
        <f>IF($H453="","",TODAY()-$H453)</f>
        <v/>
      </c>
      <c r="AB453" s="63">
        <f>IF($A453="","",IF(AND($F453="Yes",OR($U453="No",$U453="NOT FOUND")),"YES",""))</f>
        <v/>
      </c>
      <c r="AC453" s="66">
        <f>IF($A453="","",TRIM(IF(AND($P453=0,$L453&lt;&gt;"Yes"),"T0-NoSmartcard ","")&amp;IF(AND($J453&lt;&gt;"",$J453&gt;365),"StalePwd ","")&amp;IF($K453="Yes","PwdNeverExpires ","")&amp;IF(AND($S453&lt;&gt;"",$S453&lt;&gt;"None"),"Delegation ","")&amp;IF(AND($Q453=1,$O453="None"),"StaleAdminCount ","")&amp;IF(AND($F453="Yes",$H453=""),"NeverLoggedOn ","")))</f>
        <v/>
      </c>
      <c r="AD453" s="60" t="n"/>
      <c r="AE453" s="61" t="n"/>
      <c r="AF453" s="60" t="n"/>
      <c r="AG453" s="62" t="n"/>
      <c r="AH453" s="62" t="n"/>
      <c r="AI453" s="62" t="n"/>
      <c r="AJ453" s="60" t="n"/>
      <c r="AK453" s="61" t="n"/>
      <c r="AL453" s="63">
        <f>IF($A453="","",IF(AH453="","Not Enrolled",IF(TODAY()&gt;AH453,"Review Overdue",IF(AH453-TODAY()&lt;=30,"Review Due Soon","Active"))))</f>
        <v/>
      </c>
      <c r="AM453" s="63">
        <f>IF($A453="","",IF(AI453="","NOT REVIEWED",IF(TODAY()-AI453&gt;90,"OVERDUE",IF(TODAY()-AI453&gt;76,"Due Soon","Current"))))</f>
        <v/>
      </c>
    </row>
    <row r="454" ht="15" customHeight="1" s="39">
      <c r="A454" s="60" t="n"/>
      <c r="B454" s="60" t="n"/>
      <c r="C454" s="61" t="n"/>
      <c r="D454" s="61" t="n"/>
      <c r="E454" s="60" t="n"/>
      <c r="F454" s="60" t="n"/>
      <c r="G454" s="62" t="n"/>
      <c r="H454" s="62" t="n"/>
      <c r="I454" s="62" t="n"/>
      <c r="J454" s="60" t="n"/>
      <c r="K454" s="60" t="n"/>
      <c r="L454" s="60" t="n"/>
      <c r="M454" s="61" t="n"/>
      <c r="N454" s="60" t="n"/>
      <c r="O454" s="60" t="n"/>
      <c r="P454" s="60" t="n"/>
      <c r="Q454" s="60" t="n"/>
      <c r="R454" s="60" t="n"/>
      <c r="S454" s="60" t="n"/>
      <c r="T454" s="60" t="n"/>
      <c r="U454" s="60" t="n"/>
      <c r="V454" s="60" t="n"/>
      <c r="W454" s="60" t="n"/>
      <c r="X454" s="60" t="n"/>
      <c r="Y454" s="60" t="n"/>
      <c r="Z454" s="61" t="n"/>
      <c r="AA454" s="63">
        <f>IF($H454="","",TODAY()-$H454)</f>
        <v/>
      </c>
      <c r="AB454" s="63">
        <f>IF($A454="","",IF(AND($F454="Yes",OR($U454="No",$U454="NOT FOUND")),"YES",""))</f>
        <v/>
      </c>
      <c r="AC454" s="66">
        <f>IF($A454="","",TRIM(IF(AND($P454=0,$L454&lt;&gt;"Yes"),"T0-NoSmartcard ","")&amp;IF(AND($J454&lt;&gt;"",$J454&gt;365),"StalePwd ","")&amp;IF($K454="Yes","PwdNeverExpires ","")&amp;IF(AND($S454&lt;&gt;"",$S454&lt;&gt;"None"),"Delegation ","")&amp;IF(AND($Q454=1,$O454="None"),"StaleAdminCount ","")&amp;IF(AND($F454="Yes",$H454=""),"NeverLoggedOn ","")))</f>
        <v/>
      </c>
      <c r="AD454" s="60" t="n"/>
      <c r="AE454" s="61" t="n"/>
      <c r="AF454" s="60" t="n"/>
      <c r="AG454" s="62" t="n"/>
      <c r="AH454" s="62" t="n"/>
      <c r="AI454" s="62" t="n"/>
      <c r="AJ454" s="60" t="n"/>
      <c r="AK454" s="61" t="n"/>
      <c r="AL454" s="63">
        <f>IF($A454="","",IF(AH454="","Not Enrolled",IF(TODAY()&gt;AH454,"Review Overdue",IF(AH454-TODAY()&lt;=30,"Review Due Soon","Active"))))</f>
        <v/>
      </c>
      <c r="AM454" s="63">
        <f>IF($A454="","",IF(AI454="","NOT REVIEWED",IF(TODAY()-AI454&gt;90,"OVERDUE",IF(TODAY()-AI454&gt;76,"Due Soon","Current"))))</f>
        <v/>
      </c>
    </row>
    <row r="455" ht="15" customHeight="1" s="39">
      <c r="A455" s="60" t="n"/>
      <c r="B455" s="60" t="n"/>
      <c r="C455" s="61" t="n"/>
      <c r="D455" s="61" t="n"/>
      <c r="E455" s="60" t="n"/>
      <c r="F455" s="60" t="n"/>
      <c r="G455" s="62" t="n"/>
      <c r="H455" s="62" t="n"/>
      <c r="I455" s="62" t="n"/>
      <c r="J455" s="60" t="n"/>
      <c r="K455" s="60" t="n"/>
      <c r="L455" s="60" t="n"/>
      <c r="M455" s="61" t="n"/>
      <c r="N455" s="60" t="n"/>
      <c r="O455" s="60" t="n"/>
      <c r="P455" s="60" t="n"/>
      <c r="Q455" s="60" t="n"/>
      <c r="R455" s="60" t="n"/>
      <c r="S455" s="60" t="n"/>
      <c r="T455" s="60" t="n"/>
      <c r="U455" s="60" t="n"/>
      <c r="V455" s="60" t="n"/>
      <c r="W455" s="60" t="n"/>
      <c r="X455" s="60" t="n"/>
      <c r="Y455" s="60" t="n"/>
      <c r="Z455" s="61" t="n"/>
      <c r="AA455" s="63">
        <f>IF($H455="","",TODAY()-$H455)</f>
        <v/>
      </c>
      <c r="AB455" s="63">
        <f>IF($A455="","",IF(AND($F455="Yes",OR($U455="No",$U455="NOT FOUND")),"YES",""))</f>
        <v/>
      </c>
      <c r="AC455" s="66">
        <f>IF($A455="","",TRIM(IF(AND($P455=0,$L455&lt;&gt;"Yes"),"T0-NoSmartcard ","")&amp;IF(AND($J455&lt;&gt;"",$J455&gt;365),"StalePwd ","")&amp;IF($K455="Yes","PwdNeverExpires ","")&amp;IF(AND($S455&lt;&gt;"",$S455&lt;&gt;"None"),"Delegation ","")&amp;IF(AND($Q455=1,$O455="None"),"StaleAdminCount ","")&amp;IF(AND($F455="Yes",$H455=""),"NeverLoggedOn ","")))</f>
        <v/>
      </c>
      <c r="AD455" s="60" t="n"/>
      <c r="AE455" s="61" t="n"/>
      <c r="AF455" s="60" t="n"/>
      <c r="AG455" s="62" t="n"/>
      <c r="AH455" s="62" t="n"/>
      <c r="AI455" s="62" t="n"/>
      <c r="AJ455" s="60" t="n"/>
      <c r="AK455" s="61" t="n"/>
      <c r="AL455" s="63">
        <f>IF($A455="","",IF(AH455="","Not Enrolled",IF(TODAY()&gt;AH455,"Review Overdue",IF(AH455-TODAY()&lt;=30,"Review Due Soon","Active"))))</f>
        <v/>
      </c>
      <c r="AM455" s="63">
        <f>IF($A455="","",IF(AI455="","NOT REVIEWED",IF(TODAY()-AI455&gt;90,"OVERDUE",IF(TODAY()-AI455&gt;76,"Due Soon","Current"))))</f>
        <v/>
      </c>
    </row>
    <row r="456" ht="15" customHeight="1" s="39">
      <c r="A456" s="60" t="n"/>
      <c r="B456" s="60" t="n"/>
      <c r="C456" s="61" t="n"/>
      <c r="D456" s="61" t="n"/>
      <c r="E456" s="60" t="n"/>
      <c r="F456" s="60" t="n"/>
      <c r="G456" s="62" t="n"/>
      <c r="H456" s="62" t="n"/>
      <c r="I456" s="62" t="n"/>
      <c r="J456" s="60" t="n"/>
      <c r="K456" s="60" t="n"/>
      <c r="L456" s="60" t="n"/>
      <c r="M456" s="61" t="n"/>
      <c r="N456" s="60" t="n"/>
      <c r="O456" s="60" t="n"/>
      <c r="P456" s="60" t="n"/>
      <c r="Q456" s="60" t="n"/>
      <c r="R456" s="60" t="n"/>
      <c r="S456" s="60" t="n"/>
      <c r="T456" s="60" t="n"/>
      <c r="U456" s="60" t="n"/>
      <c r="V456" s="60" t="n"/>
      <c r="W456" s="60" t="n"/>
      <c r="X456" s="60" t="n"/>
      <c r="Y456" s="60" t="n"/>
      <c r="Z456" s="61" t="n"/>
      <c r="AA456" s="63">
        <f>IF($H456="","",TODAY()-$H456)</f>
        <v/>
      </c>
      <c r="AB456" s="63">
        <f>IF($A456="","",IF(AND($F456="Yes",OR($U456="No",$U456="NOT FOUND")),"YES",""))</f>
        <v/>
      </c>
      <c r="AC456" s="66">
        <f>IF($A456="","",TRIM(IF(AND($P456=0,$L456&lt;&gt;"Yes"),"T0-NoSmartcard ","")&amp;IF(AND($J456&lt;&gt;"",$J456&gt;365),"StalePwd ","")&amp;IF($K456="Yes","PwdNeverExpires ","")&amp;IF(AND($S456&lt;&gt;"",$S456&lt;&gt;"None"),"Delegation ","")&amp;IF(AND($Q456=1,$O456="None"),"StaleAdminCount ","")&amp;IF(AND($F456="Yes",$H456=""),"NeverLoggedOn ","")))</f>
        <v/>
      </c>
      <c r="AD456" s="60" t="n"/>
      <c r="AE456" s="61" t="n"/>
      <c r="AF456" s="60" t="n"/>
      <c r="AG456" s="62" t="n"/>
      <c r="AH456" s="62" t="n"/>
      <c r="AI456" s="62" t="n"/>
      <c r="AJ456" s="60" t="n"/>
      <c r="AK456" s="61" t="n"/>
      <c r="AL456" s="63">
        <f>IF($A456="","",IF(AH456="","Not Enrolled",IF(TODAY()&gt;AH456,"Review Overdue",IF(AH456-TODAY()&lt;=30,"Review Due Soon","Active"))))</f>
        <v/>
      </c>
      <c r="AM456" s="63">
        <f>IF($A456="","",IF(AI456="","NOT REVIEWED",IF(TODAY()-AI456&gt;90,"OVERDUE",IF(TODAY()-AI456&gt;76,"Due Soon","Current"))))</f>
        <v/>
      </c>
    </row>
    <row r="457" ht="15" customHeight="1" s="39">
      <c r="A457" s="60" t="n"/>
      <c r="B457" s="60" t="n"/>
      <c r="C457" s="61" t="n"/>
      <c r="D457" s="61" t="n"/>
      <c r="E457" s="60" t="n"/>
      <c r="F457" s="60" t="n"/>
      <c r="G457" s="62" t="n"/>
      <c r="H457" s="62" t="n"/>
      <c r="I457" s="62" t="n"/>
      <c r="J457" s="60" t="n"/>
      <c r="K457" s="60" t="n"/>
      <c r="L457" s="60" t="n"/>
      <c r="M457" s="61" t="n"/>
      <c r="N457" s="60" t="n"/>
      <c r="O457" s="60" t="n"/>
      <c r="P457" s="60" t="n"/>
      <c r="Q457" s="60" t="n"/>
      <c r="R457" s="60" t="n"/>
      <c r="S457" s="60" t="n"/>
      <c r="T457" s="60" t="n"/>
      <c r="U457" s="60" t="n"/>
      <c r="V457" s="60" t="n"/>
      <c r="W457" s="60" t="n"/>
      <c r="X457" s="60" t="n"/>
      <c r="Y457" s="60" t="n"/>
      <c r="Z457" s="61" t="n"/>
      <c r="AA457" s="63">
        <f>IF($H457="","",TODAY()-$H457)</f>
        <v/>
      </c>
      <c r="AB457" s="63">
        <f>IF($A457="","",IF(AND($F457="Yes",OR($U457="No",$U457="NOT FOUND")),"YES",""))</f>
        <v/>
      </c>
      <c r="AC457" s="66">
        <f>IF($A457="","",TRIM(IF(AND($P457=0,$L457&lt;&gt;"Yes"),"T0-NoSmartcard ","")&amp;IF(AND($J457&lt;&gt;"",$J457&gt;365),"StalePwd ","")&amp;IF($K457="Yes","PwdNeverExpires ","")&amp;IF(AND($S457&lt;&gt;"",$S457&lt;&gt;"None"),"Delegation ","")&amp;IF(AND($Q457=1,$O457="None"),"StaleAdminCount ","")&amp;IF(AND($F457="Yes",$H457=""),"NeverLoggedOn ","")))</f>
        <v/>
      </c>
      <c r="AD457" s="60" t="n"/>
      <c r="AE457" s="61" t="n"/>
      <c r="AF457" s="60" t="n"/>
      <c r="AG457" s="62" t="n"/>
      <c r="AH457" s="62" t="n"/>
      <c r="AI457" s="62" t="n"/>
      <c r="AJ457" s="60" t="n"/>
      <c r="AK457" s="61" t="n"/>
      <c r="AL457" s="63">
        <f>IF($A457="","",IF(AH457="","Not Enrolled",IF(TODAY()&gt;AH457,"Review Overdue",IF(AH457-TODAY()&lt;=30,"Review Due Soon","Active"))))</f>
        <v/>
      </c>
      <c r="AM457" s="63">
        <f>IF($A457="","",IF(AI457="","NOT REVIEWED",IF(TODAY()-AI457&gt;90,"OVERDUE",IF(TODAY()-AI457&gt;76,"Due Soon","Current"))))</f>
        <v/>
      </c>
    </row>
    <row r="458" ht="15" customHeight="1" s="39">
      <c r="A458" s="60" t="n"/>
      <c r="B458" s="60" t="n"/>
      <c r="C458" s="61" t="n"/>
      <c r="D458" s="61" t="n"/>
      <c r="E458" s="60" t="n"/>
      <c r="F458" s="60" t="n"/>
      <c r="G458" s="62" t="n"/>
      <c r="H458" s="62" t="n"/>
      <c r="I458" s="62" t="n"/>
      <c r="J458" s="60" t="n"/>
      <c r="K458" s="60" t="n"/>
      <c r="L458" s="60" t="n"/>
      <c r="M458" s="61" t="n"/>
      <c r="N458" s="60" t="n"/>
      <c r="O458" s="60" t="n"/>
      <c r="P458" s="60" t="n"/>
      <c r="Q458" s="60" t="n"/>
      <c r="R458" s="60" t="n"/>
      <c r="S458" s="60" t="n"/>
      <c r="T458" s="60" t="n"/>
      <c r="U458" s="60" t="n"/>
      <c r="V458" s="60" t="n"/>
      <c r="W458" s="60" t="n"/>
      <c r="X458" s="60" t="n"/>
      <c r="Y458" s="60" t="n"/>
      <c r="Z458" s="61" t="n"/>
      <c r="AA458" s="63">
        <f>IF($H458="","",TODAY()-$H458)</f>
        <v/>
      </c>
      <c r="AB458" s="63">
        <f>IF($A458="","",IF(AND($F458="Yes",OR($U458="No",$U458="NOT FOUND")),"YES",""))</f>
        <v/>
      </c>
      <c r="AC458" s="66">
        <f>IF($A458="","",TRIM(IF(AND($P458=0,$L458&lt;&gt;"Yes"),"T0-NoSmartcard ","")&amp;IF(AND($J458&lt;&gt;"",$J458&gt;365),"StalePwd ","")&amp;IF($K458="Yes","PwdNeverExpires ","")&amp;IF(AND($S458&lt;&gt;"",$S458&lt;&gt;"None"),"Delegation ","")&amp;IF(AND($Q458=1,$O458="None"),"StaleAdminCount ","")&amp;IF(AND($F458="Yes",$H458=""),"NeverLoggedOn ","")))</f>
        <v/>
      </c>
      <c r="AD458" s="60" t="n"/>
      <c r="AE458" s="61" t="n"/>
      <c r="AF458" s="60" t="n"/>
      <c r="AG458" s="62" t="n"/>
      <c r="AH458" s="62" t="n"/>
      <c r="AI458" s="62" t="n"/>
      <c r="AJ458" s="60" t="n"/>
      <c r="AK458" s="61" t="n"/>
      <c r="AL458" s="63">
        <f>IF($A458="","",IF(AH458="","Not Enrolled",IF(TODAY()&gt;AH458,"Review Overdue",IF(AH458-TODAY()&lt;=30,"Review Due Soon","Active"))))</f>
        <v/>
      </c>
      <c r="AM458" s="63">
        <f>IF($A458="","",IF(AI458="","NOT REVIEWED",IF(TODAY()-AI458&gt;90,"OVERDUE",IF(TODAY()-AI458&gt;76,"Due Soon","Current"))))</f>
        <v/>
      </c>
    </row>
    <row r="459" ht="15" customHeight="1" s="39">
      <c r="A459" s="60" t="n"/>
      <c r="B459" s="60" t="n"/>
      <c r="C459" s="61" t="n"/>
      <c r="D459" s="61" t="n"/>
      <c r="E459" s="60" t="n"/>
      <c r="F459" s="60" t="n"/>
      <c r="G459" s="62" t="n"/>
      <c r="H459" s="62" t="n"/>
      <c r="I459" s="62" t="n"/>
      <c r="J459" s="60" t="n"/>
      <c r="K459" s="60" t="n"/>
      <c r="L459" s="60" t="n"/>
      <c r="M459" s="61" t="n"/>
      <c r="N459" s="60" t="n"/>
      <c r="O459" s="60" t="n"/>
      <c r="P459" s="60" t="n"/>
      <c r="Q459" s="60" t="n"/>
      <c r="R459" s="60" t="n"/>
      <c r="S459" s="60" t="n"/>
      <c r="T459" s="60" t="n"/>
      <c r="U459" s="60" t="n"/>
      <c r="V459" s="60" t="n"/>
      <c r="W459" s="60" t="n"/>
      <c r="X459" s="60" t="n"/>
      <c r="Y459" s="60" t="n"/>
      <c r="Z459" s="61" t="n"/>
      <c r="AA459" s="63">
        <f>IF($H459="","",TODAY()-$H459)</f>
        <v/>
      </c>
      <c r="AB459" s="63">
        <f>IF($A459="","",IF(AND($F459="Yes",OR($U459="No",$U459="NOT FOUND")),"YES",""))</f>
        <v/>
      </c>
      <c r="AC459" s="66">
        <f>IF($A459="","",TRIM(IF(AND($P459=0,$L459&lt;&gt;"Yes"),"T0-NoSmartcard ","")&amp;IF(AND($J459&lt;&gt;"",$J459&gt;365),"StalePwd ","")&amp;IF($K459="Yes","PwdNeverExpires ","")&amp;IF(AND($S459&lt;&gt;"",$S459&lt;&gt;"None"),"Delegation ","")&amp;IF(AND($Q459=1,$O459="None"),"StaleAdminCount ","")&amp;IF(AND($F459="Yes",$H459=""),"NeverLoggedOn ","")))</f>
        <v/>
      </c>
      <c r="AD459" s="60" t="n"/>
      <c r="AE459" s="61" t="n"/>
      <c r="AF459" s="60" t="n"/>
      <c r="AG459" s="62" t="n"/>
      <c r="AH459" s="62" t="n"/>
      <c r="AI459" s="62" t="n"/>
      <c r="AJ459" s="60" t="n"/>
      <c r="AK459" s="61" t="n"/>
      <c r="AL459" s="63">
        <f>IF($A459="","",IF(AH459="","Not Enrolled",IF(TODAY()&gt;AH459,"Review Overdue",IF(AH459-TODAY()&lt;=30,"Review Due Soon","Active"))))</f>
        <v/>
      </c>
      <c r="AM459" s="63">
        <f>IF($A459="","",IF(AI459="","NOT REVIEWED",IF(TODAY()-AI459&gt;90,"OVERDUE",IF(TODAY()-AI459&gt;76,"Due Soon","Current"))))</f>
        <v/>
      </c>
    </row>
    <row r="460" ht="15" customHeight="1" s="39">
      <c r="A460" s="60" t="n"/>
      <c r="B460" s="60" t="n"/>
      <c r="C460" s="61" t="n"/>
      <c r="D460" s="61" t="n"/>
      <c r="E460" s="60" t="n"/>
      <c r="F460" s="60" t="n"/>
      <c r="G460" s="62" t="n"/>
      <c r="H460" s="62" t="n"/>
      <c r="I460" s="62" t="n"/>
      <c r="J460" s="60" t="n"/>
      <c r="K460" s="60" t="n"/>
      <c r="L460" s="60" t="n"/>
      <c r="M460" s="61" t="n"/>
      <c r="N460" s="60" t="n"/>
      <c r="O460" s="60" t="n"/>
      <c r="P460" s="60" t="n"/>
      <c r="Q460" s="60" t="n"/>
      <c r="R460" s="60" t="n"/>
      <c r="S460" s="60" t="n"/>
      <c r="T460" s="60" t="n"/>
      <c r="U460" s="60" t="n"/>
      <c r="V460" s="60" t="n"/>
      <c r="W460" s="60" t="n"/>
      <c r="X460" s="60" t="n"/>
      <c r="Y460" s="60" t="n"/>
      <c r="Z460" s="61" t="n"/>
      <c r="AA460" s="63">
        <f>IF($H460="","",TODAY()-$H460)</f>
        <v/>
      </c>
      <c r="AB460" s="63">
        <f>IF($A460="","",IF(AND($F460="Yes",OR($U460="No",$U460="NOT FOUND")),"YES",""))</f>
        <v/>
      </c>
      <c r="AC460" s="66">
        <f>IF($A460="","",TRIM(IF(AND($P460=0,$L460&lt;&gt;"Yes"),"T0-NoSmartcard ","")&amp;IF(AND($J460&lt;&gt;"",$J460&gt;365),"StalePwd ","")&amp;IF($K460="Yes","PwdNeverExpires ","")&amp;IF(AND($S460&lt;&gt;"",$S460&lt;&gt;"None"),"Delegation ","")&amp;IF(AND($Q460=1,$O460="None"),"StaleAdminCount ","")&amp;IF(AND($F460="Yes",$H460=""),"NeverLoggedOn ","")))</f>
        <v/>
      </c>
      <c r="AD460" s="60" t="n"/>
      <c r="AE460" s="61" t="n"/>
      <c r="AF460" s="60" t="n"/>
      <c r="AG460" s="62" t="n"/>
      <c r="AH460" s="62" t="n"/>
      <c r="AI460" s="62" t="n"/>
      <c r="AJ460" s="60" t="n"/>
      <c r="AK460" s="61" t="n"/>
      <c r="AL460" s="63">
        <f>IF($A460="","",IF(AH460="","Not Enrolled",IF(TODAY()&gt;AH460,"Review Overdue",IF(AH460-TODAY()&lt;=30,"Review Due Soon","Active"))))</f>
        <v/>
      </c>
      <c r="AM460" s="63">
        <f>IF($A460="","",IF(AI460="","NOT REVIEWED",IF(TODAY()-AI460&gt;90,"OVERDUE",IF(TODAY()-AI460&gt;76,"Due Soon","Current"))))</f>
        <v/>
      </c>
    </row>
    <row r="461" ht="15" customHeight="1" s="39">
      <c r="A461" s="60" t="n"/>
      <c r="B461" s="60" t="n"/>
      <c r="C461" s="61" t="n"/>
      <c r="D461" s="61" t="n"/>
      <c r="E461" s="60" t="n"/>
      <c r="F461" s="60" t="n"/>
      <c r="G461" s="62" t="n"/>
      <c r="H461" s="62" t="n"/>
      <c r="I461" s="62" t="n"/>
      <c r="J461" s="60" t="n"/>
      <c r="K461" s="60" t="n"/>
      <c r="L461" s="60" t="n"/>
      <c r="M461" s="61" t="n"/>
      <c r="N461" s="60" t="n"/>
      <c r="O461" s="60" t="n"/>
      <c r="P461" s="60" t="n"/>
      <c r="Q461" s="60" t="n"/>
      <c r="R461" s="60" t="n"/>
      <c r="S461" s="60" t="n"/>
      <c r="T461" s="60" t="n"/>
      <c r="U461" s="60" t="n"/>
      <c r="V461" s="60" t="n"/>
      <c r="W461" s="60" t="n"/>
      <c r="X461" s="60" t="n"/>
      <c r="Y461" s="60" t="n"/>
      <c r="Z461" s="61" t="n"/>
      <c r="AA461" s="63">
        <f>IF($H461="","",TODAY()-$H461)</f>
        <v/>
      </c>
      <c r="AB461" s="63">
        <f>IF($A461="","",IF(AND($F461="Yes",OR($U461="No",$U461="NOT FOUND")),"YES",""))</f>
        <v/>
      </c>
      <c r="AC461" s="66">
        <f>IF($A461="","",TRIM(IF(AND($P461=0,$L461&lt;&gt;"Yes"),"T0-NoSmartcard ","")&amp;IF(AND($J461&lt;&gt;"",$J461&gt;365),"StalePwd ","")&amp;IF($K461="Yes","PwdNeverExpires ","")&amp;IF(AND($S461&lt;&gt;"",$S461&lt;&gt;"None"),"Delegation ","")&amp;IF(AND($Q461=1,$O461="None"),"StaleAdminCount ","")&amp;IF(AND($F461="Yes",$H461=""),"NeverLoggedOn ","")))</f>
        <v/>
      </c>
      <c r="AD461" s="60" t="n"/>
      <c r="AE461" s="61" t="n"/>
      <c r="AF461" s="60" t="n"/>
      <c r="AG461" s="62" t="n"/>
      <c r="AH461" s="62" t="n"/>
      <c r="AI461" s="62" t="n"/>
      <c r="AJ461" s="60" t="n"/>
      <c r="AK461" s="61" t="n"/>
      <c r="AL461" s="63">
        <f>IF($A461="","",IF(AH461="","Not Enrolled",IF(TODAY()&gt;AH461,"Review Overdue",IF(AH461-TODAY()&lt;=30,"Review Due Soon","Active"))))</f>
        <v/>
      </c>
      <c r="AM461" s="63">
        <f>IF($A461="","",IF(AI461="","NOT REVIEWED",IF(TODAY()-AI461&gt;90,"OVERDUE",IF(TODAY()-AI461&gt;76,"Due Soon","Current"))))</f>
        <v/>
      </c>
    </row>
    <row r="462" ht="15" customHeight="1" s="39">
      <c r="A462" s="60" t="n"/>
      <c r="B462" s="60" t="n"/>
      <c r="C462" s="61" t="n"/>
      <c r="D462" s="61" t="n"/>
      <c r="E462" s="60" t="n"/>
      <c r="F462" s="60" t="n"/>
      <c r="G462" s="62" t="n"/>
      <c r="H462" s="62" t="n"/>
      <c r="I462" s="62" t="n"/>
      <c r="J462" s="60" t="n"/>
      <c r="K462" s="60" t="n"/>
      <c r="L462" s="60" t="n"/>
      <c r="M462" s="61" t="n"/>
      <c r="N462" s="60" t="n"/>
      <c r="O462" s="60" t="n"/>
      <c r="P462" s="60" t="n"/>
      <c r="Q462" s="60" t="n"/>
      <c r="R462" s="60" t="n"/>
      <c r="S462" s="60" t="n"/>
      <c r="T462" s="60" t="n"/>
      <c r="U462" s="60" t="n"/>
      <c r="V462" s="60" t="n"/>
      <c r="W462" s="60" t="n"/>
      <c r="X462" s="60" t="n"/>
      <c r="Y462" s="60" t="n"/>
      <c r="Z462" s="61" t="n"/>
      <c r="AA462" s="63">
        <f>IF($H462="","",TODAY()-$H462)</f>
        <v/>
      </c>
      <c r="AB462" s="63">
        <f>IF($A462="","",IF(AND($F462="Yes",OR($U462="No",$U462="NOT FOUND")),"YES",""))</f>
        <v/>
      </c>
      <c r="AC462" s="66">
        <f>IF($A462="","",TRIM(IF(AND($P462=0,$L462&lt;&gt;"Yes"),"T0-NoSmartcard ","")&amp;IF(AND($J462&lt;&gt;"",$J462&gt;365),"StalePwd ","")&amp;IF($K462="Yes","PwdNeverExpires ","")&amp;IF(AND($S462&lt;&gt;"",$S462&lt;&gt;"None"),"Delegation ","")&amp;IF(AND($Q462=1,$O462="None"),"StaleAdminCount ","")&amp;IF(AND($F462="Yes",$H462=""),"NeverLoggedOn ","")))</f>
        <v/>
      </c>
      <c r="AD462" s="60" t="n"/>
      <c r="AE462" s="61" t="n"/>
      <c r="AF462" s="60" t="n"/>
      <c r="AG462" s="62" t="n"/>
      <c r="AH462" s="62" t="n"/>
      <c r="AI462" s="62" t="n"/>
      <c r="AJ462" s="60" t="n"/>
      <c r="AK462" s="61" t="n"/>
      <c r="AL462" s="63">
        <f>IF($A462="","",IF(AH462="","Not Enrolled",IF(TODAY()&gt;AH462,"Review Overdue",IF(AH462-TODAY()&lt;=30,"Review Due Soon","Active"))))</f>
        <v/>
      </c>
      <c r="AM462" s="63">
        <f>IF($A462="","",IF(AI462="","NOT REVIEWED",IF(TODAY()-AI462&gt;90,"OVERDUE",IF(TODAY()-AI462&gt;76,"Due Soon","Current"))))</f>
        <v/>
      </c>
    </row>
    <row r="463" ht="15" customHeight="1" s="39">
      <c r="A463" s="60" t="n"/>
      <c r="B463" s="60" t="n"/>
      <c r="C463" s="61" t="n"/>
      <c r="D463" s="61" t="n"/>
      <c r="E463" s="60" t="n"/>
      <c r="F463" s="60" t="n"/>
      <c r="G463" s="62" t="n"/>
      <c r="H463" s="62" t="n"/>
      <c r="I463" s="62" t="n"/>
      <c r="J463" s="60" t="n"/>
      <c r="K463" s="60" t="n"/>
      <c r="L463" s="60" t="n"/>
      <c r="M463" s="61" t="n"/>
      <c r="N463" s="60" t="n"/>
      <c r="O463" s="60" t="n"/>
      <c r="P463" s="60" t="n"/>
      <c r="Q463" s="60" t="n"/>
      <c r="R463" s="60" t="n"/>
      <c r="S463" s="60" t="n"/>
      <c r="T463" s="60" t="n"/>
      <c r="U463" s="60" t="n"/>
      <c r="V463" s="60" t="n"/>
      <c r="W463" s="60" t="n"/>
      <c r="X463" s="60" t="n"/>
      <c r="Y463" s="60" t="n"/>
      <c r="Z463" s="61" t="n"/>
      <c r="AA463" s="63">
        <f>IF($H463="","",TODAY()-$H463)</f>
        <v/>
      </c>
      <c r="AB463" s="63">
        <f>IF($A463="","",IF(AND($F463="Yes",OR($U463="No",$U463="NOT FOUND")),"YES",""))</f>
        <v/>
      </c>
      <c r="AC463" s="66">
        <f>IF($A463="","",TRIM(IF(AND($P463=0,$L463&lt;&gt;"Yes"),"T0-NoSmartcard ","")&amp;IF(AND($J463&lt;&gt;"",$J463&gt;365),"StalePwd ","")&amp;IF($K463="Yes","PwdNeverExpires ","")&amp;IF(AND($S463&lt;&gt;"",$S463&lt;&gt;"None"),"Delegation ","")&amp;IF(AND($Q463=1,$O463="None"),"StaleAdminCount ","")&amp;IF(AND($F463="Yes",$H463=""),"NeverLoggedOn ","")))</f>
        <v/>
      </c>
      <c r="AD463" s="60" t="n"/>
      <c r="AE463" s="61" t="n"/>
      <c r="AF463" s="60" t="n"/>
      <c r="AG463" s="62" t="n"/>
      <c r="AH463" s="62" t="n"/>
      <c r="AI463" s="62" t="n"/>
      <c r="AJ463" s="60" t="n"/>
      <c r="AK463" s="61" t="n"/>
      <c r="AL463" s="63">
        <f>IF($A463="","",IF(AH463="","Not Enrolled",IF(TODAY()&gt;AH463,"Review Overdue",IF(AH463-TODAY()&lt;=30,"Review Due Soon","Active"))))</f>
        <v/>
      </c>
      <c r="AM463" s="63">
        <f>IF($A463="","",IF(AI463="","NOT REVIEWED",IF(TODAY()-AI463&gt;90,"OVERDUE",IF(TODAY()-AI463&gt;76,"Due Soon","Current"))))</f>
        <v/>
      </c>
    </row>
    <row r="464" ht="15" customHeight="1" s="39">
      <c r="A464" s="60" t="n"/>
      <c r="B464" s="60" t="n"/>
      <c r="C464" s="61" t="n"/>
      <c r="D464" s="61" t="n"/>
      <c r="E464" s="60" t="n"/>
      <c r="F464" s="60" t="n"/>
      <c r="G464" s="62" t="n"/>
      <c r="H464" s="62" t="n"/>
      <c r="I464" s="62" t="n"/>
      <c r="J464" s="60" t="n"/>
      <c r="K464" s="60" t="n"/>
      <c r="L464" s="60" t="n"/>
      <c r="M464" s="61" t="n"/>
      <c r="N464" s="60" t="n"/>
      <c r="O464" s="60" t="n"/>
      <c r="P464" s="60" t="n"/>
      <c r="Q464" s="60" t="n"/>
      <c r="R464" s="60" t="n"/>
      <c r="S464" s="60" t="n"/>
      <c r="T464" s="60" t="n"/>
      <c r="U464" s="60" t="n"/>
      <c r="V464" s="60" t="n"/>
      <c r="W464" s="60" t="n"/>
      <c r="X464" s="60" t="n"/>
      <c r="Y464" s="60" t="n"/>
      <c r="Z464" s="61" t="n"/>
      <c r="AA464" s="63">
        <f>IF($H464="","",TODAY()-$H464)</f>
        <v/>
      </c>
      <c r="AB464" s="63">
        <f>IF($A464="","",IF(AND($F464="Yes",OR($U464="No",$U464="NOT FOUND")),"YES",""))</f>
        <v/>
      </c>
      <c r="AC464" s="66">
        <f>IF($A464="","",TRIM(IF(AND($P464=0,$L464&lt;&gt;"Yes"),"T0-NoSmartcard ","")&amp;IF(AND($J464&lt;&gt;"",$J464&gt;365),"StalePwd ","")&amp;IF($K464="Yes","PwdNeverExpires ","")&amp;IF(AND($S464&lt;&gt;"",$S464&lt;&gt;"None"),"Delegation ","")&amp;IF(AND($Q464=1,$O464="None"),"StaleAdminCount ","")&amp;IF(AND($F464="Yes",$H464=""),"NeverLoggedOn ","")))</f>
        <v/>
      </c>
      <c r="AD464" s="60" t="n"/>
      <c r="AE464" s="61" t="n"/>
      <c r="AF464" s="60" t="n"/>
      <c r="AG464" s="62" t="n"/>
      <c r="AH464" s="62" t="n"/>
      <c r="AI464" s="62" t="n"/>
      <c r="AJ464" s="60" t="n"/>
      <c r="AK464" s="61" t="n"/>
      <c r="AL464" s="63">
        <f>IF($A464="","",IF(AH464="","Not Enrolled",IF(TODAY()&gt;AH464,"Review Overdue",IF(AH464-TODAY()&lt;=30,"Review Due Soon","Active"))))</f>
        <v/>
      </c>
      <c r="AM464" s="63">
        <f>IF($A464="","",IF(AI464="","NOT REVIEWED",IF(TODAY()-AI464&gt;90,"OVERDUE",IF(TODAY()-AI464&gt;76,"Due Soon","Current"))))</f>
        <v/>
      </c>
    </row>
    <row r="465" ht="15" customHeight="1" s="39">
      <c r="A465" s="60" t="n"/>
      <c r="B465" s="60" t="n"/>
      <c r="C465" s="61" t="n"/>
      <c r="D465" s="61" t="n"/>
      <c r="E465" s="60" t="n"/>
      <c r="F465" s="60" t="n"/>
      <c r="G465" s="62" t="n"/>
      <c r="H465" s="62" t="n"/>
      <c r="I465" s="62" t="n"/>
      <c r="J465" s="60" t="n"/>
      <c r="K465" s="60" t="n"/>
      <c r="L465" s="60" t="n"/>
      <c r="M465" s="61" t="n"/>
      <c r="N465" s="60" t="n"/>
      <c r="O465" s="60" t="n"/>
      <c r="P465" s="60" t="n"/>
      <c r="Q465" s="60" t="n"/>
      <c r="R465" s="60" t="n"/>
      <c r="S465" s="60" t="n"/>
      <c r="T465" s="60" t="n"/>
      <c r="U465" s="60" t="n"/>
      <c r="V465" s="60" t="n"/>
      <c r="W465" s="60" t="n"/>
      <c r="X465" s="60" t="n"/>
      <c r="Y465" s="60" t="n"/>
      <c r="Z465" s="61" t="n"/>
      <c r="AA465" s="63">
        <f>IF($H465="","",TODAY()-$H465)</f>
        <v/>
      </c>
      <c r="AB465" s="63">
        <f>IF($A465="","",IF(AND($F465="Yes",OR($U465="No",$U465="NOT FOUND")),"YES",""))</f>
        <v/>
      </c>
      <c r="AC465" s="66">
        <f>IF($A465="","",TRIM(IF(AND($P465=0,$L465&lt;&gt;"Yes"),"T0-NoSmartcard ","")&amp;IF(AND($J465&lt;&gt;"",$J465&gt;365),"StalePwd ","")&amp;IF($K465="Yes","PwdNeverExpires ","")&amp;IF(AND($S465&lt;&gt;"",$S465&lt;&gt;"None"),"Delegation ","")&amp;IF(AND($Q465=1,$O465="None"),"StaleAdminCount ","")&amp;IF(AND($F465="Yes",$H465=""),"NeverLoggedOn ","")))</f>
        <v/>
      </c>
      <c r="AD465" s="60" t="n"/>
      <c r="AE465" s="61" t="n"/>
      <c r="AF465" s="60" t="n"/>
      <c r="AG465" s="62" t="n"/>
      <c r="AH465" s="62" t="n"/>
      <c r="AI465" s="62" t="n"/>
      <c r="AJ465" s="60" t="n"/>
      <c r="AK465" s="61" t="n"/>
      <c r="AL465" s="63">
        <f>IF($A465="","",IF(AH465="","Not Enrolled",IF(TODAY()&gt;AH465,"Review Overdue",IF(AH465-TODAY()&lt;=30,"Review Due Soon","Active"))))</f>
        <v/>
      </c>
      <c r="AM465" s="63">
        <f>IF($A465="","",IF(AI465="","NOT REVIEWED",IF(TODAY()-AI465&gt;90,"OVERDUE",IF(TODAY()-AI465&gt;76,"Due Soon","Current"))))</f>
        <v/>
      </c>
    </row>
    <row r="466" ht="15" customHeight="1" s="39">
      <c r="A466" s="60" t="n"/>
      <c r="B466" s="60" t="n"/>
      <c r="C466" s="61" t="n"/>
      <c r="D466" s="61" t="n"/>
      <c r="E466" s="60" t="n"/>
      <c r="F466" s="60" t="n"/>
      <c r="G466" s="62" t="n"/>
      <c r="H466" s="62" t="n"/>
      <c r="I466" s="62" t="n"/>
      <c r="J466" s="60" t="n"/>
      <c r="K466" s="60" t="n"/>
      <c r="L466" s="60" t="n"/>
      <c r="M466" s="61" t="n"/>
      <c r="N466" s="60" t="n"/>
      <c r="O466" s="60" t="n"/>
      <c r="P466" s="60" t="n"/>
      <c r="Q466" s="60" t="n"/>
      <c r="R466" s="60" t="n"/>
      <c r="S466" s="60" t="n"/>
      <c r="T466" s="60" t="n"/>
      <c r="U466" s="60" t="n"/>
      <c r="V466" s="60" t="n"/>
      <c r="W466" s="60" t="n"/>
      <c r="X466" s="60" t="n"/>
      <c r="Y466" s="60" t="n"/>
      <c r="Z466" s="61" t="n"/>
      <c r="AA466" s="63">
        <f>IF($H466="","",TODAY()-$H466)</f>
        <v/>
      </c>
      <c r="AB466" s="63">
        <f>IF($A466="","",IF(AND($F466="Yes",OR($U466="No",$U466="NOT FOUND")),"YES",""))</f>
        <v/>
      </c>
      <c r="AC466" s="66">
        <f>IF($A466="","",TRIM(IF(AND($P466=0,$L466&lt;&gt;"Yes"),"T0-NoSmartcard ","")&amp;IF(AND($J466&lt;&gt;"",$J466&gt;365),"StalePwd ","")&amp;IF($K466="Yes","PwdNeverExpires ","")&amp;IF(AND($S466&lt;&gt;"",$S466&lt;&gt;"None"),"Delegation ","")&amp;IF(AND($Q466=1,$O466="None"),"StaleAdminCount ","")&amp;IF(AND($F466="Yes",$H466=""),"NeverLoggedOn ","")))</f>
        <v/>
      </c>
      <c r="AD466" s="60" t="n"/>
      <c r="AE466" s="61" t="n"/>
      <c r="AF466" s="60" t="n"/>
      <c r="AG466" s="62" t="n"/>
      <c r="AH466" s="62" t="n"/>
      <c r="AI466" s="62" t="n"/>
      <c r="AJ466" s="60" t="n"/>
      <c r="AK466" s="61" t="n"/>
      <c r="AL466" s="63">
        <f>IF($A466="","",IF(AH466="","Not Enrolled",IF(TODAY()&gt;AH466,"Review Overdue",IF(AH466-TODAY()&lt;=30,"Review Due Soon","Active"))))</f>
        <v/>
      </c>
      <c r="AM466" s="63">
        <f>IF($A466="","",IF(AI466="","NOT REVIEWED",IF(TODAY()-AI466&gt;90,"OVERDUE",IF(TODAY()-AI466&gt;76,"Due Soon","Current"))))</f>
        <v/>
      </c>
    </row>
    <row r="467" ht="15" customHeight="1" s="39">
      <c r="A467" s="60" t="n"/>
      <c r="B467" s="60" t="n"/>
      <c r="C467" s="61" t="n"/>
      <c r="D467" s="61" t="n"/>
      <c r="E467" s="60" t="n"/>
      <c r="F467" s="60" t="n"/>
      <c r="G467" s="62" t="n"/>
      <c r="H467" s="62" t="n"/>
      <c r="I467" s="62" t="n"/>
      <c r="J467" s="60" t="n"/>
      <c r="K467" s="60" t="n"/>
      <c r="L467" s="60" t="n"/>
      <c r="M467" s="61" t="n"/>
      <c r="N467" s="60" t="n"/>
      <c r="O467" s="60" t="n"/>
      <c r="P467" s="60" t="n"/>
      <c r="Q467" s="60" t="n"/>
      <c r="R467" s="60" t="n"/>
      <c r="S467" s="60" t="n"/>
      <c r="T467" s="60" t="n"/>
      <c r="U467" s="60" t="n"/>
      <c r="V467" s="60" t="n"/>
      <c r="W467" s="60" t="n"/>
      <c r="X467" s="60" t="n"/>
      <c r="Y467" s="60" t="n"/>
      <c r="Z467" s="61" t="n"/>
      <c r="AA467" s="63">
        <f>IF($H467="","",TODAY()-$H467)</f>
        <v/>
      </c>
      <c r="AB467" s="63">
        <f>IF($A467="","",IF(AND($F467="Yes",OR($U467="No",$U467="NOT FOUND")),"YES",""))</f>
        <v/>
      </c>
      <c r="AC467" s="66">
        <f>IF($A467="","",TRIM(IF(AND($P467=0,$L467&lt;&gt;"Yes"),"T0-NoSmartcard ","")&amp;IF(AND($J467&lt;&gt;"",$J467&gt;365),"StalePwd ","")&amp;IF($K467="Yes","PwdNeverExpires ","")&amp;IF(AND($S467&lt;&gt;"",$S467&lt;&gt;"None"),"Delegation ","")&amp;IF(AND($Q467=1,$O467="None"),"StaleAdminCount ","")&amp;IF(AND($F467="Yes",$H467=""),"NeverLoggedOn ","")))</f>
        <v/>
      </c>
      <c r="AD467" s="60" t="n"/>
      <c r="AE467" s="61" t="n"/>
      <c r="AF467" s="60" t="n"/>
      <c r="AG467" s="62" t="n"/>
      <c r="AH467" s="62" t="n"/>
      <c r="AI467" s="62" t="n"/>
      <c r="AJ467" s="60" t="n"/>
      <c r="AK467" s="61" t="n"/>
      <c r="AL467" s="63">
        <f>IF($A467="","",IF(AH467="","Not Enrolled",IF(TODAY()&gt;AH467,"Review Overdue",IF(AH467-TODAY()&lt;=30,"Review Due Soon","Active"))))</f>
        <v/>
      </c>
      <c r="AM467" s="63">
        <f>IF($A467="","",IF(AI467="","NOT REVIEWED",IF(TODAY()-AI467&gt;90,"OVERDUE",IF(TODAY()-AI467&gt;76,"Due Soon","Current"))))</f>
        <v/>
      </c>
    </row>
    <row r="468" ht="15" customHeight="1" s="39">
      <c r="A468" s="60" t="n"/>
      <c r="B468" s="60" t="n"/>
      <c r="C468" s="61" t="n"/>
      <c r="D468" s="61" t="n"/>
      <c r="E468" s="60" t="n"/>
      <c r="F468" s="60" t="n"/>
      <c r="G468" s="62" t="n"/>
      <c r="H468" s="62" t="n"/>
      <c r="I468" s="62" t="n"/>
      <c r="J468" s="60" t="n"/>
      <c r="K468" s="60" t="n"/>
      <c r="L468" s="60" t="n"/>
      <c r="M468" s="61" t="n"/>
      <c r="N468" s="60" t="n"/>
      <c r="O468" s="60" t="n"/>
      <c r="P468" s="60" t="n"/>
      <c r="Q468" s="60" t="n"/>
      <c r="R468" s="60" t="n"/>
      <c r="S468" s="60" t="n"/>
      <c r="T468" s="60" t="n"/>
      <c r="U468" s="60" t="n"/>
      <c r="V468" s="60" t="n"/>
      <c r="W468" s="60" t="n"/>
      <c r="X468" s="60" t="n"/>
      <c r="Y468" s="60" t="n"/>
      <c r="Z468" s="61" t="n"/>
      <c r="AA468" s="63">
        <f>IF($H468="","",TODAY()-$H468)</f>
        <v/>
      </c>
      <c r="AB468" s="63">
        <f>IF($A468="","",IF(AND($F468="Yes",OR($U468="No",$U468="NOT FOUND")),"YES",""))</f>
        <v/>
      </c>
      <c r="AC468" s="66">
        <f>IF($A468="","",TRIM(IF(AND($P468=0,$L468&lt;&gt;"Yes"),"T0-NoSmartcard ","")&amp;IF(AND($J468&lt;&gt;"",$J468&gt;365),"StalePwd ","")&amp;IF($K468="Yes","PwdNeverExpires ","")&amp;IF(AND($S468&lt;&gt;"",$S468&lt;&gt;"None"),"Delegation ","")&amp;IF(AND($Q468=1,$O468="None"),"StaleAdminCount ","")&amp;IF(AND($F468="Yes",$H468=""),"NeverLoggedOn ","")))</f>
        <v/>
      </c>
      <c r="AD468" s="60" t="n"/>
      <c r="AE468" s="61" t="n"/>
      <c r="AF468" s="60" t="n"/>
      <c r="AG468" s="62" t="n"/>
      <c r="AH468" s="62" t="n"/>
      <c r="AI468" s="62" t="n"/>
      <c r="AJ468" s="60" t="n"/>
      <c r="AK468" s="61" t="n"/>
      <c r="AL468" s="63">
        <f>IF($A468="","",IF(AH468="","Not Enrolled",IF(TODAY()&gt;AH468,"Review Overdue",IF(AH468-TODAY()&lt;=30,"Review Due Soon","Active"))))</f>
        <v/>
      </c>
      <c r="AM468" s="63">
        <f>IF($A468="","",IF(AI468="","NOT REVIEWED",IF(TODAY()-AI468&gt;90,"OVERDUE",IF(TODAY()-AI468&gt;76,"Due Soon","Current"))))</f>
        <v/>
      </c>
    </row>
    <row r="469" ht="15" customHeight="1" s="39">
      <c r="A469" s="60" t="n"/>
      <c r="B469" s="60" t="n"/>
      <c r="C469" s="61" t="n"/>
      <c r="D469" s="61" t="n"/>
      <c r="E469" s="60" t="n"/>
      <c r="F469" s="60" t="n"/>
      <c r="G469" s="62" t="n"/>
      <c r="H469" s="62" t="n"/>
      <c r="I469" s="62" t="n"/>
      <c r="J469" s="60" t="n"/>
      <c r="K469" s="60" t="n"/>
      <c r="L469" s="60" t="n"/>
      <c r="M469" s="61" t="n"/>
      <c r="N469" s="60" t="n"/>
      <c r="O469" s="60" t="n"/>
      <c r="P469" s="60" t="n"/>
      <c r="Q469" s="60" t="n"/>
      <c r="R469" s="60" t="n"/>
      <c r="S469" s="60" t="n"/>
      <c r="T469" s="60" t="n"/>
      <c r="U469" s="60" t="n"/>
      <c r="V469" s="60" t="n"/>
      <c r="W469" s="60" t="n"/>
      <c r="X469" s="60" t="n"/>
      <c r="Y469" s="60" t="n"/>
      <c r="Z469" s="61" t="n"/>
      <c r="AA469" s="63">
        <f>IF($H469="","",TODAY()-$H469)</f>
        <v/>
      </c>
      <c r="AB469" s="63">
        <f>IF($A469="","",IF(AND($F469="Yes",OR($U469="No",$U469="NOT FOUND")),"YES",""))</f>
        <v/>
      </c>
      <c r="AC469" s="66">
        <f>IF($A469="","",TRIM(IF(AND($P469=0,$L469&lt;&gt;"Yes"),"T0-NoSmartcard ","")&amp;IF(AND($J469&lt;&gt;"",$J469&gt;365),"StalePwd ","")&amp;IF($K469="Yes","PwdNeverExpires ","")&amp;IF(AND($S469&lt;&gt;"",$S469&lt;&gt;"None"),"Delegation ","")&amp;IF(AND($Q469=1,$O469="None"),"StaleAdminCount ","")&amp;IF(AND($F469="Yes",$H469=""),"NeverLoggedOn ","")))</f>
        <v/>
      </c>
      <c r="AD469" s="60" t="n"/>
      <c r="AE469" s="61" t="n"/>
      <c r="AF469" s="60" t="n"/>
      <c r="AG469" s="62" t="n"/>
      <c r="AH469" s="62" t="n"/>
      <c r="AI469" s="62" t="n"/>
      <c r="AJ469" s="60" t="n"/>
      <c r="AK469" s="61" t="n"/>
      <c r="AL469" s="63">
        <f>IF($A469="","",IF(AH469="","Not Enrolled",IF(TODAY()&gt;AH469,"Review Overdue",IF(AH469-TODAY()&lt;=30,"Review Due Soon","Active"))))</f>
        <v/>
      </c>
      <c r="AM469" s="63">
        <f>IF($A469="","",IF(AI469="","NOT REVIEWED",IF(TODAY()-AI469&gt;90,"OVERDUE",IF(TODAY()-AI469&gt;76,"Due Soon","Current"))))</f>
        <v/>
      </c>
    </row>
    <row r="470" ht="15" customHeight="1" s="39">
      <c r="A470" s="60" t="n"/>
      <c r="B470" s="60" t="n"/>
      <c r="C470" s="61" t="n"/>
      <c r="D470" s="61" t="n"/>
      <c r="E470" s="60" t="n"/>
      <c r="F470" s="60" t="n"/>
      <c r="G470" s="62" t="n"/>
      <c r="H470" s="62" t="n"/>
      <c r="I470" s="62" t="n"/>
      <c r="J470" s="60" t="n"/>
      <c r="K470" s="60" t="n"/>
      <c r="L470" s="60" t="n"/>
      <c r="M470" s="61" t="n"/>
      <c r="N470" s="60" t="n"/>
      <c r="O470" s="60" t="n"/>
      <c r="P470" s="60" t="n"/>
      <c r="Q470" s="60" t="n"/>
      <c r="R470" s="60" t="n"/>
      <c r="S470" s="60" t="n"/>
      <c r="T470" s="60" t="n"/>
      <c r="U470" s="60" t="n"/>
      <c r="V470" s="60" t="n"/>
      <c r="W470" s="60" t="n"/>
      <c r="X470" s="60" t="n"/>
      <c r="Y470" s="60" t="n"/>
      <c r="Z470" s="61" t="n"/>
      <c r="AA470" s="63">
        <f>IF($H470="","",TODAY()-$H470)</f>
        <v/>
      </c>
      <c r="AB470" s="63">
        <f>IF($A470="","",IF(AND($F470="Yes",OR($U470="No",$U470="NOT FOUND")),"YES",""))</f>
        <v/>
      </c>
      <c r="AC470" s="66">
        <f>IF($A470="","",TRIM(IF(AND($P470=0,$L470&lt;&gt;"Yes"),"T0-NoSmartcard ","")&amp;IF(AND($J470&lt;&gt;"",$J470&gt;365),"StalePwd ","")&amp;IF($K470="Yes","PwdNeverExpires ","")&amp;IF(AND($S470&lt;&gt;"",$S470&lt;&gt;"None"),"Delegation ","")&amp;IF(AND($Q470=1,$O470="None"),"StaleAdminCount ","")&amp;IF(AND($F470="Yes",$H470=""),"NeverLoggedOn ","")))</f>
        <v/>
      </c>
      <c r="AD470" s="60" t="n"/>
      <c r="AE470" s="61" t="n"/>
      <c r="AF470" s="60" t="n"/>
      <c r="AG470" s="62" t="n"/>
      <c r="AH470" s="62" t="n"/>
      <c r="AI470" s="62" t="n"/>
      <c r="AJ470" s="60" t="n"/>
      <c r="AK470" s="61" t="n"/>
      <c r="AL470" s="63">
        <f>IF($A470="","",IF(AH470="","Not Enrolled",IF(TODAY()&gt;AH470,"Review Overdue",IF(AH470-TODAY()&lt;=30,"Review Due Soon","Active"))))</f>
        <v/>
      </c>
      <c r="AM470" s="63">
        <f>IF($A470="","",IF(AI470="","NOT REVIEWED",IF(TODAY()-AI470&gt;90,"OVERDUE",IF(TODAY()-AI470&gt;76,"Due Soon","Current"))))</f>
        <v/>
      </c>
    </row>
    <row r="471" ht="15" customHeight="1" s="39">
      <c r="A471" s="60" t="n"/>
      <c r="B471" s="60" t="n"/>
      <c r="C471" s="61" t="n"/>
      <c r="D471" s="61" t="n"/>
      <c r="E471" s="60" t="n"/>
      <c r="F471" s="60" t="n"/>
      <c r="G471" s="62" t="n"/>
      <c r="H471" s="62" t="n"/>
      <c r="I471" s="62" t="n"/>
      <c r="J471" s="60" t="n"/>
      <c r="K471" s="60" t="n"/>
      <c r="L471" s="60" t="n"/>
      <c r="M471" s="61" t="n"/>
      <c r="N471" s="60" t="n"/>
      <c r="O471" s="60" t="n"/>
      <c r="P471" s="60" t="n"/>
      <c r="Q471" s="60" t="n"/>
      <c r="R471" s="60" t="n"/>
      <c r="S471" s="60" t="n"/>
      <c r="T471" s="60" t="n"/>
      <c r="U471" s="60" t="n"/>
      <c r="V471" s="60" t="n"/>
      <c r="W471" s="60" t="n"/>
      <c r="X471" s="60" t="n"/>
      <c r="Y471" s="60" t="n"/>
      <c r="Z471" s="61" t="n"/>
      <c r="AA471" s="63">
        <f>IF($H471="","",TODAY()-$H471)</f>
        <v/>
      </c>
      <c r="AB471" s="63">
        <f>IF($A471="","",IF(AND($F471="Yes",OR($U471="No",$U471="NOT FOUND")),"YES",""))</f>
        <v/>
      </c>
      <c r="AC471" s="66">
        <f>IF($A471="","",TRIM(IF(AND($P471=0,$L471&lt;&gt;"Yes"),"T0-NoSmartcard ","")&amp;IF(AND($J471&lt;&gt;"",$J471&gt;365),"StalePwd ","")&amp;IF($K471="Yes","PwdNeverExpires ","")&amp;IF(AND($S471&lt;&gt;"",$S471&lt;&gt;"None"),"Delegation ","")&amp;IF(AND($Q471=1,$O471="None"),"StaleAdminCount ","")&amp;IF(AND($F471="Yes",$H471=""),"NeverLoggedOn ","")))</f>
        <v/>
      </c>
      <c r="AD471" s="60" t="n"/>
      <c r="AE471" s="61" t="n"/>
      <c r="AF471" s="60" t="n"/>
      <c r="AG471" s="62" t="n"/>
      <c r="AH471" s="62" t="n"/>
      <c r="AI471" s="62" t="n"/>
      <c r="AJ471" s="60" t="n"/>
      <c r="AK471" s="61" t="n"/>
      <c r="AL471" s="63">
        <f>IF($A471="","",IF(AH471="","Not Enrolled",IF(TODAY()&gt;AH471,"Review Overdue",IF(AH471-TODAY()&lt;=30,"Review Due Soon","Active"))))</f>
        <v/>
      </c>
      <c r="AM471" s="63">
        <f>IF($A471="","",IF(AI471="","NOT REVIEWED",IF(TODAY()-AI471&gt;90,"OVERDUE",IF(TODAY()-AI471&gt;76,"Due Soon","Current"))))</f>
        <v/>
      </c>
    </row>
    <row r="472" ht="15" customHeight="1" s="39">
      <c r="A472" s="60" t="n"/>
      <c r="B472" s="60" t="n"/>
      <c r="C472" s="61" t="n"/>
      <c r="D472" s="61" t="n"/>
      <c r="E472" s="60" t="n"/>
      <c r="F472" s="60" t="n"/>
      <c r="G472" s="62" t="n"/>
      <c r="H472" s="62" t="n"/>
      <c r="I472" s="62" t="n"/>
      <c r="J472" s="60" t="n"/>
      <c r="K472" s="60" t="n"/>
      <c r="L472" s="60" t="n"/>
      <c r="M472" s="61" t="n"/>
      <c r="N472" s="60" t="n"/>
      <c r="O472" s="60" t="n"/>
      <c r="P472" s="60" t="n"/>
      <c r="Q472" s="60" t="n"/>
      <c r="R472" s="60" t="n"/>
      <c r="S472" s="60" t="n"/>
      <c r="T472" s="60" t="n"/>
      <c r="U472" s="60" t="n"/>
      <c r="V472" s="60" t="n"/>
      <c r="W472" s="60" t="n"/>
      <c r="X472" s="60" t="n"/>
      <c r="Y472" s="60" t="n"/>
      <c r="Z472" s="61" t="n"/>
      <c r="AA472" s="63">
        <f>IF($H472="","",TODAY()-$H472)</f>
        <v/>
      </c>
      <c r="AB472" s="63">
        <f>IF($A472="","",IF(AND($F472="Yes",OR($U472="No",$U472="NOT FOUND")),"YES",""))</f>
        <v/>
      </c>
      <c r="AC472" s="66">
        <f>IF($A472="","",TRIM(IF(AND($P472=0,$L472&lt;&gt;"Yes"),"T0-NoSmartcard ","")&amp;IF(AND($J472&lt;&gt;"",$J472&gt;365),"StalePwd ","")&amp;IF($K472="Yes","PwdNeverExpires ","")&amp;IF(AND($S472&lt;&gt;"",$S472&lt;&gt;"None"),"Delegation ","")&amp;IF(AND($Q472=1,$O472="None"),"StaleAdminCount ","")&amp;IF(AND($F472="Yes",$H472=""),"NeverLoggedOn ","")))</f>
        <v/>
      </c>
      <c r="AD472" s="60" t="n"/>
      <c r="AE472" s="61" t="n"/>
      <c r="AF472" s="60" t="n"/>
      <c r="AG472" s="62" t="n"/>
      <c r="AH472" s="62" t="n"/>
      <c r="AI472" s="62" t="n"/>
      <c r="AJ472" s="60" t="n"/>
      <c r="AK472" s="61" t="n"/>
      <c r="AL472" s="63">
        <f>IF($A472="","",IF(AH472="","Not Enrolled",IF(TODAY()&gt;AH472,"Review Overdue",IF(AH472-TODAY()&lt;=30,"Review Due Soon","Active"))))</f>
        <v/>
      </c>
      <c r="AM472" s="63">
        <f>IF($A472="","",IF(AI472="","NOT REVIEWED",IF(TODAY()-AI472&gt;90,"OVERDUE",IF(TODAY()-AI472&gt;76,"Due Soon","Current"))))</f>
        <v/>
      </c>
    </row>
    <row r="473" ht="15" customHeight="1" s="39">
      <c r="A473" s="60" t="n"/>
      <c r="B473" s="60" t="n"/>
      <c r="C473" s="61" t="n"/>
      <c r="D473" s="61" t="n"/>
      <c r="E473" s="60" t="n"/>
      <c r="F473" s="60" t="n"/>
      <c r="G473" s="62" t="n"/>
      <c r="H473" s="62" t="n"/>
      <c r="I473" s="62" t="n"/>
      <c r="J473" s="60" t="n"/>
      <c r="K473" s="60" t="n"/>
      <c r="L473" s="60" t="n"/>
      <c r="M473" s="61" t="n"/>
      <c r="N473" s="60" t="n"/>
      <c r="O473" s="60" t="n"/>
      <c r="P473" s="60" t="n"/>
      <c r="Q473" s="60" t="n"/>
      <c r="R473" s="60" t="n"/>
      <c r="S473" s="60" t="n"/>
      <c r="T473" s="60" t="n"/>
      <c r="U473" s="60" t="n"/>
      <c r="V473" s="60" t="n"/>
      <c r="W473" s="60" t="n"/>
      <c r="X473" s="60" t="n"/>
      <c r="Y473" s="60" t="n"/>
      <c r="Z473" s="61" t="n"/>
      <c r="AA473" s="63">
        <f>IF($H473="","",TODAY()-$H473)</f>
        <v/>
      </c>
      <c r="AB473" s="63">
        <f>IF($A473="","",IF(AND($F473="Yes",OR($U473="No",$U473="NOT FOUND")),"YES",""))</f>
        <v/>
      </c>
      <c r="AC473" s="66">
        <f>IF($A473="","",TRIM(IF(AND($P473=0,$L473&lt;&gt;"Yes"),"T0-NoSmartcard ","")&amp;IF(AND($J473&lt;&gt;"",$J473&gt;365),"StalePwd ","")&amp;IF($K473="Yes","PwdNeverExpires ","")&amp;IF(AND($S473&lt;&gt;"",$S473&lt;&gt;"None"),"Delegation ","")&amp;IF(AND($Q473=1,$O473="None"),"StaleAdminCount ","")&amp;IF(AND($F473="Yes",$H473=""),"NeverLoggedOn ","")))</f>
        <v/>
      </c>
      <c r="AD473" s="60" t="n"/>
      <c r="AE473" s="61" t="n"/>
      <c r="AF473" s="60" t="n"/>
      <c r="AG473" s="62" t="n"/>
      <c r="AH473" s="62" t="n"/>
      <c r="AI473" s="62" t="n"/>
      <c r="AJ473" s="60" t="n"/>
      <c r="AK473" s="61" t="n"/>
      <c r="AL473" s="63">
        <f>IF($A473="","",IF(AH473="","Not Enrolled",IF(TODAY()&gt;AH473,"Review Overdue",IF(AH473-TODAY()&lt;=30,"Review Due Soon","Active"))))</f>
        <v/>
      </c>
      <c r="AM473" s="63">
        <f>IF($A473="","",IF(AI473="","NOT REVIEWED",IF(TODAY()-AI473&gt;90,"OVERDUE",IF(TODAY()-AI473&gt;76,"Due Soon","Current"))))</f>
        <v/>
      </c>
    </row>
    <row r="474" ht="15" customHeight="1" s="39">
      <c r="A474" s="60" t="n"/>
      <c r="B474" s="60" t="n"/>
      <c r="C474" s="61" t="n"/>
      <c r="D474" s="61" t="n"/>
      <c r="E474" s="60" t="n"/>
      <c r="F474" s="60" t="n"/>
      <c r="G474" s="62" t="n"/>
      <c r="H474" s="62" t="n"/>
      <c r="I474" s="62" t="n"/>
      <c r="J474" s="60" t="n"/>
      <c r="K474" s="60" t="n"/>
      <c r="L474" s="60" t="n"/>
      <c r="M474" s="61" t="n"/>
      <c r="N474" s="60" t="n"/>
      <c r="O474" s="60" t="n"/>
      <c r="P474" s="60" t="n"/>
      <c r="Q474" s="60" t="n"/>
      <c r="R474" s="60" t="n"/>
      <c r="S474" s="60" t="n"/>
      <c r="T474" s="60" t="n"/>
      <c r="U474" s="60" t="n"/>
      <c r="V474" s="60" t="n"/>
      <c r="W474" s="60" t="n"/>
      <c r="X474" s="60" t="n"/>
      <c r="Y474" s="60" t="n"/>
      <c r="Z474" s="61" t="n"/>
      <c r="AA474" s="63">
        <f>IF($H474="","",TODAY()-$H474)</f>
        <v/>
      </c>
      <c r="AB474" s="63">
        <f>IF($A474="","",IF(AND($F474="Yes",OR($U474="No",$U474="NOT FOUND")),"YES",""))</f>
        <v/>
      </c>
      <c r="AC474" s="66">
        <f>IF($A474="","",TRIM(IF(AND($P474=0,$L474&lt;&gt;"Yes"),"T0-NoSmartcard ","")&amp;IF(AND($J474&lt;&gt;"",$J474&gt;365),"StalePwd ","")&amp;IF($K474="Yes","PwdNeverExpires ","")&amp;IF(AND($S474&lt;&gt;"",$S474&lt;&gt;"None"),"Delegation ","")&amp;IF(AND($Q474=1,$O474="None"),"StaleAdminCount ","")&amp;IF(AND($F474="Yes",$H474=""),"NeverLoggedOn ","")))</f>
        <v/>
      </c>
      <c r="AD474" s="60" t="n"/>
      <c r="AE474" s="61" t="n"/>
      <c r="AF474" s="60" t="n"/>
      <c r="AG474" s="62" t="n"/>
      <c r="AH474" s="62" t="n"/>
      <c r="AI474" s="62" t="n"/>
      <c r="AJ474" s="60" t="n"/>
      <c r="AK474" s="61" t="n"/>
      <c r="AL474" s="63">
        <f>IF($A474="","",IF(AH474="","Not Enrolled",IF(TODAY()&gt;AH474,"Review Overdue",IF(AH474-TODAY()&lt;=30,"Review Due Soon","Active"))))</f>
        <v/>
      </c>
      <c r="AM474" s="63">
        <f>IF($A474="","",IF(AI474="","NOT REVIEWED",IF(TODAY()-AI474&gt;90,"OVERDUE",IF(TODAY()-AI474&gt;76,"Due Soon","Current"))))</f>
        <v/>
      </c>
    </row>
    <row r="475" ht="15" customHeight="1" s="39">
      <c r="A475" s="60" t="n"/>
      <c r="B475" s="60" t="n"/>
      <c r="C475" s="61" t="n"/>
      <c r="D475" s="61" t="n"/>
      <c r="E475" s="60" t="n"/>
      <c r="F475" s="60" t="n"/>
      <c r="G475" s="62" t="n"/>
      <c r="H475" s="62" t="n"/>
      <c r="I475" s="62" t="n"/>
      <c r="J475" s="60" t="n"/>
      <c r="K475" s="60" t="n"/>
      <c r="L475" s="60" t="n"/>
      <c r="M475" s="61" t="n"/>
      <c r="N475" s="60" t="n"/>
      <c r="O475" s="60" t="n"/>
      <c r="P475" s="60" t="n"/>
      <c r="Q475" s="60" t="n"/>
      <c r="R475" s="60" t="n"/>
      <c r="S475" s="60" t="n"/>
      <c r="T475" s="60" t="n"/>
      <c r="U475" s="60" t="n"/>
      <c r="V475" s="60" t="n"/>
      <c r="W475" s="60" t="n"/>
      <c r="X475" s="60" t="n"/>
      <c r="Y475" s="60" t="n"/>
      <c r="Z475" s="61" t="n"/>
      <c r="AA475" s="63">
        <f>IF($H475="","",TODAY()-$H475)</f>
        <v/>
      </c>
      <c r="AB475" s="63">
        <f>IF($A475="","",IF(AND($F475="Yes",OR($U475="No",$U475="NOT FOUND")),"YES",""))</f>
        <v/>
      </c>
      <c r="AC475" s="66">
        <f>IF($A475="","",TRIM(IF(AND($P475=0,$L475&lt;&gt;"Yes"),"T0-NoSmartcard ","")&amp;IF(AND($J475&lt;&gt;"",$J475&gt;365),"StalePwd ","")&amp;IF($K475="Yes","PwdNeverExpires ","")&amp;IF(AND($S475&lt;&gt;"",$S475&lt;&gt;"None"),"Delegation ","")&amp;IF(AND($Q475=1,$O475="None"),"StaleAdminCount ","")&amp;IF(AND($F475="Yes",$H475=""),"NeverLoggedOn ","")))</f>
        <v/>
      </c>
      <c r="AD475" s="60" t="n"/>
      <c r="AE475" s="61" t="n"/>
      <c r="AF475" s="60" t="n"/>
      <c r="AG475" s="62" t="n"/>
      <c r="AH475" s="62" t="n"/>
      <c r="AI475" s="62" t="n"/>
      <c r="AJ475" s="60" t="n"/>
      <c r="AK475" s="61" t="n"/>
      <c r="AL475" s="63">
        <f>IF($A475="","",IF(AH475="","Not Enrolled",IF(TODAY()&gt;AH475,"Review Overdue",IF(AH475-TODAY()&lt;=30,"Review Due Soon","Active"))))</f>
        <v/>
      </c>
      <c r="AM475" s="63">
        <f>IF($A475="","",IF(AI475="","NOT REVIEWED",IF(TODAY()-AI475&gt;90,"OVERDUE",IF(TODAY()-AI475&gt;76,"Due Soon","Current"))))</f>
        <v/>
      </c>
    </row>
    <row r="476" ht="15" customHeight="1" s="39">
      <c r="A476" s="60" t="n"/>
      <c r="B476" s="60" t="n"/>
      <c r="C476" s="61" t="n"/>
      <c r="D476" s="61" t="n"/>
      <c r="E476" s="60" t="n"/>
      <c r="F476" s="60" t="n"/>
      <c r="G476" s="62" t="n"/>
      <c r="H476" s="62" t="n"/>
      <c r="I476" s="62" t="n"/>
      <c r="J476" s="60" t="n"/>
      <c r="K476" s="60" t="n"/>
      <c r="L476" s="60" t="n"/>
      <c r="M476" s="61" t="n"/>
      <c r="N476" s="60" t="n"/>
      <c r="O476" s="60" t="n"/>
      <c r="P476" s="60" t="n"/>
      <c r="Q476" s="60" t="n"/>
      <c r="R476" s="60" t="n"/>
      <c r="S476" s="60" t="n"/>
      <c r="T476" s="60" t="n"/>
      <c r="U476" s="60" t="n"/>
      <c r="V476" s="60" t="n"/>
      <c r="W476" s="60" t="n"/>
      <c r="X476" s="60" t="n"/>
      <c r="Y476" s="60" t="n"/>
      <c r="Z476" s="61" t="n"/>
      <c r="AA476" s="63">
        <f>IF($H476="","",TODAY()-$H476)</f>
        <v/>
      </c>
      <c r="AB476" s="63">
        <f>IF($A476="","",IF(AND($F476="Yes",OR($U476="No",$U476="NOT FOUND")),"YES",""))</f>
        <v/>
      </c>
      <c r="AC476" s="66">
        <f>IF($A476="","",TRIM(IF(AND($P476=0,$L476&lt;&gt;"Yes"),"T0-NoSmartcard ","")&amp;IF(AND($J476&lt;&gt;"",$J476&gt;365),"StalePwd ","")&amp;IF($K476="Yes","PwdNeverExpires ","")&amp;IF(AND($S476&lt;&gt;"",$S476&lt;&gt;"None"),"Delegation ","")&amp;IF(AND($Q476=1,$O476="None"),"StaleAdminCount ","")&amp;IF(AND($F476="Yes",$H476=""),"NeverLoggedOn ","")))</f>
        <v/>
      </c>
      <c r="AD476" s="60" t="n"/>
      <c r="AE476" s="61" t="n"/>
      <c r="AF476" s="60" t="n"/>
      <c r="AG476" s="62" t="n"/>
      <c r="AH476" s="62" t="n"/>
      <c r="AI476" s="62" t="n"/>
      <c r="AJ476" s="60" t="n"/>
      <c r="AK476" s="61" t="n"/>
      <c r="AL476" s="63">
        <f>IF($A476="","",IF(AH476="","Not Enrolled",IF(TODAY()&gt;AH476,"Review Overdue",IF(AH476-TODAY()&lt;=30,"Review Due Soon","Active"))))</f>
        <v/>
      </c>
      <c r="AM476" s="63">
        <f>IF($A476="","",IF(AI476="","NOT REVIEWED",IF(TODAY()-AI476&gt;90,"OVERDUE",IF(TODAY()-AI476&gt;76,"Due Soon","Current"))))</f>
        <v/>
      </c>
    </row>
    <row r="477" ht="15" customHeight="1" s="39">
      <c r="A477" s="60" t="n"/>
      <c r="B477" s="60" t="n"/>
      <c r="C477" s="61" t="n"/>
      <c r="D477" s="61" t="n"/>
      <c r="E477" s="60" t="n"/>
      <c r="F477" s="60" t="n"/>
      <c r="G477" s="62" t="n"/>
      <c r="H477" s="62" t="n"/>
      <c r="I477" s="62" t="n"/>
      <c r="J477" s="60" t="n"/>
      <c r="K477" s="60" t="n"/>
      <c r="L477" s="60" t="n"/>
      <c r="M477" s="61" t="n"/>
      <c r="N477" s="60" t="n"/>
      <c r="O477" s="60" t="n"/>
      <c r="P477" s="60" t="n"/>
      <c r="Q477" s="60" t="n"/>
      <c r="R477" s="60" t="n"/>
      <c r="S477" s="60" t="n"/>
      <c r="T477" s="60" t="n"/>
      <c r="U477" s="60" t="n"/>
      <c r="V477" s="60" t="n"/>
      <c r="W477" s="60" t="n"/>
      <c r="X477" s="60" t="n"/>
      <c r="Y477" s="60" t="n"/>
      <c r="Z477" s="61" t="n"/>
      <c r="AA477" s="63">
        <f>IF($H477="","",TODAY()-$H477)</f>
        <v/>
      </c>
      <c r="AB477" s="63">
        <f>IF($A477="","",IF(AND($F477="Yes",OR($U477="No",$U477="NOT FOUND")),"YES",""))</f>
        <v/>
      </c>
      <c r="AC477" s="66">
        <f>IF($A477="","",TRIM(IF(AND($P477=0,$L477&lt;&gt;"Yes"),"T0-NoSmartcard ","")&amp;IF(AND($J477&lt;&gt;"",$J477&gt;365),"StalePwd ","")&amp;IF($K477="Yes","PwdNeverExpires ","")&amp;IF(AND($S477&lt;&gt;"",$S477&lt;&gt;"None"),"Delegation ","")&amp;IF(AND($Q477=1,$O477="None"),"StaleAdminCount ","")&amp;IF(AND($F477="Yes",$H477=""),"NeverLoggedOn ","")))</f>
        <v/>
      </c>
      <c r="AD477" s="60" t="n"/>
      <c r="AE477" s="61" t="n"/>
      <c r="AF477" s="60" t="n"/>
      <c r="AG477" s="62" t="n"/>
      <c r="AH477" s="62" t="n"/>
      <c r="AI477" s="62" t="n"/>
      <c r="AJ477" s="60" t="n"/>
      <c r="AK477" s="61" t="n"/>
      <c r="AL477" s="63">
        <f>IF($A477="","",IF(AH477="","Not Enrolled",IF(TODAY()&gt;AH477,"Review Overdue",IF(AH477-TODAY()&lt;=30,"Review Due Soon","Active"))))</f>
        <v/>
      </c>
      <c r="AM477" s="63">
        <f>IF($A477="","",IF(AI477="","NOT REVIEWED",IF(TODAY()-AI477&gt;90,"OVERDUE",IF(TODAY()-AI477&gt;76,"Due Soon","Current"))))</f>
        <v/>
      </c>
    </row>
    <row r="478" ht="15" customHeight="1" s="39">
      <c r="A478" s="60" t="n"/>
      <c r="B478" s="60" t="n"/>
      <c r="C478" s="61" t="n"/>
      <c r="D478" s="61" t="n"/>
      <c r="E478" s="60" t="n"/>
      <c r="F478" s="60" t="n"/>
      <c r="G478" s="62" t="n"/>
      <c r="H478" s="62" t="n"/>
      <c r="I478" s="62" t="n"/>
      <c r="J478" s="60" t="n"/>
      <c r="K478" s="60" t="n"/>
      <c r="L478" s="60" t="n"/>
      <c r="M478" s="61" t="n"/>
      <c r="N478" s="60" t="n"/>
      <c r="O478" s="60" t="n"/>
      <c r="P478" s="60" t="n"/>
      <c r="Q478" s="60" t="n"/>
      <c r="R478" s="60" t="n"/>
      <c r="S478" s="60" t="n"/>
      <c r="T478" s="60" t="n"/>
      <c r="U478" s="60" t="n"/>
      <c r="V478" s="60" t="n"/>
      <c r="W478" s="60" t="n"/>
      <c r="X478" s="60" t="n"/>
      <c r="Y478" s="60" t="n"/>
      <c r="Z478" s="61" t="n"/>
      <c r="AA478" s="63">
        <f>IF($H478="","",TODAY()-$H478)</f>
        <v/>
      </c>
      <c r="AB478" s="63">
        <f>IF($A478="","",IF(AND($F478="Yes",OR($U478="No",$U478="NOT FOUND")),"YES",""))</f>
        <v/>
      </c>
      <c r="AC478" s="66">
        <f>IF($A478="","",TRIM(IF(AND($P478=0,$L478&lt;&gt;"Yes"),"T0-NoSmartcard ","")&amp;IF(AND($J478&lt;&gt;"",$J478&gt;365),"StalePwd ","")&amp;IF($K478="Yes","PwdNeverExpires ","")&amp;IF(AND($S478&lt;&gt;"",$S478&lt;&gt;"None"),"Delegation ","")&amp;IF(AND($Q478=1,$O478="None"),"StaleAdminCount ","")&amp;IF(AND($F478="Yes",$H478=""),"NeverLoggedOn ","")))</f>
        <v/>
      </c>
      <c r="AD478" s="60" t="n"/>
      <c r="AE478" s="61" t="n"/>
      <c r="AF478" s="60" t="n"/>
      <c r="AG478" s="62" t="n"/>
      <c r="AH478" s="62" t="n"/>
      <c r="AI478" s="62" t="n"/>
      <c r="AJ478" s="60" t="n"/>
      <c r="AK478" s="61" t="n"/>
      <c r="AL478" s="63">
        <f>IF($A478="","",IF(AH478="","Not Enrolled",IF(TODAY()&gt;AH478,"Review Overdue",IF(AH478-TODAY()&lt;=30,"Review Due Soon","Active"))))</f>
        <v/>
      </c>
      <c r="AM478" s="63">
        <f>IF($A478="","",IF(AI478="","NOT REVIEWED",IF(TODAY()-AI478&gt;90,"OVERDUE",IF(TODAY()-AI478&gt;76,"Due Soon","Current"))))</f>
        <v/>
      </c>
    </row>
    <row r="479" ht="15" customHeight="1" s="39">
      <c r="A479" s="60" t="n"/>
      <c r="B479" s="60" t="n"/>
      <c r="C479" s="61" t="n"/>
      <c r="D479" s="61" t="n"/>
      <c r="E479" s="60" t="n"/>
      <c r="F479" s="60" t="n"/>
      <c r="G479" s="62" t="n"/>
      <c r="H479" s="62" t="n"/>
      <c r="I479" s="62" t="n"/>
      <c r="J479" s="60" t="n"/>
      <c r="K479" s="60" t="n"/>
      <c r="L479" s="60" t="n"/>
      <c r="M479" s="61" t="n"/>
      <c r="N479" s="60" t="n"/>
      <c r="O479" s="60" t="n"/>
      <c r="P479" s="60" t="n"/>
      <c r="Q479" s="60" t="n"/>
      <c r="R479" s="60" t="n"/>
      <c r="S479" s="60" t="n"/>
      <c r="T479" s="60" t="n"/>
      <c r="U479" s="60" t="n"/>
      <c r="V479" s="60" t="n"/>
      <c r="W479" s="60" t="n"/>
      <c r="X479" s="60" t="n"/>
      <c r="Y479" s="60" t="n"/>
      <c r="Z479" s="61" t="n"/>
      <c r="AA479" s="63">
        <f>IF($H479="","",TODAY()-$H479)</f>
        <v/>
      </c>
      <c r="AB479" s="63">
        <f>IF($A479="","",IF(AND($F479="Yes",OR($U479="No",$U479="NOT FOUND")),"YES",""))</f>
        <v/>
      </c>
      <c r="AC479" s="66">
        <f>IF($A479="","",TRIM(IF(AND($P479=0,$L479&lt;&gt;"Yes"),"T0-NoSmartcard ","")&amp;IF(AND($J479&lt;&gt;"",$J479&gt;365),"StalePwd ","")&amp;IF($K479="Yes","PwdNeverExpires ","")&amp;IF(AND($S479&lt;&gt;"",$S479&lt;&gt;"None"),"Delegation ","")&amp;IF(AND($Q479=1,$O479="None"),"StaleAdminCount ","")&amp;IF(AND($F479="Yes",$H479=""),"NeverLoggedOn ","")))</f>
        <v/>
      </c>
      <c r="AD479" s="60" t="n"/>
      <c r="AE479" s="61" t="n"/>
      <c r="AF479" s="60" t="n"/>
      <c r="AG479" s="62" t="n"/>
      <c r="AH479" s="62" t="n"/>
      <c r="AI479" s="62" t="n"/>
      <c r="AJ479" s="60" t="n"/>
      <c r="AK479" s="61" t="n"/>
      <c r="AL479" s="63">
        <f>IF($A479="","",IF(AH479="","Not Enrolled",IF(TODAY()&gt;AH479,"Review Overdue",IF(AH479-TODAY()&lt;=30,"Review Due Soon","Active"))))</f>
        <v/>
      </c>
      <c r="AM479" s="63">
        <f>IF($A479="","",IF(AI479="","NOT REVIEWED",IF(TODAY()-AI479&gt;90,"OVERDUE",IF(TODAY()-AI479&gt;76,"Due Soon","Current"))))</f>
        <v/>
      </c>
    </row>
    <row r="480" ht="15" customHeight="1" s="39">
      <c r="A480" s="60" t="n"/>
      <c r="B480" s="60" t="n"/>
      <c r="C480" s="61" t="n"/>
      <c r="D480" s="61" t="n"/>
      <c r="E480" s="60" t="n"/>
      <c r="F480" s="60" t="n"/>
      <c r="G480" s="62" t="n"/>
      <c r="H480" s="62" t="n"/>
      <c r="I480" s="62" t="n"/>
      <c r="J480" s="60" t="n"/>
      <c r="K480" s="60" t="n"/>
      <c r="L480" s="60" t="n"/>
      <c r="M480" s="61" t="n"/>
      <c r="N480" s="60" t="n"/>
      <c r="O480" s="60" t="n"/>
      <c r="P480" s="60" t="n"/>
      <c r="Q480" s="60" t="n"/>
      <c r="R480" s="60" t="n"/>
      <c r="S480" s="60" t="n"/>
      <c r="T480" s="60" t="n"/>
      <c r="U480" s="60" t="n"/>
      <c r="V480" s="60" t="n"/>
      <c r="W480" s="60" t="n"/>
      <c r="X480" s="60" t="n"/>
      <c r="Y480" s="60" t="n"/>
      <c r="Z480" s="61" t="n"/>
      <c r="AA480" s="63">
        <f>IF($H480="","",TODAY()-$H480)</f>
        <v/>
      </c>
      <c r="AB480" s="63">
        <f>IF($A480="","",IF(AND($F480="Yes",OR($U480="No",$U480="NOT FOUND")),"YES",""))</f>
        <v/>
      </c>
      <c r="AC480" s="66">
        <f>IF($A480="","",TRIM(IF(AND($P480=0,$L480&lt;&gt;"Yes"),"T0-NoSmartcard ","")&amp;IF(AND($J480&lt;&gt;"",$J480&gt;365),"StalePwd ","")&amp;IF($K480="Yes","PwdNeverExpires ","")&amp;IF(AND($S480&lt;&gt;"",$S480&lt;&gt;"None"),"Delegation ","")&amp;IF(AND($Q480=1,$O480="None"),"StaleAdminCount ","")&amp;IF(AND($F480="Yes",$H480=""),"NeverLoggedOn ","")))</f>
        <v/>
      </c>
      <c r="AD480" s="60" t="n"/>
      <c r="AE480" s="61" t="n"/>
      <c r="AF480" s="60" t="n"/>
      <c r="AG480" s="62" t="n"/>
      <c r="AH480" s="62" t="n"/>
      <c r="AI480" s="62" t="n"/>
      <c r="AJ480" s="60" t="n"/>
      <c r="AK480" s="61" t="n"/>
      <c r="AL480" s="63">
        <f>IF($A480="","",IF(AH480="","Not Enrolled",IF(TODAY()&gt;AH480,"Review Overdue",IF(AH480-TODAY()&lt;=30,"Review Due Soon","Active"))))</f>
        <v/>
      </c>
      <c r="AM480" s="63">
        <f>IF($A480="","",IF(AI480="","NOT REVIEWED",IF(TODAY()-AI480&gt;90,"OVERDUE",IF(TODAY()-AI480&gt;76,"Due Soon","Current"))))</f>
        <v/>
      </c>
    </row>
    <row r="481" ht="15" customHeight="1" s="39">
      <c r="A481" s="60" t="n"/>
      <c r="B481" s="60" t="n"/>
      <c r="C481" s="61" t="n"/>
      <c r="D481" s="61" t="n"/>
      <c r="E481" s="60" t="n"/>
      <c r="F481" s="60" t="n"/>
      <c r="G481" s="62" t="n"/>
      <c r="H481" s="62" t="n"/>
      <c r="I481" s="62" t="n"/>
      <c r="J481" s="60" t="n"/>
      <c r="K481" s="60" t="n"/>
      <c r="L481" s="60" t="n"/>
      <c r="M481" s="61" t="n"/>
      <c r="N481" s="60" t="n"/>
      <c r="O481" s="60" t="n"/>
      <c r="P481" s="60" t="n"/>
      <c r="Q481" s="60" t="n"/>
      <c r="R481" s="60" t="n"/>
      <c r="S481" s="60" t="n"/>
      <c r="T481" s="60" t="n"/>
      <c r="U481" s="60" t="n"/>
      <c r="V481" s="60" t="n"/>
      <c r="W481" s="60" t="n"/>
      <c r="X481" s="60" t="n"/>
      <c r="Y481" s="60" t="n"/>
      <c r="Z481" s="61" t="n"/>
      <c r="AA481" s="63">
        <f>IF($H481="","",TODAY()-$H481)</f>
        <v/>
      </c>
      <c r="AB481" s="63">
        <f>IF($A481="","",IF(AND($F481="Yes",OR($U481="No",$U481="NOT FOUND")),"YES",""))</f>
        <v/>
      </c>
      <c r="AC481" s="66">
        <f>IF($A481="","",TRIM(IF(AND($P481=0,$L481&lt;&gt;"Yes"),"T0-NoSmartcard ","")&amp;IF(AND($J481&lt;&gt;"",$J481&gt;365),"StalePwd ","")&amp;IF($K481="Yes","PwdNeverExpires ","")&amp;IF(AND($S481&lt;&gt;"",$S481&lt;&gt;"None"),"Delegation ","")&amp;IF(AND($Q481=1,$O481="None"),"StaleAdminCount ","")&amp;IF(AND($F481="Yes",$H481=""),"NeverLoggedOn ","")))</f>
        <v/>
      </c>
      <c r="AD481" s="60" t="n"/>
      <c r="AE481" s="61" t="n"/>
      <c r="AF481" s="60" t="n"/>
      <c r="AG481" s="62" t="n"/>
      <c r="AH481" s="62" t="n"/>
      <c r="AI481" s="62" t="n"/>
      <c r="AJ481" s="60" t="n"/>
      <c r="AK481" s="61" t="n"/>
      <c r="AL481" s="63">
        <f>IF($A481="","",IF(AH481="","Not Enrolled",IF(TODAY()&gt;AH481,"Review Overdue",IF(AH481-TODAY()&lt;=30,"Review Due Soon","Active"))))</f>
        <v/>
      </c>
      <c r="AM481" s="63">
        <f>IF($A481="","",IF(AI481="","NOT REVIEWED",IF(TODAY()-AI481&gt;90,"OVERDUE",IF(TODAY()-AI481&gt;76,"Due Soon","Current"))))</f>
        <v/>
      </c>
    </row>
    <row r="482" ht="15" customHeight="1" s="39">
      <c r="A482" s="60" t="n"/>
      <c r="B482" s="60" t="n"/>
      <c r="C482" s="61" t="n"/>
      <c r="D482" s="61" t="n"/>
      <c r="E482" s="60" t="n"/>
      <c r="F482" s="60" t="n"/>
      <c r="G482" s="62" t="n"/>
      <c r="H482" s="62" t="n"/>
      <c r="I482" s="62" t="n"/>
      <c r="J482" s="60" t="n"/>
      <c r="K482" s="60" t="n"/>
      <c r="L482" s="60" t="n"/>
      <c r="M482" s="61" t="n"/>
      <c r="N482" s="60" t="n"/>
      <c r="O482" s="60" t="n"/>
      <c r="P482" s="60" t="n"/>
      <c r="Q482" s="60" t="n"/>
      <c r="R482" s="60" t="n"/>
      <c r="S482" s="60" t="n"/>
      <c r="T482" s="60" t="n"/>
      <c r="U482" s="60" t="n"/>
      <c r="V482" s="60" t="n"/>
      <c r="W482" s="60" t="n"/>
      <c r="X482" s="60" t="n"/>
      <c r="Y482" s="60" t="n"/>
      <c r="Z482" s="61" t="n"/>
      <c r="AA482" s="63">
        <f>IF($H482="","",TODAY()-$H482)</f>
        <v/>
      </c>
      <c r="AB482" s="63">
        <f>IF($A482="","",IF(AND($F482="Yes",OR($U482="No",$U482="NOT FOUND")),"YES",""))</f>
        <v/>
      </c>
      <c r="AC482" s="66">
        <f>IF($A482="","",TRIM(IF(AND($P482=0,$L482&lt;&gt;"Yes"),"T0-NoSmartcard ","")&amp;IF(AND($J482&lt;&gt;"",$J482&gt;365),"StalePwd ","")&amp;IF($K482="Yes","PwdNeverExpires ","")&amp;IF(AND($S482&lt;&gt;"",$S482&lt;&gt;"None"),"Delegation ","")&amp;IF(AND($Q482=1,$O482="None"),"StaleAdminCount ","")&amp;IF(AND($F482="Yes",$H482=""),"NeverLoggedOn ","")))</f>
        <v/>
      </c>
      <c r="AD482" s="60" t="n"/>
      <c r="AE482" s="61" t="n"/>
      <c r="AF482" s="60" t="n"/>
      <c r="AG482" s="62" t="n"/>
      <c r="AH482" s="62" t="n"/>
      <c r="AI482" s="62" t="n"/>
      <c r="AJ482" s="60" t="n"/>
      <c r="AK482" s="61" t="n"/>
      <c r="AL482" s="63">
        <f>IF($A482="","",IF(AH482="","Not Enrolled",IF(TODAY()&gt;AH482,"Review Overdue",IF(AH482-TODAY()&lt;=30,"Review Due Soon","Active"))))</f>
        <v/>
      </c>
      <c r="AM482" s="63">
        <f>IF($A482="","",IF(AI482="","NOT REVIEWED",IF(TODAY()-AI482&gt;90,"OVERDUE",IF(TODAY()-AI482&gt;76,"Due Soon","Current"))))</f>
        <v/>
      </c>
    </row>
    <row r="483" ht="15" customHeight="1" s="39">
      <c r="A483" s="60" t="n"/>
      <c r="B483" s="60" t="n"/>
      <c r="C483" s="61" t="n"/>
      <c r="D483" s="61" t="n"/>
      <c r="E483" s="60" t="n"/>
      <c r="F483" s="60" t="n"/>
      <c r="G483" s="62" t="n"/>
      <c r="H483" s="62" t="n"/>
      <c r="I483" s="62" t="n"/>
      <c r="J483" s="60" t="n"/>
      <c r="K483" s="60" t="n"/>
      <c r="L483" s="60" t="n"/>
      <c r="M483" s="61" t="n"/>
      <c r="N483" s="60" t="n"/>
      <c r="O483" s="60" t="n"/>
      <c r="P483" s="60" t="n"/>
      <c r="Q483" s="60" t="n"/>
      <c r="R483" s="60" t="n"/>
      <c r="S483" s="60" t="n"/>
      <c r="T483" s="60" t="n"/>
      <c r="U483" s="60" t="n"/>
      <c r="V483" s="60" t="n"/>
      <c r="W483" s="60" t="n"/>
      <c r="X483" s="60" t="n"/>
      <c r="Y483" s="60" t="n"/>
      <c r="Z483" s="61" t="n"/>
      <c r="AA483" s="63">
        <f>IF($H483="","",TODAY()-$H483)</f>
        <v/>
      </c>
      <c r="AB483" s="63">
        <f>IF($A483="","",IF(AND($F483="Yes",OR($U483="No",$U483="NOT FOUND")),"YES",""))</f>
        <v/>
      </c>
      <c r="AC483" s="66">
        <f>IF($A483="","",TRIM(IF(AND($P483=0,$L483&lt;&gt;"Yes"),"T0-NoSmartcard ","")&amp;IF(AND($J483&lt;&gt;"",$J483&gt;365),"StalePwd ","")&amp;IF($K483="Yes","PwdNeverExpires ","")&amp;IF(AND($S483&lt;&gt;"",$S483&lt;&gt;"None"),"Delegation ","")&amp;IF(AND($Q483=1,$O483="None"),"StaleAdminCount ","")&amp;IF(AND($F483="Yes",$H483=""),"NeverLoggedOn ","")))</f>
        <v/>
      </c>
      <c r="AD483" s="60" t="n"/>
      <c r="AE483" s="61" t="n"/>
      <c r="AF483" s="60" t="n"/>
      <c r="AG483" s="62" t="n"/>
      <c r="AH483" s="62" t="n"/>
      <c r="AI483" s="62" t="n"/>
      <c r="AJ483" s="60" t="n"/>
      <c r="AK483" s="61" t="n"/>
      <c r="AL483" s="63">
        <f>IF($A483="","",IF(AH483="","Not Enrolled",IF(TODAY()&gt;AH483,"Review Overdue",IF(AH483-TODAY()&lt;=30,"Review Due Soon","Active"))))</f>
        <v/>
      </c>
      <c r="AM483" s="63">
        <f>IF($A483="","",IF(AI483="","NOT REVIEWED",IF(TODAY()-AI483&gt;90,"OVERDUE",IF(TODAY()-AI483&gt;76,"Due Soon","Current"))))</f>
        <v/>
      </c>
    </row>
    <row r="484" ht="15" customHeight="1" s="39">
      <c r="A484" s="60" t="n"/>
      <c r="B484" s="60" t="n"/>
      <c r="C484" s="61" t="n"/>
      <c r="D484" s="61" t="n"/>
      <c r="E484" s="60" t="n"/>
      <c r="F484" s="60" t="n"/>
      <c r="G484" s="62" t="n"/>
      <c r="H484" s="62" t="n"/>
      <c r="I484" s="62" t="n"/>
      <c r="J484" s="60" t="n"/>
      <c r="K484" s="60" t="n"/>
      <c r="L484" s="60" t="n"/>
      <c r="M484" s="61" t="n"/>
      <c r="N484" s="60" t="n"/>
      <c r="O484" s="60" t="n"/>
      <c r="P484" s="60" t="n"/>
      <c r="Q484" s="60" t="n"/>
      <c r="R484" s="60" t="n"/>
      <c r="S484" s="60" t="n"/>
      <c r="T484" s="60" t="n"/>
      <c r="U484" s="60" t="n"/>
      <c r="V484" s="60" t="n"/>
      <c r="W484" s="60" t="n"/>
      <c r="X484" s="60" t="n"/>
      <c r="Y484" s="60" t="n"/>
      <c r="Z484" s="61" t="n"/>
      <c r="AA484" s="63">
        <f>IF($H484="","",TODAY()-$H484)</f>
        <v/>
      </c>
      <c r="AB484" s="63">
        <f>IF($A484="","",IF(AND($F484="Yes",OR($U484="No",$U484="NOT FOUND")),"YES",""))</f>
        <v/>
      </c>
      <c r="AC484" s="66">
        <f>IF($A484="","",TRIM(IF(AND($P484=0,$L484&lt;&gt;"Yes"),"T0-NoSmartcard ","")&amp;IF(AND($J484&lt;&gt;"",$J484&gt;365),"StalePwd ","")&amp;IF($K484="Yes","PwdNeverExpires ","")&amp;IF(AND($S484&lt;&gt;"",$S484&lt;&gt;"None"),"Delegation ","")&amp;IF(AND($Q484=1,$O484="None"),"StaleAdminCount ","")&amp;IF(AND($F484="Yes",$H484=""),"NeverLoggedOn ","")))</f>
        <v/>
      </c>
      <c r="AD484" s="60" t="n"/>
      <c r="AE484" s="61" t="n"/>
      <c r="AF484" s="60" t="n"/>
      <c r="AG484" s="62" t="n"/>
      <c r="AH484" s="62" t="n"/>
      <c r="AI484" s="62" t="n"/>
      <c r="AJ484" s="60" t="n"/>
      <c r="AK484" s="61" t="n"/>
      <c r="AL484" s="63">
        <f>IF($A484="","",IF(AH484="","Not Enrolled",IF(TODAY()&gt;AH484,"Review Overdue",IF(AH484-TODAY()&lt;=30,"Review Due Soon","Active"))))</f>
        <v/>
      </c>
      <c r="AM484" s="63">
        <f>IF($A484="","",IF(AI484="","NOT REVIEWED",IF(TODAY()-AI484&gt;90,"OVERDUE",IF(TODAY()-AI484&gt;76,"Due Soon","Current"))))</f>
        <v/>
      </c>
    </row>
    <row r="485" ht="15" customHeight="1" s="39">
      <c r="A485" s="60" t="n"/>
      <c r="B485" s="60" t="n"/>
      <c r="C485" s="61" t="n"/>
      <c r="D485" s="61" t="n"/>
      <c r="E485" s="60" t="n"/>
      <c r="F485" s="60" t="n"/>
      <c r="G485" s="62" t="n"/>
      <c r="H485" s="62" t="n"/>
      <c r="I485" s="62" t="n"/>
      <c r="J485" s="60" t="n"/>
      <c r="K485" s="60" t="n"/>
      <c r="L485" s="60" t="n"/>
      <c r="M485" s="61" t="n"/>
      <c r="N485" s="60" t="n"/>
      <c r="O485" s="60" t="n"/>
      <c r="P485" s="60" t="n"/>
      <c r="Q485" s="60" t="n"/>
      <c r="R485" s="60" t="n"/>
      <c r="S485" s="60" t="n"/>
      <c r="T485" s="60" t="n"/>
      <c r="U485" s="60" t="n"/>
      <c r="V485" s="60" t="n"/>
      <c r="W485" s="60" t="n"/>
      <c r="X485" s="60" t="n"/>
      <c r="Y485" s="60" t="n"/>
      <c r="Z485" s="61" t="n"/>
      <c r="AA485" s="63">
        <f>IF($H485="","",TODAY()-$H485)</f>
        <v/>
      </c>
      <c r="AB485" s="63">
        <f>IF($A485="","",IF(AND($F485="Yes",OR($U485="No",$U485="NOT FOUND")),"YES",""))</f>
        <v/>
      </c>
      <c r="AC485" s="66">
        <f>IF($A485="","",TRIM(IF(AND($P485=0,$L485&lt;&gt;"Yes"),"T0-NoSmartcard ","")&amp;IF(AND($J485&lt;&gt;"",$J485&gt;365),"StalePwd ","")&amp;IF($K485="Yes","PwdNeverExpires ","")&amp;IF(AND($S485&lt;&gt;"",$S485&lt;&gt;"None"),"Delegation ","")&amp;IF(AND($Q485=1,$O485="None"),"StaleAdminCount ","")&amp;IF(AND($F485="Yes",$H485=""),"NeverLoggedOn ","")))</f>
        <v/>
      </c>
      <c r="AD485" s="60" t="n"/>
      <c r="AE485" s="61" t="n"/>
      <c r="AF485" s="60" t="n"/>
      <c r="AG485" s="62" t="n"/>
      <c r="AH485" s="62" t="n"/>
      <c r="AI485" s="62" t="n"/>
      <c r="AJ485" s="60" t="n"/>
      <c r="AK485" s="61" t="n"/>
      <c r="AL485" s="63">
        <f>IF($A485="","",IF(AH485="","Not Enrolled",IF(TODAY()&gt;AH485,"Review Overdue",IF(AH485-TODAY()&lt;=30,"Review Due Soon","Active"))))</f>
        <v/>
      </c>
      <c r="AM485" s="63">
        <f>IF($A485="","",IF(AI485="","NOT REVIEWED",IF(TODAY()-AI485&gt;90,"OVERDUE",IF(TODAY()-AI485&gt;76,"Due Soon","Current"))))</f>
        <v/>
      </c>
    </row>
    <row r="486" ht="15" customHeight="1" s="39">
      <c r="A486" s="60" t="n"/>
      <c r="B486" s="60" t="n"/>
      <c r="C486" s="61" t="n"/>
      <c r="D486" s="61" t="n"/>
      <c r="E486" s="60" t="n"/>
      <c r="F486" s="60" t="n"/>
      <c r="G486" s="62" t="n"/>
      <c r="H486" s="62" t="n"/>
      <c r="I486" s="62" t="n"/>
      <c r="J486" s="60" t="n"/>
      <c r="K486" s="60" t="n"/>
      <c r="L486" s="60" t="n"/>
      <c r="M486" s="61" t="n"/>
      <c r="N486" s="60" t="n"/>
      <c r="O486" s="60" t="n"/>
      <c r="P486" s="60" t="n"/>
      <c r="Q486" s="60" t="n"/>
      <c r="R486" s="60" t="n"/>
      <c r="S486" s="60" t="n"/>
      <c r="T486" s="60" t="n"/>
      <c r="U486" s="60" t="n"/>
      <c r="V486" s="60" t="n"/>
      <c r="W486" s="60" t="n"/>
      <c r="X486" s="60" t="n"/>
      <c r="Y486" s="60" t="n"/>
      <c r="Z486" s="61" t="n"/>
      <c r="AA486" s="63">
        <f>IF($H486="","",TODAY()-$H486)</f>
        <v/>
      </c>
      <c r="AB486" s="63">
        <f>IF($A486="","",IF(AND($F486="Yes",OR($U486="No",$U486="NOT FOUND")),"YES",""))</f>
        <v/>
      </c>
      <c r="AC486" s="66">
        <f>IF($A486="","",TRIM(IF(AND($P486=0,$L486&lt;&gt;"Yes"),"T0-NoSmartcard ","")&amp;IF(AND($J486&lt;&gt;"",$J486&gt;365),"StalePwd ","")&amp;IF($K486="Yes","PwdNeverExpires ","")&amp;IF(AND($S486&lt;&gt;"",$S486&lt;&gt;"None"),"Delegation ","")&amp;IF(AND($Q486=1,$O486="None"),"StaleAdminCount ","")&amp;IF(AND($F486="Yes",$H486=""),"NeverLoggedOn ","")))</f>
        <v/>
      </c>
      <c r="AD486" s="60" t="n"/>
      <c r="AE486" s="61" t="n"/>
      <c r="AF486" s="60" t="n"/>
      <c r="AG486" s="62" t="n"/>
      <c r="AH486" s="62" t="n"/>
      <c r="AI486" s="62" t="n"/>
      <c r="AJ486" s="60" t="n"/>
      <c r="AK486" s="61" t="n"/>
      <c r="AL486" s="63">
        <f>IF($A486="","",IF(AH486="","Not Enrolled",IF(TODAY()&gt;AH486,"Review Overdue",IF(AH486-TODAY()&lt;=30,"Review Due Soon","Active"))))</f>
        <v/>
      </c>
      <c r="AM486" s="63">
        <f>IF($A486="","",IF(AI486="","NOT REVIEWED",IF(TODAY()-AI486&gt;90,"OVERDUE",IF(TODAY()-AI486&gt;76,"Due Soon","Current"))))</f>
        <v/>
      </c>
    </row>
    <row r="487" ht="15" customHeight="1" s="39">
      <c r="A487" s="60" t="n"/>
      <c r="B487" s="60" t="n"/>
      <c r="C487" s="61" t="n"/>
      <c r="D487" s="61" t="n"/>
      <c r="E487" s="60" t="n"/>
      <c r="F487" s="60" t="n"/>
      <c r="G487" s="62" t="n"/>
      <c r="H487" s="62" t="n"/>
      <c r="I487" s="62" t="n"/>
      <c r="J487" s="60" t="n"/>
      <c r="K487" s="60" t="n"/>
      <c r="L487" s="60" t="n"/>
      <c r="M487" s="61" t="n"/>
      <c r="N487" s="60" t="n"/>
      <c r="O487" s="60" t="n"/>
      <c r="P487" s="60" t="n"/>
      <c r="Q487" s="60" t="n"/>
      <c r="R487" s="60" t="n"/>
      <c r="S487" s="60" t="n"/>
      <c r="T487" s="60" t="n"/>
      <c r="U487" s="60" t="n"/>
      <c r="V487" s="60" t="n"/>
      <c r="W487" s="60" t="n"/>
      <c r="X487" s="60" t="n"/>
      <c r="Y487" s="60" t="n"/>
      <c r="Z487" s="61" t="n"/>
      <c r="AA487" s="63">
        <f>IF($H487="","",TODAY()-$H487)</f>
        <v/>
      </c>
      <c r="AB487" s="63">
        <f>IF($A487="","",IF(AND($F487="Yes",OR($U487="No",$U487="NOT FOUND")),"YES",""))</f>
        <v/>
      </c>
      <c r="AC487" s="66">
        <f>IF($A487="","",TRIM(IF(AND($P487=0,$L487&lt;&gt;"Yes"),"T0-NoSmartcard ","")&amp;IF(AND($J487&lt;&gt;"",$J487&gt;365),"StalePwd ","")&amp;IF($K487="Yes","PwdNeverExpires ","")&amp;IF(AND($S487&lt;&gt;"",$S487&lt;&gt;"None"),"Delegation ","")&amp;IF(AND($Q487=1,$O487="None"),"StaleAdminCount ","")&amp;IF(AND($F487="Yes",$H487=""),"NeverLoggedOn ","")))</f>
        <v/>
      </c>
      <c r="AD487" s="60" t="n"/>
      <c r="AE487" s="61" t="n"/>
      <c r="AF487" s="60" t="n"/>
      <c r="AG487" s="62" t="n"/>
      <c r="AH487" s="62" t="n"/>
      <c r="AI487" s="62" t="n"/>
      <c r="AJ487" s="60" t="n"/>
      <c r="AK487" s="61" t="n"/>
      <c r="AL487" s="63">
        <f>IF($A487="","",IF(AH487="","Not Enrolled",IF(TODAY()&gt;AH487,"Review Overdue",IF(AH487-TODAY()&lt;=30,"Review Due Soon","Active"))))</f>
        <v/>
      </c>
      <c r="AM487" s="63">
        <f>IF($A487="","",IF(AI487="","NOT REVIEWED",IF(TODAY()-AI487&gt;90,"OVERDUE",IF(TODAY()-AI487&gt;76,"Due Soon","Current"))))</f>
        <v/>
      </c>
    </row>
    <row r="488" ht="15" customHeight="1" s="39">
      <c r="A488" s="60" t="n"/>
      <c r="B488" s="60" t="n"/>
      <c r="C488" s="61" t="n"/>
      <c r="D488" s="61" t="n"/>
      <c r="E488" s="60" t="n"/>
      <c r="F488" s="60" t="n"/>
      <c r="G488" s="62" t="n"/>
      <c r="H488" s="62" t="n"/>
      <c r="I488" s="62" t="n"/>
      <c r="J488" s="60" t="n"/>
      <c r="K488" s="60" t="n"/>
      <c r="L488" s="60" t="n"/>
      <c r="M488" s="61" t="n"/>
      <c r="N488" s="60" t="n"/>
      <c r="O488" s="60" t="n"/>
      <c r="P488" s="60" t="n"/>
      <c r="Q488" s="60" t="n"/>
      <c r="R488" s="60" t="n"/>
      <c r="S488" s="60" t="n"/>
      <c r="T488" s="60" t="n"/>
      <c r="U488" s="60" t="n"/>
      <c r="V488" s="60" t="n"/>
      <c r="W488" s="60" t="n"/>
      <c r="X488" s="60" t="n"/>
      <c r="Y488" s="60" t="n"/>
      <c r="Z488" s="61" t="n"/>
      <c r="AA488" s="63">
        <f>IF($H488="","",TODAY()-$H488)</f>
        <v/>
      </c>
      <c r="AB488" s="63">
        <f>IF($A488="","",IF(AND($F488="Yes",OR($U488="No",$U488="NOT FOUND")),"YES",""))</f>
        <v/>
      </c>
      <c r="AC488" s="66">
        <f>IF($A488="","",TRIM(IF(AND($P488=0,$L488&lt;&gt;"Yes"),"T0-NoSmartcard ","")&amp;IF(AND($J488&lt;&gt;"",$J488&gt;365),"StalePwd ","")&amp;IF($K488="Yes","PwdNeverExpires ","")&amp;IF(AND($S488&lt;&gt;"",$S488&lt;&gt;"None"),"Delegation ","")&amp;IF(AND($Q488=1,$O488="None"),"StaleAdminCount ","")&amp;IF(AND($F488="Yes",$H488=""),"NeverLoggedOn ","")))</f>
        <v/>
      </c>
      <c r="AD488" s="60" t="n"/>
      <c r="AE488" s="61" t="n"/>
      <c r="AF488" s="60" t="n"/>
      <c r="AG488" s="62" t="n"/>
      <c r="AH488" s="62" t="n"/>
      <c r="AI488" s="62" t="n"/>
      <c r="AJ488" s="60" t="n"/>
      <c r="AK488" s="61" t="n"/>
      <c r="AL488" s="63">
        <f>IF($A488="","",IF(AH488="","Not Enrolled",IF(TODAY()&gt;AH488,"Review Overdue",IF(AH488-TODAY()&lt;=30,"Review Due Soon","Active"))))</f>
        <v/>
      </c>
      <c r="AM488" s="63">
        <f>IF($A488="","",IF(AI488="","NOT REVIEWED",IF(TODAY()-AI488&gt;90,"OVERDUE",IF(TODAY()-AI488&gt;76,"Due Soon","Current"))))</f>
        <v/>
      </c>
    </row>
    <row r="489" ht="15" customHeight="1" s="39">
      <c r="A489" s="60" t="n"/>
      <c r="B489" s="60" t="n"/>
      <c r="C489" s="61" t="n"/>
      <c r="D489" s="61" t="n"/>
      <c r="E489" s="60" t="n"/>
      <c r="F489" s="60" t="n"/>
      <c r="G489" s="62" t="n"/>
      <c r="H489" s="62" t="n"/>
      <c r="I489" s="62" t="n"/>
      <c r="J489" s="60" t="n"/>
      <c r="K489" s="60" t="n"/>
      <c r="L489" s="60" t="n"/>
      <c r="M489" s="61" t="n"/>
      <c r="N489" s="60" t="n"/>
      <c r="O489" s="60" t="n"/>
      <c r="P489" s="60" t="n"/>
      <c r="Q489" s="60" t="n"/>
      <c r="R489" s="60" t="n"/>
      <c r="S489" s="60" t="n"/>
      <c r="T489" s="60" t="n"/>
      <c r="U489" s="60" t="n"/>
      <c r="V489" s="60" t="n"/>
      <c r="W489" s="60" t="n"/>
      <c r="X489" s="60" t="n"/>
      <c r="Y489" s="60" t="n"/>
      <c r="Z489" s="61" t="n"/>
      <c r="AA489" s="63">
        <f>IF($H489="","",TODAY()-$H489)</f>
        <v/>
      </c>
      <c r="AB489" s="63">
        <f>IF($A489="","",IF(AND($F489="Yes",OR($U489="No",$U489="NOT FOUND")),"YES",""))</f>
        <v/>
      </c>
      <c r="AC489" s="66">
        <f>IF($A489="","",TRIM(IF(AND($P489=0,$L489&lt;&gt;"Yes"),"T0-NoSmartcard ","")&amp;IF(AND($J489&lt;&gt;"",$J489&gt;365),"StalePwd ","")&amp;IF($K489="Yes","PwdNeverExpires ","")&amp;IF(AND($S489&lt;&gt;"",$S489&lt;&gt;"None"),"Delegation ","")&amp;IF(AND($Q489=1,$O489="None"),"StaleAdminCount ","")&amp;IF(AND($F489="Yes",$H489=""),"NeverLoggedOn ","")))</f>
        <v/>
      </c>
      <c r="AD489" s="60" t="n"/>
      <c r="AE489" s="61" t="n"/>
      <c r="AF489" s="60" t="n"/>
      <c r="AG489" s="62" t="n"/>
      <c r="AH489" s="62" t="n"/>
      <c r="AI489" s="62" t="n"/>
      <c r="AJ489" s="60" t="n"/>
      <c r="AK489" s="61" t="n"/>
      <c r="AL489" s="63">
        <f>IF($A489="","",IF(AH489="","Not Enrolled",IF(TODAY()&gt;AH489,"Review Overdue",IF(AH489-TODAY()&lt;=30,"Review Due Soon","Active"))))</f>
        <v/>
      </c>
      <c r="AM489" s="63">
        <f>IF($A489="","",IF(AI489="","NOT REVIEWED",IF(TODAY()-AI489&gt;90,"OVERDUE",IF(TODAY()-AI489&gt;76,"Due Soon","Current"))))</f>
        <v/>
      </c>
    </row>
    <row r="490" ht="15" customHeight="1" s="39">
      <c r="A490" s="60" t="n"/>
      <c r="B490" s="60" t="n"/>
      <c r="C490" s="61" t="n"/>
      <c r="D490" s="61" t="n"/>
      <c r="E490" s="60" t="n"/>
      <c r="F490" s="60" t="n"/>
      <c r="G490" s="62" t="n"/>
      <c r="H490" s="62" t="n"/>
      <c r="I490" s="62" t="n"/>
      <c r="J490" s="60" t="n"/>
      <c r="K490" s="60" t="n"/>
      <c r="L490" s="60" t="n"/>
      <c r="M490" s="61" t="n"/>
      <c r="N490" s="60" t="n"/>
      <c r="O490" s="60" t="n"/>
      <c r="P490" s="60" t="n"/>
      <c r="Q490" s="60" t="n"/>
      <c r="R490" s="60" t="n"/>
      <c r="S490" s="60" t="n"/>
      <c r="T490" s="60" t="n"/>
      <c r="U490" s="60" t="n"/>
      <c r="V490" s="60" t="n"/>
      <c r="W490" s="60" t="n"/>
      <c r="X490" s="60" t="n"/>
      <c r="Y490" s="60" t="n"/>
      <c r="Z490" s="61" t="n"/>
      <c r="AA490" s="63">
        <f>IF($H490="","",TODAY()-$H490)</f>
        <v/>
      </c>
      <c r="AB490" s="63">
        <f>IF($A490="","",IF(AND($F490="Yes",OR($U490="No",$U490="NOT FOUND")),"YES",""))</f>
        <v/>
      </c>
      <c r="AC490" s="66">
        <f>IF($A490="","",TRIM(IF(AND($P490=0,$L490&lt;&gt;"Yes"),"T0-NoSmartcard ","")&amp;IF(AND($J490&lt;&gt;"",$J490&gt;365),"StalePwd ","")&amp;IF($K490="Yes","PwdNeverExpires ","")&amp;IF(AND($S490&lt;&gt;"",$S490&lt;&gt;"None"),"Delegation ","")&amp;IF(AND($Q490=1,$O490="None"),"StaleAdminCount ","")&amp;IF(AND($F490="Yes",$H490=""),"NeverLoggedOn ","")))</f>
        <v/>
      </c>
      <c r="AD490" s="60" t="n"/>
      <c r="AE490" s="61" t="n"/>
      <c r="AF490" s="60" t="n"/>
      <c r="AG490" s="62" t="n"/>
      <c r="AH490" s="62" t="n"/>
      <c r="AI490" s="62" t="n"/>
      <c r="AJ490" s="60" t="n"/>
      <c r="AK490" s="61" t="n"/>
      <c r="AL490" s="63">
        <f>IF($A490="","",IF(AH490="","Not Enrolled",IF(TODAY()&gt;AH490,"Review Overdue",IF(AH490-TODAY()&lt;=30,"Review Due Soon","Active"))))</f>
        <v/>
      </c>
      <c r="AM490" s="63">
        <f>IF($A490="","",IF(AI490="","NOT REVIEWED",IF(TODAY()-AI490&gt;90,"OVERDUE",IF(TODAY()-AI490&gt;76,"Due Soon","Current"))))</f>
        <v/>
      </c>
    </row>
    <row r="491" ht="15" customHeight="1" s="39">
      <c r="A491" s="60" t="n"/>
      <c r="B491" s="60" t="n"/>
      <c r="C491" s="61" t="n"/>
      <c r="D491" s="61" t="n"/>
      <c r="E491" s="60" t="n"/>
      <c r="F491" s="60" t="n"/>
      <c r="G491" s="62" t="n"/>
      <c r="H491" s="62" t="n"/>
      <c r="I491" s="62" t="n"/>
      <c r="J491" s="60" t="n"/>
      <c r="K491" s="60" t="n"/>
      <c r="L491" s="60" t="n"/>
      <c r="M491" s="61" t="n"/>
      <c r="N491" s="60" t="n"/>
      <c r="O491" s="60" t="n"/>
      <c r="P491" s="60" t="n"/>
      <c r="Q491" s="60" t="n"/>
      <c r="R491" s="60" t="n"/>
      <c r="S491" s="60" t="n"/>
      <c r="T491" s="60" t="n"/>
      <c r="U491" s="60" t="n"/>
      <c r="V491" s="60" t="n"/>
      <c r="W491" s="60" t="n"/>
      <c r="X491" s="60" t="n"/>
      <c r="Y491" s="60" t="n"/>
      <c r="Z491" s="61" t="n"/>
      <c r="AA491" s="63">
        <f>IF($H491="","",TODAY()-$H491)</f>
        <v/>
      </c>
      <c r="AB491" s="63">
        <f>IF($A491="","",IF(AND($F491="Yes",OR($U491="No",$U491="NOT FOUND")),"YES",""))</f>
        <v/>
      </c>
      <c r="AC491" s="66">
        <f>IF($A491="","",TRIM(IF(AND($P491=0,$L491&lt;&gt;"Yes"),"T0-NoSmartcard ","")&amp;IF(AND($J491&lt;&gt;"",$J491&gt;365),"StalePwd ","")&amp;IF($K491="Yes","PwdNeverExpires ","")&amp;IF(AND($S491&lt;&gt;"",$S491&lt;&gt;"None"),"Delegation ","")&amp;IF(AND($Q491=1,$O491="None"),"StaleAdminCount ","")&amp;IF(AND($F491="Yes",$H491=""),"NeverLoggedOn ","")))</f>
        <v/>
      </c>
      <c r="AD491" s="60" t="n"/>
      <c r="AE491" s="61" t="n"/>
      <c r="AF491" s="60" t="n"/>
      <c r="AG491" s="62" t="n"/>
      <c r="AH491" s="62" t="n"/>
      <c r="AI491" s="62" t="n"/>
      <c r="AJ491" s="60" t="n"/>
      <c r="AK491" s="61" t="n"/>
      <c r="AL491" s="63">
        <f>IF($A491="","",IF(AH491="","Not Enrolled",IF(TODAY()&gt;AH491,"Review Overdue",IF(AH491-TODAY()&lt;=30,"Review Due Soon","Active"))))</f>
        <v/>
      </c>
      <c r="AM491" s="63">
        <f>IF($A491="","",IF(AI491="","NOT REVIEWED",IF(TODAY()-AI491&gt;90,"OVERDUE",IF(TODAY()-AI491&gt;76,"Due Soon","Current"))))</f>
        <v/>
      </c>
    </row>
    <row r="492" ht="15" customHeight="1" s="39">
      <c r="A492" s="60" t="n"/>
      <c r="B492" s="60" t="n"/>
      <c r="C492" s="61" t="n"/>
      <c r="D492" s="61" t="n"/>
      <c r="E492" s="60" t="n"/>
      <c r="F492" s="60" t="n"/>
      <c r="G492" s="62" t="n"/>
      <c r="H492" s="62" t="n"/>
      <c r="I492" s="62" t="n"/>
      <c r="J492" s="60" t="n"/>
      <c r="K492" s="60" t="n"/>
      <c r="L492" s="60" t="n"/>
      <c r="M492" s="61" t="n"/>
      <c r="N492" s="60" t="n"/>
      <c r="O492" s="60" t="n"/>
      <c r="P492" s="60" t="n"/>
      <c r="Q492" s="60" t="n"/>
      <c r="R492" s="60" t="n"/>
      <c r="S492" s="60" t="n"/>
      <c r="T492" s="60" t="n"/>
      <c r="U492" s="60" t="n"/>
      <c r="V492" s="60" t="n"/>
      <c r="W492" s="60" t="n"/>
      <c r="X492" s="60" t="n"/>
      <c r="Y492" s="60" t="n"/>
      <c r="Z492" s="61" t="n"/>
      <c r="AA492" s="63">
        <f>IF($H492="","",TODAY()-$H492)</f>
        <v/>
      </c>
      <c r="AB492" s="63">
        <f>IF($A492="","",IF(AND($F492="Yes",OR($U492="No",$U492="NOT FOUND")),"YES",""))</f>
        <v/>
      </c>
      <c r="AC492" s="66">
        <f>IF($A492="","",TRIM(IF(AND($P492=0,$L492&lt;&gt;"Yes"),"T0-NoSmartcard ","")&amp;IF(AND($J492&lt;&gt;"",$J492&gt;365),"StalePwd ","")&amp;IF($K492="Yes","PwdNeverExpires ","")&amp;IF(AND($S492&lt;&gt;"",$S492&lt;&gt;"None"),"Delegation ","")&amp;IF(AND($Q492=1,$O492="None"),"StaleAdminCount ","")&amp;IF(AND($F492="Yes",$H492=""),"NeverLoggedOn ","")))</f>
        <v/>
      </c>
      <c r="AD492" s="60" t="n"/>
      <c r="AE492" s="61" t="n"/>
      <c r="AF492" s="60" t="n"/>
      <c r="AG492" s="62" t="n"/>
      <c r="AH492" s="62" t="n"/>
      <c r="AI492" s="62" t="n"/>
      <c r="AJ492" s="60" t="n"/>
      <c r="AK492" s="61" t="n"/>
      <c r="AL492" s="63">
        <f>IF($A492="","",IF(AH492="","Not Enrolled",IF(TODAY()&gt;AH492,"Review Overdue",IF(AH492-TODAY()&lt;=30,"Review Due Soon","Active"))))</f>
        <v/>
      </c>
      <c r="AM492" s="63">
        <f>IF($A492="","",IF(AI492="","NOT REVIEWED",IF(TODAY()-AI492&gt;90,"OVERDUE",IF(TODAY()-AI492&gt;76,"Due Soon","Current"))))</f>
        <v/>
      </c>
    </row>
    <row r="493" ht="15" customHeight="1" s="39">
      <c r="A493" s="60" t="n"/>
      <c r="B493" s="60" t="n"/>
      <c r="C493" s="61" t="n"/>
      <c r="D493" s="61" t="n"/>
      <c r="E493" s="60" t="n"/>
      <c r="F493" s="60" t="n"/>
      <c r="G493" s="62" t="n"/>
      <c r="H493" s="62" t="n"/>
      <c r="I493" s="62" t="n"/>
      <c r="J493" s="60" t="n"/>
      <c r="K493" s="60" t="n"/>
      <c r="L493" s="60" t="n"/>
      <c r="M493" s="61" t="n"/>
      <c r="N493" s="60" t="n"/>
      <c r="O493" s="60" t="n"/>
      <c r="P493" s="60" t="n"/>
      <c r="Q493" s="60" t="n"/>
      <c r="R493" s="60" t="n"/>
      <c r="S493" s="60" t="n"/>
      <c r="T493" s="60" t="n"/>
      <c r="U493" s="60" t="n"/>
      <c r="V493" s="60" t="n"/>
      <c r="W493" s="60" t="n"/>
      <c r="X493" s="60" t="n"/>
      <c r="Y493" s="60" t="n"/>
      <c r="Z493" s="61" t="n"/>
      <c r="AA493" s="63">
        <f>IF($H493="","",TODAY()-$H493)</f>
        <v/>
      </c>
      <c r="AB493" s="63">
        <f>IF($A493="","",IF(AND($F493="Yes",OR($U493="No",$U493="NOT FOUND")),"YES",""))</f>
        <v/>
      </c>
      <c r="AC493" s="66">
        <f>IF($A493="","",TRIM(IF(AND($P493=0,$L493&lt;&gt;"Yes"),"T0-NoSmartcard ","")&amp;IF(AND($J493&lt;&gt;"",$J493&gt;365),"StalePwd ","")&amp;IF($K493="Yes","PwdNeverExpires ","")&amp;IF(AND($S493&lt;&gt;"",$S493&lt;&gt;"None"),"Delegation ","")&amp;IF(AND($Q493=1,$O493="None"),"StaleAdminCount ","")&amp;IF(AND($F493="Yes",$H493=""),"NeverLoggedOn ","")))</f>
        <v/>
      </c>
      <c r="AD493" s="60" t="n"/>
      <c r="AE493" s="61" t="n"/>
      <c r="AF493" s="60" t="n"/>
      <c r="AG493" s="62" t="n"/>
      <c r="AH493" s="62" t="n"/>
      <c r="AI493" s="62" t="n"/>
      <c r="AJ493" s="60" t="n"/>
      <c r="AK493" s="61" t="n"/>
      <c r="AL493" s="63">
        <f>IF($A493="","",IF(AH493="","Not Enrolled",IF(TODAY()&gt;AH493,"Review Overdue",IF(AH493-TODAY()&lt;=30,"Review Due Soon","Active"))))</f>
        <v/>
      </c>
      <c r="AM493" s="63">
        <f>IF($A493="","",IF(AI493="","NOT REVIEWED",IF(TODAY()-AI493&gt;90,"OVERDUE",IF(TODAY()-AI493&gt;76,"Due Soon","Current"))))</f>
        <v/>
      </c>
    </row>
    <row r="494" ht="15" customHeight="1" s="39">
      <c r="A494" s="60" t="n"/>
      <c r="B494" s="60" t="n"/>
      <c r="C494" s="61" t="n"/>
      <c r="D494" s="61" t="n"/>
      <c r="E494" s="60" t="n"/>
      <c r="F494" s="60" t="n"/>
      <c r="G494" s="62" t="n"/>
      <c r="H494" s="62" t="n"/>
      <c r="I494" s="62" t="n"/>
      <c r="J494" s="60" t="n"/>
      <c r="K494" s="60" t="n"/>
      <c r="L494" s="60" t="n"/>
      <c r="M494" s="61" t="n"/>
      <c r="N494" s="60" t="n"/>
      <c r="O494" s="60" t="n"/>
      <c r="P494" s="60" t="n"/>
      <c r="Q494" s="60" t="n"/>
      <c r="R494" s="60" t="n"/>
      <c r="S494" s="60" t="n"/>
      <c r="T494" s="60" t="n"/>
      <c r="U494" s="60" t="n"/>
      <c r="V494" s="60" t="n"/>
      <c r="W494" s="60" t="n"/>
      <c r="X494" s="60" t="n"/>
      <c r="Y494" s="60" t="n"/>
      <c r="Z494" s="61" t="n"/>
      <c r="AA494" s="63">
        <f>IF($H494="","",TODAY()-$H494)</f>
        <v/>
      </c>
      <c r="AB494" s="63">
        <f>IF($A494="","",IF(AND($F494="Yes",OR($U494="No",$U494="NOT FOUND")),"YES",""))</f>
        <v/>
      </c>
      <c r="AC494" s="66">
        <f>IF($A494="","",TRIM(IF(AND($P494=0,$L494&lt;&gt;"Yes"),"T0-NoSmartcard ","")&amp;IF(AND($J494&lt;&gt;"",$J494&gt;365),"StalePwd ","")&amp;IF($K494="Yes","PwdNeverExpires ","")&amp;IF(AND($S494&lt;&gt;"",$S494&lt;&gt;"None"),"Delegation ","")&amp;IF(AND($Q494=1,$O494="None"),"StaleAdminCount ","")&amp;IF(AND($F494="Yes",$H494=""),"NeverLoggedOn ","")))</f>
        <v/>
      </c>
      <c r="AD494" s="60" t="n"/>
      <c r="AE494" s="61" t="n"/>
      <c r="AF494" s="60" t="n"/>
      <c r="AG494" s="62" t="n"/>
      <c r="AH494" s="62" t="n"/>
      <c r="AI494" s="62" t="n"/>
      <c r="AJ494" s="60" t="n"/>
      <c r="AK494" s="61" t="n"/>
      <c r="AL494" s="63">
        <f>IF($A494="","",IF(AH494="","Not Enrolled",IF(TODAY()&gt;AH494,"Review Overdue",IF(AH494-TODAY()&lt;=30,"Review Due Soon","Active"))))</f>
        <v/>
      </c>
      <c r="AM494" s="63">
        <f>IF($A494="","",IF(AI494="","NOT REVIEWED",IF(TODAY()-AI494&gt;90,"OVERDUE",IF(TODAY()-AI494&gt;76,"Due Soon","Current"))))</f>
        <v/>
      </c>
    </row>
    <row r="495" ht="15" customHeight="1" s="39">
      <c r="A495" s="60" t="n"/>
      <c r="B495" s="60" t="n"/>
      <c r="C495" s="61" t="n"/>
      <c r="D495" s="61" t="n"/>
      <c r="E495" s="60" t="n"/>
      <c r="F495" s="60" t="n"/>
      <c r="G495" s="62" t="n"/>
      <c r="H495" s="62" t="n"/>
      <c r="I495" s="62" t="n"/>
      <c r="J495" s="60" t="n"/>
      <c r="K495" s="60" t="n"/>
      <c r="L495" s="60" t="n"/>
      <c r="M495" s="61" t="n"/>
      <c r="N495" s="60" t="n"/>
      <c r="O495" s="60" t="n"/>
      <c r="P495" s="60" t="n"/>
      <c r="Q495" s="60" t="n"/>
      <c r="R495" s="60" t="n"/>
      <c r="S495" s="60" t="n"/>
      <c r="T495" s="60" t="n"/>
      <c r="U495" s="60" t="n"/>
      <c r="V495" s="60" t="n"/>
      <c r="W495" s="60" t="n"/>
      <c r="X495" s="60" t="n"/>
      <c r="Y495" s="60" t="n"/>
      <c r="Z495" s="61" t="n"/>
      <c r="AA495" s="63">
        <f>IF($H495="","",TODAY()-$H495)</f>
        <v/>
      </c>
      <c r="AB495" s="63">
        <f>IF($A495="","",IF(AND($F495="Yes",OR($U495="No",$U495="NOT FOUND")),"YES",""))</f>
        <v/>
      </c>
      <c r="AC495" s="66">
        <f>IF($A495="","",TRIM(IF(AND($P495=0,$L495&lt;&gt;"Yes"),"T0-NoSmartcard ","")&amp;IF(AND($J495&lt;&gt;"",$J495&gt;365),"StalePwd ","")&amp;IF($K495="Yes","PwdNeverExpires ","")&amp;IF(AND($S495&lt;&gt;"",$S495&lt;&gt;"None"),"Delegation ","")&amp;IF(AND($Q495=1,$O495="None"),"StaleAdminCount ","")&amp;IF(AND($F495="Yes",$H495=""),"NeverLoggedOn ","")))</f>
        <v/>
      </c>
      <c r="AD495" s="60" t="n"/>
      <c r="AE495" s="61" t="n"/>
      <c r="AF495" s="60" t="n"/>
      <c r="AG495" s="62" t="n"/>
      <c r="AH495" s="62" t="n"/>
      <c r="AI495" s="62" t="n"/>
      <c r="AJ495" s="60" t="n"/>
      <c r="AK495" s="61" t="n"/>
      <c r="AL495" s="63">
        <f>IF($A495="","",IF(AH495="","Not Enrolled",IF(TODAY()&gt;AH495,"Review Overdue",IF(AH495-TODAY()&lt;=30,"Review Due Soon","Active"))))</f>
        <v/>
      </c>
      <c r="AM495" s="63">
        <f>IF($A495="","",IF(AI495="","NOT REVIEWED",IF(TODAY()-AI495&gt;90,"OVERDUE",IF(TODAY()-AI495&gt;76,"Due Soon","Current"))))</f>
        <v/>
      </c>
    </row>
    <row r="496" ht="15" customHeight="1" s="39">
      <c r="A496" s="60" t="n"/>
      <c r="B496" s="60" t="n"/>
      <c r="C496" s="61" t="n"/>
      <c r="D496" s="61" t="n"/>
      <c r="E496" s="60" t="n"/>
      <c r="F496" s="60" t="n"/>
      <c r="G496" s="62" t="n"/>
      <c r="H496" s="62" t="n"/>
      <c r="I496" s="62" t="n"/>
      <c r="J496" s="60" t="n"/>
      <c r="K496" s="60" t="n"/>
      <c r="L496" s="60" t="n"/>
      <c r="M496" s="61" t="n"/>
      <c r="N496" s="60" t="n"/>
      <c r="O496" s="60" t="n"/>
      <c r="P496" s="60" t="n"/>
      <c r="Q496" s="60" t="n"/>
      <c r="R496" s="60" t="n"/>
      <c r="S496" s="60" t="n"/>
      <c r="T496" s="60" t="n"/>
      <c r="U496" s="60" t="n"/>
      <c r="V496" s="60" t="n"/>
      <c r="W496" s="60" t="n"/>
      <c r="X496" s="60" t="n"/>
      <c r="Y496" s="60" t="n"/>
      <c r="Z496" s="61" t="n"/>
      <c r="AA496" s="63">
        <f>IF($H496="","",TODAY()-$H496)</f>
        <v/>
      </c>
      <c r="AB496" s="63">
        <f>IF($A496="","",IF(AND($F496="Yes",OR($U496="No",$U496="NOT FOUND")),"YES",""))</f>
        <v/>
      </c>
      <c r="AC496" s="66">
        <f>IF($A496="","",TRIM(IF(AND($P496=0,$L496&lt;&gt;"Yes"),"T0-NoSmartcard ","")&amp;IF(AND($J496&lt;&gt;"",$J496&gt;365),"StalePwd ","")&amp;IF($K496="Yes","PwdNeverExpires ","")&amp;IF(AND($S496&lt;&gt;"",$S496&lt;&gt;"None"),"Delegation ","")&amp;IF(AND($Q496=1,$O496="None"),"StaleAdminCount ","")&amp;IF(AND($F496="Yes",$H496=""),"NeverLoggedOn ","")))</f>
        <v/>
      </c>
      <c r="AD496" s="60" t="n"/>
      <c r="AE496" s="61" t="n"/>
      <c r="AF496" s="60" t="n"/>
      <c r="AG496" s="62" t="n"/>
      <c r="AH496" s="62" t="n"/>
      <c r="AI496" s="62" t="n"/>
      <c r="AJ496" s="60" t="n"/>
      <c r="AK496" s="61" t="n"/>
      <c r="AL496" s="63">
        <f>IF($A496="","",IF(AH496="","Not Enrolled",IF(TODAY()&gt;AH496,"Review Overdue",IF(AH496-TODAY()&lt;=30,"Review Due Soon","Active"))))</f>
        <v/>
      </c>
      <c r="AM496" s="63">
        <f>IF($A496="","",IF(AI496="","NOT REVIEWED",IF(TODAY()-AI496&gt;90,"OVERDUE",IF(TODAY()-AI496&gt;76,"Due Soon","Current"))))</f>
        <v/>
      </c>
    </row>
    <row r="497" ht="15" customHeight="1" s="39">
      <c r="A497" s="60" t="n"/>
      <c r="B497" s="60" t="n"/>
      <c r="C497" s="61" t="n"/>
      <c r="D497" s="61" t="n"/>
      <c r="E497" s="60" t="n"/>
      <c r="F497" s="60" t="n"/>
      <c r="G497" s="62" t="n"/>
      <c r="H497" s="62" t="n"/>
      <c r="I497" s="62" t="n"/>
      <c r="J497" s="60" t="n"/>
      <c r="K497" s="60" t="n"/>
      <c r="L497" s="60" t="n"/>
      <c r="M497" s="61" t="n"/>
      <c r="N497" s="60" t="n"/>
      <c r="O497" s="60" t="n"/>
      <c r="P497" s="60" t="n"/>
      <c r="Q497" s="60" t="n"/>
      <c r="R497" s="60" t="n"/>
      <c r="S497" s="60" t="n"/>
      <c r="T497" s="60" t="n"/>
      <c r="U497" s="60" t="n"/>
      <c r="V497" s="60" t="n"/>
      <c r="W497" s="60" t="n"/>
      <c r="X497" s="60" t="n"/>
      <c r="Y497" s="60" t="n"/>
      <c r="Z497" s="61" t="n"/>
      <c r="AA497" s="63">
        <f>IF($H497="","",TODAY()-$H497)</f>
        <v/>
      </c>
      <c r="AB497" s="63">
        <f>IF($A497="","",IF(AND($F497="Yes",OR($U497="No",$U497="NOT FOUND")),"YES",""))</f>
        <v/>
      </c>
      <c r="AC497" s="66">
        <f>IF($A497="","",TRIM(IF(AND($P497=0,$L497&lt;&gt;"Yes"),"T0-NoSmartcard ","")&amp;IF(AND($J497&lt;&gt;"",$J497&gt;365),"StalePwd ","")&amp;IF($K497="Yes","PwdNeverExpires ","")&amp;IF(AND($S497&lt;&gt;"",$S497&lt;&gt;"None"),"Delegation ","")&amp;IF(AND($Q497=1,$O497="None"),"StaleAdminCount ","")&amp;IF(AND($F497="Yes",$H497=""),"NeverLoggedOn ","")))</f>
        <v/>
      </c>
      <c r="AD497" s="60" t="n"/>
      <c r="AE497" s="61" t="n"/>
      <c r="AF497" s="60" t="n"/>
      <c r="AG497" s="62" t="n"/>
      <c r="AH497" s="62" t="n"/>
      <c r="AI497" s="62" t="n"/>
      <c r="AJ497" s="60" t="n"/>
      <c r="AK497" s="61" t="n"/>
      <c r="AL497" s="63">
        <f>IF($A497="","",IF(AH497="","Not Enrolled",IF(TODAY()&gt;AH497,"Review Overdue",IF(AH497-TODAY()&lt;=30,"Review Due Soon","Active"))))</f>
        <v/>
      </c>
      <c r="AM497" s="63">
        <f>IF($A497="","",IF(AI497="","NOT REVIEWED",IF(TODAY()-AI497&gt;90,"OVERDUE",IF(TODAY()-AI497&gt;76,"Due Soon","Current"))))</f>
        <v/>
      </c>
    </row>
    <row r="498" ht="15" customHeight="1" s="39">
      <c r="A498" s="60" t="n"/>
      <c r="B498" s="60" t="n"/>
      <c r="C498" s="61" t="n"/>
      <c r="D498" s="61" t="n"/>
      <c r="E498" s="60" t="n"/>
      <c r="F498" s="60" t="n"/>
      <c r="G498" s="62" t="n"/>
      <c r="H498" s="62" t="n"/>
      <c r="I498" s="62" t="n"/>
      <c r="J498" s="60" t="n"/>
      <c r="K498" s="60" t="n"/>
      <c r="L498" s="60" t="n"/>
      <c r="M498" s="61" t="n"/>
      <c r="N498" s="60" t="n"/>
      <c r="O498" s="60" t="n"/>
      <c r="P498" s="60" t="n"/>
      <c r="Q498" s="60" t="n"/>
      <c r="R498" s="60" t="n"/>
      <c r="S498" s="60" t="n"/>
      <c r="T498" s="60" t="n"/>
      <c r="U498" s="60" t="n"/>
      <c r="V498" s="60" t="n"/>
      <c r="W498" s="60" t="n"/>
      <c r="X498" s="60" t="n"/>
      <c r="Y498" s="60" t="n"/>
      <c r="Z498" s="61" t="n"/>
      <c r="AA498" s="63">
        <f>IF($H498="","",TODAY()-$H498)</f>
        <v/>
      </c>
      <c r="AB498" s="63">
        <f>IF($A498="","",IF(AND($F498="Yes",OR($U498="No",$U498="NOT FOUND")),"YES",""))</f>
        <v/>
      </c>
      <c r="AC498" s="66">
        <f>IF($A498="","",TRIM(IF(AND($P498=0,$L498&lt;&gt;"Yes"),"T0-NoSmartcard ","")&amp;IF(AND($J498&lt;&gt;"",$J498&gt;365),"StalePwd ","")&amp;IF($K498="Yes","PwdNeverExpires ","")&amp;IF(AND($S498&lt;&gt;"",$S498&lt;&gt;"None"),"Delegation ","")&amp;IF(AND($Q498=1,$O498="None"),"StaleAdminCount ","")&amp;IF(AND($F498="Yes",$H498=""),"NeverLoggedOn ","")))</f>
        <v/>
      </c>
      <c r="AD498" s="60" t="n"/>
      <c r="AE498" s="61" t="n"/>
      <c r="AF498" s="60" t="n"/>
      <c r="AG498" s="62" t="n"/>
      <c r="AH498" s="62" t="n"/>
      <c r="AI498" s="62" t="n"/>
      <c r="AJ498" s="60" t="n"/>
      <c r="AK498" s="61" t="n"/>
      <c r="AL498" s="63">
        <f>IF($A498="","",IF(AH498="","Not Enrolled",IF(TODAY()&gt;AH498,"Review Overdue",IF(AH498-TODAY()&lt;=30,"Review Due Soon","Active"))))</f>
        <v/>
      </c>
      <c r="AM498" s="63">
        <f>IF($A498="","",IF(AI498="","NOT REVIEWED",IF(TODAY()-AI498&gt;90,"OVERDUE",IF(TODAY()-AI498&gt;76,"Due Soon","Current"))))</f>
        <v/>
      </c>
    </row>
    <row r="499" ht="15" customHeight="1" s="39">
      <c r="A499" s="60" t="n"/>
      <c r="B499" s="60" t="n"/>
      <c r="C499" s="61" t="n"/>
      <c r="D499" s="61" t="n"/>
      <c r="E499" s="60" t="n"/>
      <c r="F499" s="60" t="n"/>
      <c r="G499" s="62" t="n"/>
      <c r="H499" s="62" t="n"/>
      <c r="I499" s="62" t="n"/>
      <c r="J499" s="60" t="n"/>
      <c r="K499" s="60" t="n"/>
      <c r="L499" s="60" t="n"/>
      <c r="M499" s="61" t="n"/>
      <c r="N499" s="60" t="n"/>
      <c r="O499" s="60" t="n"/>
      <c r="P499" s="60" t="n"/>
      <c r="Q499" s="60" t="n"/>
      <c r="R499" s="60" t="n"/>
      <c r="S499" s="60" t="n"/>
      <c r="T499" s="60" t="n"/>
      <c r="U499" s="60" t="n"/>
      <c r="V499" s="60" t="n"/>
      <c r="W499" s="60" t="n"/>
      <c r="X499" s="60" t="n"/>
      <c r="Y499" s="60" t="n"/>
      <c r="Z499" s="61" t="n"/>
      <c r="AA499" s="63">
        <f>IF($H499="","",TODAY()-$H499)</f>
        <v/>
      </c>
      <c r="AB499" s="63">
        <f>IF($A499="","",IF(AND($F499="Yes",OR($U499="No",$U499="NOT FOUND")),"YES",""))</f>
        <v/>
      </c>
      <c r="AC499" s="66">
        <f>IF($A499="","",TRIM(IF(AND($P499=0,$L499&lt;&gt;"Yes"),"T0-NoSmartcard ","")&amp;IF(AND($J499&lt;&gt;"",$J499&gt;365),"StalePwd ","")&amp;IF($K499="Yes","PwdNeverExpires ","")&amp;IF(AND($S499&lt;&gt;"",$S499&lt;&gt;"None"),"Delegation ","")&amp;IF(AND($Q499=1,$O499="None"),"StaleAdminCount ","")&amp;IF(AND($F499="Yes",$H499=""),"NeverLoggedOn ","")))</f>
        <v/>
      </c>
      <c r="AD499" s="60" t="n"/>
      <c r="AE499" s="61" t="n"/>
      <c r="AF499" s="60" t="n"/>
      <c r="AG499" s="62" t="n"/>
      <c r="AH499" s="62" t="n"/>
      <c r="AI499" s="62" t="n"/>
      <c r="AJ499" s="60" t="n"/>
      <c r="AK499" s="61" t="n"/>
      <c r="AL499" s="63">
        <f>IF($A499="","",IF(AH499="","Not Enrolled",IF(TODAY()&gt;AH499,"Review Overdue",IF(AH499-TODAY()&lt;=30,"Review Due Soon","Active"))))</f>
        <v/>
      </c>
      <c r="AM499" s="63">
        <f>IF($A499="","",IF(AI499="","NOT REVIEWED",IF(TODAY()-AI499&gt;90,"OVERDUE",IF(TODAY()-AI499&gt;76,"Due Soon","Current"))))</f>
        <v/>
      </c>
    </row>
    <row r="500" ht="15" customHeight="1" s="39">
      <c r="A500" s="60" t="n"/>
      <c r="B500" s="60" t="n"/>
      <c r="C500" s="61" t="n"/>
      <c r="D500" s="61" t="n"/>
      <c r="E500" s="60" t="n"/>
      <c r="F500" s="60" t="n"/>
      <c r="G500" s="62" t="n"/>
      <c r="H500" s="62" t="n"/>
      <c r="I500" s="62" t="n"/>
      <c r="J500" s="60" t="n"/>
      <c r="K500" s="60" t="n"/>
      <c r="L500" s="60" t="n"/>
      <c r="M500" s="61" t="n"/>
      <c r="N500" s="60" t="n"/>
      <c r="O500" s="60" t="n"/>
      <c r="P500" s="60" t="n"/>
      <c r="Q500" s="60" t="n"/>
      <c r="R500" s="60" t="n"/>
      <c r="S500" s="60" t="n"/>
      <c r="T500" s="60" t="n"/>
      <c r="U500" s="60" t="n"/>
      <c r="V500" s="60" t="n"/>
      <c r="W500" s="60" t="n"/>
      <c r="X500" s="60" t="n"/>
      <c r="Y500" s="60" t="n"/>
      <c r="Z500" s="61" t="n"/>
      <c r="AA500" s="63">
        <f>IF($H500="","",TODAY()-$H500)</f>
        <v/>
      </c>
      <c r="AB500" s="63">
        <f>IF($A500="","",IF(AND($F500="Yes",OR($U500="No",$U500="NOT FOUND")),"YES",""))</f>
        <v/>
      </c>
      <c r="AC500" s="66">
        <f>IF($A500="","",TRIM(IF(AND($P500=0,$L500&lt;&gt;"Yes"),"T0-NoSmartcard ","")&amp;IF(AND($J500&lt;&gt;"",$J500&gt;365),"StalePwd ","")&amp;IF($K500="Yes","PwdNeverExpires ","")&amp;IF(AND($S500&lt;&gt;"",$S500&lt;&gt;"None"),"Delegation ","")&amp;IF(AND($Q500=1,$O500="None"),"StaleAdminCount ","")&amp;IF(AND($F500="Yes",$H500=""),"NeverLoggedOn ","")))</f>
        <v/>
      </c>
      <c r="AD500" s="60" t="n"/>
      <c r="AE500" s="61" t="n"/>
      <c r="AF500" s="60" t="n"/>
      <c r="AG500" s="62" t="n"/>
      <c r="AH500" s="62" t="n"/>
      <c r="AI500" s="62" t="n"/>
      <c r="AJ500" s="60" t="n"/>
      <c r="AK500" s="61" t="n"/>
      <c r="AL500" s="63">
        <f>IF($A500="","",IF(AH500="","Not Enrolled",IF(TODAY()&gt;AH500,"Review Overdue",IF(AH500-TODAY()&lt;=30,"Review Due Soon","Active"))))</f>
        <v/>
      </c>
      <c r="AM500" s="63">
        <f>IF($A500="","",IF(AI500="","NOT REVIEWED",IF(TODAY()-AI500&gt;90,"OVERDUE",IF(TODAY()-AI500&gt;76,"Due Soon","Current"))))</f>
        <v/>
      </c>
    </row>
    <row r="501" ht="15" customHeight="1" s="39">
      <c r="A501" s="60" t="n"/>
      <c r="B501" s="60" t="n"/>
      <c r="C501" s="61" t="n"/>
      <c r="D501" s="61" t="n"/>
      <c r="E501" s="60" t="n"/>
      <c r="F501" s="60" t="n"/>
      <c r="G501" s="62" t="n"/>
      <c r="H501" s="62" t="n"/>
      <c r="I501" s="62" t="n"/>
      <c r="J501" s="60" t="n"/>
      <c r="K501" s="60" t="n"/>
      <c r="L501" s="60" t="n"/>
      <c r="M501" s="61" t="n"/>
      <c r="N501" s="60" t="n"/>
      <c r="O501" s="60" t="n"/>
      <c r="P501" s="60" t="n"/>
      <c r="Q501" s="60" t="n"/>
      <c r="R501" s="60" t="n"/>
      <c r="S501" s="60" t="n"/>
      <c r="T501" s="60" t="n"/>
      <c r="U501" s="60" t="n"/>
      <c r="V501" s="60" t="n"/>
      <c r="W501" s="60" t="n"/>
      <c r="X501" s="60" t="n"/>
      <c r="Y501" s="60" t="n"/>
      <c r="Z501" s="61" t="n"/>
      <c r="AA501" s="63">
        <f>IF($H501="","",TODAY()-$H501)</f>
        <v/>
      </c>
      <c r="AB501" s="63">
        <f>IF($A501="","",IF(AND($F501="Yes",OR($U501="No",$U501="NOT FOUND")),"YES",""))</f>
        <v/>
      </c>
      <c r="AC501" s="66">
        <f>IF($A501="","",TRIM(IF(AND($P501=0,$L501&lt;&gt;"Yes"),"T0-NoSmartcard ","")&amp;IF(AND($J501&lt;&gt;"",$J501&gt;365),"StalePwd ","")&amp;IF($K501="Yes","PwdNeverExpires ","")&amp;IF(AND($S501&lt;&gt;"",$S501&lt;&gt;"None"),"Delegation ","")&amp;IF(AND($Q501=1,$O501="None"),"StaleAdminCount ","")&amp;IF(AND($F501="Yes",$H501=""),"NeverLoggedOn ","")))</f>
        <v/>
      </c>
      <c r="AD501" s="60" t="n"/>
      <c r="AE501" s="61" t="n"/>
      <c r="AF501" s="60" t="n"/>
      <c r="AG501" s="62" t="n"/>
      <c r="AH501" s="62" t="n"/>
      <c r="AI501" s="62" t="n"/>
      <c r="AJ501" s="60" t="n"/>
      <c r="AK501" s="61" t="n"/>
      <c r="AL501" s="63">
        <f>IF($A501="","",IF(AH501="","Not Enrolled",IF(TODAY()&gt;AH501,"Review Overdue",IF(AH501-TODAY()&lt;=30,"Review Due Soon","Active"))))</f>
        <v/>
      </c>
      <c r="AM501" s="63">
        <f>IF($A501="","",IF(AI501="","NOT REVIEWED",IF(TODAY()-AI501&gt;90,"OVERDUE",IF(TODAY()-AI501&gt;76,"Due Soon","Current"))))</f>
        <v/>
      </c>
    </row>
    <row r="502" ht="15" customHeight="1" s="39">
      <c r="A502" s="60" t="n"/>
      <c r="B502" s="60" t="n"/>
      <c r="C502" s="61" t="n"/>
      <c r="D502" s="61" t="n"/>
      <c r="E502" s="60" t="n"/>
      <c r="F502" s="60" t="n"/>
      <c r="G502" s="62" t="n"/>
      <c r="H502" s="62" t="n"/>
      <c r="I502" s="62" t="n"/>
      <c r="J502" s="60" t="n"/>
      <c r="K502" s="60" t="n"/>
      <c r="L502" s="60" t="n"/>
      <c r="M502" s="61" t="n"/>
      <c r="N502" s="60" t="n"/>
      <c r="O502" s="60" t="n"/>
      <c r="P502" s="60" t="n"/>
      <c r="Q502" s="60" t="n"/>
      <c r="R502" s="60" t="n"/>
      <c r="S502" s="60" t="n"/>
      <c r="T502" s="60" t="n"/>
      <c r="U502" s="60" t="n"/>
      <c r="V502" s="60" t="n"/>
      <c r="W502" s="60" t="n"/>
      <c r="X502" s="60" t="n"/>
      <c r="Y502" s="60" t="n"/>
      <c r="Z502" s="61" t="n"/>
      <c r="AA502" s="63">
        <f>IF($H502="","",TODAY()-$H502)</f>
        <v/>
      </c>
      <c r="AB502" s="63">
        <f>IF($A502="","",IF(AND($F502="Yes",OR($U502="No",$U502="NOT FOUND")),"YES",""))</f>
        <v/>
      </c>
      <c r="AC502" s="66">
        <f>IF($A502="","",TRIM(IF(AND($P502=0,$L502&lt;&gt;"Yes"),"T0-NoSmartcard ","")&amp;IF(AND($J502&lt;&gt;"",$J502&gt;365),"StalePwd ","")&amp;IF($K502="Yes","PwdNeverExpires ","")&amp;IF(AND($S502&lt;&gt;"",$S502&lt;&gt;"None"),"Delegation ","")&amp;IF(AND($Q502=1,$O502="None"),"StaleAdminCount ","")&amp;IF(AND($F502="Yes",$H502=""),"NeverLoggedOn ","")))</f>
        <v/>
      </c>
      <c r="AD502" s="60" t="n"/>
      <c r="AE502" s="61" t="n"/>
      <c r="AF502" s="60" t="n"/>
      <c r="AG502" s="62" t="n"/>
      <c r="AH502" s="62" t="n"/>
      <c r="AI502" s="62" t="n"/>
      <c r="AJ502" s="60" t="n"/>
      <c r="AK502" s="61" t="n"/>
      <c r="AL502" s="63">
        <f>IF($A502="","",IF(AH502="","Not Enrolled",IF(TODAY()&gt;AH502,"Review Overdue",IF(AH502-TODAY()&lt;=30,"Review Due Soon","Active"))))</f>
        <v/>
      </c>
      <c r="AM502" s="63">
        <f>IF($A502="","",IF(AI502="","NOT REVIEWED",IF(TODAY()-AI502&gt;90,"OVERDUE",IF(TODAY()-AI502&gt;76,"Due Soon","Current"))))</f>
        <v/>
      </c>
    </row>
    <row r="503" ht="15" customHeight="1" s="39">
      <c r="A503" s="60" t="n"/>
      <c r="B503" s="60" t="n"/>
      <c r="C503" s="61" t="n"/>
      <c r="D503" s="61" t="n"/>
      <c r="E503" s="60" t="n"/>
      <c r="F503" s="60" t="n"/>
      <c r="G503" s="62" t="n"/>
      <c r="H503" s="62" t="n"/>
      <c r="I503" s="62" t="n"/>
      <c r="J503" s="60" t="n"/>
      <c r="K503" s="60" t="n"/>
      <c r="L503" s="60" t="n"/>
      <c r="M503" s="61" t="n"/>
      <c r="N503" s="60" t="n"/>
      <c r="O503" s="60" t="n"/>
      <c r="P503" s="60" t="n"/>
      <c r="Q503" s="60" t="n"/>
      <c r="R503" s="60" t="n"/>
      <c r="S503" s="60" t="n"/>
      <c r="T503" s="60" t="n"/>
      <c r="U503" s="60" t="n"/>
      <c r="V503" s="60" t="n"/>
      <c r="W503" s="60" t="n"/>
      <c r="X503" s="60" t="n"/>
      <c r="Y503" s="60" t="n"/>
      <c r="Z503" s="61" t="n"/>
      <c r="AA503" s="63">
        <f>IF($H503="","",TODAY()-$H503)</f>
        <v/>
      </c>
      <c r="AB503" s="63">
        <f>IF($A503="","",IF(AND($F503="Yes",OR($U503="No",$U503="NOT FOUND")),"YES",""))</f>
        <v/>
      </c>
      <c r="AC503" s="66">
        <f>IF($A503="","",TRIM(IF(AND($P503=0,$L503&lt;&gt;"Yes"),"T0-NoSmartcard ","")&amp;IF(AND($J503&lt;&gt;"",$J503&gt;365),"StalePwd ","")&amp;IF($K503="Yes","PwdNeverExpires ","")&amp;IF(AND($S503&lt;&gt;"",$S503&lt;&gt;"None"),"Delegation ","")&amp;IF(AND($Q503=1,$O503="None"),"StaleAdminCount ","")&amp;IF(AND($F503="Yes",$H503=""),"NeverLoggedOn ","")))</f>
        <v/>
      </c>
      <c r="AD503" s="60" t="n"/>
      <c r="AE503" s="61" t="n"/>
      <c r="AF503" s="60" t="n"/>
      <c r="AG503" s="62" t="n"/>
      <c r="AH503" s="62" t="n"/>
      <c r="AI503" s="62" t="n"/>
      <c r="AJ503" s="60" t="n"/>
      <c r="AK503" s="61" t="n"/>
      <c r="AL503" s="63">
        <f>IF($A503="","",IF(AH503="","Not Enrolled",IF(TODAY()&gt;AH503,"Review Overdue",IF(AH503-TODAY()&lt;=30,"Review Due Soon","Active"))))</f>
        <v/>
      </c>
      <c r="AM503" s="63">
        <f>IF($A503="","",IF(AI503="","NOT REVIEWED",IF(TODAY()-AI503&gt;90,"OVERDUE",IF(TODAY()-AI503&gt;76,"Due Soon","Current"))))</f>
        <v/>
      </c>
    </row>
    <row r="504" ht="15" customHeight="1" s="39">
      <c r="A504" s="60" t="n"/>
      <c r="B504" s="60" t="n"/>
      <c r="C504" s="61" t="n"/>
      <c r="D504" s="61" t="n"/>
      <c r="E504" s="60" t="n"/>
      <c r="F504" s="60" t="n"/>
      <c r="G504" s="62" t="n"/>
      <c r="H504" s="62" t="n"/>
      <c r="I504" s="62" t="n"/>
      <c r="J504" s="60" t="n"/>
      <c r="K504" s="60" t="n"/>
      <c r="L504" s="60" t="n"/>
      <c r="M504" s="61" t="n"/>
      <c r="N504" s="60" t="n"/>
      <c r="O504" s="60" t="n"/>
      <c r="P504" s="60" t="n"/>
      <c r="Q504" s="60" t="n"/>
      <c r="R504" s="60" t="n"/>
      <c r="S504" s="60" t="n"/>
      <c r="T504" s="60" t="n"/>
      <c r="U504" s="60" t="n"/>
      <c r="V504" s="60" t="n"/>
      <c r="W504" s="60" t="n"/>
      <c r="X504" s="60" t="n"/>
      <c r="Y504" s="60" t="n"/>
      <c r="Z504" s="61" t="n"/>
      <c r="AA504" s="63">
        <f>IF($H504="","",TODAY()-$H504)</f>
        <v/>
      </c>
      <c r="AB504" s="63">
        <f>IF($A504="","",IF(AND($F504="Yes",OR($U504="No",$U504="NOT FOUND")),"YES",""))</f>
        <v/>
      </c>
      <c r="AC504" s="66">
        <f>IF($A504="","",TRIM(IF(AND($P504=0,$L504&lt;&gt;"Yes"),"T0-NoSmartcard ","")&amp;IF(AND($J504&lt;&gt;"",$J504&gt;365),"StalePwd ","")&amp;IF($K504="Yes","PwdNeverExpires ","")&amp;IF(AND($S504&lt;&gt;"",$S504&lt;&gt;"None"),"Delegation ","")&amp;IF(AND($Q504=1,$O504="None"),"StaleAdminCount ","")&amp;IF(AND($F504="Yes",$H504=""),"NeverLoggedOn ","")))</f>
        <v/>
      </c>
      <c r="AD504" s="60" t="n"/>
      <c r="AE504" s="61" t="n"/>
      <c r="AF504" s="60" t="n"/>
      <c r="AG504" s="62" t="n"/>
      <c r="AH504" s="62" t="n"/>
      <c r="AI504" s="62" t="n"/>
      <c r="AJ504" s="60" t="n"/>
      <c r="AK504" s="61" t="n"/>
      <c r="AL504" s="63">
        <f>IF($A504="","",IF(AH504="","Not Enrolled",IF(TODAY()&gt;AH504,"Review Overdue",IF(AH504-TODAY()&lt;=30,"Review Due Soon","Active"))))</f>
        <v/>
      </c>
      <c r="AM504" s="63">
        <f>IF($A504="","",IF(AI504="","NOT REVIEWED",IF(TODAY()-AI504&gt;90,"OVERDUE",IF(TODAY()-AI504&gt;76,"Due Soon","Current"))))</f>
        <v/>
      </c>
    </row>
    <row r="505" ht="15" customHeight="1" s="39">
      <c r="A505" s="60" t="n"/>
      <c r="B505" s="60" t="n"/>
      <c r="C505" s="61" t="n"/>
      <c r="D505" s="61" t="n"/>
      <c r="E505" s="60" t="n"/>
      <c r="F505" s="60" t="n"/>
      <c r="G505" s="62" t="n"/>
      <c r="H505" s="62" t="n"/>
      <c r="I505" s="62" t="n"/>
      <c r="J505" s="60" t="n"/>
      <c r="K505" s="60" t="n"/>
      <c r="L505" s="60" t="n"/>
      <c r="M505" s="61" t="n"/>
      <c r="N505" s="60" t="n"/>
      <c r="O505" s="60" t="n"/>
      <c r="P505" s="60" t="n"/>
      <c r="Q505" s="60" t="n"/>
      <c r="R505" s="60" t="n"/>
      <c r="S505" s="60" t="n"/>
      <c r="T505" s="60" t="n"/>
      <c r="U505" s="60" t="n"/>
      <c r="V505" s="60" t="n"/>
      <c r="W505" s="60" t="n"/>
      <c r="X505" s="60" t="n"/>
      <c r="Y505" s="60" t="n"/>
      <c r="Z505" s="61" t="n"/>
      <c r="AA505" s="63">
        <f>IF($H505="","",TODAY()-$H505)</f>
        <v/>
      </c>
      <c r="AB505" s="63">
        <f>IF($A505="","",IF(AND($F505="Yes",OR($U505="No",$U505="NOT FOUND")),"YES",""))</f>
        <v/>
      </c>
      <c r="AC505" s="66">
        <f>IF($A505="","",TRIM(IF(AND($P505=0,$L505&lt;&gt;"Yes"),"T0-NoSmartcard ","")&amp;IF(AND($J505&lt;&gt;"",$J505&gt;365),"StalePwd ","")&amp;IF($K505="Yes","PwdNeverExpires ","")&amp;IF(AND($S505&lt;&gt;"",$S505&lt;&gt;"None"),"Delegation ","")&amp;IF(AND($Q505=1,$O505="None"),"StaleAdminCount ","")&amp;IF(AND($F505="Yes",$H505=""),"NeverLoggedOn ","")))</f>
        <v/>
      </c>
      <c r="AD505" s="60" t="n"/>
      <c r="AE505" s="61" t="n"/>
      <c r="AF505" s="60" t="n"/>
      <c r="AG505" s="62" t="n"/>
      <c r="AH505" s="62" t="n"/>
      <c r="AI505" s="62" t="n"/>
      <c r="AJ505" s="60" t="n"/>
      <c r="AK505" s="61" t="n"/>
      <c r="AL505" s="63">
        <f>IF($A505="","",IF(AH505="","Not Enrolled",IF(TODAY()&gt;AH505,"Review Overdue",IF(AH505-TODAY()&lt;=30,"Review Due Soon","Active"))))</f>
        <v/>
      </c>
      <c r="AM505" s="63">
        <f>IF($A505="","",IF(AI505="","NOT REVIEWED",IF(TODAY()-AI505&gt;90,"OVERDUE",IF(TODAY()-AI505&gt;76,"Due Soon","Current"))))</f>
        <v/>
      </c>
    </row>
    <row r="506" ht="15" customHeight="1" s="39">
      <c r="A506" s="60" t="n"/>
      <c r="B506" s="60" t="n"/>
      <c r="C506" s="61" t="n"/>
      <c r="D506" s="61" t="n"/>
      <c r="E506" s="60" t="n"/>
      <c r="F506" s="60" t="n"/>
      <c r="G506" s="62" t="n"/>
      <c r="H506" s="62" t="n"/>
      <c r="I506" s="62" t="n"/>
      <c r="J506" s="60" t="n"/>
      <c r="K506" s="60" t="n"/>
      <c r="L506" s="60" t="n"/>
      <c r="M506" s="61" t="n"/>
      <c r="N506" s="60" t="n"/>
      <c r="O506" s="60" t="n"/>
      <c r="P506" s="60" t="n"/>
      <c r="Q506" s="60" t="n"/>
      <c r="R506" s="60" t="n"/>
      <c r="S506" s="60" t="n"/>
      <c r="T506" s="60" t="n"/>
      <c r="U506" s="60" t="n"/>
      <c r="V506" s="60" t="n"/>
      <c r="W506" s="60" t="n"/>
      <c r="X506" s="60" t="n"/>
      <c r="Y506" s="60" t="n"/>
      <c r="Z506" s="61" t="n"/>
      <c r="AA506" s="63">
        <f>IF($H506="","",TODAY()-$H506)</f>
        <v/>
      </c>
      <c r="AB506" s="63">
        <f>IF($A506="","",IF(AND($F506="Yes",OR($U506="No",$U506="NOT FOUND")),"YES",""))</f>
        <v/>
      </c>
      <c r="AC506" s="66">
        <f>IF($A506="","",TRIM(IF(AND($P506=0,$L506&lt;&gt;"Yes"),"T0-NoSmartcard ","")&amp;IF(AND($J506&lt;&gt;"",$J506&gt;365),"StalePwd ","")&amp;IF($K506="Yes","PwdNeverExpires ","")&amp;IF(AND($S506&lt;&gt;"",$S506&lt;&gt;"None"),"Delegation ","")&amp;IF(AND($Q506=1,$O506="None"),"StaleAdminCount ","")&amp;IF(AND($F506="Yes",$H506=""),"NeverLoggedOn ","")))</f>
        <v/>
      </c>
      <c r="AD506" s="60" t="n"/>
      <c r="AE506" s="61" t="n"/>
      <c r="AF506" s="60" t="n"/>
      <c r="AG506" s="62" t="n"/>
      <c r="AH506" s="62" t="n"/>
      <c r="AI506" s="62" t="n"/>
      <c r="AJ506" s="60" t="n"/>
      <c r="AK506" s="61" t="n"/>
      <c r="AL506" s="63">
        <f>IF($A506="","",IF(AH506="","Not Enrolled",IF(TODAY()&gt;AH506,"Review Overdue",IF(AH506-TODAY()&lt;=30,"Review Due Soon","Active"))))</f>
        <v/>
      </c>
      <c r="AM506" s="63">
        <f>IF($A506="","",IF(AI506="","NOT REVIEWED",IF(TODAY()-AI506&gt;90,"OVERDUE",IF(TODAY()-AI506&gt;76,"Due Soon","Current"))))</f>
        <v/>
      </c>
    </row>
    <row r="507" ht="15" customHeight="1" s="39">
      <c r="A507" s="60" t="n"/>
      <c r="B507" s="60" t="n"/>
      <c r="C507" s="61" t="n"/>
      <c r="D507" s="61" t="n"/>
      <c r="E507" s="60" t="n"/>
      <c r="F507" s="60" t="n"/>
      <c r="G507" s="62" t="n"/>
      <c r="H507" s="62" t="n"/>
      <c r="I507" s="62" t="n"/>
      <c r="J507" s="60" t="n"/>
      <c r="K507" s="60" t="n"/>
      <c r="L507" s="60" t="n"/>
      <c r="M507" s="61" t="n"/>
      <c r="N507" s="60" t="n"/>
      <c r="O507" s="60" t="n"/>
      <c r="P507" s="60" t="n"/>
      <c r="Q507" s="60" t="n"/>
      <c r="R507" s="60" t="n"/>
      <c r="S507" s="60" t="n"/>
      <c r="T507" s="60" t="n"/>
      <c r="U507" s="60" t="n"/>
      <c r="V507" s="60" t="n"/>
      <c r="W507" s="60" t="n"/>
      <c r="X507" s="60" t="n"/>
      <c r="Y507" s="60" t="n"/>
      <c r="Z507" s="61" t="n"/>
      <c r="AA507" s="63">
        <f>IF($H507="","",TODAY()-$H507)</f>
        <v/>
      </c>
      <c r="AB507" s="63">
        <f>IF($A507="","",IF(AND($F507="Yes",OR($U507="No",$U507="NOT FOUND")),"YES",""))</f>
        <v/>
      </c>
      <c r="AC507" s="66">
        <f>IF($A507="","",TRIM(IF(AND($P507=0,$L507&lt;&gt;"Yes"),"T0-NoSmartcard ","")&amp;IF(AND($J507&lt;&gt;"",$J507&gt;365),"StalePwd ","")&amp;IF($K507="Yes","PwdNeverExpires ","")&amp;IF(AND($S507&lt;&gt;"",$S507&lt;&gt;"None"),"Delegation ","")&amp;IF(AND($Q507=1,$O507="None"),"StaleAdminCount ","")&amp;IF(AND($F507="Yes",$H507=""),"NeverLoggedOn ","")))</f>
        <v/>
      </c>
      <c r="AD507" s="60" t="n"/>
      <c r="AE507" s="61" t="n"/>
      <c r="AF507" s="60" t="n"/>
      <c r="AG507" s="62" t="n"/>
      <c r="AH507" s="62" t="n"/>
      <c r="AI507" s="62" t="n"/>
      <c r="AJ507" s="60" t="n"/>
      <c r="AK507" s="61" t="n"/>
      <c r="AL507" s="63">
        <f>IF($A507="","",IF(AH507="","Not Enrolled",IF(TODAY()&gt;AH507,"Review Overdue",IF(AH507-TODAY()&lt;=30,"Review Due Soon","Active"))))</f>
        <v/>
      </c>
      <c r="AM507" s="63">
        <f>IF($A507="","",IF(AI507="","NOT REVIEWED",IF(TODAY()-AI507&gt;90,"OVERDUE",IF(TODAY()-AI507&gt;76,"Due Soon","Current"))))</f>
        <v/>
      </c>
    </row>
    <row r="508" ht="15" customHeight="1" s="39">
      <c r="A508" s="60" t="n"/>
      <c r="B508" s="60" t="n"/>
      <c r="C508" s="61" t="n"/>
      <c r="D508" s="61" t="n"/>
      <c r="E508" s="60" t="n"/>
      <c r="F508" s="60" t="n"/>
      <c r="G508" s="62" t="n"/>
      <c r="H508" s="62" t="n"/>
      <c r="I508" s="62" t="n"/>
      <c r="J508" s="60" t="n"/>
      <c r="K508" s="60" t="n"/>
      <c r="L508" s="60" t="n"/>
      <c r="M508" s="61" t="n"/>
      <c r="N508" s="60" t="n"/>
      <c r="O508" s="60" t="n"/>
      <c r="P508" s="60" t="n"/>
      <c r="Q508" s="60" t="n"/>
      <c r="R508" s="60" t="n"/>
      <c r="S508" s="60" t="n"/>
      <c r="T508" s="60" t="n"/>
      <c r="U508" s="60" t="n"/>
      <c r="V508" s="60" t="n"/>
      <c r="W508" s="60" t="n"/>
      <c r="X508" s="60" t="n"/>
      <c r="Y508" s="60" t="n"/>
      <c r="Z508" s="61" t="n"/>
      <c r="AA508" s="63">
        <f>IF($H508="","",TODAY()-$H508)</f>
        <v/>
      </c>
      <c r="AB508" s="63">
        <f>IF($A508="","",IF(AND($F508="Yes",OR($U508="No",$U508="NOT FOUND")),"YES",""))</f>
        <v/>
      </c>
      <c r="AC508" s="66">
        <f>IF($A508="","",TRIM(IF(AND($P508=0,$L508&lt;&gt;"Yes"),"T0-NoSmartcard ","")&amp;IF(AND($J508&lt;&gt;"",$J508&gt;365),"StalePwd ","")&amp;IF($K508="Yes","PwdNeverExpires ","")&amp;IF(AND($S508&lt;&gt;"",$S508&lt;&gt;"None"),"Delegation ","")&amp;IF(AND($Q508=1,$O508="None"),"StaleAdminCount ","")&amp;IF(AND($F508="Yes",$H508=""),"NeverLoggedOn ","")))</f>
        <v/>
      </c>
      <c r="AD508" s="60" t="n"/>
      <c r="AE508" s="61" t="n"/>
      <c r="AF508" s="60" t="n"/>
      <c r="AG508" s="62" t="n"/>
      <c r="AH508" s="62" t="n"/>
      <c r="AI508" s="62" t="n"/>
      <c r="AJ508" s="60" t="n"/>
      <c r="AK508" s="61" t="n"/>
      <c r="AL508" s="63">
        <f>IF($A508="","",IF(AH508="","Not Enrolled",IF(TODAY()&gt;AH508,"Review Overdue",IF(AH508-TODAY()&lt;=30,"Review Due Soon","Active"))))</f>
        <v/>
      </c>
      <c r="AM508" s="63">
        <f>IF($A508="","",IF(AI508="","NOT REVIEWED",IF(TODAY()-AI508&gt;90,"OVERDUE",IF(TODAY()-AI508&gt;76,"Due Soon","Current"))))</f>
        <v/>
      </c>
    </row>
    <row r="509" ht="15" customHeight="1" s="39">
      <c r="A509" s="60" t="n"/>
      <c r="B509" s="60" t="n"/>
      <c r="C509" s="61" t="n"/>
      <c r="D509" s="61" t="n"/>
      <c r="E509" s="60" t="n"/>
      <c r="F509" s="60" t="n"/>
      <c r="G509" s="62" t="n"/>
      <c r="H509" s="62" t="n"/>
      <c r="I509" s="62" t="n"/>
      <c r="J509" s="60" t="n"/>
      <c r="K509" s="60" t="n"/>
      <c r="L509" s="60" t="n"/>
      <c r="M509" s="61" t="n"/>
      <c r="N509" s="60" t="n"/>
      <c r="O509" s="60" t="n"/>
      <c r="P509" s="60" t="n"/>
      <c r="Q509" s="60" t="n"/>
      <c r="R509" s="60" t="n"/>
      <c r="S509" s="60" t="n"/>
      <c r="T509" s="60" t="n"/>
      <c r="U509" s="60" t="n"/>
      <c r="V509" s="60" t="n"/>
      <c r="W509" s="60" t="n"/>
      <c r="X509" s="60" t="n"/>
      <c r="Y509" s="60" t="n"/>
      <c r="Z509" s="61" t="n"/>
      <c r="AA509" s="63">
        <f>IF($H509="","",TODAY()-$H509)</f>
        <v/>
      </c>
      <c r="AB509" s="63">
        <f>IF($A509="","",IF(AND($F509="Yes",OR($U509="No",$U509="NOT FOUND")),"YES",""))</f>
        <v/>
      </c>
      <c r="AC509" s="66">
        <f>IF($A509="","",TRIM(IF(AND($P509=0,$L509&lt;&gt;"Yes"),"T0-NoSmartcard ","")&amp;IF(AND($J509&lt;&gt;"",$J509&gt;365),"StalePwd ","")&amp;IF($K509="Yes","PwdNeverExpires ","")&amp;IF(AND($S509&lt;&gt;"",$S509&lt;&gt;"None"),"Delegation ","")&amp;IF(AND($Q509=1,$O509="None"),"StaleAdminCount ","")&amp;IF(AND($F509="Yes",$H509=""),"NeverLoggedOn ","")))</f>
        <v/>
      </c>
      <c r="AD509" s="60" t="n"/>
      <c r="AE509" s="61" t="n"/>
      <c r="AF509" s="60" t="n"/>
      <c r="AG509" s="62" t="n"/>
      <c r="AH509" s="62" t="n"/>
      <c r="AI509" s="62" t="n"/>
      <c r="AJ509" s="60" t="n"/>
      <c r="AK509" s="61" t="n"/>
      <c r="AL509" s="63">
        <f>IF($A509="","",IF(AH509="","Not Enrolled",IF(TODAY()&gt;AH509,"Review Overdue",IF(AH509-TODAY()&lt;=30,"Review Due Soon","Active"))))</f>
        <v/>
      </c>
      <c r="AM509" s="63">
        <f>IF($A509="","",IF(AI509="","NOT REVIEWED",IF(TODAY()-AI509&gt;90,"OVERDUE",IF(TODAY()-AI509&gt;76,"Due Soon","Current"))))</f>
        <v/>
      </c>
    </row>
    <row r="510" ht="15" customHeight="1" s="39">
      <c r="A510" s="60" t="n"/>
      <c r="B510" s="60" t="n"/>
      <c r="C510" s="61" t="n"/>
      <c r="D510" s="61" t="n"/>
      <c r="E510" s="60" t="n"/>
      <c r="F510" s="60" t="n"/>
      <c r="G510" s="62" t="n"/>
      <c r="H510" s="62" t="n"/>
      <c r="I510" s="62" t="n"/>
      <c r="J510" s="60" t="n"/>
      <c r="K510" s="60" t="n"/>
      <c r="L510" s="60" t="n"/>
      <c r="M510" s="61" t="n"/>
      <c r="N510" s="60" t="n"/>
      <c r="O510" s="60" t="n"/>
      <c r="P510" s="60" t="n"/>
      <c r="Q510" s="60" t="n"/>
      <c r="R510" s="60" t="n"/>
      <c r="S510" s="60" t="n"/>
      <c r="T510" s="60" t="n"/>
      <c r="U510" s="60" t="n"/>
      <c r="V510" s="60" t="n"/>
      <c r="W510" s="60" t="n"/>
      <c r="X510" s="60" t="n"/>
      <c r="Y510" s="60" t="n"/>
      <c r="Z510" s="61" t="n"/>
      <c r="AA510" s="63">
        <f>IF($H510="","",TODAY()-$H510)</f>
        <v/>
      </c>
      <c r="AB510" s="63">
        <f>IF($A510="","",IF(AND($F510="Yes",OR($U510="No",$U510="NOT FOUND")),"YES",""))</f>
        <v/>
      </c>
      <c r="AC510" s="66">
        <f>IF($A510="","",TRIM(IF(AND($P510=0,$L510&lt;&gt;"Yes"),"T0-NoSmartcard ","")&amp;IF(AND($J510&lt;&gt;"",$J510&gt;365),"StalePwd ","")&amp;IF($K510="Yes","PwdNeverExpires ","")&amp;IF(AND($S510&lt;&gt;"",$S510&lt;&gt;"None"),"Delegation ","")&amp;IF(AND($Q510=1,$O510="None"),"StaleAdminCount ","")&amp;IF(AND($F510="Yes",$H510=""),"NeverLoggedOn ","")))</f>
        <v/>
      </c>
      <c r="AD510" s="60" t="n"/>
      <c r="AE510" s="61" t="n"/>
      <c r="AF510" s="60" t="n"/>
      <c r="AG510" s="62" t="n"/>
      <c r="AH510" s="62" t="n"/>
      <c r="AI510" s="62" t="n"/>
      <c r="AJ510" s="60" t="n"/>
      <c r="AK510" s="61" t="n"/>
      <c r="AL510" s="63">
        <f>IF($A510="","",IF(AH510="","Not Enrolled",IF(TODAY()&gt;AH510,"Review Overdue",IF(AH510-TODAY()&lt;=30,"Review Due Soon","Active"))))</f>
        <v/>
      </c>
      <c r="AM510" s="63">
        <f>IF($A510="","",IF(AI510="","NOT REVIEWED",IF(TODAY()-AI510&gt;90,"OVERDUE",IF(TODAY()-AI510&gt;76,"Due Soon","Current"))))</f>
        <v/>
      </c>
    </row>
    <row r="511" ht="15" customHeight="1" s="39">
      <c r="A511" s="60" t="n"/>
      <c r="B511" s="60" t="n"/>
      <c r="C511" s="61" t="n"/>
      <c r="D511" s="61" t="n"/>
      <c r="E511" s="60" t="n"/>
      <c r="F511" s="60" t="n"/>
      <c r="G511" s="62" t="n"/>
      <c r="H511" s="62" t="n"/>
      <c r="I511" s="62" t="n"/>
      <c r="J511" s="60" t="n"/>
      <c r="K511" s="60" t="n"/>
      <c r="L511" s="60" t="n"/>
      <c r="M511" s="61" t="n"/>
      <c r="N511" s="60" t="n"/>
      <c r="O511" s="60" t="n"/>
      <c r="P511" s="60" t="n"/>
      <c r="Q511" s="60" t="n"/>
      <c r="R511" s="60" t="n"/>
      <c r="S511" s="60" t="n"/>
      <c r="T511" s="60" t="n"/>
      <c r="U511" s="60" t="n"/>
      <c r="V511" s="60" t="n"/>
      <c r="W511" s="60" t="n"/>
      <c r="X511" s="60" t="n"/>
      <c r="Y511" s="60" t="n"/>
      <c r="Z511" s="61" t="n"/>
      <c r="AA511" s="63">
        <f>IF($H511="","",TODAY()-$H511)</f>
        <v/>
      </c>
      <c r="AB511" s="63">
        <f>IF($A511="","",IF(AND($F511="Yes",OR($U511="No",$U511="NOT FOUND")),"YES",""))</f>
        <v/>
      </c>
      <c r="AC511" s="66">
        <f>IF($A511="","",TRIM(IF(AND($P511=0,$L511&lt;&gt;"Yes"),"T0-NoSmartcard ","")&amp;IF(AND($J511&lt;&gt;"",$J511&gt;365),"StalePwd ","")&amp;IF($K511="Yes","PwdNeverExpires ","")&amp;IF(AND($S511&lt;&gt;"",$S511&lt;&gt;"None"),"Delegation ","")&amp;IF(AND($Q511=1,$O511="None"),"StaleAdminCount ","")&amp;IF(AND($F511="Yes",$H511=""),"NeverLoggedOn ","")))</f>
        <v/>
      </c>
      <c r="AD511" s="60" t="n"/>
      <c r="AE511" s="61" t="n"/>
      <c r="AF511" s="60" t="n"/>
      <c r="AG511" s="62" t="n"/>
      <c r="AH511" s="62" t="n"/>
      <c r="AI511" s="62" t="n"/>
      <c r="AJ511" s="60" t="n"/>
      <c r="AK511" s="61" t="n"/>
      <c r="AL511" s="63">
        <f>IF($A511="","",IF(AH511="","Not Enrolled",IF(TODAY()&gt;AH511,"Review Overdue",IF(AH511-TODAY()&lt;=30,"Review Due Soon","Active"))))</f>
        <v/>
      </c>
      <c r="AM511" s="63">
        <f>IF($A511="","",IF(AI511="","NOT REVIEWED",IF(TODAY()-AI511&gt;90,"OVERDUE",IF(TODAY()-AI511&gt;76,"Due Soon","Current"))))</f>
        <v/>
      </c>
    </row>
    <row r="512" ht="15" customHeight="1" s="39">
      <c r="A512" s="60" t="n"/>
      <c r="B512" s="60" t="n"/>
      <c r="C512" s="61" t="n"/>
      <c r="D512" s="61" t="n"/>
      <c r="E512" s="60" t="n"/>
      <c r="F512" s="60" t="n"/>
      <c r="G512" s="62" t="n"/>
      <c r="H512" s="62" t="n"/>
      <c r="I512" s="62" t="n"/>
      <c r="J512" s="60" t="n"/>
      <c r="K512" s="60" t="n"/>
      <c r="L512" s="60" t="n"/>
      <c r="M512" s="61" t="n"/>
      <c r="N512" s="60" t="n"/>
      <c r="O512" s="60" t="n"/>
      <c r="P512" s="60" t="n"/>
      <c r="Q512" s="60" t="n"/>
      <c r="R512" s="60" t="n"/>
      <c r="S512" s="60" t="n"/>
      <c r="T512" s="60" t="n"/>
      <c r="U512" s="60" t="n"/>
      <c r="V512" s="60" t="n"/>
      <c r="W512" s="60" t="n"/>
      <c r="X512" s="60" t="n"/>
      <c r="Y512" s="60" t="n"/>
      <c r="Z512" s="61" t="n"/>
      <c r="AA512" s="63">
        <f>IF($H512="","",TODAY()-$H512)</f>
        <v/>
      </c>
      <c r="AB512" s="63">
        <f>IF($A512="","",IF(AND($F512="Yes",OR($U512="No",$U512="NOT FOUND")),"YES",""))</f>
        <v/>
      </c>
      <c r="AC512" s="66">
        <f>IF($A512="","",TRIM(IF(AND($P512=0,$L512&lt;&gt;"Yes"),"T0-NoSmartcard ","")&amp;IF(AND($J512&lt;&gt;"",$J512&gt;365),"StalePwd ","")&amp;IF($K512="Yes","PwdNeverExpires ","")&amp;IF(AND($S512&lt;&gt;"",$S512&lt;&gt;"None"),"Delegation ","")&amp;IF(AND($Q512=1,$O512="None"),"StaleAdminCount ","")&amp;IF(AND($F512="Yes",$H512=""),"NeverLoggedOn ","")))</f>
        <v/>
      </c>
      <c r="AD512" s="60" t="n"/>
      <c r="AE512" s="61" t="n"/>
      <c r="AF512" s="60" t="n"/>
      <c r="AG512" s="62" t="n"/>
      <c r="AH512" s="62" t="n"/>
      <c r="AI512" s="62" t="n"/>
      <c r="AJ512" s="60" t="n"/>
      <c r="AK512" s="61" t="n"/>
      <c r="AL512" s="63">
        <f>IF($A512="","",IF(AH512="","Not Enrolled",IF(TODAY()&gt;AH512,"Review Overdue",IF(AH512-TODAY()&lt;=30,"Review Due Soon","Active"))))</f>
        <v/>
      </c>
      <c r="AM512" s="63">
        <f>IF($A512="","",IF(AI512="","NOT REVIEWED",IF(TODAY()-AI512&gt;90,"OVERDUE",IF(TODAY()-AI512&gt;76,"Due Soon","Current"))))</f>
        <v/>
      </c>
    </row>
    <row r="513" ht="15" customHeight="1" s="39">
      <c r="A513" s="60" t="n"/>
      <c r="B513" s="60" t="n"/>
      <c r="C513" s="61" t="n"/>
      <c r="D513" s="61" t="n"/>
      <c r="E513" s="60" t="n"/>
      <c r="F513" s="60" t="n"/>
      <c r="G513" s="62" t="n"/>
      <c r="H513" s="62" t="n"/>
      <c r="I513" s="62" t="n"/>
      <c r="J513" s="60" t="n"/>
      <c r="K513" s="60" t="n"/>
      <c r="L513" s="60" t="n"/>
      <c r="M513" s="61" t="n"/>
      <c r="N513" s="60" t="n"/>
      <c r="O513" s="60" t="n"/>
      <c r="P513" s="60" t="n"/>
      <c r="Q513" s="60" t="n"/>
      <c r="R513" s="60" t="n"/>
      <c r="S513" s="60" t="n"/>
      <c r="T513" s="60" t="n"/>
      <c r="U513" s="60" t="n"/>
      <c r="V513" s="60" t="n"/>
      <c r="W513" s="60" t="n"/>
      <c r="X513" s="60" t="n"/>
      <c r="Y513" s="60" t="n"/>
      <c r="Z513" s="61" t="n"/>
      <c r="AA513" s="63">
        <f>IF($H513="","",TODAY()-$H513)</f>
        <v/>
      </c>
      <c r="AB513" s="63">
        <f>IF($A513="","",IF(AND($F513="Yes",OR($U513="No",$U513="NOT FOUND")),"YES",""))</f>
        <v/>
      </c>
      <c r="AC513" s="66">
        <f>IF($A513="","",TRIM(IF(AND($P513=0,$L513&lt;&gt;"Yes"),"T0-NoSmartcard ","")&amp;IF(AND($J513&lt;&gt;"",$J513&gt;365),"StalePwd ","")&amp;IF($K513="Yes","PwdNeverExpires ","")&amp;IF(AND($S513&lt;&gt;"",$S513&lt;&gt;"None"),"Delegation ","")&amp;IF(AND($Q513=1,$O513="None"),"StaleAdminCount ","")&amp;IF(AND($F513="Yes",$H513=""),"NeverLoggedOn ","")))</f>
        <v/>
      </c>
      <c r="AD513" s="60" t="n"/>
      <c r="AE513" s="61" t="n"/>
      <c r="AF513" s="60" t="n"/>
      <c r="AG513" s="62" t="n"/>
      <c r="AH513" s="62" t="n"/>
      <c r="AI513" s="62" t="n"/>
      <c r="AJ513" s="60" t="n"/>
      <c r="AK513" s="61" t="n"/>
      <c r="AL513" s="63">
        <f>IF($A513="","",IF(AH513="","Not Enrolled",IF(TODAY()&gt;AH513,"Review Overdue",IF(AH513-TODAY()&lt;=30,"Review Due Soon","Active"))))</f>
        <v/>
      </c>
      <c r="AM513" s="63">
        <f>IF($A513="","",IF(AI513="","NOT REVIEWED",IF(TODAY()-AI513&gt;90,"OVERDUE",IF(TODAY()-AI513&gt;76,"Due Soon","Current"))))</f>
        <v/>
      </c>
    </row>
    <row r="514" ht="15" customHeight="1" s="39">
      <c r="A514" s="60" t="n"/>
      <c r="B514" s="60" t="n"/>
      <c r="C514" s="61" t="n"/>
      <c r="D514" s="61" t="n"/>
      <c r="E514" s="60" t="n"/>
      <c r="F514" s="60" t="n"/>
      <c r="G514" s="62" t="n"/>
      <c r="H514" s="62" t="n"/>
      <c r="I514" s="62" t="n"/>
      <c r="J514" s="60" t="n"/>
      <c r="K514" s="60" t="n"/>
      <c r="L514" s="60" t="n"/>
      <c r="M514" s="61" t="n"/>
      <c r="N514" s="60" t="n"/>
      <c r="O514" s="60" t="n"/>
      <c r="P514" s="60" t="n"/>
      <c r="Q514" s="60" t="n"/>
      <c r="R514" s="60" t="n"/>
      <c r="S514" s="60" t="n"/>
      <c r="T514" s="60" t="n"/>
      <c r="U514" s="60" t="n"/>
      <c r="V514" s="60" t="n"/>
      <c r="W514" s="60" t="n"/>
      <c r="X514" s="60" t="n"/>
      <c r="Y514" s="60" t="n"/>
      <c r="Z514" s="61" t="n"/>
      <c r="AA514" s="63">
        <f>IF($H514="","",TODAY()-$H514)</f>
        <v/>
      </c>
      <c r="AB514" s="63">
        <f>IF($A514="","",IF(AND($F514="Yes",OR($U514="No",$U514="NOT FOUND")),"YES",""))</f>
        <v/>
      </c>
      <c r="AC514" s="66">
        <f>IF($A514="","",TRIM(IF(AND($P514=0,$L514&lt;&gt;"Yes"),"T0-NoSmartcard ","")&amp;IF(AND($J514&lt;&gt;"",$J514&gt;365),"StalePwd ","")&amp;IF($K514="Yes","PwdNeverExpires ","")&amp;IF(AND($S514&lt;&gt;"",$S514&lt;&gt;"None"),"Delegation ","")&amp;IF(AND($Q514=1,$O514="None"),"StaleAdminCount ","")&amp;IF(AND($F514="Yes",$H514=""),"NeverLoggedOn ","")))</f>
        <v/>
      </c>
      <c r="AD514" s="60" t="n"/>
      <c r="AE514" s="61" t="n"/>
      <c r="AF514" s="60" t="n"/>
      <c r="AG514" s="62" t="n"/>
      <c r="AH514" s="62" t="n"/>
      <c r="AI514" s="62" t="n"/>
      <c r="AJ514" s="60" t="n"/>
      <c r="AK514" s="61" t="n"/>
      <c r="AL514" s="63">
        <f>IF($A514="","",IF(AH514="","Not Enrolled",IF(TODAY()&gt;AH514,"Review Overdue",IF(AH514-TODAY()&lt;=30,"Review Due Soon","Active"))))</f>
        <v/>
      </c>
      <c r="AM514" s="63">
        <f>IF($A514="","",IF(AI514="","NOT REVIEWED",IF(TODAY()-AI514&gt;90,"OVERDUE",IF(TODAY()-AI514&gt;76,"Due Soon","Current"))))</f>
        <v/>
      </c>
    </row>
    <row r="515" ht="15" customHeight="1" s="39">
      <c r="A515" s="60" t="n"/>
      <c r="B515" s="60" t="n"/>
      <c r="C515" s="61" t="n"/>
      <c r="D515" s="61" t="n"/>
      <c r="E515" s="60" t="n"/>
      <c r="F515" s="60" t="n"/>
      <c r="G515" s="62" t="n"/>
      <c r="H515" s="62" t="n"/>
      <c r="I515" s="62" t="n"/>
      <c r="J515" s="60" t="n"/>
      <c r="K515" s="60" t="n"/>
      <c r="L515" s="60" t="n"/>
      <c r="M515" s="61" t="n"/>
      <c r="N515" s="60" t="n"/>
      <c r="O515" s="60" t="n"/>
      <c r="P515" s="60" t="n"/>
      <c r="Q515" s="60" t="n"/>
      <c r="R515" s="60" t="n"/>
      <c r="S515" s="60" t="n"/>
      <c r="T515" s="60" t="n"/>
      <c r="U515" s="60" t="n"/>
      <c r="V515" s="60" t="n"/>
      <c r="W515" s="60" t="n"/>
      <c r="X515" s="60" t="n"/>
      <c r="Y515" s="60" t="n"/>
      <c r="Z515" s="61" t="n"/>
      <c r="AA515" s="63">
        <f>IF($H515="","",TODAY()-$H515)</f>
        <v/>
      </c>
      <c r="AB515" s="63">
        <f>IF($A515="","",IF(AND($F515="Yes",OR($U515="No",$U515="NOT FOUND")),"YES",""))</f>
        <v/>
      </c>
      <c r="AC515" s="66">
        <f>IF($A515="","",TRIM(IF(AND($P515=0,$L515&lt;&gt;"Yes"),"T0-NoSmartcard ","")&amp;IF(AND($J515&lt;&gt;"",$J515&gt;365),"StalePwd ","")&amp;IF($K515="Yes","PwdNeverExpires ","")&amp;IF(AND($S515&lt;&gt;"",$S515&lt;&gt;"None"),"Delegation ","")&amp;IF(AND($Q515=1,$O515="None"),"StaleAdminCount ","")&amp;IF(AND($F515="Yes",$H515=""),"NeverLoggedOn ","")))</f>
        <v/>
      </c>
      <c r="AD515" s="60" t="n"/>
      <c r="AE515" s="61" t="n"/>
      <c r="AF515" s="60" t="n"/>
      <c r="AG515" s="62" t="n"/>
      <c r="AH515" s="62" t="n"/>
      <c r="AI515" s="62" t="n"/>
      <c r="AJ515" s="60" t="n"/>
      <c r="AK515" s="61" t="n"/>
      <c r="AL515" s="63">
        <f>IF($A515="","",IF(AH515="","Not Enrolled",IF(TODAY()&gt;AH515,"Review Overdue",IF(AH515-TODAY()&lt;=30,"Review Due Soon","Active"))))</f>
        <v/>
      </c>
      <c r="AM515" s="63">
        <f>IF($A515="","",IF(AI515="","NOT REVIEWED",IF(TODAY()-AI515&gt;90,"OVERDUE",IF(TODAY()-AI515&gt;76,"Due Soon","Current"))))</f>
        <v/>
      </c>
    </row>
    <row r="516" ht="15" customHeight="1" s="39">
      <c r="A516" s="60" t="n"/>
      <c r="B516" s="60" t="n"/>
      <c r="C516" s="61" t="n"/>
      <c r="D516" s="61" t="n"/>
      <c r="E516" s="60" t="n"/>
      <c r="F516" s="60" t="n"/>
      <c r="G516" s="62" t="n"/>
      <c r="H516" s="62" t="n"/>
      <c r="I516" s="62" t="n"/>
      <c r="J516" s="60" t="n"/>
      <c r="K516" s="60" t="n"/>
      <c r="L516" s="60" t="n"/>
      <c r="M516" s="61" t="n"/>
      <c r="N516" s="60" t="n"/>
      <c r="O516" s="60" t="n"/>
      <c r="P516" s="60" t="n"/>
      <c r="Q516" s="60" t="n"/>
      <c r="R516" s="60" t="n"/>
      <c r="S516" s="60" t="n"/>
      <c r="T516" s="60" t="n"/>
      <c r="U516" s="60" t="n"/>
      <c r="V516" s="60" t="n"/>
      <c r="W516" s="60" t="n"/>
      <c r="X516" s="60" t="n"/>
      <c r="Y516" s="60" t="n"/>
      <c r="Z516" s="61" t="n"/>
      <c r="AA516" s="63">
        <f>IF($H516="","",TODAY()-$H516)</f>
        <v/>
      </c>
      <c r="AB516" s="63">
        <f>IF($A516="","",IF(AND($F516="Yes",OR($U516="No",$U516="NOT FOUND")),"YES",""))</f>
        <v/>
      </c>
      <c r="AC516" s="66">
        <f>IF($A516="","",TRIM(IF(AND($P516=0,$L516&lt;&gt;"Yes"),"T0-NoSmartcard ","")&amp;IF(AND($J516&lt;&gt;"",$J516&gt;365),"StalePwd ","")&amp;IF($K516="Yes","PwdNeverExpires ","")&amp;IF(AND($S516&lt;&gt;"",$S516&lt;&gt;"None"),"Delegation ","")&amp;IF(AND($Q516=1,$O516="None"),"StaleAdminCount ","")&amp;IF(AND($F516="Yes",$H516=""),"NeverLoggedOn ","")))</f>
        <v/>
      </c>
      <c r="AD516" s="60" t="n"/>
      <c r="AE516" s="61" t="n"/>
      <c r="AF516" s="60" t="n"/>
      <c r="AG516" s="62" t="n"/>
      <c r="AH516" s="62" t="n"/>
      <c r="AI516" s="62" t="n"/>
      <c r="AJ516" s="60" t="n"/>
      <c r="AK516" s="61" t="n"/>
      <c r="AL516" s="63">
        <f>IF($A516="","",IF(AH516="","Not Enrolled",IF(TODAY()&gt;AH516,"Review Overdue",IF(AH516-TODAY()&lt;=30,"Review Due Soon","Active"))))</f>
        <v/>
      </c>
      <c r="AM516" s="63">
        <f>IF($A516="","",IF(AI516="","NOT REVIEWED",IF(TODAY()-AI516&gt;90,"OVERDUE",IF(TODAY()-AI516&gt;76,"Due Soon","Current"))))</f>
        <v/>
      </c>
    </row>
    <row r="517" ht="15" customHeight="1" s="39">
      <c r="A517" s="60" t="n"/>
      <c r="B517" s="60" t="n"/>
      <c r="C517" s="61" t="n"/>
      <c r="D517" s="61" t="n"/>
      <c r="E517" s="60" t="n"/>
      <c r="F517" s="60" t="n"/>
      <c r="G517" s="62" t="n"/>
      <c r="H517" s="62" t="n"/>
      <c r="I517" s="62" t="n"/>
      <c r="J517" s="60" t="n"/>
      <c r="K517" s="60" t="n"/>
      <c r="L517" s="60" t="n"/>
      <c r="M517" s="61" t="n"/>
      <c r="N517" s="60" t="n"/>
      <c r="O517" s="60" t="n"/>
      <c r="P517" s="60" t="n"/>
      <c r="Q517" s="60" t="n"/>
      <c r="R517" s="60" t="n"/>
      <c r="S517" s="60" t="n"/>
      <c r="T517" s="60" t="n"/>
      <c r="U517" s="60" t="n"/>
      <c r="V517" s="60" t="n"/>
      <c r="W517" s="60" t="n"/>
      <c r="X517" s="60" t="n"/>
      <c r="Y517" s="60" t="n"/>
      <c r="Z517" s="61" t="n"/>
      <c r="AA517" s="63">
        <f>IF($H517="","",TODAY()-$H517)</f>
        <v/>
      </c>
      <c r="AB517" s="63">
        <f>IF($A517="","",IF(AND($F517="Yes",OR($U517="No",$U517="NOT FOUND")),"YES",""))</f>
        <v/>
      </c>
      <c r="AC517" s="66">
        <f>IF($A517="","",TRIM(IF(AND($P517=0,$L517&lt;&gt;"Yes"),"T0-NoSmartcard ","")&amp;IF(AND($J517&lt;&gt;"",$J517&gt;365),"StalePwd ","")&amp;IF($K517="Yes","PwdNeverExpires ","")&amp;IF(AND($S517&lt;&gt;"",$S517&lt;&gt;"None"),"Delegation ","")&amp;IF(AND($Q517=1,$O517="None"),"StaleAdminCount ","")&amp;IF(AND($F517="Yes",$H517=""),"NeverLoggedOn ","")))</f>
        <v/>
      </c>
      <c r="AD517" s="60" t="n"/>
      <c r="AE517" s="61" t="n"/>
      <c r="AF517" s="60" t="n"/>
      <c r="AG517" s="62" t="n"/>
      <c r="AH517" s="62" t="n"/>
      <c r="AI517" s="62" t="n"/>
      <c r="AJ517" s="60" t="n"/>
      <c r="AK517" s="61" t="n"/>
      <c r="AL517" s="63">
        <f>IF($A517="","",IF(AH517="","Not Enrolled",IF(TODAY()&gt;AH517,"Review Overdue",IF(AH517-TODAY()&lt;=30,"Review Due Soon","Active"))))</f>
        <v/>
      </c>
      <c r="AM517" s="63">
        <f>IF($A517="","",IF(AI517="","NOT REVIEWED",IF(TODAY()-AI517&gt;90,"OVERDUE",IF(TODAY()-AI517&gt;76,"Due Soon","Current"))))</f>
        <v/>
      </c>
    </row>
    <row r="518" ht="15" customHeight="1" s="39">
      <c r="A518" s="60" t="n"/>
      <c r="B518" s="60" t="n"/>
      <c r="C518" s="61" t="n"/>
      <c r="D518" s="61" t="n"/>
      <c r="E518" s="60" t="n"/>
      <c r="F518" s="60" t="n"/>
      <c r="G518" s="62" t="n"/>
      <c r="H518" s="62" t="n"/>
      <c r="I518" s="62" t="n"/>
      <c r="J518" s="60" t="n"/>
      <c r="K518" s="60" t="n"/>
      <c r="L518" s="60" t="n"/>
      <c r="M518" s="61" t="n"/>
      <c r="N518" s="60" t="n"/>
      <c r="O518" s="60" t="n"/>
      <c r="P518" s="60" t="n"/>
      <c r="Q518" s="60" t="n"/>
      <c r="R518" s="60" t="n"/>
      <c r="S518" s="60" t="n"/>
      <c r="T518" s="60" t="n"/>
      <c r="U518" s="60" t="n"/>
      <c r="V518" s="60" t="n"/>
      <c r="W518" s="60" t="n"/>
      <c r="X518" s="60" t="n"/>
      <c r="Y518" s="60" t="n"/>
      <c r="Z518" s="61" t="n"/>
      <c r="AA518" s="63">
        <f>IF($H518="","",TODAY()-$H518)</f>
        <v/>
      </c>
      <c r="AB518" s="63">
        <f>IF($A518="","",IF(AND($F518="Yes",OR($U518="No",$U518="NOT FOUND")),"YES",""))</f>
        <v/>
      </c>
      <c r="AC518" s="66">
        <f>IF($A518="","",TRIM(IF(AND($P518=0,$L518&lt;&gt;"Yes"),"T0-NoSmartcard ","")&amp;IF(AND($J518&lt;&gt;"",$J518&gt;365),"StalePwd ","")&amp;IF($K518="Yes","PwdNeverExpires ","")&amp;IF(AND($S518&lt;&gt;"",$S518&lt;&gt;"None"),"Delegation ","")&amp;IF(AND($Q518=1,$O518="None"),"StaleAdminCount ","")&amp;IF(AND($F518="Yes",$H518=""),"NeverLoggedOn ","")))</f>
        <v/>
      </c>
      <c r="AD518" s="60" t="n"/>
      <c r="AE518" s="61" t="n"/>
      <c r="AF518" s="60" t="n"/>
      <c r="AG518" s="62" t="n"/>
      <c r="AH518" s="62" t="n"/>
      <c r="AI518" s="62" t="n"/>
      <c r="AJ518" s="60" t="n"/>
      <c r="AK518" s="61" t="n"/>
      <c r="AL518" s="63">
        <f>IF($A518="","",IF(AH518="","Not Enrolled",IF(TODAY()&gt;AH518,"Review Overdue",IF(AH518-TODAY()&lt;=30,"Review Due Soon","Active"))))</f>
        <v/>
      </c>
      <c r="AM518" s="63">
        <f>IF($A518="","",IF(AI518="","NOT REVIEWED",IF(TODAY()-AI518&gt;90,"OVERDUE",IF(TODAY()-AI518&gt;76,"Due Soon","Current"))))</f>
        <v/>
      </c>
    </row>
    <row r="519" ht="15" customHeight="1" s="39">
      <c r="A519" s="60" t="n"/>
      <c r="B519" s="60" t="n"/>
      <c r="C519" s="61" t="n"/>
      <c r="D519" s="61" t="n"/>
      <c r="E519" s="60" t="n"/>
      <c r="F519" s="60" t="n"/>
      <c r="G519" s="62" t="n"/>
      <c r="H519" s="62" t="n"/>
      <c r="I519" s="62" t="n"/>
      <c r="J519" s="60" t="n"/>
      <c r="K519" s="60" t="n"/>
      <c r="L519" s="60" t="n"/>
      <c r="M519" s="61" t="n"/>
      <c r="N519" s="60" t="n"/>
      <c r="O519" s="60" t="n"/>
      <c r="P519" s="60" t="n"/>
      <c r="Q519" s="60" t="n"/>
      <c r="R519" s="60" t="n"/>
      <c r="S519" s="60" t="n"/>
      <c r="T519" s="60" t="n"/>
      <c r="U519" s="60" t="n"/>
      <c r="V519" s="60" t="n"/>
      <c r="W519" s="60" t="n"/>
      <c r="X519" s="60" t="n"/>
      <c r="Y519" s="60" t="n"/>
      <c r="Z519" s="61" t="n"/>
      <c r="AA519" s="63">
        <f>IF($H519="","",TODAY()-$H519)</f>
        <v/>
      </c>
      <c r="AB519" s="63">
        <f>IF($A519="","",IF(AND($F519="Yes",OR($U519="No",$U519="NOT FOUND")),"YES",""))</f>
        <v/>
      </c>
      <c r="AC519" s="66">
        <f>IF($A519="","",TRIM(IF(AND($P519=0,$L519&lt;&gt;"Yes"),"T0-NoSmartcard ","")&amp;IF(AND($J519&lt;&gt;"",$J519&gt;365),"StalePwd ","")&amp;IF($K519="Yes","PwdNeverExpires ","")&amp;IF(AND($S519&lt;&gt;"",$S519&lt;&gt;"None"),"Delegation ","")&amp;IF(AND($Q519=1,$O519="None"),"StaleAdminCount ","")&amp;IF(AND($F519="Yes",$H519=""),"NeverLoggedOn ","")))</f>
        <v/>
      </c>
      <c r="AD519" s="60" t="n"/>
      <c r="AE519" s="61" t="n"/>
      <c r="AF519" s="60" t="n"/>
      <c r="AG519" s="62" t="n"/>
      <c r="AH519" s="62" t="n"/>
      <c r="AI519" s="62" t="n"/>
      <c r="AJ519" s="60" t="n"/>
      <c r="AK519" s="61" t="n"/>
      <c r="AL519" s="63">
        <f>IF($A519="","",IF(AH519="","Not Enrolled",IF(TODAY()&gt;AH519,"Review Overdue",IF(AH519-TODAY()&lt;=30,"Review Due Soon","Active"))))</f>
        <v/>
      </c>
      <c r="AM519" s="63">
        <f>IF($A519="","",IF(AI519="","NOT REVIEWED",IF(TODAY()-AI519&gt;90,"OVERDUE",IF(TODAY()-AI519&gt;76,"Due Soon","Current"))))</f>
        <v/>
      </c>
    </row>
    <row r="520" ht="15" customHeight="1" s="39">
      <c r="A520" s="60" t="n"/>
      <c r="B520" s="60" t="n"/>
      <c r="C520" s="61" t="n"/>
      <c r="D520" s="61" t="n"/>
      <c r="E520" s="60" t="n"/>
      <c r="F520" s="60" t="n"/>
      <c r="G520" s="62" t="n"/>
      <c r="H520" s="62" t="n"/>
      <c r="I520" s="62" t="n"/>
      <c r="J520" s="60" t="n"/>
      <c r="K520" s="60" t="n"/>
      <c r="L520" s="60" t="n"/>
      <c r="M520" s="61" t="n"/>
      <c r="N520" s="60" t="n"/>
      <c r="O520" s="60" t="n"/>
      <c r="P520" s="60" t="n"/>
      <c r="Q520" s="60" t="n"/>
      <c r="R520" s="60" t="n"/>
      <c r="S520" s="60" t="n"/>
      <c r="T520" s="60" t="n"/>
      <c r="U520" s="60" t="n"/>
      <c r="V520" s="60" t="n"/>
      <c r="W520" s="60" t="n"/>
      <c r="X520" s="60" t="n"/>
      <c r="Y520" s="60" t="n"/>
      <c r="Z520" s="61" t="n"/>
      <c r="AA520" s="63">
        <f>IF($H520="","",TODAY()-$H520)</f>
        <v/>
      </c>
      <c r="AB520" s="63">
        <f>IF($A520="","",IF(AND($F520="Yes",OR($U520="No",$U520="NOT FOUND")),"YES",""))</f>
        <v/>
      </c>
      <c r="AC520" s="66">
        <f>IF($A520="","",TRIM(IF(AND($P520=0,$L520&lt;&gt;"Yes"),"T0-NoSmartcard ","")&amp;IF(AND($J520&lt;&gt;"",$J520&gt;365),"StalePwd ","")&amp;IF($K520="Yes","PwdNeverExpires ","")&amp;IF(AND($S520&lt;&gt;"",$S520&lt;&gt;"None"),"Delegation ","")&amp;IF(AND($Q520=1,$O520="None"),"StaleAdminCount ","")&amp;IF(AND($F520="Yes",$H520=""),"NeverLoggedOn ","")))</f>
        <v/>
      </c>
      <c r="AD520" s="60" t="n"/>
      <c r="AE520" s="61" t="n"/>
      <c r="AF520" s="60" t="n"/>
      <c r="AG520" s="62" t="n"/>
      <c r="AH520" s="62" t="n"/>
      <c r="AI520" s="62" t="n"/>
      <c r="AJ520" s="60" t="n"/>
      <c r="AK520" s="61" t="n"/>
      <c r="AL520" s="63">
        <f>IF($A520="","",IF(AH520="","Not Enrolled",IF(TODAY()&gt;AH520,"Review Overdue",IF(AH520-TODAY()&lt;=30,"Review Due Soon","Active"))))</f>
        <v/>
      </c>
      <c r="AM520" s="63">
        <f>IF($A520="","",IF(AI520="","NOT REVIEWED",IF(TODAY()-AI520&gt;90,"OVERDUE",IF(TODAY()-AI520&gt;76,"Due Soon","Current"))))</f>
        <v/>
      </c>
    </row>
    <row r="521" ht="15" customHeight="1" s="39">
      <c r="A521" s="60" t="n"/>
      <c r="B521" s="60" t="n"/>
      <c r="C521" s="61" t="n"/>
      <c r="D521" s="61" t="n"/>
      <c r="E521" s="60" t="n"/>
      <c r="F521" s="60" t="n"/>
      <c r="G521" s="62" t="n"/>
      <c r="H521" s="62" t="n"/>
      <c r="I521" s="62" t="n"/>
      <c r="J521" s="60" t="n"/>
      <c r="K521" s="60" t="n"/>
      <c r="L521" s="60" t="n"/>
      <c r="M521" s="61" t="n"/>
      <c r="N521" s="60" t="n"/>
      <c r="O521" s="60" t="n"/>
      <c r="P521" s="60" t="n"/>
      <c r="Q521" s="60" t="n"/>
      <c r="R521" s="60" t="n"/>
      <c r="S521" s="60" t="n"/>
      <c r="T521" s="60" t="n"/>
      <c r="U521" s="60" t="n"/>
      <c r="V521" s="60" t="n"/>
      <c r="W521" s="60" t="n"/>
      <c r="X521" s="60" t="n"/>
      <c r="Y521" s="60" t="n"/>
      <c r="Z521" s="61" t="n"/>
      <c r="AA521" s="63">
        <f>IF($H521="","",TODAY()-$H521)</f>
        <v/>
      </c>
      <c r="AB521" s="63">
        <f>IF($A521="","",IF(AND($F521="Yes",OR($U521="No",$U521="NOT FOUND")),"YES",""))</f>
        <v/>
      </c>
      <c r="AC521" s="66">
        <f>IF($A521="","",TRIM(IF(AND($P521=0,$L521&lt;&gt;"Yes"),"T0-NoSmartcard ","")&amp;IF(AND($J521&lt;&gt;"",$J521&gt;365),"StalePwd ","")&amp;IF($K521="Yes","PwdNeverExpires ","")&amp;IF(AND($S521&lt;&gt;"",$S521&lt;&gt;"None"),"Delegation ","")&amp;IF(AND($Q521=1,$O521="None"),"StaleAdminCount ","")&amp;IF(AND($F521="Yes",$H521=""),"NeverLoggedOn ","")))</f>
        <v/>
      </c>
      <c r="AD521" s="60" t="n"/>
      <c r="AE521" s="61" t="n"/>
      <c r="AF521" s="60" t="n"/>
      <c r="AG521" s="62" t="n"/>
      <c r="AH521" s="62" t="n"/>
      <c r="AI521" s="62" t="n"/>
      <c r="AJ521" s="60" t="n"/>
      <c r="AK521" s="61" t="n"/>
      <c r="AL521" s="63">
        <f>IF($A521="","",IF(AH521="","Not Enrolled",IF(TODAY()&gt;AH521,"Review Overdue",IF(AH521-TODAY()&lt;=30,"Review Due Soon","Active"))))</f>
        <v/>
      </c>
      <c r="AM521" s="63">
        <f>IF($A521="","",IF(AI521="","NOT REVIEWED",IF(TODAY()-AI521&gt;90,"OVERDUE",IF(TODAY()-AI521&gt;76,"Due Soon","Current"))))</f>
        <v/>
      </c>
    </row>
    <row r="522" ht="15" customHeight="1" s="39">
      <c r="A522" s="60" t="n"/>
      <c r="B522" s="60" t="n"/>
      <c r="C522" s="61" t="n"/>
      <c r="D522" s="61" t="n"/>
      <c r="E522" s="60" t="n"/>
      <c r="F522" s="60" t="n"/>
      <c r="G522" s="62" t="n"/>
      <c r="H522" s="62" t="n"/>
      <c r="I522" s="62" t="n"/>
      <c r="J522" s="60" t="n"/>
      <c r="K522" s="60" t="n"/>
      <c r="L522" s="60" t="n"/>
      <c r="M522" s="61" t="n"/>
      <c r="N522" s="60" t="n"/>
      <c r="O522" s="60" t="n"/>
      <c r="P522" s="60" t="n"/>
      <c r="Q522" s="60" t="n"/>
      <c r="R522" s="60" t="n"/>
      <c r="S522" s="60" t="n"/>
      <c r="T522" s="60" t="n"/>
      <c r="U522" s="60" t="n"/>
      <c r="V522" s="60" t="n"/>
      <c r="W522" s="60" t="n"/>
      <c r="X522" s="60" t="n"/>
      <c r="Y522" s="60" t="n"/>
      <c r="Z522" s="61" t="n"/>
      <c r="AA522" s="63">
        <f>IF($H522="","",TODAY()-$H522)</f>
        <v/>
      </c>
      <c r="AB522" s="63">
        <f>IF($A522="","",IF(AND($F522="Yes",OR($U522="No",$U522="NOT FOUND")),"YES",""))</f>
        <v/>
      </c>
      <c r="AC522" s="66">
        <f>IF($A522="","",TRIM(IF(AND($P522=0,$L522&lt;&gt;"Yes"),"T0-NoSmartcard ","")&amp;IF(AND($J522&lt;&gt;"",$J522&gt;365),"StalePwd ","")&amp;IF($K522="Yes","PwdNeverExpires ","")&amp;IF(AND($S522&lt;&gt;"",$S522&lt;&gt;"None"),"Delegation ","")&amp;IF(AND($Q522=1,$O522="None"),"StaleAdminCount ","")&amp;IF(AND($F522="Yes",$H522=""),"NeverLoggedOn ","")))</f>
        <v/>
      </c>
      <c r="AD522" s="60" t="n"/>
      <c r="AE522" s="61" t="n"/>
      <c r="AF522" s="60" t="n"/>
      <c r="AG522" s="62" t="n"/>
      <c r="AH522" s="62" t="n"/>
      <c r="AI522" s="62" t="n"/>
      <c r="AJ522" s="60" t="n"/>
      <c r="AK522" s="61" t="n"/>
      <c r="AL522" s="63">
        <f>IF($A522="","",IF(AH522="","Not Enrolled",IF(TODAY()&gt;AH522,"Review Overdue",IF(AH522-TODAY()&lt;=30,"Review Due Soon","Active"))))</f>
        <v/>
      </c>
      <c r="AM522" s="63">
        <f>IF($A522="","",IF(AI522="","NOT REVIEWED",IF(TODAY()-AI522&gt;90,"OVERDUE",IF(TODAY()-AI522&gt;76,"Due Soon","Current"))))</f>
        <v/>
      </c>
    </row>
    <row r="523" ht="15" customHeight="1" s="39">
      <c r="A523" s="60" t="n"/>
      <c r="B523" s="60" t="n"/>
      <c r="C523" s="61" t="n"/>
      <c r="D523" s="61" t="n"/>
      <c r="E523" s="60" t="n"/>
      <c r="F523" s="60" t="n"/>
      <c r="G523" s="62" t="n"/>
      <c r="H523" s="62" t="n"/>
      <c r="I523" s="62" t="n"/>
      <c r="J523" s="60" t="n"/>
      <c r="K523" s="60" t="n"/>
      <c r="L523" s="60" t="n"/>
      <c r="M523" s="61" t="n"/>
      <c r="N523" s="60" t="n"/>
      <c r="O523" s="60" t="n"/>
      <c r="P523" s="60" t="n"/>
      <c r="Q523" s="60" t="n"/>
      <c r="R523" s="60" t="n"/>
      <c r="S523" s="60" t="n"/>
      <c r="T523" s="60" t="n"/>
      <c r="U523" s="60" t="n"/>
      <c r="V523" s="60" t="n"/>
      <c r="W523" s="60" t="n"/>
      <c r="X523" s="60" t="n"/>
      <c r="Y523" s="60" t="n"/>
      <c r="Z523" s="61" t="n"/>
      <c r="AA523" s="63">
        <f>IF($H523="","",TODAY()-$H523)</f>
        <v/>
      </c>
      <c r="AB523" s="63">
        <f>IF($A523="","",IF(AND($F523="Yes",OR($U523="No",$U523="NOT FOUND")),"YES",""))</f>
        <v/>
      </c>
      <c r="AC523" s="66">
        <f>IF($A523="","",TRIM(IF(AND($P523=0,$L523&lt;&gt;"Yes"),"T0-NoSmartcard ","")&amp;IF(AND($J523&lt;&gt;"",$J523&gt;365),"StalePwd ","")&amp;IF($K523="Yes","PwdNeverExpires ","")&amp;IF(AND($S523&lt;&gt;"",$S523&lt;&gt;"None"),"Delegation ","")&amp;IF(AND($Q523=1,$O523="None"),"StaleAdminCount ","")&amp;IF(AND($F523="Yes",$H523=""),"NeverLoggedOn ","")))</f>
        <v/>
      </c>
      <c r="AD523" s="60" t="n"/>
      <c r="AE523" s="61" t="n"/>
      <c r="AF523" s="60" t="n"/>
      <c r="AG523" s="62" t="n"/>
      <c r="AH523" s="62" t="n"/>
      <c r="AI523" s="62" t="n"/>
      <c r="AJ523" s="60" t="n"/>
      <c r="AK523" s="61" t="n"/>
      <c r="AL523" s="63">
        <f>IF($A523="","",IF(AH523="","Not Enrolled",IF(TODAY()&gt;AH523,"Review Overdue",IF(AH523-TODAY()&lt;=30,"Review Due Soon","Active"))))</f>
        <v/>
      </c>
      <c r="AM523" s="63">
        <f>IF($A523="","",IF(AI523="","NOT REVIEWED",IF(TODAY()-AI523&gt;90,"OVERDUE",IF(TODAY()-AI523&gt;76,"Due Soon","Current"))))</f>
        <v/>
      </c>
    </row>
    <row r="524" ht="15" customHeight="1" s="39">
      <c r="A524" s="60" t="n"/>
      <c r="B524" s="60" t="n"/>
      <c r="C524" s="61" t="n"/>
      <c r="D524" s="61" t="n"/>
      <c r="E524" s="60" t="n"/>
      <c r="F524" s="60" t="n"/>
      <c r="G524" s="62" t="n"/>
      <c r="H524" s="62" t="n"/>
      <c r="I524" s="62" t="n"/>
      <c r="J524" s="60" t="n"/>
      <c r="K524" s="60" t="n"/>
      <c r="L524" s="60" t="n"/>
      <c r="M524" s="61" t="n"/>
      <c r="N524" s="60" t="n"/>
      <c r="O524" s="60" t="n"/>
      <c r="P524" s="60" t="n"/>
      <c r="Q524" s="60" t="n"/>
      <c r="R524" s="60" t="n"/>
      <c r="S524" s="60" t="n"/>
      <c r="T524" s="60" t="n"/>
      <c r="U524" s="60" t="n"/>
      <c r="V524" s="60" t="n"/>
      <c r="W524" s="60" t="n"/>
      <c r="X524" s="60" t="n"/>
      <c r="Y524" s="60" t="n"/>
      <c r="Z524" s="61" t="n"/>
      <c r="AA524" s="63">
        <f>IF($H524="","",TODAY()-$H524)</f>
        <v/>
      </c>
      <c r="AB524" s="63">
        <f>IF($A524="","",IF(AND($F524="Yes",OR($U524="No",$U524="NOT FOUND")),"YES",""))</f>
        <v/>
      </c>
      <c r="AC524" s="66">
        <f>IF($A524="","",TRIM(IF(AND($P524=0,$L524&lt;&gt;"Yes"),"T0-NoSmartcard ","")&amp;IF(AND($J524&lt;&gt;"",$J524&gt;365),"StalePwd ","")&amp;IF($K524="Yes","PwdNeverExpires ","")&amp;IF(AND($S524&lt;&gt;"",$S524&lt;&gt;"None"),"Delegation ","")&amp;IF(AND($Q524=1,$O524="None"),"StaleAdminCount ","")&amp;IF(AND($F524="Yes",$H524=""),"NeverLoggedOn ","")))</f>
        <v/>
      </c>
      <c r="AD524" s="60" t="n"/>
      <c r="AE524" s="61" t="n"/>
      <c r="AF524" s="60" t="n"/>
      <c r="AG524" s="62" t="n"/>
      <c r="AH524" s="62" t="n"/>
      <c r="AI524" s="62" t="n"/>
      <c r="AJ524" s="60" t="n"/>
      <c r="AK524" s="61" t="n"/>
      <c r="AL524" s="63">
        <f>IF($A524="","",IF(AH524="","Not Enrolled",IF(TODAY()&gt;AH524,"Review Overdue",IF(AH524-TODAY()&lt;=30,"Review Due Soon","Active"))))</f>
        <v/>
      </c>
      <c r="AM524" s="63">
        <f>IF($A524="","",IF(AI524="","NOT REVIEWED",IF(TODAY()-AI524&gt;90,"OVERDUE",IF(TODAY()-AI524&gt;76,"Due Soon","Current"))))</f>
        <v/>
      </c>
    </row>
    <row r="525" ht="15" customHeight="1" s="39">
      <c r="A525" s="60" t="n"/>
      <c r="B525" s="60" t="n"/>
      <c r="C525" s="61" t="n"/>
      <c r="D525" s="61" t="n"/>
      <c r="E525" s="60" t="n"/>
      <c r="F525" s="60" t="n"/>
      <c r="G525" s="62" t="n"/>
      <c r="H525" s="62" t="n"/>
      <c r="I525" s="62" t="n"/>
      <c r="J525" s="60" t="n"/>
      <c r="K525" s="60" t="n"/>
      <c r="L525" s="60" t="n"/>
      <c r="M525" s="61" t="n"/>
      <c r="N525" s="60" t="n"/>
      <c r="O525" s="60" t="n"/>
      <c r="P525" s="60" t="n"/>
      <c r="Q525" s="60" t="n"/>
      <c r="R525" s="60" t="n"/>
      <c r="S525" s="60" t="n"/>
      <c r="T525" s="60" t="n"/>
      <c r="U525" s="60" t="n"/>
      <c r="V525" s="60" t="n"/>
      <c r="W525" s="60" t="n"/>
      <c r="X525" s="60" t="n"/>
      <c r="Y525" s="60" t="n"/>
      <c r="Z525" s="61" t="n"/>
      <c r="AA525" s="63">
        <f>IF($H525="","",TODAY()-$H525)</f>
        <v/>
      </c>
      <c r="AB525" s="63">
        <f>IF($A525="","",IF(AND($F525="Yes",OR($U525="No",$U525="NOT FOUND")),"YES",""))</f>
        <v/>
      </c>
      <c r="AC525" s="66">
        <f>IF($A525="","",TRIM(IF(AND($P525=0,$L525&lt;&gt;"Yes"),"T0-NoSmartcard ","")&amp;IF(AND($J525&lt;&gt;"",$J525&gt;365),"StalePwd ","")&amp;IF($K525="Yes","PwdNeverExpires ","")&amp;IF(AND($S525&lt;&gt;"",$S525&lt;&gt;"None"),"Delegation ","")&amp;IF(AND($Q525=1,$O525="None"),"StaleAdminCount ","")&amp;IF(AND($F525="Yes",$H525=""),"NeverLoggedOn ","")))</f>
        <v/>
      </c>
      <c r="AD525" s="60" t="n"/>
      <c r="AE525" s="61" t="n"/>
      <c r="AF525" s="60" t="n"/>
      <c r="AG525" s="62" t="n"/>
      <c r="AH525" s="62" t="n"/>
      <c r="AI525" s="62" t="n"/>
      <c r="AJ525" s="60" t="n"/>
      <c r="AK525" s="61" t="n"/>
      <c r="AL525" s="63">
        <f>IF($A525="","",IF(AH525="","Not Enrolled",IF(TODAY()&gt;AH525,"Review Overdue",IF(AH525-TODAY()&lt;=30,"Review Due Soon","Active"))))</f>
        <v/>
      </c>
      <c r="AM525" s="63">
        <f>IF($A525="","",IF(AI525="","NOT REVIEWED",IF(TODAY()-AI525&gt;90,"OVERDUE",IF(TODAY()-AI525&gt;76,"Due Soon","Current"))))</f>
        <v/>
      </c>
    </row>
    <row r="526" ht="15" customHeight="1" s="39">
      <c r="A526" s="60" t="n"/>
      <c r="B526" s="60" t="n"/>
      <c r="C526" s="61" t="n"/>
      <c r="D526" s="61" t="n"/>
      <c r="E526" s="60" t="n"/>
      <c r="F526" s="60" t="n"/>
      <c r="G526" s="62" t="n"/>
      <c r="H526" s="62" t="n"/>
      <c r="I526" s="62" t="n"/>
      <c r="J526" s="60" t="n"/>
      <c r="K526" s="60" t="n"/>
      <c r="L526" s="60" t="n"/>
      <c r="M526" s="61" t="n"/>
      <c r="N526" s="60" t="n"/>
      <c r="O526" s="60" t="n"/>
      <c r="P526" s="60" t="n"/>
      <c r="Q526" s="60" t="n"/>
      <c r="R526" s="60" t="n"/>
      <c r="S526" s="60" t="n"/>
      <c r="T526" s="60" t="n"/>
      <c r="U526" s="60" t="n"/>
      <c r="V526" s="60" t="n"/>
      <c r="W526" s="60" t="n"/>
      <c r="X526" s="60" t="n"/>
      <c r="Y526" s="60" t="n"/>
      <c r="Z526" s="61" t="n"/>
      <c r="AA526" s="63">
        <f>IF($H526="","",TODAY()-$H526)</f>
        <v/>
      </c>
      <c r="AB526" s="63">
        <f>IF($A526="","",IF(AND($F526="Yes",OR($U526="No",$U526="NOT FOUND")),"YES",""))</f>
        <v/>
      </c>
      <c r="AC526" s="66">
        <f>IF($A526="","",TRIM(IF(AND($P526=0,$L526&lt;&gt;"Yes"),"T0-NoSmartcard ","")&amp;IF(AND($J526&lt;&gt;"",$J526&gt;365),"StalePwd ","")&amp;IF($K526="Yes","PwdNeverExpires ","")&amp;IF(AND($S526&lt;&gt;"",$S526&lt;&gt;"None"),"Delegation ","")&amp;IF(AND($Q526=1,$O526="None"),"StaleAdminCount ","")&amp;IF(AND($F526="Yes",$H526=""),"NeverLoggedOn ","")))</f>
        <v/>
      </c>
      <c r="AD526" s="60" t="n"/>
      <c r="AE526" s="61" t="n"/>
      <c r="AF526" s="60" t="n"/>
      <c r="AG526" s="62" t="n"/>
      <c r="AH526" s="62" t="n"/>
      <c r="AI526" s="62" t="n"/>
      <c r="AJ526" s="60" t="n"/>
      <c r="AK526" s="61" t="n"/>
      <c r="AL526" s="63">
        <f>IF($A526="","",IF(AH526="","Not Enrolled",IF(TODAY()&gt;AH526,"Review Overdue",IF(AH526-TODAY()&lt;=30,"Review Due Soon","Active"))))</f>
        <v/>
      </c>
      <c r="AM526" s="63">
        <f>IF($A526="","",IF(AI526="","NOT REVIEWED",IF(TODAY()-AI526&gt;90,"OVERDUE",IF(TODAY()-AI526&gt;76,"Due Soon","Current"))))</f>
        <v/>
      </c>
    </row>
    <row r="527" ht="15" customHeight="1" s="39">
      <c r="A527" s="60" t="n"/>
      <c r="B527" s="60" t="n"/>
      <c r="C527" s="61" t="n"/>
      <c r="D527" s="61" t="n"/>
      <c r="E527" s="60" t="n"/>
      <c r="F527" s="60" t="n"/>
      <c r="G527" s="62" t="n"/>
      <c r="H527" s="62" t="n"/>
      <c r="I527" s="62" t="n"/>
      <c r="J527" s="60" t="n"/>
      <c r="K527" s="60" t="n"/>
      <c r="L527" s="60" t="n"/>
      <c r="M527" s="61" t="n"/>
      <c r="N527" s="60" t="n"/>
      <c r="O527" s="60" t="n"/>
      <c r="P527" s="60" t="n"/>
      <c r="Q527" s="60" t="n"/>
      <c r="R527" s="60" t="n"/>
      <c r="S527" s="60" t="n"/>
      <c r="T527" s="60" t="n"/>
      <c r="U527" s="60" t="n"/>
      <c r="V527" s="60" t="n"/>
      <c r="W527" s="60" t="n"/>
      <c r="X527" s="60" t="n"/>
      <c r="Y527" s="60" t="n"/>
      <c r="Z527" s="61" t="n"/>
      <c r="AA527" s="63">
        <f>IF($H527="","",TODAY()-$H527)</f>
        <v/>
      </c>
      <c r="AB527" s="63">
        <f>IF($A527="","",IF(AND($F527="Yes",OR($U527="No",$U527="NOT FOUND")),"YES",""))</f>
        <v/>
      </c>
      <c r="AC527" s="66">
        <f>IF($A527="","",TRIM(IF(AND($P527=0,$L527&lt;&gt;"Yes"),"T0-NoSmartcard ","")&amp;IF(AND($J527&lt;&gt;"",$J527&gt;365),"StalePwd ","")&amp;IF($K527="Yes","PwdNeverExpires ","")&amp;IF(AND($S527&lt;&gt;"",$S527&lt;&gt;"None"),"Delegation ","")&amp;IF(AND($Q527=1,$O527="None"),"StaleAdminCount ","")&amp;IF(AND($F527="Yes",$H527=""),"NeverLoggedOn ","")))</f>
        <v/>
      </c>
      <c r="AD527" s="60" t="n"/>
      <c r="AE527" s="61" t="n"/>
      <c r="AF527" s="60" t="n"/>
      <c r="AG527" s="62" t="n"/>
      <c r="AH527" s="62" t="n"/>
      <c r="AI527" s="62" t="n"/>
      <c r="AJ527" s="60" t="n"/>
      <c r="AK527" s="61" t="n"/>
      <c r="AL527" s="63">
        <f>IF($A527="","",IF(AH527="","Not Enrolled",IF(TODAY()&gt;AH527,"Review Overdue",IF(AH527-TODAY()&lt;=30,"Review Due Soon","Active"))))</f>
        <v/>
      </c>
      <c r="AM527" s="63">
        <f>IF($A527="","",IF(AI527="","NOT REVIEWED",IF(TODAY()-AI527&gt;90,"OVERDUE",IF(TODAY()-AI527&gt;76,"Due Soon","Current"))))</f>
        <v/>
      </c>
    </row>
    <row r="528" ht="15" customHeight="1" s="39">
      <c r="A528" s="60" t="n"/>
      <c r="B528" s="60" t="n"/>
      <c r="C528" s="61" t="n"/>
      <c r="D528" s="61" t="n"/>
      <c r="E528" s="60" t="n"/>
      <c r="F528" s="60" t="n"/>
      <c r="G528" s="62" t="n"/>
      <c r="H528" s="62" t="n"/>
      <c r="I528" s="62" t="n"/>
      <c r="J528" s="60" t="n"/>
      <c r="K528" s="60" t="n"/>
      <c r="L528" s="60" t="n"/>
      <c r="M528" s="61" t="n"/>
      <c r="N528" s="60" t="n"/>
      <c r="O528" s="60" t="n"/>
      <c r="P528" s="60" t="n"/>
      <c r="Q528" s="60" t="n"/>
      <c r="R528" s="60" t="n"/>
      <c r="S528" s="60" t="n"/>
      <c r="T528" s="60" t="n"/>
      <c r="U528" s="60" t="n"/>
      <c r="V528" s="60" t="n"/>
      <c r="W528" s="60" t="n"/>
      <c r="X528" s="60" t="n"/>
      <c r="Y528" s="60" t="n"/>
      <c r="Z528" s="61" t="n"/>
      <c r="AA528" s="63">
        <f>IF($H528="","",TODAY()-$H528)</f>
        <v/>
      </c>
      <c r="AB528" s="63">
        <f>IF($A528="","",IF(AND($F528="Yes",OR($U528="No",$U528="NOT FOUND")),"YES",""))</f>
        <v/>
      </c>
      <c r="AC528" s="66">
        <f>IF($A528="","",TRIM(IF(AND($P528=0,$L528&lt;&gt;"Yes"),"T0-NoSmartcard ","")&amp;IF(AND($J528&lt;&gt;"",$J528&gt;365),"StalePwd ","")&amp;IF($K528="Yes","PwdNeverExpires ","")&amp;IF(AND($S528&lt;&gt;"",$S528&lt;&gt;"None"),"Delegation ","")&amp;IF(AND($Q528=1,$O528="None"),"StaleAdminCount ","")&amp;IF(AND($F528="Yes",$H528=""),"NeverLoggedOn ","")))</f>
        <v/>
      </c>
      <c r="AD528" s="60" t="n"/>
      <c r="AE528" s="61" t="n"/>
      <c r="AF528" s="60" t="n"/>
      <c r="AG528" s="62" t="n"/>
      <c r="AH528" s="62" t="n"/>
      <c r="AI528" s="62" t="n"/>
      <c r="AJ528" s="60" t="n"/>
      <c r="AK528" s="61" t="n"/>
      <c r="AL528" s="63">
        <f>IF($A528="","",IF(AH528="","Not Enrolled",IF(TODAY()&gt;AH528,"Review Overdue",IF(AH528-TODAY()&lt;=30,"Review Due Soon","Active"))))</f>
        <v/>
      </c>
      <c r="AM528" s="63">
        <f>IF($A528="","",IF(AI528="","NOT REVIEWED",IF(TODAY()-AI528&gt;90,"OVERDUE",IF(TODAY()-AI528&gt;76,"Due Soon","Current"))))</f>
        <v/>
      </c>
    </row>
    <row r="529" ht="15" customHeight="1" s="39">
      <c r="A529" s="60" t="n"/>
      <c r="B529" s="60" t="n"/>
      <c r="C529" s="61" t="n"/>
      <c r="D529" s="61" t="n"/>
      <c r="E529" s="60" t="n"/>
      <c r="F529" s="60" t="n"/>
      <c r="G529" s="62" t="n"/>
      <c r="H529" s="62" t="n"/>
      <c r="I529" s="62" t="n"/>
      <c r="J529" s="60" t="n"/>
      <c r="K529" s="60" t="n"/>
      <c r="L529" s="60" t="n"/>
      <c r="M529" s="61" t="n"/>
      <c r="N529" s="60" t="n"/>
      <c r="O529" s="60" t="n"/>
      <c r="P529" s="60" t="n"/>
      <c r="Q529" s="60" t="n"/>
      <c r="R529" s="60" t="n"/>
      <c r="S529" s="60" t="n"/>
      <c r="T529" s="60" t="n"/>
      <c r="U529" s="60" t="n"/>
      <c r="V529" s="60" t="n"/>
      <c r="W529" s="60" t="n"/>
      <c r="X529" s="60" t="n"/>
      <c r="Y529" s="60" t="n"/>
      <c r="Z529" s="61" t="n"/>
      <c r="AA529" s="63">
        <f>IF($H529="","",TODAY()-$H529)</f>
        <v/>
      </c>
      <c r="AB529" s="63">
        <f>IF($A529="","",IF(AND($F529="Yes",OR($U529="No",$U529="NOT FOUND")),"YES",""))</f>
        <v/>
      </c>
      <c r="AC529" s="66">
        <f>IF($A529="","",TRIM(IF(AND($P529=0,$L529&lt;&gt;"Yes"),"T0-NoSmartcard ","")&amp;IF(AND($J529&lt;&gt;"",$J529&gt;365),"StalePwd ","")&amp;IF($K529="Yes","PwdNeverExpires ","")&amp;IF(AND($S529&lt;&gt;"",$S529&lt;&gt;"None"),"Delegation ","")&amp;IF(AND($Q529=1,$O529="None"),"StaleAdminCount ","")&amp;IF(AND($F529="Yes",$H529=""),"NeverLoggedOn ","")))</f>
        <v/>
      </c>
      <c r="AD529" s="60" t="n"/>
      <c r="AE529" s="61" t="n"/>
      <c r="AF529" s="60" t="n"/>
      <c r="AG529" s="62" t="n"/>
      <c r="AH529" s="62" t="n"/>
      <c r="AI529" s="62" t="n"/>
      <c r="AJ529" s="60" t="n"/>
      <c r="AK529" s="61" t="n"/>
      <c r="AL529" s="63">
        <f>IF($A529="","",IF(AH529="","Not Enrolled",IF(TODAY()&gt;AH529,"Review Overdue",IF(AH529-TODAY()&lt;=30,"Review Due Soon","Active"))))</f>
        <v/>
      </c>
      <c r="AM529" s="63">
        <f>IF($A529="","",IF(AI529="","NOT REVIEWED",IF(TODAY()-AI529&gt;90,"OVERDUE",IF(TODAY()-AI529&gt;76,"Due Soon","Current"))))</f>
        <v/>
      </c>
    </row>
    <row r="530" ht="15" customHeight="1" s="39">
      <c r="A530" s="60" t="n"/>
      <c r="B530" s="60" t="n"/>
      <c r="C530" s="61" t="n"/>
      <c r="D530" s="61" t="n"/>
      <c r="E530" s="60" t="n"/>
      <c r="F530" s="60" t="n"/>
      <c r="G530" s="62" t="n"/>
      <c r="H530" s="62" t="n"/>
      <c r="I530" s="62" t="n"/>
      <c r="J530" s="60" t="n"/>
      <c r="K530" s="60" t="n"/>
      <c r="L530" s="60" t="n"/>
      <c r="M530" s="61" t="n"/>
      <c r="N530" s="60" t="n"/>
      <c r="O530" s="60" t="n"/>
      <c r="P530" s="60" t="n"/>
      <c r="Q530" s="60" t="n"/>
      <c r="R530" s="60" t="n"/>
      <c r="S530" s="60" t="n"/>
      <c r="T530" s="60" t="n"/>
      <c r="U530" s="60" t="n"/>
      <c r="V530" s="60" t="n"/>
      <c r="W530" s="60" t="n"/>
      <c r="X530" s="60" t="n"/>
      <c r="Y530" s="60" t="n"/>
      <c r="Z530" s="61" t="n"/>
      <c r="AA530" s="63">
        <f>IF($H530="","",TODAY()-$H530)</f>
        <v/>
      </c>
      <c r="AB530" s="63">
        <f>IF($A530="","",IF(AND($F530="Yes",OR($U530="No",$U530="NOT FOUND")),"YES",""))</f>
        <v/>
      </c>
      <c r="AC530" s="66">
        <f>IF($A530="","",TRIM(IF(AND($P530=0,$L530&lt;&gt;"Yes"),"T0-NoSmartcard ","")&amp;IF(AND($J530&lt;&gt;"",$J530&gt;365),"StalePwd ","")&amp;IF($K530="Yes","PwdNeverExpires ","")&amp;IF(AND($S530&lt;&gt;"",$S530&lt;&gt;"None"),"Delegation ","")&amp;IF(AND($Q530=1,$O530="None"),"StaleAdminCount ","")&amp;IF(AND($F530="Yes",$H530=""),"NeverLoggedOn ","")))</f>
        <v/>
      </c>
      <c r="AD530" s="60" t="n"/>
      <c r="AE530" s="61" t="n"/>
      <c r="AF530" s="60" t="n"/>
      <c r="AG530" s="62" t="n"/>
      <c r="AH530" s="62" t="n"/>
      <c r="AI530" s="62" t="n"/>
      <c r="AJ530" s="60" t="n"/>
      <c r="AK530" s="61" t="n"/>
      <c r="AL530" s="63">
        <f>IF($A530="","",IF(AH530="","Not Enrolled",IF(TODAY()&gt;AH530,"Review Overdue",IF(AH530-TODAY()&lt;=30,"Review Due Soon","Active"))))</f>
        <v/>
      </c>
      <c r="AM530" s="63">
        <f>IF($A530="","",IF(AI530="","NOT REVIEWED",IF(TODAY()-AI530&gt;90,"OVERDUE",IF(TODAY()-AI530&gt;76,"Due Soon","Current"))))</f>
        <v/>
      </c>
    </row>
    <row r="531" ht="15" customHeight="1" s="39">
      <c r="A531" s="60" t="n"/>
      <c r="B531" s="60" t="n"/>
      <c r="C531" s="61" t="n"/>
      <c r="D531" s="61" t="n"/>
      <c r="E531" s="60" t="n"/>
      <c r="F531" s="60" t="n"/>
      <c r="G531" s="62" t="n"/>
      <c r="H531" s="62" t="n"/>
      <c r="I531" s="62" t="n"/>
      <c r="J531" s="60" t="n"/>
      <c r="K531" s="60" t="n"/>
      <c r="L531" s="60" t="n"/>
      <c r="M531" s="61" t="n"/>
      <c r="N531" s="60" t="n"/>
      <c r="O531" s="60" t="n"/>
      <c r="P531" s="60" t="n"/>
      <c r="Q531" s="60" t="n"/>
      <c r="R531" s="60" t="n"/>
      <c r="S531" s="60" t="n"/>
      <c r="T531" s="60" t="n"/>
      <c r="U531" s="60" t="n"/>
      <c r="V531" s="60" t="n"/>
      <c r="W531" s="60" t="n"/>
      <c r="X531" s="60" t="n"/>
      <c r="Y531" s="60" t="n"/>
      <c r="Z531" s="61" t="n"/>
      <c r="AA531" s="63">
        <f>IF($H531="","",TODAY()-$H531)</f>
        <v/>
      </c>
      <c r="AB531" s="63">
        <f>IF($A531="","",IF(AND($F531="Yes",OR($U531="No",$U531="NOT FOUND")),"YES",""))</f>
        <v/>
      </c>
      <c r="AC531" s="66">
        <f>IF($A531="","",TRIM(IF(AND($P531=0,$L531&lt;&gt;"Yes"),"T0-NoSmartcard ","")&amp;IF(AND($J531&lt;&gt;"",$J531&gt;365),"StalePwd ","")&amp;IF($K531="Yes","PwdNeverExpires ","")&amp;IF(AND($S531&lt;&gt;"",$S531&lt;&gt;"None"),"Delegation ","")&amp;IF(AND($Q531=1,$O531="None"),"StaleAdminCount ","")&amp;IF(AND($F531="Yes",$H531=""),"NeverLoggedOn ","")))</f>
        <v/>
      </c>
      <c r="AD531" s="60" t="n"/>
      <c r="AE531" s="61" t="n"/>
      <c r="AF531" s="60" t="n"/>
      <c r="AG531" s="62" t="n"/>
      <c r="AH531" s="62" t="n"/>
      <c r="AI531" s="62" t="n"/>
      <c r="AJ531" s="60" t="n"/>
      <c r="AK531" s="61" t="n"/>
      <c r="AL531" s="63">
        <f>IF($A531="","",IF(AH531="","Not Enrolled",IF(TODAY()&gt;AH531,"Review Overdue",IF(AH531-TODAY()&lt;=30,"Review Due Soon","Active"))))</f>
        <v/>
      </c>
      <c r="AM531" s="63">
        <f>IF($A531="","",IF(AI531="","NOT REVIEWED",IF(TODAY()-AI531&gt;90,"OVERDUE",IF(TODAY()-AI531&gt;76,"Due Soon","Current"))))</f>
        <v/>
      </c>
    </row>
    <row r="532" ht="15" customHeight="1" s="39">
      <c r="A532" s="60" t="n"/>
      <c r="B532" s="60" t="n"/>
      <c r="C532" s="61" t="n"/>
      <c r="D532" s="61" t="n"/>
      <c r="E532" s="60" t="n"/>
      <c r="F532" s="60" t="n"/>
      <c r="G532" s="62" t="n"/>
      <c r="H532" s="62" t="n"/>
      <c r="I532" s="62" t="n"/>
      <c r="J532" s="60" t="n"/>
      <c r="K532" s="60" t="n"/>
      <c r="L532" s="60" t="n"/>
      <c r="M532" s="61" t="n"/>
      <c r="N532" s="60" t="n"/>
      <c r="O532" s="60" t="n"/>
      <c r="P532" s="60" t="n"/>
      <c r="Q532" s="60" t="n"/>
      <c r="R532" s="60" t="n"/>
      <c r="S532" s="60" t="n"/>
      <c r="T532" s="60" t="n"/>
      <c r="U532" s="60" t="n"/>
      <c r="V532" s="60" t="n"/>
      <c r="W532" s="60" t="n"/>
      <c r="X532" s="60" t="n"/>
      <c r="Y532" s="60" t="n"/>
      <c r="Z532" s="61" t="n"/>
      <c r="AA532" s="63">
        <f>IF($H532="","",TODAY()-$H532)</f>
        <v/>
      </c>
      <c r="AB532" s="63">
        <f>IF($A532="","",IF(AND($F532="Yes",OR($U532="No",$U532="NOT FOUND")),"YES",""))</f>
        <v/>
      </c>
      <c r="AC532" s="66">
        <f>IF($A532="","",TRIM(IF(AND($P532=0,$L532&lt;&gt;"Yes"),"T0-NoSmartcard ","")&amp;IF(AND($J532&lt;&gt;"",$J532&gt;365),"StalePwd ","")&amp;IF($K532="Yes","PwdNeverExpires ","")&amp;IF(AND($S532&lt;&gt;"",$S532&lt;&gt;"None"),"Delegation ","")&amp;IF(AND($Q532=1,$O532="None"),"StaleAdminCount ","")&amp;IF(AND($F532="Yes",$H532=""),"NeverLoggedOn ","")))</f>
        <v/>
      </c>
      <c r="AD532" s="60" t="n"/>
      <c r="AE532" s="61" t="n"/>
      <c r="AF532" s="60" t="n"/>
      <c r="AG532" s="62" t="n"/>
      <c r="AH532" s="62" t="n"/>
      <c r="AI532" s="62" t="n"/>
      <c r="AJ532" s="60" t="n"/>
      <c r="AK532" s="61" t="n"/>
      <c r="AL532" s="63">
        <f>IF($A532="","",IF(AH532="","Not Enrolled",IF(TODAY()&gt;AH532,"Review Overdue",IF(AH532-TODAY()&lt;=30,"Review Due Soon","Active"))))</f>
        <v/>
      </c>
      <c r="AM532" s="63">
        <f>IF($A532="","",IF(AI532="","NOT REVIEWED",IF(TODAY()-AI532&gt;90,"OVERDUE",IF(TODAY()-AI532&gt;76,"Due Soon","Current"))))</f>
        <v/>
      </c>
    </row>
    <row r="533" ht="15" customHeight="1" s="39">
      <c r="A533" s="60" t="n"/>
      <c r="B533" s="60" t="n"/>
      <c r="C533" s="61" t="n"/>
      <c r="D533" s="61" t="n"/>
      <c r="E533" s="60" t="n"/>
      <c r="F533" s="60" t="n"/>
      <c r="G533" s="62" t="n"/>
      <c r="H533" s="62" t="n"/>
      <c r="I533" s="62" t="n"/>
      <c r="J533" s="60" t="n"/>
      <c r="K533" s="60" t="n"/>
      <c r="L533" s="60" t="n"/>
      <c r="M533" s="61" t="n"/>
      <c r="N533" s="60" t="n"/>
      <c r="O533" s="60" t="n"/>
      <c r="P533" s="60" t="n"/>
      <c r="Q533" s="60" t="n"/>
      <c r="R533" s="60" t="n"/>
      <c r="S533" s="60" t="n"/>
      <c r="T533" s="60" t="n"/>
      <c r="U533" s="60" t="n"/>
      <c r="V533" s="60" t="n"/>
      <c r="W533" s="60" t="n"/>
      <c r="X533" s="60" t="n"/>
      <c r="Y533" s="60" t="n"/>
      <c r="Z533" s="61" t="n"/>
      <c r="AA533" s="63">
        <f>IF($H533="","",TODAY()-$H533)</f>
        <v/>
      </c>
      <c r="AB533" s="63">
        <f>IF($A533="","",IF(AND($F533="Yes",OR($U533="No",$U533="NOT FOUND")),"YES",""))</f>
        <v/>
      </c>
      <c r="AC533" s="66">
        <f>IF($A533="","",TRIM(IF(AND($P533=0,$L533&lt;&gt;"Yes"),"T0-NoSmartcard ","")&amp;IF(AND($J533&lt;&gt;"",$J533&gt;365),"StalePwd ","")&amp;IF($K533="Yes","PwdNeverExpires ","")&amp;IF(AND($S533&lt;&gt;"",$S533&lt;&gt;"None"),"Delegation ","")&amp;IF(AND($Q533=1,$O533="None"),"StaleAdminCount ","")&amp;IF(AND($F533="Yes",$H533=""),"NeverLoggedOn ","")))</f>
        <v/>
      </c>
      <c r="AD533" s="60" t="n"/>
      <c r="AE533" s="61" t="n"/>
      <c r="AF533" s="60" t="n"/>
      <c r="AG533" s="62" t="n"/>
      <c r="AH533" s="62" t="n"/>
      <c r="AI533" s="62" t="n"/>
      <c r="AJ533" s="60" t="n"/>
      <c r="AK533" s="61" t="n"/>
      <c r="AL533" s="63">
        <f>IF($A533="","",IF(AH533="","Not Enrolled",IF(TODAY()&gt;AH533,"Review Overdue",IF(AH533-TODAY()&lt;=30,"Review Due Soon","Active"))))</f>
        <v/>
      </c>
      <c r="AM533" s="63">
        <f>IF($A533="","",IF(AI533="","NOT REVIEWED",IF(TODAY()-AI533&gt;90,"OVERDUE",IF(TODAY()-AI533&gt;76,"Due Soon","Current"))))</f>
        <v/>
      </c>
    </row>
    <row r="534" ht="15" customHeight="1" s="39">
      <c r="A534" s="60" t="n"/>
      <c r="B534" s="60" t="n"/>
      <c r="C534" s="61" t="n"/>
      <c r="D534" s="61" t="n"/>
      <c r="E534" s="60" t="n"/>
      <c r="F534" s="60" t="n"/>
      <c r="G534" s="62" t="n"/>
      <c r="H534" s="62" t="n"/>
      <c r="I534" s="62" t="n"/>
      <c r="J534" s="60" t="n"/>
      <c r="K534" s="60" t="n"/>
      <c r="L534" s="60" t="n"/>
      <c r="M534" s="61" t="n"/>
      <c r="N534" s="60" t="n"/>
      <c r="O534" s="60" t="n"/>
      <c r="P534" s="60" t="n"/>
      <c r="Q534" s="60" t="n"/>
      <c r="R534" s="60" t="n"/>
      <c r="S534" s="60" t="n"/>
      <c r="T534" s="60" t="n"/>
      <c r="U534" s="60" t="n"/>
      <c r="V534" s="60" t="n"/>
      <c r="W534" s="60" t="n"/>
      <c r="X534" s="60" t="n"/>
      <c r="Y534" s="60" t="n"/>
      <c r="Z534" s="61" t="n"/>
      <c r="AA534" s="63">
        <f>IF($H534="","",TODAY()-$H534)</f>
        <v/>
      </c>
      <c r="AB534" s="63">
        <f>IF($A534="","",IF(AND($F534="Yes",OR($U534="No",$U534="NOT FOUND")),"YES",""))</f>
        <v/>
      </c>
      <c r="AC534" s="66">
        <f>IF($A534="","",TRIM(IF(AND($P534=0,$L534&lt;&gt;"Yes"),"T0-NoSmartcard ","")&amp;IF(AND($J534&lt;&gt;"",$J534&gt;365),"StalePwd ","")&amp;IF($K534="Yes","PwdNeverExpires ","")&amp;IF(AND($S534&lt;&gt;"",$S534&lt;&gt;"None"),"Delegation ","")&amp;IF(AND($Q534=1,$O534="None"),"StaleAdminCount ","")&amp;IF(AND($F534="Yes",$H534=""),"NeverLoggedOn ","")))</f>
        <v/>
      </c>
      <c r="AD534" s="60" t="n"/>
      <c r="AE534" s="61" t="n"/>
      <c r="AF534" s="60" t="n"/>
      <c r="AG534" s="62" t="n"/>
      <c r="AH534" s="62" t="n"/>
      <c r="AI534" s="62" t="n"/>
      <c r="AJ534" s="60" t="n"/>
      <c r="AK534" s="61" t="n"/>
      <c r="AL534" s="63">
        <f>IF($A534="","",IF(AH534="","Not Enrolled",IF(TODAY()&gt;AH534,"Review Overdue",IF(AH534-TODAY()&lt;=30,"Review Due Soon","Active"))))</f>
        <v/>
      </c>
      <c r="AM534" s="63">
        <f>IF($A534="","",IF(AI534="","NOT REVIEWED",IF(TODAY()-AI534&gt;90,"OVERDUE",IF(TODAY()-AI534&gt;76,"Due Soon","Current"))))</f>
        <v/>
      </c>
    </row>
    <row r="535" ht="15" customHeight="1" s="39">
      <c r="A535" s="60" t="n"/>
      <c r="B535" s="60" t="n"/>
      <c r="C535" s="61" t="n"/>
      <c r="D535" s="61" t="n"/>
      <c r="E535" s="60" t="n"/>
      <c r="F535" s="60" t="n"/>
      <c r="G535" s="62" t="n"/>
      <c r="H535" s="62" t="n"/>
      <c r="I535" s="62" t="n"/>
      <c r="J535" s="60" t="n"/>
      <c r="K535" s="60" t="n"/>
      <c r="L535" s="60" t="n"/>
      <c r="M535" s="61" t="n"/>
      <c r="N535" s="60" t="n"/>
      <c r="O535" s="60" t="n"/>
      <c r="P535" s="60" t="n"/>
      <c r="Q535" s="60" t="n"/>
      <c r="R535" s="60" t="n"/>
      <c r="S535" s="60" t="n"/>
      <c r="T535" s="60" t="n"/>
      <c r="U535" s="60" t="n"/>
      <c r="V535" s="60" t="n"/>
      <c r="W535" s="60" t="n"/>
      <c r="X535" s="60" t="n"/>
      <c r="Y535" s="60" t="n"/>
      <c r="Z535" s="61" t="n"/>
      <c r="AA535" s="63">
        <f>IF($H535="","",TODAY()-$H535)</f>
        <v/>
      </c>
      <c r="AB535" s="63">
        <f>IF($A535="","",IF(AND($F535="Yes",OR($U535="No",$U535="NOT FOUND")),"YES",""))</f>
        <v/>
      </c>
      <c r="AC535" s="66">
        <f>IF($A535="","",TRIM(IF(AND($P535=0,$L535&lt;&gt;"Yes"),"T0-NoSmartcard ","")&amp;IF(AND($J535&lt;&gt;"",$J535&gt;365),"StalePwd ","")&amp;IF($K535="Yes","PwdNeverExpires ","")&amp;IF(AND($S535&lt;&gt;"",$S535&lt;&gt;"None"),"Delegation ","")&amp;IF(AND($Q535=1,$O535="None"),"StaleAdminCount ","")&amp;IF(AND($F535="Yes",$H535=""),"NeverLoggedOn ","")))</f>
        <v/>
      </c>
      <c r="AD535" s="60" t="n"/>
      <c r="AE535" s="61" t="n"/>
      <c r="AF535" s="60" t="n"/>
      <c r="AG535" s="62" t="n"/>
      <c r="AH535" s="62" t="n"/>
      <c r="AI535" s="62" t="n"/>
      <c r="AJ535" s="60" t="n"/>
      <c r="AK535" s="61" t="n"/>
      <c r="AL535" s="63">
        <f>IF($A535="","",IF(AH535="","Not Enrolled",IF(TODAY()&gt;AH535,"Review Overdue",IF(AH535-TODAY()&lt;=30,"Review Due Soon","Active"))))</f>
        <v/>
      </c>
      <c r="AM535" s="63">
        <f>IF($A535="","",IF(AI535="","NOT REVIEWED",IF(TODAY()-AI535&gt;90,"OVERDUE",IF(TODAY()-AI535&gt;76,"Due Soon","Current"))))</f>
        <v/>
      </c>
    </row>
    <row r="536" ht="15" customHeight="1" s="39">
      <c r="A536" s="60" t="n"/>
      <c r="B536" s="60" t="n"/>
      <c r="C536" s="61" t="n"/>
      <c r="D536" s="61" t="n"/>
      <c r="E536" s="60" t="n"/>
      <c r="F536" s="60" t="n"/>
      <c r="G536" s="62" t="n"/>
      <c r="H536" s="62" t="n"/>
      <c r="I536" s="62" t="n"/>
      <c r="J536" s="60" t="n"/>
      <c r="K536" s="60" t="n"/>
      <c r="L536" s="60" t="n"/>
      <c r="M536" s="61" t="n"/>
      <c r="N536" s="60" t="n"/>
      <c r="O536" s="60" t="n"/>
      <c r="P536" s="60" t="n"/>
      <c r="Q536" s="60" t="n"/>
      <c r="R536" s="60" t="n"/>
      <c r="S536" s="60" t="n"/>
      <c r="T536" s="60" t="n"/>
      <c r="U536" s="60" t="n"/>
      <c r="V536" s="60" t="n"/>
      <c r="W536" s="60" t="n"/>
      <c r="X536" s="60" t="n"/>
      <c r="Y536" s="60" t="n"/>
      <c r="Z536" s="61" t="n"/>
      <c r="AA536" s="63">
        <f>IF($H536="","",TODAY()-$H536)</f>
        <v/>
      </c>
      <c r="AB536" s="63">
        <f>IF($A536="","",IF(AND($F536="Yes",OR($U536="No",$U536="NOT FOUND")),"YES",""))</f>
        <v/>
      </c>
      <c r="AC536" s="66">
        <f>IF($A536="","",TRIM(IF(AND($P536=0,$L536&lt;&gt;"Yes"),"T0-NoSmartcard ","")&amp;IF(AND($J536&lt;&gt;"",$J536&gt;365),"StalePwd ","")&amp;IF($K536="Yes","PwdNeverExpires ","")&amp;IF(AND($S536&lt;&gt;"",$S536&lt;&gt;"None"),"Delegation ","")&amp;IF(AND($Q536=1,$O536="None"),"StaleAdminCount ","")&amp;IF(AND($F536="Yes",$H536=""),"NeverLoggedOn ","")))</f>
        <v/>
      </c>
      <c r="AD536" s="60" t="n"/>
      <c r="AE536" s="61" t="n"/>
      <c r="AF536" s="60" t="n"/>
      <c r="AG536" s="62" t="n"/>
      <c r="AH536" s="62" t="n"/>
      <c r="AI536" s="62" t="n"/>
      <c r="AJ536" s="60" t="n"/>
      <c r="AK536" s="61" t="n"/>
      <c r="AL536" s="63">
        <f>IF($A536="","",IF(AH536="","Not Enrolled",IF(TODAY()&gt;AH536,"Review Overdue",IF(AH536-TODAY()&lt;=30,"Review Due Soon","Active"))))</f>
        <v/>
      </c>
      <c r="AM536" s="63">
        <f>IF($A536="","",IF(AI536="","NOT REVIEWED",IF(TODAY()-AI536&gt;90,"OVERDUE",IF(TODAY()-AI536&gt;76,"Due Soon","Current"))))</f>
        <v/>
      </c>
    </row>
    <row r="537" ht="15" customHeight="1" s="39">
      <c r="A537" s="60" t="n"/>
      <c r="B537" s="60" t="n"/>
      <c r="C537" s="61" t="n"/>
      <c r="D537" s="61" t="n"/>
      <c r="E537" s="60" t="n"/>
      <c r="F537" s="60" t="n"/>
      <c r="G537" s="62" t="n"/>
      <c r="H537" s="62" t="n"/>
      <c r="I537" s="62" t="n"/>
      <c r="J537" s="60" t="n"/>
      <c r="K537" s="60" t="n"/>
      <c r="L537" s="60" t="n"/>
      <c r="M537" s="61" t="n"/>
      <c r="N537" s="60" t="n"/>
      <c r="O537" s="60" t="n"/>
      <c r="P537" s="60" t="n"/>
      <c r="Q537" s="60" t="n"/>
      <c r="R537" s="60" t="n"/>
      <c r="S537" s="60" t="n"/>
      <c r="T537" s="60" t="n"/>
      <c r="U537" s="60" t="n"/>
      <c r="V537" s="60" t="n"/>
      <c r="W537" s="60" t="n"/>
      <c r="X537" s="60" t="n"/>
      <c r="Y537" s="60" t="n"/>
      <c r="Z537" s="61" t="n"/>
      <c r="AA537" s="63">
        <f>IF($H537="","",TODAY()-$H537)</f>
        <v/>
      </c>
      <c r="AB537" s="63">
        <f>IF($A537="","",IF(AND($F537="Yes",OR($U537="No",$U537="NOT FOUND")),"YES",""))</f>
        <v/>
      </c>
      <c r="AC537" s="66">
        <f>IF($A537="","",TRIM(IF(AND($P537=0,$L537&lt;&gt;"Yes"),"T0-NoSmartcard ","")&amp;IF(AND($J537&lt;&gt;"",$J537&gt;365),"StalePwd ","")&amp;IF($K537="Yes","PwdNeverExpires ","")&amp;IF(AND($S537&lt;&gt;"",$S537&lt;&gt;"None"),"Delegation ","")&amp;IF(AND($Q537=1,$O537="None"),"StaleAdminCount ","")&amp;IF(AND($F537="Yes",$H537=""),"NeverLoggedOn ","")))</f>
        <v/>
      </c>
      <c r="AD537" s="60" t="n"/>
      <c r="AE537" s="61" t="n"/>
      <c r="AF537" s="60" t="n"/>
      <c r="AG537" s="62" t="n"/>
      <c r="AH537" s="62" t="n"/>
      <c r="AI537" s="62" t="n"/>
      <c r="AJ537" s="60" t="n"/>
      <c r="AK537" s="61" t="n"/>
      <c r="AL537" s="63">
        <f>IF($A537="","",IF(AH537="","Not Enrolled",IF(TODAY()&gt;AH537,"Review Overdue",IF(AH537-TODAY()&lt;=30,"Review Due Soon","Active"))))</f>
        <v/>
      </c>
      <c r="AM537" s="63">
        <f>IF($A537="","",IF(AI537="","NOT REVIEWED",IF(TODAY()-AI537&gt;90,"OVERDUE",IF(TODAY()-AI537&gt;76,"Due Soon","Current"))))</f>
        <v/>
      </c>
    </row>
    <row r="538" ht="15" customHeight="1" s="39">
      <c r="A538" s="60" t="n"/>
      <c r="B538" s="60" t="n"/>
      <c r="C538" s="61" t="n"/>
      <c r="D538" s="61" t="n"/>
      <c r="E538" s="60" t="n"/>
      <c r="F538" s="60" t="n"/>
      <c r="G538" s="62" t="n"/>
      <c r="H538" s="62" t="n"/>
      <c r="I538" s="62" t="n"/>
      <c r="J538" s="60" t="n"/>
      <c r="K538" s="60" t="n"/>
      <c r="L538" s="60" t="n"/>
      <c r="M538" s="61" t="n"/>
      <c r="N538" s="60" t="n"/>
      <c r="O538" s="60" t="n"/>
      <c r="P538" s="60" t="n"/>
      <c r="Q538" s="60" t="n"/>
      <c r="R538" s="60" t="n"/>
      <c r="S538" s="60" t="n"/>
      <c r="T538" s="60" t="n"/>
      <c r="U538" s="60" t="n"/>
      <c r="V538" s="60" t="n"/>
      <c r="W538" s="60" t="n"/>
      <c r="X538" s="60" t="n"/>
      <c r="Y538" s="60" t="n"/>
      <c r="Z538" s="61" t="n"/>
      <c r="AA538" s="63">
        <f>IF($H538="","",TODAY()-$H538)</f>
        <v/>
      </c>
      <c r="AB538" s="63">
        <f>IF($A538="","",IF(AND($F538="Yes",OR($U538="No",$U538="NOT FOUND")),"YES",""))</f>
        <v/>
      </c>
      <c r="AC538" s="66">
        <f>IF($A538="","",TRIM(IF(AND($P538=0,$L538&lt;&gt;"Yes"),"T0-NoSmartcard ","")&amp;IF(AND($J538&lt;&gt;"",$J538&gt;365),"StalePwd ","")&amp;IF($K538="Yes","PwdNeverExpires ","")&amp;IF(AND($S538&lt;&gt;"",$S538&lt;&gt;"None"),"Delegation ","")&amp;IF(AND($Q538=1,$O538="None"),"StaleAdminCount ","")&amp;IF(AND($F538="Yes",$H538=""),"NeverLoggedOn ","")))</f>
        <v/>
      </c>
      <c r="AD538" s="60" t="n"/>
      <c r="AE538" s="61" t="n"/>
      <c r="AF538" s="60" t="n"/>
      <c r="AG538" s="62" t="n"/>
      <c r="AH538" s="62" t="n"/>
      <c r="AI538" s="62" t="n"/>
      <c r="AJ538" s="60" t="n"/>
      <c r="AK538" s="61" t="n"/>
      <c r="AL538" s="63">
        <f>IF($A538="","",IF(AH538="","Not Enrolled",IF(TODAY()&gt;AH538,"Review Overdue",IF(AH538-TODAY()&lt;=30,"Review Due Soon","Active"))))</f>
        <v/>
      </c>
      <c r="AM538" s="63">
        <f>IF($A538="","",IF(AI538="","NOT REVIEWED",IF(TODAY()-AI538&gt;90,"OVERDUE",IF(TODAY()-AI538&gt;76,"Due Soon","Current"))))</f>
        <v/>
      </c>
    </row>
    <row r="539" ht="15" customHeight="1" s="39">
      <c r="A539" s="60" t="n"/>
      <c r="B539" s="60" t="n"/>
      <c r="C539" s="61" t="n"/>
      <c r="D539" s="61" t="n"/>
      <c r="E539" s="60" t="n"/>
      <c r="F539" s="60" t="n"/>
      <c r="G539" s="62" t="n"/>
      <c r="H539" s="62" t="n"/>
      <c r="I539" s="62" t="n"/>
      <c r="J539" s="60" t="n"/>
      <c r="K539" s="60" t="n"/>
      <c r="L539" s="60" t="n"/>
      <c r="M539" s="61" t="n"/>
      <c r="N539" s="60" t="n"/>
      <c r="O539" s="60" t="n"/>
      <c r="P539" s="60" t="n"/>
      <c r="Q539" s="60" t="n"/>
      <c r="R539" s="60" t="n"/>
      <c r="S539" s="60" t="n"/>
      <c r="T539" s="60" t="n"/>
      <c r="U539" s="60" t="n"/>
      <c r="V539" s="60" t="n"/>
      <c r="W539" s="60" t="n"/>
      <c r="X539" s="60" t="n"/>
      <c r="Y539" s="60" t="n"/>
      <c r="Z539" s="61" t="n"/>
      <c r="AA539" s="63">
        <f>IF($H539="","",TODAY()-$H539)</f>
        <v/>
      </c>
      <c r="AB539" s="63">
        <f>IF($A539="","",IF(AND($F539="Yes",OR($U539="No",$U539="NOT FOUND")),"YES",""))</f>
        <v/>
      </c>
      <c r="AC539" s="66">
        <f>IF($A539="","",TRIM(IF(AND($P539=0,$L539&lt;&gt;"Yes"),"T0-NoSmartcard ","")&amp;IF(AND($J539&lt;&gt;"",$J539&gt;365),"StalePwd ","")&amp;IF($K539="Yes","PwdNeverExpires ","")&amp;IF(AND($S539&lt;&gt;"",$S539&lt;&gt;"None"),"Delegation ","")&amp;IF(AND($Q539=1,$O539="None"),"StaleAdminCount ","")&amp;IF(AND($F539="Yes",$H539=""),"NeverLoggedOn ","")))</f>
        <v/>
      </c>
      <c r="AD539" s="60" t="n"/>
      <c r="AE539" s="61" t="n"/>
      <c r="AF539" s="60" t="n"/>
      <c r="AG539" s="62" t="n"/>
      <c r="AH539" s="62" t="n"/>
      <c r="AI539" s="62" t="n"/>
      <c r="AJ539" s="60" t="n"/>
      <c r="AK539" s="61" t="n"/>
      <c r="AL539" s="63">
        <f>IF($A539="","",IF(AH539="","Not Enrolled",IF(TODAY()&gt;AH539,"Review Overdue",IF(AH539-TODAY()&lt;=30,"Review Due Soon","Active"))))</f>
        <v/>
      </c>
      <c r="AM539" s="63">
        <f>IF($A539="","",IF(AI539="","NOT REVIEWED",IF(TODAY()-AI539&gt;90,"OVERDUE",IF(TODAY()-AI539&gt;76,"Due Soon","Current"))))</f>
        <v/>
      </c>
    </row>
    <row r="540" ht="15" customHeight="1" s="39">
      <c r="A540" s="60" t="n"/>
      <c r="B540" s="60" t="n"/>
      <c r="C540" s="61" t="n"/>
      <c r="D540" s="61" t="n"/>
      <c r="E540" s="60" t="n"/>
      <c r="F540" s="60" t="n"/>
      <c r="G540" s="62" t="n"/>
      <c r="H540" s="62" t="n"/>
      <c r="I540" s="62" t="n"/>
      <c r="J540" s="60" t="n"/>
      <c r="K540" s="60" t="n"/>
      <c r="L540" s="60" t="n"/>
      <c r="M540" s="61" t="n"/>
      <c r="N540" s="60" t="n"/>
      <c r="O540" s="60" t="n"/>
      <c r="P540" s="60" t="n"/>
      <c r="Q540" s="60" t="n"/>
      <c r="R540" s="60" t="n"/>
      <c r="S540" s="60" t="n"/>
      <c r="T540" s="60" t="n"/>
      <c r="U540" s="60" t="n"/>
      <c r="V540" s="60" t="n"/>
      <c r="W540" s="60" t="n"/>
      <c r="X540" s="60" t="n"/>
      <c r="Y540" s="60" t="n"/>
      <c r="Z540" s="61" t="n"/>
      <c r="AA540" s="63">
        <f>IF($H540="","",TODAY()-$H540)</f>
        <v/>
      </c>
      <c r="AB540" s="63">
        <f>IF($A540="","",IF(AND($F540="Yes",OR($U540="No",$U540="NOT FOUND")),"YES",""))</f>
        <v/>
      </c>
      <c r="AC540" s="66">
        <f>IF($A540="","",TRIM(IF(AND($P540=0,$L540&lt;&gt;"Yes"),"T0-NoSmartcard ","")&amp;IF(AND($J540&lt;&gt;"",$J540&gt;365),"StalePwd ","")&amp;IF($K540="Yes","PwdNeverExpires ","")&amp;IF(AND($S540&lt;&gt;"",$S540&lt;&gt;"None"),"Delegation ","")&amp;IF(AND($Q540=1,$O540="None"),"StaleAdminCount ","")&amp;IF(AND($F540="Yes",$H540=""),"NeverLoggedOn ","")))</f>
        <v/>
      </c>
      <c r="AD540" s="60" t="n"/>
      <c r="AE540" s="61" t="n"/>
      <c r="AF540" s="60" t="n"/>
      <c r="AG540" s="62" t="n"/>
      <c r="AH540" s="62" t="n"/>
      <c r="AI540" s="62" t="n"/>
      <c r="AJ540" s="60" t="n"/>
      <c r="AK540" s="61" t="n"/>
      <c r="AL540" s="63">
        <f>IF($A540="","",IF(AH540="","Not Enrolled",IF(TODAY()&gt;AH540,"Review Overdue",IF(AH540-TODAY()&lt;=30,"Review Due Soon","Active"))))</f>
        <v/>
      </c>
      <c r="AM540" s="63">
        <f>IF($A540="","",IF(AI540="","NOT REVIEWED",IF(TODAY()-AI540&gt;90,"OVERDUE",IF(TODAY()-AI540&gt;76,"Due Soon","Current"))))</f>
        <v/>
      </c>
    </row>
    <row r="541" ht="15" customHeight="1" s="39">
      <c r="A541" s="60" t="n"/>
      <c r="B541" s="60" t="n"/>
      <c r="C541" s="61" t="n"/>
      <c r="D541" s="61" t="n"/>
      <c r="E541" s="60" t="n"/>
      <c r="F541" s="60" t="n"/>
      <c r="G541" s="62" t="n"/>
      <c r="H541" s="62" t="n"/>
      <c r="I541" s="62" t="n"/>
      <c r="J541" s="60" t="n"/>
      <c r="K541" s="60" t="n"/>
      <c r="L541" s="60" t="n"/>
      <c r="M541" s="61" t="n"/>
      <c r="N541" s="60" t="n"/>
      <c r="O541" s="60" t="n"/>
      <c r="P541" s="60" t="n"/>
      <c r="Q541" s="60" t="n"/>
      <c r="R541" s="60" t="n"/>
      <c r="S541" s="60" t="n"/>
      <c r="T541" s="60" t="n"/>
      <c r="U541" s="60" t="n"/>
      <c r="V541" s="60" t="n"/>
      <c r="W541" s="60" t="n"/>
      <c r="X541" s="60" t="n"/>
      <c r="Y541" s="60" t="n"/>
      <c r="Z541" s="61" t="n"/>
      <c r="AA541" s="63">
        <f>IF($H541="","",TODAY()-$H541)</f>
        <v/>
      </c>
      <c r="AB541" s="63">
        <f>IF($A541="","",IF(AND($F541="Yes",OR($U541="No",$U541="NOT FOUND")),"YES",""))</f>
        <v/>
      </c>
      <c r="AC541" s="66">
        <f>IF($A541="","",TRIM(IF(AND($P541=0,$L541&lt;&gt;"Yes"),"T0-NoSmartcard ","")&amp;IF(AND($J541&lt;&gt;"",$J541&gt;365),"StalePwd ","")&amp;IF($K541="Yes","PwdNeverExpires ","")&amp;IF(AND($S541&lt;&gt;"",$S541&lt;&gt;"None"),"Delegation ","")&amp;IF(AND($Q541=1,$O541="None"),"StaleAdminCount ","")&amp;IF(AND($F541="Yes",$H541=""),"NeverLoggedOn ","")))</f>
        <v/>
      </c>
      <c r="AD541" s="60" t="n"/>
      <c r="AE541" s="61" t="n"/>
      <c r="AF541" s="60" t="n"/>
      <c r="AG541" s="62" t="n"/>
      <c r="AH541" s="62" t="n"/>
      <c r="AI541" s="62" t="n"/>
      <c r="AJ541" s="60" t="n"/>
      <c r="AK541" s="61" t="n"/>
      <c r="AL541" s="63">
        <f>IF($A541="","",IF(AH541="","Not Enrolled",IF(TODAY()&gt;AH541,"Review Overdue",IF(AH541-TODAY()&lt;=30,"Review Due Soon","Active"))))</f>
        <v/>
      </c>
      <c r="AM541" s="63">
        <f>IF($A541="","",IF(AI541="","NOT REVIEWED",IF(TODAY()-AI541&gt;90,"OVERDUE",IF(TODAY()-AI541&gt;76,"Due Soon","Current"))))</f>
        <v/>
      </c>
    </row>
    <row r="542" ht="15" customHeight="1" s="39">
      <c r="A542" s="60" t="n"/>
      <c r="B542" s="60" t="n"/>
      <c r="C542" s="61" t="n"/>
      <c r="D542" s="61" t="n"/>
      <c r="E542" s="60" t="n"/>
      <c r="F542" s="60" t="n"/>
      <c r="G542" s="62" t="n"/>
      <c r="H542" s="62" t="n"/>
      <c r="I542" s="62" t="n"/>
      <c r="J542" s="60" t="n"/>
      <c r="K542" s="60" t="n"/>
      <c r="L542" s="60" t="n"/>
      <c r="M542" s="61" t="n"/>
      <c r="N542" s="60" t="n"/>
      <c r="O542" s="60" t="n"/>
      <c r="P542" s="60" t="n"/>
      <c r="Q542" s="60" t="n"/>
      <c r="R542" s="60" t="n"/>
      <c r="S542" s="60" t="n"/>
      <c r="T542" s="60" t="n"/>
      <c r="U542" s="60" t="n"/>
      <c r="V542" s="60" t="n"/>
      <c r="W542" s="60" t="n"/>
      <c r="X542" s="60" t="n"/>
      <c r="Y542" s="60" t="n"/>
      <c r="Z542" s="61" t="n"/>
      <c r="AA542" s="63">
        <f>IF($H542="","",TODAY()-$H542)</f>
        <v/>
      </c>
      <c r="AB542" s="63">
        <f>IF($A542="","",IF(AND($F542="Yes",OR($U542="No",$U542="NOT FOUND")),"YES",""))</f>
        <v/>
      </c>
      <c r="AC542" s="66">
        <f>IF($A542="","",TRIM(IF(AND($P542=0,$L542&lt;&gt;"Yes"),"T0-NoSmartcard ","")&amp;IF(AND($J542&lt;&gt;"",$J542&gt;365),"StalePwd ","")&amp;IF($K542="Yes","PwdNeverExpires ","")&amp;IF(AND($S542&lt;&gt;"",$S542&lt;&gt;"None"),"Delegation ","")&amp;IF(AND($Q542=1,$O542="None"),"StaleAdminCount ","")&amp;IF(AND($F542="Yes",$H542=""),"NeverLoggedOn ","")))</f>
        <v/>
      </c>
      <c r="AD542" s="60" t="n"/>
      <c r="AE542" s="61" t="n"/>
      <c r="AF542" s="60" t="n"/>
      <c r="AG542" s="62" t="n"/>
      <c r="AH542" s="62" t="n"/>
      <c r="AI542" s="62" t="n"/>
      <c r="AJ542" s="60" t="n"/>
      <c r="AK542" s="61" t="n"/>
      <c r="AL542" s="63">
        <f>IF($A542="","",IF(AH542="","Not Enrolled",IF(TODAY()&gt;AH542,"Review Overdue",IF(AH542-TODAY()&lt;=30,"Review Due Soon","Active"))))</f>
        <v/>
      </c>
      <c r="AM542" s="63">
        <f>IF($A542="","",IF(AI542="","NOT REVIEWED",IF(TODAY()-AI542&gt;90,"OVERDUE",IF(TODAY()-AI542&gt;76,"Due Soon","Current"))))</f>
        <v/>
      </c>
    </row>
    <row r="543" ht="15" customHeight="1" s="39">
      <c r="A543" s="60" t="n"/>
      <c r="B543" s="60" t="n"/>
      <c r="C543" s="61" t="n"/>
      <c r="D543" s="61" t="n"/>
      <c r="E543" s="60" t="n"/>
      <c r="F543" s="60" t="n"/>
      <c r="G543" s="62" t="n"/>
      <c r="H543" s="62" t="n"/>
      <c r="I543" s="62" t="n"/>
      <c r="J543" s="60" t="n"/>
      <c r="K543" s="60" t="n"/>
      <c r="L543" s="60" t="n"/>
      <c r="M543" s="61" t="n"/>
      <c r="N543" s="60" t="n"/>
      <c r="O543" s="60" t="n"/>
      <c r="P543" s="60" t="n"/>
      <c r="Q543" s="60" t="n"/>
      <c r="R543" s="60" t="n"/>
      <c r="S543" s="60" t="n"/>
      <c r="T543" s="60" t="n"/>
      <c r="U543" s="60" t="n"/>
      <c r="V543" s="60" t="n"/>
      <c r="W543" s="60" t="n"/>
      <c r="X543" s="60" t="n"/>
      <c r="Y543" s="60" t="n"/>
      <c r="Z543" s="61" t="n"/>
      <c r="AA543" s="63">
        <f>IF($H543="","",TODAY()-$H543)</f>
        <v/>
      </c>
      <c r="AB543" s="63">
        <f>IF($A543="","",IF(AND($F543="Yes",OR($U543="No",$U543="NOT FOUND")),"YES",""))</f>
        <v/>
      </c>
      <c r="AC543" s="66">
        <f>IF($A543="","",TRIM(IF(AND($P543=0,$L543&lt;&gt;"Yes"),"T0-NoSmartcard ","")&amp;IF(AND($J543&lt;&gt;"",$J543&gt;365),"StalePwd ","")&amp;IF($K543="Yes","PwdNeverExpires ","")&amp;IF(AND($S543&lt;&gt;"",$S543&lt;&gt;"None"),"Delegation ","")&amp;IF(AND($Q543=1,$O543="None"),"StaleAdminCount ","")&amp;IF(AND($F543="Yes",$H543=""),"NeverLoggedOn ","")))</f>
        <v/>
      </c>
      <c r="AD543" s="60" t="n"/>
      <c r="AE543" s="61" t="n"/>
      <c r="AF543" s="60" t="n"/>
      <c r="AG543" s="62" t="n"/>
      <c r="AH543" s="62" t="n"/>
      <c r="AI543" s="62" t="n"/>
      <c r="AJ543" s="60" t="n"/>
      <c r="AK543" s="61" t="n"/>
      <c r="AL543" s="63">
        <f>IF($A543="","",IF(AH543="","Not Enrolled",IF(TODAY()&gt;AH543,"Review Overdue",IF(AH543-TODAY()&lt;=30,"Review Due Soon","Active"))))</f>
        <v/>
      </c>
      <c r="AM543" s="63">
        <f>IF($A543="","",IF(AI543="","NOT REVIEWED",IF(TODAY()-AI543&gt;90,"OVERDUE",IF(TODAY()-AI543&gt;76,"Due Soon","Current"))))</f>
        <v/>
      </c>
    </row>
    <row r="544" ht="15" customHeight="1" s="39">
      <c r="A544" s="60" t="n"/>
      <c r="B544" s="60" t="n"/>
      <c r="C544" s="61" t="n"/>
      <c r="D544" s="61" t="n"/>
      <c r="E544" s="60" t="n"/>
      <c r="F544" s="60" t="n"/>
      <c r="G544" s="62" t="n"/>
      <c r="H544" s="62" t="n"/>
      <c r="I544" s="62" t="n"/>
      <c r="J544" s="60" t="n"/>
      <c r="K544" s="60" t="n"/>
      <c r="L544" s="60" t="n"/>
      <c r="M544" s="61" t="n"/>
      <c r="N544" s="60" t="n"/>
      <c r="O544" s="60" t="n"/>
      <c r="P544" s="60" t="n"/>
      <c r="Q544" s="60" t="n"/>
      <c r="R544" s="60" t="n"/>
      <c r="S544" s="60" t="n"/>
      <c r="T544" s="60" t="n"/>
      <c r="U544" s="60" t="n"/>
      <c r="V544" s="60" t="n"/>
      <c r="W544" s="60" t="n"/>
      <c r="X544" s="60" t="n"/>
      <c r="Y544" s="60" t="n"/>
      <c r="Z544" s="61" t="n"/>
      <c r="AA544" s="63">
        <f>IF($H544="","",TODAY()-$H544)</f>
        <v/>
      </c>
      <c r="AB544" s="63">
        <f>IF($A544="","",IF(AND($F544="Yes",OR($U544="No",$U544="NOT FOUND")),"YES",""))</f>
        <v/>
      </c>
      <c r="AC544" s="66">
        <f>IF($A544="","",TRIM(IF(AND($P544=0,$L544&lt;&gt;"Yes"),"T0-NoSmartcard ","")&amp;IF(AND($J544&lt;&gt;"",$J544&gt;365),"StalePwd ","")&amp;IF($K544="Yes","PwdNeverExpires ","")&amp;IF(AND($S544&lt;&gt;"",$S544&lt;&gt;"None"),"Delegation ","")&amp;IF(AND($Q544=1,$O544="None"),"StaleAdminCount ","")&amp;IF(AND($F544="Yes",$H544=""),"NeverLoggedOn ","")))</f>
        <v/>
      </c>
      <c r="AD544" s="60" t="n"/>
      <c r="AE544" s="61" t="n"/>
      <c r="AF544" s="60" t="n"/>
      <c r="AG544" s="62" t="n"/>
      <c r="AH544" s="62" t="n"/>
      <c r="AI544" s="62" t="n"/>
      <c r="AJ544" s="60" t="n"/>
      <c r="AK544" s="61" t="n"/>
      <c r="AL544" s="63">
        <f>IF($A544="","",IF(AH544="","Not Enrolled",IF(TODAY()&gt;AH544,"Review Overdue",IF(AH544-TODAY()&lt;=30,"Review Due Soon","Active"))))</f>
        <v/>
      </c>
      <c r="AM544" s="63">
        <f>IF($A544="","",IF(AI544="","NOT REVIEWED",IF(TODAY()-AI544&gt;90,"OVERDUE",IF(TODAY()-AI544&gt;76,"Due Soon","Current"))))</f>
        <v/>
      </c>
    </row>
    <row r="545" ht="15" customHeight="1" s="39">
      <c r="A545" s="60" t="n"/>
      <c r="B545" s="60" t="n"/>
      <c r="C545" s="61" t="n"/>
      <c r="D545" s="61" t="n"/>
      <c r="E545" s="60" t="n"/>
      <c r="F545" s="60" t="n"/>
      <c r="G545" s="62" t="n"/>
      <c r="H545" s="62" t="n"/>
      <c r="I545" s="62" t="n"/>
      <c r="J545" s="60" t="n"/>
      <c r="K545" s="60" t="n"/>
      <c r="L545" s="60" t="n"/>
      <c r="M545" s="61" t="n"/>
      <c r="N545" s="60" t="n"/>
      <c r="O545" s="60" t="n"/>
      <c r="P545" s="60" t="n"/>
      <c r="Q545" s="60" t="n"/>
      <c r="R545" s="60" t="n"/>
      <c r="S545" s="60" t="n"/>
      <c r="T545" s="60" t="n"/>
      <c r="U545" s="60" t="n"/>
      <c r="V545" s="60" t="n"/>
      <c r="W545" s="60" t="n"/>
      <c r="X545" s="60" t="n"/>
      <c r="Y545" s="60" t="n"/>
      <c r="Z545" s="61" t="n"/>
      <c r="AA545" s="63">
        <f>IF($H545="","",TODAY()-$H545)</f>
        <v/>
      </c>
      <c r="AB545" s="63">
        <f>IF($A545="","",IF(AND($F545="Yes",OR($U545="No",$U545="NOT FOUND")),"YES",""))</f>
        <v/>
      </c>
      <c r="AC545" s="66">
        <f>IF($A545="","",TRIM(IF(AND($P545=0,$L545&lt;&gt;"Yes"),"T0-NoSmartcard ","")&amp;IF(AND($J545&lt;&gt;"",$J545&gt;365),"StalePwd ","")&amp;IF($K545="Yes","PwdNeverExpires ","")&amp;IF(AND($S545&lt;&gt;"",$S545&lt;&gt;"None"),"Delegation ","")&amp;IF(AND($Q545=1,$O545="None"),"StaleAdminCount ","")&amp;IF(AND($F545="Yes",$H545=""),"NeverLoggedOn ","")))</f>
        <v/>
      </c>
      <c r="AD545" s="60" t="n"/>
      <c r="AE545" s="61" t="n"/>
      <c r="AF545" s="60" t="n"/>
      <c r="AG545" s="62" t="n"/>
      <c r="AH545" s="62" t="n"/>
      <c r="AI545" s="62" t="n"/>
      <c r="AJ545" s="60" t="n"/>
      <c r="AK545" s="61" t="n"/>
      <c r="AL545" s="63">
        <f>IF($A545="","",IF(AH545="","Not Enrolled",IF(TODAY()&gt;AH545,"Review Overdue",IF(AH545-TODAY()&lt;=30,"Review Due Soon","Active"))))</f>
        <v/>
      </c>
      <c r="AM545" s="63">
        <f>IF($A545="","",IF(AI545="","NOT REVIEWED",IF(TODAY()-AI545&gt;90,"OVERDUE",IF(TODAY()-AI545&gt;76,"Due Soon","Current"))))</f>
        <v/>
      </c>
    </row>
    <row r="546" ht="15" customHeight="1" s="39">
      <c r="A546" s="60" t="n"/>
      <c r="B546" s="60" t="n"/>
      <c r="C546" s="61" t="n"/>
      <c r="D546" s="61" t="n"/>
      <c r="E546" s="60" t="n"/>
      <c r="F546" s="60" t="n"/>
      <c r="G546" s="62" t="n"/>
      <c r="H546" s="62" t="n"/>
      <c r="I546" s="62" t="n"/>
      <c r="J546" s="60" t="n"/>
      <c r="K546" s="60" t="n"/>
      <c r="L546" s="60" t="n"/>
      <c r="M546" s="61" t="n"/>
      <c r="N546" s="60" t="n"/>
      <c r="O546" s="60" t="n"/>
      <c r="P546" s="60" t="n"/>
      <c r="Q546" s="60" t="n"/>
      <c r="R546" s="60" t="n"/>
      <c r="S546" s="60" t="n"/>
      <c r="T546" s="60" t="n"/>
      <c r="U546" s="60" t="n"/>
      <c r="V546" s="60" t="n"/>
      <c r="W546" s="60" t="n"/>
      <c r="X546" s="60" t="n"/>
      <c r="Y546" s="60" t="n"/>
      <c r="Z546" s="61" t="n"/>
      <c r="AA546" s="63">
        <f>IF($H546="","",TODAY()-$H546)</f>
        <v/>
      </c>
      <c r="AB546" s="63">
        <f>IF($A546="","",IF(AND($F546="Yes",OR($U546="No",$U546="NOT FOUND")),"YES",""))</f>
        <v/>
      </c>
      <c r="AC546" s="66">
        <f>IF($A546="","",TRIM(IF(AND($P546=0,$L546&lt;&gt;"Yes"),"T0-NoSmartcard ","")&amp;IF(AND($J546&lt;&gt;"",$J546&gt;365),"StalePwd ","")&amp;IF($K546="Yes","PwdNeverExpires ","")&amp;IF(AND($S546&lt;&gt;"",$S546&lt;&gt;"None"),"Delegation ","")&amp;IF(AND($Q546=1,$O546="None"),"StaleAdminCount ","")&amp;IF(AND($F546="Yes",$H546=""),"NeverLoggedOn ","")))</f>
        <v/>
      </c>
      <c r="AD546" s="60" t="n"/>
      <c r="AE546" s="61" t="n"/>
      <c r="AF546" s="60" t="n"/>
      <c r="AG546" s="62" t="n"/>
      <c r="AH546" s="62" t="n"/>
      <c r="AI546" s="62" t="n"/>
      <c r="AJ546" s="60" t="n"/>
      <c r="AK546" s="61" t="n"/>
      <c r="AL546" s="63">
        <f>IF($A546="","",IF(AH546="","Not Enrolled",IF(TODAY()&gt;AH546,"Review Overdue",IF(AH546-TODAY()&lt;=30,"Review Due Soon","Active"))))</f>
        <v/>
      </c>
      <c r="AM546" s="63">
        <f>IF($A546="","",IF(AI546="","NOT REVIEWED",IF(TODAY()-AI546&gt;90,"OVERDUE",IF(TODAY()-AI546&gt;76,"Due Soon","Current"))))</f>
        <v/>
      </c>
    </row>
    <row r="547" ht="15" customHeight="1" s="39">
      <c r="A547" s="60" t="n"/>
      <c r="B547" s="60" t="n"/>
      <c r="C547" s="61" t="n"/>
      <c r="D547" s="61" t="n"/>
      <c r="E547" s="60" t="n"/>
      <c r="F547" s="60" t="n"/>
      <c r="G547" s="62" t="n"/>
      <c r="H547" s="62" t="n"/>
      <c r="I547" s="62" t="n"/>
      <c r="J547" s="60" t="n"/>
      <c r="K547" s="60" t="n"/>
      <c r="L547" s="60" t="n"/>
      <c r="M547" s="61" t="n"/>
      <c r="N547" s="60" t="n"/>
      <c r="O547" s="60" t="n"/>
      <c r="P547" s="60" t="n"/>
      <c r="Q547" s="60" t="n"/>
      <c r="R547" s="60" t="n"/>
      <c r="S547" s="60" t="n"/>
      <c r="T547" s="60" t="n"/>
      <c r="U547" s="60" t="n"/>
      <c r="V547" s="60" t="n"/>
      <c r="W547" s="60" t="n"/>
      <c r="X547" s="60" t="n"/>
      <c r="Y547" s="60" t="n"/>
      <c r="Z547" s="61" t="n"/>
      <c r="AA547" s="63">
        <f>IF($H547="","",TODAY()-$H547)</f>
        <v/>
      </c>
      <c r="AB547" s="63">
        <f>IF($A547="","",IF(AND($F547="Yes",OR($U547="No",$U547="NOT FOUND")),"YES",""))</f>
        <v/>
      </c>
      <c r="AC547" s="66">
        <f>IF($A547="","",TRIM(IF(AND($P547=0,$L547&lt;&gt;"Yes"),"T0-NoSmartcard ","")&amp;IF(AND($J547&lt;&gt;"",$J547&gt;365),"StalePwd ","")&amp;IF($K547="Yes","PwdNeverExpires ","")&amp;IF(AND($S547&lt;&gt;"",$S547&lt;&gt;"None"),"Delegation ","")&amp;IF(AND($Q547=1,$O547="None"),"StaleAdminCount ","")&amp;IF(AND($F547="Yes",$H547=""),"NeverLoggedOn ","")))</f>
        <v/>
      </c>
      <c r="AD547" s="60" t="n"/>
      <c r="AE547" s="61" t="n"/>
      <c r="AF547" s="60" t="n"/>
      <c r="AG547" s="62" t="n"/>
      <c r="AH547" s="62" t="n"/>
      <c r="AI547" s="62" t="n"/>
      <c r="AJ547" s="60" t="n"/>
      <c r="AK547" s="61" t="n"/>
      <c r="AL547" s="63">
        <f>IF($A547="","",IF(AH547="","Not Enrolled",IF(TODAY()&gt;AH547,"Review Overdue",IF(AH547-TODAY()&lt;=30,"Review Due Soon","Active"))))</f>
        <v/>
      </c>
      <c r="AM547" s="63">
        <f>IF($A547="","",IF(AI547="","NOT REVIEWED",IF(TODAY()-AI547&gt;90,"OVERDUE",IF(TODAY()-AI547&gt;76,"Due Soon","Current"))))</f>
        <v/>
      </c>
    </row>
    <row r="548" ht="15" customHeight="1" s="39">
      <c r="A548" s="60" t="n"/>
      <c r="B548" s="60" t="n"/>
      <c r="C548" s="61" t="n"/>
      <c r="D548" s="61" t="n"/>
      <c r="E548" s="60" t="n"/>
      <c r="F548" s="60" t="n"/>
      <c r="G548" s="62" t="n"/>
      <c r="H548" s="62" t="n"/>
      <c r="I548" s="62" t="n"/>
      <c r="J548" s="60" t="n"/>
      <c r="K548" s="60" t="n"/>
      <c r="L548" s="60" t="n"/>
      <c r="M548" s="61" t="n"/>
      <c r="N548" s="60" t="n"/>
      <c r="O548" s="60" t="n"/>
      <c r="P548" s="60" t="n"/>
      <c r="Q548" s="60" t="n"/>
      <c r="R548" s="60" t="n"/>
      <c r="S548" s="60" t="n"/>
      <c r="T548" s="60" t="n"/>
      <c r="U548" s="60" t="n"/>
      <c r="V548" s="60" t="n"/>
      <c r="W548" s="60" t="n"/>
      <c r="X548" s="60" t="n"/>
      <c r="Y548" s="60" t="n"/>
      <c r="Z548" s="61" t="n"/>
      <c r="AA548" s="63">
        <f>IF($H548="","",TODAY()-$H548)</f>
        <v/>
      </c>
      <c r="AB548" s="63">
        <f>IF($A548="","",IF(AND($F548="Yes",OR($U548="No",$U548="NOT FOUND")),"YES",""))</f>
        <v/>
      </c>
      <c r="AC548" s="66">
        <f>IF($A548="","",TRIM(IF(AND($P548=0,$L548&lt;&gt;"Yes"),"T0-NoSmartcard ","")&amp;IF(AND($J548&lt;&gt;"",$J548&gt;365),"StalePwd ","")&amp;IF($K548="Yes","PwdNeverExpires ","")&amp;IF(AND($S548&lt;&gt;"",$S548&lt;&gt;"None"),"Delegation ","")&amp;IF(AND($Q548=1,$O548="None"),"StaleAdminCount ","")&amp;IF(AND($F548="Yes",$H548=""),"NeverLoggedOn ","")))</f>
        <v/>
      </c>
      <c r="AD548" s="60" t="n"/>
      <c r="AE548" s="61" t="n"/>
      <c r="AF548" s="60" t="n"/>
      <c r="AG548" s="62" t="n"/>
      <c r="AH548" s="62" t="n"/>
      <c r="AI548" s="62" t="n"/>
      <c r="AJ548" s="60" t="n"/>
      <c r="AK548" s="61" t="n"/>
      <c r="AL548" s="63">
        <f>IF($A548="","",IF(AH548="","Not Enrolled",IF(TODAY()&gt;AH548,"Review Overdue",IF(AH548-TODAY()&lt;=30,"Review Due Soon","Active"))))</f>
        <v/>
      </c>
      <c r="AM548" s="63">
        <f>IF($A548="","",IF(AI548="","NOT REVIEWED",IF(TODAY()-AI548&gt;90,"OVERDUE",IF(TODAY()-AI548&gt;76,"Due Soon","Current"))))</f>
        <v/>
      </c>
    </row>
    <row r="549" ht="15" customHeight="1" s="39">
      <c r="A549" s="60" t="n"/>
      <c r="B549" s="60" t="n"/>
      <c r="C549" s="61" t="n"/>
      <c r="D549" s="61" t="n"/>
      <c r="E549" s="60" t="n"/>
      <c r="F549" s="60" t="n"/>
      <c r="G549" s="62" t="n"/>
      <c r="H549" s="62" t="n"/>
      <c r="I549" s="62" t="n"/>
      <c r="J549" s="60" t="n"/>
      <c r="K549" s="60" t="n"/>
      <c r="L549" s="60" t="n"/>
      <c r="M549" s="61" t="n"/>
      <c r="N549" s="60" t="n"/>
      <c r="O549" s="60" t="n"/>
      <c r="P549" s="60" t="n"/>
      <c r="Q549" s="60" t="n"/>
      <c r="R549" s="60" t="n"/>
      <c r="S549" s="60" t="n"/>
      <c r="T549" s="60" t="n"/>
      <c r="U549" s="60" t="n"/>
      <c r="V549" s="60" t="n"/>
      <c r="W549" s="60" t="n"/>
      <c r="X549" s="60" t="n"/>
      <c r="Y549" s="60" t="n"/>
      <c r="Z549" s="61" t="n"/>
      <c r="AA549" s="63">
        <f>IF($H549="","",TODAY()-$H549)</f>
        <v/>
      </c>
      <c r="AB549" s="63">
        <f>IF($A549="","",IF(AND($F549="Yes",OR($U549="No",$U549="NOT FOUND")),"YES",""))</f>
        <v/>
      </c>
      <c r="AC549" s="66">
        <f>IF($A549="","",TRIM(IF(AND($P549=0,$L549&lt;&gt;"Yes"),"T0-NoSmartcard ","")&amp;IF(AND($J549&lt;&gt;"",$J549&gt;365),"StalePwd ","")&amp;IF($K549="Yes","PwdNeverExpires ","")&amp;IF(AND($S549&lt;&gt;"",$S549&lt;&gt;"None"),"Delegation ","")&amp;IF(AND($Q549=1,$O549="None"),"StaleAdminCount ","")&amp;IF(AND($F549="Yes",$H549=""),"NeverLoggedOn ","")))</f>
        <v/>
      </c>
      <c r="AD549" s="60" t="n"/>
      <c r="AE549" s="61" t="n"/>
      <c r="AF549" s="60" t="n"/>
      <c r="AG549" s="62" t="n"/>
      <c r="AH549" s="62" t="n"/>
      <c r="AI549" s="62" t="n"/>
      <c r="AJ549" s="60" t="n"/>
      <c r="AK549" s="61" t="n"/>
      <c r="AL549" s="63">
        <f>IF($A549="","",IF(AH549="","Not Enrolled",IF(TODAY()&gt;AH549,"Review Overdue",IF(AH549-TODAY()&lt;=30,"Review Due Soon","Active"))))</f>
        <v/>
      </c>
      <c r="AM549" s="63">
        <f>IF($A549="","",IF(AI549="","NOT REVIEWED",IF(TODAY()-AI549&gt;90,"OVERDUE",IF(TODAY()-AI549&gt;76,"Due Soon","Current"))))</f>
        <v/>
      </c>
    </row>
    <row r="550" ht="15" customHeight="1" s="39">
      <c r="A550" s="60" t="n"/>
      <c r="B550" s="60" t="n"/>
      <c r="C550" s="61" t="n"/>
      <c r="D550" s="61" t="n"/>
      <c r="E550" s="60" t="n"/>
      <c r="F550" s="60" t="n"/>
      <c r="G550" s="62" t="n"/>
      <c r="H550" s="62" t="n"/>
      <c r="I550" s="62" t="n"/>
      <c r="J550" s="60" t="n"/>
      <c r="K550" s="60" t="n"/>
      <c r="L550" s="60" t="n"/>
      <c r="M550" s="61" t="n"/>
      <c r="N550" s="60" t="n"/>
      <c r="O550" s="60" t="n"/>
      <c r="P550" s="60" t="n"/>
      <c r="Q550" s="60" t="n"/>
      <c r="R550" s="60" t="n"/>
      <c r="S550" s="60" t="n"/>
      <c r="T550" s="60" t="n"/>
      <c r="U550" s="60" t="n"/>
      <c r="V550" s="60" t="n"/>
      <c r="W550" s="60" t="n"/>
      <c r="X550" s="60" t="n"/>
      <c r="Y550" s="60" t="n"/>
      <c r="Z550" s="61" t="n"/>
      <c r="AA550" s="63">
        <f>IF($H550="","",TODAY()-$H550)</f>
        <v/>
      </c>
      <c r="AB550" s="63">
        <f>IF($A550="","",IF(AND($F550="Yes",OR($U550="No",$U550="NOT FOUND")),"YES",""))</f>
        <v/>
      </c>
      <c r="AC550" s="66">
        <f>IF($A550="","",TRIM(IF(AND($P550=0,$L550&lt;&gt;"Yes"),"T0-NoSmartcard ","")&amp;IF(AND($J550&lt;&gt;"",$J550&gt;365),"StalePwd ","")&amp;IF($K550="Yes","PwdNeverExpires ","")&amp;IF(AND($S550&lt;&gt;"",$S550&lt;&gt;"None"),"Delegation ","")&amp;IF(AND($Q550=1,$O550="None"),"StaleAdminCount ","")&amp;IF(AND($F550="Yes",$H550=""),"NeverLoggedOn ","")))</f>
        <v/>
      </c>
      <c r="AD550" s="60" t="n"/>
      <c r="AE550" s="61" t="n"/>
      <c r="AF550" s="60" t="n"/>
      <c r="AG550" s="62" t="n"/>
      <c r="AH550" s="62" t="n"/>
      <c r="AI550" s="62" t="n"/>
      <c r="AJ550" s="60" t="n"/>
      <c r="AK550" s="61" t="n"/>
      <c r="AL550" s="63">
        <f>IF($A550="","",IF(AH550="","Not Enrolled",IF(TODAY()&gt;AH550,"Review Overdue",IF(AH550-TODAY()&lt;=30,"Review Due Soon","Active"))))</f>
        <v/>
      </c>
      <c r="AM550" s="63">
        <f>IF($A550="","",IF(AI550="","NOT REVIEWED",IF(TODAY()-AI550&gt;90,"OVERDUE",IF(TODAY()-AI550&gt;76,"Due Soon","Current"))))</f>
        <v/>
      </c>
    </row>
    <row r="551" ht="15" customHeight="1" s="39">
      <c r="A551" s="60" t="n"/>
      <c r="B551" s="60" t="n"/>
      <c r="C551" s="61" t="n"/>
      <c r="D551" s="61" t="n"/>
      <c r="E551" s="60" t="n"/>
      <c r="F551" s="60" t="n"/>
      <c r="G551" s="62" t="n"/>
      <c r="H551" s="62" t="n"/>
      <c r="I551" s="62" t="n"/>
      <c r="J551" s="60" t="n"/>
      <c r="K551" s="60" t="n"/>
      <c r="L551" s="60" t="n"/>
      <c r="M551" s="61" t="n"/>
      <c r="N551" s="60" t="n"/>
      <c r="O551" s="60" t="n"/>
      <c r="P551" s="60" t="n"/>
      <c r="Q551" s="60" t="n"/>
      <c r="R551" s="60" t="n"/>
      <c r="S551" s="60" t="n"/>
      <c r="T551" s="60" t="n"/>
      <c r="U551" s="60" t="n"/>
      <c r="V551" s="60" t="n"/>
      <c r="W551" s="60" t="n"/>
      <c r="X551" s="60" t="n"/>
      <c r="Y551" s="60" t="n"/>
      <c r="Z551" s="61" t="n"/>
      <c r="AA551" s="63">
        <f>IF($H551="","",TODAY()-$H551)</f>
        <v/>
      </c>
      <c r="AB551" s="63">
        <f>IF($A551="","",IF(AND($F551="Yes",OR($U551="No",$U551="NOT FOUND")),"YES",""))</f>
        <v/>
      </c>
      <c r="AC551" s="66">
        <f>IF($A551="","",TRIM(IF(AND($P551=0,$L551&lt;&gt;"Yes"),"T0-NoSmartcard ","")&amp;IF(AND($J551&lt;&gt;"",$J551&gt;365),"StalePwd ","")&amp;IF($K551="Yes","PwdNeverExpires ","")&amp;IF(AND($S551&lt;&gt;"",$S551&lt;&gt;"None"),"Delegation ","")&amp;IF(AND($Q551=1,$O551="None"),"StaleAdminCount ","")&amp;IF(AND($F551="Yes",$H551=""),"NeverLoggedOn ","")))</f>
        <v/>
      </c>
      <c r="AD551" s="60" t="n"/>
      <c r="AE551" s="61" t="n"/>
      <c r="AF551" s="60" t="n"/>
      <c r="AG551" s="62" t="n"/>
      <c r="AH551" s="62" t="n"/>
      <c r="AI551" s="62" t="n"/>
      <c r="AJ551" s="60" t="n"/>
      <c r="AK551" s="61" t="n"/>
      <c r="AL551" s="63">
        <f>IF($A551="","",IF(AH551="","Not Enrolled",IF(TODAY()&gt;AH551,"Review Overdue",IF(AH551-TODAY()&lt;=30,"Review Due Soon","Active"))))</f>
        <v/>
      </c>
      <c r="AM551" s="63">
        <f>IF($A551="","",IF(AI551="","NOT REVIEWED",IF(TODAY()-AI551&gt;90,"OVERDUE",IF(TODAY()-AI551&gt;76,"Due Soon","Current"))))</f>
        <v/>
      </c>
    </row>
    <row r="552" ht="15" customHeight="1" s="39">
      <c r="A552" s="60" t="n"/>
      <c r="B552" s="60" t="n"/>
      <c r="C552" s="61" t="n"/>
      <c r="D552" s="61" t="n"/>
      <c r="E552" s="60" t="n"/>
      <c r="F552" s="60" t="n"/>
      <c r="G552" s="62" t="n"/>
      <c r="H552" s="62" t="n"/>
      <c r="I552" s="62" t="n"/>
      <c r="J552" s="60" t="n"/>
      <c r="K552" s="60" t="n"/>
      <c r="L552" s="60" t="n"/>
      <c r="M552" s="61" t="n"/>
      <c r="N552" s="60" t="n"/>
      <c r="O552" s="60" t="n"/>
      <c r="P552" s="60" t="n"/>
      <c r="Q552" s="60" t="n"/>
      <c r="R552" s="60" t="n"/>
      <c r="S552" s="60" t="n"/>
      <c r="T552" s="60" t="n"/>
      <c r="U552" s="60" t="n"/>
      <c r="V552" s="60" t="n"/>
      <c r="W552" s="60" t="n"/>
      <c r="X552" s="60" t="n"/>
      <c r="Y552" s="60" t="n"/>
      <c r="Z552" s="61" t="n"/>
      <c r="AA552" s="63">
        <f>IF($H552="","",TODAY()-$H552)</f>
        <v/>
      </c>
      <c r="AB552" s="63">
        <f>IF($A552="","",IF(AND($F552="Yes",OR($U552="No",$U552="NOT FOUND")),"YES",""))</f>
        <v/>
      </c>
      <c r="AC552" s="66">
        <f>IF($A552="","",TRIM(IF(AND($P552=0,$L552&lt;&gt;"Yes"),"T0-NoSmartcard ","")&amp;IF(AND($J552&lt;&gt;"",$J552&gt;365),"StalePwd ","")&amp;IF($K552="Yes","PwdNeverExpires ","")&amp;IF(AND($S552&lt;&gt;"",$S552&lt;&gt;"None"),"Delegation ","")&amp;IF(AND($Q552=1,$O552="None"),"StaleAdminCount ","")&amp;IF(AND($F552="Yes",$H552=""),"NeverLoggedOn ","")))</f>
        <v/>
      </c>
      <c r="AD552" s="60" t="n"/>
      <c r="AE552" s="61" t="n"/>
      <c r="AF552" s="60" t="n"/>
      <c r="AG552" s="62" t="n"/>
      <c r="AH552" s="62" t="n"/>
      <c r="AI552" s="62" t="n"/>
      <c r="AJ552" s="60" t="n"/>
      <c r="AK552" s="61" t="n"/>
      <c r="AL552" s="63">
        <f>IF($A552="","",IF(AH552="","Not Enrolled",IF(TODAY()&gt;AH552,"Review Overdue",IF(AH552-TODAY()&lt;=30,"Review Due Soon","Active"))))</f>
        <v/>
      </c>
      <c r="AM552" s="63">
        <f>IF($A552="","",IF(AI552="","NOT REVIEWED",IF(TODAY()-AI552&gt;90,"OVERDUE",IF(TODAY()-AI552&gt;76,"Due Soon","Current"))))</f>
        <v/>
      </c>
    </row>
    <row r="553" ht="15" customHeight="1" s="39">
      <c r="A553" s="60" t="n"/>
      <c r="B553" s="60" t="n"/>
      <c r="C553" s="61" t="n"/>
      <c r="D553" s="61" t="n"/>
      <c r="E553" s="60" t="n"/>
      <c r="F553" s="60" t="n"/>
      <c r="G553" s="62" t="n"/>
      <c r="H553" s="62" t="n"/>
      <c r="I553" s="62" t="n"/>
      <c r="J553" s="60" t="n"/>
      <c r="K553" s="60" t="n"/>
      <c r="L553" s="60" t="n"/>
      <c r="M553" s="61" t="n"/>
      <c r="N553" s="60" t="n"/>
      <c r="O553" s="60" t="n"/>
      <c r="P553" s="60" t="n"/>
      <c r="Q553" s="60" t="n"/>
      <c r="R553" s="60" t="n"/>
      <c r="S553" s="60" t="n"/>
      <c r="T553" s="60" t="n"/>
      <c r="U553" s="60" t="n"/>
      <c r="V553" s="60" t="n"/>
      <c r="W553" s="60" t="n"/>
      <c r="X553" s="60" t="n"/>
      <c r="Y553" s="60" t="n"/>
      <c r="Z553" s="61" t="n"/>
      <c r="AA553" s="63">
        <f>IF($H553="","",TODAY()-$H553)</f>
        <v/>
      </c>
      <c r="AB553" s="63">
        <f>IF($A553="","",IF(AND($F553="Yes",OR($U553="No",$U553="NOT FOUND")),"YES",""))</f>
        <v/>
      </c>
      <c r="AC553" s="66">
        <f>IF($A553="","",TRIM(IF(AND($P553=0,$L553&lt;&gt;"Yes"),"T0-NoSmartcard ","")&amp;IF(AND($J553&lt;&gt;"",$J553&gt;365),"StalePwd ","")&amp;IF($K553="Yes","PwdNeverExpires ","")&amp;IF(AND($S553&lt;&gt;"",$S553&lt;&gt;"None"),"Delegation ","")&amp;IF(AND($Q553=1,$O553="None"),"StaleAdminCount ","")&amp;IF(AND($F553="Yes",$H553=""),"NeverLoggedOn ","")))</f>
        <v/>
      </c>
      <c r="AD553" s="60" t="n"/>
      <c r="AE553" s="61" t="n"/>
      <c r="AF553" s="60" t="n"/>
      <c r="AG553" s="62" t="n"/>
      <c r="AH553" s="62" t="n"/>
      <c r="AI553" s="62" t="n"/>
      <c r="AJ553" s="60" t="n"/>
      <c r="AK553" s="61" t="n"/>
      <c r="AL553" s="63">
        <f>IF($A553="","",IF(AH553="","Not Enrolled",IF(TODAY()&gt;AH553,"Review Overdue",IF(AH553-TODAY()&lt;=30,"Review Due Soon","Active"))))</f>
        <v/>
      </c>
      <c r="AM553" s="63">
        <f>IF($A553="","",IF(AI553="","NOT REVIEWED",IF(TODAY()-AI553&gt;90,"OVERDUE",IF(TODAY()-AI553&gt;76,"Due Soon","Current"))))</f>
        <v/>
      </c>
    </row>
    <row r="554" ht="15" customHeight="1" s="39">
      <c r="A554" s="60" t="n"/>
      <c r="B554" s="60" t="n"/>
      <c r="C554" s="61" t="n"/>
      <c r="D554" s="61" t="n"/>
      <c r="E554" s="60" t="n"/>
      <c r="F554" s="60" t="n"/>
      <c r="G554" s="62" t="n"/>
      <c r="H554" s="62" t="n"/>
      <c r="I554" s="62" t="n"/>
      <c r="J554" s="60" t="n"/>
      <c r="K554" s="60" t="n"/>
      <c r="L554" s="60" t="n"/>
      <c r="M554" s="61" t="n"/>
      <c r="N554" s="60" t="n"/>
      <c r="O554" s="60" t="n"/>
      <c r="P554" s="60" t="n"/>
      <c r="Q554" s="60" t="n"/>
      <c r="R554" s="60" t="n"/>
      <c r="S554" s="60" t="n"/>
      <c r="T554" s="60" t="n"/>
      <c r="U554" s="60" t="n"/>
      <c r="V554" s="60" t="n"/>
      <c r="W554" s="60" t="n"/>
      <c r="X554" s="60" t="n"/>
      <c r="Y554" s="60" t="n"/>
      <c r="Z554" s="61" t="n"/>
      <c r="AA554" s="63">
        <f>IF($H554="","",TODAY()-$H554)</f>
        <v/>
      </c>
      <c r="AB554" s="63">
        <f>IF($A554="","",IF(AND($F554="Yes",OR($U554="No",$U554="NOT FOUND")),"YES",""))</f>
        <v/>
      </c>
      <c r="AC554" s="66">
        <f>IF($A554="","",TRIM(IF(AND($P554=0,$L554&lt;&gt;"Yes"),"T0-NoSmartcard ","")&amp;IF(AND($J554&lt;&gt;"",$J554&gt;365),"StalePwd ","")&amp;IF($K554="Yes","PwdNeverExpires ","")&amp;IF(AND($S554&lt;&gt;"",$S554&lt;&gt;"None"),"Delegation ","")&amp;IF(AND($Q554=1,$O554="None"),"StaleAdminCount ","")&amp;IF(AND($F554="Yes",$H554=""),"NeverLoggedOn ","")))</f>
        <v/>
      </c>
      <c r="AD554" s="60" t="n"/>
      <c r="AE554" s="61" t="n"/>
      <c r="AF554" s="60" t="n"/>
      <c r="AG554" s="62" t="n"/>
      <c r="AH554" s="62" t="n"/>
      <c r="AI554" s="62" t="n"/>
      <c r="AJ554" s="60" t="n"/>
      <c r="AK554" s="61" t="n"/>
      <c r="AL554" s="63">
        <f>IF($A554="","",IF(AH554="","Not Enrolled",IF(TODAY()&gt;AH554,"Review Overdue",IF(AH554-TODAY()&lt;=30,"Review Due Soon","Active"))))</f>
        <v/>
      </c>
      <c r="AM554" s="63">
        <f>IF($A554="","",IF(AI554="","NOT REVIEWED",IF(TODAY()-AI554&gt;90,"OVERDUE",IF(TODAY()-AI554&gt;76,"Due Soon","Current"))))</f>
        <v/>
      </c>
    </row>
    <row r="555" ht="15" customHeight="1" s="39">
      <c r="A555" s="60" t="n"/>
      <c r="B555" s="60" t="n"/>
      <c r="C555" s="61" t="n"/>
      <c r="D555" s="61" t="n"/>
      <c r="E555" s="60" t="n"/>
      <c r="F555" s="60" t="n"/>
      <c r="G555" s="62" t="n"/>
      <c r="H555" s="62" t="n"/>
      <c r="I555" s="62" t="n"/>
      <c r="J555" s="60" t="n"/>
      <c r="K555" s="60" t="n"/>
      <c r="L555" s="60" t="n"/>
      <c r="M555" s="61" t="n"/>
      <c r="N555" s="60" t="n"/>
      <c r="O555" s="60" t="n"/>
      <c r="P555" s="60" t="n"/>
      <c r="Q555" s="60" t="n"/>
      <c r="R555" s="60" t="n"/>
      <c r="S555" s="60" t="n"/>
      <c r="T555" s="60" t="n"/>
      <c r="U555" s="60" t="n"/>
      <c r="V555" s="60" t="n"/>
      <c r="W555" s="60" t="n"/>
      <c r="X555" s="60" t="n"/>
      <c r="Y555" s="60" t="n"/>
      <c r="Z555" s="61" t="n"/>
      <c r="AA555" s="63">
        <f>IF($H555="","",TODAY()-$H555)</f>
        <v/>
      </c>
      <c r="AB555" s="63">
        <f>IF($A555="","",IF(AND($F555="Yes",OR($U555="No",$U555="NOT FOUND")),"YES",""))</f>
        <v/>
      </c>
      <c r="AC555" s="66">
        <f>IF($A555="","",TRIM(IF(AND($P555=0,$L555&lt;&gt;"Yes"),"T0-NoSmartcard ","")&amp;IF(AND($J555&lt;&gt;"",$J555&gt;365),"StalePwd ","")&amp;IF($K555="Yes","PwdNeverExpires ","")&amp;IF(AND($S555&lt;&gt;"",$S555&lt;&gt;"None"),"Delegation ","")&amp;IF(AND($Q555=1,$O555="None"),"StaleAdminCount ","")&amp;IF(AND($F555="Yes",$H555=""),"NeverLoggedOn ","")))</f>
        <v/>
      </c>
      <c r="AD555" s="60" t="n"/>
      <c r="AE555" s="61" t="n"/>
      <c r="AF555" s="60" t="n"/>
      <c r="AG555" s="62" t="n"/>
      <c r="AH555" s="62" t="n"/>
      <c r="AI555" s="62" t="n"/>
      <c r="AJ555" s="60" t="n"/>
      <c r="AK555" s="61" t="n"/>
      <c r="AL555" s="63">
        <f>IF($A555="","",IF(AH555="","Not Enrolled",IF(TODAY()&gt;AH555,"Review Overdue",IF(AH555-TODAY()&lt;=30,"Review Due Soon","Active"))))</f>
        <v/>
      </c>
      <c r="AM555" s="63">
        <f>IF($A555="","",IF(AI555="","NOT REVIEWED",IF(TODAY()-AI555&gt;90,"OVERDUE",IF(TODAY()-AI555&gt;76,"Due Soon","Current"))))</f>
        <v/>
      </c>
    </row>
    <row r="556" ht="15" customHeight="1" s="39">
      <c r="A556" s="60" t="n"/>
      <c r="B556" s="60" t="n"/>
      <c r="C556" s="61" t="n"/>
      <c r="D556" s="61" t="n"/>
      <c r="E556" s="60" t="n"/>
      <c r="F556" s="60" t="n"/>
      <c r="G556" s="62" t="n"/>
      <c r="H556" s="62" t="n"/>
      <c r="I556" s="62" t="n"/>
      <c r="J556" s="60" t="n"/>
      <c r="K556" s="60" t="n"/>
      <c r="L556" s="60" t="n"/>
      <c r="M556" s="61" t="n"/>
      <c r="N556" s="60" t="n"/>
      <c r="O556" s="60" t="n"/>
      <c r="P556" s="60" t="n"/>
      <c r="Q556" s="60" t="n"/>
      <c r="R556" s="60" t="n"/>
      <c r="S556" s="60" t="n"/>
      <c r="T556" s="60" t="n"/>
      <c r="U556" s="60" t="n"/>
      <c r="V556" s="60" t="n"/>
      <c r="W556" s="60" t="n"/>
      <c r="X556" s="60" t="n"/>
      <c r="Y556" s="60" t="n"/>
      <c r="Z556" s="61" t="n"/>
      <c r="AA556" s="63">
        <f>IF($H556="","",TODAY()-$H556)</f>
        <v/>
      </c>
      <c r="AB556" s="63">
        <f>IF($A556="","",IF(AND($F556="Yes",OR($U556="No",$U556="NOT FOUND")),"YES",""))</f>
        <v/>
      </c>
      <c r="AC556" s="66">
        <f>IF($A556="","",TRIM(IF(AND($P556=0,$L556&lt;&gt;"Yes"),"T0-NoSmartcard ","")&amp;IF(AND($J556&lt;&gt;"",$J556&gt;365),"StalePwd ","")&amp;IF($K556="Yes","PwdNeverExpires ","")&amp;IF(AND($S556&lt;&gt;"",$S556&lt;&gt;"None"),"Delegation ","")&amp;IF(AND($Q556=1,$O556="None"),"StaleAdminCount ","")&amp;IF(AND($F556="Yes",$H556=""),"NeverLoggedOn ","")))</f>
        <v/>
      </c>
      <c r="AD556" s="60" t="n"/>
      <c r="AE556" s="61" t="n"/>
      <c r="AF556" s="60" t="n"/>
      <c r="AG556" s="62" t="n"/>
      <c r="AH556" s="62" t="n"/>
      <c r="AI556" s="62" t="n"/>
      <c r="AJ556" s="60" t="n"/>
      <c r="AK556" s="61" t="n"/>
      <c r="AL556" s="63">
        <f>IF($A556="","",IF(AH556="","Not Enrolled",IF(TODAY()&gt;AH556,"Review Overdue",IF(AH556-TODAY()&lt;=30,"Review Due Soon","Active"))))</f>
        <v/>
      </c>
      <c r="AM556" s="63">
        <f>IF($A556="","",IF(AI556="","NOT REVIEWED",IF(TODAY()-AI556&gt;90,"OVERDUE",IF(TODAY()-AI556&gt;76,"Due Soon","Current"))))</f>
        <v/>
      </c>
    </row>
    <row r="557" ht="15" customHeight="1" s="39">
      <c r="A557" s="60" t="n"/>
      <c r="B557" s="60" t="n"/>
      <c r="C557" s="61" t="n"/>
      <c r="D557" s="61" t="n"/>
      <c r="E557" s="60" t="n"/>
      <c r="F557" s="60" t="n"/>
      <c r="G557" s="62" t="n"/>
      <c r="H557" s="62" t="n"/>
      <c r="I557" s="62" t="n"/>
      <c r="J557" s="60" t="n"/>
      <c r="K557" s="60" t="n"/>
      <c r="L557" s="60" t="n"/>
      <c r="M557" s="61" t="n"/>
      <c r="N557" s="60" t="n"/>
      <c r="O557" s="60" t="n"/>
      <c r="P557" s="60" t="n"/>
      <c r="Q557" s="60" t="n"/>
      <c r="R557" s="60" t="n"/>
      <c r="S557" s="60" t="n"/>
      <c r="T557" s="60" t="n"/>
      <c r="U557" s="60" t="n"/>
      <c r="V557" s="60" t="n"/>
      <c r="W557" s="60" t="n"/>
      <c r="X557" s="60" t="n"/>
      <c r="Y557" s="60" t="n"/>
      <c r="Z557" s="61" t="n"/>
      <c r="AA557" s="63">
        <f>IF($H557="","",TODAY()-$H557)</f>
        <v/>
      </c>
      <c r="AB557" s="63">
        <f>IF($A557="","",IF(AND($F557="Yes",OR($U557="No",$U557="NOT FOUND")),"YES",""))</f>
        <v/>
      </c>
      <c r="AC557" s="66">
        <f>IF($A557="","",TRIM(IF(AND($P557=0,$L557&lt;&gt;"Yes"),"T0-NoSmartcard ","")&amp;IF(AND($J557&lt;&gt;"",$J557&gt;365),"StalePwd ","")&amp;IF($K557="Yes","PwdNeverExpires ","")&amp;IF(AND($S557&lt;&gt;"",$S557&lt;&gt;"None"),"Delegation ","")&amp;IF(AND($Q557=1,$O557="None"),"StaleAdminCount ","")&amp;IF(AND($F557="Yes",$H557=""),"NeverLoggedOn ","")))</f>
        <v/>
      </c>
      <c r="AD557" s="60" t="n"/>
      <c r="AE557" s="61" t="n"/>
      <c r="AF557" s="60" t="n"/>
      <c r="AG557" s="62" t="n"/>
      <c r="AH557" s="62" t="n"/>
      <c r="AI557" s="62" t="n"/>
      <c r="AJ557" s="60" t="n"/>
      <c r="AK557" s="61" t="n"/>
      <c r="AL557" s="63">
        <f>IF($A557="","",IF(AH557="","Not Enrolled",IF(TODAY()&gt;AH557,"Review Overdue",IF(AH557-TODAY()&lt;=30,"Review Due Soon","Active"))))</f>
        <v/>
      </c>
      <c r="AM557" s="63">
        <f>IF($A557="","",IF(AI557="","NOT REVIEWED",IF(TODAY()-AI557&gt;90,"OVERDUE",IF(TODAY()-AI557&gt;76,"Due Soon","Current"))))</f>
        <v/>
      </c>
    </row>
    <row r="558" ht="15" customHeight="1" s="39">
      <c r="A558" s="60" t="n"/>
      <c r="B558" s="60" t="n"/>
      <c r="C558" s="61" t="n"/>
      <c r="D558" s="61" t="n"/>
      <c r="E558" s="60" t="n"/>
      <c r="F558" s="60" t="n"/>
      <c r="G558" s="62" t="n"/>
      <c r="H558" s="62" t="n"/>
      <c r="I558" s="62" t="n"/>
      <c r="J558" s="60" t="n"/>
      <c r="K558" s="60" t="n"/>
      <c r="L558" s="60" t="n"/>
      <c r="M558" s="61" t="n"/>
      <c r="N558" s="60" t="n"/>
      <c r="O558" s="60" t="n"/>
      <c r="P558" s="60" t="n"/>
      <c r="Q558" s="60" t="n"/>
      <c r="R558" s="60" t="n"/>
      <c r="S558" s="60" t="n"/>
      <c r="T558" s="60" t="n"/>
      <c r="U558" s="60" t="n"/>
      <c r="V558" s="60" t="n"/>
      <c r="W558" s="60" t="n"/>
      <c r="X558" s="60" t="n"/>
      <c r="Y558" s="60" t="n"/>
      <c r="Z558" s="61" t="n"/>
      <c r="AA558" s="63">
        <f>IF($H558="","",TODAY()-$H558)</f>
        <v/>
      </c>
      <c r="AB558" s="63">
        <f>IF($A558="","",IF(AND($F558="Yes",OR($U558="No",$U558="NOT FOUND")),"YES",""))</f>
        <v/>
      </c>
      <c r="AC558" s="66">
        <f>IF($A558="","",TRIM(IF(AND($P558=0,$L558&lt;&gt;"Yes"),"T0-NoSmartcard ","")&amp;IF(AND($J558&lt;&gt;"",$J558&gt;365),"StalePwd ","")&amp;IF($K558="Yes","PwdNeverExpires ","")&amp;IF(AND($S558&lt;&gt;"",$S558&lt;&gt;"None"),"Delegation ","")&amp;IF(AND($Q558=1,$O558="None"),"StaleAdminCount ","")&amp;IF(AND($F558="Yes",$H558=""),"NeverLoggedOn ","")))</f>
        <v/>
      </c>
      <c r="AD558" s="60" t="n"/>
      <c r="AE558" s="61" t="n"/>
      <c r="AF558" s="60" t="n"/>
      <c r="AG558" s="62" t="n"/>
      <c r="AH558" s="62" t="n"/>
      <c r="AI558" s="62" t="n"/>
      <c r="AJ558" s="60" t="n"/>
      <c r="AK558" s="61" t="n"/>
      <c r="AL558" s="63">
        <f>IF($A558="","",IF(AH558="","Not Enrolled",IF(TODAY()&gt;AH558,"Review Overdue",IF(AH558-TODAY()&lt;=30,"Review Due Soon","Active"))))</f>
        <v/>
      </c>
      <c r="AM558" s="63">
        <f>IF($A558="","",IF(AI558="","NOT REVIEWED",IF(TODAY()-AI558&gt;90,"OVERDUE",IF(TODAY()-AI558&gt;76,"Due Soon","Current"))))</f>
        <v/>
      </c>
    </row>
    <row r="559" ht="15" customHeight="1" s="39">
      <c r="A559" s="60" t="n"/>
      <c r="B559" s="60" t="n"/>
      <c r="C559" s="61" t="n"/>
      <c r="D559" s="61" t="n"/>
      <c r="E559" s="60" t="n"/>
      <c r="F559" s="60" t="n"/>
      <c r="G559" s="62" t="n"/>
      <c r="H559" s="62" t="n"/>
      <c r="I559" s="62" t="n"/>
      <c r="J559" s="60" t="n"/>
      <c r="K559" s="60" t="n"/>
      <c r="L559" s="60" t="n"/>
      <c r="M559" s="61" t="n"/>
      <c r="N559" s="60" t="n"/>
      <c r="O559" s="60" t="n"/>
      <c r="P559" s="60" t="n"/>
      <c r="Q559" s="60" t="n"/>
      <c r="R559" s="60" t="n"/>
      <c r="S559" s="60" t="n"/>
      <c r="T559" s="60" t="n"/>
      <c r="U559" s="60" t="n"/>
      <c r="V559" s="60" t="n"/>
      <c r="W559" s="60" t="n"/>
      <c r="X559" s="60" t="n"/>
      <c r="Y559" s="60" t="n"/>
      <c r="Z559" s="61" t="n"/>
      <c r="AA559" s="63">
        <f>IF($H559="","",TODAY()-$H559)</f>
        <v/>
      </c>
      <c r="AB559" s="63">
        <f>IF($A559="","",IF(AND($F559="Yes",OR($U559="No",$U559="NOT FOUND")),"YES",""))</f>
        <v/>
      </c>
      <c r="AC559" s="66">
        <f>IF($A559="","",TRIM(IF(AND($P559=0,$L559&lt;&gt;"Yes"),"T0-NoSmartcard ","")&amp;IF(AND($J559&lt;&gt;"",$J559&gt;365),"StalePwd ","")&amp;IF($K559="Yes","PwdNeverExpires ","")&amp;IF(AND($S559&lt;&gt;"",$S559&lt;&gt;"None"),"Delegation ","")&amp;IF(AND($Q559=1,$O559="None"),"StaleAdminCount ","")&amp;IF(AND($F559="Yes",$H559=""),"NeverLoggedOn ","")))</f>
        <v/>
      </c>
      <c r="AD559" s="60" t="n"/>
      <c r="AE559" s="61" t="n"/>
      <c r="AF559" s="60" t="n"/>
      <c r="AG559" s="62" t="n"/>
      <c r="AH559" s="62" t="n"/>
      <c r="AI559" s="62" t="n"/>
      <c r="AJ559" s="60" t="n"/>
      <c r="AK559" s="61" t="n"/>
      <c r="AL559" s="63">
        <f>IF($A559="","",IF(AH559="","Not Enrolled",IF(TODAY()&gt;AH559,"Review Overdue",IF(AH559-TODAY()&lt;=30,"Review Due Soon","Active"))))</f>
        <v/>
      </c>
      <c r="AM559" s="63">
        <f>IF($A559="","",IF(AI559="","NOT REVIEWED",IF(TODAY()-AI559&gt;90,"OVERDUE",IF(TODAY()-AI559&gt;76,"Due Soon","Current"))))</f>
        <v/>
      </c>
    </row>
    <row r="560" ht="15" customHeight="1" s="39">
      <c r="A560" s="60" t="n"/>
      <c r="B560" s="60" t="n"/>
      <c r="C560" s="61" t="n"/>
      <c r="D560" s="61" t="n"/>
      <c r="E560" s="60" t="n"/>
      <c r="F560" s="60" t="n"/>
      <c r="G560" s="62" t="n"/>
      <c r="H560" s="62" t="n"/>
      <c r="I560" s="62" t="n"/>
      <c r="J560" s="60" t="n"/>
      <c r="K560" s="60" t="n"/>
      <c r="L560" s="60" t="n"/>
      <c r="M560" s="61" t="n"/>
      <c r="N560" s="60" t="n"/>
      <c r="O560" s="60" t="n"/>
      <c r="P560" s="60" t="n"/>
      <c r="Q560" s="60" t="n"/>
      <c r="R560" s="60" t="n"/>
      <c r="S560" s="60" t="n"/>
      <c r="T560" s="60" t="n"/>
      <c r="U560" s="60" t="n"/>
      <c r="V560" s="60" t="n"/>
      <c r="W560" s="60" t="n"/>
      <c r="X560" s="60" t="n"/>
      <c r="Y560" s="60" t="n"/>
      <c r="Z560" s="61" t="n"/>
      <c r="AA560" s="63">
        <f>IF($H560="","",TODAY()-$H560)</f>
        <v/>
      </c>
      <c r="AB560" s="63">
        <f>IF($A560="","",IF(AND($F560="Yes",OR($U560="No",$U560="NOT FOUND")),"YES",""))</f>
        <v/>
      </c>
      <c r="AC560" s="66">
        <f>IF($A560="","",TRIM(IF(AND($P560=0,$L560&lt;&gt;"Yes"),"T0-NoSmartcard ","")&amp;IF(AND($J560&lt;&gt;"",$J560&gt;365),"StalePwd ","")&amp;IF($K560="Yes","PwdNeverExpires ","")&amp;IF(AND($S560&lt;&gt;"",$S560&lt;&gt;"None"),"Delegation ","")&amp;IF(AND($Q560=1,$O560="None"),"StaleAdminCount ","")&amp;IF(AND($F560="Yes",$H560=""),"NeverLoggedOn ","")))</f>
        <v/>
      </c>
      <c r="AD560" s="60" t="n"/>
      <c r="AE560" s="61" t="n"/>
      <c r="AF560" s="60" t="n"/>
      <c r="AG560" s="62" t="n"/>
      <c r="AH560" s="62" t="n"/>
      <c r="AI560" s="62" t="n"/>
      <c r="AJ560" s="60" t="n"/>
      <c r="AK560" s="61" t="n"/>
      <c r="AL560" s="63">
        <f>IF($A560="","",IF(AH560="","Not Enrolled",IF(TODAY()&gt;AH560,"Review Overdue",IF(AH560-TODAY()&lt;=30,"Review Due Soon","Active"))))</f>
        <v/>
      </c>
      <c r="AM560" s="63">
        <f>IF($A560="","",IF(AI560="","NOT REVIEWED",IF(TODAY()-AI560&gt;90,"OVERDUE",IF(TODAY()-AI560&gt;76,"Due Soon","Current"))))</f>
        <v/>
      </c>
    </row>
    <row r="561" ht="15" customHeight="1" s="39">
      <c r="A561" s="60" t="n"/>
      <c r="B561" s="60" t="n"/>
      <c r="C561" s="61" t="n"/>
      <c r="D561" s="61" t="n"/>
      <c r="E561" s="60" t="n"/>
      <c r="F561" s="60" t="n"/>
      <c r="G561" s="62" t="n"/>
      <c r="H561" s="62" t="n"/>
      <c r="I561" s="62" t="n"/>
      <c r="J561" s="60" t="n"/>
      <c r="K561" s="60" t="n"/>
      <c r="L561" s="60" t="n"/>
      <c r="M561" s="61" t="n"/>
      <c r="N561" s="60" t="n"/>
      <c r="O561" s="60" t="n"/>
      <c r="P561" s="60" t="n"/>
      <c r="Q561" s="60" t="n"/>
      <c r="R561" s="60" t="n"/>
      <c r="S561" s="60" t="n"/>
      <c r="T561" s="60" t="n"/>
      <c r="U561" s="60" t="n"/>
      <c r="V561" s="60" t="n"/>
      <c r="W561" s="60" t="n"/>
      <c r="X561" s="60" t="n"/>
      <c r="Y561" s="60" t="n"/>
      <c r="Z561" s="61" t="n"/>
      <c r="AA561" s="63">
        <f>IF($H561="","",TODAY()-$H561)</f>
        <v/>
      </c>
      <c r="AB561" s="63">
        <f>IF($A561="","",IF(AND($F561="Yes",OR($U561="No",$U561="NOT FOUND")),"YES",""))</f>
        <v/>
      </c>
      <c r="AC561" s="66">
        <f>IF($A561="","",TRIM(IF(AND($P561=0,$L561&lt;&gt;"Yes"),"T0-NoSmartcard ","")&amp;IF(AND($J561&lt;&gt;"",$J561&gt;365),"StalePwd ","")&amp;IF($K561="Yes","PwdNeverExpires ","")&amp;IF(AND($S561&lt;&gt;"",$S561&lt;&gt;"None"),"Delegation ","")&amp;IF(AND($Q561=1,$O561="None"),"StaleAdminCount ","")&amp;IF(AND($F561="Yes",$H561=""),"NeverLoggedOn ","")))</f>
        <v/>
      </c>
      <c r="AD561" s="60" t="n"/>
      <c r="AE561" s="61" t="n"/>
      <c r="AF561" s="60" t="n"/>
      <c r="AG561" s="62" t="n"/>
      <c r="AH561" s="62" t="n"/>
      <c r="AI561" s="62" t="n"/>
      <c r="AJ561" s="60" t="n"/>
      <c r="AK561" s="61" t="n"/>
      <c r="AL561" s="63">
        <f>IF($A561="","",IF(AH561="","Not Enrolled",IF(TODAY()&gt;AH561,"Review Overdue",IF(AH561-TODAY()&lt;=30,"Review Due Soon","Active"))))</f>
        <v/>
      </c>
      <c r="AM561" s="63">
        <f>IF($A561="","",IF(AI561="","NOT REVIEWED",IF(TODAY()-AI561&gt;90,"OVERDUE",IF(TODAY()-AI561&gt;76,"Due Soon","Current"))))</f>
        <v/>
      </c>
    </row>
    <row r="562" ht="15" customHeight="1" s="39">
      <c r="A562" s="60" t="n"/>
      <c r="B562" s="60" t="n"/>
      <c r="C562" s="61" t="n"/>
      <c r="D562" s="61" t="n"/>
      <c r="E562" s="60" t="n"/>
      <c r="F562" s="60" t="n"/>
      <c r="G562" s="62" t="n"/>
      <c r="H562" s="62" t="n"/>
      <c r="I562" s="62" t="n"/>
      <c r="J562" s="60" t="n"/>
      <c r="K562" s="60" t="n"/>
      <c r="L562" s="60" t="n"/>
      <c r="M562" s="61" t="n"/>
      <c r="N562" s="60" t="n"/>
      <c r="O562" s="60" t="n"/>
      <c r="P562" s="60" t="n"/>
      <c r="Q562" s="60" t="n"/>
      <c r="R562" s="60" t="n"/>
      <c r="S562" s="60" t="n"/>
      <c r="T562" s="60" t="n"/>
      <c r="U562" s="60" t="n"/>
      <c r="V562" s="60" t="n"/>
      <c r="W562" s="60" t="n"/>
      <c r="X562" s="60" t="n"/>
      <c r="Y562" s="60" t="n"/>
      <c r="Z562" s="61" t="n"/>
      <c r="AA562" s="63">
        <f>IF($H562="","",TODAY()-$H562)</f>
        <v/>
      </c>
      <c r="AB562" s="63">
        <f>IF($A562="","",IF(AND($F562="Yes",OR($U562="No",$U562="NOT FOUND")),"YES",""))</f>
        <v/>
      </c>
      <c r="AC562" s="66">
        <f>IF($A562="","",TRIM(IF(AND($P562=0,$L562&lt;&gt;"Yes"),"T0-NoSmartcard ","")&amp;IF(AND($J562&lt;&gt;"",$J562&gt;365),"StalePwd ","")&amp;IF($K562="Yes","PwdNeverExpires ","")&amp;IF(AND($S562&lt;&gt;"",$S562&lt;&gt;"None"),"Delegation ","")&amp;IF(AND($Q562=1,$O562="None"),"StaleAdminCount ","")&amp;IF(AND($F562="Yes",$H562=""),"NeverLoggedOn ","")))</f>
        <v/>
      </c>
      <c r="AD562" s="60" t="n"/>
      <c r="AE562" s="61" t="n"/>
      <c r="AF562" s="60" t="n"/>
      <c r="AG562" s="62" t="n"/>
      <c r="AH562" s="62" t="n"/>
      <c r="AI562" s="62" t="n"/>
      <c r="AJ562" s="60" t="n"/>
      <c r="AK562" s="61" t="n"/>
      <c r="AL562" s="63">
        <f>IF($A562="","",IF(AH562="","Not Enrolled",IF(TODAY()&gt;AH562,"Review Overdue",IF(AH562-TODAY()&lt;=30,"Review Due Soon","Active"))))</f>
        <v/>
      </c>
      <c r="AM562" s="63">
        <f>IF($A562="","",IF(AI562="","NOT REVIEWED",IF(TODAY()-AI562&gt;90,"OVERDUE",IF(TODAY()-AI562&gt;76,"Due Soon","Current"))))</f>
        <v/>
      </c>
    </row>
    <row r="563" ht="15" customHeight="1" s="39">
      <c r="A563" s="60" t="n"/>
      <c r="B563" s="60" t="n"/>
      <c r="C563" s="61" t="n"/>
      <c r="D563" s="61" t="n"/>
      <c r="E563" s="60" t="n"/>
      <c r="F563" s="60" t="n"/>
      <c r="G563" s="62" t="n"/>
      <c r="H563" s="62" t="n"/>
      <c r="I563" s="62" t="n"/>
      <c r="J563" s="60" t="n"/>
      <c r="K563" s="60" t="n"/>
      <c r="L563" s="60" t="n"/>
      <c r="M563" s="61" t="n"/>
      <c r="N563" s="60" t="n"/>
      <c r="O563" s="60" t="n"/>
      <c r="P563" s="60" t="n"/>
      <c r="Q563" s="60" t="n"/>
      <c r="R563" s="60" t="n"/>
      <c r="S563" s="60" t="n"/>
      <c r="T563" s="60" t="n"/>
      <c r="U563" s="60" t="n"/>
      <c r="V563" s="60" t="n"/>
      <c r="W563" s="60" t="n"/>
      <c r="X563" s="60" t="n"/>
      <c r="Y563" s="60" t="n"/>
      <c r="Z563" s="61" t="n"/>
      <c r="AA563" s="63">
        <f>IF($H563="","",TODAY()-$H563)</f>
        <v/>
      </c>
      <c r="AB563" s="63">
        <f>IF($A563="","",IF(AND($F563="Yes",OR($U563="No",$U563="NOT FOUND")),"YES",""))</f>
        <v/>
      </c>
      <c r="AC563" s="66">
        <f>IF($A563="","",TRIM(IF(AND($P563=0,$L563&lt;&gt;"Yes"),"T0-NoSmartcard ","")&amp;IF(AND($J563&lt;&gt;"",$J563&gt;365),"StalePwd ","")&amp;IF($K563="Yes","PwdNeverExpires ","")&amp;IF(AND($S563&lt;&gt;"",$S563&lt;&gt;"None"),"Delegation ","")&amp;IF(AND($Q563=1,$O563="None"),"StaleAdminCount ","")&amp;IF(AND($F563="Yes",$H563=""),"NeverLoggedOn ","")))</f>
        <v/>
      </c>
      <c r="AD563" s="60" t="n"/>
      <c r="AE563" s="61" t="n"/>
      <c r="AF563" s="60" t="n"/>
      <c r="AG563" s="62" t="n"/>
      <c r="AH563" s="62" t="n"/>
      <c r="AI563" s="62" t="n"/>
      <c r="AJ563" s="60" t="n"/>
      <c r="AK563" s="61" t="n"/>
      <c r="AL563" s="63">
        <f>IF($A563="","",IF(AH563="","Not Enrolled",IF(TODAY()&gt;AH563,"Review Overdue",IF(AH563-TODAY()&lt;=30,"Review Due Soon","Active"))))</f>
        <v/>
      </c>
      <c r="AM563" s="63">
        <f>IF($A563="","",IF(AI563="","NOT REVIEWED",IF(TODAY()-AI563&gt;90,"OVERDUE",IF(TODAY()-AI563&gt;76,"Due Soon","Current"))))</f>
        <v/>
      </c>
    </row>
    <row r="564" ht="15" customHeight="1" s="39">
      <c r="A564" s="60" t="n"/>
      <c r="B564" s="60" t="n"/>
      <c r="C564" s="61" t="n"/>
      <c r="D564" s="61" t="n"/>
      <c r="E564" s="60" t="n"/>
      <c r="F564" s="60" t="n"/>
      <c r="G564" s="62" t="n"/>
      <c r="H564" s="62" t="n"/>
      <c r="I564" s="62" t="n"/>
      <c r="J564" s="60" t="n"/>
      <c r="K564" s="60" t="n"/>
      <c r="L564" s="60" t="n"/>
      <c r="M564" s="61" t="n"/>
      <c r="N564" s="60" t="n"/>
      <c r="O564" s="60" t="n"/>
      <c r="P564" s="60" t="n"/>
      <c r="Q564" s="60" t="n"/>
      <c r="R564" s="60" t="n"/>
      <c r="S564" s="60" t="n"/>
      <c r="T564" s="60" t="n"/>
      <c r="U564" s="60" t="n"/>
      <c r="V564" s="60" t="n"/>
      <c r="W564" s="60" t="n"/>
      <c r="X564" s="60" t="n"/>
      <c r="Y564" s="60" t="n"/>
      <c r="Z564" s="61" t="n"/>
      <c r="AA564" s="63">
        <f>IF($H564="","",TODAY()-$H564)</f>
        <v/>
      </c>
      <c r="AB564" s="63">
        <f>IF($A564="","",IF(AND($F564="Yes",OR($U564="No",$U564="NOT FOUND")),"YES",""))</f>
        <v/>
      </c>
      <c r="AC564" s="66">
        <f>IF($A564="","",TRIM(IF(AND($P564=0,$L564&lt;&gt;"Yes"),"T0-NoSmartcard ","")&amp;IF(AND($J564&lt;&gt;"",$J564&gt;365),"StalePwd ","")&amp;IF($K564="Yes","PwdNeverExpires ","")&amp;IF(AND($S564&lt;&gt;"",$S564&lt;&gt;"None"),"Delegation ","")&amp;IF(AND($Q564=1,$O564="None"),"StaleAdminCount ","")&amp;IF(AND($F564="Yes",$H564=""),"NeverLoggedOn ","")))</f>
        <v/>
      </c>
      <c r="AD564" s="60" t="n"/>
      <c r="AE564" s="61" t="n"/>
      <c r="AF564" s="60" t="n"/>
      <c r="AG564" s="62" t="n"/>
      <c r="AH564" s="62" t="n"/>
      <c r="AI564" s="62" t="n"/>
      <c r="AJ564" s="60" t="n"/>
      <c r="AK564" s="61" t="n"/>
      <c r="AL564" s="63">
        <f>IF($A564="","",IF(AH564="","Not Enrolled",IF(TODAY()&gt;AH564,"Review Overdue",IF(AH564-TODAY()&lt;=30,"Review Due Soon","Active"))))</f>
        <v/>
      </c>
      <c r="AM564" s="63">
        <f>IF($A564="","",IF(AI564="","NOT REVIEWED",IF(TODAY()-AI564&gt;90,"OVERDUE",IF(TODAY()-AI564&gt;76,"Due Soon","Current"))))</f>
        <v/>
      </c>
    </row>
    <row r="565" ht="15" customHeight="1" s="39">
      <c r="A565" s="60" t="n"/>
      <c r="B565" s="60" t="n"/>
      <c r="C565" s="61" t="n"/>
      <c r="D565" s="61" t="n"/>
      <c r="E565" s="60" t="n"/>
      <c r="F565" s="60" t="n"/>
      <c r="G565" s="62" t="n"/>
      <c r="H565" s="62" t="n"/>
      <c r="I565" s="62" t="n"/>
      <c r="J565" s="60" t="n"/>
      <c r="K565" s="60" t="n"/>
      <c r="L565" s="60" t="n"/>
      <c r="M565" s="61" t="n"/>
      <c r="N565" s="60" t="n"/>
      <c r="O565" s="60" t="n"/>
      <c r="P565" s="60" t="n"/>
      <c r="Q565" s="60" t="n"/>
      <c r="R565" s="60" t="n"/>
      <c r="S565" s="60" t="n"/>
      <c r="T565" s="60" t="n"/>
      <c r="U565" s="60" t="n"/>
      <c r="V565" s="60" t="n"/>
      <c r="W565" s="60" t="n"/>
      <c r="X565" s="60" t="n"/>
      <c r="Y565" s="60" t="n"/>
      <c r="Z565" s="61" t="n"/>
      <c r="AA565" s="63">
        <f>IF($H565="","",TODAY()-$H565)</f>
        <v/>
      </c>
      <c r="AB565" s="63">
        <f>IF($A565="","",IF(AND($F565="Yes",OR($U565="No",$U565="NOT FOUND")),"YES",""))</f>
        <v/>
      </c>
      <c r="AC565" s="66">
        <f>IF($A565="","",TRIM(IF(AND($P565=0,$L565&lt;&gt;"Yes"),"T0-NoSmartcard ","")&amp;IF(AND($J565&lt;&gt;"",$J565&gt;365),"StalePwd ","")&amp;IF($K565="Yes","PwdNeverExpires ","")&amp;IF(AND($S565&lt;&gt;"",$S565&lt;&gt;"None"),"Delegation ","")&amp;IF(AND($Q565=1,$O565="None"),"StaleAdminCount ","")&amp;IF(AND($F565="Yes",$H565=""),"NeverLoggedOn ","")))</f>
        <v/>
      </c>
      <c r="AD565" s="60" t="n"/>
      <c r="AE565" s="61" t="n"/>
      <c r="AF565" s="60" t="n"/>
      <c r="AG565" s="62" t="n"/>
      <c r="AH565" s="62" t="n"/>
      <c r="AI565" s="62" t="n"/>
      <c r="AJ565" s="60" t="n"/>
      <c r="AK565" s="61" t="n"/>
      <c r="AL565" s="63">
        <f>IF($A565="","",IF(AH565="","Not Enrolled",IF(TODAY()&gt;AH565,"Review Overdue",IF(AH565-TODAY()&lt;=30,"Review Due Soon","Active"))))</f>
        <v/>
      </c>
      <c r="AM565" s="63">
        <f>IF($A565="","",IF(AI565="","NOT REVIEWED",IF(TODAY()-AI565&gt;90,"OVERDUE",IF(TODAY()-AI565&gt;76,"Due Soon","Current"))))</f>
        <v/>
      </c>
    </row>
    <row r="566" ht="15" customHeight="1" s="39">
      <c r="A566" s="60" t="n"/>
      <c r="B566" s="60" t="n"/>
      <c r="C566" s="61" t="n"/>
      <c r="D566" s="61" t="n"/>
      <c r="E566" s="60" t="n"/>
      <c r="F566" s="60" t="n"/>
      <c r="G566" s="62" t="n"/>
      <c r="H566" s="62" t="n"/>
      <c r="I566" s="62" t="n"/>
      <c r="J566" s="60" t="n"/>
      <c r="K566" s="60" t="n"/>
      <c r="L566" s="60" t="n"/>
      <c r="M566" s="61" t="n"/>
      <c r="N566" s="60" t="n"/>
      <c r="O566" s="60" t="n"/>
      <c r="P566" s="60" t="n"/>
      <c r="Q566" s="60" t="n"/>
      <c r="R566" s="60" t="n"/>
      <c r="S566" s="60" t="n"/>
      <c r="T566" s="60" t="n"/>
      <c r="U566" s="60" t="n"/>
      <c r="V566" s="60" t="n"/>
      <c r="W566" s="60" t="n"/>
      <c r="X566" s="60" t="n"/>
      <c r="Y566" s="60" t="n"/>
      <c r="Z566" s="61" t="n"/>
      <c r="AA566" s="63">
        <f>IF($H566="","",TODAY()-$H566)</f>
        <v/>
      </c>
      <c r="AB566" s="63">
        <f>IF($A566="","",IF(AND($F566="Yes",OR($U566="No",$U566="NOT FOUND")),"YES",""))</f>
        <v/>
      </c>
      <c r="AC566" s="66">
        <f>IF($A566="","",TRIM(IF(AND($P566=0,$L566&lt;&gt;"Yes"),"T0-NoSmartcard ","")&amp;IF(AND($J566&lt;&gt;"",$J566&gt;365),"StalePwd ","")&amp;IF($K566="Yes","PwdNeverExpires ","")&amp;IF(AND($S566&lt;&gt;"",$S566&lt;&gt;"None"),"Delegation ","")&amp;IF(AND($Q566=1,$O566="None"),"StaleAdminCount ","")&amp;IF(AND($F566="Yes",$H566=""),"NeverLoggedOn ","")))</f>
        <v/>
      </c>
      <c r="AD566" s="60" t="n"/>
      <c r="AE566" s="61" t="n"/>
      <c r="AF566" s="60" t="n"/>
      <c r="AG566" s="62" t="n"/>
      <c r="AH566" s="62" t="n"/>
      <c r="AI566" s="62" t="n"/>
      <c r="AJ566" s="60" t="n"/>
      <c r="AK566" s="61" t="n"/>
      <c r="AL566" s="63">
        <f>IF($A566="","",IF(AH566="","Not Enrolled",IF(TODAY()&gt;AH566,"Review Overdue",IF(AH566-TODAY()&lt;=30,"Review Due Soon","Active"))))</f>
        <v/>
      </c>
      <c r="AM566" s="63">
        <f>IF($A566="","",IF(AI566="","NOT REVIEWED",IF(TODAY()-AI566&gt;90,"OVERDUE",IF(TODAY()-AI566&gt;76,"Due Soon","Current"))))</f>
        <v/>
      </c>
    </row>
    <row r="567" ht="15" customHeight="1" s="39">
      <c r="A567" s="60" t="n"/>
      <c r="B567" s="60" t="n"/>
      <c r="C567" s="61" t="n"/>
      <c r="D567" s="61" t="n"/>
      <c r="E567" s="60" t="n"/>
      <c r="F567" s="60" t="n"/>
      <c r="G567" s="62" t="n"/>
      <c r="H567" s="62" t="n"/>
      <c r="I567" s="62" t="n"/>
      <c r="J567" s="60" t="n"/>
      <c r="K567" s="60" t="n"/>
      <c r="L567" s="60" t="n"/>
      <c r="M567" s="61" t="n"/>
      <c r="N567" s="60" t="n"/>
      <c r="O567" s="60" t="n"/>
      <c r="P567" s="60" t="n"/>
      <c r="Q567" s="60" t="n"/>
      <c r="R567" s="60" t="n"/>
      <c r="S567" s="60" t="n"/>
      <c r="T567" s="60" t="n"/>
      <c r="U567" s="60" t="n"/>
      <c r="V567" s="60" t="n"/>
      <c r="W567" s="60" t="n"/>
      <c r="X567" s="60" t="n"/>
      <c r="Y567" s="60" t="n"/>
      <c r="Z567" s="61" t="n"/>
      <c r="AA567" s="63">
        <f>IF($H567="","",TODAY()-$H567)</f>
        <v/>
      </c>
      <c r="AB567" s="63">
        <f>IF($A567="","",IF(AND($F567="Yes",OR($U567="No",$U567="NOT FOUND")),"YES",""))</f>
        <v/>
      </c>
      <c r="AC567" s="66">
        <f>IF($A567="","",TRIM(IF(AND($P567=0,$L567&lt;&gt;"Yes"),"T0-NoSmartcard ","")&amp;IF(AND($J567&lt;&gt;"",$J567&gt;365),"StalePwd ","")&amp;IF($K567="Yes","PwdNeverExpires ","")&amp;IF(AND($S567&lt;&gt;"",$S567&lt;&gt;"None"),"Delegation ","")&amp;IF(AND($Q567=1,$O567="None"),"StaleAdminCount ","")&amp;IF(AND($F567="Yes",$H567=""),"NeverLoggedOn ","")))</f>
        <v/>
      </c>
      <c r="AD567" s="60" t="n"/>
      <c r="AE567" s="61" t="n"/>
      <c r="AF567" s="60" t="n"/>
      <c r="AG567" s="62" t="n"/>
      <c r="AH567" s="62" t="n"/>
      <c r="AI567" s="62" t="n"/>
      <c r="AJ567" s="60" t="n"/>
      <c r="AK567" s="61" t="n"/>
      <c r="AL567" s="63">
        <f>IF($A567="","",IF(AH567="","Not Enrolled",IF(TODAY()&gt;AH567,"Review Overdue",IF(AH567-TODAY()&lt;=30,"Review Due Soon","Active"))))</f>
        <v/>
      </c>
      <c r="AM567" s="63">
        <f>IF($A567="","",IF(AI567="","NOT REVIEWED",IF(TODAY()-AI567&gt;90,"OVERDUE",IF(TODAY()-AI567&gt;76,"Due Soon","Current"))))</f>
        <v/>
      </c>
    </row>
    <row r="568" ht="15" customHeight="1" s="39">
      <c r="A568" s="60" t="n"/>
      <c r="B568" s="60" t="n"/>
      <c r="C568" s="61" t="n"/>
      <c r="D568" s="61" t="n"/>
      <c r="E568" s="60" t="n"/>
      <c r="F568" s="60" t="n"/>
      <c r="G568" s="62" t="n"/>
      <c r="H568" s="62" t="n"/>
      <c r="I568" s="62" t="n"/>
      <c r="J568" s="60" t="n"/>
      <c r="K568" s="60" t="n"/>
      <c r="L568" s="60" t="n"/>
      <c r="M568" s="61" t="n"/>
      <c r="N568" s="60" t="n"/>
      <c r="O568" s="60" t="n"/>
      <c r="P568" s="60" t="n"/>
      <c r="Q568" s="60" t="n"/>
      <c r="R568" s="60" t="n"/>
      <c r="S568" s="60" t="n"/>
      <c r="T568" s="60" t="n"/>
      <c r="U568" s="60" t="n"/>
      <c r="V568" s="60" t="n"/>
      <c r="W568" s="60" t="n"/>
      <c r="X568" s="60" t="n"/>
      <c r="Y568" s="60" t="n"/>
      <c r="Z568" s="61" t="n"/>
      <c r="AA568" s="63">
        <f>IF($H568="","",TODAY()-$H568)</f>
        <v/>
      </c>
      <c r="AB568" s="63">
        <f>IF($A568="","",IF(AND($F568="Yes",OR($U568="No",$U568="NOT FOUND")),"YES",""))</f>
        <v/>
      </c>
      <c r="AC568" s="66">
        <f>IF($A568="","",TRIM(IF(AND($P568=0,$L568&lt;&gt;"Yes"),"T0-NoSmartcard ","")&amp;IF(AND($J568&lt;&gt;"",$J568&gt;365),"StalePwd ","")&amp;IF($K568="Yes","PwdNeverExpires ","")&amp;IF(AND($S568&lt;&gt;"",$S568&lt;&gt;"None"),"Delegation ","")&amp;IF(AND($Q568=1,$O568="None"),"StaleAdminCount ","")&amp;IF(AND($F568="Yes",$H568=""),"NeverLoggedOn ","")))</f>
        <v/>
      </c>
      <c r="AD568" s="60" t="n"/>
      <c r="AE568" s="61" t="n"/>
      <c r="AF568" s="60" t="n"/>
      <c r="AG568" s="62" t="n"/>
      <c r="AH568" s="62" t="n"/>
      <c r="AI568" s="62" t="n"/>
      <c r="AJ568" s="60" t="n"/>
      <c r="AK568" s="61" t="n"/>
      <c r="AL568" s="63">
        <f>IF($A568="","",IF(AH568="","Not Enrolled",IF(TODAY()&gt;AH568,"Review Overdue",IF(AH568-TODAY()&lt;=30,"Review Due Soon","Active"))))</f>
        <v/>
      </c>
      <c r="AM568" s="63">
        <f>IF($A568="","",IF(AI568="","NOT REVIEWED",IF(TODAY()-AI568&gt;90,"OVERDUE",IF(TODAY()-AI568&gt;76,"Due Soon","Current"))))</f>
        <v/>
      </c>
    </row>
    <row r="569" ht="15" customHeight="1" s="39">
      <c r="A569" s="60" t="n"/>
      <c r="B569" s="60" t="n"/>
      <c r="C569" s="61" t="n"/>
      <c r="D569" s="61" t="n"/>
      <c r="E569" s="60" t="n"/>
      <c r="F569" s="60" t="n"/>
      <c r="G569" s="62" t="n"/>
      <c r="H569" s="62" t="n"/>
      <c r="I569" s="62" t="n"/>
      <c r="J569" s="60" t="n"/>
      <c r="K569" s="60" t="n"/>
      <c r="L569" s="60" t="n"/>
      <c r="M569" s="61" t="n"/>
      <c r="N569" s="60" t="n"/>
      <c r="O569" s="60" t="n"/>
      <c r="P569" s="60" t="n"/>
      <c r="Q569" s="60" t="n"/>
      <c r="R569" s="60" t="n"/>
      <c r="S569" s="60" t="n"/>
      <c r="T569" s="60" t="n"/>
      <c r="U569" s="60" t="n"/>
      <c r="V569" s="60" t="n"/>
      <c r="W569" s="60" t="n"/>
      <c r="X569" s="60" t="n"/>
      <c r="Y569" s="60" t="n"/>
      <c r="Z569" s="61" t="n"/>
      <c r="AA569" s="63">
        <f>IF($H569="","",TODAY()-$H569)</f>
        <v/>
      </c>
      <c r="AB569" s="63">
        <f>IF($A569="","",IF(AND($F569="Yes",OR($U569="No",$U569="NOT FOUND")),"YES",""))</f>
        <v/>
      </c>
      <c r="AC569" s="66">
        <f>IF($A569="","",TRIM(IF(AND($P569=0,$L569&lt;&gt;"Yes"),"T0-NoSmartcard ","")&amp;IF(AND($J569&lt;&gt;"",$J569&gt;365),"StalePwd ","")&amp;IF($K569="Yes","PwdNeverExpires ","")&amp;IF(AND($S569&lt;&gt;"",$S569&lt;&gt;"None"),"Delegation ","")&amp;IF(AND($Q569=1,$O569="None"),"StaleAdminCount ","")&amp;IF(AND($F569="Yes",$H569=""),"NeverLoggedOn ","")))</f>
        <v/>
      </c>
      <c r="AD569" s="60" t="n"/>
      <c r="AE569" s="61" t="n"/>
      <c r="AF569" s="60" t="n"/>
      <c r="AG569" s="62" t="n"/>
      <c r="AH569" s="62" t="n"/>
      <c r="AI569" s="62" t="n"/>
      <c r="AJ569" s="60" t="n"/>
      <c r="AK569" s="61" t="n"/>
      <c r="AL569" s="63">
        <f>IF($A569="","",IF(AH569="","Not Enrolled",IF(TODAY()&gt;AH569,"Review Overdue",IF(AH569-TODAY()&lt;=30,"Review Due Soon","Active"))))</f>
        <v/>
      </c>
      <c r="AM569" s="63">
        <f>IF($A569="","",IF(AI569="","NOT REVIEWED",IF(TODAY()-AI569&gt;90,"OVERDUE",IF(TODAY()-AI569&gt;76,"Due Soon","Current"))))</f>
        <v/>
      </c>
    </row>
    <row r="570" ht="15" customHeight="1" s="39">
      <c r="A570" s="60" t="n"/>
      <c r="B570" s="60" t="n"/>
      <c r="C570" s="61" t="n"/>
      <c r="D570" s="61" t="n"/>
      <c r="E570" s="60" t="n"/>
      <c r="F570" s="60" t="n"/>
      <c r="G570" s="62" t="n"/>
      <c r="H570" s="62" t="n"/>
      <c r="I570" s="62" t="n"/>
      <c r="J570" s="60" t="n"/>
      <c r="K570" s="60" t="n"/>
      <c r="L570" s="60" t="n"/>
      <c r="M570" s="61" t="n"/>
      <c r="N570" s="60" t="n"/>
      <c r="O570" s="60" t="n"/>
      <c r="P570" s="60" t="n"/>
      <c r="Q570" s="60" t="n"/>
      <c r="R570" s="60" t="n"/>
      <c r="S570" s="60" t="n"/>
      <c r="T570" s="60" t="n"/>
      <c r="U570" s="60" t="n"/>
      <c r="V570" s="60" t="n"/>
      <c r="W570" s="60" t="n"/>
      <c r="X570" s="60" t="n"/>
      <c r="Y570" s="60" t="n"/>
      <c r="Z570" s="61" t="n"/>
      <c r="AA570" s="63">
        <f>IF($H570="","",TODAY()-$H570)</f>
        <v/>
      </c>
      <c r="AB570" s="63">
        <f>IF($A570="","",IF(AND($F570="Yes",OR($U570="No",$U570="NOT FOUND")),"YES",""))</f>
        <v/>
      </c>
      <c r="AC570" s="66">
        <f>IF($A570="","",TRIM(IF(AND($P570=0,$L570&lt;&gt;"Yes"),"T0-NoSmartcard ","")&amp;IF(AND($J570&lt;&gt;"",$J570&gt;365),"StalePwd ","")&amp;IF($K570="Yes","PwdNeverExpires ","")&amp;IF(AND($S570&lt;&gt;"",$S570&lt;&gt;"None"),"Delegation ","")&amp;IF(AND($Q570=1,$O570="None"),"StaleAdminCount ","")&amp;IF(AND($F570="Yes",$H570=""),"NeverLoggedOn ","")))</f>
        <v/>
      </c>
      <c r="AD570" s="60" t="n"/>
      <c r="AE570" s="61" t="n"/>
      <c r="AF570" s="60" t="n"/>
      <c r="AG570" s="62" t="n"/>
      <c r="AH570" s="62" t="n"/>
      <c r="AI570" s="62" t="n"/>
      <c r="AJ570" s="60" t="n"/>
      <c r="AK570" s="61" t="n"/>
      <c r="AL570" s="63">
        <f>IF($A570="","",IF(AH570="","Not Enrolled",IF(TODAY()&gt;AH570,"Review Overdue",IF(AH570-TODAY()&lt;=30,"Review Due Soon","Active"))))</f>
        <v/>
      </c>
      <c r="AM570" s="63">
        <f>IF($A570="","",IF(AI570="","NOT REVIEWED",IF(TODAY()-AI570&gt;90,"OVERDUE",IF(TODAY()-AI570&gt;76,"Due Soon","Current"))))</f>
        <v/>
      </c>
    </row>
    <row r="571" ht="15" customHeight="1" s="39">
      <c r="A571" s="60" t="n"/>
      <c r="B571" s="60" t="n"/>
      <c r="C571" s="61" t="n"/>
      <c r="D571" s="61" t="n"/>
      <c r="E571" s="60" t="n"/>
      <c r="F571" s="60" t="n"/>
      <c r="G571" s="62" t="n"/>
      <c r="H571" s="62" t="n"/>
      <c r="I571" s="62" t="n"/>
      <c r="J571" s="60" t="n"/>
      <c r="K571" s="60" t="n"/>
      <c r="L571" s="60" t="n"/>
      <c r="M571" s="61" t="n"/>
      <c r="N571" s="60" t="n"/>
      <c r="O571" s="60" t="n"/>
      <c r="P571" s="60" t="n"/>
      <c r="Q571" s="60" t="n"/>
      <c r="R571" s="60" t="n"/>
      <c r="S571" s="60" t="n"/>
      <c r="T571" s="60" t="n"/>
      <c r="U571" s="60" t="n"/>
      <c r="V571" s="60" t="n"/>
      <c r="W571" s="60" t="n"/>
      <c r="X571" s="60" t="n"/>
      <c r="Y571" s="60" t="n"/>
      <c r="Z571" s="61" t="n"/>
      <c r="AA571" s="63">
        <f>IF($H571="","",TODAY()-$H571)</f>
        <v/>
      </c>
      <c r="AB571" s="63">
        <f>IF($A571="","",IF(AND($F571="Yes",OR($U571="No",$U571="NOT FOUND")),"YES",""))</f>
        <v/>
      </c>
      <c r="AC571" s="66">
        <f>IF($A571="","",TRIM(IF(AND($P571=0,$L571&lt;&gt;"Yes"),"T0-NoSmartcard ","")&amp;IF(AND($J571&lt;&gt;"",$J571&gt;365),"StalePwd ","")&amp;IF($K571="Yes","PwdNeverExpires ","")&amp;IF(AND($S571&lt;&gt;"",$S571&lt;&gt;"None"),"Delegation ","")&amp;IF(AND($Q571=1,$O571="None"),"StaleAdminCount ","")&amp;IF(AND($F571="Yes",$H571=""),"NeverLoggedOn ","")))</f>
        <v/>
      </c>
      <c r="AD571" s="60" t="n"/>
      <c r="AE571" s="61" t="n"/>
      <c r="AF571" s="60" t="n"/>
      <c r="AG571" s="62" t="n"/>
      <c r="AH571" s="62" t="n"/>
      <c r="AI571" s="62" t="n"/>
      <c r="AJ571" s="60" t="n"/>
      <c r="AK571" s="61" t="n"/>
      <c r="AL571" s="63">
        <f>IF($A571="","",IF(AH571="","Not Enrolled",IF(TODAY()&gt;AH571,"Review Overdue",IF(AH571-TODAY()&lt;=30,"Review Due Soon","Active"))))</f>
        <v/>
      </c>
      <c r="AM571" s="63">
        <f>IF($A571="","",IF(AI571="","NOT REVIEWED",IF(TODAY()-AI571&gt;90,"OVERDUE",IF(TODAY()-AI571&gt;76,"Due Soon","Current"))))</f>
        <v/>
      </c>
    </row>
    <row r="572" ht="15" customHeight="1" s="39">
      <c r="A572" s="60" t="n"/>
      <c r="B572" s="60" t="n"/>
      <c r="C572" s="61" t="n"/>
      <c r="D572" s="61" t="n"/>
      <c r="E572" s="60" t="n"/>
      <c r="F572" s="60" t="n"/>
      <c r="G572" s="62" t="n"/>
      <c r="H572" s="62" t="n"/>
      <c r="I572" s="62" t="n"/>
      <c r="J572" s="60" t="n"/>
      <c r="K572" s="60" t="n"/>
      <c r="L572" s="60" t="n"/>
      <c r="M572" s="61" t="n"/>
      <c r="N572" s="60" t="n"/>
      <c r="O572" s="60" t="n"/>
      <c r="P572" s="60" t="n"/>
      <c r="Q572" s="60" t="n"/>
      <c r="R572" s="60" t="n"/>
      <c r="S572" s="60" t="n"/>
      <c r="T572" s="60" t="n"/>
      <c r="U572" s="60" t="n"/>
      <c r="V572" s="60" t="n"/>
      <c r="W572" s="60" t="n"/>
      <c r="X572" s="60" t="n"/>
      <c r="Y572" s="60" t="n"/>
      <c r="Z572" s="61" t="n"/>
      <c r="AA572" s="63">
        <f>IF($H572="","",TODAY()-$H572)</f>
        <v/>
      </c>
      <c r="AB572" s="63">
        <f>IF($A572="","",IF(AND($F572="Yes",OR($U572="No",$U572="NOT FOUND")),"YES",""))</f>
        <v/>
      </c>
      <c r="AC572" s="66">
        <f>IF($A572="","",TRIM(IF(AND($P572=0,$L572&lt;&gt;"Yes"),"T0-NoSmartcard ","")&amp;IF(AND($J572&lt;&gt;"",$J572&gt;365),"StalePwd ","")&amp;IF($K572="Yes","PwdNeverExpires ","")&amp;IF(AND($S572&lt;&gt;"",$S572&lt;&gt;"None"),"Delegation ","")&amp;IF(AND($Q572=1,$O572="None"),"StaleAdminCount ","")&amp;IF(AND($F572="Yes",$H572=""),"NeverLoggedOn ","")))</f>
        <v/>
      </c>
      <c r="AD572" s="60" t="n"/>
      <c r="AE572" s="61" t="n"/>
      <c r="AF572" s="60" t="n"/>
      <c r="AG572" s="62" t="n"/>
      <c r="AH572" s="62" t="n"/>
      <c r="AI572" s="62" t="n"/>
      <c r="AJ572" s="60" t="n"/>
      <c r="AK572" s="61" t="n"/>
      <c r="AL572" s="63">
        <f>IF($A572="","",IF(AH572="","Not Enrolled",IF(TODAY()&gt;AH572,"Review Overdue",IF(AH572-TODAY()&lt;=30,"Review Due Soon","Active"))))</f>
        <v/>
      </c>
      <c r="AM572" s="63">
        <f>IF($A572="","",IF(AI572="","NOT REVIEWED",IF(TODAY()-AI572&gt;90,"OVERDUE",IF(TODAY()-AI572&gt;76,"Due Soon","Current"))))</f>
        <v/>
      </c>
    </row>
    <row r="573" ht="15" customHeight="1" s="39">
      <c r="A573" s="60" t="n"/>
      <c r="B573" s="60" t="n"/>
      <c r="C573" s="61" t="n"/>
      <c r="D573" s="61" t="n"/>
      <c r="E573" s="60" t="n"/>
      <c r="F573" s="60" t="n"/>
      <c r="G573" s="62" t="n"/>
      <c r="H573" s="62" t="n"/>
      <c r="I573" s="62" t="n"/>
      <c r="J573" s="60" t="n"/>
      <c r="K573" s="60" t="n"/>
      <c r="L573" s="60" t="n"/>
      <c r="M573" s="61" t="n"/>
      <c r="N573" s="60" t="n"/>
      <c r="O573" s="60" t="n"/>
      <c r="P573" s="60" t="n"/>
      <c r="Q573" s="60" t="n"/>
      <c r="R573" s="60" t="n"/>
      <c r="S573" s="60" t="n"/>
      <c r="T573" s="60" t="n"/>
      <c r="U573" s="60" t="n"/>
      <c r="V573" s="60" t="n"/>
      <c r="W573" s="60" t="n"/>
      <c r="X573" s="60" t="n"/>
      <c r="Y573" s="60" t="n"/>
      <c r="Z573" s="61" t="n"/>
      <c r="AA573" s="63">
        <f>IF($H573="","",TODAY()-$H573)</f>
        <v/>
      </c>
      <c r="AB573" s="63">
        <f>IF($A573="","",IF(AND($F573="Yes",OR($U573="No",$U573="NOT FOUND")),"YES",""))</f>
        <v/>
      </c>
      <c r="AC573" s="66">
        <f>IF($A573="","",TRIM(IF(AND($P573=0,$L573&lt;&gt;"Yes"),"T0-NoSmartcard ","")&amp;IF(AND($J573&lt;&gt;"",$J573&gt;365),"StalePwd ","")&amp;IF($K573="Yes","PwdNeverExpires ","")&amp;IF(AND($S573&lt;&gt;"",$S573&lt;&gt;"None"),"Delegation ","")&amp;IF(AND($Q573=1,$O573="None"),"StaleAdminCount ","")&amp;IF(AND($F573="Yes",$H573=""),"NeverLoggedOn ","")))</f>
        <v/>
      </c>
      <c r="AD573" s="60" t="n"/>
      <c r="AE573" s="61" t="n"/>
      <c r="AF573" s="60" t="n"/>
      <c r="AG573" s="62" t="n"/>
      <c r="AH573" s="62" t="n"/>
      <c r="AI573" s="62" t="n"/>
      <c r="AJ573" s="60" t="n"/>
      <c r="AK573" s="61" t="n"/>
      <c r="AL573" s="63">
        <f>IF($A573="","",IF(AH573="","Not Enrolled",IF(TODAY()&gt;AH573,"Review Overdue",IF(AH573-TODAY()&lt;=30,"Review Due Soon","Active"))))</f>
        <v/>
      </c>
      <c r="AM573" s="63">
        <f>IF($A573="","",IF(AI573="","NOT REVIEWED",IF(TODAY()-AI573&gt;90,"OVERDUE",IF(TODAY()-AI573&gt;76,"Due Soon","Current"))))</f>
        <v/>
      </c>
    </row>
    <row r="574" ht="15" customHeight="1" s="39">
      <c r="A574" s="60" t="n"/>
      <c r="B574" s="60" t="n"/>
      <c r="C574" s="61" t="n"/>
      <c r="D574" s="61" t="n"/>
      <c r="E574" s="60" t="n"/>
      <c r="F574" s="60" t="n"/>
      <c r="G574" s="62" t="n"/>
      <c r="H574" s="62" t="n"/>
      <c r="I574" s="62" t="n"/>
      <c r="J574" s="60" t="n"/>
      <c r="K574" s="60" t="n"/>
      <c r="L574" s="60" t="n"/>
      <c r="M574" s="61" t="n"/>
      <c r="N574" s="60" t="n"/>
      <c r="O574" s="60" t="n"/>
      <c r="P574" s="60" t="n"/>
      <c r="Q574" s="60" t="n"/>
      <c r="R574" s="60" t="n"/>
      <c r="S574" s="60" t="n"/>
      <c r="T574" s="60" t="n"/>
      <c r="U574" s="60" t="n"/>
      <c r="V574" s="60" t="n"/>
      <c r="W574" s="60" t="n"/>
      <c r="X574" s="60" t="n"/>
      <c r="Y574" s="60" t="n"/>
      <c r="Z574" s="61" t="n"/>
      <c r="AA574" s="63">
        <f>IF($H574="","",TODAY()-$H574)</f>
        <v/>
      </c>
      <c r="AB574" s="63">
        <f>IF($A574="","",IF(AND($F574="Yes",OR($U574="No",$U574="NOT FOUND")),"YES",""))</f>
        <v/>
      </c>
      <c r="AC574" s="66">
        <f>IF($A574="","",TRIM(IF(AND($P574=0,$L574&lt;&gt;"Yes"),"T0-NoSmartcard ","")&amp;IF(AND($J574&lt;&gt;"",$J574&gt;365),"StalePwd ","")&amp;IF($K574="Yes","PwdNeverExpires ","")&amp;IF(AND($S574&lt;&gt;"",$S574&lt;&gt;"None"),"Delegation ","")&amp;IF(AND($Q574=1,$O574="None"),"StaleAdminCount ","")&amp;IF(AND($F574="Yes",$H574=""),"NeverLoggedOn ","")))</f>
        <v/>
      </c>
      <c r="AD574" s="60" t="n"/>
      <c r="AE574" s="61" t="n"/>
      <c r="AF574" s="60" t="n"/>
      <c r="AG574" s="62" t="n"/>
      <c r="AH574" s="62" t="n"/>
      <c r="AI574" s="62" t="n"/>
      <c r="AJ574" s="60" t="n"/>
      <c r="AK574" s="61" t="n"/>
      <c r="AL574" s="63">
        <f>IF($A574="","",IF(AH574="","Not Enrolled",IF(TODAY()&gt;AH574,"Review Overdue",IF(AH574-TODAY()&lt;=30,"Review Due Soon","Active"))))</f>
        <v/>
      </c>
      <c r="AM574" s="63">
        <f>IF($A574="","",IF(AI574="","NOT REVIEWED",IF(TODAY()-AI574&gt;90,"OVERDUE",IF(TODAY()-AI574&gt;76,"Due Soon","Current"))))</f>
        <v/>
      </c>
    </row>
    <row r="575" ht="15" customHeight="1" s="39">
      <c r="A575" s="60" t="n"/>
      <c r="B575" s="60" t="n"/>
      <c r="C575" s="61" t="n"/>
      <c r="D575" s="61" t="n"/>
      <c r="E575" s="60" t="n"/>
      <c r="F575" s="60" t="n"/>
      <c r="G575" s="62" t="n"/>
      <c r="H575" s="62" t="n"/>
      <c r="I575" s="62" t="n"/>
      <c r="J575" s="60" t="n"/>
      <c r="K575" s="60" t="n"/>
      <c r="L575" s="60" t="n"/>
      <c r="M575" s="61" t="n"/>
      <c r="N575" s="60" t="n"/>
      <c r="O575" s="60" t="n"/>
      <c r="P575" s="60" t="n"/>
      <c r="Q575" s="60" t="n"/>
      <c r="R575" s="60" t="n"/>
      <c r="S575" s="60" t="n"/>
      <c r="T575" s="60" t="n"/>
      <c r="U575" s="60" t="n"/>
      <c r="V575" s="60" t="n"/>
      <c r="W575" s="60" t="n"/>
      <c r="X575" s="60" t="n"/>
      <c r="Y575" s="60" t="n"/>
      <c r="Z575" s="61" t="n"/>
      <c r="AA575" s="63">
        <f>IF($H575="","",TODAY()-$H575)</f>
        <v/>
      </c>
      <c r="AB575" s="63">
        <f>IF($A575="","",IF(AND($F575="Yes",OR($U575="No",$U575="NOT FOUND")),"YES",""))</f>
        <v/>
      </c>
      <c r="AC575" s="66">
        <f>IF($A575="","",TRIM(IF(AND($P575=0,$L575&lt;&gt;"Yes"),"T0-NoSmartcard ","")&amp;IF(AND($J575&lt;&gt;"",$J575&gt;365),"StalePwd ","")&amp;IF($K575="Yes","PwdNeverExpires ","")&amp;IF(AND($S575&lt;&gt;"",$S575&lt;&gt;"None"),"Delegation ","")&amp;IF(AND($Q575=1,$O575="None"),"StaleAdminCount ","")&amp;IF(AND($F575="Yes",$H575=""),"NeverLoggedOn ","")))</f>
        <v/>
      </c>
      <c r="AD575" s="60" t="n"/>
      <c r="AE575" s="61" t="n"/>
      <c r="AF575" s="60" t="n"/>
      <c r="AG575" s="62" t="n"/>
      <c r="AH575" s="62" t="n"/>
      <c r="AI575" s="62" t="n"/>
      <c r="AJ575" s="60" t="n"/>
      <c r="AK575" s="61" t="n"/>
      <c r="AL575" s="63">
        <f>IF($A575="","",IF(AH575="","Not Enrolled",IF(TODAY()&gt;AH575,"Review Overdue",IF(AH575-TODAY()&lt;=30,"Review Due Soon","Active"))))</f>
        <v/>
      </c>
      <c r="AM575" s="63">
        <f>IF($A575="","",IF(AI575="","NOT REVIEWED",IF(TODAY()-AI575&gt;90,"OVERDUE",IF(TODAY()-AI575&gt;76,"Due Soon","Current"))))</f>
        <v/>
      </c>
    </row>
    <row r="576" ht="15" customHeight="1" s="39">
      <c r="A576" s="60" t="n"/>
      <c r="B576" s="60" t="n"/>
      <c r="C576" s="61" t="n"/>
      <c r="D576" s="61" t="n"/>
      <c r="E576" s="60" t="n"/>
      <c r="F576" s="60" t="n"/>
      <c r="G576" s="62" t="n"/>
      <c r="H576" s="62" t="n"/>
      <c r="I576" s="62" t="n"/>
      <c r="J576" s="60" t="n"/>
      <c r="K576" s="60" t="n"/>
      <c r="L576" s="60" t="n"/>
      <c r="M576" s="61" t="n"/>
      <c r="N576" s="60" t="n"/>
      <c r="O576" s="60" t="n"/>
      <c r="P576" s="60" t="n"/>
      <c r="Q576" s="60" t="n"/>
      <c r="R576" s="60" t="n"/>
      <c r="S576" s="60" t="n"/>
      <c r="T576" s="60" t="n"/>
      <c r="U576" s="60" t="n"/>
      <c r="V576" s="60" t="n"/>
      <c r="W576" s="60" t="n"/>
      <c r="X576" s="60" t="n"/>
      <c r="Y576" s="60" t="n"/>
      <c r="Z576" s="61" t="n"/>
      <c r="AA576" s="63">
        <f>IF($H576="","",TODAY()-$H576)</f>
        <v/>
      </c>
      <c r="AB576" s="63">
        <f>IF($A576="","",IF(AND($F576="Yes",OR($U576="No",$U576="NOT FOUND")),"YES",""))</f>
        <v/>
      </c>
      <c r="AC576" s="66">
        <f>IF($A576="","",TRIM(IF(AND($P576=0,$L576&lt;&gt;"Yes"),"T0-NoSmartcard ","")&amp;IF(AND($J576&lt;&gt;"",$J576&gt;365),"StalePwd ","")&amp;IF($K576="Yes","PwdNeverExpires ","")&amp;IF(AND($S576&lt;&gt;"",$S576&lt;&gt;"None"),"Delegation ","")&amp;IF(AND($Q576=1,$O576="None"),"StaleAdminCount ","")&amp;IF(AND($F576="Yes",$H576=""),"NeverLoggedOn ","")))</f>
        <v/>
      </c>
      <c r="AD576" s="60" t="n"/>
      <c r="AE576" s="61" t="n"/>
      <c r="AF576" s="60" t="n"/>
      <c r="AG576" s="62" t="n"/>
      <c r="AH576" s="62" t="n"/>
      <c r="AI576" s="62" t="n"/>
      <c r="AJ576" s="60" t="n"/>
      <c r="AK576" s="61" t="n"/>
      <c r="AL576" s="63">
        <f>IF($A576="","",IF(AH576="","Not Enrolled",IF(TODAY()&gt;AH576,"Review Overdue",IF(AH576-TODAY()&lt;=30,"Review Due Soon","Active"))))</f>
        <v/>
      </c>
      <c r="AM576" s="63">
        <f>IF($A576="","",IF(AI576="","NOT REVIEWED",IF(TODAY()-AI576&gt;90,"OVERDUE",IF(TODAY()-AI576&gt;76,"Due Soon","Current"))))</f>
        <v/>
      </c>
    </row>
    <row r="577" ht="15" customHeight="1" s="39">
      <c r="A577" s="60" t="n"/>
      <c r="B577" s="60" t="n"/>
      <c r="C577" s="61" t="n"/>
      <c r="D577" s="61" t="n"/>
      <c r="E577" s="60" t="n"/>
      <c r="F577" s="60" t="n"/>
      <c r="G577" s="62" t="n"/>
      <c r="H577" s="62" t="n"/>
      <c r="I577" s="62" t="n"/>
      <c r="J577" s="60" t="n"/>
      <c r="K577" s="60" t="n"/>
      <c r="L577" s="60" t="n"/>
      <c r="M577" s="61" t="n"/>
      <c r="N577" s="60" t="n"/>
      <c r="O577" s="60" t="n"/>
      <c r="P577" s="60" t="n"/>
      <c r="Q577" s="60" t="n"/>
      <c r="R577" s="60" t="n"/>
      <c r="S577" s="60" t="n"/>
      <c r="T577" s="60" t="n"/>
      <c r="U577" s="60" t="n"/>
      <c r="V577" s="60" t="n"/>
      <c r="W577" s="60" t="n"/>
      <c r="X577" s="60" t="n"/>
      <c r="Y577" s="60" t="n"/>
      <c r="Z577" s="61" t="n"/>
      <c r="AA577" s="63">
        <f>IF($H577="","",TODAY()-$H577)</f>
        <v/>
      </c>
      <c r="AB577" s="63">
        <f>IF($A577="","",IF(AND($F577="Yes",OR($U577="No",$U577="NOT FOUND")),"YES",""))</f>
        <v/>
      </c>
      <c r="AC577" s="66">
        <f>IF($A577="","",TRIM(IF(AND($P577=0,$L577&lt;&gt;"Yes"),"T0-NoSmartcard ","")&amp;IF(AND($J577&lt;&gt;"",$J577&gt;365),"StalePwd ","")&amp;IF($K577="Yes","PwdNeverExpires ","")&amp;IF(AND($S577&lt;&gt;"",$S577&lt;&gt;"None"),"Delegation ","")&amp;IF(AND($Q577=1,$O577="None"),"StaleAdminCount ","")&amp;IF(AND($F577="Yes",$H577=""),"NeverLoggedOn ","")))</f>
        <v/>
      </c>
      <c r="AD577" s="60" t="n"/>
      <c r="AE577" s="61" t="n"/>
      <c r="AF577" s="60" t="n"/>
      <c r="AG577" s="62" t="n"/>
      <c r="AH577" s="62" t="n"/>
      <c r="AI577" s="62" t="n"/>
      <c r="AJ577" s="60" t="n"/>
      <c r="AK577" s="61" t="n"/>
      <c r="AL577" s="63">
        <f>IF($A577="","",IF(AH577="","Not Enrolled",IF(TODAY()&gt;AH577,"Review Overdue",IF(AH577-TODAY()&lt;=30,"Review Due Soon","Active"))))</f>
        <v/>
      </c>
      <c r="AM577" s="63">
        <f>IF($A577="","",IF(AI577="","NOT REVIEWED",IF(TODAY()-AI577&gt;90,"OVERDUE",IF(TODAY()-AI577&gt;76,"Due Soon","Current"))))</f>
        <v/>
      </c>
    </row>
    <row r="578" ht="15" customHeight="1" s="39">
      <c r="A578" s="60" t="n"/>
      <c r="B578" s="60" t="n"/>
      <c r="C578" s="61" t="n"/>
      <c r="D578" s="61" t="n"/>
      <c r="E578" s="60" t="n"/>
      <c r="F578" s="60" t="n"/>
      <c r="G578" s="62" t="n"/>
      <c r="H578" s="62" t="n"/>
      <c r="I578" s="62" t="n"/>
      <c r="J578" s="60" t="n"/>
      <c r="K578" s="60" t="n"/>
      <c r="L578" s="60" t="n"/>
      <c r="M578" s="61" t="n"/>
      <c r="N578" s="60" t="n"/>
      <c r="O578" s="60" t="n"/>
      <c r="P578" s="60" t="n"/>
      <c r="Q578" s="60" t="n"/>
      <c r="R578" s="60" t="n"/>
      <c r="S578" s="60" t="n"/>
      <c r="T578" s="60" t="n"/>
      <c r="U578" s="60" t="n"/>
      <c r="V578" s="60" t="n"/>
      <c r="W578" s="60" t="n"/>
      <c r="X578" s="60" t="n"/>
      <c r="Y578" s="60" t="n"/>
      <c r="Z578" s="61" t="n"/>
      <c r="AA578" s="63">
        <f>IF($H578="","",TODAY()-$H578)</f>
        <v/>
      </c>
      <c r="AB578" s="63">
        <f>IF($A578="","",IF(AND($F578="Yes",OR($U578="No",$U578="NOT FOUND")),"YES",""))</f>
        <v/>
      </c>
      <c r="AC578" s="66">
        <f>IF($A578="","",TRIM(IF(AND($P578=0,$L578&lt;&gt;"Yes"),"T0-NoSmartcard ","")&amp;IF(AND($J578&lt;&gt;"",$J578&gt;365),"StalePwd ","")&amp;IF($K578="Yes","PwdNeverExpires ","")&amp;IF(AND($S578&lt;&gt;"",$S578&lt;&gt;"None"),"Delegation ","")&amp;IF(AND($Q578=1,$O578="None"),"StaleAdminCount ","")&amp;IF(AND($F578="Yes",$H578=""),"NeverLoggedOn ","")))</f>
        <v/>
      </c>
      <c r="AD578" s="60" t="n"/>
      <c r="AE578" s="61" t="n"/>
      <c r="AF578" s="60" t="n"/>
      <c r="AG578" s="62" t="n"/>
      <c r="AH578" s="62" t="n"/>
      <c r="AI578" s="62" t="n"/>
      <c r="AJ578" s="60" t="n"/>
      <c r="AK578" s="61" t="n"/>
      <c r="AL578" s="63">
        <f>IF($A578="","",IF(AH578="","Not Enrolled",IF(TODAY()&gt;AH578,"Review Overdue",IF(AH578-TODAY()&lt;=30,"Review Due Soon","Active"))))</f>
        <v/>
      </c>
      <c r="AM578" s="63">
        <f>IF($A578="","",IF(AI578="","NOT REVIEWED",IF(TODAY()-AI578&gt;90,"OVERDUE",IF(TODAY()-AI578&gt;76,"Due Soon","Current"))))</f>
        <v/>
      </c>
    </row>
    <row r="579" ht="15" customHeight="1" s="39">
      <c r="A579" s="60" t="n"/>
      <c r="B579" s="60" t="n"/>
      <c r="C579" s="61" t="n"/>
      <c r="D579" s="61" t="n"/>
      <c r="E579" s="60" t="n"/>
      <c r="F579" s="60" t="n"/>
      <c r="G579" s="62" t="n"/>
      <c r="H579" s="62" t="n"/>
      <c r="I579" s="62" t="n"/>
      <c r="J579" s="60" t="n"/>
      <c r="K579" s="60" t="n"/>
      <c r="L579" s="60" t="n"/>
      <c r="M579" s="61" t="n"/>
      <c r="N579" s="60" t="n"/>
      <c r="O579" s="60" t="n"/>
      <c r="P579" s="60" t="n"/>
      <c r="Q579" s="60" t="n"/>
      <c r="R579" s="60" t="n"/>
      <c r="S579" s="60" t="n"/>
      <c r="T579" s="60" t="n"/>
      <c r="U579" s="60" t="n"/>
      <c r="V579" s="60" t="n"/>
      <c r="W579" s="60" t="n"/>
      <c r="X579" s="60" t="n"/>
      <c r="Y579" s="60" t="n"/>
      <c r="Z579" s="61" t="n"/>
      <c r="AA579" s="63">
        <f>IF($H579="","",TODAY()-$H579)</f>
        <v/>
      </c>
      <c r="AB579" s="63">
        <f>IF($A579="","",IF(AND($F579="Yes",OR($U579="No",$U579="NOT FOUND")),"YES",""))</f>
        <v/>
      </c>
      <c r="AC579" s="66">
        <f>IF($A579="","",TRIM(IF(AND($P579=0,$L579&lt;&gt;"Yes"),"T0-NoSmartcard ","")&amp;IF(AND($J579&lt;&gt;"",$J579&gt;365),"StalePwd ","")&amp;IF($K579="Yes","PwdNeverExpires ","")&amp;IF(AND($S579&lt;&gt;"",$S579&lt;&gt;"None"),"Delegation ","")&amp;IF(AND($Q579=1,$O579="None"),"StaleAdminCount ","")&amp;IF(AND($F579="Yes",$H579=""),"NeverLoggedOn ","")))</f>
        <v/>
      </c>
      <c r="AD579" s="60" t="n"/>
      <c r="AE579" s="61" t="n"/>
      <c r="AF579" s="60" t="n"/>
      <c r="AG579" s="62" t="n"/>
      <c r="AH579" s="62" t="n"/>
      <c r="AI579" s="62" t="n"/>
      <c r="AJ579" s="60" t="n"/>
      <c r="AK579" s="61" t="n"/>
      <c r="AL579" s="63">
        <f>IF($A579="","",IF(AH579="","Not Enrolled",IF(TODAY()&gt;AH579,"Review Overdue",IF(AH579-TODAY()&lt;=30,"Review Due Soon","Active"))))</f>
        <v/>
      </c>
      <c r="AM579" s="63">
        <f>IF($A579="","",IF(AI579="","NOT REVIEWED",IF(TODAY()-AI579&gt;90,"OVERDUE",IF(TODAY()-AI579&gt;76,"Due Soon","Current"))))</f>
        <v/>
      </c>
    </row>
    <row r="580" ht="15" customHeight="1" s="39">
      <c r="A580" s="60" t="n"/>
      <c r="B580" s="60" t="n"/>
      <c r="C580" s="61" t="n"/>
      <c r="D580" s="61" t="n"/>
      <c r="E580" s="60" t="n"/>
      <c r="F580" s="60" t="n"/>
      <c r="G580" s="62" t="n"/>
      <c r="H580" s="62" t="n"/>
      <c r="I580" s="62" t="n"/>
      <c r="J580" s="60" t="n"/>
      <c r="K580" s="60" t="n"/>
      <c r="L580" s="60" t="n"/>
      <c r="M580" s="61" t="n"/>
      <c r="N580" s="60" t="n"/>
      <c r="O580" s="60" t="n"/>
      <c r="P580" s="60" t="n"/>
      <c r="Q580" s="60" t="n"/>
      <c r="R580" s="60" t="n"/>
      <c r="S580" s="60" t="n"/>
      <c r="T580" s="60" t="n"/>
      <c r="U580" s="60" t="n"/>
      <c r="V580" s="60" t="n"/>
      <c r="W580" s="60" t="n"/>
      <c r="X580" s="60" t="n"/>
      <c r="Y580" s="60" t="n"/>
      <c r="Z580" s="61" t="n"/>
      <c r="AA580" s="63">
        <f>IF($H580="","",TODAY()-$H580)</f>
        <v/>
      </c>
      <c r="AB580" s="63">
        <f>IF($A580="","",IF(AND($F580="Yes",OR($U580="No",$U580="NOT FOUND")),"YES",""))</f>
        <v/>
      </c>
      <c r="AC580" s="66">
        <f>IF($A580="","",TRIM(IF(AND($P580=0,$L580&lt;&gt;"Yes"),"T0-NoSmartcard ","")&amp;IF(AND($J580&lt;&gt;"",$J580&gt;365),"StalePwd ","")&amp;IF($K580="Yes","PwdNeverExpires ","")&amp;IF(AND($S580&lt;&gt;"",$S580&lt;&gt;"None"),"Delegation ","")&amp;IF(AND($Q580=1,$O580="None"),"StaleAdminCount ","")&amp;IF(AND($F580="Yes",$H580=""),"NeverLoggedOn ","")))</f>
        <v/>
      </c>
      <c r="AD580" s="60" t="n"/>
      <c r="AE580" s="61" t="n"/>
      <c r="AF580" s="60" t="n"/>
      <c r="AG580" s="62" t="n"/>
      <c r="AH580" s="62" t="n"/>
      <c r="AI580" s="62" t="n"/>
      <c r="AJ580" s="60" t="n"/>
      <c r="AK580" s="61" t="n"/>
      <c r="AL580" s="63">
        <f>IF($A580="","",IF(AH580="","Not Enrolled",IF(TODAY()&gt;AH580,"Review Overdue",IF(AH580-TODAY()&lt;=30,"Review Due Soon","Active"))))</f>
        <v/>
      </c>
      <c r="AM580" s="63">
        <f>IF($A580="","",IF(AI580="","NOT REVIEWED",IF(TODAY()-AI580&gt;90,"OVERDUE",IF(TODAY()-AI580&gt;76,"Due Soon","Current"))))</f>
        <v/>
      </c>
    </row>
    <row r="581" ht="15" customHeight="1" s="39">
      <c r="A581" s="60" t="n"/>
      <c r="B581" s="60" t="n"/>
      <c r="C581" s="61" t="n"/>
      <c r="D581" s="61" t="n"/>
      <c r="E581" s="60" t="n"/>
      <c r="F581" s="60" t="n"/>
      <c r="G581" s="62" t="n"/>
      <c r="H581" s="62" t="n"/>
      <c r="I581" s="62" t="n"/>
      <c r="J581" s="60" t="n"/>
      <c r="K581" s="60" t="n"/>
      <c r="L581" s="60" t="n"/>
      <c r="M581" s="61" t="n"/>
      <c r="N581" s="60" t="n"/>
      <c r="O581" s="60" t="n"/>
      <c r="P581" s="60" t="n"/>
      <c r="Q581" s="60" t="n"/>
      <c r="R581" s="60" t="n"/>
      <c r="S581" s="60" t="n"/>
      <c r="T581" s="60" t="n"/>
      <c r="U581" s="60" t="n"/>
      <c r="V581" s="60" t="n"/>
      <c r="W581" s="60" t="n"/>
      <c r="X581" s="60" t="n"/>
      <c r="Y581" s="60" t="n"/>
      <c r="Z581" s="61" t="n"/>
      <c r="AA581" s="63">
        <f>IF($H581="","",TODAY()-$H581)</f>
        <v/>
      </c>
      <c r="AB581" s="63">
        <f>IF($A581="","",IF(AND($F581="Yes",OR($U581="No",$U581="NOT FOUND")),"YES",""))</f>
        <v/>
      </c>
      <c r="AC581" s="66">
        <f>IF($A581="","",TRIM(IF(AND($P581=0,$L581&lt;&gt;"Yes"),"T0-NoSmartcard ","")&amp;IF(AND($J581&lt;&gt;"",$J581&gt;365),"StalePwd ","")&amp;IF($K581="Yes","PwdNeverExpires ","")&amp;IF(AND($S581&lt;&gt;"",$S581&lt;&gt;"None"),"Delegation ","")&amp;IF(AND($Q581=1,$O581="None"),"StaleAdminCount ","")&amp;IF(AND($F581="Yes",$H581=""),"NeverLoggedOn ","")))</f>
        <v/>
      </c>
      <c r="AD581" s="60" t="n"/>
      <c r="AE581" s="61" t="n"/>
      <c r="AF581" s="60" t="n"/>
      <c r="AG581" s="62" t="n"/>
      <c r="AH581" s="62" t="n"/>
      <c r="AI581" s="62" t="n"/>
      <c r="AJ581" s="60" t="n"/>
      <c r="AK581" s="61" t="n"/>
      <c r="AL581" s="63">
        <f>IF($A581="","",IF(AH581="","Not Enrolled",IF(TODAY()&gt;AH581,"Review Overdue",IF(AH581-TODAY()&lt;=30,"Review Due Soon","Active"))))</f>
        <v/>
      </c>
      <c r="AM581" s="63">
        <f>IF($A581="","",IF(AI581="","NOT REVIEWED",IF(TODAY()-AI581&gt;90,"OVERDUE",IF(TODAY()-AI581&gt;76,"Due Soon","Current"))))</f>
        <v/>
      </c>
    </row>
    <row r="582" ht="15" customHeight="1" s="39">
      <c r="A582" s="60" t="n"/>
      <c r="B582" s="60" t="n"/>
      <c r="C582" s="61" t="n"/>
      <c r="D582" s="61" t="n"/>
      <c r="E582" s="60" t="n"/>
      <c r="F582" s="60" t="n"/>
      <c r="G582" s="62" t="n"/>
      <c r="H582" s="62" t="n"/>
      <c r="I582" s="62" t="n"/>
      <c r="J582" s="60" t="n"/>
      <c r="K582" s="60" t="n"/>
      <c r="L582" s="60" t="n"/>
      <c r="M582" s="61" t="n"/>
      <c r="N582" s="60" t="n"/>
      <c r="O582" s="60" t="n"/>
      <c r="P582" s="60" t="n"/>
      <c r="Q582" s="60" t="n"/>
      <c r="R582" s="60" t="n"/>
      <c r="S582" s="60" t="n"/>
      <c r="T582" s="60" t="n"/>
      <c r="U582" s="60" t="n"/>
      <c r="V582" s="60" t="n"/>
      <c r="W582" s="60" t="n"/>
      <c r="X582" s="60" t="n"/>
      <c r="Y582" s="60" t="n"/>
      <c r="Z582" s="61" t="n"/>
      <c r="AA582" s="63">
        <f>IF($H582="","",TODAY()-$H582)</f>
        <v/>
      </c>
      <c r="AB582" s="63">
        <f>IF($A582="","",IF(AND($F582="Yes",OR($U582="No",$U582="NOT FOUND")),"YES",""))</f>
        <v/>
      </c>
      <c r="AC582" s="66">
        <f>IF($A582="","",TRIM(IF(AND($P582=0,$L582&lt;&gt;"Yes"),"T0-NoSmartcard ","")&amp;IF(AND($J582&lt;&gt;"",$J582&gt;365),"StalePwd ","")&amp;IF($K582="Yes","PwdNeverExpires ","")&amp;IF(AND($S582&lt;&gt;"",$S582&lt;&gt;"None"),"Delegation ","")&amp;IF(AND($Q582=1,$O582="None"),"StaleAdminCount ","")&amp;IF(AND($F582="Yes",$H582=""),"NeverLoggedOn ","")))</f>
        <v/>
      </c>
      <c r="AD582" s="60" t="n"/>
      <c r="AE582" s="61" t="n"/>
      <c r="AF582" s="60" t="n"/>
      <c r="AG582" s="62" t="n"/>
      <c r="AH582" s="62" t="n"/>
      <c r="AI582" s="62" t="n"/>
      <c r="AJ582" s="60" t="n"/>
      <c r="AK582" s="61" t="n"/>
      <c r="AL582" s="63">
        <f>IF($A582="","",IF(AH582="","Not Enrolled",IF(TODAY()&gt;AH582,"Review Overdue",IF(AH582-TODAY()&lt;=30,"Review Due Soon","Active"))))</f>
        <v/>
      </c>
      <c r="AM582" s="63">
        <f>IF($A582="","",IF(AI582="","NOT REVIEWED",IF(TODAY()-AI582&gt;90,"OVERDUE",IF(TODAY()-AI582&gt;76,"Due Soon","Current"))))</f>
        <v/>
      </c>
    </row>
    <row r="583" ht="15" customHeight="1" s="39">
      <c r="A583" s="60" t="n"/>
      <c r="B583" s="60" t="n"/>
      <c r="C583" s="61" t="n"/>
      <c r="D583" s="61" t="n"/>
      <c r="E583" s="60" t="n"/>
      <c r="F583" s="60" t="n"/>
      <c r="G583" s="62" t="n"/>
      <c r="H583" s="62" t="n"/>
      <c r="I583" s="62" t="n"/>
      <c r="J583" s="60" t="n"/>
      <c r="K583" s="60" t="n"/>
      <c r="L583" s="60" t="n"/>
      <c r="M583" s="61" t="n"/>
      <c r="N583" s="60" t="n"/>
      <c r="O583" s="60" t="n"/>
      <c r="P583" s="60" t="n"/>
      <c r="Q583" s="60" t="n"/>
      <c r="R583" s="60" t="n"/>
      <c r="S583" s="60" t="n"/>
      <c r="T583" s="60" t="n"/>
      <c r="U583" s="60" t="n"/>
      <c r="V583" s="60" t="n"/>
      <c r="W583" s="60" t="n"/>
      <c r="X583" s="60" t="n"/>
      <c r="Y583" s="60" t="n"/>
      <c r="Z583" s="61" t="n"/>
      <c r="AA583" s="63">
        <f>IF($H583="","",TODAY()-$H583)</f>
        <v/>
      </c>
      <c r="AB583" s="63">
        <f>IF($A583="","",IF(AND($F583="Yes",OR($U583="No",$U583="NOT FOUND")),"YES",""))</f>
        <v/>
      </c>
      <c r="AC583" s="66">
        <f>IF($A583="","",TRIM(IF(AND($P583=0,$L583&lt;&gt;"Yes"),"T0-NoSmartcard ","")&amp;IF(AND($J583&lt;&gt;"",$J583&gt;365),"StalePwd ","")&amp;IF($K583="Yes","PwdNeverExpires ","")&amp;IF(AND($S583&lt;&gt;"",$S583&lt;&gt;"None"),"Delegation ","")&amp;IF(AND($Q583=1,$O583="None"),"StaleAdminCount ","")&amp;IF(AND($F583="Yes",$H583=""),"NeverLoggedOn ","")))</f>
        <v/>
      </c>
      <c r="AD583" s="60" t="n"/>
      <c r="AE583" s="61" t="n"/>
      <c r="AF583" s="60" t="n"/>
      <c r="AG583" s="62" t="n"/>
      <c r="AH583" s="62" t="n"/>
      <c r="AI583" s="62" t="n"/>
      <c r="AJ583" s="60" t="n"/>
      <c r="AK583" s="61" t="n"/>
      <c r="AL583" s="63">
        <f>IF($A583="","",IF(AH583="","Not Enrolled",IF(TODAY()&gt;AH583,"Review Overdue",IF(AH583-TODAY()&lt;=30,"Review Due Soon","Active"))))</f>
        <v/>
      </c>
      <c r="AM583" s="63">
        <f>IF($A583="","",IF(AI583="","NOT REVIEWED",IF(TODAY()-AI583&gt;90,"OVERDUE",IF(TODAY()-AI583&gt;76,"Due Soon","Current"))))</f>
        <v/>
      </c>
    </row>
    <row r="584" ht="15" customHeight="1" s="39">
      <c r="A584" s="60" t="n"/>
      <c r="B584" s="60" t="n"/>
      <c r="C584" s="61" t="n"/>
      <c r="D584" s="61" t="n"/>
      <c r="E584" s="60" t="n"/>
      <c r="F584" s="60" t="n"/>
      <c r="G584" s="62" t="n"/>
      <c r="H584" s="62" t="n"/>
      <c r="I584" s="62" t="n"/>
      <c r="J584" s="60" t="n"/>
      <c r="K584" s="60" t="n"/>
      <c r="L584" s="60" t="n"/>
      <c r="M584" s="61" t="n"/>
      <c r="N584" s="60" t="n"/>
      <c r="O584" s="60" t="n"/>
      <c r="P584" s="60" t="n"/>
      <c r="Q584" s="60" t="n"/>
      <c r="R584" s="60" t="n"/>
      <c r="S584" s="60" t="n"/>
      <c r="T584" s="60" t="n"/>
      <c r="U584" s="60" t="n"/>
      <c r="V584" s="60" t="n"/>
      <c r="W584" s="60" t="n"/>
      <c r="X584" s="60" t="n"/>
      <c r="Y584" s="60" t="n"/>
      <c r="Z584" s="61" t="n"/>
      <c r="AA584" s="63">
        <f>IF($H584="","",TODAY()-$H584)</f>
        <v/>
      </c>
      <c r="AB584" s="63">
        <f>IF($A584="","",IF(AND($F584="Yes",OR($U584="No",$U584="NOT FOUND")),"YES",""))</f>
        <v/>
      </c>
      <c r="AC584" s="66">
        <f>IF($A584="","",TRIM(IF(AND($P584=0,$L584&lt;&gt;"Yes"),"T0-NoSmartcard ","")&amp;IF(AND($J584&lt;&gt;"",$J584&gt;365),"StalePwd ","")&amp;IF($K584="Yes","PwdNeverExpires ","")&amp;IF(AND($S584&lt;&gt;"",$S584&lt;&gt;"None"),"Delegation ","")&amp;IF(AND($Q584=1,$O584="None"),"StaleAdminCount ","")&amp;IF(AND($F584="Yes",$H584=""),"NeverLoggedOn ","")))</f>
        <v/>
      </c>
      <c r="AD584" s="60" t="n"/>
      <c r="AE584" s="61" t="n"/>
      <c r="AF584" s="60" t="n"/>
      <c r="AG584" s="62" t="n"/>
      <c r="AH584" s="62" t="n"/>
      <c r="AI584" s="62" t="n"/>
      <c r="AJ584" s="60" t="n"/>
      <c r="AK584" s="61" t="n"/>
      <c r="AL584" s="63">
        <f>IF($A584="","",IF(AH584="","Not Enrolled",IF(TODAY()&gt;AH584,"Review Overdue",IF(AH584-TODAY()&lt;=30,"Review Due Soon","Active"))))</f>
        <v/>
      </c>
      <c r="AM584" s="63">
        <f>IF($A584="","",IF(AI584="","NOT REVIEWED",IF(TODAY()-AI584&gt;90,"OVERDUE",IF(TODAY()-AI584&gt;76,"Due Soon","Current"))))</f>
        <v/>
      </c>
    </row>
    <row r="585" ht="15" customHeight="1" s="39">
      <c r="A585" s="60" t="n"/>
      <c r="B585" s="60" t="n"/>
      <c r="C585" s="61" t="n"/>
      <c r="D585" s="61" t="n"/>
      <c r="E585" s="60" t="n"/>
      <c r="F585" s="60" t="n"/>
      <c r="G585" s="62" t="n"/>
      <c r="H585" s="62" t="n"/>
      <c r="I585" s="62" t="n"/>
      <c r="J585" s="60" t="n"/>
      <c r="K585" s="60" t="n"/>
      <c r="L585" s="60" t="n"/>
      <c r="M585" s="61" t="n"/>
      <c r="N585" s="60" t="n"/>
      <c r="O585" s="60" t="n"/>
      <c r="P585" s="60" t="n"/>
      <c r="Q585" s="60" t="n"/>
      <c r="R585" s="60" t="n"/>
      <c r="S585" s="60" t="n"/>
      <c r="T585" s="60" t="n"/>
      <c r="U585" s="60" t="n"/>
      <c r="V585" s="60" t="n"/>
      <c r="W585" s="60" t="n"/>
      <c r="X585" s="60" t="n"/>
      <c r="Y585" s="60" t="n"/>
      <c r="Z585" s="61" t="n"/>
      <c r="AA585" s="63">
        <f>IF($H585="","",TODAY()-$H585)</f>
        <v/>
      </c>
      <c r="AB585" s="63">
        <f>IF($A585="","",IF(AND($F585="Yes",OR($U585="No",$U585="NOT FOUND")),"YES",""))</f>
        <v/>
      </c>
      <c r="AC585" s="66">
        <f>IF($A585="","",TRIM(IF(AND($P585=0,$L585&lt;&gt;"Yes"),"T0-NoSmartcard ","")&amp;IF(AND($J585&lt;&gt;"",$J585&gt;365),"StalePwd ","")&amp;IF($K585="Yes","PwdNeverExpires ","")&amp;IF(AND($S585&lt;&gt;"",$S585&lt;&gt;"None"),"Delegation ","")&amp;IF(AND($Q585=1,$O585="None"),"StaleAdminCount ","")&amp;IF(AND($F585="Yes",$H585=""),"NeverLoggedOn ","")))</f>
        <v/>
      </c>
      <c r="AD585" s="60" t="n"/>
      <c r="AE585" s="61" t="n"/>
      <c r="AF585" s="60" t="n"/>
      <c r="AG585" s="62" t="n"/>
      <c r="AH585" s="62" t="n"/>
      <c r="AI585" s="62" t="n"/>
      <c r="AJ585" s="60" t="n"/>
      <c r="AK585" s="61" t="n"/>
      <c r="AL585" s="63">
        <f>IF($A585="","",IF(AH585="","Not Enrolled",IF(TODAY()&gt;AH585,"Review Overdue",IF(AH585-TODAY()&lt;=30,"Review Due Soon","Active"))))</f>
        <v/>
      </c>
      <c r="AM585" s="63">
        <f>IF($A585="","",IF(AI585="","NOT REVIEWED",IF(TODAY()-AI585&gt;90,"OVERDUE",IF(TODAY()-AI585&gt;76,"Due Soon","Current"))))</f>
        <v/>
      </c>
    </row>
    <row r="586" ht="15" customHeight="1" s="39">
      <c r="A586" s="60" t="n"/>
      <c r="B586" s="60" t="n"/>
      <c r="C586" s="61" t="n"/>
      <c r="D586" s="61" t="n"/>
      <c r="E586" s="60" t="n"/>
      <c r="F586" s="60" t="n"/>
      <c r="G586" s="62" t="n"/>
      <c r="H586" s="62" t="n"/>
      <c r="I586" s="62" t="n"/>
      <c r="J586" s="60" t="n"/>
      <c r="K586" s="60" t="n"/>
      <c r="L586" s="60" t="n"/>
      <c r="M586" s="61" t="n"/>
      <c r="N586" s="60" t="n"/>
      <c r="O586" s="60" t="n"/>
      <c r="P586" s="60" t="n"/>
      <c r="Q586" s="60" t="n"/>
      <c r="R586" s="60" t="n"/>
      <c r="S586" s="60" t="n"/>
      <c r="T586" s="60" t="n"/>
      <c r="U586" s="60" t="n"/>
      <c r="V586" s="60" t="n"/>
      <c r="W586" s="60" t="n"/>
      <c r="X586" s="60" t="n"/>
      <c r="Y586" s="60" t="n"/>
      <c r="Z586" s="61" t="n"/>
      <c r="AA586" s="63">
        <f>IF($H586="","",TODAY()-$H586)</f>
        <v/>
      </c>
      <c r="AB586" s="63">
        <f>IF($A586="","",IF(AND($F586="Yes",OR($U586="No",$U586="NOT FOUND")),"YES",""))</f>
        <v/>
      </c>
      <c r="AC586" s="66">
        <f>IF($A586="","",TRIM(IF(AND($P586=0,$L586&lt;&gt;"Yes"),"T0-NoSmartcard ","")&amp;IF(AND($J586&lt;&gt;"",$J586&gt;365),"StalePwd ","")&amp;IF($K586="Yes","PwdNeverExpires ","")&amp;IF(AND($S586&lt;&gt;"",$S586&lt;&gt;"None"),"Delegation ","")&amp;IF(AND($Q586=1,$O586="None"),"StaleAdminCount ","")&amp;IF(AND($F586="Yes",$H586=""),"NeverLoggedOn ","")))</f>
        <v/>
      </c>
      <c r="AD586" s="60" t="n"/>
      <c r="AE586" s="61" t="n"/>
      <c r="AF586" s="60" t="n"/>
      <c r="AG586" s="62" t="n"/>
      <c r="AH586" s="62" t="n"/>
      <c r="AI586" s="62" t="n"/>
      <c r="AJ586" s="60" t="n"/>
      <c r="AK586" s="61" t="n"/>
      <c r="AL586" s="63">
        <f>IF($A586="","",IF(AH586="","Not Enrolled",IF(TODAY()&gt;AH586,"Review Overdue",IF(AH586-TODAY()&lt;=30,"Review Due Soon","Active"))))</f>
        <v/>
      </c>
      <c r="AM586" s="63">
        <f>IF($A586="","",IF(AI586="","NOT REVIEWED",IF(TODAY()-AI586&gt;90,"OVERDUE",IF(TODAY()-AI586&gt;76,"Due Soon","Current"))))</f>
        <v/>
      </c>
    </row>
    <row r="587" ht="15" customHeight="1" s="39">
      <c r="A587" s="60" t="n"/>
      <c r="B587" s="60" t="n"/>
      <c r="C587" s="61" t="n"/>
      <c r="D587" s="61" t="n"/>
      <c r="E587" s="60" t="n"/>
      <c r="F587" s="60" t="n"/>
      <c r="G587" s="62" t="n"/>
      <c r="H587" s="62" t="n"/>
      <c r="I587" s="62" t="n"/>
      <c r="J587" s="60" t="n"/>
      <c r="K587" s="60" t="n"/>
      <c r="L587" s="60" t="n"/>
      <c r="M587" s="61" t="n"/>
      <c r="N587" s="60" t="n"/>
      <c r="O587" s="60" t="n"/>
      <c r="P587" s="60" t="n"/>
      <c r="Q587" s="60" t="n"/>
      <c r="R587" s="60" t="n"/>
      <c r="S587" s="60" t="n"/>
      <c r="T587" s="60" t="n"/>
      <c r="U587" s="60" t="n"/>
      <c r="V587" s="60" t="n"/>
      <c r="W587" s="60" t="n"/>
      <c r="X587" s="60" t="n"/>
      <c r="Y587" s="60" t="n"/>
      <c r="Z587" s="61" t="n"/>
      <c r="AA587" s="63">
        <f>IF($H587="","",TODAY()-$H587)</f>
        <v/>
      </c>
      <c r="AB587" s="63">
        <f>IF($A587="","",IF(AND($F587="Yes",OR($U587="No",$U587="NOT FOUND")),"YES",""))</f>
        <v/>
      </c>
      <c r="AC587" s="66">
        <f>IF($A587="","",TRIM(IF(AND($P587=0,$L587&lt;&gt;"Yes"),"T0-NoSmartcard ","")&amp;IF(AND($J587&lt;&gt;"",$J587&gt;365),"StalePwd ","")&amp;IF($K587="Yes","PwdNeverExpires ","")&amp;IF(AND($S587&lt;&gt;"",$S587&lt;&gt;"None"),"Delegation ","")&amp;IF(AND($Q587=1,$O587="None"),"StaleAdminCount ","")&amp;IF(AND($F587="Yes",$H587=""),"NeverLoggedOn ","")))</f>
        <v/>
      </c>
      <c r="AD587" s="60" t="n"/>
      <c r="AE587" s="61" t="n"/>
      <c r="AF587" s="60" t="n"/>
      <c r="AG587" s="62" t="n"/>
      <c r="AH587" s="62" t="n"/>
      <c r="AI587" s="62" t="n"/>
      <c r="AJ587" s="60" t="n"/>
      <c r="AK587" s="61" t="n"/>
      <c r="AL587" s="63">
        <f>IF($A587="","",IF(AH587="","Not Enrolled",IF(TODAY()&gt;AH587,"Review Overdue",IF(AH587-TODAY()&lt;=30,"Review Due Soon","Active"))))</f>
        <v/>
      </c>
      <c r="AM587" s="63">
        <f>IF($A587="","",IF(AI587="","NOT REVIEWED",IF(TODAY()-AI587&gt;90,"OVERDUE",IF(TODAY()-AI587&gt;76,"Due Soon","Current"))))</f>
        <v/>
      </c>
    </row>
    <row r="588" ht="15" customHeight="1" s="39">
      <c r="A588" s="60" t="n"/>
      <c r="B588" s="60" t="n"/>
      <c r="C588" s="61" t="n"/>
      <c r="D588" s="61" t="n"/>
      <c r="E588" s="60" t="n"/>
      <c r="F588" s="60" t="n"/>
      <c r="G588" s="62" t="n"/>
      <c r="H588" s="62" t="n"/>
      <c r="I588" s="62" t="n"/>
      <c r="J588" s="60" t="n"/>
      <c r="K588" s="60" t="n"/>
      <c r="L588" s="60" t="n"/>
      <c r="M588" s="61" t="n"/>
      <c r="N588" s="60" t="n"/>
      <c r="O588" s="60" t="n"/>
      <c r="P588" s="60" t="n"/>
      <c r="Q588" s="60" t="n"/>
      <c r="R588" s="60" t="n"/>
      <c r="S588" s="60" t="n"/>
      <c r="T588" s="60" t="n"/>
      <c r="U588" s="60" t="n"/>
      <c r="V588" s="60" t="n"/>
      <c r="W588" s="60" t="n"/>
      <c r="X588" s="60" t="n"/>
      <c r="Y588" s="60" t="n"/>
      <c r="Z588" s="61" t="n"/>
      <c r="AA588" s="63">
        <f>IF($H588="","",TODAY()-$H588)</f>
        <v/>
      </c>
      <c r="AB588" s="63">
        <f>IF($A588="","",IF(AND($F588="Yes",OR($U588="No",$U588="NOT FOUND")),"YES",""))</f>
        <v/>
      </c>
      <c r="AC588" s="66">
        <f>IF($A588="","",TRIM(IF(AND($P588=0,$L588&lt;&gt;"Yes"),"T0-NoSmartcard ","")&amp;IF(AND($J588&lt;&gt;"",$J588&gt;365),"StalePwd ","")&amp;IF($K588="Yes","PwdNeverExpires ","")&amp;IF(AND($S588&lt;&gt;"",$S588&lt;&gt;"None"),"Delegation ","")&amp;IF(AND($Q588=1,$O588="None"),"StaleAdminCount ","")&amp;IF(AND($F588="Yes",$H588=""),"NeverLoggedOn ","")))</f>
        <v/>
      </c>
      <c r="AD588" s="60" t="n"/>
      <c r="AE588" s="61" t="n"/>
      <c r="AF588" s="60" t="n"/>
      <c r="AG588" s="62" t="n"/>
      <c r="AH588" s="62" t="n"/>
      <c r="AI588" s="62" t="n"/>
      <c r="AJ588" s="60" t="n"/>
      <c r="AK588" s="61" t="n"/>
      <c r="AL588" s="63">
        <f>IF($A588="","",IF(AH588="","Not Enrolled",IF(TODAY()&gt;AH588,"Review Overdue",IF(AH588-TODAY()&lt;=30,"Review Due Soon","Active"))))</f>
        <v/>
      </c>
      <c r="AM588" s="63">
        <f>IF($A588="","",IF(AI588="","NOT REVIEWED",IF(TODAY()-AI588&gt;90,"OVERDUE",IF(TODAY()-AI588&gt;76,"Due Soon","Current"))))</f>
        <v/>
      </c>
    </row>
    <row r="589" ht="15" customHeight="1" s="39">
      <c r="A589" s="60" t="n"/>
      <c r="B589" s="60" t="n"/>
      <c r="C589" s="61" t="n"/>
      <c r="D589" s="61" t="n"/>
      <c r="E589" s="60" t="n"/>
      <c r="F589" s="60" t="n"/>
      <c r="G589" s="62" t="n"/>
      <c r="H589" s="62" t="n"/>
      <c r="I589" s="62" t="n"/>
      <c r="J589" s="60" t="n"/>
      <c r="K589" s="60" t="n"/>
      <c r="L589" s="60" t="n"/>
      <c r="M589" s="61" t="n"/>
      <c r="N589" s="60" t="n"/>
      <c r="O589" s="60" t="n"/>
      <c r="P589" s="60" t="n"/>
      <c r="Q589" s="60" t="n"/>
      <c r="R589" s="60" t="n"/>
      <c r="S589" s="60" t="n"/>
      <c r="T589" s="60" t="n"/>
      <c r="U589" s="60" t="n"/>
      <c r="V589" s="60" t="n"/>
      <c r="W589" s="60" t="n"/>
      <c r="X589" s="60" t="n"/>
      <c r="Y589" s="60" t="n"/>
      <c r="Z589" s="61" t="n"/>
      <c r="AA589" s="63">
        <f>IF($H589="","",TODAY()-$H589)</f>
        <v/>
      </c>
      <c r="AB589" s="63">
        <f>IF($A589="","",IF(AND($F589="Yes",OR($U589="No",$U589="NOT FOUND")),"YES",""))</f>
        <v/>
      </c>
      <c r="AC589" s="66">
        <f>IF($A589="","",TRIM(IF(AND($P589=0,$L589&lt;&gt;"Yes"),"T0-NoSmartcard ","")&amp;IF(AND($J589&lt;&gt;"",$J589&gt;365),"StalePwd ","")&amp;IF($K589="Yes","PwdNeverExpires ","")&amp;IF(AND($S589&lt;&gt;"",$S589&lt;&gt;"None"),"Delegation ","")&amp;IF(AND($Q589=1,$O589="None"),"StaleAdminCount ","")&amp;IF(AND($F589="Yes",$H589=""),"NeverLoggedOn ","")))</f>
        <v/>
      </c>
      <c r="AD589" s="60" t="n"/>
      <c r="AE589" s="61" t="n"/>
      <c r="AF589" s="60" t="n"/>
      <c r="AG589" s="62" t="n"/>
      <c r="AH589" s="62" t="n"/>
      <c r="AI589" s="62" t="n"/>
      <c r="AJ589" s="60" t="n"/>
      <c r="AK589" s="61" t="n"/>
      <c r="AL589" s="63">
        <f>IF($A589="","",IF(AH589="","Not Enrolled",IF(TODAY()&gt;AH589,"Review Overdue",IF(AH589-TODAY()&lt;=30,"Review Due Soon","Active"))))</f>
        <v/>
      </c>
      <c r="AM589" s="63">
        <f>IF($A589="","",IF(AI589="","NOT REVIEWED",IF(TODAY()-AI589&gt;90,"OVERDUE",IF(TODAY()-AI589&gt;76,"Due Soon","Current"))))</f>
        <v/>
      </c>
    </row>
    <row r="590" ht="15" customHeight="1" s="39">
      <c r="A590" s="60" t="n"/>
      <c r="B590" s="60" t="n"/>
      <c r="C590" s="61" t="n"/>
      <c r="D590" s="61" t="n"/>
      <c r="E590" s="60" t="n"/>
      <c r="F590" s="60" t="n"/>
      <c r="G590" s="62" t="n"/>
      <c r="H590" s="62" t="n"/>
      <c r="I590" s="62" t="n"/>
      <c r="J590" s="60" t="n"/>
      <c r="K590" s="60" t="n"/>
      <c r="L590" s="60" t="n"/>
      <c r="M590" s="61" t="n"/>
      <c r="N590" s="60" t="n"/>
      <c r="O590" s="60" t="n"/>
      <c r="P590" s="60" t="n"/>
      <c r="Q590" s="60" t="n"/>
      <c r="R590" s="60" t="n"/>
      <c r="S590" s="60" t="n"/>
      <c r="T590" s="60" t="n"/>
      <c r="U590" s="60" t="n"/>
      <c r="V590" s="60" t="n"/>
      <c r="W590" s="60" t="n"/>
      <c r="X590" s="60" t="n"/>
      <c r="Y590" s="60" t="n"/>
      <c r="Z590" s="61" t="n"/>
      <c r="AA590" s="63">
        <f>IF($H590="","",TODAY()-$H590)</f>
        <v/>
      </c>
      <c r="AB590" s="63">
        <f>IF($A590="","",IF(AND($F590="Yes",OR($U590="No",$U590="NOT FOUND")),"YES",""))</f>
        <v/>
      </c>
      <c r="AC590" s="66">
        <f>IF($A590="","",TRIM(IF(AND($P590=0,$L590&lt;&gt;"Yes"),"T0-NoSmartcard ","")&amp;IF(AND($J590&lt;&gt;"",$J590&gt;365),"StalePwd ","")&amp;IF($K590="Yes","PwdNeverExpires ","")&amp;IF(AND($S590&lt;&gt;"",$S590&lt;&gt;"None"),"Delegation ","")&amp;IF(AND($Q590=1,$O590="None"),"StaleAdminCount ","")&amp;IF(AND($F590="Yes",$H590=""),"NeverLoggedOn ","")))</f>
        <v/>
      </c>
      <c r="AD590" s="60" t="n"/>
      <c r="AE590" s="61" t="n"/>
      <c r="AF590" s="60" t="n"/>
      <c r="AG590" s="62" t="n"/>
      <c r="AH590" s="62" t="n"/>
      <c r="AI590" s="62" t="n"/>
      <c r="AJ590" s="60" t="n"/>
      <c r="AK590" s="61" t="n"/>
      <c r="AL590" s="63">
        <f>IF($A590="","",IF(AH590="","Not Enrolled",IF(TODAY()&gt;AH590,"Review Overdue",IF(AH590-TODAY()&lt;=30,"Review Due Soon","Active"))))</f>
        <v/>
      </c>
      <c r="AM590" s="63">
        <f>IF($A590="","",IF(AI590="","NOT REVIEWED",IF(TODAY()-AI590&gt;90,"OVERDUE",IF(TODAY()-AI590&gt;76,"Due Soon","Current"))))</f>
        <v/>
      </c>
    </row>
    <row r="591" ht="15" customHeight="1" s="39">
      <c r="A591" s="60" t="n"/>
      <c r="B591" s="60" t="n"/>
      <c r="C591" s="61" t="n"/>
      <c r="D591" s="61" t="n"/>
      <c r="E591" s="60" t="n"/>
      <c r="F591" s="60" t="n"/>
      <c r="G591" s="62" t="n"/>
      <c r="H591" s="62" t="n"/>
      <c r="I591" s="62" t="n"/>
      <c r="J591" s="60" t="n"/>
      <c r="K591" s="60" t="n"/>
      <c r="L591" s="60" t="n"/>
      <c r="M591" s="61" t="n"/>
      <c r="N591" s="60" t="n"/>
      <c r="O591" s="60" t="n"/>
      <c r="P591" s="60" t="n"/>
      <c r="Q591" s="60" t="n"/>
      <c r="R591" s="60" t="n"/>
      <c r="S591" s="60" t="n"/>
      <c r="T591" s="60" t="n"/>
      <c r="U591" s="60" t="n"/>
      <c r="V591" s="60" t="n"/>
      <c r="W591" s="60" t="n"/>
      <c r="X591" s="60" t="n"/>
      <c r="Y591" s="60" t="n"/>
      <c r="Z591" s="61" t="n"/>
      <c r="AA591" s="63">
        <f>IF($H591="","",TODAY()-$H591)</f>
        <v/>
      </c>
      <c r="AB591" s="63">
        <f>IF($A591="","",IF(AND($F591="Yes",OR($U591="No",$U591="NOT FOUND")),"YES",""))</f>
        <v/>
      </c>
      <c r="AC591" s="66">
        <f>IF($A591="","",TRIM(IF(AND($P591=0,$L591&lt;&gt;"Yes"),"T0-NoSmartcard ","")&amp;IF(AND($J591&lt;&gt;"",$J591&gt;365),"StalePwd ","")&amp;IF($K591="Yes","PwdNeverExpires ","")&amp;IF(AND($S591&lt;&gt;"",$S591&lt;&gt;"None"),"Delegation ","")&amp;IF(AND($Q591=1,$O591="None"),"StaleAdminCount ","")&amp;IF(AND($F591="Yes",$H591=""),"NeverLoggedOn ","")))</f>
        <v/>
      </c>
      <c r="AD591" s="60" t="n"/>
      <c r="AE591" s="61" t="n"/>
      <c r="AF591" s="60" t="n"/>
      <c r="AG591" s="62" t="n"/>
      <c r="AH591" s="62" t="n"/>
      <c r="AI591" s="62" t="n"/>
      <c r="AJ591" s="60" t="n"/>
      <c r="AK591" s="61" t="n"/>
      <c r="AL591" s="63">
        <f>IF($A591="","",IF(AH591="","Not Enrolled",IF(TODAY()&gt;AH591,"Review Overdue",IF(AH591-TODAY()&lt;=30,"Review Due Soon","Active"))))</f>
        <v/>
      </c>
      <c r="AM591" s="63">
        <f>IF($A591="","",IF(AI591="","NOT REVIEWED",IF(TODAY()-AI591&gt;90,"OVERDUE",IF(TODAY()-AI591&gt;76,"Due Soon","Current"))))</f>
        <v/>
      </c>
    </row>
    <row r="592" ht="15" customHeight="1" s="39">
      <c r="A592" s="60" t="n"/>
      <c r="B592" s="60" t="n"/>
      <c r="C592" s="61" t="n"/>
      <c r="D592" s="61" t="n"/>
      <c r="E592" s="60" t="n"/>
      <c r="F592" s="60" t="n"/>
      <c r="G592" s="62" t="n"/>
      <c r="H592" s="62" t="n"/>
      <c r="I592" s="62" t="n"/>
      <c r="J592" s="60" t="n"/>
      <c r="K592" s="60" t="n"/>
      <c r="L592" s="60" t="n"/>
      <c r="M592" s="61" t="n"/>
      <c r="N592" s="60" t="n"/>
      <c r="O592" s="60" t="n"/>
      <c r="P592" s="60" t="n"/>
      <c r="Q592" s="60" t="n"/>
      <c r="R592" s="60" t="n"/>
      <c r="S592" s="60" t="n"/>
      <c r="T592" s="60" t="n"/>
      <c r="U592" s="60" t="n"/>
      <c r="V592" s="60" t="n"/>
      <c r="W592" s="60" t="n"/>
      <c r="X592" s="60" t="n"/>
      <c r="Y592" s="60" t="n"/>
      <c r="Z592" s="61" t="n"/>
      <c r="AA592" s="63">
        <f>IF($H592="","",TODAY()-$H592)</f>
        <v/>
      </c>
      <c r="AB592" s="63">
        <f>IF($A592="","",IF(AND($F592="Yes",OR($U592="No",$U592="NOT FOUND")),"YES",""))</f>
        <v/>
      </c>
      <c r="AC592" s="66">
        <f>IF($A592="","",TRIM(IF(AND($P592=0,$L592&lt;&gt;"Yes"),"T0-NoSmartcard ","")&amp;IF(AND($J592&lt;&gt;"",$J592&gt;365),"StalePwd ","")&amp;IF($K592="Yes","PwdNeverExpires ","")&amp;IF(AND($S592&lt;&gt;"",$S592&lt;&gt;"None"),"Delegation ","")&amp;IF(AND($Q592=1,$O592="None"),"StaleAdminCount ","")&amp;IF(AND($F592="Yes",$H592=""),"NeverLoggedOn ","")))</f>
        <v/>
      </c>
      <c r="AD592" s="60" t="n"/>
      <c r="AE592" s="61" t="n"/>
      <c r="AF592" s="60" t="n"/>
      <c r="AG592" s="62" t="n"/>
      <c r="AH592" s="62" t="n"/>
      <c r="AI592" s="62" t="n"/>
      <c r="AJ592" s="60" t="n"/>
      <c r="AK592" s="61" t="n"/>
      <c r="AL592" s="63">
        <f>IF($A592="","",IF(AH592="","Not Enrolled",IF(TODAY()&gt;AH592,"Review Overdue",IF(AH592-TODAY()&lt;=30,"Review Due Soon","Active"))))</f>
        <v/>
      </c>
      <c r="AM592" s="63">
        <f>IF($A592="","",IF(AI592="","NOT REVIEWED",IF(TODAY()-AI592&gt;90,"OVERDUE",IF(TODAY()-AI592&gt;76,"Due Soon","Current"))))</f>
        <v/>
      </c>
    </row>
    <row r="593" ht="15" customHeight="1" s="39">
      <c r="A593" s="60" t="n"/>
      <c r="B593" s="60" t="n"/>
      <c r="C593" s="61" t="n"/>
      <c r="D593" s="61" t="n"/>
      <c r="E593" s="60" t="n"/>
      <c r="F593" s="60" t="n"/>
      <c r="G593" s="62" t="n"/>
      <c r="H593" s="62" t="n"/>
      <c r="I593" s="62" t="n"/>
      <c r="J593" s="60" t="n"/>
      <c r="K593" s="60" t="n"/>
      <c r="L593" s="60" t="n"/>
      <c r="M593" s="61" t="n"/>
      <c r="N593" s="60" t="n"/>
      <c r="O593" s="60" t="n"/>
      <c r="P593" s="60" t="n"/>
      <c r="Q593" s="60" t="n"/>
      <c r="R593" s="60" t="n"/>
      <c r="S593" s="60" t="n"/>
      <c r="T593" s="60" t="n"/>
      <c r="U593" s="60" t="n"/>
      <c r="V593" s="60" t="n"/>
      <c r="W593" s="60" t="n"/>
      <c r="X593" s="60" t="n"/>
      <c r="Y593" s="60" t="n"/>
      <c r="Z593" s="61" t="n"/>
      <c r="AA593" s="63">
        <f>IF($H593="","",TODAY()-$H593)</f>
        <v/>
      </c>
      <c r="AB593" s="63">
        <f>IF($A593="","",IF(AND($F593="Yes",OR($U593="No",$U593="NOT FOUND")),"YES",""))</f>
        <v/>
      </c>
      <c r="AC593" s="66">
        <f>IF($A593="","",TRIM(IF(AND($P593=0,$L593&lt;&gt;"Yes"),"T0-NoSmartcard ","")&amp;IF(AND($J593&lt;&gt;"",$J593&gt;365),"StalePwd ","")&amp;IF($K593="Yes","PwdNeverExpires ","")&amp;IF(AND($S593&lt;&gt;"",$S593&lt;&gt;"None"),"Delegation ","")&amp;IF(AND($Q593=1,$O593="None"),"StaleAdminCount ","")&amp;IF(AND($F593="Yes",$H593=""),"NeverLoggedOn ","")))</f>
        <v/>
      </c>
      <c r="AD593" s="60" t="n"/>
      <c r="AE593" s="61" t="n"/>
      <c r="AF593" s="60" t="n"/>
      <c r="AG593" s="62" t="n"/>
      <c r="AH593" s="62" t="n"/>
      <c r="AI593" s="62" t="n"/>
      <c r="AJ593" s="60" t="n"/>
      <c r="AK593" s="61" t="n"/>
      <c r="AL593" s="63">
        <f>IF($A593="","",IF(AH593="","Not Enrolled",IF(TODAY()&gt;AH593,"Review Overdue",IF(AH593-TODAY()&lt;=30,"Review Due Soon","Active"))))</f>
        <v/>
      </c>
      <c r="AM593" s="63">
        <f>IF($A593="","",IF(AI593="","NOT REVIEWED",IF(TODAY()-AI593&gt;90,"OVERDUE",IF(TODAY()-AI593&gt;76,"Due Soon","Current"))))</f>
        <v/>
      </c>
    </row>
    <row r="594" ht="15" customHeight="1" s="39">
      <c r="A594" s="60" t="n"/>
      <c r="B594" s="60" t="n"/>
      <c r="C594" s="61" t="n"/>
      <c r="D594" s="61" t="n"/>
      <c r="E594" s="60" t="n"/>
      <c r="F594" s="60" t="n"/>
      <c r="G594" s="62" t="n"/>
      <c r="H594" s="62" t="n"/>
      <c r="I594" s="62" t="n"/>
      <c r="J594" s="60" t="n"/>
      <c r="K594" s="60" t="n"/>
      <c r="L594" s="60" t="n"/>
      <c r="M594" s="61" t="n"/>
      <c r="N594" s="60" t="n"/>
      <c r="O594" s="60" t="n"/>
      <c r="P594" s="60" t="n"/>
      <c r="Q594" s="60" t="n"/>
      <c r="R594" s="60" t="n"/>
      <c r="S594" s="60" t="n"/>
      <c r="T594" s="60" t="n"/>
      <c r="U594" s="60" t="n"/>
      <c r="V594" s="60" t="n"/>
      <c r="W594" s="60" t="n"/>
      <c r="X594" s="60" t="n"/>
      <c r="Y594" s="60" t="n"/>
      <c r="Z594" s="61" t="n"/>
      <c r="AA594" s="63">
        <f>IF($H594="","",TODAY()-$H594)</f>
        <v/>
      </c>
      <c r="AB594" s="63">
        <f>IF($A594="","",IF(AND($F594="Yes",OR($U594="No",$U594="NOT FOUND")),"YES",""))</f>
        <v/>
      </c>
      <c r="AC594" s="66">
        <f>IF($A594="","",TRIM(IF(AND($P594=0,$L594&lt;&gt;"Yes"),"T0-NoSmartcard ","")&amp;IF(AND($J594&lt;&gt;"",$J594&gt;365),"StalePwd ","")&amp;IF($K594="Yes","PwdNeverExpires ","")&amp;IF(AND($S594&lt;&gt;"",$S594&lt;&gt;"None"),"Delegation ","")&amp;IF(AND($Q594=1,$O594="None"),"StaleAdminCount ","")&amp;IF(AND($F594="Yes",$H594=""),"NeverLoggedOn ","")))</f>
        <v/>
      </c>
      <c r="AD594" s="60" t="n"/>
      <c r="AE594" s="61" t="n"/>
      <c r="AF594" s="60" t="n"/>
      <c r="AG594" s="62" t="n"/>
      <c r="AH594" s="62" t="n"/>
      <c r="AI594" s="62" t="n"/>
      <c r="AJ594" s="60" t="n"/>
      <c r="AK594" s="61" t="n"/>
      <c r="AL594" s="63">
        <f>IF($A594="","",IF(AH594="","Not Enrolled",IF(TODAY()&gt;AH594,"Review Overdue",IF(AH594-TODAY()&lt;=30,"Review Due Soon","Active"))))</f>
        <v/>
      </c>
      <c r="AM594" s="63">
        <f>IF($A594="","",IF(AI594="","NOT REVIEWED",IF(TODAY()-AI594&gt;90,"OVERDUE",IF(TODAY()-AI594&gt;76,"Due Soon","Current"))))</f>
        <v/>
      </c>
    </row>
    <row r="595" ht="15" customHeight="1" s="39">
      <c r="A595" s="60" t="n"/>
      <c r="B595" s="60" t="n"/>
      <c r="C595" s="61" t="n"/>
      <c r="D595" s="61" t="n"/>
      <c r="E595" s="60" t="n"/>
      <c r="F595" s="60" t="n"/>
      <c r="G595" s="62" t="n"/>
      <c r="H595" s="62" t="n"/>
      <c r="I595" s="62" t="n"/>
      <c r="J595" s="60" t="n"/>
      <c r="K595" s="60" t="n"/>
      <c r="L595" s="60" t="n"/>
      <c r="M595" s="61" t="n"/>
      <c r="N595" s="60" t="n"/>
      <c r="O595" s="60" t="n"/>
      <c r="P595" s="60" t="n"/>
      <c r="Q595" s="60" t="n"/>
      <c r="R595" s="60" t="n"/>
      <c r="S595" s="60" t="n"/>
      <c r="T595" s="60" t="n"/>
      <c r="U595" s="60" t="n"/>
      <c r="V595" s="60" t="n"/>
      <c r="W595" s="60" t="n"/>
      <c r="X595" s="60" t="n"/>
      <c r="Y595" s="60" t="n"/>
      <c r="Z595" s="61" t="n"/>
      <c r="AA595" s="63">
        <f>IF($H595="","",TODAY()-$H595)</f>
        <v/>
      </c>
      <c r="AB595" s="63">
        <f>IF($A595="","",IF(AND($F595="Yes",OR($U595="No",$U595="NOT FOUND")),"YES",""))</f>
        <v/>
      </c>
      <c r="AC595" s="66">
        <f>IF($A595="","",TRIM(IF(AND($P595=0,$L595&lt;&gt;"Yes"),"T0-NoSmartcard ","")&amp;IF(AND($J595&lt;&gt;"",$J595&gt;365),"StalePwd ","")&amp;IF($K595="Yes","PwdNeverExpires ","")&amp;IF(AND($S595&lt;&gt;"",$S595&lt;&gt;"None"),"Delegation ","")&amp;IF(AND($Q595=1,$O595="None"),"StaleAdminCount ","")&amp;IF(AND($F595="Yes",$H595=""),"NeverLoggedOn ","")))</f>
        <v/>
      </c>
      <c r="AD595" s="60" t="n"/>
      <c r="AE595" s="61" t="n"/>
      <c r="AF595" s="60" t="n"/>
      <c r="AG595" s="62" t="n"/>
      <c r="AH595" s="62" t="n"/>
      <c r="AI595" s="62" t="n"/>
      <c r="AJ595" s="60" t="n"/>
      <c r="AK595" s="61" t="n"/>
      <c r="AL595" s="63">
        <f>IF($A595="","",IF(AH595="","Not Enrolled",IF(TODAY()&gt;AH595,"Review Overdue",IF(AH595-TODAY()&lt;=30,"Review Due Soon","Active"))))</f>
        <v/>
      </c>
      <c r="AM595" s="63">
        <f>IF($A595="","",IF(AI595="","NOT REVIEWED",IF(TODAY()-AI595&gt;90,"OVERDUE",IF(TODAY()-AI595&gt;76,"Due Soon","Current"))))</f>
        <v/>
      </c>
    </row>
    <row r="596" ht="15" customHeight="1" s="39">
      <c r="A596" s="60" t="n"/>
      <c r="B596" s="60" t="n"/>
      <c r="C596" s="61" t="n"/>
      <c r="D596" s="61" t="n"/>
      <c r="E596" s="60" t="n"/>
      <c r="F596" s="60" t="n"/>
      <c r="G596" s="62" t="n"/>
      <c r="H596" s="62" t="n"/>
      <c r="I596" s="62" t="n"/>
      <c r="J596" s="60" t="n"/>
      <c r="K596" s="60" t="n"/>
      <c r="L596" s="60" t="n"/>
      <c r="M596" s="61" t="n"/>
      <c r="N596" s="60" t="n"/>
      <c r="O596" s="60" t="n"/>
      <c r="P596" s="60" t="n"/>
      <c r="Q596" s="60" t="n"/>
      <c r="R596" s="60" t="n"/>
      <c r="S596" s="60" t="n"/>
      <c r="T596" s="60" t="n"/>
      <c r="U596" s="60" t="n"/>
      <c r="V596" s="60" t="n"/>
      <c r="W596" s="60" t="n"/>
      <c r="X596" s="60" t="n"/>
      <c r="Y596" s="60" t="n"/>
      <c r="Z596" s="61" t="n"/>
      <c r="AA596" s="63">
        <f>IF($H596="","",TODAY()-$H596)</f>
        <v/>
      </c>
      <c r="AB596" s="63">
        <f>IF($A596="","",IF(AND($F596="Yes",OR($U596="No",$U596="NOT FOUND")),"YES",""))</f>
        <v/>
      </c>
      <c r="AC596" s="66">
        <f>IF($A596="","",TRIM(IF(AND($P596=0,$L596&lt;&gt;"Yes"),"T0-NoSmartcard ","")&amp;IF(AND($J596&lt;&gt;"",$J596&gt;365),"StalePwd ","")&amp;IF($K596="Yes","PwdNeverExpires ","")&amp;IF(AND($S596&lt;&gt;"",$S596&lt;&gt;"None"),"Delegation ","")&amp;IF(AND($Q596=1,$O596="None"),"StaleAdminCount ","")&amp;IF(AND($F596="Yes",$H596=""),"NeverLoggedOn ","")))</f>
        <v/>
      </c>
      <c r="AD596" s="60" t="n"/>
      <c r="AE596" s="61" t="n"/>
      <c r="AF596" s="60" t="n"/>
      <c r="AG596" s="62" t="n"/>
      <c r="AH596" s="62" t="n"/>
      <c r="AI596" s="62" t="n"/>
      <c r="AJ596" s="60" t="n"/>
      <c r="AK596" s="61" t="n"/>
      <c r="AL596" s="63">
        <f>IF($A596="","",IF(AH596="","Not Enrolled",IF(TODAY()&gt;AH596,"Review Overdue",IF(AH596-TODAY()&lt;=30,"Review Due Soon","Active"))))</f>
        <v/>
      </c>
      <c r="AM596" s="63">
        <f>IF($A596="","",IF(AI596="","NOT REVIEWED",IF(TODAY()-AI596&gt;90,"OVERDUE",IF(TODAY()-AI596&gt;76,"Due Soon","Current"))))</f>
        <v/>
      </c>
    </row>
    <row r="597" ht="15" customHeight="1" s="39">
      <c r="A597" s="60" t="n"/>
      <c r="B597" s="60" t="n"/>
      <c r="C597" s="61" t="n"/>
      <c r="D597" s="61" t="n"/>
      <c r="E597" s="60" t="n"/>
      <c r="F597" s="60" t="n"/>
      <c r="G597" s="62" t="n"/>
      <c r="H597" s="62" t="n"/>
      <c r="I597" s="62" t="n"/>
      <c r="J597" s="60" t="n"/>
      <c r="K597" s="60" t="n"/>
      <c r="L597" s="60" t="n"/>
      <c r="M597" s="61" t="n"/>
      <c r="N597" s="60" t="n"/>
      <c r="O597" s="60" t="n"/>
      <c r="P597" s="60" t="n"/>
      <c r="Q597" s="60" t="n"/>
      <c r="R597" s="60" t="n"/>
      <c r="S597" s="60" t="n"/>
      <c r="T597" s="60" t="n"/>
      <c r="U597" s="60" t="n"/>
      <c r="V597" s="60" t="n"/>
      <c r="W597" s="60" t="n"/>
      <c r="X597" s="60" t="n"/>
      <c r="Y597" s="60" t="n"/>
      <c r="Z597" s="61" t="n"/>
      <c r="AA597" s="63">
        <f>IF($H597="","",TODAY()-$H597)</f>
        <v/>
      </c>
      <c r="AB597" s="63">
        <f>IF($A597="","",IF(AND($F597="Yes",OR($U597="No",$U597="NOT FOUND")),"YES",""))</f>
        <v/>
      </c>
      <c r="AC597" s="66">
        <f>IF($A597="","",TRIM(IF(AND($P597=0,$L597&lt;&gt;"Yes"),"T0-NoSmartcard ","")&amp;IF(AND($J597&lt;&gt;"",$J597&gt;365),"StalePwd ","")&amp;IF($K597="Yes","PwdNeverExpires ","")&amp;IF(AND($S597&lt;&gt;"",$S597&lt;&gt;"None"),"Delegation ","")&amp;IF(AND($Q597=1,$O597="None"),"StaleAdminCount ","")&amp;IF(AND($F597="Yes",$H597=""),"NeverLoggedOn ","")))</f>
        <v/>
      </c>
      <c r="AD597" s="60" t="n"/>
      <c r="AE597" s="61" t="n"/>
      <c r="AF597" s="60" t="n"/>
      <c r="AG597" s="62" t="n"/>
      <c r="AH597" s="62" t="n"/>
      <c r="AI597" s="62" t="n"/>
      <c r="AJ597" s="60" t="n"/>
      <c r="AK597" s="61" t="n"/>
      <c r="AL597" s="63">
        <f>IF($A597="","",IF(AH597="","Not Enrolled",IF(TODAY()&gt;AH597,"Review Overdue",IF(AH597-TODAY()&lt;=30,"Review Due Soon","Active"))))</f>
        <v/>
      </c>
      <c r="AM597" s="63">
        <f>IF($A597="","",IF(AI597="","NOT REVIEWED",IF(TODAY()-AI597&gt;90,"OVERDUE",IF(TODAY()-AI597&gt;76,"Due Soon","Current"))))</f>
        <v/>
      </c>
    </row>
    <row r="598" ht="15" customHeight="1" s="39">
      <c r="A598" s="60" t="n"/>
      <c r="B598" s="60" t="n"/>
      <c r="C598" s="61" t="n"/>
      <c r="D598" s="61" t="n"/>
      <c r="E598" s="60" t="n"/>
      <c r="F598" s="60" t="n"/>
      <c r="G598" s="62" t="n"/>
      <c r="H598" s="62" t="n"/>
      <c r="I598" s="62" t="n"/>
      <c r="J598" s="60" t="n"/>
      <c r="K598" s="60" t="n"/>
      <c r="L598" s="60" t="n"/>
      <c r="M598" s="61" t="n"/>
      <c r="N598" s="60" t="n"/>
      <c r="O598" s="60" t="n"/>
      <c r="P598" s="60" t="n"/>
      <c r="Q598" s="60" t="n"/>
      <c r="R598" s="60" t="n"/>
      <c r="S598" s="60" t="n"/>
      <c r="T598" s="60" t="n"/>
      <c r="U598" s="60" t="n"/>
      <c r="V598" s="60" t="n"/>
      <c r="W598" s="60" t="n"/>
      <c r="X598" s="60" t="n"/>
      <c r="Y598" s="60" t="n"/>
      <c r="Z598" s="61" t="n"/>
      <c r="AA598" s="63">
        <f>IF($H598="","",TODAY()-$H598)</f>
        <v/>
      </c>
      <c r="AB598" s="63">
        <f>IF($A598="","",IF(AND($F598="Yes",OR($U598="No",$U598="NOT FOUND")),"YES",""))</f>
        <v/>
      </c>
      <c r="AC598" s="66">
        <f>IF($A598="","",TRIM(IF(AND($P598=0,$L598&lt;&gt;"Yes"),"T0-NoSmartcard ","")&amp;IF(AND($J598&lt;&gt;"",$J598&gt;365),"StalePwd ","")&amp;IF($K598="Yes","PwdNeverExpires ","")&amp;IF(AND($S598&lt;&gt;"",$S598&lt;&gt;"None"),"Delegation ","")&amp;IF(AND($Q598=1,$O598="None"),"StaleAdminCount ","")&amp;IF(AND($F598="Yes",$H598=""),"NeverLoggedOn ","")))</f>
        <v/>
      </c>
      <c r="AD598" s="60" t="n"/>
      <c r="AE598" s="61" t="n"/>
      <c r="AF598" s="60" t="n"/>
      <c r="AG598" s="62" t="n"/>
      <c r="AH598" s="62" t="n"/>
      <c r="AI598" s="62" t="n"/>
      <c r="AJ598" s="60" t="n"/>
      <c r="AK598" s="61" t="n"/>
      <c r="AL598" s="63">
        <f>IF($A598="","",IF(AH598="","Not Enrolled",IF(TODAY()&gt;AH598,"Review Overdue",IF(AH598-TODAY()&lt;=30,"Review Due Soon","Active"))))</f>
        <v/>
      </c>
      <c r="AM598" s="63">
        <f>IF($A598="","",IF(AI598="","NOT REVIEWED",IF(TODAY()-AI598&gt;90,"OVERDUE",IF(TODAY()-AI598&gt;76,"Due Soon","Current"))))</f>
        <v/>
      </c>
    </row>
    <row r="599" ht="15" customHeight="1" s="39">
      <c r="A599" s="60" t="n"/>
      <c r="B599" s="60" t="n"/>
      <c r="C599" s="61" t="n"/>
      <c r="D599" s="61" t="n"/>
      <c r="E599" s="60" t="n"/>
      <c r="F599" s="60" t="n"/>
      <c r="G599" s="62" t="n"/>
      <c r="H599" s="62" t="n"/>
      <c r="I599" s="62" t="n"/>
      <c r="J599" s="60" t="n"/>
      <c r="K599" s="60" t="n"/>
      <c r="L599" s="60" t="n"/>
      <c r="M599" s="61" t="n"/>
      <c r="N599" s="60" t="n"/>
      <c r="O599" s="60" t="n"/>
      <c r="P599" s="60" t="n"/>
      <c r="Q599" s="60" t="n"/>
      <c r="R599" s="60" t="n"/>
      <c r="S599" s="60" t="n"/>
      <c r="T599" s="60" t="n"/>
      <c r="U599" s="60" t="n"/>
      <c r="V599" s="60" t="n"/>
      <c r="W599" s="60" t="n"/>
      <c r="X599" s="60" t="n"/>
      <c r="Y599" s="60" t="n"/>
      <c r="Z599" s="61" t="n"/>
      <c r="AA599" s="63">
        <f>IF($H599="","",TODAY()-$H599)</f>
        <v/>
      </c>
      <c r="AB599" s="63">
        <f>IF($A599="","",IF(AND($F599="Yes",OR($U599="No",$U599="NOT FOUND")),"YES",""))</f>
        <v/>
      </c>
      <c r="AC599" s="66">
        <f>IF($A599="","",TRIM(IF(AND($P599=0,$L599&lt;&gt;"Yes"),"T0-NoSmartcard ","")&amp;IF(AND($J599&lt;&gt;"",$J599&gt;365),"StalePwd ","")&amp;IF($K599="Yes","PwdNeverExpires ","")&amp;IF(AND($S599&lt;&gt;"",$S599&lt;&gt;"None"),"Delegation ","")&amp;IF(AND($Q599=1,$O599="None"),"StaleAdminCount ","")&amp;IF(AND($F599="Yes",$H599=""),"NeverLoggedOn ","")))</f>
        <v/>
      </c>
      <c r="AD599" s="60" t="n"/>
      <c r="AE599" s="61" t="n"/>
      <c r="AF599" s="60" t="n"/>
      <c r="AG599" s="62" t="n"/>
      <c r="AH599" s="62" t="n"/>
      <c r="AI599" s="62" t="n"/>
      <c r="AJ599" s="60" t="n"/>
      <c r="AK599" s="61" t="n"/>
      <c r="AL599" s="63">
        <f>IF($A599="","",IF(AH599="","Not Enrolled",IF(TODAY()&gt;AH599,"Review Overdue",IF(AH599-TODAY()&lt;=30,"Review Due Soon","Active"))))</f>
        <v/>
      </c>
      <c r="AM599" s="63">
        <f>IF($A599="","",IF(AI599="","NOT REVIEWED",IF(TODAY()-AI599&gt;90,"OVERDUE",IF(TODAY()-AI599&gt;76,"Due Soon","Current"))))</f>
        <v/>
      </c>
    </row>
    <row r="600" ht="15" customHeight="1" s="39">
      <c r="A600" s="60" t="n"/>
      <c r="B600" s="60" t="n"/>
      <c r="C600" s="61" t="n"/>
      <c r="D600" s="61" t="n"/>
      <c r="E600" s="60" t="n"/>
      <c r="F600" s="60" t="n"/>
      <c r="G600" s="62" t="n"/>
      <c r="H600" s="62" t="n"/>
      <c r="I600" s="62" t="n"/>
      <c r="J600" s="60" t="n"/>
      <c r="K600" s="60" t="n"/>
      <c r="L600" s="60" t="n"/>
      <c r="M600" s="61" t="n"/>
      <c r="N600" s="60" t="n"/>
      <c r="O600" s="60" t="n"/>
      <c r="P600" s="60" t="n"/>
      <c r="Q600" s="60" t="n"/>
      <c r="R600" s="60" t="n"/>
      <c r="S600" s="60" t="n"/>
      <c r="T600" s="60" t="n"/>
      <c r="U600" s="60" t="n"/>
      <c r="V600" s="60" t="n"/>
      <c r="W600" s="60" t="n"/>
      <c r="X600" s="60" t="n"/>
      <c r="Y600" s="60" t="n"/>
      <c r="Z600" s="61" t="n"/>
      <c r="AA600" s="63">
        <f>IF($H600="","",TODAY()-$H600)</f>
        <v/>
      </c>
      <c r="AB600" s="63">
        <f>IF($A600="","",IF(AND($F600="Yes",OR($U600="No",$U600="NOT FOUND")),"YES",""))</f>
        <v/>
      </c>
      <c r="AC600" s="66">
        <f>IF($A600="","",TRIM(IF(AND($P600=0,$L600&lt;&gt;"Yes"),"T0-NoSmartcard ","")&amp;IF(AND($J600&lt;&gt;"",$J600&gt;365),"StalePwd ","")&amp;IF($K600="Yes","PwdNeverExpires ","")&amp;IF(AND($S600&lt;&gt;"",$S600&lt;&gt;"None"),"Delegation ","")&amp;IF(AND($Q600=1,$O600="None"),"StaleAdminCount ","")&amp;IF(AND($F600="Yes",$H600=""),"NeverLoggedOn ","")))</f>
        <v/>
      </c>
      <c r="AD600" s="60" t="n"/>
      <c r="AE600" s="61" t="n"/>
      <c r="AF600" s="60" t="n"/>
      <c r="AG600" s="62" t="n"/>
      <c r="AH600" s="62" t="n"/>
      <c r="AI600" s="62" t="n"/>
      <c r="AJ600" s="60" t="n"/>
      <c r="AK600" s="61" t="n"/>
      <c r="AL600" s="63">
        <f>IF($A600="","",IF(AH600="","Not Enrolled",IF(TODAY()&gt;AH600,"Review Overdue",IF(AH600-TODAY()&lt;=30,"Review Due Soon","Active"))))</f>
        <v/>
      </c>
      <c r="AM600" s="63">
        <f>IF($A600="","",IF(AI600="","NOT REVIEWED",IF(TODAY()-AI600&gt;90,"OVERDUE",IF(TODAY()-AI600&gt;76,"Due Soon","Current"))))</f>
        <v/>
      </c>
    </row>
    <row r="601" ht="15" customHeight="1" s="39">
      <c r="A601" s="60" t="n"/>
      <c r="B601" s="60" t="n"/>
      <c r="C601" s="61" t="n"/>
      <c r="D601" s="61" t="n"/>
      <c r="E601" s="60" t="n"/>
      <c r="F601" s="60" t="n"/>
      <c r="G601" s="62" t="n"/>
      <c r="H601" s="62" t="n"/>
      <c r="I601" s="62" t="n"/>
      <c r="J601" s="60" t="n"/>
      <c r="K601" s="60" t="n"/>
      <c r="L601" s="60" t="n"/>
      <c r="M601" s="61" t="n"/>
      <c r="N601" s="60" t="n"/>
      <c r="O601" s="60" t="n"/>
      <c r="P601" s="60" t="n"/>
      <c r="Q601" s="60" t="n"/>
      <c r="R601" s="60" t="n"/>
      <c r="S601" s="60" t="n"/>
      <c r="T601" s="60" t="n"/>
      <c r="U601" s="60" t="n"/>
      <c r="V601" s="60" t="n"/>
      <c r="W601" s="60" t="n"/>
      <c r="X601" s="60" t="n"/>
      <c r="Y601" s="60" t="n"/>
      <c r="Z601" s="61" t="n"/>
      <c r="AA601" s="63">
        <f>IF($H601="","",TODAY()-$H601)</f>
        <v/>
      </c>
      <c r="AB601" s="63">
        <f>IF($A601="","",IF(AND($F601="Yes",OR($U601="No",$U601="NOT FOUND")),"YES",""))</f>
        <v/>
      </c>
      <c r="AC601" s="66">
        <f>IF($A601="","",TRIM(IF(AND($P601=0,$L601&lt;&gt;"Yes"),"T0-NoSmartcard ","")&amp;IF(AND($J601&lt;&gt;"",$J601&gt;365),"StalePwd ","")&amp;IF($K601="Yes","PwdNeverExpires ","")&amp;IF(AND($S601&lt;&gt;"",$S601&lt;&gt;"None"),"Delegation ","")&amp;IF(AND($Q601=1,$O601="None"),"StaleAdminCount ","")&amp;IF(AND($F601="Yes",$H601=""),"NeverLoggedOn ","")))</f>
        <v/>
      </c>
      <c r="AD601" s="60" t="n"/>
      <c r="AE601" s="61" t="n"/>
      <c r="AF601" s="60" t="n"/>
      <c r="AG601" s="62" t="n"/>
      <c r="AH601" s="62" t="n"/>
      <c r="AI601" s="62" t="n"/>
      <c r="AJ601" s="60" t="n"/>
      <c r="AK601" s="61" t="n"/>
      <c r="AL601" s="63">
        <f>IF($A601="","",IF(AH601="","Not Enrolled",IF(TODAY()&gt;AH601,"Review Overdue",IF(AH601-TODAY()&lt;=30,"Review Due Soon","Active"))))</f>
        <v/>
      </c>
      <c r="AM601" s="63">
        <f>IF($A601="","",IF(AI601="","NOT REVIEWED",IF(TODAY()-AI601&gt;90,"OVERDUE",IF(TODAY()-AI601&gt;76,"Due Soon","Current"))))</f>
        <v/>
      </c>
    </row>
    <row r="602" ht="15" customHeight="1" s="39">
      <c r="A602" s="60" t="n"/>
      <c r="B602" s="60" t="n"/>
      <c r="C602" s="61" t="n"/>
      <c r="D602" s="61" t="n"/>
      <c r="E602" s="60" t="n"/>
      <c r="F602" s="60" t="n"/>
      <c r="G602" s="62" t="n"/>
      <c r="H602" s="62" t="n"/>
      <c r="I602" s="62" t="n"/>
      <c r="J602" s="60" t="n"/>
      <c r="K602" s="60" t="n"/>
      <c r="L602" s="60" t="n"/>
      <c r="M602" s="61" t="n"/>
      <c r="N602" s="60" t="n"/>
      <c r="O602" s="60" t="n"/>
      <c r="P602" s="60" t="n"/>
      <c r="Q602" s="60" t="n"/>
      <c r="R602" s="60" t="n"/>
      <c r="S602" s="60" t="n"/>
      <c r="T602" s="60" t="n"/>
      <c r="U602" s="60" t="n"/>
      <c r="V602" s="60" t="n"/>
      <c r="W602" s="60" t="n"/>
      <c r="X602" s="60" t="n"/>
      <c r="Y602" s="60" t="n"/>
      <c r="Z602" s="61" t="n"/>
      <c r="AA602" s="63">
        <f>IF($H602="","",TODAY()-$H602)</f>
        <v/>
      </c>
      <c r="AB602" s="63">
        <f>IF($A602="","",IF(AND($F602="Yes",OR($U602="No",$U602="NOT FOUND")),"YES",""))</f>
        <v/>
      </c>
      <c r="AC602" s="66">
        <f>IF($A602="","",TRIM(IF(AND($P602=0,$L602&lt;&gt;"Yes"),"T0-NoSmartcard ","")&amp;IF(AND($J602&lt;&gt;"",$J602&gt;365),"StalePwd ","")&amp;IF($K602="Yes","PwdNeverExpires ","")&amp;IF(AND($S602&lt;&gt;"",$S602&lt;&gt;"None"),"Delegation ","")&amp;IF(AND($Q602=1,$O602="None"),"StaleAdminCount ","")&amp;IF(AND($F602="Yes",$H602=""),"NeverLoggedOn ","")))</f>
        <v/>
      </c>
      <c r="AD602" s="60" t="n"/>
      <c r="AE602" s="61" t="n"/>
      <c r="AF602" s="60" t="n"/>
      <c r="AG602" s="62" t="n"/>
      <c r="AH602" s="62" t="n"/>
      <c r="AI602" s="62" t="n"/>
      <c r="AJ602" s="60" t="n"/>
      <c r="AK602" s="61" t="n"/>
      <c r="AL602" s="63">
        <f>IF($A602="","",IF(AH602="","Not Enrolled",IF(TODAY()&gt;AH602,"Review Overdue",IF(AH602-TODAY()&lt;=30,"Review Due Soon","Active"))))</f>
        <v/>
      </c>
      <c r="AM602" s="63">
        <f>IF($A602="","",IF(AI602="","NOT REVIEWED",IF(TODAY()-AI602&gt;90,"OVERDUE",IF(TODAY()-AI602&gt;76,"Due Soon","Current"))))</f>
        <v/>
      </c>
    </row>
    <row r="603" ht="15" customHeight="1" s="39">
      <c r="A603" s="60" t="n"/>
      <c r="B603" s="60" t="n"/>
      <c r="C603" s="61" t="n"/>
      <c r="D603" s="61" t="n"/>
      <c r="E603" s="60" t="n"/>
      <c r="F603" s="60" t="n"/>
      <c r="G603" s="62" t="n"/>
      <c r="H603" s="62" t="n"/>
      <c r="I603" s="62" t="n"/>
      <c r="J603" s="60" t="n"/>
      <c r="K603" s="60" t="n"/>
      <c r="L603" s="60" t="n"/>
      <c r="M603" s="61" t="n"/>
      <c r="N603" s="60" t="n"/>
      <c r="O603" s="60" t="n"/>
      <c r="P603" s="60" t="n"/>
      <c r="Q603" s="60" t="n"/>
      <c r="R603" s="60" t="n"/>
      <c r="S603" s="60" t="n"/>
      <c r="T603" s="60" t="n"/>
      <c r="U603" s="60" t="n"/>
      <c r="V603" s="60" t="n"/>
      <c r="W603" s="60" t="n"/>
      <c r="X603" s="60" t="n"/>
      <c r="Y603" s="60" t="n"/>
      <c r="Z603" s="61" t="n"/>
      <c r="AA603" s="63">
        <f>IF($H603="","",TODAY()-$H603)</f>
        <v/>
      </c>
      <c r="AB603" s="63">
        <f>IF($A603="","",IF(AND($F603="Yes",OR($U603="No",$U603="NOT FOUND")),"YES",""))</f>
        <v/>
      </c>
      <c r="AC603" s="66">
        <f>IF($A603="","",TRIM(IF(AND($P603=0,$L603&lt;&gt;"Yes"),"T0-NoSmartcard ","")&amp;IF(AND($J603&lt;&gt;"",$J603&gt;365),"StalePwd ","")&amp;IF($K603="Yes","PwdNeverExpires ","")&amp;IF(AND($S603&lt;&gt;"",$S603&lt;&gt;"None"),"Delegation ","")&amp;IF(AND($Q603=1,$O603="None"),"StaleAdminCount ","")&amp;IF(AND($F603="Yes",$H603=""),"NeverLoggedOn ","")))</f>
        <v/>
      </c>
      <c r="AD603" s="60" t="n"/>
      <c r="AE603" s="61" t="n"/>
      <c r="AF603" s="60" t="n"/>
      <c r="AG603" s="62" t="n"/>
      <c r="AH603" s="62" t="n"/>
      <c r="AI603" s="62" t="n"/>
      <c r="AJ603" s="60" t="n"/>
      <c r="AK603" s="61" t="n"/>
      <c r="AL603" s="63">
        <f>IF($A603="","",IF(AH603="","Not Enrolled",IF(TODAY()&gt;AH603,"Review Overdue",IF(AH603-TODAY()&lt;=30,"Review Due Soon","Active"))))</f>
        <v/>
      </c>
      <c r="AM603" s="63">
        <f>IF($A603="","",IF(AI603="","NOT REVIEWED",IF(TODAY()-AI603&gt;90,"OVERDUE",IF(TODAY()-AI603&gt;76,"Due Soon","Current"))))</f>
        <v/>
      </c>
    </row>
    <row r="604" ht="15" customHeight="1" s="39">
      <c r="A604" s="60" t="n"/>
      <c r="B604" s="60" t="n"/>
      <c r="C604" s="61" t="n"/>
      <c r="D604" s="61" t="n"/>
      <c r="E604" s="60" t="n"/>
      <c r="F604" s="60" t="n"/>
      <c r="G604" s="62" t="n"/>
      <c r="H604" s="62" t="n"/>
      <c r="I604" s="62" t="n"/>
      <c r="J604" s="60" t="n"/>
      <c r="K604" s="60" t="n"/>
      <c r="L604" s="60" t="n"/>
      <c r="M604" s="61" t="n"/>
      <c r="N604" s="60" t="n"/>
      <c r="O604" s="60" t="n"/>
      <c r="P604" s="60" t="n"/>
      <c r="Q604" s="60" t="n"/>
      <c r="R604" s="60" t="n"/>
      <c r="S604" s="60" t="n"/>
      <c r="T604" s="60" t="n"/>
      <c r="U604" s="60" t="n"/>
      <c r="V604" s="60" t="n"/>
      <c r="W604" s="60" t="n"/>
      <c r="X604" s="60" t="n"/>
      <c r="Y604" s="60" t="n"/>
      <c r="Z604" s="61" t="n"/>
      <c r="AA604" s="63">
        <f>IF($H604="","",TODAY()-$H604)</f>
        <v/>
      </c>
      <c r="AB604" s="63">
        <f>IF($A604="","",IF(AND($F604="Yes",OR($U604="No",$U604="NOT FOUND")),"YES",""))</f>
        <v/>
      </c>
      <c r="AC604" s="66">
        <f>IF($A604="","",TRIM(IF(AND($P604=0,$L604&lt;&gt;"Yes"),"T0-NoSmartcard ","")&amp;IF(AND($J604&lt;&gt;"",$J604&gt;365),"StalePwd ","")&amp;IF($K604="Yes","PwdNeverExpires ","")&amp;IF(AND($S604&lt;&gt;"",$S604&lt;&gt;"None"),"Delegation ","")&amp;IF(AND($Q604=1,$O604="None"),"StaleAdminCount ","")&amp;IF(AND($F604="Yes",$H604=""),"NeverLoggedOn ","")))</f>
        <v/>
      </c>
      <c r="AD604" s="60" t="n"/>
      <c r="AE604" s="61" t="n"/>
      <c r="AF604" s="60" t="n"/>
      <c r="AG604" s="62" t="n"/>
      <c r="AH604" s="62" t="n"/>
      <c r="AI604" s="62" t="n"/>
      <c r="AJ604" s="60" t="n"/>
      <c r="AK604" s="61" t="n"/>
      <c r="AL604" s="63">
        <f>IF($A604="","",IF(AH604="","Not Enrolled",IF(TODAY()&gt;AH604,"Review Overdue",IF(AH604-TODAY()&lt;=30,"Review Due Soon","Active"))))</f>
        <v/>
      </c>
      <c r="AM604" s="63">
        <f>IF($A604="","",IF(AI604="","NOT REVIEWED",IF(TODAY()-AI604&gt;90,"OVERDUE",IF(TODAY()-AI604&gt;76,"Due Soon","Current"))))</f>
        <v/>
      </c>
    </row>
    <row r="605" ht="15" customHeight="1" s="39">
      <c r="A605" s="60" t="n"/>
      <c r="B605" s="60" t="n"/>
      <c r="C605" s="61" t="n"/>
      <c r="D605" s="61" t="n"/>
      <c r="E605" s="60" t="n"/>
      <c r="F605" s="60" t="n"/>
      <c r="G605" s="62" t="n"/>
      <c r="H605" s="62" t="n"/>
      <c r="I605" s="62" t="n"/>
      <c r="J605" s="60" t="n"/>
      <c r="K605" s="60" t="n"/>
      <c r="L605" s="60" t="n"/>
      <c r="M605" s="61" t="n"/>
      <c r="N605" s="60" t="n"/>
      <c r="O605" s="60" t="n"/>
      <c r="P605" s="60" t="n"/>
      <c r="Q605" s="60" t="n"/>
      <c r="R605" s="60" t="n"/>
      <c r="S605" s="60" t="n"/>
      <c r="T605" s="60" t="n"/>
      <c r="U605" s="60" t="n"/>
      <c r="V605" s="60" t="n"/>
      <c r="W605" s="60" t="n"/>
      <c r="X605" s="60" t="n"/>
      <c r="Y605" s="60" t="n"/>
      <c r="Z605" s="61" t="n"/>
      <c r="AA605" s="63">
        <f>IF($H605="","",TODAY()-$H605)</f>
        <v/>
      </c>
      <c r="AB605" s="63">
        <f>IF($A605="","",IF(AND($F605="Yes",OR($U605="No",$U605="NOT FOUND")),"YES",""))</f>
        <v/>
      </c>
      <c r="AC605" s="66">
        <f>IF($A605="","",TRIM(IF(AND($P605=0,$L605&lt;&gt;"Yes"),"T0-NoSmartcard ","")&amp;IF(AND($J605&lt;&gt;"",$J605&gt;365),"StalePwd ","")&amp;IF($K605="Yes","PwdNeverExpires ","")&amp;IF(AND($S605&lt;&gt;"",$S605&lt;&gt;"None"),"Delegation ","")&amp;IF(AND($Q605=1,$O605="None"),"StaleAdminCount ","")&amp;IF(AND($F605="Yes",$H605=""),"NeverLoggedOn ","")))</f>
        <v/>
      </c>
      <c r="AD605" s="60" t="n"/>
      <c r="AE605" s="61" t="n"/>
      <c r="AF605" s="60" t="n"/>
      <c r="AG605" s="62" t="n"/>
      <c r="AH605" s="62" t="n"/>
      <c r="AI605" s="62" t="n"/>
      <c r="AJ605" s="60" t="n"/>
      <c r="AK605" s="61" t="n"/>
      <c r="AL605" s="63">
        <f>IF($A605="","",IF(AH605="","Not Enrolled",IF(TODAY()&gt;AH605,"Review Overdue",IF(AH605-TODAY()&lt;=30,"Review Due Soon","Active"))))</f>
        <v/>
      </c>
      <c r="AM605" s="63">
        <f>IF($A605="","",IF(AI605="","NOT REVIEWED",IF(TODAY()-AI605&gt;90,"OVERDUE",IF(TODAY()-AI605&gt;76,"Due Soon","Current"))))</f>
        <v/>
      </c>
    </row>
    <row r="606" ht="15" customHeight="1" s="39">
      <c r="A606" s="60" t="n"/>
      <c r="B606" s="60" t="n"/>
      <c r="C606" s="61" t="n"/>
      <c r="D606" s="61" t="n"/>
      <c r="E606" s="60" t="n"/>
      <c r="F606" s="60" t="n"/>
      <c r="G606" s="62" t="n"/>
      <c r="H606" s="62" t="n"/>
      <c r="I606" s="62" t="n"/>
      <c r="J606" s="60" t="n"/>
      <c r="K606" s="60" t="n"/>
      <c r="L606" s="60" t="n"/>
      <c r="M606" s="61" t="n"/>
      <c r="N606" s="60" t="n"/>
      <c r="O606" s="60" t="n"/>
      <c r="P606" s="60" t="n"/>
      <c r="Q606" s="60" t="n"/>
      <c r="R606" s="60" t="n"/>
      <c r="S606" s="60" t="n"/>
      <c r="T606" s="60" t="n"/>
      <c r="U606" s="60" t="n"/>
      <c r="V606" s="60" t="n"/>
      <c r="W606" s="60" t="n"/>
      <c r="X606" s="60" t="n"/>
      <c r="Y606" s="60" t="n"/>
      <c r="Z606" s="61" t="n"/>
      <c r="AA606" s="63">
        <f>IF($H606="","",TODAY()-$H606)</f>
        <v/>
      </c>
      <c r="AB606" s="63">
        <f>IF($A606="","",IF(AND($F606="Yes",OR($U606="No",$U606="NOT FOUND")),"YES",""))</f>
        <v/>
      </c>
      <c r="AC606" s="66">
        <f>IF($A606="","",TRIM(IF(AND($P606=0,$L606&lt;&gt;"Yes"),"T0-NoSmartcard ","")&amp;IF(AND($J606&lt;&gt;"",$J606&gt;365),"StalePwd ","")&amp;IF($K606="Yes","PwdNeverExpires ","")&amp;IF(AND($S606&lt;&gt;"",$S606&lt;&gt;"None"),"Delegation ","")&amp;IF(AND($Q606=1,$O606="None"),"StaleAdminCount ","")&amp;IF(AND($F606="Yes",$H606=""),"NeverLoggedOn ","")))</f>
        <v/>
      </c>
      <c r="AD606" s="60" t="n"/>
      <c r="AE606" s="61" t="n"/>
      <c r="AF606" s="60" t="n"/>
      <c r="AG606" s="62" t="n"/>
      <c r="AH606" s="62" t="n"/>
      <c r="AI606" s="62" t="n"/>
      <c r="AJ606" s="60" t="n"/>
      <c r="AK606" s="61" t="n"/>
      <c r="AL606" s="63">
        <f>IF($A606="","",IF(AH606="","Not Enrolled",IF(TODAY()&gt;AH606,"Review Overdue",IF(AH606-TODAY()&lt;=30,"Review Due Soon","Active"))))</f>
        <v/>
      </c>
      <c r="AM606" s="63">
        <f>IF($A606="","",IF(AI606="","NOT REVIEWED",IF(TODAY()-AI606&gt;90,"OVERDUE",IF(TODAY()-AI606&gt;76,"Due Soon","Current"))))</f>
        <v/>
      </c>
    </row>
    <row r="607" ht="15" customHeight="1" s="39">
      <c r="A607" s="60" t="n"/>
      <c r="B607" s="60" t="n"/>
      <c r="C607" s="61" t="n"/>
      <c r="D607" s="61" t="n"/>
      <c r="E607" s="60" t="n"/>
      <c r="F607" s="60" t="n"/>
      <c r="G607" s="62" t="n"/>
      <c r="H607" s="62" t="n"/>
      <c r="I607" s="62" t="n"/>
      <c r="J607" s="60" t="n"/>
      <c r="K607" s="60" t="n"/>
      <c r="L607" s="60" t="n"/>
      <c r="M607" s="61" t="n"/>
      <c r="N607" s="60" t="n"/>
      <c r="O607" s="60" t="n"/>
      <c r="P607" s="60" t="n"/>
      <c r="Q607" s="60" t="n"/>
      <c r="R607" s="60" t="n"/>
      <c r="S607" s="60" t="n"/>
      <c r="T607" s="60" t="n"/>
      <c r="U607" s="60" t="n"/>
      <c r="V607" s="60" t="n"/>
      <c r="W607" s="60" t="n"/>
      <c r="X607" s="60" t="n"/>
      <c r="Y607" s="60" t="n"/>
      <c r="Z607" s="61" t="n"/>
      <c r="AA607" s="63">
        <f>IF($H607="","",TODAY()-$H607)</f>
        <v/>
      </c>
      <c r="AB607" s="63">
        <f>IF($A607="","",IF(AND($F607="Yes",OR($U607="No",$U607="NOT FOUND")),"YES",""))</f>
        <v/>
      </c>
      <c r="AC607" s="66">
        <f>IF($A607="","",TRIM(IF(AND($P607=0,$L607&lt;&gt;"Yes"),"T0-NoSmartcard ","")&amp;IF(AND($J607&lt;&gt;"",$J607&gt;365),"StalePwd ","")&amp;IF($K607="Yes","PwdNeverExpires ","")&amp;IF(AND($S607&lt;&gt;"",$S607&lt;&gt;"None"),"Delegation ","")&amp;IF(AND($Q607=1,$O607="None"),"StaleAdminCount ","")&amp;IF(AND($F607="Yes",$H607=""),"NeverLoggedOn ","")))</f>
        <v/>
      </c>
      <c r="AD607" s="60" t="n"/>
      <c r="AE607" s="61" t="n"/>
      <c r="AF607" s="60" t="n"/>
      <c r="AG607" s="62" t="n"/>
      <c r="AH607" s="62" t="n"/>
      <c r="AI607" s="62" t="n"/>
      <c r="AJ607" s="60" t="n"/>
      <c r="AK607" s="61" t="n"/>
      <c r="AL607" s="63">
        <f>IF($A607="","",IF(AH607="","Not Enrolled",IF(TODAY()&gt;AH607,"Review Overdue",IF(AH607-TODAY()&lt;=30,"Review Due Soon","Active"))))</f>
        <v/>
      </c>
      <c r="AM607" s="63">
        <f>IF($A607="","",IF(AI607="","NOT REVIEWED",IF(TODAY()-AI607&gt;90,"OVERDUE",IF(TODAY()-AI607&gt;76,"Due Soon","Current"))))</f>
        <v/>
      </c>
    </row>
    <row r="608" ht="15" customHeight="1" s="39">
      <c r="A608" s="60" t="n"/>
      <c r="B608" s="60" t="n"/>
      <c r="C608" s="61" t="n"/>
      <c r="D608" s="61" t="n"/>
      <c r="E608" s="60" t="n"/>
      <c r="F608" s="60" t="n"/>
      <c r="G608" s="62" t="n"/>
      <c r="H608" s="62" t="n"/>
      <c r="I608" s="62" t="n"/>
      <c r="J608" s="60" t="n"/>
      <c r="K608" s="60" t="n"/>
      <c r="L608" s="60" t="n"/>
      <c r="M608" s="61" t="n"/>
      <c r="N608" s="60" t="n"/>
      <c r="O608" s="60" t="n"/>
      <c r="P608" s="60" t="n"/>
      <c r="Q608" s="60" t="n"/>
      <c r="R608" s="60" t="n"/>
      <c r="S608" s="60" t="n"/>
      <c r="T608" s="60" t="n"/>
      <c r="U608" s="60" t="n"/>
      <c r="V608" s="60" t="n"/>
      <c r="W608" s="60" t="n"/>
      <c r="X608" s="60" t="n"/>
      <c r="Y608" s="60" t="n"/>
      <c r="Z608" s="61" t="n"/>
      <c r="AA608" s="63">
        <f>IF($H608="","",TODAY()-$H608)</f>
        <v/>
      </c>
      <c r="AB608" s="63">
        <f>IF($A608="","",IF(AND($F608="Yes",OR($U608="No",$U608="NOT FOUND")),"YES",""))</f>
        <v/>
      </c>
      <c r="AC608" s="66">
        <f>IF($A608="","",TRIM(IF(AND($P608=0,$L608&lt;&gt;"Yes"),"T0-NoSmartcard ","")&amp;IF(AND($J608&lt;&gt;"",$J608&gt;365),"StalePwd ","")&amp;IF($K608="Yes","PwdNeverExpires ","")&amp;IF(AND($S608&lt;&gt;"",$S608&lt;&gt;"None"),"Delegation ","")&amp;IF(AND($Q608=1,$O608="None"),"StaleAdminCount ","")&amp;IF(AND($F608="Yes",$H608=""),"NeverLoggedOn ","")))</f>
        <v/>
      </c>
      <c r="AD608" s="60" t="n"/>
      <c r="AE608" s="61" t="n"/>
      <c r="AF608" s="60" t="n"/>
      <c r="AG608" s="62" t="n"/>
      <c r="AH608" s="62" t="n"/>
      <c r="AI608" s="62" t="n"/>
      <c r="AJ608" s="60" t="n"/>
      <c r="AK608" s="61" t="n"/>
      <c r="AL608" s="63">
        <f>IF($A608="","",IF(AH608="","Not Enrolled",IF(TODAY()&gt;AH608,"Review Overdue",IF(AH608-TODAY()&lt;=30,"Review Due Soon","Active"))))</f>
        <v/>
      </c>
      <c r="AM608" s="63">
        <f>IF($A608="","",IF(AI608="","NOT REVIEWED",IF(TODAY()-AI608&gt;90,"OVERDUE",IF(TODAY()-AI608&gt;76,"Due Soon","Current"))))</f>
        <v/>
      </c>
    </row>
    <row r="609" ht="15" customHeight="1" s="39">
      <c r="A609" s="60" t="n"/>
      <c r="B609" s="60" t="n"/>
      <c r="C609" s="61" t="n"/>
      <c r="D609" s="61" t="n"/>
      <c r="E609" s="60" t="n"/>
      <c r="F609" s="60" t="n"/>
      <c r="G609" s="62" t="n"/>
      <c r="H609" s="62" t="n"/>
      <c r="I609" s="62" t="n"/>
      <c r="J609" s="60" t="n"/>
      <c r="K609" s="60" t="n"/>
      <c r="L609" s="60" t="n"/>
      <c r="M609" s="61" t="n"/>
      <c r="N609" s="60" t="n"/>
      <c r="O609" s="60" t="n"/>
      <c r="P609" s="60" t="n"/>
      <c r="Q609" s="60" t="n"/>
      <c r="R609" s="60" t="n"/>
      <c r="S609" s="60" t="n"/>
      <c r="T609" s="60" t="n"/>
      <c r="U609" s="60" t="n"/>
      <c r="V609" s="60" t="n"/>
      <c r="W609" s="60" t="n"/>
      <c r="X609" s="60" t="n"/>
      <c r="Y609" s="60" t="n"/>
      <c r="Z609" s="61" t="n"/>
      <c r="AA609" s="63">
        <f>IF($H609="","",TODAY()-$H609)</f>
        <v/>
      </c>
      <c r="AB609" s="63">
        <f>IF($A609="","",IF(AND($F609="Yes",OR($U609="No",$U609="NOT FOUND")),"YES",""))</f>
        <v/>
      </c>
      <c r="AC609" s="66">
        <f>IF($A609="","",TRIM(IF(AND($P609=0,$L609&lt;&gt;"Yes"),"T0-NoSmartcard ","")&amp;IF(AND($J609&lt;&gt;"",$J609&gt;365),"StalePwd ","")&amp;IF($K609="Yes","PwdNeverExpires ","")&amp;IF(AND($S609&lt;&gt;"",$S609&lt;&gt;"None"),"Delegation ","")&amp;IF(AND($Q609=1,$O609="None"),"StaleAdminCount ","")&amp;IF(AND($F609="Yes",$H609=""),"NeverLoggedOn ","")))</f>
        <v/>
      </c>
      <c r="AD609" s="60" t="n"/>
      <c r="AE609" s="61" t="n"/>
      <c r="AF609" s="60" t="n"/>
      <c r="AG609" s="62" t="n"/>
      <c r="AH609" s="62" t="n"/>
      <c r="AI609" s="62" t="n"/>
      <c r="AJ609" s="60" t="n"/>
      <c r="AK609" s="61" t="n"/>
      <c r="AL609" s="63">
        <f>IF($A609="","",IF(AH609="","Not Enrolled",IF(TODAY()&gt;AH609,"Review Overdue",IF(AH609-TODAY()&lt;=30,"Review Due Soon","Active"))))</f>
        <v/>
      </c>
      <c r="AM609" s="63">
        <f>IF($A609="","",IF(AI609="","NOT REVIEWED",IF(TODAY()-AI609&gt;90,"OVERDUE",IF(TODAY()-AI609&gt;76,"Due Soon","Current"))))</f>
        <v/>
      </c>
    </row>
    <row r="610" ht="15" customHeight="1" s="39">
      <c r="A610" s="60" t="n"/>
      <c r="B610" s="60" t="n"/>
      <c r="C610" s="61" t="n"/>
      <c r="D610" s="61" t="n"/>
      <c r="E610" s="60" t="n"/>
      <c r="F610" s="60" t="n"/>
      <c r="G610" s="62" t="n"/>
      <c r="H610" s="62" t="n"/>
      <c r="I610" s="62" t="n"/>
      <c r="J610" s="60" t="n"/>
      <c r="K610" s="60" t="n"/>
      <c r="L610" s="60" t="n"/>
      <c r="M610" s="61" t="n"/>
      <c r="N610" s="60" t="n"/>
      <c r="O610" s="60" t="n"/>
      <c r="P610" s="60" t="n"/>
      <c r="Q610" s="60" t="n"/>
      <c r="R610" s="60" t="n"/>
      <c r="S610" s="60" t="n"/>
      <c r="T610" s="60" t="n"/>
      <c r="U610" s="60" t="n"/>
      <c r="V610" s="60" t="n"/>
      <c r="W610" s="60" t="n"/>
      <c r="X610" s="60" t="n"/>
      <c r="Y610" s="60" t="n"/>
      <c r="Z610" s="61" t="n"/>
      <c r="AA610" s="63">
        <f>IF($H610="","",TODAY()-$H610)</f>
        <v/>
      </c>
      <c r="AB610" s="63">
        <f>IF($A610="","",IF(AND($F610="Yes",OR($U610="No",$U610="NOT FOUND")),"YES",""))</f>
        <v/>
      </c>
      <c r="AC610" s="66">
        <f>IF($A610="","",TRIM(IF(AND($P610=0,$L610&lt;&gt;"Yes"),"T0-NoSmartcard ","")&amp;IF(AND($J610&lt;&gt;"",$J610&gt;365),"StalePwd ","")&amp;IF($K610="Yes","PwdNeverExpires ","")&amp;IF(AND($S610&lt;&gt;"",$S610&lt;&gt;"None"),"Delegation ","")&amp;IF(AND($Q610=1,$O610="None"),"StaleAdminCount ","")&amp;IF(AND($F610="Yes",$H610=""),"NeverLoggedOn ","")))</f>
        <v/>
      </c>
      <c r="AD610" s="60" t="n"/>
      <c r="AE610" s="61" t="n"/>
      <c r="AF610" s="60" t="n"/>
      <c r="AG610" s="62" t="n"/>
      <c r="AH610" s="62" t="n"/>
      <c r="AI610" s="62" t="n"/>
      <c r="AJ610" s="60" t="n"/>
      <c r="AK610" s="61" t="n"/>
      <c r="AL610" s="63">
        <f>IF($A610="","",IF(AH610="","Not Enrolled",IF(TODAY()&gt;AH610,"Review Overdue",IF(AH610-TODAY()&lt;=30,"Review Due Soon","Active"))))</f>
        <v/>
      </c>
      <c r="AM610" s="63">
        <f>IF($A610="","",IF(AI610="","NOT REVIEWED",IF(TODAY()-AI610&gt;90,"OVERDUE",IF(TODAY()-AI610&gt;76,"Due Soon","Current"))))</f>
        <v/>
      </c>
    </row>
    <row r="611" ht="15" customHeight="1" s="39">
      <c r="A611" s="60" t="n"/>
      <c r="B611" s="60" t="n"/>
      <c r="C611" s="61" t="n"/>
      <c r="D611" s="61" t="n"/>
      <c r="E611" s="60" t="n"/>
      <c r="F611" s="60" t="n"/>
      <c r="G611" s="62" t="n"/>
      <c r="H611" s="62" t="n"/>
      <c r="I611" s="62" t="n"/>
      <c r="J611" s="60" t="n"/>
      <c r="K611" s="60" t="n"/>
      <c r="L611" s="60" t="n"/>
      <c r="M611" s="61" t="n"/>
      <c r="N611" s="60" t="n"/>
      <c r="O611" s="60" t="n"/>
      <c r="P611" s="60" t="n"/>
      <c r="Q611" s="60" t="n"/>
      <c r="R611" s="60" t="n"/>
      <c r="S611" s="60" t="n"/>
      <c r="T611" s="60" t="n"/>
      <c r="U611" s="60" t="n"/>
      <c r="V611" s="60" t="n"/>
      <c r="W611" s="60" t="n"/>
      <c r="X611" s="60" t="n"/>
      <c r="Y611" s="60" t="n"/>
      <c r="Z611" s="61" t="n"/>
      <c r="AA611" s="63">
        <f>IF($H611="","",TODAY()-$H611)</f>
        <v/>
      </c>
      <c r="AB611" s="63">
        <f>IF($A611="","",IF(AND($F611="Yes",OR($U611="No",$U611="NOT FOUND")),"YES",""))</f>
        <v/>
      </c>
      <c r="AC611" s="66">
        <f>IF($A611="","",TRIM(IF(AND($P611=0,$L611&lt;&gt;"Yes"),"T0-NoSmartcard ","")&amp;IF(AND($J611&lt;&gt;"",$J611&gt;365),"StalePwd ","")&amp;IF($K611="Yes","PwdNeverExpires ","")&amp;IF(AND($S611&lt;&gt;"",$S611&lt;&gt;"None"),"Delegation ","")&amp;IF(AND($Q611=1,$O611="None"),"StaleAdminCount ","")&amp;IF(AND($F611="Yes",$H611=""),"NeverLoggedOn ","")))</f>
        <v/>
      </c>
      <c r="AD611" s="60" t="n"/>
      <c r="AE611" s="61" t="n"/>
      <c r="AF611" s="60" t="n"/>
      <c r="AG611" s="62" t="n"/>
      <c r="AH611" s="62" t="n"/>
      <c r="AI611" s="62" t="n"/>
      <c r="AJ611" s="60" t="n"/>
      <c r="AK611" s="61" t="n"/>
      <c r="AL611" s="63">
        <f>IF($A611="","",IF(AH611="","Not Enrolled",IF(TODAY()&gt;AH611,"Review Overdue",IF(AH611-TODAY()&lt;=30,"Review Due Soon","Active"))))</f>
        <v/>
      </c>
      <c r="AM611" s="63">
        <f>IF($A611="","",IF(AI611="","NOT REVIEWED",IF(TODAY()-AI611&gt;90,"OVERDUE",IF(TODAY()-AI611&gt;76,"Due Soon","Current"))))</f>
        <v/>
      </c>
    </row>
    <row r="612" ht="15" customHeight="1" s="39">
      <c r="A612" s="60" t="n"/>
      <c r="B612" s="60" t="n"/>
      <c r="C612" s="61" t="n"/>
      <c r="D612" s="61" t="n"/>
      <c r="E612" s="60" t="n"/>
      <c r="F612" s="60" t="n"/>
      <c r="G612" s="62" t="n"/>
      <c r="H612" s="62" t="n"/>
      <c r="I612" s="62" t="n"/>
      <c r="J612" s="60" t="n"/>
      <c r="K612" s="60" t="n"/>
      <c r="L612" s="60" t="n"/>
      <c r="M612" s="61" t="n"/>
      <c r="N612" s="60" t="n"/>
      <c r="O612" s="60" t="n"/>
      <c r="P612" s="60" t="n"/>
      <c r="Q612" s="60" t="n"/>
      <c r="R612" s="60" t="n"/>
      <c r="S612" s="60" t="n"/>
      <c r="T612" s="60" t="n"/>
      <c r="U612" s="60" t="n"/>
      <c r="V612" s="60" t="n"/>
      <c r="W612" s="60" t="n"/>
      <c r="X612" s="60" t="n"/>
      <c r="Y612" s="60" t="n"/>
      <c r="Z612" s="61" t="n"/>
      <c r="AA612" s="63">
        <f>IF($H612="","",TODAY()-$H612)</f>
        <v/>
      </c>
      <c r="AB612" s="63">
        <f>IF($A612="","",IF(AND($F612="Yes",OR($U612="No",$U612="NOT FOUND")),"YES",""))</f>
        <v/>
      </c>
      <c r="AC612" s="66">
        <f>IF($A612="","",TRIM(IF(AND($P612=0,$L612&lt;&gt;"Yes"),"T0-NoSmartcard ","")&amp;IF(AND($J612&lt;&gt;"",$J612&gt;365),"StalePwd ","")&amp;IF($K612="Yes","PwdNeverExpires ","")&amp;IF(AND($S612&lt;&gt;"",$S612&lt;&gt;"None"),"Delegation ","")&amp;IF(AND($Q612=1,$O612="None"),"StaleAdminCount ","")&amp;IF(AND($F612="Yes",$H612=""),"NeverLoggedOn ","")))</f>
        <v/>
      </c>
      <c r="AD612" s="60" t="n"/>
      <c r="AE612" s="61" t="n"/>
      <c r="AF612" s="60" t="n"/>
      <c r="AG612" s="62" t="n"/>
      <c r="AH612" s="62" t="n"/>
      <c r="AI612" s="62" t="n"/>
      <c r="AJ612" s="60" t="n"/>
      <c r="AK612" s="61" t="n"/>
      <c r="AL612" s="63">
        <f>IF($A612="","",IF(AH612="","Not Enrolled",IF(TODAY()&gt;AH612,"Review Overdue",IF(AH612-TODAY()&lt;=30,"Review Due Soon","Active"))))</f>
        <v/>
      </c>
      <c r="AM612" s="63">
        <f>IF($A612="","",IF(AI612="","NOT REVIEWED",IF(TODAY()-AI612&gt;90,"OVERDUE",IF(TODAY()-AI612&gt;76,"Due Soon","Current"))))</f>
        <v/>
      </c>
    </row>
    <row r="613" ht="15" customHeight="1" s="39">
      <c r="A613" s="60" t="n"/>
      <c r="B613" s="60" t="n"/>
      <c r="C613" s="61" t="n"/>
      <c r="D613" s="61" t="n"/>
      <c r="E613" s="60" t="n"/>
      <c r="F613" s="60" t="n"/>
      <c r="G613" s="62" t="n"/>
      <c r="H613" s="62" t="n"/>
      <c r="I613" s="62" t="n"/>
      <c r="J613" s="60" t="n"/>
      <c r="K613" s="60" t="n"/>
      <c r="L613" s="60" t="n"/>
      <c r="M613" s="61" t="n"/>
      <c r="N613" s="60" t="n"/>
      <c r="O613" s="60" t="n"/>
      <c r="P613" s="60" t="n"/>
      <c r="Q613" s="60" t="n"/>
      <c r="R613" s="60" t="n"/>
      <c r="S613" s="60" t="n"/>
      <c r="T613" s="60" t="n"/>
      <c r="U613" s="60" t="n"/>
      <c r="V613" s="60" t="n"/>
      <c r="W613" s="60" t="n"/>
      <c r="X613" s="60" t="n"/>
      <c r="Y613" s="60" t="n"/>
      <c r="Z613" s="61" t="n"/>
      <c r="AA613" s="63">
        <f>IF($H613="","",TODAY()-$H613)</f>
        <v/>
      </c>
      <c r="AB613" s="63">
        <f>IF($A613="","",IF(AND($F613="Yes",OR($U613="No",$U613="NOT FOUND")),"YES",""))</f>
        <v/>
      </c>
      <c r="AC613" s="66">
        <f>IF($A613="","",TRIM(IF(AND($P613=0,$L613&lt;&gt;"Yes"),"T0-NoSmartcard ","")&amp;IF(AND($J613&lt;&gt;"",$J613&gt;365),"StalePwd ","")&amp;IF($K613="Yes","PwdNeverExpires ","")&amp;IF(AND($S613&lt;&gt;"",$S613&lt;&gt;"None"),"Delegation ","")&amp;IF(AND($Q613=1,$O613="None"),"StaleAdminCount ","")&amp;IF(AND($F613="Yes",$H613=""),"NeverLoggedOn ","")))</f>
        <v/>
      </c>
      <c r="AD613" s="60" t="n"/>
      <c r="AE613" s="61" t="n"/>
      <c r="AF613" s="60" t="n"/>
      <c r="AG613" s="62" t="n"/>
      <c r="AH613" s="62" t="n"/>
      <c r="AI613" s="62" t="n"/>
      <c r="AJ613" s="60" t="n"/>
      <c r="AK613" s="61" t="n"/>
      <c r="AL613" s="63">
        <f>IF($A613="","",IF(AH613="","Not Enrolled",IF(TODAY()&gt;AH613,"Review Overdue",IF(AH613-TODAY()&lt;=30,"Review Due Soon","Active"))))</f>
        <v/>
      </c>
      <c r="AM613" s="63">
        <f>IF($A613="","",IF(AI613="","NOT REVIEWED",IF(TODAY()-AI613&gt;90,"OVERDUE",IF(TODAY()-AI613&gt;76,"Due Soon","Current"))))</f>
        <v/>
      </c>
    </row>
    <row r="614" ht="15" customHeight="1" s="39">
      <c r="A614" s="60" t="n"/>
      <c r="B614" s="60" t="n"/>
      <c r="C614" s="61" t="n"/>
      <c r="D614" s="61" t="n"/>
      <c r="E614" s="60" t="n"/>
      <c r="F614" s="60" t="n"/>
      <c r="G614" s="62" t="n"/>
      <c r="H614" s="62" t="n"/>
      <c r="I614" s="62" t="n"/>
      <c r="J614" s="60" t="n"/>
      <c r="K614" s="60" t="n"/>
      <c r="L614" s="60" t="n"/>
      <c r="M614" s="61" t="n"/>
      <c r="N614" s="60" t="n"/>
      <c r="O614" s="60" t="n"/>
      <c r="P614" s="60" t="n"/>
      <c r="Q614" s="60" t="n"/>
      <c r="R614" s="60" t="n"/>
      <c r="S614" s="60" t="n"/>
      <c r="T614" s="60" t="n"/>
      <c r="U614" s="60" t="n"/>
      <c r="V614" s="60" t="n"/>
      <c r="W614" s="60" t="n"/>
      <c r="X614" s="60" t="n"/>
      <c r="Y614" s="60" t="n"/>
      <c r="Z614" s="61" t="n"/>
      <c r="AA614" s="63">
        <f>IF($H614="","",TODAY()-$H614)</f>
        <v/>
      </c>
      <c r="AB614" s="63">
        <f>IF($A614="","",IF(AND($F614="Yes",OR($U614="No",$U614="NOT FOUND")),"YES",""))</f>
        <v/>
      </c>
      <c r="AC614" s="66">
        <f>IF($A614="","",TRIM(IF(AND($P614=0,$L614&lt;&gt;"Yes"),"T0-NoSmartcard ","")&amp;IF(AND($J614&lt;&gt;"",$J614&gt;365),"StalePwd ","")&amp;IF($K614="Yes","PwdNeverExpires ","")&amp;IF(AND($S614&lt;&gt;"",$S614&lt;&gt;"None"),"Delegation ","")&amp;IF(AND($Q614=1,$O614="None"),"StaleAdminCount ","")&amp;IF(AND($F614="Yes",$H614=""),"NeverLoggedOn ","")))</f>
        <v/>
      </c>
      <c r="AD614" s="60" t="n"/>
      <c r="AE614" s="61" t="n"/>
      <c r="AF614" s="60" t="n"/>
      <c r="AG614" s="62" t="n"/>
      <c r="AH614" s="62" t="n"/>
      <c r="AI614" s="62" t="n"/>
      <c r="AJ614" s="60" t="n"/>
      <c r="AK614" s="61" t="n"/>
      <c r="AL614" s="63">
        <f>IF($A614="","",IF(AH614="","Not Enrolled",IF(TODAY()&gt;AH614,"Review Overdue",IF(AH614-TODAY()&lt;=30,"Review Due Soon","Active"))))</f>
        <v/>
      </c>
      <c r="AM614" s="63">
        <f>IF($A614="","",IF(AI614="","NOT REVIEWED",IF(TODAY()-AI614&gt;90,"OVERDUE",IF(TODAY()-AI614&gt;76,"Due Soon","Current"))))</f>
        <v/>
      </c>
    </row>
    <row r="615" ht="15" customHeight="1" s="39">
      <c r="A615" s="60" t="n"/>
      <c r="B615" s="60" t="n"/>
      <c r="C615" s="61" t="n"/>
      <c r="D615" s="61" t="n"/>
      <c r="E615" s="60" t="n"/>
      <c r="F615" s="60" t="n"/>
      <c r="G615" s="62" t="n"/>
      <c r="H615" s="62" t="n"/>
      <c r="I615" s="62" t="n"/>
      <c r="J615" s="60" t="n"/>
      <c r="K615" s="60" t="n"/>
      <c r="L615" s="60" t="n"/>
      <c r="M615" s="61" t="n"/>
      <c r="N615" s="60" t="n"/>
      <c r="O615" s="60" t="n"/>
      <c r="P615" s="60" t="n"/>
      <c r="Q615" s="60" t="n"/>
      <c r="R615" s="60" t="n"/>
      <c r="S615" s="60" t="n"/>
      <c r="T615" s="60" t="n"/>
      <c r="U615" s="60" t="n"/>
      <c r="V615" s="60" t="n"/>
      <c r="W615" s="60" t="n"/>
      <c r="X615" s="60" t="n"/>
      <c r="Y615" s="60" t="n"/>
      <c r="Z615" s="61" t="n"/>
      <c r="AA615" s="63">
        <f>IF($H615="","",TODAY()-$H615)</f>
        <v/>
      </c>
      <c r="AB615" s="63">
        <f>IF($A615="","",IF(AND($F615="Yes",OR($U615="No",$U615="NOT FOUND")),"YES",""))</f>
        <v/>
      </c>
      <c r="AC615" s="66">
        <f>IF($A615="","",TRIM(IF(AND($P615=0,$L615&lt;&gt;"Yes"),"T0-NoSmartcard ","")&amp;IF(AND($J615&lt;&gt;"",$J615&gt;365),"StalePwd ","")&amp;IF($K615="Yes","PwdNeverExpires ","")&amp;IF(AND($S615&lt;&gt;"",$S615&lt;&gt;"None"),"Delegation ","")&amp;IF(AND($Q615=1,$O615="None"),"StaleAdminCount ","")&amp;IF(AND($F615="Yes",$H615=""),"NeverLoggedOn ","")))</f>
        <v/>
      </c>
      <c r="AD615" s="60" t="n"/>
      <c r="AE615" s="61" t="n"/>
      <c r="AF615" s="60" t="n"/>
      <c r="AG615" s="62" t="n"/>
      <c r="AH615" s="62" t="n"/>
      <c r="AI615" s="62" t="n"/>
      <c r="AJ615" s="60" t="n"/>
      <c r="AK615" s="61" t="n"/>
      <c r="AL615" s="63">
        <f>IF($A615="","",IF(AH615="","Not Enrolled",IF(TODAY()&gt;AH615,"Review Overdue",IF(AH615-TODAY()&lt;=30,"Review Due Soon","Active"))))</f>
        <v/>
      </c>
      <c r="AM615" s="63">
        <f>IF($A615="","",IF(AI615="","NOT REVIEWED",IF(TODAY()-AI615&gt;90,"OVERDUE",IF(TODAY()-AI615&gt;76,"Due Soon","Current"))))</f>
        <v/>
      </c>
    </row>
    <row r="616" ht="15" customHeight="1" s="39">
      <c r="A616" s="60" t="n"/>
      <c r="B616" s="60" t="n"/>
      <c r="C616" s="61" t="n"/>
      <c r="D616" s="61" t="n"/>
      <c r="E616" s="60" t="n"/>
      <c r="F616" s="60" t="n"/>
      <c r="G616" s="62" t="n"/>
      <c r="H616" s="62" t="n"/>
      <c r="I616" s="62" t="n"/>
      <c r="J616" s="60" t="n"/>
      <c r="K616" s="60" t="n"/>
      <c r="L616" s="60" t="n"/>
      <c r="M616" s="61" t="n"/>
      <c r="N616" s="60" t="n"/>
      <c r="O616" s="60" t="n"/>
      <c r="P616" s="60" t="n"/>
      <c r="Q616" s="60" t="n"/>
      <c r="R616" s="60" t="n"/>
      <c r="S616" s="60" t="n"/>
      <c r="T616" s="60" t="n"/>
      <c r="U616" s="60" t="n"/>
      <c r="V616" s="60" t="n"/>
      <c r="W616" s="60" t="n"/>
      <c r="X616" s="60" t="n"/>
      <c r="Y616" s="60" t="n"/>
      <c r="Z616" s="61" t="n"/>
      <c r="AA616" s="63">
        <f>IF($H616="","",TODAY()-$H616)</f>
        <v/>
      </c>
      <c r="AB616" s="63">
        <f>IF($A616="","",IF(AND($F616="Yes",OR($U616="No",$U616="NOT FOUND")),"YES",""))</f>
        <v/>
      </c>
      <c r="AC616" s="66">
        <f>IF($A616="","",TRIM(IF(AND($P616=0,$L616&lt;&gt;"Yes"),"T0-NoSmartcard ","")&amp;IF(AND($J616&lt;&gt;"",$J616&gt;365),"StalePwd ","")&amp;IF($K616="Yes","PwdNeverExpires ","")&amp;IF(AND($S616&lt;&gt;"",$S616&lt;&gt;"None"),"Delegation ","")&amp;IF(AND($Q616=1,$O616="None"),"StaleAdminCount ","")&amp;IF(AND($F616="Yes",$H616=""),"NeverLoggedOn ","")))</f>
        <v/>
      </c>
      <c r="AD616" s="60" t="n"/>
      <c r="AE616" s="61" t="n"/>
      <c r="AF616" s="60" t="n"/>
      <c r="AG616" s="62" t="n"/>
      <c r="AH616" s="62" t="n"/>
      <c r="AI616" s="62" t="n"/>
      <c r="AJ616" s="60" t="n"/>
      <c r="AK616" s="61" t="n"/>
      <c r="AL616" s="63">
        <f>IF($A616="","",IF(AH616="","Not Enrolled",IF(TODAY()&gt;AH616,"Review Overdue",IF(AH616-TODAY()&lt;=30,"Review Due Soon","Active"))))</f>
        <v/>
      </c>
      <c r="AM616" s="63">
        <f>IF($A616="","",IF(AI616="","NOT REVIEWED",IF(TODAY()-AI616&gt;90,"OVERDUE",IF(TODAY()-AI616&gt;76,"Due Soon","Current"))))</f>
        <v/>
      </c>
    </row>
    <row r="617" ht="15" customHeight="1" s="39">
      <c r="A617" s="60" t="n"/>
      <c r="B617" s="60" t="n"/>
      <c r="C617" s="61" t="n"/>
      <c r="D617" s="61" t="n"/>
      <c r="E617" s="60" t="n"/>
      <c r="F617" s="60" t="n"/>
      <c r="G617" s="62" t="n"/>
      <c r="H617" s="62" t="n"/>
      <c r="I617" s="62" t="n"/>
      <c r="J617" s="60" t="n"/>
      <c r="K617" s="60" t="n"/>
      <c r="L617" s="60" t="n"/>
      <c r="M617" s="61" t="n"/>
      <c r="N617" s="60" t="n"/>
      <c r="O617" s="60" t="n"/>
      <c r="P617" s="60" t="n"/>
      <c r="Q617" s="60" t="n"/>
      <c r="R617" s="60" t="n"/>
      <c r="S617" s="60" t="n"/>
      <c r="T617" s="60" t="n"/>
      <c r="U617" s="60" t="n"/>
      <c r="V617" s="60" t="n"/>
      <c r="W617" s="60" t="n"/>
      <c r="X617" s="60" t="n"/>
      <c r="Y617" s="60" t="n"/>
      <c r="Z617" s="61" t="n"/>
      <c r="AA617" s="63">
        <f>IF($H617="","",TODAY()-$H617)</f>
        <v/>
      </c>
      <c r="AB617" s="63">
        <f>IF($A617="","",IF(AND($F617="Yes",OR($U617="No",$U617="NOT FOUND")),"YES",""))</f>
        <v/>
      </c>
      <c r="AC617" s="66">
        <f>IF($A617="","",TRIM(IF(AND($P617=0,$L617&lt;&gt;"Yes"),"T0-NoSmartcard ","")&amp;IF(AND($J617&lt;&gt;"",$J617&gt;365),"StalePwd ","")&amp;IF($K617="Yes","PwdNeverExpires ","")&amp;IF(AND($S617&lt;&gt;"",$S617&lt;&gt;"None"),"Delegation ","")&amp;IF(AND($Q617=1,$O617="None"),"StaleAdminCount ","")&amp;IF(AND($F617="Yes",$H617=""),"NeverLoggedOn ","")))</f>
        <v/>
      </c>
      <c r="AD617" s="60" t="n"/>
      <c r="AE617" s="61" t="n"/>
      <c r="AF617" s="60" t="n"/>
      <c r="AG617" s="62" t="n"/>
      <c r="AH617" s="62" t="n"/>
      <c r="AI617" s="62" t="n"/>
      <c r="AJ617" s="60" t="n"/>
      <c r="AK617" s="61" t="n"/>
      <c r="AL617" s="63">
        <f>IF($A617="","",IF(AH617="","Not Enrolled",IF(TODAY()&gt;AH617,"Review Overdue",IF(AH617-TODAY()&lt;=30,"Review Due Soon","Active"))))</f>
        <v/>
      </c>
      <c r="AM617" s="63">
        <f>IF($A617="","",IF(AI617="","NOT REVIEWED",IF(TODAY()-AI617&gt;90,"OVERDUE",IF(TODAY()-AI617&gt;76,"Due Soon","Current"))))</f>
        <v/>
      </c>
    </row>
    <row r="618" ht="15" customHeight="1" s="39">
      <c r="A618" s="60" t="n"/>
      <c r="B618" s="60" t="n"/>
      <c r="C618" s="61" t="n"/>
      <c r="D618" s="61" t="n"/>
      <c r="E618" s="60" t="n"/>
      <c r="F618" s="60" t="n"/>
      <c r="G618" s="62" t="n"/>
      <c r="H618" s="62" t="n"/>
      <c r="I618" s="62" t="n"/>
      <c r="J618" s="60" t="n"/>
      <c r="K618" s="60" t="n"/>
      <c r="L618" s="60" t="n"/>
      <c r="M618" s="61" t="n"/>
      <c r="N618" s="60" t="n"/>
      <c r="O618" s="60" t="n"/>
      <c r="P618" s="60" t="n"/>
      <c r="Q618" s="60" t="n"/>
      <c r="R618" s="60" t="n"/>
      <c r="S618" s="60" t="n"/>
      <c r="T618" s="60" t="n"/>
      <c r="U618" s="60" t="n"/>
      <c r="V618" s="60" t="n"/>
      <c r="W618" s="60" t="n"/>
      <c r="X618" s="60" t="n"/>
      <c r="Y618" s="60" t="n"/>
      <c r="Z618" s="61" t="n"/>
      <c r="AA618" s="63">
        <f>IF($H618="","",TODAY()-$H618)</f>
        <v/>
      </c>
      <c r="AB618" s="63">
        <f>IF($A618="","",IF(AND($F618="Yes",OR($U618="No",$U618="NOT FOUND")),"YES",""))</f>
        <v/>
      </c>
      <c r="AC618" s="66">
        <f>IF($A618="","",TRIM(IF(AND($P618=0,$L618&lt;&gt;"Yes"),"T0-NoSmartcard ","")&amp;IF(AND($J618&lt;&gt;"",$J618&gt;365),"StalePwd ","")&amp;IF($K618="Yes","PwdNeverExpires ","")&amp;IF(AND($S618&lt;&gt;"",$S618&lt;&gt;"None"),"Delegation ","")&amp;IF(AND($Q618=1,$O618="None"),"StaleAdminCount ","")&amp;IF(AND($F618="Yes",$H618=""),"NeverLoggedOn ","")))</f>
        <v/>
      </c>
      <c r="AD618" s="60" t="n"/>
      <c r="AE618" s="61" t="n"/>
      <c r="AF618" s="60" t="n"/>
      <c r="AG618" s="62" t="n"/>
      <c r="AH618" s="62" t="n"/>
      <c r="AI618" s="62" t="n"/>
      <c r="AJ618" s="60" t="n"/>
      <c r="AK618" s="61" t="n"/>
      <c r="AL618" s="63">
        <f>IF($A618="","",IF(AH618="","Not Enrolled",IF(TODAY()&gt;AH618,"Review Overdue",IF(AH618-TODAY()&lt;=30,"Review Due Soon","Active"))))</f>
        <v/>
      </c>
      <c r="AM618" s="63">
        <f>IF($A618="","",IF(AI618="","NOT REVIEWED",IF(TODAY()-AI618&gt;90,"OVERDUE",IF(TODAY()-AI618&gt;76,"Due Soon","Current"))))</f>
        <v/>
      </c>
    </row>
    <row r="619" ht="15" customHeight="1" s="39">
      <c r="A619" s="60" t="n"/>
      <c r="B619" s="60" t="n"/>
      <c r="C619" s="61" t="n"/>
      <c r="D619" s="61" t="n"/>
      <c r="E619" s="60" t="n"/>
      <c r="F619" s="60" t="n"/>
      <c r="G619" s="62" t="n"/>
      <c r="H619" s="62" t="n"/>
      <c r="I619" s="62" t="n"/>
      <c r="J619" s="60" t="n"/>
      <c r="K619" s="60" t="n"/>
      <c r="L619" s="60" t="n"/>
      <c r="M619" s="61" t="n"/>
      <c r="N619" s="60" t="n"/>
      <c r="O619" s="60" t="n"/>
      <c r="P619" s="60" t="n"/>
      <c r="Q619" s="60" t="n"/>
      <c r="R619" s="60" t="n"/>
      <c r="S619" s="60" t="n"/>
      <c r="T619" s="60" t="n"/>
      <c r="U619" s="60" t="n"/>
      <c r="V619" s="60" t="n"/>
      <c r="W619" s="60" t="n"/>
      <c r="X619" s="60" t="n"/>
      <c r="Y619" s="60" t="n"/>
      <c r="Z619" s="61" t="n"/>
      <c r="AA619" s="63">
        <f>IF($H619="","",TODAY()-$H619)</f>
        <v/>
      </c>
      <c r="AB619" s="63">
        <f>IF($A619="","",IF(AND($F619="Yes",OR($U619="No",$U619="NOT FOUND")),"YES",""))</f>
        <v/>
      </c>
      <c r="AC619" s="66">
        <f>IF($A619="","",TRIM(IF(AND($P619=0,$L619&lt;&gt;"Yes"),"T0-NoSmartcard ","")&amp;IF(AND($J619&lt;&gt;"",$J619&gt;365),"StalePwd ","")&amp;IF($K619="Yes","PwdNeverExpires ","")&amp;IF(AND($S619&lt;&gt;"",$S619&lt;&gt;"None"),"Delegation ","")&amp;IF(AND($Q619=1,$O619="None"),"StaleAdminCount ","")&amp;IF(AND($F619="Yes",$H619=""),"NeverLoggedOn ","")))</f>
        <v/>
      </c>
      <c r="AD619" s="60" t="n"/>
      <c r="AE619" s="61" t="n"/>
      <c r="AF619" s="60" t="n"/>
      <c r="AG619" s="62" t="n"/>
      <c r="AH619" s="62" t="n"/>
      <c r="AI619" s="62" t="n"/>
      <c r="AJ619" s="60" t="n"/>
      <c r="AK619" s="61" t="n"/>
      <c r="AL619" s="63">
        <f>IF($A619="","",IF(AH619="","Not Enrolled",IF(TODAY()&gt;AH619,"Review Overdue",IF(AH619-TODAY()&lt;=30,"Review Due Soon","Active"))))</f>
        <v/>
      </c>
      <c r="AM619" s="63">
        <f>IF($A619="","",IF(AI619="","NOT REVIEWED",IF(TODAY()-AI619&gt;90,"OVERDUE",IF(TODAY()-AI619&gt;76,"Due Soon","Current"))))</f>
        <v/>
      </c>
    </row>
    <row r="620" ht="15" customHeight="1" s="39">
      <c r="A620" s="60" t="n"/>
      <c r="B620" s="60" t="n"/>
      <c r="C620" s="61" t="n"/>
      <c r="D620" s="61" t="n"/>
      <c r="E620" s="60" t="n"/>
      <c r="F620" s="60" t="n"/>
      <c r="G620" s="62" t="n"/>
      <c r="H620" s="62" t="n"/>
      <c r="I620" s="62" t="n"/>
      <c r="J620" s="60" t="n"/>
      <c r="K620" s="60" t="n"/>
      <c r="L620" s="60" t="n"/>
      <c r="M620" s="61" t="n"/>
      <c r="N620" s="60" t="n"/>
      <c r="O620" s="60" t="n"/>
      <c r="P620" s="60" t="n"/>
      <c r="Q620" s="60" t="n"/>
      <c r="R620" s="60" t="n"/>
      <c r="S620" s="60" t="n"/>
      <c r="T620" s="60" t="n"/>
      <c r="U620" s="60" t="n"/>
      <c r="V620" s="60" t="n"/>
      <c r="W620" s="60" t="n"/>
      <c r="X620" s="60" t="n"/>
      <c r="Y620" s="60" t="n"/>
      <c r="Z620" s="61" t="n"/>
      <c r="AA620" s="63">
        <f>IF($H620="","",TODAY()-$H620)</f>
        <v/>
      </c>
      <c r="AB620" s="63">
        <f>IF($A620="","",IF(AND($F620="Yes",OR($U620="No",$U620="NOT FOUND")),"YES",""))</f>
        <v/>
      </c>
      <c r="AC620" s="66">
        <f>IF($A620="","",TRIM(IF(AND($P620=0,$L620&lt;&gt;"Yes"),"T0-NoSmartcard ","")&amp;IF(AND($J620&lt;&gt;"",$J620&gt;365),"StalePwd ","")&amp;IF($K620="Yes","PwdNeverExpires ","")&amp;IF(AND($S620&lt;&gt;"",$S620&lt;&gt;"None"),"Delegation ","")&amp;IF(AND($Q620=1,$O620="None"),"StaleAdminCount ","")&amp;IF(AND($F620="Yes",$H620=""),"NeverLoggedOn ","")))</f>
        <v/>
      </c>
      <c r="AD620" s="60" t="n"/>
      <c r="AE620" s="61" t="n"/>
      <c r="AF620" s="60" t="n"/>
      <c r="AG620" s="62" t="n"/>
      <c r="AH620" s="62" t="n"/>
      <c r="AI620" s="62" t="n"/>
      <c r="AJ620" s="60" t="n"/>
      <c r="AK620" s="61" t="n"/>
      <c r="AL620" s="63">
        <f>IF($A620="","",IF(AH620="","Not Enrolled",IF(TODAY()&gt;AH620,"Review Overdue",IF(AH620-TODAY()&lt;=30,"Review Due Soon","Active"))))</f>
        <v/>
      </c>
      <c r="AM620" s="63">
        <f>IF($A620="","",IF(AI620="","NOT REVIEWED",IF(TODAY()-AI620&gt;90,"OVERDUE",IF(TODAY()-AI620&gt;76,"Due Soon","Current"))))</f>
        <v/>
      </c>
    </row>
    <row r="621" ht="15" customHeight="1" s="39">
      <c r="A621" s="60" t="n"/>
      <c r="B621" s="60" t="n"/>
      <c r="C621" s="61" t="n"/>
      <c r="D621" s="61" t="n"/>
      <c r="E621" s="60" t="n"/>
      <c r="F621" s="60" t="n"/>
      <c r="G621" s="62" t="n"/>
      <c r="H621" s="62" t="n"/>
      <c r="I621" s="62" t="n"/>
      <c r="J621" s="60" t="n"/>
      <c r="K621" s="60" t="n"/>
      <c r="L621" s="60" t="n"/>
      <c r="M621" s="61" t="n"/>
      <c r="N621" s="60" t="n"/>
      <c r="O621" s="60" t="n"/>
      <c r="P621" s="60" t="n"/>
      <c r="Q621" s="60" t="n"/>
      <c r="R621" s="60" t="n"/>
      <c r="S621" s="60" t="n"/>
      <c r="T621" s="60" t="n"/>
      <c r="U621" s="60" t="n"/>
      <c r="V621" s="60" t="n"/>
      <c r="W621" s="60" t="n"/>
      <c r="X621" s="60" t="n"/>
      <c r="Y621" s="60" t="n"/>
      <c r="Z621" s="61" t="n"/>
      <c r="AA621" s="63">
        <f>IF($H621="","",TODAY()-$H621)</f>
        <v/>
      </c>
      <c r="AB621" s="63">
        <f>IF($A621="","",IF(AND($F621="Yes",OR($U621="No",$U621="NOT FOUND")),"YES",""))</f>
        <v/>
      </c>
      <c r="AC621" s="66">
        <f>IF($A621="","",TRIM(IF(AND($P621=0,$L621&lt;&gt;"Yes"),"T0-NoSmartcard ","")&amp;IF(AND($J621&lt;&gt;"",$J621&gt;365),"StalePwd ","")&amp;IF($K621="Yes","PwdNeverExpires ","")&amp;IF(AND($S621&lt;&gt;"",$S621&lt;&gt;"None"),"Delegation ","")&amp;IF(AND($Q621=1,$O621="None"),"StaleAdminCount ","")&amp;IF(AND($F621="Yes",$H621=""),"NeverLoggedOn ","")))</f>
        <v/>
      </c>
      <c r="AD621" s="60" t="n"/>
      <c r="AE621" s="61" t="n"/>
      <c r="AF621" s="60" t="n"/>
      <c r="AG621" s="62" t="n"/>
      <c r="AH621" s="62" t="n"/>
      <c r="AI621" s="62" t="n"/>
      <c r="AJ621" s="60" t="n"/>
      <c r="AK621" s="61" t="n"/>
      <c r="AL621" s="63">
        <f>IF($A621="","",IF(AH621="","Not Enrolled",IF(TODAY()&gt;AH621,"Review Overdue",IF(AH621-TODAY()&lt;=30,"Review Due Soon","Active"))))</f>
        <v/>
      </c>
      <c r="AM621" s="63">
        <f>IF($A621="","",IF(AI621="","NOT REVIEWED",IF(TODAY()-AI621&gt;90,"OVERDUE",IF(TODAY()-AI621&gt;76,"Due Soon","Current"))))</f>
        <v/>
      </c>
    </row>
    <row r="622" ht="15" customHeight="1" s="39">
      <c r="A622" s="60" t="n"/>
      <c r="B622" s="60" t="n"/>
      <c r="C622" s="61" t="n"/>
      <c r="D622" s="61" t="n"/>
      <c r="E622" s="60" t="n"/>
      <c r="F622" s="60" t="n"/>
      <c r="G622" s="62" t="n"/>
      <c r="H622" s="62" t="n"/>
      <c r="I622" s="62" t="n"/>
      <c r="J622" s="60" t="n"/>
      <c r="K622" s="60" t="n"/>
      <c r="L622" s="60" t="n"/>
      <c r="M622" s="61" t="n"/>
      <c r="N622" s="60" t="n"/>
      <c r="O622" s="60" t="n"/>
      <c r="P622" s="60" t="n"/>
      <c r="Q622" s="60" t="n"/>
      <c r="R622" s="60" t="n"/>
      <c r="S622" s="60" t="n"/>
      <c r="T622" s="60" t="n"/>
      <c r="U622" s="60" t="n"/>
      <c r="V622" s="60" t="n"/>
      <c r="W622" s="60" t="n"/>
      <c r="X622" s="60" t="n"/>
      <c r="Y622" s="60" t="n"/>
      <c r="Z622" s="61" t="n"/>
      <c r="AA622" s="63">
        <f>IF($H622="","",TODAY()-$H622)</f>
        <v/>
      </c>
      <c r="AB622" s="63">
        <f>IF($A622="","",IF(AND($F622="Yes",OR($U622="No",$U622="NOT FOUND")),"YES",""))</f>
        <v/>
      </c>
      <c r="AC622" s="66">
        <f>IF($A622="","",TRIM(IF(AND($P622=0,$L622&lt;&gt;"Yes"),"T0-NoSmartcard ","")&amp;IF(AND($J622&lt;&gt;"",$J622&gt;365),"StalePwd ","")&amp;IF($K622="Yes","PwdNeverExpires ","")&amp;IF(AND($S622&lt;&gt;"",$S622&lt;&gt;"None"),"Delegation ","")&amp;IF(AND($Q622=1,$O622="None"),"StaleAdminCount ","")&amp;IF(AND($F622="Yes",$H622=""),"NeverLoggedOn ","")))</f>
        <v/>
      </c>
      <c r="AD622" s="60" t="n"/>
      <c r="AE622" s="61" t="n"/>
      <c r="AF622" s="60" t="n"/>
      <c r="AG622" s="62" t="n"/>
      <c r="AH622" s="62" t="n"/>
      <c r="AI622" s="62" t="n"/>
      <c r="AJ622" s="60" t="n"/>
      <c r="AK622" s="61" t="n"/>
      <c r="AL622" s="63">
        <f>IF($A622="","",IF(AH622="","Not Enrolled",IF(TODAY()&gt;AH622,"Review Overdue",IF(AH622-TODAY()&lt;=30,"Review Due Soon","Active"))))</f>
        <v/>
      </c>
      <c r="AM622" s="63">
        <f>IF($A622="","",IF(AI622="","NOT REVIEWED",IF(TODAY()-AI622&gt;90,"OVERDUE",IF(TODAY()-AI622&gt;76,"Due Soon","Current"))))</f>
        <v/>
      </c>
    </row>
    <row r="623" ht="15" customHeight="1" s="39">
      <c r="A623" s="60" t="n"/>
      <c r="B623" s="60" t="n"/>
      <c r="C623" s="61" t="n"/>
      <c r="D623" s="61" t="n"/>
      <c r="E623" s="60" t="n"/>
      <c r="F623" s="60" t="n"/>
      <c r="G623" s="62" t="n"/>
      <c r="H623" s="62" t="n"/>
      <c r="I623" s="62" t="n"/>
      <c r="J623" s="60" t="n"/>
      <c r="K623" s="60" t="n"/>
      <c r="L623" s="60" t="n"/>
      <c r="M623" s="61" t="n"/>
      <c r="N623" s="60" t="n"/>
      <c r="O623" s="60" t="n"/>
      <c r="P623" s="60" t="n"/>
      <c r="Q623" s="60" t="n"/>
      <c r="R623" s="60" t="n"/>
      <c r="S623" s="60" t="n"/>
      <c r="T623" s="60" t="n"/>
      <c r="U623" s="60" t="n"/>
      <c r="V623" s="60" t="n"/>
      <c r="W623" s="60" t="n"/>
      <c r="X623" s="60" t="n"/>
      <c r="Y623" s="60" t="n"/>
      <c r="Z623" s="61" t="n"/>
      <c r="AA623" s="63">
        <f>IF($H623="","",TODAY()-$H623)</f>
        <v/>
      </c>
      <c r="AB623" s="63">
        <f>IF($A623="","",IF(AND($F623="Yes",OR($U623="No",$U623="NOT FOUND")),"YES",""))</f>
        <v/>
      </c>
      <c r="AC623" s="66">
        <f>IF($A623="","",TRIM(IF(AND($P623=0,$L623&lt;&gt;"Yes"),"T0-NoSmartcard ","")&amp;IF(AND($J623&lt;&gt;"",$J623&gt;365),"StalePwd ","")&amp;IF($K623="Yes","PwdNeverExpires ","")&amp;IF(AND($S623&lt;&gt;"",$S623&lt;&gt;"None"),"Delegation ","")&amp;IF(AND($Q623=1,$O623="None"),"StaleAdminCount ","")&amp;IF(AND($F623="Yes",$H623=""),"NeverLoggedOn ","")))</f>
        <v/>
      </c>
      <c r="AD623" s="60" t="n"/>
      <c r="AE623" s="61" t="n"/>
      <c r="AF623" s="60" t="n"/>
      <c r="AG623" s="62" t="n"/>
      <c r="AH623" s="62" t="n"/>
      <c r="AI623" s="62" t="n"/>
      <c r="AJ623" s="60" t="n"/>
      <c r="AK623" s="61" t="n"/>
      <c r="AL623" s="63">
        <f>IF($A623="","",IF(AH623="","Not Enrolled",IF(TODAY()&gt;AH623,"Review Overdue",IF(AH623-TODAY()&lt;=30,"Review Due Soon","Active"))))</f>
        <v/>
      </c>
      <c r="AM623" s="63">
        <f>IF($A623="","",IF(AI623="","NOT REVIEWED",IF(TODAY()-AI623&gt;90,"OVERDUE",IF(TODAY()-AI623&gt;76,"Due Soon","Current"))))</f>
        <v/>
      </c>
    </row>
    <row r="624" ht="15" customHeight="1" s="39">
      <c r="A624" s="60" t="n"/>
      <c r="B624" s="60" t="n"/>
      <c r="C624" s="61" t="n"/>
      <c r="D624" s="61" t="n"/>
      <c r="E624" s="60" t="n"/>
      <c r="F624" s="60" t="n"/>
      <c r="G624" s="62" t="n"/>
      <c r="H624" s="62" t="n"/>
      <c r="I624" s="62" t="n"/>
      <c r="J624" s="60" t="n"/>
      <c r="K624" s="60" t="n"/>
      <c r="L624" s="60" t="n"/>
      <c r="M624" s="61" t="n"/>
      <c r="N624" s="60" t="n"/>
      <c r="O624" s="60" t="n"/>
      <c r="P624" s="60" t="n"/>
      <c r="Q624" s="60" t="n"/>
      <c r="R624" s="60" t="n"/>
      <c r="S624" s="60" t="n"/>
      <c r="T624" s="60" t="n"/>
      <c r="U624" s="60" t="n"/>
      <c r="V624" s="60" t="n"/>
      <c r="W624" s="60" t="n"/>
      <c r="X624" s="60" t="n"/>
      <c r="Y624" s="60" t="n"/>
      <c r="Z624" s="61" t="n"/>
      <c r="AA624" s="63">
        <f>IF($H624="","",TODAY()-$H624)</f>
        <v/>
      </c>
      <c r="AB624" s="63">
        <f>IF($A624="","",IF(AND($F624="Yes",OR($U624="No",$U624="NOT FOUND")),"YES",""))</f>
        <v/>
      </c>
      <c r="AC624" s="66">
        <f>IF($A624="","",TRIM(IF(AND($P624=0,$L624&lt;&gt;"Yes"),"T0-NoSmartcard ","")&amp;IF(AND($J624&lt;&gt;"",$J624&gt;365),"StalePwd ","")&amp;IF($K624="Yes","PwdNeverExpires ","")&amp;IF(AND($S624&lt;&gt;"",$S624&lt;&gt;"None"),"Delegation ","")&amp;IF(AND($Q624=1,$O624="None"),"StaleAdminCount ","")&amp;IF(AND($F624="Yes",$H624=""),"NeverLoggedOn ","")))</f>
        <v/>
      </c>
      <c r="AD624" s="60" t="n"/>
      <c r="AE624" s="61" t="n"/>
      <c r="AF624" s="60" t="n"/>
      <c r="AG624" s="62" t="n"/>
      <c r="AH624" s="62" t="n"/>
      <c r="AI624" s="62" t="n"/>
      <c r="AJ624" s="60" t="n"/>
      <c r="AK624" s="61" t="n"/>
      <c r="AL624" s="63">
        <f>IF($A624="","",IF(AH624="","Not Enrolled",IF(TODAY()&gt;AH624,"Review Overdue",IF(AH624-TODAY()&lt;=30,"Review Due Soon","Active"))))</f>
        <v/>
      </c>
      <c r="AM624" s="63">
        <f>IF($A624="","",IF(AI624="","NOT REVIEWED",IF(TODAY()-AI624&gt;90,"OVERDUE",IF(TODAY()-AI624&gt;76,"Due Soon","Current"))))</f>
        <v/>
      </c>
    </row>
    <row r="625" ht="15" customHeight="1" s="39">
      <c r="A625" s="60" t="n"/>
      <c r="B625" s="60" t="n"/>
      <c r="C625" s="61" t="n"/>
      <c r="D625" s="61" t="n"/>
      <c r="E625" s="60" t="n"/>
      <c r="F625" s="60" t="n"/>
      <c r="G625" s="62" t="n"/>
      <c r="H625" s="62" t="n"/>
      <c r="I625" s="62" t="n"/>
      <c r="J625" s="60" t="n"/>
      <c r="K625" s="60" t="n"/>
      <c r="L625" s="60" t="n"/>
      <c r="M625" s="61" t="n"/>
      <c r="N625" s="60" t="n"/>
      <c r="O625" s="60" t="n"/>
      <c r="P625" s="60" t="n"/>
      <c r="Q625" s="60" t="n"/>
      <c r="R625" s="60" t="n"/>
      <c r="S625" s="60" t="n"/>
      <c r="T625" s="60" t="n"/>
      <c r="U625" s="60" t="n"/>
      <c r="V625" s="60" t="n"/>
      <c r="W625" s="60" t="n"/>
      <c r="X625" s="60" t="n"/>
      <c r="Y625" s="60" t="n"/>
      <c r="Z625" s="61" t="n"/>
      <c r="AA625" s="63">
        <f>IF($H625="","",TODAY()-$H625)</f>
        <v/>
      </c>
      <c r="AB625" s="63">
        <f>IF($A625="","",IF(AND($F625="Yes",OR($U625="No",$U625="NOT FOUND")),"YES",""))</f>
        <v/>
      </c>
      <c r="AC625" s="66">
        <f>IF($A625="","",TRIM(IF(AND($P625=0,$L625&lt;&gt;"Yes"),"T0-NoSmartcard ","")&amp;IF(AND($J625&lt;&gt;"",$J625&gt;365),"StalePwd ","")&amp;IF($K625="Yes","PwdNeverExpires ","")&amp;IF(AND($S625&lt;&gt;"",$S625&lt;&gt;"None"),"Delegation ","")&amp;IF(AND($Q625=1,$O625="None"),"StaleAdminCount ","")&amp;IF(AND($F625="Yes",$H625=""),"NeverLoggedOn ","")))</f>
        <v/>
      </c>
      <c r="AD625" s="60" t="n"/>
      <c r="AE625" s="61" t="n"/>
      <c r="AF625" s="60" t="n"/>
      <c r="AG625" s="62" t="n"/>
      <c r="AH625" s="62" t="n"/>
      <c r="AI625" s="62" t="n"/>
      <c r="AJ625" s="60" t="n"/>
      <c r="AK625" s="61" t="n"/>
      <c r="AL625" s="63">
        <f>IF($A625="","",IF(AH625="","Not Enrolled",IF(TODAY()&gt;AH625,"Review Overdue",IF(AH625-TODAY()&lt;=30,"Review Due Soon","Active"))))</f>
        <v/>
      </c>
      <c r="AM625" s="63">
        <f>IF($A625="","",IF(AI625="","NOT REVIEWED",IF(TODAY()-AI625&gt;90,"OVERDUE",IF(TODAY()-AI625&gt;76,"Due Soon","Current"))))</f>
        <v/>
      </c>
    </row>
    <row r="626" ht="15" customHeight="1" s="39">
      <c r="A626" s="60" t="n"/>
      <c r="B626" s="60" t="n"/>
      <c r="C626" s="61" t="n"/>
      <c r="D626" s="61" t="n"/>
      <c r="E626" s="60" t="n"/>
      <c r="F626" s="60" t="n"/>
      <c r="G626" s="62" t="n"/>
      <c r="H626" s="62" t="n"/>
      <c r="I626" s="62" t="n"/>
      <c r="J626" s="60" t="n"/>
      <c r="K626" s="60" t="n"/>
      <c r="L626" s="60" t="n"/>
      <c r="M626" s="61" t="n"/>
      <c r="N626" s="60" t="n"/>
      <c r="O626" s="60" t="n"/>
      <c r="P626" s="60" t="n"/>
      <c r="Q626" s="60" t="n"/>
      <c r="R626" s="60" t="n"/>
      <c r="S626" s="60" t="n"/>
      <c r="T626" s="60" t="n"/>
      <c r="U626" s="60" t="n"/>
      <c r="V626" s="60" t="n"/>
      <c r="W626" s="60" t="n"/>
      <c r="X626" s="60" t="n"/>
      <c r="Y626" s="60" t="n"/>
      <c r="Z626" s="61" t="n"/>
      <c r="AA626" s="63">
        <f>IF($H626="","",TODAY()-$H626)</f>
        <v/>
      </c>
      <c r="AB626" s="63">
        <f>IF($A626="","",IF(AND($F626="Yes",OR($U626="No",$U626="NOT FOUND")),"YES",""))</f>
        <v/>
      </c>
      <c r="AC626" s="66">
        <f>IF($A626="","",TRIM(IF(AND($P626=0,$L626&lt;&gt;"Yes"),"T0-NoSmartcard ","")&amp;IF(AND($J626&lt;&gt;"",$J626&gt;365),"StalePwd ","")&amp;IF($K626="Yes","PwdNeverExpires ","")&amp;IF(AND($S626&lt;&gt;"",$S626&lt;&gt;"None"),"Delegation ","")&amp;IF(AND($Q626=1,$O626="None"),"StaleAdminCount ","")&amp;IF(AND($F626="Yes",$H626=""),"NeverLoggedOn ","")))</f>
        <v/>
      </c>
      <c r="AD626" s="60" t="n"/>
      <c r="AE626" s="61" t="n"/>
      <c r="AF626" s="60" t="n"/>
      <c r="AG626" s="62" t="n"/>
      <c r="AH626" s="62" t="n"/>
      <c r="AI626" s="62" t="n"/>
      <c r="AJ626" s="60" t="n"/>
      <c r="AK626" s="61" t="n"/>
      <c r="AL626" s="63">
        <f>IF($A626="","",IF(AH626="","Not Enrolled",IF(TODAY()&gt;AH626,"Review Overdue",IF(AH626-TODAY()&lt;=30,"Review Due Soon","Active"))))</f>
        <v/>
      </c>
      <c r="AM626" s="63">
        <f>IF($A626="","",IF(AI626="","NOT REVIEWED",IF(TODAY()-AI626&gt;90,"OVERDUE",IF(TODAY()-AI626&gt;76,"Due Soon","Current"))))</f>
        <v/>
      </c>
    </row>
    <row r="627" ht="15" customHeight="1" s="39">
      <c r="A627" s="60" t="n"/>
      <c r="B627" s="60" t="n"/>
      <c r="C627" s="61" t="n"/>
      <c r="D627" s="61" t="n"/>
      <c r="E627" s="60" t="n"/>
      <c r="F627" s="60" t="n"/>
      <c r="G627" s="62" t="n"/>
      <c r="H627" s="62" t="n"/>
      <c r="I627" s="62" t="n"/>
      <c r="J627" s="60" t="n"/>
      <c r="K627" s="60" t="n"/>
      <c r="L627" s="60" t="n"/>
      <c r="M627" s="61" t="n"/>
      <c r="N627" s="60" t="n"/>
      <c r="O627" s="60" t="n"/>
      <c r="P627" s="60" t="n"/>
      <c r="Q627" s="60" t="n"/>
      <c r="R627" s="60" t="n"/>
      <c r="S627" s="60" t="n"/>
      <c r="T627" s="60" t="n"/>
      <c r="U627" s="60" t="n"/>
      <c r="V627" s="60" t="n"/>
      <c r="W627" s="60" t="n"/>
      <c r="X627" s="60" t="n"/>
      <c r="Y627" s="60" t="n"/>
      <c r="Z627" s="61" t="n"/>
      <c r="AA627" s="63">
        <f>IF($H627="","",TODAY()-$H627)</f>
        <v/>
      </c>
      <c r="AB627" s="63">
        <f>IF($A627="","",IF(AND($F627="Yes",OR($U627="No",$U627="NOT FOUND")),"YES",""))</f>
        <v/>
      </c>
      <c r="AC627" s="66">
        <f>IF($A627="","",TRIM(IF(AND($P627=0,$L627&lt;&gt;"Yes"),"T0-NoSmartcard ","")&amp;IF(AND($J627&lt;&gt;"",$J627&gt;365),"StalePwd ","")&amp;IF($K627="Yes","PwdNeverExpires ","")&amp;IF(AND($S627&lt;&gt;"",$S627&lt;&gt;"None"),"Delegation ","")&amp;IF(AND($Q627=1,$O627="None"),"StaleAdminCount ","")&amp;IF(AND($F627="Yes",$H627=""),"NeverLoggedOn ","")))</f>
        <v/>
      </c>
      <c r="AD627" s="60" t="n"/>
      <c r="AE627" s="61" t="n"/>
      <c r="AF627" s="60" t="n"/>
      <c r="AG627" s="62" t="n"/>
      <c r="AH627" s="62" t="n"/>
      <c r="AI627" s="62" t="n"/>
      <c r="AJ627" s="60" t="n"/>
      <c r="AK627" s="61" t="n"/>
      <c r="AL627" s="63">
        <f>IF($A627="","",IF(AH627="","Not Enrolled",IF(TODAY()&gt;AH627,"Review Overdue",IF(AH627-TODAY()&lt;=30,"Review Due Soon","Active"))))</f>
        <v/>
      </c>
      <c r="AM627" s="63">
        <f>IF($A627="","",IF(AI627="","NOT REVIEWED",IF(TODAY()-AI627&gt;90,"OVERDUE",IF(TODAY()-AI627&gt;76,"Due Soon","Current"))))</f>
        <v/>
      </c>
    </row>
    <row r="628" ht="15" customHeight="1" s="39">
      <c r="A628" s="60" t="n"/>
      <c r="B628" s="60" t="n"/>
      <c r="C628" s="61" t="n"/>
      <c r="D628" s="61" t="n"/>
      <c r="E628" s="60" t="n"/>
      <c r="F628" s="60" t="n"/>
      <c r="G628" s="62" t="n"/>
      <c r="H628" s="62" t="n"/>
      <c r="I628" s="62" t="n"/>
      <c r="J628" s="60" t="n"/>
      <c r="K628" s="60" t="n"/>
      <c r="L628" s="60" t="n"/>
      <c r="M628" s="61" t="n"/>
      <c r="N628" s="60" t="n"/>
      <c r="O628" s="60" t="n"/>
      <c r="P628" s="60" t="n"/>
      <c r="Q628" s="60" t="n"/>
      <c r="R628" s="60" t="n"/>
      <c r="S628" s="60" t="n"/>
      <c r="T628" s="60" t="n"/>
      <c r="U628" s="60" t="n"/>
      <c r="V628" s="60" t="n"/>
      <c r="W628" s="60" t="n"/>
      <c r="X628" s="60" t="n"/>
      <c r="Y628" s="60" t="n"/>
      <c r="Z628" s="61" t="n"/>
      <c r="AA628" s="63">
        <f>IF($H628="","",TODAY()-$H628)</f>
        <v/>
      </c>
      <c r="AB628" s="63">
        <f>IF($A628="","",IF(AND($F628="Yes",OR($U628="No",$U628="NOT FOUND")),"YES",""))</f>
        <v/>
      </c>
      <c r="AC628" s="66">
        <f>IF($A628="","",TRIM(IF(AND($P628=0,$L628&lt;&gt;"Yes"),"T0-NoSmartcard ","")&amp;IF(AND($J628&lt;&gt;"",$J628&gt;365),"StalePwd ","")&amp;IF($K628="Yes","PwdNeverExpires ","")&amp;IF(AND($S628&lt;&gt;"",$S628&lt;&gt;"None"),"Delegation ","")&amp;IF(AND($Q628=1,$O628="None"),"StaleAdminCount ","")&amp;IF(AND($F628="Yes",$H628=""),"NeverLoggedOn ","")))</f>
        <v/>
      </c>
      <c r="AD628" s="60" t="n"/>
      <c r="AE628" s="61" t="n"/>
      <c r="AF628" s="60" t="n"/>
      <c r="AG628" s="62" t="n"/>
      <c r="AH628" s="62" t="n"/>
      <c r="AI628" s="62" t="n"/>
      <c r="AJ628" s="60" t="n"/>
      <c r="AK628" s="61" t="n"/>
      <c r="AL628" s="63">
        <f>IF($A628="","",IF(AH628="","Not Enrolled",IF(TODAY()&gt;AH628,"Review Overdue",IF(AH628-TODAY()&lt;=30,"Review Due Soon","Active"))))</f>
        <v/>
      </c>
      <c r="AM628" s="63">
        <f>IF($A628="","",IF(AI628="","NOT REVIEWED",IF(TODAY()-AI628&gt;90,"OVERDUE",IF(TODAY()-AI628&gt;76,"Due Soon","Current"))))</f>
        <v/>
      </c>
    </row>
    <row r="629" ht="15" customHeight="1" s="39">
      <c r="A629" s="60" t="n"/>
      <c r="B629" s="60" t="n"/>
      <c r="C629" s="61" t="n"/>
      <c r="D629" s="61" t="n"/>
      <c r="E629" s="60" t="n"/>
      <c r="F629" s="60" t="n"/>
      <c r="G629" s="62" t="n"/>
      <c r="H629" s="62" t="n"/>
      <c r="I629" s="62" t="n"/>
      <c r="J629" s="60" t="n"/>
      <c r="K629" s="60" t="n"/>
      <c r="L629" s="60" t="n"/>
      <c r="M629" s="61" t="n"/>
      <c r="N629" s="60" t="n"/>
      <c r="O629" s="60" t="n"/>
      <c r="P629" s="60" t="n"/>
      <c r="Q629" s="60" t="n"/>
      <c r="R629" s="60" t="n"/>
      <c r="S629" s="60" t="n"/>
      <c r="T629" s="60" t="n"/>
      <c r="U629" s="60" t="n"/>
      <c r="V629" s="60" t="n"/>
      <c r="W629" s="60" t="n"/>
      <c r="X629" s="60" t="n"/>
      <c r="Y629" s="60" t="n"/>
      <c r="Z629" s="61" t="n"/>
      <c r="AA629" s="63">
        <f>IF($H629="","",TODAY()-$H629)</f>
        <v/>
      </c>
      <c r="AB629" s="63">
        <f>IF($A629="","",IF(AND($F629="Yes",OR($U629="No",$U629="NOT FOUND")),"YES",""))</f>
        <v/>
      </c>
      <c r="AC629" s="66">
        <f>IF($A629="","",TRIM(IF(AND($P629=0,$L629&lt;&gt;"Yes"),"T0-NoSmartcard ","")&amp;IF(AND($J629&lt;&gt;"",$J629&gt;365),"StalePwd ","")&amp;IF($K629="Yes","PwdNeverExpires ","")&amp;IF(AND($S629&lt;&gt;"",$S629&lt;&gt;"None"),"Delegation ","")&amp;IF(AND($Q629=1,$O629="None"),"StaleAdminCount ","")&amp;IF(AND($F629="Yes",$H629=""),"NeverLoggedOn ","")))</f>
        <v/>
      </c>
      <c r="AD629" s="60" t="n"/>
      <c r="AE629" s="61" t="n"/>
      <c r="AF629" s="60" t="n"/>
      <c r="AG629" s="62" t="n"/>
      <c r="AH629" s="62" t="n"/>
      <c r="AI629" s="62" t="n"/>
      <c r="AJ629" s="60" t="n"/>
      <c r="AK629" s="61" t="n"/>
      <c r="AL629" s="63">
        <f>IF($A629="","",IF(AH629="","Not Enrolled",IF(TODAY()&gt;AH629,"Review Overdue",IF(AH629-TODAY()&lt;=30,"Review Due Soon","Active"))))</f>
        <v/>
      </c>
      <c r="AM629" s="63">
        <f>IF($A629="","",IF(AI629="","NOT REVIEWED",IF(TODAY()-AI629&gt;90,"OVERDUE",IF(TODAY()-AI629&gt;76,"Due Soon","Current"))))</f>
        <v/>
      </c>
    </row>
    <row r="630" ht="15" customHeight="1" s="39">
      <c r="A630" s="60" t="n"/>
      <c r="B630" s="60" t="n"/>
      <c r="C630" s="61" t="n"/>
      <c r="D630" s="61" t="n"/>
      <c r="E630" s="60" t="n"/>
      <c r="F630" s="60" t="n"/>
      <c r="G630" s="62" t="n"/>
      <c r="H630" s="62" t="n"/>
      <c r="I630" s="62" t="n"/>
      <c r="J630" s="60" t="n"/>
      <c r="K630" s="60" t="n"/>
      <c r="L630" s="60" t="n"/>
      <c r="M630" s="61" t="n"/>
      <c r="N630" s="60" t="n"/>
      <c r="O630" s="60" t="n"/>
      <c r="P630" s="60" t="n"/>
      <c r="Q630" s="60" t="n"/>
      <c r="R630" s="60" t="n"/>
      <c r="S630" s="60" t="n"/>
      <c r="T630" s="60" t="n"/>
      <c r="U630" s="60" t="n"/>
      <c r="V630" s="60" t="n"/>
      <c r="W630" s="60" t="n"/>
      <c r="X630" s="60" t="n"/>
      <c r="Y630" s="60" t="n"/>
      <c r="Z630" s="61" t="n"/>
      <c r="AA630" s="63">
        <f>IF($H630="","",TODAY()-$H630)</f>
        <v/>
      </c>
      <c r="AB630" s="63">
        <f>IF($A630="","",IF(AND($F630="Yes",OR($U630="No",$U630="NOT FOUND")),"YES",""))</f>
        <v/>
      </c>
      <c r="AC630" s="66">
        <f>IF($A630="","",TRIM(IF(AND($P630=0,$L630&lt;&gt;"Yes"),"T0-NoSmartcard ","")&amp;IF(AND($J630&lt;&gt;"",$J630&gt;365),"StalePwd ","")&amp;IF($K630="Yes","PwdNeverExpires ","")&amp;IF(AND($S630&lt;&gt;"",$S630&lt;&gt;"None"),"Delegation ","")&amp;IF(AND($Q630=1,$O630="None"),"StaleAdminCount ","")&amp;IF(AND($F630="Yes",$H630=""),"NeverLoggedOn ","")))</f>
        <v/>
      </c>
      <c r="AD630" s="60" t="n"/>
      <c r="AE630" s="61" t="n"/>
      <c r="AF630" s="60" t="n"/>
      <c r="AG630" s="62" t="n"/>
      <c r="AH630" s="62" t="n"/>
      <c r="AI630" s="62" t="n"/>
      <c r="AJ630" s="60" t="n"/>
      <c r="AK630" s="61" t="n"/>
      <c r="AL630" s="63">
        <f>IF($A630="","",IF(AH630="","Not Enrolled",IF(TODAY()&gt;AH630,"Review Overdue",IF(AH630-TODAY()&lt;=30,"Review Due Soon","Active"))))</f>
        <v/>
      </c>
      <c r="AM630" s="63">
        <f>IF($A630="","",IF(AI630="","NOT REVIEWED",IF(TODAY()-AI630&gt;90,"OVERDUE",IF(TODAY()-AI630&gt;76,"Due Soon","Current"))))</f>
        <v/>
      </c>
    </row>
    <row r="631" ht="15" customHeight="1" s="39">
      <c r="A631" s="60" t="n"/>
      <c r="B631" s="60" t="n"/>
      <c r="C631" s="61" t="n"/>
      <c r="D631" s="61" t="n"/>
      <c r="E631" s="60" t="n"/>
      <c r="F631" s="60" t="n"/>
      <c r="G631" s="62" t="n"/>
      <c r="H631" s="62" t="n"/>
      <c r="I631" s="62" t="n"/>
      <c r="J631" s="60" t="n"/>
      <c r="K631" s="60" t="n"/>
      <c r="L631" s="60" t="n"/>
      <c r="M631" s="61" t="n"/>
      <c r="N631" s="60" t="n"/>
      <c r="O631" s="60" t="n"/>
      <c r="P631" s="60" t="n"/>
      <c r="Q631" s="60" t="n"/>
      <c r="R631" s="60" t="n"/>
      <c r="S631" s="60" t="n"/>
      <c r="T631" s="60" t="n"/>
      <c r="U631" s="60" t="n"/>
      <c r="V631" s="60" t="n"/>
      <c r="W631" s="60" t="n"/>
      <c r="X631" s="60" t="n"/>
      <c r="Y631" s="60" t="n"/>
      <c r="Z631" s="61" t="n"/>
      <c r="AA631" s="63">
        <f>IF($H631="","",TODAY()-$H631)</f>
        <v/>
      </c>
      <c r="AB631" s="63">
        <f>IF($A631="","",IF(AND($F631="Yes",OR($U631="No",$U631="NOT FOUND")),"YES",""))</f>
        <v/>
      </c>
      <c r="AC631" s="66">
        <f>IF($A631="","",TRIM(IF(AND($P631=0,$L631&lt;&gt;"Yes"),"T0-NoSmartcard ","")&amp;IF(AND($J631&lt;&gt;"",$J631&gt;365),"StalePwd ","")&amp;IF($K631="Yes","PwdNeverExpires ","")&amp;IF(AND($S631&lt;&gt;"",$S631&lt;&gt;"None"),"Delegation ","")&amp;IF(AND($Q631=1,$O631="None"),"StaleAdminCount ","")&amp;IF(AND($F631="Yes",$H631=""),"NeverLoggedOn ","")))</f>
        <v/>
      </c>
      <c r="AD631" s="60" t="n"/>
      <c r="AE631" s="61" t="n"/>
      <c r="AF631" s="60" t="n"/>
      <c r="AG631" s="62" t="n"/>
      <c r="AH631" s="62" t="n"/>
      <c r="AI631" s="62" t="n"/>
      <c r="AJ631" s="60" t="n"/>
      <c r="AK631" s="61" t="n"/>
      <c r="AL631" s="63">
        <f>IF($A631="","",IF(AH631="","Not Enrolled",IF(TODAY()&gt;AH631,"Review Overdue",IF(AH631-TODAY()&lt;=30,"Review Due Soon","Active"))))</f>
        <v/>
      </c>
      <c r="AM631" s="63">
        <f>IF($A631="","",IF(AI631="","NOT REVIEWED",IF(TODAY()-AI631&gt;90,"OVERDUE",IF(TODAY()-AI631&gt;76,"Due Soon","Current"))))</f>
        <v/>
      </c>
    </row>
    <row r="632" ht="15" customHeight="1" s="39">
      <c r="A632" s="60" t="n"/>
      <c r="B632" s="60" t="n"/>
      <c r="C632" s="61" t="n"/>
      <c r="D632" s="61" t="n"/>
      <c r="E632" s="60" t="n"/>
      <c r="F632" s="60" t="n"/>
      <c r="G632" s="62" t="n"/>
      <c r="H632" s="62" t="n"/>
      <c r="I632" s="62" t="n"/>
      <c r="J632" s="60" t="n"/>
      <c r="K632" s="60" t="n"/>
      <c r="L632" s="60" t="n"/>
      <c r="M632" s="61" t="n"/>
      <c r="N632" s="60" t="n"/>
      <c r="O632" s="60" t="n"/>
      <c r="P632" s="60" t="n"/>
      <c r="Q632" s="60" t="n"/>
      <c r="R632" s="60" t="n"/>
      <c r="S632" s="60" t="n"/>
      <c r="T632" s="60" t="n"/>
      <c r="U632" s="60" t="n"/>
      <c r="V632" s="60" t="n"/>
      <c r="W632" s="60" t="n"/>
      <c r="X632" s="60" t="n"/>
      <c r="Y632" s="60" t="n"/>
      <c r="Z632" s="61" t="n"/>
      <c r="AA632" s="63">
        <f>IF($H632="","",TODAY()-$H632)</f>
        <v/>
      </c>
      <c r="AB632" s="63">
        <f>IF($A632="","",IF(AND($F632="Yes",OR($U632="No",$U632="NOT FOUND")),"YES",""))</f>
        <v/>
      </c>
      <c r="AC632" s="66">
        <f>IF($A632="","",TRIM(IF(AND($P632=0,$L632&lt;&gt;"Yes"),"T0-NoSmartcard ","")&amp;IF(AND($J632&lt;&gt;"",$J632&gt;365),"StalePwd ","")&amp;IF($K632="Yes","PwdNeverExpires ","")&amp;IF(AND($S632&lt;&gt;"",$S632&lt;&gt;"None"),"Delegation ","")&amp;IF(AND($Q632=1,$O632="None"),"StaleAdminCount ","")&amp;IF(AND($F632="Yes",$H632=""),"NeverLoggedOn ","")))</f>
        <v/>
      </c>
      <c r="AD632" s="60" t="n"/>
      <c r="AE632" s="61" t="n"/>
      <c r="AF632" s="60" t="n"/>
      <c r="AG632" s="62" t="n"/>
      <c r="AH632" s="62" t="n"/>
      <c r="AI632" s="62" t="n"/>
      <c r="AJ632" s="60" t="n"/>
      <c r="AK632" s="61" t="n"/>
      <c r="AL632" s="63">
        <f>IF($A632="","",IF(AH632="","Not Enrolled",IF(TODAY()&gt;AH632,"Review Overdue",IF(AH632-TODAY()&lt;=30,"Review Due Soon","Active"))))</f>
        <v/>
      </c>
      <c r="AM632" s="63">
        <f>IF($A632="","",IF(AI632="","NOT REVIEWED",IF(TODAY()-AI632&gt;90,"OVERDUE",IF(TODAY()-AI632&gt;76,"Due Soon","Current"))))</f>
        <v/>
      </c>
    </row>
    <row r="633" ht="15" customHeight="1" s="39">
      <c r="A633" s="60" t="n"/>
      <c r="B633" s="60" t="n"/>
      <c r="C633" s="61" t="n"/>
      <c r="D633" s="61" t="n"/>
      <c r="E633" s="60" t="n"/>
      <c r="F633" s="60" t="n"/>
      <c r="G633" s="62" t="n"/>
      <c r="H633" s="62" t="n"/>
      <c r="I633" s="62" t="n"/>
      <c r="J633" s="60" t="n"/>
      <c r="K633" s="60" t="n"/>
      <c r="L633" s="60" t="n"/>
      <c r="M633" s="61" t="n"/>
      <c r="N633" s="60" t="n"/>
      <c r="O633" s="60" t="n"/>
      <c r="P633" s="60" t="n"/>
      <c r="Q633" s="60" t="n"/>
      <c r="R633" s="60" t="n"/>
      <c r="S633" s="60" t="n"/>
      <c r="T633" s="60" t="n"/>
      <c r="U633" s="60" t="n"/>
      <c r="V633" s="60" t="n"/>
      <c r="W633" s="60" t="n"/>
      <c r="X633" s="60" t="n"/>
      <c r="Y633" s="60" t="n"/>
      <c r="Z633" s="61" t="n"/>
      <c r="AA633" s="63">
        <f>IF($H633="","",TODAY()-$H633)</f>
        <v/>
      </c>
      <c r="AB633" s="63">
        <f>IF($A633="","",IF(AND($F633="Yes",OR($U633="No",$U633="NOT FOUND")),"YES",""))</f>
        <v/>
      </c>
      <c r="AC633" s="66">
        <f>IF($A633="","",TRIM(IF(AND($P633=0,$L633&lt;&gt;"Yes"),"T0-NoSmartcard ","")&amp;IF(AND($J633&lt;&gt;"",$J633&gt;365),"StalePwd ","")&amp;IF($K633="Yes","PwdNeverExpires ","")&amp;IF(AND($S633&lt;&gt;"",$S633&lt;&gt;"None"),"Delegation ","")&amp;IF(AND($Q633=1,$O633="None"),"StaleAdminCount ","")&amp;IF(AND($F633="Yes",$H633=""),"NeverLoggedOn ","")))</f>
        <v/>
      </c>
      <c r="AD633" s="60" t="n"/>
      <c r="AE633" s="61" t="n"/>
      <c r="AF633" s="60" t="n"/>
      <c r="AG633" s="62" t="n"/>
      <c r="AH633" s="62" t="n"/>
      <c r="AI633" s="62" t="n"/>
      <c r="AJ633" s="60" t="n"/>
      <c r="AK633" s="61" t="n"/>
      <c r="AL633" s="63">
        <f>IF($A633="","",IF(AH633="","Not Enrolled",IF(TODAY()&gt;AH633,"Review Overdue",IF(AH633-TODAY()&lt;=30,"Review Due Soon","Active"))))</f>
        <v/>
      </c>
      <c r="AM633" s="63">
        <f>IF($A633="","",IF(AI633="","NOT REVIEWED",IF(TODAY()-AI633&gt;90,"OVERDUE",IF(TODAY()-AI633&gt;76,"Due Soon","Current"))))</f>
        <v/>
      </c>
    </row>
    <row r="634" ht="15" customHeight="1" s="39">
      <c r="A634" s="60" t="n"/>
      <c r="B634" s="60" t="n"/>
      <c r="C634" s="61" t="n"/>
      <c r="D634" s="61" t="n"/>
      <c r="E634" s="60" t="n"/>
      <c r="F634" s="60" t="n"/>
      <c r="G634" s="62" t="n"/>
      <c r="H634" s="62" t="n"/>
      <c r="I634" s="62" t="n"/>
      <c r="J634" s="60" t="n"/>
      <c r="K634" s="60" t="n"/>
      <c r="L634" s="60" t="n"/>
      <c r="M634" s="61" t="n"/>
      <c r="N634" s="60" t="n"/>
      <c r="O634" s="60" t="n"/>
      <c r="P634" s="60" t="n"/>
      <c r="Q634" s="60" t="n"/>
      <c r="R634" s="60" t="n"/>
      <c r="S634" s="60" t="n"/>
      <c r="T634" s="60" t="n"/>
      <c r="U634" s="60" t="n"/>
      <c r="V634" s="60" t="n"/>
      <c r="W634" s="60" t="n"/>
      <c r="X634" s="60" t="n"/>
      <c r="Y634" s="60" t="n"/>
      <c r="Z634" s="61" t="n"/>
      <c r="AA634" s="63">
        <f>IF($H634="","",TODAY()-$H634)</f>
        <v/>
      </c>
      <c r="AB634" s="63">
        <f>IF($A634="","",IF(AND($F634="Yes",OR($U634="No",$U634="NOT FOUND")),"YES",""))</f>
        <v/>
      </c>
      <c r="AC634" s="66">
        <f>IF($A634="","",TRIM(IF(AND($P634=0,$L634&lt;&gt;"Yes"),"T0-NoSmartcard ","")&amp;IF(AND($J634&lt;&gt;"",$J634&gt;365),"StalePwd ","")&amp;IF($K634="Yes","PwdNeverExpires ","")&amp;IF(AND($S634&lt;&gt;"",$S634&lt;&gt;"None"),"Delegation ","")&amp;IF(AND($Q634=1,$O634="None"),"StaleAdminCount ","")&amp;IF(AND($F634="Yes",$H634=""),"NeverLoggedOn ","")))</f>
        <v/>
      </c>
      <c r="AD634" s="60" t="n"/>
      <c r="AE634" s="61" t="n"/>
      <c r="AF634" s="60" t="n"/>
      <c r="AG634" s="62" t="n"/>
      <c r="AH634" s="62" t="n"/>
      <c r="AI634" s="62" t="n"/>
      <c r="AJ634" s="60" t="n"/>
      <c r="AK634" s="61" t="n"/>
      <c r="AL634" s="63">
        <f>IF($A634="","",IF(AH634="","Not Enrolled",IF(TODAY()&gt;AH634,"Review Overdue",IF(AH634-TODAY()&lt;=30,"Review Due Soon","Active"))))</f>
        <v/>
      </c>
      <c r="AM634" s="63">
        <f>IF($A634="","",IF(AI634="","NOT REVIEWED",IF(TODAY()-AI634&gt;90,"OVERDUE",IF(TODAY()-AI634&gt;76,"Due Soon","Current"))))</f>
        <v/>
      </c>
    </row>
    <row r="635" ht="15" customHeight="1" s="39">
      <c r="A635" s="60" t="n"/>
      <c r="B635" s="60" t="n"/>
      <c r="C635" s="61" t="n"/>
      <c r="D635" s="61" t="n"/>
      <c r="E635" s="60" t="n"/>
      <c r="F635" s="60" t="n"/>
      <c r="G635" s="62" t="n"/>
      <c r="H635" s="62" t="n"/>
      <c r="I635" s="62" t="n"/>
      <c r="J635" s="60" t="n"/>
      <c r="K635" s="60" t="n"/>
      <c r="L635" s="60" t="n"/>
      <c r="M635" s="61" t="n"/>
      <c r="N635" s="60" t="n"/>
      <c r="O635" s="60" t="n"/>
      <c r="P635" s="60" t="n"/>
      <c r="Q635" s="60" t="n"/>
      <c r="R635" s="60" t="n"/>
      <c r="S635" s="60" t="n"/>
      <c r="T635" s="60" t="n"/>
      <c r="U635" s="60" t="n"/>
      <c r="V635" s="60" t="n"/>
      <c r="W635" s="60" t="n"/>
      <c r="X635" s="60" t="n"/>
      <c r="Y635" s="60" t="n"/>
      <c r="Z635" s="61" t="n"/>
      <c r="AA635" s="63">
        <f>IF($H635="","",TODAY()-$H635)</f>
        <v/>
      </c>
      <c r="AB635" s="63">
        <f>IF($A635="","",IF(AND($F635="Yes",OR($U635="No",$U635="NOT FOUND")),"YES",""))</f>
        <v/>
      </c>
      <c r="AC635" s="66">
        <f>IF($A635="","",TRIM(IF(AND($P635=0,$L635&lt;&gt;"Yes"),"T0-NoSmartcard ","")&amp;IF(AND($J635&lt;&gt;"",$J635&gt;365),"StalePwd ","")&amp;IF($K635="Yes","PwdNeverExpires ","")&amp;IF(AND($S635&lt;&gt;"",$S635&lt;&gt;"None"),"Delegation ","")&amp;IF(AND($Q635=1,$O635="None"),"StaleAdminCount ","")&amp;IF(AND($F635="Yes",$H635=""),"NeverLoggedOn ","")))</f>
        <v/>
      </c>
      <c r="AD635" s="60" t="n"/>
      <c r="AE635" s="61" t="n"/>
      <c r="AF635" s="60" t="n"/>
      <c r="AG635" s="62" t="n"/>
      <c r="AH635" s="62" t="n"/>
      <c r="AI635" s="62" t="n"/>
      <c r="AJ635" s="60" t="n"/>
      <c r="AK635" s="61" t="n"/>
      <c r="AL635" s="63">
        <f>IF($A635="","",IF(AH635="","Not Enrolled",IF(TODAY()&gt;AH635,"Review Overdue",IF(AH635-TODAY()&lt;=30,"Review Due Soon","Active"))))</f>
        <v/>
      </c>
      <c r="AM635" s="63">
        <f>IF($A635="","",IF(AI635="","NOT REVIEWED",IF(TODAY()-AI635&gt;90,"OVERDUE",IF(TODAY()-AI635&gt;76,"Due Soon","Current"))))</f>
        <v/>
      </c>
    </row>
    <row r="636" ht="15" customHeight="1" s="39">
      <c r="A636" s="60" t="n"/>
      <c r="B636" s="60" t="n"/>
      <c r="C636" s="61" t="n"/>
      <c r="D636" s="61" t="n"/>
      <c r="E636" s="60" t="n"/>
      <c r="F636" s="60" t="n"/>
      <c r="G636" s="62" t="n"/>
      <c r="H636" s="62" t="n"/>
      <c r="I636" s="62" t="n"/>
      <c r="J636" s="60" t="n"/>
      <c r="K636" s="60" t="n"/>
      <c r="L636" s="60" t="n"/>
      <c r="M636" s="61" t="n"/>
      <c r="N636" s="60" t="n"/>
      <c r="O636" s="60" t="n"/>
      <c r="P636" s="60" t="n"/>
      <c r="Q636" s="60" t="n"/>
      <c r="R636" s="60" t="n"/>
      <c r="S636" s="60" t="n"/>
      <c r="T636" s="60" t="n"/>
      <c r="U636" s="60" t="n"/>
      <c r="V636" s="60" t="n"/>
      <c r="W636" s="60" t="n"/>
      <c r="X636" s="60" t="n"/>
      <c r="Y636" s="60" t="n"/>
      <c r="Z636" s="61" t="n"/>
      <c r="AA636" s="63">
        <f>IF($H636="","",TODAY()-$H636)</f>
        <v/>
      </c>
      <c r="AB636" s="63">
        <f>IF($A636="","",IF(AND($F636="Yes",OR($U636="No",$U636="NOT FOUND")),"YES",""))</f>
        <v/>
      </c>
      <c r="AC636" s="66">
        <f>IF($A636="","",TRIM(IF(AND($P636=0,$L636&lt;&gt;"Yes"),"T0-NoSmartcard ","")&amp;IF(AND($J636&lt;&gt;"",$J636&gt;365),"StalePwd ","")&amp;IF($K636="Yes","PwdNeverExpires ","")&amp;IF(AND($S636&lt;&gt;"",$S636&lt;&gt;"None"),"Delegation ","")&amp;IF(AND($Q636=1,$O636="None"),"StaleAdminCount ","")&amp;IF(AND($F636="Yes",$H636=""),"NeverLoggedOn ","")))</f>
        <v/>
      </c>
      <c r="AD636" s="60" t="n"/>
      <c r="AE636" s="61" t="n"/>
      <c r="AF636" s="60" t="n"/>
      <c r="AG636" s="62" t="n"/>
      <c r="AH636" s="62" t="n"/>
      <c r="AI636" s="62" t="n"/>
      <c r="AJ636" s="60" t="n"/>
      <c r="AK636" s="61" t="n"/>
      <c r="AL636" s="63">
        <f>IF($A636="","",IF(AH636="","Not Enrolled",IF(TODAY()&gt;AH636,"Review Overdue",IF(AH636-TODAY()&lt;=30,"Review Due Soon","Active"))))</f>
        <v/>
      </c>
      <c r="AM636" s="63">
        <f>IF($A636="","",IF(AI636="","NOT REVIEWED",IF(TODAY()-AI636&gt;90,"OVERDUE",IF(TODAY()-AI636&gt;76,"Due Soon","Current"))))</f>
        <v/>
      </c>
    </row>
    <row r="637" ht="15" customHeight="1" s="39">
      <c r="A637" s="60" t="n"/>
      <c r="B637" s="60" t="n"/>
      <c r="C637" s="61" t="n"/>
      <c r="D637" s="61" t="n"/>
      <c r="E637" s="60" t="n"/>
      <c r="F637" s="60" t="n"/>
      <c r="G637" s="62" t="n"/>
      <c r="H637" s="62" t="n"/>
      <c r="I637" s="62" t="n"/>
      <c r="J637" s="60" t="n"/>
      <c r="K637" s="60" t="n"/>
      <c r="L637" s="60" t="n"/>
      <c r="M637" s="61" t="n"/>
      <c r="N637" s="60" t="n"/>
      <c r="O637" s="60" t="n"/>
      <c r="P637" s="60" t="n"/>
      <c r="Q637" s="60" t="n"/>
      <c r="R637" s="60" t="n"/>
      <c r="S637" s="60" t="n"/>
      <c r="T637" s="60" t="n"/>
      <c r="U637" s="60" t="n"/>
      <c r="V637" s="60" t="n"/>
      <c r="W637" s="60" t="n"/>
      <c r="X637" s="60" t="n"/>
      <c r="Y637" s="60" t="n"/>
      <c r="Z637" s="61" t="n"/>
      <c r="AA637" s="63">
        <f>IF($H637="","",TODAY()-$H637)</f>
        <v/>
      </c>
      <c r="AB637" s="63">
        <f>IF($A637="","",IF(AND($F637="Yes",OR($U637="No",$U637="NOT FOUND")),"YES",""))</f>
        <v/>
      </c>
      <c r="AC637" s="66">
        <f>IF($A637="","",TRIM(IF(AND($P637=0,$L637&lt;&gt;"Yes"),"T0-NoSmartcard ","")&amp;IF(AND($J637&lt;&gt;"",$J637&gt;365),"StalePwd ","")&amp;IF($K637="Yes","PwdNeverExpires ","")&amp;IF(AND($S637&lt;&gt;"",$S637&lt;&gt;"None"),"Delegation ","")&amp;IF(AND($Q637=1,$O637="None"),"StaleAdminCount ","")&amp;IF(AND($F637="Yes",$H637=""),"NeverLoggedOn ","")))</f>
        <v/>
      </c>
      <c r="AD637" s="60" t="n"/>
      <c r="AE637" s="61" t="n"/>
      <c r="AF637" s="60" t="n"/>
      <c r="AG637" s="62" t="n"/>
      <c r="AH637" s="62" t="n"/>
      <c r="AI637" s="62" t="n"/>
      <c r="AJ637" s="60" t="n"/>
      <c r="AK637" s="61" t="n"/>
      <c r="AL637" s="63">
        <f>IF($A637="","",IF(AH637="","Not Enrolled",IF(TODAY()&gt;AH637,"Review Overdue",IF(AH637-TODAY()&lt;=30,"Review Due Soon","Active"))))</f>
        <v/>
      </c>
      <c r="AM637" s="63">
        <f>IF($A637="","",IF(AI637="","NOT REVIEWED",IF(TODAY()-AI637&gt;90,"OVERDUE",IF(TODAY()-AI637&gt;76,"Due Soon","Current"))))</f>
        <v/>
      </c>
    </row>
    <row r="638" ht="15" customHeight="1" s="39">
      <c r="A638" s="60" t="n"/>
      <c r="B638" s="60" t="n"/>
      <c r="C638" s="61" t="n"/>
      <c r="D638" s="61" t="n"/>
      <c r="E638" s="60" t="n"/>
      <c r="F638" s="60" t="n"/>
      <c r="G638" s="62" t="n"/>
      <c r="H638" s="62" t="n"/>
      <c r="I638" s="62" t="n"/>
      <c r="J638" s="60" t="n"/>
      <c r="K638" s="60" t="n"/>
      <c r="L638" s="60" t="n"/>
      <c r="M638" s="61" t="n"/>
      <c r="N638" s="60" t="n"/>
      <c r="O638" s="60" t="n"/>
      <c r="P638" s="60" t="n"/>
      <c r="Q638" s="60" t="n"/>
      <c r="R638" s="60" t="n"/>
      <c r="S638" s="60" t="n"/>
      <c r="T638" s="60" t="n"/>
      <c r="U638" s="60" t="n"/>
      <c r="V638" s="60" t="n"/>
      <c r="W638" s="60" t="n"/>
      <c r="X638" s="60" t="n"/>
      <c r="Y638" s="60" t="n"/>
      <c r="Z638" s="61" t="n"/>
      <c r="AA638" s="63">
        <f>IF($H638="","",TODAY()-$H638)</f>
        <v/>
      </c>
      <c r="AB638" s="63">
        <f>IF($A638="","",IF(AND($F638="Yes",OR($U638="No",$U638="NOT FOUND")),"YES",""))</f>
        <v/>
      </c>
      <c r="AC638" s="66">
        <f>IF($A638="","",TRIM(IF(AND($P638=0,$L638&lt;&gt;"Yes"),"T0-NoSmartcard ","")&amp;IF(AND($J638&lt;&gt;"",$J638&gt;365),"StalePwd ","")&amp;IF($K638="Yes","PwdNeverExpires ","")&amp;IF(AND($S638&lt;&gt;"",$S638&lt;&gt;"None"),"Delegation ","")&amp;IF(AND($Q638=1,$O638="None"),"StaleAdminCount ","")&amp;IF(AND($F638="Yes",$H638=""),"NeverLoggedOn ","")))</f>
        <v/>
      </c>
      <c r="AD638" s="60" t="n"/>
      <c r="AE638" s="61" t="n"/>
      <c r="AF638" s="60" t="n"/>
      <c r="AG638" s="62" t="n"/>
      <c r="AH638" s="62" t="n"/>
      <c r="AI638" s="62" t="n"/>
      <c r="AJ638" s="60" t="n"/>
      <c r="AK638" s="61" t="n"/>
      <c r="AL638" s="63">
        <f>IF($A638="","",IF(AH638="","Not Enrolled",IF(TODAY()&gt;AH638,"Review Overdue",IF(AH638-TODAY()&lt;=30,"Review Due Soon","Active"))))</f>
        <v/>
      </c>
      <c r="AM638" s="63">
        <f>IF($A638="","",IF(AI638="","NOT REVIEWED",IF(TODAY()-AI638&gt;90,"OVERDUE",IF(TODAY()-AI638&gt;76,"Due Soon","Current"))))</f>
        <v/>
      </c>
    </row>
    <row r="639" ht="15" customHeight="1" s="39">
      <c r="A639" s="60" t="n"/>
      <c r="B639" s="60" t="n"/>
      <c r="C639" s="61" t="n"/>
      <c r="D639" s="61" t="n"/>
      <c r="E639" s="60" t="n"/>
      <c r="F639" s="60" t="n"/>
      <c r="G639" s="62" t="n"/>
      <c r="H639" s="62" t="n"/>
      <c r="I639" s="62" t="n"/>
      <c r="J639" s="60" t="n"/>
      <c r="K639" s="60" t="n"/>
      <c r="L639" s="60" t="n"/>
      <c r="M639" s="61" t="n"/>
      <c r="N639" s="60" t="n"/>
      <c r="O639" s="60" t="n"/>
      <c r="P639" s="60" t="n"/>
      <c r="Q639" s="60" t="n"/>
      <c r="R639" s="60" t="n"/>
      <c r="S639" s="60" t="n"/>
      <c r="T639" s="60" t="n"/>
      <c r="U639" s="60" t="n"/>
      <c r="V639" s="60" t="n"/>
      <c r="W639" s="60" t="n"/>
      <c r="X639" s="60" t="n"/>
      <c r="Y639" s="60" t="n"/>
      <c r="Z639" s="61" t="n"/>
      <c r="AA639" s="63">
        <f>IF($H639="","",TODAY()-$H639)</f>
        <v/>
      </c>
      <c r="AB639" s="63">
        <f>IF($A639="","",IF(AND($F639="Yes",OR($U639="No",$U639="NOT FOUND")),"YES",""))</f>
        <v/>
      </c>
      <c r="AC639" s="66">
        <f>IF($A639="","",TRIM(IF(AND($P639=0,$L639&lt;&gt;"Yes"),"T0-NoSmartcard ","")&amp;IF(AND($J639&lt;&gt;"",$J639&gt;365),"StalePwd ","")&amp;IF($K639="Yes","PwdNeverExpires ","")&amp;IF(AND($S639&lt;&gt;"",$S639&lt;&gt;"None"),"Delegation ","")&amp;IF(AND($Q639=1,$O639="None"),"StaleAdminCount ","")&amp;IF(AND($F639="Yes",$H639=""),"NeverLoggedOn ","")))</f>
        <v/>
      </c>
      <c r="AD639" s="60" t="n"/>
      <c r="AE639" s="61" t="n"/>
      <c r="AF639" s="60" t="n"/>
      <c r="AG639" s="62" t="n"/>
      <c r="AH639" s="62" t="n"/>
      <c r="AI639" s="62" t="n"/>
      <c r="AJ639" s="60" t="n"/>
      <c r="AK639" s="61" t="n"/>
      <c r="AL639" s="63">
        <f>IF($A639="","",IF(AH639="","Not Enrolled",IF(TODAY()&gt;AH639,"Review Overdue",IF(AH639-TODAY()&lt;=30,"Review Due Soon","Active"))))</f>
        <v/>
      </c>
      <c r="AM639" s="63">
        <f>IF($A639="","",IF(AI639="","NOT REVIEWED",IF(TODAY()-AI639&gt;90,"OVERDUE",IF(TODAY()-AI639&gt;76,"Due Soon","Current"))))</f>
        <v/>
      </c>
    </row>
    <row r="640" ht="15" customHeight="1" s="39">
      <c r="A640" s="60" t="n"/>
      <c r="B640" s="60" t="n"/>
      <c r="C640" s="61" t="n"/>
      <c r="D640" s="61" t="n"/>
      <c r="E640" s="60" t="n"/>
      <c r="F640" s="60" t="n"/>
      <c r="G640" s="62" t="n"/>
      <c r="H640" s="62" t="n"/>
      <c r="I640" s="62" t="n"/>
      <c r="J640" s="60" t="n"/>
      <c r="K640" s="60" t="n"/>
      <c r="L640" s="60" t="n"/>
      <c r="M640" s="61" t="n"/>
      <c r="N640" s="60" t="n"/>
      <c r="O640" s="60" t="n"/>
      <c r="P640" s="60" t="n"/>
      <c r="Q640" s="60" t="n"/>
      <c r="R640" s="60" t="n"/>
      <c r="S640" s="60" t="n"/>
      <c r="T640" s="60" t="n"/>
      <c r="U640" s="60" t="n"/>
      <c r="V640" s="60" t="n"/>
      <c r="W640" s="60" t="n"/>
      <c r="X640" s="60" t="n"/>
      <c r="Y640" s="60" t="n"/>
      <c r="Z640" s="61" t="n"/>
      <c r="AA640" s="63">
        <f>IF($H640="","",TODAY()-$H640)</f>
        <v/>
      </c>
      <c r="AB640" s="63">
        <f>IF($A640="","",IF(AND($F640="Yes",OR($U640="No",$U640="NOT FOUND")),"YES",""))</f>
        <v/>
      </c>
      <c r="AC640" s="66">
        <f>IF($A640="","",TRIM(IF(AND($P640=0,$L640&lt;&gt;"Yes"),"T0-NoSmartcard ","")&amp;IF(AND($J640&lt;&gt;"",$J640&gt;365),"StalePwd ","")&amp;IF($K640="Yes","PwdNeverExpires ","")&amp;IF(AND($S640&lt;&gt;"",$S640&lt;&gt;"None"),"Delegation ","")&amp;IF(AND($Q640=1,$O640="None"),"StaleAdminCount ","")&amp;IF(AND($F640="Yes",$H640=""),"NeverLoggedOn ","")))</f>
        <v/>
      </c>
      <c r="AD640" s="60" t="n"/>
      <c r="AE640" s="61" t="n"/>
      <c r="AF640" s="60" t="n"/>
      <c r="AG640" s="62" t="n"/>
      <c r="AH640" s="62" t="n"/>
      <c r="AI640" s="62" t="n"/>
      <c r="AJ640" s="60" t="n"/>
      <c r="AK640" s="61" t="n"/>
      <c r="AL640" s="63">
        <f>IF($A640="","",IF(AH640="","Not Enrolled",IF(TODAY()&gt;AH640,"Review Overdue",IF(AH640-TODAY()&lt;=30,"Review Due Soon","Active"))))</f>
        <v/>
      </c>
      <c r="AM640" s="63">
        <f>IF($A640="","",IF(AI640="","NOT REVIEWED",IF(TODAY()-AI640&gt;90,"OVERDUE",IF(TODAY()-AI640&gt;76,"Due Soon","Current"))))</f>
        <v/>
      </c>
    </row>
    <row r="641" ht="15" customHeight="1" s="39">
      <c r="A641" s="60" t="n"/>
      <c r="B641" s="60" t="n"/>
      <c r="C641" s="61" t="n"/>
      <c r="D641" s="61" t="n"/>
      <c r="E641" s="60" t="n"/>
      <c r="F641" s="60" t="n"/>
      <c r="G641" s="62" t="n"/>
      <c r="H641" s="62" t="n"/>
      <c r="I641" s="62" t="n"/>
      <c r="J641" s="60" t="n"/>
      <c r="K641" s="60" t="n"/>
      <c r="L641" s="60" t="n"/>
      <c r="M641" s="61" t="n"/>
      <c r="N641" s="60" t="n"/>
      <c r="O641" s="60" t="n"/>
      <c r="P641" s="60" t="n"/>
      <c r="Q641" s="60" t="n"/>
      <c r="R641" s="60" t="n"/>
      <c r="S641" s="60" t="n"/>
      <c r="T641" s="60" t="n"/>
      <c r="U641" s="60" t="n"/>
      <c r="V641" s="60" t="n"/>
      <c r="W641" s="60" t="n"/>
      <c r="X641" s="60" t="n"/>
      <c r="Y641" s="60" t="n"/>
      <c r="Z641" s="61" t="n"/>
      <c r="AA641" s="63">
        <f>IF($H641="","",TODAY()-$H641)</f>
        <v/>
      </c>
      <c r="AB641" s="63">
        <f>IF($A641="","",IF(AND($F641="Yes",OR($U641="No",$U641="NOT FOUND")),"YES",""))</f>
        <v/>
      </c>
      <c r="AC641" s="66">
        <f>IF($A641="","",TRIM(IF(AND($P641=0,$L641&lt;&gt;"Yes"),"T0-NoSmartcard ","")&amp;IF(AND($J641&lt;&gt;"",$J641&gt;365),"StalePwd ","")&amp;IF($K641="Yes","PwdNeverExpires ","")&amp;IF(AND($S641&lt;&gt;"",$S641&lt;&gt;"None"),"Delegation ","")&amp;IF(AND($Q641=1,$O641="None"),"StaleAdminCount ","")&amp;IF(AND($F641="Yes",$H641=""),"NeverLoggedOn ","")))</f>
        <v/>
      </c>
      <c r="AD641" s="60" t="n"/>
      <c r="AE641" s="61" t="n"/>
      <c r="AF641" s="60" t="n"/>
      <c r="AG641" s="62" t="n"/>
      <c r="AH641" s="62" t="n"/>
      <c r="AI641" s="62" t="n"/>
      <c r="AJ641" s="60" t="n"/>
      <c r="AK641" s="61" t="n"/>
      <c r="AL641" s="63">
        <f>IF($A641="","",IF(AH641="","Not Enrolled",IF(TODAY()&gt;AH641,"Review Overdue",IF(AH641-TODAY()&lt;=30,"Review Due Soon","Active"))))</f>
        <v/>
      </c>
      <c r="AM641" s="63">
        <f>IF($A641="","",IF(AI641="","NOT REVIEWED",IF(TODAY()-AI641&gt;90,"OVERDUE",IF(TODAY()-AI641&gt;76,"Due Soon","Current"))))</f>
        <v/>
      </c>
    </row>
    <row r="642" ht="15" customHeight="1" s="39">
      <c r="A642" s="60" t="n"/>
      <c r="B642" s="60" t="n"/>
      <c r="C642" s="61" t="n"/>
      <c r="D642" s="61" t="n"/>
      <c r="E642" s="60" t="n"/>
      <c r="F642" s="60" t="n"/>
      <c r="G642" s="62" t="n"/>
      <c r="H642" s="62" t="n"/>
      <c r="I642" s="62" t="n"/>
      <c r="J642" s="60" t="n"/>
      <c r="K642" s="60" t="n"/>
      <c r="L642" s="60" t="n"/>
      <c r="M642" s="61" t="n"/>
      <c r="N642" s="60" t="n"/>
      <c r="O642" s="60" t="n"/>
      <c r="P642" s="60" t="n"/>
      <c r="Q642" s="60" t="n"/>
      <c r="R642" s="60" t="n"/>
      <c r="S642" s="60" t="n"/>
      <c r="T642" s="60" t="n"/>
      <c r="U642" s="60" t="n"/>
      <c r="V642" s="60" t="n"/>
      <c r="W642" s="60" t="n"/>
      <c r="X642" s="60" t="n"/>
      <c r="Y642" s="60" t="n"/>
      <c r="Z642" s="61" t="n"/>
      <c r="AA642" s="63">
        <f>IF($H642="","",TODAY()-$H642)</f>
        <v/>
      </c>
      <c r="AB642" s="63">
        <f>IF($A642="","",IF(AND($F642="Yes",OR($U642="No",$U642="NOT FOUND")),"YES",""))</f>
        <v/>
      </c>
      <c r="AC642" s="66">
        <f>IF($A642="","",TRIM(IF(AND($P642=0,$L642&lt;&gt;"Yes"),"T0-NoSmartcard ","")&amp;IF(AND($J642&lt;&gt;"",$J642&gt;365),"StalePwd ","")&amp;IF($K642="Yes","PwdNeverExpires ","")&amp;IF(AND($S642&lt;&gt;"",$S642&lt;&gt;"None"),"Delegation ","")&amp;IF(AND($Q642=1,$O642="None"),"StaleAdminCount ","")&amp;IF(AND($F642="Yes",$H642=""),"NeverLoggedOn ","")))</f>
        <v/>
      </c>
      <c r="AD642" s="60" t="n"/>
      <c r="AE642" s="61" t="n"/>
      <c r="AF642" s="60" t="n"/>
      <c r="AG642" s="62" t="n"/>
      <c r="AH642" s="62" t="n"/>
      <c r="AI642" s="62" t="n"/>
      <c r="AJ642" s="60" t="n"/>
      <c r="AK642" s="61" t="n"/>
      <c r="AL642" s="63">
        <f>IF($A642="","",IF(AH642="","Not Enrolled",IF(TODAY()&gt;AH642,"Review Overdue",IF(AH642-TODAY()&lt;=30,"Review Due Soon","Active"))))</f>
        <v/>
      </c>
      <c r="AM642" s="63">
        <f>IF($A642="","",IF(AI642="","NOT REVIEWED",IF(TODAY()-AI642&gt;90,"OVERDUE",IF(TODAY()-AI642&gt;76,"Due Soon","Current"))))</f>
        <v/>
      </c>
    </row>
    <row r="643" ht="15" customHeight="1" s="39">
      <c r="A643" s="60" t="n"/>
      <c r="B643" s="60" t="n"/>
      <c r="C643" s="61" t="n"/>
      <c r="D643" s="61" t="n"/>
      <c r="E643" s="60" t="n"/>
      <c r="F643" s="60" t="n"/>
      <c r="G643" s="62" t="n"/>
      <c r="H643" s="62" t="n"/>
      <c r="I643" s="62" t="n"/>
      <c r="J643" s="60" t="n"/>
      <c r="K643" s="60" t="n"/>
      <c r="L643" s="60" t="n"/>
      <c r="M643" s="61" t="n"/>
      <c r="N643" s="60" t="n"/>
      <c r="O643" s="60" t="n"/>
      <c r="P643" s="60" t="n"/>
      <c r="Q643" s="60" t="n"/>
      <c r="R643" s="60" t="n"/>
      <c r="S643" s="60" t="n"/>
      <c r="T643" s="60" t="n"/>
      <c r="U643" s="60" t="n"/>
      <c r="V643" s="60" t="n"/>
      <c r="W643" s="60" t="n"/>
      <c r="X643" s="60" t="n"/>
      <c r="Y643" s="60" t="n"/>
      <c r="Z643" s="61" t="n"/>
      <c r="AA643" s="63">
        <f>IF($H643="","",TODAY()-$H643)</f>
        <v/>
      </c>
      <c r="AB643" s="63">
        <f>IF($A643="","",IF(AND($F643="Yes",OR($U643="No",$U643="NOT FOUND")),"YES",""))</f>
        <v/>
      </c>
      <c r="AC643" s="66">
        <f>IF($A643="","",TRIM(IF(AND($P643=0,$L643&lt;&gt;"Yes"),"T0-NoSmartcard ","")&amp;IF(AND($J643&lt;&gt;"",$J643&gt;365),"StalePwd ","")&amp;IF($K643="Yes","PwdNeverExpires ","")&amp;IF(AND($S643&lt;&gt;"",$S643&lt;&gt;"None"),"Delegation ","")&amp;IF(AND($Q643=1,$O643="None"),"StaleAdminCount ","")&amp;IF(AND($F643="Yes",$H643=""),"NeverLoggedOn ","")))</f>
        <v/>
      </c>
      <c r="AD643" s="60" t="n"/>
      <c r="AE643" s="61" t="n"/>
      <c r="AF643" s="60" t="n"/>
      <c r="AG643" s="62" t="n"/>
      <c r="AH643" s="62" t="n"/>
      <c r="AI643" s="62" t="n"/>
      <c r="AJ643" s="60" t="n"/>
      <c r="AK643" s="61" t="n"/>
      <c r="AL643" s="63">
        <f>IF($A643="","",IF(AH643="","Not Enrolled",IF(TODAY()&gt;AH643,"Review Overdue",IF(AH643-TODAY()&lt;=30,"Review Due Soon","Active"))))</f>
        <v/>
      </c>
      <c r="AM643" s="63">
        <f>IF($A643="","",IF(AI643="","NOT REVIEWED",IF(TODAY()-AI643&gt;90,"OVERDUE",IF(TODAY()-AI643&gt;76,"Due Soon","Current"))))</f>
        <v/>
      </c>
    </row>
    <row r="644" ht="15" customHeight="1" s="39">
      <c r="A644" s="60" t="n"/>
      <c r="B644" s="60" t="n"/>
      <c r="C644" s="61" t="n"/>
      <c r="D644" s="61" t="n"/>
      <c r="E644" s="60" t="n"/>
      <c r="F644" s="60" t="n"/>
      <c r="G644" s="62" t="n"/>
      <c r="H644" s="62" t="n"/>
      <c r="I644" s="62" t="n"/>
      <c r="J644" s="60" t="n"/>
      <c r="K644" s="60" t="n"/>
      <c r="L644" s="60" t="n"/>
      <c r="M644" s="61" t="n"/>
      <c r="N644" s="60" t="n"/>
      <c r="O644" s="60" t="n"/>
      <c r="P644" s="60" t="n"/>
      <c r="Q644" s="60" t="n"/>
      <c r="R644" s="60" t="n"/>
      <c r="S644" s="60" t="n"/>
      <c r="T644" s="60" t="n"/>
      <c r="U644" s="60" t="n"/>
      <c r="V644" s="60" t="n"/>
      <c r="W644" s="60" t="n"/>
      <c r="X644" s="60" t="n"/>
      <c r="Y644" s="60" t="n"/>
      <c r="Z644" s="61" t="n"/>
      <c r="AA644" s="63">
        <f>IF($H644="","",TODAY()-$H644)</f>
        <v/>
      </c>
      <c r="AB644" s="63">
        <f>IF($A644="","",IF(AND($F644="Yes",OR($U644="No",$U644="NOT FOUND")),"YES",""))</f>
        <v/>
      </c>
      <c r="AC644" s="66">
        <f>IF($A644="","",TRIM(IF(AND($P644=0,$L644&lt;&gt;"Yes"),"T0-NoSmartcard ","")&amp;IF(AND($J644&lt;&gt;"",$J644&gt;365),"StalePwd ","")&amp;IF($K644="Yes","PwdNeverExpires ","")&amp;IF(AND($S644&lt;&gt;"",$S644&lt;&gt;"None"),"Delegation ","")&amp;IF(AND($Q644=1,$O644="None"),"StaleAdminCount ","")&amp;IF(AND($F644="Yes",$H644=""),"NeverLoggedOn ","")))</f>
        <v/>
      </c>
      <c r="AD644" s="60" t="n"/>
      <c r="AE644" s="61" t="n"/>
      <c r="AF644" s="60" t="n"/>
      <c r="AG644" s="62" t="n"/>
      <c r="AH644" s="62" t="n"/>
      <c r="AI644" s="62" t="n"/>
      <c r="AJ644" s="60" t="n"/>
      <c r="AK644" s="61" t="n"/>
      <c r="AL644" s="63">
        <f>IF($A644="","",IF(AH644="","Not Enrolled",IF(TODAY()&gt;AH644,"Review Overdue",IF(AH644-TODAY()&lt;=30,"Review Due Soon","Active"))))</f>
        <v/>
      </c>
      <c r="AM644" s="63">
        <f>IF($A644="","",IF(AI644="","NOT REVIEWED",IF(TODAY()-AI644&gt;90,"OVERDUE",IF(TODAY()-AI644&gt;76,"Due Soon","Current"))))</f>
        <v/>
      </c>
    </row>
    <row r="645" ht="15" customHeight="1" s="39">
      <c r="A645" s="60" t="n"/>
      <c r="B645" s="60" t="n"/>
      <c r="C645" s="61" t="n"/>
      <c r="D645" s="61" t="n"/>
      <c r="E645" s="60" t="n"/>
      <c r="F645" s="60" t="n"/>
      <c r="G645" s="62" t="n"/>
      <c r="H645" s="62" t="n"/>
      <c r="I645" s="62" t="n"/>
      <c r="J645" s="60" t="n"/>
      <c r="K645" s="60" t="n"/>
      <c r="L645" s="60" t="n"/>
      <c r="M645" s="61" t="n"/>
      <c r="N645" s="60" t="n"/>
      <c r="O645" s="60" t="n"/>
      <c r="P645" s="60" t="n"/>
      <c r="Q645" s="60" t="n"/>
      <c r="R645" s="60" t="n"/>
      <c r="S645" s="60" t="n"/>
      <c r="T645" s="60" t="n"/>
      <c r="U645" s="60" t="n"/>
      <c r="V645" s="60" t="n"/>
      <c r="W645" s="60" t="n"/>
      <c r="X645" s="60" t="n"/>
      <c r="Y645" s="60" t="n"/>
      <c r="Z645" s="61" t="n"/>
      <c r="AA645" s="63">
        <f>IF($H645="","",TODAY()-$H645)</f>
        <v/>
      </c>
      <c r="AB645" s="63">
        <f>IF($A645="","",IF(AND($F645="Yes",OR($U645="No",$U645="NOT FOUND")),"YES",""))</f>
        <v/>
      </c>
      <c r="AC645" s="66">
        <f>IF($A645="","",TRIM(IF(AND($P645=0,$L645&lt;&gt;"Yes"),"T0-NoSmartcard ","")&amp;IF(AND($J645&lt;&gt;"",$J645&gt;365),"StalePwd ","")&amp;IF($K645="Yes","PwdNeverExpires ","")&amp;IF(AND($S645&lt;&gt;"",$S645&lt;&gt;"None"),"Delegation ","")&amp;IF(AND($Q645=1,$O645="None"),"StaleAdminCount ","")&amp;IF(AND($F645="Yes",$H645=""),"NeverLoggedOn ","")))</f>
        <v/>
      </c>
      <c r="AD645" s="60" t="n"/>
      <c r="AE645" s="61" t="n"/>
      <c r="AF645" s="60" t="n"/>
      <c r="AG645" s="62" t="n"/>
      <c r="AH645" s="62" t="n"/>
      <c r="AI645" s="62" t="n"/>
      <c r="AJ645" s="60" t="n"/>
      <c r="AK645" s="61" t="n"/>
      <c r="AL645" s="63">
        <f>IF($A645="","",IF(AH645="","Not Enrolled",IF(TODAY()&gt;AH645,"Review Overdue",IF(AH645-TODAY()&lt;=30,"Review Due Soon","Active"))))</f>
        <v/>
      </c>
      <c r="AM645" s="63">
        <f>IF($A645="","",IF(AI645="","NOT REVIEWED",IF(TODAY()-AI645&gt;90,"OVERDUE",IF(TODAY()-AI645&gt;76,"Due Soon","Current"))))</f>
        <v/>
      </c>
    </row>
    <row r="646" ht="15" customHeight="1" s="39">
      <c r="A646" s="60" t="n"/>
      <c r="B646" s="60" t="n"/>
      <c r="C646" s="61" t="n"/>
      <c r="D646" s="61" t="n"/>
      <c r="E646" s="60" t="n"/>
      <c r="F646" s="60" t="n"/>
      <c r="G646" s="62" t="n"/>
      <c r="H646" s="62" t="n"/>
      <c r="I646" s="62" t="n"/>
      <c r="J646" s="60" t="n"/>
      <c r="K646" s="60" t="n"/>
      <c r="L646" s="60" t="n"/>
      <c r="M646" s="61" t="n"/>
      <c r="N646" s="60" t="n"/>
      <c r="O646" s="60" t="n"/>
      <c r="P646" s="60" t="n"/>
      <c r="Q646" s="60" t="n"/>
      <c r="R646" s="60" t="n"/>
      <c r="S646" s="60" t="n"/>
      <c r="T646" s="60" t="n"/>
      <c r="U646" s="60" t="n"/>
      <c r="V646" s="60" t="n"/>
      <c r="W646" s="60" t="n"/>
      <c r="X646" s="60" t="n"/>
      <c r="Y646" s="60" t="n"/>
      <c r="Z646" s="61" t="n"/>
      <c r="AA646" s="63">
        <f>IF($H646="","",TODAY()-$H646)</f>
        <v/>
      </c>
      <c r="AB646" s="63">
        <f>IF($A646="","",IF(AND($F646="Yes",OR($U646="No",$U646="NOT FOUND")),"YES",""))</f>
        <v/>
      </c>
      <c r="AC646" s="66">
        <f>IF($A646="","",TRIM(IF(AND($P646=0,$L646&lt;&gt;"Yes"),"T0-NoSmartcard ","")&amp;IF(AND($J646&lt;&gt;"",$J646&gt;365),"StalePwd ","")&amp;IF($K646="Yes","PwdNeverExpires ","")&amp;IF(AND($S646&lt;&gt;"",$S646&lt;&gt;"None"),"Delegation ","")&amp;IF(AND($Q646=1,$O646="None"),"StaleAdminCount ","")&amp;IF(AND($F646="Yes",$H646=""),"NeverLoggedOn ","")))</f>
        <v/>
      </c>
      <c r="AD646" s="60" t="n"/>
      <c r="AE646" s="61" t="n"/>
      <c r="AF646" s="60" t="n"/>
      <c r="AG646" s="62" t="n"/>
      <c r="AH646" s="62" t="n"/>
      <c r="AI646" s="62" t="n"/>
      <c r="AJ646" s="60" t="n"/>
      <c r="AK646" s="61" t="n"/>
      <c r="AL646" s="63">
        <f>IF($A646="","",IF(AH646="","Not Enrolled",IF(TODAY()&gt;AH646,"Review Overdue",IF(AH646-TODAY()&lt;=30,"Review Due Soon","Active"))))</f>
        <v/>
      </c>
      <c r="AM646" s="63">
        <f>IF($A646="","",IF(AI646="","NOT REVIEWED",IF(TODAY()-AI646&gt;90,"OVERDUE",IF(TODAY()-AI646&gt;76,"Due Soon","Current"))))</f>
        <v/>
      </c>
    </row>
    <row r="647" ht="15" customHeight="1" s="39">
      <c r="A647" s="60" t="n"/>
      <c r="B647" s="60" t="n"/>
      <c r="C647" s="61" t="n"/>
      <c r="D647" s="61" t="n"/>
      <c r="E647" s="60" t="n"/>
      <c r="F647" s="60" t="n"/>
      <c r="G647" s="62" t="n"/>
      <c r="H647" s="62" t="n"/>
      <c r="I647" s="62" t="n"/>
      <c r="J647" s="60" t="n"/>
      <c r="K647" s="60" t="n"/>
      <c r="L647" s="60" t="n"/>
      <c r="M647" s="61" t="n"/>
      <c r="N647" s="60" t="n"/>
      <c r="O647" s="60" t="n"/>
      <c r="P647" s="60" t="n"/>
      <c r="Q647" s="60" t="n"/>
      <c r="R647" s="60" t="n"/>
      <c r="S647" s="60" t="n"/>
      <c r="T647" s="60" t="n"/>
      <c r="U647" s="60" t="n"/>
      <c r="V647" s="60" t="n"/>
      <c r="W647" s="60" t="n"/>
      <c r="X647" s="60" t="n"/>
      <c r="Y647" s="60" t="n"/>
      <c r="Z647" s="61" t="n"/>
      <c r="AA647" s="63">
        <f>IF($H647="","",TODAY()-$H647)</f>
        <v/>
      </c>
      <c r="AB647" s="63">
        <f>IF($A647="","",IF(AND($F647="Yes",OR($U647="No",$U647="NOT FOUND")),"YES",""))</f>
        <v/>
      </c>
      <c r="AC647" s="66">
        <f>IF($A647="","",TRIM(IF(AND($P647=0,$L647&lt;&gt;"Yes"),"T0-NoSmartcard ","")&amp;IF(AND($J647&lt;&gt;"",$J647&gt;365),"StalePwd ","")&amp;IF($K647="Yes","PwdNeverExpires ","")&amp;IF(AND($S647&lt;&gt;"",$S647&lt;&gt;"None"),"Delegation ","")&amp;IF(AND($Q647=1,$O647="None"),"StaleAdminCount ","")&amp;IF(AND($F647="Yes",$H647=""),"NeverLoggedOn ","")))</f>
        <v/>
      </c>
      <c r="AD647" s="60" t="n"/>
      <c r="AE647" s="61" t="n"/>
      <c r="AF647" s="60" t="n"/>
      <c r="AG647" s="62" t="n"/>
      <c r="AH647" s="62" t="n"/>
      <c r="AI647" s="62" t="n"/>
      <c r="AJ647" s="60" t="n"/>
      <c r="AK647" s="61" t="n"/>
      <c r="AL647" s="63">
        <f>IF($A647="","",IF(AH647="","Not Enrolled",IF(TODAY()&gt;AH647,"Review Overdue",IF(AH647-TODAY()&lt;=30,"Review Due Soon","Active"))))</f>
        <v/>
      </c>
      <c r="AM647" s="63">
        <f>IF($A647="","",IF(AI647="","NOT REVIEWED",IF(TODAY()-AI647&gt;90,"OVERDUE",IF(TODAY()-AI647&gt;76,"Due Soon","Current"))))</f>
        <v/>
      </c>
    </row>
    <row r="648" ht="15" customHeight="1" s="39">
      <c r="A648" s="60" t="n"/>
      <c r="B648" s="60" t="n"/>
      <c r="C648" s="61" t="n"/>
      <c r="D648" s="61" t="n"/>
      <c r="E648" s="60" t="n"/>
      <c r="F648" s="60" t="n"/>
      <c r="G648" s="62" t="n"/>
      <c r="H648" s="62" t="n"/>
      <c r="I648" s="62" t="n"/>
      <c r="J648" s="60" t="n"/>
      <c r="K648" s="60" t="n"/>
      <c r="L648" s="60" t="n"/>
      <c r="M648" s="61" t="n"/>
      <c r="N648" s="60" t="n"/>
      <c r="O648" s="60" t="n"/>
      <c r="P648" s="60" t="n"/>
      <c r="Q648" s="60" t="n"/>
      <c r="R648" s="60" t="n"/>
      <c r="S648" s="60" t="n"/>
      <c r="T648" s="60" t="n"/>
      <c r="U648" s="60" t="n"/>
      <c r="V648" s="60" t="n"/>
      <c r="W648" s="60" t="n"/>
      <c r="X648" s="60" t="n"/>
      <c r="Y648" s="60" t="n"/>
      <c r="Z648" s="61" t="n"/>
      <c r="AA648" s="63">
        <f>IF($H648="","",TODAY()-$H648)</f>
        <v/>
      </c>
      <c r="AB648" s="63">
        <f>IF($A648="","",IF(AND($F648="Yes",OR($U648="No",$U648="NOT FOUND")),"YES",""))</f>
        <v/>
      </c>
      <c r="AC648" s="66">
        <f>IF($A648="","",TRIM(IF(AND($P648=0,$L648&lt;&gt;"Yes"),"T0-NoSmartcard ","")&amp;IF(AND($J648&lt;&gt;"",$J648&gt;365),"StalePwd ","")&amp;IF($K648="Yes","PwdNeverExpires ","")&amp;IF(AND($S648&lt;&gt;"",$S648&lt;&gt;"None"),"Delegation ","")&amp;IF(AND($Q648=1,$O648="None"),"StaleAdminCount ","")&amp;IF(AND($F648="Yes",$H648=""),"NeverLoggedOn ","")))</f>
        <v/>
      </c>
      <c r="AD648" s="60" t="n"/>
      <c r="AE648" s="61" t="n"/>
      <c r="AF648" s="60" t="n"/>
      <c r="AG648" s="62" t="n"/>
      <c r="AH648" s="62" t="n"/>
      <c r="AI648" s="62" t="n"/>
      <c r="AJ648" s="60" t="n"/>
      <c r="AK648" s="61" t="n"/>
      <c r="AL648" s="63">
        <f>IF($A648="","",IF(AH648="","Not Enrolled",IF(TODAY()&gt;AH648,"Review Overdue",IF(AH648-TODAY()&lt;=30,"Review Due Soon","Active"))))</f>
        <v/>
      </c>
      <c r="AM648" s="63">
        <f>IF($A648="","",IF(AI648="","NOT REVIEWED",IF(TODAY()-AI648&gt;90,"OVERDUE",IF(TODAY()-AI648&gt;76,"Due Soon","Current"))))</f>
        <v/>
      </c>
    </row>
    <row r="649" ht="15" customHeight="1" s="39">
      <c r="A649" s="60" t="n"/>
      <c r="B649" s="60" t="n"/>
      <c r="C649" s="61" t="n"/>
      <c r="D649" s="61" t="n"/>
      <c r="E649" s="60" t="n"/>
      <c r="F649" s="60" t="n"/>
      <c r="G649" s="62" t="n"/>
      <c r="H649" s="62" t="n"/>
      <c r="I649" s="62" t="n"/>
      <c r="J649" s="60" t="n"/>
      <c r="K649" s="60" t="n"/>
      <c r="L649" s="60" t="n"/>
      <c r="M649" s="61" t="n"/>
      <c r="N649" s="60" t="n"/>
      <c r="O649" s="60" t="n"/>
      <c r="P649" s="60" t="n"/>
      <c r="Q649" s="60" t="n"/>
      <c r="R649" s="60" t="n"/>
      <c r="S649" s="60" t="n"/>
      <c r="T649" s="60" t="n"/>
      <c r="U649" s="60" t="n"/>
      <c r="V649" s="60" t="n"/>
      <c r="W649" s="60" t="n"/>
      <c r="X649" s="60" t="n"/>
      <c r="Y649" s="60" t="n"/>
      <c r="Z649" s="61" t="n"/>
      <c r="AA649" s="63">
        <f>IF($H649="","",TODAY()-$H649)</f>
        <v/>
      </c>
      <c r="AB649" s="63">
        <f>IF($A649="","",IF(AND($F649="Yes",OR($U649="No",$U649="NOT FOUND")),"YES",""))</f>
        <v/>
      </c>
      <c r="AC649" s="66">
        <f>IF($A649="","",TRIM(IF(AND($P649=0,$L649&lt;&gt;"Yes"),"T0-NoSmartcard ","")&amp;IF(AND($J649&lt;&gt;"",$J649&gt;365),"StalePwd ","")&amp;IF($K649="Yes","PwdNeverExpires ","")&amp;IF(AND($S649&lt;&gt;"",$S649&lt;&gt;"None"),"Delegation ","")&amp;IF(AND($Q649=1,$O649="None"),"StaleAdminCount ","")&amp;IF(AND($F649="Yes",$H649=""),"NeverLoggedOn ","")))</f>
        <v/>
      </c>
      <c r="AD649" s="60" t="n"/>
      <c r="AE649" s="61" t="n"/>
      <c r="AF649" s="60" t="n"/>
      <c r="AG649" s="62" t="n"/>
      <c r="AH649" s="62" t="n"/>
      <c r="AI649" s="62" t="n"/>
      <c r="AJ649" s="60" t="n"/>
      <c r="AK649" s="61" t="n"/>
      <c r="AL649" s="63">
        <f>IF($A649="","",IF(AH649="","Not Enrolled",IF(TODAY()&gt;AH649,"Review Overdue",IF(AH649-TODAY()&lt;=30,"Review Due Soon","Active"))))</f>
        <v/>
      </c>
      <c r="AM649" s="63">
        <f>IF($A649="","",IF(AI649="","NOT REVIEWED",IF(TODAY()-AI649&gt;90,"OVERDUE",IF(TODAY()-AI649&gt;76,"Due Soon","Current"))))</f>
        <v/>
      </c>
    </row>
    <row r="650" ht="15" customHeight="1" s="39">
      <c r="A650" s="60" t="n"/>
      <c r="B650" s="60" t="n"/>
      <c r="C650" s="61" t="n"/>
      <c r="D650" s="61" t="n"/>
      <c r="E650" s="60" t="n"/>
      <c r="F650" s="60" t="n"/>
      <c r="G650" s="62" t="n"/>
      <c r="H650" s="62" t="n"/>
      <c r="I650" s="62" t="n"/>
      <c r="J650" s="60" t="n"/>
      <c r="K650" s="60" t="n"/>
      <c r="L650" s="60" t="n"/>
      <c r="M650" s="61" t="n"/>
      <c r="N650" s="60" t="n"/>
      <c r="O650" s="60" t="n"/>
      <c r="P650" s="60" t="n"/>
      <c r="Q650" s="60" t="n"/>
      <c r="R650" s="60" t="n"/>
      <c r="S650" s="60" t="n"/>
      <c r="T650" s="60" t="n"/>
      <c r="U650" s="60" t="n"/>
      <c r="V650" s="60" t="n"/>
      <c r="W650" s="60" t="n"/>
      <c r="X650" s="60" t="n"/>
      <c r="Y650" s="60" t="n"/>
      <c r="Z650" s="61" t="n"/>
      <c r="AA650" s="63">
        <f>IF($H650="","",TODAY()-$H650)</f>
        <v/>
      </c>
      <c r="AB650" s="63">
        <f>IF($A650="","",IF(AND($F650="Yes",OR($U650="No",$U650="NOT FOUND")),"YES",""))</f>
        <v/>
      </c>
      <c r="AC650" s="66">
        <f>IF($A650="","",TRIM(IF(AND($P650=0,$L650&lt;&gt;"Yes"),"T0-NoSmartcard ","")&amp;IF(AND($J650&lt;&gt;"",$J650&gt;365),"StalePwd ","")&amp;IF($K650="Yes","PwdNeverExpires ","")&amp;IF(AND($S650&lt;&gt;"",$S650&lt;&gt;"None"),"Delegation ","")&amp;IF(AND($Q650=1,$O650="None"),"StaleAdminCount ","")&amp;IF(AND($F650="Yes",$H650=""),"NeverLoggedOn ","")))</f>
        <v/>
      </c>
      <c r="AD650" s="60" t="n"/>
      <c r="AE650" s="61" t="n"/>
      <c r="AF650" s="60" t="n"/>
      <c r="AG650" s="62" t="n"/>
      <c r="AH650" s="62" t="n"/>
      <c r="AI650" s="62" t="n"/>
      <c r="AJ650" s="60" t="n"/>
      <c r="AK650" s="61" t="n"/>
      <c r="AL650" s="63">
        <f>IF($A650="","",IF(AH650="","Not Enrolled",IF(TODAY()&gt;AH650,"Review Overdue",IF(AH650-TODAY()&lt;=30,"Review Due Soon","Active"))))</f>
        <v/>
      </c>
      <c r="AM650" s="63">
        <f>IF($A650="","",IF(AI650="","NOT REVIEWED",IF(TODAY()-AI650&gt;90,"OVERDUE",IF(TODAY()-AI650&gt;76,"Due Soon","Current"))))</f>
        <v/>
      </c>
    </row>
    <row r="651" ht="15" customHeight="1" s="39">
      <c r="A651" s="60" t="n"/>
      <c r="B651" s="60" t="n"/>
      <c r="C651" s="61" t="n"/>
      <c r="D651" s="61" t="n"/>
      <c r="E651" s="60" t="n"/>
      <c r="F651" s="60" t="n"/>
      <c r="G651" s="62" t="n"/>
      <c r="H651" s="62" t="n"/>
      <c r="I651" s="62" t="n"/>
      <c r="J651" s="60" t="n"/>
      <c r="K651" s="60" t="n"/>
      <c r="L651" s="60" t="n"/>
      <c r="M651" s="61" t="n"/>
      <c r="N651" s="60" t="n"/>
      <c r="O651" s="60" t="n"/>
      <c r="P651" s="60" t="n"/>
      <c r="Q651" s="60" t="n"/>
      <c r="R651" s="60" t="n"/>
      <c r="S651" s="60" t="n"/>
      <c r="T651" s="60" t="n"/>
      <c r="U651" s="60" t="n"/>
      <c r="V651" s="60" t="n"/>
      <c r="W651" s="60" t="n"/>
      <c r="X651" s="60" t="n"/>
      <c r="Y651" s="60" t="n"/>
      <c r="Z651" s="61" t="n"/>
      <c r="AA651" s="63">
        <f>IF($H651="","",TODAY()-$H651)</f>
        <v/>
      </c>
      <c r="AB651" s="63">
        <f>IF($A651="","",IF(AND($F651="Yes",OR($U651="No",$U651="NOT FOUND")),"YES",""))</f>
        <v/>
      </c>
      <c r="AC651" s="66">
        <f>IF($A651="","",TRIM(IF(AND($P651=0,$L651&lt;&gt;"Yes"),"T0-NoSmartcard ","")&amp;IF(AND($J651&lt;&gt;"",$J651&gt;365),"StalePwd ","")&amp;IF($K651="Yes","PwdNeverExpires ","")&amp;IF(AND($S651&lt;&gt;"",$S651&lt;&gt;"None"),"Delegation ","")&amp;IF(AND($Q651=1,$O651="None"),"StaleAdminCount ","")&amp;IF(AND($F651="Yes",$H651=""),"NeverLoggedOn ","")))</f>
        <v/>
      </c>
      <c r="AD651" s="60" t="n"/>
      <c r="AE651" s="61" t="n"/>
      <c r="AF651" s="60" t="n"/>
      <c r="AG651" s="62" t="n"/>
      <c r="AH651" s="62" t="n"/>
      <c r="AI651" s="62" t="n"/>
      <c r="AJ651" s="60" t="n"/>
      <c r="AK651" s="61" t="n"/>
      <c r="AL651" s="63">
        <f>IF($A651="","",IF(AH651="","Not Enrolled",IF(TODAY()&gt;AH651,"Review Overdue",IF(AH651-TODAY()&lt;=30,"Review Due Soon","Active"))))</f>
        <v/>
      </c>
      <c r="AM651" s="63">
        <f>IF($A651="","",IF(AI651="","NOT REVIEWED",IF(TODAY()-AI651&gt;90,"OVERDUE",IF(TODAY()-AI651&gt;76,"Due Soon","Current"))))</f>
        <v/>
      </c>
    </row>
    <row r="652" ht="15" customHeight="1" s="39">
      <c r="A652" s="60" t="n"/>
      <c r="B652" s="60" t="n"/>
      <c r="C652" s="61" t="n"/>
      <c r="D652" s="61" t="n"/>
      <c r="E652" s="60" t="n"/>
      <c r="F652" s="60" t="n"/>
      <c r="G652" s="62" t="n"/>
      <c r="H652" s="62" t="n"/>
      <c r="I652" s="62" t="n"/>
      <c r="J652" s="60" t="n"/>
      <c r="K652" s="60" t="n"/>
      <c r="L652" s="60" t="n"/>
      <c r="M652" s="61" t="n"/>
      <c r="N652" s="60" t="n"/>
      <c r="O652" s="60" t="n"/>
      <c r="P652" s="60" t="n"/>
      <c r="Q652" s="60" t="n"/>
      <c r="R652" s="60" t="n"/>
      <c r="S652" s="60" t="n"/>
      <c r="T652" s="60" t="n"/>
      <c r="U652" s="60" t="n"/>
      <c r="V652" s="60" t="n"/>
      <c r="W652" s="60" t="n"/>
      <c r="X652" s="60" t="n"/>
      <c r="Y652" s="60" t="n"/>
      <c r="Z652" s="61" t="n"/>
      <c r="AA652" s="63">
        <f>IF($H652="","",TODAY()-$H652)</f>
        <v/>
      </c>
      <c r="AB652" s="63">
        <f>IF($A652="","",IF(AND($F652="Yes",OR($U652="No",$U652="NOT FOUND")),"YES",""))</f>
        <v/>
      </c>
      <c r="AC652" s="66">
        <f>IF($A652="","",TRIM(IF(AND($P652=0,$L652&lt;&gt;"Yes"),"T0-NoSmartcard ","")&amp;IF(AND($J652&lt;&gt;"",$J652&gt;365),"StalePwd ","")&amp;IF($K652="Yes","PwdNeverExpires ","")&amp;IF(AND($S652&lt;&gt;"",$S652&lt;&gt;"None"),"Delegation ","")&amp;IF(AND($Q652=1,$O652="None"),"StaleAdminCount ","")&amp;IF(AND($F652="Yes",$H652=""),"NeverLoggedOn ","")))</f>
        <v/>
      </c>
      <c r="AD652" s="60" t="n"/>
      <c r="AE652" s="61" t="n"/>
      <c r="AF652" s="60" t="n"/>
      <c r="AG652" s="62" t="n"/>
      <c r="AH652" s="62" t="n"/>
      <c r="AI652" s="62" t="n"/>
      <c r="AJ652" s="60" t="n"/>
      <c r="AK652" s="61" t="n"/>
      <c r="AL652" s="63">
        <f>IF($A652="","",IF(AH652="","Not Enrolled",IF(TODAY()&gt;AH652,"Review Overdue",IF(AH652-TODAY()&lt;=30,"Review Due Soon","Active"))))</f>
        <v/>
      </c>
      <c r="AM652" s="63">
        <f>IF($A652="","",IF(AI652="","NOT REVIEWED",IF(TODAY()-AI652&gt;90,"OVERDUE",IF(TODAY()-AI652&gt;76,"Due Soon","Current"))))</f>
        <v/>
      </c>
    </row>
    <row r="653" ht="15" customHeight="1" s="39">
      <c r="A653" s="60" t="n"/>
      <c r="B653" s="60" t="n"/>
      <c r="C653" s="61" t="n"/>
      <c r="D653" s="61" t="n"/>
      <c r="E653" s="60" t="n"/>
      <c r="F653" s="60" t="n"/>
      <c r="G653" s="62" t="n"/>
      <c r="H653" s="62" t="n"/>
      <c r="I653" s="62" t="n"/>
      <c r="J653" s="60" t="n"/>
      <c r="K653" s="60" t="n"/>
      <c r="L653" s="60" t="n"/>
      <c r="M653" s="61" t="n"/>
      <c r="N653" s="60" t="n"/>
      <c r="O653" s="60" t="n"/>
      <c r="P653" s="60" t="n"/>
      <c r="Q653" s="60" t="n"/>
      <c r="R653" s="60" t="n"/>
      <c r="S653" s="60" t="n"/>
      <c r="T653" s="60" t="n"/>
      <c r="U653" s="60" t="n"/>
      <c r="V653" s="60" t="n"/>
      <c r="W653" s="60" t="n"/>
      <c r="X653" s="60" t="n"/>
      <c r="Y653" s="60" t="n"/>
      <c r="Z653" s="61" t="n"/>
      <c r="AA653" s="63">
        <f>IF($H653="","",TODAY()-$H653)</f>
        <v/>
      </c>
      <c r="AB653" s="63">
        <f>IF($A653="","",IF(AND($F653="Yes",OR($U653="No",$U653="NOT FOUND")),"YES",""))</f>
        <v/>
      </c>
      <c r="AC653" s="66">
        <f>IF($A653="","",TRIM(IF(AND($P653=0,$L653&lt;&gt;"Yes"),"T0-NoSmartcard ","")&amp;IF(AND($J653&lt;&gt;"",$J653&gt;365),"StalePwd ","")&amp;IF($K653="Yes","PwdNeverExpires ","")&amp;IF(AND($S653&lt;&gt;"",$S653&lt;&gt;"None"),"Delegation ","")&amp;IF(AND($Q653=1,$O653="None"),"StaleAdminCount ","")&amp;IF(AND($F653="Yes",$H653=""),"NeverLoggedOn ","")))</f>
        <v/>
      </c>
      <c r="AD653" s="60" t="n"/>
      <c r="AE653" s="61" t="n"/>
      <c r="AF653" s="60" t="n"/>
      <c r="AG653" s="62" t="n"/>
      <c r="AH653" s="62" t="n"/>
      <c r="AI653" s="62" t="n"/>
      <c r="AJ653" s="60" t="n"/>
      <c r="AK653" s="61" t="n"/>
      <c r="AL653" s="63">
        <f>IF($A653="","",IF(AH653="","Not Enrolled",IF(TODAY()&gt;AH653,"Review Overdue",IF(AH653-TODAY()&lt;=30,"Review Due Soon","Active"))))</f>
        <v/>
      </c>
      <c r="AM653" s="63">
        <f>IF($A653="","",IF(AI653="","NOT REVIEWED",IF(TODAY()-AI653&gt;90,"OVERDUE",IF(TODAY()-AI653&gt;76,"Due Soon","Current"))))</f>
        <v/>
      </c>
    </row>
    <row r="654" ht="15" customHeight="1" s="39">
      <c r="A654" s="60" t="n"/>
      <c r="B654" s="60" t="n"/>
      <c r="C654" s="61" t="n"/>
      <c r="D654" s="61" t="n"/>
      <c r="E654" s="60" t="n"/>
      <c r="F654" s="60" t="n"/>
      <c r="G654" s="62" t="n"/>
      <c r="H654" s="62" t="n"/>
      <c r="I654" s="62" t="n"/>
      <c r="J654" s="60" t="n"/>
      <c r="K654" s="60" t="n"/>
      <c r="L654" s="60" t="n"/>
      <c r="M654" s="61" t="n"/>
      <c r="N654" s="60" t="n"/>
      <c r="O654" s="60" t="n"/>
      <c r="P654" s="60" t="n"/>
      <c r="Q654" s="60" t="n"/>
      <c r="R654" s="60" t="n"/>
      <c r="S654" s="60" t="n"/>
      <c r="T654" s="60" t="n"/>
      <c r="U654" s="60" t="n"/>
      <c r="V654" s="60" t="n"/>
      <c r="W654" s="60" t="n"/>
      <c r="X654" s="60" t="n"/>
      <c r="Y654" s="60" t="n"/>
      <c r="Z654" s="61" t="n"/>
      <c r="AA654" s="63">
        <f>IF($H654="","",TODAY()-$H654)</f>
        <v/>
      </c>
      <c r="AB654" s="63">
        <f>IF($A654="","",IF(AND($F654="Yes",OR($U654="No",$U654="NOT FOUND")),"YES",""))</f>
        <v/>
      </c>
      <c r="AC654" s="66">
        <f>IF($A654="","",TRIM(IF(AND($P654=0,$L654&lt;&gt;"Yes"),"T0-NoSmartcard ","")&amp;IF(AND($J654&lt;&gt;"",$J654&gt;365),"StalePwd ","")&amp;IF($K654="Yes","PwdNeverExpires ","")&amp;IF(AND($S654&lt;&gt;"",$S654&lt;&gt;"None"),"Delegation ","")&amp;IF(AND($Q654=1,$O654="None"),"StaleAdminCount ","")&amp;IF(AND($F654="Yes",$H654=""),"NeverLoggedOn ","")))</f>
        <v/>
      </c>
      <c r="AD654" s="60" t="n"/>
      <c r="AE654" s="61" t="n"/>
      <c r="AF654" s="60" t="n"/>
      <c r="AG654" s="62" t="n"/>
      <c r="AH654" s="62" t="n"/>
      <c r="AI654" s="62" t="n"/>
      <c r="AJ654" s="60" t="n"/>
      <c r="AK654" s="61" t="n"/>
      <c r="AL654" s="63">
        <f>IF($A654="","",IF(AH654="","Not Enrolled",IF(TODAY()&gt;AH654,"Review Overdue",IF(AH654-TODAY()&lt;=30,"Review Due Soon","Active"))))</f>
        <v/>
      </c>
      <c r="AM654" s="63">
        <f>IF($A654="","",IF(AI654="","NOT REVIEWED",IF(TODAY()-AI654&gt;90,"OVERDUE",IF(TODAY()-AI654&gt;76,"Due Soon","Current"))))</f>
        <v/>
      </c>
    </row>
    <row r="655" ht="15" customHeight="1" s="39">
      <c r="A655" s="60" t="n"/>
      <c r="B655" s="60" t="n"/>
      <c r="C655" s="61" t="n"/>
      <c r="D655" s="61" t="n"/>
      <c r="E655" s="60" t="n"/>
      <c r="F655" s="60" t="n"/>
      <c r="G655" s="62" t="n"/>
      <c r="H655" s="62" t="n"/>
      <c r="I655" s="62" t="n"/>
      <c r="J655" s="60" t="n"/>
      <c r="K655" s="60" t="n"/>
      <c r="L655" s="60" t="n"/>
      <c r="M655" s="61" t="n"/>
      <c r="N655" s="60" t="n"/>
      <c r="O655" s="60" t="n"/>
      <c r="P655" s="60" t="n"/>
      <c r="Q655" s="60" t="n"/>
      <c r="R655" s="60" t="n"/>
      <c r="S655" s="60" t="n"/>
      <c r="T655" s="60" t="n"/>
      <c r="U655" s="60" t="n"/>
      <c r="V655" s="60" t="n"/>
      <c r="W655" s="60" t="n"/>
      <c r="X655" s="60" t="n"/>
      <c r="Y655" s="60" t="n"/>
      <c r="Z655" s="61" t="n"/>
      <c r="AA655" s="63">
        <f>IF($H655="","",TODAY()-$H655)</f>
        <v/>
      </c>
      <c r="AB655" s="63">
        <f>IF($A655="","",IF(AND($F655="Yes",OR($U655="No",$U655="NOT FOUND")),"YES",""))</f>
        <v/>
      </c>
      <c r="AC655" s="66">
        <f>IF($A655="","",TRIM(IF(AND($P655=0,$L655&lt;&gt;"Yes"),"T0-NoSmartcard ","")&amp;IF(AND($J655&lt;&gt;"",$J655&gt;365),"StalePwd ","")&amp;IF($K655="Yes","PwdNeverExpires ","")&amp;IF(AND($S655&lt;&gt;"",$S655&lt;&gt;"None"),"Delegation ","")&amp;IF(AND($Q655=1,$O655="None"),"StaleAdminCount ","")&amp;IF(AND($F655="Yes",$H655=""),"NeverLoggedOn ","")))</f>
        <v/>
      </c>
      <c r="AD655" s="60" t="n"/>
      <c r="AE655" s="61" t="n"/>
      <c r="AF655" s="60" t="n"/>
      <c r="AG655" s="62" t="n"/>
      <c r="AH655" s="62" t="n"/>
      <c r="AI655" s="62" t="n"/>
      <c r="AJ655" s="60" t="n"/>
      <c r="AK655" s="61" t="n"/>
      <c r="AL655" s="63">
        <f>IF($A655="","",IF(AH655="","Not Enrolled",IF(TODAY()&gt;AH655,"Review Overdue",IF(AH655-TODAY()&lt;=30,"Review Due Soon","Active"))))</f>
        <v/>
      </c>
      <c r="AM655" s="63">
        <f>IF($A655="","",IF(AI655="","NOT REVIEWED",IF(TODAY()-AI655&gt;90,"OVERDUE",IF(TODAY()-AI655&gt;76,"Due Soon","Current"))))</f>
        <v/>
      </c>
    </row>
    <row r="656" ht="15" customHeight="1" s="39">
      <c r="A656" s="60" t="n"/>
      <c r="B656" s="60" t="n"/>
      <c r="C656" s="61" t="n"/>
      <c r="D656" s="61" t="n"/>
      <c r="E656" s="60" t="n"/>
      <c r="F656" s="60" t="n"/>
      <c r="G656" s="62" t="n"/>
      <c r="H656" s="62" t="n"/>
      <c r="I656" s="62" t="n"/>
      <c r="J656" s="60" t="n"/>
      <c r="K656" s="60" t="n"/>
      <c r="L656" s="60" t="n"/>
      <c r="M656" s="61" t="n"/>
      <c r="N656" s="60" t="n"/>
      <c r="O656" s="60" t="n"/>
      <c r="P656" s="60" t="n"/>
      <c r="Q656" s="60" t="n"/>
      <c r="R656" s="60" t="n"/>
      <c r="S656" s="60" t="n"/>
      <c r="T656" s="60" t="n"/>
      <c r="U656" s="60" t="n"/>
      <c r="V656" s="60" t="n"/>
      <c r="W656" s="60" t="n"/>
      <c r="X656" s="60" t="n"/>
      <c r="Y656" s="60" t="n"/>
      <c r="Z656" s="61" t="n"/>
      <c r="AA656" s="63">
        <f>IF($H656="","",TODAY()-$H656)</f>
        <v/>
      </c>
      <c r="AB656" s="63">
        <f>IF($A656="","",IF(AND($F656="Yes",OR($U656="No",$U656="NOT FOUND")),"YES",""))</f>
        <v/>
      </c>
      <c r="AC656" s="66">
        <f>IF($A656="","",TRIM(IF(AND($P656=0,$L656&lt;&gt;"Yes"),"T0-NoSmartcard ","")&amp;IF(AND($J656&lt;&gt;"",$J656&gt;365),"StalePwd ","")&amp;IF($K656="Yes","PwdNeverExpires ","")&amp;IF(AND($S656&lt;&gt;"",$S656&lt;&gt;"None"),"Delegation ","")&amp;IF(AND($Q656=1,$O656="None"),"StaleAdminCount ","")&amp;IF(AND($F656="Yes",$H656=""),"NeverLoggedOn ","")))</f>
        <v/>
      </c>
      <c r="AD656" s="60" t="n"/>
      <c r="AE656" s="61" t="n"/>
      <c r="AF656" s="60" t="n"/>
      <c r="AG656" s="62" t="n"/>
      <c r="AH656" s="62" t="n"/>
      <c r="AI656" s="62" t="n"/>
      <c r="AJ656" s="60" t="n"/>
      <c r="AK656" s="61" t="n"/>
      <c r="AL656" s="63">
        <f>IF($A656="","",IF(AH656="","Not Enrolled",IF(TODAY()&gt;AH656,"Review Overdue",IF(AH656-TODAY()&lt;=30,"Review Due Soon","Active"))))</f>
        <v/>
      </c>
      <c r="AM656" s="63">
        <f>IF($A656="","",IF(AI656="","NOT REVIEWED",IF(TODAY()-AI656&gt;90,"OVERDUE",IF(TODAY()-AI656&gt;76,"Due Soon","Current"))))</f>
        <v/>
      </c>
    </row>
    <row r="657" ht="15" customHeight="1" s="39">
      <c r="A657" s="60" t="n"/>
      <c r="B657" s="60" t="n"/>
      <c r="C657" s="61" t="n"/>
      <c r="D657" s="61" t="n"/>
      <c r="E657" s="60" t="n"/>
      <c r="F657" s="60" t="n"/>
      <c r="G657" s="62" t="n"/>
      <c r="H657" s="62" t="n"/>
      <c r="I657" s="62" t="n"/>
      <c r="J657" s="60" t="n"/>
      <c r="K657" s="60" t="n"/>
      <c r="L657" s="60" t="n"/>
      <c r="M657" s="61" t="n"/>
      <c r="N657" s="60" t="n"/>
      <c r="O657" s="60" t="n"/>
      <c r="P657" s="60" t="n"/>
      <c r="Q657" s="60" t="n"/>
      <c r="R657" s="60" t="n"/>
      <c r="S657" s="60" t="n"/>
      <c r="T657" s="60" t="n"/>
      <c r="U657" s="60" t="n"/>
      <c r="V657" s="60" t="n"/>
      <c r="W657" s="60" t="n"/>
      <c r="X657" s="60" t="n"/>
      <c r="Y657" s="60" t="n"/>
      <c r="Z657" s="61" t="n"/>
      <c r="AA657" s="63">
        <f>IF($H657="","",TODAY()-$H657)</f>
        <v/>
      </c>
      <c r="AB657" s="63">
        <f>IF($A657="","",IF(AND($F657="Yes",OR($U657="No",$U657="NOT FOUND")),"YES",""))</f>
        <v/>
      </c>
      <c r="AC657" s="66">
        <f>IF($A657="","",TRIM(IF(AND($P657=0,$L657&lt;&gt;"Yes"),"T0-NoSmartcard ","")&amp;IF(AND($J657&lt;&gt;"",$J657&gt;365),"StalePwd ","")&amp;IF($K657="Yes","PwdNeverExpires ","")&amp;IF(AND($S657&lt;&gt;"",$S657&lt;&gt;"None"),"Delegation ","")&amp;IF(AND($Q657=1,$O657="None"),"StaleAdminCount ","")&amp;IF(AND($F657="Yes",$H657=""),"NeverLoggedOn ","")))</f>
        <v/>
      </c>
      <c r="AD657" s="60" t="n"/>
      <c r="AE657" s="61" t="n"/>
      <c r="AF657" s="60" t="n"/>
      <c r="AG657" s="62" t="n"/>
      <c r="AH657" s="62" t="n"/>
      <c r="AI657" s="62" t="n"/>
      <c r="AJ657" s="60" t="n"/>
      <c r="AK657" s="61" t="n"/>
      <c r="AL657" s="63">
        <f>IF($A657="","",IF(AH657="","Not Enrolled",IF(TODAY()&gt;AH657,"Review Overdue",IF(AH657-TODAY()&lt;=30,"Review Due Soon","Active"))))</f>
        <v/>
      </c>
      <c r="AM657" s="63">
        <f>IF($A657="","",IF(AI657="","NOT REVIEWED",IF(TODAY()-AI657&gt;90,"OVERDUE",IF(TODAY()-AI657&gt;76,"Due Soon","Current"))))</f>
        <v/>
      </c>
    </row>
    <row r="658" ht="15" customHeight="1" s="39">
      <c r="A658" s="60" t="n"/>
      <c r="B658" s="60" t="n"/>
      <c r="C658" s="61" t="n"/>
      <c r="D658" s="61" t="n"/>
      <c r="E658" s="60" t="n"/>
      <c r="F658" s="60" t="n"/>
      <c r="G658" s="62" t="n"/>
      <c r="H658" s="62" t="n"/>
      <c r="I658" s="62" t="n"/>
      <c r="J658" s="60" t="n"/>
      <c r="K658" s="60" t="n"/>
      <c r="L658" s="60" t="n"/>
      <c r="M658" s="61" t="n"/>
      <c r="N658" s="60" t="n"/>
      <c r="O658" s="60" t="n"/>
      <c r="P658" s="60" t="n"/>
      <c r="Q658" s="60" t="n"/>
      <c r="R658" s="60" t="n"/>
      <c r="S658" s="60" t="n"/>
      <c r="T658" s="60" t="n"/>
      <c r="U658" s="60" t="n"/>
      <c r="V658" s="60" t="n"/>
      <c r="W658" s="60" t="n"/>
      <c r="X658" s="60" t="n"/>
      <c r="Y658" s="60" t="n"/>
      <c r="Z658" s="61" t="n"/>
      <c r="AA658" s="63">
        <f>IF($H658="","",TODAY()-$H658)</f>
        <v/>
      </c>
      <c r="AB658" s="63">
        <f>IF($A658="","",IF(AND($F658="Yes",OR($U658="No",$U658="NOT FOUND")),"YES",""))</f>
        <v/>
      </c>
      <c r="AC658" s="66">
        <f>IF($A658="","",TRIM(IF(AND($P658=0,$L658&lt;&gt;"Yes"),"T0-NoSmartcard ","")&amp;IF(AND($J658&lt;&gt;"",$J658&gt;365),"StalePwd ","")&amp;IF($K658="Yes","PwdNeverExpires ","")&amp;IF(AND($S658&lt;&gt;"",$S658&lt;&gt;"None"),"Delegation ","")&amp;IF(AND($Q658=1,$O658="None"),"StaleAdminCount ","")&amp;IF(AND($F658="Yes",$H658=""),"NeverLoggedOn ","")))</f>
        <v/>
      </c>
      <c r="AD658" s="60" t="n"/>
      <c r="AE658" s="61" t="n"/>
      <c r="AF658" s="60" t="n"/>
      <c r="AG658" s="62" t="n"/>
      <c r="AH658" s="62" t="n"/>
      <c r="AI658" s="62" t="n"/>
      <c r="AJ658" s="60" t="n"/>
      <c r="AK658" s="61" t="n"/>
      <c r="AL658" s="63">
        <f>IF($A658="","",IF(AH658="","Not Enrolled",IF(TODAY()&gt;AH658,"Review Overdue",IF(AH658-TODAY()&lt;=30,"Review Due Soon","Active"))))</f>
        <v/>
      </c>
      <c r="AM658" s="63">
        <f>IF($A658="","",IF(AI658="","NOT REVIEWED",IF(TODAY()-AI658&gt;90,"OVERDUE",IF(TODAY()-AI658&gt;76,"Due Soon","Current"))))</f>
        <v/>
      </c>
    </row>
    <row r="659" ht="15" customHeight="1" s="39">
      <c r="A659" s="60" t="n"/>
      <c r="B659" s="60" t="n"/>
      <c r="C659" s="61" t="n"/>
      <c r="D659" s="61" t="n"/>
      <c r="E659" s="60" t="n"/>
      <c r="F659" s="60" t="n"/>
      <c r="G659" s="62" t="n"/>
      <c r="H659" s="62" t="n"/>
      <c r="I659" s="62" t="n"/>
      <c r="J659" s="60" t="n"/>
      <c r="K659" s="60" t="n"/>
      <c r="L659" s="60" t="n"/>
      <c r="M659" s="61" t="n"/>
      <c r="N659" s="60" t="n"/>
      <c r="O659" s="60" t="n"/>
      <c r="P659" s="60" t="n"/>
      <c r="Q659" s="60" t="n"/>
      <c r="R659" s="60" t="n"/>
      <c r="S659" s="60" t="n"/>
      <c r="T659" s="60" t="n"/>
      <c r="U659" s="60" t="n"/>
      <c r="V659" s="60" t="n"/>
      <c r="W659" s="60" t="n"/>
      <c r="X659" s="60" t="n"/>
      <c r="Y659" s="60" t="n"/>
      <c r="Z659" s="61" t="n"/>
      <c r="AA659" s="63">
        <f>IF($H659="","",TODAY()-$H659)</f>
        <v/>
      </c>
      <c r="AB659" s="63">
        <f>IF($A659="","",IF(AND($F659="Yes",OR($U659="No",$U659="NOT FOUND")),"YES",""))</f>
        <v/>
      </c>
      <c r="AC659" s="66">
        <f>IF($A659="","",TRIM(IF(AND($P659=0,$L659&lt;&gt;"Yes"),"T0-NoSmartcard ","")&amp;IF(AND($J659&lt;&gt;"",$J659&gt;365),"StalePwd ","")&amp;IF($K659="Yes","PwdNeverExpires ","")&amp;IF(AND($S659&lt;&gt;"",$S659&lt;&gt;"None"),"Delegation ","")&amp;IF(AND($Q659=1,$O659="None"),"StaleAdminCount ","")&amp;IF(AND($F659="Yes",$H659=""),"NeverLoggedOn ","")))</f>
        <v/>
      </c>
      <c r="AD659" s="60" t="n"/>
      <c r="AE659" s="61" t="n"/>
      <c r="AF659" s="60" t="n"/>
      <c r="AG659" s="62" t="n"/>
      <c r="AH659" s="62" t="n"/>
      <c r="AI659" s="62" t="n"/>
      <c r="AJ659" s="60" t="n"/>
      <c r="AK659" s="61" t="n"/>
      <c r="AL659" s="63">
        <f>IF($A659="","",IF(AH659="","Not Enrolled",IF(TODAY()&gt;AH659,"Review Overdue",IF(AH659-TODAY()&lt;=30,"Review Due Soon","Active"))))</f>
        <v/>
      </c>
      <c r="AM659" s="63">
        <f>IF($A659="","",IF(AI659="","NOT REVIEWED",IF(TODAY()-AI659&gt;90,"OVERDUE",IF(TODAY()-AI659&gt;76,"Due Soon","Current"))))</f>
        <v/>
      </c>
    </row>
    <row r="660" ht="15" customHeight="1" s="39">
      <c r="A660" s="60" t="n"/>
      <c r="B660" s="60" t="n"/>
      <c r="C660" s="61" t="n"/>
      <c r="D660" s="61" t="n"/>
      <c r="E660" s="60" t="n"/>
      <c r="F660" s="60" t="n"/>
      <c r="G660" s="62" t="n"/>
      <c r="H660" s="62" t="n"/>
      <c r="I660" s="62" t="n"/>
      <c r="J660" s="60" t="n"/>
      <c r="K660" s="60" t="n"/>
      <c r="L660" s="60" t="n"/>
      <c r="M660" s="61" t="n"/>
      <c r="N660" s="60" t="n"/>
      <c r="O660" s="60" t="n"/>
      <c r="P660" s="60" t="n"/>
      <c r="Q660" s="60" t="n"/>
      <c r="R660" s="60" t="n"/>
      <c r="S660" s="60" t="n"/>
      <c r="T660" s="60" t="n"/>
      <c r="U660" s="60" t="n"/>
      <c r="V660" s="60" t="n"/>
      <c r="W660" s="60" t="n"/>
      <c r="X660" s="60" t="n"/>
      <c r="Y660" s="60" t="n"/>
      <c r="Z660" s="61" t="n"/>
      <c r="AA660" s="63">
        <f>IF($H660="","",TODAY()-$H660)</f>
        <v/>
      </c>
      <c r="AB660" s="63">
        <f>IF($A660="","",IF(AND($F660="Yes",OR($U660="No",$U660="NOT FOUND")),"YES",""))</f>
        <v/>
      </c>
      <c r="AC660" s="66">
        <f>IF($A660="","",TRIM(IF(AND($P660=0,$L660&lt;&gt;"Yes"),"T0-NoSmartcard ","")&amp;IF(AND($J660&lt;&gt;"",$J660&gt;365),"StalePwd ","")&amp;IF($K660="Yes","PwdNeverExpires ","")&amp;IF(AND($S660&lt;&gt;"",$S660&lt;&gt;"None"),"Delegation ","")&amp;IF(AND($Q660=1,$O660="None"),"StaleAdminCount ","")&amp;IF(AND($F660="Yes",$H660=""),"NeverLoggedOn ","")))</f>
        <v/>
      </c>
      <c r="AD660" s="60" t="n"/>
      <c r="AE660" s="61" t="n"/>
      <c r="AF660" s="60" t="n"/>
      <c r="AG660" s="62" t="n"/>
      <c r="AH660" s="62" t="n"/>
      <c r="AI660" s="62" t="n"/>
      <c r="AJ660" s="60" t="n"/>
      <c r="AK660" s="61" t="n"/>
      <c r="AL660" s="63">
        <f>IF($A660="","",IF(AH660="","Not Enrolled",IF(TODAY()&gt;AH660,"Review Overdue",IF(AH660-TODAY()&lt;=30,"Review Due Soon","Active"))))</f>
        <v/>
      </c>
      <c r="AM660" s="63">
        <f>IF($A660="","",IF(AI660="","NOT REVIEWED",IF(TODAY()-AI660&gt;90,"OVERDUE",IF(TODAY()-AI660&gt;76,"Due Soon","Current"))))</f>
        <v/>
      </c>
    </row>
    <row r="661" ht="15" customHeight="1" s="39">
      <c r="A661" s="60" t="n"/>
      <c r="B661" s="60" t="n"/>
      <c r="C661" s="61" t="n"/>
      <c r="D661" s="61" t="n"/>
      <c r="E661" s="60" t="n"/>
      <c r="F661" s="60" t="n"/>
      <c r="G661" s="62" t="n"/>
      <c r="H661" s="62" t="n"/>
      <c r="I661" s="62" t="n"/>
      <c r="J661" s="60" t="n"/>
      <c r="K661" s="60" t="n"/>
      <c r="L661" s="60" t="n"/>
      <c r="M661" s="61" t="n"/>
      <c r="N661" s="60" t="n"/>
      <c r="O661" s="60" t="n"/>
      <c r="P661" s="60" t="n"/>
      <c r="Q661" s="60" t="n"/>
      <c r="R661" s="60" t="n"/>
      <c r="S661" s="60" t="n"/>
      <c r="T661" s="60" t="n"/>
      <c r="U661" s="60" t="n"/>
      <c r="V661" s="60" t="n"/>
      <c r="W661" s="60" t="n"/>
      <c r="X661" s="60" t="n"/>
      <c r="Y661" s="60" t="n"/>
      <c r="Z661" s="61" t="n"/>
      <c r="AA661" s="63">
        <f>IF($H661="","",TODAY()-$H661)</f>
        <v/>
      </c>
      <c r="AB661" s="63">
        <f>IF($A661="","",IF(AND($F661="Yes",OR($U661="No",$U661="NOT FOUND")),"YES",""))</f>
        <v/>
      </c>
      <c r="AC661" s="66">
        <f>IF($A661="","",TRIM(IF(AND($P661=0,$L661&lt;&gt;"Yes"),"T0-NoSmartcard ","")&amp;IF(AND($J661&lt;&gt;"",$J661&gt;365),"StalePwd ","")&amp;IF($K661="Yes","PwdNeverExpires ","")&amp;IF(AND($S661&lt;&gt;"",$S661&lt;&gt;"None"),"Delegation ","")&amp;IF(AND($Q661=1,$O661="None"),"StaleAdminCount ","")&amp;IF(AND($F661="Yes",$H661=""),"NeverLoggedOn ","")))</f>
        <v/>
      </c>
      <c r="AD661" s="60" t="n"/>
      <c r="AE661" s="61" t="n"/>
      <c r="AF661" s="60" t="n"/>
      <c r="AG661" s="62" t="n"/>
      <c r="AH661" s="62" t="n"/>
      <c r="AI661" s="62" t="n"/>
      <c r="AJ661" s="60" t="n"/>
      <c r="AK661" s="61" t="n"/>
      <c r="AL661" s="63">
        <f>IF($A661="","",IF(AH661="","Not Enrolled",IF(TODAY()&gt;AH661,"Review Overdue",IF(AH661-TODAY()&lt;=30,"Review Due Soon","Active"))))</f>
        <v/>
      </c>
      <c r="AM661" s="63">
        <f>IF($A661="","",IF(AI661="","NOT REVIEWED",IF(TODAY()-AI661&gt;90,"OVERDUE",IF(TODAY()-AI661&gt;76,"Due Soon","Current"))))</f>
        <v/>
      </c>
    </row>
    <row r="662" ht="15" customHeight="1" s="39">
      <c r="A662" s="60" t="n"/>
      <c r="B662" s="60" t="n"/>
      <c r="C662" s="61" t="n"/>
      <c r="D662" s="61" t="n"/>
      <c r="E662" s="60" t="n"/>
      <c r="F662" s="60" t="n"/>
      <c r="G662" s="62" t="n"/>
      <c r="H662" s="62" t="n"/>
      <c r="I662" s="62" t="n"/>
      <c r="J662" s="60" t="n"/>
      <c r="K662" s="60" t="n"/>
      <c r="L662" s="60" t="n"/>
      <c r="M662" s="61" t="n"/>
      <c r="N662" s="60" t="n"/>
      <c r="O662" s="60" t="n"/>
      <c r="P662" s="60" t="n"/>
      <c r="Q662" s="60" t="n"/>
      <c r="R662" s="60" t="n"/>
      <c r="S662" s="60" t="n"/>
      <c r="T662" s="60" t="n"/>
      <c r="U662" s="60" t="n"/>
      <c r="V662" s="60" t="n"/>
      <c r="W662" s="60" t="n"/>
      <c r="X662" s="60" t="n"/>
      <c r="Y662" s="60" t="n"/>
      <c r="Z662" s="61" t="n"/>
      <c r="AA662" s="63">
        <f>IF($H662="","",TODAY()-$H662)</f>
        <v/>
      </c>
      <c r="AB662" s="63">
        <f>IF($A662="","",IF(AND($F662="Yes",OR($U662="No",$U662="NOT FOUND")),"YES",""))</f>
        <v/>
      </c>
      <c r="AC662" s="66">
        <f>IF($A662="","",TRIM(IF(AND($P662=0,$L662&lt;&gt;"Yes"),"T0-NoSmartcard ","")&amp;IF(AND($J662&lt;&gt;"",$J662&gt;365),"StalePwd ","")&amp;IF($K662="Yes","PwdNeverExpires ","")&amp;IF(AND($S662&lt;&gt;"",$S662&lt;&gt;"None"),"Delegation ","")&amp;IF(AND($Q662=1,$O662="None"),"StaleAdminCount ","")&amp;IF(AND($F662="Yes",$H662=""),"NeverLoggedOn ","")))</f>
        <v/>
      </c>
      <c r="AD662" s="60" t="n"/>
      <c r="AE662" s="61" t="n"/>
      <c r="AF662" s="60" t="n"/>
      <c r="AG662" s="62" t="n"/>
      <c r="AH662" s="62" t="n"/>
      <c r="AI662" s="62" t="n"/>
      <c r="AJ662" s="60" t="n"/>
      <c r="AK662" s="61" t="n"/>
      <c r="AL662" s="63">
        <f>IF($A662="","",IF(AH662="","Not Enrolled",IF(TODAY()&gt;AH662,"Review Overdue",IF(AH662-TODAY()&lt;=30,"Review Due Soon","Active"))))</f>
        <v/>
      </c>
      <c r="AM662" s="63">
        <f>IF($A662="","",IF(AI662="","NOT REVIEWED",IF(TODAY()-AI662&gt;90,"OVERDUE",IF(TODAY()-AI662&gt;76,"Due Soon","Current"))))</f>
        <v/>
      </c>
    </row>
    <row r="663" ht="15" customHeight="1" s="39">
      <c r="A663" s="60" t="n"/>
      <c r="B663" s="60" t="n"/>
      <c r="C663" s="61" t="n"/>
      <c r="D663" s="61" t="n"/>
      <c r="E663" s="60" t="n"/>
      <c r="F663" s="60" t="n"/>
      <c r="G663" s="62" t="n"/>
      <c r="H663" s="62" t="n"/>
      <c r="I663" s="62" t="n"/>
      <c r="J663" s="60" t="n"/>
      <c r="K663" s="60" t="n"/>
      <c r="L663" s="60" t="n"/>
      <c r="M663" s="61" t="n"/>
      <c r="N663" s="60" t="n"/>
      <c r="O663" s="60" t="n"/>
      <c r="P663" s="60" t="n"/>
      <c r="Q663" s="60" t="n"/>
      <c r="R663" s="60" t="n"/>
      <c r="S663" s="60" t="n"/>
      <c r="T663" s="60" t="n"/>
      <c r="U663" s="60" t="n"/>
      <c r="V663" s="60" t="n"/>
      <c r="W663" s="60" t="n"/>
      <c r="X663" s="60" t="n"/>
      <c r="Y663" s="60" t="n"/>
      <c r="Z663" s="61" t="n"/>
      <c r="AA663" s="63">
        <f>IF($H663="","",TODAY()-$H663)</f>
        <v/>
      </c>
      <c r="AB663" s="63">
        <f>IF($A663="","",IF(AND($F663="Yes",OR($U663="No",$U663="NOT FOUND")),"YES",""))</f>
        <v/>
      </c>
      <c r="AC663" s="66">
        <f>IF($A663="","",TRIM(IF(AND($P663=0,$L663&lt;&gt;"Yes"),"T0-NoSmartcard ","")&amp;IF(AND($J663&lt;&gt;"",$J663&gt;365),"StalePwd ","")&amp;IF($K663="Yes","PwdNeverExpires ","")&amp;IF(AND($S663&lt;&gt;"",$S663&lt;&gt;"None"),"Delegation ","")&amp;IF(AND($Q663=1,$O663="None"),"StaleAdminCount ","")&amp;IF(AND($F663="Yes",$H663=""),"NeverLoggedOn ","")))</f>
        <v/>
      </c>
      <c r="AD663" s="60" t="n"/>
      <c r="AE663" s="61" t="n"/>
      <c r="AF663" s="60" t="n"/>
      <c r="AG663" s="62" t="n"/>
      <c r="AH663" s="62" t="n"/>
      <c r="AI663" s="62" t="n"/>
      <c r="AJ663" s="60" t="n"/>
      <c r="AK663" s="61" t="n"/>
      <c r="AL663" s="63">
        <f>IF($A663="","",IF(AH663="","Not Enrolled",IF(TODAY()&gt;AH663,"Review Overdue",IF(AH663-TODAY()&lt;=30,"Review Due Soon","Active"))))</f>
        <v/>
      </c>
      <c r="AM663" s="63">
        <f>IF($A663="","",IF(AI663="","NOT REVIEWED",IF(TODAY()-AI663&gt;90,"OVERDUE",IF(TODAY()-AI663&gt;76,"Due Soon","Current"))))</f>
        <v/>
      </c>
    </row>
    <row r="664" ht="15" customHeight="1" s="39">
      <c r="A664" s="60" t="n"/>
      <c r="B664" s="60" t="n"/>
      <c r="C664" s="61" t="n"/>
      <c r="D664" s="61" t="n"/>
      <c r="E664" s="60" t="n"/>
      <c r="F664" s="60" t="n"/>
      <c r="G664" s="62" t="n"/>
      <c r="H664" s="62" t="n"/>
      <c r="I664" s="62" t="n"/>
      <c r="J664" s="60" t="n"/>
      <c r="K664" s="60" t="n"/>
      <c r="L664" s="60" t="n"/>
      <c r="M664" s="61" t="n"/>
      <c r="N664" s="60" t="n"/>
      <c r="O664" s="60" t="n"/>
      <c r="P664" s="60" t="n"/>
      <c r="Q664" s="60" t="n"/>
      <c r="R664" s="60" t="n"/>
      <c r="S664" s="60" t="n"/>
      <c r="T664" s="60" t="n"/>
      <c r="U664" s="60" t="n"/>
      <c r="V664" s="60" t="n"/>
      <c r="W664" s="60" t="n"/>
      <c r="X664" s="60" t="n"/>
      <c r="Y664" s="60" t="n"/>
      <c r="Z664" s="61" t="n"/>
      <c r="AA664" s="63">
        <f>IF($H664="","",TODAY()-$H664)</f>
        <v/>
      </c>
      <c r="AB664" s="63">
        <f>IF($A664="","",IF(AND($F664="Yes",OR($U664="No",$U664="NOT FOUND")),"YES",""))</f>
        <v/>
      </c>
      <c r="AC664" s="66">
        <f>IF($A664="","",TRIM(IF(AND($P664=0,$L664&lt;&gt;"Yes"),"T0-NoSmartcard ","")&amp;IF(AND($J664&lt;&gt;"",$J664&gt;365),"StalePwd ","")&amp;IF($K664="Yes","PwdNeverExpires ","")&amp;IF(AND($S664&lt;&gt;"",$S664&lt;&gt;"None"),"Delegation ","")&amp;IF(AND($Q664=1,$O664="None"),"StaleAdminCount ","")&amp;IF(AND($F664="Yes",$H664=""),"NeverLoggedOn ","")))</f>
        <v/>
      </c>
      <c r="AD664" s="60" t="n"/>
      <c r="AE664" s="61" t="n"/>
      <c r="AF664" s="60" t="n"/>
      <c r="AG664" s="62" t="n"/>
      <c r="AH664" s="62" t="n"/>
      <c r="AI664" s="62" t="n"/>
      <c r="AJ664" s="60" t="n"/>
      <c r="AK664" s="61" t="n"/>
      <c r="AL664" s="63">
        <f>IF($A664="","",IF(AH664="","Not Enrolled",IF(TODAY()&gt;AH664,"Review Overdue",IF(AH664-TODAY()&lt;=30,"Review Due Soon","Active"))))</f>
        <v/>
      </c>
      <c r="AM664" s="63">
        <f>IF($A664="","",IF(AI664="","NOT REVIEWED",IF(TODAY()-AI664&gt;90,"OVERDUE",IF(TODAY()-AI664&gt;76,"Due Soon","Current"))))</f>
        <v/>
      </c>
    </row>
    <row r="665" ht="15" customHeight="1" s="39">
      <c r="A665" s="60" t="n"/>
      <c r="B665" s="60" t="n"/>
      <c r="C665" s="61" t="n"/>
      <c r="D665" s="61" t="n"/>
      <c r="E665" s="60" t="n"/>
      <c r="F665" s="60" t="n"/>
      <c r="G665" s="62" t="n"/>
      <c r="H665" s="62" t="n"/>
      <c r="I665" s="62" t="n"/>
      <c r="J665" s="60" t="n"/>
      <c r="K665" s="60" t="n"/>
      <c r="L665" s="60" t="n"/>
      <c r="M665" s="61" t="n"/>
      <c r="N665" s="60" t="n"/>
      <c r="O665" s="60" t="n"/>
      <c r="P665" s="60" t="n"/>
      <c r="Q665" s="60" t="n"/>
      <c r="R665" s="60" t="n"/>
      <c r="S665" s="60" t="n"/>
      <c r="T665" s="60" t="n"/>
      <c r="U665" s="60" t="n"/>
      <c r="V665" s="60" t="n"/>
      <c r="W665" s="60" t="n"/>
      <c r="X665" s="60" t="n"/>
      <c r="Y665" s="60" t="n"/>
      <c r="Z665" s="61" t="n"/>
      <c r="AA665" s="63">
        <f>IF($H665="","",TODAY()-$H665)</f>
        <v/>
      </c>
      <c r="AB665" s="63">
        <f>IF($A665="","",IF(AND($F665="Yes",OR($U665="No",$U665="NOT FOUND")),"YES",""))</f>
        <v/>
      </c>
      <c r="AC665" s="66">
        <f>IF($A665="","",TRIM(IF(AND($P665=0,$L665&lt;&gt;"Yes"),"T0-NoSmartcard ","")&amp;IF(AND($J665&lt;&gt;"",$J665&gt;365),"StalePwd ","")&amp;IF($K665="Yes","PwdNeverExpires ","")&amp;IF(AND($S665&lt;&gt;"",$S665&lt;&gt;"None"),"Delegation ","")&amp;IF(AND($Q665=1,$O665="None"),"StaleAdminCount ","")&amp;IF(AND($F665="Yes",$H665=""),"NeverLoggedOn ","")))</f>
        <v/>
      </c>
      <c r="AD665" s="60" t="n"/>
      <c r="AE665" s="61" t="n"/>
      <c r="AF665" s="60" t="n"/>
      <c r="AG665" s="62" t="n"/>
      <c r="AH665" s="62" t="n"/>
      <c r="AI665" s="62" t="n"/>
      <c r="AJ665" s="60" t="n"/>
      <c r="AK665" s="61" t="n"/>
      <c r="AL665" s="63">
        <f>IF($A665="","",IF(AH665="","Not Enrolled",IF(TODAY()&gt;AH665,"Review Overdue",IF(AH665-TODAY()&lt;=30,"Review Due Soon","Active"))))</f>
        <v/>
      </c>
      <c r="AM665" s="63">
        <f>IF($A665="","",IF(AI665="","NOT REVIEWED",IF(TODAY()-AI665&gt;90,"OVERDUE",IF(TODAY()-AI665&gt;76,"Due Soon","Current"))))</f>
        <v/>
      </c>
    </row>
    <row r="666" ht="15" customHeight="1" s="39">
      <c r="A666" s="60" t="n"/>
      <c r="B666" s="60" t="n"/>
      <c r="C666" s="61" t="n"/>
      <c r="D666" s="61" t="n"/>
      <c r="E666" s="60" t="n"/>
      <c r="F666" s="60" t="n"/>
      <c r="G666" s="62" t="n"/>
      <c r="H666" s="62" t="n"/>
      <c r="I666" s="62" t="n"/>
      <c r="J666" s="60" t="n"/>
      <c r="K666" s="60" t="n"/>
      <c r="L666" s="60" t="n"/>
      <c r="M666" s="61" t="n"/>
      <c r="N666" s="60" t="n"/>
      <c r="O666" s="60" t="n"/>
      <c r="P666" s="60" t="n"/>
      <c r="Q666" s="60" t="n"/>
      <c r="R666" s="60" t="n"/>
      <c r="S666" s="60" t="n"/>
      <c r="T666" s="60" t="n"/>
      <c r="U666" s="60" t="n"/>
      <c r="V666" s="60" t="n"/>
      <c r="W666" s="60" t="n"/>
      <c r="X666" s="60" t="n"/>
      <c r="Y666" s="60" t="n"/>
      <c r="Z666" s="61" t="n"/>
      <c r="AA666" s="63">
        <f>IF($H666="","",TODAY()-$H666)</f>
        <v/>
      </c>
      <c r="AB666" s="63">
        <f>IF($A666="","",IF(AND($F666="Yes",OR($U666="No",$U666="NOT FOUND")),"YES",""))</f>
        <v/>
      </c>
      <c r="AC666" s="66">
        <f>IF($A666="","",TRIM(IF(AND($P666=0,$L666&lt;&gt;"Yes"),"T0-NoSmartcard ","")&amp;IF(AND($J666&lt;&gt;"",$J666&gt;365),"StalePwd ","")&amp;IF($K666="Yes","PwdNeverExpires ","")&amp;IF(AND($S666&lt;&gt;"",$S666&lt;&gt;"None"),"Delegation ","")&amp;IF(AND($Q666=1,$O666="None"),"StaleAdminCount ","")&amp;IF(AND($F666="Yes",$H666=""),"NeverLoggedOn ","")))</f>
        <v/>
      </c>
      <c r="AD666" s="60" t="n"/>
      <c r="AE666" s="61" t="n"/>
      <c r="AF666" s="60" t="n"/>
      <c r="AG666" s="62" t="n"/>
      <c r="AH666" s="62" t="n"/>
      <c r="AI666" s="62" t="n"/>
      <c r="AJ666" s="60" t="n"/>
      <c r="AK666" s="61" t="n"/>
      <c r="AL666" s="63">
        <f>IF($A666="","",IF(AH666="","Not Enrolled",IF(TODAY()&gt;AH666,"Review Overdue",IF(AH666-TODAY()&lt;=30,"Review Due Soon","Active"))))</f>
        <v/>
      </c>
      <c r="AM666" s="63">
        <f>IF($A666="","",IF(AI666="","NOT REVIEWED",IF(TODAY()-AI666&gt;90,"OVERDUE",IF(TODAY()-AI666&gt;76,"Due Soon","Current"))))</f>
        <v/>
      </c>
    </row>
    <row r="667" ht="15" customHeight="1" s="39">
      <c r="A667" s="60" t="n"/>
      <c r="B667" s="60" t="n"/>
      <c r="C667" s="61" t="n"/>
      <c r="D667" s="61" t="n"/>
      <c r="E667" s="60" t="n"/>
      <c r="F667" s="60" t="n"/>
      <c r="G667" s="62" t="n"/>
      <c r="H667" s="62" t="n"/>
      <c r="I667" s="62" t="n"/>
      <c r="J667" s="60" t="n"/>
      <c r="K667" s="60" t="n"/>
      <c r="L667" s="60" t="n"/>
      <c r="M667" s="61" t="n"/>
      <c r="N667" s="60" t="n"/>
      <c r="O667" s="60" t="n"/>
      <c r="P667" s="60" t="n"/>
      <c r="Q667" s="60" t="n"/>
      <c r="R667" s="60" t="n"/>
      <c r="S667" s="60" t="n"/>
      <c r="T667" s="60" t="n"/>
      <c r="U667" s="60" t="n"/>
      <c r="V667" s="60" t="n"/>
      <c r="W667" s="60" t="n"/>
      <c r="X667" s="60" t="n"/>
      <c r="Y667" s="60" t="n"/>
      <c r="Z667" s="61" t="n"/>
      <c r="AA667" s="63">
        <f>IF($H667="","",TODAY()-$H667)</f>
        <v/>
      </c>
      <c r="AB667" s="63">
        <f>IF($A667="","",IF(AND($F667="Yes",OR($U667="No",$U667="NOT FOUND")),"YES",""))</f>
        <v/>
      </c>
      <c r="AC667" s="66">
        <f>IF($A667="","",TRIM(IF(AND($P667=0,$L667&lt;&gt;"Yes"),"T0-NoSmartcard ","")&amp;IF(AND($J667&lt;&gt;"",$J667&gt;365),"StalePwd ","")&amp;IF($K667="Yes","PwdNeverExpires ","")&amp;IF(AND($S667&lt;&gt;"",$S667&lt;&gt;"None"),"Delegation ","")&amp;IF(AND($Q667=1,$O667="None"),"StaleAdminCount ","")&amp;IF(AND($F667="Yes",$H667=""),"NeverLoggedOn ","")))</f>
        <v/>
      </c>
      <c r="AD667" s="60" t="n"/>
      <c r="AE667" s="61" t="n"/>
      <c r="AF667" s="60" t="n"/>
      <c r="AG667" s="62" t="n"/>
      <c r="AH667" s="62" t="n"/>
      <c r="AI667" s="62" t="n"/>
      <c r="AJ667" s="60" t="n"/>
      <c r="AK667" s="61" t="n"/>
      <c r="AL667" s="63">
        <f>IF($A667="","",IF(AH667="","Not Enrolled",IF(TODAY()&gt;AH667,"Review Overdue",IF(AH667-TODAY()&lt;=30,"Review Due Soon","Active"))))</f>
        <v/>
      </c>
      <c r="AM667" s="63">
        <f>IF($A667="","",IF(AI667="","NOT REVIEWED",IF(TODAY()-AI667&gt;90,"OVERDUE",IF(TODAY()-AI667&gt;76,"Due Soon","Current"))))</f>
        <v/>
      </c>
    </row>
    <row r="668" ht="15" customHeight="1" s="39">
      <c r="A668" s="60" t="n"/>
      <c r="B668" s="60" t="n"/>
      <c r="C668" s="61" t="n"/>
      <c r="D668" s="61" t="n"/>
      <c r="E668" s="60" t="n"/>
      <c r="F668" s="60" t="n"/>
      <c r="G668" s="62" t="n"/>
      <c r="H668" s="62" t="n"/>
      <c r="I668" s="62" t="n"/>
      <c r="J668" s="60" t="n"/>
      <c r="K668" s="60" t="n"/>
      <c r="L668" s="60" t="n"/>
      <c r="M668" s="61" t="n"/>
      <c r="N668" s="60" t="n"/>
      <c r="O668" s="60" t="n"/>
      <c r="P668" s="60" t="n"/>
      <c r="Q668" s="60" t="n"/>
      <c r="R668" s="60" t="n"/>
      <c r="S668" s="60" t="n"/>
      <c r="T668" s="60" t="n"/>
      <c r="U668" s="60" t="n"/>
      <c r="V668" s="60" t="n"/>
      <c r="W668" s="60" t="n"/>
      <c r="X668" s="60" t="n"/>
      <c r="Y668" s="60" t="n"/>
      <c r="Z668" s="61" t="n"/>
      <c r="AA668" s="63">
        <f>IF($H668="","",TODAY()-$H668)</f>
        <v/>
      </c>
      <c r="AB668" s="63">
        <f>IF($A668="","",IF(AND($F668="Yes",OR($U668="No",$U668="NOT FOUND")),"YES",""))</f>
        <v/>
      </c>
      <c r="AC668" s="66">
        <f>IF($A668="","",TRIM(IF(AND($P668=0,$L668&lt;&gt;"Yes"),"T0-NoSmartcard ","")&amp;IF(AND($J668&lt;&gt;"",$J668&gt;365),"StalePwd ","")&amp;IF($K668="Yes","PwdNeverExpires ","")&amp;IF(AND($S668&lt;&gt;"",$S668&lt;&gt;"None"),"Delegation ","")&amp;IF(AND($Q668=1,$O668="None"),"StaleAdminCount ","")&amp;IF(AND($F668="Yes",$H668=""),"NeverLoggedOn ","")))</f>
        <v/>
      </c>
      <c r="AD668" s="60" t="n"/>
      <c r="AE668" s="61" t="n"/>
      <c r="AF668" s="60" t="n"/>
      <c r="AG668" s="62" t="n"/>
      <c r="AH668" s="62" t="n"/>
      <c r="AI668" s="62" t="n"/>
      <c r="AJ668" s="60" t="n"/>
      <c r="AK668" s="61" t="n"/>
      <c r="AL668" s="63">
        <f>IF($A668="","",IF(AH668="","Not Enrolled",IF(TODAY()&gt;AH668,"Review Overdue",IF(AH668-TODAY()&lt;=30,"Review Due Soon","Active"))))</f>
        <v/>
      </c>
      <c r="AM668" s="63">
        <f>IF($A668="","",IF(AI668="","NOT REVIEWED",IF(TODAY()-AI668&gt;90,"OVERDUE",IF(TODAY()-AI668&gt;76,"Due Soon","Current"))))</f>
        <v/>
      </c>
    </row>
    <row r="669" ht="15" customHeight="1" s="39">
      <c r="A669" s="60" t="n"/>
      <c r="B669" s="60" t="n"/>
      <c r="C669" s="61" t="n"/>
      <c r="D669" s="61" t="n"/>
      <c r="E669" s="60" t="n"/>
      <c r="F669" s="60" t="n"/>
      <c r="G669" s="62" t="n"/>
      <c r="H669" s="62" t="n"/>
      <c r="I669" s="62" t="n"/>
      <c r="J669" s="60" t="n"/>
      <c r="K669" s="60" t="n"/>
      <c r="L669" s="60" t="n"/>
      <c r="M669" s="61" t="n"/>
      <c r="N669" s="60" t="n"/>
      <c r="O669" s="60" t="n"/>
      <c r="P669" s="60" t="n"/>
      <c r="Q669" s="60" t="n"/>
      <c r="R669" s="60" t="n"/>
      <c r="S669" s="60" t="n"/>
      <c r="T669" s="60" t="n"/>
      <c r="U669" s="60" t="n"/>
      <c r="V669" s="60" t="n"/>
      <c r="W669" s="60" t="n"/>
      <c r="X669" s="60" t="n"/>
      <c r="Y669" s="60" t="n"/>
      <c r="Z669" s="61" t="n"/>
      <c r="AA669" s="63">
        <f>IF($H669="","",TODAY()-$H669)</f>
        <v/>
      </c>
      <c r="AB669" s="63">
        <f>IF($A669="","",IF(AND($F669="Yes",OR($U669="No",$U669="NOT FOUND")),"YES",""))</f>
        <v/>
      </c>
      <c r="AC669" s="66">
        <f>IF($A669="","",TRIM(IF(AND($P669=0,$L669&lt;&gt;"Yes"),"T0-NoSmartcard ","")&amp;IF(AND($J669&lt;&gt;"",$J669&gt;365),"StalePwd ","")&amp;IF($K669="Yes","PwdNeverExpires ","")&amp;IF(AND($S669&lt;&gt;"",$S669&lt;&gt;"None"),"Delegation ","")&amp;IF(AND($Q669=1,$O669="None"),"StaleAdminCount ","")&amp;IF(AND($F669="Yes",$H669=""),"NeverLoggedOn ","")))</f>
        <v/>
      </c>
      <c r="AD669" s="60" t="n"/>
      <c r="AE669" s="61" t="n"/>
      <c r="AF669" s="60" t="n"/>
      <c r="AG669" s="62" t="n"/>
      <c r="AH669" s="62" t="n"/>
      <c r="AI669" s="62" t="n"/>
      <c r="AJ669" s="60" t="n"/>
      <c r="AK669" s="61" t="n"/>
      <c r="AL669" s="63">
        <f>IF($A669="","",IF(AH669="","Not Enrolled",IF(TODAY()&gt;AH669,"Review Overdue",IF(AH669-TODAY()&lt;=30,"Review Due Soon","Active"))))</f>
        <v/>
      </c>
      <c r="AM669" s="63">
        <f>IF($A669="","",IF(AI669="","NOT REVIEWED",IF(TODAY()-AI669&gt;90,"OVERDUE",IF(TODAY()-AI669&gt;76,"Due Soon","Current"))))</f>
        <v/>
      </c>
    </row>
    <row r="670" ht="15" customHeight="1" s="39">
      <c r="A670" s="60" t="n"/>
      <c r="B670" s="60" t="n"/>
      <c r="C670" s="61" t="n"/>
      <c r="D670" s="61" t="n"/>
      <c r="E670" s="60" t="n"/>
      <c r="F670" s="60" t="n"/>
      <c r="G670" s="62" t="n"/>
      <c r="H670" s="62" t="n"/>
      <c r="I670" s="62" t="n"/>
      <c r="J670" s="60" t="n"/>
      <c r="K670" s="60" t="n"/>
      <c r="L670" s="60" t="n"/>
      <c r="M670" s="61" t="n"/>
      <c r="N670" s="60" t="n"/>
      <c r="O670" s="60" t="n"/>
      <c r="P670" s="60" t="n"/>
      <c r="Q670" s="60" t="n"/>
      <c r="R670" s="60" t="n"/>
      <c r="S670" s="60" t="n"/>
      <c r="T670" s="60" t="n"/>
      <c r="U670" s="60" t="n"/>
      <c r="V670" s="60" t="n"/>
      <c r="W670" s="60" t="n"/>
      <c r="X670" s="60" t="n"/>
      <c r="Y670" s="60" t="n"/>
      <c r="Z670" s="61" t="n"/>
      <c r="AA670" s="63">
        <f>IF($H670="","",TODAY()-$H670)</f>
        <v/>
      </c>
      <c r="AB670" s="63">
        <f>IF($A670="","",IF(AND($F670="Yes",OR($U670="No",$U670="NOT FOUND")),"YES",""))</f>
        <v/>
      </c>
      <c r="AC670" s="66">
        <f>IF($A670="","",TRIM(IF(AND($P670=0,$L670&lt;&gt;"Yes"),"T0-NoSmartcard ","")&amp;IF(AND($J670&lt;&gt;"",$J670&gt;365),"StalePwd ","")&amp;IF($K670="Yes","PwdNeverExpires ","")&amp;IF(AND($S670&lt;&gt;"",$S670&lt;&gt;"None"),"Delegation ","")&amp;IF(AND($Q670=1,$O670="None"),"StaleAdminCount ","")&amp;IF(AND($F670="Yes",$H670=""),"NeverLoggedOn ","")))</f>
        <v/>
      </c>
      <c r="AD670" s="60" t="n"/>
      <c r="AE670" s="61" t="n"/>
      <c r="AF670" s="60" t="n"/>
      <c r="AG670" s="62" t="n"/>
      <c r="AH670" s="62" t="n"/>
      <c r="AI670" s="62" t="n"/>
      <c r="AJ670" s="60" t="n"/>
      <c r="AK670" s="61" t="n"/>
      <c r="AL670" s="63">
        <f>IF($A670="","",IF(AH670="","Not Enrolled",IF(TODAY()&gt;AH670,"Review Overdue",IF(AH670-TODAY()&lt;=30,"Review Due Soon","Active"))))</f>
        <v/>
      </c>
      <c r="AM670" s="63">
        <f>IF($A670="","",IF(AI670="","NOT REVIEWED",IF(TODAY()-AI670&gt;90,"OVERDUE",IF(TODAY()-AI670&gt;76,"Due Soon","Current"))))</f>
        <v/>
      </c>
    </row>
    <row r="671" ht="15" customHeight="1" s="39">
      <c r="A671" s="60" t="n"/>
      <c r="B671" s="60" t="n"/>
      <c r="C671" s="61" t="n"/>
      <c r="D671" s="61" t="n"/>
      <c r="E671" s="60" t="n"/>
      <c r="F671" s="60" t="n"/>
      <c r="G671" s="62" t="n"/>
      <c r="H671" s="62" t="n"/>
      <c r="I671" s="62" t="n"/>
      <c r="J671" s="60" t="n"/>
      <c r="K671" s="60" t="n"/>
      <c r="L671" s="60" t="n"/>
      <c r="M671" s="61" t="n"/>
      <c r="N671" s="60" t="n"/>
      <c r="O671" s="60" t="n"/>
      <c r="P671" s="60" t="n"/>
      <c r="Q671" s="60" t="n"/>
      <c r="R671" s="60" t="n"/>
      <c r="S671" s="60" t="n"/>
      <c r="T671" s="60" t="n"/>
      <c r="U671" s="60" t="n"/>
      <c r="V671" s="60" t="n"/>
      <c r="W671" s="60" t="n"/>
      <c r="X671" s="60" t="n"/>
      <c r="Y671" s="60" t="n"/>
      <c r="Z671" s="61" t="n"/>
      <c r="AA671" s="63">
        <f>IF($H671="","",TODAY()-$H671)</f>
        <v/>
      </c>
      <c r="AB671" s="63">
        <f>IF($A671="","",IF(AND($F671="Yes",OR($U671="No",$U671="NOT FOUND")),"YES",""))</f>
        <v/>
      </c>
      <c r="AC671" s="66">
        <f>IF($A671="","",TRIM(IF(AND($P671=0,$L671&lt;&gt;"Yes"),"T0-NoSmartcard ","")&amp;IF(AND($J671&lt;&gt;"",$J671&gt;365),"StalePwd ","")&amp;IF($K671="Yes","PwdNeverExpires ","")&amp;IF(AND($S671&lt;&gt;"",$S671&lt;&gt;"None"),"Delegation ","")&amp;IF(AND($Q671=1,$O671="None"),"StaleAdminCount ","")&amp;IF(AND($F671="Yes",$H671=""),"NeverLoggedOn ","")))</f>
        <v/>
      </c>
      <c r="AD671" s="60" t="n"/>
      <c r="AE671" s="61" t="n"/>
      <c r="AF671" s="60" t="n"/>
      <c r="AG671" s="62" t="n"/>
      <c r="AH671" s="62" t="n"/>
      <c r="AI671" s="62" t="n"/>
      <c r="AJ671" s="60" t="n"/>
      <c r="AK671" s="61" t="n"/>
      <c r="AL671" s="63">
        <f>IF($A671="","",IF(AH671="","Not Enrolled",IF(TODAY()&gt;AH671,"Review Overdue",IF(AH671-TODAY()&lt;=30,"Review Due Soon","Active"))))</f>
        <v/>
      </c>
      <c r="AM671" s="63">
        <f>IF($A671="","",IF(AI671="","NOT REVIEWED",IF(TODAY()-AI671&gt;90,"OVERDUE",IF(TODAY()-AI671&gt;76,"Due Soon","Current"))))</f>
        <v/>
      </c>
    </row>
    <row r="672" ht="15" customHeight="1" s="39">
      <c r="A672" s="60" t="n"/>
      <c r="B672" s="60" t="n"/>
      <c r="C672" s="61" t="n"/>
      <c r="D672" s="61" t="n"/>
      <c r="E672" s="60" t="n"/>
      <c r="F672" s="60" t="n"/>
      <c r="G672" s="62" t="n"/>
      <c r="H672" s="62" t="n"/>
      <c r="I672" s="62" t="n"/>
      <c r="J672" s="60" t="n"/>
      <c r="K672" s="60" t="n"/>
      <c r="L672" s="60" t="n"/>
      <c r="M672" s="61" t="n"/>
      <c r="N672" s="60" t="n"/>
      <c r="O672" s="60" t="n"/>
      <c r="P672" s="60" t="n"/>
      <c r="Q672" s="60" t="n"/>
      <c r="R672" s="60" t="n"/>
      <c r="S672" s="60" t="n"/>
      <c r="T672" s="60" t="n"/>
      <c r="U672" s="60" t="n"/>
      <c r="V672" s="60" t="n"/>
      <c r="W672" s="60" t="n"/>
      <c r="X672" s="60" t="n"/>
      <c r="Y672" s="60" t="n"/>
      <c r="Z672" s="61" t="n"/>
      <c r="AA672" s="63">
        <f>IF($H672="","",TODAY()-$H672)</f>
        <v/>
      </c>
      <c r="AB672" s="63">
        <f>IF($A672="","",IF(AND($F672="Yes",OR($U672="No",$U672="NOT FOUND")),"YES",""))</f>
        <v/>
      </c>
      <c r="AC672" s="66">
        <f>IF($A672="","",TRIM(IF(AND($P672=0,$L672&lt;&gt;"Yes"),"T0-NoSmartcard ","")&amp;IF(AND($J672&lt;&gt;"",$J672&gt;365),"StalePwd ","")&amp;IF($K672="Yes","PwdNeverExpires ","")&amp;IF(AND($S672&lt;&gt;"",$S672&lt;&gt;"None"),"Delegation ","")&amp;IF(AND($Q672=1,$O672="None"),"StaleAdminCount ","")&amp;IF(AND($F672="Yes",$H672=""),"NeverLoggedOn ","")))</f>
        <v/>
      </c>
      <c r="AD672" s="60" t="n"/>
      <c r="AE672" s="61" t="n"/>
      <c r="AF672" s="60" t="n"/>
      <c r="AG672" s="62" t="n"/>
      <c r="AH672" s="62" t="n"/>
      <c r="AI672" s="62" t="n"/>
      <c r="AJ672" s="60" t="n"/>
      <c r="AK672" s="61" t="n"/>
      <c r="AL672" s="63">
        <f>IF($A672="","",IF(AH672="","Not Enrolled",IF(TODAY()&gt;AH672,"Review Overdue",IF(AH672-TODAY()&lt;=30,"Review Due Soon","Active"))))</f>
        <v/>
      </c>
      <c r="AM672" s="63">
        <f>IF($A672="","",IF(AI672="","NOT REVIEWED",IF(TODAY()-AI672&gt;90,"OVERDUE",IF(TODAY()-AI672&gt;76,"Due Soon","Current"))))</f>
        <v/>
      </c>
    </row>
    <row r="673" ht="15" customHeight="1" s="39">
      <c r="A673" s="60" t="n"/>
      <c r="B673" s="60" t="n"/>
      <c r="C673" s="61" t="n"/>
      <c r="D673" s="61" t="n"/>
      <c r="E673" s="60" t="n"/>
      <c r="F673" s="60" t="n"/>
      <c r="G673" s="62" t="n"/>
      <c r="H673" s="62" t="n"/>
      <c r="I673" s="62" t="n"/>
      <c r="J673" s="60" t="n"/>
      <c r="K673" s="60" t="n"/>
      <c r="L673" s="60" t="n"/>
      <c r="M673" s="61" t="n"/>
      <c r="N673" s="60" t="n"/>
      <c r="O673" s="60" t="n"/>
      <c r="P673" s="60" t="n"/>
      <c r="Q673" s="60" t="n"/>
      <c r="R673" s="60" t="n"/>
      <c r="S673" s="60" t="n"/>
      <c r="T673" s="60" t="n"/>
      <c r="U673" s="60" t="n"/>
      <c r="V673" s="60" t="n"/>
      <c r="W673" s="60" t="n"/>
      <c r="X673" s="60" t="n"/>
      <c r="Y673" s="60" t="n"/>
      <c r="Z673" s="61" t="n"/>
      <c r="AA673" s="63">
        <f>IF($H673="","",TODAY()-$H673)</f>
        <v/>
      </c>
      <c r="AB673" s="63">
        <f>IF($A673="","",IF(AND($F673="Yes",OR($U673="No",$U673="NOT FOUND")),"YES",""))</f>
        <v/>
      </c>
      <c r="AC673" s="66">
        <f>IF($A673="","",TRIM(IF(AND($P673=0,$L673&lt;&gt;"Yes"),"T0-NoSmartcard ","")&amp;IF(AND($J673&lt;&gt;"",$J673&gt;365),"StalePwd ","")&amp;IF($K673="Yes","PwdNeverExpires ","")&amp;IF(AND($S673&lt;&gt;"",$S673&lt;&gt;"None"),"Delegation ","")&amp;IF(AND($Q673=1,$O673="None"),"StaleAdminCount ","")&amp;IF(AND($F673="Yes",$H673=""),"NeverLoggedOn ","")))</f>
        <v/>
      </c>
      <c r="AD673" s="60" t="n"/>
      <c r="AE673" s="61" t="n"/>
      <c r="AF673" s="60" t="n"/>
      <c r="AG673" s="62" t="n"/>
      <c r="AH673" s="62" t="n"/>
      <c r="AI673" s="62" t="n"/>
      <c r="AJ673" s="60" t="n"/>
      <c r="AK673" s="61" t="n"/>
      <c r="AL673" s="63">
        <f>IF($A673="","",IF(AH673="","Not Enrolled",IF(TODAY()&gt;AH673,"Review Overdue",IF(AH673-TODAY()&lt;=30,"Review Due Soon","Active"))))</f>
        <v/>
      </c>
      <c r="AM673" s="63">
        <f>IF($A673="","",IF(AI673="","NOT REVIEWED",IF(TODAY()-AI673&gt;90,"OVERDUE",IF(TODAY()-AI673&gt;76,"Due Soon","Current"))))</f>
        <v/>
      </c>
    </row>
    <row r="674" ht="15" customHeight="1" s="39">
      <c r="A674" s="60" t="n"/>
      <c r="B674" s="60" t="n"/>
      <c r="C674" s="61" t="n"/>
      <c r="D674" s="61" t="n"/>
      <c r="E674" s="60" t="n"/>
      <c r="F674" s="60" t="n"/>
      <c r="G674" s="62" t="n"/>
      <c r="H674" s="62" t="n"/>
      <c r="I674" s="62" t="n"/>
      <c r="J674" s="60" t="n"/>
      <c r="K674" s="60" t="n"/>
      <c r="L674" s="60" t="n"/>
      <c r="M674" s="61" t="n"/>
      <c r="N674" s="60" t="n"/>
      <c r="O674" s="60" t="n"/>
      <c r="P674" s="60" t="n"/>
      <c r="Q674" s="60" t="n"/>
      <c r="R674" s="60" t="n"/>
      <c r="S674" s="60" t="n"/>
      <c r="T674" s="60" t="n"/>
      <c r="U674" s="60" t="n"/>
      <c r="V674" s="60" t="n"/>
      <c r="W674" s="60" t="n"/>
      <c r="X674" s="60" t="n"/>
      <c r="Y674" s="60" t="n"/>
      <c r="Z674" s="61" t="n"/>
      <c r="AA674" s="63">
        <f>IF($H674="","",TODAY()-$H674)</f>
        <v/>
      </c>
      <c r="AB674" s="63">
        <f>IF($A674="","",IF(AND($F674="Yes",OR($U674="No",$U674="NOT FOUND")),"YES",""))</f>
        <v/>
      </c>
      <c r="AC674" s="66">
        <f>IF($A674="","",TRIM(IF(AND($P674=0,$L674&lt;&gt;"Yes"),"T0-NoSmartcard ","")&amp;IF(AND($J674&lt;&gt;"",$J674&gt;365),"StalePwd ","")&amp;IF($K674="Yes","PwdNeverExpires ","")&amp;IF(AND($S674&lt;&gt;"",$S674&lt;&gt;"None"),"Delegation ","")&amp;IF(AND($Q674=1,$O674="None"),"StaleAdminCount ","")&amp;IF(AND($F674="Yes",$H674=""),"NeverLoggedOn ","")))</f>
        <v/>
      </c>
      <c r="AD674" s="60" t="n"/>
      <c r="AE674" s="61" t="n"/>
      <c r="AF674" s="60" t="n"/>
      <c r="AG674" s="62" t="n"/>
      <c r="AH674" s="62" t="n"/>
      <c r="AI674" s="62" t="n"/>
      <c r="AJ674" s="60" t="n"/>
      <c r="AK674" s="61" t="n"/>
      <c r="AL674" s="63">
        <f>IF($A674="","",IF(AH674="","Not Enrolled",IF(TODAY()&gt;AH674,"Review Overdue",IF(AH674-TODAY()&lt;=30,"Review Due Soon","Active"))))</f>
        <v/>
      </c>
      <c r="AM674" s="63">
        <f>IF($A674="","",IF(AI674="","NOT REVIEWED",IF(TODAY()-AI674&gt;90,"OVERDUE",IF(TODAY()-AI674&gt;76,"Due Soon","Current"))))</f>
        <v/>
      </c>
    </row>
    <row r="675" ht="15" customHeight="1" s="39">
      <c r="A675" s="60" t="n"/>
      <c r="B675" s="60" t="n"/>
      <c r="C675" s="61" t="n"/>
      <c r="D675" s="61" t="n"/>
      <c r="E675" s="60" t="n"/>
      <c r="F675" s="60" t="n"/>
      <c r="G675" s="62" t="n"/>
      <c r="H675" s="62" t="n"/>
      <c r="I675" s="62" t="n"/>
      <c r="J675" s="60" t="n"/>
      <c r="K675" s="60" t="n"/>
      <c r="L675" s="60" t="n"/>
      <c r="M675" s="61" t="n"/>
      <c r="N675" s="60" t="n"/>
      <c r="O675" s="60" t="n"/>
      <c r="P675" s="60" t="n"/>
      <c r="Q675" s="60" t="n"/>
      <c r="R675" s="60" t="n"/>
      <c r="S675" s="60" t="n"/>
      <c r="T675" s="60" t="n"/>
      <c r="U675" s="60" t="n"/>
      <c r="V675" s="60" t="n"/>
      <c r="W675" s="60" t="n"/>
      <c r="X675" s="60" t="n"/>
      <c r="Y675" s="60" t="n"/>
      <c r="Z675" s="61" t="n"/>
      <c r="AA675" s="63">
        <f>IF($H675="","",TODAY()-$H675)</f>
        <v/>
      </c>
      <c r="AB675" s="63">
        <f>IF($A675="","",IF(AND($F675="Yes",OR($U675="No",$U675="NOT FOUND")),"YES",""))</f>
        <v/>
      </c>
      <c r="AC675" s="66">
        <f>IF($A675="","",TRIM(IF(AND($P675=0,$L675&lt;&gt;"Yes"),"T0-NoSmartcard ","")&amp;IF(AND($J675&lt;&gt;"",$J675&gt;365),"StalePwd ","")&amp;IF($K675="Yes","PwdNeverExpires ","")&amp;IF(AND($S675&lt;&gt;"",$S675&lt;&gt;"None"),"Delegation ","")&amp;IF(AND($Q675=1,$O675="None"),"StaleAdminCount ","")&amp;IF(AND($F675="Yes",$H675=""),"NeverLoggedOn ","")))</f>
        <v/>
      </c>
      <c r="AD675" s="60" t="n"/>
      <c r="AE675" s="61" t="n"/>
      <c r="AF675" s="60" t="n"/>
      <c r="AG675" s="62" t="n"/>
      <c r="AH675" s="62" t="n"/>
      <c r="AI675" s="62" t="n"/>
      <c r="AJ675" s="60" t="n"/>
      <c r="AK675" s="61" t="n"/>
      <c r="AL675" s="63">
        <f>IF($A675="","",IF(AH675="","Not Enrolled",IF(TODAY()&gt;AH675,"Review Overdue",IF(AH675-TODAY()&lt;=30,"Review Due Soon","Active"))))</f>
        <v/>
      </c>
      <c r="AM675" s="63">
        <f>IF($A675="","",IF(AI675="","NOT REVIEWED",IF(TODAY()-AI675&gt;90,"OVERDUE",IF(TODAY()-AI675&gt;76,"Due Soon","Current"))))</f>
        <v/>
      </c>
    </row>
    <row r="676" ht="15" customHeight="1" s="39">
      <c r="A676" s="60" t="n"/>
      <c r="B676" s="60" t="n"/>
      <c r="C676" s="61" t="n"/>
      <c r="D676" s="61" t="n"/>
      <c r="E676" s="60" t="n"/>
      <c r="F676" s="60" t="n"/>
      <c r="G676" s="62" t="n"/>
      <c r="H676" s="62" t="n"/>
      <c r="I676" s="62" t="n"/>
      <c r="J676" s="60" t="n"/>
      <c r="K676" s="60" t="n"/>
      <c r="L676" s="60" t="n"/>
      <c r="M676" s="61" t="n"/>
      <c r="N676" s="60" t="n"/>
      <c r="O676" s="60" t="n"/>
      <c r="P676" s="60" t="n"/>
      <c r="Q676" s="60" t="n"/>
      <c r="R676" s="60" t="n"/>
      <c r="S676" s="60" t="n"/>
      <c r="T676" s="60" t="n"/>
      <c r="U676" s="60" t="n"/>
      <c r="V676" s="60" t="n"/>
      <c r="W676" s="60" t="n"/>
      <c r="X676" s="60" t="n"/>
      <c r="Y676" s="60" t="n"/>
      <c r="Z676" s="61" t="n"/>
      <c r="AA676" s="63">
        <f>IF($H676="","",TODAY()-$H676)</f>
        <v/>
      </c>
      <c r="AB676" s="63">
        <f>IF($A676="","",IF(AND($F676="Yes",OR($U676="No",$U676="NOT FOUND")),"YES",""))</f>
        <v/>
      </c>
      <c r="AC676" s="66">
        <f>IF($A676="","",TRIM(IF(AND($P676=0,$L676&lt;&gt;"Yes"),"T0-NoSmartcard ","")&amp;IF(AND($J676&lt;&gt;"",$J676&gt;365),"StalePwd ","")&amp;IF($K676="Yes","PwdNeverExpires ","")&amp;IF(AND($S676&lt;&gt;"",$S676&lt;&gt;"None"),"Delegation ","")&amp;IF(AND($Q676=1,$O676="None"),"StaleAdminCount ","")&amp;IF(AND($F676="Yes",$H676=""),"NeverLoggedOn ","")))</f>
        <v/>
      </c>
      <c r="AD676" s="60" t="n"/>
      <c r="AE676" s="61" t="n"/>
      <c r="AF676" s="60" t="n"/>
      <c r="AG676" s="62" t="n"/>
      <c r="AH676" s="62" t="n"/>
      <c r="AI676" s="62" t="n"/>
      <c r="AJ676" s="60" t="n"/>
      <c r="AK676" s="61" t="n"/>
      <c r="AL676" s="63">
        <f>IF($A676="","",IF(AH676="","Not Enrolled",IF(TODAY()&gt;AH676,"Review Overdue",IF(AH676-TODAY()&lt;=30,"Review Due Soon","Active"))))</f>
        <v/>
      </c>
      <c r="AM676" s="63">
        <f>IF($A676="","",IF(AI676="","NOT REVIEWED",IF(TODAY()-AI676&gt;90,"OVERDUE",IF(TODAY()-AI676&gt;76,"Due Soon","Current"))))</f>
        <v/>
      </c>
    </row>
    <row r="677" ht="15" customHeight="1" s="39">
      <c r="A677" s="60" t="n"/>
      <c r="B677" s="60" t="n"/>
      <c r="C677" s="61" t="n"/>
      <c r="D677" s="61" t="n"/>
      <c r="E677" s="60" t="n"/>
      <c r="F677" s="60" t="n"/>
      <c r="G677" s="62" t="n"/>
      <c r="H677" s="62" t="n"/>
      <c r="I677" s="62" t="n"/>
      <c r="J677" s="60" t="n"/>
      <c r="K677" s="60" t="n"/>
      <c r="L677" s="60" t="n"/>
      <c r="M677" s="61" t="n"/>
      <c r="N677" s="60" t="n"/>
      <c r="O677" s="60" t="n"/>
      <c r="P677" s="60" t="n"/>
      <c r="Q677" s="60" t="n"/>
      <c r="R677" s="60" t="n"/>
      <c r="S677" s="60" t="n"/>
      <c r="T677" s="60" t="n"/>
      <c r="U677" s="60" t="n"/>
      <c r="V677" s="60" t="n"/>
      <c r="W677" s="60" t="n"/>
      <c r="X677" s="60" t="n"/>
      <c r="Y677" s="60" t="n"/>
      <c r="Z677" s="61" t="n"/>
      <c r="AA677" s="63">
        <f>IF($H677="","",TODAY()-$H677)</f>
        <v/>
      </c>
      <c r="AB677" s="63">
        <f>IF($A677="","",IF(AND($F677="Yes",OR($U677="No",$U677="NOT FOUND")),"YES",""))</f>
        <v/>
      </c>
      <c r="AC677" s="66">
        <f>IF($A677="","",TRIM(IF(AND($P677=0,$L677&lt;&gt;"Yes"),"T0-NoSmartcard ","")&amp;IF(AND($J677&lt;&gt;"",$J677&gt;365),"StalePwd ","")&amp;IF($K677="Yes","PwdNeverExpires ","")&amp;IF(AND($S677&lt;&gt;"",$S677&lt;&gt;"None"),"Delegation ","")&amp;IF(AND($Q677=1,$O677="None"),"StaleAdminCount ","")&amp;IF(AND($F677="Yes",$H677=""),"NeverLoggedOn ","")))</f>
        <v/>
      </c>
      <c r="AD677" s="60" t="n"/>
      <c r="AE677" s="61" t="n"/>
      <c r="AF677" s="60" t="n"/>
      <c r="AG677" s="62" t="n"/>
      <c r="AH677" s="62" t="n"/>
      <c r="AI677" s="62" t="n"/>
      <c r="AJ677" s="60" t="n"/>
      <c r="AK677" s="61" t="n"/>
      <c r="AL677" s="63">
        <f>IF($A677="","",IF(AH677="","Not Enrolled",IF(TODAY()&gt;AH677,"Review Overdue",IF(AH677-TODAY()&lt;=30,"Review Due Soon","Active"))))</f>
        <v/>
      </c>
      <c r="AM677" s="63">
        <f>IF($A677="","",IF(AI677="","NOT REVIEWED",IF(TODAY()-AI677&gt;90,"OVERDUE",IF(TODAY()-AI677&gt;76,"Due Soon","Current"))))</f>
        <v/>
      </c>
    </row>
    <row r="678" ht="15" customHeight="1" s="39">
      <c r="A678" s="60" t="n"/>
      <c r="B678" s="60" t="n"/>
      <c r="C678" s="61" t="n"/>
      <c r="D678" s="61" t="n"/>
      <c r="E678" s="60" t="n"/>
      <c r="F678" s="60" t="n"/>
      <c r="G678" s="62" t="n"/>
      <c r="H678" s="62" t="n"/>
      <c r="I678" s="62" t="n"/>
      <c r="J678" s="60" t="n"/>
      <c r="K678" s="60" t="n"/>
      <c r="L678" s="60" t="n"/>
      <c r="M678" s="61" t="n"/>
      <c r="N678" s="60" t="n"/>
      <c r="O678" s="60" t="n"/>
      <c r="P678" s="60" t="n"/>
      <c r="Q678" s="60" t="n"/>
      <c r="R678" s="60" t="n"/>
      <c r="S678" s="60" t="n"/>
      <c r="T678" s="60" t="n"/>
      <c r="U678" s="60" t="n"/>
      <c r="V678" s="60" t="n"/>
      <c r="W678" s="60" t="n"/>
      <c r="X678" s="60" t="n"/>
      <c r="Y678" s="60" t="n"/>
      <c r="Z678" s="61" t="n"/>
      <c r="AA678" s="63">
        <f>IF($H678="","",TODAY()-$H678)</f>
        <v/>
      </c>
      <c r="AB678" s="63">
        <f>IF($A678="","",IF(AND($F678="Yes",OR($U678="No",$U678="NOT FOUND")),"YES",""))</f>
        <v/>
      </c>
      <c r="AC678" s="66">
        <f>IF($A678="","",TRIM(IF(AND($P678=0,$L678&lt;&gt;"Yes"),"T0-NoSmartcard ","")&amp;IF(AND($J678&lt;&gt;"",$J678&gt;365),"StalePwd ","")&amp;IF($K678="Yes","PwdNeverExpires ","")&amp;IF(AND($S678&lt;&gt;"",$S678&lt;&gt;"None"),"Delegation ","")&amp;IF(AND($Q678=1,$O678="None"),"StaleAdminCount ","")&amp;IF(AND($F678="Yes",$H678=""),"NeverLoggedOn ","")))</f>
        <v/>
      </c>
      <c r="AD678" s="60" t="n"/>
      <c r="AE678" s="61" t="n"/>
      <c r="AF678" s="60" t="n"/>
      <c r="AG678" s="62" t="n"/>
      <c r="AH678" s="62" t="n"/>
      <c r="AI678" s="62" t="n"/>
      <c r="AJ678" s="60" t="n"/>
      <c r="AK678" s="61" t="n"/>
      <c r="AL678" s="63">
        <f>IF($A678="","",IF(AH678="","Not Enrolled",IF(TODAY()&gt;AH678,"Review Overdue",IF(AH678-TODAY()&lt;=30,"Review Due Soon","Active"))))</f>
        <v/>
      </c>
      <c r="AM678" s="63">
        <f>IF($A678="","",IF(AI678="","NOT REVIEWED",IF(TODAY()-AI678&gt;90,"OVERDUE",IF(TODAY()-AI678&gt;76,"Due Soon","Current"))))</f>
        <v/>
      </c>
    </row>
    <row r="679" ht="15" customHeight="1" s="39">
      <c r="A679" s="60" t="n"/>
      <c r="B679" s="60" t="n"/>
      <c r="C679" s="61" t="n"/>
      <c r="D679" s="61" t="n"/>
      <c r="E679" s="60" t="n"/>
      <c r="F679" s="60" t="n"/>
      <c r="G679" s="62" t="n"/>
      <c r="H679" s="62" t="n"/>
      <c r="I679" s="62" t="n"/>
      <c r="J679" s="60" t="n"/>
      <c r="K679" s="60" t="n"/>
      <c r="L679" s="60" t="n"/>
      <c r="M679" s="61" t="n"/>
      <c r="N679" s="60" t="n"/>
      <c r="O679" s="60" t="n"/>
      <c r="P679" s="60" t="n"/>
      <c r="Q679" s="60" t="n"/>
      <c r="R679" s="60" t="n"/>
      <c r="S679" s="60" t="n"/>
      <c r="T679" s="60" t="n"/>
      <c r="U679" s="60" t="n"/>
      <c r="V679" s="60" t="n"/>
      <c r="W679" s="60" t="n"/>
      <c r="X679" s="60" t="n"/>
      <c r="Y679" s="60" t="n"/>
      <c r="Z679" s="61" t="n"/>
      <c r="AA679" s="63">
        <f>IF($H679="","",TODAY()-$H679)</f>
        <v/>
      </c>
      <c r="AB679" s="63">
        <f>IF($A679="","",IF(AND($F679="Yes",OR($U679="No",$U679="NOT FOUND")),"YES",""))</f>
        <v/>
      </c>
      <c r="AC679" s="66">
        <f>IF($A679="","",TRIM(IF(AND($P679=0,$L679&lt;&gt;"Yes"),"T0-NoSmartcard ","")&amp;IF(AND($J679&lt;&gt;"",$J679&gt;365),"StalePwd ","")&amp;IF($K679="Yes","PwdNeverExpires ","")&amp;IF(AND($S679&lt;&gt;"",$S679&lt;&gt;"None"),"Delegation ","")&amp;IF(AND($Q679=1,$O679="None"),"StaleAdminCount ","")&amp;IF(AND($F679="Yes",$H679=""),"NeverLoggedOn ","")))</f>
        <v/>
      </c>
      <c r="AD679" s="60" t="n"/>
      <c r="AE679" s="61" t="n"/>
      <c r="AF679" s="60" t="n"/>
      <c r="AG679" s="62" t="n"/>
      <c r="AH679" s="62" t="n"/>
      <c r="AI679" s="62" t="n"/>
      <c r="AJ679" s="60" t="n"/>
      <c r="AK679" s="61" t="n"/>
      <c r="AL679" s="63">
        <f>IF($A679="","",IF(AH679="","Not Enrolled",IF(TODAY()&gt;AH679,"Review Overdue",IF(AH679-TODAY()&lt;=30,"Review Due Soon","Active"))))</f>
        <v/>
      </c>
      <c r="AM679" s="63">
        <f>IF($A679="","",IF(AI679="","NOT REVIEWED",IF(TODAY()-AI679&gt;90,"OVERDUE",IF(TODAY()-AI679&gt;76,"Due Soon","Current"))))</f>
        <v/>
      </c>
    </row>
    <row r="680" ht="15" customHeight="1" s="39">
      <c r="A680" s="60" t="n"/>
      <c r="B680" s="60" t="n"/>
      <c r="C680" s="61" t="n"/>
      <c r="D680" s="61" t="n"/>
      <c r="E680" s="60" t="n"/>
      <c r="F680" s="60" t="n"/>
      <c r="G680" s="62" t="n"/>
      <c r="H680" s="62" t="n"/>
      <c r="I680" s="62" t="n"/>
      <c r="J680" s="60" t="n"/>
      <c r="K680" s="60" t="n"/>
      <c r="L680" s="60" t="n"/>
      <c r="M680" s="61" t="n"/>
      <c r="N680" s="60" t="n"/>
      <c r="O680" s="60" t="n"/>
      <c r="P680" s="60" t="n"/>
      <c r="Q680" s="60" t="n"/>
      <c r="R680" s="60" t="n"/>
      <c r="S680" s="60" t="n"/>
      <c r="T680" s="60" t="n"/>
      <c r="U680" s="60" t="n"/>
      <c r="V680" s="60" t="n"/>
      <c r="W680" s="60" t="n"/>
      <c r="X680" s="60" t="n"/>
      <c r="Y680" s="60" t="n"/>
      <c r="Z680" s="61" t="n"/>
      <c r="AA680" s="63">
        <f>IF($H680="","",TODAY()-$H680)</f>
        <v/>
      </c>
      <c r="AB680" s="63">
        <f>IF($A680="","",IF(AND($F680="Yes",OR($U680="No",$U680="NOT FOUND")),"YES",""))</f>
        <v/>
      </c>
      <c r="AC680" s="66">
        <f>IF($A680="","",TRIM(IF(AND($P680=0,$L680&lt;&gt;"Yes"),"T0-NoSmartcard ","")&amp;IF(AND($J680&lt;&gt;"",$J680&gt;365),"StalePwd ","")&amp;IF($K680="Yes","PwdNeverExpires ","")&amp;IF(AND($S680&lt;&gt;"",$S680&lt;&gt;"None"),"Delegation ","")&amp;IF(AND($Q680=1,$O680="None"),"StaleAdminCount ","")&amp;IF(AND($F680="Yes",$H680=""),"NeverLoggedOn ","")))</f>
        <v/>
      </c>
      <c r="AD680" s="60" t="n"/>
      <c r="AE680" s="61" t="n"/>
      <c r="AF680" s="60" t="n"/>
      <c r="AG680" s="62" t="n"/>
      <c r="AH680" s="62" t="n"/>
      <c r="AI680" s="62" t="n"/>
      <c r="AJ680" s="60" t="n"/>
      <c r="AK680" s="61" t="n"/>
      <c r="AL680" s="63">
        <f>IF($A680="","",IF(AH680="","Not Enrolled",IF(TODAY()&gt;AH680,"Review Overdue",IF(AH680-TODAY()&lt;=30,"Review Due Soon","Active"))))</f>
        <v/>
      </c>
      <c r="AM680" s="63">
        <f>IF($A680="","",IF(AI680="","NOT REVIEWED",IF(TODAY()-AI680&gt;90,"OVERDUE",IF(TODAY()-AI680&gt;76,"Due Soon","Current"))))</f>
        <v/>
      </c>
    </row>
    <row r="681" ht="15" customHeight="1" s="39">
      <c r="A681" s="60" t="n"/>
      <c r="B681" s="60" t="n"/>
      <c r="C681" s="61" t="n"/>
      <c r="D681" s="61" t="n"/>
      <c r="E681" s="60" t="n"/>
      <c r="F681" s="60" t="n"/>
      <c r="G681" s="62" t="n"/>
      <c r="H681" s="62" t="n"/>
      <c r="I681" s="62" t="n"/>
      <c r="J681" s="60" t="n"/>
      <c r="K681" s="60" t="n"/>
      <c r="L681" s="60" t="n"/>
      <c r="M681" s="61" t="n"/>
      <c r="N681" s="60" t="n"/>
      <c r="O681" s="60" t="n"/>
      <c r="P681" s="60" t="n"/>
      <c r="Q681" s="60" t="n"/>
      <c r="R681" s="60" t="n"/>
      <c r="S681" s="60" t="n"/>
      <c r="T681" s="60" t="n"/>
      <c r="U681" s="60" t="n"/>
      <c r="V681" s="60" t="n"/>
      <c r="W681" s="60" t="n"/>
      <c r="X681" s="60" t="n"/>
      <c r="Y681" s="60" t="n"/>
      <c r="Z681" s="61" t="n"/>
      <c r="AA681" s="63">
        <f>IF($H681="","",TODAY()-$H681)</f>
        <v/>
      </c>
      <c r="AB681" s="63">
        <f>IF($A681="","",IF(AND($F681="Yes",OR($U681="No",$U681="NOT FOUND")),"YES",""))</f>
        <v/>
      </c>
      <c r="AC681" s="66">
        <f>IF($A681="","",TRIM(IF(AND($P681=0,$L681&lt;&gt;"Yes"),"T0-NoSmartcard ","")&amp;IF(AND($J681&lt;&gt;"",$J681&gt;365),"StalePwd ","")&amp;IF($K681="Yes","PwdNeverExpires ","")&amp;IF(AND($S681&lt;&gt;"",$S681&lt;&gt;"None"),"Delegation ","")&amp;IF(AND($Q681=1,$O681="None"),"StaleAdminCount ","")&amp;IF(AND($F681="Yes",$H681=""),"NeverLoggedOn ","")))</f>
        <v/>
      </c>
      <c r="AD681" s="60" t="n"/>
      <c r="AE681" s="61" t="n"/>
      <c r="AF681" s="60" t="n"/>
      <c r="AG681" s="62" t="n"/>
      <c r="AH681" s="62" t="n"/>
      <c r="AI681" s="62" t="n"/>
      <c r="AJ681" s="60" t="n"/>
      <c r="AK681" s="61" t="n"/>
      <c r="AL681" s="63">
        <f>IF($A681="","",IF(AH681="","Not Enrolled",IF(TODAY()&gt;AH681,"Review Overdue",IF(AH681-TODAY()&lt;=30,"Review Due Soon","Active"))))</f>
        <v/>
      </c>
      <c r="AM681" s="63">
        <f>IF($A681="","",IF(AI681="","NOT REVIEWED",IF(TODAY()-AI681&gt;90,"OVERDUE",IF(TODAY()-AI681&gt;76,"Due Soon","Current"))))</f>
        <v/>
      </c>
    </row>
    <row r="682" ht="15" customHeight="1" s="39">
      <c r="A682" s="60" t="n"/>
      <c r="B682" s="60" t="n"/>
      <c r="C682" s="61" t="n"/>
      <c r="D682" s="61" t="n"/>
      <c r="E682" s="60" t="n"/>
      <c r="F682" s="60" t="n"/>
      <c r="G682" s="62" t="n"/>
      <c r="H682" s="62" t="n"/>
      <c r="I682" s="62" t="n"/>
      <c r="J682" s="60" t="n"/>
      <c r="K682" s="60" t="n"/>
      <c r="L682" s="60" t="n"/>
      <c r="M682" s="61" t="n"/>
      <c r="N682" s="60" t="n"/>
      <c r="O682" s="60" t="n"/>
      <c r="P682" s="60" t="n"/>
      <c r="Q682" s="60" t="n"/>
      <c r="R682" s="60" t="n"/>
      <c r="S682" s="60" t="n"/>
      <c r="T682" s="60" t="n"/>
      <c r="U682" s="60" t="n"/>
      <c r="V682" s="60" t="n"/>
      <c r="W682" s="60" t="n"/>
      <c r="X682" s="60" t="n"/>
      <c r="Y682" s="60" t="n"/>
      <c r="Z682" s="61" t="n"/>
      <c r="AA682" s="63">
        <f>IF($H682="","",TODAY()-$H682)</f>
        <v/>
      </c>
      <c r="AB682" s="63">
        <f>IF($A682="","",IF(AND($F682="Yes",OR($U682="No",$U682="NOT FOUND")),"YES",""))</f>
        <v/>
      </c>
      <c r="AC682" s="66">
        <f>IF($A682="","",TRIM(IF(AND($P682=0,$L682&lt;&gt;"Yes"),"T0-NoSmartcard ","")&amp;IF(AND($J682&lt;&gt;"",$J682&gt;365),"StalePwd ","")&amp;IF($K682="Yes","PwdNeverExpires ","")&amp;IF(AND($S682&lt;&gt;"",$S682&lt;&gt;"None"),"Delegation ","")&amp;IF(AND($Q682=1,$O682="None"),"StaleAdminCount ","")&amp;IF(AND($F682="Yes",$H682=""),"NeverLoggedOn ","")))</f>
        <v/>
      </c>
      <c r="AD682" s="60" t="n"/>
      <c r="AE682" s="61" t="n"/>
      <c r="AF682" s="60" t="n"/>
      <c r="AG682" s="62" t="n"/>
      <c r="AH682" s="62" t="n"/>
      <c r="AI682" s="62" t="n"/>
      <c r="AJ682" s="60" t="n"/>
      <c r="AK682" s="61" t="n"/>
      <c r="AL682" s="63">
        <f>IF($A682="","",IF(AH682="","Not Enrolled",IF(TODAY()&gt;AH682,"Review Overdue",IF(AH682-TODAY()&lt;=30,"Review Due Soon","Active"))))</f>
        <v/>
      </c>
      <c r="AM682" s="63">
        <f>IF($A682="","",IF(AI682="","NOT REVIEWED",IF(TODAY()-AI682&gt;90,"OVERDUE",IF(TODAY()-AI682&gt;76,"Due Soon","Current"))))</f>
        <v/>
      </c>
    </row>
    <row r="683" ht="15" customHeight="1" s="39">
      <c r="A683" s="60" t="n"/>
      <c r="B683" s="60" t="n"/>
      <c r="C683" s="61" t="n"/>
      <c r="D683" s="61" t="n"/>
      <c r="E683" s="60" t="n"/>
      <c r="F683" s="60" t="n"/>
      <c r="G683" s="62" t="n"/>
      <c r="H683" s="62" t="n"/>
      <c r="I683" s="62" t="n"/>
      <c r="J683" s="60" t="n"/>
      <c r="K683" s="60" t="n"/>
      <c r="L683" s="60" t="n"/>
      <c r="M683" s="61" t="n"/>
      <c r="N683" s="60" t="n"/>
      <c r="O683" s="60" t="n"/>
      <c r="P683" s="60" t="n"/>
      <c r="Q683" s="60" t="n"/>
      <c r="R683" s="60" t="n"/>
      <c r="S683" s="60" t="n"/>
      <c r="T683" s="60" t="n"/>
      <c r="U683" s="60" t="n"/>
      <c r="V683" s="60" t="n"/>
      <c r="W683" s="60" t="n"/>
      <c r="X683" s="60" t="n"/>
      <c r="Y683" s="60" t="n"/>
      <c r="Z683" s="61" t="n"/>
      <c r="AA683" s="63">
        <f>IF($H683="","",TODAY()-$H683)</f>
        <v/>
      </c>
      <c r="AB683" s="63">
        <f>IF($A683="","",IF(AND($F683="Yes",OR($U683="No",$U683="NOT FOUND")),"YES",""))</f>
        <v/>
      </c>
      <c r="AC683" s="66">
        <f>IF($A683="","",TRIM(IF(AND($P683=0,$L683&lt;&gt;"Yes"),"T0-NoSmartcard ","")&amp;IF(AND($J683&lt;&gt;"",$J683&gt;365),"StalePwd ","")&amp;IF($K683="Yes","PwdNeverExpires ","")&amp;IF(AND($S683&lt;&gt;"",$S683&lt;&gt;"None"),"Delegation ","")&amp;IF(AND($Q683=1,$O683="None"),"StaleAdminCount ","")&amp;IF(AND($F683="Yes",$H683=""),"NeverLoggedOn ","")))</f>
        <v/>
      </c>
      <c r="AD683" s="60" t="n"/>
      <c r="AE683" s="61" t="n"/>
      <c r="AF683" s="60" t="n"/>
      <c r="AG683" s="62" t="n"/>
      <c r="AH683" s="62" t="n"/>
      <c r="AI683" s="62" t="n"/>
      <c r="AJ683" s="60" t="n"/>
      <c r="AK683" s="61" t="n"/>
      <c r="AL683" s="63">
        <f>IF($A683="","",IF(AH683="","Not Enrolled",IF(TODAY()&gt;AH683,"Review Overdue",IF(AH683-TODAY()&lt;=30,"Review Due Soon","Active"))))</f>
        <v/>
      </c>
      <c r="AM683" s="63">
        <f>IF($A683="","",IF(AI683="","NOT REVIEWED",IF(TODAY()-AI683&gt;90,"OVERDUE",IF(TODAY()-AI683&gt;76,"Due Soon","Current"))))</f>
        <v/>
      </c>
    </row>
    <row r="684" ht="15" customHeight="1" s="39">
      <c r="A684" s="60" t="n"/>
      <c r="B684" s="60" t="n"/>
      <c r="C684" s="61" t="n"/>
      <c r="D684" s="61" t="n"/>
      <c r="E684" s="60" t="n"/>
      <c r="F684" s="60" t="n"/>
      <c r="G684" s="62" t="n"/>
      <c r="H684" s="62" t="n"/>
      <c r="I684" s="62" t="n"/>
      <c r="J684" s="60" t="n"/>
      <c r="K684" s="60" t="n"/>
      <c r="L684" s="60" t="n"/>
      <c r="M684" s="61" t="n"/>
      <c r="N684" s="60" t="n"/>
      <c r="O684" s="60" t="n"/>
      <c r="P684" s="60" t="n"/>
      <c r="Q684" s="60" t="n"/>
      <c r="R684" s="60" t="n"/>
      <c r="S684" s="60" t="n"/>
      <c r="T684" s="60" t="n"/>
      <c r="U684" s="60" t="n"/>
      <c r="V684" s="60" t="n"/>
      <c r="W684" s="60" t="n"/>
      <c r="X684" s="60" t="n"/>
      <c r="Y684" s="60" t="n"/>
      <c r="Z684" s="61" t="n"/>
      <c r="AA684" s="63">
        <f>IF($H684="","",TODAY()-$H684)</f>
        <v/>
      </c>
      <c r="AB684" s="63">
        <f>IF($A684="","",IF(AND($F684="Yes",OR($U684="No",$U684="NOT FOUND")),"YES",""))</f>
        <v/>
      </c>
      <c r="AC684" s="66">
        <f>IF($A684="","",TRIM(IF(AND($P684=0,$L684&lt;&gt;"Yes"),"T0-NoSmartcard ","")&amp;IF(AND($J684&lt;&gt;"",$J684&gt;365),"StalePwd ","")&amp;IF($K684="Yes","PwdNeverExpires ","")&amp;IF(AND($S684&lt;&gt;"",$S684&lt;&gt;"None"),"Delegation ","")&amp;IF(AND($Q684=1,$O684="None"),"StaleAdminCount ","")&amp;IF(AND($F684="Yes",$H684=""),"NeverLoggedOn ","")))</f>
        <v/>
      </c>
      <c r="AD684" s="60" t="n"/>
      <c r="AE684" s="61" t="n"/>
      <c r="AF684" s="60" t="n"/>
      <c r="AG684" s="62" t="n"/>
      <c r="AH684" s="62" t="n"/>
      <c r="AI684" s="62" t="n"/>
      <c r="AJ684" s="60" t="n"/>
      <c r="AK684" s="61" t="n"/>
      <c r="AL684" s="63">
        <f>IF($A684="","",IF(AH684="","Not Enrolled",IF(TODAY()&gt;AH684,"Review Overdue",IF(AH684-TODAY()&lt;=30,"Review Due Soon","Active"))))</f>
        <v/>
      </c>
      <c r="AM684" s="63">
        <f>IF($A684="","",IF(AI684="","NOT REVIEWED",IF(TODAY()-AI684&gt;90,"OVERDUE",IF(TODAY()-AI684&gt;76,"Due Soon","Current"))))</f>
        <v/>
      </c>
    </row>
    <row r="685" ht="15" customHeight="1" s="39">
      <c r="A685" s="60" t="n"/>
      <c r="B685" s="60" t="n"/>
      <c r="C685" s="61" t="n"/>
      <c r="D685" s="61" t="n"/>
      <c r="E685" s="60" t="n"/>
      <c r="F685" s="60" t="n"/>
      <c r="G685" s="62" t="n"/>
      <c r="H685" s="62" t="n"/>
      <c r="I685" s="62" t="n"/>
      <c r="J685" s="60" t="n"/>
      <c r="K685" s="60" t="n"/>
      <c r="L685" s="60" t="n"/>
      <c r="M685" s="61" t="n"/>
      <c r="N685" s="60" t="n"/>
      <c r="O685" s="60" t="n"/>
      <c r="P685" s="60" t="n"/>
      <c r="Q685" s="60" t="n"/>
      <c r="R685" s="60" t="n"/>
      <c r="S685" s="60" t="n"/>
      <c r="T685" s="60" t="n"/>
      <c r="U685" s="60" t="n"/>
      <c r="V685" s="60" t="n"/>
      <c r="W685" s="60" t="n"/>
      <c r="X685" s="60" t="n"/>
      <c r="Y685" s="60" t="n"/>
      <c r="Z685" s="61" t="n"/>
      <c r="AA685" s="63">
        <f>IF($H685="","",TODAY()-$H685)</f>
        <v/>
      </c>
      <c r="AB685" s="63">
        <f>IF($A685="","",IF(AND($F685="Yes",OR($U685="No",$U685="NOT FOUND")),"YES",""))</f>
        <v/>
      </c>
      <c r="AC685" s="66">
        <f>IF($A685="","",TRIM(IF(AND($P685=0,$L685&lt;&gt;"Yes"),"T0-NoSmartcard ","")&amp;IF(AND($J685&lt;&gt;"",$J685&gt;365),"StalePwd ","")&amp;IF($K685="Yes","PwdNeverExpires ","")&amp;IF(AND($S685&lt;&gt;"",$S685&lt;&gt;"None"),"Delegation ","")&amp;IF(AND($Q685=1,$O685="None"),"StaleAdminCount ","")&amp;IF(AND($F685="Yes",$H685=""),"NeverLoggedOn ","")))</f>
        <v/>
      </c>
      <c r="AD685" s="60" t="n"/>
      <c r="AE685" s="61" t="n"/>
      <c r="AF685" s="60" t="n"/>
      <c r="AG685" s="62" t="n"/>
      <c r="AH685" s="62" t="n"/>
      <c r="AI685" s="62" t="n"/>
      <c r="AJ685" s="60" t="n"/>
      <c r="AK685" s="61" t="n"/>
      <c r="AL685" s="63">
        <f>IF($A685="","",IF(AH685="","Not Enrolled",IF(TODAY()&gt;AH685,"Review Overdue",IF(AH685-TODAY()&lt;=30,"Review Due Soon","Active"))))</f>
        <v/>
      </c>
      <c r="AM685" s="63">
        <f>IF($A685="","",IF(AI685="","NOT REVIEWED",IF(TODAY()-AI685&gt;90,"OVERDUE",IF(TODAY()-AI685&gt;76,"Due Soon","Current"))))</f>
        <v/>
      </c>
    </row>
    <row r="686" ht="15" customHeight="1" s="39">
      <c r="A686" s="60" t="n"/>
      <c r="B686" s="60" t="n"/>
      <c r="C686" s="61" t="n"/>
      <c r="D686" s="61" t="n"/>
      <c r="E686" s="60" t="n"/>
      <c r="F686" s="60" t="n"/>
      <c r="G686" s="62" t="n"/>
      <c r="H686" s="62" t="n"/>
      <c r="I686" s="62" t="n"/>
      <c r="J686" s="60" t="n"/>
      <c r="K686" s="60" t="n"/>
      <c r="L686" s="60" t="n"/>
      <c r="M686" s="61" t="n"/>
      <c r="N686" s="60" t="n"/>
      <c r="O686" s="60" t="n"/>
      <c r="P686" s="60" t="n"/>
      <c r="Q686" s="60" t="n"/>
      <c r="R686" s="60" t="n"/>
      <c r="S686" s="60" t="n"/>
      <c r="T686" s="60" t="n"/>
      <c r="U686" s="60" t="n"/>
      <c r="V686" s="60" t="n"/>
      <c r="W686" s="60" t="n"/>
      <c r="X686" s="60" t="n"/>
      <c r="Y686" s="60" t="n"/>
      <c r="Z686" s="61" t="n"/>
      <c r="AA686" s="63">
        <f>IF($H686="","",TODAY()-$H686)</f>
        <v/>
      </c>
      <c r="AB686" s="63">
        <f>IF($A686="","",IF(AND($F686="Yes",OR($U686="No",$U686="NOT FOUND")),"YES",""))</f>
        <v/>
      </c>
      <c r="AC686" s="66">
        <f>IF($A686="","",TRIM(IF(AND($P686=0,$L686&lt;&gt;"Yes"),"T0-NoSmartcard ","")&amp;IF(AND($J686&lt;&gt;"",$J686&gt;365),"StalePwd ","")&amp;IF($K686="Yes","PwdNeverExpires ","")&amp;IF(AND($S686&lt;&gt;"",$S686&lt;&gt;"None"),"Delegation ","")&amp;IF(AND($Q686=1,$O686="None"),"StaleAdminCount ","")&amp;IF(AND($F686="Yes",$H686=""),"NeverLoggedOn ","")))</f>
        <v/>
      </c>
      <c r="AD686" s="60" t="n"/>
      <c r="AE686" s="61" t="n"/>
      <c r="AF686" s="60" t="n"/>
      <c r="AG686" s="62" t="n"/>
      <c r="AH686" s="62" t="n"/>
      <c r="AI686" s="62" t="n"/>
      <c r="AJ686" s="60" t="n"/>
      <c r="AK686" s="61" t="n"/>
      <c r="AL686" s="63">
        <f>IF($A686="","",IF(AH686="","Not Enrolled",IF(TODAY()&gt;AH686,"Review Overdue",IF(AH686-TODAY()&lt;=30,"Review Due Soon","Active"))))</f>
        <v/>
      </c>
      <c r="AM686" s="63">
        <f>IF($A686="","",IF(AI686="","NOT REVIEWED",IF(TODAY()-AI686&gt;90,"OVERDUE",IF(TODAY()-AI686&gt;76,"Due Soon","Current"))))</f>
        <v/>
      </c>
    </row>
    <row r="687" ht="15" customHeight="1" s="39">
      <c r="A687" s="60" t="n"/>
      <c r="B687" s="60" t="n"/>
      <c r="C687" s="61" t="n"/>
      <c r="D687" s="61" t="n"/>
      <c r="E687" s="60" t="n"/>
      <c r="F687" s="60" t="n"/>
      <c r="G687" s="62" t="n"/>
      <c r="H687" s="62" t="n"/>
      <c r="I687" s="62" t="n"/>
      <c r="J687" s="60" t="n"/>
      <c r="K687" s="60" t="n"/>
      <c r="L687" s="60" t="n"/>
      <c r="M687" s="61" t="n"/>
      <c r="N687" s="60" t="n"/>
      <c r="O687" s="60" t="n"/>
      <c r="P687" s="60" t="n"/>
      <c r="Q687" s="60" t="n"/>
      <c r="R687" s="60" t="n"/>
      <c r="S687" s="60" t="n"/>
      <c r="T687" s="60" t="n"/>
      <c r="U687" s="60" t="n"/>
      <c r="V687" s="60" t="n"/>
      <c r="W687" s="60" t="n"/>
      <c r="X687" s="60" t="n"/>
      <c r="Y687" s="60" t="n"/>
      <c r="Z687" s="61" t="n"/>
      <c r="AA687" s="63">
        <f>IF($H687="","",TODAY()-$H687)</f>
        <v/>
      </c>
      <c r="AB687" s="63">
        <f>IF($A687="","",IF(AND($F687="Yes",OR($U687="No",$U687="NOT FOUND")),"YES",""))</f>
        <v/>
      </c>
      <c r="AC687" s="66">
        <f>IF($A687="","",TRIM(IF(AND($P687=0,$L687&lt;&gt;"Yes"),"T0-NoSmartcard ","")&amp;IF(AND($J687&lt;&gt;"",$J687&gt;365),"StalePwd ","")&amp;IF($K687="Yes","PwdNeverExpires ","")&amp;IF(AND($S687&lt;&gt;"",$S687&lt;&gt;"None"),"Delegation ","")&amp;IF(AND($Q687=1,$O687="None"),"StaleAdminCount ","")&amp;IF(AND($F687="Yes",$H687=""),"NeverLoggedOn ","")))</f>
        <v/>
      </c>
      <c r="AD687" s="60" t="n"/>
      <c r="AE687" s="61" t="n"/>
      <c r="AF687" s="60" t="n"/>
      <c r="AG687" s="62" t="n"/>
      <c r="AH687" s="62" t="n"/>
      <c r="AI687" s="62" t="n"/>
      <c r="AJ687" s="60" t="n"/>
      <c r="AK687" s="61" t="n"/>
      <c r="AL687" s="63">
        <f>IF($A687="","",IF(AH687="","Not Enrolled",IF(TODAY()&gt;AH687,"Review Overdue",IF(AH687-TODAY()&lt;=30,"Review Due Soon","Active"))))</f>
        <v/>
      </c>
      <c r="AM687" s="63">
        <f>IF($A687="","",IF(AI687="","NOT REVIEWED",IF(TODAY()-AI687&gt;90,"OVERDUE",IF(TODAY()-AI687&gt;76,"Due Soon","Current"))))</f>
        <v/>
      </c>
    </row>
    <row r="688" ht="15" customHeight="1" s="39">
      <c r="A688" s="60" t="n"/>
      <c r="B688" s="60" t="n"/>
      <c r="C688" s="61" t="n"/>
      <c r="D688" s="61" t="n"/>
      <c r="E688" s="60" t="n"/>
      <c r="F688" s="60" t="n"/>
      <c r="G688" s="62" t="n"/>
      <c r="H688" s="62" t="n"/>
      <c r="I688" s="62" t="n"/>
      <c r="J688" s="60" t="n"/>
      <c r="K688" s="60" t="n"/>
      <c r="L688" s="60" t="n"/>
      <c r="M688" s="61" t="n"/>
      <c r="N688" s="60" t="n"/>
      <c r="O688" s="60" t="n"/>
      <c r="P688" s="60" t="n"/>
      <c r="Q688" s="60" t="n"/>
      <c r="R688" s="60" t="n"/>
      <c r="S688" s="60" t="n"/>
      <c r="T688" s="60" t="n"/>
      <c r="U688" s="60" t="n"/>
      <c r="V688" s="60" t="n"/>
      <c r="W688" s="60" t="n"/>
      <c r="X688" s="60" t="n"/>
      <c r="Y688" s="60" t="n"/>
      <c r="Z688" s="61" t="n"/>
      <c r="AA688" s="63">
        <f>IF($H688="","",TODAY()-$H688)</f>
        <v/>
      </c>
      <c r="AB688" s="63">
        <f>IF($A688="","",IF(AND($F688="Yes",OR($U688="No",$U688="NOT FOUND")),"YES",""))</f>
        <v/>
      </c>
      <c r="AC688" s="66">
        <f>IF($A688="","",TRIM(IF(AND($P688=0,$L688&lt;&gt;"Yes"),"T0-NoSmartcard ","")&amp;IF(AND($J688&lt;&gt;"",$J688&gt;365),"StalePwd ","")&amp;IF($K688="Yes","PwdNeverExpires ","")&amp;IF(AND($S688&lt;&gt;"",$S688&lt;&gt;"None"),"Delegation ","")&amp;IF(AND($Q688=1,$O688="None"),"StaleAdminCount ","")&amp;IF(AND($F688="Yes",$H688=""),"NeverLoggedOn ","")))</f>
        <v/>
      </c>
      <c r="AD688" s="60" t="n"/>
      <c r="AE688" s="61" t="n"/>
      <c r="AF688" s="60" t="n"/>
      <c r="AG688" s="62" t="n"/>
      <c r="AH688" s="62" t="n"/>
      <c r="AI688" s="62" t="n"/>
      <c r="AJ688" s="60" t="n"/>
      <c r="AK688" s="61" t="n"/>
      <c r="AL688" s="63">
        <f>IF($A688="","",IF(AH688="","Not Enrolled",IF(TODAY()&gt;AH688,"Review Overdue",IF(AH688-TODAY()&lt;=30,"Review Due Soon","Active"))))</f>
        <v/>
      </c>
      <c r="AM688" s="63">
        <f>IF($A688="","",IF(AI688="","NOT REVIEWED",IF(TODAY()-AI688&gt;90,"OVERDUE",IF(TODAY()-AI688&gt;76,"Due Soon","Current"))))</f>
        <v/>
      </c>
    </row>
    <row r="689" ht="15" customHeight="1" s="39">
      <c r="A689" s="60" t="n"/>
      <c r="B689" s="60" t="n"/>
      <c r="C689" s="61" t="n"/>
      <c r="D689" s="61" t="n"/>
      <c r="E689" s="60" t="n"/>
      <c r="F689" s="60" t="n"/>
      <c r="G689" s="62" t="n"/>
      <c r="H689" s="62" t="n"/>
      <c r="I689" s="62" t="n"/>
      <c r="J689" s="60" t="n"/>
      <c r="K689" s="60" t="n"/>
      <c r="L689" s="60" t="n"/>
      <c r="M689" s="61" t="n"/>
      <c r="N689" s="60" t="n"/>
      <c r="O689" s="60" t="n"/>
      <c r="P689" s="60" t="n"/>
      <c r="Q689" s="60" t="n"/>
      <c r="R689" s="60" t="n"/>
      <c r="S689" s="60" t="n"/>
      <c r="T689" s="60" t="n"/>
      <c r="U689" s="60" t="n"/>
      <c r="V689" s="60" t="n"/>
      <c r="W689" s="60" t="n"/>
      <c r="X689" s="60" t="n"/>
      <c r="Y689" s="60" t="n"/>
      <c r="Z689" s="61" t="n"/>
      <c r="AA689" s="63">
        <f>IF($H689="","",TODAY()-$H689)</f>
        <v/>
      </c>
      <c r="AB689" s="63">
        <f>IF($A689="","",IF(AND($F689="Yes",OR($U689="No",$U689="NOT FOUND")),"YES",""))</f>
        <v/>
      </c>
      <c r="AC689" s="66">
        <f>IF($A689="","",TRIM(IF(AND($P689=0,$L689&lt;&gt;"Yes"),"T0-NoSmartcard ","")&amp;IF(AND($J689&lt;&gt;"",$J689&gt;365),"StalePwd ","")&amp;IF($K689="Yes","PwdNeverExpires ","")&amp;IF(AND($S689&lt;&gt;"",$S689&lt;&gt;"None"),"Delegation ","")&amp;IF(AND($Q689=1,$O689="None"),"StaleAdminCount ","")&amp;IF(AND($F689="Yes",$H689=""),"NeverLoggedOn ","")))</f>
        <v/>
      </c>
      <c r="AD689" s="60" t="n"/>
      <c r="AE689" s="61" t="n"/>
      <c r="AF689" s="60" t="n"/>
      <c r="AG689" s="62" t="n"/>
      <c r="AH689" s="62" t="n"/>
      <c r="AI689" s="62" t="n"/>
      <c r="AJ689" s="60" t="n"/>
      <c r="AK689" s="61" t="n"/>
      <c r="AL689" s="63">
        <f>IF($A689="","",IF(AH689="","Not Enrolled",IF(TODAY()&gt;AH689,"Review Overdue",IF(AH689-TODAY()&lt;=30,"Review Due Soon","Active"))))</f>
        <v/>
      </c>
      <c r="AM689" s="63">
        <f>IF($A689="","",IF(AI689="","NOT REVIEWED",IF(TODAY()-AI689&gt;90,"OVERDUE",IF(TODAY()-AI689&gt;76,"Due Soon","Current"))))</f>
        <v/>
      </c>
    </row>
    <row r="690" ht="15" customHeight="1" s="39">
      <c r="A690" s="60" t="n"/>
      <c r="B690" s="60" t="n"/>
      <c r="C690" s="61" t="n"/>
      <c r="D690" s="61" t="n"/>
      <c r="E690" s="60" t="n"/>
      <c r="F690" s="60" t="n"/>
      <c r="G690" s="62" t="n"/>
      <c r="H690" s="62" t="n"/>
      <c r="I690" s="62" t="n"/>
      <c r="J690" s="60" t="n"/>
      <c r="K690" s="60" t="n"/>
      <c r="L690" s="60" t="n"/>
      <c r="M690" s="61" t="n"/>
      <c r="N690" s="60" t="n"/>
      <c r="O690" s="60" t="n"/>
      <c r="P690" s="60" t="n"/>
      <c r="Q690" s="60" t="n"/>
      <c r="R690" s="60" t="n"/>
      <c r="S690" s="60" t="n"/>
      <c r="T690" s="60" t="n"/>
      <c r="U690" s="60" t="n"/>
      <c r="V690" s="60" t="n"/>
      <c r="W690" s="60" t="n"/>
      <c r="X690" s="60" t="n"/>
      <c r="Y690" s="60" t="n"/>
      <c r="Z690" s="61" t="n"/>
      <c r="AA690" s="63">
        <f>IF($H690="","",TODAY()-$H690)</f>
        <v/>
      </c>
      <c r="AB690" s="63">
        <f>IF($A690="","",IF(AND($F690="Yes",OR($U690="No",$U690="NOT FOUND")),"YES",""))</f>
        <v/>
      </c>
      <c r="AC690" s="66">
        <f>IF($A690="","",TRIM(IF(AND($P690=0,$L690&lt;&gt;"Yes"),"T0-NoSmartcard ","")&amp;IF(AND($J690&lt;&gt;"",$J690&gt;365),"StalePwd ","")&amp;IF($K690="Yes","PwdNeverExpires ","")&amp;IF(AND($S690&lt;&gt;"",$S690&lt;&gt;"None"),"Delegation ","")&amp;IF(AND($Q690=1,$O690="None"),"StaleAdminCount ","")&amp;IF(AND($F690="Yes",$H690=""),"NeverLoggedOn ","")))</f>
        <v/>
      </c>
      <c r="AD690" s="60" t="n"/>
      <c r="AE690" s="61" t="n"/>
      <c r="AF690" s="60" t="n"/>
      <c r="AG690" s="62" t="n"/>
      <c r="AH690" s="62" t="n"/>
      <c r="AI690" s="62" t="n"/>
      <c r="AJ690" s="60" t="n"/>
      <c r="AK690" s="61" t="n"/>
      <c r="AL690" s="63">
        <f>IF($A690="","",IF(AH690="","Not Enrolled",IF(TODAY()&gt;AH690,"Review Overdue",IF(AH690-TODAY()&lt;=30,"Review Due Soon","Active"))))</f>
        <v/>
      </c>
      <c r="AM690" s="63">
        <f>IF($A690="","",IF(AI690="","NOT REVIEWED",IF(TODAY()-AI690&gt;90,"OVERDUE",IF(TODAY()-AI690&gt;76,"Due Soon","Current"))))</f>
        <v/>
      </c>
    </row>
    <row r="691" ht="15" customHeight="1" s="39">
      <c r="A691" s="60" t="n"/>
      <c r="B691" s="60" t="n"/>
      <c r="C691" s="61" t="n"/>
      <c r="D691" s="61" t="n"/>
      <c r="E691" s="60" t="n"/>
      <c r="F691" s="60" t="n"/>
      <c r="G691" s="62" t="n"/>
      <c r="H691" s="62" t="n"/>
      <c r="I691" s="62" t="n"/>
      <c r="J691" s="60" t="n"/>
      <c r="K691" s="60" t="n"/>
      <c r="L691" s="60" t="n"/>
      <c r="M691" s="61" t="n"/>
      <c r="N691" s="60" t="n"/>
      <c r="O691" s="60" t="n"/>
      <c r="P691" s="60" t="n"/>
      <c r="Q691" s="60" t="n"/>
      <c r="R691" s="60" t="n"/>
      <c r="S691" s="60" t="n"/>
      <c r="T691" s="60" t="n"/>
      <c r="U691" s="60" t="n"/>
      <c r="V691" s="60" t="n"/>
      <c r="W691" s="60" t="n"/>
      <c r="X691" s="60" t="n"/>
      <c r="Y691" s="60" t="n"/>
      <c r="Z691" s="61" t="n"/>
      <c r="AA691" s="63">
        <f>IF($H691="","",TODAY()-$H691)</f>
        <v/>
      </c>
      <c r="AB691" s="63">
        <f>IF($A691="","",IF(AND($F691="Yes",OR($U691="No",$U691="NOT FOUND")),"YES",""))</f>
        <v/>
      </c>
      <c r="AC691" s="66">
        <f>IF($A691="","",TRIM(IF(AND($P691=0,$L691&lt;&gt;"Yes"),"T0-NoSmartcard ","")&amp;IF(AND($J691&lt;&gt;"",$J691&gt;365),"StalePwd ","")&amp;IF($K691="Yes","PwdNeverExpires ","")&amp;IF(AND($S691&lt;&gt;"",$S691&lt;&gt;"None"),"Delegation ","")&amp;IF(AND($Q691=1,$O691="None"),"StaleAdminCount ","")&amp;IF(AND($F691="Yes",$H691=""),"NeverLoggedOn ","")))</f>
        <v/>
      </c>
      <c r="AD691" s="60" t="n"/>
      <c r="AE691" s="61" t="n"/>
      <c r="AF691" s="60" t="n"/>
      <c r="AG691" s="62" t="n"/>
      <c r="AH691" s="62" t="n"/>
      <c r="AI691" s="62" t="n"/>
      <c r="AJ691" s="60" t="n"/>
      <c r="AK691" s="61" t="n"/>
      <c r="AL691" s="63">
        <f>IF($A691="","",IF(AH691="","Not Enrolled",IF(TODAY()&gt;AH691,"Review Overdue",IF(AH691-TODAY()&lt;=30,"Review Due Soon","Active"))))</f>
        <v/>
      </c>
      <c r="AM691" s="63">
        <f>IF($A691="","",IF(AI691="","NOT REVIEWED",IF(TODAY()-AI691&gt;90,"OVERDUE",IF(TODAY()-AI691&gt;76,"Due Soon","Current"))))</f>
        <v/>
      </c>
    </row>
    <row r="692" ht="15" customHeight="1" s="39">
      <c r="A692" s="60" t="n"/>
      <c r="B692" s="60" t="n"/>
      <c r="C692" s="61" t="n"/>
      <c r="D692" s="61" t="n"/>
      <c r="E692" s="60" t="n"/>
      <c r="F692" s="60" t="n"/>
      <c r="G692" s="62" t="n"/>
      <c r="H692" s="62" t="n"/>
      <c r="I692" s="62" t="n"/>
      <c r="J692" s="60" t="n"/>
      <c r="K692" s="60" t="n"/>
      <c r="L692" s="60" t="n"/>
      <c r="M692" s="61" t="n"/>
      <c r="N692" s="60" t="n"/>
      <c r="O692" s="60" t="n"/>
      <c r="P692" s="60" t="n"/>
      <c r="Q692" s="60" t="n"/>
      <c r="R692" s="60" t="n"/>
      <c r="S692" s="60" t="n"/>
      <c r="T692" s="60" t="n"/>
      <c r="U692" s="60" t="n"/>
      <c r="V692" s="60" t="n"/>
      <c r="W692" s="60" t="n"/>
      <c r="X692" s="60" t="n"/>
      <c r="Y692" s="60" t="n"/>
      <c r="Z692" s="61" t="n"/>
      <c r="AA692" s="63">
        <f>IF($H692="","",TODAY()-$H692)</f>
        <v/>
      </c>
      <c r="AB692" s="63">
        <f>IF($A692="","",IF(AND($F692="Yes",OR($U692="No",$U692="NOT FOUND")),"YES",""))</f>
        <v/>
      </c>
      <c r="AC692" s="66">
        <f>IF($A692="","",TRIM(IF(AND($P692=0,$L692&lt;&gt;"Yes"),"T0-NoSmartcard ","")&amp;IF(AND($J692&lt;&gt;"",$J692&gt;365),"StalePwd ","")&amp;IF($K692="Yes","PwdNeverExpires ","")&amp;IF(AND($S692&lt;&gt;"",$S692&lt;&gt;"None"),"Delegation ","")&amp;IF(AND($Q692=1,$O692="None"),"StaleAdminCount ","")&amp;IF(AND($F692="Yes",$H692=""),"NeverLoggedOn ","")))</f>
        <v/>
      </c>
      <c r="AD692" s="60" t="n"/>
      <c r="AE692" s="61" t="n"/>
      <c r="AF692" s="60" t="n"/>
      <c r="AG692" s="62" t="n"/>
      <c r="AH692" s="62" t="n"/>
      <c r="AI692" s="62" t="n"/>
      <c r="AJ692" s="60" t="n"/>
      <c r="AK692" s="61" t="n"/>
      <c r="AL692" s="63">
        <f>IF($A692="","",IF(AH692="","Not Enrolled",IF(TODAY()&gt;AH692,"Review Overdue",IF(AH692-TODAY()&lt;=30,"Review Due Soon","Active"))))</f>
        <v/>
      </c>
      <c r="AM692" s="63">
        <f>IF($A692="","",IF(AI692="","NOT REVIEWED",IF(TODAY()-AI692&gt;90,"OVERDUE",IF(TODAY()-AI692&gt;76,"Due Soon","Current"))))</f>
        <v/>
      </c>
    </row>
    <row r="693" ht="15" customHeight="1" s="39">
      <c r="A693" s="60" t="n"/>
      <c r="B693" s="60" t="n"/>
      <c r="C693" s="61" t="n"/>
      <c r="D693" s="61" t="n"/>
      <c r="E693" s="60" t="n"/>
      <c r="F693" s="60" t="n"/>
      <c r="G693" s="62" t="n"/>
      <c r="H693" s="62" t="n"/>
      <c r="I693" s="62" t="n"/>
      <c r="J693" s="60" t="n"/>
      <c r="K693" s="60" t="n"/>
      <c r="L693" s="60" t="n"/>
      <c r="M693" s="61" t="n"/>
      <c r="N693" s="60" t="n"/>
      <c r="O693" s="60" t="n"/>
      <c r="P693" s="60" t="n"/>
      <c r="Q693" s="60" t="n"/>
      <c r="R693" s="60" t="n"/>
      <c r="S693" s="60" t="n"/>
      <c r="T693" s="60" t="n"/>
      <c r="U693" s="60" t="n"/>
      <c r="V693" s="60" t="n"/>
      <c r="W693" s="60" t="n"/>
      <c r="X693" s="60" t="n"/>
      <c r="Y693" s="60" t="n"/>
      <c r="Z693" s="61" t="n"/>
      <c r="AA693" s="63">
        <f>IF($H693="","",TODAY()-$H693)</f>
        <v/>
      </c>
      <c r="AB693" s="63">
        <f>IF($A693="","",IF(AND($F693="Yes",OR($U693="No",$U693="NOT FOUND")),"YES",""))</f>
        <v/>
      </c>
      <c r="AC693" s="66">
        <f>IF($A693="","",TRIM(IF(AND($P693=0,$L693&lt;&gt;"Yes"),"T0-NoSmartcard ","")&amp;IF(AND($J693&lt;&gt;"",$J693&gt;365),"StalePwd ","")&amp;IF($K693="Yes","PwdNeverExpires ","")&amp;IF(AND($S693&lt;&gt;"",$S693&lt;&gt;"None"),"Delegation ","")&amp;IF(AND($Q693=1,$O693="None"),"StaleAdminCount ","")&amp;IF(AND($F693="Yes",$H693=""),"NeverLoggedOn ","")))</f>
        <v/>
      </c>
      <c r="AD693" s="60" t="n"/>
      <c r="AE693" s="61" t="n"/>
      <c r="AF693" s="60" t="n"/>
      <c r="AG693" s="62" t="n"/>
      <c r="AH693" s="62" t="n"/>
      <c r="AI693" s="62" t="n"/>
      <c r="AJ693" s="60" t="n"/>
      <c r="AK693" s="61" t="n"/>
      <c r="AL693" s="63">
        <f>IF($A693="","",IF(AH693="","Not Enrolled",IF(TODAY()&gt;AH693,"Review Overdue",IF(AH693-TODAY()&lt;=30,"Review Due Soon","Active"))))</f>
        <v/>
      </c>
      <c r="AM693" s="63">
        <f>IF($A693="","",IF(AI693="","NOT REVIEWED",IF(TODAY()-AI693&gt;90,"OVERDUE",IF(TODAY()-AI693&gt;76,"Due Soon","Current"))))</f>
        <v/>
      </c>
    </row>
    <row r="694" ht="15" customHeight="1" s="39">
      <c r="A694" s="60" t="n"/>
      <c r="B694" s="60" t="n"/>
      <c r="C694" s="61" t="n"/>
      <c r="D694" s="61" t="n"/>
      <c r="E694" s="60" t="n"/>
      <c r="F694" s="60" t="n"/>
      <c r="G694" s="62" t="n"/>
      <c r="H694" s="62" t="n"/>
      <c r="I694" s="62" t="n"/>
      <c r="J694" s="60" t="n"/>
      <c r="K694" s="60" t="n"/>
      <c r="L694" s="60" t="n"/>
      <c r="M694" s="61" t="n"/>
      <c r="N694" s="60" t="n"/>
      <c r="O694" s="60" t="n"/>
      <c r="P694" s="60" t="n"/>
      <c r="Q694" s="60" t="n"/>
      <c r="R694" s="60" t="n"/>
      <c r="S694" s="60" t="n"/>
      <c r="T694" s="60" t="n"/>
      <c r="U694" s="60" t="n"/>
      <c r="V694" s="60" t="n"/>
      <c r="W694" s="60" t="n"/>
      <c r="X694" s="60" t="n"/>
      <c r="Y694" s="60" t="n"/>
      <c r="Z694" s="61" t="n"/>
      <c r="AA694" s="63">
        <f>IF($H694="","",TODAY()-$H694)</f>
        <v/>
      </c>
      <c r="AB694" s="63">
        <f>IF($A694="","",IF(AND($F694="Yes",OR($U694="No",$U694="NOT FOUND")),"YES",""))</f>
        <v/>
      </c>
      <c r="AC694" s="66">
        <f>IF($A694="","",TRIM(IF(AND($P694=0,$L694&lt;&gt;"Yes"),"T0-NoSmartcard ","")&amp;IF(AND($J694&lt;&gt;"",$J694&gt;365),"StalePwd ","")&amp;IF($K694="Yes","PwdNeverExpires ","")&amp;IF(AND($S694&lt;&gt;"",$S694&lt;&gt;"None"),"Delegation ","")&amp;IF(AND($Q694=1,$O694="None"),"StaleAdminCount ","")&amp;IF(AND($F694="Yes",$H694=""),"NeverLoggedOn ","")))</f>
        <v/>
      </c>
      <c r="AD694" s="60" t="n"/>
      <c r="AE694" s="61" t="n"/>
      <c r="AF694" s="60" t="n"/>
      <c r="AG694" s="62" t="n"/>
      <c r="AH694" s="62" t="n"/>
      <c r="AI694" s="62" t="n"/>
      <c r="AJ694" s="60" t="n"/>
      <c r="AK694" s="61" t="n"/>
      <c r="AL694" s="63">
        <f>IF($A694="","",IF(AH694="","Not Enrolled",IF(TODAY()&gt;AH694,"Review Overdue",IF(AH694-TODAY()&lt;=30,"Review Due Soon","Active"))))</f>
        <v/>
      </c>
      <c r="AM694" s="63">
        <f>IF($A694="","",IF(AI694="","NOT REVIEWED",IF(TODAY()-AI694&gt;90,"OVERDUE",IF(TODAY()-AI694&gt;76,"Due Soon","Current"))))</f>
        <v/>
      </c>
    </row>
    <row r="695" ht="15" customHeight="1" s="39">
      <c r="A695" s="60" t="n"/>
      <c r="B695" s="60" t="n"/>
      <c r="C695" s="61" t="n"/>
      <c r="D695" s="61" t="n"/>
      <c r="E695" s="60" t="n"/>
      <c r="F695" s="60" t="n"/>
      <c r="G695" s="62" t="n"/>
      <c r="H695" s="62" t="n"/>
      <c r="I695" s="62" t="n"/>
      <c r="J695" s="60" t="n"/>
      <c r="K695" s="60" t="n"/>
      <c r="L695" s="60" t="n"/>
      <c r="M695" s="61" t="n"/>
      <c r="N695" s="60" t="n"/>
      <c r="O695" s="60" t="n"/>
      <c r="P695" s="60" t="n"/>
      <c r="Q695" s="60" t="n"/>
      <c r="R695" s="60" t="n"/>
      <c r="S695" s="60" t="n"/>
      <c r="T695" s="60" t="n"/>
      <c r="U695" s="60" t="n"/>
      <c r="V695" s="60" t="n"/>
      <c r="W695" s="60" t="n"/>
      <c r="X695" s="60" t="n"/>
      <c r="Y695" s="60" t="n"/>
      <c r="Z695" s="61" t="n"/>
      <c r="AA695" s="63">
        <f>IF($H695="","",TODAY()-$H695)</f>
        <v/>
      </c>
      <c r="AB695" s="63">
        <f>IF($A695="","",IF(AND($F695="Yes",OR($U695="No",$U695="NOT FOUND")),"YES",""))</f>
        <v/>
      </c>
      <c r="AC695" s="66">
        <f>IF($A695="","",TRIM(IF(AND($P695=0,$L695&lt;&gt;"Yes"),"T0-NoSmartcard ","")&amp;IF(AND($J695&lt;&gt;"",$J695&gt;365),"StalePwd ","")&amp;IF($K695="Yes","PwdNeverExpires ","")&amp;IF(AND($S695&lt;&gt;"",$S695&lt;&gt;"None"),"Delegation ","")&amp;IF(AND($Q695=1,$O695="None"),"StaleAdminCount ","")&amp;IF(AND($F695="Yes",$H695=""),"NeverLoggedOn ","")))</f>
        <v/>
      </c>
      <c r="AD695" s="60" t="n"/>
      <c r="AE695" s="61" t="n"/>
      <c r="AF695" s="60" t="n"/>
      <c r="AG695" s="62" t="n"/>
      <c r="AH695" s="62" t="n"/>
      <c r="AI695" s="62" t="n"/>
      <c r="AJ695" s="60" t="n"/>
      <c r="AK695" s="61" t="n"/>
      <c r="AL695" s="63">
        <f>IF($A695="","",IF(AH695="","Not Enrolled",IF(TODAY()&gt;AH695,"Review Overdue",IF(AH695-TODAY()&lt;=30,"Review Due Soon","Active"))))</f>
        <v/>
      </c>
      <c r="AM695" s="63">
        <f>IF($A695="","",IF(AI695="","NOT REVIEWED",IF(TODAY()-AI695&gt;90,"OVERDUE",IF(TODAY()-AI695&gt;76,"Due Soon","Current"))))</f>
        <v/>
      </c>
    </row>
    <row r="696" ht="15" customHeight="1" s="39">
      <c r="A696" s="60" t="n"/>
      <c r="B696" s="60" t="n"/>
      <c r="C696" s="61" t="n"/>
      <c r="D696" s="61" t="n"/>
      <c r="E696" s="60" t="n"/>
      <c r="F696" s="60" t="n"/>
      <c r="G696" s="62" t="n"/>
      <c r="H696" s="62" t="n"/>
      <c r="I696" s="62" t="n"/>
      <c r="J696" s="60" t="n"/>
      <c r="K696" s="60" t="n"/>
      <c r="L696" s="60" t="n"/>
      <c r="M696" s="61" t="n"/>
      <c r="N696" s="60" t="n"/>
      <c r="O696" s="60" t="n"/>
      <c r="P696" s="60" t="n"/>
      <c r="Q696" s="60" t="n"/>
      <c r="R696" s="60" t="n"/>
      <c r="S696" s="60" t="n"/>
      <c r="T696" s="60" t="n"/>
      <c r="U696" s="60" t="n"/>
      <c r="V696" s="60" t="n"/>
      <c r="W696" s="60" t="n"/>
      <c r="X696" s="60" t="n"/>
      <c r="Y696" s="60" t="n"/>
      <c r="Z696" s="61" t="n"/>
      <c r="AA696" s="63">
        <f>IF($H696="","",TODAY()-$H696)</f>
        <v/>
      </c>
      <c r="AB696" s="63">
        <f>IF($A696="","",IF(AND($F696="Yes",OR($U696="No",$U696="NOT FOUND")),"YES",""))</f>
        <v/>
      </c>
      <c r="AC696" s="66">
        <f>IF($A696="","",TRIM(IF(AND($P696=0,$L696&lt;&gt;"Yes"),"T0-NoSmartcard ","")&amp;IF(AND($J696&lt;&gt;"",$J696&gt;365),"StalePwd ","")&amp;IF($K696="Yes","PwdNeverExpires ","")&amp;IF(AND($S696&lt;&gt;"",$S696&lt;&gt;"None"),"Delegation ","")&amp;IF(AND($Q696=1,$O696="None"),"StaleAdminCount ","")&amp;IF(AND($F696="Yes",$H696=""),"NeverLoggedOn ","")))</f>
        <v/>
      </c>
      <c r="AD696" s="60" t="n"/>
      <c r="AE696" s="61" t="n"/>
      <c r="AF696" s="60" t="n"/>
      <c r="AG696" s="62" t="n"/>
      <c r="AH696" s="62" t="n"/>
      <c r="AI696" s="62" t="n"/>
      <c r="AJ696" s="60" t="n"/>
      <c r="AK696" s="61" t="n"/>
      <c r="AL696" s="63">
        <f>IF($A696="","",IF(AH696="","Not Enrolled",IF(TODAY()&gt;AH696,"Review Overdue",IF(AH696-TODAY()&lt;=30,"Review Due Soon","Active"))))</f>
        <v/>
      </c>
      <c r="AM696" s="63">
        <f>IF($A696="","",IF(AI696="","NOT REVIEWED",IF(TODAY()-AI696&gt;90,"OVERDUE",IF(TODAY()-AI696&gt;76,"Due Soon","Current"))))</f>
        <v/>
      </c>
    </row>
    <row r="697" ht="15" customHeight="1" s="39">
      <c r="A697" s="60" t="n"/>
      <c r="B697" s="60" t="n"/>
      <c r="C697" s="61" t="n"/>
      <c r="D697" s="61" t="n"/>
      <c r="E697" s="60" t="n"/>
      <c r="F697" s="60" t="n"/>
      <c r="G697" s="62" t="n"/>
      <c r="H697" s="62" t="n"/>
      <c r="I697" s="62" t="n"/>
      <c r="J697" s="60" t="n"/>
      <c r="K697" s="60" t="n"/>
      <c r="L697" s="60" t="n"/>
      <c r="M697" s="61" t="n"/>
      <c r="N697" s="60" t="n"/>
      <c r="O697" s="60" t="n"/>
      <c r="P697" s="60" t="n"/>
      <c r="Q697" s="60" t="n"/>
      <c r="R697" s="60" t="n"/>
      <c r="S697" s="60" t="n"/>
      <c r="T697" s="60" t="n"/>
      <c r="U697" s="60" t="n"/>
      <c r="V697" s="60" t="n"/>
      <c r="W697" s="60" t="n"/>
      <c r="X697" s="60" t="n"/>
      <c r="Y697" s="60" t="n"/>
      <c r="Z697" s="61" t="n"/>
      <c r="AA697" s="63">
        <f>IF($H697="","",TODAY()-$H697)</f>
        <v/>
      </c>
      <c r="AB697" s="63">
        <f>IF($A697="","",IF(AND($F697="Yes",OR($U697="No",$U697="NOT FOUND")),"YES",""))</f>
        <v/>
      </c>
      <c r="AC697" s="66">
        <f>IF($A697="","",TRIM(IF(AND($P697=0,$L697&lt;&gt;"Yes"),"T0-NoSmartcard ","")&amp;IF(AND($J697&lt;&gt;"",$J697&gt;365),"StalePwd ","")&amp;IF($K697="Yes","PwdNeverExpires ","")&amp;IF(AND($S697&lt;&gt;"",$S697&lt;&gt;"None"),"Delegation ","")&amp;IF(AND($Q697=1,$O697="None"),"StaleAdminCount ","")&amp;IF(AND($F697="Yes",$H697=""),"NeverLoggedOn ","")))</f>
        <v/>
      </c>
      <c r="AD697" s="60" t="n"/>
      <c r="AE697" s="61" t="n"/>
      <c r="AF697" s="60" t="n"/>
      <c r="AG697" s="62" t="n"/>
      <c r="AH697" s="62" t="n"/>
      <c r="AI697" s="62" t="n"/>
      <c r="AJ697" s="60" t="n"/>
      <c r="AK697" s="61" t="n"/>
      <c r="AL697" s="63">
        <f>IF($A697="","",IF(AH697="","Not Enrolled",IF(TODAY()&gt;AH697,"Review Overdue",IF(AH697-TODAY()&lt;=30,"Review Due Soon","Active"))))</f>
        <v/>
      </c>
      <c r="AM697" s="63">
        <f>IF($A697="","",IF(AI697="","NOT REVIEWED",IF(TODAY()-AI697&gt;90,"OVERDUE",IF(TODAY()-AI697&gt;76,"Due Soon","Current"))))</f>
        <v/>
      </c>
    </row>
    <row r="698" ht="15" customHeight="1" s="39">
      <c r="A698" s="60" t="n"/>
      <c r="B698" s="60" t="n"/>
      <c r="C698" s="61" t="n"/>
      <c r="D698" s="61" t="n"/>
      <c r="E698" s="60" t="n"/>
      <c r="F698" s="60" t="n"/>
      <c r="G698" s="62" t="n"/>
      <c r="H698" s="62" t="n"/>
      <c r="I698" s="62" t="n"/>
      <c r="J698" s="60" t="n"/>
      <c r="K698" s="60" t="n"/>
      <c r="L698" s="60" t="n"/>
      <c r="M698" s="61" t="n"/>
      <c r="N698" s="60" t="n"/>
      <c r="O698" s="60" t="n"/>
      <c r="P698" s="60" t="n"/>
      <c r="Q698" s="60" t="n"/>
      <c r="R698" s="60" t="n"/>
      <c r="S698" s="60" t="n"/>
      <c r="T698" s="60" t="n"/>
      <c r="U698" s="60" t="n"/>
      <c r="V698" s="60" t="n"/>
      <c r="W698" s="60" t="n"/>
      <c r="X698" s="60" t="n"/>
      <c r="Y698" s="60" t="n"/>
      <c r="Z698" s="61" t="n"/>
      <c r="AA698" s="63">
        <f>IF($H698="","",TODAY()-$H698)</f>
        <v/>
      </c>
      <c r="AB698" s="63">
        <f>IF($A698="","",IF(AND($F698="Yes",OR($U698="No",$U698="NOT FOUND")),"YES",""))</f>
        <v/>
      </c>
      <c r="AC698" s="66">
        <f>IF($A698="","",TRIM(IF(AND($P698=0,$L698&lt;&gt;"Yes"),"T0-NoSmartcard ","")&amp;IF(AND($J698&lt;&gt;"",$J698&gt;365),"StalePwd ","")&amp;IF($K698="Yes","PwdNeverExpires ","")&amp;IF(AND($S698&lt;&gt;"",$S698&lt;&gt;"None"),"Delegation ","")&amp;IF(AND($Q698=1,$O698="None"),"StaleAdminCount ","")&amp;IF(AND($F698="Yes",$H698=""),"NeverLoggedOn ","")))</f>
        <v/>
      </c>
      <c r="AD698" s="60" t="n"/>
      <c r="AE698" s="61" t="n"/>
      <c r="AF698" s="60" t="n"/>
      <c r="AG698" s="62" t="n"/>
      <c r="AH698" s="62" t="n"/>
      <c r="AI698" s="62" t="n"/>
      <c r="AJ698" s="60" t="n"/>
      <c r="AK698" s="61" t="n"/>
      <c r="AL698" s="63">
        <f>IF($A698="","",IF(AH698="","Not Enrolled",IF(TODAY()&gt;AH698,"Review Overdue",IF(AH698-TODAY()&lt;=30,"Review Due Soon","Active"))))</f>
        <v/>
      </c>
      <c r="AM698" s="63">
        <f>IF($A698="","",IF(AI698="","NOT REVIEWED",IF(TODAY()-AI698&gt;90,"OVERDUE",IF(TODAY()-AI698&gt;76,"Due Soon","Current"))))</f>
        <v/>
      </c>
    </row>
    <row r="699" ht="15" customHeight="1" s="39">
      <c r="A699" s="60" t="n"/>
      <c r="B699" s="60" t="n"/>
      <c r="C699" s="61" t="n"/>
      <c r="D699" s="61" t="n"/>
      <c r="E699" s="60" t="n"/>
      <c r="F699" s="60" t="n"/>
      <c r="G699" s="62" t="n"/>
      <c r="H699" s="62" t="n"/>
      <c r="I699" s="62" t="n"/>
      <c r="J699" s="60" t="n"/>
      <c r="K699" s="60" t="n"/>
      <c r="L699" s="60" t="n"/>
      <c r="M699" s="61" t="n"/>
      <c r="N699" s="60" t="n"/>
      <c r="O699" s="60" t="n"/>
      <c r="P699" s="60" t="n"/>
      <c r="Q699" s="60" t="n"/>
      <c r="R699" s="60" t="n"/>
      <c r="S699" s="60" t="n"/>
      <c r="T699" s="60" t="n"/>
      <c r="U699" s="60" t="n"/>
      <c r="V699" s="60" t="n"/>
      <c r="W699" s="60" t="n"/>
      <c r="X699" s="60" t="n"/>
      <c r="Y699" s="60" t="n"/>
      <c r="Z699" s="61" t="n"/>
      <c r="AA699" s="63">
        <f>IF($H699="","",TODAY()-$H699)</f>
        <v/>
      </c>
      <c r="AB699" s="63">
        <f>IF($A699="","",IF(AND($F699="Yes",OR($U699="No",$U699="NOT FOUND")),"YES",""))</f>
        <v/>
      </c>
      <c r="AC699" s="66">
        <f>IF($A699="","",TRIM(IF(AND($P699=0,$L699&lt;&gt;"Yes"),"T0-NoSmartcard ","")&amp;IF(AND($J699&lt;&gt;"",$J699&gt;365),"StalePwd ","")&amp;IF($K699="Yes","PwdNeverExpires ","")&amp;IF(AND($S699&lt;&gt;"",$S699&lt;&gt;"None"),"Delegation ","")&amp;IF(AND($Q699=1,$O699="None"),"StaleAdminCount ","")&amp;IF(AND($F699="Yes",$H699=""),"NeverLoggedOn ","")))</f>
        <v/>
      </c>
      <c r="AD699" s="60" t="n"/>
      <c r="AE699" s="61" t="n"/>
      <c r="AF699" s="60" t="n"/>
      <c r="AG699" s="62" t="n"/>
      <c r="AH699" s="62" t="n"/>
      <c r="AI699" s="62" t="n"/>
      <c r="AJ699" s="60" t="n"/>
      <c r="AK699" s="61" t="n"/>
      <c r="AL699" s="63">
        <f>IF($A699="","",IF(AH699="","Not Enrolled",IF(TODAY()&gt;AH699,"Review Overdue",IF(AH699-TODAY()&lt;=30,"Review Due Soon","Active"))))</f>
        <v/>
      </c>
      <c r="AM699" s="63">
        <f>IF($A699="","",IF(AI699="","NOT REVIEWED",IF(TODAY()-AI699&gt;90,"OVERDUE",IF(TODAY()-AI699&gt;76,"Due Soon","Current"))))</f>
        <v/>
      </c>
    </row>
    <row r="700" ht="15" customHeight="1" s="39">
      <c r="A700" s="60" t="n"/>
      <c r="B700" s="60" t="n"/>
      <c r="C700" s="61" t="n"/>
      <c r="D700" s="61" t="n"/>
      <c r="E700" s="60" t="n"/>
      <c r="F700" s="60" t="n"/>
      <c r="G700" s="62" t="n"/>
      <c r="H700" s="62" t="n"/>
      <c r="I700" s="62" t="n"/>
      <c r="J700" s="60" t="n"/>
      <c r="K700" s="60" t="n"/>
      <c r="L700" s="60" t="n"/>
      <c r="M700" s="61" t="n"/>
      <c r="N700" s="60" t="n"/>
      <c r="O700" s="60" t="n"/>
      <c r="P700" s="60" t="n"/>
      <c r="Q700" s="60" t="n"/>
      <c r="R700" s="60" t="n"/>
      <c r="S700" s="60" t="n"/>
      <c r="T700" s="60" t="n"/>
      <c r="U700" s="60" t="n"/>
      <c r="V700" s="60" t="n"/>
      <c r="W700" s="60" t="n"/>
      <c r="X700" s="60" t="n"/>
      <c r="Y700" s="60" t="n"/>
      <c r="Z700" s="61" t="n"/>
      <c r="AA700" s="63">
        <f>IF($H700="","",TODAY()-$H700)</f>
        <v/>
      </c>
      <c r="AB700" s="63">
        <f>IF($A700="","",IF(AND($F700="Yes",OR($U700="No",$U700="NOT FOUND")),"YES",""))</f>
        <v/>
      </c>
      <c r="AC700" s="66">
        <f>IF($A700="","",TRIM(IF(AND($P700=0,$L700&lt;&gt;"Yes"),"T0-NoSmartcard ","")&amp;IF(AND($J700&lt;&gt;"",$J700&gt;365),"StalePwd ","")&amp;IF($K700="Yes","PwdNeverExpires ","")&amp;IF(AND($S700&lt;&gt;"",$S700&lt;&gt;"None"),"Delegation ","")&amp;IF(AND($Q700=1,$O700="None"),"StaleAdminCount ","")&amp;IF(AND($F700="Yes",$H700=""),"NeverLoggedOn ","")))</f>
        <v/>
      </c>
      <c r="AD700" s="60" t="n"/>
      <c r="AE700" s="61" t="n"/>
      <c r="AF700" s="60" t="n"/>
      <c r="AG700" s="62" t="n"/>
      <c r="AH700" s="62" t="n"/>
      <c r="AI700" s="62" t="n"/>
      <c r="AJ700" s="60" t="n"/>
      <c r="AK700" s="61" t="n"/>
      <c r="AL700" s="63">
        <f>IF($A700="","",IF(AH700="","Not Enrolled",IF(TODAY()&gt;AH700,"Review Overdue",IF(AH700-TODAY()&lt;=30,"Review Due Soon","Active"))))</f>
        <v/>
      </c>
      <c r="AM700" s="63">
        <f>IF($A700="","",IF(AI700="","NOT REVIEWED",IF(TODAY()-AI700&gt;90,"OVERDUE",IF(TODAY()-AI700&gt;76,"Due Soon","Current"))))</f>
        <v/>
      </c>
    </row>
    <row r="701" ht="15" customHeight="1" s="39">
      <c r="A701" s="60" t="n"/>
      <c r="B701" s="60" t="n"/>
      <c r="C701" s="61" t="n"/>
      <c r="D701" s="61" t="n"/>
      <c r="E701" s="60" t="n"/>
      <c r="F701" s="60" t="n"/>
      <c r="G701" s="62" t="n"/>
      <c r="H701" s="62" t="n"/>
      <c r="I701" s="62" t="n"/>
      <c r="J701" s="60" t="n"/>
      <c r="K701" s="60" t="n"/>
      <c r="L701" s="60" t="n"/>
      <c r="M701" s="61" t="n"/>
      <c r="N701" s="60" t="n"/>
      <c r="O701" s="60" t="n"/>
      <c r="P701" s="60" t="n"/>
      <c r="Q701" s="60" t="n"/>
      <c r="R701" s="60" t="n"/>
      <c r="S701" s="60" t="n"/>
      <c r="T701" s="60" t="n"/>
      <c r="U701" s="60" t="n"/>
      <c r="V701" s="60" t="n"/>
      <c r="W701" s="60" t="n"/>
      <c r="X701" s="60" t="n"/>
      <c r="Y701" s="60" t="n"/>
      <c r="Z701" s="61" t="n"/>
      <c r="AA701" s="63">
        <f>IF($H701="","",TODAY()-$H701)</f>
        <v/>
      </c>
      <c r="AB701" s="63">
        <f>IF($A701="","",IF(AND($F701="Yes",OR($U701="No",$U701="NOT FOUND")),"YES",""))</f>
        <v/>
      </c>
      <c r="AC701" s="66">
        <f>IF($A701="","",TRIM(IF(AND($P701=0,$L701&lt;&gt;"Yes"),"T0-NoSmartcard ","")&amp;IF(AND($J701&lt;&gt;"",$J701&gt;365),"StalePwd ","")&amp;IF($K701="Yes","PwdNeverExpires ","")&amp;IF(AND($S701&lt;&gt;"",$S701&lt;&gt;"None"),"Delegation ","")&amp;IF(AND($Q701=1,$O701="None"),"StaleAdminCount ","")&amp;IF(AND($F701="Yes",$H701=""),"NeverLoggedOn ","")))</f>
        <v/>
      </c>
      <c r="AD701" s="60" t="n"/>
      <c r="AE701" s="61" t="n"/>
      <c r="AF701" s="60" t="n"/>
      <c r="AG701" s="62" t="n"/>
      <c r="AH701" s="62" t="n"/>
      <c r="AI701" s="62" t="n"/>
      <c r="AJ701" s="60" t="n"/>
      <c r="AK701" s="61" t="n"/>
      <c r="AL701" s="63">
        <f>IF($A701="","",IF(AH701="","Not Enrolled",IF(TODAY()&gt;AH701,"Review Overdue",IF(AH701-TODAY()&lt;=30,"Review Due Soon","Active"))))</f>
        <v/>
      </c>
      <c r="AM701" s="63">
        <f>IF($A701="","",IF(AI701="","NOT REVIEWED",IF(TODAY()-AI701&gt;90,"OVERDUE",IF(TODAY()-AI701&gt;76,"Due Soon","Current"))))</f>
        <v/>
      </c>
    </row>
    <row r="702" ht="15" customHeight="1" s="39">
      <c r="A702" s="60" t="n"/>
      <c r="B702" s="60" t="n"/>
      <c r="C702" s="61" t="n"/>
      <c r="D702" s="61" t="n"/>
      <c r="E702" s="60" t="n"/>
      <c r="F702" s="60" t="n"/>
      <c r="G702" s="62" t="n"/>
      <c r="H702" s="62" t="n"/>
      <c r="I702" s="62" t="n"/>
      <c r="J702" s="60" t="n"/>
      <c r="K702" s="60" t="n"/>
      <c r="L702" s="60" t="n"/>
      <c r="M702" s="61" t="n"/>
      <c r="N702" s="60" t="n"/>
      <c r="O702" s="60" t="n"/>
      <c r="P702" s="60" t="n"/>
      <c r="Q702" s="60" t="n"/>
      <c r="R702" s="60" t="n"/>
      <c r="S702" s="60" t="n"/>
      <c r="T702" s="60" t="n"/>
      <c r="U702" s="60" t="n"/>
      <c r="V702" s="60" t="n"/>
      <c r="W702" s="60" t="n"/>
      <c r="X702" s="60" t="n"/>
      <c r="Y702" s="60" t="n"/>
      <c r="Z702" s="61" t="n"/>
      <c r="AA702" s="63">
        <f>IF($H702="","",TODAY()-$H702)</f>
        <v/>
      </c>
      <c r="AB702" s="63">
        <f>IF($A702="","",IF(AND($F702="Yes",OR($U702="No",$U702="NOT FOUND")),"YES",""))</f>
        <v/>
      </c>
      <c r="AC702" s="66">
        <f>IF($A702="","",TRIM(IF(AND($P702=0,$L702&lt;&gt;"Yes"),"T0-NoSmartcard ","")&amp;IF(AND($J702&lt;&gt;"",$J702&gt;365),"StalePwd ","")&amp;IF($K702="Yes","PwdNeverExpires ","")&amp;IF(AND($S702&lt;&gt;"",$S702&lt;&gt;"None"),"Delegation ","")&amp;IF(AND($Q702=1,$O702="None"),"StaleAdminCount ","")&amp;IF(AND($F702="Yes",$H702=""),"NeverLoggedOn ","")))</f>
        <v/>
      </c>
      <c r="AD702" s="60" t="n"/>
      <c r="AE702" s="61" t="n"/>
      <c r="AF702" s="60" t="n"/>
      <c r="AG702" s="62" t="n"/>
      <c r="AH702" s="62" t="n"/>
      <c r="AI702" s="62" t="n"/>
      <c r="AJ702" s="60" t="n"/>
      <c r="AK702" s="61" t="n"/>
      <c r="AL702" s="63">
        <f>IF($A702="","",IF(AH702="","Not Enrolled",IF(TODAY()&gt;AH702,"Review Overdue",IF(AH702-TODAY()&lt;=30,"Review Due Soon","Active"))))</f>
        <v/>
      </c>
      <c r="AM702" s="63">
        <f>IF($A702="","",IF(AI702="","NOT REVIEWED",IF(TODAY()-AI702&gt;90,"OVERDUE",IF(TODAY()-AI702&gt;76,"Due Soon","Current"))))</f>
        <v/>
      </c>
    </row>
    <row r="703" ht="15" customHeight="1" s="39">
      <c r="A703" s="60" t="n"/>
      <c r="B703" s="60" t="n"/>
      <c r="C703" s="61" t="n"/>
      <c r="D703" s="61" t="n"/>
      <c r="E703" s="60" t="n"/>
      <c r="F703" s="60" t="n"/>
      <c r="G703" s="62" t="n"/>
      <c r="H703" s="62" t="n"/>
      <c r="I703" s="62" t="n"/>
      <c r="J703" s="60" t="n"/>
      <c r="K703" s="60" t="n"/>
      <c r="L703" s="60" t="n"/>
      <c r="M703" s="61" t="n"/>
      <c r="N703" s="60" t="n"/>
      <c r="O703" s="60" t="n"/>
      <c r="P703" s="60" t="n"/>
      <c r="Q703" s="60" t="n"/>
      <c r="R703" s="60" t="n"/>
      <c r="S703" s="60" t="n"/>
      <c r="T703" s="60" t="n"/>
      <c r="U703" s="60" t="n"/>
      <c r="V703" s="60" t="n"/>
      <c r="W703" s="60" t="n"/>
      <c r="X703" s="60" t="n"/>
      <c r="Y703" s="60" t="n"/>
      <c r="Z703" s="61" t="n"/>
      <c r="AA703" s="63">
        <f>IF($H703="","",TODAY()-$H703)</f>
        <v/>
      </c>
      <c r="AB703" s="63">
        <f>IF($A703="","",IF(AND($F703="Yes",OR($U703="No",$U703="NOT FOUND")),"YES",""))</f>
        <v/>
      </c>
      <c r="AC703" s="66">
        <f>IF($A703="","",TRIM(IF(AND($P703=0,$L703&lt;&gt;"Yes"),"T0-NoSmartcard ","")&amp;IF(AND($J703&lt;&gt;"",$J703&gt;365),"StalePwd ","")&amp;IF($K703="Yes","PwdNeverExpires ","")&amp;IF(AND($S703&lt;&gt;"",$S703&lt;&gt;"None"),"Delegation ","")&amp;IF(AND($Q703=1,$O703="None"),"StaleAdminCount ","")&amp;IF(AND($F703="Yes",$H703=""),"NeverLoggedOn ","")))</f>
        <v/>
      </c>
      <c r="AD703" s="60" t="n"/>
      <c r="AE703" s="61" t="n"/>
      <c r="AF703" s="60" t="n"/>
      <c r="AG703" s="62" t="n"/>
      <c r="AH703" s="62" t="n"/>
      <c r="AI703" s="62" t="n"/>
      <c r="AJ703" s="60" t="n"/>
      <c r="AK703" s="61" t="n"/>
      <c r="AL703" s="63">
        <f>IF($A703="","",IF(AH703="","Not Enrolled",IF(TODAY()&gt;AH703,"Review Overdue",IF(AH703-TODAY()&lt;=30,"Review Due Soon","Active"))))</f>
        <v/>
      </c>
      <c r="AM703" s="63">
        <f>IF($A703="","",IF(AI703="","NOT REVIEWED",IF(TODAY()-AI703&gt;90,"OVERDUE",IF(TODAY()-AI703&gt;76,"Due Soon","Current"))))</f>
        <v/>
      </c>
    </row>
    <row r="704" ht="15" customHeight="1" s="39">
      <c r="A704" s="60" t="n"/>
      <c r="B704" s="60" t="n"/>
      <c r="C704" s="61" t="n"/>
      <c r="D704" s="61" t="n"/>
      <c r="E704" s="60" t="n"/>
      <c r="F704" s="60" t="n"/>
      <c r="G704" s="62" t="n"/>
      <c r="H704" s="62" t="n"/>
      <c r="I704" s="62" t="n"/>
      <c r="J704" s="60" t="n"/>
      <c r="K704" s="60" t="n"/>
      <c r="L704" s="60" t="n"/>
      <c r="M704" s="61" t="n"/>
      <c r="N704" s="60" t="n"/>
      <c r="O704" s="60" t="n"/>
      <c r="P704" s="60" t="n"/>
      <c r="Q704" s="60" t="n"/>
      <c r="R704" s="60" t="n"/>
      <c r="S704" s="60" t="n"/>
      <c r="T704" s="60" t="n"/>
      <c r="U704" s="60" t="n"/>
      <c r="V704" s="60" t="n"/>
      <c r="W704" s="60" t="n"/>
      <c r="X704" s="60" t="n"/>
      <c r="Y704" s="60" t="n"/>
      <c r="Z704" s="61" t="n"/>
      <c r="AA704" s="63">
        <f>IF($H704="","",TODAY()-$H704)</f>
        <v/>
      </c>
      <c r="AB704" s="63">
        <f>IF($A704="","",IF(AND($F704="Yes",OR($U704="No",$U704="NOT FOUND")),"YES",""))</f>
        <v/>
      </c>
      <c r="AC704" s="66">
        <f>IF($A704="","",TRIM(IF(AND($P704=0,$L704&lt;&gt;"Yes"),"T0-NoSmartcard ","")&amp;IF(AND($J704&lt;&gt;"",$J704&gt;365),"StalePwd ","")&amp;IF($K704="Yes","PwdNeverExpires ","")&amp;IF(AND($S704&lt;&gt;"",$S704&lt;&gt;"None"),"Delegation ","")&amp;IF(AND($Q704=1,$O704="None"),"StaleAdminCount ","")&amp;IF(AND($F704="Yes",$H704=""),"NeverLoggedOn ","")))</f>
        <v/>
      </c>
      <c r="AD704" s="60" t="n"/>
      <c r="AE704" s="61" t="n"/>
      <c r="AF704" s="60" t="n"/>
      <c r="AG704" s="62" t="n"/>
      <c r="AH704" s="62" t="n"/>
      <c r="AI704" s="62" t="n"/>
      <c r="AJ704" s="60" t="n"/>
      <c r="AK704" s="61" t="n"/>
      <c r="AL704" s="63">
        <f>IF($A704="","",IF(AH704="","Not Enrolled",IF(TODAY()&gt;AH704,"Review Overdue",IF(AH704-TODAY()&lt;=30,"Review Due Soon","Active"))))</f>
        <v/>
      </c>
      <c r="AM704" s="63">
        <f>IF($A704="","",IF(AI704="","NOT REVIEWED",IF(TODAY()-AI704&gt;90,"OVERDUE",IF(TODAY()-AI704&gt;76,"Due Soon","Current"))))</f>
        <v/>
      </c>
    </row>
    <row r="705" ht="15" customHeight="1" s="39">
      <c r="A705" s="60" t="n"/>
      <c r="B705" s="60" t="n"/>
      <c r="C705" s="61" t="n"/>
      <c r="D705" s="61" t="n"/>
      <c r="E705" s="60" t="n"/>
      <c r="F705" s="60" t="n"/>
      <c r="G705" s="62" t="n"/>
      <c r="H705" s="62" t="n"/>
      <c r="I705" s="62" t="n"/>
      <c r="J705" s="60" t="n"/>
      <c r="K705" s="60" t="n"/>
      <c r="L705" s="60" t="n"/>
      <c r="M705" s="61" t="n"/>
      <c r="N705" s="60" t="n"/>
      <c r="O705" s="60" t="n"/>
      <c r="P705" s="60" t="n"/>
      <c r="Q705" s="60" t="n"/>
      <c r="R705" s="60" t="n"/>
      <c r="S705" s="60" t="n"/>
      <c r="T705" s="60" t="n"/>
      <c r="U705" s="60" t="n"/>
      <c r="V705" s="60" t="n"/>
      <c r="W705" s="60" t="n"/>
      <c r="X705" s="60" t="n"/>
      <c r="Y705" s="60" t="n"/>
      <c r="Z705" s="61" t="n"/>
      <c r="AA705" s="63">
        <f>IF($H705="","",TODAY()-$H705)</f>
        <v/>
      </c>
      <c r="AB705" s="63">
        <f>IF($A705="","",IF(AND($F705="Yes",OR($U705="No",$U705="NOT FOUND")),"YES",""))</f>
        <v/>
      </c>
      <c r="AC705" s="66">
        <f>IF($A705="","",TRIM(IF(AND($P705=0,$L705&lt;&gt;"Yes"),"T0-NoSmartcard ","")&amp;IF(AND($J705&lt;&gt;"",$J705&gt;365),"StalePwd ","")&amp;IF($K705="Yes","PwdNeverExpires ","")&amp;IF(AND($S705&lt;&gt;"",$S705&lt;&gt;"None"),"Delegation ","")&amp;IF(AND($Q705=1,$O705="None"),"StaleAdminCount ","")&amp;IF(AND($F705="Yes",$H705=""),"NeverLoggedOn ","")))</f>
        <v/>
      </c>
      <c r="AD705" s="60" t="n"/>
      <c r="AE705" s="61" t="n"/>
      <c r="AF705" s="60" t="n"/>
      <c r="AG705" s="62" t="n"/>
      <c r="AH705" s="62" t="n"/>
      <c r="AI705" s="62" t="n"/>
      <c r="AJ705" s="60" t="n"/>
      <c r="AK705" s="61" t="n"/>
      <c r="AL705" s="63">
        <f>IF($A705="","",IF(AH705="","Not Enrolled",IF(TODAY()&gt;AH705,"Review Overdue",IF(AH705-TODAY()&lt;=30,"Review Due Soon","Active"))))</f>
        <v/>
      </c>
      <c r="AM705" s="63">
        <f>IF($A705="","",IF(AI705="","NOT REVIEWED",IF(TODAY()-AI705&gt;90,"OVERDUE",IF(TODAY()-AI705&gt;76,"Due Soon","Current"))))</f>
        <v/>
      </c>
    </row>
    <row r="706" ht="15" customHeight="1" s="39">
      <c r="A706" s="60" t="n"/>
      <c r="B706" s="60" t="n"/>
      <c r="C706" s="61" t="n"/>
      <c r="D706" s="61" t="n"/>
      <c r="E706" s="60" t="n"/>
      <c r="F706" s="60" t="n"/>
      <c r="G706" s="62" t="n"/>
      <c r="H706" s="62" t="n"/>
      <c r="I706" s="62" t="n"/>
      <c r="J706" s="60" t="n"/>
      <c r="K706" s="60" t="n"/>
      <c r="L706" s="60" t="n"/>
      <c r="M706" s="61" t="n"/>
      <c r="N706" s="60" t="n"/>
      <c r="O706" s="60" t="n"/>
      <c r="P706" s="60" t="n"/>
      <c r="Q706" s="60" t="n"/>
      <c r="R706" s="60" t="n"/>
      <c r="S706" s="60" t="n"/>
      <c r="T706" s="60" t="n"/>
      <c r="U706" s="60" t="n"/>
      <c r="V706" s="60" t="n"/>
      <c r="W706" s="60" t="n"/>
      <c r="X706" s="60" t="n"/>
      <c r="Y706" s="60" t="n"/>
      <c r="Z706" s="61" t="n"/>
      <c r="AA706" s="63">
        <f>IF($H706="","",TODAY()-$H706)</f>
        <v/>
      </c>
      <c r="AB706" s="63">
        <f>IF($A706="","",IF(AND($F706="Yes",OR($U706="No",$U706="NOT FOUND")),"YES",""))</f>
        <v/>
      </c>
      <c r="AC706" s="66">
        <f>IF($A706="","",TRIM(IF(AND($P706=0,$L706&lt;&gt;"Yes"),"T0-NoSmartcard ","")&amp;IF(AND($J706&lt;&gt;"",$J706&gt;365),"StalePwd ","")&amp;IF($K706="Yes","PwdNeverExpires ","")&amp;IF(AND($S706&lt;&gt;"",$S706&lt;&gt;"None"),"Delegation ","")&amp;IF(AND($Q706=1,$O706="None"),"StaleAdminCount ","")&amp;IF(AND($F706="Yes",$H706=""),"NeverLoggedOn ","")))</f>
        <v/>
      </c>
      <c r="AD706" s="60" t="n"/>
      <c r="AE706" s="61" t="n"/>
      <c r="AF706" s="60" t="n"/>
      <c r="AG706" s="62" t="n"/>
      <c r="AH706" s="62" t="n"/>
      <c r="AI706" s="62" t="n"/>
      <c r="AJ706" s="60" t="n"/>
      <c r="AK706" s="61" t="n"/>
      <c r="AL706" s="63">
        <f>IF($A706="","",IF(AH706="","Not Enrolled",IF(TODAY()&gt;AH706,"Review Overdue",IF(AH706-TODAY()&lt;=30,"Review Due Soon","Active"))))</f>
        <v/>
      </c>
      <c r="AM706" s="63">
        <f>IF($A706="","",IF(AI706="","NOT REVIEWED",IF(TODAY()-AI706&gt;90,"OVERDUE",IF(TODAY()-AI706&gt;76,"Due Soon","Current"))))</f>
        <v/>
      </c>
    </row>
    <row r="707" ht="15" customHeight="1" s="39">
      <c r="A707" s="60" t="n"/>
      <c r="B707" s="60" t="n"/>
      <c r="C707" s="61" t="n"/>
      <c r="D707" s="61" t="n"/>
      <c r="E707" s="60" t="n"/>
      <c r="F707" s="60" t="n"/>
      <c r="G707" s="62" t="n"/>
      <c r="H707" s="62" t="n"/>
      <c r="I707" s="62" t="n"/>
      <c r="J707" s="60" t="n"/>
      <c r="K707" s="60" t="n"/>
      <c r="L707" s="60" t="n"/>
      <c r="M707" s="61" t="n"/>
      <c r="N707" s="60" t="n"/>
      <c r="O707" s="60" t="n"/>
      <c r="P707" s="60" t="n"/>
      <c r="Q707" s="60" t="n"/>
      <c r="R707" s="60" t="n"/>
      <c r="S707" s="60" t="n"/>
      <c r="T707" s="60" t="n"/>
      <c r="U707" s="60" t="n"/>
      <c r="V707" s="60" t="n"/>
      <c r="W707" s="60" t="n"/>
      <c r="X707" s="60" t="n"/>
      <c r="Y707" s="60" t="n"/>
      <c r="Z707" s="61" t="n"/>
      <c r="AA707" s="63">
        <f>IF($H707="","",TODAY()-$H707)</f>
        <v/>
      </c>
      <c r="AB707" s="63">
        <f>IF($A707="","",IF(AND($F707="Yes",OR($U707="No",$U707="NOT FOUND")),"YES",""))</f>
        <v/>
      </c>
      <c r="AC707" s="66">
        <f>IF($A707="","",TRIM(IF(AND($P707=0,$L707&lt;&gt;"Yes"),"T0-NoSmartcard ","")&amp;IF(AND($J707&lt;&gt;"",$J707&gt;365),"StalePwd ","")&amp;IF($K707="Yes","PwdNeverExpires ","")&amp;IF(AND($S707&lt;&gt;"",$S707&lt;&gt;"None"),"Delegation ","")&amp;IF(AND($Q707=1,$O707="None"),"StaleAdminCount ","")&amp;IF(AND($F707="Yes",$H707=""),"NeverLoggedOn ","")))</f>
        <v/>
      </c>
      <c r="AD707" s="60" t="n"/>
      <c r="AE707" s="61" t="n"/>
      <c r="AF707" s="60" t="n"/>
      <c r="AG707" s="62" t="n"/>
      <c r="AH707" s="62" t="n"/>
      <c r="AI707" s="62" t="n"/>
      <c r="AJ707" s="60" t="n"/>
      <c r="AK707" s="61" t="n"/>
      <c r="AL707" s="63">
        <f>IF($A707="","",IF(AH707="","Not Enrolled",IF(TODAY()&gt;AH707,"Review Overdue",IF(AH707-TODAY()&lt;=30,"Review Due Soon","Active"))))</f>
        <v/>
      </c>
      <c r="AM707" s="63">
        <f>IF($A707="","",IF(AI707="","NOT REVIEWED",IF(TODAY()-AI707&gt;90,"OVERDUE",IF(TODAY()-AI707&gt;76,"Due Soon","Current"))))</f>
        <v/>
      </c>
    </row>
    <row r="708" ht="15" customHeight="1" s="39">
      <c r="A708" s="60" t="n"/>
      <c r="B708" s="60" t="n"/>
      <c r="C708" s="61" t="n"/>
      <c r="D708" s="61" t="n"/>
      <c r="E708" s="60" t="n"/>
      <c r="F708" s="60" t="n"/>
      <c r="G708" s="62" t="n"/>
      <c r="H708" s="62" t="n"/>
      <c r="I708" s="62" t="n"/>
      <c r="J708" s="60" t="n"/>
      <c r="K708" s="60" t="n"/>
      <c r="L708" s="60" t="n"/>
      <c r="M708" s="61" t="n"/>
      <c r="N708" s="60" t="n"/>
      <c r="O708" s="60" t="n"/>
      <c r="P708" s="60" t="n"/>
      <c r="Q708" s="60" t="n"/>
      <c r="R708" s="60" t="n"/>
      <c r="S708" s="60" t="n"/>
      <c r="T708" s="60" t="n"/>
      <c r="U708" s="60" t="n"/>
      <c r="V708" s="60" t="n"/>
      <c r="W708" s="60" t="n"/>
      <c r="X708" s="60" t="n"/>
      <c r="Y708" s="60" t="n"/>
      <c r="Z708" s="61" t="n"/>
      <c r="AA708" s="63">
        <f>IF($H708="","",TODAY()-$H708)</f>
        <v/>
      </c>
      <c r="AB708" s="63">
        <f>IF($A708="","",IF(AND($F708="Yes",OR($U708="No",$U708="NOT FOUND")),"YES",""))</f>
        <v/>
      </c>
      <c r="AC708" s="66">
        <f>IF($A708="","",TRIM(IF(AND($P708=0,$L708&lt;&gt;"Yes"),"T0-NoSmartcard ","")&amp;IF(AND($J708&lt;&gt;"",$J708&gt;365),"StalePwd ","")&amp;IF($K708="Yes","PwdNeverExpires ","")&amp;IF(AND($S708&lt;&gt;"",$S708&lt;&gt;"None"),"Delegation ","")&amp;IF(AND($Q708=1,$O708="None"),"StaleAdminCount ","")&amp;IF(AND($F708="Yes",$H708=""),"NeverLoggedOn ","")))</f>
        <v/>
      </c>
      <c r="AD708" s="60" t="n"/>
      <c r="AE708" s="61" t="n"/>
      <c r="AF708" s="60" t="n"/>
      <c r="AG708" s="62" t="n"/>
      <c r="AH708" s="62" t="n"/>
      <c r="AI708" s="62" t="n"/>
      <c r="AJ708" s="60" t="n"/>
      <c r="AK708" s="61" t="n"/>
      <c r="AL708" s="63">
        <f>IF($A708="","",IF(AH708="","Not Enrolled",IF(TODAY()&gt;AH708,"Review Overdue",IF(AH708-TODAY()&lt;=30,"Review Due Soon","Active"))))</f>
        <v/>
      </c>
      <c r="AM708" s="63">
        <f>IF($A708="","",IF(AI708="","NOT REVIEWED",IF(TODAY()-AI708&gt;90,"OVERDUE",IF(TODAY()-AI708&gt;76,"Due Soon","Current"))))</f>
        <v/>
      </c>
    </row>
    <row r="709" ht="15" customHeight="1" s="39">
      <c r="A709" s="60" t="n"/>
      <c r="B709" s="60" t="n"/>
      <c r="C709" s="61" t="n"/>
      <c r="D709" s="61" t="n"/>
      <c r="E709" s="60" t="n"/>
      <c r="F709" s="60" t="n"/>
      <c r="G709" s="62" t="n"/>
      <c r="H709" s="62" t="n"/>
      <c r="I709" s="62" t="n"/>
      <c r="J709" s="60" t="n"/>
      <c r="K709" s="60" t="n"/>
      <c r="L709" s="60" t="n"/>
      <c r="M709" s="61" t="n"/>
      <c r="N709" s="60" t="n"/>
      <c r="O709" s="60" t="n"/>
      <c r="P709" s="60" t="n"/>
      <c r="Q709" s="60" t="n"/>
      <c r="R709" s="60" t="n"/>
      <c r="S709" s="60" t="n"/>
      <c r="T709" s="60" t="n"/>
      <c r="U709" s="60" t="n"/>
      <c r="V709" s="60" t="n"/>
      <c r="W709" s="60" t="n"/>
      <c r="X709" s="60" t="n"/>
      <c r="Y709" s="60" t="n"/>
      <c r="Z709" s="61" t="n"/>
      <c r="AA709" s="63">
        <f>IF($H709="","",TODAY()-$H709)</f>
        <v/>
      </c>
      <c r="AB709" s="63">
        <f>IF($A709="","",IF(AND($F709="Yes",OR($U709="No",$U709="NOT FOUND")),"YES",""))</f>
        <v/>
      </c>
      <c r="AC709" s="66">
        <f>IF($A709="","",TRIM(IF(AND($P709=0,$L709&lt;&gt;"Yes"),"T0-NoSmartcard ","")&amp;IF(AND($J709&lt;&gt;"",$J709&gt;365),"StalePwd ","")&amp;IF($K709="Yes","PwdNeverExpires ","")&amp;IF(AND($S709&lt;&gt;"",$S709&lt;&gt;"None"),"Delegation ","")&amp;IF(AND($Q709=1,$O709="None"),"StaleAdminCount ","")&amp;IF(AND($F709="Yes",$H709=""),"NeverLoggedOn ","")))</f>
        <v/>
      </c>
      <c r="AD709" s="60" t="n"/>
      <c r="AE709" s="61" t="n"/>
      <c r="AF709" s="60" t="n"/>
      <c r="AG709" s="62" t="n"/>
      <c r="AH709" s="62" t="n"/>
      <c r="AI709" s="62" t="n"/>
      <c r="AJ709" s="60" t="n"/>
      <c r="AK709" s="61" t="n"/>
      <c r="AL709" s="63">
        <f>IF($A709="","",IF(AH709="","Not Enrolled",IF(TODAY()&gt;AH709,"Review Overdue",IF(AH709-TODAY()&lt;=30,"Review Due Soon","Active"))))</f>
        <v/>
      </c>
      <c r="AM709" s="63">
        <f>IF($A709="","",IF(AI709="","NOT REVIEWED",IF(TODAY()-AI709&gt;90,"OVERDUE",IF(TODAY()-AI709&gt;76,"Due Soon","Current"))))</f>
        <v/>
      </c>
    </row>
    <row r="710" ht="15" customHeight="1" s="39">
      <c r="A710" s="60" t="n"/>
      <c r="B710" s="60" t="n"/>
      <c r="C710" s="61" t="n"/>
      <c r="D710" s="61" t="n"/>
      <c r="E710" s="60" t="n"/>
      <c r="F710" s="60" t="n"/>
      <c r="G710" s="62" t="n"/>
      <c r="H710" s="62" t="n"/>
      <c r="I710" s="62" t="n"/>
      <c r="J710" s="60" t="n"/>
      <c r="K710" s="60" t="n"/>
      <c r="L710" s="60" t="n"/>
      <c r="M710" s="61" t="n"/>
      <c r="N710" s="60" t="n"/>
      <c r="O710" s="60" t="n"/>
      <c r="P710" s="60" t="n"/>
      <c r="Q710" s="60" t="n"/>
      <c r="R710" s="60" t="n"/>
      <c r="S710" s="60" t="n"/>
      <c r="T710" s="60" t="n"/>
      <c r="U710" s="60" t="n"/>
      <c r="V710" s="60" t="n"/>
      <c r="W710" s="60" t="n"/>
      <c r="X710" s="60" t="n"/>
      <c r="Y710" s="60" t="n"/>
      <c r="Z710" s="61" t="n"/>
      <c r="AA710" s="63">
        <f>IF($H710="","",TODAY()-$H710)</f>
        <v/>
      </c>
      <c r="AB710" s="63">
        <f>IF($A710="","",IF(AND($F710="Yes",OR($U710="No",$U710="NOT FOUND")),"YES",""))</f>
        <v/>
      </c>
      <c r="AC710" s="66">
        <f>IF($A710="","",TRIM(IF(AND($P710=0,$L710&lt;&gt;"Yes"),"T0-NoSmartcard ","")&amp;IF(AND($J710&lt;&gt;"",$J710&gt;365),"StalePwd ","")&amp;IF($K710="Yes","PwdNeverExpires ","")&amp;IF(AND($S710&lt;&gt;"",$S710&lt;&gt;"None"),"Delegation ","")&amp;IF(AND($Q710=1,$O710="None"),"StaleAdminCount ","")&amp;IF(AND($F710="Yes",$H710=""),"NeverLoggedOn ","")))</f>
        <v/>
      </c>
      <c r="AD710" s="60" t="n"/>
      <c r="AE710" s="61" t="n"/>
      <c r="AF710" s="60" t="n"/>
      <c r="AG710" s="62" t="n"/>
      <c r="AH710" s="62" t="n"/>
      <c r="AI710" s="62" t="n"/>
      <c r="AJ710" s="60" t="n"/>
      <c r="AK710" s="61" t="n"/>
      <c r="AL710" s="63">
        <f>IF($A710="","",IF(AH710="","Not Enrolled",IF(TODAY()&gt;AH710,"Review Overdue",IF(AH710-TODAY()&lt;=30,"Review Due Soon","Active"))))</f>
        <v/>
      </c>
      <c r="AM710" s="63">
        <f>IF($A710="","",IF(AI710="","NOT REVIEWED",IF(TODAY()-AI710&gt;90,"OVERDUE",IF(TODAY()-AI710&gt;76,"Due Soon","Current"))))</f>
        <v/>
      </c>
    </row>
    <row r="711" ht="15" customHeight="1" s="39">
      <c r="A711" s="60" t="n"/>
      <c r="B711" s="60" t="n"/>
      <c r="C711" s="61" t="n"/>
      <c r="D711" s="61" t="n"/>
      <c r="E711" s="60" t="n"/>
      <c r="F711" s="60" t="n"/>
      <c r="G711" s="62" t="n"/>
      <c r="H711" s="62" t="n"/>
      <c r="I711" s="62" t="n"/>
      <c r="J711" s="60" t="n"/>
      <c r="K711" s="60" t="n"/>
      <c r="L711" s="60" t="n"/>
      <c r="M711" s="61" t="n"/>
      <c r="N711" s="60" t="n"/>
      <c r="O711" s="60" t="n"/>
      <c r="P711" s="60" t="n"/>
      <c r="Q711" s="60" t="n"/>
      <c r="R711" s="60" t="n"/>
      <c r="S711" s="60" t="n"/>
      <c r="T711" s="60" t="n"/>
      <c r="U711" s="60" t="n"/>
      <c r="V711" s="60" t="n"/>
      <c r="W711" s="60" t="n"/>
      <c r="X711" s="60" t="n"/>
      <c r="Y711" s="60" t="n"/>
      <c r="Z711" s="61" t="n"/>
      <c r="AA711" s="63">
        <f>IF($H711="","",TODAY()-$H711)</f>
        <v/>
      </c>
      <c r="AB711" s="63">
        <f>IF($A711="","",IF(AND($F711="Yes",OR($U711="No",$U711="NOT FOUND")),"YES",""))</f>
        <v/>
      </c>
      <c r="AC711" s="66">
        <f>IF($A711="","",TRIM(IF(AND($P711=0,$L711&lt;&gt;"Yes"),"T0-NoSmartcard ","")&amp;IF(AND($J711&lt;&gt;"",$J711&gt;365),"StalePwd ","")&amp;IF($K711="Yes","PwdNeverExpires ","")&amp;IF(AND($S711&lt;&gt;"",$S711&lt;&gt;"None"),"Delegation ","")&amp;IF(AND($Q711=1,$O711="None"),"StaleAdminCount ","")&amp;IF(AND($F711="Yes",$H711=""),"NeverLoggedOn ","")))</f>
        <v/>
      </c>
      <c r="AD711" s="60" t="n"/>
      <c r="AE711" s="61" t="n"/>
      <c r="AF711" s="60" t="n"/>
      <c r="AG711" s="62" t="n"/>
      <c r="AH711" s="62" t="n"/>
      <c r="AI711" s="62" t="n"/>
      <c r="AJ711" s="60" t="n"/>
      <c r="AK711" s="61" t="n"/>
      <c r="AL711" s="63">
        <f>IF($A711="","",IF(AH711="","Not Enrolled",IF(TODAY()&gt;AH711,"Review Overdue",IF(AH711-TODAY()&lt;=30,"Review Due Soon","Active"))))</f>
        <v/>
      </c>
      <c r="AM711" s="63">
        <f>IF($A711="","",IF(AI711="","NOT REVIEWED",IF(TODAY()-AI711&gt;90,"OVERDUE",IF(TODAY()-AI711&gt;76,"Due Soon","Current"))))</f>
        <v/>
      </c>
    </row>
    <row r="712" ht="15" customHeight="1" s="39">
      <c r="A712" s="60" t="n"/>
      <c r="B712" s="60" t="n"/>
      <c r="C712" s="61" t="n"/>
      <c r="D712" s="61" t="n"/>
      <c r="E712" s="60" t="n"/>
      <c r="F712" s="60" t="n"/>
      <c r="G712" s="62" t="n"/>
      <c r="H712" s="62" t="n"/>
      <c r="I712" s="62" t="n"/>
      <c r="J712" s="60" t="n"/>
      <c r="K712" s="60" t="n"/>
      <c r="L712" s="60" t="n"/>
      <c r="M712" s="61" t="n"/>
      <c r="N712" s="60" t="n"/>
      <c r="O712" s="60" t="n"/>
      <c r="P712" s="60" t="n"/>
      <c r="Q712" s="60" t="n"/>
      <c r="R712" s="60" t="n"/>
      <c r="S712" s="60" t="n"/>
      <c r="T712" s="60" t="n"/>
      <c r="U712" s="60" t="n"/>
      <c r="V712" s="60" t="n"/>
      <c r="W712" s="60" t="n"/>
      <c r="X712" s="60" t="n"/>
      <c r="Y712" s="60" t="n"/>
      <c r="Z712" s="61" t="n"/>
      <c r="AA712" s="63">
        <f>IF($H712="","",TODAY()-$H712)</f>
        <v/>
      </c>
      <c r="AB712" s="63">
        <f>IF($A712="","",IF(AND($F712="Yes",OR($U712="No",$U712="NOT FOUND")),"YES",""))</f>
        <v/>
      </c>
      <c r="AC712" s="66">
        <f>IF($A712="","",TRIM(IF(AND($P712=0,$L712&lt;&gt;"Yes"),"T0-NoSmartcard ","")&amp;IF(AND($J712&lt;&gt;"",$J712&gt;365),"StalePwd ","")&amp;IF($K712="Yes","PwdNeverExpires ","")&amp;IF(AND($S712&lt;&gt;"",$S712&lt;&gt;"None"),"Delegation ","")&amp;IF(AND($Q712=1,$O712="None"),"StaleAdminCount ","")&amp;IF(AND($F712="Yes",$H712=""),"NeverLoggedOn ","")))</f>
        <v/>
      </c>
      <c r="AD712" s="60" t="n"/>
      <c r="AE712" s="61" t="n"/>
      <c r="AF712" s="60" t="n"/>
      <c r="AG712" s="62" t="n"/>
      <c r="AH712" s="62" t="n"/>
      <c r="AI712" s="62" t="n"/>
      <c r="AJ712" s="60" t="n"/>
      <c r="AK712" s="61" t="n"/>
      <c r="AL712" s="63">
        <f>IF($A712="","",IF(AH712="","Not Enrolled",IF(TODAY()&gt;AH712,"Review Overdue",IF(AH712-TODAY()&lt;=30,"Review Due Soon","Active"))))</f>
        <v/>
      </c>
      <c r="AM712" s="63">
        <f>IF($A712="","",IF(AI712="","NOT REVIEWED",IF(TODAY()-AI712&gt;90,"OVERDUE",IF(TODAY()-AI712&gt;76,"Due Soon","Current"))))</f>
        <v/>
      </c>
    </row>
    <row r="713" ht="15" customHeight="1" s="39">
      <c r="A713" s="60" t="n"/>
      <c r="B713" s="60" t="n"/>
      <c r="C713" s="61" t="n"/>
      <c r="D713" s="61" t="n"/>
      <c r="E713" s="60" t="n"/>
      <c r="F713" s="60" t="n"/>
      <c r="G713" s="62" t="n"/>
      <c r="H713" s="62" t="n"/>
      <c r="I713" s="62" t="n"/>
      <c r="J713" s="60" t="n"/>
      <c r="K713" s="60" t="n"/>
      <c r="L713" s="60" t="n"/>
      <c r="M713" s="61" t="n"/>
      <c r="N713" s="60" t="n"/>
      <c r="O713" s="60" t="n"/>
      <c r="P713" s="60" t="n"/>
      <c r="Q713" s="60" t="n"/>
      <c r="R713" s="60" t="n"/>
      <c r="S713" s="60" t="n"/>
      <c r="T713" s="60" t="n"/>
      <c r="U713" s="60" t="n"/>
      <c r="V713" s="60" t="n"/>
      <c r="W713" s="60" t="n"/>
      <c r="X713" s="60" t="n"/>
      <c r="Y713" s="60" t="n"/>
      <c r="Z713" s="61" t="n"/>
      <c r="AA713" s="63">
        <f>IF($H713="","",TODAY()-$H713)</f>
        <v/>
      </c>
      <c r="AB713" s="63">
        <f>IF($A713="","",IF(AND($F713="Yes",OR($U713="No",$U713="NOT FOUND")),"YES",""))</f>
        <v/>
      </c>
      <c r="AC713" s="66">
        <f>IF($A713="","",TRIM(IF(AND($P713=0,$L713&lt;&gt;"Yes"),"T0-NoSmartcard ","")&amp;IF(AND($J713&lt;&gt;"",$J713&gt;365),"StalePwd ","")&amp;IF($K713="Yes","PwdNeverExpires ","")&amp;IF(AND($S713&lt;&gt;"",$S713&lt;&gt;"None"),"Delegation ","")&amp;IF(AND($Q713=1,$O713="None"),"StaleAdminCount ","")&amp;IF(AND($F713="Yes",$H713=""),"NeverLoggedOn ","")))</f>
        <v/>
      </c>
      <c r="AD713" s="60" t="n"/>
      <c r="AE713" s="61" t="n"/>
      <c r="AF713" s="60" t="n"/>
      <c r="AG713" s="62" t="n"/>
      <c r="AH713" s="62" t="n"/>
      <c r="AI713" s="62" t="n"/>
      <c r="AJ713" s="60" t="n"/>
      <c r="AK713" s="61" t="n"/>
      <c r="AL713" s="63">
        <f>IF($A713="","",IF(AH713="","Not Enrolled",IF(TODAY()&gt;AH713,"Review Overdue",IF(AH713-TODAY()&lt;=30,"Review Due Soon","Active"))))</f>
        <v/>
      </c>
      <c r="AM713" s="63">
        <f>IF($A713="","",IF(AI713="","NOT REVIEWED",IF(TODAY()-AI713&gt;90,"OVERDUE",IF(TODAY()-AI713&gt;76,"Due Soon","Current"))))</f>
        <v/>
      </c>
    </row>
    <row r="714" ht="15" customHeight="1" s="39">
      <c r="A714" s="60" t="n"/>
      <c r="B714" s="60" t="n"/>
      <c r="C714" s="61" t="n"/>
      <c r="D714" s="61" t="n"/>
      <c r="E714" s="60" t="n"/>
      <c r="F714" s="60" t="n"/>
      <c r="G714" s="62" t="n"/>
      <c r="H714" s="62" t="n"/>
      <c r="I714" s="62" t="n"/>
      <c r="J714" s="60" t="n"/>
      <c r="K714" s="60" t="n"/>
      <c r="L714" s="60" t="n"/>
      <c r="M714" s="61" t="n"/>
      <c r="N714" s="60" t="n"/>
      <c r="O714" s="60" t="n"/>
      <c r="P714" s="60" t="n"/>
      <c r="Q714" s="60" t="n"/>
      <c r="R714" s="60" t="n"/>
      <c r="S714" s="60" t="n"/>
      <c r="T714" s="60" t="n"/>
      <c r="U714" s="60" t="n"/>
      <c r="V714" s="60" t="n"/>
      <c r="W714" s="60" t="n"/>
      <c r="X714" s="60" t="n"/>
      <c r="Y714" s="60" t="n"/>
      <c r="Z714" s="61" t="n"/>
      <c r="AA714" s="63">
        <f>IF($H714="","",TODAY()-$H714)</f>
        <v/>
      </c>
      <c r="AB714" s="63">
        <f>IF($A714="","",IF(AND($F714="Yes",OR($U714="No",$U714="NOT FOUND")),"YES",""))</f>
        <v/>
      </c>
      <c r="AC714" s="66">
        <f>IF($A714="","",TRIM(IF(AND($P714=0,$L714&lt;&gt;"Yes"),"T0-NoSmartcard ","")&amp;IF(AND($J714&lt;&gt;"",$J714&gt;365),"StalePwd ","")&amp;IF($K714="Yes","PwdNeverExpires ","")&amp;IF(AND($S714&lt;&gt;"",$S714&lt;&gt;"None"),"Delegation ","")&amp;IF(AND($Q714=1,$O714="None"),"StaleAdminCount ","")&amp;IF(AND($F714="Yes",$H714=""),"NeverLoggedOn ","")))</f>
        <v/>
      </c>
      <c r="AD714" s="60" t="n"/>
      <c r="AE714" s="61" t="n"/>
      <c r="AF714" s="60" t="n"/>
      <c r="AG714" s="62" t="n"/>
      <c r="AH714" s="62" t="n"/>
      <c r="AI714" s="62" t="n"/>
      <c r="AJ714" s="60" t="n"/>
      <c r="AK714" s="61" t="n"/>
      <c r="AL714" s="63">
        <f>IF($A714="","",IF(AH714="","Not Enrolled",IF(TODAY()&gt;AH714,"Review Overdue",IF(AH714-TODAY()&lt;=30,"Review Due Soon","Active"))))</f>
        <v/>
      </c>
      <c r="AM714" s="63">
        <f>IF($A714="","",IF(AI714="","NOT REVIEWED",IF(TODAY()-AI714&gt;90,"OVERDUE",IF(TODAY()-AI714&gt;76,"Due Soon","Current"))))</f>
        <v/>
      </c>
    </row>
    <row r="715" ht="15" customHeight="1" s="39">
      <c r="A715" s="60" t="n"/>
      <c r="B715" s="60" t="n"/>
      <c r="C715" s="61" t="n"/>
      <c r="D715" s="61" t="n"/>
      <c r="E715" s="60" t="n"/>
      <c r="F715" s="60" t="n"/>
      <c r="G715" s="62" t="n"/>
      <c r="H715" s="62" t="n"/>
      <c r="I715" s="62" t="n"/>
      <c r="J715" s="60" t="n"/>
      <c r="K715" s="60" t="n"/>
      <c r="L715" s="60" t="n"/>
      <c r="M715" s="61" t="n"/>
      <c r="N715" s="60" t="n"/>
      <c r="O715" s="60" t="n"/>
      <c r="P715" s="60" t="n"/>
      <c r="Q715" s="60" t="n"/>
      <c r="R715" s="60" t="n"/>
      <c r="S715" s="60" t="n"/>
      <c r="T715" s="60" t="n"/>
      <c r="U715" s="60" t="n"/>
      <c r="V715" s="60" t="n"/>
      <c r="W715" s="60" t="n"/>
      <c r="X715" s="60" t="n"/>
      <c r="Y715" s="60" t="n"/>
      <c r="Z715" s="61" t="n"/>
      <c r="AA715" s="63">
        <f>IF($H715="","",TODAY()-$H715)</f>
        <v/>
      </c>
      <c r="AB715" s="63">
        <f>IF($A715="","",IF(AND($F715="Yes",OR($U715="No",$U715="NOT FOUND")),"YES",""))</f>
        <v/>
      </c>
      <c r="AC715" s="66">
        <f>IF($A715="","",TRIM(IF(AND($P715=0,$L715&lt;&gt;"Yes"),"T0-NoSmartcard ","")&amp;IF(AND($J715&lt;&gt;"",$J715&gt;365),"StalePwd ","")&amp;IF($K715="Yes","PwdNeverExpires ","")&amp;IF(AND($S715&lt;&gt;"",$S715&lt;&gt;"None"),"Delegation ","")&amp;IF(AND($Q715=1,$O715="None"),"StaleAdminCount ","")&amp;IF(AND($F715="Yes",$H715=""),"NeverLoggedOn ","")))</f>
        <v/>
      </c>
      <c r="AD715" s="60" t="n"/>
      <c r="AE715" s="61" t="n"/>
      <c r="AF715" s="60" t="n"/>
      <c r="AG715" s="62" t="n"/>
      <c r="AH715" s="62" t="n"/>
      <c r="AI715" s="62" t="n"/>
      <c r="AJ715" s="60" t="n"/>
      <c r="AK715" s="61" t="n"/>
      <c r="AL715" s="63">
        <f>IF($A715="","",IF(AH715="","Not Enrolled",IF(TODAY()&gt;AH715,"Review Overdue",IF(AH715-TODAY()&lt;=30,"Review Due Soon","Active"))))</f>
        <v/>
      </c>
      <c r="AM715" s="63">
        <f>IF($A715="","",IF(AI715="","NOT REVIEWED",IF(TODAY()-AI715&gt;90,"OVERDUE",IF(TODAY()-AI715&gt;76,"Due Soon","Current"))))</f>
        <v/>
      </c>
    </row>
    <row r="716" ht="15" customHeight="1" s="39">
      <c r="A716" s="60" t="n"/>
      <c r="B716" s="60" t="n"/>
      <c r="C716" s="61" t="n"/>
      <c r="D716" s="61" t="n"/>
      <c r="E716" s="60" t="n"/>
      <c r="F716" s="60" t="n"/>
      <c r="G716" s="62" t="n"/>
      <c r="H716" s="62" t="n"/>
      <c r="I716" s="62" t="n"/>
      <c r="J716" s="60" t="n"/>
      <c r="K716" s="60" t="n"/>
      <c r="L716" s="60" t="n"/>
      <c r="M716" s="61" t="n"/>
      <c r="N716" s="60" t="n"/>
      <c r="O716" s="60" t="n"/>
      <c r="P716" s="60" t="n"/>
      <c r="Q716" s="60" t="n"/>
      <c r="R716" s="60" t="n"/>
      <c r="S716" s="60" t="n"/>
      <c r="T716" s="60" t="n"/>
      <c r="U716" s="60" t="n"/>
      <c r="V716" s="60" t="n"/>
      <c r="W716" s="60" t="n"/>
      <c r="X716" s="60" t="n"/>
      <c r="Y716" s="60" t="n"/>
      <c r="Z716" s="61" t="n"/>
      <c r="AA716" s="63">
        <f>IF($H716="","",TODAY()-$H716)</f>
        <v/>
      </c>
      <c r="AB716" s="63">
        <f>IF($A716="","",IF(AND($F716="Yes",OR($U716="No",$U716="NOT FOUND")),"YES",""))</f>
        <v/>
      </c>
      <c r="AC716" s="66">
        <f>IF($A716="","",TRIM(IF(AND($P716=0,$L716&lt;&gt;"Yes"),"T0-NoSmartcard ","")&amp;IF(AND($J716&lt;&gt;"",$J716&gt;365),"StalePwd ","")&amp;IF($K716="Yes","PwdNeverExpires ","")&amp;IF(AND($S716&lt;&gt;"",$S716&lt;&gt;"None"),"Delegation ","")&amp;IF(AND($Q716=1,$O716="None"),"StaleAdminCount ","")&amp;IF(AND($F716="Yes",$H716=""),"NeverLoggedOn ","")))</f>
        <v/>
      </c>
      <c r="AD716" s="60" t="n"/>
      <c r="AE716" s="61" t="n"/>
      <c r="AF716" s="60" t="n"/>
      <c r="AG716" s="62" t="n"/>
      <c r="AH716" s="62" t="n"/>
      <c r="AI716" s="62" t="n"/>
      <c r="AJ716" s="60" t="n"/>
      <c r="AK716" s="61" t="n"/>
      <c r="AL716" s="63">
        <f>IF($A716="","",IF(AH716="","Not Enrolled",IF(TODAY()&gt;AH716,"Review Overdue",IF(AH716-TODAY()&lt;=30,"Review Due Soon","Active"))))</f>
        <v/>
      </c>
      <c r="AM716" s="63">
        <f>IF($A716="","",IF(AI716="","NOT REVIEWED",IF(TODAY()-AI716&gt;90,"OVERDUE",IF(TODAY()-AI716&gt;76,"Due Soon","Current"))))</f>
        <v/>
      </c>
    </row>
    <row r="717" ht="15" customHeight="1" s="39">
      <c r="A717" s="60" t="n"/>
      <c r="B717" s="60" t="n"/>
      <c r="C717" s="61" t="n"/>
      <c r="D717" s="61" t="n"/>
      <c r="E717" s="60" t="n"/>
      <c r="F717" s="60" t="n"/>
      <c r="G717" s="62" t="n"/>
      <c r="H717" s="62" t="n"/>
      <c r="I717" s="62" t="n"/>
      <c r="J717" s="60" t="n"/>
      <c r="K717" s="60" t="n"/>
      <c r="L717" s="60" t="n"/>
      <c r="M717" s="61" t="n"/>
      <c r="N717" s="60" t="n"/>
      <c r="O717" s="60" t="n"/>
      <c r="P717" s="60" t="n"/>
      <c r="Q717" s="60" t="n"/>
      <c r="R717" s="60" t="n"/>
      <c r="S717" s="60" t="n"/>
      <c r="T717" s="60" t="n"/>
      <c r="U717" s="60" t="n"/>
      <c r="V717" s="60" t="n"/>
      <c r="W717" s="60" t="n"/>
      <c r="X717" s="60" t="n"/>
      <c r="Y717" s="60" t="n"/>
      <c r="Z717" s="61" t="n"/>
      <c r="AA717" s="63">
        <f>IF($H717="","",TODAY()-$H717)</f>
        <v/>
      </c>
      <c r="AB717" s="63">
        <f>IF($A717="","",IF(AND($F717="Yes",OR($U717="No",$U717="NOT FOUND")),"YES",""))</f>
        <v/>
      </c>
      <c r="AC717" s="66">
        <f>IF($A717="","",TRIM(IF(AND($P717=0,$L717&lt;&gt;"Yes"),"T0-NoSmartcard ","")&amp;IF(AND($J717&lt;&gt;"",$J717&gt;365),"StalePwd ","")&amp;IF($K717="Yes","PwdNeverExpires ","")&amp;IF(AND($S717&lt;&gt;"",$S717&lt;&gt;"None"),"Delegation ","")&amp;IF(AND($Q717=1,$O717="None"),"StaleAdminCount ","")&amp;IF(AND($F717="Yes",$H717=""),"NeverLoggedOn ","")))</f>
        <v/>
      </c>
      <c r="AD717" s="60" t="n"/>
      <c r="AE717" s="61" t="n"/>
      <c r="AF717" s="60" t="n"/>
      <c r="AG717" s="62" t="n"/>
      <c r="AH717" s="62" t="n"/>
      <c r="AI717" s="62" t="n"/>
      <c r="AJ717" s="60" t="n"/>
      <c r="AK717" s="61" t="n"/>
      <c r="AL717" s="63">
        <f>IF($A717="","",IF(AH717="","Not Enrolled",IF(TODAY()&gt;AH717,"Review Overdue",IF(AH717-TODAY()&lt;=30,"Review Due Soon","Active"))))</f>
        <v/>
      </c>
      <c r="AM717" s="63">
        <f>IF($A717="","",IF(AI717="","NOT REVIEWED",IF(TODAY()-AI717&gt;90,"OVERDUE",IF(TODAY()-AI717&gt;76,"Due Soon","Current"))))</f>
        <v/>
      </c>
    </row>
    <row r="718" ht="15" customHeight="1" s="39">
      <c r="A718" s="60" t="n"/>
      <c r="B718" s="60" t="n"/>
      <c r="C718" s="61" t="n"/>
      <c r="D718" s="61" t="n"/>
      <c r="E718" s="60" t="n"/>
      <c r="F718" s="60" t="n"/>
      <c r="G718" s="62" t="n"/>
      <c r="H718" s="62" t="n"/>
      <c r="I718" s="62" t="n"/>
      <c r="J718" s="60" t="n"/>
      <c r="K718" s="60" t="n"/>
      <c r="L718" s="60" t="n"/>
      <c r="M718" s="61" t="n"/>
      <c r="N718" s="60" t="n"/>
      <c r="O718" s="60" t="n"/>
      <c r="P718" s="60" t="n"/>
      <c r="Q718" s="60" t="n"/>
      <c r="R718" s="60" t="n"/>
      <c r="S718" s="60" t="n"/>
      <c r="T718" s="60" t="n"/>
      <c r="U718" s="60" t="n"/>
      <c r="V718" s="60" t="n"/>
      <c r="W718" s="60" t="n"/>
      <c r="X718" s="60" t="n"/>
      <c r="Y718" s="60" t="n"/>
      <c r="Z718" s="61" t="n"/>
      <c r="AA718" s="63">
        <f>IF($H718="","",TODAY()-$H718)</f>
        <v/>
      </c>
      <c r="AB718" s="63">
        <f>IF($A718="","",IF(AND($F718="Yes",OR($U718="No",$U718="NOT FOUND")),"YES",""))</f>
        <v/>
      </c>
      <c r="AC718" s="66">
        <f>IF($A718="","",TRIM(IF(AND($P718=0,$L718&lt;&gt;"Yes"),"T0-NoSmartcard ","")&amp;IF(AND($J718&lt;&gt;"",$J718&gt;365),"StalePwd ","")&amp;IF($K718="Yes","PwdNeverExpires ","")&amp;IF(AND($S718&lt;&gt;"",$S718&lt;&gt;"None"),"Delegation ","")&amp;IF(AND($Q718=1,$O718="None"),"StaleAdminCount ","")&amp;IF(AND($F718="Yes",$H718=""),"NeverLoggedOn ","")))</f>
        <v/>
      </c>
      <c r="AD718" s="60" t="n"/>
      <c r="AE718" s="61" t="n"/>
      <c r="AF718" s="60" t="n"/>
      <c r="AG718" s="62" t="n"/>
      <c r="AH718" s="62" t="n"/>
      <c r="AI718" s="62" t="n"/>
      <c r="AJ718" s="60" t="n"/>
      <c r="AK718" s="61" t="n"/>
      <c r="AL718" s="63">
        <f>IF($A718="","",IF(AH718="","Not Enrolled",IF(TODAY()&gt;AH718,"Review Overdue",IF(AH718-TODAY()&lt;=30,"Review Due Soon","Active"))))</f>
        <v/>
      </c>
      <c r="AM718" s="63">
        <f>IF($A718="","",IF(AI718="","NOT REVIEWED",IF(TODAY()-AI718&gt;90,"OVERDUE",IF(TODAY()-AI718&gt;76,"Due Soon","Current"))))</f>
        <v/>
      </c>
    </row>
    <row r="719" ht="15" customHeight="1" s="39">
      <c r="A719" s="60" t="n"/>
      <c r="B719" s="60" t="n"/>
      <c r="C719" s="61" t="n"/>
      <c r="D719" s="61" t="n"/>
      <c r="E719" s="60" t="n"/>
      <c r="F719" s="60" t="n"/>
      <c r="G719" s="62" t="n"/>
      <c r="H719" s="62" t="n"/>
      <c r="I719" s="62" t="n"/>
      <c r="J719" s="60" t="n"/>
      <c r="K719" s="60" t="n"/>
      <c r="L719" s="60" t="n"/>
      <c r="M719" s="61" t="n"/>
      <c r="N719" s="60" t="n"/>
      <c r="O719" s="60" t="n"/>
      <c r="P719" s="60" t="n"/>
      <c r="Q719" s="60" t="n"/>
      <c r="R719" s="60" t="n"/>
      <c r="S719" s="60" t="n"/>
      <c r="T719" s="60" t="n"/>
      <c r="U719" s="60" t="n"/>
      <c r="V719" s="60" t="n"/>
      <c r="W719" s="60" t="n"/>
      <c r="X719" s="60" t="n"/>
      <c r="Y719" s="60" t="n"/>
      <c r="Z719" s="61" t="n"/>
      <c r="AA719" s="63">
        <f>IF($H719="","",TODAY()-$H719)</f>
        <v/>
      </c>
      <c r="AB719" s="63">
        <f>IF($A719="","",IF(AND($F719="Yes",OR($U719="No",$U719="NOT FOUND")),"YES",""))</f>
        <v/>
      </c>
      <c r="AC719" s="66">
        <f>IF($A719="","",TRIM(IF(AND($P719=0,$L719&lt;&gt;"Yes"),"T0-NoSmartcard ","")&amp;IF(AND($J719&lt;&gt;"",$J719&gt;365),"StalePwd ","")&amp;IF($K719="Yes","PwdNeverExpires ","")&amp;IF(AND($S719&lt;&gt;"",$S719&lt;&gt;"None"),"Delegation ","")&amp;IF(AND($Q719=1,$O719="None"),"StaleAdminCount ","")&amp;IF(AND($F719="Yes",$H719=""),"NeverLoggedOn ","")))</f>
        <v/>
      </c>
      <c r="AD719" s="60" t="n"/>
      <c r="AE719" s="61" t="n"/>
      <c r="AF719" s="60" t="n"/>
      <c r="AG719" s="62" t="n"/>
      <c r="AH719" s="62" t="n"/>
      <c r="AI719" s="62" t="n"/>
      <c r="AJ719" s="60" t="n"/>
      <c r="AK719" s="61" t="n"/>
      <c r="AL719" s="63">
        <f>IF($A719="","",IF(AH719="","Not Enrolled",IF(TODAY()&gt;AH719,"Review Overdue",IF(AH719-TODAY()&lt;=30,"Review Due Soon","Active"))))</f>
        <v/>
      </c>
      <c r="AM719" s="63">
        <f>IF($A719="","",IF(AI719="","NOT REVIEWED",IF(TODAY()-AI719&gt;90,"OVERDUE",IF(TODAY()-AI719&gt;76,"Due Soon","Current"))))</f>
        <v/>
      </c>
    </row>
    <row r="720" ht="15" customHeight="1" s="39">
      <c r="A720" s="60" t="n"/>
      <c r="B720" s="60" t="n"/>
      <c r="C720" s="61" t="n"/>
      <c r="D720" s="61" t="n"/>
      <c r="E720" s="60" t="n"/>
      <c r="F720" s="60" t="n"/>
      <c r="G720" s="62" t="n"/>
      <c r="H720" s="62" t="n"/>
      <c r="I720" s="62" t="n"/>
      <c r="J720" s="60" t="n"/>
      <c r="K720" s="60" t="n"/>
      <c r="L720" s="60" t="n"/>
      <c r="M720" s="61" t="n"/>
      <c r="N720" s="60" t="n"/>
      <c r="O720" s="60" t="n"/>
      <c r="P720" s="60" t="n"/>
      <c r="Q720" s="60" t="n"/>
      <c r="R720" s="60" t="n"/>
      <c r="S720" s="60" t="n"/>
      <c r="T720" s="60" t="n"/>
      <c r="U720" s="60" t="n"/>
      <c r="V720" s="60" t="n"/>
      <c r="W720" s="60" t="n"/>
      <c r="X720" s="60" t="n"/>
      <c r="Y720" s="60" t="n"/>
      <c r="Z720" s="61" t="n"/>
      <c r="AA720" s="63">
        <f>IF($H720="","",TODAY()-$H720)</f>
        <v/>
      </c>
      <c r="AB720" s="63">
        <f>IF($A720="","",IF(AND($F720="Yes",OR($U720="No",$U720="NOT FOUND")),"YES",""))</f>
        <v/>
      </c>
      <c r="AC720" s="66">
        <f>IF($A720="","",TRIM(IF(AND($P720=0,$L720&lt;&gt;"Yes"),"T0-NoSmartcard ","")&amp;IF(AND($J720&lt;&gt;"",$J720&gt;365),"StalePwd ","")&amp;IF($K720="Yes","PwdNeverExpires ","")&amp;IF(AND($S720&lt;&gt;"",$S720&lt;&gt;"None"),"Delegation ","")&amp;IF(AND($Q720=1,$O720="None"),"StaleAdminCount ","")&amp;IF(AND($F720="Yes",$H720=""),"NeverLoggedOn ","")))</f>
        <v/>
      </c>
      <c r="AD720" s="60" t="n"/>
      <c r="AE720" s="61" t="n"/>
      <c r="AF720" s="60" t="n"/>
      <c r="AG720" s="62" t="n"/>
      <c r="AH720" s="62" t="n"/>
      <c r="AI720" s="62" t="n"/>
      <c r="AJ720" s="60" t="n"/>
      <c r="AK720" s="61" t="n"/>
      <c r="AL720" s="63">
        <f>IF($A720="","",IF(AH720="","Not Enrolled",IF(TODAY()&gt;AH720,"Review Overdue",IF(AH720-TODAY()&lt;=30,"Review Due Soon","Active"))))</f>
        <v/>
      </c>
      <c r="AM720" s="63">
        <f>IF($A720="","",IF(AI720="","NOT REVIEWED",IF(TODAY()-AI720&gt;90,"OVERDUE",IF(TODAY()-AI720&gt;76,"Due Soon","Current"))))</f>
        <v/>
      </c>
    </row>
    <row r="721" ht="15" customHeight="1" s="39">
      <c r="A721" s="60" t="n"/>
      <c r="B721" s="60" t="n"/>
      <c r="C721" s="61" t="n"/>
      <c r="D721" s="61" t="n"/>
      <c r="E721" s="60" t="n"/>
      <c r="F721" s="60" t="n"/>
      <c r="G721" s="62" t="n"/>
      <c r="H721" s="62" t="n"/>
      <c r="I721" s="62" t="n"/>
      <c r="J721" s="60" t="n"/>
      <c r="K721" s="60" t="n"/>
      <c r="L721" s="60" t="n"/>
      <c r="M721" s="61" t="n"/>
      <c r="N721" s="60" t="n"/>
      <c r="O721" s="60" t="n"/>
      <c r="P721" s="60" t="n"/>
      <c r="Q721" s="60" t="n"/>
      <c r="R721" s="60" t="n"/>
      <c r="S721" s="60" t="n"/>
      <c r="T721" s="60" t="n"/>
      <c r="U721" s="60" t="n"/>
      <c r="V721" s="60" t="n"/>
      <c r="W721" s="60" t="n"/>
      <c r="X721" s="60" t="n"/>
      <c r="Y721" s="60" t="n"/>
      <c r="Z721" s="61" t="n"/>
      <c r="AA721" s="63">
        <f>IF($H721="","",TODAY()-$H721)</f>
        <v/>
      </c>
      <c r="AB721" s="63">
        <f>IF($A721="","",IF(AND($F721="Yes",OR($U721="No",$U721="NOT FOUND")),"YES",""))</f>
        <v/>
      </c>
      <c r="AC721" s="66">
        <f>IF($A721="","",TRIM(IF(AND($P721=0,$L721&lt;&gt;"Yes"),"T0-NoSmartcard ","")&amp;IF(AND($J721&lt;&gt;"",$J721&gt;365),"StalePwd ","")&amp;IF($K721="Yes","PwdNeverExpires ","")&amp;IF(AND($S721&lt;&gt;"",$S721&lt;&gt;"None"),"Delegation ","")&amp;IF(AND($Q721=1,$O721="None"),"StaleAdminCount ","")&amp;IF(AND($F721="Yes",$H721=""),"NeverLoggedOn ","")))</f>
        <v/>
      </c>
      <c r="AD721" s="60" t="n"/>
      <c r="AE721" s="61" t="n"/>
      <c r="AF721" s="60" t="n"/>
      <c r="AG721" s="62" t="n"/>
      <c r="AH721" s="62" t="n"/>
      <c r="AI721" s="62" t="n"/>
      <c r="AJ721" s="60" t="n"/>
      <c r="AK721" s="61" t="n"/>
      <c r="AL721" s="63">
        <f>IF($A721="","",IF(AH721="","Not Enrolled",IF(TODAY()&gt;AH721,"Review Overdue",IF(AH721-TODAY()&lt;=30,"Review Due Soon","Active"))))</f>
        <v/>
      </c>
      <c r="AM721" s="63">
        <f>IF($A721="","",IF(AI721="","NOT REVIEWED",IF(TODAY()-AI721&gt;90,"OVERDUE",IF(TODAY()-AI721&gt;76,"Due Soon","Current"))))</f>
        <v/>
      </c>
    </row>
    <row r="722" ht="15" customHeight="1" s="39">
      <c r="A722" s="60" t="n"/>
      <c r="B722" s="60" t="n"/>
      <c r="C722" s="61" t="n"/>
      <c r="D722" s="61" t="n"/>
      <c r="E722" s="60" t="n"/>
      <c r="F722" s="60" t="n"/>
      <c r="G722" s="62" t="n"/>
      <c r="H722" s="62" t="n"/>
      <c r="I722" s="62" t="n"/>
      <c r="J722" s="60" t="n"/>
      <c r="K722" s="60" t="n"/>
      <c r="L722" s="60" t="n"/>
      <c r="M722" s="61" t="n"/>
      <c r="N722" s="60" t="n"/>
      <c r="O722" s="60" t="n"/>
      <c r="P722" s="60" t="n"/>
      <c r="Q722" s="60" t="n"/>
      <c r="R722" s="60" t="n"/>
      <c r="S722" s="60" t="n"/>
      <c r="T722" s="60" t="n"/>
      <c r="U722" s="60" t="n"/>
      <c r="V722" s="60" t="n"/>
      <c r="W722" s="60" t="n"/>
      <c r="X722" s="60" t="n"/>
      <c r="Y722" s="60" t="n"/>
      <c r="Z722" s="61" t="n"/>
      <c r="AA722" s="63">
        <f>IF($H722="","",TODAY()-$H722)</f>
        <v/>
      </c>
      <c r="AB722" s="63">
        <f>IF($A722="","",IF(AND($F722="Yes",OR($U722="No",$U722="NOT FOUND")),"YES",""))</f>
        <v/>
      </c>
      <c r="AC722" s="66">
        <f>IF($A722="","",TRIM(IF(AND($P722=0,$L722&lt;&gt;"Yes"),"T0-NoSmartcard ","")&amp;IF(AND($J722&lt;&gt;"",$J722&gt;365),"StalePwd ","")&amp;IF($K722="Yes","PwdNeverExpires ","")&amp;IF(AND($S722&lt;&gt;"",$S722&lt;&gt;"None"),"Delegation ","")&amp;IF(AND($Q722=1,$O722="None"),"StaleAdminCount ","")&amp;IF(AND($F722="Yes",$H722=""),"NeverLoggedOn ","")))</f>
        <v/>
      </c>
      <c r="AD722" s="60" t="n"/>
      <c r="AE722" s="61" t="n"/>
      <c r="AF722" s="60" t="n"/>
      <c r="AG722" s="62" t="n"/>
      <c r="AH722" s="62" t="n"/>
      <c r="AI722" s="62" t="n"/>
      <c r="AJ722" s="60" t="n"/>
      <c r="AK722" s="61" t="n"/>
      <c r="AL722" s="63">
        <f>IF($A722="","",IF(AH722="","Not Enrolled",IF(TODAY()&gt;AH722,"Review Overdue",IF(AH722-TODAY()&lt;=30,"Review Due Soon","Active"))))</f>
        <v/>
      </c>
      <c r="AM722" s="63">
        <f>IF($A722="","",IF(AI722="","NOT REVIEWED",IF(TODAY()-AI722&gt;90,"OVERDUE",IF(TODAY()-AI722&gt;76,"Due Soon","Current"))))</f>
        <v/>
      </c>
    </row>
    <row r="723" ht="15" customHeight="1" s="39">
      <c r="A723" s="60" t="n"/>
      <c r="B723" s="60" t="n"/>
      <c r="C723" s="61" t="n"/>
      <c r="D723" s="61" t="n"/>
      <c r="E723" s="60" t="n"/>
      <c r="F723" s="60" t="n"/>
      <c r="G723" s="62" t="n"/>
      <c r="H723" s="62" t="n"/>
      <c r="I723" s="62" t="n"/>
      <c r="J723" s="60" t="n"/>
      <c r="K723" s="60" t="n"/>
      <c r="L723" s="60" t="n"/>
      <c r="M723" s="61" t="n"/>
      <c r="N723" s="60" t="n"/>
      <c r="O723" s="60" t="n"/>
      <c r="P723" s="60" t="n"/>
      <c r="Q723" s="60" t="n"/>
      <c r="R723" s="60" t="n"/>
      <c r="S723" s="60" t="n"/>
      <c r="T723" s="60" t="n"/>
      <c r="U723" s="60" t="n"/>
      <c r="V723" s="60" t="n"/>
      <c r="W723" s="60" t="n"/>
      <c r="X723" s="60" t="n"/>
      <c r="Y723" s="60" t="n"/>
      <c r="Z723" s="61" t="n"/>
      <c r="AA723" s="63">
        <f>IF($H723="","",TODAY()-$H723)</f>
        <v/>
      </c>
      <c r="AB723" s="63">
        <f>IF($A723="","",IF(AND($F723="Yes",OR($U723="No",$U723="NOT FOUND")),"YES",""))</f>
        <v/>
      </c>
      <c r="AC723" s="66">
        <f>IF($A723="","",TRIM(IF(AND($P723=0,$L723&lt;&gt;"Yes"),"T0-NoSmartcard ","")&amp;IF(AND($J723&lt;&gt;"",$J723&gt;365),"StalePwd ","")&amp;IF($K723="Yes","PwdNeverExpires ","")&amp;IF(AND($S723&lt;&gt;"",$S723&lt;&gt;"None"),"Delegation ","")&amp;IF(AND($Q723=1,$O723="None"),"StaleAdminCount ","")&amp;IF(AND($F723="Yes",$H723=""),"NeverLoggedOn ","")))</f>
        <v/>
      </c>
      <c r="AD723" s="60" t="n"/>
      <c r="AE723" s="61" t="n"/>
      <c r="AF723" s="60" t="n"/>
      <c r="AG723" s="62" t="n"/>
      <c r="AH723" s="62" t="n"/>
      <c r="AI723" s="62" t="n"/>
      <c r="AJ723" s="60" t="n"/>
      <c r="AK723" s="61" t="n"/>
      <c r="AL723" s="63">
        <f>IF($A723="","",IF(AH723="","Not Enrolled",IF(TODAY()&gt;AH723,"Review Overdue",IF(AH723-TODAY()&lt;=30,"Review Due Soon","Active"))))</f>
        <v/>
      </c>
      <c r="AM723" s="63">
        <f>IF($A723="","",IF(AI723="","NOT REVIEWED",IF(TODAY()-AI723&gt;90,"OVERDUE",IF(TODAY()-AI723&gt;76,"Due Soon","Current"))))</f>
        <v/>
      </c>
    </row>
    <row r="724" ht="15" customHeight="1" s="39">
      <c r="A724" s="60" t="n"/>
      <c r="B724" s="60" t="n"/>
      <c r="C724" s="61" t="n"/>
      <c r="D724" s="61" t="n"/>
      <c r="E724" s="60" t="n"/>
      <c r="F724" s="60" t="n"/>
      <c r="G724" s="62" t="n"/>
      <c r="H724" s="62" t="n"/>
      <c r="I724" s="62" t="n"/>
      <c r="J724" s="60" t="n"/>
      <c r="K724" s="60" t="n"/>
      <c r="L724" s="60" t="n"/>
      <c r="M724" s="61" t="n"/>
      <c r="N724" s="60" t="n"/>
      <c r="O724" s="60" t="n"/>
      <c r="P724" s="60" t="n"/>
      <c r="Q724" s="60" t="n"/>
      <c r="R724" s="60" t="n"/>
      <c r="S724" s="60" t="n"/>
      <c r="T724" s="60" t="n"/>
      <c r="U724" s="60" t="n"/>
      <c r="V724" s="60" t="n"/>
      <c r="W724" s="60" t="n"/>
      <c r="X724" s="60" t="n"/>
      <c r="Y724" s="60" t="n"/>
      <c r="Z724" s="61" t="n"/>
      <c r="AA724" s="63">
        <f>IF($H724="","",TODAY()-$H724)</f>
        <v/>
      </c>
      <c r="AB724" s="63">
        <f>IF($A724="","",IF(AND($F724="Yes",OR($U724="No",$U724="NOT FOUND")),"YES",""))</f>
        <v/>
      </c>
      <c r="AC724" s="66">
        <f>IF($A724="","",TRIM(IF(AND($P724=0,$L724&lt;&gt;"Yes"),"T0-NoSmartcard ","")&amp;IF(AND($J724&lt;&gt;"",$J724&gt;365),"StalePwd ","")&amp;IF($K724="Yes","PwdNeverExpires ","")&amp;IF(AND($S724&lt;&gt;"",$S724&lt;&gt;"None"),"Delegation ","")&amp;IF(AND($Q724=1,$O724="None"),"StaleAdminCount ","")&amp;IF(AND($F724="Yes",$H724=""),"NeverLoggedOn ","")))</f>
        <v/>
      </c>
      <c r="AD724" s="60" t="n"/>
      <c r="AE724" s="61" t="n"/>
      <c r="AF724" s="60" t="n"/>
      <c r="AG724" s="62" t="n"/>
      <c r="AH724" s="62" t="n"/>
      <c r="AI724" s="62" t="n"/>
      <c r="AJ724" s="60" t="n"/>
      <c r="AK724" s="61" t="n"/>
      <c r="AL724" s="63">
        <f>IF($A724="","",IF(AH724="","Not Enrolled",IF(TODAY()&gt;AH724,"Review Overdue",IF(AH724-TODAY()&lt;=30,"Review Due Soon","Active"))))</f>
        <v/>
      </c>
      <c r="AM724" s="63">
        <f>IF($A724="","",IF(AI724="","NOT REVIEWED",IF(TODAY()-AI724&gt;90,"OVERDUE",IF(TODAY()-AI724&gt;76,"Due Soon","Current"))))</f>
        <v/>
      </c>
    </row>
    <row r="725" ht="15" customHeight="1" s="39">
      <c r="A725" s="60" t="n"/>
      <c r="B725" s="60" t="n"/>
      <c r="C725" s="61" t="n"/>
      <c r="D725" s="61" t="n"/>
      <c r="E725" s="60" t="n"/>
      <c r="F725" s="60" t="n"/>
      <c r="G725" s="62" t="n"/>
      <c r="H725" s="62" t="n"/>
      <c r="I725" s="62" t="n"/>
      <c r="J725" s="60" t="n"/>
      <c r="K725" s="60" t="n"/>
      <c r="L725" s="60" t="n"/>
      <c r="M725" s="61" t="n"/>
      <c r="N725" s="60" t="n"/>
      <c r="O725" s="60" t="n"/>
      <c r="P725" s="60" t="n"/>
      <c r="Q725" s="60" t="n"/>
      <c r="R725" s="60" t="n"/>
      <c r="S725" s="60" t="n"/>
      <c r="T725" s="60" t="n"/>
      <c r="U725" s="60" t="n"/>
      <c r="V725" s="60" t="n"/>
      <c r="W725" s="60" t="n"/>
      <c r="X725" s="60" t="n"/>
      <c r="Y725" s="60" t="n"/>
      <c r="Z725" s="61" t="n"/>
      <c r="AA725" s="63">
        <f>IF($H725="","",TODAY()-$H725)</f>
        <v/>
      </c>
      <c r="AB725" s="63">
        <f>IF($A725="","",IF(AND($F725="Yes",OR($U725="No",$U725="NOT FOUND")),"YES",""))</f>
        <v/>
      </c>
      <c r="AC725" s="66">
        <f>IF($A725="","",TRIM(IF(AND($P725=0,$L725&lt;&gt;"Yes"),"T0-NoSmartcard ","")&amp;IF(AND($J725&lt;&gt;"",$J725&gt;365),"StalePwd ","")&amp;IF($K725="Yes","PwdNeverExpires ","")&amp;IF(AND($S725&lt;&gt;"",$S725&lt;&gt;"None"),"Delegation ","")&amp;IF(AND($Q725=1,$O725="None"),"StaleAdminCount ","")&amp;IF(AND($F725="Yes",$H725=""),"NeverLoggedOn ","")))</f>
        <v/>
      </c>
      <c r="AD725" s="60" t="n"/>
      <c r="AE725" s="61" t="n"/>
      <c r="AF725" s="60" t="n"/>
      <c r="AG725" s="62" t="n"/>
      <c r="AH725" s="62" t="n"/>
      <c r="AI725" s="62" t="n"/>
      <c r="AJ725" s="60" t="n"/>
      <c r="AK725" s="61" t="n"/>
      <c r="AL725" s="63">
        <f>IF($A725="","",IF(AH725="","Not Enrolled",IF(TODAY()&gt;AH725,"Review Overdue",IF(AH725-TODAY()&lt;=30,"Review Due Soon","Active"))))</f>
        <v/>
      </c>
      <c r="AM725" s="63">
        <f>IF($A725="","",IF(AI725="","NOT REVIEWED",IF(TODAY()-AI725&gt;90,"OVERDUE",IF(TODAY()-AI725&gt;76,"Due Soon","Current"))))</f>
        <v/>
      </c>
    </row>
    <row r="726" ht="15" customHeight="1" s="39">
      <c r="A726" s="60" t="n"/>
      <c r="B726" s="60" t="n"/>
      <c r="C726" s="61" t="n"/>
      <c r="D726" s="61" t="n"/>
      <c r="E726" s="60" t="n"/>
      <c r="F726" s="60" t="n"/>
      <c r="G726" s="62" t="n"/>
      <c r="H726" s="62" t="n"/>
      <c r="I726" s="62" t="n"/>
      <c r="J726" s="60" t="n"/>
      <c r="K726" s="60" t="n"/>
      <c r="L726" s="60" t="n"/>
      <c r="M726" s="61" t="n"/>
      <c r="N726" s="60" t="n"/>
      <c r="O726" s="60" t="n"/>
      <c r="P726" s="60" t="n"/>
      <c r="Q726" s="60" t="n"/>
      <c r="R726" s="60" t="n"/>
      <c r="S726" s="60" t="n"/>
      <c r="T726" s="60" t="n"/>
      <c r="U726" s="60" t="n"/>
      <c r="V726" s="60" t="n"/>
      <c r="W726" s="60" t="n"/>
      <c r="X726" s="60" t="n"/>
      <c r="Y726" s="60" t="n"/>
      <c r="Z726" s="61" t="n"/>
      <c r="AA726" s="63">
        <f>IF($H726="","",TODAY()-$H726)</f>
        <v/>
      </c>
      <c r="AB726" s="63">
        <f>IF($A726="","",IF(AND($F726="Yes",OR($U726="No",$U726="NOT FOUND")),"YES",""))</f>
        <v/>
      </c>
      <c r="AC726" s="66">
        <f>IF($A726="","",TRIM(IF(AND($P726=0,$L726&lt;&gt;"Yes"),"T0-NoSmartcard ","")&amp;IF(AND($J726&lt;&gt;"",$J726&gt;365),"StalePwd ","")&amp;IF($K726="Yes","PwdNeverExpires ","")&amp;IF(AND($S726&lt;&gt;"",$S726&lt;&gt;"None"),"Delegation ","")&amp;IF(AND($Q726=1,$O726="None"),"StaleAdminCount ","")&amp;IF(AND($F726="Yes",$H726=""),"NeverLoggedOn ","")))</f>
        <v/>
      </c>
      <c r="AD726" s="60" t="n"/>
      <c r="AE726" s="61" t="n"/>
      <c r="AF726" s="60" t="n"/>
      <c r="AG726" s="62" t="n"/>
      <c r="AH726" s="62" t="n"/>
      <c r="AI726" s="62" t="n"/>
      <c r="AJ726" s="60" t="n"/>
      <c r="AK726" s="61" t="n"/>
      <c r="AL726" s="63">
        <f>IF($A726="","",IF(AH726="","Not Enrolled",IF(TODAY()&gt;AH726,"Review Overdue",IF(AH726-TODAY()&lt;=30,"Review Due Soon","Active"))))</f>
        <v/>
      </c>
      <c r="AM726" s="63">
        <f>IF($A726="","",IF(AI726="","NOT REVIEWED",IF(TODAY()-AI726&gt;90,"OVERDUE",IF(TODAY()-AI726&gt;76,"Due Soon","Current"))))</f>
        <v/>
      </c>
    </row>
    <row r="727" ht="15" customHeight="1" s="39">
      <c r="A727" s="60" t="n"/>
      <c r="B727" s="60" t="n"/>
      <c r="C727" s="61" t="n"/>
      <c r="D727" s="61" t="n"/>
      <c r="E727" s="60" t="n"/>
      <c r="F727" s="60" t="n"/>
      <c r="G727" s="62" t="n"/>
      <c r="H727" s="62" t="n"/>
      <c r="I727" s="62" t="n"/>
      <c r="J727" s="60" t="n"/>
      <c r="K727" s="60" t="n"/>
      <c r="L727" s="60" t="n"/>
      <c r="M727" s="61" t="n"/>
      <c r="N727" s="60" t="n"/>
      <c r="O727" s="60" t="n"/>
      <c r="P727" s="60" t="n"/>
      <c r="Q727" s="60" t="n"/>
      <c r="R727" s="60" t="n"/>
      <c r="S727" s="60" t="n"/>
      <c r="T727" s="60" t="n"/>
      <c r="U727" s="60" t="n"/>
      <c r="V727" s="60" t="n"/>
      <c r="W727" s="60" t="n"/>
      <c r="X727" s="60" t="n"/>
      <c r="Y727" s="60" t="n"/>
      <c r="Z727" s="61" t="n"/>
      <c r="AA727" s="63">
        <f>IF($H727="","",TODAY()-$H727)</f>
        <v/>
      </c>
      <c r="AB727" s="63">
        <f>IF($A727="","",IF(AND($F727="Yes",OR($U727="No",$U727="NOT FOUND")),"YES",""))</f>
        <v/>
      </c>
      <c r="AC727" s="66">
        <f>IF($A727="","",TRIM(IF(AND($P727=0,$L727&lt;&gt;"Yes"),"T0-NoSmartcard ","")&amp;IF(AND($J727&lt;&gt;"",$J727&gt;365),"StalePwd ","")&amp;IF($K727="Yes","PwdNeverExpires ","")&amp;IF(AND($S727&lt;&gt;"",$S727&lt;&gt;"None"),"Delegation ","")&amp;IF(AND($Q727=1,$O727="None"),"StaleAdminCount ","")&amp;IF(AND($F727="Yes",$H727=""),"NeverLoggedOn ","")))</f>
        <v/>
      </c>
      <c r="AD727" s="60" t="n"/>
      <c r="AE727" s="61" t="n"/>
      <c r="AF727" s="60" t="n"/>
      <c r="AG727" s="62" t="n"/>
      <c r="AH727" s="62" t="n"/>
      <c r="AI727" s="62" t="n"/>
      <c r="AJ727" s="60" t="n"/>
      <c r="AK727" s="61" t="n"/>
      <c r="AL727" s="63">
        <f>IF($A727="","",IF(AH727="","Not Enrolled",IF(TODAY()&gt;AH727,"Review Overdue",IF(AH727-TODAY()&lt;=30,"Review Due Soon","Active"))))</f>
        <v/>
      </c>
      <c r="AM727" s="63">
        <f>IF($A727="","",IF(AI727="","NOT REVIEWED",IF(TODAY()-AI727&gt;90,"OVERDUE",IF(TODAY()-AI727&gt;76,"Due Soon","Current"))))</f>
        <v/>
      </c>
    </row>
    <row r="728" ht="15" customHeight="1" s="39">
      <c r="A728" s="60" t="n"/>
      <c r="B728" s="60" t="n"/>
      <c r="C728" s="61" t="n"/>
      <c r="D728" s="61" t="n"/>
      <c r="E728" s="60" t="n"/>
      <c r="F728" s="60" t="n"/>
      <c r="G728" s="62" t="n"/>
      <c r="H728" s="62" t="n"/>
      <c r="I728" s="62" t="n"/>
      <c r="J728" s="60" t="n"/>
      <c r="K728" s="60" t="n"/>
      <c r="L728" s="60" t="n"/>
      <c r="M728" s="61" t="n"/>
      <c r="N728" s="60" t="n"/>
      <c r="O728" s="60" t="n"/>
      <c r="P728" s="60" t="n"/>
      <c r="Q728" s="60" t="n"/>
      <c r="R728" s="60" t="n"/>
      <c r="S728" s="60" t="n"/>
      <c r="T728" s="60" t="n"/>
      <c r="U728" s="60" t="n"/>
      <c r="V728" s="60" t="n"/>
      <c r="W728" s="60" t="n"/>
      <c r="X728" s="60" t="n"/>
      <c r="Y728" s="60" t="n"/>
      <c r="Z728" s="61" t="n"/>
      <c r="AA728" s="63">
        <f>IF($H728="","",TODAY()-$H728)</f>
        <v/>
      </c>
      <c r="AB728" s="63">
        <f>IF($A728="","",IF(AND($F728="Yes",OR($U728="No",$U728="NOT FOUND")),"YES",""))</f>
        <v/>
      </c>
      <c r="AC728" s="66">
        <f>IF($A728="","",TRIM(IF(AND($P728=0,$L728&lt;&gt;"Yes"),"T0-NoSmartcard ","")&amp;IF(AND($J728&lt;&gt;"",$J728&gt;365),"StalePwd ","")&amp;IF($K728="Yes","PwdNeverExpires ","")&amp;IF(AND($S728&lt;&gt;"",$S728&lt;&gt;"None"),"Delegation ","")&amp;IF(AND($Q728=1,$O728="None"),"StaleAdminCount ","")&amp;IF(AND($F728="Yes",$H728=""),"NeverLoggedOn ","")))</f>
        <v/>
      </c>
      <c r="AD728" s="60" t="n"/>
      <c r="AE728" s="61" t="n"/>
      <c r="AF728" s="60" t="n"/>
      <c r="AG728" s="62" t="n"/>
      <c r="AH728" s="62" t="n"/>
      <c r="AI728" s="62" t="n"/>
      <c r="AJ728" s="60" t="n"/>
      <c r="AK728" s="61" t="n"/>
      <c r="AL728" s="63">
        <f>IF($A728="","",IF(AH728="","Not Enrolled",IF(TODAY()&gt;AH728,"Review Overdue",IF(AH728-TODAY()&lt;=30,"Review Due Soon","Active"))))</f>
        <v/>
      </c>
      <c r="AM728" s="63">
        <f>IF($A728="","",IF(AI728="","NOT REVIEWED",IF(TODAY()-AI728&gt;90,"OVERDUE",IF(TODAY()-AI728&gt;76,"Due Soon","Current"))))</f>
        <v/>
      </c>
    </row>
    <row r="729" ht="15" customHeight="1" s="39">
      <c r="A729" s="60" t="n"/>
      <c r="B729" s="60" t="n"/>
      <c r="C729" s="61" t="n"/>
      <c r="D729" s="61" t="n"/>
      <c r="E729" s="60" t="n"/>
      <c r="F729" s="60" t="n"/>
      <c r="G729" s="62" t="n"/>
      <c r="H729" s="62" t="n"/>
      <c r="I729" s="62" t="n"/>
      <c r="J729" s="60" t="n"/>
      <c r="K729" s="60" t="n"/>
      <c r="L729" s="60" t="n"/>
      <c r="M729" s="61" t="n"/>
      <c r="N729" s="60" t="n"/>
      <c r="O729" s="60" t="n"/>
      <c r="P729" s="60" t="n"/>
      <c r="Q729" s="60" t="n"/>
      <c r="R729" s="60" t="n"/>
      <c r="S729" s="60" t="n"/>
      <c r="T729" s="60" t="n"/>
      <c r="U729" s="60" t="n"/>
      <c r="V729" s="60" t="n"/>
      <c r="W729" s="60" t="n"/>
      <c r="X729" s="60" t="n"/>
      <c r="Y729" s="60" t="n"/>
      <c r="Z729" s="61" t="n"/>
      <c r="AA729" s="63">
        <f>IF($H729="","",TODAY()-$H729)</f>
        <v/>
      </c>
      <c r="AB729" s="63">
        <f>IF($A729="","",IF(AND($F729="Yes",OR($U729="No",$U729="NOT FOUND")),"YES",""))</f>
        <v/>
      </c>
      <c r="AC729" s="66">
        <f>IF($A729="","",TRIM(IF(AND($P729=0,$L729&lt;&gt;"Yes"),"T0-NoSmartcard ","")&amp;IF(AND($J729&lt;&gt;"",$J729&gt;365),"StalePwd ","")&amp;IF($K729="Yes","PwdNeverExpires ","")&amp;IF(AND($S729&lt;&gt;"",$S729&lt;&gt;"None"),"Delegation ","")&amp;IF(AND($Q729=1,$O729="None"),"StaleAdminCount ","")&amp;IF(AND($F729="Yes",$H729=""),"NeverLoggedOn ","")))</f>
        <v/>
      </c>
      <c r="AD729" s="60" t="n"/>
      <c r="AE729" s="61" t="n"/>
      <c r="AF729" s="60" t="n"/>
      <c r="AG729" s="62" t="n"/>
      <c r="AH729" s="62" t="n"/>
      <c r="AI729" s="62" t="n"/>
      <c r="AJ729" s="60" t="n"/>
      <c r="AK729" s="61" t="n"/>
      <c r="AL729" s="63">
        <f>IF($A729="","",IF(AH729="","Not Enrolled",IF(TODAY()&gt;AH729,"Review Overdue",IF(AH729-TODAY()&lt;=30,"Review Due Soon","Active"))))</f>
        <v/>
      </c>
      <c r="AM729" s="63">
        <f>IF($A729="","",IF(AI729="","NOT REVIEWED",IF(TODAY()-AI729&gt;90,"OVERDUE",IF(TODAY()-AI729&gt;76,"Due Soon","Current"))))</f>
        <v/>
      </c>
    </row>
    <row r="730" ht="15" customHeight="1" s="39">
      <c r="A730" s="60" t="n"/>
      <c r="B730" s="60" t="n"/>
      <c r="C730" s="61" t="n"/>
      <c r="D730" s="61" t="n"/>
      <c r="E730" s="60" t="n"/>
      <c r="F730" s="60" t="n"/>
      <c r="G730" s="62" t="n"/>
      <c r="H730" s="62" t="n"/>
      <c r="I730" s="62" t="n"/>
      <c r="J730" s="60" t="n"/>
      <c r="K730" s="60" t="n"/>
      <c r="L730" s="60" t="n"/>
      <c r="M730" s="61" t="n"/>
      <c r="N730" s="60" t="n"/>
      <c r="O730" s="60" t="n"/>
      <c r="P730" s="60" t="n"/>
      <c r="Q730" s="60" t="n"/>
      <c r="R730" s="60" t="n"/>
      <c r="S730" s="60" t="n"/>
      <c r="T730" s="60" t="n"/>
      <c r="U730" s="60" t="n"/>
      <c r="V730" s="60" t="n"/>
      <c r="W730" s="60" t="n"/>
      <c r="X730" s="60" t="n"/>
      <c r="Y730" s="60" t="n"/>
      <c r="Z730" s="61" t="n"/>
      <c r="AA730" s="63">
        <f>IF($H730="","",TODAY()-$H730)</f>
        <v/>
      </c>
      <c r="AB730" s="63">
        <f>IF($A730="","",IF(AND($F730="Yes",OR($U730="No",$U730="NOT FOUND")),"YES",""))</f>
        <v/>
      </c>
      <c r="AC730" s="66">
        <f>IF($A730="","",TRIM(IF(AND($P730=0,$L730&lt;&gt;"Yes"),"T0-NoSmartcard ","")&amp;IF(AND($J730&lt;&gt;"",$J730&gt;365),"StalePwd ","")&amp;IF($K730="Yes","PwdNeverExpires ","")&amp;IF(AND($S730&lt;&gt;"",$S730&lt;&gt;"None"),"Delegation ","")&amp;IF(AND($Q730=1,$O730="None"),"StaleAdminCount ","")&amp;IF(AND($F730="Yes",$H730=""),"NeverLoggedOn ","")))</f>
        <v/>
      </c>
      <c r="AD730" s="60" t="n"/>
      <c r="AE730" s="61" t="n"/>
      <c r="AF730" s="60" t="n"/>
      <c r="AG730" s="62" t="n"/>
      <c r="AH730" s="62" t="n"/>
      <c r="AI730" s="62" t="n"/>
      <c r="AJ730" s="60" t="n"/>
      <c r="AK730" s="61" t="n"/>
      <c r="AL730" s="63">
        <f>IF($A730="","",IF(AH730="","Not Enrolled",IF(TODAY()&gt;AH730,"Review Overdue",IF(AH730-TODAY()&lt;=30,"Review Due Soon","Active"))))</f>
        <v/>
      </c>
      <c r="AM730" s="63">
        <f>IF($A730="","",IF(AI730="","NOT REVIEWED",IF(TODAY()-AI730&gt;90,"OVERDUE",IF(TODAY()-AI730&gt;76,"Due Soon","Current"))))</f>
        <v/>
      </c>
    </row>
    <row r="731" ht="15" customHeight="1" s="39">
      <c r="A731" s="60" t="n"/>
      <c r="B731" s="60" t="n"/>
      <c r="C731" s="61" t="n"/>
      <c r="D731" s="61" t="n"/>
      <c r="E731" s="60" t="n"/>
      <c r="F731" s="60" t="n"/>
      <c r="G731" s="62" t="n"/>
      <c r="H731" s="62" t="n"/>
      <c r="I731" s="62" t="n"/>
      <c r="J731" s="60" t="n"/>
      <c r="K731" s="60" t="n"/>
      <c r="L731" s="60" t="n"/>
      <c r="M731" s="61" t="n"/>
      <c r="N731" s="60" t="n"/>
      <c r="O731" s="60" t="n"/>
      <c r="P731" s="60" t="n"/>
      <c r="Q731" s="60" t="n"/>
      <c r="R731" s="60" t="n"/>
      <c r="S731" s="60" t="n"/>
      <c r="T731" s="60" t="n"/>
      <c r="U731" s="60" t="n"/>
      <c r="V731" s="60" t="n"/>
      <c r="W731" s="60" t="n"/>
      <c r="X731" s="60" t="n"/>
      <c r="Y731" s="60" t="n"/>
      <c r="Z731" s="61" t="n"/>
      <c r="AA731" s="63">
        <f>IF($H731="","",TODAY()-$H731)</f>
        <v/>
      </c>
      <c r="AB731" s="63">
        <f>IF($A731="","",IF(AND($F731="Yes",OR($U731="No",$U731="NOT FOUND")),"YES",""))</f>
        <v/>
      </c>
      <c r="AC731" s="66">
        <f>IF($A731="","",TRIM(IF(AND($P731=0,$L731&lt;&gt;"Yes"),"T0-NoSmartcard ","")&amp;IF(AND($J731&lt;&gt;"",$J731&gt;365),"StalePwd ","")&amp;IF($K731="Yes","PwdNeverExpires ","")&amp;IF(AND($S731&lt;&gt;"",$S731&lt;&gt;"None"),"Delegation ","")&amp;IF(AND($Q731=1,$O731="None"),"StaleAdminCount ","")&amp;IF(AND($F731="Yes",$H731=""),"NeverLoggedOn ","")))</f>
        <v/>
      </c>
      <c r="AD731" s="60" t="n"/>
      <c r="AE731" s="61" t="n"/>
      <c r="AF731" s="60" t="n"/>
      <c r="AG731" s="62" t="n"/>
      <c r="AH731" s="62" t="n"/>
      <c r="AI731" s="62" t="n"/>
      <c r="AJ731" s="60" t="n"/>
      <c r="AK731" s="61" t="n"/>
      <c r="AL731" s="63">
        <f>IF($A731="","",IF(AH731="","Not Enrolled",IF(TODAY()&gt;AH731,"Review Overdue",IF(AH731-TODAY()&lt;=30,"Review Due Soon","Active"))))</f>
        <v/>
      </c>
      <c r="AM731" s="63">
        <f>IF($A731="","",IF(AI731="","NOT REVIEWED",IF(TODAY()-AI731&gt;90,"OVERDUE",IF(TODAY()-AI731&gt;76,"Due Soon","Current"))))</f>
        <v/>
      </c>
    </row>
    <row r="732" ht="15" customHeight="1" s="39">
      <c r="A732" s="60" t="n"/>
      <c r="B732" s="60" t="n"/>
      <c r="C732" s="61" t="n"/>
      <c r="D732" s="61" t="n"/>
      <c r="E732" s="60" t="n"/>
      <c r="F732" s="60" t="n"/>
      <c r="G732" s="62" t="n"/>
      <c r="H732" s="62" t="n"/>
      <c r="I732" s="62" t="n"/>
      <c r="J732" s="60" t="n"/>
      <c r="K732" s="60" t="n"/>
      <c r="L732" s="60" t="n"/>
      <c r="M732" s="61" t="n"/>
      <c r="N732" s="60" t="n"/>
      <c r="O732" s="60" t="n"/>
      <c r="P732" s="60" t="n"/>
      <c r="Q732" s="60" t="n"/>
      <c r="R732" s="60" t="n"/>
      <c r="S732" s="60" t="n"/>
      <c r="T732" s="60" t="n"/>
      <c r="U732" s="60" t="n"/>
      <c r="V732" s="60" t="n"/>
      <c r="W732" s="60" t="n"/>
      <c r="X732" s="60" t="n"/>
      <c r="Y732" s="60" t="n"/>
      <c r="Z732" s="61" t="n"/>
      <c r="AA732" s="63">
        <f>IF($H732="","",TODAY()-$H732)</f>
        <v/>
      </c>
      <c r="AB732" s="63">
        <f>IF($A732="","",IF(AND($F732="Yes",OR($U732="No",$U732="NOT FOUND")),"YES",""))</f>
        <v/>
      </c>
      <c r="AC732" s="66">
        <f>IF($A732="","",TRIM(IF(AND($P732=0,$L732&lt;&gt;"Yes"),"T0-NoSmartcard ","")&amp;IF(AND($J732&lt;&gt;"",$J732&gt;365),"StalePwd ","")&amp;IF($K732="Yes","PwdNeverExpires ","")&amp;IF(AND($S732&lt;&gt;"",$S732&lt;&gt;"None"),"Delegation ","")&amp;IF(AND($Q732=1,$O732="None"),"StaleAdminCount ","")&amp;IF(AND($F732="Yes",$H732=""),"NeverLoggedOn ","")))</f>
        <v/>
      </c>
      <c r="AD732" s="60" t="n"/>
      <c r="AE732" s="61" t="n"/>
      <c r="AF732" s="60" t="n"/>
      <c r="AG732" s="62" t="n"/>
      <c r="AH732" s="62" t="n"/>
      <c r="AI732" s="62" t="n"/>
      <c r="AJ732" s="60" t="n"/>
      <c r="AK732" s="61" t="n"/>
      <c r="AL732" s="63">
        <f>IF($A732="","",IF(AH732="","Not Enrolled",IF(TODAY()&gt;AH732,"Review Overdue",IF(AH732-TODAY()&lt;=30,"Review Due Soon","Active"))))</f>
        <v/>
      </c>
      <c r="AM732" s="63">
        <f>IF($A732="","",IF(AI732="","NOT REVIEWED",IF(TODAY()-AI732&gt;90,"OVERDUE",IF(TODAY()-AI732&gt;76,"Due Soon","Current"))))</f>
        <v/>
      </c>
    </row>
    <row r="733" ht="15" customHeight="1" s="39">
      <c r="A733" s="60" t="n"/>
      <c r="B733" s="60" t="n"/>
      <c r="C733" s="61" t="n"/>
      <c r="D733" s="61" t="n"/>
      <c r="E733" s="60" t="n"/>
      <c r="F733" s="60" t="n"/>
      <c r="G733" s="62" t="n"/>
      <c r="H733" s="62" t="n"/>
      <c r="I733" s="62" t="n"/>
      <c r="J733" s="60" t="n"/>
      <c r="K733" s="60" t="n"/>
      <c r="L733" s="60" t="n"/>
      <c r="M733" s="61" t="n"/>
      <c r="N733" s="60" t="n"/>
      <c r="O733" s="60" t="n"/>
      <c r="P733" s="60" t="n"/>
      <c r="Q733" s="60" t="n"/>
      <c r="R733" s="60" t="n"/>
      <c r="S733" s="60" t="n"/>
      <c r="T733" s="60" t="n"/>
      <c r="U733" s="60" t="n"/>
      <c r="V733" s="60" t="n"/>
      <c r="W733" s="60" t="n"/>
      <c r="X733" s="60" t="n"/>
      <c r="Y733" s="60" t="n"/>
      <c r="Z733" s="61" t="n"/>
      <c r="AA733" s="63">
        <f>IF($H733="","",TODAY()-$H733)</f>
        <v/>
      </c>
      <c r="AB733" s="63">
        <f>IF($A733="","",IF(AND($F733="Yes",OR($U733="No",$U733="NOT FOUND")),"YES",""))</f>
        <v/>
      </c>
      <c r="AC733" s="66">
        <f>IF($A733="","",TRIM(IF(AND($P733=0,$L733&lt;&gt;"Yes"),"T0-NoSmartcard ","")&amp;IF(AND($J733&lt;&gt;"",$J733&gt;365),"StalePwd ","")&amp;IF($K733="Yes","PwdNeverExpires ","")&amp;IF(AND($S733&lt;&gt;"",$S733&lt;&gt;"None"),"Delegation ","")&amp;IF(AND($Q733=1,$O733="None"),"StaleAdminCount ","")&amp;IF(AND($F733="Yes",$H733=""),"NeverLoggedOn ","")))</f>
        <v/>
      </c>
      <c r="AD733" s="60" t="n"/>
      <c r="AE733" s="61" t="n"/>
      <c r="AF733" s="60" t="n"/>
      <c r="AG733" s="62" t="n"/>
      <c r="AH733" s="62" t="n"/>
      <c r="AI733" s="62" t="n"/>
      <c r="AJ733" s="60" t="n"/>
      <c r="AK733" s="61" t="n"/>
      <c r="AL733" s="63">
        <f>IF($A733="","",IF(AH733="","Not Enrolled",IF(TODAY()&gt;AH733,"Review Overdue",IF(AH733-TODAY()&lt;=30,"Review Due Soon","Active"))))</f>
        <v/>
      </c>
      <c r="AM733" s="63">
        <f>IF($A733="","",IF(AI733="","NOT REVIEWED",IF(TODAY()-AI733&gt;90,"OVERDUE",IF(TODAY()-AI733&gt;76,"Due Soon","Current"))))</f>
        <v/>
      </c>
    </row>
    <row r="734" ht="15" customHeight="1" s="39">
      <c r="A734" s="60" t="n"/>
      <c r="B734" s="60" t="n"/>
      <c r="C734" s="61" t="n"/>
      <c r="D734" s="61" t="n"/>
      <c r="E734" s="60" t="n"/>
      <c r="F734" s="60" t="n"/>
      <c r="G734" s="62" t="n"/>
      <c r="H734" s="62" t="n"/>
      <c r="I734" s="62" t="n"/>
      <c r="J734" s="60" t="n"/>
      <c r="K734" s="60" t="n"/>
      <c r="L734" s="60" t="n"/>
      <c r="M734" s="61" t="n"/>
      <c r="N734" s="60" t="n"/>
      <c r="O734" s="60" t="n"/>
      <c r="P734" s="60" t="n"/>
      <c r="Q734" s="60" t="n"/>
      <c r="R734" s="60" t="n"/>
      <c r="S734" s="60" t="n"/>
      <c r="T734" s="60" t="n"/>
      <c r="U734" s="60" t="n"/>
      <c r="V734" s="60" t="n"/>
      <c r="W734" s="60" t="n"/>
      <c r="X734" s="60" t="n"/>
      <c r="Y734" s="60" t="n"/>
      <c r="Z734" s="61" t="n"/>
      <c r="AA734" s="63">
        <f>IF($H734="","",TODAY()-$H734)</f>
        <v/>
      </c>
      <c r="AB734" s="63">
        <f>IF($A734="","",IF(AND($F734="Yes",OR($U734="No",$U734="NOT FOUND")),"YES",""))</f>
        <v/>
      </c>
      <c r="AC734" s="66">
        <f>IF($A734="","",TRIM(IF(AND($P734=0,$L734&lt;&gt;"Yes"),"T0-NoSmartcard ","")&amp;IF(AND($J734&lt;&gt;"",$J734&gt;365),"StalePwd ","")&amp;IF($K734="Yes","PwdNeverExpires ","")&amp;IF(AND($S734&lt;&gt;"",$S734&lt;&gt;"None"),"Delegation ","")&amp;IF(AND($Q734=1,$O734="None"),"StaleAdminCount ","")&amp;IF(AND($F734="Yes",$H734=""),"NeverLoggedOn ","")))</f>
        <v/>
      </c>
      <c r="AD734" s="60" t="n"/>
      <c r="AE734" s="61" t="n"/>
      <c r="AF734" s="60" t="n"/>
      <c r="AG734" s="62" t="n"/>
      <c r="AH734" s="62" t="n"/>
      <c r="AI734" s="62" t="n"/>
      <c r="AJ734" s="60" t="n"/>
      <c r="AK734" s="61" t="n"/>
      <c r="AL734" s="63">
        <f>IF($A734="","",IF(AH734="","Not Enrolled",IF(TODAY()&gt;AH734,"Review Overdue",IF(AH734-TODAY()&lt;=30,"Review Due Soon","Active"))))</f>
        <v/>
      </c>
      <c r="AM734" s="63">
        <f>IF($A734="","",IF(AI734="","NOT REVIEWED",IF(TODAY()-AI734&gt;90,"OVERDUE",IF(TODAY()-AI734&gt;76,"Due Soon","Current"))))</f>
        <v/>
      </c>
    </row>
    <row r="735" ht="15" customHeight="1" s="39">
      <c r="A735" s="60" t="n"/>
      <c r="B735" s="60" t="n"/>
      <c r="C735" s="61" t="n"/>
      <c r="D735" s="61" t="n"/>
      <c r="E735" s="60" t="n"/>
      <c r="F735" s="60" t="n"/>
      <c r="G735" s="62" t="n"/>
      <c r="H735" s="62" t="n"/>
      <c r="I735" s="62" t="n"/>
      <c r="J735" s="60" t="n"/>
      <c r="K735" s="60" t="n"/>
      <c r="L735" s="60" t="n"/>
      <c r="M735" s="61" t="n"/>
      <c r="N735" s="60" t="n"/>
      <c r="O735" s="60" t="n"/>
      <c r="P735" s="60" t="n"/>
      <c r="Q735" s="60" t="n"/>
      <c r="R735" s="60" t="n"/>
      <c r="S735" s="60" t="n"/>
      <c r="T735" s="60" t="n"/>
      <c r="U735" s="60" t="n"/>
      <c r="V735" s="60" t="n"/>
      <c r="W735" s="60" t="n"/>
      <c r="X735" s="60" t="n"/>
      <c r="Y735" s="60" t="n"/>
      <c r="Z735" s="61" t="n"/>
      <c r="AA735" s="63">
        <f>IF($H735="","",TODAY()-$H735)</f>
        <v/>
      </c>
      <c r="AB735" s="63">
        <f>IF($A735="","",IF(AND($F735="Yes",OR($U735="No",$U735="NOT FOUND")),"YES",""))</f>
        <v/>
      </c>
      <c r="AC735" s="66">
        <f>IF($A735="","",TRIM(IF(AND($P735=0,$L735&lt;&gt;"Yes"),"T0-NoSmartcard ","")&amp;IF(AND($J735&lt;&gt;"",$J735&gt;365),"StalePwd ","")&amp;IF($K735="Yes","PwdNeverExpires ","")&amp;IF(AND($S735&lt;&gt;"",$S735&lt;&gt;"None"),"Delegation ","")&amp;IF(AND($Q735=1,$O735="None"),"StaleAdminCount ","")&amp;IF(AND($F735="Yes",$H735=""),"NeverLoggedOn ","")))</f>
        <v/>
      </c>
      <c r="AD735" s="60" t="n"/>
      <c r="AE735" s="61" t="n"/>
      <c r="AF735" s="60" t="n"/>
      <c r="AG735" s="62" t="n"/>
      <c r="AH735" s="62" t="n"/>
      <c r="AI735" s="62" t="n"/>
      <c r="AJ735" s="60" t="n"/>
      <c r="AK735" s="61" t="n"/>
      <c r="AL735" s="63">
        <f>IF($A735="","",IF(AH735="","Not Enrolled",IF(TODAY()&gt;AH735,"Review Overdue",IF(AH735-TODAY()&lt;=30,"Review Due Soon","Active"))))</f>
        <v/>
      </c>
      <c r="AM735" s="63">
        <f>IF($A735="","",IF(AI735="","NOT REVIEWED",IF(TODAY()-AI735&gt;90,"OVERDUE",IF(TODAY()-AI735&gt;76,"Due Soon","Current"))))</f>
        <v/>
      </c>
    </row>
    <row r="736" ht="15" customHeight="1" s="39">
      <c r="A736" s="60" t="n"/>
      <c r="B736" s="60" t="n"/>
      <c r="C736" s="61" t="n"/>
      <c r="D736" s="61" t="n"/>
      <c r="E736" s="60" t="n"/>
      <c r="F736" s="60" t="n"/>
      <c r="G736" s="62" t="n"/>
      <c r="H736" s="62" t="n"/>
      <c r="I736" s="62" t="n"/>
      <c r="J736" s="60" t="n"/>
      <c r="K736" s="60" t="n"/>
      <c r="L736" s="60" t="n"/>
      <c r="M736" s="61" t="n"/>
      <c r="N736" s="60" t="n"/>
      <c r="O736" s="60" t="n"/>
      <c r="P736" s="60" t="n"/>
      <c r="Q736" s="60" t="n"/>
      <c r="R736" s="60" t="n"/>
      <c r="S736" s="60" t="n"/>
      <c r="T736" s="60" t="n"/>
      <c r="U736" s="60" t="n"/>
      <c r="V736" s="60" t="n"/>
      <c r="W736" s="60" t="n"/>
      <c r="X736" s="60" t="n"/>
      <c r="Y736" s="60" t="n"/>
      <c r="Z736" s="61" t="n"/>
      <c r="AA736" s="63">
        <f>IF($H736="","",TODAY()-$H736)</f>
        <v/>
      </c>
      <c r="AB736" s="63">
        <f>IF($A736="","",IF(AND($F736="Yes",OR($U736="No",$U736="NOT FOUND")),"YES",""))</f>
        <v/>
      </c>
      <c r="AC736" s="66">
        <f>IF($A736="","",TRIM(IF(AND($P736=0,$L736&lt;&gt;"Yes"),"T0-NoSmartcard ","")&amp;IF(AND($J736&lt;&gt;"",$J736&gt;365),"StalePwd ","")&amp;IF($K736="Yes","PwdNeverExpires ","")&amp;IF(AND($S736&lt;&gt;"",$S736&lt;&gt;"None"),"Delegation ","")&amp;IF(AND($Q736=1,$O736="None"),"StaleAdminCount ","")&amp;IF(AND($F736="Yes",$H736=""),"NeverLoggedOn ","")))</f>
        <v/>
      </c>
      <c r="AD736" s="60" t="n"/>
      <c r="AE736" s="61" t="n"/>
      <c r="AF736" s="60" t="n"/>
      <c r="AG736" s="62" t="n"/>
      <c r="AH736" s="62" t="n"/>
      <c r="AI736" s="62" t="n"/>
      <c r="AJ736" s="60" t="n"/>
      <c r="AK736" s="61" t="n"/>
      <c r="AL736" s="63">
        <f>IF($A736="","",IF(AH736="","Not Enrolled",IF(TODAY()&gt;AH736,"Review Overdue",IF(AH736-TODAY()&lt;=30,"Review Due Soon","Active"))))</f>
        <v/>
      </c>
      <c r="AM736" s="63">
        <f>IF($A736="","",IF(AI736="","NOT REVIEWED",IF(TODAY()-AI736&gt;90,"OVERDUE",IF(TODAY()-AI736&gt;76,"Due Soon","Current"))))</f>
        <v/>
      </c>
    </row>
    <row r="737" ht="15" customHeight="1" s="39">
      <c r="A737" s="60" t="n"/>
      <c r="B737" s="60" t="n"/>
      <c r="C737" s="61" t="n"/>
      <c r="D737" s="61" t="n"/>
      <c r="E737" s="60" t="n"/>
      <c r="F737" s="60" t="n"/>
      <c r="G737" s="62" t="n"/>
      <c r="H737" s="62" t="n"/>
      <c r="I737" s="62" t="n"/>
      <c r="J737" s="60" t="n"/>
      <c r="K737" s="60" t="n"/>
      <c r="L737" s="60" t="n"/>
      <c r="M737" s="61" t="n"/>
      <c r="N737" s="60" t="n"/>
      <c r="O737" s="60" t="n"/>
      <c r="P737" s="60" t="n"/>
      <c r="Q737" s="60" t="n"/>
      <c r="R737" s="60" t="n"/>
      <c r="S737" s="60" t="n"/>
      <c r="T737" s="60" t="n"/>
      <c r="U737" s="60" t="n"/>
      <c r="V737" s="60" t="n"/>
      <c r="W737" s="60" t="n"/>
      <c r="X737" s="60" t="n"/>
      <c r="Y737" s="60" t="n"/>
      <c r="Z737" s="61" t="n"/>
      <c r="AA737" s="63">
        <f>IF($H737="","",TODAY()-$H737)</f>
        <v/>
      </c>
      <c r="AB737" s="63">
        <f>IF($A737="","",IF(AND($F737="Yes",OR($U737="No",$U737="NOT FOUND")),"YES",""))</f>
        <v/>
      </c>
      <c r="AC737" s="66">
        <f>IF($A737="","",TRIM(IF(AND($P737=0,$L737&lt;&gt;"Yes"),"T0-NoSmartcard ","")&amp;IF(AND($J737&lt;&gt;"",$J737&gt;365),"StalePwd ","")&amp;IF($K737="Yes","PwdNeverExpires ","")&amp;IF(AND($S737&lt;&gt;"",$S737&lt;&gt;"None"),"Delegation ","")&amp;IF(AND($Q737=1,$O737="None"),"StaleAdminCount ","")&amp;IF(AND($F737="Yes",$H737=""),"NeverLoggedOn ","")))</f>
        <v/>
      </c>
      <c r="AD737" s="60" t="n"/>
      <c r="AE737" s="61" t="n"/>
      <c r="AF737" s="60" t="n"/>
      <c r="AG737" s="62" t="n"/>
      <c r="AH737" s="62" t="n"/>
      <c r="AI737" s="62" t="n"/>
      <c r="AJ737" s="60" t="n"/>
      <c r="AK737" s="61" t="n"/>
      <c r="AL737" s="63">
        <f>IF($A737="","",IF(AH737="","Not Enrolled",IF(TODAY()&gt;AH737,"Review Overdue",IF(AH737-TODAY()&lt;=30,"Review Due Soon","Active"))))</f>
        <v/>
      </c>
      <c r="AM737" s="63">
        <f>IF($A737="","",IF(AI737="","NOT REVIEWED",IF(TODAY()-AI737&gt;90,"OVERDUE",IF(TODAY()-AI737&gt;76,"Due Soon","Current"))))</f>
        <v/>
      </c>
    </row>
    <row r="738" ht="15" customHeight="1" s="39">
      <c r="A738" s="60" t="n"/>
      <c r="B738" s="60" t="n"/>
      <c r="C738" s="61" t="n"/>
      <c r="D738" s="61" t="n"/>
      <c r="E738" s="60" t="n"/>
      <c r="F738" s="60" t="n"/>
      <c r="G738" s="62" t="n"/>
      <c r="H738" s="62" t="n"/>
      <c r="I738" s="62" t="n"/>
      <c r="J738" s="60" t="n"/>
      <c r="K738" s="60" t="n"/>
      <c r="L738" s="60" t="n"/>
      <c r="M738" s="61" t="n"/>
      <c r="N738" s="60" t="n"/>
      <c r="O738" s="60" t="n"/>
      <c r="P738" s="60" t="n"/>
      <c r="Q738" s="60" t="n"/>
      <c r="R738" s="60" t="n"/>
      <c r="S738" s="60" t="n"/>
      <c r="T738" s="60" t="n"/>
      <c r="U738" s="60" t="n"/>
      <c r="V738" s="60" t="n"/>
      <c r="W738" s="60" t="n"/>
      <c r="X738" s="60" t="n"/>
      <c r="Y738" s="60" t="n"/>
      <c r="Z738" s="61" t="n"/>
      <c r="AA738" s="63">
        <f>IF($H738="","",TODAY()-$H738)</f>
        <v/>
      </c>
      <c r="AB738" s="63">
        <f>IF($A738="","",IF(AND($F738="Yes",OR($U738="No",$U738="NOT FOUND")),"YES",""))</f>
        <v/>
      </c>
      <c r="AC738" s="66">
        <f>IF($A738="","",TRIM(IF(AND($P738=0,$L738&lt;&gt;"Yes"),"T0-NoSmartcard ","")&amp;IF(AND($J738&lt;&gt;"",$J738&gt;365),"StalePwd ","")&amp;IF($K738="Yes","PwdNeverExpires ","")&amp;IF(AND($S738&lt;&gt;"",$S738&lt;&gt;"None"),"Delegation ","")&amp;IF(AND($Q738=1,$O738="None"),"StaleAdminCount ","")&amp;IF(AND($F738="Yes",$H738=""),"NeverLoggedOn ","")))</f>
        <v/>
      </c>
      <c r="AD738" s="60" t="n"/>
      <c r="AE738" s="61" t="n"/>
      <c r="AF738" s="60" t="n"/>
      <c r="AG738" s="62" t="n"/>
      <c r="AH738" s="62" t="n"/>
      <c r="AI738" s="62" t="n"/>
      <c r="AJ738" s="60" t="n"/>
      <c r="AK738" s="61" t="n"/>
      <c r="AL738" s="63">
        <f>IF($A738="","",IF(AH738="","Not Enrolled",IF(TODAY()&gt;AH738,"Review Overdue",IF(AH738-TODAY()&lt;=30,"Review Due Soon","Active"))))</f>
        <v/>
      </c>
      <c r="AM738" s="63">
        <f>IF($A738="","",IF(AI738="","NOT REVIEWED",IF(TODAY()-AI738&gt;90,"OVERDUE",IF(TODAY()-AI738&gt;76,"Due Soon","Current"))))</f>
        <v/>
      </c>
    </row>
    <row r="739" ht="15" customHeight="1" s="39">
      <c r="A739" s="60" t="n"/>
      <c r="B739" s="60" t="n"/>
      <c r="C739" s="61" t="n"/>
      <c r="D739" s="61" t="n"/>
      <c r="E739" s="60" t="n"/>
      <c r="F739" s="60" t="n"/>
      <c r="G739" s="62" t="n"/>
      <c r="H739" s="62" t="n"/>
      <c r="I739" s="62" t="n"/>
      <c r="J739" s="60" t="n"/>
      <c r="K739" s="60" t="n"/>
      <c r="L739" s="60" t="n"/>
      <c r="M739" s="61" t="n"/>
      <c r="N739" s="60" t="n"/>
      <c r="O739" s="60" t="n"/>
      <c r="P739" s="60" t="n"/>
      <c r="Q739" s="60" t="n"/>
      <c r="R739" s="60" t="n"/>
      <c r="S739" s="60" t="n"/>
      <c r="T739" s="60" t="n"/>
      <c r="U739" s="60" t="n"/>
      <c r="V739" s="60" t="n"/>
      <c r="W739" s="60" t="n"/>
      <c r="X739" s="60" t="n"/>
      <c r="Y739" s="60" t="n"/>
      <c r="Z739" s="61" t="n"/>
      <c r="AA739" s="63">
        <f>IF($H739="","",TODAY()-$H739)</f>
        <v/>
      </c>
      <c r="AB739" s="63">
        <f>IF($A739="","",IF(AND($F739="Yes",OR($U739="No",$U739="NOT FOUND")),"YES",""))</f>
        <v/>
      </c>
      <c r="AC739" s="66">
        <f>IF($A739="","",TRIM(IF(AND($P739=0,$L739&lt;&gt;"Yes"),"T0-NoSmartcard ","")&amp;IF(AND($J739&lt;&gt;"",$J739&gt;365),"StalePwd ","")&amp;IF($K739="Yes","PwdNeverExpires ","")&amp;IF(AND($S739&lt;&gt;"",$S739&lt;&gt;"None"),"Delegation ","")&amp;IF(AND($Q739=1,$O739="None"),"StaleAdminCount ","")&amp;IF(AND($F739="Yes",$H739=""),"NeverLoggedOn ","")))</f>
        <v/>
      </c>
      <c r="AD739" s="60" t="n"/>
      <c r="AE739" s="61" t="n"/>
      <c r="AF739" s="60" t="n"/>
      <c r="AG739" s="62" t="n"/>
      <c r="AH739" s="62" t="n"/>
      <c r="AI739" s="62" t="n"/>
      <c r="AJ739" s="60" t="n"/>
      <c r="AK739" s="61" t="n"/>
      <c r="AL739" s="63">
        <f>IF($A739="","",IF(AH739="","Not Enrolled",IF(TODAY()&gt;AH739,"Review Overdue",IF(AH739-TODAY()&lt;=30,"Review Due Soon","Active"))))</f>
        <v/>
      </c>
      <c r="AM739" s="63">
        <f>IF($A739="","",IF(AI739="","NOT REVIEWED",IF(TODAY()-AI739&gt;90,"OVERDUE",IF(TODAY()-AI739&gt;76,"Due Soon","Current"))))</f>
        <v/>
      </c>
    </row>
    <row r="740" ht="15" customHeight="1" s="39">
      <c r="A740" s="60" t="n"/>
      <c r="B740" s="60" t="n"/>
      <c r="C740" s="61" t="n"/>
      <c r="D740" s="61" t="n"/>
      <c r="E740" s="60" t="n"/>
      <c r="F740" s="60" t="n"/>
      <c r="G740" s="62" t="n"/>
      <c r="H740" s="62" t="n"/>
      <c r="I740" s="62" t="n"/>
      <c r="J740" s="60" t="n"/>
      <c r="K740" s="60" t="n"/>
      <c r="L740" s="60" t="n"/>
      <c r="M740" s="61" t="n"/>
      <c r="N740" s="60" t="n"/>
      <c r="O740" s="60" t="n"/>
      <c r="P740" s="60" t="n"/>
      <c r="Q740" s="60" t="n"/>
      <c r="R740" s="60" t="n"/>
      <c r="S740" s="60" t="n"/>
      <c r="T740" s="60" t="n"/>
      <c r="U740" s="60" t="n"/>
      <c r="V740" s="60" t="n"/>
      <c r="W740" s="60" t="n"/>
      <c r="X740" s="60" t="n"/>
      <c r="Y740" s="60" t="n"/>
      <c r="Z740" s="61" t="n"/>
      <c r="AA740" s="63">
        <f>IF($H740="","",TODAY()-$H740)</f>
        <v/>
      </c>
      <c r="AB740" s="63">
        <f>IF($A740="","",IF(AND($F740="Yes",OR($U740="No",$U740="NOT FOUND")),"YES",""))</f>
        <v/>
      </c>
      <c r="AC740" s="66">
        <f>IF($A740="","",TRIM(IF(AND($P740=0,$L740&lt;&gt;"Yes"),"T0-NoSmartcard ","")&amp;IF(AND($J740&lt;&gt;"",$J740&gt;365),"StalePwd ","")&amp;IF($K740="Yes","PwdNeverExpires ","")&amp;IF(AND($S740&lt;&gt;"",$S740&lt;&gt;"None"),"Delegation ","")&amp;IF(AND($Q740=1,$O740="None"),"StaleAdminCount ","")&amp;IF(AND($F740="Yes",$H740=""),"NeverLoggedOn ","")))</f>
        <v/>
      </c>
      <c r="AD740" s="60" t="n"/>
      <c r="AE740" s="61" t="n"/>
      <c r="AF740" s="60" t="n"/>
      <c r="AG740" s="62" t="n"/>
      <c r="AH740" s="62" t="n"/>
      <c r="AI740" s="62" t="n"/>
      <c r="AJ740" s="60" t="n"/>
      <c r="AK740" s="61" t="n"/>
      <c r="AL740" s="63">
        <f>IF($A740="","",IF(AH740="","Not Enrolled",IF(TODAY()&gt;AH740,"Review Overdue",IF(AH740-TODAY()&lt;=30,"Review Due Soon","Active"))))</f>
        <v/>
      </c>
      <c r="AM740" s="63">
        <f>IF($A740="","",IF(AI740="","NOT REVIEWED",IF(TODAY()-AI740&gt;90,"OVERDUE",IF(TODAY()-AI740&gt;76,"Due Soon","Current"))))</f>
        <v/>
      </c>
    </row>
    <row r="741" ht="15" customHeight="1" s="39">
      <c r="A741" s="60" t="n"/>
      <c r="B741" s="60" t="n"/>
      <c r="C741" s="61" t="n"/>
      <c r="D741" s="61" t="n"/>
      <c r="E741" s="60" t="n"/>
      <c r="F741" s="60" t="n"/>
      <c r="G741" s="62" t="n"/>
      <c r="H741" s="62" t="n"/>
      <c r="I741" s="62" t="n"/>
      <c r="J741" s="60" t="n"/>
      <c r="K741" s="60" t="n"/>
      <c r="L741" s="60" t="n"/>
      <c r="M741" s="61" t="n"/>
      <c r="N741" s="60" t="n"/>
      <c r="O741" s="60" t="n"/>
      <c r="P741" s="60" t="n"/>
      <c r="Q741" s="60" t="n"/>
      <c r="R741" s="60" t="n"/>
      <c r="S741" s="60" t="n"/>
      <c r="T741" s="60" t="n"/>
      <c r="U741" s="60" t="n"/>
      <c r="V741" s="60" t="n"/>
      <c r="W741" s="60" t="n"/>
      <c r="X741" s="60" t="n"/>
      <c r="Y741" s="60" t="n"/>
      <c r="Z741" s="61" t="n"/>
      <c r="AA741" s="63">
        <f>IF($H741="","",TODAY()-$H741)</f>
        <v/>
      </c>
      <c r="AB741" s="63">
        <f>IF($A741="","",IF(AND($F741="Yes",OR($U741="No",$U741="NOT FOUND")),"YES",""))</f>
        <v/>
      </c>
      <c r="AC741" s="66">
        <f>IF($A741="","",TRIM(IF(AND($P741=0,$L741&lt;&gt;"Yes"),"T0-NoSmartcard ","")&amp;IF(AND($J741&lt;&gt;"",$J741&gt;365),"StalePwd ","")&amp;IF($K741="Yes","PwdNeverExpires ","")&amp;IF(AND($S741&lt;&gt;"",$S741&lt;&gt;"None"),"Delegation ","")&amp;IF(AND($Q741=1,$O741="None"),"StaleAdminCount ","")&amp;IF(AND($F741="Yes",$H741=""),"NeverLoggedOn ","")))</f>
        <v/>
      </c>
      <c r="AD741" s="60" t="n"/>
      <c r="AE741" s="61" t="n"/>
      <c r="AF741" s="60" t="n"/>
      <c r="AG741" s="62" t="n"/>
      <c r="AH741" s="62" t="n"/>
      <c r="AI741" s="62" t="n"/>
      <c r="AJ741" s="60" t="n"/>
      <c r="AK741" s="61" t="n"/>
      <c r="AL741" s="63">
        <f>IF($A741="","",IF(AH741="","Not Enrolled",IF(TODAY()&gt;AH741,"Review Overdue",IF(AH741-TODAY()&lt;=30,"Review Due Soon","Active"))))</f>
        <v/>
      </c>
      <c r="AM741" s="63">
        <f>IF($A741="","",IF(AI741="","NOT REVIEWED",IF(TODAY()-AI741&gt;90,"OVERDUE",IF(TODAY()-AI741&gt;76,"Due Soon","Current"))))</f>
        <v/>
      </c>
    </row>
    <row r="742" ht="15" customHeight="1" s="39">
      <c r="A742" s="60" t="n"/>
      <c r="B742" s="60" t="n"/>
      <c r="C742" s="61" t="n"/>
      <c r="D742" s="61" t="n"/>
      <c r="E742" s="60" t="n"/>
      <c r="F742" s="60" t="n"/>
      <c r="G742" s="62" t="n"/>
      <c r="H742" s="62" t="n"/>
      <c r="I742" s="62" t="n"/>
      <c r="J742" s="60" t="n"/>
      <c r="K742" s="60" t="n"/>
      <c r="L742" s="60" t="n"/>
      <c r="M742" s="61" t="n"/>
      <c r="N742" s="60" t="n"/>
      <c r="O742" s="60" t="n"/>
      <c r="P742" s="60" t="n"/>
      <c r="Q742" s="60" t="n"/>
      <c r="R742" s="60" t="n"/>
      <c r="S742" s="60" t="n"/>
      <c r="T742" s="60" t="n"/>
      <c r="U742" s="60" t="n"/>
      <c r="V742" s="60" t="n"/>
      <c r="W742" s="60" t="n"/>
      <c r="X742" s="60" t="n"/>
      <c r="Y742" s="60" t="n"/>
      <c r="Z742" s="61" t="n"/>
      <c r="AA742" s="63">
        <f>IF($H742="","",TODAY()-$H742)</f>
        <v/>
      </c>
      <c r="AB742" s="63">
        <f>IF($A742="","",IF(AND($F742="Yes",OR($U742="No",$U742="NOT FOUND")),"YES",""))</f>
        <v/>
      </c>
      <c r="AC742" s="66">
        <f>IF($A742="","",TRIM(IF(AND($P742=0,$L742&lt;&gt;"Yes"),"T0-NoSmartcard ","")&amp;IF(AND($J742&lt;&gt;"",$J742&gt;365),"StalePwd ","")&amp;IF($K742="Yes","PwdNeverExpires ","")&amp;IF(AND($S742&lt;&gt;"",$S742&lt;&gt;"None"),"Delegation ","")&amp;IF(AND($Q742=1,$O742="None"),"StaleAdminCount ","")&amp;IF(AND($F742="Yes",$H742=""),"NeverLoggedOn ","")))</f>
        <v/>
      </c>
      <c r="AD742" s="60" t="n"/>
      <c r="AE742" s="61" t="n"/>
      <c r="AF742" s="60" t="n"/>
      <c r="AG742" s="62" t="n"/>
      <c r="AH742" s="62" t="n"/>
      <c r="AI742" s="62" t="n"/>
      <c r="AJ742" s="60" t="n"/>
      <c r="AK742" s="61" t="n"/>
      <c r="AL742" s="63">
        <f>IF($A742="","",IF(AH742="","Not Enrolled",IF(TODAY()&gt;AH742,"Review Overdue",IF(AH742-TODAY()&lt;=30,"Review Due Soon","Active"))))</f>
        <v/>
      </c>
      <c r="AM742" s="63">
        <f>IF($A742="","",IF(AI742="","NOT REVIEWED",IF(TODAY()-AI742&gt;90,"OVERDUE",IF(TODAY()-AI742&gt;76,"Due Soon","Current"))))</f>
        <v/>
      </c>
    </row>
    <row r="743" ht="15" customHeight="1" s="39">
      <c r="A743" s="60" t="n"/>
      <c r="B743" s="60" t="n"/>
      <c r="C743" s="61" t="n"/>
      <c r="D743" s="61" t="n"/>
      <c r="E743" s="60" t="n"/>
      <c r="F743" s="60" t="n"/>
      <c r="G743" s="62" t="n"/>
      <c r="H743" s="62" t="n"/>
      <c r="I743" s="62" t="n"/>
      <c r="J743" s="60" t="n"/>
      <c r="K743" s="60" t="n"/>
      <c r="L743" s="60" t="n"/>
      <c r="M743" s="61" t="n"/>
      <c r="N743" s="60" t="n"/>
      <c r="O743" s="60" t="n"/>
      <c r="P743" s="60" t="n"/>
      <c r="Q743" s="60" t="n"/>
      <c r="R743" s="60" t="n"/>
      <c r="S743" s="60" t="n"/>
      <c r="T743" s="60" t="n"/>
      <c r="U743" s="60" t="n"/>
      <c r="V743" s="60" t="n"/>
      <c r="W743" s="60" t="n"/>
      <c r="X743" s="60" t="n"/>
      <c r="Y743" s="60" t="n"/>
      <c r="Z743" s="61" t="n"/>
      <c r="AA743" s="63">
        <f>IF($H743="","",TODAY()-$H743)</f>
        <v/>
      </c>
      <c r="AB743" s="63">
        <f>IF($A743="","",IF(AND($F743="Yes",OR($U743="No",$U743="NOT FOUND")),"YES",""))</f>
        <v/>
      </c>
      <c r="AC743" s="66">
        <f>IF($A743="","",TRIM(IF(AND($P743=0,$L743&lt;&gt;"Yes"),"T0-NoSmartcard ","")&amp;IF(AND($J743&lt;&gt;"",$J743&gt;365),"StalePwd ","")&amp;IF($K743="Yes","PwdNeverExpires ","")&amp;IF(AND($S743&lt;&gt;"",$S743&lt;&gt;"None"),"Delegation ","")&amp;IF(AND($Q743=1,$O743="None"),"StaleAdminCount ","")&amp;IF(AND($F743="Yes",$H743=""),"NeverLoggedOn ","")))</f>
        <v/>
      </c>
      <c r="AD743" s="60" t="n"/>
      <c r="AE743" s="61" t="n"/>
      <c r="AF743" s="60" t="n"/>
      <c r="AG743" s="62" t="n"/>
      <c r="AH743" s="62" t="n"/>
      <c r="AI743" s="62" t="n"/>
      <c r="AJ743" s="60" t="n"/>
      <c r="AK743" s="61" t="n"/>
      <c r="AL743" s="63">
        <f>IF($A743="","",IF(AH743="","Not Enrolled",IF(TODAY()&gt;AH743,"Review Overdue",IF(AH743-TODAY()&lt;=30,"Review Due Soon","Active"))))</f>
        <v/>
      </c>
      <c r="AM743" s="63">
        <f>IF($A743="","",IF(AI743="","NOT REVIEWED",IF(TODAY()-AI743&gt;90,"OVERDUE",IF(TODAY()-AI743&gt;76,"Due Soon","Current"))))</f>
        <v/>
      </c>
    </row>
    <row r="744" ht="15" customHeight="1" s="39">
      <c r="A744" s="60" t="n"/>
      <c r="B744" s="60" t="n"/>
      <c r="C744" s="61" t="n"/>
      <c r="D744" s="61" t="n"/>
      <c r="E744" s="60" t="n"/>
      <c r="F744" s="60" t="n"/>
      <c r="G744" s="62" t="n"/>
      <c r="H744" s="62" t="n"/>
      <c r="I744" s="62" t="n"/>
      <c r="J744" s="60" t="n"/>
      <c r="K744" s="60" t="n"/>
      <c r="L744" s="60" t="n"/>
      <c r="M744" s="61" t="n"/>
      <c r="N744" s="60" t="n"/>
      <c r="O744" s="60" t="n"/>
      <c r="P744" s="60" t="n"/>
      <c r="Q744" s="60" t="n"/>
      <c r="R744" s="60" t="n"/>
      <c r="S744" s="60" t="n"/>
      <c r="T744" s="60" t="n"/>
      <c r="U744" s="60" t="n"/>
      <c r="V744" s="60" t="n"/>
      <c r="W744" s="60" t="n"/>
      <c r="X744" s="60" t="n"/>
      <c r="Y744" s="60" t="n"/>
      <c r="Z744" s="61" t="n"/>
      <c r="AA744" s="63">
        <f>IF($H744="","",TODAY()-$H744)</f>
        <v/>
      </c>
      <c r="AB744" s="63">
        <f>IF($A744="","",IF(AND($F744="Yes",OR($U744="No",$U744="NOT FOUND")),"YES",""))</f>
        <v/>
      </c>
      <c r="AC744" s="66">
        <f>IF($A744="","",TRIM(IF(AND($P744=0,$L744&lt;&gt;"Yes"),"T0-NoSmartcard ","")&amp;IF(AND($J744&lt;&gt;"",$J744&gt;365),"StalePwd ","")&amp;IF($K744="Yes","PwdNeverExpires ","")&amp;IF(AND($S744&lt;&gt;"",$S744&lt;&gt;"None"),"Delegation ","")&amp;IF(AND($Q744=1,$O744="None"),"StaleAdminCount ","")&amp;IF(AND($F744="Yes",$H744=""),"NeverLoggedOn ","")))</f>
        <v/>
      </c>
      <c r="AD744" s="60" t="n"/>
      <c r="AE744" s="61" t="n"/>
      <c r="AF744" s="60" t="n"/>
      <c r="AG744" s="62" t="n"/>
      <c r="AH744" s="62" t="n"/>
      <c r="AI744" s="62" t="n"/>
      <c r="AJ744" s="60" t="n"/>
      <c r="AK744" s="61" t="n"/>
      <c r="AL744" s="63">
        <f>IF($A744="","",IF(AH744="","Not Enrolled",IF(TODAY()&gt;AH744,"Review Overdue",IF(AH744-TODAY()&lt;=30,"Review Due Soon","Active"))))</f>
        <v/>
      </c>
      <c r="AM744" s="63">
        <f>IF($A744="","",IF(AI744="","NOT REVIEWED",IF(TODAY()-AI744&gt;90,"OVERDUE",IF(TODAY()-AI744&gt;76,"Due Soon","Current"))))</f>
        <v/>
      </c>
    </row>
    <row r="745" ht="15" customHeight="1" s="39">
      <c r="A745" s="60" t="n"/>
      <c r="B745" s="60" t="n"/>
      <c r="C745" s="61" t="n"/>
      <c r="D745" s="61" t="n"/>
      <c r="E745" s="60" t="n"/>
      <c r="F745" s="60" t="n"/>
      <c r="G745" s="62" t="n"/>
      <c r="H745" s="62" t="n"/>
      <c r="I745" s="62" t="n"/>
      <c r="J745" s="60" t="n"/>
      <c r="K745" s="60" t="n"/>
      <c r="L745" s="60" t="n"/>
      <c r="M745" s="61" t="n"/>
      <c r="N745" s="60" t="n"/>
      <c r="O745" s="60" t="n"/>
      <c r="P745" s="60" t="n"/>
      <c r="Q745" s="60" t="n"/>
      <c r="R745" s="60" t="n"/>
      <c r="S745" s="60" t="n"/>
      <c r="T745" s="60" t="n"/>
      <c r="U745" s="60" t="n"/>
      <c r="V745" s="60" t="n"/>
      <c r="W745" s="60" t="n"/>
      <c r="X745" s="60" t="n"/>
      <c r="Y745" s="60" t="n"/>
      <c r="Z745" s="61" t="n"/>
      <c r="AA745" s="63">
        <f>IF($H745="","",TODAY()-$H745)</f>
        <v/>
      </c>
      <c r="AB745" s="63">
        <f>IF($A745="","",IF(AND($F745="Yes",OR($U745="No",$U745="NOT FOUND")),"YES",""))</f>
        <v/>
      </c>
      <c r="AC745" s="66">
        <f>IF($A745="","",TRIM(IF(AND($P745=0,$L745&lt;&gt;"Yes"),"T0-NoSmartcard ","")&amp;IF(AND($J745&lt;&gt;"",$J745&gt;365),"StalePwd ","")&amp;IF($K745="Yes","PwdNeverExpires ","")&amp;IF(AND($S745&lt;&gt;"",$S745&lt;&gt;"None"),"Delegation ","")&amp;IF(AND($Q745=1,$O745="None"),"StaleAdminCount ","")&amp;IF(AND($F745="Yes",$H745=""),"NeverLoggedOn ","")))</f>
        <v/>
      </c>
      <c r="AD745" s="60" t="n"/>
      <c r="AE745" s="61" t="n"/>
      <c r="AF745" s="60" t="n"/>
      <c r="AG745" s="62" t="n"/>
      <c r="AH745" s="62" t="n"/>
      <c r="AI745" s="62" t="n"/>
      <c r="AJ745" s="60" t="n"/>
      <c r="AK745" s="61" t="n"/>
      <c r="AL745" s="63">
        <f>IF($A745="","",IF(AH745="","Not Enrolled",IF(TODAY()&gt;AH745,"Review Overdue",IF(AH745-TODAY()&lt;=30,"Review Due Soon","Active"))))</f>
        <v/>
      </c>
      <c r="AM745" s="63">
        <f>IF($A745="","",IF(AI745="","NOT REVIEWED",IF(TODAY()-AI745&gt;90,"OVERDUE",IF(TODAY()-AI745&gt;76,"Due Soon","Current"))))</f>
        <v/>
      </c>
    </row>
    <row r="746" ht="15" customHeight="1" s="39">
      <c r="A746" s="60" t="n"/>
      <c r="B746" s="60" t="n"/>
      <c r="C746" s="61" t="n"/>
      <c r="D746" s="61" t="n"/>
      <c r="E746" s="60" t="n"/>
      <c r="F746" s="60" t="n"/>
      <c r="G746" s="62" t="n"/>
      <c r="H746" s="62" t="n"/>
      <c r="I746" s="62" t="n"/>
      <c r="J746" s="60" t="n"/>
      <c r="K746" s="60" t="n"/>
      <c r="L746" s="60" t="n"/>
      <c r="M746" s="61" t="n"/>
      <c r="N746" s="60" t="n"/>
      <c r="O746" s="60" t="n"/>
      <c r="P746" s="60" t="n"/>
      <c r="Q746" s="60" t="n"/>
      <c r="R746" s="60" t="n"/>
      <c r="S746" s="60" t="n"/>
      <c r="T746" s="60" t="n"/>
      <c r="U746" s="60" t="n"/>
      <c r="V746" s="60" t="n"/>
      <c r="W746" s="60" t="n"/>
      <c r="X746" s="60" t="n"/>
      <c r="Y746" s="60" t="n"/>
      <c r="Z746" s="61" t="n"/>
      <c r="AA746" s="63">
        <f>IF($H746="","",TODAY()-$H746)</f>
        <v/>
      </c>
      <c r="AB746" s="63">
        <f>IF($A746="","",IF(AND($F746="Yes",OR($U746="No",$U746="NOT FOUND")),"YES",""))</f>
        <v/>
      </c>
      <c r="AC746" s="66">
        <f>IF($A746="","",TRIM(IF(AND($P746=0,$L746&lt;&gt;"Yes"),"T0-NoSmartcard ","")&amp;IF(AND($J746&lt;&gt;"",$J746&gt;365),"StalePwd ","")&amp;IF($K746="Yes","PwdNeverExpires ","")&amp;IF(AND($S746&lt;&gt;"",$S746&lt;&gt;"None"),"Delegation ","")&amp;IF(AND($Q746=1,$O746="None"),"StaleAdminCount ","")&amp;IF(AND($F746="Yes",$H746=""),"NeverLoggedOn ","")))</f>
        <v/>
      </c>
      <c r="AD746" s="60" t="n"/>
      <c r="AE746" s="61" t="n"/>
      <c r="AF746" s="60" t="n"/>
      <c r="AG746" s="62" t="n"/>
      <c r="AH746" s="62" t="n"/>
      <c r="AI746" s="62" t="n"/>
      <c r="AJ746" s="60" t="n"/>
      <c r="AK746" s="61" t="n"/>
      <c r="AL746" s="63">
        <f>IF($A746="","",IF(AH746="","Not Enrolled",IF(TODAY()&gt;AH746,"Review Overdue",IF(AH746-TODAY()&lt;=30,"Review Due Soon","Active"))))</f>
        <v/>
      </c>
      <c r="AM746" s="63">
        <f>IF($A746="","",IF(AI746="","NOT REVIEWED",IF(TODAY()-AI746&gt;90,"OVERDUE",IF(TODAY()-AI746&gt;76,"Due Soon","Current"))))</f>
        <v/>
      </c>
    </row>
    <row r="747" ht="15" customHeight="1" s="39">
      <c r="A747" s="60" t="n"/>
      <c r="B747" s="60" t="n"/>
      <c r="C747" s="61" t="n"/>
      <c r="D747" s="61" t="n"/>
      <c r="E747" s="60" t="n"/>
      <c r="F747" s="60" t="n"/>
      <c r="G747" s="62" t="n"/>
      <c r="H747" s="62" t="n"/>
      <c r="I747" s="62" t="n"/>
      <c r="J747" s="60" t="n"/>
      <c r="K747" s="60" t="n"/>
      <c r="L747" s="60" t="n"/>
      <c r="M747" s="61" t="n"/>
      <c r="N747" s="60" t="n"/>
      <c r="O747" s="60" t="n"/>
      <c r="P747" s="60" t="n"/>
      <c r="Q747" s="60" t="n"/>
      <c r="R747" s="60" t="n"/>
      <c r="S747" s="60" t="n"/>
      <c r="T747" s="60" t="n"/>
      <c r="U747" s="60" t="n"/>
      <c r="V747" s="60" t="n"/>
      <c r="W747" s="60" t="n"/>
      <c r="X747" s="60" t="n"/>
      <c r="Y747" s="60" t="n"/>
      <c r="Z747" s="61" t="n"/>
      <c r="AA747" s="63">
        <f>IF($H747="","",TODAY()-$H747)</f>
        <v/>
      </c>
      <c r="AB747" s="63">
        <f>IF($A747="","",IF(AND($F747="Yes",OR($U747="No",$U747="NOT FOUND")),"YES",""))</f>
        <v/>
      </c>
      <c r="AC747" s="66">
        <f>IF($A747="","",TRIM(IF(AND($P747=0,$L747&lt;&gt;"Yes"),"T0-NoSmartcard ","")&amp;IF(AND($J747&lt;&gt;"",$J747&gt;365),"StalePwd ","")&amp;IF($K747="Yes","PwdNeverExpires ","")&amp;IF(AND($S747&lt;&gt;"",$S747&lt;&gt;"None"),"Delegation ","")&amp;IF(AND($Q747=1,$O747="None"),"StaleAdminCount ","")&amp;IF(AND($F747="Yes",$H747=""),"NeverLoggedOn ","")))</f>
        <v/>
      </c>
      <c r="AD747" s="60" t="n"/>
      <c r="AE747" s="61" t="n"/>
      <c r="AF747" s="60" t="n"/>
      <c r="AG747" s="62" t="n"/>
      <c r="AH747" s="62" t="n"/>
      <c r="AI747" s="62" t="n"/>
      <c r="AJ747" s="60" t="n"/>
      <c r="AK747" s="61" t="n"/>
      <c r="AL747" s="63">
        <f>IF($A747="","",IF(AH747="","Not Enrolled",IF(TODAY()&gt;AH747,"Review Overdue",IF(AH747-TODAY()&lt;=30,"Review Due Soon","Active"))))</f>
        <v/>
      </c>
      <c r="AM747" s="63">
        <f>IF($A747="","",IF(AI747="","NOT REVIEWED",IF(TODAY()-AI747&gt;90,"OVERDUE",IF(TODAY()-AI747&gt;76,"Due Soon","Current"))))</f>
        <v/>
      </c>
    </row>
    <row r="748" ht="15" customHeight="1" s="39">
      <c r="A748" s="60" t="n"/>
      <c r="B748" s="60" t="n"/>
      <c r="C748" s="61" t="n"/>
      <c r="D748" s="61" t="n"/>
      <c r="E748" s="60" t="n"/>
      <c r="F748" s="60" t="n"/>
      <c r="G748" s="62" t="n"/>
      <c r="H748" s="62" t="n"/>
      <c r="I748" s="62" t="n"/>
      <c r="J748" s="60" t="n"/>
      <c r="K748" s="60" t="n"/>
      <c r="L748" s="60" t="n"/>
      <c r="M748" s="61" t="n"/>
      <c r="N748" s="60" t="n"/>
      <c r="O748" s="60" t="n"/>
      <c r="P748" s="60" t="n"/>
      <c r="Q748" s="60" t="n"/>
      <c r="R748" s="60" t="n"/>
      <c r="S748" s="60" t="n"/>
      <c r="T748" s="60" t="n"/>
      <c r="U748" s="60" t="n"/>
      <c r="V748" s="60" t="n"/>
      <c r="W748" s="60" t="n"/>
      <c r="X748" s="60" t="n"/>
      <c r="Y748" s="60" t="n"/>
      <c r="Z748" s="61" t="n"/>
      <c r="AA748" s="63">
        <f>IF($H748="","",TODAY()-$H748)</f>
        <v/>
      </c>
      <c r="AB748" s="63">
        <f>IF($A748="","",IF(AND($F748="Yes",OR($U748="No",$U748="NOT FOUND")),"YES",""))</f>
        <v/>
      </c>
      <c r="AC748" s="66">
        <f>IF($A748="","",TRIM(IF(AND($P748=0,$L748&lt;&gt;"Yes"),"T0-NoSmartcard ","")&amp;IF(AND($J748&lt;&gt;"",$J748&gt;365),"StalePwd ","")&amp;IF($K748="Yes","PwdNeverExpires ","")&amp;IF(AND($S748&lt;&gt;"",$S748&lt;&gt;"None"),"Delegation ","")&amp;IF(AND($Q748=1,$O748="None"),"StaleAdminCount ","")&amp;IF(AND($F748="Yes",$H748=""),"NeverLoggedOn ","")))</f>
        <v/>
      </c>
      <c r="AD748" s="60" t="n"/>
      <c r="AE748" s="61" t="n"/>
      <c r="AF748" s="60" t="n"/>
      <c r="AG748" s="62" t="n"/>
      <c r="AH748" s="62" t="n"/>
      <c r="AI748" s="62" t="n"/>
      <c r="AJ748" s="60" t="n"/>
      <c r="AK748" s="61" t="n"/>
      <c r="AL748" s="63">
        <f>IF($A748="","",IF(AH748="","Not Enrolled",IF(TODAY()&gt;AH748,"Review Overdue",IF(AH748-TODAY()&lt;=30,"Review Due Soon","Active"))))</f>
        <v/>
      </c>
      <c r="AM748" s="63">
        <f>IF($A748="","",IF(AI748="","NOT REVIEWED",IF(TODAY()-AI748&gt;90,"OVERDUE",IF(TODAY()-AI748&gt;76,"Due Soon","Current"))))</f>
        <v/>
      </c>
    </row>
    <row r="749" ht="15" customHeight="1" s="39">
      <c r="A749" s="60" t="n"/>
      <c r="B749" s="60" t="n"/>
      <c r="C749" s="61" t="n"/>
      <c r="D749" s="61" t="n"/>
      <c r="E749" s="60" t="n"/>
      <c r="F749" s="60" t="n"/>
      <c r="G749" s="62" t="n"/>
      <c r="H749" s="62" t="n"/>
      <c r="I749" s="62" t="n"/>
      <c r="J749" s="60" t="n"/>
      <c r="K749" s="60" t="n"/>
      <c r="L749" s="60" t="n"/>
      <c r="M749" s="61" t="n"/>
      <c r="N749" s="60" t="n"/>
      <c r="O749" s="60" t="n"/>
      <c r="P749" s="60" t="n"/>
      <c r="Q749" s="60" t="n"/>
      <c r="R749" s="60" t="n"/>
      <c r="S749" s="60" t="n"/>
      <c r="T749" s="60" t="n"/>
      <c r="U749" s="60" t="n"/>
      <c r="V749" s="60" t="n"/>
      <c r="W749" s="60" t="n"/>
      <c r="X749" s="60" t="n"/>
      <c r="Y749" s="60" t="n"/>
      <c r="Z749" s="61" t="n"/>
      <c r="AA749" s="63">
        <f>IF($H749="","",TODAY()-$H749)</f>
        <v/>
      </c>
      <c r="AB749" s="63">
        <f>IF($A749="","",IF(AND($F749="Yes",OR($U749="No",$U749="NOT FOUND")),"YES",""))</f>
        <v/>
      </c>
      <c r="AC749" s="66">
        <f>IF($A749="","",TRIM(IF(AND($P749=0,$L749&lt;&gt;"Yes"),"T0-NoSmartcard ","")&amp;IF(AND($J749&lt;&gt;"",$J749&gt;365),"StalePwd ","")&amp;IF($K749="Yes","PwdNeverExpires ","")&amp;IF(AND($S749&lt;&gt;"",$S749&lt;&gt;"None"),"Delegation ","")&amp;IF(AND($Q749=1,$O749="None"),"StaleAdminCount ","")&amp;IF(AND($F749="Yes",$H749=""),"NeverLoggedOn ","")))</f>
        <v/>
      </c>
      <c r="AD749" s="60" t="n"/>
      <c r="AE749" s="61" t="n"/>
      <c r="AF749" s="60" t="n"/>
      <c r="AG749" s="62" t="n"/>
      <c r="AH749" s="62" t="n"/>
      <c r="AI749" s="62" t="n"/>
      <c r="AJ749" s="60" t="n"/>
      <c r="AK749" s="61" t="n"/>
      <c r="AL749" s="63">
        <f>IF($A749="","",IF(AH749="","Not Enrolled",IF(TODAY()&gt;AH749,"Review Overdue",IF(AH749-TODAY()&lt;=30,"Review Due Soon","Active"))))</f>
        <v/>
      </c>
      <c r="AM749" s="63">
        <f>IF($A749="","",IF(AI749="","NOT REVIEWED",IF(TODAY()-AI749&gt;90,"OVERDUE",IF(TODAY()-AI749&gt;76,"Due Soon","Current"))))</f>
        <v/>
      </c>
    </row>
    <row r="750" ht="15" customHeight="1" s="39">
      <c r="A750" s="60" t="n"/>
      <c r="B750" s="60" t="n"/>
      <c r="C750" s="61" t="n"/>
      <c r="D750" s="61" t="n"/>
      <c r="E750" s="60" t="n"/>
      <c r="F750" s="60" t="n"/>
      <c r="G750" s="62" t="n"/>
      <c r="H750" s="62" t="n"/>
      <c r="I750" s="62" t="n"/>
      <c r="J750" s="60" t="n"/>
      <c r="K750" s="60" t="n"/>
      <c r="L750" s="60" t="n"/>
      <c r="M750" s="61" t="n"/>
      <c r="N750" s="60" t="n"/>
      <c r="O750" s="60" t="n"/>
      <c r="P750" s="60" t="n"/>
      <c r="Q750" s="60" t="n"/>
      <c r="R750" s="60" t="n"/>
      <c r="S750" s="60" t="n"/>
      <c r="T750" s="60" t="n"/>
      <c r="U750" s="60" t="n"/>
      <c r="V750" s="60" t="n"/>
      <c r="W750" s="60" t="n"/>
      <c r="X750" s="60" t="n"/>
      <c r="Y750" s="60" t="n"/>
      <c r="Z750" s="61" t="n"/>
      <c r="AA750" s="63">
        <f>IF($H750="","",TODAY()-$H750)</f>
        <v/>
      </c>
      <c r="AB750" s="63">
        <f>IF($A750="","",IF(AND($F750="Yes",OR($U750="No",$U750="NOT FOUND")),"YES",""))</f>
        <v/>
      </c>
      <c r="AC750" s="66">
        <f>IF($A750="","",TRIM(IF(AND($P750=0,$L750&lt;&gt;"Yes"),"T0-NoSmartcard ","")&amp;IF(AND($J750&lt;&gt;"",$J750&gt;365),"StalePwd ","")&amp;IF($K750="Yes","PwdNeverExpires ","")&amp;IF(AND($S750&lt;&gt;"",$S750&lt;&gt;"None"),"Delegation ","")&amp;IF(AND($Q750=1,$O750="None"),"StaleAdminCount ","")&amp;IF(AND($F750="Yes",$H750=""),"NeverLoggedOn ","")))</f>
        <v/>
      </c>
      <c r="AD750" s="60" t="n"/>
      <c r="AE750" s="61" t="n"/>
      <c r="AF750" s="60" t="n"/>
      <c r="AG750" s="62" t="n"/>
      <c r="AH750" s="62" t="n"/>
      <c r="AI750" s="62" t="n"/>
      <c r="AJ750" s="60" t="n"/>
      <c r="AK750" s="61" t="n"/>
      <c r="AL750" s="63">
        <f>IF($A750="","",IF(AH750="","Not Enrolled",IF(TODAY()&gt;AH750,"Review Overdue",IF(AH750-TODAY()&lt;=30,"Review Due Soon","Active"))))</f>
        <v/>
      </c>
      <c r="AM750" s="63">
        <f>IF($A750="","",IF(AI750="","NOT REVIEWED",IF(TODAY()-AI750&gt;90,"OVERDUE",IF(TODAY()-AI750&gt;76,"Due Soon","Current"))))</f>
        <v/>
      </c>
    </row>
    <row r="751" ht="15" customHeight="1" s="39">
      <c r="A751" s="60" t="n"/>
      <c r="B751" s="60" t="n"/>
      <c r="C751" s="61" t="n"/>
      <c r="D751" s="61" t="n"/>
      <c r="E751" s="60" t="n"/>
      <c r="F751" s="60" t="n"/>
      <c r="G751" s="62" t="n"/>
      <c r="H751" s="62" t="n"/>
      <c r="I751" s="62" t="n"/>
      <c r="J751" s="60" t="n"/>
      <c r="K751" s="60" t="n"/>
      <c r="L751" s="60" t="n"/>
      <c r="M751" s="61" t="n"/>
      <c r="N751" s="60" t="n"/>
      <c r="O751" s="60" t="n"/>
      <c r="P751" s="60" t="n"/>
      <c r="Q751" s="60" t="n"/>
      <c r="R751" s="60" t="n"/>
      <c r="S751" s="60" t="n"/>
      <c r="T751" s="60" t="n"/>
      <c r="U751" s="60" t="n"/>
      <c r="V751" s="60" t="n"/>
      <c r="W751" s="60" t="n"/>
      <c r="X751" s="60" t="n"/>
      <c r="Y751" s="60" t="n"/>
      <c r="Z751" s="61" t="n"/>
      <c r="AA751" s="63">
        <f>IF($H751="","",TODAY()-$H751)</f>
        <v/>
      </c>
      <c r="AB751" s="63">
        <f>IF($A751="","",IF(AND($F751="Yes",OR($U751="No",$U751="NOT FOUND")),"YES",""))</f>
        <v/>
      </c>
      <c r="AC751" s="66">
        <f>IF($A751="","",TRIM(IF(AND($P751=0,$L751&lt;&gt;"Yes"),"T0-NoSmartcard ","")&amp;IF(AND($J751&lt;&gt;"",$J751&gt;365),"StalePwd ","")&amp;IF($K751="Yes","PwdNeverExpires ","")&amp;IF(AND($S751&lt;&gt;"",$S751&lt;&gt;"None"),"Delegation ","")&amp;IF(AND($Q751=1,$O751="None"),"StaleAdminCount ","")&amp;IF(AND($F751="Yes",$H751=""),"NeverLoggedOn ","")))</f>
        <v/>
      </c>
      <c r="AD751" s="60" t="n"/>
      <c r="AE751" s="61" t="n"/>
      <c r="AF751" s="60" t="n"/>
      <c r="AG751" s="62" t="n"/>
      <c r="AH751" s="62" t="n"/>
      <c r="AI751" s="62" t="n"/>
      <c r="AJ751" s="60" t="n"/>
      <c r="AK751" s="61" t="n"/>
      <c r="AL751" s="63">
        <f>IF($A751="","",IF(AH751="","Not Enrolled",IF(TODAY()&gt;AH751,"Review Overdue",IF(AH751-TODAY()&lt;=30,"Review Due Soon","Active"))))</f>
        <v/>
      </c>
      <c r="AM751" s="63">
        <f>IF($A751="","",IF(AI751="","NOT REVIEWED",IF(TODAY()-AI751&gt;90,"OVERDUE",IF(TODAY()-AI751&gt;76,"Due Soon","Current"))))</f>
        <v/>
      </c>
    </row>
    <row r="752" ht="15" customHeight="1" s="39">
      <c r="A752" s="60" t="n"/>
      <c r="B752" s="60" t="n"/>
      <c r="C752" s="61" t="n"/>
      <c r="D752" s="61" t="n"/>
      <c r="E752" s="60" t="n"/>
      <c r="F752" s="60" t="n"/>
      <c r="G752" s="62" t="n"/>
      <c r="H752" s="62" t="n"/>
      <c r="I752" s="62" t="n"/>
      <c r="J752" s="60" t="n"/>
      <c r="K752" s="60" t="n"/>
      <c r="L752" s="60" t="n"/>
      <c r="M752" s="61" t="n"/>
      <c r="N752" s="60" t="n"/>
      <c r="O752" s="60" t="n"/>
      <c r="P752" s="60" t="n"/>
      <c r="Q752" s="60" t="n"/>
      <c r="R752" s="60" t="n"/>
      <c r="S752" s="60" t="n"/>
      <c r="T752" s="60" t="n"/>
      <c r="U752" s="60" t="n"/>
      <c r="V752" s="60" t="n"/>
      <c r="W752" s="60" t="n"/>
      <c r="X752" s="60" t="n"/>
      <c r="Y752" s="60" t="n"/>
      <c r="Z752" s="61" t="n"/>
      <c r="AA752" s="63">
        <f>IF($H752="","",TODAY()-$H752)</f>
        <v/>
      </c>
      <c r="AB752" s="63">
        <f>IF($A752="","",IF(AND($F752="Yes",OR($U752="No",$U752="NOT FOUND")),"YES",""))</f>
        <v/>
      </c>
      <c r="AC752" s="66">
        <f>IF($A752="","",TRIM(IF(AND($P752=0,$L752&lt;&gt;"Yes"),"T0-NoSmartcard ","")&amp;IF(AND($J752&lt;&gt;"",$J752&gt;365),"StalePwd ","")&amp;IF($K752="Yes","PwdNeverExpires ","")&amp;IF(AND($S752&lt;&gt;"",$S752&lt;&gt;"None"),"Delegation ","")&amp;IF(AND($Q752=1,$O752="None"),"StaleAdminCount ","")&amp;IF(AND($F752="Yes",$H752=""),"NeverLoggedOn ","")))</f>
        <v/>
      </c>
      <c r="AD752" s="60" t="n"/>
      <c r="AE752" s="61" t="n"/>
      <c r="AF752" s="60" t="n"/>
      <c r="AG752" s="62" t="n"/>
      <c r="AH752" s="62" t="n"/>
      <c r="AI752" s="62" t="n"/>
      <c r="AJ752" s="60" t="n"/>
      <c r="AK752" s="61" t="n"/>
      <c r="AL752" s="63">
        <f>IF($A752="","",IF(AH752="","Not Enrolled",IF(TODAY()&gt;AH752,"Review Overdue",IF(AH752-TODAY()&lt;=30,"Review Due Soon","Active"))))</f>
        <v/>
      </c>
      <c r="AM752" s="63">
        <f>IF($A752="","",IF(AI752="","NOT REVIEWED",IF(TODAY()-AI752&gt;90,"OVERDUE",IF(TODAY()-AI752&gt;76,"Due Soon","Current"))))</f>
        <v/>
      </c>
    </row>
    <row r="753" ht="15" customHeight="1" s="39">
      <c r="A753" s="60" t="n"/>
      <c r="B753" s="60" t="n"/>
      <c r="C753" s="61" t="n"/>
      <c r="D753" s="61" t="n"/>
      <c r="E753" s="60" t="n"/>
      <c r="F753" s="60" t="n"/>
      <c r="G753" s="62" t="n"/>
      <c r="H753" s="62" t="n"/>
      <c r="I753" s="62" t="n"/>
      <c r="J753" s="60" t="n"/>
      <c r="K753" s="60" t="n"/>
      <c r="L753" s="60" t="n"/>
      <c r="M753" s="61" t="n"/>
      <c r="N753" s="60" t="n"/>
      <c r="O753" s="60" t="n"/>
      <c r="P753" s="60" t="n"/>
      <c r="Q753" s="60" t="n"/>
      <c r="R753" s="60" t="n"/>
      <c r="S753" s="60" t="n"/>
      <c r="T753" s="60" t="n"/>
      <c r="U753" s="60" t="n"/>
      <c r="V753" s="60" t="n"/>
      <c r="W753" s="60" t="n"/>
      <c r="X753" s="60" t="n"/>
      <c r="Y753" s="60" t="n"/>
      <c r="Z753" s="61" t="n"/>
      <c r="AA753" s="63">
        <f>IF($H753="","",TODAY()-$H753)</f>
        <v/>
      </c>
      <c r="AB753" s="63">
        <f>IF($A753="","",IF(AND($F753="Yes",OR($U753="No",$U753="NOT FOUND")),"YES",""))</f>
        <v/>
      </c>
      <c r="AC753" s="66">
        <f>IF($A753="","",TRIM(IF(AND($P753=0,$L753&lt;&gt;"Yes"),"T0-NoSmartcard ","")&amp;IF(AND($J753&lt;&gt;"",$J753&gt;365),"StalePwd ","")&amp;IF($K753="Yes","PwdNeverExpires ","")&amp;IF(AND($S753&lt;&gt;"",$S753&lt;&gt;"None"),"Delegation ","")&amp;IF(AND($Q753=1,$O753="None"),"StaleAdminCount ","")&amp;IF(AND($F753="Yes",$H753=""),"NeverLoggedOn ","")))</f>
        <v/>
      </c>
      <c r="AD753" s="60" t="n"/>
      <c r="AE753" s="61" t="n"/>
      <c r="AF753" s="60" t="n"/>
      <c r="AG753" s="62" t="n"/>
      <c r="AH753" s="62" t="n"/>
      <c r="AI753" s="62" t="n"/>
      <c r="AJ753" s="60" t="n"/>
      <c r="AK753" s="61" t="n"/>
      <c r="AL753" s="63">
        <f>IF($A753="","",IF(AH753="","Not Enrolled",IF(TODAY()&gt;AH753,"Review Overdue",IF(AH753-TODAY()&lt;=30,"Review Due Soon","Active"))))</f>
        <v/>
      </c>
      <c r="AM753" s="63">
        <f>IF($A753="","",IF(AI753="","NOT REVIEWED",IF(TODAY()-AI753&gt;90,"OVERDUE",IF(TODAY()-AI753&gt;76,"Due Soon","Current"))))</f>
        <v/>
      </c>
    </row>
    <row r="754" ht="15" customHeight="1" s="39">
      <c r="A754" s="60" t="n"/>
      <c r="B754" s="60" t="n"/>
      <c r="C754" s="61" t="n"/>
      <c r="D754" s="61" t="n"/>
      <c r="E754" s="60" t="n"/>
      <c r="F754" s="60" t="n"/>
      <c r="G754" s="62" t="n"/>
      <c r="H754" s="62" t="n"/>
      <c r="I754" s="62" t="n"/>
      <c r="J754" s="60" t="n"/>
      <c r="K754" s="60" t="n"/>
      <c r="L754" s="60" t="n"/>
      <c r="M754" s="61" t="n"/>
      <c r="N754" s="60" t="n"/>
      <c r="O754" s="60" t="n"/>
      <c r="P754" s="60" t="n"/>
      <c r="Q754" s="60" t="n"/>
      <c r="R754" s="60" t="n"/>
      <c r="S754" s="60" t="n"/>
      <c r="T754" s="60" t="n"/>
      <c r="U754" s="60" t="n"/>
      <c r="V754" s="60" t="n"/>
      <c r="W754" s="60" t="n"/>
      <c r="X754" s="60" t="n"/>
      <c r="Y754" s="60" t="n"/>
      <c r="Z754" s="61" t="n"/>
      <c r="AA754" s="63">
        <f>IF($H754="","",TODAY()-$H754)</f>
        <v/>
      </c>
      <c r="AB754" s="63">
        <f>IF($A754="","",IF(AND($F754="Yes",OR($U754="No",$U754="NOT FOUND")),"YES",""))</f>
        <v/>
      </c>
      <c r="AC754" s="66">
        <f>IF($A754="","",TRIM(IF(AND($P754=0,$L754&lt;&gt;"Yes"),"T0-NoSmartcard ","")&amp;IF(AND($J754&lt;&gt;"",$J754&gt;365),"StalePwd ","")&amp;IF($K754="Yes","PwdNeverExpires ","")&amp;IF(AND($S754&lt;&gt;"",$S754&lt;&gt;"None"),"Delegation ","")&amp;IF(AND($Q754=1,$O754="None"),"StaleAdminCount ","")&amp;IF(AND($F754="Yes",$H754=""),"NeverLoggedOn ","")))</f>
        <v/>
      </c>
      <c r="AD754" s="60" t="n"/>
      <c r="AE754" s="61" t="n"/>
      <c r="AF754" s="60" t="n"/>
      <c r="AG754" s="62" t="n"/>
      <c r="AH754" s="62" t="n"/>
      <c r="AI754" s="62" t="n"/>
      <c r="AJ754" s="60" t="n"/>
      <c r="AK754" s="61" t="n"/>
      <c r="AL754" s="63">
        <f>IF($A754="","",IF(AH754="","Not Enrolled",IF(TODAY()&gt;AH754,"Review Overdue",IF(AH754-TODAY()&lt;=30,"Review Due Soon","Active"))))</f>
        <v/>
      </c>
      <c r="AM754" s="63">
        <f>IF($A754="","",IF(AI754="","NOT REVIEWED",IF(TODAY()-AI754&gt;90,"OVERDUE",IF(TODAY()-AI754&gt;76,"Due Soon","Current"))))</f>
        <v/>
      </c>
    </row>
    <row r="755" ht="15" customHeight="1" s="39">
      <c r="A755" s="60" t="n"/>
      <c r="B755" s="60" t="n"/>
      <c r="C755" s="61" t="n"/>
      <c r="D755" s="61" t="n"/>
      <c r="E755" s="60" t="n"/>
      <c r="F755" s="60" t="n"/>
      <c r="G755" s="62" t="n"/>
      <c r="H755" s="62" t="n"/>
      <c r="I755" s="62" t="n"/>
      <c r="J755" s="60" t="n"/>
      <c r="K755" s="60" t="n"/>
      <c r="L755" s="60" t="n"/>
      <c r="M755" s="61" t="n"/>
      <c r="N755" s="60" t="n"/>
      <c r="O755" s="60" t="n"/>
      <c r="P755" s="60" t="n"/>
      <c r="Q755" s="60" t="n"/>
      <c r="R755" s="60" t="n"/>
      <c r="S755" s="60" t="n"/>
      <c r="T755" s="60" t="n"/>
      <c r="U755" s="60" t="n"/>
      <c r="V755" s="60" t="n"/>
      <c r="W755" s="60" t="n"/>
      <c r="X755" s="60" t="n"/>
      <c r="Y755" s="60" t="n"/>
      <c r="Z755" s="61" t="n"/>
      <c r="AA755" s="63">
        <f>IF($H755="","",TODAY()-$H755)</f>
        <v/>
      </c>
      <c r="AB755" s="63">
        <f>IF($A755="","",IF(AND($F755="Yes",OR($U755="No",$U755="NOT FOUND")),"YES",""))</f>
        <v/>
      </c>
      <c r="AC755" s="66">
        <f>IF($A755="","",TRIM(IF(AND($P755=0,$L755&lt;&gt;"Yes"),"T0-NoSmartcard ","")&amp;IF(AND($J755&lt;&gt;"",$J755&gt;365),"StalePwd ","")&amp;IF($K755="Yes","PwdNeverExpires ","")&amp;IF(AND($S755&lt;&gt;"",$S755&lt;&gt;"None"),"Delegation ","")&amp;IF(AND($Q755=1,$O755="None"),"StaleAdminCount ","")&amp;IF(AND($F755="Yes",$H755=""),"NeverLoggedOn ","")))</f>
        <v/>
      </c>
      <c r="AD755" s="60" t="n"/>
      <c r="AE755" s="61" t="n"/>
      <c r="AF755" s="60" t="n"/>
      <c r="AG755" s="62" t="n"/>
      <c r="AH755" s="62" t="n"/>
      <c r="AI755" s="62" t="n"/>
      <c r="AJ755" s="60" t="n"/>
      <c r="AK755" s="61" t="n"/>
      <c r="AL755" s="63">
        <f>IF($A755="","",IF(AH755="","Not Enrolled",IF(TODAY()&gt;AH755,"Review Overdue",IF(AH755-TODAY()&lt;=30,"Review Due Soon","Active"))))</f>
        <v/>
      </c>
      <c r="AM755" s="63">
        <f>IF($A755="","",IF(AI755="","NOT REVIEWED",IF(TODAY()-AI755&gt;90,"OVERDUE",IF(TODAY()-AI755&gt;76,"Due Soon","Current"))))</f>
        <v/>
      </c>
    </row>
    <row r="756" ht="15" customHeight="1" s="39">
      <c r="A756" s="60" t="n"/>
      <c r="B756" s="60" t="n"/>
      <c r="C756" s="61" t="n"/>
      <c r="D756" s="61" t="n"/>
      <c r="E756" s="60" t="n"/>
      <c r="F756" s="60" t="n"/>
      <c r="G756" s="62" t="n"/>
      <c r="H756" s="62" t="n"/>
      <c r="I756" s="62" t="n"/>
      <c r="J756" s="60" t="n"/>
      <c r="K756" s="60" t="n"/>
      <c r="L756" s="60" t="n"/>
      <c r="M756" s="61" t="n"/>
      <c r="N756" s="60" t="n"/>
      <c r="O756" s="60" t="n"/>
      <c r="P756" s="60" t="n"/>
      <c r="Q756" s="60" t="n"/>
      <c r="R756" s="60" t="n"/>
      <c r="S756" s="60" t="n"/>
      <c r="T756" s="60" t="n"/>
      <c r="U756" s="60" t="n"/>
      <c r="V756" s="60" t="n"/>
      <c r="W756" s="60" t="n"/>
      <c r="X756" s="60" t="n"/>
      <c r="Y756" s="60" t="n"/>
      <c r="Z756" s="61" t="n"/>
      <c r="AA756" s="63">
        <f>IF($H756="","",TODAY()-$H756)</f>
        <v/>
      </c>
      <c r="AB756" s="63">
        <f>IF($A756="","",IF(AND($F756="Yes",OR($U756="No",$U756="NOT FOUND")),"YES",""))</f>
        <v/>
      </c>
      <c r="AC756" s="66">
        <f>IF($A756="","",TRIM(IF(AND($P756=0,$L756&lt;&gt;"Yes"),"T0-NoSmartcard ","")&amp;IF(AND($J756&lt;&gt;"",$J756&gt;365),"StalePwd ","")&amp;IF($K756="Yes","PwdNeverExpires ","")&amp;IF(AND($S756&lt;&gt;"",$S756&lt;&gt;"None"),"Delegation ","")&amp;IF(AND($Q756=1,$O756="None"),"StaleAdminCount ","")&amp;IF(AND($F756="Yes",$H756=""),"NeverLoggedOn ","")))</f>
        <v/>
      </c>
      <c r="AD756" s="60" t="n"/>
      <c r="AE756" s="61" t="n"/>
      <c r="AF756" s="60" t="n"/>
      <c r="AG756" s="62" t="n"/>
      <c r="AH756" s="62" t="n"/>
      <c r="AI756" s="62" t="n"/>
      <c r="AJ756" s="60" t="n"/>
      <c r="AK756" s="61" t="n"/>
      <c r="AL756" s="63">
        <f>IF($A756="","",IF(AH756="","Not Enrolled",IF(TODAY()&gt;AH756,"Review Overdue",IF(AH756-TODAY()&lt;=30,"Review Due Soon","Active"))))</f>
        <v/>
      </c>
      <c r="AM756" s="63">
        <f>IF($A756="","",IF(AI756="","NOT REVIEWED",IF(TODAY()-AI756&gt;90,"OVERDUE",IF(TODAY()-AI756&gt;76,"Due Soon","Current"))))</f>
        <v/>
      </c>
    </row>
    <row r="757" ht="15" customHeight="1" s="39">
      <c r="A757" s="60" t="n"/>
      <c r="B757" s="60" t="n"/>
      <c r="C757" s="61" t="n"/>
      <c r="D757" s="61" t="n"/>
      <c r="E757" s="60" t="n"/>
      <c r="F757" s="60" t="n"/>
      <c r="G757" s="62" t="n"/>
      <c r="H757" s="62" t="n"/>
      <c r="I757" s="62" t="n"/>
      <c r="J757" s="60" t="n"/>
      <c r="K757" s="60" t="n"/>
      <c r="L757" s="60" t="n"/>
      <c r="M757" s="61" t="n"/>
      <c r="N757" s="60" t="n"/>
      <c r="O757" s="60" t="n"/>
      <c r="P757" s="60" t="n"/>
      <c r="Q757" s="60" t="n"/>
      <c r="R757" s="60" t="n"/>
      <c r="S757" s="60" t="n"/>
      <c r="T757" s="60" t="n"/>
      <c r="U757" s="60" t="n"/>
      <c r="V757" s="60" t="n"/>
      <c r="W757" s="60" t="n"/>
      <c r="X757" s="60" t="n"/>
      <c r="Y757" s="60" t="n"/>
      <c r="Z757" s="61" t="n"/>
      <c r="AA757" s="63">
        <f>IF($H757="","",TODAY()-$H757)</f>
        <v/>
      </c>
      <c r="AB757" s="63">
        <f>IF($A757="","",IF(AND($F757="Yes",OR($U757="No",$U757="NOT FOUND")),"YES",""))</f>
        <v/>
      </c>
      <c r="AC757" s="66">
        <f>IF($A757="","",TRIM(IF(AND($P757=0,$L757&lt;&gt;"Yes"),"T0-NoSmartcard ","")&amp;IF(AND($J757&lt;&gt;"",$J757&gt;365),"StalePwd ","")&amp;IF($K757="Yes","PwdNeverExpires ","")&amp;IF(AND($S757&lt;&gt;"",$S757&lt;&gt;"None"),"Delegation ","")&amp;IF(AND($Q757=1,$O757="None"),"StaleAdminCount ","")&amp;IF(AND($F757="Yes",$H757=""),"NeverLoggedOn ","")))</f>
        <v/>
      </c>
      <c r="AD757" s="60" t="n"/>
      <c r="AE757" s="61" t="n"/>
      <c r="AF757" s="60" t="n"/>
      <c r="AG757" s="62" t="n"/>
      <c r="AH757" s="62" t="n"/>
      <c r="AI757" s="62" t="n"/>
      <c r="AJ757" s="60" t="n"/>
      <c r="AK757" s="61" t="n"/>
      <c r="AL757" s="63">
        <f>IF($A757="","",IF(AH757="","Not Enrolled",IF(TODAY()&gt;AH757,"Review Overdue",IF(AH757-TODAY()&lt;=30,"Review Due Soon","Active"))))</f>
        <v/>
      </c>
      <c r="AM757" s="63">
        <f>IF($A757="","",IF(AI757="","NOT REVIEWED",IF(TODAY()-AI757&gt;90,"OVERDUE",IF(TODAY()-AI757&gt;76,"Due Soon","Current"))))</f>
        <v/>
      </c>
    </row>
    <row r="758" ht="15" customHeight="1" s="39">
      <c r="A758" s="60" t="n"/>
      <c r="B758" s="60" t="n"/>
      <c r="C758" s="61" t="n"/>
      <c r="D758" s="61" t="n"/>
      <c r="E758" s="60" t="n"/>
      <c r="F758" s="60" t="n"/>
      <c r="G758" s="62" t="n"/>
      <c r="H758" s="62" t="n"/>
      <c r="I758" s="62" t="n"/>
      <c r="J758" s="60" t="n"/>
      <c r="K758" s="60" t="n"/>
      <c r="L758" s="60" t="n"/>
      <c r="M758" s="61" t="n"/>
      <c r="N758" s="60" t="n"/>
      <c r="O758" s="60" t="n"/>
      <c r="P758" s="60" t="n"/>
      <c r="Q758" s="60" t="n"/>
      <c r="R758" s="60" t="n"/>
      <c r="S758" s="60" t="n"/>
      <c r="T758" s="60" t="n"/>
      <c r="U758" s="60" t="n"/>
      <c r="V758" s="60" t="n"/>
      <c r="W758" s="60" t="n"/>
      <c r="X758" s="60" t="n"/>
      <c r="Y758" s="60" t="n"/>
      <c r="Z758" s="61" t="n"/>
      <c r="AA758" s="63">
        <f>IF($H758="","",TODAY()-$H758)</f>
        <v/>
      </c>
      <c r="AB758" s="63">
        <f>IF($A758="","",IF(AND($F758="Yes",OR($U758="No",$U758="NOT FOUND")),"YES",""))</f>
        <v/>
      </c>
      <c r="AC758" s="66">
        <f>IF($A758="","",TRIM(IF(AND($P758=0,$L758&lt;&gt;"Yes"),"T0-NoSmartcard ","")&amp;IF(AND($J758&lt;&gt;"",$J758&gt;365),"StalePwd ","")&amp;IF($K758="Yes","PwdNeverExpires ","")&amp;IF(AND($S758&lt;&gt;"",$S758&lt;&gt;"None"),"Delegation ","")&amp;IF(AND($Q758=1,$O758="None"),"StaleAdminCount ","")&amp;IF(AND($F758="Yes",$H758=""),"NeverLoggedOn ","")))</f>
        <v/>
      </c>
      <c r="AD758" s="60" t="n"/>
      <c r="AE758" s="61" t="n"/>
      <c r="AF758" s="60" t="n"/>
      <c r="AG758" s="62" t="n"/>
      <c r="AH758" s="62" t="n"/>
      <c r="AI758" s="62" t="n"/>
      <c r="AJ758" s="60" t="n"/>
      <c r="AK758" s="61" t="n"/>
      <c r="AL758" s="63">
        <f>IF($A758="","",IF(AH758="","Not Enrolled",IF(TODAY()&gt;AH758,"Review Overdue",IF(AH758-TODAY()&lt;=30,"Review Due Soon","Active"))))</f>
        <v/>
      </c>
      <c r="AM758" s="63">
        <f>IF($A758="","",IF(AI758="","NOT REVIEWED",IF(TODAY()-AI758&gt;90,"OVERDUE",IF(TODAY()-AI758&gt;76,"Due Soon","Current"))))</f>
        <v/>
      </c>
    </row>
    <row r="759" ht="15" customHeight="1" s="39">
      <c r="A759" s="60" t="n"/>
      <c r="B759" s="60" t="n"/>
      <c r="C759" s="61" t="n"/>
      <c r="D759" s="61" t="n"/>
      <c r="E759" s="60" t="n"/>
      <c r="F759" s="60" t="n"/>
      <c r="G759" s="62" t="n"/>
      <c r="H759" s="62" t="n"/>
      <c r="I759" s="62" t="n"/>
      <c r="J759" s="60" t="n"/>
      <c r="K759" s="60" t="n"/>
      <c r="L759" s="60" t="n"/>
      <c r="M759" s="61" t="n"/>
      <c r="N759" s="60" t="n"/>
      <c r="O759" s="60" t="n"/>
      <c r="P759" s="60" t="n"/>
      <c r="Q759" s="60" t="n"/>
      <c r="R759" s="60" t="n"/>
      <c r="S759" s="60" t="n"/>
      <c r="T759" s="60" t="n"/>
      <c r="U759" s="60" t="n"/>
      <c r="V759" s="60" t="n"/>
      <c r="W759" s="60" t="n"/>
      <c r="X759" s="60" t="n"/>
      <c r="Y759" s="60" t="n"/>
      <c r="Z759" s="61" t="n"/>
      <c r="AA759" s="63">
        <f>IF($H759="","",TODAY()-$H759)</f>
        <v/>
      </c>
      <c r="AB759" s="63">
        <f>IF($A759="","",IF(AND($F759="Yes",OR($U759="No",$U759="NOT FOUND")),"YES",""))</f>
        <v/>
      </c>
      <c r="AC759" s="66">
        <f>IF($A759="","",TRIM(IF(AND($P759=0,$L759&lt;&gt;"Yes"),"T0-NoSmartcard ","")&amp;IF(AND($J759&lt;&gt;"",$J759&gt;365),"StalePwd ","")&amp;IF($K759="Yes","PwdNeverExpires ","")&amp;IF(AND($S759&lt;&gt;"",$S759&lt;&gt;"None"),"Delegation ","")&amp;IF(AND($Q759=1,$O759="None"),"StaleAdminCount ","")&amp;IF(AND($F759="Yes",$H759=""),"NeverLoggedOn ","")))</f>
        <v/>
      </c>
      <c r="AD759" s="60" t="n"/>
      <c r="AE759" s="61" t="n"/>
      <c r="AF759" s="60" t="n"/>
      <c r="AG759" s="62" t="n"/>
      <c r="AH759" s="62" t="n"/>
      <c r="AI759" s="62" t="n"/>
      <c r="AJ759" s="60" t="n"/>
      <c r="AK759" s="61" t="n"/>
      <c r="AL759" s="63">
        <f>IF($A759="","",IF(AH759="","Not Enrolled",IF(TODAY()&gt;AH759,"Review Overdue",IF(AH759-TODAY()&lt;=30,"Review Due Soon","Active"))))</f>
        <v/>
      </c>
      <c r="AM759" s="63">
        <f>IF($A759="","",IF(AI759="","NOT REVIEWED",IF(TODAY()-AI759&gt;90,"OVERDUE",IF(TODAY()-AI759&gt;76,"Due Soon","Current"))))</f>
        <v/>
      </c>
    </row>
    <row r="760" ht="15" customHeight="1" s="39">
      <c r="A760" s="60" t="n"/>
      <c r="B760" s="60" t="n"/>
      <c r="C760" s="61" t="n"/>
      <c r="D760" s="61" t="n"/>
      <c r="E760" s="60" t="n"/>
      <c r="F760" s="60" t="n"/>
      <c r="G760" s="62" t="n"/>
      <c r="H760" s="62" t="n"/>
      <c r="I760" s="62" t="n"/>
      <c r="J760" s="60" t="n"/>
      <c r="K760" s="60" t="n"/>
      <c r="L760" s="60" t="n"/>
      <c r="M760" s="61" t="n"/>
      <c r="N760" s="60" t="n"/>
      <c r="O760" s="60" t="n"/>
      <c r="P760" s="60" t="n"/>
      <c r="Q760" s="60" t="n"/>
      <c r="R760" s="60" t="n"/>
      <c r="S760" s="60" t="n"/>
      <c r="T760" s="60" t="n"/>
      <c r="U760" s="60" t="n"/>
      <c r="V760" s="60" t="n"/>
      <c r="W760" s="60" t="n"/>
      <c r="X760" s="60" t="n"/>
      <c r="Y760" s="60" t="n"/>
      <c r="Z760" s="61" t="n"/>
      <c r="AA760" s="63">
        <f>IF($H760="","",TODAY()-$H760)</f>
        <v/>
      </c>
      <c r="AB760" s="63">
        <f>IF($A760="","",IF(AND($F760="Yes",OR($U760="No",$U760="NOT FOUND")),"YES",""))</f>
        <v/>
      </c>
      <c r="AC760" s="66">
        <f>IF($A760="","",TRIM(IF(AND($P760=0,$L760&lt;&gt;"Yes"),"T0-NoSmartcard ","")&amp;IF(AND($J760&lt;&gt;"",$J760&gt;365),"StalePwd ","")&amp;IF($K760="Yes","PwdNeverExpires ","")&amp;IF(AND($S760&lt;&gt;"",$S760&lt;&gt;"None"),"Delegation ","")&amp;IF(AND($Q760=1,$O760="None"),"StaleAdminCount ","")&amp;IF(AND($F760="Yes",$H760=""),"NeverLoggedOn ","")))</f>
        <v/>
      </c>
      <c r="AD760" s="60" t="n"/>
      <c r="AE760" s="61" t="n"/>
      <c r="AF760" s="60" t="n"/>
      <c r="AG760" s="62" t="n"/>
      <c r="AH760" s="62" t="n"/>
      <c r="AI760" s="62" t="n"/>
      <c r="AJ760" s="60" t="n"/>
      <c r="AK760" s="61" t="n"/>
      <c r="AL760" s="63">
        <f>IF($A760="","",IF(AH760="","Not Enrolled",IF(TODAY()&gt;AH760,"Review Overdue",IF(AH760-TODAY()&lt;=30,"Review Due Soon","Active"))))</f>
        <v/>
      </c>
      <c r="AM760" s="63">
        <f>IF($A760="","",IF(AI760="","NOT REVIEWED",IF(TODAY()-AI760&gt;90,"OVERDUE",IF(TODAY()-AI760&gt;76,"Due Soon","Current"))))</f>
        <v/>
      </c>
    </row>
    <row r="761" ht="15" customHeight="1" s="39">
      <c r="A761" s="60" t="n"/>
      <c r="B761" s="60" t="n"/>
      <c r="C761" s="61" t="n"/>
      <c r="D761" s="61" t="n"/>
      <c r="E761" s="60" t="n"/>
      <c r="F761" s="60" t="n"/>
      <c r="G761" s="62" t="n"/>
      <c r="H761" s="62" t="n"/>
      <c r="I761" s="62" t="n"/>
      <c r="J761" s="60" t="n"/>
      <c r="K761" s="60" t="n"/>
      <c r="L761" s="60" t="n"/>
      <c r="M761" s="61" t="n"/>
      <c r="N761" s="60" t="n"/>
      <c r="O761" s="60" t="n"/>
      <c r="P761" s="60" t="n"/>
      <c r="Q761" s="60" t="n"/>
      <c r="R761" s="60" t="n"/>
      <c r="S761" s="60" t="n"/>
      <c r="T761" s="60" t="n"/>
      <c r="U761" s="60" t="n"/>
      <c r="V761" s="60" t="n"/>
      <c r="W761" s="60" t="n"/>
      <c r="X761" s="60" t="n"/>
      <c r="Y761" s="60" t="n"/>
      <c r="Z761" s="61" t="n"/>
      <c r="AA761" s="63">
        <f>IF($H761="","",TODAY()-$H761)</f>
        <v/>
      </c>
      <c r="AB761" s="63">
        <f>IF($A761="","",IF(AND($F761="Yes",OR($U761="No",$U761="NOT FOUND")),"YES",""))</f>
        <v/>
      </c>
      <c r="AC761" s="66">
        <f>IF($A761="","",TRIM(IF(AND($P761=0,$L761&lt;&gt;"Yes"),"T0-NoSmartcard ","")&amp;IF(AND($J761&lt;&gt;"",$J761&gt;365),"StalePwd ","")&amp;IF($K761="Yes","PwdNeverExpires ","")&amp;IF(AND($S761&lt;&gt;"",$S761&lt;&gt;"None"),"Delegation ","")&amp;IF(AND($Q761=1,$O761="None"),"StaleAdminCount ","")&amp;IF(AND($F761="Yes",$H761=""),"NeverLoggedOn ","")))</f>
        <v/>
      </c>
      <c r="AD761" s="60" t="n"/>
      <c r="AE761" s="61" t="n"/>
      <c r="AF761" s="60" t="n"/>
      <c r="AG761" s="62" t="n"/>
      <c r="AH761" s="62" t="n"/>
      <c r="AI761" s="62" t="n"/>
      <c r="AJ761" s="60" t="n"/>
      <c r="AK761" s="61" t="n"/>
      <c r="AL761" s="63">
        <f>IF($A761="","",IF(AH761="","Not Enrolled",IF(TODAY()&gt;AH761,"Review Overdue",IF(AH761-TODAY()&lt;=30,"Review Due Soon","Active"))))</f>
        <v/>
      </c>
      <c r="AM761" s="63">
        <f>IF($A761="","",IF(AI761="","NOT REVIEWED",IF(TODAY()-AI761&gt;90,"OVERDUE",IF(TODAY()-AI761&gt;76,"Due Soon","Current"))))</f>
        <v/>
      </c>
    </row>
    <row r="762" ht="15" customHeight="1" s="39">
      <c r="A762" s="60" t="n"/>
      <c r="B762" s="60" t="n"/>
      <c r="C762" s="61" t="n"/>
      <c r="D762" s="61" t="n"/>
      <c r="E762" s="60" t="n"/>
      <c r="F762" s="60" t="n"/>
      <c r="G762" s="62" t="n"/>
      <c r="H762" s="62" t="n"/>
      <c r="I762" s="62" t="n"/>
      <c r="J762" s="60" t="n"/>
      <c r="K762" s="60" t="n"/>
      <c r="L762" s="60" t="n"/>
      <c r="M762" s="61" t="n"/>
      <c r="N762" s="60" t="n"/>
      <c r="O762" s="60" t="n"/>
      <c r="P762" s="60" t="n"/>
      <c r="Q762" s="60" t="n"/>
      <c r="R762" s="60" t="n"/>
      <c r="S762" s="60" t="n"/>
      <c r="T762" s="60" t="n"/>
      <c r="U762" s="60" t="n"/>
      <c r="V762" s="60" t="n"/>
      <c r="W762" s="60" t="n"/>
      <c r="X762" s="60" t="n"/>
      <c r="Y762" s="60" t="n"/>
      <c r="Z762" s="61" t="n"/>
      <c r="AA762" s="63">
        <f>IF($H762="","",TODAY()-$H762)</f>
        <v/>
      </c>
      <c r="AB762" s="63">
        <f>IF($A762="","",IF(AND($F762="Yes",OR($U762="No",$U762="NOT FOUND")),"YES",""))</f>
        <v/>
      </c>
      <c r="AC762" s="66">
        <f>IF($A762="","",TRIM(IF(AND($P762=0,$L762&lt;&gt;"Yes"),"T0-NoSmartcard ","")&amp;IF(AND($J762&lt;&gt;"",$J762&gt;365),"StalePwd ","")&amp;IF($K762="Yes","PwdNeverExpires ","")&amp;IF(AND($S762&lt;&gt;"",$S762&lt;&gt;"None"),"Delegation ","")&amp;IF(AND($Q762=1,$O762="None"),"StaleAdminCount ","")&amp;IF(AND($F762="Yes",$H762=""),"NeverLoggedOn ","")))</f>
        <v/>
      </c>
      <c r="AD762" s="60" t="n"/>
      <c r="AE762" s="61" t="n"/>
      <c r="AF762" s="60" t="n"/>
      <c r="AG762" s="62" t="n"/>
      <c r="AH762" s="62" t="n"/>
      <c r="AI762" s="62" t="n"/>
      <c r="AJ762" s="60" t="n"/>
      <c r="AK762" s="61" t="n"/>
      <c r="AL762" s="63">
        <f>IF($A762="","",IF(AH762="","Not Enrolled",IF(TODAY()&gt;AH762,"Review Overdue",IF(AH762-TODAY()&lt;=30,"Review Due Soon","Active"))))</f>
        <v/>
      </c>
      <c r="AM762" s="63">
        <f>IF($A762="","",IF(AI762="","NOT REVIEWED",IF(TODAY()-AI762&gt;90,"OVERDUE",IF(TODAY()-AI762&gt;76,"Due Soon","Current"))))</f>
        <v/>
      </c>
    </row>
    <row r="763" ht="15" customHeight="1" s="39">
      <c r="A763" s="60" t="n"/>
      <c r="B763" s="60" t="n"/>
      <c r="C763" s="61" t="n"/>
      <c r="D763" s="61" t="n"/>
      <c r="E763" s="60" t="n"/>
      <c r="F763" s="60" t="n"/>
      <c r="G763" s="62" t="n"/>
      <c r="H763" s="62" t="n"/>
      <c r="I763" s="62" t="n"/>
      <c r="J763" s="60" t="n"/>
      <c r="K763" s="60" t="n"/>
      <c r="L763" s="60" t="n"/>
      <c r="M763" s="61" t="n"/>
      <c r="N763" s="60" t="n"/>
      <c r="O763" s="60" t="n"/>
      <c r="P763" s="60" t="n"/>
      <c r="Q763" s="60" t="n"/>
      <c r="R763" s="60" t="n"/>
      <c r="S763" s="60" t="n"/>
      <c r="T763" s="60" t="n"/>
      <c r="U763" s="60" t="n"/>
      <c r="V763" s="60" t="n"/>
      <c r="W763" s="60" t="n"/>
      <c r="X763" s="60" t="n"/>
      <c r="Y763" s="60" t="n"/>
      <c r="Z763" s="61" t="n"/>
      <c r="AA763" s="63">
        <f>IF($H763="","",TODAY()-$H763)</f>
        <v/>
      </c>
      <c r="AB763" s="63">
        <f>IF($A763="","",IF(AND($F763="Yes",OR($U763="No",$U763="NOT FOUND")),"YES",""))</f>
        <v/>
      </c>
      <c r="AC763" s="66">
        <f>IF($A763="","",TRIM(IF(AND($P763=0,$L763&lt;&gt;"Yes"),"T0-NoSmartcard ","")&amp;IF(AND($J763&lt;&gt;"",$J763&gt;365),"StalePwd ","")&amp;IF($K763="Yes","PwdNeverExpires ","")&amp;IF(AND($S763&lt;&gt;"",$S763&lt;&gt;"None"),"Delegation ","")&amp;IF(AND($Q763=1,$O763="None"),"StaleAdminCount ","")&amp;IF(AND($F763="Yes",$H763=""),"NeverLoggedOn ","")))</f>
        <v/>
      </c>
      <c r="AD763" s="60" t="n"/>
      <c r="AE763" s="61" t="n"/>
      <c r="AF763" s="60" t="n"/>
      <c r="AG763" s="62" t="n"/>
      <c r="AH763" s="62" t="n"/>
      <c r="AI763" s="62" t="n"/>
      <c r="AJ763" s="60" t="n"/>
      <c r="AK763" s="61" t="n"/>
      <c r="AL763" s="63">
        <f>IF($A763="","",IF(AH763="","Not Enrolled",IF(TODAY()&gt;AH763,"Review Overdue",IF(AH763-TODAY()&lt;=30,"Review Due Soon","Active"))))</f>
        <v/>
      </c>
      <c r="AM763" s="63">
        <f>IF($A763="","",IF(AI763="","NOT REVIEWED",IF(TODAY()-AI763&gt;90,"OVERDUE",IF(TODAY()-AI763&gt;76,"Due Soon","Current"))))</f>
        <v/>
      </c>
    </row>
    <row r="764" ht="15" customHeight="1" s="39">
      <c r="A764" s="60" t="n"/>
      <c r="B764" s="60" t="n"/>
      <c r="C764" s="61" t="n"/>
      <c r="D764" s="61" t="n"/>
      <c r="E764" s="60" t="n"/>
      <c r="F764" s="60" t="n"/>
      <c r="G764" s="62" t="n"/>
      <c r="H764" s="62" t="n"/>
      <c r="I764" s="62" t="n"/>
      <c r="J764" s="60" t="n"/>
      <c r="K764" s="60" t="n"/>
      <c r="L764" s="60" t="n"/>
      <c r="M764" s="61" t="n"/>
      <c r="N764" s="60" t="n"/>
      <c r="O764" s="60" t="n"/>
      <c r="P764" s="60" t="n"/>
      <c r="Q764" s="60" t="n"/>
      <c r="R764" s="60" t="n"/>
      <c r="S764" s="60" t="n"/>
      <c r="T764" s="60" t="n"/>
      <c r="U764" s="60" t="n"/>
      <c r="V764" s="60" t="n"/>
      <c r="W764" s="60" t="n"/>
      <c r="X764" s="60" t="n"/>
      <c r="Y764" s="60" t="n"/>
      <c r="Z764" s="61" t="n"/>
      <c r="AA764" s="63">
        <f>IF($H764="","",TODAY()-$H764)</f>
        <v/>
      </c>
      <c r="AB764" s="63">
        <f>IF($A764="","",IF(AND($F764="Yes",OR($U764="No",$U764="NOT FOUND")),"YES",""))</f>
        <v/>
      </c>
      <c r="AC764" s="66">
        <f>IF($A764="","",TRIM(IF(AND($P764=0,$L764&lt;&gt;"Yes"),"T0-NoSmartcard ","")&amp;IF(AND($J764&lt;&gt;"",$J764&gt;365),"StalePwd ","")&amp;IF($K764="Yes","PwdNeverExpires ","")&amp;IF(AND($S764&lt;&gt;"",$S764&lt;&gt;"None"),"Delegation ","")&amp;IF(AND($Q764=1,$O764="None"),"StaleAdminCount ","")&amp;IF(AND($F764="Yes",$H764=""),"NeverLoggedOn ","")))</f>
        <v/>
      </c>
      <c r="AD764" s="60" t="n"/>
      <c r="AE764" s="61" t="n"/>
      <c r="AF764" s="60" t="n"/>
      <c r="AG764" s="62" t="n"/>
      <c r="AH764" s="62" t="n"/>
      <c r="AI764" s="62" t="n"/>
      <c r="AJ764" s="60" t="n"/>
      <c r="AK764" s="61" t="n"/>
      <c r="AL764" s="63">
        <f>IF($A764="","",IF(AH764="","Not Enrolled",IF(TODAY()&gt;AH764,"Review Overdue",IF(AH764-TODAY()&lt;=30,"Review Due Soon","Active"))))</f>
        <v/>
      </c>
      <c r="AM764" s="63">
        <f>IF($A764="","",IF(AI764="","NOT REVIEWED",IF(TODAY()-AI764&gt;90,"OVERDUE",IF(TODAY()-AI764&gt;76,"Due Soon","Current"))))</f>
        <v/>
      </c>
    </row>
    <row r="765" ht="15" customHeight="1" s="39">
      <c r="A765" s="60" t="n"/>
      <c r="B765" s="60" t="n"/>
      <c r="C765" s="61" t="n"/>
      <c r="D765" s="61" t="n"/>
      <c r="E765" s="60" t="n"/>
      <c r="F765" s="60" t="n"/>
      <c r="G765" s="62" t="n"/>
      <c r="H765" s="62" t="n"/>
      <c r="I765" s="62" t="n"/>
      <c r="J765" s="60" t="n"/>
      <c r="K765" s="60" t="n"/>
      <c r="L765" s="60" t="n"/>
      <c r="M765" s="61" t="n"/>
      <c r="N765" s="60" t="n"/>
      <c r="O765" s="60" t="n"/>
      <c r="P765" s="60" t="n"/>
      <c r="Q765" s="60" t="n"/>
      <c r="R765" s="60" t="n"/>
      <c r="S765" s="60" t="n"/>
      <c r="T765" s="60" t="n"/>
      <c r="U765" s="60" t="n"/>
      <c r="V765" s="60" t="n"/>
      <c r="W765" s="60" t="n"/>
      <c r="X765" s="60" t="n"/>
      <c r="Y765" s="60" t="n"/>
      <c r="Z765" s="61" t="n"/>
      <c r="AA765" s="63">
        <f>IF($H765="","",TODAY()-$H765)</f>
        <v/>
      </c>
      <c r="AB765" s="63">
        <f>IF($A765="","",IF(AND($F765="Yes",OR($U765="No",$U765="NOT FOUND")),"YES",""))</f>
        <v/>
      </c>
      <c r="AC765" s="66">
        <f>IF($A765="","",TRIM(IF(AND($P765=0,$L765&lt;&gt;"Yes"),"T0-NoSmartcard ","")&amp;IF(AND($J765&lt;&gt;"",$J765&gt;365),"StalePwd ","")&amp;IF($K765="Yes","PwdNeverExpires ","")&amp;IF(AND($S765&lt;&gt;"",$S765&lt;&gt;"None"),"Delegation ","")&amp;IF(AND($Q765=1,$O765="None"),"StaleAdminCount ","")&amp;IF(AND($F765="Yes",$H765=""),"NeverLoggedOn ","")))</f>
        <v/>
      </c>
      <c r="AD765" s="60" t="n"/>
      <c r="AE765" s="61" t="n"/>
      <c r="AF765" s="60" t="n"/>
      <c r="AG765" s="62" t="n"/>
      <c r="AH765" s="62" t="n"/>
      <c r="AI765" s="62" t="n"/>
      <c r="AJ765" s="60" t="n"/>
      <c r="AK765" s="61" t="n"/>
      <c r="AL765" s="63">
        <f>IF($A765="","",IF(AH765="","Not Enrolled",IF(TODAY()&gt;AH765,"Review Overdue",IF(AH765-TODAY()&lt;=30,"Review Due Soon","Active"))))</f>
        <v/>
      </c>
      <c r="AM765" s="63">
        <f>IF($A765="","",IF(AI765="","NOT REVIEWED",IF(TODAY()-AI765&gt;90,"OVERDUE",IF(TODAY()-AI765&gt;76,"Due Soon","Current"))))</f>
        <v/>
      </c>
    </row>
    <row r="766" ht="15" customHeight="1" s="39">
      <c r="A766" s="60" t="n"/>
      <c r="B766" s="60" t="n"/>
      <c r="C766" s="61" t="n"/>
      <c r="D766" s="61" t="n"/>
      <c r="E766" s="60" t="n"/>
      <c r="F766" s="60" t="n"/>
      <c r="G766" s="62" t="n"/>
      <c r="H766" s="62" t="n"/>
      <c r="I766" s="62" t="n"/>
      <c r="J766" s="60" t="n"/>
      <c r="K766" s="60" t="n"/>
      <c r="L766" s="60" t="n"/>
      <c r="M766" s="61" t="n"/>
      <c r="N766" s="60" t="n"/>
      <c r="O766" s="60" t="n"/>
      <c r="P766" s="60" t="n"/>
      <c r="Q766" s="60" t="n"/>
      <c r="R766" s="60" t="n"/>
      <c r="S766" s="60" t="n"/>
      <c r="T766" s="60" t="n"/>
      <c r="U766" s="60" t="n"/>
      <c r="V766" s="60" t="n"/>
      <c r="W766" s="60" t="n"/>
      <c r="X766" s="60" t="n"/>
      <c r="Y766" s="60" t="n"/>
      <c r="Z766" s="61" t="n"/>
      <c r="AA766" s="63">
        <f>IF($H766="","",TODAY()-$H766)</f>
        <v/>
      </c>
      <c r="AB766" s="63">
        <f>IF($A766="","",IF(AND($F766="Yes",OR($U766="No",$U766="NOT FOUND")),"YES",""))</f>
        <v/>
      </c>
      <c r="AC766" s="66">
        <f>IF($A766="","",TRIM(IF(AND($P766=0,$L766&lt;&gt;"Yes"),"T0-NoSmartcard ","")&amp;IF(AND($J766&lt;&gt;"",$J766&gt;365),"StalePwd ","")&amp;IF($K766="Yes","PwdNeverExpires ","")&amp;IF(AND($S766&lt;&gt;"",$S766&lt;&gt;"None"),"Delegation ","")&amp;IF(AND($Q766=1,$O766="None"),"StaleAdminCount ","")&amp;IF(AND($F766="Yes",$H766=""),"NeverLoggedOn ","")))</f>
        <v/>
      </c>
      <c r="AD766" s="60" t="n"/>
      <c r="AE766" s="61" t="n"/>
      <c r="AF766" s="60" t="n"/>
      <c r="AG766" s="62" t="n"/>
      <c r="AH766" s="62" t="n"/>
      <c r="AI766" s="62" t="n"/>
      <c r="AJ766" s="60" t="n"/>
      <c r="AK766" s="61" t="n"/>
      <c r="AL766" s="63">
        <f>IF($A766="","",IF(AH766="","Not Enrolled",IF(TODAY()&gt;AH766,"Review Overdue",IF(AH766-TODAY()&lt;=30,"Review Due Soon","Active"))))</f>
        <v/>
      </c>
      <c r="AM766" s="63">
        <f>IF($A766="","",IF(AI766="","NOT REVIEWED",IF(TODAY()-AI766&gt;90,"OVERDUE",IF(TODAY()-AI766&gt;76,"Due Soon","Current"))))</f>
        <v/>
      </c>
    </row>
    <row r="767" ht="15" customHeight="1" s="39">
      <c r="A767" s="60" t="n"/>
      <c r="B767" s="60" t="n"/>
      <c r="C767" s="61" t="n"/>
      <c r="D767" s="61" t="n"/>
      <c r="E767" s="60" t="n"/>
      <c r="F767" s="60" t="n"/>
      <c r="G767" s="62" t="n"/>
      <c r="H767" s="62" t="n"/>
      <c r="I767" s="62" t="n"/>
      <c r="J767" s="60" t="n"/>
      <c r="K767" s="60" t="n"/>
      <c r="L767" s="60" t="n"/>
      <c r="M767" s="61" t="n"/>
      <c r="N767" s="60" t="n"/>
      <c r="O767" s="60" t="n"/>
      <c r="P767" s="60" t="n"/>
      <c r="Q767" s="60" t="n"/>
      <c r="R767" s="60" t="n"/>
      <c r="S767" s="60" t="n"/>
      <c r="T767" s="60" t="n"/>
      <c r="U767" s="60" t="n"/>
      <c r="V767" s="60" t="n"/>
      <c r="W767" s="60" t="n"/>
      <c r="X767" s="60" t="n"/>
      <c r="Y767" s="60" t="n"/>
      <c r="Z767" s="61" t="n"/>
      <c r="AA767" s="63">
        <f>IF($H767="","",TODAY()-$H767)</f>
        <v/>
      </c>
      <c r="AB767" s="63">
        <f>IF($A767="","",IF(AND($F767="Yes",OR($U767="No",$U767="NOT FOUND")),"YES",""))</f>
        <v/>
      </c>
      <c r="AC767" s="66">
        <f>IF($A767="","",TRIM(IF(AND($P767=0,$L767&lt;&gt;"Yes"),"T0-NoSmartcard ","")&amp;IF(AND($J767&lt;&gt;"",$J767&gt;365),"StalePwd ","")&amp;IF($K767="Yes","PwdNeverExpires ","")&amp;IF(AND($S767&lt;&gt;"",$S767&lt;&gt;"None"),"Delegation ","")&amp;IF(AND($Q767=1,$O767="None"),"StaleAdminCount ","")&amp;IF(AND($F767="Yes",$H767=""),"NeverLoggedOn ","")))</f>
        <v/>
      </c>
      <c r="AD767" s="60" t="n"/>
      <c r="AE767" s="61" t="n"/>
      <c r="AF767" s="60" t="n"/>
      <c r="AG767" s="62" t="n"/>
      <c r="AH767" s="62" t="n"/>
      <c r="AI767" s="62" t="n"/>
      <c r="AJ767" s="60" t="n"/>
      <c r="AK767" s="61" t="n"/>
      <c r="AL767" s="63">
        <f>IF($A767="","",IF(AH767="","Not Enrolled",IF(TODAY()&gt;AH767,"Review Overdue",IF(AH767-TODAY()&lt;=30,"Review Due Soon","Active"))))</f>
        <v/>
      </c>
      <c r="AM767" s="63">
        <f>IF($A767="","",IF(AI767="","NOT REVIEWED",IF(TODAY()-AI767&gt;90,"OVERDUE",IF(TODAY()-AI767&gt;76,"Due Soon","Current"))))</f>
        <v/>
      </c>
    </row>
    <row r="768" ht="15" customHeight="1" s="39">
      <c r="A768" s="60" t="n"/>
      <c r="B768" s="60" t="n"/>
      <c r="C768" s="61" t="n"/>
      <c r="D768" s="61" t="n"/>
      <c r="E768" s="60" t="n"/>
      <c r="F768" s="60" t="n"/>
      <c r="G768" s="62" t="n"/>
      <c r="H768" s="62" t="n"/>
      <c r="I768" s="62" t="n"/>
      <c r="J768" s="60" t="n"/>
      <c r="K768" s="60" t="n"/>
      <c r="L768" s="60" t="n"/>
      <c r="M768" s="61" t="n"/>
      <c r="N768" s="60" t="n"/>
      <c r="O768" s="60" t="n"/>
      <c r="P768" s="60" t="n"/>
      <c r="Q768" s="60" t="n"/>
      <c r="R768" s="60" t="n"/>
      <c r="S768" s="60" t="n"/>
      <c r="T768" s="60" t="n"/>
      <c r="U768" s="60" t="n"/>
      <c r="V768" s="60" t="n"/>
      <c r="W768" s="60" t="n"/>
      <c r="X768" s="60" t="n"/>
      <c r="Y768" s="60" t="n"/>
      <c r="Z768" s="61" t="n"/>
      <c r="AA768" s="63">
        <f>IF($H768="","",TODAY()-$H768)</f>
        <v/>
      </c>
      <c r="AB768" s="63">
        <f>IF($A768="","",IF(AND($F768="Yes",OR($U768="No",$U768="NOT FOUND")),"YES",""))</f>
        <v/>
      </c>
      <c r="AC768" s="66">
        <f>IF($A768="","",TRIM(IF(AND($P768=0,$L768&lt;&gt;"Yes"),"T0-NoSmartcard ","")&amp;IF(AND($J768&lt;&gt;"",$J768&gt;365),"StalePwd ","")&amp;IF($K768="Yes","PwdNeverExpires ","")&amp;IF(AND($S768&lt;&gt;"",$S768&lt;&gt;"None"),"Delegation ","")&amp;IF(AND($Q768=1,$O768="None"),"StaleAdminCount ","")&amp;IF(AND($F768="Yes",$H768=""),"NeverLoggedOn ","")))</f>
        <v/>
      </c>
      <c r="AD768" s="60" t="n"/>
      <c r="AE768" s="61" t="n"/>
      <c r="AF768" s="60" t="n"/>
      <c r="AG768" s="62" t="n"/>
      <c r="AH768" s="62" t="n"/>
      <c r="AI768" s="62" t="n"/>
      <c r="AJ768" s="60" t="n"/>
      <c r="AK768" s="61" t="n"/>
      <c r="AL768" s="63">
        <f>IF($A768="","",IF(AH768="","Not Enrolled",IF(TODAY()&gt;AH768,"Review Overdue",IF(AH768-TODAY()&lt;=30,"Review Due Soon","Active"))))</f>
        <v/>
      </c>
      <c r="AM768" s="63">
        <f>IF($A768="","",IF(AI768="","NOT REVIEWED",IF(TODAY()-AI768&gt;90,"OVERDUE",IF(TODAY()-AI768&gt;76,"Due Soon","Current"))))</f>
        <v/>
      </c>
    </row>
    <row r="769" ht="15" customHeight="1" s="39">
      <c r="A769" s="60" t="n"/>
      <c r="B769" s="60" t="n"/>
      <c r="C769" s="61" t="n"/>
      <c r="D769" s="61" t="n"/>
      <c r="E769" s="60" t="n"/>
      <c r="F769" s="60" t="n"/>
      <c r="G769" s="62" t="n"/>
      <c r="H769" s="62" t="n"/>
      <c r="I769" s="62" t="n"/>
      <c r="J769" s="60" t="n"/>
      <c r="K769" s="60" t="n"/>
      <c r="L769" s="60" t="n"/>
      <c r="M769" s="61" t="n"/>
      <c r="N769" s="60" t="n"/>
      <c r="O769" s="60" t="n"/>
      <c r="P769" s="60" t="n"/>
      <c r="Q769" s="60" t="n"/>
      <c r="R769" s="60" t="n"/>
      <c r="S769" s="60" t="n"/>
      <c r="T769" s="60" t="n"/>
      <c r="U769" s="60" t="n"/>
      <c r="V769" s="60" t="n"/>
      <c r="W769" s="60" t="n"/>
      <c r="X769" s="60" t="n"/>
      <c r="Y769" s="60" t="n"/>
      <c r="Z769" s="61" t="n"/>
      <c r="AA769" s="63">
        <f>IF($H769="","",TODAY()-$H769)</f>
        <v/>
      </c>
      <c r="AB769" s="63">
        <f>IF($A769="","",IF(AND($F769="Yes",OR($U769="No",$U769="NOT FOUND")),"YES",""))</f>
        <v/>
      </c>
      <c r="AC769" s="66">
        <f>IF($A769="","",TRIM(IF(AND($P769=0,$L769&lt;&gt;"Yes"),"T0-NoSmartcard ","")&amp;IF(AND($J769&lt;&gt;"",$J769&gt;365),"StalePwd ","")&amp;IF($K769="Yes","PwdNeverExpires ","")&amp;IF(AND($S769&lt;&gt;"",$S769&lt;&gt;"None"),"Delegation ","")&amp;IF(AND($Q769=1,$O769="None"),"StaleAdminCount ","")&amp;IF(AND($F769="Yes",$H769=""),"NeverLoggedOn ","")))</f>
        <v/>
      </c>
      <c r="AD769" s="60" t="n"/>
      <c r="AE769" s="61" t="n"/>
      <c r="AF769" s="60" t="n"/>
      <c r="AG769" s="62" t="n"/>
      <c r="AH769" s="62" t="n"/>
      <c r="AI769" s="62" t="n"/>
      <c r="AJ769" s="60" t="n"/>
      <c r="AK769" s="61" t="n"/>
      <c r="AL769" s="63">
        <f>IF($A769="","",IF(AH769="","Not Enrolled",IF(TODAY()&gt;AH769,"Review Overdue",IF(AH769-TODAY()&lt;=30,"Review Due Soon","Active"))))</f>
        <v/>
      </c>
      <c r="AM769" s="63">
        <f>IF($A769="","",IF(AI769="","NOT REVIEWED",IF(TODAY()-AI769&gt;90,"OVERDUE",IF(TODAY()-AI769&gt;76,"Due Soon","Current"))))</f>
        <v/>
      </c>
    </row>
    <row r="770" ht="15" customHeight="1" s="39">
      <c r="A770" s="60" t="n"/>
      <c r="B770" s="60" t="n"/>
      <c r="C770" s="61" t="n"/>
      <c r="D770" s="61" t="n"/>
      <c r="E770" s="60" t="n"/>
      <c r="F770" s="60" t="n"/>
      <c r="G770" s="62" t="n"/>
      <c r="H770" s="62" t="n"/>
      <c r="I770" s="62" t="n"/>
      <c r="J770" s="60" t="n"/>
      <c r="K770" s="60" t="n"/>
      <c r="L770" s="60" t="n"/>
      <c r="M770" s="61" t="n"/>
      <c r="N770" s="60" t="n"/>
      <c r="O770" s="60" t="n"/>
      <c r="P770" s="60" t="n"/>
      <c r="Q770" s="60" t="n"/>
      <c r="R770" s="60" t="n"/>
      <c r="S770" s="60" t="n"/>
      <c r="T770" s="60" t="n"/>
      <c r="U770" s="60" t="n"/>
      <c r="V770" s="60" t="n"/>
      <c r="W770" s="60" t="n"/>
      <c r="X770" s="60" t="n"/>
      <c r="Y770" s="60" t="n"/>
      <c r="Z770" s="61" t="n"/>
      <c r="AA770" s="63">
        <f>IF($H770="","",TODAY()-$H770)</f>
        <v/>
      </c>
      <c r="AB770" s="63">
        <f>IF($A770="","",IF(AND($F770="Yes",OR($U770="No",$U770="NOT FOUND")),"YES",""))</f>
        <v/>
      </c>
      <c r="AC770" s="66">
        <f>IF($A770="","",TRIM(IF(AND($P770=0,$L770&lt;&gt;"Yes"),"T0-NoSmartcard ","")&amp;IF(AND($J770&lt;&gt;"",$J770&gt;365),"StalePwd ","")&amp;IF($K770="Yes","PwdNeverExpires ","")&amp;IF(AND($S770&lt;&gt;"",$S770&lt;&gt;"None"),"Delegation ","")&amp;IF(AND($Q770=1,$O770="None"),"StaleAdminCount ","")&amp;IF(AND($F770="Yes",$H770=""),"NeverLoggedOn ","")))</f>
        <v/>
      </c>
      <c r="AD770" s="60" t="n"/>
      <c r="AE770" s="61" t="n"/>
      <c r="AF770" s="60" t="n"/>
      <c r="AG770" s="62" t="n"/>
      <c r="AH770" s="62" t="n"/>
      <c r="AI770" s="62" t="n"/>
      <c r="AJ770" s="60" t="n"/>
      <c r="AK770" s="61" t="n"/>
      <c r="AL770" s="63">
        <f>IF($A770="","",IF(AH770="","Not Enrolled",IF(TODAY()&gt;AH770,"Review Overdue",IF(AH770-TODAY()&lt;=30,"Review Due Soon","Active"))))</f>
        <v/>
      </c>
      <c r="AM770" s="63">
        <f>IF($A770="","",IF(AI770="","NOT REVIEWED",IF(TODAY()-AI770&gt;90,"OVERDUE",IF(TODAY()-AI770&gt;76,"Due Soon","Current"))))</f>
        <v/>
      </c>
    </row>
    <row r="771" ht="15" customHeight="1" s="39">
      <c r="A771" s="60" t="n"/>
      <c r="B771" s="60" t="n"/>
      <c r="C771" s="61" t="n"/>
      <c r="D771" s="61" t="n"/>
      <c r="E771" s="60" t="n"/>
      <c r="F771" s="60" t="n"/>
      <c r="G771" s="62" t="n"/>
      <c r="H771" s="62" t="n"/>
      <c r="I771" s="62" t="n"/>
      <c r="J771" s="60" t="n"/>
      <c r="K771" s="60" t="n"/>
      <c r="L771" s="60" t="n"/>
      <c r="M771" s="61" t="n"/>
      <c r="N771" s="60" t="n"/>
      <c r="O771" s="60" t="n"/>
      <c r="P771" s="60" t="n"/>
      <c r="Q771" s="60" t="n"/>
      <c r="R771" s="60" t="n"/>
      <c r="S771" s="60" t="n"/>
      <c r="T771" s="60" t="n"/>
      <c r="U771" s="60" t="n"/>
      <c r="V771" s="60" t="n"/>
      <c r="W771" s="60" t="n"/>
      <c r="X771" s="60" t="n"/>
      <c r="Y771" s="60" t="n"/>
      <c r="Z771" s="61" t="n"/>
      <c r="AA771" s="63">
        <f>IF($H771="","",TODAY()-$H771)</f>
        <v/>
      </c>
      <c r="AB771" s="63">
        <f>IF($A771="","",IF(AND($F771="Yes",OR($U771="No",$U771="NOT FOUND")),"YES",""))</f>
        <v/>
      </c>
      <c r="AC771" s="66">
        <f>IF($A771="","",TRIM(IF(AND($P771=0,$L771&lt;&gt;"Yes"),"T0-NoSmartcard ","")&amp;IF(AND($J771&lt;&gt;"",$J771&gt;365),"StalePwd ","")&amp;IF($K771="Yes","PwdNeverExpires ","")&amp;IF(AND($S771&lt;&gt;"",$S771&lt;&gt;"None"),"Delegation ","")&amp;IF(AND($Q771=1,$O771="None"),"StaleAdminCount ","")&amp;IF(AND($F771="Yes",$H771=""),"NeverLoggedOn ","")))</f>
        <v/>
      </c>
      <c r="AD771" s="60" t="n"/>
      <c r="AE771" s="61" t="n"/>
      <c r="AF771" s="60" t="n"/>
      <c r="AG771" s="62" t="n"/>
      <c r="AH771" s="62" t="n"/>
      <c r="AI771" s="62" t="n"/>
      <c r="AJ771" s="60" t="n"/>
      <c r="AK771" s="61" t="n"/>
      <c r="AL771" s="63">
        <f>IF($A771="","",IF(AH771="","Not Enrolled",IF(TODAY()&gt;AH771,"Review Overdue",IF(AH771-TODAY()&lt;=30,"Review Due Soon","Active"))))</f>
        <v/>
      </c>
      <c r="AM771" s="63">
        <f>IF($A771="","",IF(AI771="","NOT REVIEWED",IF(TODAY()-AI771&gt;90,"OVERDUE",IF(TODAY()-AI771&gt;76,"Due Soon","Current"))))</f>
        <v/>
      </c>
    </row>
    <row r="772" ht="15" customHeight="1" s="39">
      <c r="A772" s="60" t="n"/>
      <c r="B772" s="60" t="n"/>
      <c r="C772" s="61" t="n"/>
      <c r="D772" s="61" t="n"/>
      <c r="E772" s="60" t="n"/>
      <c r="F772" s="60" t="n"/>
      <c r="G772" s="62" t="n"/>
      <c r="H772" s="62" t="n"/>
      <c r="I772" s="62" t="n"/>
      <c r="J772" s="60" t="n"/>
      <c r="K772" s="60" t="n"/>
      <c r="L772" s="60" t="n"/>
      <c r="M772" s="61" t="n"/>
      <c r="N772" s="60" t="n"/>
      <c r="O772" s="60" t="n"/>
      <c r="P772" s="60" t="n"/>
      <c r="Q772" s="60" t="n"/>
      <c r="R772" s="60" t="n"/>
      <c r="S772" s="60" t="n"/>
      <c r="T772" s="60" t="n"/>
      <c r="U772" s="60" t="n"/>
      <c r="V772" s="60" t="n"/>
      <c r="W772" s="60" t="n"/>
      <c r="X772" s="60" t="n"/>
      <c r="Y772" s="60" t="n"/>
      <c r="Z772" s="61" t="n"/>
      <c r="AA772" s="63">
        <f>IF($H772="","",TODAY()-$H772)</f>
        <v/>
      </c>
      <c r="AB772" s="63">
        <f>IF($A772="","",IF(AND($F772="Yes",OR($U772="No",$U772="NOT FOUND")),"YES",""))</f>
        <v/>
      </c>
      <c r="AC772" s="66">
        <f>IF($A772="","",TRIM(IF(AND($P772=0,$L772&lt;&gt;"Yes"),"T0-NoSmartcard ","")&amp;IF(AND($J772&lt;&gt;"",$J772&gt;365),"StalePwd ","")&amp;IF($K772="Yes","PwdNeverExpires ","")&amp;IF(AND($S772&lt;&gt;"",$S772&lt;&gt;"None"),"Delegation ","")&amp;IF(AND($Q772=1,$O772="None"),"StaleAdminCount ","")&amp;IF(AND($F772="Yes",$H772=""),"NeverLoggedOn ","")))</f>
        <v/>
      </c>
      <c r="AD772" s="60" t="n"/>
      <c r="AE772" s="61" t="n"/>
      <c r="AF772" s="60" t="n"/>
      <c r="AG772" s="62" t="n"/>
      <c r="AH772" s="62" t="n"/>
      <c r="AI772" s="62" t="n"/>
      <c r="AJ772" s="60" t="n"/>
      <c r="AK772" s="61" t="n"/>
      <c r="AL772" s="63">
        <f>IF($A772="","",IF(AH772="","Not Enrolled",IF(TODAY()&gt;AH772,"Review Overdue",IF(AH772-TODAY()&lt;=30,"Review Due Soon","Active"))))</f>
        <v/>
      </c>
      <c r="AM772" s="63">
        <f>IF($A772="","",IF(AI772="","NOT REVIEWED",IF(TODAY()-AI772&gt;90,"OVERDUE",IF(TODAY()-AI772&gt;76,"Due Soon","Current"))))</f>
        <v/>
      </c>
    </row>
    <row r="773" ht="15" customHeight="1" s="39">
      <c r="A773" s="60" t="n"/>
      <c r="B773" s="60" t="n"/>
      <c r="C773" s="61" t="n"/>
      <c r="D773" s="61" t="n"/>
      <c r="E773" s="60" t="n"/>
      <c r="F773" s="60" t="n"/>
      <c r="G773" s="62" t="n"/>
      <c r="H773" s="62" t="n"/>
      <c r="I773" s="62" t="n"/>
      <c r="J773" s="60" t="n"/>
      <c r="K773" s="60" t="n"/>
      <c r="L773" s="60" t="n"/>
      <c r="M773" s="61" t="n"/>
      <c r="N773" s="60" t="n"/>
      <c r="O773" s="60" t="n"/>
      <c r="P773" s="60" t="n"/>
      <c r="Q773" s="60" t="n"/>
      <c r="R773" s="60" t="n"/>
      <c r="S773" s="60" t="n"/>
      <c r="T773" s="60" t="n"/>
      <c r="U773" s="60" t="n"/>
      <c r="V773" s="60" t="n"/>
      <c r="W773" s="60" t="n"/>
      <c r="X773" s="60" t="n"/>
      <c r="Y773" s="60" t="n"/>
      <c r="Z773" s="61" t="n"/>
      <c r="AA773" s="63">
        <f>IF($H773="","",TODAY()-$H773)</f>
        <v/>
      </c>
      <c r="AB773" s="63">
        <f>IF($A773="","",IF(AND($F773="Yes",OR($U773="No",$U773="NOT FOUND")),"YES",""))</f>
        <v/>
      </c>
      <c r="AC773" s="66">
        <f>IF($A773="","",TRIM(IF(AND($P773=0,$L773&lt;&gt;"Yes"),"T0-NoSmartcard ","")&amp;IF(AND($J773&lt;&gt;"",$J773&gt;365),"StalePwd ","")&amp;IF($K773="Yes","PwdNeverExpires ","")&amp;IF(AND($S773&lt;&gt;"",$S773&lt;&gt;"None"),"Delegation ","")&amp;IF(AND($Q773=1,$O773="None"),"StaleAdminCount ","")&amp;IF(AND($F773="Yes",$H773=""),"NeverLoggedOn ","")))</f>
        <v/>
      </c>
      <c r="AD773" s="60" t="n"/>
      <c r="AE773" s="61" t="n"/>
      <c r="AF773" s="60" t="n"/>
      <c r="AG773" s="62" t="n"/>
      <c r="AH773" s="62" t="n"/>
      <c r="AI773" s="62" t="n"/>
      <c r="AJ773" s="60" t="n"/>
      <c r="AK773" s="61" t="n"/>
      <c r="AL773" s="63">
        <f>IF($A773="","",IF(AH773="","Not Enrolled",IF(TODAY()&gt;AH773,"Review Overdue",IF(AH773-TODAY()&lt;=30,"Review Due Soon","Active"))))</f>
        <v/>
      </c>
      <c r="AM773" s="63">
        <f>IF($A773="","",IF(AI773="","NOT REVIEWED",IF(TODAY()-AI773&gt;90,"OVERDUE",IF(TODAY()-AI773&gt;76,"Due Soon","Current"))))</f>
        <v/>
      </c>
    </row>
    <row r="774" ht="15" customHeight="1" s="39">
      <c r="A774" s="60" t="n"/>
      <c r="B774" s="60" t="n"/>
      <c r="C774" s="61" t="n"/>
      <c r="D774" s="61" t="n"/>
      <c r="E774" s="60" t="n"/>
      <c r="F774" s="60" t="n"/>
      <c r="G774" s="62" t="n"/>
      <c r="H774" s="62" t="n"/>
      <c r="I774" s="62" t="n"/>
      <c r="J774" s="60" t="n"/>
      <c r="K774" s="60" t="n"/>
      <c r="L774" s="60" t="n"/>
      <c r="M774" s="61" t="n"/>
      <c r="N774" s="60" t="n"/>
      <c r="O774" s="60" t="n"/>
      <c r="P774" s="60" t="n"/>
      <c r="Q774" s="60" t="n"/>
      <c r="R774" s="60" t="n"/>
      <c r="S774" s="60" t="n"/>
      <c r="T774" s="60" t="n"/>
      <c r="U774" s="60" t="n"/>
      <c r="V774" s="60" t="n"/>
      <c r="W774" s="60" t="n"/>
      <c r="X774" s="60" t="n"/>
      <c r="Y774" s="60" t="n"/>
      <c r="Z774" s="61" t="n"/>
      <c r="AA774" s="63">
        <f>IF($H774="","",TODAY()-$H774)</f>
        <v/>
      </c>
      <c r="AB774" s="63">
        <f>IF($A774="","",IF(AND($F774="Yes",OR($U774="No",$U774="NOT FOUND")),"YES",""))</f>
        <v/>
      </c>
      <c r="AC774" s="66">
        <f>IF($A774="","",TRIM(IF(AND($P774=0,$L774&lt;&gt;"Yes"),"T0-NoSmartcard ","")&amp;IF(AND($J774&lt;&gt;"",$J774&gt;365),"StalePwd ","")&amp;IF($K774="Yes","PwdNeverExpires ","")&amp;IF(AND($S774&lt;&gt;"",$S774&lt;&gt;"None"),"Delegation ","")&amp;IF(AND($Q774=1,$O774="None"),"StaleAdminCount ","")&amp;IF(AND($F774="Yes",$H774=""),"NeverLoggedOn ","")))</f>
        <v/>
      </c>
      <c r="AD774" s="60" t="n"/>
      <c r="AE774" s="61" t="n"/>
      <c r="AF774" s="60" t="n"/>
      <c r="AG774" s="62" t="n"/>
      <c r="AH774" s="62" t="n"/>
      <c r="AI774" s="62" t="n"/>
      <c r="AJ774" s="60" t="n"/>
      <c r="AK774" s="61" t="n"/>
      <c r="AL774" s="63">
        <f>IF($A774="","",IF(AH774="","Not Enrolled",IF(TODAY()&gt;AH774,"Review Overdue",IF(AH774-TODAY()&lt;=30,"Review Due Soon","Active"))))</f>
        <v/>
      </c>
      <c r="AM774" s="63">
        <f>IF($A774="","",IF(AI774="","NOT REVIEWED",IF(TODAY()-AI774&gt;90,"OVERDUE",IF(TODAY()-AI774&gt;76,"Due Soon","Current"))))</f>
        <v/>
      </c>
    </row>
    <row r="775" ht="15" customHeight="1" s="39">
      <c r="A775" s="60" t="n"/>
      <c r="B775" s="60" t="n"/>
      <c r="C775" s="61" t="n"/>
      <c r="D775" s="61" t="n"/>
      <c r="E775" s="60" t="n"/>
      <c r="F775" s="60" t="n"/>
      <c r="G775" s="62" t="n"/>
      <c r="H775" s="62" t="n"/>
      <c r="I775" s="62" t="n"/>
      <c r="J775" s="60" t="n"/>
      <c r="K775" s="60" t="n"/>
      <c r="L775" s="60" t="n"/>
      <c r="M775" s="61" t="n"/>
      <c r="N775" s="60" t="n"/>
      <c r="O775" s="60" t="n"/>
      <c r="P775" s="60" t="n"/>
      <c r="Q775" s="60" t="n"/>
      <c r="R775" s="60" t="n"/>
      <c r="S775" s="60" t="n"/>
      <c r="T775" s="60" t="n"/>
      <c r="U775" s="60" t="n"/>
      <c r="V775" s="60" t="n"/>
      <c r="W775" s="60" t="n"/>
      <c r="X775" s="60" t="n"/>
      <c r="Y775" s="60" t="n"/>
      <c r="Z775" s="61" t="n"/>
      <c r="AA775" s="63">
        <f>IF($H775="","",TODAY()-$H775)</f>
        <v/>
      </c>
      <c r="AB775" s="63">
        <f>IF($A775="","",IF(AND($F775="Yes",OR($U775="No",$U775="NOT FOUND")),"YES",""))</f>
        <v/>
      </c>
      <c r="AC775" s="66">
        <f>IF($A775="","",TRIM(IF(AND($P775=0,$L775&lt;&gt;"Yes"),"T0-NoSmartcard ","")&amp;IF(AND($J775&lt;&gt;"",$J775&gt;365),"StalePwd ","")&amp;IF($K775="Yes","PwdNeverExpires ","")&amp;IF(AND($S775&lt;&gt;"",$S775&lt;&gt;"None"),"Delegation ","")&amp;IF(AND($Q775=1,$O775="None"),"StaleAdminCount ","")&amp;IF(AND($F775="Yes",$H775=""),"NeverLoggedOn ","")))</f>
        <v/>
      </c>
      <c r="AD775" s="60" t="n"/>
      <c r="AE775" s="61" t="n"/>
      <c r="AF775" s="60" t="n"/>
      <c r="AG775" s="62" t="n"/>
      <c r="AH775" s="62" t="n"/>
      <c r="AI775" s="62" t="n"/>
      <c r="AJ775" s="60" t="n"/>
      <c r="AK775" s="61" t="n"/>
      <c r="AL775" s="63">
        <f>IF($A775="","",IF(AH775="","Not Enrolled",IF(TODAY()&gt;AH775,"Review Overdue",IF(AH775-TODAY()&lt;=30,"Review Due Soon","Active"))))</f>
        <v/>
      </c>
      <c r="AM775" s="63">
        <f>IF($A775="","",IF(AI775="","NOT REVIEWED",IF(TODAY()-AI775&gt;90,"OVERDUE",IF(TODAY()-AI775&gt;76,"Due Soon","Current"))))</f>
        <v/>
      </c>
    </row>
    <row r="776" ht="15" customHeight="1" s="39">
      <c r="A776" s="60" t="n"/>
      <c r="B776" s="60" t="n"/>
      <c r="C776" s="61" t="n"/>
      <c r="D776" s="61" t="n"/>
      <c r="E776" s="60" t="n"/>
      <c r="F776" s="60" t="n"/>
      <c r="G776" s="62" t="n"/>
      <c r="H776" s="62" t="n"/>
      <c r="I776" s="62" t="n"/>
      <c r="J776" s="60" t="n"/>
      <c r="K776" s="60" t="n"/>
      <c r="L776" s="60" t="n"/>
      <c r="M776" s="61" t="n"/>
      <c r="N776" s="60" t="n"/>
      <c r="O776" s="60" t="n"/>
      <c r="P776" s="60" t="n"/>
      <c r="Q776" s="60" t="n"/>
      <c r="R776" s="60" t="n"/>
      <c r="S776" s="60" t="n"/>
      <c r="T776" s="60" t="n"/>
      <c r="U776" s="60" t="n"/>
      <c r="V776" s="60" t="n"/>
      <c r="W776" s="60" t="n"/>
      <c r="X776" s="60" t="n"/>
      <c r="Y776" s="60" t="n"/>
      <c r="Z776" s="61" t="n"/>
      <c r="AA776" s="63">
        <f>IF($H776="","",TODAY()-$H776)</f>
        <v/>
      </c>
      <c r="AB776" s="63">
        <f>IF($A776="","",IF(AND($F776="Yes",OR($U776="No",$U776="NOT FOUND")),"YES",""))</f>
        <v/>
      </c>
      <c r="AC776" s="66">
        <f>IF($A776="","",TRIM(IF(AND($P776=0,$L776&lt;&gt;"Yes"),"T0-NoSmartcard ","")&amp;IF(AND($J776&lt;&gt;"",$J776&gt;365),"StalePwd ","")&amp;IF($K776="Yes","PwdNeverExpires ","")&amp;IF(AND($S776&lt;&gt;"",$S776&lt;&gt;"None"),"Delegation ","")&amp;IF(AND($Q776=1,$O776="None"),"StaleAdminCount ","")&amp;IF(AND($F776="Yes",$H776=""),"NeverLoggedOn ","")))</f>
        <v/>
      </c>
      <c r="AD776" s="60" t="n"/>
      <c r="AE776" s="61" t="n"/>
      <c r="AF776" s="60" t="n"/>
      <c r="AG776" s="62" t="n"/>
      <c r="AH776" s="62" t="n"/>
      <c r="AI776" s="62" t="n"/>
      <c r="AJ776" s="60" t="n"/>
      <c r="AK776" s="61" t="n"/>
      <c r="AL776" s="63">
        <f>IF($A776="","",IF(AH776="","Not Enrolled",IF(TODAY()&gt;AH776,"Review Overdue",IF(AH776-TODAY()&lt;=30,"Review Due Soon","Active"))))</f>
        <v/>
      </c>
      <c r="AM776" s="63">
        <f>IF($A776="","",IF(AI776="","NOT REVIEWED",IF(TODAY()-AI776&gt;90,"OVERDUE",IF(TODAY()-AI776&gt;76,"Due Soon","Current"))))</f>
        <v/>
      </c>
    </row>
    <row r="777" ht="15" customHeight="1" s="39">
      <c r="A777" s="60" t="n"/>
      <c r="B777" s="60" t="n"/>
      <c r="C777" s="61" t="n"/>
      <c r="D777" s="61" t="n"/>
      <c r="E777" s="60" t="n"/>
      <c r="F777" s="60" t="n"/>
      <c r="G777" s="62" t="n"/>
      <c r="H777" s="62" t="n"/>
      <c r="I777" s="62" t="n"/>
      <c r="J777" s="60" t="n"/>
      <c r="K777" s="60" t="n"/>
      <c r="L777" s="60" t="n"/>
      <c r="M777" s="61" t="n"/>
      <c r="N777" s="60" t="n"/>
      <c r="O777" s="60" t="n"/>
      <c r="P777" s="60" t="n"/>
      <c r="Q777" s="60" t="n"/>
      <c r="R777" s="60" t="n"/>
      <c r="S777" s="60" t="n"/>
      <c r="T777" s="60" t="n"/>
      <c r="U777" s="60" t="n"/>
      <c r="V777" s="60" t="n"/>
      <c r="W777" s="60" t="n"/>
      <c r="X777" s="60" t="n"/>
      <c r="Y777" s="60" t="n"/>
      <c r="Z777" s="61" t="n"/>
      <c r="AA777" s="63">
        <f>IF($H777="","",TODAY()-$H777)</f>
        <v/>
      </c>
      <c r="AB777" s="63">
        <f>IF($A777="","",IF(AND($F777="Yes",OR($U777="No",$U777="NOT FOUND")),"YES",""))</f>
        <v/>
      </c>
      <c r="AC777" s="66">
        <f>IF($A777="","",TRIM(IF(AND($P777=0,$L777&lt;&gt;"Yes"),"T0-NoSmartcard ","")&amp;IF(AND($J777&lt;&gt;"",$J777&gt;365),"StalePwd ","")&amp;IF($K777="Yes","PwdNeverExpires ","")&amp;IF(AND($S777&lt;&gt;"",$S777&lt;&gt;"None"),"Delegation ","")&amp;IF(AND($Q777=1,$O777="None"),"StaleAdminCount ","")&amp;IF(AND($F777="Yes",$H777=""),"NeverLoggedOn ","")))</f>
        <v/>
      </c>
      <c r="AD777" s="60" t="n"/>
      <c r="AE777" s="61" t="n"/>
      <c r="AF777" s="60" t="n"/>
      <c r="AG777" s="62" t="n"/>
      <c r="AH777" s="62" t="n"/>
      <c r="AI777" s="62" t="n"/>
      <c r="AJ777" s="60" t="n"/>
      <c r="AK777" s="61" t="n"/>
      <c r="AL777" s="63">
        <f>IF($A777="","",IF(AH777="","Not Enrolled",IF(TODAY()&gt;AH777,"Review Overdue",IF(AH777-TODAY()&lt;=30,"Review Due Soon","Active"))))</f>
        <v/>
      </c>
      <c r="AM777" s="63">
        <f>IF($A777="","",IF(AI777="","NOT REVIEWED",IF(TODAY()-AI777&gt;90,"OVERDUE",IF(TODAY()-AI777&gt;76,"Due Soon","Current"))))</f>
        <v/>
      </c>
    </row>
    <row r="778" ht="15" customHeight="1" s="39">
      <c r="A778" s="60" t="n"/>
      <c r="B778" s="60" t="n"/>
      <c r="C778" s="61" t="n"/>
      <c r="D778" s="61" t="n"/>
      <c r="E778" s="60" t="n"/>
      <c r="F778" s="60" t="n"/>
      <c r="G778" s="62" t="n"/>
      <c r="H778" s="62" t="n"/>
      <c r="I778" s="62" t="n"/>
      <c r="J778" s="60" t="n"/>
      <c r="K778" s="60" t="n"/>
      <c r="L778" s="60" t="n"/>
      <c r="M778" s="61" t="n"/>
      <c r="N778" s="60" t="n"/>
      <c r="O778" s="60" t="n"/>
      <c r="P778" s="60" t="n"/>
      <c r="Q778" s="60" t="n"/>
      <c r="R778" s="60" t="n"/>
      <c r="S778" s="60" t="n"/>
      <c r="T778" s="60" t="n"/>
      <c r="U778" s="60" t="n"/>
      <c r="V778" s="60" t="n"/>
      <c r="W778" s="60" t="n"/>
      <c r="X778" s="60" t="n"/>
      <c r="Y778" s="60" t="n"/>
      <c r="Z778" s="61" t="n"/>
      <c r="AA778" s="63">
        <f>IF($H778="","",TODAY()-$H778)</f>
        <v/>
      </c>
      <c r="AB778" s="63">
        <f>IF($A778="","",IF(AND($F778="Yes",OR($U778="No",$U778="NOT FOUND")),"YES",""))</f>
        <v/>
      </c>
      <c r="AC778" s="66">
        <f>IF($A778="","",TRIM(IF(AND($P778=0,$L778&lt;&gt;"Yes"),"T0-NoSmartcard ","")&amp;IF(AND($J778&lt;&gt;"",$J778&gt;365),"StalePwd ","")&amp;IF($K778="Yes","PwdNeverExpires ","")&amp;IF(AND($S778&lt;&gt;"",$S778&lt;&gt;"None"),"Delegation ","")&amp;IF(AND($Q778=1,$O778="None"),"StaleAdminCount ","")&amp;IF(AND($F778="Yes",$H778=""),"NeverLoggedOn ","")))</f>
        <v/>
      </c>
      <c r="AD778" s="60" t="n"/>
      <c r="AE778" s="61" t="n"/>
      <c r="AF778" s="60" t="n"/>
      <c r="AG778" s="62" t="n"/>
      <c r="AH778" s="62" t="n"/>
      <c r="AI778" s="62" t="n"/>
      <c r="AJ778" s="60" t="n"/>
      <c r="AK778" s="61" t="n"/>
      <c r="AL778" s="63">
        <f>IF($A778="","",IF(AH778="","Not Enrolled",IF(TODAY()&gt;AH778,"Review Overdue",IF(AH778-TODAY()&lt;=30,"Review Due Soon","Active"))))</f>
        <v/>
      </c>
      <c r="AM778" s="63">
        <f>IF($A778="","",IF(AI778="","NOT REVIEWED",IF(TODAY()-AI778&gt;90,"OVERDUE",IF(TODAY()-AI778&gt;76,"Due Soon","Current"))))</f>
        <v/>
      </c>
    </row>
    <row r="779" ht="15" customHeight="1" s="39">
      <c r="A779" s="60" t="n"/>
      <c r="B779" s="60" t="n"/>
      <c r="C779" s="61" t="n"/>
      <c r="D779" s="61" t="n"/>
      <c r="E779" s="60" t="n"/>
      <c r="F779" s="60" t="n"/>
      <c r="G779" s="62" t="n"/>
      <c r="H779" s="62" t="n"/>
      <c r="I779" s="62" t="n"/>
      <c r="J779" s="60" t="n"/>
      <c r="K779" s="60" t="n"/>
      <c r="L779" s="60" t="n"/>
      <c r="M779" s="61" t="n"/>
      <c r="N779" s="60" t="n"/>
      <c r="O779" s="60" t="n"/>
      <c r="P779" s="60" t="n"/>
      <c r="Q779" s="60" t="n"/>
      <c r="R779" s="60" t="n"/>
      <c r="S779" s="60" t="n"/>
      <c r="T779" s="60" t="n"/>
      <c r="U779" s="60" t="n"/>
      <c r="V779" s="60" t="n"/>
      <c r="W779" s="60" t="n"/>
      <c r="X779" s="60" t="n"/>
      <c r="Y779" s="60" t="n"/>
      <c r="Z779" s="61" t="n"/>
      <c r="AA779" s="63">
        <f>IF($H779="","",TODAY()-$H779)</f>
        <v/>
      </c>
      <c r="AB779" s="63">
        <f>IF($A779="","",IF(AND($F779="Yes",OR($U779="No",$U779="NOT FOUND")),"YES",""))</f>
        <v/>
      </c>
      <c r="AC779" s="66">
        <f>IF($A779="","",TRIM(IF(AND($P779=0,$L779&lt;&gt;"Yes"),"T0-NoSmartcard ","")&amp;IF(AND($J779&lt;&gt;"",$J779&gt;365),"StalePwd ","")&amp;IF($K779="Yes","PwdNeverExpires ","")&amp;IF(AND($S779&lt;&gt;"",$S779&lt;&gt;"None"),"Delegation ","")&amp;IF(AND($Q779=1,$O779="None"),"StaleAdminCount ","")&amp;IF(AND($F779="Yes",$H779=""),"NeverLoggedOn ","")))</f>
        <v/>
      </c>
      <c r="AD779" s="60" t="n"/>
      <c r="AE779" s="61" t="n"/>
      <c r="AF779" s="60" t="n"/>
      <c r="AG779" s="62" t="n"/>
      <c r="AH779" s="62" t="n"/>
      <c r="AI779" s="62" t="n"/>
      <c r="AJ779" s="60" t="n"/>
      <c r="AK779" s="61" t="n"/>
      <c r="AL779" s="63">
        <f>IF($A779="","",IF(AH779="","Not Enrolled",IF(TODAY()&gt;AH779,"Review Overdue",IF(AH779-TODAY()&lt;=30,"Review Due Soon","Active"))))</f>
        <v/>
      </c>
      <c r="AM779" s="63">
        <f>IF($A779="","",IF(AI779="","NOT REVIEWED",IF(TODAY()-AI779&gt;90,"OVERDUE",IF(TODAY()-AI779&gt;76,"Due Soon","Current"))))</f>
        <v/>
      </c>
    </row>
    <row r="780" ht="15" customHeight="1" s="39">
      <c r="A780" s="60" t="n"/>
      <c r="B780" s="60" t="n"/>
      <c r="C780" s="61" t="n"/>
      <c r="D780" s="61" t="n"/>
      <c r="E780" s="60" t="n"/>
      <c r="F780" s="60" t="n"/>
      <c r="G780" s="62" t="n"/>
      <c r="H780" s="62" t="n"/>
      <c r="I780" s="62" t="n"/>
      <c r="J780" s="60" t="n"/>
      <c r="K780" s="60" t="n"/>
      <c r="L780" s="60" t="n"/>
      <c r="M780" s="61" t="n"/>
      <c r="N780" s="60" t="n"/>
      <c r="O780" s="60" t="n"/>
      <c r="P780" s="60" t="n"/>
      <c r="Q780" s="60" t="n"/>
      <c r="R780" s="60" t="n"/>
      <c r="S780" s="60" t="n"/>
      <c r="T780" s="60" t="n"/>
      <c r="U780" s="60" t="n"/>
      <c r="V780" s="60" t="n"/>
      <c r="W780" s="60" t="n"/>
      <c r="X780" s="60" t="n"/>
      <c r="Y780" s="60" t="n"/>
      <c r="Z780" s="61" t="n"/>
      <c r="AA780" s="63">
        <f>IF($H780="","",TODAY()-$H780)</f>
        <v/>
      </c>
      <c r="AB780" s="63">
        <f>IF($A780="","",IF(AND($F780="Yes",OR($U780="No",$U780="NOT FOUND")),"YES",""))</f>
        <v/>
      </c>
      <c r="AC780" s="66">
        <f>IF($A780="","",TRIM(IF(AND($P780=0,$L780&lt;&gt;"Yes"),"T0-NoSmartcard ","")&amp;IF(AND($J780&lt;&gt;"",$J780&gt;365),"StalePwd ","")&amp;IF($K780="Yes","PwdNeverExpires ","")&amp;IF(AND($S780&lt;&gt;"",$S780&lt;&gt;"None"),"Delegation ","")&amp;IF(AND($Q780=1,$O780="None"),"StaleAdminCount ","")&amp;IF(AND($F780="Yes",$H780=""),"NeverLoggedOn ","")))</f>
        <v/>
      </c>
      <c r="AD780" s="60" t="n"/>
      <c r="AE780" s="61" t="n"/>
      <c r="AF780" s="60" t="n"/>
      <c r="AG780" s="62" t="n"/>
      <c r="AH780" s="62" t="n"/>
      <c r="AI780" s="62" t="n"/>
      <c r="AJ780" s="60" t="n"/>
      <c r="AK780" s="61" t="n"/>
      <c r="AL780" s="63">
        <f>IF($A780="","",IF(AH780="","Not Enrolled",IF(TODAY()&gt;AH780,"Review Overdue",IF(AH780-TODAY()&lt;=30,"Review Due Soon","Active"))))</f>
        <v/>
      </c>
      <c r="AM780" s="63">
        <f>IF($A780="","",IF(AI780="","NOT REVIEWED",IF(TODAY()-AI780&gt;90,"OVERDUE",IF(TODAY()-AI780&gt;76,"Due Soon","Current"))))</f>
        <v/>
      </c>
    </row>
    <row r="781" ht="15" customHeight="1" s="39">
      <c r="A781" s="60" t="n"/>
      <c r="B781" s="60" t="n"/>
      <c r="C781" s="61" t="n"/>
      <c r="D781" s="61" t="n"/>
      <c r="E781" s="60" t="n"/>
      <c r="F781" s="60" t="n"/>
      <c r="G781" s="62" t="n"/>
      <c r="H781" s="62" t="n"/>
      <c r="I781" s="62" t="n"/>
      <c r="J781" s="60" t="n"/>
      <c r="K781" s="60" t="n"/>
      <c r="L781" s="60" t="n"/>
      <c r="M781" s="61" t="n"/>
      <c r="N781" s="60" t="n"/>
      <c r="O781" s="60" t="n"/>
      <c r="P781" s="60" t="n"/>
      <c r="Q781" s="60" t="n"/>
      <c r="R781" s="60" t="n"/>
      <c r="S781" s="60" t="n"/>
      <c r="T781" s="60" t="n"/>
      <c r="U781" s="60" t="n"/>
      <c r="V781" s="60" t="n"/>
      <c r="W781" s="60" t="n"/>
      <c r="X781" s="60" t="n"/>
      <c r="Y781" s="60" t="n"/>
      <c r="Z781" s="61" t="n"/>
      <c r="AA781" s="63">
        <f>IF($H781="","",TODAY()-$H781)</f>
        <v/>
      </c>
      <c r="AB781" s="63">
        <f>IF($A781="","",IF(AND($F781="Yes",OR($U781="No",$U781="NOT FOUND")),"YES",""))</f>
        <v/>
      </c>
      <c r="AC781" s="66">
        <f>IF($A781="","",TRIM(IF(AND($P781=0,$L781&lt;&gt;"Yes"),"T0-NoSmartcard ","")&amp;IF(AND($J781&lt;&gt;"",$J781&gt;365),"StalePwd ","")&amp;IF($K781="Yes","PwdNeverExpires ","")&amp;IF(AND($S781&lt;&gt;"",$S781&lt;&gt;"None"),"Delegation ","")&amp;IF(AND($Q781=1,$O781="None"),"StaleAdminCount ","")&amp;IF(AND($F781="Yes",$H781=""),"NeverLoggedOn ","")))</f>
        <v/>
      </c>
      <c r="AD781" s="60" t="n"/>
      <c r="AE781" s="61" t="n"/>
      <c r="AF781" s="60" t="n"/>
      <c r="AG781" s="62" t="n"/>
      <c r="AH781" s="62" t="n"/>
      <c r="AI781" s="62" t="n"/>
      <c r="AJ781" s="60" t="n"/>
      <c r="AK781" s="61" t="n"/>
      <c r="AL781" s="63">
        <f>IF($A781="","",IF(AH781="","Not Enrolled",IF(TODAY()&gt;AH781,"Review Overdue",IF(AH781-TODAY()&lt;=30,"Review Due Soon","Active"))))</f>
        <v/>
      </c>
      <c r="AM781" s="63">
        <f>IF($A781="","",IF(AI781="","NOT REVIEWED",IF(TODAY()-AI781&gt;90,"OVERDUE",IF(TODAY()-AI781&gt;76,"Due Soon","Current"))))</f>
        <v/>
      </c>
    </row>
    <row r="782" ht="15" customHeight="1" s="39">
      <c r="A782" s="60" t="n"/>
      <c r="B782" s="60" t="n"/>
      <c r="C782" s="61" t="n"/>
      <c r="D782" s="61" t="n"/>
      <c r="E782" s="60" t="n"/>
      <c r="F782" s="60" t="n"/>
      <c r="G782" s="62" t="n"/>
      <c r="H782" s="62" t="n"/>
      <c r="I782" s="62" t="n"/>
      <c r="J782" s="60" t="n"/>
      <c r="K782" s="60" t="n"/>
      <c r="L782" s="60" t="n"/>
      <c r="M782" s="61" t="n"/>
      <c r="N782" s="60" t="n"/>
      <c r="O782" s="60" t="n"/>
      <c r="P782" s="60" t="n"/>
      <c r="Q782" s="60" t="n"/>
      <c r="R782" s="60" t="n"/>
      <c r="S782" s="60" t="n"/>
      <c r="T782" s="60" t="n"/>
      <c r="U782" s="60" t="n"/>
      <c r="V782" s="60" t="n"/>
      <c r="W782" s="60" t="n"/>
      <c r="X782" s="60" t="n"/>
      <c r="Y782" s="60" t="n"/>
      <c r="Z782" s="61" t="n"/>
      <c r="AA782" s="63">
        <f>IF($H782="","",TODAY()-$H782)</f>
        <v/>
      </c>
      <c r="AB782" s="63">
        <f>IF($A782="","",IF(AND($F782="Yes",OR($U782="No",$U782="NOT FOUND")),"YES",""))</f>
        <v/>
      </c>
      <c r="AC782" s="66">
        <f>IF($A782="","",TRIM(IF(AND($P782=0,$L782&lt;&gt;"Yes"),"T0-NoSmartcard ","")&amp;IF(AND($J782&lt;&gt;"",$J782&gt;365),"StalePwd ","")&amp;IF($K782="Yes","PwdNeverExpires ","")&amp;IF(AND($S782&lt;&gt;"",$S782&lt;&gt;"None"),"Delegation ","")&amp;IF(AND($Q782=1,$O782="None"),"StaleAdminCount ","")&amp;IF(AND($F782="Yes",$H782=""),"NeverLoggedOn ","")))</f>
        <v/>
      </c>
      <c r="AD782" s="60" t="n"/>
      <c r="AE782" s="61" t="n"/>
      <c r="AF782" s="60" t="n"/>
      <c r="AG782" s="62" t="n"/>
      <c r="AH782" s="62" t="n"/>
      <c r="AI782" s="62" t="n"/>
      <c r="AJ782" s="60" t="n"/>
      <c r="AK782" s="61" t="n"/>
      <c r="AL782" s="63">
        <f>IF($A782="","",IF(AH782="","Not Enrolled",IF(TODAY()&gt;AH782,"Review Overdue",IF(AH782-TODAY()&lt;=30,"Review Due Soon","Active"))))</f>
        <v/>
      </c>
      <c r="AM782" s="63">
        <f>IF($A782="","",IF(AI782="","NOT REVIEWED",IF(TODAY()-AI782&gt;90,"OVERDUE",IF(TODAY()-AI782&gt;76,"Due Soon","Current"))))</f>
        <v/>
      </c>
    </row>
    <row r="783" ht="15" customHeight="1" s="39">
      <c r="A783" s="60" t="n"/>
      <c r="B783" s="60" t="n"/>
      <c r="C783" s="61" t="n"/>
      <c r="D783" s="61" t="n"/>
      <c r="E783" s="60" t="n"/>
      <c r="F783" s="60" t="n"/>
      <c r="G783" s="62" t="n"/>
      <c r="H783" s="62" t="n"/>
      <c r="I783" s="62" t="n"/>
      <c r="J783" s="60" t="n"/>
      <c r="K783" s="60" t="n"/>
      <c r="L783" s="60" t="n"/>
      <c r="M783" s="61" t="n"/>
      <c r="N783" s="60" t="n"/>
      <c r="O783" s="60" t="n"/>
      <c r="P783" s="60" t="n"/>
      <c r="Q783" s="60" t="n"/>
      <c r="R783" s="60" t="n"/>
      <c r="S783" s="60" t="n"/>
      <c r="T783" s="60" t="n"/>
      <c r="U783" s="60" t="n"/>
      <c r="V783" s="60" t="n"/>
      <c r="W783" s="60" t="n"/>
      <c r="X783" s="60" t="n"/>
      <c r="Y783" s="60" t="n"/>
      <c r="Z783" s="61" t="n"/>
      <c r="AA783" s="63">
        <f>IF($H783="","",TODAY()-$H783)</f>
        <v/>
      </c>
      <c r="AB783" s="63">
        <f>IF($A783="","",IF(AND($F783="Yes",OR($U783="No",$U783="NOT FOUND")),"YES",""))</f>
        <v/>
      </c>
      <c r="AC783" s="66">
        <f>IF($A783="","",TRIM(IF(AND($P783=0,$L783&lt;&gt;"Yes"),"T0-NoSmartcard ","")&amp;IF(AND($J783&lt;&gt;"",$J783&gt;365),"StalePwd ","")&amp;IF($K783="Yes","PwdNeverExpires ","")&amp;IF(AND($S783&lt;&gt;"",$S783&lt;&gt;"None"),"Delegation ","")&amp;IF(AND($Q783=1,$O783="None"),"StaleAdminCount ","")&amp;IF(AND($F783="Yes",$H783=""),"NeverLoggedOn ","")))</f>
        <v/>
      </c>
      <c r="AD783" s="60" t="n"/>
      <c r="AE783" s="61" t="n"/>
      <c r="AF783" s="60" t="n"/>
      <c r="AG783" s="62" t="n"/>
      <c r="AH783" s="62" t="n"/>
      <c r="AI783" s="62" t="n"/>
      <c r="AJ783" s="60" t="n"/>
      <c r="AK783" s="61" t="n"/>
      <c r="AL783" s="63">
        <f>IF($A783="","",IF(AH783="","Not Enrolled",IF(TODAY()&gt;AH783,"Review Overdue",IF(AH783-TODAY()&lt;=30,"Review Due Soon","Active"))))</f>
        <v/>
      </c>
      <c r="AM783" s="63">
        <f>IF($A783="","",IF(AI783="","NOT REVIEWED",IF(TODAY()-AI783&gt;90,"OVERDUE",IF(TODAY()-AI783&gt;76,"Due Soon","Current"))))</f>
        <v/>
      </c>
    </row>
    <row r="784" ht="15" customHeight="1" s="39">
      <c r="A784" s="60" t="n"/>
      <c r="B784" s="60" t="n"/>
      <c r="C784" s="61" t="n"/>
      <c r="D784" s="61" t="n"/>
      <c r="E784" s="60" t="n"/>
      <c r="F784" s="60" t="n"/>
      <c r="G784" s="62" t="n"/>
      <c r="H784" s="62" t="n"/>
      <c r="I784" s="62" t="n"/>
      <c r="J784" s="60" t="n"/>
      <c r="K784" s="60" t="n"/>
      <c r="L784" s="60" t="n"/>
      <c r="M784" s="61" t="n"/>
      <c r="N784" s="60" t="n"/>
      <c r="O784" s="60" t="n"/>
      <c r="P784" s="60" t="n"/>
      <c r="Q784" s="60" t="n"/>
      <c r="R784" s="60" t="n"/>
      <c r="S784" s="60" t="n"/>
      <c r="T784" s="60" t="n"/>
      <c r="U784" s="60" t="n"/>
      <c r="V784" s="60" t="n"/>
      <c r="W784" s="60" t="n"/>
      <c r="X784" s="60" t="n"/>
      <c r="Y784" s="60" t="n"/>
      <c r="Z784" s="61" t="n"/>
      <c r="AA784" s="63">
        <f>IF($H784="","",TODAY()-$H784)</f>
        <v/>
      </c>
      <c r="AB784" s="63">
        <f>IF($A784="","",IF(AND($F784="Yes",OR($U784="No",$U784="NOT FOUND")),"YES",""))</f>
        <v/>
      </c>
      <c r="AC784" s="66">
        <f>IF($A784="","",TRIM(IF(AND($P784=0,$L784&lt;&gt;"Yes"),"T0-NoSmartcard ","")&amp;IF(AND($J784&lt;&gt;"",$J784&gt;365),"StalePwd ","")&amp;IF($K784="Yes","PwdNeverExpires ","")&amp;IF(AND($S784&lt;&gt;"",$S784&lt;&gt;"None"),"Delegation ","")&amp;IF(AND($Q784=1,$O784="None"),"StaleAdminCount ","")&amp;IF(AND($F784="Yes",$H784=""),"NeverLoggedOn ","")))</f>
        <v/>
      </c>
      <c r="AD784" s="60" t="n"/>
      <c r="AE784" s="61" t="n"/>
      <c r="AF784" s="60" t="n"/>
      <c r="AG784" s="62" t="n"/>
      <c r="AH784" s="62" t="n"/>
      <c r="AI784" s="62" t="n"/>
      <c r="AJ784" s="60" t="n"/>
      <c r="AK784" s="61" t="n"/>
      <c r="AL784" s="63">
        <f>IF($A784="","",IF(AH784="","Not Enrolled",IF(TODAY()&gt;AH784,"Review Overdue",IF(AH784-TODAY()&lt;=30,"Review Due Soon","Active"))))</f>
        <v/>
      </c>
      <c r="AM784" s="63">
        <f>IF($A784="","",IF(AI784="","NOT REVIEWED",IF(TODAY()-AI784&gt;90,"OVERDUE",IF(TODAY()-AI784&gt;76,"Due Soon","Current"))))</f>
        <v/>
      </c>
    </row>
    <row r="785" ht="15" customHeight="1" s="39">
      <c r="A785" s="60" t="n"/>
      <c r="B785" s="60" t="n"/>
      <c r="C785" s="61" t="n"/>
      <c r="D785" s="61" t="n"/>
      <c r="E785" s="60" t="n"/>
      <c r="F785" s="60" t="n"/>
      <c r="G785" s="62" t="n"/>
      <c r="H785" s="62" t="n"/>
      <c r="I785" s="62" t="n"/>
      <c r="J785" s="60" t="n"/>
      <c r="K785" s="60" t="n"/>
      <c r="L785" s="60" t="n"/>
      <c r="M785" s="61" t="n"/>
      <c r="N785" s="60" t="n"/>
      <c r="O785" s="60" t="n"/>
      <c r="P785" s="60" t="n"/>
      <c r="Q785" s="60" t="n"/>
      <c r="R785" s="60" t="n"/>
      <c r="S785" s="60" t="n"/>
      <c r="T785" s="60" t="n"/>
      <c r="U785" s="60" t="n"/>
      <c r="V785" s="60" t="n"/>
      <c r="W785" s="60" t="n"/>
      <c r="X785" s="60" t="n"/>
      <c r="Y785" s="60" t="n"/>
      <c r="Z785" s="61" t="n"/>
      <c r="AA785" s="63">
        <f>IF($H785="","",TODAY()-$H785)</f>
        <v/>
      </c>
      <c r="AB785" s="63">
        <f>IF($A785="","",IF(AND($F785="Yes",OR($U785="No",$U785="NOT FOUND")),"YES",""))</f>
        <v/>
      </c>
      <c r="AC785" s="66">
        <f>IF($A785="","",TRIM(IF(AND($P785=0,$L785&lt;&gt;"Yes"),"T0-NoSmartcard ","")&amp;IF(AND($J785&lt;&gt;"",$J785&gt;365),"StalePwd ","")&amp;IF($K785="Yes","PwdNeverExpires ","")&amp;IF(AND($S785&lt;&gt;"",$S785&lt;&gt;"None"),"Delegation ","")&amp;IF(AND($Q785=1,$O785="None"),"StaleAdminCount ","")&amp;IF(AND($F785="Yes",$H785=""),"NeverLoggedOn ","")))</f>
        <v/>
      </c>
      <c r="AD785" s="60" t="n"/>
      <c r="AE785" s="61" t="n"/>
      <c r="AF785" s="60" t="n"/>
      <c r="AG785" s="62" t="n"/>
      <c r="AH785" s="62" t="n"/>
      <c r="AI785" s="62" t="n"/>
      <c r="AJ785" s="60" t="n"/>
      <c r="AK785" s="61" t="n"/>
      <c r="AL785" s="63">
        <f>IF($A785="","",IF(AH785="","Not Enrolled",IF(TODAY()&gt;AH785,"Review Overdue",IF(AH785-TODAY()&lt;=30,"Review Due Soon","Active"))))</f>
        <v/>
      </c>
      <c r="AM785" s="63">
        <f>IF($A785="","",IF(AI785="","NOT REVIEWED",IF(TODAY()-AI785&gt;90,"OVERDUE",IF(TODAY()-AI785&gt;76,"Due Soon","Current"))))</f>
        <v/>
      </c>
    </row>
    <row r="786" ht="15" customHeight="1" s="39">
      <c r="A786" s="60" t="n"/>
      <c r="B786" s="60" t="n"/>
      <c r="C786" s="61" t="n"/>
      <c r="D786" s="61" t="n"/>
      <c r="E786" s="60" t="n"/>
      <c r="F786" s="60" t="n"/>
      <c r="G786" s="62" t="n"/>
      <c r="H786" s="62" t="n"/>
      <c r="I786" s="62" t="n"/>
      <c r="J786" s="60" t="n"/>
      <c r="K786" s="60" t="n"/>
      <c r="L786" s="60" t="n"/>
      <c r="M786" s="61" t="n"/>
      <c r="N786" s="60" t="n"/>
      <c r="O786" s="60" t="n"/>
      <c r="P786" s="60" t="n"/>
      <c r="Q786" s="60" t="n"/>
      <c r="R786" s="60" t="n"/>
      <c r="S786" s="60" t="n"/>
      <c r="T786" s="60" t="n"/>
      <c r="U786" s="60" t="n"/>
      <c r="V786" s="60" t="n"/>
      <c r="W786" s="60" t="n"/>
      <c r="X786" s="60" t="n"/>
      <c r="Y786" s="60" t="n"/>
      <c r="Z786" s="61" t="n"/>
      <c r="AA786" s="63">
        <f>IF($H786="","",TODAY()-$H786)</f>
        <v/>
      </c>
      <c r="AB786" s="63">
        <f>IF($A786="","",IF(AND($F786="Yes",OR($U786="No",$U786="NOT FOUND")),"YES",""))</f>
        <v/>
      </c>
      <c r="AC786" s="66">
        <f>IF($A786="","",TRIM(IF(AND($P786=0,$L786&lt;&gt;"Yes"),"T0-NoSmartcard ","")&amp;IF(AND($J786&lt;&gt;"",$J786&gt;365),"StalePwd ","")&amp;IF($K786="Yes","PwdNeverExpires ","")&amp;IF(AND($S786&lt;&gt;"",$S786&lt;&gt;"None"),"Delegation ","")&amp;IF(AND($Q786=1,$O786="None"),"StaleAdminCount ","")&amp;IF(AND($F786="Yes",$H786=""),"NeverLoggedOn ","")))</f>
        <v/>
      </c>
      <c r="AD786" s="60" t="n"/>
      <c r="AE786" s="61" t="n"/>
      <c r="AF786" s="60" t="n"/>
      <c r="AG786" s="62" t="n"/>
      <c r="AH786" s="62" t="n"/>
      <c r="AI786" s="62" t="n"/>
      <c r="AJ786" s="60" t="n"/>
      <c r="AK786" s="61" t="n"/>
      <c r="AL786" s="63">
        <f>IF($A786="","",IF(AH786="","Not Enrolled",IF(TODAY()&gt;AH786,"Review Overdue",IF(AH786-TODAY()&lt;=30,"Review Due Soon","Active"))))</f>
        <v/>
      </c>
      <c r="AM786" s="63">
        <f>IF($A786="","",IF(AI786="","NOT REVIEWED",IF(TODAY()-AI786&gt;90,"OVERDUE",IF(TODAY()-AI786&gt;76,"Due Soon","Current"))))</f>
        <v/>
      </c>
    </row>
    <row r="787" ht="15" customHeight="1" s="39">
      <c r="A787" s="60" t="n"/>
      <c r="B787" s="60" t="n"/>
      <c r="C787" s="61" t="n"/>
      <c r="D787" s="61" t="n"/>
      <c r="E787" s="60" t="n"/>
      <c r="F787" s="60" t="n"/>
      <c r="G787" s="62" t="n"/>
      <c r="H787" s="62" t="n"/>
      <c r="I787" s="62" t="n"/>
      <c r="J787" s="60" t="n"/>
      <c r="K787" s="60" t="n"/>
      <c r="L787" s="60" t="n"/>
      <c r="M787" s="61" t="n"/>
      <c r="N787" s="60" t="n"/>
      <c r="O787" s="60" t="n"/>
      <c r="P787" s="60" t="n"/>
      <c r="Q787" s="60" t="n"/>
      <c r="R787" s="60" t="n"/>
      <c r="S787" s="60" t="n"/>
      <c r="T787" s="60" t="n"/>
      <c r="U787" s="60" t="n"/>
      <c r="V787" s="60" t="n"/>
      <c r="W787" s="60" t="n"/>
      <c r="X787" s="60" t="n"/>
      <c r="Y787" s="60" t="n"/>
      <c r="Z787" s="61" t="n"/>
      <c r="AA787" s="63">
        <f>IF($H787="","",TODAY()-$H787)</f>
        <v/>
      </c>
      <c r="AB787" s="63">
        <f>IF($A787="","",IF(AND($F787="Yes",OR($U787="No",$U787="NOT FOUND")),"YES",""))</f>
        <v/>
      </c>
      <c r="AC787" s="66">
        <f>IF($A787="","",TRIM(IF(AND($P787=0,$L787&lt;&gt;"Yes"),"T0-NoSmartcard ","")&amp;IF(AND($J787&lt;&gt;"",$J787&gt;365),"StalePwd ","")&amp;IF($K787="Yes","PwdNeverExpires ","")&amp;IF(AND($S787&lt;&gt;"",$S787&lt;&gt;"None"),"Delegation ","")&amp;IF(AND($Q787=1,$O787="None"),"StaleAdminCount ","")&amp;IF(AND($F787="Yes",$H787=""),"NeverLoggedOn ","")))</f>
        <v/>
      </c>
      <c r="AD787" s="60" t="n"/>
      <c r="AE787" s="61" t="n"/>
      <c r="AF787" s="60" t="n"/>
      <c r="AG787" s="62" t="n"/>
      <c r="AH787" s="62" t="n"/>
      <c r="AI787" s="62" t="n"/>
      <c r="AJ787" s="60" t="n"/>
      <c r="AK787" s="61" t="n"/>
      <c r="AL787" s="63">
        <f>IF($A787="","",IF(AH787="","Not Enrolled",IF(TODAY()&gt;AH787,"Review Overdue",IF(AH787-TODAY()&lt;=30,"Review Due Soon","Active"))))</f>
        <v/>
      </c>
      <c r="AM787" s="63">
        <f>IF($A787="","",IF(AI787="","NOT REVIEWED",IF(TODAY()-AI787&gt;90,"OVERDUE",IF(TODAY()-AI787&gt;76,"Due Soon","Current"))))</f>
        <v/>
      </c>
    </row>
    <row r="788" ht="15" customHeight="1" s="39">
      <c r="A788" s="60" t="n"/>
      <c r="B788" s="60" t="n"/>
      <c r="C788" s="61" t="n"/>
      <c r="D788" s="61" t="n"/>
      <c r="E788" s="60" t="n"/>
      <c r="F788" s="60" t="n"/>
      <c r="G788" s="62" t="n"/>
      <c r="H788" s="62" t="n"/>
      <c r="I788" s="62" t="n"/>
      <c r="J788" s="60" t="n"/>
      <c r="K788" s="60" t="n"/>
      <c r="L788" s="60" t="n"/>
      <c r="M788" s="61" t="n"/>
      <c r="N788" s="60" t="n"/>
      <c r="O788" s="60" t="n"/>
      <c r="P788" s="60" t="n"/>
      <c r="Q788" s="60" t="n"/>
      <c r="R788" s="60" t="n"/>
      <c r="S788" s="60" t="n"/>
      <c r="T788" s="60" t="n"/>
      <c r="U788" s="60" t="n"/>
      <c r="V788" s="60" t="n"/>
      <c r="W788" s="60" t="n"/>
      <c r="X788" s="60" t="n"/>
      <c r="Y788" s="60" t="n"/>
      <c r="Z788" s="61" t="n"/>
      <c r="AA788" s="63">
        <f>IF($H788="","",TODAY()-$H788)</f>
        <v/>
      </c>
      <c r="AB788" s="63">
        <f>IF($A788="","",IF(AND($F788="Yes",OR($U788="No",$U788="NOT FOUND")),"YES",""))</f>
        <v/>
      </c>
      <c r="AC788" s="66">
        <f>IF($A788="","",TRIM(IF(AND($P788=0,$L788&lt;&gt;"Yes"),"T0-NoSmartcard ","")&amp;IF(AND($J788&lt;&gt;"",$J788&gt;365),"StalePwd ","")&amp;IF($K788="Yes","PwdNeverExpires ","")&amp;IF(AND($S788&lt;&gt;"",$S788&lt;&gt;"None"),"Delegation ","")&amp;IF(AND($Q788=1,$O788="None"),"StaleAdminCount ","")&amp;IF(AND($F788="Yes",$H788=""),"NeverLoggedOn ","")))</f>
        <v/>
      </c>
      <c r="AD788" s="60" t="n"/>
      <c r="AE788" s="61" t="n"/>
      <c r="AF788" s="60" t="n"/>
      <c r="AG788" s="62" t="n"/>
      <c r="AH788" s="62" t="n"/>
      <c r="AI788" s="62" t="n"/>
      <c r="AJ788" s="60" t="n"/>
      <c r="AK788" s="61" t="n"/>
      <c r="AL788" s="63">
        <f>IF($A788="","",IF(AH788="","Not Enrolled",IF(TODAY()&gt;AH788,"Review Overdue",IF(AH788-TODAY()&lt;=30,"Review Due Soon","Active"))))</f>
        <v/>
      </c>
      <c r="AM788" s="63">
        <f>IF($A788="","",IF(AI788="","NOT REVIEWED",IF(TODAY()-AI788&gt;90,"OVERDUE",IF(TODAY()-AI788&gt;76,"Due Soon","Current"))))</f>
        <v/>
      </c>
    </row>
    <row r="789" ht="15" customHeight="1" s="39">
      <c r="A789" s="60" t="n"/>
      <c r="B789" s="60" t="n"/>
      <c r="C789" s="61" t="n"/>
      <c r="D789" s="61" t="n"/>
      <c r="E789" s="60" t="n"/>
      <c r="F789" s="60" t="n"/>
      <c r="G789" s="62" t="n"/>
      <c r="H789" s="62" t="n"/>
      <c r="I789" s="62" t="n"/>
      <c r="J789" s="60" t="n"/>
      <c r="K789" s="60" t="n"/>
      <c r="L789" s="60" t="n"/>
      <c r="M789" s="61" t="n"/>
      <c r="N789" s="60" t="n"/>
      <c r="O789" s="60" t="n"/>
      <c r="P789" s="60" t="n"/>
      <c r="Q789" s="60" t="n"/>
      <c r="R789" s="60" t="n"/>
      <c r="S789" s="60" t="n"/>
      <c r="T789" s="60" t="n"/>
      <c r="U789" s="60" t="n"/>
      <c r="V789" s="60" t="n"/>
      <c r="W789" s="60" t="n"/>
      <c r="X789" s="60" t="n"/>
      <c r="Y789" s="60" t="n"/>
      <c r="Z789" s="61" t="n"/>
      <c r="AA789" s="63">
        <f>IF($H789="","",TODAY()-$H789)</f>
        <v/>
      </c>
      <c r="AB789" s="63">
        <f>IF($A789="","",IF(AND($F789="Yes",OR($U789="No",$U789="NOT FOUND")),"YES",""))</f>
        <v/>
      </c>
      <c r="AC789" s="66">
        <f>IF($A789="","",TRIM(IF(AND($P789=0,$L789&lt;&gt;"Yes"),"T0-NoSmartcard ","")&amp;IF(AND($J789&lt;&gt;"",$J789&gt;365),"StalePwd ","")&amp;IF($K789="Yes","PwdNeverExpires ","")&amp;IF(AND($S789&lt;&gt;"",$S789&lt;&gt;"None"),"Delegation ","")&amp;IF(AND($Q789=1,$O789="None"),"StaleAdminCount ","")&amp;IF(AND($F789="Yes",$H789=""),"NeverLoggedOn ","")))</f>
        <v/>
      </c>
      <c r="AD789" s="60" t="n"/>
      <c r="AE789" s="61" t="n"/>
      <c r="AF789" s="60" t="n"/>
      <c r="AG789" s="62" t="n"/>
      <c r="AH789" s="62" t="n"/>
      <c r="AI789" s="62" t="n"/>
      <c r="AJ789" s="60" t="n"/>
      <c r="AK789" s="61" t="n"/>
      <c r="AL789" s="63">
        <f>IF($A789="","",IF(AH789="","Not Enrolled",IF(TODAY()&gt;AH789,"Review Overdue",IF(AH789-TODAY()&lt;=30,"Review Due Soon","Active"))))</f>
        <v/>
      </c>
      <c r="AM789" s="63">
        <f>IF($A789="","",IF(AI789="","NOT REVIEWED",IF(TODAY()-AI789&gt;90,"OVERDUE",IF(TODAY()-AI789&gt;76,"Due Soon","Current"))))</f>
        <v/>
      </c>
    </row>
    <row r="790" ht="15" customHeight="1" s="39">
      <c r="A790" s="60" t="n"/>
      <c r="B790" s="60" t="n"/>
      <c r="C790" s="61" t="n"/>
      <c r="D790" s="61" t="n"/>
      <c r="E790" s="60" t="n"/>
      <c r="F790" s="60" t="n"/>
      <c r="G790" s="62" t="n"/>
      <c r="H790" s="62" t="n"/>
      <c r="I790" s="62" t="n"/>
      <c r="J790" s="60" t="n"/>
      <c r="K790" s="60" t="n"/>
      <c r="L790" s="60" t="n"/>
      <c r="M790" s="61" t="n"/>
      <c r="N790" s="60" t="n"/>
      <c r="O790" s="60" t="n"/>
      <c r="P790" s="60" t="n"/>
      <c r="Q790" s="60" t="n"/>
      <c r="R790" s="60" t="n"/>
      <c r="S790" s="60" t="n"/>
      <c r="T790" s="60" t="n"/>
      <c r="U790" s="60" t="n"/>
      <c r="V790" s="60" t="n"/>
      <c r="W790" s="60" t="n"/>
      <c r="X790" s="60" t="n"/>
      <c r="Y790" s="60" t="n"/>
      <c r="Z790" s="61" t="n"/>
      <c r="AA790" s="63">
        <f>IF($H790="","",TODAY()-$H790)</f>
        <v/>
      </c>
      <c r="AB790" s="63">
        <f>IF($A790="","",IF(AND($F790="Yes",OR($U790="No",$U790="NOT FOUND")),"YES",""))</f>
        <v/>
      </c>
      <c r="AC790" s="66">
        <f>IF($A790="","",TRIM(IF(AND($P790=0,$L790&lt;&gt;"Yes"),"T0-NoSmartcard ","")&amp;IF(AND($J790&lt;&gt;"",$J790&gt;365),"StalePwd ","")&amp;IF($K790="Yes","PwdNeverExpires ","")&amp;IF(AND($S790&lt;&gt;"",$S790&lt;&gt;"None"),"Delegation ","")&amp;IF(AND($Q790=1,$O790="None"),"StaleAdminCount ","")&amp;IF(AND($F790="Yes",$H790=""),"NeverLoggedOn ","")))</f>
        <v/>
      </c>
      <c r="AD790" s="60" t="n"/>
      <c r="AE790" s="61" t="n"/>
      <c r="AF790" s="60" t="n"/>
      <c r="AG790" s="62" t="n"/>
      <c r="AH790" s="62" t="n"/>
      <c r="AI790" s="62" t="n"/>
      <c r="AJ790" s="60" t="n"/>
      <c r="AK790" s="61" t="n"/>
      <c r="AL790" s="63">
        <f>IF($A790="","",IF(AH790="","Not Enrolled",IF(TODAY()&gt;AH790,"Review Overdue",IF(AH790-TODAY()&lt;=30,"Review Due Soon","Active"))))</f>
        <v/>
      </c>
      <c r="AM790" s="63">
        <f>IF($A790="","",IF(AI790="","NOT REVIEWED",IF(TODAY()-AI790&gt;90,"OVERDUE",IF(TODAY()-AI790&gt;76,"Due Soon","Current"))))</f>
        <v/>
      </c>
    </row>
    <row r="791" ht="15" customHeight="1" s="39">
      <c r="A791" s="60" t="n"/>
      <c r="B791" s="60" t="n"/>
      <c r="C791" s="61" t="n"/>
      <c r="D791" s="61" t="n"/>
      <c r="E791" s="60" t="n"/>
      <c r="F791" s="60" t="n"/>
      <c r="G791" s="62" t="n"/>
      <c r="H791" s="62" t="n"/>
      <c r="I791" s="62" t="n"/>
      <c r="J791" s="60" t="n"/>
      <c r="K791" s="60" t="n"/>
      <c r="L791" s="60" t="n"/>
      <c r="M791" s="61" t="n"/>
      <c r="N791" s="60" t="n"/>
      <c r="O791" s="60" t="n"/>
      <c r="P791" s="60" t="n"/>
      <c r="Q791" s="60" t="n"/>
      <c r="R791" s="60" t="n"/>
      <c r="S791" s="60" t="n"/>
      <c r="T791" s="60" t="n"/>
      <c r="U791" s="60" t="n"/>
      <c r="V791" s="60" t="n"/>
      <c r="W791" s="60" t="n"/>
      <c r="X791" s="60" t="n"/>
      <c r="Y791" s="60" t="n"/>
      <c r="Z791" s="61" t="n"/>
      <c r="AA791" s="63">
        <f>IF($H791="","",TODAY()-$H791)</f>
        <v/>
      </c>
      <c r="AB791" s="63">
        <f>IF($A791="","",IF(AND($F791="Yes",OR($U791="No",$U791="NOT FOUND")),"YES",""))</f>
        <v/>
      </c>
      <c r="AC791" s="66">
        <f>IF($A791="","",TRIM(IF(AND($P791=0,$L791&lt;&gt;"Yes"),"T0-NoSmartcard ","")&amp;IF(AND($J791&lt;&gt;"",$J791&gt;365),"StalePwd ","")&amp;IF($K791="Yes","PwdNeverExpires ","")&amp;IF(AND($S791&lt;&gt;"",$S791&lt;&gt;"None"),"Delegation ","")&amp;IF(AND($Q791=1,$O791="None"),"StaleAdminCount ","")&amp;IF(AND($F791="Yes",$H791=""),"NeverLoggedOn ","")))</f>
        <v/>
      </c>
      <c r="AD791" s="60" t="n"/>
      <c r="AE791" s="61" t="n"/>
      <c r="AF791" s="60" t="n"/>
      <c r="AG791" s="62" t="n"/>
      <c r="AH791" s="62" t="n"/>
      <c r="AI791" s="62" t="n"/>
      <c r="AJ791" s="60" t="n"/>
      <c r="AK791" s="61" t="n"/>
      <c r="AL791" s="63">
        <f>IF($A791="","",IF(AH791="","Not Enrolled",IF(TODAY()&gt;AH791,"Review Overdue",IF(AH791-TODAY()&lt;=30,"Review Due Soon","Active"))))</f>
        <v/>
      </c>
      <c r="AM791" s="63">
        <f>IF($A791="","",IF(AI791="","NOT REVIEWED",IF(TODAY()-AI791&gt;90,"OVERDUE",IF(TODAY()-AI791&gt;76,"Due Soon","Current"))))</f>
        <v/>
      </c>
    </row>
    <row r="792" ht="15" customHeight="1" s="39">
      <c r="A792" s="60" t="n"/>
      <c r="B792" s="60" t="n"/>
      <c r="C792" s="61" t="n"/>
      <c r="D792" s="61" t="n"/>
      <c r="E792" s="60" t="n"/>
      <c r="F792" s="60" t="n"/>
      <c r="G792" s="62" t="n"/>
      <c r="H792" s="62" t="n"/>
      <c r="I792" s="62" t="n"/>
      <c r="J792" s="60" t="n"/>
      <c r="K792" s="60" t="n"/>
      <c r="L792" s="60" t="n"/>
      <c r="M792" s="61" t="n"/>
      <c r="N792" s="60" t="n"/>
      <c r="O792" s="60" t="n"/>
      <c r="P792" s="60" t="n"/>
      <c r="Q792" s="60" t="n"/>
      <c r="R792" s="60" t="n"/>
      <c r="S792" s="60" t="n"/>
      <c r="T792" s="60" t="n"/>
      <c r="U792" s="60" t="n"/>
      <c r="V792" s="60" t="n"/>
      <c r="W792" s="60" t="n"/>
      <c r="X792" s="60" t="n"/>
      <c r="Y792" s="60" t="n"/>
      <c r="Z792" s="61" t="n"/>
      <c r="AA792" s="63">
        <f>IF($H792="","",TODAY()-$H792)</f>
        <v/>
      </c>
      <c r="AB792" s="63">
        <f>IF($A792="","",IF(AND($F792="Yes",OR($U792="No",$U792="NOT FOUND")),"YES",""))</f>
        <v/>
      </c>
      <c r="AC792" s="66">
        <f>IF($A792="","",TRIM(IF(AND($P792=0,$L792&lt;&gt;"Yes"),"T0-NoSmartcard ","")&amp;IF(AND($J792&lt;&gt;"",$J792&gt;365),"StalePwd ","")&amp;IF($K792="Yes","PwdNeverExpires ","")&amp;IF(AND($S792&lt;&gt;"",$S792&lt;&gt;"None"),"Delegation ","")&amp;IF(AND($Q792=1,$O792="None"),"StaleAdminCount ","")&amp;IF(AND($F792="Yes",$H792=""),"NeverLoggedOn ","")))</f>
        <v/>
      </c>
      <c r="AD792" s="60" t="n"/>
      <c r="AE792" s="61" t="n"/>
      <c r="AF792" s="60" t="n"/>
      <c r="AG792" s="62" t="n"/>
      <c r="AH792" s="62" t="n"/>
      <c r="AI792" s="62" t="n"/>
      <c r="AJ792" s="60" t="n"/>
      <c r="AK792" s="61" t="n"/>
      <c r="AL792" s="63">
        <f>IF($A792="","",IF(AH792="","Not Enrolled",IF(TODAY()&gt;AH792,"Review Overdue",IF(AH792-TODAY()&lt;=30,"Review Due Soon","Active"))))</f>
        <v/>
      </c>
      <c r="AM792" s="63">
        <f>IF($A792="","",IF(AI792="","NOT REVIEWED",IF(TODAY()-AI792&gt;90,"OVERDUE",IF(TODAY()-AI792&gt;76,"Due Soon","Current"))))</f>
        <v/>
      </c>
    </row>
    <row r="793" ht="15" customHeight="1" s="39">
      <c r="A793" s="60" t="n"/>
      <c r="B793" s="60" t="n"/>
      <c r="C793" s="61" t="n"/>
      <c r="D793" s="61" t="n"/>
      <c r="E793" s="60" t="n"/>
      <c r="F793" s="60" t="n"/>
      <c r="G793" s="62" t="n"/>
      <c r="H793" s="62" t="n"/>
      <c r="I793" s="62" t="n"/>
      <c r="J793" s="60" t="n"/>
      <c r="K793" s="60" t="n"/>
      <c r="L793" s="60" t="n"/>
      <c r="M793" s="61" t="n"/>
      <c r="N793" s="60" t="n"/>
      <c r="O793" s="60" t="n"/>
      <c r="P793" s="60" t="n"/>
      <c r="Q793" s="60" t="n"/>
      <c r="R793" s="60" t="n"/>
      <c r="S793" s="60" t="n"/>
      <c r="T793" s="60" t="n"/>
      <c r="U793" s="60" t="n"/>
      <c r="V793" s="60" t="n"/>
      <c r="W793" s="60" t="n"/>
      <c r="X793" s="60" t="n"/>
      <c r="Y793" s="60" t="n"/>
      <c r="Z793" s="61" t="n"/>
      <c r="AA793" s="63">
        <f>IF($H793="","",TODAY()-$H793)</f>
        <v/>
      </c>
      <c r="AB793" s="63">
        <f>IF($A793="","",IF(AND($F793="Yes",OR($U793="No",$U793="NOT FOUND")),"YES",""))</f>
        <v/>
      </c>
      <c r="AC793" s="66">
        <f>IF($A793="","",TRIM(IF(AND($P793=0,$L793&lt;&gt;"Yes"),"T0-NoSmartcard ","")&amp;IF(AND($J793&lt;&gt;"",$J793&gt;365),"StalePwd ","")&amp;IF($K793="Yes","PwdNeverExpires ","")&amp;IF(AND($S793&lt;&gt;"",$S793&lt;&gt;"None"),"Delegation ","")&amp;IF(AND($Q793=1,$O793="None"),"StaleAdminCount ","")&amp;IF(AND($F793="Yes",$H793=""),"NeverLoggedOn ","")))</f>
        <v/>
      </c>
      <c r="AD793" s="60" t="n"/>
      <c r="AE793" s="61" t="n"/>
      <c r="AF793" s="60" t="n"/>
      <c r="AG793" s="62" t="n"/>
      <c r="AH793" s="62" t="n"/>
      <c r="AI793" s="62" t="n"/>
      <c r="AJ793" s="60" t="n"/>
      <c r="AK793" s="61" t="n"/>
      <c r="AL793" s="63">
        <f>IF($A793="","",IF(AH793="","Not Enrolled",IF(TODAY()&gt;AH793,"Review Overdue",IF(AH793-TODAY()&lt;=30,"Review Due Soon","Active"))))</f>
        <v/>
      </c>
      <c r="AM793" s="63">
        <f>IF($A793="","",IF(AI793="","NOT REVIEWED",IF(TODAY()-AI793&gt;90,"OVERDUE",IF(TODAY()-AI793&gt;76,"Due Soon","Current"))))</f>
        <v/>
      </c>
    </row>
    <row r="794" ht="15" customHeight="1" s="39">
      <c r="A794" s="60" t="n"/>
      <c r="B794" s="60" t="n"/>
      <c r="C794" s="61" t="n"/>
      <c r="D794" s="61" t="n"/>
      <c r="E794" s="60" t="n"/>
      <c r="F794" s="60" t="n"/>
      <c r="G794" s="62" t="n"/>
      <c r="H794" s="62" t="n"/>
      <c r="I794" s="62" t="n"/>
      <c r="J794" s="60" t="n"/>
      <c r="K794" s="60" t="n"/>
      <c r="L794" s="60" t="n"/>
      <c r="M794" s="61" t="n"/>
      <c r="N794" s="60" t="n"/>
      <c r="O794" s="60" t="n"/>
      <c r="P794" s="60" t="n"/>
      <c r="Q794" s="60" t="n"/>
      <c r="R794" s="60" t="n"/>
      <c r="S794" s="60" t="n"/>
      <c r="T794" s="60" t="n"/>
      <c r="U794" s="60" t="n"/>
      <c r="V794" s="60" t="n"/>
      <c r="W794" s="60" t="n"/>
      <c r="X794" s="60" t="n"/>
      <c r="Y794" s="60" t="n"/>
      <c r="Z794" s="61" t="n"/>
      <c r="AA794" s="63">
        <f>IF($H794="","",TODAY()-$H794)</f>
        <v/>
      </c>
      <c r="AB794" s="63">
        <f>IF($A794="","",IF(AND($F794="Yes",OR($U794="No",$U794="NOT FOUND")),"YES",""))</f>
        <v/>
      </c>
      <c r="AC794" s="66">
        <f>IF($A794="","",TRIM(IF(AND($P794=0,$L794&lt;&gt;"Yes"),"T0-NoSmartcard ","")&amp;IF(AND($J794&lt;&gt;"",$J794&gt;365),"StalePwd ","")&amp;IF($K794="Yes","PwdNeverExpires ","")&amp;IF(AND($S794&lt;&gt;"",$S794&lt;&gt;"None"),"Delegation ","")&amp;IF(AND($Q794=1,$O794="None"),"StaleAdminCount ","")&amp;IF(AND($F794="Yes",$H794=""),"NeverLoggedOn ","")))</f>
        <v/>
      </c>
      <c r="AD794" s="60" t="n"/>
      <c r="AE794" s="61" t="n"/>
      <c r="AF794" s="60" t="n"/>
      <c r="AG794" s="62" t="n"/>
      <c r="AH794" s="62" t="n"/>
      <c r="AI794" s="62" t="n"/>
      <c r="AJ794" s="60" t="n"/>
      <c r="AK794" s="61" t="n"/>
      <c r="AL794" s="63">
        <f>IF($A794="","",IF(AH794="","Not Enrolled",IF(TODAY()&gt;AH794,"Review Overdue",IF(AH794-TODAY()&lt;=30,"Review Due Soon","Active"))))</f>
        <v/>
      </c>
      <c r="AM794" s="63">
        <f>IF($A794="","",IF(AI794="","NOT REVIEWED",IF(TODAY()-AI794&gt;90,"OVERDUE",IF(TODAY()-AI794&gt;76,"Due Soon","Current"))))</f>
        <v/>
      </c>
    </row>
    <row r="795" ht="15" customHeight="1" s="39">
      <c r="A795" s="60" t="n"/>
      <c r="B795" s="60" t="n"/>
      <c r="C795" s="61" t="n"/>
      <c r="D795" s="61" t="n"/>
      <c r="E795" s="60" t="n"/>
      <c r="F795" s="60" t="n"/>
      <c r="G795" s="62" t="n"/>
      <c r="H795" s="62" t="n"/>
      <c r="I795" s="62" t="n"/>
      <c r="J795" s="60" t="n"/>
      <c r="K795" s="60" t="n"/>
      <c r="L795" s="60" t="n"/>
      <c r="M795" s="61" t="n"/>
      <c r="N795" s="60" t="n"/>
      <c r="O795" s="60" t="n"/>
      <c r="P795" s="60" t="n"/>
      <c r="Q795" s="60" t="n"/>
      <c r="R795" s="60" t="n"/>
      <c r="S795" s="60" t="n"/>
      <c r="T795" s="60" t="n"/>
      <c r="U795" s="60" t="n"/>
      <c r="V795" s="60" t="n"/>
      <c r="W795" s="60" t="n"/>
      <c r="X795" s="60" t="n"/>
      <c r="Y795" s="60" t="n"/>
      <c r="Z795" s="61" t="n"/>
      <c r="AA795" s="63">
        <f>IF($H795="","",TODAY()-$H795)</f>
        <v/>
      </c>
      <c r="AB795" s="63">
        <f>IF($A795="","",IF(AND($F795="Yes",OR($U795="No",$U795="NOT FOUND")),"YES",""))</f>
        <v/>
      </c>
      <c r="AC795" s="66">
        <f>IF($A795="","",TRIM(IF(AND($P795=0,$L795&lt;&gt;"Yes"),"T0-NoSmartcard ","")&amp;IF(AND($J795&lt;&gt;"",$J795&gt;365),"StalePwd ","")&amp;IF($K795="Yes","PwdNeverExpires ","")&amp;IF(AND($S795&lt;&gt;"",$S795&lt;&gt;"None"),"Delegation ","")&amp;IF(AND($Q795=1,$O795="None"),"StaleAdminCount ","")&amp;IF(AND($F795="Yes",$H795=""),"NeverLoggedOn ","")))</f>
        <v/>
      </c>
      <c r="AD795" s="60" t="n"/>
      <c r="AE795" s="61" t="n"/>
      <c r="AF795" s="60" t="n"/>
      <c r="AG795" s="62" t="n"/>
      <c r="AH795" s="62" t="n"/>
      <c r="AI795" s="62" t="n"/>
      <c r="AJ795" s="60" t="n"/>
      <c r="AK795" s="61" t="n"/>
      <c r="AL795" s="63">
        <f>IF($A795="","",IF(AH795="","Not Enrolled",IF(TODAY()&gt;AH795,"Review Overdue",IF(AH795-TODAY()&lt;=30,"Review Due Soon","Active"))))</f>
        <v/>
      </c>
      <c r="AM795" s="63">
        <f>IF($A795="","",IF(AI795="","NOT REVIEWED",IF(TODAY()-AI795&gt;90,"OVERDUE",IF(TODAY()-AI795&gt;76,"Due Soon","Current"))))</f>
        <v/>
      </c>
    </row>
    <row r="796" ht="15" customHeight="1" s="39">
      <c r="A796" s="60" t="n"/>
      <c r="B796" s="60" t="n"/>
      <c r="C796" s="61" t="n"/>
      <c r="D796" s="61" t="n"/>
      <c r="E796" s="60" t="n"/>
      <c r="F796" s="60" t="n"/>
      <c r="G796" s="62" t="n"/>
      <c r="H796" s="62" t="n"/>
      <c r="I796" s="62" t="n"/>
      <c r="J796" s="60" t="n"/>
      <c r="K796" s="60" t="n"/>
      <c r="L796" s="60" t="n"/>
      <c r="M796" s="61" t="n"/>
      <c r="N796" s="60" t="n"/>
      <c r="O796" s="60" t="n"/>
      <c r="P796" s="60" t="n"/>
      <c r="Q796" s="60" t="n"/>
      <c r="R796" s="60" t="n"/>
      <c r="S796" s="60" t="n"/>
      <c r="T796" s="60" t="n"/>
      <c r="U796" s="60" t="n"/>
      <c r="V796" s="60" t="n"/>
      <c r="W796" s="60" t="n"/>
      <c r="X796" s="60" t="n"/>
      <c r="Y796" s="60" t="n"/>
      <c r="Z796" s="61" t="n"/>
      <c r="AA796" s="63">
        <f>IF($H796="","",TODAY()-$H796)</f>
        <v/>
      </c>
      <c r="AB796" s="63">
        <f>IF($A796="","",IF(AND($F796="Yes",OR($U796="No",$U796="NOT FOUND")),"YES",""))</f>
        <v/>
      </c>
      <c r="AC796" s="66">
        <f>IF($A796="","",TRIM(IF(AND($P796=0,$L796&lt;&gt;"Yes"),"T0-NoSmartcard ","")&amp;IF(AND($J796&lt;&gt;"",$J796&gt;365),"StalePwd ","")&amp;IF($K796="Yes","PwdNeverExpires ","")&amp;IF(AND($S796&lt;&gt;"",$S796&lt;&gt;"None"),"Delegation ","")&amp;IF(AND($Q796=1,$O796="None"),"StaleAdminCount ","")&amp;IF(AND($F796="Yes",$H796=""),"NeverLoggedOn ","")))</f>
        <v/>
      </c>
      <c r="AD796" s="60" t="n"/>
      <c r="AE796" s="61" t="n"/>
      <c r="AF796" s="60" t="n"/>
      <c r="AG796" s="62" t="n"/>
      <c r="AH796" s="62" t="n"/>
      <c r="AI796" s="62" t="n"/>
      <c r="AJ796" s="60" t="n"/>
      <c r="AK796" s="61" t="n"/>
      <c r="AL796" s="63">
        <f>IF($A796="","",IF(AH796="","Not Enrolled",IF(TODAY()&gt;AH796,"Review Overdue",IF(AH796-TODAY()&lt;=30,"Review Due Soon","Active"))))</f>
        <v/>
      </c>
      <c r="AM796" s="63">
        <f>IF($A796="","",IF(AI796="","NOT REVIEWED",IF(TODAY()-AI796&gt;90,"OVERDUE",IF(TODAY()-AI796&gt;76,"Due Soon","Current"))))</f>
        <v/>
      </c>
    </row>
    <row r="797" ht="15" customHeight="1" s="39">
      <c r="A797" s="60" t="n"/>
      <c r="B797" s="60" t="n"/>
      <c r="C797" s="61" t="n"/>
      <c r="D797" s="61" t="n"/>
      <c r="E797" s="60" t="n"/>
      <c r="F797" s="60" t="n"/>
      <c r="G797" s="62" t="n"/>
      <c r="H797" s="62" t="n"/>
      <c r="I797" s="62" t="n"/>
      <c r="J797" s="60" t="n"/>
      <c r="K797" s="60" t="n"/>
      <c r="L797" s="60" t="n"/>
      <c r="M797" s="61" t="n"/>
      <c r="N797" s="60" t="n"/>
      <c r="O797" s="60" t="n"/>
      <c r="P797" s="60" t="n"/>
      <c r="Q797" s="60" t="n"/>
      <c r="R797" s="60" t="n"/>
      <c r="S797" s="60" t="n"/>
      <c r="T797" s="60" t="n"/>
      <c r="U797" s="60" t="n"/>
      <c r="V797" s="60" t="n"/>
      <c r="W797" s="60" t="n"/>
      <c r="X797" s="60" t="n"/>
      <c r="Y797" s="60" t="n"/>
      <c r="Z797" s="61" t="n"/>
      <c r="AA797" s="63">
        <f>IF($H797="","",TODAY()-$H797)</f>
        <v/>
      </c>
      <c r="AB797" s="63">
        <f>IF($A797="","",IF(AND($F797="Yes",OR($U797="No",$U797="NOT FOUND")),"YES",""))</f>
        <v/>
      </c>
      <c r="AC797" s="66">
        <f>IF($A797="","",TRIM(IF(AND($P797=0,$L797&lt;&gt;"Yes"),"T0-NoSmartcard ","")&amp;IF(AND($J797&lt;&gt;"",$J797&gt;365),"StalePwd ","")&amp;IF($K797="Yes","PwdNeverExpires ","")&amp;IF(AND($S797&lt;&gt;"",$S797&lt;&gt;"None"),"Delegation ","")&amp;IF(AND($Q797=1,$O797="None"),"StaleAdminCount ","")&amp;IF(AND($F797="Yes",$H797=""),"NeverLoggedOn ","")))</f>
        <v/>
      </c>
      <c r="AD797" s="60" t="n"/>
      <c r="AE797" s="61" t="n"/>
      <c r="AF797" s="60" t="n"/>
      <c r="AG797" s="62" t="n"/>
      <c r="AH797" s="62" t="n"/>
      <c r="AI797" s="62" t="n"/>
      <c r="AJ797" s="60" t="n"/>
      <c r="AK797" s="61" t="n"/>
      <c r="AL797" s="63">
        <f>IF($A797="","",IF(AH797="","Not Enrolled",IF(TODAY()&gt;AH797,"Review Overdue",IF(AH797-TODAY()&lt;=30,"Review Due Soon","Active"))))</f>
        <v/>
      </c>
      <c r="AM797" s="63">
        <f>IF($A797="","",IF(AI797="","NOT REVIEWED",IF(TODAY()-AI797&gt;90,"OVERDUE",IF(TODAY()-AI797&gt;76,"Due Soon","Current"))))</f>
        <v/>
      </c>
    </row>
    <row r="798" ht="15" customHeight="1" s="39">
      <c r="A798" s="60" t="n"/>
      <c r="B798" s="60" t="n"/>
      <c r="C798" s="61" t="n"/>
      <c r="D798" s="61" t="n"/>
      <c r="E798" s="60" t="n"/>
      <c r="F798" s="60" t="n"/>
      <c r="G798" s="62" t="n"/>
      <c r="H798" s="62" t="n"/>
      <c r="I798" s="62" t="n"/>
      <c r="J798" s="60" t="n"/>
      <c r="K798" s="60" t="n"/>
      <c r="L798" s="60" t="n"/>
      <c r="M798" s="61" t="n"/>
      <c r="N798" s="60" t="n"/>
      <c r="O798" s="60" t="n"/>
      <c r="P798" s="60" t="n"/>
      <c r="Q798" s="60" t="n"/>
      <c r="R798" s="60" t="n"/>
      <c r="S798" s="60" t="n"/>
      <c r="T798" s="60" t="n"/>
      <c r="U798" s="60" t="n"/>
      <c r="V798" s="60" t="n"/>
      <c r="W798" s="60" t="n"/>
      <c r="X798" s="60" t="n"/>
      <c r="Y798" s="60" t="n"/>
      <c r="Z798" s="61" t="n"/>
      <c r="AA798" s="63">
        <f>IF($H798="","",TODAY()-$H798)</f>
        <v/>
      </c>
      <c r="AB798" s="63">
        <f>IF($A798="","",IF(AND($F798="Yes",OR($U798="No",$U798="NOT FOUND")),"YES",""))</f>
        <v/>
      </c>
      <c r="AC798" s="66">
        <f>IF($A798="","",TRIM(IF(AND($P798=0,$L798&lt;&gt;"Yes"),"T0-NoSmartcard ","")&amp;IF(AND($J798&lt;&gt;"",$J798&gt;365),"StalePwd ","")&amp;IF($K798="Yes","PwdNeverExpires ","")&amp;IF(AND($S798&lt;&gt;"",$S798&lt;&gt;"None"),"Delegation ","")&amp;IF(AND($Q798=1,$O798="None"),"StaleAdminCount ","")&amp;IF(AND($F798="Yes",$H798=""),"NeverLoggedOn ","")))</f>
        <v/>
      </c>
      <c r="AD798" s="60" t="n"/>
      <c r="AE798" s="61" t="n"/>
      <c r="AF798" s="60" t="n"/>
      <c r="AG798" s="62" t="n"/>
      <c r="AH798" s="62" t="n"/>
      <c r="AI798" s="62" t="n"/>
      <c r="AJ798" s="60" t="n"/>
      <c r="AK798" s="61" t="n"/>
      <c r="AL798" s="63">
        <f>IF($A798="","",IF(AH798="","Not Enrolled",IF(TODAY()&gt;AH798,"Review Overdue",IF(AH798-TODAY()&lt;=30,"Review Due Soon","Active"))))</f>
        <v/>
      </c>
      <c r="AM798" s="63">
        <f>IF($A798="","",IF(AI798="","NOT REVIEWED",IF(TODAY()-AI798&gt;90,"OVERDUE",IF(TODAY()-AI798&gt;76,"Due Soon","Current"))))</f>
        <v/>
      </c>
    </row>
    <row r="799" ht="15" customHeight="1" s="39">
      <c r="A799" s="60" t="n"/>
      <c r="B799" s="60" t="n"/>
      <c r="C799" s="61" t="n"/>
      <c r="D799" s="61" t="n"/>
      <c r="E799" s="60" t="n"/>
      <c r="F799" s="60" t="n"/>
      <c r="G799" s="62" t="n"/>
      <c r="H799" s="62" t="n"/>
      <c r="I799" s="62" t="n"/>
      <c r="J799" s="60" t="n"/>
      <c r="K799" s="60" t="n"/>
      <c r="L799" s="60" t="n"/>
      <c r="M799" s="61" t="n"/>
      <c r="N799" s="60" t="n"/>
      <c r="O799" s="60" t="n"/>
      <c r="P799" s="60" t="n"/>
      <c r="Q799" s="60" t="n"/>
      <c r="R799" s="60" t="n"/>
      <c r="S799" s="60" t="n"/>
      <c r="T799" s="60" t="n"/>
      <c r="U799" s="60" t="n"/>
      <c r="V799" s="60" t="n"/>
      <c r="W799" s="60" t="n"/>
      <c r="X799" s="60" t="n"/>
      <c r="Y799" s="60" t="n"/>
      <c r="Z799" s="61" t="n"/>
      <c r="AA799" s="63">
        <f>IF($H799="","",TODAY()-$H799)</f>
        <v/>
      </c>
      <c r="AB799" s="63">
        <f>IF($A799="","",IF(AND($F799="Yes",OR($U799="No",$U799="NOT FOUND")),"YES",""))</f>
        <v/>
      </c>
      <c r="AC799" s="66">
        <f>IF($A799="","",TRIM(IF(AND($P799=0,$L799&lt;&gt;"Yes"),"T0-NoSmartcard ","")&amp;IF(AND($J799&lt;&gt;"",$J799&gt;365),"StalePwd ","")&amp;IF($K799="Yes","PwdNeverExpires ","")&amp;IF(AND($S799&lt;&gt;"",$S799&lt;&gt;"None"),"Delegation ","")&amp;IF(AND($Q799=1,$O799="None"),"StaleAdminCount ","")&amp;IF(AND($F799="Yes",$H799=""),"NeverLoggedOn ","")))</f>
        <v/>
      </c>
      <c r="AD799" s="60" t="n"/>
      <c r="AE799" s="61" t="n"/>
      <c r="AF799" s="60" t="n"/>
      <c r="AG799" s="62" t="n"/>
      <c r="AH799" s="62" t="n"/>
      <c r="AI799" s="62" t="n"/>
      <c r="AJ799" s="60" t="n"/>
      <c r="AK799" s="61" t="n"/>
      <c r="AL799" s="63">
        <f>IF($A799="","",IF(AH799="","Not Enrolled",IF(TODAY()&gt;AH799,"Review Overdue",IF(AH799-TODAY()&lt;=30,"Review Due Soon","Active"))))</f>
        <v/>
      </c>
      <c r="AM799" s="63">
        <f>IF($A799="","",IF(AI799="","NOT REVIEWED",IF(TODAY()-AI799&gt;90,"OVERDUE",IF(TODAY()-AI799&gt;76,"Due Soon","Current"))))</f>
        <v/>
      </c>
    </row>
    <row r="800" ht="15" customHeight="1" s="39">
      <c r="A800" s="60" t="n"/>
      <c r="B800" s="60" t="n"/>
      <c r="C800" s="61" t="n"/>
      <c r="D800" s="61" t="n"/>
      <c r="E800" s="60" t="n"/>
      <c r="F800" s="60" t="n"/>
      <c r="G800" s="62" t="n"/>
      <c r="H800" s="62" t="n"/>
      <c r="I800" s="62" t="n"/>
      <c r="J800" s="60" t="n"/>
      <c r="K800" s="60" t="n"/>
      <c r="L800" s="60" t="n"/>
      <c r="M800" s="61" t="n"/>
      <c r="N800" s="60" t="n"/>
      <c r="O800" s="60" t="n"/>
      <c r="P800" s="60" t="n"/>
      <c r="Q800" s="60" t="n"/>
      <c r="R800" s="60" t="n"/>
      <c r="S800" s="60" t="n"/>
      <c r="T800" s="60" t="n"/>
      <c r="U800" s="60" t="n"/>
      <c r="V800" s="60" t="n"/>
      <c r="W800" s="60" t="n"/>
      <c r="X800" s="60" t="n"/>
      <c r="Y800" s="60" t="n"/>
      <c r="Z800" s="61" t="n"/>
      <c r="AA800" s="63">
        <f>IF($H800="","",TODAY()-$H800)</f>
        <v/>
      </c>
      <c r="AB800" s="63">
        <f>IF($A800="","",IF(AND($F800="Yes",OR($U800="No",$U800="NOT FOUND")),"YES",""))</f>
        <v/>
      </c>
      <c r="AC800" s="66">
        <f>IF($A800="","",TRIM(IF(AND($P800=0,$L800&lt;&gt;"Yes"),"T0-NoSmartcard ","")&amp;IF(AND($J800&lt;&gt;"",$J800&gt;365),"StalePwd ","")&amp;IF($K800="Yes","PwdNeverExpires ","")&amp;IF(AND($S800&lt;&gt;"",$S800&lt;&gt;"None"),"Delegation ","")&amp;IF(AND($Q800=1,$O800="None"),"StaleAdminCount ","")&amp;IF(AND($F800="Yes",$H800=""),"NeverLoggedOn ","")))</f>
        <v/>
      </c>
      <c r="AD800" s="60" t="n"/>
      <c r="AE800" s="61" t="n"/>
      <c r="AF800" s="60" t="n"/>
      <c r="AG800" s="62" t="n"/>
      <c r="AH800" s="62" t="n"/>
      <c r="AI800" s="62" t="n"/>
      <c r="AJ800" s="60" t="n"/>
      <c r="AK800" s="61" t="n"/>
      <c r="AL800" s="63">
        <f>IF($A800="","",IF(AH800="","Not Enrolled",IF(TODAY()&gt;AH800,"Review Overdue",IF(AH800-TODAY()&lt;=30,"Review Due Soon","Active"))))</f>
        <v/>
      </c>
      <c r="AM800" s="63">
        <f>IF($A800="","",IF(AI800="","NOT REVIEWED",IF(TODAY()-AI800&gt;90,"OVERDUE",IF(TODAY()-AI800&gt;76,"Due Soon","Current"))))</f>
        <v/>
      </c>
    </row>
    <row r="801" ht="15" customHeight="1" s="39">
      <c r="A801" s="60" t="n"/>
      <c r="B801" s="60" t="n"/>
      <c r="C801" s="61" t="n"/>
      <c r="D801" s="61" t="n"/>
      <c r="E801" s="60" t="n"/>
      <c r="F801" s="60" t="n"/>
      <c r="G801" s="62" t="n"/>
      <c r="H801" s="62" t="n"/>
      <c r="I801" s="62" t="n"/>
      <c r="J801" s="60" t="n"/>
      <c r="K801" s="60" t="n"/>
      <c r="L801" s="60" t="n"/>
      <c r="M801" s="61" t="n"/>
      <c r="N801" s="60" t="n"/>
      <c r="O801" s="60" t="n"/>
      <c r="P801" s="60" t="n"/>
      <c r="Q801" s="60" t="n"/>
      <c r="R801" s="60" t="n"/>
      <c r="S801" s="60" t="n"/>
      <c r="T801" s="60" t="n"/>
      <c r="U801" s="60" t="n"/>
      <c r="V801" s="60" t="n"/>
      <c r="W801" s="60" t="n"/>
      <c r="X801" s="60" t="n"/>
      <c r="Y801" s="60" t="n"/>
      <c r="Z801" s="61" t="n"/>
      <c r="AA801" s="63">
        <f>IF($H801="","",TODAY()-$H801)</f>
        <v/>
      </c>
      <c r="AB801" s="63">
        <f>IF($A801="","",IF(AND($F801="Yes",OR($U801="No",$U801="NOT FOUND")),"YES",""))</f>
        <v/>
      </c>
      <c r="AC801" s="66">
        <f>IF($A801="","",TRIM(IF(AND($P801=0,$L801&lt;&gt;"Yes"),"T0-NoSmartcard ","")&amp;IF(AND($J801&lt;&gt;"",$J801&gt;365),"StalePwd ","")&amp;IF($K801="Yes","PwdNeverExpires ","")&amp;IF(AND($S801&lt;&gt;"",$S801&lt;&gt;"None"),"Delegation ","")&amp;IF(AND($Q801=1,$O801="None"),"StaleAdminCount ","")&amp;IF(AND($F801="Yes",$H801=""),"NeverLoggedOn ","")))</f>
        <v/>
      </c>
      <c r="AD801" s="60" t="n"/>
      <c r="AE801" s="61" t="n"/>
      <c r="AF801" s="60" t="n"/>
      <c r="AG801" s="62" t="n"/>
      <c r="AH801" s="62" t="n"/>
      <c r="AI801" s="62" t="n"/>
      <c r="AJ801" s="60" t="n"/>
      <c r="AK801" s="61" t="n"/>
      <c r="AL801" s="63">
        <f>IF($A801="","",IF(AH801="","Not Enrolled",IF(TODAY()&gt;AH801,"Review Overdue",IF(AH801-TODAY()&lt;=30,"Review Due Soon","Active"))))</f>
        <v/>
      </c>
      <c r="AM801" s="63">
        <f>IF($A801="","",IF(AI801="","NOT REVIEWED",IF(TODAY()-AI801&gt;90,"OVERDUE",IF(TODAY()-AI801&gt;76,"Due Soon","Current"))))</f>
        <v/>
      </c>
    </row>
    <row r="802" ht="15" customHeight="1" s="39">
      <c r="A802" s="60" t="n"/>
      <c r="B802" s="60" t="n"/>
      <c r="C802" s="61" t="n"/>
      <c r="D802" s="61" t="n"/>
      <c r="E802" s="60" t="n"/>
      <c r="F802" s="60" t="n"/>
      <c r="G802" s="62" t="n"/>
      <c r="H802" s="62" t="n"/>
      <c r="I802" s="62" t="n"/>
      <c r="J802" s="60" t="n"/>
      <c r="K802" s="60" t="n"/>
      <c r="L802" s="60" t="n"/>
      <c r="M802" s="61" t="n"/>
      <c r="N802" s="60" t="n"/>
      <c r="O802" s="60" t="n"/>
      <c r="P802" s="60" t="n"/>
      <c r="Q802" s="60" t="n"/>
      <c r="R802" s="60" t="n"/>
      <c r="S802" s="60" t="n"/>
      <c r="T802" s="60" t="n"/>
      <c r="U802" s="60" t="n"/>
      <c r="V802" s="60" t="n"/>
      <c r="W802" s="60" t="n"/>
      <c r="X802" s="60" t="n"/>
      <c r="Y802" s="60" t="n"/>
      <c r="Z802" s="61" t="n"/>
      <c r="AA802" s="63">
        <f>IF($H802="","",TODAY()-$H802)</f>
        <v/>
      </c>
      <c r="AB802" s="63">
        <f>IF($A802="","",IF(AND($F802="Yes",OR($U802="No",$U802="NOT FOUND")),"YES",""))</f>
        <v/>
      </c>
      <c r="AC802" s="66">
        <f>IF($A802="","",TRIM(IF(AND($P802=0,$L802&lt;&gt;"Yes"),"T0-NoSmartcard ","")&amp;IF(AND($J802&lt;&gt;"",$J802&gt;365),"StalePwd ","")&amp;IF($K802="Yes","PwdNeverExpires ","")&amp;IF(AND($S802&lt;&gt;"",$S802&lt;&gt;"None"),"Delegation ","")&amp;IF(AND($Q802=1,$O802="None"),"StaleAdminCount ","")&amp;IF(AND($F802="Yes",$H802=""),"NeverLoggedOn ","")))</f>
        <v/>
      </c>
      <c r="AD802" s="60" t="n"/>
      <c r="AE802" s="61" t="n"/>
      <c r="AF802" s="60" t="n"/>
      <c r="AG802" s="62" t="n"/>
      <c r="AH802" s="62" t="n"/>
      <c r="AI802" s="62" t="n"/>
      <c r="AJ802" s="60" t="n"/>
      <c r="AK802" s="61" t="n"/>
      <c r="AL802" s="63">
        <f>IF($A802="","",IF(AH802="","Not Enrolled",IF(TODAY()&gt;AH802,"Review Overdue",IF(AH802-TODAY()&lt;=30,"Review Due Soon","Active"))))</f>
        <v/>
      </c>
      <c r="AM802" s="63">
        <f>IF($A802="","",IF(AI802="","NOT REVIEWED",IF(TODAY()-AI802&gt;90,"OVERDUE",IF(TODAY()-AI802&gt;76,"Due Soon","Current"))))</f>
        <v/>
      </c>
    </row>
    <row r="803" ht="15" customHeight="1" s="39">
      <c r="A803" s="60" t="n"/>
      <c r="B803" s="60" t="n"/>
      <c r="C803" s="61" t="n"/>
      <c r="D803" s="61" t="n"/>
      <c r="E803" s="60" t="n"/>
      <c r="F803" s="60" t="n"/>
      <c r="G803" s="62" t="n"/>
      <c r="H803" s="62" t="n"/>
      <c r="I803" s="62" t="n"/>
      <c r="J803" s="60" t="n"/>
      <c r="K803" s="60" t="n"/>
      <c r="L803" s="60" t="n"/>
      <c r="M803" s="61" t="n"/>
      <c r="N803" s="60" t="n"/>
      <c r="O803" s="60" t="n"/>
      <c r="P803" s="60" t="n"/>
      <c r="Q803" s="60" t="n"/>
      <c r="R803" s="60" t="n"/>
      <c r="S803" s="60" t="n"/>
      <c r="T803" s="60" t="n"/>
      <c r="U803" s="60" t="n"/>
      <c r="V803" s="60" t="n"/>
      <c r="W803" s="60" t="n"/>
      <c r="X803" s="60" t="n"/>
      <c r="Y803" s="60" t="n"/>
      <c r="Z803" s="61" t="n"/>
      <c r="AA803" s="63">
        <f>IF($H803="","",TODAY()-$H803)</f>
        <v/>
      </c>
      <c r="AB803" s="63">
        <f>IF($A803="","",IF(AND($F803="Yes",OR($U803="No",$U803="NOT FOUND")),"YES",""))</f>
        <v/>
      </c>
      <c r="AC803" s="66">
        <f>IF($A803="","",TRIM(IF(AND($P803=0,$L803&lt;&gt;"Yes"),"T0-NoSmartcard ","")&amp;IF(AND($J803&lt;&gt;"",$J803&gt;365),"StalePwd ","")&amp;IF($K803="Yes","PwdNeverExpires ","")&amp;IF(AND($S803&lt;&gt;"",$S803&lt;&gt;"None"),"Delegation ","")&amp;IF(AND($Q803=1,$O803="None"),"StaleAdminCount ","")&amp;IF(AND($F803="Yes",$H803=""),"NeverLoggedOn ","")))</f>
        <v/>
      </c>
      <c r="AD803" s="60" t="n"/>
      <c r="AE803" s="61" t="n"/>
      <c r="AF803" s="60" t="n"/>
      <c r="AG803" s="62" t="n"/>
      <c r="AH803" s="62" t="n"/>
      <c r="AI803" s="62" t="n"/>
      <c r="AJ803" s="60" t="n"/>
      <c r="AK803" s="61" t="n"/>
      <c r="AL803" s="63">
        <f>IF($A803="","",IF(AH803="","Not Enrolled",IF(TODAY()&gt;AH803,"Review Overdue",IF(AH803-TODAY()&lt;=30,"Review Due Soon","Active"))))</f>
        <v/>
      </c>
      <c r="AM803" s="63">
        <f>IF($A803="","",IF(AI803="","NOT REVIEWED",IF(TODAY()-AI803&gt;90,"OVERDUE",IF(TODAY()-AI803&gt;76,"Due Soon","Current"))))</f>
        <v/>
      </c>
    </row>
    <row r="804" ht="15" customHeight="1" s="39">
      <c r="A804" s="60" t="n"/>
      <c r="B804" s="60" t="n"/>
      <c r="C804" s="61" t="n"/>
      <c r="D804" s="61" t="n"/>
      <c r="E804" s="60" t="n"/>
      <c r="F804" s="60" t="n"/>
      <c r="G804" s="62" t="n"/>
      <c r="H804" s="62" t="n"/>
      <c r="I804" s="62" t="n"/>
      <c r="J804" s="60" t="n"/>
      <c r="K804" s="60" t="n"/>
      <c r="L804" s="60" t="n"/>
      <c r="M804" s="61" t="n"/>
      <c r="N804" s="60" t="n"/>
      <c r="O804" s="60" t="n"/>
      <c r="P804" s="60" t="n"/>
      <c r="Q804" s="60" t="n"/>
      <c r="R804" s="60" t="n"/>
      <c r="S804" s="60" t="n"/>
      <c r="T804" s="60" t="n"/>
      <c r="U804" s="60" t="n"/>
      <c r="V804" s="60" t="n"/>
      <c r="W804" s="60" t="n"/>
      <c r="X804" s="60" t="n"/>
      <c r="Y804" s="60" t="n"/>
      <c r="Z804" s="61" t="n"/>
      <c r="AA804" s="63">
        <f>IF($H804="","",TODAY()-$H804)</f>
        <v/>
      </c>
      <c r="AB804" s="63">
        <f>IF($A804="","",IF(AND($F804="Yes",OR($U804="No",$U804="NOT FOUND")),"YES",""))</f>
        <v/>
      </c>
      <c r="AC804" s="66">
        <f>IF($A804="","",TRIM(IF(AND($P804=0,$L804&lt;&gt;"Yes"),"T0-NoSmartcard ","")&amp;IF(AND($J804&lt;&gt;"",$J804&gt;365),"StalePwd ","")&amp;IF($K804="Yes","PwdNeverExpires ","")&amp;IF(AND($S804&lt;&gt;"",$S804&lt;&gt;"None"),"Delegation ","")&amp;IF(AND($Q804=1,$O804="None"),"StaleAdminCount ","")&amp;IF(AND($F804="Yes",$H804=""),"NeverLoggedOn ","")))</f>
        <v/>
      </c>
      <c r="AD804" s="60" t="n"/>
      <c r="AE804" s="61" t="n"/>
      <c r="AF804" s="60" t="n"/>
      <c r="AG804" s="62" t="n"/>
      <c r="AH804" s="62" t="n"/>
      <c r="AI804" s="62" t="n"/>
      <c r="AJ804" s="60" t="n"/>
      <c r="AK804" s="61" t="n"/>
      <c r="AL804" s="63">
        <f>IF($A804="","",IF(AH804="","Not Enrolled",IF(TODAY()&gt;AH804,"Review Overdue",IF(AH804-TODAY()&lt;=30,"Review Due Soon","Active"))))</f>
        <v/>
      </c>
      <c r="AM804" s="63">
        <f>IF($A804="","",IF(AI804="","NOT REVIEWED",IF(TODAY()-AI804&gt;90,"OVERDUE",IF(TODAY()-AI804&gt;76,"Due Soon","Current"))))</f>
        <v/>
      </c>
    </row>
    <row r="805" ht="15" customHeight="1" s="39">
      <c r="A805" s="60" t="n"/>
      <c r="B805" s="60" t="n"/>
      <c r="C805" s="61" t="n"/>
      <c r="D805" s="61" t="n"/>
      <c r="E805" s="60" t="n"/>
      <c r="F805" s="60" t="n"/>
      <c r="G805" s="62" t="n"/>
      <c r="H805" s="62" t="n"/>
      <c r="I805" s="62" t="n"/>
      <c r="J805" s="60" t="n"/>
      <c r="K805" s="60" t="n"/>
      <c r="L805" s="60" t="n"/>
      <c r="M805" s="61" t="n"/>
      <c r="N805" s="60" t="n"/>
      <c r="O805" s="60" t="n"/>
      <c r="P805" s="60" t="n"/>
      <c r="Q805" s="60" t="n"/>
      <c r="R805" s="60" t="n"/>
      <c r="S805" s="60" t="n"/>
      <c r="T805" s="60" t="n"/>
      <c r="U805" s="60" t="n"/>
      <c r="V805" s="60" t="n"/>
      <c r="W805" s="60" t="n"/>
      <c r="X805" s="60" t="n"/>
      <c r="Y805" s="60" t="n"/>
      <c r="Z805" s="61" t="n"/>
      <c r="AA805" s="63">
        <f>IF($H805="","",TODAY()-$H805)</f>
        <v/>
      </c>
      <c r="AB805" s="63">
        <f>IF($A805="","",IF(AND($F805="Yes",OR($U805="No",$U805="NOT FOUND")),"YES",""))</f>
        <v/>
      </c>
      <c r="AC805" s="66">
        <f>IF($A805="","",TRIM(IF(AND($P805=0,$L805&lt;&gt;"Yes"),"T0-NoSmartcard ","")&amp;IF(AND($J805&lt;&gt;"",$J805&gt;365),"StalePwd ","")&amp;IF($K805="Yes","PwdNeverExpires ","")&amp;IF(AND($S805&lt;&gt;"",$S805&lt;&gt;"None"),"Delegation ","")&amp;IF(AND($Q805=1,$O805="None"),"StaleAdminCount ","")&amp;IF(AND($F805="Yes",$H805=""),"NeverLoggedOn ","")))</f>
        <v/>
      </c>
      <c r="AD805" s="60" t="n"/>
      <c r="AE805" s="61" t="n"/>
      <c r="AF805" s="60" t="n"/>
      <c r="AG805" s="62" t="n"/>
      <c r="AH805" s="62" t="n"/>
      <c r="AI805" s="62" t="n"/>
      <c r="AJ805" s="60" t="n"/>
      <c r="AK805" s="61" t="n"/>
      <c r="AL805" s="63">
        <f>IF($A805="","",IF(AH805="","Not Enrolled",IF(TODAY()&gt;AH805,"Review Overdue",IF(AH805-TODAY()&lt;=30,"Review Due Soon","Active"))))</f>
        <v/>
      </c>
      <c r="AM805" s="63">
        <f>IF($A805="","",IF(AI805="","NOT REVIEWED",IF(TODAY()-AI805&gt;90,"OVERDUE",IF(TODAY()-AI805&gt;76,"Due Soon","Current"))))</f>
        <v/>
      </c>
    </row>
    <row r="806" ht="15" customHeight="1" s="39">
      <c r="A806" s="60" t="n"/>
      <c r="B806" s="60" t="n"/>
      <c r="C806" s="61" t="n"/>
      <c r="D806" s="61" t="n"/>
      <c r="E806" s="60" t="n"/>
      <c r="F806" s="60" t="n"/>
      <c r="G806" s="62" t="n"/>
      <c r="H806" s="62" t="n"/>
      <c r="I806" s="62" t="n"/>
      <c r="J806" s="60" t="n"/>
      <c r="K806" s="60" t="n"/>
      <c r="L806" s="60" t="n"/>
      <c r="M806" s="61" t="n"/>
      <c r="N806" s="60" t="n"/>
      <c r="O806" s="60" t="n"/>
      <c r="P806" s="60" t="n"/>
      <c r="Q806" s="60" t="n"/>
      <c r="R806" s="60" t="n"/>
      <c r="S806" s="60" t="n"/>
      <c r="T806" s="60" t="n"/>
      <c r="U806" s="60" t="n"/>
      <c r="V806" s="60" t="n"/>
      <c r="W806" s="60" t="n"/>
      <c r="X806" s="60" t="n"/>
      <c r="Y806" s="60" t="n"/>
      <c r="Z806" s="61" t="n"/>
      <c r="AA806" s="63">
        <f>IF($H806="","",TODAY()-$H806)</f>
        <v/>
      </c>
      <c r="AB806" s="63">
        <f>IF($A806="","",IF(AND($F806="Yes",OR($U806="No",$U806="NOT FOUND")),"YES",""))</f>
        <v/>
      </c>
      <c r="AC806" s="66">
        <f>IF($A806="","",TRIM(IF(AND($P806=0,$L806&lt;&gt;"Yes"),"T0-NoSmartcard ","")&amp;IF(AND($J806&lt;&gt;"",$J806&gt;365),"StalePwd ","")&amp;IF($K806="Yes","PwdNeverExpires ","")&amp;IF(AND($S806&lt;&gt;"",$S806&lt;&gt;"None"),"Delegation ","")&amp;IF(AND($Q806=1,$O806="None"),"StaleAdminCount ","")&amp;IF(AND($F806="Yes",$H806=""),"NeverLoggedOn ","")))</f>
        <v/>
      </c>
      <c r="AD806" s="60" t="n"/>
      <c r="AE806" s="61" t="n"/>
      <c r="AF806" s="60" t="n"/>
      <c r="AG806" s="62" t="n"/>
      <c r="AH806" s="62" t="n"/>
      <c r="AI806" s="62" t="n"/>
      <c r="AJ806" s="60" t="n"/>
      <c r="AK806" s="61" t="n"/>
      <c r="AL806" s="63">
        <f>IF($A806="","",IF(AH806="","Not Enrolled",IF(TODAY()&gt;AH806,"Review Overdue",IF(AH806-TODAY()&lt;=30,"Review Due Soon","Active"))))</f>
        <v/>
      </c>
      <c r="AM806" s="63">
        <f>IF($A806="","",IF(AI806="","NOT REVIEWED",IF(TODAY()-AI806&gt;90,"OVERDUE",IF(TODAY()-AI806&gt;76,"Due Soon","Current"))))</f>
        <v/>
      </c>
    </row>
    <row r="807" ht="15" customHeight="1" s="39">
      <c r="A807" s="60" t="n"/>
      <c r="B807" s="60" t="n"/>
      <c r="C807" s="61" t="n"/>
      <c r="D807" s="61" t="n"/>
      <c r="E807" s="60" t="n"/>
      <c r="F807" s="60" t="n"/>
      <c r="G807" s="62" t="n"/>
      <c r="H807" s="62" t="n"/>
      <c r="I807" s="62" t="n"/>
      <c r="J807" s="60" t="n"/>
      <c r="K807" s="60" t="n"/>
      <c r="L807" s="60" t="n"/>
      <c r="M807" s="61" t="n"/>
      <c r="N807" s="60" t="n"/>
      <c r="O807" s="60" t="n"/>
      <c r="P807" s="60" t="n"/>
      <c r="Q807" s="60" t="n"/>
      <c r="R807" s="60" t="n"/>
      <c r="S807" s="60" t="n"/>
      <c r="T807" s="60" t="n"/>
      <c r="U807" s="60" t="n"/>
      <c r="V807" s="60" t="n"/>
      <c r="W807" s="60" t="n"/>
      <c r="X807" s="60" t="n"/>
      <c r="Y807" s="60" t="n"/>
      <c r="Z807" s="61" t="n"/>
      <c r="AA807" s="63">
        <f>IF($H807="","",TODAY()-$H807)</f>
        <v/>
      </c>
      <c r="AB807" s="63">
        <f>IF($A807="","",IF(AND($F807="Yes",OR($U807="No",$U807="NOT FOUND")),"YES",""))</f>
        <v/>
      </c>
      <c r="AC807" s="66">
        <f>IF($A807="","",TRIM(IF(AND($P807=0,$L807&lt;&gt;"Yes"),"T0-NoSmartcard ","")&amp;IF(AND($J807&lt;&gt;"",$J807&gt;365),"StalePwd ","")&amp;IF($K807="Yes","PwdNeverExpires ","")&amp;IF(AND($S807&lt;&gt;"",$S807&lt;&gt;"None"),"Delegation ","")&amp;IF(AND($Q807=1,$O807="None"),"StaleAdminCount ","")&amp;IF(AND($F807="Yes",$H807=""),"NeverLoggedOn ","")))</f>
        <v/>
      </c>
      <c r="AD807" s="60" t="n"/>
      <c r="AE807" s="61" t="n"/>
      <c r="AF807" s="60" t="n"/>
      <c r="AG807" s="62" t="n"/>
      <c r="AH807" s="62" t="n"/>
      <c r="AI807" s="62" t="n"/>
      <c r="AJ807" s="60" t="n"/>
      <c r="AK807" s="61" t="n"/>
      <c r="AL807" s="63">
        <f>IF($A807="","",IF(AH807="","Not Enrolled",IF(TODAY()&gt;AH807,"Review Overdue",IF(AH807-TODAY()&lt;=30,"Review Due Soon","Active"))))</f>
        <v/>
      </c>
      <c r="AM807" s="63">
        <f>IF($A807="","",IF(AI807="","NOT REVIEWED",IF(TODAY()-AI807&gt;90,"OVERDUE",IF(TODAY()-AI807&gt;76,"Due Soon","Current"))))</f>
        <v/>
      </c>
    </row>
    <row r="808" ht="15" customHeight="1" s="39">
      <c r="A808" s="60" t="n"/>
      <c r="B808" s="60" t="n"/>
      <c r="C808" s="61" t="n"/>
      <c r="D808" s="61" t="n"/>
      <c r="E808" s="60" t="n"/>
      <c r="F808" s="60" t="n"/>
      <c r="G808" s="62" t="n"/>
      <c r="H808" s="62" t="n"/>
      <c r="I808" s="62" t="n"/>
      <c r="J808" s="60" t="n"/>
      <c r="K808" s="60" t="n"/>
      <c r="L808" s="60" t="n"/>
      <c r="M808" s="61" t="n"/>
      <c r="N808" s="60" t="n"/>
      <c r="O808" s="60" t="n"/>
      <c r="P808" s="60" t="n"/>
      <c r="Q808" s="60" t="n"/>
      <c r="R808" s="60" t="n"/>
      <c r="S808" s="60" t="n"/>
      <c r="T808" s="60" t="n"/>
      <c r="U808" s="60" t="n"/>
      <c r="V808" s="60" t="n"/>
      <c r="W808" s="60" t="n"/>
      <c r="X808" s="60" t="n"/>
      <c r="Y808" s="60" t="n"/>
      <c r="Z808" s="61" t="n"/>
      <c r="AA808" s="63">
        <f>IF($H808="","",TODAY()-$H808)</f>
        <v/>
      </c>
      <c r="AB808" s="63">
        <f>IF($A808="","",IF(AND($F808="Yes",OR($U808="No",$U808="NOT FOUND")),"YES",""))</f>
        <v/>
      </c>
      <c r="AC808" s="66">
        <f>IF($A808="","",TRIM(IF(AND($P808=0,$L808&lt;&gt;"Yes"),"T0-NoSmartcard ","")&amp;IF(AND($J808&lt;&gt;"",$J808&gt;365),"StalePwd ","")&amp;IF($K808="Yes","PwdNeverExpires ","")&amp;IF(AND($S808&lt;&gt;"",$S808&lt;&gt;"None"),"Delegation ","")&amp;IF(AND($Q808=1,$O808="None"),"StaleAdminCount ","")&amp;IF(AND($F808="Yes",$H808=""),"NeverLoggedOn ","")))</f>
        <v/>
      </c>
      <c r="AD808" s="60" t="n"/>
      <c r="AE808" s="61" t="n"/>
      <c r="AF808" s="60" t="n"/>
      <c r="AG808" s="62" t="n"/>
      <c r="AH808" s="62" t="n"/>
      <c r="AI808" s="62" t="n"/>
      <c r="AJ808" s="60" t="n"/>
      <c r="AK808" s="61" t="n"/>
      <c r="AL808" s="63">
        <f>IF($A808="","",IF(AH808="","Not Enrolled",IF(TODAY()&gt;AH808,"Review Overdue",IF(AH808-TODAY()&lt;=30,"Review Due Soon","Active"))))</f>
        <v/>
      </c>
      <c r="AM808" s="63">
        <f>IF($A808="","",IF(AI808="","NOT REVIEWED",IF(TODAY()-AI808&gt;90,"OVERDUE",IF(TODAY()-AI808&gt;76,"Due Soon","Current"))))</f>
        <v/>
      </c>
    </row>
    <row r="809" ht="15" customHeight="1" s="39">
      <c r="A809" s="60" t="n"/>
      <c r="B809" s="60" t="n"/>
      <c r="C809" s="61" t="n"/>
      <c r="D809" s="61" t="n"/>
      <c r="E809" s="60" t="n"/>
      <c r="F809" s="60" t="n"/>
      <c r="G809" s="62" t="n"/>
      <c r="H809" s="62" t="n"/>
      <c r="I809" s="62" t="n"/>
      <c r="J809" s="60" t="n"/>
      <c r="K809" s="60" t="n"/>
      <c r="L809" s="60" t="n"/>
      <c r="M809" s="61" t="n"/>
      <c r="N809" s="60" t="n"/>
      <c r="O809" s="60" t="n"/>
      <c r="P809" s="60" t="n"/>
      <c r="Q809" s="60" t="n"/>
      <c r="R809" s="60" t="n"/>
      <c r="S809" s="60" t="n"/>
      <c r="T809" s="60" t="n"/>
      <c r="U809" s="60" t="n"/>
      <c r="V809" s="60" t="n"/>
      <c r="W809" s="60" t="n"/>
      <c r="X809" s="60" t="n"/>
      <c r="Y809" s="60" t="n"/>
      <c r="Z809" s="61" t="n"/>
      <c r="AA809" s="63">
        <f>IF($H809="","",TODAY()-$H809)</f>
        <v/>
      </c>
      <c r="AB809" s="63">
        <f>IF($A809="","",IF(AND($F809="Yes",OR($U809="No",$U809="NOT FOUND")),"YES",""))</f>
        <v/>
      </c>
      <c r="AC809" s="66">
        <f>IF($A809="","",TRIM(IF(AND($P809=0,$L809&lt;&gt;"Yes"),"T0-NoSmartcard ","")&amp;IF(AND($J809&lt;&gt;"",$J809&gt;365),"StalePwd ","")&amp;IF($K809="Yes","PwdNeverExpires ","")&amp;IF(AND($S809&lt;&gt;"",$S809&lt;&gt;"None"),"Delegation ","")&amp;IF(AND($Q809=1,$O809="None"),"StaleAdminCount ","")&amp;IF(AND($F809="Yes",$H809=""),"NeverLoggedOn ","")))</f>
        <v/>
      </c>
      <c r="AD809" s="60" t="n"/>
      <c r="AE809" s="61" t="n"/>
      <c r="AF809" s="60" t="n"/>
      <c r="AG809" s="62" t="n"/>
      <c r="AH809" s="62" t="n"/>
      <c r="AI809" s="62" t="n"/>
      <c r="AJ809" s="60" t="n"/>
      <c r="AK809" s="61" t="n"/>
      <c r="AL809" s="63">
        <f>IF($A809="","",IF(AH809="","Not Enrolled",IF(TODAY()&gt;AH809,"Review Overdue",IF(AH809-TODAY()&lt;=30,"Review Due Soon","Active"))))</f>
        <v/>
      </c>
      <c r="AM809" s="63">
        <f>IF($A809="","",IF(AI809="","NOT REVIEWED",IF(TODAY()-AI809&gt;90,"OVERDUE",IF(TODAY()-AI809&gt;76,"Due Soon","Current"))))</f>
        <v/>
      </c>
    </row>
    <row r="810" ht="15" customHeight="1" s="39">
      <c r="A810" s="60" t="n"/>
      <c r="B810" s="60" t="n"/>
      <c r="C810" s="61" t="n"/>
      <c r="D810" s="61" t="n"/>
      <c r="E810" s="60" t="n"/>
      <c r="F810" s="60" t="n"/>
      <c r="G810" s="62" t="n"/>
      <c r="H810" s="62" t="n"/>
      <c r="I810" s="62" t="n"/>
      <c r="J810" s="60" t="n"/>
      <c r="K810" s="60" t="n"/>
      <c r="L810" s="60" t="n"/>
      <c r="M810" s="61" t="n"/>
      <c r="N810" s="60" t="n"/>
      <c r="O810" s="60" t="n"/>
      <c r="P810" s="60" t="n"/>
      <c r="Q810" s="60" t="n"/>
      <c r="R810" s="60" t="n"/>
      <c r="S810" s="60" t="n"/>
      <c r="T810" s="60" t="n"/>
      <c r="U810" s="60" t="n"/>
      <c r="V810" s="60" t="n"/>
      <c r="W810" s="60" t="n"/>
      <c r="X810" s="60" t="n"/>
      <c r="Y810" s="60" t="n"/>
      <c r="Z810" s="61" t="n"/>
      <c r="AA810" s="63">
        <f>IF($H810="","",TODAY()-$H810)</f>
        <v/>
      </c>
      <c r="AB810" s="63">
        <f>IF($A810="","",IF(AND($F810="Yes",OR($U810="No",$U810="NOT FOUND")),"YES",""))</f>
        <v/>
      </c>
      <c r="AC810" s="66">
        <f>IF($A810="","",TRIM(IF(AND($P810=0,$L810&lt;&gt;"Yes"),"T0-NoSmartcard ","")&amp;IF(AND($J810&lt;&gt;"",$J810&gt;365),"StalePwd ","")&amp;IF($K810="Yes","PwdNeverExpires ","")&amp;IF(AND($S810&lt;&gt;"",$S810&lt;&gt;"None"),"Delegation ","")&amp;IF(AND($Q810=1,$O810="None"),"StaleAdminCount ","")&amp;IF(AND($F810="Yes",$H810=""),"NeverLoggedOn ","")))</f>
        <v/>
      </c>
      <c r="AD810" s="60" t="n"/>
      <c r="AE810" s="61" t="n"/>
      <c r="AF810" s="60" t="n"/>
      <c r="AG810" s="62" t="n"/>
      <c r="AH810" s="62" t="n"/>
      <c r="AI810" s="62" t="n"/>
      <c r="AJ810" s="60" t="n"/>
      <c r="AK810" s="61" t="n"/>
      <c r="AL810" s="63">
        <f>IF($A810="","",IF(AH810="","Not Enrolled",IF(TODAY()&gt;AH810,"Review Overdue",IF(AH810-TODAY()&lt;=30,"Review Due Soon","Active"))))</f>
        <v/>
      </c>
      <c r="AM810" s="63">
        <f>IF($A810="","",IF(AI810="","NOT REVIEWED",IF(TODAY()-AI810&gt;90,"OVERDUE",IF(TODAY()-AI810&gt;76,"Due Soon","Current"))))</f>
        <v/>
      </c>
    </row>
    <row r="811" ht="15" customHeight="1" s="39">
      <c r="A811" s="60" t="n"/>
      <c r="B811" s="60" t="n"/>
      <c r="C811" s="61" t="n"/>
      <c r="D811" s="61" t="n"/>
      <c r="E811" s="60" t="n"/>
      <c r="F811" s="60" t="n"/>
      <c r="G811" s="62" t="n"/>
      <c r="H811" s="62" t="n"/>
      <c r="I811" s="62" t="n"/>
      <c r="J811" s="60" t="n"/>
      <c r="K811" s="60" t="n"/>
      <c r="L811" s="60" t="n"/>
      <c r="M811" s="61" t="n"/>
      <c r="N811" s="60" t="n"/>
      <c r="O811" s="60" t="n"/>
      <c r="P811" s="60" t="n"/>
      <c r="Q811" s="60" t="n"/>
      <c r="R811" s="60" t="n"/>
      <c r="S811" s="60" t="n"/>
      <c r="T811" s="60" t="n"/>
      <c r="U811" s="60" t="n"/>
      <c r="V811" s="60" t="n"/>
      <c r="W811" s="60" t="n"/>
      <c r="X811" s="60" t="n"/>
      <c r="Y811" s="60" t="n"/>
      <c r="Z811" s="61" t="n"/>
      <c r="AA811" s="63">
        <f>IF($H811="","",TODAY()-$H811)</f>
        <v/>
      </c>
      <c r="AB811" s="63">
        <f>IF($A811="","",IF(AND($F811="Yes",OR($U811="No",$U811="NOT FOUND")),"YES",""))</f>
        <v/>
      </c>
      <c r="AC811" s="66">
        <f>IF($A811="","",TRIM(IF(AND($P811=0,$L811&lt;&gt;"Yes"),"T0-NoSmartcard ","")&amp;IF(AND($J811&lt;&gt;"",$J811&gt;365),"StalePwd ","")&amp;IF($K811="Yes","PwdNeverExpires ","")&amp;IF(AND($S811&lt;&gt;"",$S811&lt;&gt;"None"),"Delegation ","")&amp;IF(AND($Q811=1,$O811="None"),"StaleAdminCount ","")&amp;IF(AND($F811="Yes",$H811=""),"NeverLoggedOn ","")))</f>
        <v/>
      </c>
      <c r="AD811" s="60" t="n"/>
      <c r="AE811" s="61" t="n"/>
      <c r="AF811" s="60" t="n"/>
      <c r="AG811" s="62" t="n"/>
      <c r="AH811" s="62" t="n"/>
      <c r="AI811" s="62" t="n"/>
      <c r="AJ811" s="60" t="n"/>
      <c r="AK811" s="61" t="n"/>
      <c r="AL811" s="63">
        <f>IF($A811="","",IF(AH811="","Not Enrolled",IF(TODAY()&gt;AH811,"Review Overdue",IF(AH811-TODAY()&lt;=30,"Review Due Soon","Active"))))</f>
        <v/>
      </c>
      <c r="AM811" s="63">
        <f>IF($A811="","",IF(AI811="","NOT REVIEWED",IF(TODAY()-AI811&gt;90,"OVERDUE",IF(TODAY()-AI811&gt;76,"Due Soon","Current"))))</f>
        <v/>
      </c>
    </row>
    <row r="812" ht="15" customHeight="1" s="39">
      <c r="A812" s="60" t="n"/>
      <c r="B812" s="60" t="n"/>
      <c r="C812" s="61" t="n"/>
      <c r="D812" s="61" t="n"/>
      <c r="E812" s="60" t="n"/>
      <c r="F812" s="60" t="n"/>
      <c r="G812" s="62" t="n"/>
      <c r="H812" s="62" t="n"/>
      <c r="I812" s="62" t="n"/>
      <c r="J812" s="60" t="n"/>
      <c r="K812" s="60" t="n"/>
      <c r="L812" s="60" t="n"/>
      <c r="M812" s="61" t="n"/>
      <c r="N812" s="60" t="n"/>
      <c r="O812" s="60" t="n"/>
      <c r="P812" s="60" t="n"/>
      <c r="Q812" s="60" t="n"/>
      <c r="R812" s="60" t="n"/>
      <c r="S812" s="60" t="n"/>
      <c r="T812" s="60" t="n"/>
      <c r="U812" s="60" t="n"/>
      <c r="V812" s="60" t="n"/>
      <c r="W812" s="60" t="n"/>
      <c r="X812" s="60" t="n"/>
      <c r="Y812" s="60" t="n"/>
      <c r="Z812" s="61" t="n"/>
      <c r="AA812" s="63">
        <f>IF($H812="","",TODAY()-$H812)</f>
        <v/>
      </c>
      <c r="AB812" s="63">
        <f>IF($A812="","",IF(AND($F812="Yes",OR($U812="No",$U812="NOT FOUND")),"YES",""))</f>
        <v/>
      </c>
      <c r="AC812" s="66">
        <f>IF($A812="","",TRIM(IF(AND($P812=0,$L812&lt;&gt;"Yes"),"T0-NoSmartcard ","")&amp;IF(AND($J812&lt;&gt;"",$J812&gt;365),"StalePwd ","")&amp;IF($K812="Yes","PwdNeverExpires ","")&amp;IF(AND($S812&lt;&gt;"",$S812&lt;&gt;"None"),"Delegation ","")&amp;IF(AND($Q812=1,$O812="None"),"StaleAdminCount ","")&amp;IF(AND($F812="Yes",$H812=""),"NeverLoggedOn ","")))</f>
        <v/>
      </c>
      <c r="AD812" s="60" t="n"/>
      <c r="AE812" s="61" t="n"/>
      <c r="AF812" s="60" t="n"/>
      <c r="AG812" s="62" t="n"/>
      <c r="AH812" s="62" t="n"/>
      <c r="AI812" s="62" t="n"/>
      <c r="AJ812" s="60" t="n"/>
      <c r="AK812" s="61" t="n"/>
      <c r="AL812" s="63">
        <f>IF($A812="","",IF(AH812="","Not Enrolled",IF(TODAY()&gt;AH812,"Review Overdue",IF(AH812-TODAY()&lt;=30,"Review Due Soon","Active"))))</f>
        <v/>
      </c>
      <c r="AM812" s="63">
        <f>IF($A812="","",IF(AI812="","NOT REVIEWED",IF(TODAY()-AI812&gt;90,"OVERDUE",IF(TODAY()-AI812&gt;76,"Due Soon","Current"))))</f>
        <v/>
      </c>
    </row>
    <row r="813" ht="15" customHeight="1" s="39">
      <c r="A813" s="60" t="n"/>
      <c r="B813" s="60" t="n"/>
      <c r="C813" s="61" t="n"/>
      <c r="D813" s="61" t="n"/>
      <c r="E813" s="60" t="n"/>
      <c r="F813" s="60" t="n"/>
      <c r="G813" s="62" t="n"/>
      <c r="H813" s="62" t="n"/>
      <c r="I813" s="62" t="n"/>
      <c r="J813" s="60" t="n"/>
      <c r="K813" s="60" t="n"/>
      <c r="L813" s="60" t="n"/>
      <c r="M813" s="61" t="n"/>
      <c r="N813" s="60" t="n"/>
      <c r="O813" s="60" t="n"/>
      <c r="P813" s="60" t="n"/>
      <c r="Q813" s="60" t="n"/>
      <c r="R813" s="60" t="n"/>
      <c r="S813" s="60" t="n"/>
      <c r="T813" s="60" t="n"/>
      <c r="U813" s="60" t="n"/>
      <c r="V813" s="60" t="n"/>
      <c r="W813" s="60" t="n"/>
      <c r="X813" s="60" t="n"/>
      <c r="Y813" s="60" t="n"/>
      <c r="Z813" s="61" t="n"/>
      <c r="AA813" s="63">
        <f>IF($H813="","",TODAY()-$H813)</f>
        <v/>
      </c>
      <c r="AB813" s="63">
        <f>IF($A813="","",IF(AND($F813="Yes",OR($U813="No",$U813="NOT FOUND")),"YES",""))</f>
        <v/>
      </c>
      <c r="AC813" s="66">
        <f>IF($A813="","",TRIM(IF(AND($P813=0,$L813&lt;&gt;"Yes"),"T0-NoSmartcard ","")&amp;IF(AND($J813&lt;&gt;"",$J813&gt;365),"StalePwd ","")&amp;IF($K813="Yes","PwdNeverExpires ","")&amp;IF(AND($S813&lt;&gt;"",$S813&lt;&gt;"None"),"Delegation ","")&amp;IF(AND($Q813=1,$O813="None"),"StaleAdminCount ","")&amp;IF(AND($F813="Yes",$H813=""),"NeverLoggedOn ","")))</f>
        <v/>
      </c>
      <c r="AD813" s="60" t="n"/>
      <c r="AE813" s="61" t="n"/>
      <c r="AF813" s="60" t="n"/>
      <c r="AG813" s="62" t="n"/>
      <c r="AH813" s="62" t="n"/>
      <c r="AI813" s="62" t="n"/>
      <c r="AJ813" s="60" t="n"/>
      <c r="AK813" s="61" t="n"/>
      <c r="AL813" s="63">
        <f>IF($A813="","",IF(AH813="","Not Enrolled",IF(TODAY()&gt;AH813,"Review Overdue",IF(AH813-TODAY()&lt;=30,"Review Due Soon","Active"))))</f>
        <v/>
      </c>
      <c r="AM813" s="63">
        <f>IF($A813="","",IF(AI813="","NOT REVIEWED",IF(TODAY()-AI813&gt;90,"OVERDUE",IF(TODAY()-AI813&gt;76,"Due Soon","Current"))))</f>
        <v/>
      </c>
    </row>
    <row r="814" ht="15" customHeight="1" s="39">
      <c r="A814" s="60" t="n"/>
      <c r="B814" s="60" t="n"/>
      <c r="C814" s="61" t="n"/>
      <c r="D814" s="61" t="n"/>
      <c r="E814" s="60" t="n"/>
      <c r="F814" s="60" t="n"/>
      <c r="G814" s="62" t="n"/>
      <c r="H814" s="62" t="n"/>
      <c r="I814" s="62" t="n"/>
      <c r="J814" s="60" t="n"/>
      <c r="K814" s="60" t="n"/>
      <c r="L814" s="60" t="n"/>
      <c r="M814" s="61" t="n"/>
      <c r="N814" s="60" t="n"/>
      <c r="O814" s="60" t="n"/>
      <c r="P814" s="60" t="n"/>
      <c r="Q814" s="60" t="n"/>
      <c r="R814" s="60" t="n"/>
      <c r="S814" s="60" t="n"/>
      <c r="T814" s="60" t="n"/>
      <c r="U814" s="60" t="n"/>
      <c r="V814" s="60" t="n"/>
      <c r="W814" s="60" t="n"/>
      <c r="X814" s="60" t="n"/>
      <c r="Y814" s="60" t="n"/>
      <c r="Z814" s="61" t="n"/>
      <c r="AA814" s="63">
        <f>IF($H814="","",TODAY()-$H814)</f>
        <v/>
      </c>
      <c r="AB814" s="63">
        <f>IF($A814="","",IF(AND($F814="Yes",OR($U814="No",$U814="NOT FOUND")),"YES",""))</f>
        <v/>
      </c>
      <c r="AC814" s="66">
        <f>IF($A814="","",TRIM(IF(AND($P814=0,$L814&lt;&gt;"Yes"),"T0-NoSmartcard ","")&amp;IF(AND($J814&lt;&gt;"",$J814&gt;365),"StalePwd ","")&amp;IF($K814="Yes","PwdNeverExpires ","")&amp;IF(AND($S814&lt;&gt;"",$S814&lt;&gt;"None"),"Delegation ","")&amp;IF(AND($Q814=1,$O814="None"),"StaleAdminCount ","")&amp;IF(AND($F814="Yes",$H814=""),"NeverLoggedOn ","")))</f>
        <v/>
      </c>
      <c r="AD814" s="60" t="n"/>
      <c r="AE814" s="61" t="n"/>
      <c r="AF814" s="60" t="n"/>
      <c r="AG814" s="62" t="n"/>
      <c r="AH814" s="62" t="n"/>
      <c r="AI814" s="62" t="n"/>
      <c r="AJ814" s="60" t="n"/>
      <c r="AK814" s="61" t="n"/>
      <c r="AL814" s="63">
        <f>IF($A814="","",IF(AH814="","Not Enrolled",IF(TODAY()&gt;AH814,"Review Overdue",IF(AH814-TODAY()&lt;=30,"Review Due Soon","Active"))))</f>
        <v/>
      </c>
      <c r="AM814" s="63">
        <f>IF($A814="","",IF(AI814="","NOT REVIEWED",IF(TODAY()-AI814&gt;90,"OVERDUE",IF(TODAY()-AI814&gt;76,"Due Soon","Current"))))</f>
        <v/>
      </c>
    </row>
    <row r="815" ht="15" customHeight="1" s="39">
      <c r="A815" s="60" t="n"/>
      <c r="B815" s="60" t="n"/>
      <c r="C815" s="61" t="n"/>
      <c r="D815" s="61" t="n"/>
      <c r="E815" s="60" t="n"/>
      <c r="F815" s="60" t="n"/>
      <c r="G815" s="62" t="n"/>
      <c r="H815" s="62" t="n"/>
      <c r="I815" s="62" t="n"/>
      <c r="J815" s="60" t="n"/>
      <c r="K815" s="60" t="n"/>
      <c r="L815" s="60" t="n"/>
      <c r="M815" s="61" t="n"/>
      <c r="N815" s="60" t="n"/>
      <c r="O815" s="60" t="n"/>
      <c r="P815" s="60" t="n"/>
      <c r="Q815" s="60" t="n"/>
      <c r="R815" s="60" t="n"/>
      <c r="S815" s="60" t="n"/>
      <c r="T815" s="60" t="n"/>
      <c r="U815" s="60" t="n"/>
      <c r="V815" s="60" t="n"/>
      <c r="W815" s="60" t="n"/>
      <c r="X815" s="60" t="n"/>
      <c r="Y815" s="60" t="n"/>
      <c r="Z815" s="61" t="n"/>
      <c r="AA815" s="63">
        <f>IF($H815="","",TODAY()-$H815)</f>
        <v/>
      </c>
      <c r="AB815" s="63">
        <f>IF($A815="","",IF(AND($F815="Yes",OR($U815="No",$U815="NOT FOUND")),"YES",""))</f>
        <v/>
      </c>
      <c r="AC815" s="66">
        <f>IF($A815="","",TRIM(IF(AND($P815=0,$L815&lt;&gt;"Yes"),"T0-NoSmartcard ","")&amp;IF(AND($J815&lt;&gt;"",$J815&gt;365),"StalePwd ","")&amp;IF($K815="Yes","PwdNeverExpires ","")&amp;IF(AND($S815&lt;&gt;"",$S815&lt;&gt;"None"),"Delegation ","")&amp;IF(AND($Q815=1,$O815="None"),"StaleAdminCount ","")&amp;IF(AND($F815="Yes",$H815=""),"NeverLoggedOn ","")))</f>
        <v/>
      </c>
      <c r="AD815" s="60" t="n"/>
      <c r="AE815" s="61" t="n"/>
      <c r="AF815" s="60" t="n"/>
      <c r="AG815" s="62" t="n"/>
      <c r="AH815" s="62" t="n"/>
      <c r="AI815" s="62" t="n"/>
      <c r="AJ815" s="60" t="n"/>
      <c r="AK815" s="61" t="n"/>
      <c r="AL815" s="63">
        <f>IF($A815="","",IF(AH815="","Not Enrolled",IF(TODAY()&gt;AH815,"Review Overdue",IF(AH815-TODAY()&lt;=30,"Review Due Soon","Active"))))</f>
        <v/>
      </c>
      <c r="AM815" s="63">
        <f>IF($A815="","",IF(AI815="","NOT REVIEWED",IF(TODAY()-AI815&gt;90,"OVERDUE",IF(TODAY()-AI815&gt;76,"Due Soon","Current"))))</f>
        <v/>
      </c>
    </row>
    <row r="816" ht="15" customHeight="1" s="39">
      <c r="A816" s="60" t="n"/>
      <c r="B816" s="60" t="n"/>
      <c r="C816" s="61" t="n"/>
      <c r="D816" s="61" t="n"/>
      <c r="E816" s="60" t="n"/>
      <c r="F816" s="60" t="n"/>
      <c r="G816" s="62" t="n"/>
      <c r="H816" s="62" t="n"/>
      <c r="I816" s="62" t="n"/>
      <c r="J816" s="60" t="n"/>
      <c r="K816" s="60" t="n"/>
      <c r="L816" s="60" t="n"/>
      <c r="M816" s="61" t="n"/>
      <c r="N816" s="60" t="n"/>
      <c r="O816" s="60" t="n"/>
      <c r="P816" s="60" t="n"/>
      <c r="Q816" s="60" t="n"/>
      <c r="R816" s="60" t="n"/>
      <c r="S816" s="60" t="n"/>
      <c r="T816" s="60" t="n"/>
      <c r="U816" s="60" t="n"/>
      <c r="V816" s="60" t="n"/>
      <c r="W816" s="60" t="n"/>
      <c r="X816" s="60" t="n"/>
      <c r="Y816" s="60" t="n"/>
      <c r="Z816" s="61" t="n"/>
      <c r="AA816" s="63">
        <f>IF($H816="","",TODAY()-$H816)</f>
        <v/>
      </c>
      <c r="AB816" s="63">
        <f>IF($A816="","",IF(AND($F816="Yes",OR($U816="No",$U816="NOT FOUND")),"YES",""))</f>
        <v/>
      </c>
      <c r="AC816" s="66">
        <f>IF($A816="","",TRIM(IF(AND($P816=0,$L816&lt;&gt;"Yes"),"T0-NoSmartcard ","")&amp;IF(AND($J816&lt;&gt;"",$J816&gt;365),"StalePwd ","")&amp;IF($K816="Yes","PwdNeverExpires ","")&amp;IF(AND($S816&lt;&gt;"",$S816&lt;&gt;"None"),"Delegation ","")&amp;IF(AND($Q816=1,$O816="None"),"StaleAdminCount ","")&amp;IF(AND($F816="Yes",$H816=""),"NeverLoggedOn ","")))</f>
        <v/>
      </c>
      <c r="AD816" s="60" t="n"/>
      <c r="AE816" s="61" t="n"/>
      <c r="AF816" s="60" t="n"/>
      <c r="AG816" s="62" t="n"/>
      <c r="AH816" s="62" t="n"/>
      <c r="AI816" s="62" t="n"/>
      <c r="AJ816" s="60" t="n"/>
      <c r="AK816" s="61" t="n"/>
      <c r="AL816" s="63">
        <f>IF($A816="","",IF(AH816="","Not Enrolled",IF(TODAY()&gt;AH816,"Review Overdue",IF(AH816-TODAY()&lt;=30,"Review Due Soon","Active"))))</f>
        <v/>
      </c>
      <c r="AM816" s="63">
        <f>IF($A816="","",IF(AI816="","NOT REVIEWED",IF(TODAY()-AI816&gt;90,"OVERDUE",IF(TODAY()-AI816&gt;76,"Due Soon","Current"))))</f>
        <v/>
      </c>
    </row>
    <row r="817" ht="15" customHeight="1" s="39">
      <c r="A817" s="60" t="n"/>
      <c r="B817" s="60" t="n"/>
      <c r="C817" s="61" t="n"/>
      <c r="D817" s="61" t="n"/>
      <c r="E817" s="60" t="n"/>
      <c r="F817" s="60" t="n"/>
      <c r="G817" s="62" t="n"/>
      <c r="H817" s="62" t="n"/>
      <c r="I817" s="62" t="n"/>
      <c r="J817" s="60" t="n"/>
      <c r="K817" s="60" t="n"/>
      <c r="L817" s="60" t="n"/>
      <c r="M817" s="61" t="n"/>
      <c r="N817" s="60" t="n"/>
      <c r="O817" s="60" t="n"/>
      <c r="P817" s="60" t="n"/>
      <c r="Q817" s="60" t="n"/>
      <c r="R817" s="60" t="n"/>
      <c r="S817" s="60" t="n"/>
      <c r="T817" s="60" t="n"/>
      <c r="U817" s="60" t="n"/>
      <c r="V817" s="60" t="n"/>
      <c r="W817" s="60" t="n"/>
      <c r="X817" s="60" t="n"/>
      <c r="Y817" s="60" t="n"/>
      <c r="Z817" s="61" t="n"/>
      <c r="AA817" s="63">
        <f>IF($H817="","",TODAY()-$H817)</f>
        <v/>
      </c>
      <c r="AB817" s="63">
        <f>IF($A817="","",IF(AND($F817="Yes",OR($U817="No",$U817="NOT FOUND")),"YES",""))</f>
        <v/>
      </c>
      <c r="AC817" s="66">
        <f>IF($A817="","",TRIM(IF(AND($P817=0,$L817&lt;&gt;"Yes"),"T0-NoSmartcard ","")&amp;IF(AND($J817&lt;&gt;"",$J817&gt;365),"StalePwd ","")&amp;IF($K817="Yes","PwdNeverExpires ","")&amp;IF(AND($S817&lt;&gt;"",$S817&lt;&gt;"None"),"Delegation ","")&amp;IF(AND($Q817=1,$O817="None"),"StaleAdminCount ","")&amp;IF(AND($F817="Yes",$H817=""),"NeverLoggedOn ","")))</f>
        <v/>
      </c>
      <c r="AD817" s="60" t="n"/>
      <c r="AE817" s="61" t="n"/>
      <c r="AF817" s="60" t="n"/>
      <c r="AG817" s="62" t="n"/>
      <c r="AH817" s="62" t="n"/>
      <c r="AI817" s="62" t="n"/>
      <c r="AJ817" s="60" t="n"/>
      <c r="AK817" s="61" t="n"/>
      <c r="AL817" s="63">
        <f>IF($A817="","",IF(AH817="","Not Enrolled",IF(TODAY()&gt;AH817,"Review Overdue",IF(AH817-TODAY()&lt;=30,"Review Due Soon","Active"))))</f>
        <v/>
      </c>
      <c r="AM817" s="63">
        <f>IF($A817="","",IF(AI817="","NOT REVIEWED",IF(TODAY()-AI817&gt;90,"OVERDUE",IF(TODAY()-AI817&gt;76,"Due Soon","Current"))))</f>
        <v/>
      </c>
    </row>
    <row r="818" ht="15" customHeight="1" s="39">
      <c r="A818" s="60" t="n"/>
      <c r="B818" s="60" t="n"/>
      <c r="C818" s="61" t="n"/>
      <c r="D818" s="61" t="n"/>
      <c r="E818" s="60" t="n"/>
      <c r="F818" s="60" t="n"/>
      <c r="G818" s="62" t="n"/>
      <c r="H818" s="62" t="n"/>
      <c r="I818" s="62" t="n"/>
      <c r="J818" s="60" t="n"/>
      <c r="K818" s="60" t="n"/>
      <c r="L818" s="60" t="n"/>
      <c r="M818" s="61" t="n"/>
      <c r="N818" s="60" t="n"/>
      <c r="O818" s="60" t="n"/>
      <c r="P818" s="60" t="n"/>
      <c r="Q818" s="60" t="n"/>
      <c r="R818" s="60" t="n"/>
      <c r="S818" s="60" t="n"/>
      <c r="T818" s="60" t="n"/>
      <c r="U818" s="60" t="n"/>
      <c r="V818" s="60" t="n"/>
      <c r="W818" s="60" t="n"/>
      <c r="X818" s="60" t="n"/>
      <c r="Y818" s="60" t="n"/>
      <c r="Z818" s="61" t="n"/>
      <c r="AA818" s="63">
        <f>IF($H818="","",TODAY()-$H818)</f>
        <v/>
      </c>
      <c r="AB818" s="63">
        <f>IF($A818="","",IF(AND($F818="Yes",OR($U818="No",$U818="NOT FOUND")),"YES",""))</f>
        <v/>
      </c>
      <c r="AC818" s="66">
        <f>IF($A818="","",TRIM(IF(AND($P818=0,$L818&lt;&gt;"Yes"),"T0-NoSmartcard ","")&amp;IF(AND($J818&lt;&gt;"",$J818&gt;365),"StalePwd ","")&amp;IF($K818="Yes","PwdNeverExpires ","")&amp;IF(AND($S818&lt;&gt;"",$S818&lt;&gt;"None"),"Delegation ","")&amp;IF(AND($Q818=1,$O818="None"),"StaleAdminCount ","")&amp;IF(AND($F818="Yes",$H818=""),"NeverLoggedOn ","")))</f>
        <v/>
      </c>
      <c r="AD818" s="60" t="n"/>
      <c r="AE818" s="61" t="n"/>
      <c r="AF818" s="60" t="n"/>
      <c r="AG818" s="62" t="n"/>
      <c r="AH818" s="62" t="n"/>
      <c r="AI818" s="62" t="n"/>
      <c r="AJ818" s="60" t="n"/>
      <c r="AK818" s="61" t="n"/>
      <c r="AL818" s="63">
        <f>IF($A818="","",IF(AH818="","Not Enrolled",IF(TODAY()&gt;AH818,"Review Overdue",IF(AH818-TODAY()&lt;=30,"Review Due Soon","Active"))))</f>
        <v/>
      </c>
      <c r="AM818" s="63">
        <f>IF($A818="","",IF(AI818="","NOT REVIEWED",IF(TODAY()-AI818&gt;90,"OVERDUE",IF(TODAY()-AI818&gt;76,"Due Soon","Current"))))</f>
        <v/>
      </c>
    </row>
    <row r="819" ht="15" customHeight="1" s="39">
      <c r="A819" s="60" t="n"/>
      <c r="B819" s="60" t="n"/>
      <c r="C819" s="61" t="n"/>
      <c r="D819" s="61" t="n"/>
      <c r="E819" s="60" t="n"/>
      <c r="F819" s="60" t="n"/>
      <c r="G819" s="62" t="n"/>
      <c r="H819" s="62" t="n"/>
      <c r="I819" s="62" t="n"/>
      <c r="J819" s="60" t="n"/>
      <c r="K819" s="60" t="n"/>
      <c r="L819" s="60" t="n"/>
      <c r="M819" s="61" t="n"/>
      <c r="N819" s="60" t="n"/>
      <c r="O819" s="60" t="n"/>
      <c r="P819" s="60" t="n"/>
      <c r="Q819" s="60" t="n"/>
      <c r="R819" s="60" t="n"/>
      <c r="S819" s="60" t="n"/>
      <c r="T819" s="60" t="n"/>
      <c r="U819" s="60" t="n"/>
      <c r="V819" s="60" t="n"/>
      <c r="W819" s="60" t="n"/>
      <c r="X819" s="60" t="n"/>
      <c r="Y819" s="60" t="n"/>
      <c r="Z819" s="61" t="n"/>
      <c r="AA819" s="63">
        <f>IF($H819="","",TODAY()-$H819)</f>
        <v/>
      </c>
      <c r="AB819" s="63">
        <f>IF($A819="","",IF(AND($F819="Yes",OR($U819="No",$U819="NOT FOUND")),"YES",""))</f>
        <v/>
      </c>
      <c r="AC819" s="66">
        <f>IF($A819="","",TRIM(IF(AND($P819=0,$L819&lt;&gt;"Yes"),"T0-NoSmartcard ","")&amp;IF(AND($J819&lt;&gt;"",$J819&gt;365),"StalePwd ","")&amp;IF($K819="Yes","PwdNeverExpires ","")&amp;IF(AND($S819&lt;&gt;"",$S819&lt;&gt;"None"),"Delegation ","")&amp;IF(AND($Q819=1,$O819="None"),"StaleAdminCount ","")&amp;IF(AND($F819="Yes",$H819=""),"NeverLoggedOn ","")))</f>
        <v/>
      </c>
      <c r="AD819" s="60" t="n"/>
      <c r="AE819" s="61" t="n"/>
      <c r="AF819" s="60" t="n"/>
      <c r="AG819" s="62" t="n"/>
      <c r="AH819" s="62" t="n"/>
      <c r="AI819" s="62" t="n"/>
      <c r="AJ819" s="60" t="n"/>
      <c r="AK819" s="61" t="n"/>
      <c r="AL819" s="63">
        <f>IF($A819="","",IF(AH819="","Not Enrolled",IF(TODAY()&gt;AH819,"Review Overdue",IF(AH819-TODAY()&lt;=30,"Review Due Soon","Active"))))</f>
        <v/>
      </c>
      <c r="AM819" s="63">
        <f>IF($A819="","",IF(AI819="","NOT REVIEWED",IF(TODAY()-AI819&gt;90,"OVERDUE",IF(TODAY()-AI819&gt;76,"Due Soon","Current"))))</f>
        <v/>
      </c>
    </row>
    <row r="820" ht="15" customHeight="1" s="39">
      <c r="A820" s="60" t="n"/>
      <c r="B820" s="60" t="n"/>
      <c r="C820" s="61" t="n"/>
      <c r="D820" s="61" t="n"/>
      <c r="E820" s="60" t="n"/>
      <c r="F820" s="60" t="n"/>
      <c r="G820" s="62" t="n"/>
      <c r="H820" s="62" t="n"/>
      <c r="I820" s="62" t="n"/>
      <c r="J820" s="60" t="n"/>
      <c r="K820" s="60" t="n"/>
      <c r="L820" s="60" t="n"/>
      <c r="M820" s="61" t="n"/>
      <c r="N820" s="60" t="n"/>
      <c r="O820" s="60" t="n"/>
      <c r="P820" s="60" t="n"/>
      <c r="Q820" s="60" t="n"/>
      <c r="R820" s="60" t="n"/>
      <c r="S820" s="60" t="n"/>
      <c r="T820" s="60" t="n"/>
      <c r="U820" s="60" t="n"/>
      <c r="V820" s="60" t="n"/>
      <c r="W820" s="60" t="n"/>
      <c r="X820" s="60" t="n"/>
      <c r="Y820" s="60" t="n"/>
      <c r="Z820" s="61" t="n"/>
      <c r="AA820" s="63">
        <f>IF($H820="","",TODAY()-$H820)</f>
        <v/>
      </c>
      <c r="AB820" s="63">
        <f>IF($A820="","",IF(AND($F820="Yes",OR($U820="No",$U820="NOT FOUND")),"YES",""))</f>
        <v/>
      </c>
      <c r="AC820" s="66">
        <f>IF($A820="","",TRIM(IF(AND($P820=0,$L820&lt;&gt;"Yes"),"T0-NoSmartcard ","")&amp;IF(AND($J820&lt;&gt;"",$J820&gt;365),"StalePwd ","")&amp;IF($K820="Yes","PwdNeverExpires ","")&amp;IF(AND($S820&lt;&gt;"",$S820&lt;&gt;"None"),"Delegation ","")&amp;IF(AND($Q820=1,$O820="None"),"StaleAdminCount ","")&amp;IF(AND($F820="Yes",$H820=""),"NeverLoggedOn ","")))</f>
        <v/>
      </c>
      <c r="AD820" s="60" t="n"/>
      <c r="AE820" s="61" t="n"/>
      <c r="AF820" s="60" t="n"/>
      <c r="AG820" s="62" t="n"/>
      <c r="AH820" s="62" t="n"/>
      <c r="AI820" s="62" t="n"/>
      <c r="AJ820" s="60" t="n"/>
      <c r="AK820" s="61" t="n"/>
      <c r="AL820" s="63">
        <f>IF($A820="","",IF(AH820="","Not Enrolled",IF(TODAY()&gt;AH820,"Review Overdue",IF(AH820-TODAY()&lt;=30,"Review Due Soon","Active"))))</f>
        <v/>
      </c>
      <c r="AM820" s="63">
        <f>IF($A820="","",IF(AI820="","NOT REVIEWED",IF(TODAY()-AI820&gt;90,"OVERDUE",IF(TODAY()-AI820&gt;76,"Due Soon","Current"))))</f>
        <v/>
      </c>
    </row>
    <row r="821" ht="15" customHeight="1" s="39">
      <c r="A821" s="60" t="n"/>
      <c r="B821" s="60" t="n"/>
      <c r="C821" s="61" t="n"/>
      <c r="D821" s="61" t="n"/>
      <c r="E821" s="60" t="n"/>
      <c r="F821" s="60" t="n"/>
      <c r="G821" s="62" t="n"/>
      <c r="H821" s="62" t="n"/>
      <c r="I821" s="62" t="n"/>
      <c r="J821" s="60" t="n"/>
      <c r="K821" s="60" t="n"/>
      <c r="L821" s="60" t="n"/>
      <c r="M821" s="61" t="n"/>
      <c r="N821" s="60" t="n"/>
      <c r="O821" s="60" t="n"/>
      <c r="P821" s="60" t="n"/>
      <c r="Q821" s="60" t="n"/>
      <c r="R821" s="60" t="n"/>
      <c r="S821" s="60" t="n"/>
      <c r="T821" s="60" t="n"/>
      <c r="U821" s="60" t="n"/>
      <c r="V821" s="60" t="n"/>
      <c r="W821" s="60" t="n"/>
      <c r="X821" s="60" t="n"/>
      <c r="Y821" s="60" t="n"/>
      <c r="Z821" s="61" t="n"/>
      <c r="AA821" s="63">
        <f>IF($H821="","",TODAY()-$H821)</f>
        <v/>
      </c>
      <c r="AB821" s="63">
        <f>IF($A821="","",IF(AND($F821="Yes",OR($U821="No",$U821="NOT FOUND")),"YES",""))</f>
        <v/>
      </c>
      <c r="AC821" s="66">
        <f>IF($A821="","",TRIM(IF(AND($P821=0,$L821&lt;&gt;"Yes"),"T0-NoSmartcard ","")&amp;IF(AND($J821&lt;&gt;"",$J821&gt;365),"StalePwd ","")&amp;IF($K821="Yes","PwdNeverExpires ","")&amp;IF(AND($S821&lt;&gt;"",$S821&lt;&gt;"None"),"Delegation ","")&amp;IF(AND($Q821=1,$O821="None"),"StaleAdminCount ","")&amp;IF(AND($F821="Yes",$H821=""),"NeverLoggedOn ","")))</f>
        <v/>
      </c>
      <c r="AD821" s="60" t="n"/>
      <c r="AE821" s="61" t="n"/>
      <c r="AF821" s="60" t="n"/>
      <c r="AG821" s="62" t="n"/>
      <c r="AH821" s="62" t="n"/>
      <c r="AI821" s="62" t="n"/>
      <c r="AJ821" s="60" t="n"/>
      <c r="AK821" s="61" t="n"/>
      <c r="AL821" s="63">
        <f>IF($A821="","",IF(AH821="","Not Enrolled",IF(TODAY()&gt;AH821,"Review Overdue",IF(AH821-TODAY()&lt;=30,"Review Due Soon","Active"))))</f>
        <v/>
      </c>
      <c r="AM821" s="63">
        <f>IF($A821="","",IF(AI821="","NOT REVIEWED",IF(TODAY()-AI821&gt;90,"OVERDUE",IF(TODAY()-AI821&gt;76,"Due Soon","Current"))))</f>
        <v/>
      </c>
    </row>
    <row r="822" ht="15" customHeight="1" s="39">
      <c r="A822" s="60" t="n"/>
      <c r="B822" s="60" t="n"/>
      <c r="C822" s="61" t="n"/>
      <c r="D822" s="61" t="n"/>
      <c r="E822" s="60" t="n"/>
      <c r="F822" s="60" t="n"/>
      <c r="G822" s="62" t="n"/>
      <c r="H822" s="62" t="n"/>
      <c r="I822" s="62" t="n"/>
      <c r="J822" s="60" t="n"/>
      <c r="K822" s="60" t="n"/>
      <c r="L822" s="60" t="n"/>
      <c r="M822" s="61" t="n"/>
      <c r="N822" s="60" t="n"/>
      <c r="O822" s="60" t="n"/>
      <c r="P822" s="60" t="n"/>
      <c r="Q822" s="60" t="n"/>
      <c r="R822" s="60" t="n"/>
      <c r="S822" s="60" t="n"/>
      <c r="T822" s="60" t="n"/>
      <c r="U822" s="60" t="n"/>
      <c r="V822" s="60" t="n"/>
      <c r="W822" s="60" t="n"/>
      <c r="X822" s="60" t="n"/>
      <c r="Y822" s="60" t="n"/>
      <c r="Z822" s="61" t="n"/>
      <c r="AA822" s="63">
        <f>IF($H822="","",TODAY()-$H822)</f>
        <v/>
      </c>
      <c r="AB822" s="63">
        <f>IF($A822="","",IF(AND($F822="Yes",OR($U822="No",$U822="NOT FOUND")),"YES",""))</f>
        <v/>
      </c>
      <c r="AC822" s="66">
        <f>IF($A822="","",TRIM(IF(AND($P822=0,$L822&lt;&gt;"Yes"),"T0-NoSmartcard ","")&amp;IF(AND($J822&lt;&gt;"",$J822&gt;365),"StalePwd ","")&amp;IF($K822="Yes","PwdNeverExpires ","")&amp;IF(AND($S822&lt;&gt;"",$S822&lt;&gt;"None"),"Delegation ","")&amp;IF(AND($Q822=1,$O822="None"),"StaleAdminCount ","")&amp;IF(AND($F822="Yes",$H822=""),"NeverLoggedOn ","")))</f>
        <v/>
      </c>
      <c r="AD822" s="60" t="n"/>
      <c r="AE822" s="61" t="n"/>
      <c r="AF822" s="60" t="n"/>
      <c r="AG822" s="62" t="n"/>
      <c r="AH822" s="62" t="n"/>
      <c r="AI822" s="62" t="n"/>
      <c r="AJ822" s="60" t="n"/>
      <c r="AK822" s="61" t="n"/>
      <c r="AL822" s="63">
        <f>IF($A822="","",IF(AH822="","Not Enrolled",IF(TODAY()&gt;AH822,"Review Overdue",IF(AH822-TODAY()&lt;=30,"Review Due Soon","Active"))))</f>
        <v/>
      </c>
      <c r="AM822" s="63">
        <f>IF($A822="","",IF(AI822="","NOT REVIEWED",IF(TODAY()-AI822&gt;90,"OVERDUE",IF(TODAY()-AI822&gt;76,"Due Soon","Current"))))</f>
        <v/>
      </c>
    </row>
    <row r="823" ht="15" customHeight="1" s="39">
      <c r="A823" s="60" t="n"/>
      <c r="B823" s="60" t="n"/>
      <c r="C823" s="61" t="n"/>
      <c r="D823" s="61" t="n"/>
      <c r="E823" s="60" t="n"/>
      <c r="F823" s="60" t="n"/>
      <c r="G823" s="62" t="n"/>
      <c r="H823" s="62" t="n"/>
      <c r="I823" s="62" t="n"/>
      <c r="J823" s="60" t="n"/>
      <c r="K823" s="60" t="n"/>
      <c r="L823" s="60" t="n"/>
      <c r="M823" s="61" t="n"/>
      <c r="N823" s="60" t="n"/>
      <c r="O823" s="60" t="n"/>
      <c r="P823" s="60" t="n"/>
      <c r="Q823" s="60" t="n"/>
      <c r="R823" s="60" t="n"/>
      <c r="S823" s="60" t="n"/>
      <c r="T823" s="60" t="n"/>
      <c r="U823" s="60" t="n"/>
      <c r="V823" s="60" t="n"/>
      <c r="W823" s="60" t="n"/>
      <c r="X823" s="60" t="n"/>
      <c r="Y823" s="60" t="n"/>
      <c r="Z823" s="61" t="n"/>
      <c r="AA823" s="63">
        <f>IF($H823="","",TODAY()-$H823)</f>
        <v/>
      </c>
      <c r="AB823" s="63">
        <f>IF($A823="","",IF(AND($F823="Yes",OR($U823="No",$U823="NOT FOUND")),"YES",""))</f>
        <v/>
      </c>
      <c r="AC823" s="66">
        <f>IF($A823="","",TRIM(IF(AND($P823=0,$L823&lt;&gt;"Yes"),"T0-NoSmartcard ","")&amp;IF(AND($J823&lt;&gt;"",$J823&gt;365),"StalePwd ","")&amp;IF($K823="Yes","PwdNeverExpires ","")&amp;IF(AND($S823&lt;&gt;"",$S823&lt;&gt;"None"),"Delegation ","")&amp;IF(AND($Q823=1,$O823="None"),"StaleAdminCount ","")&amp;IF(AND($F823="Yes",$H823=""),"NeverLoggedOn ","")))</f>
        <v/>
      </c>
      <c r="AD823" s="60" t="n"/>
      <c r="AE823" s="61" t="n"/>
      <c r="AF823" s="60" t="n"/>
      <c r="AG823" s="62" t="n"/>
      <c r="AH823" s="62" t="n"/>
      <c r="AI823" s="62" t="n"/>
      <c r="AJ823" s="60" t="n"/>
      <c r="AK823" s="61" t="n"/>
      <c r="AL823" s="63">
        <f>IF($A823="","",IF(AH823="","Not Enrolled",IF(TODAY()&gt;AH823,"Review Overdue",IF(AH823-TODAY()&lt;=30,"Review Due Soon","Active"))))</f>
        <v/>
      </c>
      <c r="AM823" s="63">
        <f>IF($A823="","",IF(AI823="","NOT REVIEWED",IF(TODAY()-AI823&gt;90,"OVERDUE",IF(TODAY()-AI823&gt;76,"Due Soon","Current"))))</f>
        <v/>
      </c>
    </row>
    <row r="824" ht="15" customHeight="1" s="39">
      <c r="A824" s="60" t="n"/>
      <c r="B824" s="60" t="n"/>
      <c r="C824" s="61" t="n"/>
      <c r="D824" s="61" t="n"/>
      <c r="E824" s="60" t="n"/>
      <c r="F824" s="60" t="n"/>
      <c r="G824" s="62" t="n"/>
      <c r="H824" s="62" t="n"/>
      <c r="I824" s="62" t="n"/>
      <c r="J824" s="60" t="n"/>
      <c r="K824" s="60" t="n"/>
      <c r="L824" s="60" t="n"/>
      <c r="M824" s="61" t="n"/>
      <c r="N824" s="60" t="n"/>
      <c r="O824" s="60" t="n"/>
      <c r="P824" s="60" t="n"/>
      <c r="Q824" s="60" t="n"/>
      <c r="R824" s="60" t="n"/>
      <c r="S824" s="60" t="n"/>
      <c r="T824" s="60" t="n"/>
      <c r="U824" s="60" t="n"/>
      <c r="V824" s="60" t="n"/>
      <c r="W824" s="60" t="n"/>
      <c r="X824" s="60" t="n"/>
      <c r="Y824" s="60" t="n"/>
      <c r="Z824" s="61" t="n"/>
      <c r="AA824" s="63">
        <f>IF($H824="","",TODAY()-$H824)</f>
        <v/>
      </c>
      <c r="AB824" s="63">
        <f>IF($A824="","",IF(AND($F824="Yes",OR($U824="No",$U824="NOT FOUND")),"YES",""))</f>
        <v/>
      </c>
      <c r="AC824" s="66">
        <f>IF($A824="","",TRIM(IF(AND($P824=0,$L824&lt;&gt;"Yes"),"T0-NoSmartcard ","")&amp;IF(AND($J824&lt;&gt;"",$J824&gt;365),"StalePwd ","")&amp;IF($K824="Yes","PwdNeverExpires ","")&amp;IF(AND($S824&lt;&gt;"",$S824&lt;&gt;"None"),"Delegation ","")&amp;IF(AND($Q824=1,$O824="None"),"StaleAdminCount ","")&amp;IF(AND($F824="Yes",$H824=""),"NeverLoggedOn ","")))</f>
        <v/>
      </c>
      <c r="AD824" s="60" t="n"/>
      <c r="AE824" s="61" t="n"/>
      <c r="AF824" s="60" t="n"/>
      <c r="AG824" s="62" t="n"/>
      <c r="AH824" s="62" t="n"/>
      <c r="AI824" s="62" t="n"/>
      <c r="AJ824" s="60" t="n"/>
      <c r="AK824" s="61" t="n"/>
      <c r="AL824" s="63">
        <f>IF($A824="","",IF(AH824="","Not Enrolled",IF(TODAY()&gt;AH824,"Review Overdue",IF(AH824-TODAY()&lt;=30,"Review Due Soon","Active"))))</f>
        <v/>
      </c>
      <c r="AM824" s="63">
        <f>IF($A824="","",IF(AI824="","NOT REVIEWED",IF(TODAY()-AI824&gt;90,"OVERDUE",IF(TODAY()-AI824&gt;76,"Due Soon","Current"))))</f>
        <v/>
      </c>
    </row>
    <row r="825" ht="15" customHeight="1" s="39">
      <c r="A825" s="60" t="n"/>
      <c r="B825" s="60" t="n"/>
      <c r="C825" s="61" t="n"/>
      <c r="D825" s="61" t="n"/>
      <c r="E825" s="60" t="n"/>
      <c r="F825" s="60" t="n"/>
      <c r="G825" s="62" t="n"/>
      <c r="H825" s="62" t="n"/>
      <c r="I825" s="62" t="n"/>
      <c r="J825" s="60" t="n"/>
      <c r="K825" s="60" t="n"/>
      <c r="L825" s="60" t="n"/>
      <c r="M825" s="61" t="n"/>
      <c r="N825" s="60" t="n"/>
      <c r="O825" s="60" t="n"/>
      <c r="P825" s="60" t="n"/>
      <c r="Q825" s="60" t="n"/>
      <c r="R825" s="60" t="n"/>
      <c r="S825" s="60" t="n"/>
      <c r="T825" s="60" t="n"/>
      <c r="U825" s="60" t="n"/>
      <c r="V825" s="60" t="n"/>
      <c r="W825" s="60" t="n"/>
      <c r="X825" s="60" t="n"/>
      <c r="Y825" s="60" t="n"/>
      <c r="Z825" s="61" t="n"/>
      <c r="AA825" s="63">
        <f>IF($H825="","",TODAY()-$H825)</f>
        <v/>
      </c>
      <c r="AB825" s="63">
        <f>IF($A825="","",IF(AND($F825="Yes",OR($U825="No",$U825="NOT FOUND")),"YES",""))</f>
        <v/>
      </c>
      <c r="AC825" s="66">
        <f>IF($A825="","",TRIM(IF(AND($P825=0,$L825&lt;&gt;"Yes"),"T0-NoSmartcard ","")&amp;IF(AND($J825&lt;&gt;"",$J825&gt;365),"StalePwd ","")&amp;IF($K825="Yes","PwdNeverExpires ","")&amp;IF(AND($S825&lt;&gt;"",$S825&lt;&gt;"None"),"Delegation ","")&amp;IF(AND($Q825=1,$O825="None"),"StaleAdminCount ","")&amp;IF(AND($F825="Yes",$H825=""),"NeverLoggedOn ","")))</f>
        <v/>
      </c>
      <c r="AD825" s="60" t="n"/>
      <c r="AE825" s="61" t="n"/>
      <c r="AF825" s="60" t="n"/>
      <c r="AG825" s="62" t="n"/>
      <c r="AH825" s="62" t="n"/>
      <c r="AI825" s="62" t="n"/>
      <c r="AJ825" s="60" t="n"/>
      <c r="AK825" s="61" t="n"/>
      <c r="AL825" s="63">
        <f>IF($A825="","",IF(AH825="","Not Enrolled",IF(TODAY()&gt;AH825,"Review Overdue",IF(AH825-TODAY()&lt;=30,"Review Due Soon","Active"))))</f>
        <v/>
      </c>
      <c r="AM825" s="63">
        <f>IF($A825="","",IF(AI825="","NOT REVIEWED",IF(TODAY()-AI825&gt;90,"OVERDUE",IF(TODAY()-AI825&gt;76,"Due Soon","Current"))))</f>
        <v/>
      </c>
    </row>
    <row r="826" ht="15" customHeight="1" s="39">
      <c r="A826" s="60" t="n"/>
      <c r="B826" s="60" t="n"/>
      <c r="C826" s="61" t="n"/>
      <c r="D826" s="61" t="n"/>
      <c r="E826" s="60" t="n"/>
      <c r="F826" s="60" t="n"/>
      <c r="G826" s="62" t="n"/>
      <c r="H826" s="62" t="n"/>
      <c r="I826" s="62" t="n"/>
      <c r="J826" s="60" t="n"/>
      <c r="K826" s="60" t="n"/>
      <c r="L826" s="60" t="n"/>
      <c r="M826" s="61" t="n"/>
      <c r="N826" s="60" t="n"/>
      <c r="O826" s="60" t="n"/>
      <c r="P826" s="60" t="n"/>
      <c r="Q826" s="60" t="n"/>
      <c r="R826" s="60" t="n"/>
      <c r="S826" s="60" t="n"/>
      <c r="T826" s="60" t="n"/>
      <c r="U826" s="60" t="n"/>
      <c r="V826" s="60" t="n"/>
      <c r="W826" s="60" t="n"/>
      <c r="X826" s="60" t="n"/>
      <c r="Y826" s="60" t="n"/>
      <c r="Z826" s="61" t="n"/>
      <c r="AA826" s="63">
        <f>IF($H826="","",TODAY()-$H826)</f>
        <v/>
      </c>
      <c r="AB826" s="63">
        <f>IF($A826="","",IF(AND($F826="Yes",OR($U826="No",$U826="NOT FOUND")),"YES",""))</f>
        <v/>
      </c>
      <c r="AC826" s="66">
        <f>IF($A826="","",TRIM(IF(AND($P826=0,$L826&lt;&gt;"Yes"),"T0-NoSmartcard ","")&amp;IF(AND($J826&lt;&gt;"",$J826&gt;365),"StalePwd ","")&amp;IF($K826="Yes","PwdNeverExpires ","")&amp;IF(AND($S826&lt;&gt;"",$S826&lt;&gt;"None"),"Delegation ","")&amp;IF(AND($Q826=1,$O826="None"),"StaleAdminCount ","")&amp;IF(AND($F826="Yes",$H826=""),"NeverLoggedOn ","")))</f>
        <v/>
      </c>
      <c r="AD826" s="60" t="n"/>
      <c r="AE826" s="61" t="n"/>
      <c r="AF826" s="60" t="n"/>
      <c r="AG826" s="62" t="n"/>
      <c r="AH826" s="62" t="n"/>
      <c r="AI826" s="62" t="n"/>
      <c r="AJ826" s="60" t="n"/>
      <c r="AK826" s="61" t="n"/>
      <c r="AL826" s="63">
        <f>IF($A826="","",IF(AH826="","Not Enrolled",IF(TODAY()&gt;AH826,"Review Overdue",IF(AH826-TODAY()&lt;=30,"Review Due Soon","Active"))))</f>
        <v/>
      </c>
      <c r="AM826" s="63">
        <f>IF($A826="","",IF(AI826="","NOT REVIEWED",IF(TODAY()-AI826&gt;90,"OVERDUE",IF(TODAY()-AI826&gt;76,"Due Soon","Current"))))</f>
        <v/>
      </c>
    </row>
    <row r="827" ht="15" customHeight="1" s="39">
      <c r="A827" s="60" t="n"/>
      <c r="B827" s="60" t="n"/>
      <c r="C827" s="61" t="n"/>
      <c r="D827" s="61" t="n"/>
      <c r="E827" s="60" t="n"/>
      <c r="F827" s="60" t="n"/>
      <c r="G827" s="62" t="n"/>
      <c r="H827" s="62" t="n"/>
      <c r="I827" s="62" t="n"/>
      <c r="J827" s="60" t="n"/>
      <c r="K827" s="60" t="n"/>
      <c r="L827" s="60" t="n"/>
      <c r="M827" s="61" t="n"/>
      <c r="N827" s="60" t="n"/>
      <c r="O827" s="60" t="n"/>
      <c r="P827" s="60" t="n"/>
      <c r="Q827" s="60" t="n"/>
      <c r="R827" s="60" t="n"/>
      <c r="S827" s="60" t="n"/>
      <c r="T827" s="60" t="n"/>
      <c r="U827" s="60" t="n"/>
      <c r="V827" s="60" t="n"/>
      <c r="W827" s="60" t="n"/>
      <c r="X827" s="60" t="n"/>
      <c r="Y827" s="60" t="n"/>
      <c r="Z827" s="61" t="n"/>
      <c r="AA827" s="63">
        <f>IF($H827="","",TODAY()-$H827)</f>
        <v/>
      </c>
      <c r="AB827" s="63">
        <f>IF($A827="","",IF(AND($F827="Yes",OR($U827="No",$U827="NOT FOUND")),"YES",""))</f>
        <v/>
      </c>
      <c r="AC827" s="66">
        <f>IF($A827="","",TRIM(IF(AND($P827=0,$L827&lt;&gt;"Yes"),"T0-NoSmartcard ","")&amp;IF(AND($J827&lt;&gt;"",$J827&gt;365),"StalePwd ","")&amp;IF($K827="Yes","PwdNeverExpires ","")&amp;IF(AND($S827&lt;&gt;"",$S827&lt;&gt;"None"),"Delegation ","")&amp;IF(AND($Q827=1,$O827="None"),"StaleAdminCount ","")&amp;IF(AND($F827="Yes",$H827=""),"NeverLoggedOn ","")))</f>
        <v/>
      </c>
      <c r="AD827" s="60" t="n"/>
      <c r="AE827" s="61" t="n"/>
      <c r="AF827" s="60" t="n"/>
      <c r="AG827" s="62" t="n"/>
      <c r="AH827" s="62" t="n"/>
      <c r="AI827" s="62" t="n"/>
      <c r="AJ827" s="60" t="n"/>
      <c r="AK827" s="61" t="n"/>
      <c r="AL827" s="63">
        <f>IF($A827="","",IF(AH827="","Not Enrolled",IF(TODAY()&gt;AH827,"Review Overdue",IF(AH827-TODAY()&lt;=30,"Review Due Soon","Active"))))</f>
        <v/>
      </c>
      <c r="AM827" s="63">
        <f>IF($A827="","",IF(AI827="","NOT REVIEWED",IF(TODAY()-AI827&gt;90,"OVERDUE",IF(TODAY()-AI827&gt;76,"Due Soon","Current"))))</f>
        <v/>
      </c>
    </row>
    <row r="828" ht="15" customHeight="1" s="39">
      <c r="A828" s="60" t="n"/>
      <c r="B828" s="60" t="n"/>
      <c r="C828" s="61" t="n"/>
      <c r="D828" s="61" t="n"/>
      <c r="E828" s="60" t="n"/>
      <c r="F828" s="60" t="n"/>
      <c r="G828" s="62" t="n"/>
      <c r="H828" s="62" t="n"/>
      <c r="I828" s="62" t="n"/>
      <c r="J828" s="60" t="n"/>
      <c r="K828" s="60" t="n"/>
      <c r="L828" s="60" t="n"/>
      <c r="M828" s="61" t="n"/>
      <c r="N828" s="60" t="n"/>
      <c r="O828" s="60" t="n"/>
      <c r="P828" s="60" t="n"/>
      <c r="Q828" s="60" t="n"/>
      <c r="R828" s="60" t="n"/>
      <c r="S828" s="60" t="n"/>
      <c r="T828" s="60" t="n"/>
      <c r="U828" s="60" t="n"/>
      <c r="V828" s="60" t="n"/>
      <c r="W828" s="60" t="n"/>
      <c r="X828" s="60" t="n"/>
      <c r="Y828" s="60" t="n"/>
      <c r="Z828" s="61" t="n"/>
      <c r="AA828" s="63">
        <f>IF($H828="","",TODAY()-$H828)</f>
        <v/>
      </c>
      <c r="AB828" s="63">
        <f>IF($A828="","",IF(AND($F828="Yes",OR($U828="No",$U828="NOT FOUND")),"YES",""))</f>
        <v/>
      </c>
      <c r="AC828" s="66">
        <f>IF($A828="","",TRIM(IF(AND($P828=0,$L828&lt;&gt;"Yes"),"T0-NoSmartcard ","")&amp;IF(AND($J828&lt;&gt;"",$J828&gt;365),"StalePwd ","")&amp;IF($K828="Yes","PwdNeverExpires ","")&amp;IF(AND($S828&lt;&gt;"",$S828&lt;&gt;"None"),"Delegation ","")&amp;IF(AND($Q828=1,$O828="None"),"StaleAdminCount ","")&amp;IF(AND($F828="Yes",$H828=""),"NeverLoggedOn ","")))</f>
        <v/>
      </c>
      <c r="AD828" s="60" t="n"/>
      <c r="AE828" s="61" t="n"/>
      <c r="AF828" s="60" t="n"/>
      <c r="AG828" s="62" t="n"/>
      <c r="AH828" s="62" t="n"/>
      <c r="AI828" s="62" t="n"/>
      <c r="AJ828" s="60" t="n"/>
      <c r="AK828" s="61" t="n"/>
      <c r="AL828" s="63">
        <f>IF($A828="","",IF(AH828="","Not Enrolled",IF(TODAY()&gt;AH828,"Review Overdue",IF(AH828-TODAY()&lt;=30,"Review Due Soon","Active"))))</f>
        <v/>
      </c>
      <c r="AM828" s="63">
        <f>IF($A828="","",IF(AI828="","NOT REVIEWED",IF(TODAY()-AI828&gt;90,"OVERDUE",IF(TODAY()-AI828&gt;76,"Due Soon","Current"))))</f>
        <v/>
      </c>
    </row>
    <row r="829" ht="15" customHeight="1" s="39">
      <c r="A829" s="60" t="n"/>
      <c r="B829" s="60" t="n"/>
      <c r="C829" s="61" t="n"/>
      <c r="D829" s="61" t="n"/>
      <c r="E829" s="60" t="n"/>
      <c r="F829" s="60" t="n"/>
      <c r="G829" s="62" t="n"/>
      <c r="H829" s="62" t="n"/>
      <c r="I829" s="62" t="n"/>
      <c r="J829" s="60" t="n"/>
      <c r="K829" s="60" t="n"/>
      <c r="L829" s="60" t="n"/>
      <c r="M829" s="61" t="n"/>
      <c r="N829" s="60" t="n"/>
      <c r="O829" s="60" t="n"/>
      <c r="P829" s="60" t="n"/>
      <c r="Q829" s="60" t="n"/>
      <c r="R829" s="60" t="n"/>
      <c r="S829" s="60" t="n"/>
      <c r="T829" s="60" t="n"/>
      <c r="U829" s="60" t="n"/>
      <c r="V829" s="60" t="n"/>
      <c r="W829" s="60" t="n"/>
      <c r="X829" s="60" t="n"/>
      <c r="Y829" s="60" t="n"/>
      <c r="Z829" s="61" t="n"/>
      <c r="AA829" s="63">
        <f>IF($H829="","",TODAY()-$H829)</f>
        <v/>
      </c>
      <c r="AB829" s="63">
        <f>IF($A829="","",IF(AND($F829="Yes",OR($U829="No",$U829="NOT FOUND")),"YES",""))</f>
        <v/>
      </c>
      <c r="AC829" s="66">
        <f>IF($A829="","",TRIM(IF(AND($P829=0,$L829&lt;&gt;"Yes"),"T0-NoSmartcard ","")&amp;IF(AND($J829&lt;&gt;"",$J829&gt;365),"StalePwd ","")&amp;IF($K829="Yes","PwdNeverExpires ","")&amp;IF(AND($S829&lt;&gt;"",$S829&lt;&gt;"None"),"Delegation ","")&amp;IF(AND($Q829=1,$O829="None"),"StaleAdminCount ","")&amp;IF(AND($F829="Yes",$H829=""),"NeverLoggedOn ","")))</f>
        <v/>
      </c>
      <c r="AD829" s="60" t="n"/>
      <c r="AE829" s="61" t="n"/>
      <c r="AF829" s="60" t="n"/>
      <c r="AG829" s="62" t="n"/>
      <c r="AH829" s="62" t="n"/>
      <c r="AI829" s="62" t="n"/>
      <c r="AJ829" s="60" t="n"/>
      <c r="AK829" s="61" t="n"/>
      <c r="AL829" s="63">
        <f>IF($A829="","",IF(AH829="","Not Enrolled",IF(TODAY()&gt;AH829,"Review Overdue",IF(AH829-TODAY()&lt;=30,"Review Due Soon","Active"))))</f>
        <v/>
      </c>
      <c r="AM829" s="63">
        <f>IF($A829="","",IF(AI829="","NOT REVIEWED",IF(TODAY()-AI829&gt;90,"OVERDUE",IF(TODAY()-AI829&gt;76,"Due Soon","Current"))))</f>
        <v/>
      </c>
    </row>
    <row r="830" ht="15" customHeight="1" s="39">
      <c r="A830" s="60" t="n"/>
      <c r="B830" s="60" t="n"/>
      <c r="C830" s="61" t="n"/>
      <c r="D830" s="61" t="n"/>
      <c r="E830" s="60" t="n"/>
      <c r="F830" s="60" t="n"/>
      <c r="G830" s="62" t="n"/>
      <c r="H830" s="62" t="n"/>
      <c r="I830" s="62" t="n"/>
      <c r="J830" s="60" t="n"/>
      <c r="K830" s="60" t="n"/>
      <c r="L830" s="60" t="n"/>
      <c r="M830" s="61" t="n"/>
      <c r="N830" s="60" t="n"/>
      <c r="O830" s="60" t="n"/>
      <c r="P830" s="60" t="n"/>
      <c r="Q830" s="60" t="n"/>
      <c r="R830" s="60" t="n"/>
      <c r="S830" s="60" t="n"/>
      <c r="T830" s="60" t="n"/>
      <c r="U830" s="60" t="n"/>
      <c r="V830" s="60" t="n"/>
      <c r="W830" s="60" t="n"/>
      <c r="X830" s="60" t="n"/>
      <c r="Y830" s="60" t="n"/>
      <c r="Z830" s="61" t="n"/>
      <c r="AA830" s="63">
        <f>IF($H830="","",TODAY()-$H830)</f>
        <v/>
      </c>
      <c r="AB830" s="63">
        <f>IF($A830="","",IF(AND($F830="Yes",OR($U830="No",$U830="NOT FOUND")),"YES",""))</f>
        <v/>
      </c>
      <c r="AC830" s="66">
        <f>IF($A830="","",TRIM(IF(AND($P830=0,$L830&lt;&gt;"Yes"),"T0-NoSmartcard ","")&amp;IF(AND($J830&lt;&gt;"",$J830&gt;365),"StalePwd ","")&amp;IF($K830="Yes","PwdNeverExpires ","")&amp;IF(AND($S830&lt;&gt;"",$S830&lt;&gt;"None"),"Delegation ","")&amp;IF(AND($Q830=1,$O830="None"),"StaleAdminCount ","")&amp;IF(AND($F830="Yes",$H830=""),"NeverLoggedOn ","")))</f>
        <v/>
      </c>
      <c r="AD830" s="60" t="n"/>
      <c r="AE830" s="61" t="n"/>
      <c r="AF830" s="60" t="n"/>
      <c r="AG830" s="62" t="n"/>
      <c r="AH830" s="62" t="n"/>
      <c r="AI830" s="62" t="n"/>
      <c r="AJ830" s="60" t="n"/>
      <c r="AK830" s="61" t="n"/>
      <c r="AL830" s="63">
        <f>IF($A830="","",IF(AH830="","Not Enrolled",IF(TODAY()&gt;AH830,"Review Overdue",IF(AH830-TODAY()&lt;=30,"Review Due Soon","Active"))))</f>
        <v/>
      </c>
      <c r="AM830" s="63">
        <f>IF($A830="","",IF(AI830="","NOT REVIEWED",IF(TODAY()-AI830&gt;90,"OVERDUE",IF(TODAY()-AI830&gt;76,"Due Soon","Current"))))</f>
        <v/>
      </c>
    </row>
    <row r="831" ht="15" customHeight="1" s="39">
      <c r="A831" s="60" t="n"/>
      <c r="B831" s="60" t="n"/>
      <c r="C831" s="61" t="n"/>
      <c r="D831" s="61" t="n"/>
      <c r="E831" s="60" t="n"/>
      <c r="F831" s="60" t="n"/>
      <c r="G831" s="62" t="n"/>
      <c r="H831" s="62" t="n"/>
      <c r="I831" s="62" t="n"/>
      <c r="J831" s="60" t="n"/>
      <c r="K831" s="60" t="n"/>
      <c r="L831" s="60" t="n"/>
      <c r="M831" s="61" t="n"/>
      <c r="N831" s="60" t="n"/>
      <c r="O831" s="60" t="n"/>
      <c r="P831" s="60" t="n"/>
      <c r="Q831" s="60" t="n"/>
      <c r="R831" s="60" t="n"/>
      <c r="S831" s="60" t="n"/>
      <c r="T831" s="60" t="n"/>
      <c r="U831" s="60" t="n"/>
      <c r="V831" s="60" t="n"/>
      <c r="W831" s="60" t="n"/>
      <c r="X831" s="60" t="n"/>
      <c r="Y831" s="60" t="n"/>
      <c r="Z831" s="61" t="n"/>
      <c r="AA831" s="63">
        <f>IF($H831="","",TODAY()-$H831)</f>
        <v/>
      </c>
      <c r="AB831" s="63">
        <f>IF($A831="","",IF(AND($F831="Yes",OR($U831="No",$U831="NOT FOUND")),"YES",""))</f>
        <v/>
      </c>
      <c r="AC831" s="66">
        <f>IF($A831="","",TRIM(IF(AND($P831=0,$L831&lt;&gt;"Yes"),"T0-NoSmartcard ","")&amp;IF(AND($J831&lt;&gt;"",$J831&gt;365),"StalePwd ","")&amp;IF($K831="Yes","PwdNeverExpires ","")&amp;IF(AND($S831&lt;&gt;"",$S831&lt;&gt;"None"),"Delegation ","")&amp;IF(AND($Q831=1,$O831="None"),"StaleAdminCount ","")&amp;IF(AND($F831="Yes",$H831=""),"NeverLoggedOn ","")))</f>
        <v/>
      </c>
      <c r="AD831" s="60" t="n"/>
      <c r="AE831" s="61" t="n"/>
      <c r="AF831" s="60" t="n"/>
      <c r="AG831" s="62" t="n"/>
      <c r="AH831" s="62" t="n"/>
      <c r="AI831" s="62" t="n"/>
      <c r="AJ831" s="60" t="n"/>
      <c r="AK831" s="61" t="n"/>
      <c r="AL831" s="63">
        <f>IF($A831="","",IF(AH831="","Not Enrolled",IF(TODAY()&gt;AH831,"Review Overdue",IF(AH831-TODAY()&lt;=30,"Review Due Soon","Active"))))</f>
        <v/>
      </c>
      <c r="AM831" s="63">
        <f>IF($A831="","",IF(AI831="","NOT REVIEWED",IF(TODAY()-AI831&gt;90,"OVERDUE",IF(TODAY()-AI831&gt;76,"Due Soon","Current"))))</f>
        <v/>
      </c>
    </row>
    <row r="832" ht="15" customHeight="1" s="39">
      <c r="A832" s="60" t="n"/>
      <c r="B832" s="60" t="n"/>
      <c r="C832" s="61" t="n"/>
      <c r="D832" s="61" t="n"/>
      <c r="E832" s="60" t="n"/>
      <c r="F832" s="60" t="n"/>
      <c r="G832" s="62" t="n"/>
      <c r="H832" s="62" t="n"/>
      <c r="I832" s="62" t="n"/>
      <c r="J832" s="60" t="n"/>
      <c r="K832" s="60" t="n"/>
      <c r="L832" s="60" t="n"/>
      <c r="M832" s="61" t="n"/>
      <c r="N832" s="60" t="n"/>
      <c r="O832" s="60" t="n"/>
      <c r="P832" s="60" t="n"/>
      <c r="Q832" s="60" t="n"/>
      <c r="R832" s="60" t="n"/>
      <c r="S832" s="60" t="n"/>
      <c r="T832" s="60" t="n"/>
      <c r="U832" s="60" t="n"/>
      <c r="V832" s="60" t="n"/>
      <c r="W832" s="60" t="n"/>
      <c r="X832" s="60" t="n"/>
      <c r="Y832" s="60" t="n"/>
      <c r="Z832" s="61" t="n"/>
      <c r="AA832" s="63">
        <f>IF($H832="","",TODAY()-$H832)</f>
        <v/>
      </c>
      <c r="AB832" s="63">
        <f>IF($A832="","",IF(AND($F832="Yes",OR($U832="No",$U832="NOT FOUND")),"YES",""))</f>
        <v/>
      </c>
      <c r="AC832" s="66">
        <f>IF($A832="","",TRIM(IF(AND($P832=0,$L832&lt;&gt;"Yes"),"T0-NoSmartcard ","")&amp;IF(AND($J832&lt;&gt;"",$J832&gt;365),"StalePwd ","")&amp;IF($K832="Yes","PwdNeverExpires ","")&amp;IF(AND($S832&lt;&gt;"",$S832&lt;&gt;"None"),"Delegation ","")&amp;IF(AND($Q832=1,$O832="None"),"StaleAdminCount ","")&amp;IF(AND($F832="Yes",$H832=""),"NeverLoggedOn ","")))</f>
        <v/>
      </c>
      <c r="AD832" s="60" t="n"/>
      <c r="AE832" s="61" t="n"/>
      <c r="AF832" s="60" t="n"/>
      <c r="AG832" s="62" t="n"/>
      <c r="AH832" s="62" t="n"/>
      <c r="AI832" s="62" t="n"/>
      <c r="AJ832" s="60" t="n"/>
      <c r="AK832" s="61" t="n"/>
      <c r="AL832" s="63">
        <f>IF($A832="","",IF(AH832="","Not Enrolled",IF(TODAY()&gt;AH832,"Review Overdue",IF(AH832-TODAY()&lt;=30,"Review Due Soon","Active"))))</f>
        <v/>
      </c>
      <c r="AM832" s="63">
        <f>IF($A832="","",IF(AI832="","NOT REVIEWED",IF(TODAY()-AI832&gt;90,"OVERDUE",IF(TODAY()-AI832&gt;76,"Due Soon","Current"))))</f>
        <v/>
      </c>
    </row>
    <row r="833" ht="15" customHeight="1" s="39">
      <c r="A833" s="60" t="n"/>
      <c r="B833" s="60" t="n"/>
      <c r="C833" s="61" t="n"/>
      <c r="D833" s="61" t="n"/>
      <c r="E833" s="60" t="n"/>
      <c r="F833" s="60" t="n"/>
      <c r="G833" s="62" t="n"/>
      <c r="H833" s="62" t="n"/>
      <c r="I833" s="62" t="n"/>
      <c r="J833" s="60" t="n"/>
      <c r="K833" s="60" t="n"/>
      <c r="L833" s="60" t="n"/>
      <c r="M833" s="61" t="n"/>
      <c r="N833" s="60" t="n"/>
      <c r="O833" s="60" t="n"/>
      <c r="P833" s="60" t="n"/>
      <c r="Q833" s="60" t="n"/>
      <c r="R833" s="60" t="n"/>
      <c r="S833" s="60" t="n"/>
      <c r="T833" s="60" t="n"/>
      <c r="U833" s="60" t="n"/>
      <c r="V833" s="60" t="n"/>
      <c r="W833" s="60" t="n"/>
      <c r="X833" s="60" t="n"/>
      <c r="Y833" s="60" t="n"/>
      <c r="Z833" s="61" t="n"/>
      <c r="AA833" s="63">
        <f>IF($H833="","",TODAY()-$H833)</f>
        <v/>
      </c>
      <c r="AB833" s="63">
        <f>IF($A833="","",IF(AND($F833="Yes",OR($U833="No",$U833="NOT FOUND")),"YES",""))</f>
        <v/>
      </c>
      <c r="AC833" s="66">
        <f>IF($A833="","",TRIM(IF(AND($P833=0,$L833&lt;&gt;"Yes"),"T0-NoSmartcard ","")&amp;IF(AND($J833&lt;&gt;"",$J833&gt;365),"StalePwd ","")&amp;IF($K833="Yes","PwdNeverExpires ","")&amp;IF(AND($S833&lt;&gt;"",$S833&lt;&gt;"None"),"Delegation ","")&amp;IF(AND($Q833=1,$O833="None"),"StaleAdminCount ","")&amp;IF(AND($F833="Yes",$H833=""),"NeverLoggedOn ","")))</f>
        <v/>
      </c>
      <c r="AD833" s="60" t="n"/>
      <c r="AE833" s="61" t="n"/>
      <c r="AF833" s="60" t="n"/>
      <c r="AG833" s="62" t="n"/>
      <c r="AH833" s="62" t="n"/>
      <c r="AI833" s="62" t="n"/>
      <c r="AJ833" s="60" t="n"/>
      <c r="AK833" s="61" t="n"/>
      <c r="AL833" s="63">
        <f>IF($A833="","",IF(AH833="","Not Enrolled",IF(TODAY()&gt;AH833,"Review Overdue",IF(AH833-TODAY()&lt;=30,"Review Due Soon","Active"))))</f>
        <v/>
      </c>
      <c r="AM833" s="63">
        <f>IF($A833="","",IF(AI833="","NOT REVIEWED",IF(TODAY()-AI833&gt;90,"OVERDUE",IF(TODAY()-AI833&gt;76,"Due Soon","Current"))))</f>
        <v/>
      </c>
    </row>
    <row r="834" ht="15" customHeight="1" s="39">
      <c r="A834" s="60" t="n"/>
      <c r="B834" s="60" t="n"/>
      <c r="C834" s="61" t="n"/>
      <c r="D834" s="61" t="n"/>
      <c r="E834" s="60" t="n"/>
      <c r="F834" s="60" t="n"/>
      <c r="G834" s="62" t="n"/>
      <c r="H834" s="62" t="n"/>
      <c r="I834" s="62" t="n"/>
      <c r="J834" s="60" t="n"/>
      <c r="K834" s="60" t="n"/>
      <c r="L834" s="60" t="n"/>
      <c r="M834" s="61" t="n"/>
      <c r="N834" s="60" t="n"/>
      <c r="O834" s="60" t="n"/>
      <c r="P834" s="60" t="n"/>
      <c r="Q834" s="60" t="n"/>
      <c r="R834" s="60" t="n"/>
      <c r="S834" s="60" t="n"/>
      <c r="T834" s="60" t="n"/>
      <c r="U834" s="60" t="n"/>
      <c r="V834" s="60" t="n"/>
      <c r="W834" s="60" t="n"/>
      <c r="X834" s="60" t="n"/>
      <c r="Y834" s="60" t="n"/>
      <c r="Z834" s="61" t="n"/>
      <c r="AA834" s="63">
        <f>IF($H834="","",TODAY()-$H834)</f>
        <v/>
      </c>
      <c r="AB834" s="63">
        <f>IF($A834="","",IF(AND($F834="Yes",OR($U834="No",$U834="NOT FOUND")),"YES",""))</f>
        <v/>
      </c>
      <c r="AC834" s="66">
        <f>IF($A834="","",TRIM(IF(AND($P834=0,$L834&lt;&gt;"Yes"),"T0-NoSmartcard ","")&amp;IF(AND($J834&lt;&gt;"",$J834&gt;365),"StalePwd ","")&amp;IF($K834="Yes","PwdNeverExpires ","")&amp;IF(AND($S834&lt;&gt;"",$S834&lt;&gt;"None"),"Delegation ","")&amp;IF(AND($Q834=1,$O834="None"),"StaleAdminCount ","")&amp;IF(AND($F834="Yes",$H834=""),"NeverLoggedOn ","")))</f>
        <v/>
      </c>
      <c r="AD834" s="60" t="n"/>
      <c r="AE834" s="61" t="n"/>
      <c r="AF834" s="60" t="n"/>
      <c r="AG834" s="62" t="n"/>
      <c r="AH834" s="62" t="n"/>
      <c r="AI834" s="62" t="n"/>
      <c r="AJ834" s="60" t="n"/>
      <c r="AK834" s="61" t="n"/>
      <c r="AL834" s="63">
        <f>IF($A834="","",IF(AH834="","Not Enrolled",IF(TODAY()&gt;AH834,"Review Overdue",IF(AH834-TODAY()&lt;=30,"Review Due Soon","Active"))))</f>
        <v/>
      </c>
      <c r="AM834" s="63">
        <f>IF($A834="","",IF(AI834="","NOT REVIEWED",IF(TODAY()-AI834&gt;90,"OVERDUE",IF(TODAY()-AI834&gt;76,"Due Soon","Current"))))</f>
        <v/>
      </c>
    </row>
    <row r="835" ht="15" customHeight="1" s="39">
      <c r="A835" s="60" t="n"/>
      <c r="B835" s="60" t="n"/>
      <c r="C835" s="61" t="n"/>
      <c r="D835" s="61" t="n"/>
      <c r="E835" s="60" t="n"/>
      <c r="F835" s="60" t="n"/>
      <c r="G835" s="62" t="n"/>
      <c r="H835" s="62" t="n"/>
      <c r="I835" s="62" t="n"/>
      <c r="J835" s="60" t="n"/>
      <c r="K835" s="60" t="n"/>
      <c r="L835" s="60" t="n"/>
      <c r="M835" s="61" t="n"/>
      <c r="N835" s="60" t="n"/>
      <c r="O835" s="60" t="n"/>
      <c r="P835" s="60" t="n"/>
      <c r="Q835" s="60" t="n"/>
      <c r="R835" s="60" t="n"/>
      <c r="S835" s="60" t="n"/>
      <c r="T835" s="60" t="n"/>
      <c r="U835" s="60" t="n"/>
      <c r="V835" s="60" t="n"/>
      <c r="W835" s="60" t="n"/>
      <c r="X835" s="60" t="n"/>
      <c r="Y835" s="60" t="n"/>
      <c r="Z835" s="61" t="n"/>
      <c r="AA835" s="63">
        <f>IF($H835="","",TODAY()-$H835)</f>
        <v/>
      </c>
      <c r="AB835" s="63">
        <f>IF($A835="","",IF(AND($F835="Yes",OR($U835="No",$U835="NOT FOUND")),"YES",""))</f>
        <v/>
      </c>
      <c r="AC835" s="66">
        <f>IF($A835="","",TRIM(IF(AND($P835=0,$L835&lt;&gt;"Yes"),"T0-NoSmartcard ","")&amp;IF(AND($J835&lt;&gt;"",$J835&gt;365),"StalePwd ","")&amp;IF($K835="Yes","PwdNeverExpires ","")&amp;IF(AND($S835&lt;&gt;"",$S835&lt;&gt;"None"),"Delegation ","")&amp;IF(AND($Q835=1,$O835="None"),"StaleAdminCount ","")&amp;IF(AND($F835="Yes",$H835=""),"NeverLoggedOn ","")))</f>
        <v/>
      </c>
      <c r="AD835" s="60" t="n"/>
      <c r="AE835" s="61" t="n"/>
      <c r="AF835" s="60" t="n"/>
      <c r="AG835" s="62" t="n"/>
      <c r="AH835" s="62" t="n"/>
      <c r="AI835" s="62" t="n"/>
      <c r="AJ835" s="60" t="n"/>
      <c r="AK835" s="61" t="n"/>
      <c r="AL835" s="63">
        <f>IF($A835="","",IF(AH835="","Not Enrolled",IF(TODAY()&gt;AH835,"Review Overdue",IF(AH835-TODAY()&lt;=30,"Review Due Soon","Active"))))</f>
        <v/>
      </c>
      <c r="AM835" s="63">
        <f>IF($A835="","",IF(AI835="","NOT REVIEWED",IF(TODAY()-AI835&gt;90,"OVERDUE",IF(TODAY()-AI835&gt;76,"Due Soon","Current"))))</f>
        <v/>
      </c>
    </row>
    <row r="836" ht="15" customHeight="1" s="39">
      <c r="A836" s="60" t="n"/>
      <c r="B836" s="60" t="n"/>
      <c r="C836" s="61" t="n"/>
      <c r="D836" s="61" t="n"/>
      <c r="E836" s="60" t="n"/>
      <c r="F836" s="60" t="n"/>
      <c r="G836" s="62" t="n"/>
      <c r="H836" s="62" t="n"/>
      <c r="I836" s="62" t="n"/>
      <c r="J836" s="60" t="n"/>
      <c r="K836" s="60" t="n"/>
      <c r="L836" s="60" t="n"/>
      <c r="M836" s="61" t="n"/>
      <c r="N836" s="60" t="n"/>
      <c r="O836" s="60" t="n"/>
      <c r="P836" s="60" t="n"/>
      <c r="Q836" s="60" t="n"/>
      <c r="R836" s="60" t="n"/>
      <c r="S836" s="60" t="n"/>
      <c r="T836" s="60" t="n"/>
      <c r="U836" s="60" t="n"/>
      <c r="V836" s="60" t="n"/>
      <c r="W836" s="60" t="n"/>
      <c r="X836" s="60" t="n"/>
      <c r="Y836" s="60" t="n"/>
      <c r="Z836" s="61" t="n"/>
      <c r="AA836" s="63">
        <f>IF($H836="","",TODAY()-$H836)</f>
        <v/>
      </c>
      <c r="AB836" s="63">
        <f>IF($A836="","",IF(AND($F836="Yes",OR($U836="No",$U836="NOT FOUND")),"YES",""))</f>
        <v/>
      </c>
      <c r="AC836" s="66">
        <f>IF($A836="","",TRIM(IF(AND($P836=0,$L836&lt;&gt;"Yes"),"T0-NoSmartcard ","")&amp;IF(AND($J836&lt;&gt;"",$J836&gt;365),"StalePwd ","")&amp;IF($K836="Yes","PwdNeverExpires ","")&amp;IF(AND($S836&lt;&gt;"",$S836&lt;&gt;"None"),"Delegation ","")&amp;IF(AND($Q836=1,$O836="None"),"StaleAdminCount ","")&amp;IF(AND($F836="Yes",$H836=""),"NeverLoggedOn ","")))</f>
        <v/>
      </c>
      <c r="AD836" s="60" t="n"/>
      <c r="AE836" s="61" t="n"/>
      <c r="AF836" s="60" t="n"/>
      <c r="AG836" s="62" t="n"/>
      <c r="AH836" s="62" t="n"/>
      <c r="AI836" s="62" t="n"/>
      <c r="AJ836" s="60" t="n"/>
      <c r="AK836" s="61" t="n"/>
      <c r="AL836" s="63">
        <f>IF($A836="","",IF(AH836="","Not Enrolled",IF(TODAY()&gt;AH836,"Review Overdue",IF(AH836-TODAY()&lt;=30,"Review Due Soon","Active"))))</f>
        <v/>
      </c>
      <c r="AM836" s="63">
        <f>IF($A836="","",IF(AI836="","NOT REVIEWED",IF(TODAY()-AI836&gt;90,"OVERDUE",IF(TODAY()-AI836&gt;76,"Due Soon","Current"))))</f>
        <v/>
      </c>
    </row>
    <row r="837" ht="15" customHeight="1" s="39">
      <c r="A837" s="60" t="n"/>
      <c r="B837" s="60" t="n"/>
      <c r="C837" s="61" t="n"/>
      <c r="D837" s="61" t="n"/>
      <c r="E837" s="60" t="n"/>
      <c r="F837" s="60" t="n"/>
      <c r="G837" s="62" t="n"/>
      <c r="H837" s="62" t="n"/>
      <c r="I837" s="62" t="n"/>
      <c r="J837" s="60" t="n"/>
      <c r="K837" s="60" t="n"/>
      <c r="L837" s="60" t="n"/>
      <c r="M837" s="61" t="n"/>
      <c r="N837" s="60" t="n"/>
      <c r="O837" s="60" t="n"/>
      <c r="P837" s="60" t="n"/>
      <c r="Q837" s="60" t="n"/>
      <c r="R837" s="60" t="n"/>
      <c r="S837" s="60" t="n"/>
      <c r="T837" s="60" t="n"/>
      <c r="U837" s="60" t="n"/>
      <c r="V837" s="60" t="n"/>
      <c r="W837" s="60" t="n"/>
      <c r="X837" s="60" t="n"/>
      <c r="Y837" s="60" t="n"/>
      <c r="Z837" s="61" t="n"/>
      <c r="AA837" s="63">
        <f>IF($H837="","",TODAY()-$H837)</f>
        <v/>
      </c>
      <c r="AB837" s="63">
        <f>IF($A837="","",IF(AND($F837="Yes",OR($U837="No",$U837="NOT FOUND")),"YES",""))</f>
        <v/>
      </c>
      <c r="AC837" s="66">
        <f>IF($A837="","",TRIM(IF(AND($P837=0,$L837&lt;&gt;"Yes"),"T0-NoSmartcard ","")&amp;IF(AND($J837&lt;&gt;"",$J837&gt;365),"StalePwd ","")&amp;IF($K837="Yes","PwdNeverExpires ","")&amp;IF(AND($S837&lt;&gt;"",$S837&lt;&gt;"None"),"Delegation ","")&amp;IF(AND($Q837=1,$O837="None"),"StaleAdminCount ","")&amp;IF(AND($F837="Yes",$H837=""),"NeverLoggedOn ","")))</f>
        <v/>
      </c>
      <c r="AD837" s="60" t="n"/>
      <c r="AE837" s="61" t="n"/>
      <c r="AF837" s="60" t="n"/>
      <c r="AG837" s="62" t="n"/>
      <c r="AH837" s="62" t="n"/>
      <c r="AI837" s="62" t="n"/>
      <c r="AJ837" s="60" t="n"/>
      <c r="AK837" s="61" t="n"/>
      <c r="AL837" s="63">
        <f>IF($A837="","",IF(AH837="","Not Enrolled",IF(TODAY()&gt;AH837,"Review Overdue",IF(AH837-TODAY()&lt;=30,"Review Due Soon","Active"))))</f>
        <v/>
      </c>
      <c r="AM837" s="63">
        <f>IF($A837="","",IF(AI837="","NOT REVIEWED",IF(TODAY()-AI837&gt;90,"OVERDUE",IF(TODAY()-AI837&gt;76,"Due Soon","Current"))))</f>
        <v/>
      </c>
    </row>
    <row r="838" ht="15" customHeight="1" s="39">
      <c r="A838" s="60" t="n"/>
      <c r="B838" s="60" t="n"/>
      <c r="C838" s="61" t="n"/>
      <c r="D838" s="61" t="n"/>
      <c r="E838" s="60" t="n"/>
      <c r="F838" s="60" t="n"/>
      <c r="G838" s="62" t="n"/>
      <c r="H838" s="62" t="n"/>
      <c r="I838" s="62" t="n"/>
      <c r="J838" s="60" t="n"/>
      <c r="K838" s="60" t="n"/>
      <c r="L838" s="60" t="n"/>
      <c r="M838" s="61" t="n"/>
      <c r="N838" s="60" t="n"/>
      <c r="O838" s="60" t="n"/>
      <c r="P838" s="60" t="n"/>
      <c r="Q838" s="60" t="n"/>
      <c r="R838" s="60" t="n"/>
      <c r="S838" s="60" t="n"/>
      <c r="T838" s="60" t="n"/>
      <c r="U838" s="60" t="n"/>
      <c r="V838" s="60" t="n"/>
      <c r="W838" s="60" t="n"/>
      <c r="X838" s="60" t="n"/>
      <c r="Y838" s="60" t="n"/>
      <c r="Z838" s="61" t="n"/>
      <c r="AA838" s="63">
        <f>IF($H838="","",TODAY()-$H838)</f>
        <v/>
      </c>
      <c r="AB838" s="63">
        <f>IF($A838="","",IF(AND($F838="Yes",OR($U838="No",$U838="NOT FOUND")),"YES",""))</f>
        <v/>
      </c>
      <c r="AC838" s="66">
        <f>IF($A838="","",TRIM(IF(AND($P838=0,$L838&lt;&gt;"Yes"),"T0-NoSmartcard ","")&amp;IF(AND($J838&lt;&gt;"",$J838&gt;365),"StalePwd ","")&amp;IF($K838="Yes","PwdNeverExpires ","")&amp;IF(AND($S838&lt;&gt;"",$S838&lt;&gt;"None"),"Delegation ","")&amp;IF(AND($Q838=1,$O838="None"),"StaleAdminCount ","")&amp;IF(AND($F838="Yes",$H838=""),"NeverLoggedOn ","")))</f>
        <v/>
      </c>
      <c r="AD838" s="60" t="n"/>
      <c r="AE838" s="61" t="n"/>
      <c r="AF838" s="60" t="n"/>
      <c r="AG838" s="62" t="n"/>
      <c r="AH838" s="62" t="n"/>
      <c r="AI838" s="62" t="n"/>
      <c r="AJ838" s="60" t="n"/>
      <c r="AK838" s="61" t="n"/>
      <c r="AL838" s="63">
        <f>IF($A838="","",IF(AH838="","Not Enrolled",IF(TODAY()&gt;AH838,"Review Overdue",IF(AH838-TODAY()&lt;=30,"Review Due Soon","Active"))))</f>
        <v/>
      </c>
      <c r="AM838" s="63">
        <f>IF($A838="","",IF(AI838="","NOT REVIEWED",IF(TODAY()-AI838&gt;90,"OVERDUE",IF(TODAY()-AI838&gt;76,"Due Soon","Current"))))</f>
        <v/>
      </c>
    </row>
    <row r="839" ht="15" customHeight="1" s="39">
      <c r="A839" s="60" t="n"/>
      <c r="B839" s="60" t="n"/>
      <c r="C839" s="61" t="n"/>
      <c r="D839" s="61" t="n"/>
      <c r="E839" s="60" t="n"/>
      <c r="F839" s="60" t="n"/>
      <c r="G839" s="62" t="n"/>
      <c r="H839" s="62" t="n"/>
      <c r="I839" s="62" t="n"/>
      <c r="J839" s="60" t="n"/>
      <c r="K839" s="60" t="n"/>
      <c r="L839" s="60" t="n"/>
      <c r="M839" s="61" t="n"/>
      <c r="N839" s="60" t="n"/>
      <c r="O839" s="60" t="n"/>
      <c r="P839" s="60" t="n"/>
      <c r="Q839" s="60" t="n"/>
      <c r="R839" s="60" t="n"/>
      <c r="S839" s="60" t="n"/>
      <c r="T839" s="60" t="n"/>
      <c r="U839" s="60" t="n"/>
      <c r="V839" s="60" t="n"/>
      <c r="W839" s="60" t="n"/>
      <c r="X839" s="60" t="n"/>
      <c r="Y839" s="60" t="n"/>
      <c r="Z839" s="61" t="n"/>
      <c r="AA839" s="63">
        <f>IF($H839="","",TODAY()-$H839)</f>
        <v/>
      </c>
      <c r="AB839" s="63">
        <f>IF($A839="","",IF(AND($F839="Yes",OR($U839="No",$U839="NOT FOUND")),"YES",""))</f>
        <v/>
      </c>
      <c r="AC839" s="66">
        <f>IF($A839="","",TRIM(IF(AND($P839=0,$L839&lt;&gt;"Yes"),"T0-NoSmartcard ","")&amp;IF(AND($J839&lt;&gt;"",$J839&gt;365),"StalePwd ","")&amp;IF($K839="Yes","PwdNeverExpires ","")&amp;IF(AND($S839&lt;&gt;"",$S839&lt;&gt;"None"),"Delegation ","")&amp;IF(AND($Q839=1,$O839="None"),"StaleAdminCount ","")&amp;IF(AND($F839="Yes",$H839=""),"NeverLoggedOn ","")))</f>
        <v/>
      </c>
      <c r="AD839" s="60" t="n"/>
      <c r="AE839" s="61" t="n"/>
      <c r="AF839" s="60" t="n"/>
      <c r="AG839" s="62" t="n"/>
      <c r="AH839" s="62" t="n"/>
      <c r="AI839" s="62" t="n"/>
      <c r="AJ839" s="60" t="n"/>
      <c r="AK839" s="61" t="n"/>
      <c r="AL839" s="63">
        <f>IF($A839="","",IF(AH839="","Not Enrolled",IF(TODAY()&gt;AH839,"Review Overdue",IF(AH839-TODAY()&lt;=30,"Review Due Soon","Active"))))</f>
        <v/>
      </c>
      <c r="AM839" s="63">
        <f>IF($A839="","",IF(AI839="","NOT REVIEWED",IF(TODAY()-AI839&gt;90,"OVERDUE",IF(TODAY()-AI839&gt;76,"Due Soon","Current"))))</f>
        <v/>
      </c>
    </row>
    <row r="840" ht="15" customHeight="1" s="39">
      <c r="A840" s="60" t="n"/>
      <c r="B840" s="60" t="n"/>
      <c r="C840" s="61" t="n"/>
      <c r="D840" s="61" t="n"/>
      <c r="E840" s="60" t="n"/>
      <c r="F840" s="60" t="n"/>
      <c r="G840" s="62" t="n"/>
      <c r="H840" s="62" t="n"/>
      <c r="I840" s="62" t="n"/>
      <c r="J840" s="60" t="n"/>
      <c r="K840" s="60" t="n"/>
      <c r="L840" s="60" t="n"/>
      <c r="M840" s="61" t="n"/>
      <c r="N840" s="60" t="n"/>
      <c r="O840" s="60" t="n"/>
      <c r="P840" s="60" t="n"/>
      <c r="Q840" s="60" t="n"/>
      <c r="R840" s="60" t="n"/>
      <c r="S840" s="60" t="n"/>
      <c r="T840" s="60" t="n"/>
      <c r="U840" s="60" t="n"/>
      <c r="V840" s="60" t="n"/>
      <c r="W840" s="60" t="n"/>
      <c r="X840" s="60" t="n"/>
      <c r="Y840" s="60" t="n"/>
      <c r="Z840" s="61" t="n"/>
      <c r="AA840" s="63">
        <f>IF($H840="","",TODAY()-$H840)</f>
        <v/>
      </c>
      <c r="AB840" s="63">
        <f>IF($A840="","",IF(AND($F840="Yes",OR($U840="No",$U840="NOT FOUND")),"YES",""))</f>
        <v/>
      </c>
      <c r="AC840" s="66">
        <f>IF($A840="","",TRIM(IF(AND($P840=0,$L840&lt;&gt;"Yes"),"T0-NoSmartcard ","")&amp;IF(AND($J840&lt;&gt;"",$J840&gt;365),"StalePwd ","")&amp;IF($K840="Yes","PwdNeverExpires ","")&amp;IF(AND($S840&lt;&gt;"",$S840&lt;&gt;"None"),"Delegation ","")&amp;IF(AND($Q840=1,$O840="None"),"StaleAdminCount ","")&amp;IF(AND($F840="Yes",$H840=""),"NeverLoggedOn ","")))</f>
        <v/>
      </c>
      <c r="AD840" s="60" t="n"/>
      <c r="AE840" s="61" t="n"/>
      <c r="AF840" s="60" t="n"/>
      <c r="AG840" s="62" t="n"/>
      <c r="AH840" s="62" t="n"/>
      <c r="AI840" s="62" t="n"/>
      <c r="AJ840" s="60" t="n"/>
      <c r="AK840" s="61" t="n"/>
      <c r="AL840" s="63">
        <f>IF($A840="","",IF(AH840="","Not Enrolled",IF(TODAY()&gt;AH840,"Review Overdue",IF(AH840-TODAY()&lt;=30,"Review Due Soon","Active"))))</f>
        <v/>
      </c>
      <c r="AM840" s="63">
        <f>IF($A840="","",IF(AI840="","NOT REVIEWED",IF(TODAY()-AI840&gt;90,"OVERDUE",IF(TODAY()-AI840&gt;76,"Due Soon","Current"))))</f>
        <v/>
      </c>
    </row>
    <row r="841" ht="15" customHeight="1" s="39">
      <c r="A841" s="60" t="n"/>
      <c r="B841" s="60" t="n"/>
      <c r="C841" s="61" t="n"/>
      <c r="D841" s="61" t="n"/>
      <c r="E841" s="60" t="n"/>
      <c r="F841" s="60" t="n"/>
      <c r="G841" s="62" t="n"/>
      <c r="H841" s="62" t="n"/>
      <c r="I841" s="62" t="n"/>
      <c r="J841" s="60" t="n"/>
      <c r="K841" s="60" t="n"/>
      <c r="L841" s="60" t="n"/>
      <c r="M841" s="61" t="n"/>
      <c r="N841" s="60" t="n"/>
      <c r="O841" s="60" t="n"/>
      <c r="P841" s="60" t="n"/>
      <c r="Q841" s="60" t="n"/>
      <c r="R841" s="60" t="n"/>
      <c r="S841" s="60" t="n"/>
      <c r="T841" s="60" t="n"/>
      <c r="U841" s="60" t="n"/>
      <c r="V841" s="60" t="n"/>
      <c r="W841" s="60" t="n"/>
      <c r="X841" s="60" t="n"/>
      <c r="Y841" s="60" t="n"/>
      <c r="Z841" s="61" t="n"/>
      <c r="AA841" s="63">
        <f>IF($H841="","",TODAY()-$H841)</f>
        <v/>
      </c>
      <c r="AB841" s="63">
        <f>IF($A841="","",IF(AND($F841="Yes",OR($U841="No",$U841="NOT FOUND")),"YES",""))</f>
        <v/>
      </c>
      <c r="AC841" s="66">
        <f>IF($A841="","",TRIM(IF(AND($P841=0,$L841&lt;&gt;"Yes"),"T0-NoSmartcard ","")&amp;IF(AND($J841&lt;&gt;"",$J841&gt;365),"StalePwd ","")&amp;IF($K841="Yes","PwdNeverExpires ","")&amp;IF(AND($S841&lt;&gt;"",$S841&lt;&gt;"None"),"Delegation ","")&amp;IF(AND($Q841=1,$O841="None"),"StaleAdminCount ","")&amp;IF(AND($F841="Yes",$H841=""),"NeverLoggedOn ","")))</f>
        <v/>
      </c>
      <c r="AD841" s="60" t="n"/>
      <c r="AE841" s="61" t="n"/>
      <c r="AF841" s="60" t="n"/>
      <c r="AG841" s="62" t="n"/>
      <c r="AH841" s="62" t="n"/>
      <c r="AI841" s="62" t="n"/>
      <c r="AJ841" s="60" t="n"/>
      <c r="AK841" s="61" t="n"/>
      <c r="AL841" s="63">
        <f>IF($A841="","",IF(AH841="","Not Enrolled",IF(TODAY()&gt;AH841,"Review Overdue",IF(AH841-TODAY()&lt;=30,"Review Due Soon","Active"))))</f>
        <v/>
      </c>
      <c r="AM841" s="63">
        <f>IF($A841="","",IF(AI841="","NOT REVIEWED",IF(TODAY()-AI841&gt;90,"OVERDUE",IF(TODAY()-AI841&gt;76,"Due Soon","Current"))))</f>
        <v/>
      </c>
    </row>
    <row r="842" ht="15" customHeight="1" s="39">
      <c r="A842" s="60" t="n"/>
      <c r="B842" s="60" t="n"/>
      <c r="C842" s="61" t="n"/>
      <c r="D842" s="61" t="n"/>
      <c r="E842" s="60" t="n"/>
      <c r="F842" s="60" t="n"/>
      <c r="G842" s="62" t="n"/>
      <c r="H842" s="62" t="n"/>
      <c r="I842" s="62" t="n"/>
      <c r="J842" s="60" t="n"/>
      <c r="K842" s="60" t="n"/>
      <c r="L842" s="60" t="n"/>
      <c r="M842" s="61" t="n"/>
      <c r="N842" s="60" t="n"/>
      <c r="O842" s="60" t="n"/>
      <c r="P842" s="60" t="n"/>
      <c r="Q842" s="60" t="n"/>
      <c r="R842" s="60" t="n"/>
      <c r="S842" s="60" t="n"/>
      <c r="T842" s="60" t="n"/>
      <c r="U842" s="60" t="n"/>
      <c r="V842" s="60" t="n"/>
      <c r="W842" s="60" t="n"/>
      <c r="X842" s="60" t="n"/>
      <c r="Y842" s="60" t="n"/>
      <c r="Z842" s="61" t="n"/>
      <c r="AA842" s="63">
        <f>IF($H842="","",TODAY()-$H842)</f>
        <v/>
      </c>
      <c r="AB842" s="63">
        <f>IF($A842="","",IF(AND($F842="Yes",OR($U842="No",$U842="NOT FOUND")),"YES",""))</f>
        <v/>
      </c>
      <c r="AC842" s="66">
        <f>IF($A842="","",TRIM(IF(AND($P842=0,$L842&lt;&gt;"Yes"),"T0-NoSmartcard ","")&amp;IF(AND($J842&lt;&gt;"",$J842&gt;365),"StalePwd ","")&amp;IF($K842="Yes","PwdNeverExpires ","")&amp;IF(AND($S842&lt;&gt;"",$S842&lt;&gt;"None"),"Delegation ","")&amp;IF(AND($Q842=1,$O842="None"),"StaleAdminCount ","")&amp;IF(AND($F842="Yes",$H842=""),"NeverLoggedOn ","")))</f>
        <v/>
      </c>
      <c r="AD842" s="60" t="n"/>
      <c r="AE842" s="61" t="n"/>
      <c r="AF842" s="60" t="n"/>
      <c r="AG842" s="62" t="n"/>
      <c r="AH842" s="62" t="n"/>
      <c r="AI842" s="62" t="n"/>
      <c r="AJ842" s="60" t="n"/>
      <c r="AK842" s="61" t="n"/>
      <c r="AL842" s="63">
        <f>IF($A842="","",IF(AH842="","Not Enrolled",IF(TODAY()&gt;AH842,"Review Overdue",IF(AH842-TODAY()&lt;=30,"Review Due Soon","Active"))))</f>
        <v/>
      </c>
      <c r="AM842" s="63">
        <f>IF($A842="","",IF(AI842="","NOT REVIEWED",IF(TODAY()-AI842&gt;90,"OVERDUE",IF(TODAY()-AI842&gt;76,"Due Soon","Current"))))</f>
        <v/>
      </c>
    </row>
    <row r="843" ht="15" customHeight="1" s="39">
      <c r="A843" s="60" t="n"/>
      <c r="B843" s="60" t="n"/>
      <c r="C843" s="61" t="n"/>
      <c r="D843" s="61" t="n"/>
      <c r="E843" s="60" t="n"/>
      <c r="F843" s="60" t="n"/>
      <c r="G843" s="62" t="n"/>
      <c r="H843" s="62" t="n"/>
      <c r="I843" s="62" t="n"/>
      <c r="J843" s="60" t="n"/>
      <c r="K843" s="60" t="n"/>
      <c r="L843" s="60" t="n"/>
      <c r="M843" s="61" t="n"/>
      <c r="N843" s="60" t="n"/>
      <c r="O843" s="60" t="n"/>
      <c r="P843" s="60" t="n"/>
      <c r="Q843" s="60" t="n"/>
      <c r="R843" s="60" t="n"/>
      <c r="S843" s="60" t="n"/>
      <c r="T843" s="60" t="n"/>
      <c r="U843" s="60" t="n"/>
      <c r="V843" s="60" t="n"/>
      <c r="W843" s="60" t="n"/>
      <c r="X843" s="60" t="n"/>
      <c r="Y843" s="60" t="n"/>
      <c r="Z843" s="61" t="n"/>
      <c r="AA843" s="63">
        <f>IF($H843="","",TODAY()-$H843)</f>
        <v/>
      </c>
      <c r="AB843" s="63">
        <f>IF($A843="","",IF(AND($F843="Yes",OR($U843="No",$U843="NOT FOUND")),"YES",""))</f>
        <v/>
      </c>
      <c r="AC843" s="66">
        <f>IF($A843="","",TRIM(IF(AND($P843=0,$L843&lt;&gt;"Yes"),"T0-NoSmartcard ","")&amp;IF(AND($J843&lt;&gt;"",$J843&gt;365),"StalePwd ","")&amp;IF($K843="Yes","PwdNeverExpires ","")&amp;IF(AND($S843&lt;&gt;"",$S843&lt;&gt;"None"),"Delegation ","")&amp;IF(AND($Q843=1,$O843="None"),"StaleAdminCount ","")&amp;IF(AND($F843="Yes",$H843=""),"NeverLoggedOn ","")))</f>
        <v/>
      </c>
      <c r="AD843" s="60" t="n"/>
      <c r="AE843" s="61" t="n"/>
      <c r="AF843" s="60" t="n"/>
      <c r="AG843" s="62" t="n"/>
      <c r="AH843" s="62" t="n"/>
      <c r="AI843" s="62" t="n"/>
      <c r="AJ843" s="60" t="n"/>
      <c r="AK843" s="61" t="n"/>
      <c r="AL843" s="63">
        <f>IF($A843="","",IF(AH843="","Not Enrolled",IF(TODAY()&gt;AH843,"Review Overdue",IF(AH843-TODAY()&lt;=30,"Review Due Soon","Active"))))</f>
        <v/>
      </c>
      <c r="AM843" s="63">
        <f>IF($A843="","",IF(AI843="","NOT REVIEWED",IF(TODAY()-AI843&gt;90,"OVERDUE",IF(TODAY()-AI843&gt;76,"Due Soon","Current"))))</f>
        <v/>
      </c>
    </row>
    <row r="844" ht="15" customHeight="1" s="39">
      <c r="A844" s="60" t="n"/>
      <c r="B844" s="60" t="n"/>
      <c r="C844" s="61" t="n"/>
      <c r="D844" s="61" t="n"/>
      <c r="E844" s="60" t="n"/>
      <c r="F844" s="60" t="n"/>
      <c r="G844" s="62" t="n"/>
      <c r="H844" s="62" t="n"/>
      <c r="I844" s="62" t="n"/>
      <c r="J844" s="60" t="n"/>
      <c r="K844" s="60" t="n"/>
      <c r="L844" s="60" t="n"/>
      <c r="M844" s="61" t="n"/>
      <c r="N844" s="60" t="n"/>
      <c r="O844" s="60" t="n"/>
      <c r="P844" s="60" t="n"/>
      <c r="Q844" s="60" t="n"/>
      <c r="R844" s="60" t="n"/>
      <c r="S844" s="60" t="n"/>
      <c r="T844" s="60" t="n"/>
      <c r="U844" s="60" t="n"/>
      <c r="V844" s="60" t="n"/>
      <c r="W844" s="60" t="n"/>
      <c r="X844" s="60" t="n"/>
      <c r="Y844" s="60" t="n"/>
      <c r="Z844" s="61" t="n"/>
      <c r="AA844" s="63">
        <f>IF($H844="","",TODAY()-$H844)</f>
        <v/>
      </c>
      <c r="AB844" s="63">
        <f>IF($A844="","",IF(AND($F844="Yes",OR($U844="No",$U844="NOT FOUND")),"YES",""))</f>
        <v/>
      </c>
      <c r="AC844" s="66">
        <f>IF($A844="","",TRIM(IF(AND($P844=0,$L844&lt;&gt;"Yes"),"T0-NoSmartcard ","")&amp;IF(AND($J844&lt;&gt;"",$J844&gt;365),"StalePwd ","")&amp;IF($K844="Yes","PwdNeverExpires ","")&amp;IF(AND($S844&lt;&gt;"",$S844&lt;&gt;"None"),"Delegation ","")&amp;IF(AND($Q844=1,$O844="None"),"StaleAdminCount ","")&amp;IF(AND($F844="Yes",$H844=""),"NeverLoggedOn ","")))</f>
        <v/>
      </c>
      <c r="AD844" s="60" t="n"/>
      <c r="AE844" s="61" t="n"/>
      <c r="AF844" s="60" t="n"/>
      <c r="AG844" s="62" t="n"/>
      <c r="AH844" s="62" t="n"/>
      <c r="AI844" s="62" t="n"/>
      <c r="AJ844" s="60" t="n"/>
      <c r="AK844" s="61" t="n"/>
      <c r="AL844" s="63">
        <f>IF($A844="","",IF(AH844="","Not Enrolled",IF(TODAY()&gt;AH844,"Review Overdue",IF(AH844-TODAY()&lt;=30,"Review Due Soon","Active"))))</f>
        <v/>
      </c>
      <c r="AM844" s="63">
        <f>IF($A844="","",IF(AI844="","NOT REVIEWED",IF(TODAY()-AI844&gt;90,"OVERDUE",IF(TODAY()-AI844&gt;76,"Due Soon","Current"))))</f>
        <v/>
      </c>
    </row>
    <row r="845" ht="15" customHeight="1" s="39">
      <c r="A845" s="60" t="n"/>
      <c r="B845" s="60" t="n"/>
      <c r="C845" s="61" t="n"/>
      <c r="D845" s="61" t="n"/>
      <c r="E845" s="60" t="n"/>
      <c r="F845" s="60" t="n"/>
      <c r="G845" s="62" t="n"/>
      <c r="H845" s="62" t="n"/>
      <c r="I845" s="62" t="n"/>
      <c r="J845" s="60" t="n"/>
      <c r="K845" s="60" t="n"/>
      <c r="L845" s="60" t="n"/>
      <c r="M845" s="61" t="n"/>
      <c r="N845" s="60" t="n"/>
      <c r="O845" s="60" t="n"/>
      <c r="P845" s="60" t="n"/>
      <c r="Q845" s="60" t="n"/>
      <c r="R845" s="60" t="n"/>
      <c r="S845" s="60" t="n"/>
      <c r="T845" s="60" t="n"/>
      <c r="U845" s="60" t="n"/>
      <c r="V845" s="60" t="n"/>
      <c r="W845" s="60" t="n"/>
      <c r="X845" s="60" t="n"/>
      <c r="Y845" s="60" t="n"/>
      <c r="Z845" s="61" t="n"/>
      <c r="AA845" s="63">
        <f>IF($H845="","",TODAY()-$H845)</f>
        <v/>
      </c>
      <c r="AB845" s="63">
        <f>IF($A845="","",IF(AND($F845="Yes",OR($U845="No",$U845="NOT FOUND")),"YES",""))</f>
        <v/>
      </c>
      <c r="AC845" s="66">
        <f>IF($A845="","",TRIM(IF(AND($P845=0,$L845&lt;&gt;"Yes"),"T0-NoSmartcard ","")&amp;IF(AND($J845&lt;&gt;"",$J845&gt;365),"StalePwd ","")&amp;IF($K845="Yes","PwdNeverExpires ","")&amp;IF(AND($S845&lt;&gt;"",$S845&lt;&gt;"None"),"Delegation ","")&amp;IF(AND($Q845=1,$O845="None"),"StaleAdminCount ","")&amp;IF(AND($F845="Yes",$H845=""),"NeverLoggedOn ","")))</f>
        <v/>
      </c>
      <c r="AD845" s="60" t="n"/>
      <c r="AE845" s="61" t="n"/>
      <c r="AF845" s="60" t="n"/>
      <c r="AG845" s="62" t="n"/>
      <c r="AH845" s="62" t="n"/>
      <c r="AI845" s="62" t="n"/>
      <c r="AJ845" s="60" t="n"/>
      <c r="AK845" s="61" t="n"/>
      <c r="AL845" s="63">
        <f>IF($A845="","",IF(AH845="","Not Enrolled",IF(TODAY()&gt;AH845,"Review Overdue",IF(AH845-TODAY()&lt;=30,"Review Due Soon","Active"))))</f>
        <v/>
      </c>
      <c r="AM845" s="63">
        <f>IF($A845="","",IF(AI845="","NOT REVIEWED",IF(TODAY()-AI845&gt;90,"OVERDUE",IF(TODAY()-AI845&gt;76,"Due Soon","Current"))))</f>
        <v/>
      </c>
    </row>
    <row r="846" ht="15" customHeight="1" s="39">
      <c r="A846" s="60" t="n"/>
      <c r="B846" s="60" t="n"/>
      <c r="C846" s="61" t="n"/>
      <c r="D846" s="61" t="n"/>
      <c r="E846" s="60" t="n"/>
      <c r="F846" s="60" t="n"/>
      <c r="G846" s="62" t="n"/>
      <c r="H846" s="62" t="n"/>
      <c r="I846" s="62" t="n"/>
      <c r="J846" s="60" t="n"/>
      <c r="K846" s="60" t="n"/>
      <c r="L846" s="60" t="n"/>
      <c r="M846" s="61" t="n"/>
      <c r="N846" s="60" t="n"/>
      <c r="O846" s="60" t="n"/>
      <c r="P846" s="60" t="n"/>
      <c r="Q846" s="60" t="n"/>
      <c r="R846" s="60" t="n"/>
      <c r="S846" s="60" t="n"/>
      <c r="T846" s="60" t="n"/>
      <c r="U846" s="60" t="n"/>
      <c r="V846" s="60" t="n"/>
      <c r="W846" s="60" t="n"/>
      <c r="X846" s="60" t="n"/>
      <c r="Y846" s="60" t="n"/>
      <c r="Z846" s="61" t="n"/>
      <c r="AA846" s="63">
        <f>IF($H846="","",TODAY()-$H846)</f>
        <v/>
      </c>
      <c r="AB846" s="63">
        <f>IF($A846="","",IF(AND($F846="Yes",OR($U846="No",$U846="NOT FOUND")),"YES",""))</f>
        <v/>
      </c>
      <c r="AC846" s="66">
        <f>IF($A846="","",TRIM(IF(AND($P846=0,$L846&lt;&gt;"Yes"),"T0-NoSmartcard ","")&amp;IF(AND($J846&lt;&gt;"",$J846&gt;365),"StalePwd ","")&amp;IF($K846="Yes","PwdNeverExpires ","")&amp;IF(AND($S846&lt;&gt;"",$S846&lt;&gt;"None"),"Delegation ","")&amp;IF(AND($Q846=1,$O846="None"),"StaleAdminCount ","")&amp;IF(AND($F846="Yes",$H846=""),"NeverLoggedOn ","")))</f>
        <v/>
      </c>
      <c r="AD846" s="60" t="n"/>
      <c r="AE846" s="61" t="n"/>
      <c r="AF846" s="60" t="n"/>
      <c r="AG846" s="62" t="n"/>
      <c r="AH846" s="62" t="n"/>
      <c r="AI846" s="62" t="n"/>
      <c r="AJ846" s="60" t="n"/>
      <c r="AK846" s="61" t="n"/>
      <c r="AL846" s="63">
        <f>IF($A846="","",IF(AH846="","Not Enrolled",IF(TODAY()&gt;AH846,"Review Overdue",IF(AH846-TODAY()&lt;=30,"Review Due Soon","Active"))))</f>
        <v/>
      </c>
      <c r="AM846" s="63">
        <f>IF($A846="","",IF(AI846="","NOT REVIEWED",IF(TODAY()-AI846&gt;90,"OVERDUE",IF(TODAY()-AI846&gt;76,"Due Soon","Current"))))</f>
        <v/>
      </c>
    </row>
    <row r="847" ht="15" customHeight="1" s="39">
      <c r="A847" s="60" t="n"/>
      <c r="B847" s="60" t="n"/>
      <c r="C847" s="61" t="n"/>
      <c r="D847" s="61" t="n"/>
      <c r="E847" s="60" t="n"/>
      <c r="F847" s="60" t="n"/>
      <c r="G847" s="62" t="n"/>
      <c r="H847" s="62" t="n"/>
      <c r="I847" s="62" t="n"/>
      <c r="J847" s="60" t="n"/>
      <c r="K847" s="60" t="n"/>
      <c r="L847" s="60" t="n"/>
      <c r="M847" s="61" t="n"/>
      <c r="N847" s="60" t="n"/>
      <c r="O847" s="60" t="n"/>
      <c r="P847" s="60" t="n"/>
      <c r="Q847" s="60" t="n"/>
      <c r="R847" s="60" t="n"/>
      <c r="S847" s="60" t="n"/>
      <c r="T847" s="60" t="n"/>
      <c r="U847" s="60" t="n"/>
      <c r="V847" s="60" t="n"/>
      <c r="W847" s="60" t="n"/>
      <c r="X847" s="60" t="n"/>
      <c r="Y847" s="60" t="n"/>
      <c r="Z847" s="61" t="n"/>
      <c r="AA847" s="63">
        <f>IF($H847="","",TODAY()-$H847)</f>
        <v/>
      </c>
      <c r="AB847" s="63">
        <f>IF($A847="","",IF(AND($F847="Yes",OR($U847="No",$U847="NOT FOUND")),"YES",""))</f>
        <v/>
      </c>
      <c r="AC847" s="66">
        <f>IF($A847="","",TRIM(IF(AND($P847=0,$L847&lt;&gt;"Yes"),"T0-NoSmartcard ","")&amp;IF(AND($J847&lt;&gt;"",$J847&gt;365),"StalePwd ","")&amp;IF($K847="Yes","PwdNeverExpires ","")&amp;IF(AND($S847&lt;&gt;"",$S847&lt;&gt;"None"),"Delegation ","")&amp;IF(AND($Q847=1,$O847="None"),"StaleAdminCount ","")&amp;IF(AND($F847="Yes",$H847=""),"NeverLoggedOn ","")))</f>
        <v/>
      </c>
      <c r="AD847" s="60" t="n"/>
      <c r="AE847" s="61" t="n"/>
      <c r="AF847" s="60" t="n"/>
      <c r="AG847" s="62" t="n"/>
      <c r="AH847" s="62" t="n"/>
      <c r="AI847" s="62" t="n"/>
      <c r="AJ847" s="60" t="n"/>
      <c r="AK847" s="61" t="n"/>
      <c r="AL847" s="63">
        <f>IF($A847="","",IF(AH847="","Not Enrolled",IF(TODAY()&gt;AH847,"Review Overdue",IF(AH847-TODAY()&lt;=30,"Review Due Soon","Active"))))</f>
        <v/>
      </c>
      <c r="AM847" s="63">
        <f>IF($A847="","",IF(AI847="","NOT REVIEWED",IF(TODAY()-AI847&gt;90,"OVERDUE",IF(TODAY()-AI847&gt;76,"Due Soon","Current"))))</f>
        <v/>
      </c>
    </row>
    <row r="848" ht="15" customHeight="1" s="39">
      <c r="A848" s="60" t="n"/>
      <c r="B848" s="60" t="n"/>
      <c r="C848" s="61" t="n"/>
      <c r="D848" s="61" t="n"/>
      <c r="E848" s="60" t="n"/>
      <c r="F848" s="60" t="n"/>
      <c r="G848" s="62" t="n"/>
      <c r="H848" s="62" t="n"/>
      <c r="I848" s="62" t="n"/>
      <c r="J848" s="60" t="n"/>
      <c r="K848" s="60" t="n"/>
      <c r="L848" s="60" t="n"/>
      <c r="M848" s="61" t="n"/>
      <c r="N848" s="60" t="n"/>
      <c r="O848" s="60" t="n"/>
      <c r="P848" s="60" t="n"/>
      <c r="Q848" s="60" t="n"/>
      <c r="R848" s="60" t="n"/>
      <c r="S848" s="60" t="n"/>
      <c r="T848" s="60" t="n"/>
      <c r="U848" s="60" t="n"/>
      <c r="V848" s="60" t="n"/>
      <c r="W848" s="60" t="n"/>
      <c r="X848" s="60" t="n"/>
      <c r="Y848" s="60" t="n"/>
      <c r="Z848" s="61" t="n"/>
      <c r="AA848" s="63">
        <f>IF($H848="","",TODAY()-$H848)</f>
        <v/>
      </c>
      <c r="AB848" s="63">
        <f>IF($A848="","",IF(AND($F848="Yes",OR($U848="No",$U848="NOT FOUND")),"YES",""))</f>
        <v/>
      </c>
      <c r="AC848" s="66">
        <f>IF($A848="","",TRIM(IF(AND($P848=0,$L848&lt;&gt;"Yes"),"T0-NoSmartcard ","")&amp;IF(AND($J848&lt;&gt;"",$J848&gt;365),"StalePwd ","")&amp;IF($K848="Yes","PwdNeverExpires ","")&amp;IF(AND($S848&lt;&gt;"",$S848&lt;&gt;"None"),"Delegation ","")&amp;IF(AND($Q848=1,$O848="None"),"StaleAdminCount ","")&amp;IF(AND($F848="Yes",$H848=""),"NeverLoggedOn ","")))</f>
        <v/>
      </c>
      <c r="AD848" s="60" t="n"/>
      <c r="AE848" s="61" t="n"/>
      <c r="AF848" s="60" t="n"/>
      <c r="AG848" s="62" t="n"/>
      <c r="AH848" s="62" t="n"/>
      <c r="AI848" s="62" t="n"/>
      <c r="AJ848" s="60" t="n"/>
      <c r="AK848" s="61" t="n"/>
      <c r="AL848" s="63">
        <f>IF($A848="","",IF(AH848="","Not Enrolled",IF(TODAY()&gt;AH848,"Review Overdue",IF(AH848-TODAY()&lt;=30,"Review Due Soon","Active"))))</f>
        <v/>
      </c>
      <c r="AM848" s="63">
        <f>IF($A848="","",IF(AI848="","NOT REVIEWED",IF(TODAY()-AI848&gt;90,"OVERDUE",IF(TODAY()-AI848&gt;76,"Due Soon","Current"))))</f>
        <v/>
      </c>
    </row>
    <row r="849" ht="15" customHeight="1" s="39">
      <c r="A849" s="60" t="n"/>
      <c r="B849" s="60" t="n"/>
      <c r="C849" s="61" t="n"/>
      <c r="D849" s="61" t="n"/>
      <c r="E849" s="60" t="n"/>
      <c r="F849" s="60" t="n"/>
      <c r="G849" s="62" t="n"/>
      <c r="H849" s="62" t="n"/>
      <c r="I849" s="62" t="n"/>
      <c r="J849" s="60" t="n"/>
      <c r="K849" s="60" t="n"/>
      <c r="L849" s="60" t="n"/>
      <c r="M849" s="61" t="n"/>
      <c r="N849" s="60" t="n"/>
      <c r="O849" s="60" t="n"/>
      <c r="P849" s="60" t="n"/>
      <c r="Q849" s="60" t="n"/>
      <c r="R849" s="60" t="n"/>
      <c r="S849" s="60" t="n"/>
      <c r="T849" s="60" t="n"/>
      <c r="U849" s="60" t="n"/>
      <c r="V849" s="60" t="n"/>
      <c r="W849" s="60" t="n"/>
      <c r="X849" s="60" t="n"/>
      <c r="Y849" s="60" t="n"/>
      <c r="Z849" s="61" t="n"/>
      <c r="AA849" s="63">
        <f>IF($H849="","",TODAY()-$H849)</f>
        <v/>
      </c>
      <c r="AB849" s="63">
        <f>IF($A849="","",IF(AND($F849="Yes",OR($U849="No",$U849="NOT FOUND")),"YES",""))</f>
        <v/>
      </c>
      <c r="AC849" s="66">
        <f>IF($A849="","",TRIM(IF(AND($P849=0,$L849&lt;&gt;"Yes"),"T0-NoSmartcard ","")&amp;IF(AND($J849&lt;&gt;"",$J849&gt;365),"StalePwd ","")&amp;IF($K849="Yes","PwdNeverExpires ","")&amp;IF(AND($S849&lt;&gt;"",$S849&lt;&gt;"None"),"Delegation ","")&amp;IF(AND($Q849=1,$O849="None"),"StaleAdminCount ","")&amp;IF(AND($F849="Yes",$H849=""),"NeverLoggedOn ","")))</f>
        <v/>
      </c>
      <c r="AD849" s="60" t="n"/>
      <c r="AE849" s="61" t="n"/>
      <c r="AF849" s="60" t="n"/>
      <c r="AG849" s="62" t="n"/>
      <c r="AH849" s="62" t="n"/>
      <c r="AI849" s="62" t="n"/>
      <c r="AJ849" s="60" t="n"/>
      <c r="AK849" s="61" t="n"/>
      <c r="AL849" s="63">
        <f>IF($A849="","",IF(AH849="","Not Enrolled",IF(TODAY()&gt;AH849,"Review Overdue",IF(AH849-TODAY()&lt;=30,"Review Due Soon","Active"))))</f>
        <v/>
      </c>
      <c r="AM849" s="63">
        <f>IF($A849="","",IF(AI849="","NOT REVIEWED",IF(TODAY()-AI849&gt;90,"OVERDUE",IF(TODAY()-AI849&gt;76,"Due Soon","Current"))))</f>
        <v/>
      </c>
    </row>
    <row r="850" ht="15" customHeight="1" s="39">
      <c r="A850" s="60" t="n"/>
      <c r="B850" s="60" t="n"/>
      <c r="C850" s="61" t="n"/>
      <c r="D850" s="61" t="n"/>
      <c r="E850" s="60" t="n"/>
      <c r="F850" s="60" t="n"/>
      <c r="G850" s="62" t="n"/>
      <c r="H850" s="62" t="n"/>
      <c r="I850" s="62" t="n"/>
      <c r="J850" s="60" t="n"/>
      <c r="K850" s="60" t="n"/>
      <c r="L850" s="60" t="n"/>
      <c r="M850" s="61" t="n"/>
      <c r="N850" s="60" t="n"/>
      <c r="O850" s="60" t="n"/>
      <c r="P850" s="60" t="n"/>
      <c r="Q850" s="60" t="n"/>
      <c r="R850" s="60" t="n"/>
      <c r="S850" s="60" t="n"/>
      <c r="T850" s="60" t="n"/>
      <c r="U850" s="60" t="n"/>
      <c r="V850" s="60" t="n"/>
      <c r="W850" s="60" t="n"/>
      <c r="X850" s="60" t="n"/>
      <c r="Y850" s="60" t="n"/>
      <c r="Z850" s="61" t="n"/>
      <c r="AA850" s="63">
        <f>IF($H850="","",TODAY()-$H850)</f>
        <v/>
      </c>
      <c r="AB850" s="63">
        <f>IF($A850="","",IF(AND($F850="Yes",OR($U850="No",$U850="NOT FOUND")),"YES",""))</f>
        <v/>
      </c>
      <c r="AC850" s="66">
        <f>IF($A850="","",TRIM(IF(AND($P850=0,$L850&lt;&gt;"Yes"),"T0-NoSmartcard ","")&amp;IF(AND($J850&lt;&gt;"",$J850&gt;365),"StalePwd ","")&amp;IF($K850="Yes","PwdNeverExpires ","")&amp;IF(AND($S850&lt;&gt;"",$S850&lt;&gt;"None"),"Delegation ","")&amp;IF(AND($Q850=1,$O850="None"),"StaleAdminCount ","")&amp;IF(AND($F850="Yes",$H850=""),"NeverLoggedOn ","")))</f>
        <v/>
      </c>
      <c r="AD850" s="60" t="n"/>
      <c r="AE850" s="61" t="n"/>
      <c r="AF850" s="60" t="n"/>
      <c r="AG850" s="62" t="n"/>
      <c r="AH850" s="62" t="n"/>
      <c r="AI850" s="62" t="n"/>
      <c r="AJ850" s="60" t="n"/>
      <c r="AK850" s="61" t="n"/>
      <c r="AL850" s="63">
        <f>IF($A850="","",IF(AH850="","Not Enrolled",IF(TODAY()&gt;AH850,"Review Overdue",IF(AH850-TODAY()&lt;=30,"Review Due Soon","Active"))))</f>
        <v/>
      </c>
      <c r="AM850" s="63">
        <f>IF($A850="","",IF(AI850="","NOT REVIEWED",IF(TODAY()-AI850&gt;90,"OVERDUE",IF(TODAY()-AI850&gt;76,"Due Soon","Current"))))</f>
        <v/>
      </c>
    </row>
    <row r="851" ht="15" customHeight="1" s="39">
      <c r="A851" s="60" t="n"/>
      <c r="B851" s="60" t="n"/>
      <c r="C851" s="61" t="n"/>
      <c r="D851" s="61" t="n"/>
      <c r="E851" s="60" t="n"/>
      <c r="F851" s="60" t="n"/>
      <c r="G851" s="62" t="n"/>
      <c r="H851" s="62" t="n"/>
      <c r="I851" s="62" t="n"/>
      <c r="J851" s="60" t="n"/>
      <c r="K851" s="60" t="n"/>
      <c r="L851" s="60" t="n"/>
      <c r="M851" s="61" t="n"/>
      <c r="N851" s="60" t="n"/>
      <c r="O851" s="60" t="n"/>
      <c r="P851" s="60" t="n"/>
      <c r="Q851" s="60" t="n"/>
      <c r="R851" s="60" t="n"/>
      <c r="S851" s="60" t="n"/>
      <c r="T851" s="60" t="n"/>
      <c r="U851" s="60" t="n"/>
      <c r="V851" s="60" t="n"/>
      <c r="W851" s="60" t="n"/>
      <c r="X851" s="60" t="n"/>
      <c r="Y851" s="60" t="n"/>
      <c r="Z851" s="61" t="n"/>
      <c r="AA851" s="63">
        <f>IF($H851="","",TODAY()-$H851)</f>
        <v/>
      </c>
      <c r="AB851" s="63">
        <f>IF($A851="","",IF(AND($F851="Yes",OR($U851="No",$U851="NOT FOUND")),"YES",""))</f>
        <v/>
      </c>
      <c r="AC851" s="66">
        <f>IF($A851="","",TRIM(IF(AND($P851=0,$L851&lt;&gt;"Yes"),"T0-NoSmartcard ","")&amp;IF(AND($J851&lt;&gt;"",$J851&gt;365),"StalePwd ","")&amp;IF($K851="Yes","PwdNeverExpires ","")&amp;IF(AND($S851&lt;&gt;"",$S851&lt;&gt;"None"),"Delegation ","")&amp;IF(AND($Q851=1,$O851="None"),"StaleAdminCount ","")&amp;IF(AND($F851="Yes",$H851=""),"NeverLoggedOn ","")))</f>
        <v/>
      </c>
      <c r="AD851" s="60" t="n"/>
      <c r="AE851" s="61" t="n"/>
      <c r="AF851" s="60" t="n"/>
      <c r="AG851" s="62" t="n"/>
      <c r="AH851" s="62" t="n"/>
      <c r="AI851" s="62" t="n"/>
      <c r="AJ851" s="60" t="n"/>
      <c r="AK851" s="61" t="n"/>
      <c r="AL851" s="63">
        <f>IF($A851="","",IF(AH851="","Not Enrolled",IF(TODAY()&gt;AH851,"Review Overdue",IF(AH851-TODAY()&lt;=30,"Review Due Soon","Active"))))</f>
        <v/>
      </c>
      <c r="AM851" s="63">
        <f>IF($A851="","",IF(AI851="","NOT REVIEWED",IF(TODAY()-AI851&gt;90,"OVERDUE",IF(TODAY()-AI851&gt;76,"Due Soon","Current"))))</f>
        <v/>
      </c>
    </row>
    <row r="852" ht="15" customHeight="1" s="39">
      <c r="A852" s="60" t="n"/>
      <c r="B852" s="60" t="n"/>
      <c r="C852" s="61" t="n"/>
      <c r="D852" s="61" t="n"/>
      <c r="E852" s="60" t="n"/>
      <c r="F852" s="60" t="n"/>
      <c r="G852" s="62" t="n"/>
      <c r="H852" s="62" t="n"/>
      <c r="I852" s="62" t="n"/>
      <c r="J852" s="60" t="n"/>
      <c r="K852" s="60" t="n"/>
      <c r="L852" s="60" t="n"/>
      <c r="M852" s="61" t="n"/>
      <c r="N852" s="60" t="n"/>
      <c r="O852" s="60" t="n"/>
      <c r="P852" s="60" t="n"/>
      <c r="Q852" s="60" t="n"/>
      <c r="R852" s="60" t="n"/>
      <c r="S852" s="60" t="n"/>
      <c r="T852" s="60" t="n"/>
      <c r="U852" s="60" t="n"/>
      <c r="V852" s="60" t="n"/>
      <c r="W852" s="60" t="n"/>
      <c r="X852" s="60" t="n"/>
      <c r="Y852" s="60" t="n"/>
      <c r="Z852" s="61" t="n"/>
      <c r="AA852" s="63">
        <f>IF($H852="","",TODAY()-$H852)</f>
        <v/>
      </c>
      <c r="AB852" s="63">
        <f>IF($A852="","",IF(AND($F852="Yes",OR($U852="No",$U852="NOT FOUND")),"YES",""))</f>
        <v/>
      </c>
      <c r="AC852" s="66">
        <f>IF($A852="","",TRIM(IF(AND($P852=0,$L852&lt;&gt;"Yes"),"T0-NoSmartcard ","")&amp;IF(AND($J852&lt;&gt;"",$J852&gt;365),"StalePwd ","")&amp;IF($K852="Yes","PwdNeverExpires ","")&amp;IF(AND($S852&lt;&gt;"",$S852&lt;&gt;"None"),"Delegation ","")&amp;IF(AND($Q852=1,$O852="None"),"StaleAdminCount ","")&amp;IF(AND($F852="Yes",$H852=""),"NeverLoggedOn ","")))</f>
        <v/>
      </c>
      <c r="AD852" s="60" t="n"/>
      <c r="AE852" s="61" t="n"/>
      <c r="AF852" s="60" t="n"/>
      <c r="AG852" s="62" t="n"/>
      <c r="AH852" s="62" t="n"/>
      <c r="AI852" s="62" t="n"/>
      <c r="AJ852" s="60" t="n"/>
      <c r="AK852" s="61" t="n"/>
      <c r="AL852" s="63">
        <f>IF($A852="","",IF(AH852="","Not Enrolled",IF(TODAY()&gt;AH852,"Review Overdue",IF(AH852-TODAY()&lt;=30,"Review Due Soon","Active"))))</f>
        <v/>
      </c>
      <c r="AM852" s="63">
        <f>IF($A852="","",IF(AI852="","NOT REVIEWED",IF(TODAY()-AI852&gt;90,"OVERDUE",IF(TODAY()-AI852&gt;76,"Due Soon","Current"))))</f>
        <v/>
      </c>
    </row>
    <row r="853" ht="15" customHeight="1" s="39">
      <c r="A853" s="60" t="n"/>
      <c r="B853" s="60" t="n"/>
      <c r="C853" s="61" t="n"/>
      <c r="D853" s="61" t="n"/>
      <c r="E853" s="60" t="n"/>
      <c r="F853" s="60" t="n"/>
      <c r="G853" s="62" t="n"/>
      <c r="H853" s="62" t="n"/>
      <c r="I853" s="62" t="n"/>
      <c r="J853" s="60" t="n"/>
      <c r="K853" s="60" t="n"/>
      <c r="L853" s="60" t="n"/>
      <c r="M853" s="61" t="n"/>
      <c r="N853" s="60" t="n"/>
      <c r="O853" s="60" t="n"/>
      <c r="P853" s="60" t="n"/>
      <c r="Q853" s="60" t="n"/>
      <c r="R853" s="60" t="n"/>
      <c r="S853" s="60" t="n"/>
      <c r="T853" s="60" t="n"/>
      <c r="U853" s="60" t="n"/>
      <c r="V853" s="60" t="n"/>
      <c r="W853" s="60" t="n"/>
      <c r="X853" s="60" t="n"/>
      <c r="Y853" s="60" t="n"/>
      <c r="Z853" s="61" t="n"/>
      <c r="AA853" s="63">
        <f>IF($H853="","",TODAY()-$H853)</f>
        <v/>
      </c>
      <c r="AB853" s="63">
        <f>IF($A853="","",IF(AND($F853="Yes",OR($U853="No",$U853="NOT FOUND")),"YES",""))</f>
        <v/>
      </c>
      <c r="AC853" s="66">
        <f>IF($A853="","",TRIM(IF(AND($P853=0,$L853&lt;&gt;"Yes"),"T0-NoSmartcard ","")&amp;IF(AND($J853&lt;&gt;"",$J853&gt;365),"StalePwd ","")&amp;IF($K853="Yes","PwdNeverExpires ","")&amp;IF(AND($S853&lt;&gt;"",$S853&lt;&gt;"None"),"Delegation ","")&amp;IF(AND($Q853=1,$O853="None"),"StaleAdminCount ","")&amp;IF(AND($F853="Yes",$H853=""),"NeverLoggedOn ","")))</f>
        <v/>
      </c>
      <c r="AD853" s="60" t="n"/>
      <c r="AE853" s="61" t="n"/>
      <c r="AF853" s="60" t="n"/>
      <c r="AG853" s="62" t="n"/>
      <c r="AH853" s="62" t="n"/>
      <c r="AI853" s="62" t="n"/>
      <c r="AJ853" s="60" t="n"/>
      <c r="AK853" s="61" t="n"/>
      <c r="AL853" s="63">
        <f>IF($A853="","",IF(AH853="","Not Enrolled",IF(TODAY()&gt;AH853,"Review Overdue",IF(AH853-TODAY()&lt;=30,"Review Due Soon","Active"))))</f>
        <v/>
      </c>
      <c r="AM853" s="63">
        <f>IF($A853="","",IF(AI853="","NOT REVIEWED",IF(TODAY()-AI853&gt;90,"OVERDUE",IF(TODAY()-AI853&gt;76,"Due Soon","Current"))))</f>
        <v/>
      </c>
    </row>
    <row r="854" ht="15" customHeight="1" s="39">
      <c r="A854" s="60" t="n"/>
      <c r="B854" s="60" t="n"/>
      <c r="C854" s="61" t="n"/>
      <c r="D854" s="61" t="n"/>
      <c r="E854" s="60" t="n"/>
      <c r="F854" s="60" t="n"/>
      <c r="G854" s="62" t="n"/>
      <c r="H854" s="62" t="n"/>
      <c r="I854" s="62" t="n"/>
      <c r="J854" s="60" t="n"/>
      <c r="K854" s="60" t="n"/>
      <c r="L854" s="60" t="n"/>
      <c r="M854" s="61" t="n"/>
      <c r="N854" s="60" t="n"/>
      <c r="O854" s="60" t="n"/>
      <c r="P854" s="60" t="n"/>
      <c r="Q854" s="60" t="n"/>
      <c r="R854" s="60" t="n"/>
      <c r="S854" s="60" t="n"/>
      <c r="T854" s="60" t="n"/>
      <c r="U854" s="60" t="n"/>
      <c r="V854" s="60" t="n"/>
      <c r="W854" s="60" t="n"/>
      <c r="X854" s="60" t="n"/>
      <c r="Y854" s="60" t="n"/>
      <c r="Z854" s="61" t="n"/>
      <c r="AA854" s="63">
        <f>IF($H854="","",TODAY()-$H854)</f>
        <v/>
      </c>
      <c r="AB854" s="63">
        <f>IF($A854="","",IF(AND($F854="Yes",OR($U854="No",$U854="NOT FOUND")),"YES",""))</f>
        <v/>
      </c>
      <c r="AC854" s="66">
        <f>IF($A854="","",TRIM(IF(AND($P854=0,$L854&lt;&gt;"Yes"),"T0-NoSmartcard ","")&amp;IF(AND($J854&lt;&gt;"",$J854&gt;365),"StalePwd ","")&amp;IF($K854="Yes","PwdNeverExpires ","")&amp;IF(AND($S854&lt;&gt;"",$S854&lt;&gt;"None"),"Delegation ","")&amp;IF(AND($Q854=1,$O854="None"),"StaleAdminCount ","")&amp;IF(AND($F854="Yes",$H854=""),"NeverLoggedOn ","")))</f>
        <v/>
      </c>
      <c r="AD854" s="60" t="n"/>
      <c r="AE854" s="61" t="n"/>
      <c r="AF854" s="60" t="n"/>
      <c r="AG854" s="62" t="n"/>
      <c r="AH854" s="62" t="n"/>
      <c r="AI854" s="62" t="n"/>
      <c r="AJ854" s="60" t="n"/>
      <c r="AK854" s="61" t="n"/>
      <c r="AL854" s="63">
        <f>IF($A854="","",IF(AH854="","Not Enrolled",IF(TODAY()&gt;AH854,"Review Overdue",IF(AH854-TODAY()&lt;=30,"Review Due Soon","Active"))))</f>
        <v/>
      </c>
      <c r="AM854" s="63">
        <f>IF($A854="","",IF(AI854="","NOT REVIEWED",IF(TODAY()-AI854&gt;90,"OVERDUE",IF(TODAY()-AI854&gt;76,"Due Soon","Current"))))</f>
        <v/>
      </c>
    </row>
    <row r="855" ht="15" customHeight="1" s="39">
      <c r="A855" s="60" t="n"/>
      <c r="B855" s="60" t="n"/>
      <c r="C855" s="61" t="n"/>
      <c r="D855" s="61" t="n"/>
      <c r="E855" s="60" t="n"/>
      <c r="F855" s="60" t="n"/>
      <c r="G855" s="62" t="n"/>
      <c r="H855" s="62" t="n"/>
      <c r="I855" s="62" t="n"/>
      <c r="J855" s="60" t="n"/>
      <c r="K855" s="60" t="n"/>
      <c r="L855" s="60" t="n"/>
      <c r="M855" s="61" t="n"/>
      <c r="N855" s="60" t="n"/>
      <c r="O855" s="60" t="n"/>
      <c r="P855" s="60" t="n"/>
      <c r="Q855" s="60" t="n"/>
      <c r="R855" s="60" t="n"/>
      <c r="S855" s="60" t="n"/>
      <c r="T855" s="60" t="n"/>
      <c r="U855" s="60" t="n"/>
      <c r="V855" s="60" t="n"/>
      <c r="W855" s="60" t="n"/>
      <c r="X855" s="60" t="n"/>
      <c r="Y855" s="60" t="n"/>
      <c r="Z855" s="61" t="n"/>
      <c r="AA855" s="63">
        <f>IF($H855="","",TODAY()-$H855)</f>
        <v/>
      </c>
      <c r="AB855" s="63">
        <f>IF($A855="","",IF(AND($F855="Yes",OR($U855="No",$U855="NOT FOUND")),"YES",""))</f>
        <v/>
      </c>
      <c r="AC855" s="66">
        <f>IF($A855="","",TRIM(IF(AND($P855=0,$L855&lt;&gt;"Yes"),"T0-NoSmartcard ","")&amp;IF(AND($J855&lt;&gt;"",$J855&gt;365),"StalePwd ","")&amp;IF($K855="Yes","PwdNeverExpires ","")&amp;IF(AND($S855&lt;&gt;"",$S855&lt;&gt;"None"),"Delegation ","")&amp;IF(AND($Q855=1,$O855="None"),"StaleAdminCount ","")&amp;IF(AND($F855="Yes",$H855=""),"NeverLoggedOn ","")))</f>
        <v/>
      </c>
      <c r="AD855" s="60" t="n"/>
      <c r="AE855" s="61" t="n"/>
      <c r="AF855" s="60" t="n"/>
      <c r="AG855" s="62" t="n"/>
      <c r="AH855" s="62" t="n"/>
      <c r="AI855" s="62" t="n"/>
      <c r="AJ855" s="60" t="n"/>
      <c r="AK855" s="61" t="n"/>
      <c r="AL855" s="63">
        <f>IF($A855="","",IF(AH855="","Not Enrolled",IF(TODAY()&gt;AH855,"Review Overdue",IF(AH855-TODAY()&lt;=30,"Review Due Soon","Active"))))</f>
        <v/>
      </c>
      <c r="AM855" s="63">
        <f>IF($A855="","",IF(AI855="","NOT REVIEWED",IF(TODAY()-AI855&gt;90,"OVERDUE",IF(TODAY()-AI855&gt;76,"Due Soon","Current"))))</f>
        <v/>
      </c>
    </row>
    <row r="856" ht="15" customHeight="1" s="39">
      <c r="A856" s="60" t="n"/>
      <c r="B856" s="60" t="n"/>
      <c r="C856" s="61" t="n"/>
      <c r="D856" s="61" t="n"/>
      <c r="E856" s="60" t="n"/>
      <c r="F856" s="60" t="n"/>
      <c r="G856" s="62" t="n"/>
      <c r="H856" s="62" t="n"/>
      <c r="I856" s="62" t="n"/>
      <c r="J856" s="60" t="n"/>
      <c r="K856" s="60" t="n"/>
      <c r="L856" s="60" t="n"/>
      <c r="M856" s="61" t="n"/>
      <c r="N856" s="60" t="n"/>
      <c r="O856" s="60" t="n"/>
      <c r="P856" s="60" t="n"/>
      <c r="Q856" s="60" t="n"/>
      <c r="R856" s="60" t="n"/>
      <c r="S856" s="60" t="n"/>
      <c r="T856" s="60" t="n"/>
      <c r="U856" s="60" t="n"/>
      <c r="V856" s="60" t="n"/>
      <c r="W856" s="60" t="n"/>
      <c r="X856" s="60" t="n"/>
      <c r="Y856" s="60" t="n"/>
      <c r="Z856" s="61" t="n"/>
      <c r="AA856" s="63">
        <f>IF($H856="","",TODAY()-$H856)</f>
        <v/>
      </c>
      <c r="AB856" s="63">
        <f>IF($A856="","",IF(AND($F856="Yes",OR($U856="No",$U856="NOT FOUND")),"YES",""))</f>
        <v/>
      </c>
      <c r="AC856" s="66">
        <f>IF($A856="","",TRIM(IF(AND($P856=0,$L856&lt;&gt;"Yes"),"T0-NoSmartcard ","")&amp;IF(AND($J856&lt;&gt;"",$J856&gt;365),"StalePwd ","")&amp;IF($K856="Yes","PwdNeverExpires ","")&amp;IF(AND($S856&lt;&gt;"",$S856&lt;&gt;"None"),"Delegation ","")&amp;IF(AND($Q856=1,$O856="None"),"StaleAdminCount ","")&amp;IF(AND($F856="Yes",$H856=""),"NeverLoggedOn ","")))</f>
        <v/>
      </c>
      <c r="AD856" s="60" t="n"/>
      <c r="AE856" s="61" t="n"/>
      <c r="AF856" s="60" t="n"/>
      <c r="AG856" s="62" t="n"/>
      <c r="AH856" s="62" t="n"/>
      <c r="AI856" s="62" t="n"/>
      <c r="AJ856" s="60" t="n"/>
      <c r="AK856" s="61" t="n"/>
      <c r="AL856" s="63">
        <f>IF($A856="","",IF(AH856="","Not Enrolled",IF(TODAY()&gt;AH856,"Review Overdue",IF(AH856-TODAY()&lt;=30,"Review Due Soon","Active"))))</f>
        <v/>
      </c>
      <c r="AM856" s="63">
        <f>IF($A856="","",IF(AI856="","NOT REVIEWED",IF(TODAY()-AI856&gt;90,"OVERDUE",IF(TODAY()-AI856&gt;76,"Due Soon","Current"))))</f>
        <v/>
      </c>
    </row>
    <row r="857" ht="15" customHeight="1" s="39">
      <c r="A857" s="60" t="n"/>
      <c r="B857" s="60" t="n"/>
      <c r="C857" s="61" t="n"/>
      <c r="D857" s="61" t="n"/>
      <c r="E857" s="60" t="n"/>
      <c r="F857" s="60" t="n"/>
      <c r="G857" s="62" t="n"/>
      <c r="H857" s="62" t="n"/>
      <c r="I857" s="62" t="n"/>
      <c r="J857" s="60" t="n"/>
      <c r="K857" s="60" t="n"/>
      <c r="L857" s="60" t="n"/>
      <c r="M857" s="61" t="n"/>
      <c r="N857" s="60" t="n"/>
      <c r="O857" s="60" t="n"/>
      <c r="P857" s="60" t="n"/>
      <c r="Q857" s="60" t="n"/>
      <c r="R857" s="60" t="n"/>
      <c r="S857" s="60" t="n"/>
      <c r="T857" s="60" t="n"/>
      <c r="U857" s="60" t="n"/>
      <c r="V857" s="60" t="n"/>
      <c r="W857" s="60" t="n"/>
      <c r="X857" s="60" t="n"/>
      <c r="Y857" s="60" t="n"/>
      <c r="Z857" s="61" t="n"/>
      <c r="AA857" s="63">
        <f>IF($H857="","",TODAY()-$H857)</f>
        <v/>
      </c>
      <c r="AB857" s="63">
        <f>IF($A857="","",IF(AND($F857="Yes",OR($U857="No",$U857="NOT FOUND")),"YES",""))</f>
        <v/>
      </c>
      <c r="AC857" s="66">
        <f>IF($A857="","",TRIM(IF(AND($P857=0,$L857&lt;&gt;"Yes"),"T0-NoSmartcard ","")&amp;IF(AND($J857&lt;&gt;"",$J857&gt;365),"StalePwd ","")&amp;IF($K857="Yes","PwdNeverExpires ","")&amp;IF(AND($S857&lt;&gt;"",$S857&lt;&gt;"None"),"Delegation ","")&amp;IF(AND($Q857=1,$O857="None"),"StaleAdminCount ","")&amp;IF(AND($F857="Yes",$H857=""),"NeverLoggedOn ","")))</f>
        <v/>
      </c>
      <c r="AD857" s="60" t="n"/>
      <c r="AE857" s="61" t="n"/>
      <c r="AF857" s="60" t="n"/>
      <c r="AG857" s="62" t="n"/>
      <c r="AH857" s="62" t="n"/>
      <c r="AI857" s="62" t="n"/>
      <c r="AJ857" s="60" t="n"/>
      <c r="AK857" s="61" t="n"/>
      <c r="AL857" s="63">
        <f>IF($A857="","",IF(AH857="","Not Enrolled",IF(TODAY()&gt;AH857,"Review Overdue",IF(AH857-TODAY()&lt;=30,"Review Due Soon","Active"))))</f>
        <v/>
      </c>
      <c r="AM857" s="63">
        <f>IF($A857="","",IF(AI857="","NOT REVIEWED",IF(TODAY()-AI857&gt;90,"OVERDUE",IF(TODAY()-AI857&gt;76,"Due Soon","Current"))))</f>
        <v/>
      </c>
    </row>
    <row r="858" ht="15" customHeight="1" s="39">
      <c r="A858" s="60" t="n"/>
      <c r="B858" s="60" t="n"/>
      <c r="C858" s="61" t="n"/>
      <c r="D858" s="61" t="n"/>
      <c r="E858" s="60" t="n"/>
      <c r="F858" s="60" t="n"/>
      <c r="G858" s="62" t="n"/>
      <c r="H858" s="62" t="n"/>
      <c r="I858" s="62" t="n"/>
      <c r="J858" s="60" t="n"/>
      <c r="K858" s="60" t="n"/>
      <c r="L858" s="60" t="n"/>
      <c r="M858" s="61" t="n"/>
      <c r="N858" s="60" t="n"/>
      <c r="O858" s="60" t="n"/>
      <c r="P858" s="60" t="n"/>
      <c r="Q858" s="60" t="n"/>
      <c r="R858" s="60" t="n"/>
      <c r="S858" s="60" t="n"/>
      <c r="T858" s="60" t="n"/>
      <c r="U858" s="60" t="n"/>
      <c r="V858" s="60" t="n"/>
      <c r="W858" s="60" t="n"/>
      <c r="X858" s="60" t="n"/>
      <c r="Y858" s="60" t="n"/>
      <c r="Z858" s="61" t="n"/>
      <c r="AA858" s="63">
        <f>IF($H858="","",TODAY()-$H858)</f>
        <v/>
      </c>
      <c r="AB858" s="63">
        <f>IF($A858="","",IF(AND($F858="Yes",OR($U858="No",$U858="NOT FOUND")),"YES",""))</f>
        <v/>
      </c>
      <c r="AC858" s="66">
        <f>IF($A858="","",TRIM(IF(AND($P858=0,$L858&lt;&gt;"Yes"),"T0-NoSmartcard ","")&amp;IF(AND($J858&lt;&gt;"",$J858&gt;365),"StalePwd ","")&amp;IF($K858="Yes","PwdNeverExpires ","")&amp;IF(AND($S858&lt;&gt;"",$S858&lt;&gt;"None"),"Delegation ","")&amp;IF(AND($Q858=1,$O858="None"),"StaleAdminCount ","")&amp;IF(AND($F858="Yes",$H858=""),"NeverLoggedOn ","")))</f>
        <v/>
      </c>
      <c r="AD858" s="60" t="n"/>
      <c r="AE858" s="61" t="n"/>
      <c r="AF858" s="60" t="n"/>
      <c r="AG858" s="62" t="n"/>
      <c r="AH858" s="62" t="n"/>
      <c r="AI858" s="62" t="n"/>
      <c r="AJ858" s="60" t="n"/>
      <c r="AK858" s="61" t="n"/>
      <c r="AL858" s="63">
        <f>IF($A858="","",IF(AH858="","Not Enrolled",IF(TODAY()&gt;AH858,"Review Overdue",IF(AH858-TODAY()&lt;=30,"Review Due Soon","Active"))))</f>
        <v/>
      </c>
      <c r="AM858" s="63">
        <f>IF($A858="","",IF(AI858="","NOT REVIEWED",IF(TODAY()-AI858&gt;90,"OVERDUE",IF(TODAY()-AI858&gt;76,"Due Soon","Current"))))</f>
        <v/>
      </c>
    </row>
    <row r="859" ht="15" customHeight="1" s="39">
      <c r="A859" s="60" t="n"/>
      <c r="B859" s="60" t="n"/>
      <c r="C859" s="61" t="n"/>
      <c r="D859" s="61" t="n"/>
      <c r="E859" s="60" t="n"/>
      <c r="F859" s="60" t="n"/>
      <c r="G859" s="62" t="n"/>
      <c r="H859" s="62" t="n"/>
      <c r="I859" s="62" t="n"/>
      <c r="J859" s="60" t="n"/>
      <c r="K859" s="60" t="n"/>
      <c r="L859" s="60" t="n"/>
      <c r="M859" s="61" t="n"/>
      <c r="N859" s="60" t="n"/>
      <c r="O859" s="60" t="n"/>
      <c r="P859" s="60" t="n"/>
      <c r="Q859" s="60" t="n"/>
      <c r="R859" s="60" t="n"/>
      <c r="S859" s="60" t="n"/>
      <c r="T859" s="60" t="n"/>
      <c r="U859" s="60" t="n"/>
      <c r="V859" s="60" t="n"/>
      <c r="W859" s="60" t="n"/>
      <c r="X859" s="60" t="n"/>
      <c r="Y859" s="60" t="n"/>
      <c r="Z859" s="61" t="n"/>
      <c r="AA859" s="63">
        <f>IF($H859="","",TODAY()-$H859)</f>
        <v/>
      </c>
      <c r="AB859" s="63">
        <f>IF($A859="","",IF(AND($F859="Yes",OR($U859="No",$U859="NOT FOUND")),"YES",""))</f>
        <v/>
      </c>
      <c r="AC859" s="66">
        <f>IF($A859="","",TRIM(IF(AND($P859=0,$L859&lt;&gt;"Yes"),"T0-NoSmartcard ","")&amp;IF(AND($J859&lt;&gt;"",$J859&gt;365),"StalePwd ","")&amp;IF($K859="Yes","PwdNeverExpires ","")&amp;IF(AND($S859&lt;&gt;"",$S859&lt;&gt;"None"),"Delegation ","")&amp;IF(AND($Q859=1,$O859="None"),"StaleAdminCount ","")&amp;IF(AND($F859="Yes",$H859=""),"NeverLoggedOn ","")))</f>
        <v/>
      </c>
      <c r="AD859" s="60" t="n"/>
      <c r="AE859" s="61" t="n"/>
      <c r="AF859" s="60" t="n"/>
      <c r="AG859" s="62" t="n"/>
      <c r="AH859" s="62" t="n"/>
      <c r="AI859" s="62" t="n"/>
      <c r="AJ859" s="60" t="n"/>
      <c r="AK859" s="61" t="n"/>
      <c r="AL859" s="63">
        <f>IF($A859="","",IF(AH859="","Not Enrolled",IF(TODAY()&gt;AH859,"Review Overdue",IF(AH859-TODAY()&lt;=30,"Review Due Soon","Active"))))</f>
        <v/>
      </c>
      <c r="AM859" s="63">
        <f>IF($A859="","",IF(AI859="","NOT REVIEWED",IF(TODAY()-AI859&gt;90,"OVERDUE",IF(TODAY()-AI859&gt;76,"Due Soon","Current"))))</f>
        <v/>
      </c>
    </row>
    <row r="860" ht="15" customHeight="1" s="39">
      <c r="A860" s="60" t="n"/>
      <c r="B860" s="60" t="n"/>
      <c r="C860" s="61" t="n"/>
      <c r="D860" s="61" t="n"/>
      <c r="E860" s="60" t="n"/>
      <c r="F860" s="60" t="n"/>
      <c r="G860" s="62" t="n"/>
      <c r="H860" s="62" t="n"/>
      <c r="I860" s="62" t="n"/>
      <c r="J860" s="60" t="n"/>
      <c r="K860" s="60" t="n"/>
      <c r="L860" s="60" t="n"/>
      <c r="M860" s="61" t="n"/>
      <c r="N860" s="60" t="n"/>
      <c r="O860" s="60" t="n"/>
      <c r="P860" s="60" t="n"/>
      <c r="Q860" s="60" t="n"/>
      <c r="R860" s="60" t="n"/>
      <c r="S860" s="60" t="n"/>
      <c r="T860" s="60" t="n"/>
      <c r="U860" s="60" t="n"/>
      <c r="V860" s="60" t="n"/>
      <c r="W860" s="60" t="n"/>
      <c r="X860" s="60" t="n"/>
      <c r="Y860" s="60" t="n"/>
      <c r="Z860" s="61" t="n"/>
      <c r="AA860" s="63">
        <f>IF($H860="","",TODAY()-$H860)</f>
        <v/>
      </c>
      <c r="AB860" s="63">
        <f>IF($A860="","",IF(AND($F860="Yes",OR($U860="No",$U860="NOT FOUND")),"YES",""))</f>
        <v/>
      </c>
      <c r="AC860" s="66">
        <f>IF($A860="","",TRIM(IF(AND($P860=0,$L860&lt;&gt;"Yes"),"T0-NoSmartcard ","")&amp;IF(AND($J860&lt;&gt;"",$J860&gt;365),"StalePwd ","")&amp;IF($K860="Yes","PwdNeverExpires ","")&amp;IF(AND($S860&lt;&gt;"",$S860&lt;&gt;"None"),"Delegation ","")&amp;IF(AND($Q860=1,$O860="None"),"StaleAdminCount ","")&amp;IF(AND($F860="Yes",$H860=""),"NeverLoggedOn ","")))</f>
        <v/>
      </c>
      <c r="AD860" s="60" t="n"/>
      <c r="AE860" s="61" t="n"/>
      <c r="AF860" s="60" t="n"/>
      <c r="AG860" s="62" t="n"/>
      <c r="AH860" s="62" t="n"/>
      <c r="AI860" s="62" t="n"/>
      <c r="AJ860" s="60" t="n"/>
      <c r="AK860" s="61" t="n"/>
      <c r="AL860" s="63">
        <f>IF($A860="","",IF(AH860="","Not Enrolled",IF(TODAY()&gt;AH860,"Review Overdue",IF(AH860-TODAY()&lt;=30,"Review Due Soon","Active"))))</f>
        <v/>
      </c>
      <c r="AM860" s="63">
        <f>IF($A860="","",IF(AI860="","NOT REVIEWED",IF(TODAY()-AI860&gt;90,"OVERDUE",IF(TODAY()-AI860&gt;76,"Due Soon","Current"))))</f>
        <v/>
      </c>
    </row>
    <row r="861" ht="15" customHeight="1" s="39">
      <c r="A861" s="60" t="n"/>
      <c r="B861" s="60" t="n"/>
      <c r="C861" s="61" t="n"/>
      <c r="D861" s="61" t="n"/>
      <c r="E861" s="60" t="n"/>
      <c r="F861" s="60" t="n"/>
      <c r="G861" s="62" t="n"/>
      <c r="H861" s="62" t="n"/>
      <c r="I861" s="62" t="n"/>
      <c r="J861" s="60" t="n"/>
      <c r="K861" s="60" t="n"/>
      <c r="L861" s="60" t="n"/>
      <c r="M861" s="61" t="n"/>
      <c r="N861" s="60" t="n"/>
      <c r="O861" s="60" t="n"/>
      <c r="P861" s="60" t="n"/>
      <c r="Q861" s="60" t="n"/>
      <c r="R861" s="60" t="n"/>
      <c r="S861" s="60" t="n"/>
      <c r="T861" s="60" t="n"/>
      <c r="U861" s="60" t="n"/>
      <c r="V861" s="60" t="n"/>
      <c r="W861" s="60" t="n"/>
      <c r="X861" s="60" t="n"/>
      <c r="Y861" s="60" t="n"/>
      <c r="Z861" s="61" t="n"/>
      <c r="AA861" s="63">
        <f>IF($H861="","",TODAY()-$H861)</f>
        <v/>
      </c>
      <c r="AB861" s="63">
        <f>IF($A861="","",IF(AND($F861="Yes",OR($U861="No",$U861="NOT FOUND")),"YES",""))</f>
        <v/>
      </c>
      <c r="AC861" s="66">
        <f>IF($A861="","",TRIM(IF(AND($P861=0,$L861&lt;&gt;"Yes"),"T0-NoSmartcard ","")&amp;IF(AND($J861&lt;&gt;"",$J861&gt;365),"StalePwd ","")&amp;IF($K861="Yes","PwdNeverExpires ","")&amp;IF(AND($S861&lt;&gt;"",$S861&lt;&gt;"None"),"Delegation ","")&amp;IF(AND($Q861=1,$O861="None"),"StaleAdminCount ","")&amp;IF(AND($F861="Yes",$H861=""),"NeverLoggedOn ","")))</f>
        <v/>
      </c>
      <c r="AD861" s="60" t="n"/>
      <c r="AE861" s="61" t="n"/>
      <c r="AF861" s="60" t="n"/>
      <c r="AG861" s="62" t="n"/>
      <c r="AH861" s="62" t="n"/>
      <c r="AI861" s="62" t="n"/>
      <c r="AJ861" s="60" t="n"/>
      <c r="AK861" s="61" t="n"/>
      <c r="AL861" s="63">
        <f>IF($A861="","",IF(AH861="","Not Enrolled",IF(TODAY()&gt;AH861,"Review Overdue",IF(AH861-TODAY()&lt;=30,"Review Due Soon","Active"))))</f>
        <v/>
      </c>
      <c r="AM861" s="63">
        <f>IF($A861="","",IF(AI861="","NOT REVIEWED",IF(TODAY()-AI861&gt;90,"OVERDUE",IF(TODAY()-AI861&gt;76,"Due Soon","Current"))))</f>
        <v/>
      </c>
    </row>
    <row r="862" ht="15" customHeight="1" s="39">
      <c r="A862" s="60" t="n"/>
      <c r="B862" s="60" t="n"/>
      <c r="C862" s="61" t="n"/>
      <c r="D862" s="61" t="n"/>
      <c r="E862" s="60" t="n"/>
      <c r="F862" s="60" t="n"/>
      <c r="G862" s="62" t="n"/>
      <c r="H862" s="62" t="n"/>
      <c r="I862" s="62" t="n"/>
      <c r="J862" s="60" t="n"/>
      <c r="K862" s="60" t="n"/>
      <c r="L862" s="60" t="n"/>
      <c r="M862" s="61" t="n"/>
      <c r="N862" s="60" t="n"/>
      <c r="O862" s="60" t="n"/>
      <c r="P862" s="60" t="n"/>
      <c r="Q862" s="60" t="n"/>
      <c r="R862" s="60" t="n"/>
      <c r="S862" s="60" t="n"/>
      <c r="T862" s="60" t="n"/>
      <c r="U862" s="60" t="n"/>
      <c r="V862" s="60" t="n"/>
      <c r="W862" s="60" t="n"/>
      <c r="X862" s="60" t="n"/>
      <c r="Y862" s="60" t="n"/>
      <c r="Z862" s="61" t="n"/>
      <c r="AA862" s="63">
        <f>IF($H862="","",TODAY()-$H862)</f>
        <v/>
      </c>
      <c r="AB862" s="63">
        <f>IF($A862="","",IF(AND($F862="Yes",OR($U862="No",$U862="NOT FOUND")),"YES",""))</f>
        <v/>
      </c>
      <c r="AC862" s="66">
        <f>IF($A862="","",TRIM(IF(AND($P862=0,$L862&lt;&gt;"Yes"),"T0-NoSmartcard ","")&amp;IF(AND($J862&lt;&gt;"",$J862&gt;365),"StalePwd ","")&amp;IF($K862="Yes","PwdNeverExpires ","")&amp;IF(AND($S862&lt;&gt;"",$S862&lt;&gt;"None"),"Delegation ","")&amp;IF(AND($Q862=1,$O862="None"),"StaleAdminCount ","")&amp;IF(AND($F862="Yes",$H862=""),"NeverLoggedOn ","")))</f>
        <v/>
      </c>
      <c r="AD862" s="60" t="n"/>
      <c r="AE862" s="61" t="n"/>
      <c r="AF862" s="60" t="n"/>
      <c r="AG862" s="62" t="n"/>
      <c r="AH862" s="62" t="n"/>
      <c r="AI862" s="62" t="n"/>
      <c r="AJ862" s="60" t="n"/>
      <c r="AK862" s="61" t="n"/>
      <c r="AL862" s="63">
        <f>IF($A862="","",IF(AH862="","Not Enrolled",IF(TODAY()&gt;AH862,"Review Overdue",IF(AH862-TODAY()&lt;=30,"Review Due Soon","Active"))))</f>
        <v/>
      </c>
      <c r="AM862" s="63">
        <f>IF($A862="","",IF(AI862="","NOT REVIEWED",IF(TODAY()-AI862&gt;90,"OVERDUE",IF(TODAY()-AI862&gt;76,"Due Soon","Current"))))</f>
        <v/>
      </c>
    </row>
    <row r="863" ht="15" customHeight="1" s="39">
      <c r="A863" s="60" t="n"/>
      <c r="B863" s="60" t="n"/>
      <c r="C863" s="61" t="n"/>
      <c r="D863" s="61" t="n"/>
      <c r="E863" s="60" t="n"/>
      <c r="F863" s="60" t="n"/>
      <c r="G863" s="62" t="n"/>
      <c r="H863" s="62" t="n"/>
      <c r="I863" s="62" t="n"/>
      <c r="J863" s="60" t="n"/>
      <c r="K863" s="60" t="n"/>
      <c r="L863" s="60" t="n"/>
      <c r="M863" s="61" t="n"/>
      <c r="N863" s="60" t="n"/>
      <c r="O863" s="60" t="n"/>
      <c r="P863" s="60" t="n"/>
      <c r="Q863" s="60" t="n"/>
      <c r="R863" s="60" t="n"/>
      <c r="S863" s="60" t="n"/>
      <c r="T863" s="60" t="n"/>
      <c r="U863" s="60" t="n"/>
      <c r="V863" s="60" t="n"/>
      <c r="W863" s="60" t="n"/>
      <c r="X863" s="60" t="n"/>
      <c r="Y863" s="60" t="n"/>
      <c r="Z863" s="61" t="n"/>
      <c r="AA863" s="63">
        <f>IF($H863="","",TODAY()-$H863)</f>
        <v/>
      </c>
      <c r="AB863" s="63">
        <f>IF($A863="","",IF(AND($F863="Yes",OR($U863="No",$U863="NOT FOUND")),"YES",""))</f>
        <v/>
      </c>
      <c r="AC863" s="66">
        <f>IF($A863="","",TRIM(IF(AND($P863=0,$L863&lt;&gt;"Yes"),"T0-NoSmartcard ","")&amp;IF(AND($J863&lt;&gt;"",$J863&gt;365),"StalePwd ","")&amp;IF($K863="Yes","PwdNeverExpires ","")&amp;IF(AND($S863&lt;&gt;"",$S863&lt;&gt;"None"),"Delegation ","")&amp;IF(AND($Q863=1,$O863="None"),"StaleAdminCount ","")&amp;IF(AND($F863="Yes",$H863=""),"NeverLoggedOn ","")))</f>
        <v/>
      </c>
      <c r="AD863" s="60" t="n"/>
      <c r="AE863" s="61" t="n"/>
      <c r="AF863" s="60" t="n"/>
      <c r="AG863" s="62" t="n"/>
      <c r="AH863" s="62" t="n"/>
      <c r="AI863" s="62" t="n"/>
      <c r="AJ863" s="60" t="n"/>
      <c r="AK863" s="61" t="n"/>
      <c r="AL863" s="63">
        <f>IF($A863="","",IF(AH863="","Not Enrolled",IF(TODAY()&gt;AH863,"Review Overdue",IF(AH863-TODAY()&lt;=30,"Review Due Soon","Active"))))</f>
        <v/>
      </c>
      <c r="AM863" s="63">
        <f>IF($A863="","",IF(AI863="","NOT REVIEWED",IF(TODAY()-AI863&gt;90,"OVERDUE",IF(TODAY()-AI863&gt;76,"Due Soon","Current"))))</f>
        <v/>
      </c>
    </row>
    <row r="864" ht="15" customHeight="1" s="39">
      <c r="A864" s="60" t="n"/>
      <c r="B864" s="60" t="n"/>
      <c r="C864" s="61" t="n"/>
      <c r="D864" s="61" t="n"/>
      <c r="E864" s="60" t="n"/>
      <c r="F864" s="60" t="n"/>
      <c r="G864" s="62" t="n"/>
      <c r="H864" s="62" t="n"/>
      <c r="I864" s="62" t="n"/>
      <c r="J864" s="60" t="n"/>
      <c r="K864" s="60" t="n"/>
      <c r="L864" s="60" t="n"/>
      <c r="M864" s="61" t="n"/>
      <c r="N864" s="60" t="n"/>
      <c r="O864" s="60" t="n"/>
      <c r="P864" s="60" t="n"/>
      <c r="Q864" s="60" t="n"/>
      <c r="R864" s="60" t="n"/>
      <c r="S864" s="60" t="n"/>
      <c r="T864" s="60" t="n"/>
      <c r="U864" s="60" t="n"/>
      <c r="V864" s="60" t="n"/>
      <c r="W864" s="60" t="n"/>
      <c r="X864" s="60" t="n"/>
      <c r="Y864" s="60" t="n"/>
      <c r="Z864" s="61" t="n"/>
      <c r="AA864" s="63">
        <f>IF($H864="","",TODAY()-$H864)</f>
        <v/>
      </c>
      <c r="AB864" s="63">
        <f>IF($A864="","",IF(AND($F864="Yes",OR($U864="No",$U864="NOT FOUND")),"YES",""))</f>
        <v/>
      </c>
      <c r="AC864" s="66">
        <f>IF($A864="","",TRIM(IF(AND($P864=0,$L864&lt;&gt;"Yes"),"T0-NoSmartcard ","")&amp;IF(AND($J864&lt;&gt;"",$J864&gt;365),"StalePwd ","")&amp;IF($K864="Yes","PwdNeverExpires ","")&amp;IF(AND($S864&lt;&gt;"",$S864&lt;&gt;"None"),"Delegation ","")&amp;IF(AND($Q864=1,$O864="None"),"StaleAdminCount ","")&amp;IF(AND($F864="Yes",$H864=""),"NeverLoggedOn ","")))</f>
        <v/>
      </c>
      <c r="AD864" s="60" t="n"/>
      <c r="AE864" s="61" t="n"/>
      <c r="AF864" s="60" t="n"/>
      <c r="AG864" s="62" t="n"/>
      <c r="AH864" s="62" t="n"/>
      <c r="AI864" s="62" t="n"/>
      <c r="AJ864" s="60" t="n"/>
      <c r="AK864" s="61" t="n"/>
      <c r="AL864" s="63">
        <f>IF($A864="","",IF(AH864="","Not Enrolled",IF(TODAY()&gt;AH864,"Review Overdue",IF(AH864-TODAY()&lt;=30,"Review Due Soon","Active"))))</f>
        <v/>
      </c>
      <c r="AM864" s="63">
        <f>IF($A864="","",IF(AI864="","NOT REVIEWED",IF(TODAY()-AI864&gt;90,"OVERDUE",IF(TODAY()-AI864&gt;76,"Due Soon","Current"))))</f>
        <v/>
      </c>
    </row>
    <row r="865" ht="15" customHeight="1" s="39">
      <c r="A865" s="60" t="n"/>
      <c r="B865" s="60" t="n"/>
      <c r="C865" s="61" t="n"/>
      <c r="D865" s="61" t="n"/>
      <c r="E865" s="60" t="n"/>
      <c r="F865" s="60" t="n"/>
      <c r="G865" s="62" t="n"/>
      <c r="H865" s="62" t="n"/>
      <c r="I865" s="62" t="n"/>
      <c r="J865" s="60" t="n"/>
      <c r="K865" s="60" t="n"/>
      <c r="L865" s="60" t="n"/>
      <c r="M865" s="61" t="n"/>
      <c r="N865" s="60" t="n"/>
      <c r="O865" s="60" t="n"/>
      <c r="P865" s="60" t="n"/>
      <c r="Q865" s="60" t="n"/>
      <c r="R865" s="60" t="n"/>
      <c r="S865" s="60" t="n"/>
      <c r="T865" s="60" t="n"/>
      <c r="U865" s="60" t="n"/>
      <c r="V865" s="60" t="n"/>
      <c r="W865" s="60" t="n"/>
      <c r="X865" s="60" t="n"/>
      <c r="Y865" s="60" t="n"/>
      <c r="Z865" s="61" t="n"/>
      <c r="AA865" s="63">
        <f>IF($H865="","",TODAY()-$H865)</f>
        <v/>
      </c>
      <c r="AB865" s="63">
        <f>IF($A865="","",IF(AND($F865="Yes",OR($U865="No",$U865="NOT FOUND")),"YES",""))</f>
        <v/>
      </c>
      <c r="AC865" s="66">
        <f>IF($A865="","",TRIM(IF(AND($P865=0,$L865&lt;&gt;"Yes"),"T0-NoSmartcard ","")&amp;IF(AND($J865&lt;&gt;"",$J865&gt;365),"StalePwd ","")&amp;IF($K865="Yes","PwdNeverExpires ","")&amp;IF(AND($S865&lt;&gt;"",$S865&lt;&gt;"None"),"Delegation ","")&amp;IF(AND($Q865=1,$O865="None"),"StaleAdminCount ","")&amp;IF(AND($F865="Yes",$H865=""),"NeverLoggedOn ","")))</f>
        <v/>
      </c>
      <c r="AD865" s="60" t="n"/>
      <c r="AE865" s="61" t="n"/>
      <c r="AF865" s="60" t="n"/>
      <c r="AG865" s="62" t="n"/>
      <c r="AH865" s="62" t="n"/>
      <c r="AI865" s="62" t="n"/>
      <c r="AJ865" s="60" t="n"/>
      <c r="AK865" s="61" t="n"/>
      <c r="AL865" s="63">
        <f>IF($A865="","",IF(AH865="","Not Enrolled",IF(TODAY()&gt;AH865,"Review Overdue",IF(AH865-TODAY()&lt;=30,"Review Due Soon","Active"))))</f>
        <v/>
      </c>
      <c r="AM865" s="63">
        <f>IF($A865="","",IF(AI865="","NOT REVIEWED",IF(TODAY()-AI865&gt;90,"OVERDUE",IF(TODAY()-AI865&gt;76,"Due Soon","Current"))))</f>
        <v/>
      </c>
    </row>
    <row r="866" ht="15" customHeight="1" s="39">
      <c r="A866" s="60" t="n"/>
      <c r="B866" s="60" t="n"/>
      <c r="C866" s="61" t="n"/>
      <c r="D866" s="61" t="n"/>
      <c r="E866" s="60" t="n"/>
      <c r="F866" s="60" t="n"/>
      <c r="G866" s="62" t="n"/>
      <c r="H866" s="62" t="n"/>
      <c r="I866" s="62" t="n"/>
      <c r="J866" s="60" t="n"/>
      <c r="K866" s="60" t="n"/>
      <c r="L866" s="60" t="n"/>
      <c r="M866" s="61" t="n"/>
      <c r="N866" s="60" t="n"/>
      <c r="O866" s="60" t="n"/>
      <c r="P866" s="60" t="n"/>
      <c r="Q866" s="60" t="n"/>
      <c r="R866" s="60" t="n"/>
      <c r="S866" s="60" t="n"/>
      <c r="T866" s="60" t="n"/>
      <c r="U866" s="60" t="n"/>
      <c r="V866" s="60" t="n"/>
      <c r="W866" s="60" t="n"/>
      <c r="X866" s="60" t="n"/>
      <c r="Y866" s="60" t="n"/>
      <c r="Z866" s="61" t="n"/>
      <c r="AA866" s="63">
        <f>IF($H866="","",TODAY()-$H866)</f>
        <v/>
      </c>
      <c r="AB866" s="63">
        <f>IF($A866="","",IF(AND($F866="Yes",OR($U866="No",$U866="NOT FOUND")),"YES",""))</f>
        <v/>
      </c>
      <c r="AC866" s="66">
        <f>IF($A866="","",TRIM(IF(AND($P866=0,$L866&lt;&gt;"Yes"),"T0-NoSmartcard ","")&amp;IF(AND($J866&lt;&gt;"",$J866&gt;365),"StalePwd ","")&amp;IF($K866="Yes","PwdNeverExpires ","")&amp;IF(AND($S866&lt;&gt;"",$S866&lt;&gt;"None"),"Delegation ","")&amp;IF(AND($Q866=1,$O866="None"),"StaleAdminCount ","")&amp;IF(AND($F866="Yes",$H866=""),"NeverLoggedOn ","")))</f>
        <v/>
      </c>
      <c r="AD866" s="60" t="n"/>
      <c r="AE866" s="61" t="n"/>
      <c r="AF866" s="60" t="n"/>
      <c r="AG866" s="62" t="n"/>
      <c r="AH866" s="62" t="n"/>
      <c r="AI866" s="62" t="n"/>
      <c r="AJ866" s="60" t="n"/>
      <c r="AK866" s="61" t="n"/>
      <c r="AL866" s="63">
        <f>IF($A866="","",IF(AH866="","Not Enrolled",IF(TODAY()&gt;AH866,"Review Overdue",IF(AH866-TODAY()&lt;=30,"Review Due Soon","Active"))))</f>
        <v/>
      </c>
      <c r="AM866" s="63">
        <f>IF($A866="","",IF(AI866="","NOT REVIEWED",IF(TODAY()-AI866&gt;90,"OVERDUE",IF(TODAY()-AI866&gt;76,"Due Soon","Current"))))</f>
        <v/>
      </c>
    </row>
    <row r="867" ht="15" customHeight="1" s="39">
      <c r="A867" s="60" t="n"/>
      <c r="B867" s="60" t="n"/>
      <c r="C867" s="61" t="n"/>
      <c r="D867" s="61" t="n"/>
      <c r="E867" s="60" t="n"/>
      <c r="F867" s="60" t="n"/>
      <c r="G867" s="62" t="n"/>
      <c r="H867" s="62" t="n"/>
      <c r="I867" s="62" t="n"/>
      <c r="J867" s="60" t="n"/>
      <c r="K867" s="60" t="n"/>
      <c r="L867" s="60" t="n"/>
      <c r="M867" s="61" t="n"/>
      <c r="N867" s="60" t="n"/>
      <c r="O867" s="60" t="n"/>
      <c r="P867" s="60" t="n"/>
      <c r="Q867" s="60" t="n"/>
      <c r="R867" s="60" t="n"/>
      <c r="S867" s="60" t="n"/>
      <c r="T867" s="60" t="n"/>
      <c r="U867" s="60" t="n"/>
      <c r="V867" s="60" t="n"/>
      <c r="W867" s="60" t="n"/>
      <c r="X867" s="60" t="n"/>
      <c r="Y867" s="60" t="n"/>
      <c r="Z867" s="61" t="n"/>
      <c r="AA867" s="63">
        <f>IF($H867="","",TODAY()-$H867)</f>
        <v/>
      </c>
      <c r="AB867" s="63">
        <f>IF($A867="","",IF(AND($F867="Yes",OR($U867="No",$U867="NOT FOUND")),"YES",""))</f>
        <v/>
      </c>
      <c r="AC867" s="66">
        <f>IF($A867="","",TRIM(IF(AND($P867=0,$L867&lt;&gt;"Yes"),"T0-NoSmartcard ","")&amp;IF(AND($J867&lt;&gt;"",$J867&gt;365),"StalePwd ","")&amp;IF($K867="Yes","PwdNeverExpires ","")&amp;IF(AND($S867&lt;&gt;"",$S867&lt;&gt;"None"),"Delegation ","")&amp;IF(AND($Q867=1,$O867="None"),"StaleAdminCount ","")&amp;IF(AND($F867="Yes",$H867=""),"NeverLoggedOn ","")))</f>
        <v/>
      </c>
      <c r="AD867" s="60" t="n"/>
      <c r="AE867" s="61" t="n"/>
      <c r="AF867" s="60" t="n"/>
      <c r="AG867" s="62" t="n"/>
      <c r="AH867" s="62" t="n"/>
      <c r="AI867" s="62" t="n"/>
      <c r="AJ867" s="60" t="n"/>
      <c r="AK867" s="61" t="n"/>
      <c r="AL867" s="63">
        <f>IF($A867="","",IF(AH867="","Not Enrolled",IF(TODAY()&gt;AH867,"Review Overdue",IF(AH867-TODAY()&lt;=30,"Review Due Soon","Active"))))</f>
        <v/>
      </c>
      <c r="AM867" s="63">
        <f>IF($A867="","",IF(AI867="","NOT REVIEWED",IF(TODAY()-AI867&gt;90,"OVERDUE",IF(TODAY()-AI867&gt;76,"Due Soon","Current"))))</f>
        <v/>
      </c>
    </row>
    <row r="868" ht="15" customHeight="1" s="39">
      <c r="A868" s="60" t="n"/>
      <c r="B868" s="60" t="n"/>
      <c r="C868" s="61" t="n"/>
      <c r="D868" s="61" t="n"/>
      <c r="E868" s="60" t="n"/>
      <c r="F868" s="60" t="n"/>
      <c r="G868" s="62" t="n"/>
      <c r="H868" s="62" t="n"/>
      <c r="I868" s="62" t="n"/>
      <c r="J868" s="60" t="n"/>
      <c r="K868" s="60" t="n"/>
      <c r="L868" s="60" t="n"/>
      <c r="M868" s="61" t="n"/>
      <c r="N868" s="60" t="n"/>
      <c r="O868" s="60" t="n"/>
      <c r="P868" s="60" t="n"/>
      <c r="Q868" s="60" t="n"/>
      <c r="R868" s="60" t="n"/>
      <c r="S868" s="60" t="n"/>
      <c r="T868" s="60" t="n"/>
      <c r="U868" s="60" t="n"/>
      <c r="V868" s="60" t="n"/>
      <c r="W868" s="60" t="n"/>
      <c r="X868" s="60" t="n"/>
      <c r="Y868" s="60" t="n"/>
      <c r="Z868" s="61" t="n"/>
      <c r="AA868" s="63">
        <f>IF($H868="","",TODAY()-$H868)</f>
        <v/>
      </c>
      <c r="AB868" s="63">
        <f>IF($A868="","",IF(AND($F868="Yes",OR($U868="No",$U868="NOT FOUND")),"YES",""))</f>
        <v/>
      </c>
      <c r="AC868" s="66">
        <f>IF($A868="","",TRIM(IF(AND($P868=0,$L868&lt;&gt;"Yes"),"T0-NoSmartcard ","")&amp;IF(AND($J868&lt;&gt;"",$J868&gt;365),"StalePwd ","")&amp;IF($K868="Yes","PwdNeverExpires ","")&amp;IF(AND($S868&lt;&gt;"",$S868&lt;&gt;"None"),"Delegation ","")&amp;IF(AND($Q868=1,$O868="None"),"StaleAdminCount ","")&amp;IF(AND($F868="Yes",$H868=""),"NeverLoggedOn ","")))</f>
        <v/>
      </c>
      <c r="AD868" s="60" t="n"/>
      <c r="AE868" s="61" t="n"/>
      <c r="AF868" s="60" t="n"/>
      <c r="AG868" s="62" t="n"/>
      <c r="AH868" s="62" t="n"/>
      <c r="AI868" s="62" t="n"/>
      <c r="AJ868" s="60" t="n"/>
      <c r="AK868" s="61" t="n"/>
      <c r="AL868" s="63">
        <f>IF($A868="","",IF(AH868="","Not Enrolled",IF(TODAY()&gt;AH868,"Review Overdue",IF(AH868-TODAY()&lt;=30,"Review Due Soon","Active"))))</f>
        <v/>
      </c>
      <c r="AM868" s="63">
        <f>IF($A868="","",IF(AI868="","NOT REVIEWED",IF(TODAY()-AI868&gt;90,"OVERDUE",IF(TODAY()-AI868&gt;76,"Due Soon","Current"))))</f>
        <v/>
      </c>
    </row>
    <row r="869" ht="15" customHeight="1" s="39">
      <c r="A869" s="60" t="n"/>
      <c r="B869" s="60" t="n"/>
      <c r="C869" s="61" t="n"/>
      <c r="D869" s="61" t="n"/>
      <c r="E869" s="60" t="n"/>
      <c r="F869" s="60" t="n"/>
      <c r="G869" s="62" t="n"/>
      <c r="H869" s="62" t="n"/>
      <c r="I869" s="62" t="n"/>
      <c r="J869" s="60" t="n"/>
      <c r="K869" s="60" t="n"/>
      <c r="L869" s="60" t="n"/>
      <c r="M869" s="61" t="n"/>
      <c r="N869" s="60" t="n"/>
      <c r="O869" s="60" t="n"/>
      <c r="P869" s="60" t="n"/>
      <c r="Q869" s="60" t="n"/>
      <c r="R869" s="60" t="n"/>
      <c r="S869" s="60" t="n"/>
      <c r="T869" s="60" t="n"/>
      <c r="U869" s="60" t="n"/>
      <c r="V869" s="60" t="n"/>
      <c r="W869" s="60" t="n"/>
      <c r="X869" s="60" t="n"/>
      <c r="Y869" s="60" t="n"/>
      <c r="Z869" s="61" t="n"/>
      <c r="AA869" s="63">
        <f>IF($H869="","",TODAY()-$H869)</f>
        <v/>
      </c>
      <c r="AB869" s="63">
        <f>IF($A869="","",IF(AND($F869="Yes",OR($U869="No",$U869="NOT FOUND")),"YES",""))</f>
        <v/>
      </c>
      <c r="AC869" s="66">
        <f>IF($A869="","",TRIM(IF(AND($P869=0,$L869&lt;&gt;"Yes"),"T0-NoSmartcard ","")&amp;IF(AND($J869&lt;&gt;"",$J869&gt;365),"StalePwd ","")&amp;IF($K869="Yes","PwdNeverExpires ","")&amp;IF(AND($S869&lt;&gt;"",$S869&lt;&gt;"None"),"Delegation ","")&amp;IF(AND($Q869=1,$O869="None"),"StaleAdminCount ","")&amp;IF(AND($F869="Yes",$H869=""),"NeverLoggedOn ","")))</f>
        <v/>
      </c>
      <c r="AD869" s="60" t="n"/>
      <c r="AE869" s="61" t="n"/>
      <c r="AF869" s="60" t="n"/>
      <c r="AG869" s="62" t="n"/>
      <c r="AH869" s="62" t="n"/>
      <c r="AI869" s="62" t="n"/>
      <c r="AJ869" s="60" t="n"/>
      <c r="AK869" s="61" t="n"/>
      <c r="AL869" s="63">
        <f>IF($A869="","",IF(AH869="","Not Enrolled",IF(TODAY()&gt;AH869,"Review Overdue",IF(AH869-TODAY()&lt;=30,"Review Due Soon","Active"))))</f>
        <v/>
      </c>
      <c r="AM869" s="63">
        <f>IF($A869="","",IF(AI869="","NOT REVIEWED",IF(TODAY()-AI869&gt;90,"OVERDUE",IF(TODAY()-AI869&gt;76,"Due Soon","Current"))))</f>
        <v/>
      </c>
    </row>
    <row r="870" ht="15" customHeight="1" s="39">
      <c r="A870" s="60" t="n"/>
      <c r="B870" s="60" t="n"/>
      <c r="C870" s="61" t="n"/>
      <c r="D870" s="61" t="n"/>
      <c r="E870" s="60" t="n"/>
      <c r="F870" s="60" t="n"/>
      <c r="G870" s="62" t="n"/>
      <c r="H870" s="62" t="n"/>
      <c r="I870" s="62" t="n"/>
      <c r="J870" s="60" t="n"/>
      <c r="K870" s="60" t="n"/>
      <c r="L870" s="60" t="n"/>
      <c r="M870" s="61" t="n"/>
      <c r="N870" s="60" t="n"/>
      <c r="O870" s="60" t="n"/>
      <c r="P870" s="60" t="n"/>
      <c r="Q870" s="60" t="n"/>
      <c r="R870" s="60" t="n"/>
      <c r="S870" s="60" t="n"/>
      <c r="T870" s="60" t="n"/>
      <c r="U870" s="60" t="n"/>
      <c r="V870" s="60" t="n"/>
      <c r="W870" s="60" t="n"/>
      <c r="X870" s="60" t="n"/>
      <c r="Y870" s="60" t="n"/>
      <c r="Z870" s="61" t="n"/>
      <c r="AA870" s="63">
        <f>IF($H870="","",TODAY()-$H870)</f>
        <v/>
      </c>
      <c r="AB870" s="63">
        <f>IF($A870="","",IF(AND($F870="Yes",OR($U870="No",$U870="NOT FOUND")),"YES",""))</f>
        <v/>
      </c>
      <c r="AC870" s="66">
        <f>IF($A870="","",TRIM(IF(AND($P870=0,$L870&lt;&gt;"Yes"),"T0-NoSmartcard ","")&amp;IF(AND($J870&lt;&gt;"",$J870&gt;365),"StalePwd ","")&amp;IF($K870="Yes","PwdNeverExpires ","")&amp;IF(AND($S870&lt;&gt;"",$S870&lt;&gt;"None"),"Delegation ","")&amp;IF(AND($Q870=1,$O870="None"),"StaleAdminCount ","")&amp;IF(AND($F870="Yes",$H870=""),"NeverLoggedOn ","")))</f>
        <v/>
      </c>
      <c r="AD870" s="60" t="n"/>
      <c r="AE870" s="61" t="n"/>
      <c r="AF870" s="60" t="n"/>
      <c r="AG870" s="62" t="n"/>
      <c r="AH870" s="62" t="n"/>
      <c r="AI870" s="62" t="n"/>
      <c r="AJ870" s="60" t="n"/>
      <c r="AK870" s="61" t="n"/>
      <c r="AL870" s="63">
        <f>IF($A870="","",IF(AH870="","Not Enrolled",IF(TODAY()&gt;AH870,"Review Overdue",IF(AH870-TODAY()&lt;=30,"Review Due Soon","Active"))))</f>
        <v/>
      </c>
      <c r="AM870" s="63">
        <f>IF($A870="","",IF(AI870="","NOT REVIEWED",IF(TODAY()-AI870&gt;90,"OVERDUE",IF(TODAY()-AI870&gt;76,"Due Soon","Current"))))</f>
        <v/>
      </c>
    </row>
    <row r="871" ht="15" customHeight="1" s="39">
      <c r="A871" s="60" t="n"/>
      <c r="B871" s="60" t="n"/>
      <c r="C871" s="61" t="n"/>
      <c r="D871" s="61" t="n"/>
      <c r="E871" s="60" t="n"/>
      <c r="F871" s="60" t="n"/>
      <c r="G871" s="62" t="n"/>
      <c r="H871" s="62" t="n"/>
      <c r="I871" s="62" t="n"/>
      <c r="J871" s="60" t="n"/>
      <c r="K871" s="60" t="n"/>
      <c r="L871" s="60" t="n"/>
      <c r="M871" s="61" t="n"/>
      <c r="N871" s="60" t="n"/>
      <c r="O871" s="60" t="n"/>
      <c r="P871" s="60" t="n"/>
      <c r="Q871" s="60" t="n"/>
      <c r="R871" s="60" t="n"/>
      <c r="S871" s="60" t="n"/>
      <c r="T871" s="60" t="n"/>
      <c r="U871" s="60" t="n"/>
      <c r="V871" s="60" t="n"/>
      <c r="W871" s="60" t="n"/>
      <c r="X871" s="60" t="n"/>
      <c r="Y871" s="60" t="n"/>
      <c r="Z871" s="61" t="n"/>
      <c r="AA871" s="63">
        <f>IF($H871="","",TODAY()-$H871)</f>
        <v/>
      </c>
      <c r="AB871" s="63">
        <f>IF($A871="","",IF(AND($F871="Yes",OR($U871="No",$U871="NOT FOUND")),"YES",""))</f>
        <v/>
      </c>
      <c r="AC871" s="66">
        <f>IF($A871="","",TRIM(IF(AND($P871=0,$L871&lt;&gt;"Yes"),"T0-NoSmartcard ","")&amp;IF(AND($J871&lt;&gt;"",$J871&gt;365),"StalePwd ","")&amp;IF($K871="Yes","PwdNeverExpires ","")&amp;IF(AND($S871&lt;&gt;"",$S871&lt;&gt;"None"),"Delegation ","")&amp;IF(AND($Q871=1,$O871="None"),"StaleAdminCount ","")&amp;IF(AND($F871="Yes",$H871=""),"NeverLoggedOn ","")))</f>
        <v/>
      </c>
      <c r="AD871" s="60" t="n"/>
      <c r="AE871" s="61" t="n"/>
      <c r="AF871" s="60" t="n"/>
      <c r="AG871" s="62" t="n"/>
      <c r="AH871" s="62" t="n"/>
      <c r="AI871" s="62" t="n"/>
      <c r="AJ871" s="60" t="n"/>
      <c r="AK871" s="61" t="n"/>
      <c r="AL871" s="63">
        <f>IF($A871="","",IF(AH871="","Not Enrolled",IF(TODAY()&gt;AH871,"Review Overdue",IF(AH871-TODAY()&lt;=30,"Review Due Soon","Active"))))</f>
        <v/>
      </c>
      <c r="AM871" s="63">
        <f>IF($A871="","",IF(AI871="","NOT REVIEWED",IF(TODAY()-AI871&gt;90,"OVERDUE",IF(TODAY()-AI871&gt;76,"Due Soon","Current"))))</f>
        <v/>
      </c>
    </row>
    <row r="872" ht="15" customHeight="1" s="39">
      <c r="A872" s="60" t="n"/>
      <c r="B872" s="60" t="n"/>
      <c r="C872" s="61" t="n"/>
      <c r="D872" s="61" t="n"/>
      <c r="E872" s="60" t="n"/>
      <c r="F872" s="60" t="n"/>
      <c r="G872" s="62" t="n"/>
      <c r="H872" s="62" t="n"/>
      <c r="I872" s="62" t="n"/>
      <c r="J872" s="60" t="n"/>
      <c r="K872" s="60" t="n"/>
      <c r="L872" s="60" t="n"/>
      <c r="M872" s="61" t="n"/>
      <c r="N872" s="60" t="n"/>
      <c r="O872" s="60" t="n"/>
      <c r="P872" s="60" t="n"/>
      <c r="Q872" s="60" t="n"/>
      <c r="R872" s="60" t="n"/>
      <c r="S872" s="60" t="n"/>
      <c r="T872" s="60" t="n"/>
      <c r="U872" s="60" t="n"/>
      <c r="V872" s="60" t="n"/>
      <c r="W872" s="60" t="n"/>
      <c r="X872" s="60" t="n"/>
      <c r="Y872" s="60" t="n"/>
      <c r="Z872" s="61" t="n"/>
      <c r="AA872" s="63">
        <f>IF($H872="","",TODAY()-$H872)</f>
        <v/>
      </c>
      <c r="AB872" s="63">
        <f>IF($A872="","",IF(AND($F872="Yes",OR($U872="No",$U872="NOT FOUND")),"YES",""))</f>
        <v/>
      </c>
      <c r="AC872" s="66">
        <f>IF($A872="","",TRIM(IF(AND($P872=0,$L872&lt;&gt;"Yes"),"T0-NoSmartcard ","")&amp;IF(AND($J872&lt;&gt;"",$J872&gt;365),"StalePwd ","")&amp;IF($K872="Yes","PwdNeverExpires ","")&amp;IF(AND($S872&lt;&gt;"",$S872&lt;&gt;"None"),"Delegation ","")&amp;IF(AND($Q872=1,$O872="None"),"StaleAdminCount ","")&amp;IF(AND($F872="Yes",$H872=""),"NeverLoggedOn ","")))</f>
        <v/>
      </c>
      <c r="AD872" s="60" t="n"/>
      <c r="AE872" s="61" t="n"/>
      <c r="AF872" s="60" t="n"/>
      <c r="AG872" s="62" t="n"/>
      <c r="AH872" s="62" t="n"/>
      <c r="AI872" s="62" t="n"/>
      <c r="AJ872" s="60" t="n"/>
      <c r="AK872" s="61" t="n"/>
      <c r="AL872" s="63">
        <f>IF($A872="","",IF(AH872="","Not Enrolled",IF(TODAY()&gt;AH872,"Review Overdue",IF(AH872-TODAY()&lt;=30,"Review Due Soon","Active"))))</f>
        <v/>
      </c>
      <c r="AM872" s="63">
        <f>IF($A872="","",IF(AI872="","NOT REVIEWED",IF(TODAY()-AI872&gt;90,"OVERDUE",IF(TODAY()-AI872&gt;76,"Due Soon","Current"))))</f>
        <v/>
      </c>
    </row>
    <row r="873" ht="15" customHeight="1" s="39">
      <c r="A873" s="60" t="n"/>
      <c r="B873" s="60" t="n"/>
      <c r="C873" s="61" t="n"/>
      <c r="D873" s="61" t="n"/>
      <c r="E873" s="60" t="n"/>
      <c r="F873" s="60" t="n"/>
      <c r="G873" s="62" t="n"/>
      <c r="H873" s="62" t="n"/>
      <c r="I873" s="62" t="n"/>
      <c r="J873" s="60" t="n"/>
      <c r="K873" s="60" t="n"/>
      <c r="L873" s="60" t="n"/>
      <c r="M873" s="61" t="n"/>
      <c r="N873" s="60" t="n"/>
      <c r="O873" s="60" t="n"/>
      <c r="P873" s="60" t="n"/>
      <c r="Q873" s="60" t="n"/>
      <c r="R873" s="60" t="n"/>
      <c r="S873" s="60" t="n"/>
      <c r="T873" s="60" t="n"/>
      <c r="U873" s="60" t="n"/>
      <c r="V873" s="60" t="n"/>
      <c r="W873" s="60" t="n"/>
      <c r="X873" s="60" t="n"/>
      <c r="Y873" s="60" t="n"/>
      <c r="Z873" s="61" t="n"/>
      <c r="AA873" s="63">
        <f>IF($H873="","",TODAY()-$H873)</f>
        <v/>
      </c>
      <c r="AB873" s="63">
        <f>IF($A873="","",IF(AND($F873="Yes",OR($U873="No",$U873="NOT FOUND")),"YES",""))</f>
        <v/>
      </c>
      <c r="AC873" s="66">
        <f>IF($A873="","",TRIM(IF(AND($P873=0,$L873&lt;&gt;"Yes"),"T0-NoSmartcard ","")&amp;IF(AND($J873&lt;&gt;"",$J873&gt;365),"StalePwd ","")&amp;IF($K873="Yes","PwdNeverExpires ","")&amp;IF(AND($S873&lt;&gt;"",$S873&lt;&gt;"None"),"Delegation ","")&amp;IF(AND($Q873=1,$O873="None"),"StaleAdminCount ","")&amp;IF(AND($F873="Yes",$H873=""),"NeverLoggedOn ","")))</f>
        <v/>
      </c>
      <c r="AD873" s="60" t="n"/>
      <c r="AE873" s="61" t="n"/>
      <c r="AF873" s="60" t="n"/>
      <c r="AG873" s="62" t="n"/>
      <c r="AH873" s="62" t="n"/>
      <c r="AI873" s="62" t="n"/>
      <c r="AJ873" s="60" t="n"/>
      <c r="AK873" s="61" t="n"/>
      <c r="AL873" s="63">
        <f>IF($A873="","",IF(AH873="","Not Enrolled",IF(TODAY()&gt;AH873,"Review Overdue",IF(AH873-TODAY()&lt;=30,"Review Due Soon","Active"))))</f>
        <v/>
      </c>
      <c r="AM873" s="63">
        <f>IF($A873="","",IF(AI873="","NOT REVIEWED",IF(TODAY()-AI873&gt;90,"OVERDUE",IF(TODAY()-AI873&gt;76,"Due Soon","Current"))))</f>
        <v/>
      </c>
    </row>
    <row r="874" ht="15" customHeight="1" s="39">
      <c r="A874" s="60" t="n"/>
      <c r="B874" s="60" t="n"/>
      <c r="C874" s="61" t="n"/>
      <c r="D874" s="61" t="n"/>
      <c r="E874" s="60" t="n"/>
      <c r="F874" s="60" t="n"/>
      <c r="G874" s="62" t="n"/>
      <c r="H874" s="62" t="n"/>
      <c r="I874" s="62" t="n"/>
      <c r="J874" s="60" t="n"/>
      <c r="K874" s="60" t="n"/>
      <c r="L874" s="60" t="n"/>
      <c r="M874" s="61" t="n"/>
      <c r="N874" s="60" t="n"/>
      <c r="O874" s="60" t="n"/>
      <c r="P874" s="60" t="n"/>
      <c r="Q874" s="60" t="n"/>
      <c r="R874" s="60" t="n"/>
      <c r="S874" s="60" t="n"/>
      <c r="T874" s="60" t="n"/>
      <c r="U874" s="60" t="n"/>
      <c r="V874" s="60" t="n"/>
      <c r="W874" s="60" t="n"/>
      <c r="X874" s="60" t="n"/>
      <c r="Y874" s="60" t="n"/>
      <c r="Z874" s="61" t="n"/>
      <c r="AA874" s="63">
        <f>IF($H874="","",TODAY()-$H874)</f>
        <v/>
      </c>
      <c r="AB874" s="63">
        <f>IF($A874="","",IF(AND($F874="Yes",OR($U874="No",$U874="NOT FOUND")),"YES",""))</f>
        <v/>
      </c>
      <c r="AC874" s="66">
        <f>IF($A874="","",TRIM(IF(AND($P874=0,$L874&lt;&gt;"Yes"),"T0-NoSmartcard ","")&amp;IF(AND($J874&lt;&gt;"",$J874&gt;365),"StalePwd ","")&amp;IF($K874="Yes","PwdNeverExpires ","")&amp;IF(AND($S874&lt;&gt;"",$S874&lt;&gt;"None"),"Delegation ","")&amp;IF(AND($Q874=1,$O874="None"),"StaleAdminCount ","")&amp;IF(AND($F874="Yes",$H874=""),"NeverLoggedOn ","")))</f>
        <v/>
      </c>
      <c r="AD874" s="60" t="n"/>
      <c r="AE874" s="61" t="n"/>
      <c r="AF874" s="60" t="n"/>
      <c r="AG874" s="62" t="n"/>
      <c r="AH874" s="62" t="n"/>
      <c r="AI874" s="62" t="n"/>
      <c r="AJ874" s="60" t="n"/>
      <c r="AK874" s="61" t="n"/>
      <c r="AL874" s="63">
        <f>IF($A874="","",IF(AH874="","Not Enrolled",IF(TODAY()&gt;AH874,"Review Overdue",IF(AH874-TODAY()&lt;=30,"Review Due Soon","Active"))))</f>
        <v/>
      </c>
      <c r="AM874" s="63">
        <f>IF($A874="","",IF(AI874="","NOT REVIEWED",IF(TODAY()-AI874&gt;90,"OVERDUE",IF(TODAY()-AI874&gt;76,"Due Soon","Current"))))</f>
        <v/>
      </c>
    </row>
    <row r="875" ht="15" customHeight="1" s="39">
      <c r="A875" s="60" t="n"/>
      <c r="B875" s="60" t="n"/>
      <c r="C875" s="61" t="n"/>
      <c r="D875" s="61" t="n"/>
      <c r="E875" s="60" t="n"/>
      <c r="F875" s="60" t="n"/>
      <c r="G875" s="62" t="n"/>
      <c r="H875" s="62" t="n"/>
      <c r="I875" s="62" t="n"/>
      <c r="J875" s="60" t="n"/>
      <c r="K875" s="60" t="n"/>
      <c r="L875" s="60" t="n"/>
      <c r="M875" s="61" t="n"/>
      <c r="N875" s="60" t="n"/>
      <c r="O875" s="60" t="n"/>
      <c r="P875" s="60" t="n"/>
      <c r="Q875" s="60" t="n"/>
      <c r="R875" s="60" t="n"/>
      <c r="S875" s="60" t="n"/>
      <c r="T875" s="60" t="n"/>
      <c r="U875" s="60" t="n"/>
      <c r="V875" s="60" t="n"/>
      <c r="W875" s="60" t="n"/>
      <c r="X875" s="60" t="n"/>
      <c r="Y875" s="60" t="n"/>
      <c r="Z875" s="61" t="n"/>
      <c r="AA875" s="63">
        <f>IF($H875="","",TODAY()-$H875)</f>
        <v/>
      </c>
      <c r="AB875" s="63">
        <f>IF($A875="","",IF(AND($F875="Yes",OR($U875="No",$U875="NOT FOUND")),"YES",""))</f>
        <v/>
      </c>
      <c r="AC875" s="66">
        <f>IF($A875="","",TRIM(IF(AND($P875=0,$L875&lt;&gt;"Yes"),"T0-NoSmartcard ","")&amp;IF(AND($J875&lt;&gt;"",$J875&gt;365),"StalePwd ","")&amp;IF($K875="Yes","PwdNeverExpires ","")&amp;IF(AND($S875&lt;&gt;"",$S875&lt;&gt;"None"),"Delegation ","")&amp;IF(AND($Q875=1,$O875="None"),"StaleAdminCount ","")&amp;IF(AND($F875="Yes",$H875=""),"NeverLoggedOn ","")))</f>
        <v/>
      </c>
      <c r="AD875" s="60" t="n"/>
      <c r="AE875" s="61" t="n"/>
      <c r="AF875" s="60" t="n"/>
      <c r="AG875" s="62" t="n"/>
      <c r="AH875" s="62" t="n"/>
      <c r="AI875" s="62" t="n"/>
      <c r="AJ875" s="60" t="n"/>
      <c r="AK875" s="61" t="n"/>
      <c r="AL875" s="63">
        <f>IF($A875="","",IF(AH875="","Not Enrolled",IF(TODAY()&gt;AH875,"Review Overdue",IF(AH875-TODAY()&lt;=30,"Review Due Soon","Active"))))</f>
        <v/>
      </c>
      <c r="AM875" s="63">
        <f>IF($A875="","",IF(AI875="","NOT REVIEWED",IF(TODAY()-AI875&gt;90,"OVERDUE",IF(TODAY()-AI875&gt;76,"Due Soon","Current"))))</f>
        <v/>
      </c>
    </row>
    <row r="876" ht="15" customHeight="1" s="39">
      <c r="A876" s="60" t="n"/>
      <c r="B876" s="60" t="n"/>
      <c r="C876" s="61" t="n"/>
      <c r="D876" s="61" t="n"/>
      <c r="E876" s="60" t="n"/>
      <c r="F876" s="60" t="n"/>
      <c r="G876" s="62" t="n"/>
      <c r="H876" s="62" t="n"/>
      <c r="I876" s="62" t="n"/>
      <c r="J876" s="60" t="n"/>
      <c r="K876" s="60" t="n"/>
      <c r="L876" s="60" t="n"/>
      <c r="M876" s="61" t="n"/>
      <c r="N876" s="60" t="n"/>
      <c r="O876" s="60" t="n"/>
      <c r="P876" s="60" t="n"/>
      <c r="Q876" s="60" t="n"/>
      <c r="R876" s="60" t="n"/>
      <c r="S876" s="60" t="n"/>
      <c r="T876" s="60" t="n"/>
      <c r="U876" s="60" t="n"/>
      <c r="V876" s="60" t="n"/>
      <c r="W876" s="60" t="n"/>
      <c r="X876" s="60" t="n"/>
      <c r="Y876" s="60" t="n"/>
      <c r="Z876" s="61" t="n"/>
      <c r="AA876" s="63">
        <f>IF($H876="","",TODAY()-$H876)</f>
        <v/>
      </c>
      <c r="AB876" s="63">
        <f>IF($A876="","",IF(AND($F876="Yes",OR($U876="No",$U876="NOT FOUND")),"YES",""))</f>
        <v/>
      </c>
      <c r="AC876" s="66">
        <f>IF($A876="","",TRIM(IF(AND($P876=0,$L876&lt;&gt;"Yes"),"T0-NoSmartcard ","")&amp;IF(AND($J876&lt;&gt;"",$J876&gt;365),"StalePwd ","")&amp;IF($K876="Yes","PwdNeverExpires ","")&amp;IF(AND($S876&lt;&gt;"",$S876&lt;&gt;"None"),"Delegation ","")&amp;IF(AND($Q876=1,$O876="None"),"StaleAdminCount ","")&amp;IF(AND($F876="Yes",$H876=""),"NeverLoggedOn ","")))</f>
        <v/>
      </c>
      <c r="AD876" s="60" t="n"/>
      <c r="AE876" s="61" t="n"/>
      <c r="AF876" s="60" t="n"/>
      <c r="AG876" s="62" t="n"/>
      <c r="AH876" s="62" t="n"/>
      <c r="AI876" s="62" t="n"/>
      <c r="AJ876" s="60" t="n"/>
      <c r="AK876" s="61" t="n"/>
      <c r="AL876" s="63">
        <f>IF($A876="","",IF(AH876="","Not Enrolled",IF(TODAY()&gt;AH876,"Review Overdue",IF(AH876-TODAY()&lt;=30,"Review Due Soon","Active"))))</f>
        <v/>
      </c>
      <c r="AM876" s="63">
        <f>IF($A876="","",IF(AI876="","NOT REVIEWED",IF(TODAY()-AI876&gt;90,"OVERDUE",IF(TODAY()-AI876&gt;76,"Due Soon","Current"))))</f>
        <v/>
      </c>
    </row>
    <row r="877" ht="15" customHeight="1" s="39">
      <c r="A877" s="60" t="n"/>
      <c r="B877" s="60" t="n"/>
      <c r="C877" s="61" t="n"/>
      <c r="D877" s="61" t="n"/>
      <c r="E877" s="60" t="n"/>
      <c r="F877" s="60" t="n"/>
      <c r="G877" s="62" t="n"/>
      <c r="H877" s="62" t="n"/>
      <c r="I877" s="62" t="n"/>
      <c r="J877" s="60" t="n"/>
      <c r="K877" s="60" t="n"/>
      <c r="L877" s="60" t="n"/>
      <c r="M877" s="61" t="n"/>
      <c r="N877" s="60" t="n"/>
      <c r="O877" s="60" t="n"/>
      <c r="P877" s="60" t="n"/>
      <c r="Q877" s="60" t="n"/>
      <c r="R877" s="60" t="n"/>
      <c r="S877" s="60" t="n"/>
      <c r="T877" s="60" t="n"/>
      <c r="U877" s="60" t="n"/>
      <c r="V877" s="60" t="n"/>
      <c r="W877" s="60" t="n"/>
      <c r="X877" s="60" t="n"/>
      <c r="Y877" s="60" t="n"/>
      <c r="Z877" s="61" t="n"/>
      <c r="AA877" s="63">
        <f>IF($H877="","",TODAY()-$H877)</f>
        <v/>
      </c>
      <c r="AB877" s="63">
        <f>IF($A877="","",IF(AND($F877="Yes",OR($U877="No",$U877="NOT FOUND")),"YES",""))</f>
        <v/>
      </c>
      <c r="AC877" s="66">
        <f>IF($A877="","",TRIM(IF(AND($P877=0,$L877&lt;&gt;"Yes"),"T0-NoSmartcard ","")&amp;IF(AND($J877&lt;&gt;"",$J877&gt;365),"StalePwd ","")&amp;IF($K877="Yes","PwdNeverExpires ","")&amp;IF(AND($S877&lt;&gt;"",$S877&lt;&gt;"None"),"Delegation ","")&amp;IF(AND($Q877=1,$O877="None"),"StaleAdminCount ","")&amp;IF(AND($F877="Yes",$H877=""),"NeverLoggedOn ","")))</f>
        <v/>
      </c>
      <c r="AD877" s="60" t="n"/>
      <c r="AE877" s="61" t="n"/>
      <c r="AF877" s="60" t="n"/>
      <c r="AG877" s="62" t="n"/>
      <c r="AH877" s="62" t="n"/>
      <c r="AI877" s="62" t="n"/>
      <c r="AJ877" s="60" t="n"/>
      <c r="AK877" s="61" t="n"/>
      <c r="AL877" s="63">
        <f>IF($A877="","",IF(AH877="","Not Enrolled",IF(TODAY()&gt;AH877,"Review Overdue",IF(AH877-TODAY()&lt;=30,"Review Due Soon","Active"))))</f>
        <v/>
      </c>
      <c r="AM877" s="63">
        <f>IF($A877="","",IF(AI877="","NOT REVIEWED",IF(TODAY()-AI877&gt;90,"OVERDUE",IF(TODAY()-AI877&gt;76,"Due Soon","Current"))))</f>
        <v/>
      </c>
    </row>
    <row r="878" ht="15" customHeight="1" s="39">
      <c r="A878" s="60" t="n"/>
      <c r="B878" s="60" t="n"/>
      <c r="C878" s="61" t="n"/>
      <c r="D878" s="61" t="n"/>
      <c r="E878" s="60" t="n"/>
      <c r="F878" s="60" t="n"/>
      <c r="G878" s="62" t="n"/>
      <c r="H878" s="62" t="n"/>
      <c r="I878" s="62" t="n"/>
      <c r="J878" s="60" t="n"/>
      <c r="K878" s="60" t="n"/>
      <c r="L878" s="60" t="n"/>
      <c r="M878" s="61" t="n"/>
      <c r="N878" s="60" t="n"/>
      <c r="O878" s="60" t="n"/>
      <c r="P878" s="60" t="n"/>
      <c r="Q878" s="60" t="n"/>
      <c r="R878" s="60" t="n"/>
      <c r="S878" s="60" t="n"/>
      <c r="T878" s="60" t="n"/>
      <c r="U878" s="60" t="n"/>
      <c r="V878" s="60" t="n"/>
      <c r="W878" s="60" t="n"/>
      <c r="X878" s="60" t="n"/>
      <c r="Y878" s="60" t="n"/>
      <c r="Z878" s="61" t="n"/>
      <c r="AA878" s="63">
        <f>IF($H878="","",TODAY()-$H878)</f>
        <v/>
      </c>
      <c r="AB878" s="63">
        <f>IF($A878="","",IF(AND($F878="Yes",OR($U878="No",$U878="NOT FOUND")),"YES",""))</f>
        <v/>
      </c>
      <c r="AC878" s="66">
        <f>IF($A878="","",TRIM(IF(AND($P878=0,$L878&lt;&gt;"Yes"),"T0-NoSmartcard ","")&amp;IF(AND($J878&lt;&gt;"",$J878&gt;365),"StalePwd ","")&amp;IF($K878="Yes","PwdNeverExpires ","")&amp;IF(AND($S878&lt;&gt;"",$S878&lt;&gt;"None"),"Delegation ","")&amp;IF(AND($Q878=1,$O878="None"),"StaleAdminCount ","")&amp;IF(AND($F878="Yes",$H878=""),"NeverLoggedOn ","")))</f>
        <v/>
      </c>
      <c r="AD878" s="60" t="n"/>
      <c r="AE878" s="61" t="n"/>
      <c r="AF878" s="60" t="n"/>
      <c r="AG878" s="62" t="n"/>
      <c r="AH878" s="62" t="n"/>
      <c r="AI878" s="62" t="n"/>
      <c r="AJ878" s="60" t="n"/>
      <c r="AK878" s="61" t="n"/>
      <c r="AL878" s="63">
        <f>IF($A878="","",IF(AH878="","Not Enrolled",IF(TODAY()&gt;AH878,"Review Overdue",IF(AH878-TODAY()&lt;=30,"Review Due Soon","Active"))))</f>
        <v/>
      </c>
      <c r="AM878" s="63">
        <f>IF($A878="","",IF(AI878="","NOT REVIEWED",IF(TODAY()-AI878&gt;90,"OVERDUE",IF(TODAY()-AI878&gt;76,"Due Soon","Current"))))</f>
        <v/>
      </c>
    </row>
    <row r="879" ht="15" customHeight="1" s="39">
      <c r="A879" s="60" t="n"/>
      <c r="B879" s="60" t="n"/>
      <c r="C879" s="61" t="n"/>
      <c r="D879" s="61" t="n"/>
      <c r="E879" s="60" t="n"/>
      <c r="F879" s="60" t="n"/>
      <c r="G879" s="62" t="n"/>
      <c r="H879" s="62" t="n"/>
      <c r="I879" s="62" t="n"/>
      <c r="J879" s="60" t="n"/>
      <c r="K879" s="60" t="n"/>
      <c r="L879" s="60" t="n"/>
      <c r="M879" s="61" t="n"/>
      <c r="N879" s="60" t="n"/>
      <c r="O879" s="60" t="n"/>
      <c r="P879" s="60" t="n"/>
      <c r="Q879" s="60" t="n"/>
      <c r="R879" s="60" t="n"/>
      <c r="S879" s="60" t="n"/>
      <c r="T879" s="60" t="n"/>
      <c r="U879" s="60" t="n"/>
      <c r="V879" s="60" t="n"/>
      <c r="W879" s="60" t="n"/>
      <c r="X879" s="60" t="n"/>
      <c r="Y879" s="60" t="n"/>
      <c r="Z879" s="61" t="n"/>
      <c r="AA879" s="63">
        <f>IF($H879="","",TODAY()-$H879)</f>
        <v/>
      </c>
      <c r="AB879" s="63">
        <f>IF($A879="","",IF(AND($F879="Yes",OR($U879="No",$U879="NOT FOUND")),"YES",""))</f>
        <v/>
      </c>
      <c r="AC879" s="66">
        <f>IF($A879="","",TRIM(IF(AND($P879=0,$L879&lt;&gt;"Yes"),"T0-NoSmartcard ","")&amp;IF(AND($J879&lt;&gt;"",$J879&gt;365),"StalePwd ","")&amp;IF($K879="Yes","PwdNeverExpires ","")&amp;IF(AND($S879&lt;&gt;"",$S879&lt;&gt;"None"),"Delegation ","")&amp;IF(AND($Q879=1,$O879="None"),"StaleAdminCount ","")&amp;IF(AND($F879="Yes",$H879=""),"NeverLoggedOn ","")))</f>
        <v/>
      </c>
      <c r="AD879" s="60" t="n"/>
      <c r="AE879" s="61" t="n"/>
      <c r="AF879" s="60" t="n"/>
      <c r="AG879" s="62" t="n"/>
      <c r="AH879" s="62" t="n"/>
      <c r="AI879" s="62" t="n"/>
      <c r="AJ879" s="60" t="n"/>
      <c r="AK879" s="61" t="n"/>
      <c r="AL879" s="63">
        <f>IF($A879="","",IF(AH879="","Not Enrolled",IF(TODAY()&gt;AH879,"Review Overdue",IF(AH879-TODAY()&lt;=30,"Review Due Soon","Active"))))</f>
        <v/>
      </c>
      <c r="AM879" s="63">
        <f>IF($A879="","",IF(AI879="","NOT REVIEWED",IF(TODAY()-AI879&gt;90,"OVERDUE",IF(TODAY()-AI879&gt;76,"Due Soon","Current"))))</f>
        <v/>
      </c>
    </row>
    <row r="880" ht="15" customHeight="1" s="39">
      <c r="A880" s="60" t="n"/>
      <c r="B880" s="60" t="n"/>
      <c r="C880" s="61" t="n"/>
      <c r="D880" s="61" t="n"/>
      <c r="E880" s="60" t="n"/>
      <c r="F880" s="60" t="n"/>
      <c r="G880" s="62" t="n"/>
      <c r="H880" s="62" t="n"/>
      <c r="I880" s="62" t="n"/>
      <c r="J880" s="60" t="n"/>
      <c r="K880" s="60" t="n"/>
      <c r="L880" s="60" t="n"/>
      <c r="M880" s="61" t="n"/>
      <c r="N880" s="60" t="n"/>
      <c r="O880" s="60" t="n"/>
      <c r="P880" s="60" t="n"/>
      <c r="Q880" s="60" t="n"/>
      <c r="R880" s="60" t="n"/>
      <c r="S880" s="60" t="n"/>
      <c r="T880" s="60" t="n"/>
      <c r="U880" s="60" t="n"/>
      <c r="V880" s="60" t="n"/>
      <c r="W880" s="60" t="n"/>
      <c r="X880" s="60" t="n"/>
      <c r="Y880" s="60" t="n"/>
      <c r="Z880" s="61" t="n"/>
      <c r="AA880" s="63">
        <f>IF($H880="","",TODAY()-$H880)</f>
        <v/>
      </c>
      <c r="AB880" s="63">
        <f>IF($A880="","",IF(AND($F880="Yes",OR($U880="No",$U880="NOT FOUND")),"YES",""))</f>
        <v/>
      </c>
      <c r="AC880" s="66">
        <f>IF($A880="","",TRIM(IF(AND($P880=0,$L880&lt;&gt;"Yes"),"T0-NoSmartcard ","")&amp;IF(AND($J880&lt;&gt;"",$J880&gt;365),"StalePwd ","")&amp;IF($K880="Yes","PwdNeverExpires ","")&amp;IF(AND($S880&lt;&gt;"",$S880&lt;&gt;"None"),"Delegation ","")&amp;IF(AND($Q880=1,$O880="None"),"StaleAdminCount ","")&amp;IF(AND($F880="Yes",$H880=""),"NeverLoggedOn ","")))</f>
        <v/>
      </c>
      <c r="AD880" s="60" t="n"/>
      <c r="AE880" s="61" t="n"/>
      <c r="AF880" s="60" t="n"/>
      <c r="AG880" s="62" t="n"/>
      <c r="AH880" s="62" t="n"/>
      <c r="AI880" s="62" t="n"/>
      <c r="AJ880" s="60" t="n"/>
      <c r="AK880" s="61" t="n"/>
      <c r="AL880" s="63">
        <f>IF($A880="","",IF(AH880="","Not Enrolled",IF(TODAY()&gt;AH880,"Review Overdue",IF(AH880-TODAY()&lt;=30,"Review Due Soon","Active"))))</f>
        <v/>
      </c>
      <c r="AM880" s="63">
        <f>IF($A880="","",IF(AI880="","NOT REVIEWED",IF(TODAY()-AI880&gt;90,"OVERDUE",IF(TODAY()-AI880&gt;76,"Due Soon","Current"))))</f>
        <v/>
      </c>
    </row>
    <row r="881" ht="15" customHeight="1" s="39">
      <c r="A881" s="60" t="n"/>
      <c r="B881" s="60" t="n"/>
      <c r="C881" s="61" t="n"/>
      <c r="D881" s="61" t="n"/>
      <c r="E881" s="60" t="n"/>
      <c r="F881" s="60" t="n"/>
      <c r="G881" s="62" t="n"/>
      <c r="H881" s="62" t="n"/>
      <c r="I881" s="62" t="n"/>
      <c r="J881" s="60" t="n"/>
      <c r="K881" s="60" t="n"/>
      <c r="L881" s="60" t="n"/>
      <c r="M881" s="61" t="n"/>
      <c r="N881" s="60" t="n"/>
      <c r="O881" s="60" t="n"/>
      <c r="P881" s="60" t="n"/>
      <c r="Q881" s="60" t="n"/>
      <c r="R881" s="60" t="n"/>
      <c r="S881" s="60" t="n"/>
      <c r="T881" s="60" t="n"/>
      <c r="U881" s="60" t="n"/>
      <c r="V881" s="60" t="n"/>
      <c r="W881" s="60" t="n"/>
      <c r="X881" s="60" t="n"/>
      <c r="Y881" s="60" t="n"/>
      <c r="Z881" s="61" t="n"/>
      <c r="AA881" s="63">
        <f>IF($H881="","",TODAY()-$H881)</f>
        <v/>
      </c>
      <c r="AB881" s="63">
        <f>IF($A881="","",IF(AND($F881="Yes",OR($U881="No",$U881="NOT FOUND")),"YES",""))</f>
        <v/>
      </c>
      <c r="AC881" s="66">
        <f>IF($A881="","",TRIM(IF(AND($P881=0,$L881&lt;&gt;"Yes"),"T0-NoSmartcard ","")&amp;IF(AND($J881&lt;&gt;"",$J881&gt;365),"StalePwd ","")&amp;IF($K881="Yes","PwdNeverExpires ","")&amp;IF(AND($S881&lt;&gt;"",$S881&lt;&gt;"None"),"Delegation ","")&amp;IF(AND($Q881=1,$O881="None"),"StaleAdminCount ","")&amp;IF(AND($F881="Yes",$H881=""),"NeverLoggedOn ","")))</f>
        <v/>
      </c>
      <c r="AD881" s="60" t="n"/>
      <c r="AE881" s="61" t="n"/>
      <c r="AF881" s="60" t="n"/>
      <c r="AG881" s="62" t="n"/>
      <c r="AH881" s="62" t="n"/>
      <c r="AI881" s="62" t="n"/>
      <c r="AJ881" s="60" t="n"/>
      <c r="AK881" s="61" t="n"/>
      <c r="AL881" s="63">
        <f>IF($A881="","",IF(AH881="","Not Enrolled",IF(TODAY()&gt;AH881,"Review Overdue",IF(AH881-TODAY()&lt;=30,"Review Due Soon","Active"))))</f>
        <v/>
      </c>
      <c r="AM881" s="63">
        <f>IF($A881="","",IF(AI881="","NOT REVIEWED",IF(TODAY()-AI881&gt;90,"OVERDUE",IF(TODAY()-AI881&gt;76,"Due Soon","Current"))))</f>
        <v/>
      </c>
    </row>
    <row r="882" ht="15" customHeight="1" s="39">
      <c r="A882" s="60" t="n"/>
      <c r="B882" s="60" t="n"/>
      <c r="C882" s="61" t="n"/>
      <c r="D882" s="61" t="n"/>
      <c r="E882" s="60" t="n"/>
      <c r="F882" s="60" t="n"/>
      <c r="G882" s="62" t="n"/>
      <c r="H882" s="62" t="n"/>
      <c r="I882" s="62" t="n"/>
      <c r="J882" s="60" t="n"/>
      <c r="K882" s="60" t="n"/>
      <c r="L882" s="60" t="n"/>
      <c r="M882" s="61" t="n"/>
      <c r="N882" s="60" t="n"/>
      <c r="O882" s="60" t="n"/>
      <c r="P882" s="60" t="n"/>
      <c r="Q882" s="60" t="n"/>
      <c r="R882" s="60" t="n"/>
      <c r="S882" s="60" t="n"/>
      <c r="T882" s="60" t="n"/>
      <c r="U882" s="60" t="n"/>
      <c r="V882" s="60" t="n"/>
      <c r="W882" s="60" t="n"/>
      <c r="X882" s="60" t="n"/>
      <c r="Y882" s="60" t="n"/>
      <c r="Z882" s="61" t="n"/>
      <c r="AA882" s="63">
        <f>IF($H882="","",TODAY()-$H882)</f>
        <v/>
      </c>
      <c r="AB882" s="63">
        <f>IF($A882="","",IF(AND($F882="Yes",OR($U882="No",$U882="NOT FOUND")),"YES",""))</f>
        <v/>
      </c>
      <c r="AC882" s="66">
        <f>IF($A882="","",TRIM(IF(AND($P882=0,$L882&lt;&gt;"Yes"),"T0-NoSmartcard ","")&amp;IF(AND($J882&lt;&gt;"",$J882&gt;365),"StalePwd ","")&amp;IF($K882="Yes","PwdNeverExpires ","")&amp;IF(AND($S882&lt;&gt;"",$S882&lt;&gt;"None"),"Delegation ","")&amp;IF(AND($Q882=1,$O882="None"),"StaleAdminCount ","")&amp;IF(AND($F882="Yes",$H882=""),"NeverLoggedOn ","")))</f>
        <v/>
      </c>
      <c r="AD882" s="60" t="n"/>
      <c r="AE882" s="61" t="n"/>
      <c r="AF882" s="60" t="n"/>
      <c r="AG882" s="62" t="n"/>
      <c r="AH882" s="62" t="n"/>
      <c r="AI882" s="62" t="n"/>
      <c r="AJ882" s="60" t="n"/>
      <c r="AK882" s="61" t="n"/>
      <c r="AL882" s="63">
        <f>IF($A882="","",IF(AH882="","Not Enrolled",IF(TODAY()&gt;AH882,"Review Overdue",IF(AH882-TODAY()&lt;=30,"Review Due Soon","Active"))))</f>
        <v/>
      </c>
      <c r="AM882" s="63">
        <f>IF($A882="","",IF(AI882="","NOT REVIEWED",IF(TODAY()-AI882&gt;90,"OVERDUE",IF(TODAY()-AI882&gt;76,"Due Soon","Current"))))</f>
        <v/>
      </c>
    </row>
    <row r="883" ht="15" customHeight="1" s="39">
      <c r="A883" s="60" t="n"/>
      <c r="B883" s="60" t="n"/>
      <c r="C883" s="61" t="n"/>
      <c r="D883" s="61" t="n"/>
      <c r="E883" s="60" t="n"/>
      <c r="F883" s="60" t="n"/>
      <c r="G883" s="62" t="n"/>
      <c r="H883" s="62" t="n"/>
      <c r="I883" s="62" t="n"/>
      <c r="J883" s="60" t="n"/>
      <c r="K883" s="60" t="n"/>
      <c r="L883" s="60" t="n"/>
      <c r="M883" s="61" t="n"/>
      <c r="N883" s="60" t="n"/>
      <c r="O883" s="60" t="n"/>
      <c r="P883" s="60" t="n"/>
      <c r="Q883" s="60" t="n"/>
      <c r="R883" s="60" t="n"/>
      <c r="S883" s="60" t="n"/>
      <c r="T883" s="60" t="n"/>
      <c r="U883" s="60" t="n"/>
      <c r="V883" s="60" t="n"/>
      <c r="W883" s="60" t="n"/>
      <c r="X883" s="60" t="n"/>
      <c r="Y883" s="60" t="n"/>
      <c r="Z883" s="61" t="n"/>
      <c r="AA883" s="63">
        <f>IF($H883="","",TODAY()-$H883)</f>
        <v/>
      </c>
      <c r="AB883" s="63">
        <f>IF($A883="","",IF(AND($F883="Yes",OR($U883="No",$U883="NOT FOUND")),"YES",""))</f>
        <v/>
      </c>
      <c r="AC883" s="66">
        <f>IF($A883="","",TRIM(IF(AND($P883=0,$L883&lt;&gt;"Yes"),"T0-NoSmartcard ","")&amp;IF(AND($J883&lt;&gt;"",$J883&gt;365),"StalePwd ","")&amp;IF($K883="Yes","PwdNeverExpires ","")&amp;IF(AND($S883&lt;&gt;"",$S883&lt;&gt;"None"),"Delegation ","")&amp;IF(AND($Q883=1,$O883="None"),"StaleAdminCount ","")&amp;IF(AND($F883="Yes",$H883=""),"NeverLoggedOn ","")))</f>
        <v/>
      </c>
      <c r="AD883" s="60" t="n"/>
      <c r="AE883" s="61" t="n"/>
      <c r="AF883" s="60" t="n"/>
      <c r="AG883" s="62" t="n"/>
      <c r="AH883" s="62" t="n"/>
      <c r="AI883" s="62" t="n"/>
      <c r="AJ883" s="60" t="n"/>
      <c r="AK883" s="61" t="n"/>
      <c r="AL883" s="63">
        <f>IF($A883="","",IF(AH883="","Not Enrolled",IF(TODAY()&gt;AH883,"Review Overdue",IF(AH883-TODAY()&lt;=30,"Review Due Soon","Active"))))</f>
        <v/>
      </c>
      <c r="AM883" s="63">
        <f>IF($A883="","",IF(AI883="","NOT REVIEWED",IF(TODAY()-AI883&gt;90,"OVERDUE",IF(TODAY()-AI883&gt;76,"Due Soon","Current"))))</f>
        <v/>
      </c>
    </row>
    <row r="884" ht="15" customHeight="1" s="39">
      <c r="A884" s="60" t="n"/>
      <c r="B884" s="60" t="n"/>
      <c r="C884" s="61" t="n"/>
      <c r="D884" s="61" t="n"/>
      <c r="E884" s="60" t="n"/>
      <c r="F884" s="60" t="n"/>
      <c r="G884" s="62" t="n"/>
      <c r="H884" s="62" t="n"/>
      <c r="I884" s="62" t="n"/>
      <c r="J884" s="60" t="n"/>
      <c r="K884" s="60" t="n"/>
      <c r="L884" s="60" t="n"/>
      <c r="M884" s="61" t="n"/>
      <c r="N884" s="60" t="n"/>
      <c r="O884" s="60" t="n"/>
      <c r="P884" s="60" t="n"/>
      <c r="Q884" s="60" t="n"/>
      <c r="R884" s="60" t="n"/>
      <c r="S884" s="60" t="n"/>
      <c r="T884" s="60" t="n"/>
      <c r="U884" s="60" t="n"/>
      <c r="V884" s="60" t="n"/>
      <c r="W884" s="60" t="n"/>
      <c r="X884" s="60" t="n"/>
      <c r="Y884" s="60" t="n"/>
      <c r="Z884" s="61" t="n"/>
      <c r="AA884" s="63">
        <f>IF($H884="","",TODAY()-$H884)</f>
        <v/>
      </c>
      <c r="AB884" s="63">
        <f>IF($A884="","",IF(AND($F884="Yes",OR($U884="No",$U884="NOT FOUND")),"YES",""))</f>
        <v/>
      </c>
      <c r="AC884" s="66">
        <f>IF($A884="","",TRIM(IF(AND($P884=0,$L884&lt;&gt;"Yes"),"T0-NoSmartcard ","")&amp;IF(AND($J884&lt;&gt;"",$J884&gt;365),"StalePwd ","")&amp;IF($K884="Yes","PwdNeverExpires ","")&amp;IF(AND($S884&lt;&gt;"",$S884&lt;&gt;"None"),"Delegation ","")&amp;IF(AND($Q884=1,$O884="None"),"StaleAdminCount ","")&amp;IF(AND($F884="Yes",$H884=""),"NeverLoggedOn ","")))</f>
        <v/>
      </c>
      <c r="AD884" s="60" t="n"/>
      <c r="AE884" s="61" t="n"/>
      <c r="AF884" s="60" t="n"/>
      <c r="AG884" s="62" t="n"/>
      <c r="AH884" s="62" t="n"/>
      <c r="AI884" s="62" t="n"/>
      <c r="AJ884" s="60" t="n"/>
      <c r="AK884" s="61" t="n"/>
      <c r="AL884" s="63">
        <f>IF($A884="","",IF(AH884="","Not Enrolled",IF(TODAY()&gt;AH884,"Review Overdue",IF(AH884-TODAY()&lt;=30,"Review Due Soon","Active"))))</f>
        <v/>
      </c>
      <c r="AM884" s="63">
        <f>IF($A884="","",IF(AI884="","NOT REVIEWED",IF(TODAY()-AI884&gt;90,"OVERDUE",IF(TODAY()-AI884&gt;76,"Due Soon","Current"))))</f>
        <v/>
      </c>
    </row>
    <row r="885" ht="15" customHeight="1" s="39">
      <c r="A885" s="60" t="n"/>
      <c r="B885" s="60" t="n"/>
      <c r="C885" s="61" t="n"/>
      <c r="D885" s="61" t="n"/>
      <c r="E885" s="60" t="n"/>
      <c r="F885" s="60" t="n"/>
      <c r="G885" s="62" t="n"/>
      <c r="H885" s="62" t="n"/>
      <c r="I885" s="62" t="n"/>
      <c r="J885" s="60" t="n"/>
      <c r="K885" s="60" t="n"/>
      <c r="L885" s="60" t="n"/>
      <c r="M885" s="61" t="n"/>
      <c r="N885" s="60" t="n"/>
      <c r="O885" s="60" t="n"/>
      <c r="P885" s="60" t="n"/>
      <c r="Q885" s="60" t="n"/>
      <c r="R885" s="60" t="n"/>
      <c r="S885" s="60" t="n"/>
      <c r="T885" s="60" t="n"/>
      <c r="U885" s="60" t="n"/>
      <c r="V885" s="60" t="n"/>
      <c r="W885" s="60" t="n"/>
      <c r="X885" s="60" t="n"/>
      <c r="Y885" s="60" t="n"/>
      <c r="Z885" s="61" t="n"/>
      <c r="AA885" s="63">
        <f>IF($H885="","",TODAY()-$H885)</f>
        <v/>
      </c>
      <c r="AB885" s="63">
        <f>IF($A885="","",IF(AND($F885="Yes",OR($U885="No",$U885="NOT FOUND")),"YES",""))</f>
        <v/>
      </c>
      <c r="AC885" s="66">
        <f>IF($A885="","",TRIM(IF(AND($P885=0,$L885&lt;&gt;"Yes"),"T0-NoSmartcard ","")&amp;IF(AND($J885&lt;&gt;"",$J885&gt;365),"StalePwd ","")&amp;IF($K885="Yes","PwdNeverExpires ","")&amp;IF(AND($S885&lt;&gt;"",$S885&lt;&gt;"None"),"Delegation ","")&amp;IF(AND($Q885=1,$O885="None"),"StaleAdminCount ","")&amp;IF(AND($F885="Yes",$H885=""),"NeverLoggedOn ","")))</f>
        <v/>
      </c>
      <c r="AD885" s="60" t="n"/>
      <c r="AE885" s="61" t="n"/>
      <c r="AF885" s="60" t="n"/>
      <c r="AG885" s="62" t="n"/>
      <c r="AH885" s="62" t="n"/>
      <c r="AI885" s="62" t="n"/>
      <c r="AJ885" s="60" t="n"/>
      <c r="AK885" s="61" t="n"/>
      <c r="AL885" s="63">
        <f>IF($A885="","",IF(AH885="","Not Enrolled",IF(TODAY()&gt;AH885,"Review Overdue",IF(AH885-TODAY()&lt;=30,"Review Due Soon","Active"))))</f>
        <v/>
      </c>
      <c r="AM885" s="63">
        <f>IF($A885="","",IF(AI885="","NOT REVIEWED",IF(TODAY()-AI885&gt;90,"OVERDUE",IF(TODAY()-AI885&gt;76,"Due Soon","Current"))))</f>
        <v/>
      </c>
    </row>
    <row r="886" ht="15" customHeight="1" s="39">
      <c r="A886" s="60" t="n"/>
      <c r="B886" s="60" t="n"/>
      <c r="C886" s="61" t="n"/>
      <c r="D886" s="61" t="n"/>
      <c r="E886" s="60" t="n"/>
      <c r="F886" s="60" t="n"/>
      <c r="G886" s="62" t="n"/>
      <c r="H886" s="62" t="n"/>
      <c r="I886" s="62" t="n"/>
      <c r="J886" s="60" t="n"/>
      <c r="K886" s="60" t="n"/>
      <c r="L886" s="60" t="n"/>
      <c r="M886" s="61" t="n"/>
      <c r="N886" s="60" t="n"/>
      <c r="O886" s="60" t="n"/>
      <c r="P886" s="60" t="n"/>
      <c r="Q886" s="60" t="n"/>
      <c r="R886" s="60" t="n"/>
      <c r="S886" s="60" t="n"/>
      <c r="T886" s="60" t="n"/>
      <c r="U886" s="60" t="n"/>
      <c r="V886" s="60" t="n"/>
      <c r="W886" s="60" t="n"/>
      <c r="X886" s="60" t="n"/>
      <c r="Y886" s="60" t="n"/>
      <c r="Z886" s="61" t="n"/>
      <c r="AA886" s="63">
        <f>IF($H886="","",TODAY()-$H886)</f>
        <v/>
      </c>
      <c r="AB886" s="63">
        <f>IF($A886="","",IF(AND($F886="Yes",OR($U886="No",$U886="NOT FOUND")),"YES",""))</f>
        <v/>
      </c>
      <c r="AC886" s="66">
        <f>IF($A886="","",TRIM(IF(AND($P886=0,$L886&lt;&gt;"Yes"),"T0-NoSmartcard ","")&amp;IF(AND($J886&lt;&gt;"",$J886&gt;365),"StalePwd ","")&amp;IF($K886="Yes","PwdNeverExpires ","")&amp;IF(AND($S886&lt;&gt;"",$S886&lt;&gt;"None"),"Delegation ","")&amp;IF(AND($Q886=1,$O886="None"),"StaleAdminCount ","")&amp;IF(AND($F886="Yes",$H886=""),"NeverLoggedOn ","")))</f>
        <v/>
      </c>
      <c r="AD886" s="60" t="n"/>
      <c r="AE886" s="61" t="n"/>
      <c r="AF886" s="60" t="n"/>
      <c r="AG886" s="62" t="n"/>
      <c r="AH886" s="62" t="n"/>
      <c r="AI886" s="62" t="n"/>
      <c r="AJ886" s="60" t="n"/>
      <c r="AK886" s="61" t="n"/>
      <c r="AL886" s="63">
        <f>IF($A886="","",IF(AH886="","Not Enrolled",IF(TODAY()&gt;AH886,"Review Overdue",IF(AH886-TODAY()&lt;=30,"Review Due Soon","Active"))))</f>
        <v/>
      </c>
      <c r="AM886" s="63">
        <f>IF($A886="","",IF(AI886="","NOT REVIEWED",IF(TODAY()-AI886&gt;90,"OVERDUE",IF(TODAY()-AI886&gt;76,"Due Soon","Current"))))</f>
        <v/>
      </c>
    </row>
    <row r="887" ht="15" customHeight="1" s="39">
      <c r="A887" s="60" t="n"/>
      <c r="B887" s="60" t="n"/>
      <c r="C887" s="61" t="n"/>
      <c r="D887" s="61" t="n"/>
      <c r="E887" s="60" t="n"/>
      <c r="F887" s="60" t="n"/>
      <c r="G887" s="62" t="n"/>
      <c r="H887" s="62" t="n"/>
      <c r="I887" s="62" t="n"/>
      <c r="J887" s="60" t="n"/>
      <c r="K887" s="60" t="n"/>
      <c r="L887" s="60" t="n"/>
      <c r="M887" s="61" t="n"/>
      <c r="N887" s="60" t="n"/>
      <c r="O887" s="60" t="n"/>
      <c r="P887" s="60" t="n"/>
      <c r="Q887" s="60" t="n"/>
      <c r="R887" s="60" t="n"/>
      <c r="S887" s="60" t="n"/>
      <c r="T887" s="60" t="n"/>
      <c r="U887" s="60" t="n"/>
      <c r="V887" s="60" t="n"/>
      <c r="W887" s="60" t="n"/>
      <c r="X887" s="60" t="n"/>
      <c r="Y887" s="60" t="n"/>
      <c r="Z887" s="61" t="n"/>
      <c r="AA887" s="63">
        <f>IF($H887="","",TODAY()-$H887)</f>
        <v/>
      </c>
      <c r="AB887" s="63">
        <f>IF($A887="","",IF(AND($F887="Yes",OR($U887="No",$U887="NOT FOUND")),"YES",""))</f>
        <v/>
      </c>
      <c r="AC887" s="66">
        <f>IF($A887="","",TRIM(IF(AND($P887=0,$L887&lt;&gt;"Yes"),"T0-NoSmartcard ","")&amp;IF(AND($J887&lt;&gt;"",$J887&gt;365),"StalePwd ","")&amp;IF($K887="Yes","PwdNeverExpires ","")&amp;IF(AND($S887&lt;&gt;"",$S887&lt;&gt;"None"),"Delegation ","")&amp;IF(AND($Q887=1,$O887="None"),"StaleAdminCount ","")&amp;IF(AND($F887="Yes",$H887=""),"NeverLoggedOn ","")))</f>
        <v/>
      </c>
      <c r="AD887" s="60" t="n"/>
      <c r="AE887" s="61" t="n"/>
      <c r="AF887" s="60" t="n"/>
      <c r="AG887" s="62" t="n"/>
      <c r="AH887" s="62" t="n"/>
      <c r="AI887" s="62" t="n"/>
      <c r="AJ887" s="60" t="n"/>
      <c r="AK887" s="61" t="n"/>
      <c r="AL887" s="63">
        <f>IF($A887="","",IF(AH887="","Not Enrolled",IF(TODAY()&gt;AH887,"Review Overdue",IF(AH887-TODAY()&lt;=30,"Review Due Soon","Active"))))</f>
        <v/>
      </c>
      <c r="AM887" s="63">
        <f>IF($A887="","",IF(AI887="","NOT REVIEWED",IF(TODAY()-AI887&gt;90,"OVERDUE",IF(TODAY()-AI887&gt;76,"Due Soon","Current"))))</f>
        <v/>
      </c>
    </row>
    <row r="888" ht="15" customHeight="1" s="39">
      <c r="A888" s="60" t="n"/>
      <c r="B888" s="60" t="n"/>
      <c r="C888" s="61" t="n"/>
      <c r="D888" s="61" t="n"/>
      <c r="E888" s="60" t="n"/>
      <c r="F888" s="60" t="n"/>
      <c r="G888" s="62" t="n"/>
      <c r="H888" s="62" t="n"/>
      <c r="I888" s="62" t="n"/>
      <c r="J888" s="60" t="n"/>
      <c r="K888" s="60" t="n"/>
      <c r="L888" s="60" t="n"/>
      <c r="M888" s="61" t="n"/>
      <c r="N888" s="60" t="n"/>
      <c r="O888" s="60" t="n"/>
      <c r="P888" s="60" t="n"/>
      <c r="Q888" s="60" t="n"/>
      <c r="R888" s="60" t="n"/>
      <c r="S888" s="60" t="n"/>
      <c r="T888" s="60" t="n"/>
      <c r="U888" s="60" t="n"/>
      <c r="V888" s="60" t="n"/>
      <c r="W888" s="60" t="n"/>
      <c r="X888" s="60" t="n"/>
      <c r="Y888" s="60" t="n"/>
      <c r="Z888" s="61" t="n"/>
      <c r="AA888" s="63">
        <f>IF($H888="","",TODAY()-$H888)</f>
        <v/>
      </c>
      <c r="AB888" s="63">
        <f>IF($A888="","",IF(AND($F888="Yes",OR($U888="No",$U888="NOT FOUND")),"YES",""))</f>
        <v/>
      </c>
      <c r="AC888" s="66">
        <f>IF($A888="","",TRIM(IF(AND($P888=0,$L888&lt;&gt;"Yes"),"T0-NoSmartcard ","")&amp;IF(AND($J888&lt;&gt;"",$J888&gt;365),"StalePwd ","")&amp;IF($K888="Yes","PwdNeverExpires ","")&amp;IF(AND($S888&lt;&gt;"",$S888&lt;&gt;"None"),"Delegation ","")&amp;IF(AND($Q888=1,$O888="None"),"StaleAdminCount ","")&amp;IF(AND($F888="Yes",$H888=""),"NeverLoggedOn ","")))</f>
        <v/>
      </c>
      <c r="AD888" s="60" t="n"/>
      <c r="AE888" s="61" t="n"/>
      <c r="AF888" s="60" t="n"/>
      <c r="AG888" s="62" t="n"/>
      <c r="AH888" s="62" t="n"/>
      <c r="AI888" s="62" t="n"/>
      <c r="AJ888" s="60" t="n"/>
      <c r="AK888" s="61" t="n"/>
      <c r="AL888" s="63">
        <f>IF($A888="","",IF(AH888="","Not Enrolled",IF(TODAY()&gt;AH888,"Review Overdue",IF(AH888-TODAY()&lt;=30,"Review Due Soon","Active"))))</f>
        <v/>
      </c>
      <c r="AM888" s="63">
        <f>IF($A888="","",IF(AI888="","NOT REVIEWED",IF(TODAY()-AI888&gt;90,"OVERDUE",IF(TODAY()-AI888&gt;76,"Due Soon","Current"))))</f>
        <v/>
      </c>
    </row>
    <row r="889" ht="15" customHeight="1" s="39">
      <c r="A889" s="60" t="n"/>
      <c r="B889" s="60" t="n"/>
      <c r="C889" s="61" t="n"/>
      <c r="D889" s="61" t="n"/>
      <c r="E889" s="60" t="n"/>
      <c r="F889" s="60" t="n"/>
      <c r="G889" s="62" t="n"/>
      <c r="H889" s="62" t="n"/>
      <c r="I889" s="62" t="n"/>
      <c r="J889" s="60" t="n"/>
      <c r="K889" s="60" t="n"/>
      <c r="L889" s="60" t="n"/>
      <c r="M889" s="61" t="n"/>
      <c r="N889" s="60" t="n"/>
      <c r="O889" s="60" t="n"/>
      <c r="P889" s="60" t="n"/>
      <c r="Q889" s="60" t="n"/>
      <c r="R889" s="60" t="n"/>
      <c r="S889" s="60" t="n"/>
      <c r="T889" s="60" t="n"/>
      <c r="U889" s="60" t="n"/>
      <c r="V889" s="60" t="n"/>
      <c r="W889" s="60" t="n"/>
      <c r="X889" s="60" t="n"/>
      <c r="Y889" s="60" t="n"/>
      <c r="Z889" s="61" t="n"/>
      <c r="AA889" s="63">
        <f>IF($H889="","",TODAY()-$H889)</f>
        <v/>
      </c>
      <c r="AB889" s="63">
        <f>IF($A889="","",IF(AND($F889="Yes",OR($U889="No",$U889="NOT FOUND")),"YES",""))</f>
        <v/>
      </c>
      <c r="AC889" s="66">
        <f>IF($A889="","",TRIM(IF(AND($P889=0,$L889&lt;&gt;"Yes"),"T0-NoSmartcard ","")&amp;IF(AND($J889&lt;&gt;"",$J889&gt;365),"StalePwd ","")&amp;IF($K889="Yes","PwdNeverExpires ","")&amp;IF(AND($S889&lt;&gt;"",$S889&lt;&gt;"None"),"Delegation ","")&amp;IF(AND($Q889=1,$O889="None"),"StaleAdminCount ","")&amp;IF(AND($F889="Yes",$H889=""),"NeverLoggedOn ","")))</f>
        <v/>
      </c>
      <c r="AD889" s="60" t="n"/>
      <c r="AE889" s="61" t="n"/>
      <c r="AF889" s="60" t="n"/>
      <c r="AG889" s="62" t="n"/>
      <c r="AH889" s="62" t="n"/>
      <c r="AI889" s="62" t="n"/>
      <c r="AJ889" s="60" t="n"/>
      <c r="AK889" s="61" t="n"/>
      <c r="AL889" s="63">
        <f>IF($A889="","",IF(AH889="","Not Enrolled",IF(TODAY()&gt;AH889,"Review Overdue",IF(AH889-TODAY()&lt;=30,"Review Due Soon","Active"))))</f>
        <v/>
      </c>
      <c r="AM889" s="63">
        <f>IF($A889="","",IF(AI889="","NOT REVIEWED",IF(TODAY()-AI889&gt;90,"OVERDUE",IF(TODAY()-AI889&gt;76,"Due Soon","Current"))))</f>
        <v/>
      </c>
    </row>
    <row r="890" ht="15" customHeight="1" s="39">
      <c r="A890" s="60" t="n"/>
      <c r="B890" s="60" t="n"/>
      <c r="C890" s="61" t="n"/>
      <c r="D890" s="61" t="n"/>
      <c r="E890" s="60" t="n"/>
      <c r="F890" s="60" t="n"/>
      <c r="G890" s="62" t="n"/>
      <c r="H890" s="62" t="n"/>
      <c r="I890" s="62" t="n"/>
      <c r="J890" s="60" t="n"/>
      <c r="K890" s="60" t="n"/>
      <c r="L890" s="60" t="n"/>
      <c r="M890" s="61" t="n"/>
      <c r="N890" s="60" t="n"/>
      <c r="O890" s="60" t="n"/>
      <c r="P890" s="60" t="n"/>
      <c r="Q890" s="60" t="n"/>
      <c r="R890" s="60" t="n"/>
      <c r="S890" s="60" t="n"/>
      <c r="T890" s="60" t="n"/>
      <c r="U890" s="60" t="n"/>
      <c r="V890" s="60" t="n"/>
      <c r="W890" s="60" t="n"/>
      <c r="X890" s="60" t="n"/>
      <c r="Y890" s="60" t="n"/>
      <c r="Z890" s="61" t="n"/>
      <c r="AA890" s="63">
        <f>IF($H890="","",TODAY()-$H890)</f>
        <v/>
      </c>
      <c r="AB890" s="63">
        <f>IF($A890="","",IF(AND($F890="Yes",OR($U890="No",$U890="NOT FOUND")),"YES",""))</f>
        <v/>
      </c>
      <c r="AC890" s="66">
        <f>IF($A890="","",TRIM(IF(AND($P890=0,$L890&lt;&gt;"Yes"),"T0-NoSmartcard ","")&amp;IF(AND($J890&lt;&gt;"",$J890&gt;365),"StalePwd ","")&amp;IF($K890="Yes","PwdNeverExpires ","")&amp;IF(AND($S890&lt;&gt;"",$S890&lt;&gt;"None"),"Delegation ","")&amp;IF(AND($Q890=1,$O890="None"),"StaleAdminCount ","")&amp;IF(AND($F890="Yes",$H890=""),"NeverLoggedOn ","")))</f>
        <v/>
      </c>
      <c r="AD890" s="60" t="n"/>
      <c r="AE890" s="61" t="n"/>
      <c r="AF890" s="60" t="n"/>
      <c r="AG890" s="62" t="n"/>
      <c r="AH890" s="62" t="n"/>
      <c r="AI890" s="62" t="n"/>
      <c r="AJ890" s="60" t="n"/>
      <c r="AK890" s="61" t="n"/>
      <c r="AL890" s="63">
        <f>IF($A890="","",IF(AH890="","Not Enrolled",IF(TODAY()&gt;AH890,"Review Overdue",IF(AH890-TODAY()&lt;=30,"Review Due Soon","Active"))))</f>
        <v/>
      </c>
      <c r="AM890" s="63">
        <f>IF($A890="","",IF(AI890="","NOT REVIEWED",IF(TODAY()-AI890&gt;90,"OVERDUE",IF(TODAY()-AI890&gt;76,"Due Soon","Current"))))</f>
        <v/>
      </c>
    </row>
    <row r="891" ht="15" customHeight="1" s="39">
      <c r="A891" s="60" t="n"/>
      <c r="B891" s="60" t="n"/>
      <c r="C891" s="61" t="n"/>
      <c r="D891" s="61" t="n"/>
      <c r="E891" s="60" t="n"/>
      <c r="F891" s="60" t="n"/>
      <c r="G891" s="62" t="n"/>
      <c r="H891" s="62" t="n"/>
      <c r="I891" s="62" t="n"/>
      <c r="J891" s="60" t="n"/>
      <c r="K891" s="60" t="n"/>
      <c r="L891" s="60" t="n"/>
      <c r="M891" s="61" t="n"/>
      <c r="N891" s="60" t="n"/>
      <c r="O891" s="60" t="n"/>
      <c r="P891" s="60" t="n"/>
      <c r="Q891" s="60" t="n"/>
      <c r="R891" s="60" t="n"/>
      <c r="S891" s="60" t="n"/>
      <c r="T891" s="60" t="n"/>
      <c r="U891" s="60" t="n"/>
      <c r="V891" s="60" t="n"/>
      <c r="W891" s="60" t="n"/>
      <c r="X891" s="60" t="n"/>
      <c r="Y891" s="60" t="n"/>
      <c r="Z891" s="61" t="n"/>
      <c r="AA891" s="63">
        <f>IF($H891="","",TODAY()-$H891)</f>
        <v/>
      </c>
      <c r="AB891" s="63">
        <f>IF($A891="","",IF(AND($F891="Yes",OR($U891="No",$U891="NOT FOUND")),"YES",""))</f>
        <v/>
      </c>
      <c r="AC891" s="66">
        <f>IF($A891="","",TRIM(IF(AND($P891=0,$L891&lt;&gt;"Yes"),"T0-NoSmartcard ","")&amp;IF(AND($J891&lt;&gt;"",$J891&gt;365),"StalePwd ","")&amp;IF($K891="Yes","PwdNeverExpires ","")&amp;IF(AND($S891&lt;&gt;"",$S891&lt;&gt;"None"),"Delegation ","")&amp;IF(AND($Q891=1,$O891="None"),"StaleAdminCount ","")&amp;IF(AND($F891="Yes",$H891=""),"NeverLoggedOn ","")))</f>
        <v/>
      </c>
      <c r="AD891" s="60" t="n"/>
      <c r="AE891" s="61" t="n"/>
      <c r="AF891" s="60" t="n"/>
      <c r="AG891" s="62" t="n"/>
      <c r="AH891" s="62" t="n"/>
      <c r="AI891" s="62" t="n"/>
      <c r="AJ891" s="60" t="n"/>
      <c r="AK891" s="61" t="n"/>
      <c r="AL891" s="63">
        <f>IF($A891="","",IF(AH891="","Not Enrolled",IF(TODAY()&gt;AH891,"Review Overdue",IF(AH891-TODAY()&lt;=30,"Review Due Soon","Active"))))</f>
        <v/>
      </c>
      <c r="AM891" s="63">
        <f>IF($A891="","",IF(AI891="","NOT REVIEWED",IF(TODAY()-AI891&gt;90,"OVERDUE",IF(TODAY()-AI891&gt;76,"Due Soon","Current"))))</f>
        <v/>
      </c>
    </row>
    <row r="892" ht="15" customHeight="1" s="39">
      <c r="A892" s="60" t="n"/>
      <c r="B892" s="60" t="n"/>
      <c r="C892" s="61" t="n"/>
      <c r="D892" s="61" t="n"/>
      <c r="E892" s="60" t="n"/>
      <c r="F892" s="60" t="n"/>
      <c r="G892" s="62" t="n"/>
      <c r="H892" s="62" t="n"/>
      <c r="I892" s="62" t="n"/>
      <c r="J892" s="60" t="n"/>
      <c r="K892" s="60" t="n"/>
      <c r="L892" s="60" t="n"/>
      <c r="M892" s="61" t="n"/>
      <c r="N892" s="60" t="n"/>
      <c r="O892" s="60" t="n"/>
      <c r="P892" s="60" t="n"/>
      <c r="Q892" s="60" t="n"/>
      <c r="R892" s="60" t="n"/>
      <c r="S892" s="60" t="n"/>
      <c r="T892" s="60" t="n"/>
      <c r="U892" s="60" t="n"/>
      <c r="V892" s="60" t="n"/>
      <c r="W892" s="60" t="n"/>
      <c r="X892" s="60" t="n"/>
      <c r="Y892" s="60" t="n"/>
      <c r="Z892" s="61" t="n"/>
      <c r="AA892" s="63">
        <f>IF($H892="","",TODAY()-$H892)</f>
        <v/>
      </c>
      <c r="AB892" s="63">
        <f>IF($A892="","",IF(AND($F892="Yes",OR($U892="No",$U892="NOT FOUND")),"YES",""))</f>
        <v/>
      </c>
      <c r="AC892" s="66">
        <f>IF($A892="","",TRIM(IF(AND($P892=0,$L892&lt;&gt;"Yes"),"T0-NoSmartcard ","")&amp;IF(AND($J892&lt;&gt;"",$J892&gt;365),"StalePwd ","")&amp;IF($K892="Yes","PwdNeverExpires ","")&amp;IF(AND($S892&lt;&gt;"",$S892&lt;&gt;"None"),"Delegation ","")&amp;IF(AND($Q892=1,$O892="None"),"StaleAdminCount ","")&amp;IF(AND($F892="Yes",$H892=""),"NeverLoggedOn ","")))</f>
        <v/>
      </c>
      <c r="AD892" s="60" t="n"/>
      <c r="AE892" s="61" t="n"/>
      <c r="AF892" s="60" t="n"/>
      <c r="AG892" s="62" t="n"/>
      <c r="AH892" s="62" t="n"/>
      <c r="AI892" s="62" t="n"/>
      <c r="AJ892" s="60" t="n"/>
      <c r="AK892" s="61" t="n"/>
      <c r="AL892" s="63">
        <f>IF($A892="","",IF(AH892="","Not Enrolled",IF(TODAY()&gt;AH892,"Review Overdue",IF(AH892-TODAY()&lt;=30,"Review Due Soon","Active"))))</f>
        <v/>
      </c>
      <c r="AM892" s="63">
        <f>IF($A892="","",IF(AI892="","NOT REVIEWED",IF(TODAY()-AI892&gt;90,"OVERDUE",IF(TODAY()-AI892&gt;76,"Due Soon","Current"))))</f>
        <v/>
      </c>
    </row>
    <row r="893" ht="15" customHeight="1" s="39">
      <c r="A893" s="60" t="n"/>
      <c r="B893" s="60" t="n"/>
      <c r="C893" s="61" t="n"/>
      <c r="D893" s="61" t="n"/>
      <c r="E893" s="60" t="n"/>
      <c r="F893" s="60" t="n"/>
      <c r="G893" s="62" t="n"/>
      <c r="H893" s="62" t="n"/>
      <c r="I893" s="62" t="n"/>
      <c r="J893" s="60" t="n"/>
      <c r="K893" s="60" t="n"/>
      <c r="L893" s="60" t="n"/>
      <c r="M893" s="61" t="n"/>
      <c r="N893" s="60" t="n"/>
      <c r="O893" s="60" t="n"/>
      <c r="P893" s="60" t="n"/>
      <c r="Q893" s="60" t="n"/>
      <c r="R893" s="60" t="n"/>
      <c r="S893" s="60" t="n"/>
      <c r="T893" s="60" t="n"/>
      <c r="U893" s="60" t="n"/>
      <c r="V893" s="60" t="n"/>
      <c r="W893" s="60" t="n"/>
      <c r="X893" s="60" t="n"/>
      <c r="Y893" s="60" t="n"/>
      <c r="Z893" s="61" t="n"/>
      <c r="AA893" s="63">
        <f>IF($H893="","",TODAY()-$H893)</f>
        <v/>
      </c>
      <c r="AB893" s="63">
        <f>IF($A893="","",IF(AND($F893="Yes",OR($U893="No",$U893="NOT FOUND")),"YES",""))</f>
        <v/>
      </c>
      <c r="AC893" s="66">
        <f>IF($A893="","",TRIM(IF(AND($P893=0,$L893&lt;&gt;"Yes"),"T0-NoSmartcard ","")&amp;IF(AND($J893&lt;&gt;"",$J893&gt;365),"StalePwd ","")&amp;IF($K893="Yes","PwdNeverExpires ","")&amp;IF(AND($S893&lt;&gt;"",$S893&lt;&gt;"None"),"Delegation ","")&amp;IF(AND($Q893=1,$O893="None"),"StaleAdminCount ","")&amp;IF(AND($F893="Yes",$H893=""),"NeverLoggedOn ","")))</f>
        <v/>
      </c>
      <c r="AD893" s="60" t="n"/>
      <c r="AE893" s="61" t="n"/>
      <c r="AF893" s="60" t="n"/>
      <c r="AG893" s="62" t="n"/>
      <c r="AH893" s="62" t="n"/>
      <c r="AI893" s="62" t="n"/>
      <c r="AJ893" s="60" t="n"/>
      <c r="AK893" s="61" t="n"/>
      <c r="AL893" s="63">
        <f>IF($A893="","",IF(AH893="","Not Enrolled",IF(TODAY()&gt;AH893,"Review Overdue",IF(AH893-TODAY()&lt;=30,"Review Due Soon","Active"))))</f>
        <v/>
      </c>
      <c r="AM893" s="63">
        <f>IF($A893="","",IF(AI893="","NOT REVIEWED",IF(TODAY()-AI893&gt;90,"OVERDUE",IF(TODAY()-AI893&gt;76,"Due Soon","Current"))))</f>
        <v/>
      </c>
    </row>
    <row r="894" ht="15" customHeight="1" s="39">
      <c r="A894" s="60" t="n"/>
      <c r="B894" s="60" t="n"/>
      <c r="C894" s="61" t="n"/>
      <c r="D894" s="61" t="n"/>
      <c r="E894" s="60" t="n"/>
      <c r="F894" s="60" t="n"/>
      <c r="G894" s="62" t="n"/>
      <c r="H894" s="62" t="n"/>
      <c r="I894" s="62" t="n"/>
      <c r="J894" s="60" t="n"/>
      <c r="K894" s="60" t="n"/>
      <c r="L894" s="60" t="n"/>
      <c r="M894" s="61" t="n"/>
      <c r="N894" s="60" t="n"/>
      <c r="O894" s="60" t="n"/>
      <c r="P894" s="60" t="n"/>
      <c r="Q894" s="60" t="n"/>
      <c r="R894" s="60" t="n"/>
      <c r="S894" s="60" t="n"/>
      <c r="T894" s="60" t="n"/>
      <c r="U894" s="60" t="n"/>
      <c r="V894" s="60" t="n"/>
      <c r="W894" s="60" t="n"/>
      <c r="X894" s="60" t="n"/>
      <c r="Y894" s="60" t="n"/>
      <c r="Z894" s="61" t="n"/>
      <c r="AA894" s="63">
        <f>IF($H894="","",TODAY()-$H894)</f>
        <v/>
      </c>
      <c r="AB894" s="63">
        <f>IF($A894="","",IF(AND($F894="Yes",OR($U894="No",$U894="NOT FOUND")),"YES",""))</f>
        <v/>
      </c>
      <c r="AC894" s="66">
        <f>IF($A894="","",TRIM(IF(AND($P894=0,$L894&lt;&gt;"Yes"),"T0-NoSmartcard ","")&amp;IF(AND($J894&lt;&gt;"",$J894&gt;365),"StalePwd ","")&amp;IF($K894="Yes","PwdNeverExpires ","")&amp;IF(AND($S894&lt;&gt;"",$S894&lt;&gt;"None"),"Delegation ","")&amp;IF(AND($Q894=1,$O894="None"),"StaleAdminCount ","")&amp;IF(AND($F894="Yes",$H894=""),"NeverLoggedOn ","")))</f>
        <v/>
      </c>
      <c r="AD894" s="60" t="n"/>
      <c r="AE894" s="61" t="n"/>
      <c r="AF894" s="60" t="n"/>
      <c r="AG894" s="62" t="n"/>
      <c r="AH894" s="62" t="n"/>
      <c r="AI894" s="62" t="n"/>
      <c r="AJ894" s="60" t="n"/>
      <c r="AK894" s="61" t="n"/>
      <c r="AL894" s="63">
        <f>IF($A894="","",IF(AH894="","Not Enrolled",IF(TODAY()&gt;AH894,"Review Overdue",IF(AH894-TODAY()&lt;=30,"Review Due Soon","Active"))))</f>
        <v/>
      </c>
      <c r="AM894" s="63">
        <f>IF($A894="","",IF(AI894="","NOT REVIEWED",IF(TODAY()-AI894&gt;90,"OVERDUE",IF(TODAY()-AI894&gt;76,"Due Soon","Current"))))</f>
        <v/>
      </c>
    </row>
    <row r="895" ht="15" customHeight="1" s="39">
      <c r="A895" s="60" t="n"/>
      <c r="B895" s="60" t="n"/>
      <c r="C895" s="61" t="n"/>
      <c r="D895" s="61" t="n"/>
      <c r="E895" s="60" t="n"/>
      <c r="F895" s="60" t="n"/>
      <c r="G895" s="62" t="n"/>
      <c r="H895" s="62" t="n"/>
      <c r="I895" s="62" t="n"/>
      <c r="J895" s="60" t="n"/>
      <c r="K895" s="60" t="n"/>
      <c r="L895" s="60" t="n"/>
      <c r="M895" s="61" t="n"/>
      <c r="N895" s="60" t="n"/>
      <c r="O895" s="60" t="n"/>
      <c r="P895" s="60" t="n"/>
      <c r="Q895" s="60" t="n"/>
      <c r="R895" s="60" t="n"/>
      <c r="S895" s="60" t="n"/>
      <c r="T895" s="60" t="n"/>
      <c r="U895" s="60" t="n"/>
      <c r="V895" s="60" t="n"/>
      <c r="W895" s="60" t="n"/>
      <c r="X895" s="60" t="n"/>
      <c r="Y895" s="60" t="n"/>
      <c r="Z895" s="61" t="n"/>
      <c r="AA895" s="63">
        <f>IF($H895="","",TODAY()-$H895)</f>
        <v/>
      </c>
      <c r="AB895" s="63">
        <f>IF($A895="","",IF(AND($F895="Yes",OR($U895="No",$U895="NOT FOUND")),"YES",""))</f>
        <v/>
      </c>
      <c r="AC895" s="66">
        <f>IF($A895="","",TRIM(IF(AND($P895=0,$L895&lt;&gt;"Yes"),"T0-NoSmartcard ","")&amp;IF(AND($J895&lt;&gt;"",$J895&gt;365),"StalePwd ","")&amp;IF($K895="Yes","PwdNeverExpires ","")&amp;IF(AND($S895&lt;&gt;"",$S895&lt;&gt;"None"),"Delegation ","")&amp;IF(AND($Q895=1,$O895="None"),"StaleAdminCount ","")&amp;IF(AND($F895="Yes",$H895=""),"NeverLoggedOn ","")))</f>
        <v/>
      </c>
      <c r="AD895" s="60" t="n"/>
      <c r="AE895" s="61" t="n"/>
      <c r="AF895" s="60" t="n"/>
      <c r="AG895" s="62" t="n"/>
      <c r="AH895" s="62" t="n"/>
      <c r="AI895" s="62" t="n"/>
      <c r="AJ895" s="60" t="n"/>
      <c r="AK895" s="61" t="n"/>
      <c r="AL895" s="63">
        <f>IF($A895="","",IF(AH895="","Not Enrolled",IF(TODAY()&gt;AH895,"Review Overdue",IF(AH895-TODAY()&lt;=30,"Review Due Soon","Active"))))</f>
        <v/>
      </c>
      <c r="AM895" s="63">
        <f>IF($A895="","",IF(AI895="","NOT REVIEWED",IF(TODAY()-AI895&gt;90,"OVERDUE",IF(TODAY()-AI895&gt;76,"Due Soon","Current"))))</f>
        <v/>
      </c>
    </row>
    <row r="896" ht="15" customHeight="1" s="39">
      <c r="A896" s="60" t="n"/>
      <c r="B896" s="60" t="n"/>
      <c r="C896" s="61" t="n"/>
      <c r="D896" s="61" t="n"/>
      <c r="E896" s="60" t="n"/>
      <c r="F896" s="60" t="n"/>
      <c r="G896" s="62" t="n"/>
      <c r="H896" s="62" t="n"/>
      <c r="I896" s="62" t="n"/>
      <c r="J896" s="60" t="n"/>
      <c r="K896" s="60" t="n"/>
      <c r="L896" s="60" t="n"/>
      <c r="M896" s="61" t="n"/>
      <c r="N896" s="60" t="n"/>
      <c r="O896" s="60" t="n"/>
      <c r="P896" s="60" t="n"/>
      <c r="Q896" s="60" t="n"/>
      <c r="R896" s="60" t="n"/>
      <c r="S896" s="60" t="n"/>
      <c r="T896" s="60" t="n"/>
      <c r="U896" s="60" t="n"/>
      <c r="V896" s="60" t="n"/>
      <c r="W896" s="60" t="n"/>
      <c r="X896" s="60" t="n"/>
      <c r="Y896" s="60" t="n"/>
      <c r="Z896" s="61" t="n"/>
      <c r="AA896" s="63">
        <f>IF($H896="","",TODAY()-$H896)</f>
        <v/>
      </c>
      <c r="AB896" s="63">
        <f>IF($A896="","",IF(AND($F896="Yes",OR($U896="No",$U896="NOT FOUND")),"YES",""))</f>
        <v/>
      </c>
      <c r="AC896" s="66">
        <f>IF($A896="","",TRIM(IF(AND($P896=0,$L896&lt;&gt;"Yes"),"T0-NoSmartcard ","")&amp;IF(AND($J896&lt;&gt;"",$J896&gt;365),"StalePwd ","")&amp;IF($K896="Yes","PwdNeverExpires ","")&amp;IF(AND($S896&lt;&gt;"",$S896&lt;&gt;"None"),"Delegation ","")&amp;IF(AND($Q896=1,$O896="None"),"StaleAdminCount ","")&amp;IF(AND($F896="Yes",$H896=""),"NeverLoggedOn ","")))</f>
        <v/>
      </c>
      <c r="AD896" s="60" t="n"/>
      <c r="AE896" s="61" t="n"/>
      <c r="AF896" s="60" t="n"/>
      <c r="AG896" s="62" t="n"/>
      <c r="AH896" s="62" t="n"/>
      <c r="AI896" s="62" t="n"/>
      <c r="AJ896" s="60" t="n"/>
      <c r="AK896" s="61" t="n"/>
      <c r="AL896" s="63">
        <f>IF($A896="","",IF(AH896="","Not Enrolled",IF(TODAY()&gt;AH896,"Review Overdue",IF(AH896-TODAY()&lt;=30,"Review Due Soon","Active"))))</f>
        <v/>
      </c>
      <c r="AM896" s="63">
        <f>IF($A896="","",IF(AI896="","NOT REVIEWED",IF(TODAY()-AI896&gt;90,"OVERDUE",IF(TODAY()-AI896&gt;76,"Due Soon","Current"))))</f>
        <v/>
      </c>
    </row>
    <row r="897" ht="15" customHeight="1" s="39">
      <c r="A897" s="60" t="n"/>
      <c r="B897" s="60" t="n"/>
      <c r="C897" s="61" t="n"/>
      <c r="D897" s="61" t="n"/>
      <c r="E897" s="60" t="n"/>
      <c r="F897" s="60" t="n"/>
      <c r="G897" s="62" t="n"/>
      <c r="H897" s="62" t="n"/>
      <c r="I897" s="62" t="n"/>
      <c r="J897" s="60" t="n"/>
      <c r="K897" s="60" t="n"/>
      <c r="L897" s="60" t="n"/>
      <c r="M897" s="61" t="n"/>
      <c r="N897" s="60" t="n"/>
      <c r="O897" s="60" t="n"/>
      <c r="P897" s="60" t="n"/>
      <c r="Q897" s="60" t="n"/>
      <c r="R897" s="60" t="n"/>
      <c r="S897" s="60" t="n"/>
      <c r="T897" s="60" t="n"/>
      <c r="U897" s="60" t="n"/>
      <c r="V897" s="60" t="n"/>
      <c r="W897" s="60" t="n"/>
      <c r="X897" s="60" t="n"/>
      <c r="Y897" s="60" t="n"/>
      <c r="Z897" s="61" t="n"/>
      <c r="AA897" s="63">
        <f>IF($H897="","",TODAY()-$H897)</f>
        <v/>
      </c>
      <c r="AB897" s="63">
        <f>IF($A897="","",IF(AND($F897="Yes",OR($U897="No",$U897="NOT FOUND")),"YES",""))</f>
        <v/>
      </c>
      <c r="AC897" s="66">
        <f>IF($A897="","",TRIM(IF(AND($P897=0,$L897&lt;&gt;"Yes"),"T0-NoSmartcard ","")&amp;IF(AND($J897&lt;&gt;"",$J897&gt;365),"StalePwd ","")&amp;IF($K897="Yes","PwdNeverExpires ","")&amp;IF(AND($S897&lt;&gt;"",$S897&lt;&gt;"None"),"Delegation ","")&amp;IF(AND($Q897=1,$O897="None"),"StaleAdminCount ","")&amp;IF(AND($F897="Yes",$H897=""),"NeverLoggedOn ","")))</f>
        <v/>
      </c>
      <c r="AD897" s="60" t="n"/>
      <c r="AE897" s="61" t="n"/>
      <c r="AF897" s="60" t="n"/>
      <c r="AG897" s="62" t="n"/>
      <c r="AH897" s="62" t="n"/>
      <c r="AI897" s="62" t="n"/>
      <c r="AJ897" s="60" t="n"/>
      <c r="AK897" s="61" t="n"/>
      <c r="AL897" s="63">
        <f>IF($A897="","",IF(AH897="","Not Enrolled",IF(TODAY()&gt;AH897,"Review Overdue",IF(AH897-TODAY()&lt;=30,"Review Due Soon","Active"))))</f>
        <v/>
      </c>
      <c r="AM897" s="63">
        <f>IF($A897="","",IF(AI897="","NOT REVIEWED",IF(TODAY()-AI897&gt;90,"OVERDUE",IF(TODAY()-AI897&gt;76,"Due Soon","Current"))))</f>
        <v/>
      </c>
    </row>
    <row r="898" ht="15" customHeight="1" s="39">
      <c r="A898" s="60" t="n"/>
      <c r="B898" s="60" t="n"/>
      <c r="C898" s="61" t="n"/>
      <c r="D898" s="61" t="n"/>
      <c r="E898" s="60" t="n"/>
      <c r="F898" s="60" t="n"/>
      <c r="G898" s="62" t="n"/>
      <c r="H898" s="62" t="n"/>
      <c r="I898" s="62" t="n"/>
      <c r="J898" s="60" t="n"/>
      <c r="K898" s="60" t="n"/>
      <c r="L898" s="60" t="n"/>
      <c r="M898" s="61" t="n"/>
      <c r="N898" s="60" t="n"/>
      <c r="O898" s="60" t="n"/>
      <c r="P898" s="60" t="n"/>
      <c r="Q898" s="60" t="n"/>
      <c r="R898" s="60" t="n"/>
      <c r="S898" s="60" t="n"/>
      <c r="T898" s="60" t="n"/>
      <c r="U898" s="60" t="n"/>
      <c r="V898" s="60" t="n"/>
      <c r="W898" s="60" t="n"/>
      <c r="X898" s="60" t="n"/>
      <c r="Y898" s="60" t="n"/>
      <c r="Z898" s="61" t="n"/>
      <c r="AA898" s="63">
        <f>IF($H898="","",TODAY()-$H898)</f>
        <v/>
      </c>
      <c r="AB898" s="63">
        <f>IF($A898="","",IF(AND($F898="Yes",OR($U898="No",$U898="NOT FOUND")),"YES",""))</f>
        <v/>
      </c>
      <c r="AC898" s="66">
        <f>IF($A898="","",TRIM(IF(AND($P898=0,$L898&lt;&gt;"Yes"),"T0-NoSmartcard ","")&amp;IF(AND($J898&lt;&gt;"",$J898&gt;365),"StalePwd ","")&amp;IF($K898="Yes","PwdNeverExpires ","")&amp;IF(AND($S898&lt;&gt;"",$S898&lt;&gt;"None"),"Delegation ","")&amp;IF(AND($Q898=1,$O898="None"),"StaleAdminCount ","")&amp;IF(AND($F898="Yes",$H898=""),"NeverLoggedOn ","")))</f>
        <v/>
      </c>
      <c r="AD898" s="60" t="n"/>
      <c r="AE898" s="61" t="n"/>
      <c r="AF898" s="60" t="n"/>
      <c r="AG898" s="62" t="n"/>
      <c r="AH898" s="62" t="n"/>
      <c r="AI898" s="62" t="n"/>
      <c r="AJ898" s="60" t="n"/>
      <c r="AK898" s="61" t="n"/>
      <c r="AL898" s="63">
        <f>IF($A898="","",IF(AH898="","Not Enrolled",IF(TODAY()&gt;AH898,"Review Overdue",IF(AH898-TODAY()&lt;=30,"Review Due Soon","Active"))))</f>
        <v/>
      </c>
      <c r="AM898" s="63">
        <f>IF($A898="","",IF(AI898="","NOT REVIEWED",IF(TODAY()-AI898&gt;90,"OVERDUE",IF(TODAY()-AI898&gt;76,"Due Soon","Current"))))</f>
        <v/>
      </c>
    </row>
    <row r="899" ht="15" customHeight="1" s="39">
      <c r="A899" s="60" t="n"/>
      <c r="B899" s="60" t="n"/>
      <c r="C899" s="61" t="n"/>
      <c r="D899" s="61" t="n"/>
      <c r="E899" s="60" t="n"/>
      <c r="F899" s="60" t="n"/>
      <c r="G899" s="62" t="n"/>
      <c r="H899" s="62" t="n"/>
      <c r="I899" s="62" t="n"/>
      <c r="J899" s="60" t="n"/>
      <c r="K899" s="60" t="n"/>
      <c r="L899" s="60" t="n"/>
      <c r="M899" s="61" t="n"/>
      <c r="N899" s="60" t="n"/>
      <c r="O899" s="60" t="n"/>
      <c r="P899" s="60" t="n"/>
      <c r="Q899" s="60" t="n"/>
      <c r="R899" s="60" t="n"/>
      <c r="S899" s="60" t="n"/>
      <c r="T899" s="60" t="n"/>
      <c r="U899" s="60" t="n"/>
      <c r="V899" s="60" t="n"/>
      <c r="W899" s="60" t="n"/>
      <c r="X899" s="60" t="n"/>
      <c r="Y899" s="60" t="n"/>
      <c r="Z899" s="61" t="n"/>
      <c r="AA899" s="63">
        <f>IF($H899="","",TODAY()-$H899)</f>
        <v/>
      </c>
      <c r="AB899" s="63">
        <f>IF($A899="","",IF(AND($F899="Yes",OR($U899="No",$U899="NOT FOUND")),"YES",""))</f>
        <v/>
      </c>
      <c r="AC899" s="66">
        <f>IF($A899="","",TRIM(IF(AND($P899=0,$L899&lt;&gt;"Yes"),"T0-NoSmartcard ","")&amp;IF(AND($J899&lt;&gt;"",$J899&gt;365),"StalePwd ","")&amp;IF($K899="Yes","PwdNeverExpires ","")&amp;IF(AND($S899&lt;&gt;"",$S899&lt;&gt;"None"),"Delegation ","")&amp;IF(AND($Q899=1,$O899="None"),"StaleAdminCount ","")&amp;IF(AND($F899="Yes",$H899=""),"NeverLoggedOn ","")))</f>
        <v/>
      </c>
      <c r="AD899" s="60" t="n"/>
      <c r="AE899" s="61" t="n"/>
      <c r="AF899" s="60" t="n"/>
      <c r="AG899" s="62" t="n"/>
      <c r="AH899" s="62" t="n"/>
      <c r="AI899" s="62" t="n"/>
      <c r="AJ899" s="60" t="n"/>
      <c r="AK899" s="61" t="n"/>
      <c r="AL899" s="63">
        <f>IF($A899="","",IF(AH899="","Not Enrolled",IF(TODAY()&gt;AH899,"Review Overdue",IF(AH899-TODAY()&lt;=30,"Review Due Soon","Active"))))</f>
        <v/>
      </c>
      <c r="AM899" s="63">
        <f>IF($A899="","",IF(AI899="","NOT REVIEWED",IF(TODAY()-AI899&gt;90,"OVERDUE",IF(TODAY()-AI899&gt;76,"Due Soon","Current"))))</f>
        <v/>
      </c>
    </row>
    <row r="900" ht="15" customHeight="1" s="39">
      <c r="A900" s="60" t="n"/>
      <c r="B900" s="60" t="n"/>
      <c r="C900" s="61" t="n"/>
      <c r="D900" s="61" t="n"/>
      <c r="E900" s="60" t="n"/>
      <c r="F900" s="60" t="n"/>
      <c r="G900" s="62" t="n"/>
      <c r="H900" s="62" t="n"/>
      <c r="I900" s="62" t="n"/>
      <c r="J900" s="60" t="n"/>
      <c r="K900" s="60" t="n"/>
      <c r="L900" s="60" t="n"/>
      <c r="M900" s="61" t="n"/>
      <c r="N900" s="60" t="n"/>
      <c r="O900" s="60" t="n"/>
      <c r="P900" s="60" t="n"/>
      <c r="Q900" s="60" t="n"/>
      <c r="R900" s="60" t="n"/>
      <c r="S900" s="60" t="n"/>
      <c r="T900" s="60" t="n"/>
      <c r="U900" s="60" t="n"/>
      <c r="V900" s="60" t="n"/>
      <c r="W900" s="60" t="n"/>
      <c r="X900" s="60" t="n"/>
      <c r="Y900" s="60" t="n"/>
      <c r="Z900" s="61" t="n"/>
      <c r="AA900" s="63">
        <f>IF($H900="","",TODAY()-$H900)</f>
        <v/>
      </c>
      <c r="AB900" s="63">
        <f>IF($A900="","",IF(AND($F900="Yes",OR($U900="No",$U900="NOT FOUND")),"YES",""))</f>
        <v/>
      </c>
      <c r="AC900" s="66">
        <f>IF($A900="","",TRIM(IF(AND($P900=0,$L900&lt;&gt;"Yes"),"T0-NoSmartcard ","")&amp;IF(AND($J900&lt;&gt;"",$J900&gt;365),"StalePwd ","")&amp;IF($K900="Yes","PwdNeverExpires ","")&amp;IF(AND($S900&lt;&gt;"",$S900&lt;&gt;"None"),"Delegation ","")&amp;IF(AND($Q900=1,$O900="None"),"StaleAdminCount ","")&amp;IF(AND($F900="Yes",$H900=""),"NeverLoggedOn ","")))</f>
        <v/>
      </c>
      <c r="AD900" s="60" t="n"/>
      <c r="AE900" s="61" t="n"/>
      <c r="AF900" s="60" t="n"/>
      <c r="AG900" s="62" t="n"/>
      <c r="AH900" s="62" t="n"/>
      <c r="AI900" s="62" t="n"/>
      <c r="AJ900" s="60" t="n"/>
      <c r="AK900" s="61" t="n"/>
      <c r="AL900" s="63">
        <f>IF($A900="","",IF(AH900="","Not Enrolled",IF(TODAY()&gt;AH900,"Review Overdue",IF(AH900-TODAY()&lt;=30,"Review Due Soon","Active"))))</f>
        <v/>
      </c>
      <c r="AM900" s="63">
        <f>IF($A900="","",IF(AI900="","NOT REVIEWED",IF(TODAY()-AI900&gt;90,"OVERDUE",IF(TODAY()-AI900&gt;76,"Due Soon","Current"))))</f>
        <v/>
      </c>
    </row>
    <row r="901" ht="15" customHeight="1" s="39">
      <c r="A901" s="60" t="n"/>
      <c r="B901" s="60" t="n"/>
      <c r="C901" s="61" t="n"/>
      <c r="D901" s="61" t="n"/>
      <c r="E901" s="60" t="n"/>
      <c r="F901" s="60" t="n"/>
      <c r="G901" s="62" t="n"/>
      <c r="H901" s="62" t="n"/>
      <c r="I901" s="62" t="n"/>
      <c r="J901" s="60" t="n"/>
      <c r="K901" s="60" t="n"/>
      <c r="L901" s="60" t="n"/>
      <c r="M901" s="61" t="n"/>
      <c r="N901" s="60" t="n"/>
      <c r="O901" s="60" t="n"/>
      <c r="P901" s="60" t="n"/>
      <c r="Q901" s="60" t="n"/>
      <c r="R901" s="60" t="n"/>
      <c r="S901" s="60" t="n"/>
      <c r="T901" s="60" t="n"/>
      <c r="U901" s="60" t="n"/>
      <c r="V901" s="60" t="n"/>
      <c r="W901" s="60" t="n"/>
      <c r="X901" s="60" t="n"/>
      <c r="Y901" s="60" t="n"/>
      <c r="Z901" s="61" t="n"/>
      <c r="AA901" s="63">
        <f>IF($H901="","",TODAY()-$H901)</f>
        <v/>
      </c>
      <c r="AB901" s="63">
        <f>IF($A901="","",IF(AND($F901="Yes",OR($U901="No",$U901="NOT FOUND")),"YES",""))</f>
        <v/>
      </c>
      <c r="AC901" s="66">
        <f>IF($A901="","",TRIM(IF(AND($P901=0,$L901&lt;&gt;"Yes"),"T0-NoSmartcard ","")&amp;IF(AND($J901&lt;&gt;"",$J901&gt;365),"StalePwd ","")&amp;IF($K901="Yes","PwdNeverExpires ","")&amp;IF(AND($S901&lt;&gt;"",$S901&lt;&gt;"None"),"Delegation ","")&amp;IF(AND($Q901=1,$O901="None"),"StaleAdminCount ","")&amp;IF(AND($F901="Yes",$H901=""),"NeverLoggedOn ","")))</f>
        <v/>
      </c>
      <c r="AD901" s="60" t="n"/>
      <c r="AE901" s="61" t="n"/>
      <c r="AF901" s="60" t="n"/>
      <c r="AG901" s="62" t="n"/>
      <c r="AH901" s="62" t="n"/>
      <c r="AI901" s="62" t="n"/>
      <c r="AJ901" s="60" t="n"/>
      <c r="AK901" s="61" t="n"/>
      <c r="AL901" s="63">
        <f>IF($A901="","",IF(AH901="","Not Enrolled",IF(TODAY()&gt;AH901,"Review Overdue",IF(AH901-TODAY()&lt;=30,"Review Due Soon","Active"))))</f>
        <v/>
      </c>
      <c r="AM901" s="63">
        <f>IF($A901="","",IF(AI901="","NOT REVIEWED",IF(TODAY()-AI901&gt;90,"OVERDUE",IF(TODAY()-AI901&gt;76,"Due Soon","Current"))))</f>
        <v/>
      </c>
    </row>
    <row r="902" ht="15" customHeight="1" s="39">
      <c r="A902" s="60" t="n"/>
      <c r="B902" s="60" t="n"/>
      <c r="C902" s="61" t="n"/>
      <c r="D902" s="61" t="n"/>
      <c r="E902" s="60" t="n"/>
      <c r="F902" s="60" t="n"/>
      <c r="G902" s="62" t="n"/>
      <c r="H902" s="62" t="n"/>
      <c r="I902" s="62" t="n"/>
      <c r="J902" s="60" t="n"/>
      <c r="K902" s="60" t="n"/>
      <c r="L902" s="60" t="n"/>
      <c r="M902" s="61" t="n"/>
      <c r="N902" s="60" t="n"/>
      <c r="O902" s="60" t="n"/>
      <c r="P902" s="60" t="n"/>
      <c r="Q902" s="60" t="n"/>
      <c r="R902" s="60" t="n"/>
      <c r="S902" s="60" t="n"/>
      <c r="T902" s="60" t="n"/>
      <c r="U902" s="60" t="n"/>
      <c r="V902" s="60" t="n"/>
      <c r="W902" s="60" t="n"/>
      <c r="X902" s="60" t="n"/>
      <c r="Y902" s="60" t="n"/>
      <c r="Z902" s="61" t="n"/>
      <c r="AA902" s="63">
        <f>IF($H902="","",TODAY()-$H902)</f>
        <v/>
      </c>
      <c r="AB902" s="63">
        <f>IF($A902="","",IF(AND($F902="Yes",OR($U902="No",$U902="NOT FOUND")),"YES",""))</f>
        <v/>
      </c>
      <c r="AC902" s="66">
        <f>IF($A902="","",TRIM(IF(AND($P902=0,$L902&lt;&gt;"Yes"),"T0-NoSmartcard ","")&amp;IF(AND($J902&lt;&gt;"",$J902&gt;365),"StalePwd ","")&amp;IF($K902="Yes","PwdNeverExpires ","")&amp;IF(AND($S902&lt;&gt;"",$S902&lt;&gt;"None"),"Delegation ","")&amp;IF(AND($Q902=1,$O902="None"),"StaleAdminCount ","")&amp;IF(AND($F902="Yes",$H902=""),"NeverLoggedOn ","")))</f>
        <v/>
      </c>
      <c r="AD902" s="60" t="n"/>
      <c r="AE902" s="61" t="n"/>
      <c r="AF902" s="60" t="n"/>
      <c r="AG902" s="62" t="n"/>
      <c r="AH902" s="62" t="n"/>
      <c r="AI902" s="62" t="n"/>
      <c r="AJ902" s="60" t="n"/>
      <c r="AK902" s="61" t="n"/>
      <c r="AL902" s="63">
        <f>IF($A902="","",IF(AH902="","Not Enrolled",IF(TODAY()&gt;AH902,"Review Overdue",IF(AH902-TODAY()&lt;=30,"Review Due Soon","Active"))))</f>
        <v/>
      </c>
      <c r="AM902" s="63">
        <f>IF($A902="","",IF(AI902="","NOT REVIEWED",IF(TODAY()-AI902&gt;90,"OVERDUE",IF(TODAY()-AI902&gt;76,"Due Soon","Current"))))</f>
        <v/>
      </c>
    </row>
    <row r="903" ht="15" customHeight="1" s="39">
      <c r="A903" s="60" t="n"/>
      <c r="B903" s="60" t="n"/>
      <c r="C903" s="61" t="n"/>
      <c r="D903" s="61" t="n"/>
      <c r="E903" s="60" t="n"/>
      <c r="F903" s="60" t="n"/>
      <c r="G903" s="62" t="n"/>
      <c r="H903" s="62" t="n"/>
      <c r="I903" s="62" t="n"/>
      <c r="J903" s="60" t="n"/>
      <c r="K903" s="60" t="n"/>
      <c r="L903" s="60" t="n"/>
      <c r="M903" s="61" t="n"/>
      <c r="N903" s="60" t="n"/>
      <c r="O903" s="60" t="n"/>
      <c r="P903" s="60" t="n"/>
      <c r="Q903" s="60" t="n"/>
      <c r="R903" s="60" t="n"/>
      <c r="S903" s="60" t="n"/>
      <c r="T903" s="60" t="n"/>
      <c r="U903" s="60" t="n"/>
      <c r="V903" s="60" t="n"/>
      <c r="W903" s="60" t="n"/>
      <c r="X903" s="60" t="n"/>
      <c r="Y903" s="60" t="n"/>
      <c r="Z903" s="61" t="n"/>
      <c r="AA903" s="63">
        <f>IF($H903="","",TODAY()-$H903)</f>
        <v/>
      </c>
      <c r="AB903" s="63">
        <f>IF($A903="","",IF(AND($F903="Yes",OR($U903="No",$U903="NOT FOUND")),"YES",""))</f>
        <v/>
      </c>
      <c r="AC903" s="66">
        <f>IF($A903="","",TRIM(IF(AND($P903=0,$L903&lt;&gt;"Yes"),"T0-NoSmartcard ","")&amp;IF(AND($J903&lt;&gt;"",$J903&gt;365),"StalePwd ","")&amp;IF($K903="Yes","PwdNeverExpires ","")&amp;IF(AND($S903&lt;&gt;"",$S903&lt;&gt;"None"),"Delegation ","")&amp;IF(AND($Q903=1,$O903="None"),"StaleAdminCount ","")&amp;IF(AND($F903="Yes",$H903=""),"NeverLoggedOn ","")))</f>
        <v/>
      </c>
      <c r="AD903" s="60" t="n"/>
      <c r="AE903" s="61" t="n"/>
      <c r="AF903" s="60" t="n"/>
      <c r="AG903" s="62" t="n"/>
      <c r="AH903" s="62" t="n"/>
      <c r="AI903" s="62" t="n"/>
      <c r="AJ903" s="60" t="n"/>
      <c r="AK903" s="61" t="n"/>
      <c r="AL903" s="63">
        <f>IF($A903="","",IF(AH903="","Not Enrolled",IF(TODAY()&gt;AH903,"Review Overdue",IF(AH903-TODAY()&lt;=30,"Review Due Soon","Active"))))</f>
        <v/>
      </c>
      <c r="AM903" s="63">
        <f>IF($A903="","",IF(AI903="","NOT REVIEWED",IF(TODAY()-AI903&gt;90,"OVERDUE",IF(TODAY()-AI903&gt;76,"Due Soon","Current"))))</f>
        <v/>
      </c>
    </row>
    <row r="904" ht="15" customHeight="1" s="39">
      <c r="A904" s="60" t="n"/>
      <c r="B904" s="60" t="n"/>
      <c r="C904" s="61" t="n"/>
      <c r="D904" s="61" t="n"/>
      <c r="E904" s="60" t="n"/>
      <c r="F904" s="60" t="n"/>
      <c r="G904" s="62" t="n"/>
      <c r="H904" s="62" t="n"/>
      <c r="I904" s="62" t="n"/>
      <c r="J904" s="60" t="n"/>
      <c r="K904" s="60" t="n"/>
      <c r="L904" s="60" t="n"/>
      <c r="M904" s="61" t="n"/>
      <c r="N904" s="60" t="n"/>
      <c r="O904" s="60" t="n"/>
      <c r="P904" s="60" t="n"/>
      <c r="Q904" s="60" t="n"/>
      <c r="R904" s="60" t="n"/>
      <c r="S904" s="60" t="n"/>
      <c r="T904" s="60" t="n"/>
      <c r="U904" s="60" t="n"/>
      <c r="V904" s="60" t="n"/>
      <c r="W904" s="60" t="n"/>
      <c r="X904" s="60" t="n"/>
      <c r="Y904" s="60" t="n"/>
      <c r="Z904" s="61" t="n"/>
      <c r="AA904" s="63">
        <f>IF($H904="","",TODAY()-$H904)</f>
        <v/>
      </c>
      <c r="AB904" s="63">
        <f>IF($A904="","",IF(AND($F904="Yes",OR($U904="No",$U904="NOT FOUND")),"YES",""))</f>
        <v/>
      </c>
      <c r="AC904" s="66">
        <f>IF($A904="","",TRIM(IF(AND($P904=0,$L904&lt;&gt;"Yes"),"T0-NoSmartcard ","")&amp;IF(AND($J904&lt;&gt;"",$J904&gt;365),"StalePwd ","")&amp;IF($K904="Yes","PwdNeverExpires ","")&amp;IF(AND($S904&lt;&gt;"",$S904&lt;&gt;"None"),"Delegation ","")&amp;IF(AND($Q904=1,$O904="None"),"StaleAdminCount ","")&amp;IF(AND($F904="Yes",$H904=""),"NeverLoggedOn ","")))</f>
        <v/>
      </c>
      <c r="AD904" s="60" t="n"/>
      <c r="AE904" s="61" t="n"/>
      <c r="AF904" s="60" t="n"/>
      <c r="AG904" s="62" t="n"/>
      <c r="AH904" s="62" t="n"/>
      <c r="AI904" s="62" t="n"/>
      <c r="AJ904" s="60" t="n"/>
      <c r="AK904" s="61" t="n"/>
      <c r="AL904" s="63">
        <f>IF($A904="","",IF(AH904="","Not Enrolled",IF(TODAY()&gt;AH904,"Review Overdue",IF(AH904-TODAY()&lt;=30,"Review Due Soon","Active"))))</f>
        <v/>
      </c>
      <c r="AM904" s="63">
        <f>IF($A904="","",IF(AI904="","NOT REVIEWED",IF(TODAY()-AI904&gt;90,"OVERDUE",IF(TODAY()-AI904&gt;76,"Due Soon","Current"))))</f>
        <v/>
      </c>
    </row>
    <row r="905" ht="15" customHeight="1" s="39">
      <c r="A905" s="60" t="n"/>
      <c r="B905" s="60" t="n"/>
      <c r="C905" s="61" t="n"/>
      <c r="D905" s="61" t="n"/>
      <c r="E905" s="60" t="n"/>
      <c r="F905" s="60" t="n"/>
      <c r="G905" s="62" t="n"/>
      <c r="H905" s="62" t="n"/>
      <c r="I905" s="62" t="n"/>
      <c r="J905" s="60" t="n"/>
      <c r="K905" s="60" t="n"/>
      <c r="L905" s="60" t="n"/>
      <c r="M905" s="61" t="n"/>
      <c r="N905" s="60" t="n"/>
      <c r="O905" s="60" t="n"/>
      <c r="P905" s="60" t="n"/>
      <c r="Q905" s="60" t="n"/>
      <c r="R905" s="60" t="n"/>
      <c r="S905" s="60" t="n"/>
      <c r="T905" s="60" t="n"/>
      <c r="U905" s="60" t="n"/>
      <c r="V905" s="60" t="n"/>
      <c r="W905" s="60" t="n"/>
      <c r="X905" s="60" t="n"/>
      <c r="Y905" s="60" t="n"/>
      <c r="Z905" s="61" t="n"/>
      <c r="AA905" s="63">
        <f>IF($H905="","",TODAY()-$H905)</f>
        <v/>
      </c>
      <c r="AB905" s="63">
        <f>IF($A905="","",IF(AND($F905="Yes",OR($U905="No",$U905="NOT FOUND")),"YES",""))</f>
        <v/>
      </c>
      <c r="AC905" s="66">
        <f>IF($A905="","",TRIM(IF(AND($P905=0,$L905&lt;&gt;"Yes"),"T0-NoSmartcard ","")&amp;IF(AND($J905&lt;&gt;"",$J905&gt;365),"StalePwd ","")&amp;IF($K905="Yes","PwdNeverExpires ","")&amp;IF(AND($S905&lt;&gt;"",$S905&lt;&gt;"None"),"Delegation ","")&amp;IF(AND($Q905=1,$O905="None"),"StaleAdminCount ","")&amp;IF(AND($F905="Yes",$H905=""),"NeverLoggedOn ","")))</f>
        <v/>
      </c>
      <c r="AD905" s="60" t="n"/>
      <c r="AE905" s="61" t="n"/>
      <c r="AF905" s="60" t="n"/>
      <c r="AG905" s="62" t="n"/>
      <c r="AH905" s="62" t="n"/>
      <c r="AI905" s="62" t="n"/>
      <c r="AJ905" s="60" t="n"/>
      <c r="AK905" s="61" t="n"/>
      <c r="AL905" s="63">
        <f>IF($A905="","",IF(AH905="","Not Enrolled",IF(TODAY()&gt;AH905,"Review Overdue",IF(AH905-TODAY()&lt;=30,"Review Due Soon","Active"))))</f>
        <v/>
      </c>
      <c r="AM905" s="63">
        <f>IF($A905="","",IF(AI905="","NOT REVIEWED",IF(TODAY()-AI905&gt;90,"OVERDUE",IF(TODAY()-AI905&gt;76,"Due Soon","Current"))))</f>
        <v/>
      </c>
    </row>
    <row r="906" ht="15" customHeight="1" s="39">
      <c r="A906" s="60" t="n"/>
      <c r="B906" s="60" t="n"/>
      <c r="C906" s="61" t="n"/>
      <c r="D906" s="61" t="n"/>
      <c r="E906" s="60" t="n"/>
      <c r="F906" s="60" t="n"/>
      <c r="G906" s="62" t="n"/>
      <c r="H906" s="62" t="n"/>
      <c r="I906" s="62" t="n"/>
      <c r="J906" s="60" t="n"/>
      <c r="K906" s="60" t="n"/>
      <c r="L906" s="60" t="n"/>
      <c r="M906" s="61" t="n"/>
      <c r="N906" s="60" t="n"/>
      <c r="O906" s="60" t="n"/>
      <c r="P906" s="60" t="n"/>
      <c r="Q906" s="60" t="n"/>
      <c r="R906" s="60" t="n"/>
      <c r="S906" s="60" t="n"/>
      <c r="T906" s="60" t="n"/>
      <c r="U906" s="60" t="n"/>
      <c r="V906" s="60" t="n"/>
      <c r="W906" s="60" t="n"/>
      <c r="X906" s="60" t="n"/>
      <c r="Y906" s="60" t="n"/>
      <c r="Z906" s="61" t="n"/>
      <c r="AA906" s="63">
        <f>IF($H906="","",TODAY()-$H906)</f>
        <v/>
      </c>
      <c r="AB906" s="63">
        <f>IF($A906="","",IF(AND($F906="Yes",OR($U906="No",$U906="NOT FOUND")),"YES",""))</f>
        <v/>
      </c>
      <c r="AC906" s="66">
        <f>IF($A906="","",TRIM(IF(AND($P906=0,$L906&lt;&gt;"Yes"),"T0-NoSmartcard ","")&amp;IF(AND($J906&lt;&gt;"",$J906&gt;365),"StalePwd ","")&amp;IF($K906="Yes","PwdNeverExpires ","")&amp;IF(AND($S906&lt;&gt;"",$S906&lt;&gt;"None"),"Delegation ","")&amp;IF(AND($Q906=1,$O906="None"),"StaleAdminCount ","")&amp;IF(AND($F906="Yes",$H906=""),"NeverLoggedOn ","")))</f>
        <v/>
      </c>
      <c r="AD906" s="60" t="n"/>
      <c r="AE906" s="61" t="n"/>
      <c r="AF906" s="60" t="n"/>
      <c r="AG906" s="62" t="n"/>
      <c r="AH906" s="62" t="n"/>
      <c r="AI906" s="62" t="n"/>
      <c r="AJ906" s="60" t="n"/>
      <c r="AK906" s="61" t="n"/>
      <c r="AL906" s="63">
        <f>IF($A906="","",IF(AH906="","Not Enrolled",IF(TODAY()&gt;AH906,"Review Overdue",IF(AH906-TODAY()&lt;=30,"Review Due Soon","Active"))))</f>
        <v/>
      </c>
      <c r="AM906" s="63">
        <f>IF($A906="","",IF(AI906="","NOT REVIEWED",IF(TODAY()-AI906&gt;90,"OVERDUE",IF(TODAY()-AI906&gt;76,"Due Soon","Current"))))</f>
        <v/>
      </c>
    </row>
    <row r="907" ht="15" customHeight="1" s="39">
      <c r="A907" s="60" t="n"/>
      <c r="B907" s="60" t="n"/>
      <c r="C907" s="61" t="n"/>
      <c r="D907" s="61" t="n"/>
      <c r="E907" s="60" t="n"/>
      <c r="F907" s="60" t="n"/>
      <c r="G907" s="62" t="n"/>
      <c r="H907" s="62" t="n"/>
      <c r="I907" s="62" t="n"/>
      <c r="J907" s="60" t="n"/>
      <c r="K907" s="60" t="n"/>
      <c r="L907" s="60" t="n"/>
      <c r="M907" s="61" t="n"/>
      <c r="N907" s="60" t="n"/>
      <c r="O907" s="60" t="n"/>
      <c r="P907" s="60" t="n"/>
      <c r="Q907" s="60" t="n"/>
      <c r="R907" s="60" t="n"/>
      <c r="S907" s="60" t="n"/>
      <c r="T907" s="60" t="n"/>
      <c r="U907" s="60" t="n"/>
      <c r="V907" s="60" t="n"/>
      <c r="W907" s="60" t="n"/>
      <c r="X907" s="60" t="n"/>
      <c r="Y907" s="60" t="n"/>
      <c r="Z907" s="61" t="n"/>
      <c r="AA907" s="63">
        <f>IF($H907="","",TODAY()-$H907)</f>
        <v/>
      </c>
      <c r="AB907" s="63">
        <f>IF($A907="","",IF(AND($F907="Yes",OR($U907="No",$U907="NOT FOUND")),"YES",""))</f>
        <v/>
      </c>
      <c r="AC907" s="66">
        <f>IF($A907="","",TRIM(IF(AND($P907=0,$L907&lt;&gt;"Yes"),"T0-NoSmartcard ","")&amp;IF(AND($J907&lt;&gt;"",$J907&gt;365),"StalePwd ","")&amp;IF($K907="Yes","PwdNeverExpires ","")&amp;IF(AND($S907&lt;&gt;"",$S907&lt;&gt;"None"),"Delegation ","")&amp;IF(AND($Q907=1,$O907="None"),"StaleAdminCount ","")&amp;IF(AND($F907="Yes",$H907=""),"NeverLoggedOn ","")))</f>
        <v/>
      </c>
      <c r="AD907" s="60" t="n"/>
      <c r="AE907" s="61" t="n"/>
      <c r="AF907" s="60" t="n"/>
      <c r="AG907" s="62" t="n"/>
      <c r="AH907" s="62" t="n"/>
      <c r="AI907" s="62" t="n"/>
      <c r="AJ907" s="60" t="n"/>
      <c r="AK907" s="61" t="n"/>
      <c r="AL907" s="63">
        <f>IF($A907="","",IF(AH907="","Not Enrolled",IF(TODAY()&gt;AH907,"Review Overdue",IF(AH907-TODAY()&lt;=30,"Review Due Soon","Active"))))</f>
        <v/>
      </c>
      <c r="AM907" s="63">
        <f>IF($A907="","",IF(AI907="","NOT REVIEWED",IF(TODAY()-AI907&gt;90,"OVERDUE",IF(TODAY()-AI907&gt;76,"Due Soon","Current"))))</f>
        <v/>
      </c>
    </row>
    <row r="908" ht="15" customHeight="1" s="39">
      <c r="A908" s="60" t="n"/>
      <c r="B908" s="60" t="n"/>
      <c r="C908" s="61" t="n"/>
      <c r="D908" s="61" t="n"/>
      <c r="E908" s="60" t="n"/>
      <c r="F908" s="60" t="n"/>
      <c r="G908" s="62" t="n"/>
      <c r="H908" s="62" t="n"/>
      <c r="I908" s="62" t="n"/>
      <c r="J908" s="60" t="n"/>
      <c r="K908" s="60" t="n"/>
      <c r="L908" s="60" t="n"/>
      <c r="M908" s="61" t="n"/>
      <c r="N908" s="60" t="n"/>
      <c r="O908" s="60" t="n"/>
      <c r="P908" s="60" t="n"/>
      <c r="Q908" s="60" t="n"/>
      <c r="R908" s="60" t="n"/>
      <c r="S908" s="60" t="n"/>
      <c r="T908" s="60" t="n"/>
      <c r="U908" s="60" t="n"/>
      <c r="V908" s="60" t="n"/>
      <c r="W908" s="60" t="n"/>
      <c r="X908" s="60" t="n"/>
      <c r="Y908" s="60" t="n"/>
      <c r="Z908" s="61" t="n"/>
      <c r="AA908" s="63">
        <f>IF($H908="","",TODAY()-$H908)</f>
        <v/>
      </c>
      <c r="AB908" s="63">
        <f>IF($A908="","",IF(AND($F908="Yes",OR($U908="No",$U908="NOT FOUND")),"YES",""))</f>
        <v/>
      </c>
      <c r="AC908" s="66">
        <f>IF($A908="","",TRIM(IF(AND($P908=0,$L908&lt;&gt;"Yes"),"T0-NoSmartcard ","")&amp;IF(AND($J908&lt;&gt;"",$J908&gt;365),"StalePwd ","")&amp;IF($K908="Yes","PwdNeverExpires ","")&amp;IF(AND($S908&lt;&gt;"",$S908&lt;&gt;"None"),"Delegation ","")&amp;IF(AND($Q908=1,$O908="None"),"StaleAdminCount ","")&amp;IF(AND($F908="Yes",$H908=""),"NeverLoggedOn ","")))</f>
        <v/>
      </c>
      <c r="AD908" s="60" t="n"/>
      <c r="AE908" s="61" t="n"/>
      <c r="AF908" s="60" t="n"/>
      <c r="AG908" s="62" t="n"/>
      <c r="AH908" s="62" t="n"/>
      <c r="AI908" s="62" t="n"/>
      <c r="AJ908" s="60" t="n"/>
      <c r="AK908" s="61" t="n"/>
      <c r="AL908" s="63">
        <f>IF($A908="","",IF(AH908="","Not Enrolled",IF(TODAY()&gt;AH908,"Review Overdue",IF(AH908-TODAY()&lt;=30,"Review Due Soon","Active"))))</f>
        <v/>
      </c>
      <c r="AM908" s="63">
        <f>IF($A908="","",IF(AI908="","NOT REVIEWED",IF(TODAY()-AI908&gt;90,"OVERDUE",IF(TODAY()-AI908&gt;76,"Due Soon","Current"))))</f>
        <v/>
      </c>
    </row>
    <row r="909" ht="15" customHeight="1" s="39">
      <c r="A909" s="60" t="n"/>
      <c r="B909" s="60" t="n"/>
      <c r="C909" s="61" t="n"/>
      <c r="D909" s="61" t="n"/>
      <c r="E909" s="60" t="n"/>
      <c r="F909" s="60" t="n"/>
      <c r="G909" s="62" t="n"/>
      <c r="H909" s="62" t="n"/>
      <c r="I909" s="62" t="n"/>
      <c r="J909" s="60" t="n"/>
      <c r="K909" s="60" t="n"/>
      <c r="L909" s="60" t="n"/>
      <c r="M909" s="61" t="n"/>
      <c r="N909" s="60" t="n"/>
      <c r="O909" s="60" t="n"/>
      <c r="P909" s="60" t="n"/>
      <c r="Q909" s="60" t="n"/>
      <c r="R909" s="60" t="n"/>
      <c r="S909" s="60" t="n"/>
      <c r="T909" s="60" t="n"/>
      <c r="U909" s="60" t="n"/>
      <c r="V909" s="60" t="n"/>
      <c r="W909" s="60" t="n"/>
      <c r="X909" s="60" t="n"/>
      <c r="Y909" s="60" t="n"/>
      <c r="Z909" s="61" t="n"/>
      <c r="AA909" s="63">
        <f>IF($H909="","",TODAY()-$H909)</f>
        <v/>
      </c>
      <c r="AB909" s="63">
        <f>IF($A909="","",IF(AND($F909="Yes",OR($U909="No",$U909="NOT FOUND")),"YES",""))</f>
        <v/>
      </c>
      <c r="AC909" s="66">
        <f>IF($A909="","",TRIM(IF(AND($P909=0,$L909&lt;&gt;"Yes"),"T0-NoSmartcard ","")&amp;IF(AND($J909&lt;&gt;"",$J909&gt;365),"StalePwd ","")&amp;IF($K909="Yes","PwdNeverExpires ","")&amp;IF(AND($S909&lt;&gt;"",$S909&lt;&gt;"None"),"Delegation ","")&amp;IF(AND($Q909=1,$O909="None"),"StaleAdminCount ","")&amp;IF(AND($F909="Yes",$H909=""),"NeverLoggedOn ","")))</f>
        <v/>
      </c>
      <c r="AD909" s="60" t="n"/>
      <c r="AE909" s="61" t="n"/>
      <c r="AF909" s="60" t="n"/>
      <c r="AG909" s="62" t="n"/>
      <c r="AH909" s="62" t="n"/>
      <c r="AI909" s="62" t="n"/>
      <c r="AJ909" s="60" t="n"/>
      <c r="AK909" s="61" t="n"/>
      <c r="AL909" s="63">
        <f>IF($A909="","",IF(AH909="","Not Enrolled",IF(TODAY()&gt;AH909,"Review Overdue",IF(AH909-TODAY()&lt;=30,"Review Due Soon","Active"))))</f>
        <v/>
      </c>
      <c r="AM909" s="63">
        <f>IF($A909="","",IF(AI909="","NOT REVIEWED",IF(TODAY()-AI909&gt;90,"OVERDUE",IF(TODAY()-AI909&gt;76,"Due Soon","Current"))))</f>
        <v/>
      </c>
    </row>
    <row r="910" ht="15" customHeight="1" s="39">
      <c r="A910" s="60" t="n"/>
      <c r="B910" s="60" t="n"/>
      <c r="C910" s="61" t="n"/>
      <c r="D910" s="61" t="n"/>
      <c r="E910" s="60" t="n"/>
      <c r="F910" s="60" t="n"/>
      <c r="G910" s="62" t="n"/>
      <c r="H910" s="62" t="n"/>
      <c r="I910" s="62" t="n"/>
      <c r="J910" s="60" t="n"/>
      <c r="K910" s="60" t="n"/>
      <c r="L910" s="60" t="n"/>
      <c r="M910" s="61" t="n"/>
      <c r="N910" s="60" t="n"/>
      <c r="O910" s="60" t="n"/>
      <c r="P910" s="60" t="n"/>
      <c r="Q910" s="60" t="n"/>
      <c r="R910" s="60" t="n"/>
      <c r="S910" s="60" t="n"/>
      <c r="T910" s="60" t="n"/>
      <c r="U910" s="60" t="n"/>
      <c r="V910" s="60" t="n"/>
      <c r="W910" s="60" t="n"/>
      <c r="X910" s="60" t="n"/>
      <c r="Y910" s="60" t="n"/>
      <c r="Z910" s="61" t="n"/>
      <c r="AA910" s="63">
        <f>IF($H910="","",TODAY()-$H910)</f>
        <v/>
      </c>
      <c r="AB910" s="63">
        <f>IF($A910="","",IF(AND($F910="Yes",OR($U910="No",$U910="NOT FOUND")),"YES",""))</f>
        <v/>
      </c>
      <c r="AC910" s="66">
        <f>IF($A910="","",TRIM(IF(AND($P910=0,$L910&lt;&gt;"Yes"),"T0-NoSmartcard ","")&amp;IF(AND($J910&lt;&gt;"",$J910&gt;365),"StalePwd ","")&amp;IF($K910="Yes","PwdNeverExpires ","")&amp;IF(AND($S910&lt;&gt;"",$S910&lt;&gt;"None"),"Delegation ","")&amp;IF(AND($Q910=1,$O910="None"),"StaleAdminCount ","")&amp;IF(AND($F910="Yes",$H910=""),"NeverLoggedOn ","")))</f>
        <v/>
      </c>
      <c r="AD910" s="60" t="n"/>
      <c r="AE910" s="61" t="n"/>
      <c r="AF910" s="60" t="n"/>
      <c r="AG910" s="62" t="n"/>
      <c r="AH910" s="62" t="n"/>
      <c r="AI910" s="62" t="n"/>
      <c r="AJ910" s="60" t="n"/>
      <c r="AK910" s="61" t="n"/>
      <c r="AL910" s="63">
        <f>IF($A910="","",IF(AH910="","Not Enrolled",IF(TODAY()&gt;AH910,"Review Overdue",IF(AH910-TODAY()&lt;=30,"Review Due Soon","Active"))))</f>
        <v/>
      </c>
      <c r="AM910" s="63">
        <f>IF($A910="","",IF(AI910="","NOT REVIEWED",IF(TODAY()-AI910&gt;90,"OVERDUE",IF(TODAY()-AI910&gt;76,"Due Soon","Current"))))</f>
        <v/>
      </c>
    </row>
    <row r="911" ht="15" customHeight="1" s="39">
      <c r="A911" s="60" t="n"/>
      <c r="B911" s="60" t="n"/>
      <c r="C911" s="61" t="n"/>
      <c r="D911" s="61" t="n"/>
      <c r="E911" s="60" t="n"/>
      <c r="F911" s="60" t="n"/>
      <c r="G911" s="62" t="n"/>
      <c r="H911" s="62" t="n"/>
      <c r="I911" s="62" t="n"/>
      <c r="J911" s="60" t="n"/>
      <c r="K911" s="60" t="n"/>
      <c r="L911" s="60" t="n"/>
      <c r="M911" s="61" t="n"/>
      <c r="N911" s="60" t="n"/>
      <c r="O911" s="60" t="n"/>
      <c r="P911" s="60" t="n"/>
      <c r="Q911" s="60" t="n"/>
      <c r="R911" s="60" t="n"/>
      <c r="S911" s="60" t="n"/>
      <c r="T911" s="60" t="n"/>
      <c r="U911" s="60" t="n"/>
      <c r="V911" s="60" t="n"/>
      <c r="W911" s="60" t="n"/>
      <c r="X911" s="60" t="n"/>
      <c r="Y911" s="60" t="n"/>
      <c r="Z911" s="61" t="n"/>
      <c r="AA911" s="63">
        <f>IF($H911="","",TODAY()-$H911)</f>
        <v/>
      </c>
      <c r="AB911" s="63">
        <f>IF($A911="","",IF(AND($F911="Yes",OR($U911="No",$U911="NOT FOUND")),"YES",""))</f>
        <v/>
      </c>
      <c r="AC911" s="66">
        <f>IF($A911="","",TRIM(IF(AND($P911=0,$L911&lt;&gt;"Yes"),"T0-NoSmartcard ","")&amp;IF(AND($J911&lt;&gt;"",$J911&gt;365),"StalePwd ","")&amp;IF($K911="Yes","PwdNeverExpires ","")&amp;IF(AND($S911&lt;&gt;"",$S911&lt;&gt;"None"),"Delegation ","")&amp;IF(AND($Q911=1,$O911="None"),"StaleAdminCount ","")&amp;IF(AND($F911="Yes",$H911=""),"NeverLoggedOn ","")))</f>
        <v/>
      </c>
      <c r="AD911" s="60" t="n"/>
      <c r="AE911" s="61" t="n"/>
      <c r="AF911" s="60" t="n"/>
      <c r="AG911" s="62" t="n"/>
      <c r="AH911" s="62" t="n"/>
      <c r="AI911" s="62" t="n"/>
      <c r="AJ911" s="60" t="n"/>
      <c r="AK911" s="61" t="n"/>
      <c r="AL911" s="63">
        <f>IF($A911="","",IF(AH911="","Not Enrolled",IF(TODAY()&gt;AH911,"Review Overdue",IF(AH911-TODAY()&lt;=30,"Review Due Soon","Active"))))</f>
        <v/>
      </c>
      <c r="AM911" s="63">
        <f>IF($A911="","",IF(AI911="","NOT REVIEWED",IF(TODAY()-AI911&gt;90,"OVERDUE",IF(TODAY()-AI911&gt;76,"Due Soon","Current"))))</f>
        <v/>
      </c>
    </row>
    <row r="912" ht="15" customHeight="1" s="39">
      <c r="A912" s="60" t="n"/>
      <c r="B912" s="60" t="n"/>
      <c r="C912" s="61" t="n"/>
      <c r="D912" s="61" t="n"/>
      <c r="E912" s="60" t="n"/>
      <c r="F912" s="60" t="n"/>
      <c r="G912" s="62" t="n"/>
      <c r="H912" s="62" t="n"/>
      <c r="I912" s="62" t="n"/>
      <c r="J912" s="60" t="n"/>
      <c r="K912" s="60" t="n"/>
      <c r="L912" s="60" t="n"/>
      <c r="M912" s="61" t="n"/>
      <c r="N912" s="60" t="n"/>
      <c r="O912" s="60" t="n"/>
      <c r="P912" s="60" t="n"/>
      <c r="Q912" s="60" t="n"/>
      <c r="R912" s="60" t="n"/>
      <c r="S912" s="60" t="n"/>
      <c r="T912" s="60" t="n"/>
      <c r="U912" s="60" t="n"/>
      <c r="V912" s="60" t="n"/>
      <c r="W912" s="60" t="n"/>
      <c r="X912" s="60" t="n"/>
      <c r="Y912" s="60" t="n"/>
      <c r="Z912" s="61" t="n"/>
      <c r="AA912" s="63">
        <f>IF($H912="","",TODAY()-$H912)</f>
        <v/>
      </c>
      <c r="AB912" s="63">
        <f>IF($A912="","",IF(AND($F912="Yes",OR($U912="No",$U912="NOT FOUND")),"YES",""))</f>
        <v/>
      </c>
      <c r="AC912" s="66">
        <f>IF($A912="","",TRIM(IF(AND($P912=0,$L912&lt;&gt;"Yes"),"T0-NoSmartcard ","")&amp;IF(AND($J912&lt;&gt;"",$J912&gt;365),"StalePwd ","")&amp;IF($K912="Yes","PwdNeverExpires ","")&amp;IF(AND($S912&lt;&gt;"",$S912&lt;&gt;"None"),"Delegation ","")&amp;IF(AND($Q912=1,$O912="None"),"StaleAdminCount ","")&amp;IF(AND($F912="Yes",$H912=""),"NeverLoggedOn ","")))</f>
        <v/>
      </c>
      <c r="AD912" s="60" t="n"/>
      <c r="AE912" s="61" t="n"/>
      <c r="AF912" s="60" t="n"/>
      <c r="AG912" s="62" t="n"/>
      <c r="AH912" s="62" t="n"/>
      <c r="AI912" s="62" t="n"/>
      <c r="AJ912" s="60" t="n"/>
      <c r="AK912" s="61" t="n"/>
      <c r="AL912" s="63">
        <f>IF($A912="","",IF(AH912="","Not Enrolled",IF(TODAY()&gt;AH912,"Review Overdue",IF(AH912-TODAY()&lt;=30,"Review Due Soon","Active"))))</f>
        <v/>
      </c>
      <c r="AM912" s="63">
        <f>IF($A912="","",IF(AI912="","NOT REVIEWED",IF(TODAY()-AI912&gt;90,"OVERDUE",IF(TODAY()-AI912&gt;76,"Due Soon","Current"))))</f>
        <v/>
      </c>
    </row>
    <row r="913" ht="15" customHeight="1" s="39">
      <c r="A913" s="60" t="n"/>
      <c r="B913" s="60" t="n"/>
      <c r="C913" s="61" t="n"/>
      <c r="D913" s="61" t="n"/>
      <c r="E913" s="60" t="n"/>
      <c r="F913" s="60" t="n"/>
      <c r="G913" s="62" t="n"/>
      <c r="H913" s="62" t="n"/>
      <c r="I913" s="62" t="n"/>
      <c r="J913" s="60" t="n"/>
      <c r="K913" s="60" t="n"/>
      <c r="L913" s="60" t="n"/>
      <c r="M913" s="61" t="n"/>
      <c r="N913" s="60" t="n"/>
      <c r="O913" s="60" t="n"/>
      <c r="P913" s="60" t="n"/>
      <c r="Q913" s="60" t="n"/>
      <c r="R913" s="60" t="n"/>
      <c r="S913" s="60" t="n"/>
      <c r="T913" s="60" t="n"/>
      <c r="U913" s="60" t="n"/>
      <c r="V913" s="60" t="n"/>
      <c r="W913" s="60" t="n"/>
      <c r="X913" s="60" t="n"/>
      <c r="Y913" s="60" t="n"/>
      <c r="Z913" s="61" t="n"/>
      <c r="AA913" s="63">
        <f>IF($H913="","",TODAY()-$H913)</f>
        <v/>
      </c>
      <c r="AB913" s="63">
        <f>IF($A913="","",IF(AND($F913="Yes",OR($U913="No",$U913="NOT FOUND")),"YES",""))</f>
        <v/>
      </c>
      <c r="AC913" s="66">
        <f>IF($A913="","",TRIM(IF(AND($P913=0,$L913&lt;&gt;"Yes"),"T0-NoSmartcard ","")&amp;IF(AND($J913&lt;&gt;"",$J913&gt;365),"StalePwd ","")&amp;IF($K913="Yes","PwdNeverExpires ","")&amp;IF(AND($S913&lt;&gt;"",$S913&lt;&gt;"None"),"Delegation ","")&amp;IF(AND($Q913=1,$O913="None"),"StaleAdminCount ","")&amp;IF(AND($F913="Yes",$H913=""),"NeverLoggedOn ","")))</f>
        <v/>
      </c>
      <c r="AD913" s="60" t="n"/>
      <c r="AE913" s="61" t="n"/>
      <c r="AF913" s="60" t="n"/>
      <c r="AG913" s="62" t="n"/>
      <c r="AH913" s="62" t="n"/>
      <c r="AI913" s="62" t="n"/>
      <c r="AJ913" s="60" t="n"/>
      <c r="AK913" s="61" t="n"/>
      <c r="AL913" s="63">
        <f>IF($A913="","",IF(AH913="","Not Enrolled",IF(TODAY()&gt;AH913,"Review Overdue",IF(AH913-TODAY()&lt;=30,"Review Due Soon","Active"))))</f>
        <v/>
      </c>
      <c r="AM913" s="63">
        <f>IF($A913="","",IF(AI913="","NOT REVIEWED",IF(TODAY()-AI913&gt;90,"OVERDUE",IF(TODAY()-AI913&gt;76,"Due Soon","Current"))))</f>
        <v/>
      </c>
    </row>
    <row r="914" ht="15" customHeight="1" s="39">
      <c r="A914" s="60" t="n"/>
      <c r="B914" s="60" t="n"/>
      <c r="C914" s="61" t="n"/>
      <c r="D914" s="61" t="n"/>
      <c r="E914" s="60" t="n"/>
      <c r="F914" s="60" t="n"/>
      <c r="G914" s="62" t="n"/>
      <c r="H914" s="62" t="n"/>
      <c r="I914" s="62" t="n"/>
      <c r="J914" s="60" t="n"/>
      <c r="K914" s="60" t="n"/>
      <c r="L914" s="60" t="n"/>
      <c r="M914" s="61" t="n"/>
      <c r="N914" s="60" t="n"/>
      <c r="O914" s="60" t="n"/>
      <c r="P914" s="60" t="n"/>
      <c r="Q914" s="60" t="n"/>
      <c r="R914" s="60" t="n"/>
      <c r="S914" s="60" t="n"/>
      <c r="T914" s="60" t="n"/>
      <c r="U914" s="60" t="n"/>
      <c r="V914" s="60" t="n"/>
      <c r="W914" s="60" t="n"/>
      <c r="X914" s="60" t="n"/>
      <c r="Y914" s="60" t="n"/>
      <c r="Z914" s="61" t="n"/>
      <c r="AA914" s="63">
        <f>IF($H914="","",TODAY()-$H914)</f>
        <v/>
      </c>
      <c r="AB914" s="63">
        <f>IF($A914="","",IF(AND($F914="Yes",OR($U914="No",$U914="NOT FOUND")),"YES",""))</f>
        <v/>
      </c>
      <c r="AC914" s="66">
        <f>IF($A914="","",TRIM(IF(AND($P914=0,$L914&lt;&gt;"Yes"),"T0-NoSmartcard ","")&amp;IF(AND($J914&lt;&gt;"",$J914&gt;365),"StalePwd ","")&amp;IF($K914="Yes","PwdNeverExpires ","")&amp;IF(AND($S914&lt;&gt;"",$S914&lt;&gt;"None"),"Delegation ","")&amp;IF(AND($Q914=1,$O914="None"),"StaleAdminCount ","")&amp;IF(AND($F914="Yes",$H914=""),"NeverLoggedOn ","")))</f>
        <v/>
      </c>
      <c r="AD914" s="60" t="n"/>
      <c r="AE914" s="61" t="n"/>
      <c r="AF914" s="60" t="n"/>
      <c r="AG914" s="62" t="n"/>
      <c r="AH914" s="62" t="n"/>
      <c r="AI914" s="62" t="n"/>
      <c r="AJ914" s="60" t="n"/>
      <c r="AK914" s="61" t="n"/>
      <c r="AL914" s="63">
        <f>IF($A914="","",IF(AH914="","Not Enrolled",IF(TODAY()&gt;AH914,"Review Overdue",IF(AH914-TODAY()&lt;=30,"Review Due Soon","Active"))))</f>
        <v/>
      </c>
      <c r="AM914" s="63">
        <f>IF($A914="","",IF(AI914="","NOT REVIEWED",IF(TODAY()-AI914&gt;90,"OVERDUE",IF(TODAY()-AI914&gt;76,"Due Soon","Current"))))</f>
        <v/>
      </c>
    </row>
    <row r="915" ht="15" customHeight="1" s="39">
      <c r="A915" s="60" t="n"/>
      <c r="B915" s="60" t="n"/>
      <c r="C915" s="61" t="n"/>
      <c r="D915" s="61" t="n"/>
      <c r="E915" s="60" t="n"/>
      <c r="F915" s="60" t="n"/>
      <c r="G915" s="62" t="n"/>
      <c r="H915" s="62" t="n"/>
      <c r="I915" s="62" t="n"/>
      <c r="J915" s="60" t="n"/>
      <c r="K915" s="60" t="n"/>
      <c r="L915" s="60" t="n"/>
      <c r="M915" s="61" t="n"/>
      <c r="N915" s="60" t="n"/>
      <c r="O915" s="60" t="n"/>
      <c r="P915" s="60" t="n"/>
      <c r="Q915" s="60" t="n"/>
      <c r="R915" s="60" t="n"/>
      <c r="S915" s="60" t="n"/>
      <c r="T915" s="60" t="n"/>
      <c r="U915" s="60" t="n"/>
      <c r="V915" s="60" t="n"/>
      <c r="W915" s="60" t="n"/>
      <c r="X915" s="60" t="n"/>
      <c r="Y915" s="60" t="n"/>
      <c r="Z915" s="61" t="n"/>
      <c r="AA915" s="63">
        <f>IF($H915="","",TODAY()-$H915)</f>
        <v/>
      </c>
      <c r="AB915" s="63">
        <f>IF($A915="","",IF(AND($F915="Yes",OR($U915="No",$U915="NOT FOUND")),"YES",""))</f>
        <v/>
      </c>
      <c r="AC915" s="66">
        <f>IF($A915="","",TRIM(IF(AND($P915=0,$L915&lt;&gt;"Yes"),"T0-NoSmartcard ","")&amp;IF(AND($J915&lt;&gt;"",$J915&gt;365),"StalePwd ","")&amp;IF($K915="Yes","PwdNeverExpires ","")&amp;IF(AND($S915&lt;&gt;"",$S915&lt;&gt;"None"),"Delegation ","")&amp;IF(AND($Q915=1,$O915="None"),"StaleAdminCount ","")&amp;IF(AND($F915="Yes",$H915=""),"NeverLoggedOn ","")))</f>
        <v/>
      </c>
      <c r="AD915" s="60" t="n"/>
      <c r="AE915" s="61" t="n"/>
      <c r="AF915" s="60" t="n"/>
      <c r="AG915" s="62" t="n"/>
      <c r="AH915" s="62" t="n"/>
      <c r="AI915" s="62" t="n"/>
      <c r="AJ915" s="60" t="n"/>
      <c r="AK915" s="61" t="n"/>
      <c r="AL915" s="63">
        <f>IF($A915="","",IF(AH915="","Not Enrolled",IF(TODAY()&gt;AH915,"Review Overdue",IF(AH915-TODAY()&lt;=30,"Review Due Soon","Active"))))</f>
        <v/>
      </c>
      <c r="AM915" s="63">
        <f>IF($A915="","",IF(AI915="","NOT REVIEWED",IF(TODAY()-AI915&gt;90,"OVERDUE",IF(TODAY()-AI915&gt;76,"Due Soon","Current"))))</f>
        <v/>
      </c>
    </row>
    <row r="916" ht="15" customHeight="1" s="39">
      <c r="A916" s="60" t="n"/>
      <c r="B916" s="60" t="n"/>
      <c r="C916" s="61" t="n"/>
      <c r="D916" s="61" t="n"/>
      <c r="E916" s="60" t="n"/>
      <c r="F916" s="60" t="n"/>
      <c r="G916" s="62" t="n"/>
      <c r="H916" s="62" t="n"/>
      <c r="I916" s="62" t="n"/>
      <c r="J916" s="60" t="n"/>
      <c r="K916" s="60" t="n"/>
      <c r="L916" s="60" t="n"/>
      <c r="M916" s="61" t="n"/>
      <c r="N916" s="60" t="n"/>
      <c r="O916" s="60" t="n"/>
      <c r="P916" s="60" t="n"/>
      <c r="Q916" s="60" t="n"/>
      <c r="R916" s="60" t="n"/>
      <c r="S916" s="60" t="n"/>
      <c r="T916" s="60" t="n"/>
      <c r="U916" s="60" t="n"/>
      <c r="V916" s="60" t="n"/>
      <c r="W916" s="60" t="n"/>
      <c r="X916" s="60" t="n"/>
      <c r="Y916" s="60" t="n"/>
      <c r="Z916" s="61" t="n"/>
      <c r="AA916" s="63">
        <f>IF($H916="","",TODAY()-$H916)</f>
        <v/>
      </c>
      <c r="AB916" s="63">
        <f>IF($A916="","",IF(AND($F916="Yes",OR($U916="No",$U916="NOT FOUND")),"YES",""))</f>
        <v/>
      </c>
      <c r="AC916" s="66">
        <f>IF($A916="","",TRIM(IF(AND($P916=0,$L916&lt;&gt;"Yes"),"T0-NoSmartcard ","")&amp;IF(AND($J916&lt;&gt;"",$J916&gt;365),"StalePwd ","")&amp;IF($K916="Yes","PwdNeverExpires ","")&amp;IF(AND($S916&lt;&gt;"",$S916&lt;&gt;"None"),"Delegation ","")&amp;IF(AND($Q916=1,$O916="None"),"StaleAdminCount ","")&amp;IF(AND($F916="Yes",$H916=""),"NeverLoggedOn ","")))</f>
        <v/>
      </c>
      <c r="AD916" s="60" t="n"/>
      <c r="AE916" s="61" t="n"/>
      <c r="AF916" s="60" t="n"/>
      <c r="AG916" s="62" t="n"/>
      <c r="AH916" s="62" t="n"/>
      <c r="AI916" s="62" t="n"/>
      <c r="AJ916" s="60" t="n"/>
      <c r="AK916" s="61" t="n"/>
      <c r="AL916" s="63">
        <f>IF($A916="","",IF(AH916="","Not Enrolled",IF(TODAY()&gt;AH916,"Review Overdue",IF(AH916-TODAY()&lt;=30,"Review Due Soon","Active"))))</f>
        <v/>
      </c>
      <c r="AM916" s="63">
        <f>IF($A916="","",IF(AI916="","NOT REVIEWED",IF(TODAY()-AI916&gt;90,"OVERDUE",IF(TODAY()-AI916&gt;76,"Due Soon","Current"))))</f>
        <v/>
      </c>
    </row>
    <row r="917" ht="15" customHeight="1" s="39">
      <c r="A917" s="60" t="n"/>
      <c r="B917" s="60" t="n"/>
      <c r="C917" s="61" t="n"/>
      <c r="D917" s="61" t="n"/>
      <c r="E917" s="60" t="n"/>
      <c r="F917" s="60" t="n"/>
      <c r="G917" s="62" t="n"/>
      <c r="H917" s="62" t="n"/>
      <c r="I917" s="62" t="n"/>
      <c r="J917" s="60" t="n"/>
      <c r="K917" s="60" t="n"/>
      <c r="L917" s="60" t="n"/>
      <c r="M917" s="61" t="n"/>
      <c r="N917" s="60" t="n"/>
      <c r="O917" s="60" t="n"/>
      <c r="P917" s="60" t="n"/>
      <c r="Q917" s="60" t="n"/>
      <c r="R917" s="60" t="n"/>
      <c r="S917" s="60" t="n"/>
      <c r="T917" s="60" t="n"/>
      <c r="U917" s="60" t="n"/>
      <c r="V917" s="60" t="n"/>
      <c r="W917" s="60" t="n"/>
      <c r="X917" s="60" t="n"/>
      <c r="Y917" s="60" t="n"/>
      <c r="Z917" s="61" t="n"/>
      <c r="AA917" s="63">
        <f>IF($H917="","",TODAY()-$H917)</f>
        <v/>
      </c>
      <c r="AB917" s="63">
        <f>IF($A917="","",IF(AND($F917="Yes",OR($U917="No",$U917="NOT FOUND")),"YES",""))</f>
        <v/>
      </c>
      <c r="AC917" s="66">
        <f>IF($A917="","",TRIM(IF(AND($P917=0,$L917&lt;&gt;"Yes"),"T0-NoSmartcard ","")&amp;IF(AND($J917&lt;&gt;"",$J917&gt;365),"StalePwd ","")&amp;IF($K917="Yes","PwdNeverExpires ","")&amp;IF(AND($S917&lt;&gt;"",$S917&lt;&gt;"None"),"Delegation ","")&amp;IF(AND($Q917=1,$O917="None"),"StaleAdminCount ","")&amp;IF(AND($F917="Yes",$H917=""),"NeverLoggedOn ","")))</f>
        <v/>
      </c>
      <c r="AD917" s="60" t="n"/>
      <c r="AE917" s="61" t="n"/>
      <c r="AF917" s="60" t="n"/>
      <c r="AG917" s="62" t="n"/>
      <c r="AH917" s="62" t="n"/>
      <c r="AI917" s="62" t="n"/>
      <c r="AJ917" s="60" t="n"/>
      <c r="AK917" s="61" t="n"/>
      <c r="AL917" s="63">
        <f>IF($A917="","",IF(AH917="","Not Enrolled",IF(TODAY()&gt;AH917,"Review Overdue",IF(AH917-TODAY()&lt;=30,"Review Due Soon","Active"))))</f>
        <v/>
      </c>
      <c r="AM917" s="63">
        <f>IF($A917="","",IF(AI917="","NOT REVIEWED",IF(TODAY()-AI917&gt;90,"OVERDUE",IF(TODAY()-AI917&gt;76,"Due Soon","Current"))))</f>
        <v/>
      </c>
    </row>
    <row r="918" ht="15" customHeight="1" s="39">
      <c r="A918" s="60" t="n"/>
      <c r="B918" s="60" t="n"/>
      <c r="C918" s="61" t="n"/>
      <c r="D918" s="61" t="n"/>
      <c r="E918" s="60" t="n"/>
      <c r="F918" s="60" t="n"/>
      <c r="G918" s="62" t="n"/>
      <c r="H918" s="62" t="n"/>
      <c r="I918" s="62" t="n"/>
      <c r="J918" s="60" t="n"/>
      <c r="K918" s="60" t="n"/>
      <c r="L918" s="60" t="n"/>
      <c r="M918" s="61" t="n"/>
      <c r="N918" s="60" t="n"/>
      <c r="O918" s="60" t="n"/>
      <c r="P918" s="60" t="n"/>
      <c r="Q918" s="60" t="n"/>
      <c r="R918" s="60" t="n"/>
      <c r="S918" s="60" t="n"/>
      <c r="T918" s="60" t="n"/>
      <c r="U918" s="60" t="n"/>
      <c r="V918" s="60" t="n"/>
      <c r="W918" s="60" t="n"/>
      <c r="X918" s="60" t="n"/>
      <c r="Y918" s="60" t="n"/>
      <c r="Z918" s="61" t="n"/>
      <c r="AA918" s="63">
        <f>IF($H918="","",TODAY()-$H918)</f>
        <v/>
      </c>
      <c r="AB918" s="63">
        <f>IF($A918="","",IF(AND($F918="Yes",OR($U918="No",$U918="NOT FOUND")),"YES",""))</f>
        <v/>
      </c>
      <c r="AC918" s="66">
        <f>IF($A918="","",TRIM(IF(AND($P918=0,$L918&lt;&gt;"Yes"),"T0-NoSmartcard ","")&amp;IF(AND($J918&lt;&gt;"",$J918&gt;365),"StalePwd ","")&amp;IF($K918="Yes","PwdNeverExpires ","")&amp;IF(AND($S918&lt;&gt;"",$S918&lt;&gt;"None"),"Delegation ","")&amp;IF(AND($Q918=1,$O918="None"),"StaleAdminCount ","")&amp;IF(AND($F918="Yes",$H918=""),"NeverLoggedOn ","")))</f>
        <v/>
      </c>
      <c r="AD918" s="60" t="n"/>
      <c r="AE918" s="61" t="n"/>
      <c r="AF918" s="60" t="n"/>
      <c r="AG918" s="62" t="n"/>
      <c r="AH918" s="62" t="n"/>
      <c r="AI918" s="62" t="n"/>
      <c r="AJ918" s="60" t="n"/>
      <c r="AK918" s="61" t="n"/>
      <c r="AL918" s="63">
        <f>IF($A918="","",IF(AH918="","Not Enrolled",IF(TODAY()&gt;AH918,"Review Overdue",IF(AH918-TODAY()&lt;=30,"Review Due Soon","Active"))))</f>
        <v/>
      </c>
      <c r="AM918" s="63">
        <f>IF($A918="","",IF(AI918="","NOT REVIEWED",IF(TODAY()-AI918&gt;90,"OVERDUE",IF(TODAY()-AI918&gt;76,"Due Soon","Current"))))</f>
        <v/>
      </c>
    </row>
    <row r="919" ht="15" customHeight="1" s="39">
      <c r="A919" s="60" t="n"/>
      <c r="B919" s="60" t="n"/>
      <c r="C919" s="61" t="n"/>
      <c r="D919" s="61" t="n"/>
      <c r="E919" s="60" t="n"/>
      <c r="F919" s="60" t="n"/>
      <c r="G919" s="62" t="n"/>
      <c r="H919" s="62" t="n"/>
      <c r="I919" s="62" t="n"/>
      <c r="J919" s="60" t="n"/>
      <c r="K919" s="60" t="n"/>
      <c r="L919" s="60" t="n"/>
      <c r="M919" s="61" t="n"/>
      <c r="N919" s="60" t="n"/>
      <c r="O919" s="60" t="n"/>
      <c r="P919" s="60" t="n"/>
      <c r="Q919" s="60" t="n"/>
      <c r="R919" s="60" t="n"/>
      <c r="S919" s="60" t="n"/>
      <c r="T919" s="60" t="n"/>
      <c r="U919" s="60" t="n"/>
      <c r="V919" s="60" t="n"/>
      <c r="W919" s="60" t="n"/>
      <c r="X919" s="60" t="n"/>
      <c r="Y919" s="60" t="n"/>
      <c r="Z919" s="61" t="n"/>
      <c r="AA919" s="63">
        <f>IF($H919="","",TODAY()-$H919)</f>
        <v/>
      </c>
      <c r="AB919" s="63">
        <f>IF($A919="","",IF(AND($F919="Yes",OR($U919="No",$U919="NOT FOUND")),"YES",""))</f>
        <v/>
      </c>
      <c r="AC919" s="66">
        <f>IF($A919="","",TRIM(IF(AND($P919=0,$L919&lt;&gt;"Yes"),"T0-NoSmartcard ","")&amp;IF(AND($J919&lt;&gt;"",$J919&gt;365),"StalePwd ","")&amp;IF($K919="Yes","PwdNeverExpires ","")&amp;IF(AND($S919&lt;&gt;"",$S919&lt;&gt;"None"),"Delegation ","")&amp;IF(AND($Q919=1,$O919="None"),"StaleAdminCount ","")&amp;IF(AND($F919="Yes",$H919=""),"NeverLoggedOn ","")))</f>
        <v/>
      </c>
      <c r="AD919" s="60" t="n"/>
      <c r="AE919" s="61" t="n"/>
      <c r="AF919" s="60" t="n"/>
      <c r="AG919" s="62" t="n"/>
      <c r="AH919" s="62" t="n"/>
      <c r="AI919" s="62" t="n"/>
      <c r="AJ919" s="60" t="n"/>
      <c r="AK919" s="61" t="n"/>
      <c r="AL919" s="63">
        <f>IF($A919="","",IF(AH919="","Not Enrolled",IF(TODAY()&gt;AH919,"Review Overdue",IF(AH919-TODAY()&lt;=30,"Review Due Soon","Active"))))</f>
        <v/>
      </c>
      <c r="AM919" s="63">
        <f>IF($A919="","",IF(AI919="","NOT REVIEWED",IF(TODAY()-AI919&gt;90,"OVERDUE",IF(TODAY()-AI919&gt;76,"Due Soon","Current"))))</f>
        <v/>
      </c>
    </row>
    <row r="920" ht="15" customHeight="1" s="39">
      <c r="A920" s="60" t="n"/>
      <c r="B920" s="60" t="n"/>
      <c r="C920" s="61" t="n"/>
      <c r="D920" s="61" t="n"/>
      <c r="E920" s="60" t="n"/>
      <c r="F920" s="60" t="n"/>
      <c r="G920" s="62" t="n"/>
      <c r="H920" s="62" t="n"/>
      <c r="I920" s="62" t="n"/>
      <c r="J920" s="60" t="n"/>
      <c r="K920" s="60" t="n"/>
      <c r="L920" s="60" t="n"/>
      <c r="M920" s="61" t="n"/>
      <c r="N920" s="60" t="n"/>
      <c r="O920" s="60" t="n"/>
      <c r="P920" s="60" t="n"/>
      <c r="Q920" s="60" t="n"/>
      <c r="R920" s="60" t="n"/>
      <c r="S920" s="60" t="n"/>
      <c r="T920" s="60" t="n"/>
      <c r="U920" s="60" t="n"/>
      <c r="V920" s="60" t="n"/>
      <c r="W920" s="60" t="n"/>
      <c r="X920" s="60" t="n"/>
      <c r="Y920" s="60" t="n"/>
      <c r="Z920" s="61" t="n"/>
      <c r="AA920" s="63">
        <f>IF($H920="","",TODAY()-$H920)</f>
        <v/>
      </c>
      <c r="AB920" s="63">
        <f>IF($A920="","",IF(AND($F920="Yes",OR($U920="No",$U920="NOT FOUND")),"YES",""))</f>
        <v/>
      </c>
      <c r="AC920" s="66">
        <f>IF($A920="","",TRIM(IF(AND($P920=0,$L920&lt;&gt;"Yes"),"T0-NoSmartcard ","")&amp;IF(AND($J920&lt;&gt;"",$J920&gt;365),"StalePwd ","")&amp;IF($K920="Yes","PwdNeverExpires ","")&amp;IF(AND($S920&lt;&gt;"",$S920&lt;&gt;"None"),"Delegation ","")&amp;IF(AND($Q920=1,$O920="None"),"StaleAdminCount ","")&amp;IF(AND($F920="Yes",$H920=""),"NeverLoggedOn ","")))</f>
        <v/>
      </c>
      <c r="AD920" s="60" t="n"/>
      <c r="AE920" s="61" t="n"/>
      <c r="AF920" s="60" t="n"/>
      <c r="AG920" s="62" t="n"/>
      <c r="AH920" s="62" t="n"/>
      <c r="AI920" s="62" t="n"/>
      <c r="AJ920" s="60" t="n"/>
      <c r="AK920" s="61" t="n"/>
      <c r="AL920" s="63">
        <f>IF($A920="","",IF(AH920="","Not Enrolled",IF(TODAY()&gt;AH920,"Review Overdue",IF(AH920-TODAY()&lt;=30,"Review Due Soon","Active"))))</f>
        <v/>
      </c>
      <c r="AM920" s="63">
        <f>IF($A920="","",IF(AI920="","NOT REVIEWED",IF(TODAY()-AI920&gt;90,"OVERDUE",IF(TODAY()-AI920&gt;76,"Due Soon","Current"))))</f>
        <v/>
      </c>
    </row>
    <row r="921" ht="15" customHeight="1" s="39">
      <c r="A921" s="60" t="n"/>
      <c r="B921" s="60" t="n"/>
      <c r="C921" s="61" t="n"/>
      <c r="D921" s="61" t="n"/>
      <c r="E921" s="60" t="n"/>
      <c r="F921" s="60" t="n"/>
      <c r="G921" s="62" t="n"/>
      <c r="H921" s="62" t="n"/>
      <c r="I921" s="62" t="n"/>
      <c r="J921" s="60" t="n"/>
      <c r="K921" s="60" t="n"/>
      <c r="L921" s="60" t="n"/>
      <c r="M921" s="61" t="n"/>
      <c r="N921" s="60" t="n"/>
      <c r="O921" s="60" t="n"/>
      <c r="P921" s="60" t="n"/>
      <c r="Q921" s="60" t="n"/>
      <c r="R921" s="60" t="n"/>
      <c r="S921" s="60" t="n"/>
      <c r="T921" s="60" t="n"/>
      <c r="U921" s="60" t="n"/>
      <c r="V921" s="60" t="n"/>
      <c r="W921" s="60" t="n"/>
      <c r="X921" s="60" t="n"/>
      <c r="Y921" s="60" t="n"/>
      <c r="Z921" s="61" t="n"/>
      <c r="AA921" s="63">
        <f>IF($H921="","",TODAY()-$H921)</f>
        <v/>
      </c>
      <c r="AB921" s="63">
        <f>IF($A921="","",IF(AND($F921="Yes",OR($U921="No",$U921="NOT FOUND")),"YES",""))</f>
        <v/>
      </c>
      <c r="AC921" s="66">
        <f>IF($A921="","",TRIM(IF(AND($P921=0,$L921&lt;&gt;"Yes"),"T0-NoSmartcard ","")&amp;IF(AND($J921&lt;&gt;"",$J921&gt;365),"StalePwd ","")&amp;IF($K921="Yes","PwdNeverExpires ","")&amp;IF(AND($S921&lt;&gt;"",$S921&lt;&gt;"None"),"Delegation ","")&amp;IF(AND($Q921=1,$O921="None"),"StaleAdminCount ","")&amp;IF(AND($F921="Yes",$H921=""),"NeverLoggedOn ","")))</f>
        <v/>
      </c>
      <c r="AD921" s="60" t="n"/>
      <c r="AE921" s="61" t="n"/>
      <c r="AF921" s="60" t="n"/>
      <c r="AG921" s="62" t="n"/>
      <c r="AH921" s="62" t="n"/>
      <c r="AI921" s="62" t="n"/>
      <c r="AJ921" s="60" t="n"/>
      <c r="AK921" s="61" t="n"/>
      <c r="AL921" s="63">
        <f>IF($A921="","",IF(AH921="","Not Enrolled",IF(TODAY()&gt;AH921,"Review Overdue",IF(AH921-TODAY()&lt;=30,"Review Due Soon","Active"))))</f>
        <v/>
      </c>
      <c r="AM921" s="63">
        <f>IF($A921="","",IF(AI921="","NOT REVIEWED",IF(TODAY()-AI921&gt;90,"OVERDUE",IF(TODAY()-AI921&gt;76,"Due Soon","Current"))))</f>
        <v/>
      </c>
    </row>
    <row r="922" ht="15" customHeight="1" s="39">
      <c r="A922" s="60" t="n"/>
      <c r="B922" s="60" t="n"/>
      <c r="C922" s="61" t="n"/>
      <c r="D922" s="61" t="n"/>
      <c r="E922" s="60" t="n"/>
      <c r="F922" s="60" t="n"/>
      <c r="G922" s="62" t="n"/>
      <c r="H922" s="62" t="n"/>
      <c r="I922" s="62" t="n"/>
      <c r="J922" s="60" t="n"/>
      <c r="K922" s="60" t="n"/>
      <c r="L922" s="60" t="n"/>
      <c r="M922" s="61" t="n"/>
      <c r="N922" s="60" t="n"/>
      <c r="O922" s="60" t="n"/>
      <c r="P922" s="60" t="n"/>
      <c r="Q922" s="60" t="n"/>
      <c r="R922" s="60" t="n"/>
      <c r="S922" s="60" t="n"/>
      <c r="T922" s="60" t="n"/>
      <c r="U922" s="60" t="n"/>
      <c r="V922" s="60" t="n"/>
      <c r="W922" s="60" t="n"/>
      <c r="X922" s="60" t="n"/>
      <c r="Y922" s="60" t="n"/>
      <c r="Z922" s="61" t="n"/>
      <c r="AA922" s="63">
        <f>IF($H922="","",TODAY()-$H922)</f>
        <v/>
      </c>
      <c r="AB922" s="63">
        <f>IF($A922="","",IF(AND($F922="Yes",OR($U922="No",$U922="NOT FOUND")),"YES",""))</f>
        <v/>
      </c>
      <c r="AC922" s="66">
        <f>IF($A922="","",TRIM(IF(AND($P922=0,$L922&lt;&gt;"Yes"),"T0-NoSmartcard ","")&amp;IF(AND($J922&lt;&gt;"",$J922&gt;365),"StalePwd ","")&amp;IF($K922="Yes","PwdNeverExpires ","")&amp;IF(AND($S922&lt;&gt;"",$S922&lt;&gt;"None"),"Delegation ","")&amp;IF(AND($Q922=1,$O922="None"),"StaleAdminCount ","")&amp;IF(AND($F922="Yes",$H922=""),"NeverLoggedOn ","")))</f>
        <v/>
      </c>
      <c r="AD922" s="60" t="n"/>
      <c r="AE922" s="61" t="n"/>
      <c r="AF922" s="60" t="n"/>
      <c r="AG922" s="62" t="n"/>
      <c r="AH922" s="62" t="n"/>
      <c r="AI922" s="62" t="n"/>
      <c r="AJ922" s="60" t="n"/>
      <c r="AK922" s="61" t="n"/>
      <c r="AL922" s="63">
        <f>IF($A922="","",IF(AH922="","Not Enrolled",IF(TODAY()&gt;AH922,"Review Overdue",IF(AH922-TODAY()&lt;=30,"Review Due Soon","Active"))))</f>
        <v/>
      </c>
      <c r="AM922" s="63">
        <f>IF($A922="","",IF(AI922="","NOT REVIEWED",IF(TODAY()-AI922&gt;90,"OVERDUE",IF(TODAY()-AI922&gt;76,"Due Soon","Current"))))</f>
        <v/>
      </c>
    </row>
    <row r="923" ht="15" customHeight="1" s="39">
      <c r="A923" s="60" t="n"/>
      <c r="B923" s="60" t="n"/>
      <c r="C923" s="61" t="n"/>
      <c r="D923" s="61" t="n"/>
      <c r="E923" s="60" t="n"/>
      <c r="F923" s="60" t="n"/>
      <c r="G923" s="62" t="n"/>
      <c r="H923" s="62" t="n"/>
      <c r="I923" s="62" t="n"/>
      <c r="J923" s="60" t="n"/>
      <c r="K923" s="60" t="n"/>
      <c r="L923" s="60" t="n"/>
      <c r="M923" s="61" t="n"/>
      <c r="N923" s="60" t="n"/>
      <c r="O923" s="60" t="n"/>
      <c r="P923" s="60" t="n"/>
      <c r="Q923" s="60" t="n"/>
      <c r="R923" s="60" t="n"/>
      <c r="S923" s="60" t="n"/>
      <c r="T923" s="60" t="n"/>
      <c r="U923" s="60" t="n"/>
      <c r="V923" s="60" t="n"/>
      <c r="W923" s="60" t="n"/>
      <c r="X923" s="60" t="n"/>
      <c r="Y923" s="60" t="n"/>
      <c r="Z923" s="61" t="n"/>
      <c r="AA923" s="63">
        <f>IF($H923="","",TODAY()-$H923)</f>
        <v/>
      </c>
      <c r="AB923" s="63">
        <f>IF($A923="","",IF(AND($F923="Yes",OR($U923="No",$U923="NOT FOUND")),"YES",""))</f>
        <v/>
      </c>
      <c r="AC923" s="66">
        <f>IF($A923="","",TRIM(IF(AND($P923=0,$L923&lt;&gt;"Yes"),"T0-NoSmartcard ","")&amp;IF(AND($J923&lt;&gt;"",$J923&gt;365),"StalePwd ","")&amp;IF($K923="Yes","PwdNeverExpires ","")&amp;IF(AND($S923&lt;&gt;"",$S923&lt;&gt;"None"),"Delegation ","")&amp;IF(AND($Q923=1,$O923="None"),"StaleAdminCount ","")&amp;IF(AND($F923="Yes",$H923=""),"NeverLoggedOn ","")))</f>
        <v/>
      </c>
      <c r="AD923" s="60" t="n"/>
      <c r="AE923" s="61" t="n"/>
      <c r="AF923" s="60" t="n"/>
      <c r="AG923" s="62" t="n"/>
      <c r="AH923" s="62" t="n"/>
      <c r="AI923" s="62" t="n"/>
      <c r="AJ923" s="60" t="n"/>
      <c r="AK923" s="61" t="n"/>
      <c r="AL923" s="63">
        <f>IF($A923="","",IF(AH923="","Not Enrolled",IF(TODAY()&gt;AH923,"Review Overdue",IF(AH923-TODAY()&lt;=30,"Review Due Soon","Active"))))</f>
        <v/>
      </c>
      <c r="AM923" s="63">
        <f>IF($A923="","",IF(AI923="","NOT REVIEWED",IF(TODAY()-AI923&gt;90,"OVERDUE",IF(TODAY()-AI923&gt;76,"Due Soon","Current"))))</f>
        <v/>
      </c>
    </row>
    <row r="924" ht="15" customHeight="1" s="39">
      <c r="A924" s="60" t="n"/>
      <c r="B924" s="60" t="n"/>
      <c r="C924" s="61" t="n"/>
      <c r="D924" s="61" t="n"/>
      <c r="E924" s="60" t="n"/>
      <c r="F924" s="60" t="n"/>
      <c r="G924" s="62" t="n"/>
      <c r="H924" s="62" t="n"/>
      <c r="I924" s="62" t="n"/>
      <c r="J924" s="60" t="n"/>
      <c r="K924" s="60" t="n"/>
      <c r="L924" s="60" t="n"/>
      <c r="M924" s="61" t="n"/>
      <c r="N924" s="60" t="n"/>
      <c r="O924" s="60" t="n"/>
      <c r="P924" s="60" t="n"/>
      <c r="Q924" s="60" t="n"/>
      <c r="R924" s="60" t="n"/>
      <c r="S924" s="60" t="n"/>
      <c r="T924" s="60" t="n"/>
      <c r="U924" s="60" t="n"/>
      <c r="V924" s="60" t="n"/>
      <c r="W924" s="60" t="n"/>
      <c r="X924" s="60" t="n"/>
      <c r="Y924" s="60" t="n"/>
      <c r="Z924" s="61" t="n"/>
      <c r="AA924" s="63">
        <f>IF($H924="","",TODAY()-$H924)</f>
        <v/>
      </c>
      <c r="AB924" s="63">
        <f>IF($A924="","",IF(AND($F924="Yes",OR($U924="No",$U924="NOT FOUND")),"YES",""))</f>
        <v/>
      </c>
      <c r="AC924" s="66">
        <f>IF($A924="","",TRIM(IF(AND($P924=0,$L924&lt;&gt;"Yes"),"T0-NoSmartcard ","")&amp;IF(AND($J924&lt;&gt;"",$J924&gt;365),"StalePwd ","")&amp;IF($K924="Yes","PwdNeverExpires ","")&amp;IF(AND($S924&lt;&gt;"",$S924&lt;&gt;"None"),"Delegation ","")&amp;IF(AND($Q924=1,$O924="None"),"StaleAdminCount ","")&amp;IF(AND($F924="Yes",$H924=""),"NeverLoggedOn ","")))</f>
        <v/>
      </c>
      <c r="AD924" s="60" t="n"/>
      <c r="AE924" s="61" t="n"/>
      <c r="AF924" s="60" t="n"/>
      <c r="AG924" s="62" t="n"/>
      <c r="AH924" s="62" t="n"/>
      <c r="AI924" s="62" t="n"/>
      <c r="AJ924" s="60" t="n"/>
      <c r="AK924" s="61" t="n"/>
      <c r="AL924" s="63">
        <f>IF($A924="","",IF(AH924="","Not Enrolled",IF(TODAY()&gt;AH924,"Review Overdue",IF(AH924-TODAY()&lt;=30,"Review Due Soon","Active"))))</f>
        <v/>
      </c>
      <c r="AM924" s="63">
        <f>IF($A924="","",IF(AI924="","NOT REVIEWED",IF(TODAY()-AI924&gt;90,"OVERDUE",IF(TODAY()-AI924&gt;76,"Due Soon","Current"))))</f>
        <v/>
      </c>
    </row>
    <row r="925" ht="15" customHeight="1" s="39">
      <c r="A925" s="60" t="n"/>
      <c r="B925" s="60" t="n"/>
      <c r="C925" s="61" t="n"/>
      <c r="D925" s="61" t="n"/>
      <c r="E925" s="60" t="n"/>
      <c r="F925" s="60" t="n"/>
      <c r="G925" s="62" t="n"/>
      <c r="H925" s="62" t="n"/>
      <c r="I925" s="62" t="n"/>
      <c r="J925" s="60" t="n"/>
      <c r="K925" s="60" t="n"/>
      <c r="L925" s="60" t="n"/>
      <c r="M925" s="61" t="n"/>
      <c r="N925" s="60" t="n"/>
      <c r="O925" s="60" t="n"/>
      <c r="P925" s="60" t="n"/>
      <c r="Q925" s="60" t="n"/>
      <c r="R925" s="60" t="n"/>
      <c r="S925" s="60" t="n"/>
      <c r="T925" s="60" t="n"/>
      <c r="U925" s="60" t="n"/>
      <c r="V925" s="60" t="n"/>
      <c r="W925" s="60" t="n"/>
      <c r="X925" s="60" t="n"/>
      <c r="Y925" s="60" t="n"/>
      <c r="Z925" s="61" t="n"/>
      <c r="AA925" s="63">
        <f>IF($H925="","",TODAY()-$H925)</f>
        <v/>
      </c>
      <c r="AB925" s="63">
        <f>IF($A925="","",IF(AND($F925="Yes",OR($U925="No",$U925="NOT FOUND")),"YES",""))</f>
        <v/>
      </c>
      <c r="AC925" s="66">
        <f>IF($A925="","",TRIM(IF(AND($P925=0,$L925&lt;&gt;"Yes"),"T0-NoSmartcard ","")&amp;IF(AND($J925&lt;&gt;"",$J925&gt;365),"StalePwd ","")&amp;IF($K925="Yes","PwdNeverExpires ","")&amp;IF(AND($S925&lt;&gt;"",$S925&lt;&gt;"None"),"Delegation ","")&amp;IF(AND($Q925=1,$O925="None"),"StaleAdminCount ","")&amp;IF(AND($F925="Yes",$H925=""),"NeverLoggedOn ","")))</f>
        <v/>
      </c>
      <c r="AD925" s="60" t="n"/>
      <c r="AE925" s="61" t="n"/>
      <c r="AF925" s="60" t="n"/>
      <c r="AG925" s="62" t="n"/>
      <c r="AH925" s="62" t="n"/>
      <c r="AI925" s="62" t="n"/>
      <c r="AJ925" s="60" t="n"/>
      <c r="AK925" s="61" t="n"/>
      <c r="AL925" s="63">
        <f>IF($A925="","",IF(AH925="","Not Enrolled",IF(TODAY()&gt;AH925,"Review Overdue",IF(AH925-TODAY()&lt;=30,"Review Due Soon","Active"))))</f>
        <v/>
      </c>
      <c r="AM925" s="63">
        <f>IF($A925="","",IF(AI925="","NOT REVIEWED",IF(TODAY()-AI925&gt;90,"OVERDUE",IF(TODAY()-AI925&gt;76,"Due Soon","Current"))))</f>
        <v/>
      </c>
    </row>
    <row r="926" ht="15" customHeight="1" s="39">
      <c r="A926" s="60" t="n"/>
      <c r="B926" s="60" t="n"/>
      <c r="C926" s="61" t="n"/>
      <c r="D926" s="61" t="n"/>
      <c r="E926" s="60" t="n"/>
      <c r="F926" s="60" t="n"/>
      <c r="G926" s="62" t="n"/>
      <c r="H926" s="62" t="n"/>
      <c r="I926" s="62" t="n"/>
      <c r="J926" s="60" t="n"/>
      <c r="K926" s="60" t="n"/>
      <c r="L926" s="60" t="n"/>
      <c r="M926" s="61" t="n"/>
      <c r="N926" s="60" t="n"/>
      <c r="O926" s="60" t="n"/>
      <c r="P926" s="60" t="n"/>
      <c r="Q926" s="60" t="n"/>
      <c r="R926" s="60" t="n"/>
      <c r="S926" s="60" t="n"/>
      <c r="T926" s="60" t="n"/>
      <c r="U926" s="60" t="n"/>
      <c r="V926" s="60" t="n"/>
      <c r="W926" s="60" t="n"/>
      <c r="X926" s="60" t="n"/>
      <c r="Y926" s="60" t="n"/>
      <c r="Z926" s="61" t="n"/>
      <c r="AA926" s="63">
        <f>IF($H926="","",TODAY()-$H926)</f>
        <v/>
      </c>
      <c r="AB926" s="63">
        <f>IF($A926="","",IF(AND($F926="Yes",OR($U926="No",$U926="NOT FOUND")),"YES",""))</f>
        <v/>
      </c>
      <c r="AC926" s="66">
        <f>IF($A926="","",TRIM(IF(AND($P926=0,$L926&lt;&gt;"Yes"),"T0-NoSmartcard ","")&amp;IF(AND($J926&lt;&gt;"",$J926&gt;365),"StalePwd ","")&amp;IF($K926="Yes","PwdNeverExpires ","")&amp;IF(AND($S926&lt;&gt;"",$S926&lt;&gt;"None"),"Delegation ","")&amp;IF(AND($Q926=1,$O926="None"),"StaleAdminCount ","")&amp;IF(AND($F926="Yes",$H926=""),"NeverLoggedOn ","")))</f>
        <v/>
      </c>
      <c r="AD926" s="60" t="n"/>
      <c r="AE926" s="61" t="n"/>
      <c r="AF926" s="60" t="n"/>
      <c r="AG926" s="62" t="n"/>
      <c r="AH926" s="62" t="n"/>
      <c r="AI926" s="62" t="n"/>
      <c r="AJ926" s="60" t="n"/>
      <c r="AK926" s="61" t="n"/>
      <c r="AL926" s="63">
        <f>IF($A926="","",IF(AH926="","Not Enrolled",IF(TODAY()&gt;AH926,"Review Overdue",IF(AH926-TODAY()&lt;=30,"Review Due Soon","Active"))))</f>
        <v/>
      </c>
      <c r="AM926" s="63">
        <f>IF($A926="","",IF(AI926="","NOT REVIEWED",IF(TODAY()-AI926&gt;90,"OVERDUE",IF(TODAY()-AI926&gt;76,"Due Soon","Current"))))</f>
        <v/>
      </c>
    </row>
    <row r="927" ht="15" customHeight="1" s="39">
      <c r="A927" s="60" t="n"/>
      <c r="B927" s="60" t="n"/>
      <c r="C927" s="61" t="n"/>
      <c r="D927" s="61" t="n"/>
      <c r="E927" s="60" t="n"/>
      <c r="F927" s="60" t="n"/>
      <c r="G927" s="62" t="n"/>
      <c r="H927" s="62" t="n"/>
      <c r="I927" s="62" t="n"/>
      <c r="J927" s="60" t="n"/>
      <c r="K927" s="60" t="n"/>
      <c r="L927" s="60" t="n"/>
      <c r="M927" s="61" t="n"/>
      <c r="N927" s="60" t="n"/>
      <c r="O927" s="60" t="n"/>
      <c r="P927" s="60" t="n"/>
      <c r="Q927" s="60" t="n"/>
      <c r="R927" s="60" t="n"/>
      <c r="S927" s="60" t="n"/>
      <c r="T927" s="60" t="n"/>
      <c r="U927" s="60" t="n"/>
      <c r="V927" s="60" t="n"/>
      <c r="W927" s="60" t="n"/>
      <c r="X927" s="60" t="n"/>
      <c r="Y927" s="60" t="n"/>
      <c r="Z927" s="61" t="n"/>
      <c r="AA927" s="63">
        <f>IF($H927="","",TODAY()-$H927)</f>
        <v/>
      </c>
      <c r="AB927" s="63">
        <f>IF($A927="","",IF(AND($F927="Yes",OR($U927="No",$U927="NOT FOUND")),"YES",""))</f>
        <v/>
      </c>
      <c r="AC927" s="66">
        <f>IF($A927="","",TRIM(IF(AND($P927=0,$L927&lt;&gt;"Yes"),"T0-NoSmartcard ","")&amp;IF(AND($J927&lt;&gt;"",$J927&gt;365),"StalePwd ","")&amp;IF($K927="Yes","PwdNeverExpires ","")&amp;IF(AND($S927&lt;&gt;"",$S927&lt;&gt;"None"),"Delegation ","")&amp;IF(AND($Q927=1,$O927="None"),"StaleAdminCount ","")&amp;IF(AND($F927="Yes",$H927=""),"NeverLoggedOn ","")))</f>
        <v/>
      </c>
      <c r="AD927" s="60" t="n"/>
      <c r="AE927" s="61" t="n"/>
      <c r="AF927" s="60" t="n"/>
      <c r="AG927" s="62" t="n"/>
      <c r="AH927" s="62" t="n"/>
      <c r="AI927" s="62" t="n"/>
      <c r="AJ927" s="60" t="n"/>
      <c r="AK927" s="61" t="n"/>
      <c r="AL927" s="63">
        <f>IF($A927="","",IF(AH927="","Not Enrolled",IF(TODAY()&gt;AH927,"Review Overdue",IF(AH927-TODAY()&lt;=30,"Review Due Soon","Active"))))</f>
        <v/>
      </c>
      <c r="AM927" s="63">
        <f>IF($A927="","",IF(AI927="","NOT REVIEWED",IF(TODAY()-AI927&gt;90,"OVERDUE",IF(TODAY()-AI927&gt;76,"Due Soon","Current"))))</f>
        <v/>
      </c>
    </row>
    <row r="928" ht="15" customHeight="1" s="39">
      <c r="A928" s="60" t="n"/>
      <c r="B928" s="60" t="n"/>
      <c r="C928" s="61" t="n"/>
      <c r="D928" s="61" t="n"/>
      <c r="E928" s="60" t="n"/>
      <c r="F928" s="60" t="n"/>
      <c r="G928" s="62" t="n"/>
      <c r="H928" s="62" t="n"/>
      <c r="I928" s="62" t="n"/>
      <c r="J928" s="60" t="n"/>
      <c r="K928" s="60" t="n"/>
      <c r="L928" s="60" t="n"/>
      <c r="M928" s="61" t="n"/>
      <c r="N928" s="60" t="n"/>
      <c r="O928" s="60" t="n"/>
      <c r="P928" s="60" t="n"/>
      <c r="Q928" s="60" t="n"/>
      <c r="R928" s="60" t="n"/>
      <c r="S928" s="60" t="n"/>
      <c r="T928" s="60" t="n"/>
      <c r="U928" s="60" t="n"/>
      <c r="V928" s="60" t="n"/>
      <c r="W928" s="60" t="n"/>
      <c r="X928" s="60" t="n"/>
      <c r="Y928" s="60" t="n"/>
      <c r="Z928" s="61" t="n"/>
      <c r="AA928" s="63">
        <f>IF($H928="","",TODAY()-$H928)</f>
        <v/>
      </c>
      <c r="AB928" s="63">
        <f>IF($A928="","",IF(AND($F928="Yes",OR($U928="No",$U928="NOT FOUND")),"YES",""))</f>
        <v/>
      </c>
      <c r="AC928" s="66">
        <f>IF($A928="","",TRIM(IF(AND($P928=0,$L928&lt;&gt;"Yes"),"T0-NoSmartcard ","")&amp;IF(AND($J928&lt;&gt;"",$J928&gt;365),"StalePwd ","")&amp;IF($K928="Yes","PwdNeverExpires ","")&amp;IF(AND($S928&lt;&gt;"",$S928&lt;&gt;"None"),"Delegation ","")&amp;IF(AND($Q928=1,$O928="None"),"StaleAdminCount ","")&amp;IF(AND($F928="Yes",$H928=""),"NeverLoggedOn ","")))</f>
        <v/>
      </c>
      <c r="AD928" s="60" t="n"/>
      <c r="AE928" s="61" t="n"/>
      <c r="AF928" s="60" t="n"/>
      <c r="AG928" s="62" t="n"/>
      <c r="AH928" s="62" t="n"/>
      <c r="AI928" s="62" t="n"/>
      <c r="AJ928" s="60" t="n"/>
      <c r="AK928" s="61" t="n"/>
      <c r="AL928" s="63">
        <f>IF($A928="","",IF(AH928="","Not Enrolled",IF(TODAY()&gt;AH928,"Review Overdue",IF(AH928-TODAY()&lt;=30,"Review Due Soon","Active"))))</f>
        <v/>
      </c>
      <c r="AM928" s="63">
        <f>IF($A928="","",IF(AI928="","NOT REVIEWED",IF(TODAY()-AI928&gt;90,"OVERDUE",IF(TODAY()-AI928&gt;76,"Due Soon","Current"))))</f>
        <v/>
      </c>
    </row>
    <row r="929" ht="15" customHeight="1" s="39">
      <c r="A929" s="60" t="n"/>
      <c r="B929" s="60" t="n"/>
      <c r="C929" s="61" t="n"/>
      <c r="D929" s="61" t="n"/>
      <c r="E929" s="60" t="n"/>
      <c r="F929" s="60" t="n"/>
      <c r="G929" s="62" t="n"/>
      <c r="H929" s="62" t="n"/>
      <c r="I929" s="62" t="n"/>
      <c r="J929" s="60" t="n"/>
      <c r="K929" s="60" t="n"/>
      <c r="L929" s="60" t="n"/>
      <c r="M929" s="61" t="n"/>
      <c r="N929" s="60" t="n"/>
      <c r="O929" s="60" t="n"/>
      <c r="P929" s="60" t="n"/>
      <c r="Q929" s="60" t="n"/>
      <c r="R929" s="60" t="n"/>
      <c r="S929" s="60" t="n"/>
      <c r="T929" s="60" t="n"/>
      <c r="U929" s="60" t="n"/>
      <c r="V929" s="60" t="n"/>
      <c r="W929" s="60" t="n"/>
      <c r="X929" s="60" t="n"/>
      <c r="Y929" s="60" t="n"/>
      <c r="Z929" s="61" t="n"/>
      <c r="AA929" s="63">
        <f>IF($H929="","",TODAY()-$H929)</f>
        <v/>
      </c>
      <c r="AB929" s="63">
        <f>IF($A929="","",IF(AND($F929="Yes",OR($U929="No",$U929="NOT FOUND")),"YES",""))</f>
        <v/>
      </c>
      <c r="AC929" s="66">
        <f>IF($A929="","",TRIM(IF(AND($P929=0,$L929&lt;&gt;"Yes"),"T0-NoSmartcard ","")&amp;IF(AND($J929&lt;&gt;"",$J929&gt;365),"StalePwd ","")&amp;IF($K929="Yes","PwdNeverExpires ","")&amp;IF(AND($S929&lt;&gt;"",$S929&lt;&gt;"None"),"Delegation ","")&amp;IF(AND($Q929=1,$O929="None"),"StaleAdminCount ","")&amp;IF(AND($F929="Yes",$H929=""),"NeverLoggedOn ","")))</f>
        <v/>
      </c>
      <c r="AD929" s="60" t="n"/>
      <c r="AE929" s="61" t="n"/>
      <c r="AF929" s="60" t="n"/>
      <c r="AG929" s="62" t="n"/>
      <c r="AH929" s="62" t="n"/>
      <c r="AI929" s="62" t="n"/>
      <c r="AJ929" s="60" t="n"/>
      <c r="AK929" s="61" t="n"/>
      <c r="AL929" s="63">
        <f>IF($A929="","",IF(AH929="","Not Enrolled",IF(TODAY()&gt;AH929,"Review Overdue",IF(AH929-TODAY()&lt;=30,"Review Due Soon","Active"))))</f>
        <v/>
      </c>
      <c r="AM929" s="63">
        <f>IF($A929="","",IF(AI929="","NOT REVIEWED",IF(TODAY()-AI929&gt;90,"OVERDUE",IF(TODAY()-AI929&gt;76,"Due Soon","Current"))))</f>
        <v/>
      </c>
    </row>
    <row r="930" ht="15" customHeight="1" s="39">
      <c r="A930" s="60" t="n"/>
      <c r="B930" s="60" t="n"/>
      <c r="C930" s="61" t="n"/>
      <c r="D930" s="61" t="n"/>
      <c r="E930" s="60" t="n"/>
      <c r="F930" s="60" t="n"/>
      <c r="G930" s="62" t="n"/>
      <c r="H930" s="62" t="n"/>
      <c r="I930" s="62" t="n"/>
      <c r="J930" s="60" t="n"/>
      <c r="K930" s="60" t="n"/>
      <c r="L930" s="60" t="n"/>
      <c r="M930" s="61" t="n"/>
      <c r="N930" s="60" t="n"/>
      <c r="O930" s="60" t="n"/>
      <c r="P930" s="60" t="n"/>
      <c r="Q930" s="60" t="n"/>
      <c r="R930" s="60" t="n"/>
      <c r="S930" s="60" t="n"/>
      <c r="T930" s="60" t="n"/>
      <c r="U930" s="60" t="n"/>
      <c r="V930" s="60" t="n"/>
      <c r="W930" s="60" t="n"/>
      <c r="X930" s="60" t="n"/>
      <c r="Y930" s="60" t="n"/>
      <c r="Z930" s="61" t="n"/>
      <c r="AA930" s="63">
        <f>IF($H930="","",TODAY()-$H930)</f>
        <v/>
      </c>
      <c r="AB930" s="63">
        <f>IF($A930="","",IF(AND($F930="Yes",OR($U930="No",$U930="NOT FOUND")),"YES",""))</f>
        <v/>
      </c>
      <c r="AC930" s="66">
        <f>IF($A930="","",TRIM(IF(AND($P930=0,$L930&lt;&gt;"Yes"),"T0-NoSmartcard ","")&amp;IF(AND($J930&lt;&gt;"",$J930&gt;365),"StalePwd ","")&amp;IF($K930="Yes","PwdNeverExpires ","")&amp;IF(AND($S930&lt;&gt;"",$S930&lt;&gt;"None"),"Delegation ","")&amp;IF(AND($Q930=1,$O930="None"),"StaleAdminCount ","")&amp;IF(AND($F930="Yes",$H930=""),"NeverLoggedOn ","")))</f>
        <v/>
      </c>
      <c r="AD930" s="60" t="n"/>
      <c r="AE930" s="61" t="n"/>
      <c r="AF930" s="60" t="n"/>
      <c r="AG930" s="62" t="n"/>
      <c r="AH930" s="62" t="n"/>
      <c r="AI930" s="62" t="n"/>
      <c r="AJ930" s="60" t="n"/>
      <c r="AK930" s="61" t="n"/>
      <c r="AL930" s="63">
        <f>IF($A930="","",IF(AH930="","Not Enrolled",IF(TODAY()&gt;AH930,"Review Overdue",IF(AH930-TODAY()&lt;=30,"Review Due Soon","Active"))))</f>
        <v/>
      </c>
      <c r="AM930" s="63">
        <f>IF($A930="","",IF(AI930="","NOT REVIEWED",IF(TODAY()-AI930&gt;90,"OVERDUE",IF(TODAY()-AI930&gt;76,"Due Soon","Current"))))</f>
        <v/>
      </c>
    </row>
    <row r="931" ht="15" customHeight="1" s="39">
      <c r="A931" s="60" t="n"/>
      <c r="B931" s="60" t="n"/>
      <c r="C931" s="61" t="n"/>
      <c r="D931" s="61" t="n"/>
      <c r="E931" s="60" t="n"/>
      <c r="F931" s="60" t="n"/>
      <c r="G931" s="62" t="n"/>
      <c r="H931" s="62" t="n"/>
      <c r="I931" s="62" t="n"/>
      <c r="J931" s="60" t="n"/>
      <c r="K931" s="60" t="n"/>
      <c r="L931" s="60" t="n"/>
      <c r="M931" s="61" t="n"/>
      <c r="N931" s="60" t="n"/>
      <c r="O931" s="60" t="n"/>
      <c r="P931" s="60" t="n"/>
      <c r="Q931" s="60" t="n"/>
      <c r="R931" s="60" t="n"/>
      <c r="S931" s="60" t="n"/>
      <c r="T931" s="60" t="n"/>
      <c r="U931" s="60" t="n"/>
      <c r="V931" s="60" t="n"/>
      <c r="W931" s="60" t="n"/>
      <c r="X931" s="60" t="n"/>
      <c r="Y931" s="60" t="n"/>
      <c r="Z931" s="61" t="n"/>
      <c r="AA931" s="63">
        <f>IF($H931="","",TODAY()-$H931)</f>
        <v/>
      </c>
      <c r="AB931" s="63">
        <f>IF($A931="","",IF(AND($F931="Yes",OR($U931="No",$U931="NOT FOUND")),"YES",""))</f>
        <v/>
      </c>
      <c r="AC931" s="66">
        <f>IF($A931="","",TRIM(IF(AND($P931=0,$L931&lt;&gt;"Yes"),"T0-NoSmartcard ","")&amp;IF(AND($J931&lt;&gt;"",$J931&gt;365),"StalePwd ","")&amp;IF($K931="Yes","PwdNeverExpires ","")&amp;IF(AND($S931&lt;&gt;"",$S931&lt;&gt;"None"),"Delegation ","")&amp;IF(AND($Q931=1,$O931="None"),"StaleAdminCount ","")&amp;IF(AND($F931="Yes",$H931=""),"NeverLoggedOn ","")))</f>
        <v/>
      </c>
      <c r="AD931" s="60" t="n"/>
      <c r="AE931" s="61" t="n"/>
      <c r="AF931" s="60" t="n"/>
      <c r="AG931" s="62" t="n"/>
      <c r="AH931" s="62" t="n"/>
      <c r="AI931" s="62" t="n"/>
      <c r="AJ931" s="60" t="n"/>
      <c r="AK931" s="61" t="n"/>
      <c r="AL931" s="63">
        <f>IF($A931="","",IF(AH931="","Not Enrolled",IF(TODAY()&gt;AH931,"Review Overdue",IF(AH931-TODAY()&lt;=30,"Review Due Soon","Active"))))</f>
        <v/>
      </c>
      <c r="AM931" s="63">
        <f>IF($A931="","",IF(AI931="","NOT REVIEWED",IF(TODAY()-AI931&gt;90,"OVERDUE",IF(TODAY()-AI931&gt;76,"Due Soon","Current"))))</f>
        <v/>
      </c>
    </row>
    <row r="932" ht="15" customHeight="1" s="39">
      <c r="A932" s="60" t="n"/>
      <c r="B932" s="60" t="n"/>
      <c r="C932" s="61" t="n"/>
      <c r="D932" s="61" t="n"/>
      <c r="E932" s="60" t="n"/>
      <c r="F932" s="60" t="n"/>
      <c r="G932" s="62" t="n"/>
      <c r="H932" s="62" t="n"/>
      <c r="I932" s="62" t="n"/>
      <c r="J932" s="60" t="n"/>
      <c r="K932" s="60" t="n"/>
      <c r="L932" s="60" t="n"/>
      <c r="M932" s="61" t="n"/>
      <c r="N932" s="60" t="n"/>
      <c r="O932" s="60" t="n"/>
      <c r="P932" s="60" t="n"/>
      <c r="Q932" s="60" t="n"/>
      <c r="R932" s="60" t="n"/>
      <c r="S932" s="60" t="n"/>
      <c r="T932" s="60" t="n"/>
      <c r="U932" s="60" t="n"/>
      <c r="V932" s="60" t="n"/>
      <c r="W932" s="60" t="n"/>
      <c r="X932" s="60" t="n"/>
      <c r="Y932" s="60" t="n"/>
      <c r="Z932" s="61" t="n"/>
      <c r="AA932" s="63">
        <f>IF($H932="","",TODAY()-$H932)</f>
        <v/>
      </c>
      <c r="AB932" s="63">
        <f>IF($A932="","",IF(AND($F932="Yes",OR($U932="No",$U932="NOT FOUND")),"YES",""))</f>
        <v/>
      </c>
      <c r="AC932" s="66">
        <f>IF($A932="","",TRIM(IF(AND($P932=0,$L932&lt;&gt;"Yes"),"T0-NoSmartcard ","")&amp;IF(AND($J932&lt;&gt;"",$J932&gt;365),"StalePwd ","")&amp;IF($K932="Yes","PwdNeverExpires ","")&amp;IF(AND($S932&lt;&gt;"",$S932&lt;&gt;"None"),"Delegation ","")&amp;IF(AND($Q932=1,$O932="None"),"StaleAdminCount ","")&amp;IF(AND($F932="Yes",$H932=""),"NeverLoggedOn ","")))</f>
        <v/>
      </c>
      <c r="AD932" s="60" t="n"/>
      <c r="AE932" s="61" t="n"/>
      <c r="AF932" s="60" t="n"/>
      <c r="AG932" s="62" t="n"/>
      <c r="AH932" s="62" t="n"/>
      <c r="AI932" s="62" t="n"/>
      <c r="AJ932" s="60" t="n"/>
      <c r="AK932" s="61" t="n"/>
      <c r="AL932" s="63">
        <f>IF($A932="","",IF(AH932="","Not Enrolled",IF(TODAY()&gt;AH932,"Review Overdue",IF(AH932-TODAY()&lt;=30,"Review Due Soon","Active"))))</f>
        <v/>
      </c>
      <c r="AM932" s="63">
        <f>IF($A932="","",IF(AI932="","NOT REVIEWED",IF(TODAY()-AI932&gt;90,"OVERDUE",IF(TODAY()-AI932&gt;76,"Due Soon","Current"))))</f>
        <v/>
      </c>
    </row>
    <row r="933" ht="15" customHeight="1" s="39">
      <c r="A933" s="60" t="n"/>
      <c r="B933" s="60" t="n"/>
      <c r="C933" s="61" t="n"/>
      <c r="D933" s="61" t="n"/>
      <c r="E933" s="60" t="n"/>
      <c r="F933" s="60" t="n"/>
      <c r="G933" s="62" t="n"/>
      <c r="H933" s="62" t="n"/>
      <c r="I933" s="62" t="n"/>
      <c r="J933" s="60" t="n"/>
      <c r="K933" s="60" t="n"/>
      <c r="L933" s="60" t="n"/>
      <c r="M933" s="61" t="n"/>
      <c r="N933" s="60" t="n"/>
      <c r="O933" s="60" t="n"/>
      <c r="P933" s="60" t="n"/>
      <c r="Q933" s="60" t="n"/>
      <c r="R933" s="60" t="n"/>
      <c r="S933" s="60" t="n"/>
      <c r="T933" s="60" t="n"/>
      <c r="U933" s="60" t="n"/>
      <c r="V933" s="60" t="n"/>
      <c r="W933" s="60" t="n"/>
      <c r="X933" s="60" t="n"/>
      <c r="Y933" s="60" t="n"/>
      <c r="Z933" s="61" t="n"/>
      <c r="AA933" s="63">
        <f>IF($H933="","",TODAY()-$H933)</f>
        <v/>
      </c>
      <c r="AB933" s="63">
        <f>IF($A933="","",IF(AND($F933="Yes",OR($U933="No",$U933="NOT FOUND")),"YES",""))</f>
        <v/>
      </c>
      <c r="AC933" s="66">
        <f>IF($A933="","",TRIM(IF(AND($P933=0,$L933&lt;&gt;"Yes"),"T0-NoSmartcard ","")&amp;IF(AND($J933&lt;&gt;"",$J933&gt;365),"StalePwd ","")&amp;IF($K933="Yes","PwdNeverExpires ","")&amp;IF(AND($S933&lt;&gt;"",$S933&lt;&gt;"None"),"Delegation ","")&amp;IF(AND($Q933=1,$O933="None"),"StaleAdminCount ","")&amp;IF(AND($F933="Yes",$H933=""),"NeverLoggedOn ","")))</f>
        <v/>
      </c>
      <c r="AD933" s="60" t="n"/>
      <c r="AE933" s="61" t="n"/>
      <c r="AF933" s="60" t="n"/>
      <c r="AG933" s="62" t="n"/>
      <c r="AH933" s="62" t="n"/>
      <c r="AI933" s="62" t="n"/>
      <c r="AJ933" s="60" t="n"/>
      <c r="AK933" s="61" t="n"/>
      <c r="AL933" s="63">
        <f>IF($A933="","",IF(AH933="","Not Enrolled",IF(TODAY()&gt;AH933,"Review Overdue",IF(AH933-TODAY()&lt;=30,"Review Due Soon","Active"))))</f>
        <v/>
      </c>
      <c r="AM933" s="63">
        <f>IF($A933="","",IF(AI933="","NOT REVIEWED",IF(TODAY()-AI933&gt;90,"OVERDUE",IF(TODAY()-AI933&gt;76,"Due Soon","Current"))))</f>
        <v/>
      </c>
    </row>
    <row r="934" ht="15" customHeight="1" s="39">
      <c r="A934" s="60" t="n"/>
      <c r="B934" s="60" t="n"/>
      <c r="C934" s="61" t="n"/>
      <c r="D934" s="61" t="n"/>
      <c r="E934" s="60" t="n"/>
      <c r="F934" s="60" t="n"/>
      <c r="G934" s="62" t="n"/>
      <c r="H934" s="62" t="n"/>
      <c r="I934" s="62" t="n"/>
      <c r="J934" s="60" t="n"/>
      <c r="K934" s="60" t="n"/>
      <c r="L934" s="60" t="n"/>
      <c r="M934" s="61" t="n"/>
      <c r="N934" s="60" t="n"/>
      <c r="O934" s="60" t="n"/>
      <c r="P934" s="60" t="n"/>
      <c r="Q934" s="60" t="n"/>
      <c r="R934" s="60" t="n"/>
      <c r="S934" s="60" t="n"/>
      <c r="T934" s="60" t="n"/>
      <c r="U934" s="60" t="n"/>
      <c r="V934" s="60" t="n"/>
      <c r="W934" s="60" t="n"/>
      <c r="X934" s="60" t="n"/>
      <c r="Y934" s="60" t="n"/>
      <c r="Z934" s="61" t="n"/>
      <c r="AA934" s="63">
        <f>IF($H934="","",TODAY()-$H934)</f>
        <v/>
      </c>
      <c r="AB934" s="63">
        <f>IF($A934="","",IF(AND($F934="Yes",OR($U934="No",$U934="NOT FOUND")),"YES",""))</f>
        <v/>
      </c>
      <c r="AC934" s="66">
        <f>IF($A934="","",TRIM(IF(AND($P934=0,$L934&lt;&gt;"Yes"),"T0-NoSmartcard ","")&amp;IF(AND($J934&lt;&gt;"",$J934&gt;365),"StalePwd ","")&amp;IF($K934="Yes","PwdNeverExpires ","")&amp;IF(AND($S934&lt;&gt;"",$S934&lt;&gt;"None"),"Delegation ","")&amp;IF(AND($Q934=1,$O934="None"),"StaleAdminCount ","")&amp;IF(AND($F934="Yes",$H934=""),"NeverLoggedOn ","")))</f>
        <v/>
      </c>
      <c r="AD934" s="60" t="n"/>
      <c r="AE934" s="61" t="n"/>
      <c r="AF934" s="60" t="n"/>
      <c r="AG934" s="62" t="n"/>
      <c r="AH934" s="62" t="n"/>
      <c r="AI934" s="62" t="n"/>
      <c r="AJ934" s="60" t="n"/>
      <c r="AK934" s="61" t="n"/>
      <c r="AL934" s="63">
        <f>IF($A934="","",IF(AH934="","Not Enrolled",IF(TODAY()&gt;AH934,"Review Overdue",IF(AH934-TODAY()&lt;=30,"Review Due Soon","Active"))))</f>
        <v/>
      </c>
      <c r="AM934" s="63">
        <f>IF($A934="","",IF(AI934="","NOT REVIEWED",IF(TODAY()-AI934&gt;90,"OVERDUE",IF(TODAY()-AI934&gt;76,"Due Soon","Current"))))</f>
        <v/>
      </c>
    </row>
    <row r="935" ht="15" customHeight="1" s="39">
      <c r="A935" s="60" t="n"/>
      <c r="B935" s="60" t="n"/>
      <c r="C935" s="61" t="n"/>
      <c r="D935" s="61" t="n"/>
      <c r="E935" s="60" t="n"/>
      <c r="F935" s="60" t="n"/>
      <c r="G935" s="62" t="n"/>
      <c r="H935" s="62" t="n"/>
      <c r="I935" s="62" t="n"/>
      <c r="J935" s="60" t="n"/>
      <c r="K935" s="60" t="n"/>
      <c r="L935" s="60" t="n"/>
      <c r="M935" s="61" t="n"/>
      <c r="N935" s="60" t="n"/>
      <c r="O935" s="60" t="n"/>
      <c r="P935" s="60" t="n"/>
      <c r="Q935" s="60" t="n"/>
      <c r="R935" s="60" t="n"/>
      <c r="S935" s="60" t="n"/>
      <c r="T935" s="60" t="n"/>
      <c r="U935" s="60" t="n"/>
      <c r="V935" s="60" t="n"/>
      <c r="W935" s="60" t="n"/>
      <c r="X935" s="60" t="n"/>
      <c r="Y935" s="60" t="n"/>
      <c r="Z935" s="61" t="n"/>
      <c r="AA935" s="63">
        <f>IF($H935="","",TODAY()-$H935)</f>
        <v/>
      </c>
      <c r="AB935" s="63">
        <f>IF($A935="","",IF(AND($F935="Yes",OR($U935="No",$U935="NOT FOUND")),"YES",""))</f>
        <v/>
      </c>
      <c r="AC935" s="66">
        <f>IF($A935="","",TRIM(IF(AND($P935=0,$L935&lt;&gt;"Yes"),"T0-NoSmartcard ","")&amp;IF(AND($J935&lt;&gt;"",$J935&gt;365),"StalePwd ","")&amp;IF($K935="Yes","PwdNeverExpires ","")&amp;IF(AND($S935&lt;&gt;"",$S935&lt;&gt;"None"),"Delegation ","")&amp;IF(AND($Q935=1,$O935="None"),"StaleAdminCount ","")&amp;IF(AND($F935="Yes",$H935=""),"NeverLoggedOn ","")))</f>
        <v/>
      </c>
      <c r="AD935" s="60" t="n"/>
      <c r="AE935" s="61" t="n"/>
      <c r="AF935" s="60" t="n"/>
      <c r="AG935" s="62" t="n"/>
      <c r="AH935" s="62" t="n"/>
      <c r="AI935" s="62" t="n"/>
      <c r="AJ935" s="60" t="n"/>
      <c r="AK935" s="61" t="n"/>
      <c r="AL935" s="63">
        <f>IF($A935="","",IF(AH935="","Not Enrolled",IF(TODAY()&gt;AH935,"Review Overdue",IF(AH935-TODAY()&lt;=30,"Review Due Soon","Active"))))</f>
        <v/>
      </c>
      <c r="AM935" s="63">
        <f>IF($A935="","",IF(AI935="","NOT REVIEWED",IF(TODAY()-AI935&gt;90,"OVERDUE",IF(TODAY()-AI935&gt;76,"Due Soon","Current"))))</f>
        <v/>
      </c>
    </row>
    <row r="936" ht="15" customHeight="1" s="39">
      <c r="A936" s="60" t="n"/>
      <c r="B936" s="60" t="n"/>
      <c r="C936" s="61" t="n"/>
      <c r="D936" s="61" t="n"/>
      <c r="E936" s="60" t="n"/>
      <c r="F936" s="60" t="n"/>
      <c r="G936" s="62" t="n"/>
      <c r="H936" s="62" t="n"/>
      <c r="I936" s="62" t="n"/>
      <c r="J936" s="60" t="n"/>
      <c r="K936" s="60" t="n"/>
      <c r="L936" s="60" t="n"/>
      <c r="M936" s="61" t="n"/>
      <c r="N936" s="60" t="n"/>
      <c r="O936" s="60" t="n"/>
      <c r="P936" s="60" t="n"/>
      <c r="Q936" s="60" t="n"/>
      <c r="R936" s="60" t="n"/>
      <c r="S936" s="60" t="n"/>
      <c r="T936" s="60" t="n"/>
      <c r="U936" s="60" t="n"/>
      <c r="V936" s="60" t="n"/>
      <c r="W936" s="60" t="n"/>
      <c r="X936" s="60" t="n"/>
      <c r="Y936" s="60" t="n"/>
      <c r="Z936" s="61" t="n"/>
      <c r="AA936" s="63">
        <f>IF($H936="","",TODAY()-$H936)</f>
        <v/>
      </c>
      <c r="AB936" s="63">
        <f>IF($A936="","",IF(AND($F936="Yes",OR($U936="No",$U936="NOT FOUND")),"YES",""))</f>
        <v/>
      </c>
      <c r="AC936" s="66">
        <f>IF($A936="","",TRIM(IF(AND($P936=0,$L936&lt;&gt;"Yes"),"T0-NoSmartcard ","")&amp;IF(AND($J936&lt;&gt;"",$J936&gt;365),"StalePwd ","")&amp;IF($K936="Yes","PwdNeverExpires ","")&amp;IF(AND($S936&lt;&gt;"",$S936&lt;&gt;"None"),"Delegation ","")&amp;IF(AND($Q936=1,$O936="None"),"StaleAdminCount ","")&amp;IF(AND($F936="Yes",$H936=""),"NeverLoggedOn ","")))</f>
        <v/>
      </c>
      <c r="AD936" s="60" t="n"/>
      <c r="AE936" s="61" t="n"/>
      <c r="AF936" s="60" t="n"/>
      <c r="AG936" s="62" t="n"/>
      <c r="AH936" s="62" t="n"/>
      <c r="AI936" s="62" t="n"/>
      <c r="AJ936" s="60" t="n"/>
      <c r="AK936" s="61" t="n"/>
      <c r="AL936" s="63">
        <f>IF($A936="","",IF(AH936="","Not Enrolled",IF(TODAY()&gt;AH936,"Review Overdue",IF(AH936-TODAY()&lt;=30,"Review Due Soon","Active"))))</f>
        <v/>
      </c>
      <c r="AM936" s="63">
        <f>IF($A936="","",IF(AI936="","NOT REVIEWED",IF(TODAY()-AI936&gt;90,"OVERDUE",IF(TODAY()-AI936&gt;76,"Due Soon","Current"))))</f>
        <v/>
      </c>
    </row>
    <row r="937" ht="15" customHeight="1" s="39">
      <c r="A937" s="60" t="n"/>
      <c r="B937" s="60" t="n"/>
      <c r="C937" s="61" t="n"/>
      <c r="D937" s="61" t="n"/>
      <c r="E937" s="60" t="n"/>
      <c r="F937" s="60" t="n"/>
      <c r="G937" s="62" t="n"/>
      <c r="H937" s="62" t="n"/>
      <c r="I937" s="62" t="n"/>
      <c r="J937" s="60" t="n"/>
      <c r="K937" s="60" t="n"/>
      <c r="L937" s="60" t="n"/>
      <c r="M937" s="61" t="n"/>
      <c r="N937" s="60" t="n"/>
      <c r="O937" s="60" t="n"/>
      <c r="P937" s="60" t="n"/>
      <c r="Q937" s="60" t="n"/>
      <c r="R937" s="60" t="n"/>
      <c r="S937" s="60" t="n"/>
      <c r="T937" s="60" t="n"/>
      <c r="U937" s="60" t="n"/>
      <c r="V937" s="60" t="n"/>
      <c r="W937" s="60" t="n"/>
      <c r="X937" s="60" t="n"/>
      <c r="Y937" s="60" t="n"/>
      <c r="Z937" s="61" t="n"/>
      <c r="AA937" s="63">
        <f>IF($H937="","",TODAY()-$H937)</f>
        <v/>
      </c>
      <c r="AB937" s="63">
        <f>IF($A937="","",IF(AND($F937="Yes",OR($U937="No",$U937="NOT FOUND")),"YES",""))</f>
        <v/>
      </c>
      <c r="AC937" s="66">
        <f>IF($A937="","",TRIM(IF(AND($P937=0,$L937&lt;&gt;"Yes"),"T0-NoSmartcard ","")&amp;IF(AND($J937&lt;&gt;"",$J937&gt;365),"StalePwd ","")&amp;IF($K937="Yes","PwdNeverExpires ","")&amp;IF(AND($S937&lt;&gt;"",$S937&lt;&gt;"None"),"Delegation ","")&amp;IF(AND($Q937=1,$O937="None"),"StaleAdminCount ","")&amp;IF(AND($F937="Yes",$H937=""),"NeverLoggedOn ","")))</f>
        <v/>
      </c>
      <c r="AD937" s="60" t="n"/>
      <c r="AE937" s="61" t="n"/>
      <c r="AF937" s="60" t="n"/>
      <c r="AG937" s="62" t="n"/>
      <c r="AH937" s="62" t="n"/>
      <c r="AI937" s="62" t="n"/>
      <c r="AJ937" s="60" t="n"/>
      <c r="AK937" s="61" t="n"/>
      <c r="AL937" s="63">
        <f>IF($A937="","",IF(AH937="","Not Enrolled",IF(TODAY()&gt;AH937,"Review Overdue",IF(AH937-TODAY()&lt;=30,"Review Due Soon","Active"))))</f>
        <v/>
      </c>
      <c r="AM937" s="63">
        <f>IF($A937="","",IF(AI937="","NOT REVIEWED",IF(TODAY()-AI937&gt;90,"OVERDUE",IF(TODAY()-AI937&gt;76,"Due Soon","Current"))))</f>
        <v/>
      </c>
    </row>
    <row r="938" ht="15" customHeight="1" s="39">
      <c r="A938" s="60" t="n"/>
      <c r="B938" s="60" t="n"/>
      <c r="C938" s="61" t="n"/>
      <c r="D938" s="61" t="n"/>
      <c r="E938" s="60" t="n"/>
      <c r="F938" s="60" t="n"/>
      <c r="G938" s="62" t="n"/>
      <c r="H938" s="62" t="n"/>
      <c r="I938" s="62" t="n"/>
      <c r="J938" s="60" t="n"/>
      <c r="K938" s="60" t="n"/>
      <c r="L938" s="60" t="n"/>
      <c r="M938" s="61" t="n"/>
      <c r="N938" s="60" t="n"/>
      <c r="O938" s="60" t="n"/>
      <c r="P938" s="60" t="n"/>
      <c r="Q938" s="60" t="n"/>
      <c r="R938" s="60" t="n"/>
      <c r="S938" s="60" t="n"/>
      <c r="T938" s="60" t="n"/>
      <c r="U938" s="60" t="n"/>
      <c r="V938" s="60" t="n"/>
      <c r="W938" s="60" t="n"/>
      <c r="X938" s="60" t="n"/>
      <c r="Y938" s="60" t="n"/>
      <c r="Z938" s="61" t="n"/>
      <c r="AA938" s="63">
        <f>IF($H938="","",TODAY()-$H938)</f>
        <v/>
      </c>
      <c r="AB938" s="63">
        <f>IF($A938="","",IF(AND($F938="Yes",OR($U938="No",$U938="NOT FOUND")),"YES",""))</f>
        <v/>
      </c>
      <c r="AC938" s="66">
        <f>IF($A938="","",TRIM(IF(AND($P938=0,$L938&lt;&gt;"Yes"),"T0-NoSmartcard ","")&amp;IF(AND($J938&lt;&gt;"",$J938&gt;365),"StalePwd ","")&amp;IF($K938="Yes","PwdNeverExpires ","")&amp;IF(AND($S938&lt;&gt;"",$S938&lt;&gt;"None"),"Delegation ","")&amp;IF(AND($Q938=1,$O938="None"),"StaleAdminCount ","")&amp;IF(AND($F938="Yes",$H938=""),"NeverLoggedOn ","")))</f>
        <v/>
      </c>
      <c r="AD938" s="60" t="n"/>
      <c r="AE938" s="61" t="n"/>
      <c r="AF938" s="60" t="n"/>
      <c r="AG938" s="62" t="n"/>
      <c r="AH938" s="62" t="n"/>
      <c r="AI938" s="62" t="n"/>
      <c r="AJ938" s="60" t="n"/>
      <c r="AK938" s="61" t="n"/>
      <c r="AL938" s="63">
        <f>IF($A938="","",IF(AH938="","Not Enrolled",IF(TODAY()&gt;AH938,"Review Overdue",IF(AH938-TODAY()&lt;=30,"Review Due Soon","Active"))))</f>
        <v/>
      </c>
      <c r="AM938" s="63">
        <f>IF($A938="","",IF(AI938="","NOT REVIEWED",IF(TODAY()-AI938&gt;90,"OVERDUE",IF(TODAY()-AI938&gt;76,"Due Soon","Current"))))</f>
        <v/>
      </c>
    </row>
    <row r="939" ht="15" customHeight="1" s="39">
      <c r="A939" s="60" t="n"/>
      <c r="B939" s="60" t="n"/>
      <c r="C939" s="61" t="n"/>
      <c r="D939" s="61" t="n"/>
      <c r="E939" s="60" t="n"/>
      <c r="F939" s="60" t="n"/>
      <c r="G939" s="62" t="n"/>
      <c r="H939" s="62" t="n"/>
      <c r="I939" s="62" t="n"/>
      <c r="J939" s="60" t="n"/>
      <c r="K939" s="60" t="n"/>
      <c r="L939" s="60" t="n"/>
      <c r="M939" s="61" t="n"/>
      <c r="N939" s="60" t="n"/>
      <c r="O939" s="60" t="n"/>
      <c r="P939" s="60" t="n"/>
      <c r="Q939" s="60" t="n"/>
      <c r="R939" s="60" t="n"/>
      <c r="S939" s="60" t="n"/>
      <c r="T939" s="60" t="n"/>
      <c r="U939" s="60" t="n"/>
      <c r="V939" s="60" t="n"/>
      <c r="W939" s="60" t="n"/>
      <c r="X939" s="60" t="n"/>
      <c r="Y939" s="60" t="n"/>
      <c r="Z939" s="61" t="n"/>
      <c r="AA939" s="63">
        <f>IF($H939="","",TODAY()-$H939)</f>
        <v/>
      </c>
      <c r="AB939" s="63">
        <f>IF($A939="","",IF(AND($F939="Yes",OR($U939="No",$U939="NOT FOUND")),"YES",""))</f>
        <v/>
      </c>
      <c r="AC939" s="66">
        <f>IF($A939="","",TRIM(IF(AND($P939=0,$L939&lt;&gt;"Yes"),"T0-NoSmartcard ","")&amp;IF(AND($J939&lt;&gt;"",$J939&gt;365),"StalePwd ","")&amp;IF($K939="Yes","PwdNeverExpires ","")&amp;IF(AND($S939&lt;&gt;"",$S939&lt;&gt;"None"),"Delegation ","")&amp;IF(AND($Q939=1,$O939="None"),"StaleAdminCount ","")&amp;IF(AND($F939="Yes",$H939=""),"NeverLoggedOn ","")))</f>
        <v/>
      </c>
      <c r="AD939" s="60" t="n"/>
      <c r="AE939" s="61" t="n"/>
      <c r="AF939" s="60" t="n"/>
      <c r="AG939" s="62" t="n"/>
      <c r="AH939" s="62" t="n"/>
      <c r="AI939" s="62" t="n"/>
      <c r="AJ939" s="60" t="n"/>
      <c r="AK939" s="61" t="n"/>
      <c r="AL939" s="63">
        <f>IF($A939="","",IF(AH939="","Not Enrolled",IF(TODAY()&gt;AH939,"Review Overdue",IF(AH939-TODAY()&lt;=30,"Review Due Soon","Active"))))</f>
        <v/>
      </c>
      <c r="AM939" s="63">
        <f>IF($A939="","",IF(AI939="","NOT REVIEWED",IF(TODAY()-AI939&gt;90,"OVERDUE",IF(TODAY()-AI939&gt;76,"Due Soon","Current"))))</f>
        <v/>
      </c>
    </row>
    <row r="940" ht="15" customHeight="1" s="39">
      <c r="A940" s="60" t="n"/>
      <c r="B940" s="60" t="n"/>
      <c r="C940" s="61" t="n"/>
      <c r="D940" s="61" t="n"/>
      <c r="E940" s="60" t="n"/>
      <c r="F940" s="60" t="n"/>
      <c r="G940" s="62" t="n"/>
      <c r="H940" s="62" t="n"/>
      <c r="I940" s="62" t="n"/>
      <c r="J940" s="60" t="n"/>
      <c r="K940" s="60" t="n"/>
      <c r="L940" s="60" t="n"/>
      <c r="M940" s="61" t="n"/>
      <c r="N940" s="60" t="n"/>
      <c r="O940" s="60" t="n"/>
      <c r="P940" s="60" t="n"/>
      <c r="Q940" s="60" t="n"/>
      <c r="R940" s="60" t="n"/>
      <c r="S940" s="60" t="n"/>
      <c r="T940" s="60" t="n"/>
      <c r="U940" s="60" t="n"/>
      <c r="V940" s="60" t="n"/>
      <c r="W940" s="60" t="n"/>
      <c r="X940" s="60" t="n"/>
      <c r="Y940" s="60" t="n"/>
      <c r="Z940" s="61" t="n"/>
      <c r="AA940" s="63">
        <f>IF($H940="","",TODAY()-$H940)</f>
        <v/>
      </c>
      <c r="AB940" s="63">
        <f>IF($A940="","",IF(AND($F940="Yes",OR($U940="No",$U940="NOT FOUND")),"YES",""))</f>
        <v/>
      </c>
      <c r="AC940" s="66">
        <f>IF($A940="","",TRIM(IF(AND($P940=0,$L940&lt;&gt;"Yes"),"T0-NoSmartcard ","")&amp;IF(AND($J940&lt;&gt;"",$J940&gt;365),"StalePwd ","")&amp;IF($K940="Yes","PwdNeverExpires ","")&amp;IF(AND($S940&lt;&gt;"",$S940&lt;&gt;"None"),"Delegation ","")&amp;IF(AND($Q940=1,$O940="None"),"StaleAdminCount ","")&amp;IF(AND($F940="Yes",$H940=""),"NeverLoggedOn ","")))</f>
        <v/>
      </c>
      <c r="AD940" s="60" t="n"/>
      <c r="AE940" s="61" t="n"/>
      <c r="AF940" s="60" t="n"/>
      <c r="AG940" s="62" t="n"/>
      <c r="AH940" s="62" t="n"/>
      <c r="AI940" s="62" t="n"/>
      <c r="AJ940" s="60" t="n"/>
      <c r="AK940" s="61" t="n"/>
      <c r="AL940" s="63">
        <f>IF($A940="","",IF(AH940="","Not Enrolled",IF(TODAY()&gt;AH940,"Review Overdue",IF(AH940-TODAY()&lt;=30,"Review Due Soon","Active"))))</f>
        <v/>
      </c>
      <c r="AM940" s="63">
        <f>IF($A940="","",IF(AI940="","NOT REVIEWED",IF(TODAY()-AI940&gt;90,"OVERDUE",IF(TODAY()-AI940&gt;76,"Due Soon","Current"))))</f>
        <v/>
      </c>
    </row>
    <row r="941" ht="15" customHeight="1" s="39">
      <c r="A941" s="60" t="n"/>
      <c r="B941" s="60" t="n"/>
      <c r="C941" s="61" t="n"/>
      <c r="D941" s="61" t="n"/>
      <c r="E941" s="60" t="n"/>
      <c r="F941" s="60" t="n"/>
      <c r="G941" s="62" t="n"/>
      <c r="H941" s="62" t="n"/>
      <c r="I941" s="62" t="n"/>
      <c r="J941" s="60" t="n"/>
      <c r="K941" s="60" t="n"/>
      <c r="L941" s="60" t="n"/>
      <c r="M941" s="61" t="n"/>
      <c r="N941" s="60" t="n"/>
      <c r="O941" s="60" t="n"/>
      <c r="P941" s="60" t="n"/>
      <c r="Q941" s="60" t="n"/>
      <c r="R941" s="60" t="n"/>
      <c r="S941" s="60" t="n"/>
      <c r="T941" s="60" t="n"/>
      <c r="U941" s="60" t="n"/>
      <c r="V941" s="60" t="n"/>
      <c r="W941" s="60" t="n"/>
      <c r="X941" s="60" t="n"/>
      <c r="Y941" s="60" t="n"/>
      <c r="Z941" s="61" t="n"/>
      <c r="AA941" s="63">
        <f>IF($H941="","",TODAY()-$H941)</f>
        <v/>
      </c>
      <c r="AB941" s="63">
        <f>IF($A941="","",IF(AND($F941="Yes",OR($U941="No",$U941="NOT FOUND")),"YES",""))</f>
        <v/>
      </c>
      <c r="AC941" s="66">
        <f>IF($A941="","",TRIM(IF(AND($P941=0,$L941&lt;&gt;"Yes"),"T0-NoSmartcard ","")&amp;IF(AND($J941&lt;&gt;"",$J941&gt;365),"StalePwd ","")&amp;IF($K941="Yes","PwdNeverExpires ","")&amp;IF(AND($S941&lt;&gt;"",$S941&lt;&gt;"None"),"Delegation ","")&amp;IF(AND($Q941=1,$O941="None"),"StaleAdminCount ","")&amp;IF(AND($F941="Yes",$H941=""),"NeverLoggedOn ","")))</f>
        <v/>
      </c>
      <c r="AD941" s="60" t="n"/>
      <c r="AE941" s="61" t="n"/>
      <c r="AF941" s="60" t="n"/>
      <c r="AG941" s="62" t="n"/>
      <c r="AH941" s="62" t="n"/>
      <c r="AI941" s="62" t="n"/>
      <c r="AJ941" s="60" t="n"/>
      <c r="AK941" s="61" t="n"/>
      <c r="AL941" s="63">
        <f>IF($A941="","",IF(AH941="","Not Enrolled",IF(TODAY()&gt;AH941,"Review Overdue",IF(AH941-TODAY()&lt;=30,"Review Due Soon","Active"))))</f>
        <v/>
      </c>
      <c r="AM941" s="63">
        <f>IF($A941="","",IF(AI941="","NOT REVIEWED",IF(TODAY()-AI941&gt;90,"OVERDUE",IF(TODAY()-AI941&gt;76,"Due Soon","Current"))))</f>
        <v/>
      </c>
    </row>
    <row r="942" ht="15" customHeight="1" s="39">
      <c r="A942" s="60" t="n"/>
      <c r="B942" s="60" t="n"/>
      <c r="C942" s="61" t="n"/>
      <c r="D942" s="61" t="n"/>
      <c r="E942" s="60" t="n"/>
      <c r="F942" s="60" t="n"/>
      <c r="G942" s="62" t="n"/>
      <c r="H942" s="62" t="n"/>
      <c r="I942" s="62" t="n"/>
      <c r="J942" s="60" t="n"/>
      <c r="K942" s="60" t="n"/>
      <c r="L942" s="60" t="n"/>
      <c r="M942" s="61" t="n"/>
      <c r="N942" s="60" t="n"/>
      <c r="O942" s="60" t="n"/>
      <c r="P942" s="60" t="n"/>
      <c r="Q942" s="60" t="n"/>
      <c r="R942" s="60" t="n"/>
      <c r="S942" s="60" t="n"/>
      <c r="T942" s="60" t="n"/>
      <c r="U942" s="60" t="n"/>
      <c r="V942" s="60" t="n"/>
      <c r="W942" s="60" t="n"/>
      <c r="X942" s="60" t="n"/>
      <c r="Y942" s="60" t="n"/>
      <c r="Z942" s="61" t="n"/>
      <c r="AA942" s="63">
        <f>IF($H942="","",TODAY()-$H942)</f>
        <v/>
      </c>
      <c r="AB942" s="63">
        <f>IF($A942="","",IF(AND($F942="Yes",OR($U942="No",$U942="NOT FOUND")),"YES",""))</f>
        <v/>
      </c>
      <c r="AC942" s="66">
        <f>IF($A942="","",TRIM(IF(AND($P942=0,$L942&lt;&gt;"Yes"),"T0-NoSmartcard ","")&amp;IF(AND($J942&lt;&gt;"",$J942&gt;365),"StalePwd ","")&amp;IF($K942="Yes","PwdNeverExpires ","")&amp;IF(AND($S942&lt;&gt;"",$S942&lt;&gt;"None"),"Delegation ","")&amp;IF(AND($Q942=1,$O942="None"),"StaleAdminCount ","")&amp;IF(AND($F942="Yes",$H942=""),"NeverLoggedOn ","")))</f>
        <v/>
      </c>
      <c r="AD942" s="60" t="n"/>
      <c r="AE942" s="61" t="n"/>
      <c r="AF942" s="60" t="n"/>
      <c r="AG942" s="62" t="n"/>
      <c r="AH942" s="62" t="n"/>
      <c r="AI942" s="62" t="n"/>
      <c r="AJ942" s="60" t="n"/>
      <c r="AK942" s="61" t="n"/>
      <c r="AL942" s="63">
        <f>IF($A942="","",IF(AH942="","Not Enrolled",IF(TODAY()&gt;AH942,"Review Overdue",IF(AH942-TODAY()&lt;=30,"Review Due Soon","Active"))))</f>
        <v/>
      </c>
      <c r="AM942" s="63">
        <f>IF($A942="","",IF(AI942="","NOT REVIEWED",IF(TODAY()-AI942&gt;90,"OVERDUE",IF(TODAY()-AI942&gt;76,"Due Soon","Current"))))</f>
        <v/>
      </c>
    </row>
    <row r="943" ht="15" customHeight="1" s="39">
      <c r="A943" s="60" t="n"/>
      <c r="B943" s="60" t="n"/>
      <c r="C943" s="61" t="n"/>
      <c r="D943" s="61" t="n"/>
      <c r="E943" s="60" t="n"/>
      <c r="F943" s="60" t="n"/>
      <c r="G943" s="62" t="n"/>
      <c r="H943" s="62" t="n"/>
      <c r="I943" s="62" t="n"/>
      <c r="J943" s="60" t="n"/>
      <c r="K943" s="60" t="n"/>
      <c r="L943" s="60" t="n"/>
      <c r="M943" s="61" t="n"/>
      <c r="N943" s="60" t="n"/>
      <c r="O943" s="60" t="n"/>
      <c r="P943" s="60" t="n"/>
      <c r="Q943" s="60" t="n"/>
      <c r="R943" s="60" t="n"/>
      <c r="S943" s="60" t="n"/>
      <c r="T943" s="60" t="n"/>
      <c r="U943" s="60" t="n"/>
      <c r="V943" s="60" t="n"/>
      <c r="W943" s="60" t="n"/>
      <c r="X943" s="60" t="n"/>
      <c r="Y943" s="60" t="n"/>
      <c r="Z943" s="61" t="n"/>
      <c r="AA943" s="63">
        <f>IF($H943="","",TODAY()-$H943)</f>
        <v/>
      </c>
      <c r="AB943" s="63">
        <f>IF($A943="","",IF(AND($F943="Yes",OR($U943="No",$U943="NOT FOUND")),"YES",""))</f>
        <v/>
      </c>
      <c r="AC943" s="66">
        <f>IF($A943="","",TRIM(IF(AND($P943=0,$L943&lt;&gt;"Yes"),"T0-NoSmartcard ","")&amp;IF(AND($J943&lt;&gt;"",$J943&gt;365),"StalePwd ","")&amp;IF($K943="Yes","PwdNeverExpires ","")&amp;IF(AND($S943&lt;&gt;"",$S943&lt;&gt;"None"),"Delegation ","")&amp;IF(AND($Q943=1,$O943="None"),"StaleAdminCount ","")&amp;IF(AND($F943="Yes",$H943=""),"NeverLoggedOn ","")))</f>
        <v/>
      </c>
      <c r="AD943" s="60" t="n"/>
      <c r="AE943" s="61" t="n"/>
      <c r="AF943" s="60" t="n"/>
      <c r="AG943" s="62" t="n"/>
      <c r="AH943" s="62" t="n"/>
      <c r="AI943" s="62" t="n"/>
      <c r="AJ943" s="60" t="n"/>
      <c r="AK943" s="61" t="n"/>
      <c r="AL943" s="63">
        <f>IF($A943="","",IF(AH943="","Not Enrolled",IF(TODAY()&gt;AH943,"Review Overdue",IF(AH943-TODAY()&lt;=30,"Review Due Soon","Active"))))</f>
        <v/>
      </c>
      <c r="AM943" s="63">
        <f>IF($A943="","",IF(AI943="","NOT REVIEWED",IF(TODAY()-AI943&gt;90,"OVERDUE",IF(TODAY()-AI943&gt;76,"Due Soon","Current"))))</f>
        <v/>
      </c>
    </row>
    <row r="944" ht="15" customHeight="1" s="39">
      <c r="A944" s="60" t="n"/>
      <c r="B944" s="60" t="n"/>
      <c r="C944" s="61" t="n"/>
      <c r="D944" s="61" t="n"/>
      <c r="E944" s="60" t="n"/>
      <c r="F944" s="60" t="n"/>
      <c r="G944" s="62" t="n"/>
      <c r="H944" s="62" t="n"/>
      <c r="I944" s="62" t="n"/>
      <c r="J944" s="60" t="n"/>
      <c r="K944" s="60" t="n"/>
      <c r="L944" s="60" t="n"/>
      <c r="M944" s="61" t="n"/>
      <c r="N944" s="60" t="n"/>
      <c r="O944" s="60" t="n"/>
      <c r="P944" s="60" t="n"/>
      <c r="Q944" s="60" t="n"/>
      <c r="R944" s="60" t="n"/>
      <c r="S944" s="60" t="n"/>
      <c r="T944" s="60" t="n"/>
      <c r="U944" s="60" t="n"/>
      <c r="V944" s="60" t="n"/>
      <c r="W944" s="60" t="n"/>
      <c r="X944" s="60" t="n"/>
      <c r="Y944" s="60" t="n"/>
      <c r="Z944" s="61" t="n"/>
      <c r="AA944" s="63">
        <f>IF($H944="","",TODAY()-$H944)</f>
        <v/>
      </c>
      <c r="AB944" s="63">
        <f>IF($A944="","",IF(AND($F944="Yes",OR($U944="No",$U944="NOT FOUND")),"YES",""))</f>
        <v/>
      </c>
      <c r="AC944" s="66">
        <f>IF($A944="","",TRIM(IF(AND($P944=0,$L944&lt;&gt;"Yes"),"T0-NoSmartcard ","")&amp;IF(AND($J944&lt;&gt;"",$J944&gt;365),"StalePwd ","")&amp;IF($K944="Yes","PwdNeverExpires ","")&amp;IF(AND($S944&lt;&gt;"",$S944&lt;&gt;"None"),"Delegation ","")&amp;IF(AND($Q944=1,$O944="None"),"StaleAdminCount ","")&amp;IF(AND($F944="Yes",$H944=""),"NeverLoggedOn ","")))</f>
        <v/>
      </c>
      <c r="AD944" s="60" t="n"/>
      <c r="AE944" s="61" t="n"/>
      <c r="AF944" s="60" t="n"/>
      <c r="AG944" s="62" t="n"/>
      <c r="AH944" s="62" t="n"/>
      <c r="AI944" s="62" t="n"/>
      <c r="AJ944" s="60" t="n"/>
      <c r="AK944" s="61" t="n"/>
      <c r="AL944" s="63">
        <f>IF($A944="","",IF(AH944="","Not Enrolled",IF(TODAY()&gt;AH944,"Review Overdue",IF(AH944-TODAY()&lt;=30,"Review Due Soon","Active"))))</f>
        <v/>
      </c>
      <c r="AM944" s="63">
        <f>IF($A944="","",IF(AI944="","NOT REVIEWED",IF(TODAY()-AI944&gt;90,"OVERDUE",IF(TODAY()-AI944&gt;76,"Due Soon","Current"))))</f>
        <v/>
      </c>
    </row>
    <row r="945" ht="15" customHeight="1" s="39">
      <c r="A945" s="60" t="n"/>
      <c r="B945" s="60" t="n"/>
      <c r="C945" s="61" t="n"/>
      <c r="D945" s="61" t="n"/>
      <c r="E945" s="60" t="n"/>
      <c r="F945" s="60" t="n"/>
      <c r="G945" s="62" t="n"/>
      <c r="H945" s="62" t="n"/>
      <c r="I945" s="62" t="n"/>
      <c r="J945" s="60" t="n"/>
      <c r="K945" s="60" t="n"/>
      <c r="L945" s="60" t="n"/>
      <c r="M945" s="61" t="n"/>
      <c r="N945" s="60" t="n"/>
      <c r="O945" s="60" t="n"/>
      <c r="P945" s="60" t="n"/>
      <c r="Q945" s="60" t="n"/>
      <c r="R945" s="60" t="n"/>
      <c r="S945" s="60" t="n"/>
      <c r="T945" s="60" t="n"/>
      <c r="U945" s="60" t="n"/>
      <c r="V945" s="60" t="n"/>
      <c r="W945" s="60" t="n"/>
      <c r="X945" s="60" t="n"/>
      <c r="Y945" s="60" t="n"/>
      <c r="Z945" s="61" t="n"/>
      <c r="AA945" s="63">
        <f>IF($H945="","",TODAY()-$H945)</f>
        <v/>
      </c>
      <c r="AB945" s="63">
        <f>IF($A945="","",IF(AND($F945="Yes",OR($U945="No",$U945="NOT FOUND")),"YES",""))</f>
        <v/>
      </c>
      <c r="AC945" s="66">
        <f>IF($A945="","",TRIM(IF(AND($P945=0,$L945&lt;&gt;"Yes"),"T0-NoSmartcard ","")&amp;IF(AND($J945&lt;&gt;"",$J945&gt;365),"StalePwd ","")&amp;IF($K945="Yes","PwdNeverExpires ","")&amp;IF(AND($S945&lt;&gt;"",$S945&lt;&gt;"None"),"Delegation ","")&amp;IF(AND($Q945=1,$O945="None"),"StaleAdminCount ","")&amp;IF(AND($F945="Yes",$H945=""),"NeverLoggedOn ","")))</f>
        <v/>
      </c>
      <c r="AD945" s="60" t="n"/>
      <c r="AE945" s="61" t="n"/>
      <c r="AF945" s="60" t="n"/>
      <c r="AG945" s="62" t="n"/>
      <c r="AH945" s="62" t="n"/>
      <c r="AI945" s="62" t="n"/>
      <c r="AJ945" s="60" t="n"/>
      <c r="AK945" s="61" t="n"/>
      <c r="AL945" s="63">
        <f>IF($A945="","",IF(AH945="","Not Enrolled",IF(TODAY()&gt;AH945,"Review Overdue",IF(AH945-TODAY()&lt;=30,"Review Due Soon","Active"))))</f>
        <v/>
      </c>
      <c r="AM945" s="63">
        <f>IF($A945="","",IF(AI945="","NOT REVIEWED",IF(TODAY()-AI945&gt;90,"OVERDUE",IF(TODAY()-AI945&gt;76,"Due Soon","Current"))))</f>
        <v/>
      </c>
    </row>
    <row r="946" ht="15" customHeight="1" s="39">
      <c r="A946" s="60" t="n"/>
      <c r="B946" s="60" t="n"/>
      <c r="C946" s="61" t="n"/>
      <c r="D946" s="61" t="n"/>
      <c r="E946" s="60" t="n"/>
      <c r="F946" s="60" t="n"/>
      <c r="G946" s="62" t="n"/>
      <c r="H946" s="62" t="n"/>
      <c r="I946" s="62" t="n"/>
      <c r="J946" s="60" t="n"/>
      <c r="K946" s="60" t="n"/>
      <c r="L946" s="60" t="n"/>
      <c r="M946" s="61" t="n"/>
      <c r="N946" s="60" t="n"/>
      <c r="O946" s="60" t="n"/>
      <c r="P946" s="60" t="n"/>
      <c r="Q946" s="60" t="n"/>
      <c r="R946" s="60" t="n"/>
      <c r="S946" s="60" t="n"/>
      <c r="T946" s="60" t="n"/>
      <c r="U946" s="60" t="n"/>
      <c r="V946" s="60" t="n"/>
      <c r="W946" s="60" t="n"/>
      <c r="X946" s="60" t="n"/>
      <c r="Y946" s="60" t="n"/>
      <c r="Z946" s="61" t="n"/>
      <c r="AA946" s="63">
        <f>IF($H946="","",TODAY()-$H946)</f>
        <v/>
      </c>
      <c r="AB946" s="63">
        <f>IF($A946="","",IF(AND($F946="Yes",OR($U946="No",$U946="NOT FOUND")),"YES",""))</f>
        <v/>
      </c>
      <c r="AC946" s="66">
        <f>IF($A946="","",TRIM(IF(AND($P946=0,$L946&lt;&gt;"Yes"),"T0-NoSmartcard ","")&amp;IF(AND($J946&lt;&gt;"",$J946&gt;365),"StalePwd ","")&amp;IF($K946="Yes","PwdNeverExpires ","")&amp;IF(AND($S946&lt;&gt;"",$S946&lt;&gt;"None"),"Delegation ","")&amp;IF(AND($Q946=1,$O946="None"),"StaleAdminCount ","")&amp;IF(AND($F946="Yes",$H946=""),"NeverLoggedOn ","")))</f>
        <v/>
      </c>
      <c r="AD946" s="60" t="n"/>
      <c r="AE946" s="61" t="n"/>
      <c r="AF946" s="60" t="n"/>
      <c r="AG946" s="62" t="n"/>
      <c r="AH946" s="62" t="n"/>
      <c r="AI946" s="62" t="n"/>
      <c r="AJ946" s="60" t="n"/>
      <c r="AK946" s="61" t="n"/>
      <c r="AL946" s="63">
        <f>IF($A946="","",IF(AH946="","Not Enrolled",IF(TODAY()&gt;AH946,"Review Overdue",IF(AH946-TODAY()&lt;=30,"Review Due Soon","Active"))))</f>
        <v/>
      </c>
      <c r="AM946" s="63">
        <f>IF($A946="","",IF(AI946="","NOT REVIEWED",IF(TODAY()-AI946&gt;90,"OVERDUE",IF(TODAY()-AI946&gt;76,"Due Soon","Current"))))</f>
        <v/>
      </c>
    </row>
    <row r="947" ht="15" customHeight="1" s="39">
      <c r="A947" s="60" t="n"/>
      <c r="B947" s="60" t="n"/>
      <c r="C947" s="61" t="n"/>
      <c r="D947" s="61" t="n"/>
      <c r="E947" s="60" t="n"/>
      <c r="F947" s="60" t="n"/>
      <c r="G947" s="62" t="n"/>
      <c r="H947" s="62" t="n"/>
      <c r="I947" s="62" t="n"/>
      <c r="J947" s="60" t="n"/>
      <c r="K947" s="60" t="n"/>
      <c r="L947" s="60" t="n"/>
      <c r="M947" s="61" t="n"/>
      <c r="N947" s="60" t="n"/>
      <c r="O947" s="60" t="n"/>
      <c r="P947" s="60" t="n"/>
      <c r="Q947" s="60" t="n"/>
      <c r="R947" s="60" t="n"/>
      <c r="S947" s="60" t="n"/>
      <c r="T947" s="60" t="n"/>
      <c r="U947" s="60" t="n"/>
      <c r="V947" s="60" t="n"/>
      <c r="W947" s="60" t="n"/>
      <c r="X947" s="60" t="n"/>
      <c r="Y947" s="60" t="n"/>
      <c r="Z947" s="61" t="n"/>
      <c r="AA947" s="63">
        <f>IF($H947="","",TODAY()-$H947)</f>
        <v/>
      </c>
      <c r="AB947" s="63">
        <f>IF($A947="","",IF(AND($F947="Yes",OR($U947="No",$U947="NOT FOUND")),"YES",""))</f>
        <v/>
      </c>
      <c r="AC947" s="66">
        <f>IF($A947="","",TRIM(IF(AND($P947=0,$L947&lt;&gt;"Yes"),"T0-NoSmartcard ","")&amp;IF(AND($J947&lt;&gt;"",$J947&gt;365),"StalePwd ","")&amp;IF($K947="Yes","PwdNeverExpires ","")&amp;IF(AND($S947&lt;&gt;"",$S947&lt;&gt;"None"),"Delegation ","")&amp;IF(AND($Q947=1,$O947="None"),"StaleAdminCount ","")&amp;IF(AND($F947="Yes",$H947=""),"NeverLoggedOn ","")))</f>
        <v/>
      </c>
      <c r="AD947" s="60" t="n"/>
      <c r="AE947" s="61" t="n"/>
      <c r="AF947" s="60" t="n"/>
      <c r="AG947" s="62" t="n"/>
      <c r="AH947" s="62" t="n"/>
      <c r="AI947" s="62" t="n"/>
      <c r="AJ947" s="60" t="n"/>
      <c r="AK947" s="61" t="n"/>
      <c r="AL947" s="63">
        <f>IF($A947="","",IF(AH947="","Not Enrolled",IF(TODAY()&gt;AH947,"Review Overdue",IF(AH947-TODAY()&lt;=30,"Review Due Soon","Active"))))</f>
        <v/>
      </c>
      <c r="AM947" s="63">
        <f>IF($A947="","",IF(AI947="","NOT REVIEWED",IF(TODAY()-AI947&gt;90,"OVERDUE",IF(TODAY()-AI947&gt;76,"Due Soon","Current"))))</f>
        <v/>
      </c>
    </row>
    <row r="948" ht="15" customHeight="1" s="39">
      <c r="A948" s="60" t="n"/>
      <c r="B948" s="60" t="n"/>
      <c r="C948" s="61" t="n"/>
      <c r="D948" s="61" t="n"/>
      <c r="E948" s="60" t="n"/>
      <c r="F948" s="60" t="n"/>
      <c r="G948" s="62" t="n"/>
      <c r="H948" s="62" t="n"/>
      <c r="I948" s="62" t="n"/>
      <c r="J948" s="60" t="n"/>
      <c r="K948" s="60" t="n"/>
      <c r="L948" s="60" t="n"/>
      <c r="M948" s="61" t="n"/>
      <c r="N948" s="60" t="n"/>
      <c r="O948" s="60" t="n"/>
      <c r="P948" s="60" t="n"/>
      <c r="Q948" s="60" t="n"/>
      <c r="R948" s="60" t="n"/>
      <c r="S948" s="60" t="n"/>
      <c r="T948" s="60" t="n"/>
      <c r="U948" s="60" t="n"/>
      <c r="V948" s="60" t="n"/>
      <c r="W948" s="60" t="n"/>
      <c r="X948" s="60" t="n"/>
      <c r="Y948" s="60" t="n"/>
      <c r="Z948" s="61" t="n"/>
      <c r="AA948" s="63">
        <f>IF($H948="","",TODAY()-$H948)</f>
        <v/>
      </c>
      <c r="AB948" s="63">
        <f>IF($A948="","",IF(AND($F948="Yes",OR($U948="No",$U948="NOT FOUND")),"YES",""))</f>
        <v/>
      </c>
      <c r="AC948" s="66">
        <f>IF($A948="","",TRIM(IF(AND($P948=0,$L948&lt;&gt;"Yes"),"T0-NoSmartcard ","")&amp;IF(AND($J948&lt;&gt;"",$J948&gt;365),"StalePwd ","")&amp;IF($K948="Yes","PwdNeverExpires ","")&amp;IF(AND($S948&lt;&gt;"",$S948&lt;&gt;"None"),"Delegation ","")&amp;IF(AND($Q948=1,$O948="None"),"StaleAdminCount ","")&amp;IF(AND($F948="Yes",$H948=""),"NeverLoggedOn ","")))</f>
        <v/>
      </c>
      <c r="AD948" s="60" t="n"/>
      <c r="AE948" s="61" t="n"/>
      <c r="AF948" s="60" t="n"/>
      <c r="AG948" s="62" t="n"/>
      <c r="AH948" s="62" t="n"/>
      <c r="AI948" s="62" t="n"/>
      <c r="AJ948" s="60" t="n"/>
      <c r="AK948" s="61" t="n"/>
      <c r="AL948" s="63">
        <f>IF($A948="","",IF(AH948="","Not Enrolled",IF(TODAY()&gt;AH948,"Review Overdue",IF(AH948-TODAY()&lt;=30,"Review Due Soon","Active"))))</f>
        <v/>
      </c>
      <c r="AM948" s="63">
        <f>IF($A948="","",IF(AI948="","NOT REVIEWED",IF(TODAY()-AI948&gt;90,"OVERDUE",IF(TODAY()-AI948&gt;76,"Due Soon","Current"))))</f>
        <v/>
      </c>
    </row>
    <row r="949" ht="15" customHeight="1" s="39">
      <c r="A949" s="60" t="n"/>
      <c r="B949" s="60" t="n"/>
      <c r="C949" s="61" t="n"/>
      <c r="D949" s="61" t="n"/>
      <c r="E949" s="60" t="n"/>
      <c r="F949" s="60" t="n"/>
      <c r="G949" s="62" t="n"/>
      <c r="H949" s="62" t="n"/>
      <c r="I949" s="62" t="n"/>
      <c r="J949" s="60" t="n"/>
      <c r="K949" s="60" t="n"/>
      <c r="L949" s="60" t="n"/>
      <c r="M949" s="61" t="n"/>
      <c r="N949" s="60" t="n"/>
      <c r="O949" s="60" t="n"/>
      <c r="P949" s="60" t="n"/>
      <c r="Q949" s="60" t="n"/>
      <c r="R949" s="60" t="n"/>
      <c r="S949" s="60" t="n"/>
      <c r="T949" s="60" t="n"/>
      <c r="U949" s="60" t="n"/>
      <c r="V949" s="60" t="n"/>
      <c r="W949" s="60" t="n"/>
      <c r="X949" s="60" t="n"/>
      <c r="Y949" s="60" t="n"/>
      <c r="Z949" s="61" t="n"/>
      <c r="AA949" s="63">
        <f>IF($H949="","",TODAY()-$H949)</f>
        <v/>
      </c>
      <c r="AB949" s="63">
        <f>IF($A949="","",IF(AND($F949="Yes",OR($U949="No",$U949="NOT FOUND")),"YES",""))</f>
        <v/>
      </c>
      <c r="AC949" s="66">
        <f>IF($A949="","",TRIM(IF(AND($P949=0,$L949&lt;&gt;"Yes"),"T0-NoSmartcard ","")&amp;IF(AND($J949&lt;&gt;"",$J949&gt;365),"StalePwd ","")&amp;IF($K949="Yes","PwdNeverExpires ","")&amp;IF(AND($S949&lt;&gt;"",$S949&lt;&gt;"None"),"Delegation ","")&amp;IF(AND($Q949=1,$O949="None"),"StaleAdminCount ","")&amp;IF(AND($F949="Yes",$H949=""),"NeverLoggedOn ","")))</f>
        <v/>
      </c>
      <c r="AD949" s="60" t="n"/>
      <c r="AE949" s="61" t="n"/>
      <c r="AF949" s="60" t="n"/>
      <c r="AG949" s="62" t="n"/>
      <c r="AH949" s="62" t="n"/>
      <c r="AI949" s="62" t="n"/>
      <c r="AJ949" s="60" t="n"/>
      <c r="AK949" s="61" t="n"/>
      <c r="AL949" s="63">
        <f>IF($A949="","",IF(AH949="","Not Enrolled",IF(TODAY()&gt;AH949,"Review Overdue",IF(AH949-TODAY()&lt;=30,"Review Due Soon","Active"))))</f>
        <v/>
      </c>
      <c r="AM949" s="63">
        <f>IF($A949="","",IF(AI949="","NOT REVIEWED",IF(TODAY()-AI949&gt;90,"OVERDUE",IF(TODAY()-AI949&gt;76,"Due Soon","Current"))))</f>
        <v/>
      </c>
    </row>
    <row r="950" ht="15" customHeight="1" s="39">
      <c r="A950" s="60" t="n"/>
      <c r="B950" s="60" t="n"/>
      <c r="C950" s="61" t="n"/>
      <c r="D950" s="61" t="n"/>
      <c r="E950" s="60" t="n"/>
      <c r="F950" s="60" t="n"/>
      <c r="G950" s="62" t="n"/>
      <c r="H950" s="62" t="n"/>
      <c r="I950" s="62" t="n"/>
      <c r="J950" s="60" t="n"/>
      <c r="K950" s="60" t="n"/>
      <c r="L950" s="60" t="n"/>
      <c r="M950" s="61" t="n"/>
      <c r="N950" s="60" t="n"/>
      <c r="O950" s="60" t="n"/>
      <c r="P950" s="60" t="n"/>
      <c r="Q950" s="60" t="n"/>
      <c r="R950" s="60" t="n"/>
      <c r="S950" s="60" t="n"/>
      <c r="T950" s="60" t="n"/>
      <c r="U950" s="60" t="n"/>
      <c r="V950" s="60" t="n"/>
      <c r="W950" s="60" t="n"/>
      <c r="X950" s="60" t="n"/>
      <c r="Y950" s="60" t="n"/>
      <c r="Z950" s="61" t="n"/>
      <c r="AA950" s="63">
        <f>IF($H950="","",TODAY()-$H950)</f>
        <v/>
      </c>
      <c r="AB950" s="63">
        <f>IF($A950="","",IF(AND($F950="Yes",OR($U950="No",$U950="NOT FOUND")),"YES",""))</f>
        <v/>
      </c>
      <c r="AC950" s="66">
        <f>IF($A950="","",TRIM(IF(AND($P950=0,$L950&lt;&gt;"Yes"),"T0-NoSmartcard ","")&amp;IF(AND($J950&lt;&gt;"",$J950&gt;365),"StalePwd ","")&amp;IF($K950="Yes","PwdNeverExpires ","")&amp;IF(AND($S950&lt;&gt;"",$S950&lt;&gt;"None"),"Delegation ","")&amp;IF(AND($Q950=1,$O950="None"),"StaleAdminCount ","")&amp;IF(AND($F950="Yes",$H950=""),"NeverLoggedOn ","")))</f>
        <v/>
      </c>
      <c r="AD950" s="60" t="n"/>
      <c r="AE950" s="61" t="n"/>
      <c r="AF950" s="60" t="n"/>
      <c r="AG950" s="62" t="n"/>
      <c r="AH950" s="62" t="n"/>
      <c r="AI950" s="62" t="n"/>
      <c r="AJ950" s="60" t="n"/>
      <c r="AK950" s="61" t="n"/>
      <c r="AL950" s="63">
        <f>IF($A950="","",IF(AH950="","Not Enrolled",IF(TODAY()&gt;AH950,"Review Overdue",IF(AH950-TODAY()&lt;=30,"Review Due Soon","Active"))))</f>
        <v/>
      </c>
      <c r="AM950" s="63">
        <f>IF($A950="","",IF(AI950="","NOT REVIEWED",IF(TODAY()-AI950&gt;90,"OVERDUE",IF(TODAY()-AI950&gt;76,"Due Soon","Current"))))</f>
        <v/>
      </c>
    </row>
    <row r="951" ht="15" customHeight="1" s="39">
      <c r="A951" s="60" t="n"/>
      <c r="B951" s="60" t="n"/>
      <c r="C951" s="61" t="n"/>
      <c r="D951" s="61" t="n"/>
      <c r="E951" s="60" t="n"/>
      <c r="F951" s="60" t="n"/>
      <c r="G951" s="62" t="n"/>
      <c r="H951" s="62" t="n"/>
      <c r="I951" s="62" t="n"/>
      <c r="J951" s="60" t="n"/>
      <c r="K951" s="60" t="n"/>
      <c r="L951" s="60" t="n"/>
      <c r="M951" s="61" t="n"/>
      <c r="N951" s="60" t="n"/>
      <c r="O951" s="60" t="n"/>
      <c r="P951" s="60" t="n"/>
      <c r="Q951" s="60" t="n"/>
      <c r="R951" s="60" t="n"/>
      <c r="S951" s="60" t="n"/>
      <c r="T951" s="60" t="n"/>
      <c r="U951" s="60" t="n"/>
      <c r="V951" s="60" t="n"/>
      <c r="W951" s="60" t="n"/>
      <c r="X951" s="60" t="n"/>
      <c r="Y951" s="60" t="n"/>
      <c r="Z951" s="61" t="n"/>
      <c r="AA951" s="63">
        <f>IF($H951="","",TODAY()-$H951)</f>
        <v/>
      </c>
      <c r="AB951" s="63">
        <f>IF($A951="","",IF(AND($F951="Yes",OR($U951="No",$U951="NOT FOUND")),"YES",""))</f>
        <v/>
      </c>
      <c r="AC951" s="66">
        <f>IF($A951="","",TRIM(IF(AND($P951=0,$L951&lt;&gt;"Yes"),"T0-NoSmartcard ","")&amp;IF(AND($J951&lt;&gt;"",$J951&gt;365),"StalePwd ","")&amp;IF($K951="Yes","PwdNeverExpires ","")&amp;IF(AND($S951&lt;&gt;"",$S951&lt;&gt;"None"),"Delegation ","")&amp;IF(AND($Q951=1,$O951="None"),"StaleAdminCount ","")&amp;IF(AND($F951="Yes",$H951=""),"NeverLoggedOn ","")))</f>
        <v/>
      </c>
      <c r="AD951" s="60" t="n"/>
      <c r="AE951" s="61" t="n"/>
      <c r="AF951" s="60" t="n"/>
      <c r="AG951" s="62" t="n"/>
      <c r="AH951" s="62" t="n"/>
      <c r="AI951" s="62" t="n"/>
      <c r="AJ951" s="60" t="n"/>
      <c r="AK951" s="61" t="n"/>
      <c r="AL951" s="63">
        <f>IF($A951="","",IF(AH951="","Not Enrolled",IF(TODAY()&gt;AH951,"Review Overdue",IF(AH951-TODAY()&lt;=30,"Review Due Soon","Active"))))</f>
        <v/>
      </c>
      <c r="AM951" s="63">
        <f>IF($A951="","",IF(AI951="","NOT REVIEWED",IF(TODAY()-AI951&gt;90,"OVERDUE",IF(TODAY()-AI951&gt;76,"Due Soon","Current"))))</f>
        <v/>
      </c>
    </row>
    <row r="952" ht="15" customHeight="1" s="39">
      <c r="A952" s="60" t="n"/>
      <c r="B952" s="60" t="n"/>
      <c r="C952" s="61" t="n"/>
      <c r="D952" s="61" t="n"/>
      <c r="E952" s="60" t="n"/>
      <c r="F952" s="60" t="n"/>
      <c r="G952" s="62" t="n"/>
      <c r="H952" s="62" t="n"/>
      <c r="I952" s="62" t="n"/>
      <c r="J952" s="60" t="n"/>
      <c r="K952" s="60" t="n"/>
      <c r="L952" s="60" t="n"/>
      <c r="M952" s="61" t="n"/>
      <c r="N952" s="60" t="n"/>
      <c r="O952" s="60" t="n"/>
      <c r="P952" s="60" t="n"/>
      <c r="Q952" s="60" t="n"/>
      <c r="R952" s="60" t="n"/>
      <c r="S952" s="60" t="n"/>
      <c r="T952" s="60" t="n"/>
      <c r="U952" s="60" t="n"/>
      <c r="V952" s="60" t="n"/>
      <c r="W952" s="60" t="n"/>
      <c r="X952" s="60" t="n"/>
      <c r="Y952" s="60" t="n"/>
      <c r="Z952" s="61" t="n"/>
      <c r="AA952" s="63">
        <f>IF($H952="","",TODAY()-$H952)</f>
        <v/>
      </c>
      <c r="AB952" s="63">
        <f>IF($A952="","",IF(AND($F952="Yes",OR($U952="No",$U952="NOT FOUND")),"YES",""))</f>
        <v/>
      </c>
      <c r="AC952" s="66">
        <f>IF($A952="","",TRIM(IF(AND($P952=0,$L952&lt;&gt;"Yes"),"T0-NoSmartcard ","")&amp;IF(AND($J952&lt;&gt;"",$J952&gt;365),"StalePwd ","")&amp;IF($K952="Yes","PwdNeverExpires ","")&amp;IF(AND($S952&lt;&gt;"",$S952&lt;&gt;"None"),"Delegation ","")&amp;IF(AND($Q952=1,$O952="None"),"StaleAdminCount ","")&amp;IF(AND($F952="Yes",$H952=""),"NeverLoggedOn ","")))</f>
        <v/>
      </c>
      <c r="AD952" s="60" t="n"/>
      <c r="AE952" s="61" t="n"/>
      <c r="AF952" s="60" t="n"/>
      <c r="AG952" s="62" t="n"/>
      <c r="AH952" s="62" t="n"/>
      <c r="AI952" s="62" t="n"/>
      <c r="AJ952" s="60" t="n"/>
      <c r="AK952" s="61" t="n"/>
      <c r="AL952" s="63">
        <f>IF($A952="","",IF(AH952="","Not Enrolled",IF(TODAY()&gt;AH952,"Review Overdue",IF(AH952-TODAY()&lt;=30,"Review Due Soon","Active"))))</f>
        <v/>
      </c>
      <c r="AM952" s="63">
        <f>IF($A952="","",IF(AI952="","NOT REVIEWED",IF(TODAY()-AI952&gt;90,"OVERDUE",IF(TODAY()-AI952&gt;76,"Due Soon","Current"))))</f>
        <v/>
      </c>
    </row>
    <row r="953" ht="15" customHeight="1" s="39">
      <c r="A953" s="60" t="n"/>
      <c r="B953" s="60" t="n"/>
      <c r="C953" s="61" t="n"/>
      <c r="D953" s="61" t="n"/>
      <c r="E953" s="60" t="n"/>
      <c r="F953" s="60" t="n"/>
      <c r="G953" s="62" t="n"/>
      <c r="H953" s="62" t="n"/>
      <c r="I953" s="62" t="n"/>
      <c r="J953" s="60" t="n"/>
      <c r="K953" s="60" t="n"/>
      <c r="L953" s="60" t="n"/>
      <c r="M953" s="61" t="n"/>
      <c r="N953" s="60" t="n"/>
      <c r="O953" s="60" t="n"/>
      <c r="P953" s="60" t="n"/>
      <c r="Q953" s="60" t="n"/>
      <c r="R953" s="60" t="n"/>
      <c r="S953" s="60" t="n"/>
      <c r="T953" s="60" t="n"/>
      <c r="U953" s="60" t="n"/>
      <c r="V953" s="60" t="n"/>
      <c r="W953" s="60" t="n"/>
      <c r="X953" s="60" t="n"/>
      <c r="Y953" s="60" t="n"/>
      <c r="Z953" s="61" t="n"/>
      <c r="AA953" s="63">
        <f>IF($H953="","",TODAY()-$H953)</f>
        <v/>
      </c>
      <c r="AB953" s="63">
        <f>IF($A953="","",IF(AND($F953="Yes",OR($U953="No",$U953="NOT FOUND")),"YES",""))</f>
        <v/>
      </c>
      <c r="AC953" s="66">
        <f>IF($A953="","",TRIM(IF(AND($P953=0,$L953&lt;&gt;"Yes"),"T0-NoSmartcard ","")&amp;IF(AND($J953&lt;&gt;"",$J953&gt;365),"StalePwd ","")&amp;IF($K953="Yes","PwdNeverExpires ","")&amp;IF(AND($S953&lt;&gt;"",$S953&lt;&gt;"None"),"Delegation ","")&amp;IF(AND($Q953=1,$O953="None"),"StaleAdminCount ","")&amp;IF(AND($F953="Yes",$H953=""),"NeverLoggedOn ","")))</f>
        <v/>
      </c>
      <c r="AD953" s="60" t="n"/>
      <c r="AE953" s="61" t="n"/>
      <c r="AF953" s="60" t="n"/>
      <c r="AG953" s="62" t="n"/>
      <c r="AH953" s="62" t="n"/>
      <c r="AI953" s="62" t="n"/>
      <c r="AJ953" s="60" t="n"/>
      <c r="AK953" s="61" t="n"/>
      <c r="AL953" s="63">
        <f>IF($A953="","",IF(AH953="","Not Enrolled",IF(TODAY()&gt;AH953,"Review Overdue",IF(AH953-TODAY()&lt;=30,"Review Due Soon","Active"))))</f>
        <v/>
      </c>
      <c r="AM953" s="63">
        <f>IF($A953="","",IF(AI953="","NOT REVIEWED",IF(TODAY()-AI953&gt;90,"OVERDUE",IF(TODAY()-AI953&gt;76,"Due Soon","Current"))))</f>
        <v/>
      </c>
    </row>
    <row r="954" ht="15" customHeight="1" s="39">
      <c r="A954" s="60" t="n"/>
      <c r="B954" s="60" t="n"/>
      <c r="C954" s="61" t="n"/>
      <c r="D954" s="61" t="n"/>
      <c r="E954" s="60" t="n"/>
      <c r="F954" s="60" t="n"/>
      <c r="G954" s="62" t="n"/>
      <c r="H954" s="62" t="n"/>
      <c r="I954" s="62" t="n"/>
      <c r="J954" s="60" t="n"/>
      <c r="K954" s="60" t="n"/>
      <c r="L954" s="60" t="n"/>
      <c r="M954" s="61" t="n"/>
      <c r="N954" s="60" t="n"/>
      <c r="O954" s="60" t="n"/>
      <c r="P954" s="60" t="n"/>
      <c r="Q954" s="60" t="n"/>
      <c r="R954" s="60" t="n"/>
      <c r="S954" s="60" t="n"/>
      <c r="T954" s="60" t="n"/>
      <c r="U954" s="60" t="n"/>
      <c r="V954" s="60" t="n"/>
      <c r="W954" s="60" t="n"/>
      <c r="X954" s="60" t="n"/>
      <c r="Y954" s="60" t="n"/>
      <c r="Z954" s="61" t="n"/>
      <c r="AA954" s="63">
        <f>IF($H954="","",TODAY()-$H954)</f>
        <v/>
      </c>
      <c r="AB954" s="63">
        <f>IF($A954="","",IF(AND($F954="Yes",OR($U954="No",$U954="NOT FOUND")),"YES",""))</f>
        <v/>
      </c>
      <c r="AC954" s="66">
        <f>IF($A954="","",TRIM(IF(AND($P954=0,$L954&lt;&gt;"Yes"),"T0-NoSmartcard ","")&amp;IF(AND($J954&lt;&gt;"",$J954&gt;365),"StalePwd ","")&amp;IF($K954="Yes","PwdNeverExpires ","")&amp;IF(AND($S954&lt;&gt;"",$S954&lt;&gt;"None"),"Delegation ","")&amp;IF(AND($Q954=1,$O954="None"),"StaleAdminCount ","")&amp;IF(AND($F954="Yes",$H954=""),"NeverLoggedOn ","")))</f>
        <v/>
      </c>
      <c r="AD954" s="60" t="n"/>
      <c r="AE954" s="61" t="n"/>
      <c r="AF954" s="60" t="n"/>
      <c r="AG954" s="62" t="n"/>
      <c r="AH954" s="62" t="n"/>
      <c r="AI954" s="62" t="n"/>
      <c r="AJ954" s="60" t="n"/>
      <c r="AK954" s="61" t="n"/>
      <c r="AL954" s="63">
        <f>IF($A954="","",IF(AH954="","Not Enrolled",IF(TODAY()&gt;AH954,"Review Overdue",IF(AH954-TODAY()&lt;=30,"Review Due Soon","Active"))))</f>
        <v/>
      </c>
      <c r="AM954" s="63">
        <f>IF($A954="","",IF(AI954="","NOT REVIEWED",IF(TODAY()-AI954&gt;90,"OVERDUE",IF(TODAY()-AI954&gt;76,"Due Soon","Current"))))</f>
        <v/>
      </c>
    </row>
    <row r="955" ht="15" customHeight="1" s="39">
      <c r="A955" s="60" t="n"/>
      <c r="B955" s="60" t="n"/>
      <c r="C955" s="61" t="n"/>
      <c r="D955" s="61" t="n"/>
      <c r="E955" s="60" t="n"/>
      <c r="F955" s="60" t="n"/>
      <c r="G955" s="62" t="n"/>
      <c r="H955" s="62" t="n"/>
      <c r="I955" s="62" t="n"/>
      <c r="J955" s="60" t="n"/>
      <c r="K955" s="60" t="n"/>
      <c r="L955" s="60" t="n"/>
      <c r="M955" s="61" t="n"/>
      <c r="N955" s="60" t="n"/>
      <c r="O955" s="60" t="n"/>
      <c r="P955" s="60" t="n"/>
      <c r="Q955" s="60" t="n"/>
      <c r="R955" s="60" t="n"/>
      <c r="S955" s="60" t="n"/>
      <c r="T955" s="60" t="n"/>
      <c r="U955" s="60" t="n"/>
      <c r="V955" s="60" t="n"/>
      <c r="W955" s="60" t="n"/>
      <c r="X955" s="60" t="n"/>
      <c r="Y955" s="60" t="n"/>
      <c r="Z955" s="61" t="n"/>
      <c r="AA955" s="63">
        <f>IF($H955="","",TODAY()-$H955)</f>
        <v/>
      </c>
      <c r="AB955" s="63">
        <f>IF($A955="","",IF(AND($F955="Yes",OR($U955="No",$U955="NOT FOUND")),"YES",""))</f>
        <v/>
      </c>
      <c r="AC955" s="66">
        <f>IF($A955="","",TRIM(IF(AND($P955=0,$L955&lt;&gt;"Yes"),"T0-NoSmartcard ","")&amp;IF(AND($J955&lt;&gt;"",$J955&gt;365),"StalePwd ","")&amp;IF($K955="Yes","PwdNeverExpires ","")&amp;IF(AND($S955&lt;&gt;"",$S955&lt;&gt;"None"),"Delegation ","")&amp;IF(AND($Q955=1,$O955="None"),"StaleAdminCount ","")&amp;IF(AND($F955="Yes",$H955=""),"NeverLoggedOn ","")))</f>
        <v/>
      </c>
      <c r="AD955" s="60" t="n"/>
      <c r="AE955" s="61" t="n"/>
      <c r="AF955" s="60" t="n"/>
      <c r="AG955" s="62" t="n"/>
      <c r="AH955" s="62" t="n"/>
      <c r="AI955" s="62" t="n"/>
      <c r="AJ955" s="60" t="n"/>
      <c r="AK955" s="61" t="n"/>
      <c r="AL955" s="63">
        <f>IF($A955="","",IF(AH955="","Not Enrolled",IF(TODAY()&gt;AH955,"Review Overdue",IF(AH955-TODAY()&lt;=30,"Review Due Soon","Active"))))</f>
        <v/>
      </c>
      <c r="AM955" s="63">
        <f>IF($A955="","",IF(AI955="","NOT REVIEWED",IF(TODAY()-AI955&gt;90,"OVERDUE",IF(TODAY()-AI955&gt;76,"Due Soon","Current"))))</f>
        <v/>
      </c>
    </row>
    <row r="956" ht="15" customHeight="1" s="39">
      <c r="A956" s="60" t="n"/>
      <c r="B956" s="60" t="n"/>
      <c r="C956" s="61" t="n"/>
      <c r="D956" s="61" t="n"/>
      <c r="E956" s="60" t="n"/>
      <c r="F956" s="60" t="n"/>
      <c r="G956" s="62" t="n"/>
      <c r="H956" s="62" t="n"/>
      <c r="I956" s="62" t="n"/>
      <c r="J956" s="60" t="n"/>
      <c r="K956" s="60" t="n"/>
      <c r="L956" s="60" t="n"/>
      <c r="M956" s="61" t="n"/>
      <c r="N956" s="60" t="n"/>
      <c r="O956" s="60" t="n"/>
      <c r="P956" s="60" t="n"/>
      <c r="Q956" s="60" t="n"/>
      <c r="R956" s="60" t="n"/>
      <c r="S956" s="60" t="n"/>
      <c r="T956" s="60" t="n"/>
      <c r="U956" s="60" t="n"/>
      <c r="V956" s="60" t="n"/>
      <c r="W956" s="60" t="n"/>
      <c r="X956" s="60" t="n"/>
      <c r="Y956" s="60" t="n"/>
      <c r="Z956" s="61" t="n"/>
      <c r="AA956" s="63">
        <f>IF($H956="","",TODAY()-$H956)</f>
        <v/>
      </c>
      <c r="AB956" s="63">
        <f>IF($A956="","",IF(AND($F956="Yes",OR($U956="No",$U956="NOT FOUND")),"YES",""))</f>
        <v/>
      </c>
      <c r="AC956" s="66">
        <f>IF($A956="","",TRIM(IF(AND($P956=0,$L956&lt;&gt;"Yes"),"T0-NoSmartcard ","")&amp;IF(AND($J956&lt;&gt;"",$J956&gt;365),"StalePwd ","")&amp;IF($K956="Yes","PwdNeverExpires ","")&amp;IF(AND($S956&lt;&gt;"",$S956&lt;&gt;"None"),"Delegation ","")&amp;IF(AND($Q956=1,$O956="None"),"StaleAdminCount ","")&amp;IF(AND($F956="Yes",$H956=""),"NeverLoggedOn ","")))</f>
        <v/>
      </c>
      <c r="AD956" s="60" t="n"/>
      <c r="AE956" s="61" t="n"/>
      <c r="AF956" s="60" t="n"/>
      <c r="AG956" s="62" t="n"/>
      <c r="AH956" s="62" t="n"/>
      <c r="AI956" s="62" t="n"/>
      <c r="AJ956" s="60" t="n"/>
      <c r="AK956" s="61" t="n"/>
      <c r="AL956" s="63">
        <f>IF($A956="","",IF(AH956="","Not Enrolled",IF(TODAY()&gt;AH956,"Review Overdue",IF(AH956-TODAY()&lt;=30,"Review Due Soon","Active"))))</f>
        <v/>
      </c>
      <c r="AM956" s="63">
        <f>IF($A956="","",IF(AI956="","NOT REVIEWED",IF(TODAY()-AI956&gt;90,"OVERDUE",IF(TODAY()-AI956&gt;76,"Due Soon","Current"))))</f>
        <v/>
      </c>
    </row>
    <row r="957" ht="15" customHeight="1" s="39">
      <c r="A957" s="60" t="n"/>
      <c r="B957" s="60" t="n"/>
      <c r="C957" s="61" t="n"/>
      <c r="D957" s="61" t="n"/>
      <c r="E957" s="60" t="n"/>
      <c r="F957" s="60" t="n"/>
      <c r="G957" s="62" t="n"/>
      <c r="H957" s="62" t="n"/>
      <c r="I957" s="62" t="n"/>
      <c r="J957" s="60" t="n"/>
      <c r="K957" s="60" t="n"/>
      <c r="L957" s="60" t="n"/>
      <c r="M957" s="61" t="n"/>
      <c r="N957" s="60" t="n"/>
      <c r="O957" s="60" t="n"/>
      <c r="P957" s="60" t="n"/>
      <c r="Q957" s="60" t="n"/>
      <c r="R957" s="60" t="n"/>
      <c r="S957" s="60" t="n"/>
      <c r="T957" s="60" t="n"/>
      <c r="U957" s="60" t="n"/>
      <c r="V957" s="60" t="n"/>
      <c r="W957" s="60" t="n"/>
      <c r="X957" s="60" t="n"/>
      <c r="Y957" s="60" t="n"/>
      <c r="Z957" s="61" t="n"/>
      <c r="AA957" s="63">
        <f>IF($H957="","",TODAY()-$H957)</f>
        <v/>
      </c>
      <c r="AB957" s="63">
        <f>IF($A957="","",IF(AND($F957="Yes",OR($U957="No",$U957="NOT FOUND")),"YES",""))</f>
        <v/>
      </c>
      <c r="AC957" s="66">
        <f>IF($A957="","",TRIM(IF(AND($P957=0,$L957&lt;&gt;"Yes"),"T0-NoSmartcard ","")&amp;IF(AND($J957&lt;&gt;"",$J957&gt;365),"StalePwd ","")&amp;IF($K957="Yes","PwdNeverExpires ","")&amp;IF(AND($S957&lt;&gt;"",$S957&lt;&gt;"None"),"Delegation ","")&amp;IF(AND($Q957=1,$O957="None"),"StaleAdminCount ","")&amp;IF(AND($F957="Yes",$H957=""),"NeverLoggedOn ","")))</f>
        <v/>
      </c>
      <c r="AD957" s="60" t="n"/>
      <c r="AE957" s="61" t="n"/>
      <c r="AF957" s="60" t="n"/>
      <c r="AG957" s="62" t="n"/>
      <c r="AH957" s="62" t="n"/>
      <c r="AI957" s="62" t="n"/>
      <c r="AJ957" s="60" t="n"/>
      <c r="AK957" s="61" t="n"/>
      <c r="AL957" s="63">
        <f>IF($A957="","",IF(AH957="","Not Enrolled",IF(TODAY()&gt;AH957,"Review Overdue",IF(AH957-TODAY()&lt;=30,"Review Due Soon","Active"))))</f>
        <v/>
      </c>
      <c r="AM957" s="63">
        <f>IF($A957="","",IF(AI957="","NOT REVIEWED",IF(TODAY()-AI957&gt;90,"OVERDUE",IF(TODAY()-AI957&gt;76,"Due Soon","Current"))))</f>
        <v/>
      </c>
    </row>
    <row r="958" ht="15" customHeight="1" s="39">
      <c r="A958" s="60" t="n"/>
      <c r="B958" s="60" t="n"/>
      <c r="C958" s="61" t="n"/>
      <c r="D958" s="61" t="n"/>
      <c r="E958" s="60" t="n"/>
      <c r="F958" s="60" t="n"/>
      <c r="G958" s="62" t="n"/>
      <c r="H958" s="62" t="n"/>
      <c r="I958" s="62" t="n"/>
      <c r="J958" s="60" t="n"/>
      <c r="K958" s="60" t="n"/>
      <c r="L958" s="60" t="n"/>
      <c r="M958" s="61" t="n"/>
      <c r="N958" s="60" t="n"/>
      <c r="O958" s="60" t="n"/>
      <c r="P958" s="60" t="n"/>
      <c r="Q958" s="60" t="n"/>
      <c r="R958" s="60" t="n"/>
      <c r="S958" s="60" t="n"/>
      <c r="T958" s="60" t="n"/>
      <c r="U958" s="60" t="n"/>
      <c r="V958" s="60" t="n"/>
      <c r="W958" s="60" t="n"/>
      <c r="X958" s="60" t="n"/>
      <c r="Y958" s="60" t="n"/>
      <c r="Z958" s="61" t="n"/>
      <c r="AA958" s="63">
        <f>IF($H958="","",TODAY()-$H958)</f>
        <v/>
      </c>
      <c r="AB958" s="63">
        <f>IF($A958="","",IF(AND($F958="Yes",OR($U958="No",$U958="NOT FOUND")),"YES",""))</f>
        <v/>
      </c>
      <c r="AC958" s="66">
        <f>IF($A958="","",TRIM(IF(AND($P958=0,$L958&lt;&gt;"Yes"),"T0-NoSmartcard ","")&amp;IF(AND($J958&lt;&gt;"",$J958&gt;365),"StalePwd ","")&amp;IF($K958="Yes","PwdNeverExpires ","")&amp;IF(AND($S958&lt;&gt;"",$S958&lt;&gt;"None"),"Delegation ","")&amp;IF(AND($Q958=1,$O958="None"),"StaleAdminCount ","")&amp;IF(AND($F958="Yes",$H958=""),"NeverLoggedOn ","")))</f>
        <v/>
      </c>
      <c r="AD958" s="60" t="n"/>
      <c r="AE958" s="61" t="n"/>
      <c r="AF958" s="60" t="n"/>
      <c r="AG958" s="62" t="n"/>
      <c r="AH958" s="62" t="n"/>
      <c r="AI958" s="62" t="n"/>
      <c r="AJ958" s="60" t="n"/>
      <c r="AK958" s="61" t="n"/>
      <c r="AL958" s="63">
        <f>IF($A958="","",IF(AH958="","Not Enrolled",IF(TODAY()&gt;AH958,"Review Overdue",IF(AH958-TODAY()&lt;=30,"Review Due Soon","Active"))))</f>
        <v/>
      </c>
      <c r="AM958" s="63">
        <f>IF($A958="","",IF(AI958="","NOT REVIEWED",IF(TODAY()-AI958&gt;90,"OVERDUE",IF(TODAY()-AI958&gt;76,"Due Soon","Current"))))</f>
        <v/>
      </c>
    </row>
    <row r="959" ht="15" customHeight="1" s="39">
      <c r="A959" s="60" t="n"/>
      <c r="B959" s="60" t="n"/>
      <c r="C959" s="61" t="n"/>
      <c r="D959" s="61" t="n"/>
      <c r="E959" s="60" t="n"/>
      <c r="F959" s="60" t="n"/>
      <c r="G959" s="62" t="n"/>
      <c r="H959" s="62" t="n"/>
      <c r="I959" s="62" t="n"/>
      <c r="J959" s="60" t="n"/>
      <c r="K959" s="60" t="n"/>
      <c r="L959" s="60" t="n"/>
      <c r="M959" s="61" t="n"/>
      <c r="N959" s="60" t="n"/>
      <c r="O959" s="60" t="n"/>
      <c r="P959" s="60" t="n"/>
      <c r="Q959" s="60" t="n"/>
      <c r="R959" s="60" t="n"/>
      <c r="S959" s="60" t="n"/>
      <c r="T959" s="60" t="n"/>
      <c r="U959" s="60" t="n"/>
      <c r="V959" s="60" t="n"/>
      <c r="W959" s="60" t="n"/>
      <c r="X959" s="60" t="n"/>
      <c r="Y959" s="60" t="n"/>
      <c r="Z959" s="61" t="n"/>
      <c r="AA959" s="63">
        <f>IF($H959="","",TODAY()-$H959)</f>
        <v/>
      </c>
      <c r="AB959" s="63">
        <f>IF($A959="","",IF(AND($F959="Yes",OR($U959="No",$U959="NOT FOUND")),"YES",""))</f>
        <v/>
      </c>
      <c r="AC959" s="66">
        <f>IF($A959="","",TRIM(IF(AND($P959=0,$L959&lt;&gt;"Yes"),"T0-NoSmartcard ","")&amp;IF(AND($J959&lt;&gt;"",$J959&gt;365),"StalePwd ","")&amp;IF($K959="Yes","PwdNeverExpires ","")&amp;IF(AND($S959&lt;&gt;"",$S959&lt;&gt;"None"),"Delegation ","")&amp;IF(AND($Q959=1,$O959="None"),"StaleAdminCount ","")&amp;IF(AND($F959="Yes",$H959=""),"NeverLoggedOn ","")))</f>
        <v/>
      </c>
      <c r="AD959" s="60" t="n"/>
      <c r="AE959" s="61" t="n"/>
      <c r="AF959" s="60" t="n"/>
      <c r="AG959" s="62" t="n"/>
      <c r="AH959" s="62" t="n"/>
      <c r="AI959" s="62" t="n"/>
      <c r="AJ959" s="60" t="n"/>
      <c r="AK959" s="61" t="n"/>
      <c r="AL959" s="63">
        <f>IF($A959="","",IF(AH959="","Not Enrolled",IF(TODAY()&gt;AH959,"Review Overdue",IF(AH959-TODAY()&lt;=30,"Review Due Soon","Active"))))</f>
        <v/>
      </c>
      <c r="AM959" s="63">
        <f>IF($A959="","",IF(AI959="","NOT REVIEWED",IF(TODAY()-AI959&gt;90,"OVERDUE",IF(TODAY()-AI959&gt;76,"Due Soon","Current"))))</f>
        <v/>
      </c>
    </row>
    <row r="960" ht="15" customHeight="1" s="39">
      <c r="A960" s="60" t="n"/>
      <c r="B960" s="60" t="n"/>
      <c r="C960" s="61" t="n"/>
      <c r="D960" s="61" t="n"/>
      <c r="E960" s="60" t="n"/>
      <c r="F960" s="60" t="n"/>
      <c r="G960" s="62" t="n"/>
      <c r="H960" s="62" t="n"/>
      <c r="I960" s="62" t="n"/>
      <c r="J960" s="60" t="n"/>
      <c r="K960" s="60" t="n"/>
      <c r="L960" s="60" t="n"/>
      <c r="M960" s="61" t="n"/>
      <c r="N960" s="60" t="n"/>
      <c r="O960" s="60" t="n"/>
      <c r="P960" s="60" t="n"/>
      <c r="Q960" s="60" t="n"/>
      <c r="R960" s="60" t="n"/>
      <c r="S960" s="60" t="n"/>
      <c r="T960" s="60" t="n"/>
      <c r="U960" s="60" t="n"/>
      <c r="V960" s="60" t="n"/>
      <c r="W960" s="60" t="n"/>
      <c r="X960" s="60" t="n"/>
      <c r="Y960" s="60" t="n"/>
      <c r="Z960" s="61" t="n"/>
      <c r="AA960" s="63">
        <f>IF($H960="","",TODAY()-$H960)</f>
        <v/>
      </c>
      <c r="AB960" s="63">
        <f>IF($A960="","",IF(AND($F960="Yes",OR($U960="No",$U960="NOT FOUND")),"YES",""))</f>
        <v/>
      </c>
      <c r="AC960" s="66">
        <f>IF($A960="","",TRIM(IF(AND($P960=0,$L960&lt;&gt;"Yes"),"T0-NoSmartcard ","")&amp;IF(AND($J960&lt;&gt;"",$J960&gt;365),"StalePwd ","")&amp;IF($K960="Yes","PwdNeverExpires ","")&amp;IF(AND($S960&lt;&gt;"",$S960&lt;&gt;"None"),"Delegation ","")&amp;IF(AND($Q960=1,$O960="None"),"StaleAdminCount ","")&amp;IF(AND($F960="Yes",$H960=""),"NeverLoggedOn ","")))</f>
        <v/>
      </c>
      <c r="AD960" s="60" t="n"/>
      <c r="AE960" s="61" t="n"/>
      <c r="AF960" s="60" t="n"/>
      <c r="AG960" s="62" t="n"/>
      <c r="AH960" s="62" t="n"/>
      <c r="AI960" s="62" t="n"/>
      <c r="AJ960" s="60" t="n"/>
      <c r="AK960" s="61" t="n"/>
      <c r="AL960" s="63">
        <f>IF($A960="","",IF(AH960="","Not Enrolled",IF(TODAY()&gt;AH960,"Review Overdue",IF(AH960-TODAY()&lt;=30,"Review Due Soon","Active"))))</f>
        <v/>
      </c>
      <c r="AM960" s="63">
        <f>IF($A960="","",IF(AI960="","NOT REVIEWED",IF(TODAY()-AI960&gt;90,"OVERDUE",IF(TODAY()-AI960&gt;76,"Due Soon","Current"))))</f>
        <v/>
      </c>
    </row>
    <row r="961" ht="15" customHeight="1" s="39">
      <c r="A961" s="60" t="n"/>
      <c r="B961" s="60" t="n"/>
      <c r="C961" s="61" t="n"/>
      <c r="D961" s="61" t="n"/>
      <c r="E961" s="60" t="n"/>
      <c r="F961" s="60" t="n"/>
      <c r="G961" s="62" t="n"/>
      <c r="H961" s="62" t="n"/>
      <c r="I961" s="62" t="n"/>
      <c r="J961" s="60" t="n"/>
      <c r="K961" s="60" t="n"/>
      <c r="L961" s="60" t="n"/>
      <c r="M961" s="61" t="n"/>
      <c r="N961" s="60" t="n"/>
      <c r="O961" s="60" t="n"/>
      <c r="P961" s="60" t="n"/>
      <c r="Q961" s="60" t="n"/>
      <c r="R961" s="60" t="n"/>
      <c r="S961" s="60" t="n"/>
      <c r="T961" s="60" t="n"/>
      <c r="U961" s="60" t="n"/>
      <c r="V961" s="60" t="n"/>
      <c r="W961" s="60" t="n"/>
      <c r="X961" s="60" t="n"/>
      <c r="Y961" s="60" t="n"/>
      <c r="Z961" s="61" t="n"/>
      <c r="AA961" s="63">
        <f>IF($H961="","",TODAY()-$H961)</f>
        <v/>
      </c>
      <c r="AB961" s="63">
        <f>IF($A961="","",IF(AND($F961="Yes",OR($U961="No",$U961="NOT FOUND")),"YES",""))</f>
        <v/>
      </c>
      <c r="AC961" s="66">
        <f>IF($A961="","",TRIM(IF(AND($P961=0,$L961&lt;&gt;"Yes"),"T0-NoSmartcard ","")&amp;IF(AND($J961&lt;&gt;"",$J961&gt;365),"StalePwd ","")&amp;IF($K961="Yes","PwdNeverExpires ","")&amp;IF(AND($S961&lt;&gt;"",$S961&lt;&gt;"None"),"Delegation ","")&amp;IF(AND($Q961=1,$O961="None"),"StaleAdminCount ","")&amp;IF(AND($F961="Yes",$H961=""),"NeverLoggedOn ","")))</f>
        <v/>
      </c>
      <c r="AD961" s="60" t="n"/>
      <c r="AE961" s="61" t="n"/>
      <c r="AF961" s="60" t="n"/>
      <c r="AG961" s="62" t="n"/>
      <c r="AH961" s="62" t="n"/>
      <c r="AI961" s="62" t="n"/>
      <c r="AJ961" s="60" t="n"/>
      <c r="AK961" s="61" t="n"/>
      <c r="AL961" s="63">
        <f>IF($A961="","",IF(AH961="","Not Enrolled",IF(TODAY()&gt;AH961,"Review Overdue",IF(AH961-TODAY()&lt;=30,"Review Due Soon","Active"))))</f>
        <v/>
      </c>
      <c r="AM961" s="63">
        <f>IF($A961="","",IF(AI961="","NOT REVIEWED",IF(TODAY()-AI961&gt;90,"OVERDUE",IF(TODAY()-AI961&gt;76,"Due Soon","Current"))))</f>
        <v/>
      </c>
    </row>
    <row r="962" ht="15" customHeight="1" s="39">
      <c r="A962" s="60" t="n"/>
      <c r="B962" s="60" t="n"/>
      <c r="C962" s="61" t="n"/>
      <c r="D962" s="61" t="n"/>
      <c r="E962" s="60" t="n"/>
      <c r="F962" s="60" t="n"/>
      <c r="G962" s="62" t="n"/>
      <c r="H962" s="62" t="n"/>
      <c r="I962" s="62" t="n"/>
      <c r="J962" s="60" t="n"/>
      <c r="K962" s="60" t="n"/>
      <c r="L962" s="60" t="n"/>
      <c r="M962" s="61" t="n"/>
      <c r="N962" s="60" t="n"/>
      <c r="O962" s="60" t="n"/>
      <c r="P962" s="60" t="n"/>
      <c r="Q962" s="60" t="n"/>
      <c r="R962" s="60" t="n"/>
      <c r="S962" s="60" t="n"/>
      <c r="T962" s="60" t="n"/>
      <c r="U962" s="60" t="n"/>
      <c r="V962" s="60" t="n"/>
      <c r="W962" s="60" t="n"/>
      <c r="X962" s="60" t="n"/>
      <c r="Y962" s="60" t="n"/>
      <c r="Z962" s="61" t="n"/>
      <c r="AA962" s="63">
        <f>IF($H962="","",TODAY()-$H962)</f>
        <v/>
      </c>
      <c r="AB962" s="63">
        <f>IF($A962="","",IF(AND($F962="Yes",OR($U962="No",$U962="NOT FOUND")),"YES",""))</f>
        <v/>
      </c>
      <c r="AC962" s="66">
        <f>IF($A962="","",TRIM(IF(AND($P962=0,$L962&lt;&gt;"Yes"),"T0-NoSmartcard ","")&amp;IF(AND($J962&lt;&gt;"",$J962&gt;365),"StalePwd ","")&amp;IF($K962="Yes","PwdNeverExpires ","")&amp;IF(AND($S962&lt;&gt;"",$S962&lt;&gt;"None"),"Delegation ","")&amp;IF(AND($Q962=1,$O962="None"),"StaleAdminCount ","")&amp;IF(AND($F962="Yes",$H962=""),"NeverLoggedOn ","")))</f>
        <v/>
      </c>
      <c r="AD962" s="60" t="n"/>
      <c r="AE962" s="61" t="n"/>
      <c r="AF962" s="60" t="n"/>
      <c r="AG962" s="62" t="n"/>
      <c r="AH962" s="62" t="n"/>
      <c r="AI962" s="62" t="n"/>
      <c r="AJ962" s="60" t="n"/>
      <c r="AK962" s="61" t="n"/>
      <c r="AL962" s="63">
        <f>IF($A962="","",IF(AH962="","Not Enrolled",IF(TODAY()&gt;AH962,"Review Overdue",IF(AH962-TODAY()&lt;=30,"Review Due Soon","Active"))))</f>
        <v/>
      </c>
      <c r="AM962" s="63">
        <f>IF($A962="","",IF(AI962="","NOT REVIEWED",IF(TODAY()-AI962&gt;90,"OVERDUE",IF(TODAY()-AI962&gt;76,"Due Soon","Current"))))</f>
        <v/>
      </c>
    </row>
    <row r="963" ht="15" customHeight="1" s="39">
      <c r="A963" s="60" t="n"/>
      <c r="B963" s="60" t="n"/>
      <c r="C963" s="61" t="n"/>
      <c r="D963" s="61" t="n"/>
      <c r="E963" s="60" t="n"/>
      <c r="F963" s="60" t="n"/>
      <c r="G963" s="62" t="n"/>
      <c r="H963" s="62" t="n"/>
      <c r="I963" s="62" t="n"/>
      <c r="J963" s="60" t="n"/>
      <c r="K963" s="60" t="n"/>
      <c r="L963" s="60" t="n"/>
      <c r="M963" s="61" t="n"/>
      <c r="N963" s="60" t="n"/>
      <c r="O963" s="60" t="n"/>
      <c r="P963" s="60" t="n"/>
      <c r="Q963" s="60" t="n"/>
      <c r="R963" s="60" t="n"/>
      <c r="S963" s="60" t="n"/>
      <c r="T963" s="60" t="n"/>
      <c r="U963" s="60" t="n"/>
      <c r="V963" s="60" t="n"/>
      <c r="W963" s="60" t="n"/>
      <c r="X963" s="60" t="n"/>
      <c r="Y963" s="60" t="n"/>
      <c r="Z963" s="61" t="n"/>
      <c r="AA963" s="63">
        <f>IF($H963="","",TODAY()-$H963)</f>
        <v/>
      </c>
      <c r="AB963" s="63">
        <f>IF($A963="","",IF(AND($F963="Yes",OR($U963="No",$U963="NOT FOUND")),"YES",""))</f>
        <v/>
      </c>
      <c r="AC963" s="66">
        <f>IF($A963="","",TRIM(IF(AND($P963=0,$L963&lt;&gt;"Yes"),"T0-NoSmartcard ","")&amp;IF(AND($J963&lt;&gt;"",$J963&gt;365),"StalePwd ","")&amp;IF($K963="Yes","PwdNeverExpires ","")&amp;IF(AND($S963&lt;&gt;"",$S963&lt;&gt;"None"),"Delegation ","")&amp;IF(AND($Q963=1,$O963="None"),"StaleAdminCount ","")&amp;IF(AND($F963="Yes",$H963=""),"NeverLoggedOn ","")))</f>
        <v/>
      </c>
      <c r="AD963" s="60" t="n"/>
      <c r="AE963" s="61" t="n"/>
      <c r="AF963" s="60" t="n"/>
      <c r="AG963" s="62" t="n"/>
      <c r="AH963" s="62" t="n"/>
      <c r="AI963" s="62" t="n"/>
      <c r="AJ963" s="60" t="n"/>
      <c r="AK963" s="61" t="n"/>
      <c r="AL963" s="63">
        <f>IF($A963="","",IF(AH963="","Not Enrolled",IF(TODAY()&gt;AH963,"Review Overdue",IF(AH963-TODAY()&lt;=30,"Review Due Soon","Active"))))</f>
        <v/>
      </c>
      <c r="AM963" s="63">
        <f>IF($A963="","",IF(AI963="","NOT REVIEWED",IF(TODAY()-AI963&gt;90,"OVERDUE",IF(TODAY()-AI963&gt;76,"Due Soon","Current"))))</f>
        <v/>
      </c>
    </row>
    <row r="964" ht="15" customHeight="1" s="39">
      <c r="A964" s="60" t="n"/>
      <c r="B964" s="60" t="n"/>
      <c r="C964" s="61" t="n"/>
      <c r="D964" s="61" t="n"/>
      <c r="E964" s="60" t="n"/>
      <c r="F964" s="60" t="n"/>
      <c r="G964" s="62" t="n"/>
      <c r="H964" s="62" t="n"/>
      <c r="I964" s="62" t="n"/>
      <c r="J964" s="60" t="n"/>
      <c r="K964" s="60" t="n"/>
      <c r="L964" s="60" t="n"/>
      <c r="M964" s="61" t="n"/>
      <c r="N964" s="60" t="n"/>
      <c r="O964" s="60" t="n"/>
      <c r="P964" s="60" t="n"/>
      <c r="Q964" s="60" t="n"/>
      <c r="R964" s="60" t="n"/>
      <c r="S964" s="60" t="n"/>
      <c r="T964" s="60" t="n"/>
      <c r="U964" s="60" t="n"/>
      <c r="V964" s="60" t="n"/>
      <c r="W964" s="60" t="n"/>
      <c r="X964" s="60" t="n"/>
      <c r="Y964" s="60" t="n"/>
      <c r="Z964" s="61" t="n"/>
      <c r="AA964" s="63">
        <f>IF($H964="","",TODAY()-$H964)</f>
        <v/>
      </c>
      <c r="AB964" s="63">
        <f>IF($A964="","",IF(AND($F964="Yes",OR($U964="No",$U964="NOT FOUND")),"YES",""))</f>
        <v/>
      </c>
      <c r="AC964" s="66">
        <f>IF($A964="","",TRIM(IF(AND($P964=0,$L964&lt;&gt;"Yes"),"T0-NoSmartcard ","")&amp;IF(AND($J964&lt;&gt;"",$J964&gt;365),"StalePwd ","")&amp;IF($K964="Yes","PwdNeverExpires ","")&amp;IF(AND($S964&lt;&gt;"",$S964&lt;&gt;"None"),"Delegation ","")&amp;IF(AND($Q964=1,$O964="None"),"StaleAdminCount ","")&amp;IF(AND($F964="Yes",$H964=""),"NeverLoggedOn ","")))</f>
        <v/>
      </c>
      <c r="AD964" s="60" t="n"/>
      <c r="AE964" s="61" t="n"/>
      <c r="AF964" s="60" t="n"/>
      <c r="AG964" s="62" t="n"/>
      <c r="AH964" s="62" t="n"/>
      <c r="AI964" s="62" t="n"/>
      <c r="AJ964" s="60" t="n"/>
      <c r="AK964" s="61" t="n"/>
      <c r="AL964" s="63">
        <f>IF($A964="","",IF(AH964="","Not Enrolled",IF(TODAY()&gt;AH964,"Review Overdue",IF(AH964-TODAY()&lt;=30,"Review Due Soon","Active"))))</f>
        <v/>
      </c>
      <c r="AM964" s="63">
        <f>IF($A964="","",IF(AI964="","NOT REVIEWED",IF(TODAY()-AI964&gt;90,"OVERDUE",IF(TODAY()-AI964&gt;76,"Due Soon","Current"))))</f>
        <v/>
      </c>
    </row>
    <row r="965" ht="15" customHeight="1" s="39">
      <c r="A965" s="60" t="n"/>
      <c r="B965" s="60" t="n"/>
      <c r="C965" s="61" t="n"/>
      <c r="D965" s="61" t="n"/>
      <c r="E965" s="60" t="n"/>
      <c r="F965" s="60" t="n"/>
      <c r="G965" s="62" t="n"/>
      <c r="H965" s="62" t="n"/>
      <c r="I965" s="62" t="n"/>
      <c r="J965" s="60" t="n"/>
      <c r="K965" s="60" t="n"/>
      <c r="L965" s="60" t="n"/>
      <c r="M965" s="61" t="n"/>
      <c r="N965" s="60" t="n"/>
      <c r="O965" s="60" t="n"/>
      <c r="P965" s="60" t="n"/>
      <c r="Q965" s="60" t="n"/>
      <c r="R965" s="60" t="n"/>
      <c r="S965" s="60" t="n"/>
      <c r="T965" s="60" t="n"/>
      <c r="U965" s="60" t="n"/>
      <c r="V965" s="60" t="n"/>
      <c r="W965" s="60" t="n"/>
      <c r="X965" s="60" t="n"/>
      <c r="Y965" s="60" t="n"/>
      <c r="Z965" s="61" t="n"/>
      <c r="AA965" s="63">
        <f>IF($H965="","",TODAY()-$H965)</f>
        <v/>
      </c>
      <c r="AB965" s="63">
        <f>IF($A965="","",IF(AND($F965="Yes",OR($U965="No",$U965="NOT FOUND")),"YES",""))</f>
        <v/>
      </c>
      <c r="AC965" s="66">
        <f>IF($A965="","",TRIM(IF(AND($P965=0,$L965&lt;&gt;"Yes"),"T0-NoSmartcard ","")&amp;IF(AND($J965&lt;&gt;"",$J965&gt;365),"StalePwd ","")&amp;IF($K965="Yes","PwdNeverExpires ","")&amp;IF(AND($S965&lt;&gt;"",$S965&lt;&gt;"None"),"Delegation ","")&amp;IF(AND($Q965=1,$O965="None"),"StaleAdminCount ","")&amp;IF(AND($F965="Yes",$H965=""),"NeverLoggedOn ","")))</f>
        <v/>
      </c>
      <c r="AD965" s="60" t="n"/>
      <c r="AE965" s="61" t="n"/>
      <c r="AF965" s="60" t="n"/>
      <c r="AG965" s="62" t="n"/>
      <c r="AH965" s="62" t="n"/>
      <c r="AI965" s="62" t="n"/>
      <c r="AJ965" s="60" t="n"/>
      <c r="AK965" s="61" t="n"/>
      <c r="AL965" s="63">
        <f>IF($A965="","",IF(AH965="","Not Enrolled",IF(TODAY()&gt;AH965,"Review Overdue",IF(AH965-TODAY()&lt;=30,"Review Due Soon","Active"))))</f>
        <v/>
      </c>
      <c r="AM965" s="63">
        <f>IF($A965="","",IF(AI965="","NOT REVIEWED",IF(TODAY()-AI965&gt;90,"OVERDUE",IF(TODAY()-AI965&gt;76,"Due Soon","Current"))))</f>
        <v/>
      </c>
    </row>
    <row r="966" ht="15" customHeight="1" s="39">
      <c r="A966" s="60" t="n"/>
      <c r="B966" s="60" t="n"/>
      <c r="C966" s="61" t="n"/>
      <c r="D966" s="61" t="n"/>
      <c r="E966" s="60" t="n"/>
      <c r="F966" s="60" t="n"/>
      <c r="G966" s="62" t="n"/>
      <c r="H966" s="62" t="n"/>
      <c r="I966" s="62" t="n"/>
      <c r="J966" s="60" t="n"/>
      <c r="K966" s="60" t="n"/>
      <c r="L966" s="60" t="n"/>
      <c r="M966" s="61" t="n"/>
      <c r="N966" s="60" t="n"/>
      <c r="O966" s="60" t="n"/>
      <c r="P966" s="60" t="n"/>
      <c r="Q966" s="60" t="n"/>
      <c r="R966" s="60" t="n"/>
      <c r="S966" s="60" t="n"/>
      <c r="T966" s="60" t="n"/>
      <c r="U966" s="60" t="n"/>
      <c r="V966" s="60" t="n"/>
      <c r="W966" s="60" t="n"/>
      <c r="X966" s="60" t="n"/>
      <c r="Y966" s="60" t="n"/>
      <c r="Z966" s="61" t="n"/>
      <c r="AA966" s="63">
        <f>IF($H966="","",TODAY()-$H966)</f>
        <v/>
      </c>
      <c r="AB966" s="63">
        <f>IF($A966="","",IF(AND($F966="Yes",OR($U966="No",$U966="NOT FOUND")),"YES",""))</f>
        <v/>
      </c>
      <c r="AC966" s="66">
        <f>IF($A966="","",TRIM(IF(AND($P966=0,$L966&lt;&gt;"Yes"),"T0-NoSmartcard ","")&amp;IF(AND($J966&lt;&gt;"",$J966&gt;365),"StalePwd ","")&amp;IF($K966="Yes","PwdNeverExpires ","")&amp;IF(AND($S966&lt;&gt;"",$S966&lt;&gt;"None"),"Delegation ","")&amp;IF(AND($Q966=1,$O966="None"),"StaleAdminCount ","")&amp;IF(AND($F966="Yes",$H966=""),"NeverLoggedOn ","")))</f>
        <v/>
      </c>
      <c r="AD966" s="60" t="n"/>
      <c r="AE966" s="61" t="n"/>
      <c r="AF966" s="60" t="n"/>
      <c r="AG966" s="62" t="n"/>
      <c r="AH966" s="62" t="n"/>
      <c r="AI966" s="62" t="n"/>
      <c r="AJ966" s="60" t="n"/>
      <c r="AK966" s="61" t="n"/>
      <c r="AL966" s="63">
        <f>IF($A966="","",IF(AH966="","Not Enrolled",IF(TODAY()&gt;AH966,"Review Overdue",IF(AH966-TODAY()&lt;=30,"Review Due Soon","Active"))))</f>
        <v/>
      </c>
      <c r="AM966" s="63">
        <f>IF($A966="","",IF(AI966="","NOT REVIEWED",IF(TODAY()-AI966&gt;90,"OVERDUE",IF(TODAY()-AI966&gt;76,"Due Soon","Current"))))</f>
        <v/>
      </c>
    </row>
    <row r="967" ht="15" customHeight="1" s="39">
      <c r="A967" s="60" t="n"/>
      <c r="B967" s="60" t="n"/>
      <c r="C967" s="61" t="n"/>
      <c r="D967" s="61" t="n"/>
      <c r="E967" s="60" t="n"/>
      <c r="F967" s="60" t="n"/>
      <c r="G967" s="62" t="n"/>
      <c r="H967" s="62" t="n"/>
      <c r="I967" s="62" t="n"/>
      <c r="J967" s="60" t="n"/>
      <c r="K967" s="60" t="n"/>
      <c r="L967" s="60" t="n"/>
      <c r="M967" s="61" t="n"/>
      <c r="N967" s="60" t="n"/>
      <c r="O967" s="60" t="n"/>
      <c r="P967" s="60" t="n"/>
      <c r="Q967" s="60" t="n"/>
      <c r="R967" s="60" t="n"/>
      <c r="S967" s="60" t="n"/>
      <c r="T967" s="60" t="n"/>
      <c r="U967" s="60" t="n"/>
      <c r="V967" s="60" t="n"/>
      <c r="W967" s="60" t="n"/>
      <c r="X967" s="60" t="n"/>
      <c r="Y967" s="60" t="n"/>
      <c r="Z967" s="61" t="n"/>
      <c r="AA967" s="63">
        <f>IF($H967="","",TODAY()-$H967)</f>
        <v/>
      </c>
      <c r="AB967" s="63">
        <f>IF($A967="","",IF(AND($F967="Yes",OR($U967="No",$U967="NOT FOUND")),"YES",""))</f>
        <v/>
      </c>
      <c r="AC967" s="66">
        <f>IF($A967="","",TRIM(IF(AND($P967=0,$L967&lt;&gt;"Yes"),"T0-NoSmartcard ","")&amp;IF(AND($J967&lt;&gt;"",$J967&gt;365),"StalePwd ","")&amp;IF($K967="Yes","PwdNeverExpires ","")&amp;IF(AND($S967&lt;&gt;"",$S967&lt;&gt;"None"),"Delegation ","")&amp;IF(AND($Q967=1,$O967="None"),"StaleAdminCount ","")&amp;IF(AND($F967="Yes",$H967=""),"NeverLoggedOn ","")))</f>
        <v/>
      </c>
      <c r="AD967" s="60" t="n"/>
      <c r="AE967" s="61" t="n"/>
      <c r="AF967" s="60" t="n"/>
      <c r="AG967" s="62" t="n"/>
      <c r="AH967" s="62" t="n"/>
      <c r="AI967" s="62" t="n"/>
      <c r="AJ967" s="60" t="n"/>
      <c r="AK967" s="61" t="n"/>
      <c r="AL967" s="63">
        <f>IF($A967="","",IF(AH967="","Not Enrolled",IF(TODAY()&gt;AH967,"Review Overdue",IF(AH967-TODAY()&lt;=30,"Review Due Soon","Active"))))</f>
        <v/>
      </c>
      <c r="AM967" s="63">
        <f>IF($A967="","",IF(AI967="","NOT REVIEWED",IF(TODAY()-AI967&gt;90,"OVERDUE",IF(TODAY()-AI967&gt;76,"Due Soon","Current"))))</f>
        <v/>
      </c>
    </row>
    <row r="968" ht="15" customHeight="1" s="39">
      <c r="A968" s="60" t="n"/>
      <c r="B968" s="60" t="n"/>
      <c r="C968" s="61" t="n"/>
      <c r="D968" s="61" t="n"/>
      <c r="E968" s="60" t="n"/>
      <c r="F968" s="60" t="n"/>
      <c r="G968" s="62" t="n"/>
      <c r="H968" s="62" t="n"/>
      <c r="I968" s="62" t="n"/>
      <c r="J968" s="60" t="n"/>
      <c r="K968" s="60" t="n"/>
      <c r="L968" s="60" t="n"/>
      <c r="M968" s="61" t="n"/>
      <c r="N968" s="60" t="n"/>
      <c r="O968" s="60" t="n"/>
      <c r="P968" s="60" t="n"/>
      <c r="Q968" s="60" t="n"/>
      <c r="R968" s="60" t="n"/>
      <c r="S968" s="60" t="n"/>
      <c r="T968" s="60" t="n"/>
      <c r="U968" s="60" t="n"/>
      <c r="V968" s="60" t="n"/>
      <c r="W968" s="60" t="n"/>
      <c r="X968" s="60" t="n"/>
      <c r="Y968" s="60" t="n"/>
      <c r="Z968" s="61" t="n"/>
      <c r="AA968" s="63">
        <f>IF($H968="","",TODAY()-$H968)</f>
        <v/>
      </c>
      <c r="AB968" s="63">
        <f>IF($A968="","",IF(AND($F968="Yes",OR($U968="No",$U968="NOT FOUND")),"YES",""))</f>
        <v/>
      </c>
      <c r="AC968" s="66">
        <f>IF($A968="","",TRIM(IF(AND($P968=0,$L968&lt;&gt;"Yes"),"T0-NoSmartcard ","")&amp;IF(AND($J968&lt;&gt;"",$J968&gt;365),"StalePwd ","")&amp;IF($K968="Yes","PwdNeverExpires ","")&amp;IF(AND($S968&lt;&gt;"",$S968&lt;&gt;"None"),"Delegation ","")&amp;IF(AND($Q968=1,$O968="None"),"StaleAdminCount ","")&amp;IF(AND($F968="Yes",$H968=""),"NeverLoggedOn ","")))</f>
        <v/>
      </c>
      <c r="AD968" s="60" t="n"/>
      <c r="AE968" s="61" t="n"/>
      <c r="AF968" s="60" t="n"/>
      <c r="AG968" s="62" t="n"/>
      <c r="AH968" s="62" t="n"/>
      <c r="AI968" s="62" t="n"/>
      <c r="AJ968" s="60" t="n"/>
      <c r="AK968" s="61" t="n"/>
      <c r="AL968" s="63">
        <f>IF($A968="","",IF(AH968="","Not Enrolled",IF(TODAY()&gt;AH968,"Review Overdue",IF(AH968-TODAY()&lt;=30,"Review Due Soon","Active"))))</f>
        <v/>
      </c>
      <c r="AM968" s="63">
        <f>IF($A968="","",IF(AI968="","NOT REVIEWED",IF(TODAY()-AI968&gt;90,"OVERDUE",IF(TODAY()-AI968&gt;76,"Due Soon","Current"))))</f>
        <v/>
      </c>
    </row>
    <row r="969" ht="15" customHeight="1" s="39">
      <c r="A969" s="60" t="n"/>
      <c r="B969" s="60" t="n"/>
      <c r="C969" s="61" t="n"/>
      <c r="D969" s="61" t="n"/>
      <c r="E969" s="60" t="n"/>
      <c r="F969" s="60" t="n"/>
      <c r="G969" s="62" t="n"/>
      <c r="H969" s="62" t="n"/>
      <c r="I969" s="62" t="n"/>
      <c r="J969" s="60" t="n"/>
      <c r="K969" s="60" t="n"/>
      <c r="L969" s="60" t="n"/>
      <c r="M969" s="61" t="n"/>
      <c r="N969" s="60" t="n"/>
      <c r="O969" s="60" t="n"/>
      <c r="P969" s="60" t="n"/>
      <c r="Q969" s="60" t="n"/>
      <c r="R969" s="60" t="n"/>
      <c r="S969" s="60" t="n"/>
      <c r="T969" s="60" t="n"/>
      <c r="U969" s="60" t="n"/>
      <c r="V969" s="60" t="n"/>
      <c r="W969" s="60" t="n"/>
      <c r="X969" s="60" t="n"/>
      <c r="Y969" s="60" t="n"/>
      <c r="Z969" s="61" t="n"/>
      <c r="AA969" s="63">
        <f>IF($H969="","",TODAY()-$H969)</f>
        <v/>
      </c>
      <c r="AB969" s="63">
        <f>IF($A969="","",IF(AND($F969="Yes",OR($U969="No",$U969="NOT FOUND")),"YES",""))</f>
        <v/>
      </c>
      <c r="AC969" s="66">
        <f>IF($A969="","",TRIM(IF(AND($P969=0,$L969&lt;&gt;"Yes"),"T0-NoSmartcard ","")&amp;IF(AND($J969&lt;&gt;"",$J969&gt;365),"StalePwd ","")&amp;IF($K969="Yes","PwdNeverExpires ","")&amp;IF(AND($S969&lt;&gt;"",$S969&lt;&gt;"None"),"Delegation ","")&amp;IF(AND($Q969=1,$O969="None"),"StaleAdminCount ","")&amp;IF(AND($F969="Yes",$H969=""),"NeverLoggedOn ","")))</f>
        <v/>
      </c>
      <c r="AD969" s="60" t="n"/>
      <c r="AE969" s="61" t="n"/>
      <c r="AF969" s="60" t="n"/>
      <c r="AG969" s="62" t="n"/>
      <c r="AH969" s="62" t="n"/>
      <c r="AI969" s="62" t="n"/>
      <c r="AJ969" s="60" t="n"/>
      <c r="AK969" s="61" t="n"/>
      <c r="AL969" s="63">
        <f>IF($A969="","",IF(AH969="","Not Enrolled",IF(TODAY()&gt;AH969,"Review Overdue",IF(AH969-TODAY()&lt;=30,"Review Due Soon","Active"))))</f>
        <v/>
      </c>
      <c r="AM969" s="63">
        <f>IF($A969="","",IF(AI969="","NOT REVIEWED",IF(TODAY()-AI969&gt;90,"OVERDUE",IF(TODAY()-AI969&gt;76,"Due Soon","Current"))))</f>
        <v/>
      </c>
    </row>
    <row r="970" ht="15" customHeight="1" s="39">
      <c r="A970" s="60" t="n"/>
      <c r="B970" s="60" t="n"/>
      <c r="C970" s="61" t="n"/>
      <c r="D970" s="61" t="n"/>
      <c r="E970" s="60" t="n"/>
      <c r="F970" s="60" t="n"/>
      <c r="G970" s="62" t="n"/>
      <c r="H970" s="62" t="n"/>
      <c r="I970" s="62" t="n"/>
      <c r="J970" s="60" t="n"/>
      <c r="K970" s="60" t="n"/>
      <c r="L970" s="60" t="n"/>
      <c r="M970" s="61" t="n"/>
      <c r="N970" s="60" t="n"/>
      <c r="O970" s="60" t="n"/>
      <c r="P970" s="60" t="n"/>
      <c r="Q970" s="60" t="n"/>
      <c r="R970" s="60" t="n"/>
      <c r="S970" s="60" t="n"/>
      <c r="T970" s="60" t="n"/>
      <c r="U970" s="60" t="n"/>
      <c r="V970" s="60" t="n"/>
      <c r="W970" s="60" t="n"/>
      <c r="X970" s="60" t="n"/>
      <c r="Y970" s="60" t="n"/>
      <c r="Z970" s="61" t="n"/>
      <c r="AA970" s="63">
        <f>IF($H970="","",TODAY()-$H970)</f>
        <v/>
      </c>
      <c r="AB970" s="63">
        <f>IF($A970="","",IF(AND($F970="Yes",OR($U970="No",$U970="NOT FOUND")),"YES",""))</f>
        <v/>
      </c>
      <c r="AC970" s="66">
        <f>IF($A970="","",TRIM(IF(AND($P970=0,$L970&lt;&gt;"Yes"),"T0-NoSmartcard ","")&amp;IF(AND($J970&lt;&gt;"",$J970&gt;365),"StalePwd ","")&amp;IF($K970="Yes","PwdNeverExpires ","")&amp;IF(AND($S970&lt;&gt;"",$S970&lt;&gt;"None"),"Delegation ","")&amp;IF(AND($Q970=1,$O970="None"),"StaleAdminCount ","")&amp;IF(AND($F970="Yes",$H970=""),"NeverLoggedOn ","")))</f>
        <v/>
      </c>
      <c r="AD970" s="60" t="n"/>
      <c r="AE970" s="61" t="n"/>
      <c r="AF970" s="60" t="n"/>
      <c r="AG970" s="62" t="n"/>
      <c r="AH970" s="62" t="n"/>
      <c r="AI970" s="62" t="n"/>
      <c r="AJ970" s="60" t="n"/>
      <c r="AK970" s="61" t="n"/>
      <c r="AL970" s="63">
        <f>IF($A970="","",IF(AH970="","Not Enrolled",IF(TODAY()&gt;AH970,"Review Overdue",IF(AH970-TODAY()&lt;=30,"Review Due Soon","Active"))))</f>
        <v/>
      </c>
      <c r="AM970" s="63">
        <f>IF($A970="","",IF(AI970="","NOT REVIEWED",IF(TODAY()-AI970&gt;90,"OVERDUE",IF(TODAY()-AI970&gt;76,"Due Soon","Current"))))</f>
        <v/>
      </c>
    </row>
    <row r="971" ht="15" customHeight="1" s="39">
      <c r="A971" s="60" t="n"/>
      <c r="B971" s="60" t="n"/>
      <c r="C971" s="61" t="n"/>
      <c r="D971" s="61" t="n"/>
      <c r="E971" s="60" t="n"/>
      <c r="F971" s="60" t="n"/>
      <c r="G971" s="62" t="n"/>
      <c r="H971" s="62" t="n"/>
      <c r="I971" s="62" t="n"/>
      <c r="J971" s="60" t="n"/>
      <c r="K971" s="60" t="n"/>
      <c r="L971" s="60" t="n"/>
      <c r="M971" s="61" t="n"/>
      <c r="N971" s="60" t="n"/>
      <c r="O971" s="60" t="n"/>
      <c r="P971" s="60" t="n"/>
      <c r="Q971" s="60" t="n"/>
      <c r="R971" s="60" t="n"/>
      <c r="S971" s="60" t="n"/>
      <c r="T971" s="60" t="n"/>
      <c r="U971" s="60" t="n"/>
      <c r="V971" s="60" t="n"/>
      <c r="W971" s="60" t="n"/>
      <c r="X971" s="60" t="n"/>
      <c r="Y971" s="60" t="n"/>
      <c r="Z971" s="61" t="n"/>
      <c r="AA971" s="63">
        <f>IF($H971="","",TODAY()-$H971)</f>
        <v/>
      </c>
      <c r="AB971" s="63">
        <f>IF($A971="","",IF(AND($F971="Yes",OR($U971="No",$U971="NOT FOUND")),"YES",""))</f>
        <v/>
      </c>
      <c r="AC971" s="66">
        <f>IF($A971="","",TRIM(IF(AND($P971=0,$L971&lt;&gt;"Yes"),"T0-NoSmartcard ","")&amp;IF(AND($J971&lt;&gt;"",$J971&gt;365),"StalePwd ","")&amp;IF($K971="Yes","PwdNeverExpires ","")&amp;IF(AND($S971&lt;&gt;"",$S971&lt;&gt;"None"),"Delegation ","")&amp;IF(AND($Q971=1,$O971="None"),"StaleAdminCount ","")&amp;IF(AND($F971="Yes",$H971=""),"NeverLoggedOn ","")))</f>
        <v/>
      </c>
      <c r="AD971" s="60" t="n"/>
      <c r="AE971" s="61" t="n"/>
      <c r="AF971" s="60" t="n"/>
      <c r="AG971" s="62" t="n"/>
      <c r="AH971" s="62" t="n"/>
      <c r="AI971" s="62" t="n"/>
      <c r="AJ971" s="60" t="n"/>
      <c r="AK971" s="61" t="n"/>
      <c r="AL971" s="63">
        <f>IF($A971="","",IF(AH971="","Not Enrolled",IF(TODAY()&gt;AH971,"Review Overdue",IF(AH971-TODAY()&lt;=30,"Review Due Soon","Active"))))</f>
        <v/>
      </c>
      <c r="AM971" s="63">
        <f>IF($A971="","",IF(AI971="","NOT REVIEWED",IF(TODAY()-AI971&gt;90,"OVERDUE",IF(TODAY()-AI971&gt;76,"Due Soon","Current"))))</f>
        <v/>
      </c>
    </row>
    <row r="972" ht="15" customHeight="1" s="39">
      <c r="A972" s="60" t="n"/>
      <c r="B972" s="60" t="n"/>
      <c r="C972" s="61" t="n"/>
      <c r="D972" s="61" t="n"/>
      <c r="E972" s="60" t="n"/>
      <c r="F972" s="60" t="n"/>
      <c r="G972" s="62" t="n"/>
      <c r="H972" s="62" t="n"/>
      <c r="I972" s="62" t="n"/>
      <c r="J972" s="60" t="n"/>
      <c r="K972" s="60" t="n"/>
      <c r="L972" s="60" t="n"/>
      <c r="M972" s="61" t="n"/>
      <c r="N972" s="60" t="n"/>
      <c r="O972" s="60" t="n"/>
      <c r="P972" s="60" t="n"/>
      <c r="Q972" s="60" t="n"/>
      <c r="R972" s="60" t="n"/>
      <c r="S972" s="60" t="n"/>
      <c r="T972" s="60" t="n"/>
      <c r="U972" s="60" t="n"/>
      <c r="V972" s="60" t="n"/>
      <c r="W972" s="60" t="n"/>
      <c r="X972" s="60" t="n"/>
      <c r="Y972" s="60" t="n"/>
      <c r="Z972" s="61" t="n"/>
      <c r="AA972" s="63">
        <f>IF($H972="","",TODAY()-$H972)</f>
        <v/>
      </c>
      <c r="AB972" s="63">
        <f>IF($A972="","",IF(AND($F972="Yes",OR($U972="No",$U972="NOT FOUND")),"YES",""))</f>
        <v/>
      </c>
      <c r="AC972" s="66">
        <f>IF($A972="","",TRIM(IF(AND($P972=0,$L972&lt;&gt;"Yes"),"T0-NoSmartcard ","")&amp;IF(AND($J972&lt;&gt;"",$J972&gt;365),"StalePwd ","")&amp;IF($K972="Yes","PwdNeverExpires ","")&amp;IF(AND($S972&lt;&gt;"",$S972&lt;&gt;"None"),"Delegation ","")&amp;IF(AND($Q972=1,$O972="None"),"StaleAdminCount ","")&amp;IF(AND($F972="Yes",$H972=""),"NeverLoggedOn ","")))</f>
        <v/>
      </c>
      <c r="AD972" s="60" t="n"/>
      <c r="AE972" s="61" t="n"/>
      <c r="AF972" s="60" t="n"/>
      <c r="AG972" s="62" t="n"/>
      <c r="AH972" s="62" t="n"/>
      <c r="AI972" s="62" t="n"/>
      <c r="AJ972" s="60" t="n"/>
      <c r="AK972" s="61" t="n"/>
      <c r="AL972" s="63">
        <f>IF($A972="","",IF(AH972="","Not Enrolled",IF(TODAY()&gt;AH972,"Review Overdue",IF(AH972-TODAY()&lt;=30,"Review Due Soon","Active"))))</f>
        <v/>
      </c>
      <c r="AM972" s="63">
        <f>IF($A972="","",IF(AI972="","NOT REVIEWED",IF(TODAY()-AI972&gt;90,"OVERDUE",IF(TODAY()-AI972&gt;76,"Due Soon","Current"))))</f>
        <v/>
      </c>
    </row>
    <row r="973" ht="15" customHeight="1" s="39">
      <c r="A973" s="60" t="n"/>
      <c r="B973" s="60" t="n"/>
      <c r="C973" s="61" t="n"/>
      <c r="D973" s="61" t="n"/>
      <c r="E973" s="60" t="n"/>
      <c r="F973" s="60" t="n"/>
      <c r="G973" s="62" t="n"/>
      <c r="H973" s="62" t="n"/>
      <c r="I973" s="62" t="n"/>
      <c r="J973" s="60" t="n"/>
      <c r="K973" s="60" t="n"/>
      <c r="L973" s="60" t="n"/>
      <c r="M973" s="61" t="n"/>
      <c r="N973" s="60" t="n"/>
      <c r="O973" s="60" t="n"/>
      <c r="P973" s="60" t="n"/>
      <c r="Q973" s="60" t="n"/>
      <c r="R973" s="60" t="n"/>
      <c r="S973" s="60" t="n"/>
      <c r="T973" s="60" t="n"/>
      <c r="U973" s="60" t="n"/>
      <c r="V973" s="60" t="n"/>
      <c r="W973" s="60" t="n"/>
      <c r="X973" s="60" t="n"/>
      <c r="Y973" s="60" t="n"/>
      <c r="Z973" s="61" t="n"/>
      <c r="AA973" s="63">
        <f>IF($H973="","",TODAY()-$H973)</f>
        <v/>
      </c>
      <c r="AB973" s="63">
        <f>IF($A973="","",IF(AND($F973="Yes",OR($U973="No",$U973="NOT FOUND")),"YES",""))</f>
        <v/>
      </c>
      <c r="AC973" s="66">
        <f>IF($A973="","",TRIM(IF(AND($P973=0,$L973&lt;&gt;"Yes"),"T0-NoSmartcard ","")&amp;IF(AND($J973&lt;&gt;"",$J973&gt;365),"StalePwd ","")&amp;IF($K973="Yes","PwdNeverExpires ","")&amp;IF(AND($S973&lt;&gt;"",$S973&lt;&gt;"None"),"Delegation ","")&amp;IF(AND($Q973=1,$O973="None"),"StaleAdminCount ","")&amp;IF(AND($F973="Yes",$H973=""),"NeverLoggedOn ","")))</f>
        <v/>
      </c>
      <c r="AD973" s="60" t="n"/>
      <c r="AE973" s="61" t="n"/>
      <c r="AF973" s="60" t="n"/>
      <c r="AG973" s="62" t="n"/>
      <c r="AH973" s="62" t="n"/>
      <c r="AI973" s="62" t="n"/>
      <c r="AJ973" s="60" t="n"/>
      <c r="AK973" s="61" t="n"/>
      <c r="AL973" s="63">
        <f>IF($A973="","",IF(AH973="","Not Enrolled",IF(TODAY()&gt;AH973,"Review Overdue",IF(AH973-TODAY()&lt;=30,"Review Due Soon","Active"))))</f>
        <v/>
      </c>
      <c r="AM973" s="63">
        <f>IF($A973="","",IF(AI973="","NOT REVIEWED",IF(TODAY()-AI973&gt;90,"OVERDUE",IF(TODAY()-AI973&gt;76,"Due Soon","Current"))))</f>
        <v/>
      </c>
    </row>
    <row r="974" ht="15" customHeight="1" s="39">
      <c r="A974" s="60" t="n"/>
      <c r="B974" s="60" t="n"/>
      <c r="C974" s="61" t="n"/>
      <c r="D974" s="61" t="n"/>
      <c r="E974" s="60" t="n"/>
      <c r="F974" s="60" t="n"/>
      <c r="G974" s="62" t="n"/>
      <c r="H974" s="62" t="n"/>
      <c r="I974" s="62" t="n"/>
      <c r="J974" s="60" t="n"/>
      <c r="K974" s="60" t="n"/>
      <c r="L974" s="60" t="n"/>
      <c r="M974" s="61" t="n"/>
      <c r="N974" s="60" t="n"/>
      <c r="O974" s="60" t="n"/>
      <c r="P974" s="60" t="n"/>
      <c r="Q974" s="60" t="n"/>
      <c r="R974" s="60" t="n"/>
      <c r="S974" s="60" t="n"/>
      <c r="T974" s="60" t="n"/>
      <c r="U974" s="60" t="n"/>
      <c r="V974" s="60" t="n"/>
      <c r="W974" s="60" t="n"/>
      <c r="X974" s="60" t="n"/>
      <c r="Y974" s="60" t="n"/>
      <c r="Z974" s="61" t="n"/>
      <c r="AA974" s="63">
        <f>IF($H974="","",TODAY()-$H974)</f>
        <v/>
      </c>
      <c r="AB974" s="63">
        <f>IF($A974="","",IF(AND($F974="Yes",OR($U974="No",$U974="NOT FOUND")),"YES",""))</f>
        <v/>
      </c>
      <c r="AC974" s="66">
        <f>IF($A974="","",TRIM(IF(AND($P974=0,$L974&lt;&gt;"Yes"),"T0-NoSmartcard ","")&amp;IF(AND($J974&lt;&gt;"",$J974&gt;365),"StalePwd ","")&amp;IF($K974="Yes","PwdNeverExpires ","")&amp;IF(AND($S974&lt;&gt;"",$S974&lt;&gt;"None"),"Delegation ","")&amp;IF(AND($Q974=1,$O974="None"),"StaleAdminCount ","")&amp;IF(AND($F974="Yes",$H974=""),"NeverLoggedOn ","")))</f>
        <v/>
      </c>
      <c r="AD974" s="60" t="n"/>
      <c r="AE974" s="61" t="n"/>
      <c r="AF974" s="60" t="n"/>
      <c r="AG974" s="62" t="n"/>
      <c r="AH974" s="62" t="n"/>
      <c r="AI974" s="62" t="n"/>
      <c r="AJ974" s="60" t="n"/>
      <c r="AK974" s="61" t="n"/>
      <c r="AL974" s="63">
        <f>IF($A974="","",IF(AH974="","Not Enrolled",IF(TODAY()&gt;AH974,"Review Overdue",IF(AH974-TODAY()&lt;=30,"Review Due Soon","Active"))))</f>
        <v/>
      </c>
      <c r="AM974" s="63">
        <f>IF($A974="","",IF(AI974="","NOT REVIEWED",IF(TODAY()-AI974&gt;90,"OVERDUE",IF(TODAY()-AI974&gt;76,"Due Soon","Current"))))</f>
        <v/>
      </c>
    </row>
    <row r="975" ht="15" customHeight="1" s="39">
      <c r="A975" s="60" t="n"/>
      <c r="B975" s="60" t="n"/>
      <c r="C975" s="61" t="n"/>
      <c r="D975" s="61" t="n"/>
      <c r="E975" s="60" t="n"/>
      <c r="F975" s="60" t="n"/>
      <c r="G975" s="62" t="n"/>
      <c r="H975" s="62" t="n"/>
      <c r="I975" s="62" t="n"/>
      <c r="J975" s="60" t="n"/>
      <c r="K975" s="60" t="n"/>
      <c r="L975" s="60" t="n"/>
      <c r="M975" s="61" t="n"/>
      <c r="N975" s="60" t="n"/>
      <c r="O975" s="60" t="n"/>
      <c r="P975" s="60" t="n"/>
      <c r="Q975" s="60" t="n"/>
      <c r="R975" s="60" t="n"/>
      <c r="S975" s="60" t="n"/>
      <c r="T975" s="60" t="n"/>
      <c r="U975" s="60" t="n"/>
      <c r="V975" s="60" t="n"/>
      <c r="W975" s="60" t="n"/>
      <c r="X975" s="60" t="n"/>
      <c r="Y975" s="60" t="n"/>
      <c r="Z975" s="61" t="n"/>
      <c r="AA975" s="63">
        <f>IF($H975="","",TODAY()-$H975)</f>
        <v/>
      </c>
      <c r="AB975" s="63">
        <f>IF($A975="","",IF(AND($F975="Yes",OR($U975="No",$U975="NOT FOUND")),"YES",""))</f>
        <v/>
      </c>
      <c r="AC975" s="66">
        <f>IF($A975="","",TRIM(IF(AND($P975=0,$L975&lt;&gt;"Yes"),"T0-NoSmartcard ","")&amp;IF(AND($J975&lt;&gt;"",$J975&gt;365),"StalePwd ","")&amp;IF($K975="Yes","PwdNeverExpires ","")&amp;IF(AND($S975&lt;&gt;"",$S975&lt;&gt;"None"),"Delegation ","")&amp;IF(AND($Q975=1,$O975="None"),"StaleAdminCount ","")&amp;IF(AND($F975="Yes",$H975=""),"NeverLoggedOn ","")))</f>
        <v/>
      </c>
      <c r="AD975" s="60" t="n"/>
      <c r="AE975" s="61" t="n"/>
      <c r="AF975" s="60" t="n"/>
      <c r="AG975" s="62" t="n"/>
      <c r="AH975" s="62" t="n"/>
      <c r="AI975" s="62" t="n"/>
      <c r="AJ975" s="60" t="n"/>
      <c r="AK975" s="61" t="n"/>
      <c r="AL975" s="63">
        <f>IF($A975="","",IF(AH975="","Not Enrolled",IF(TODAY()&gt;AH975,"Review Overdue",IF(AH975-TODAY()&lt;=30,"Review Due Soon","Active"))))</f>
        <v/>
      </c>
      <c r="AM975" s="63">
        <f>IF($A975="","",IF(AI975="","NOT REVIEWED",IF(TODAY()-AI975&gt;90,"OVERDUE",IF(TODAY()-AI975&gt;76,"Due Soon","Current"))))</f>
        <v/>
      </c>
    </row>
    <row r="976" ht="15" customHeight="1" s="39">
      <c r="A976" s="60" t="n"/>
      <c r="B976" s="60" t="n"/>
      <c r="C976" s="61" t="n"/>
      <c r="D976" s="61" t="n"/>
      <c r="E976" s="60" t="n"/>
      <c r="F976" s="60" t="n"/>
      <c r="G976" s="62" t="n"/>
      <c r="H976" s="62" t="n"/>
      <c r="I976" s="62" t="n"/>
      <c r="J976" s="60" t="n"/>
      <c r="K976" s="60" t="n"/>
      <c r="L976" s="60" t="n"/>
      <c r="M976" s="61" t="n"/>
      <c r="N976" s="60" t="n"/>
      <c r="O976" s="60" t="n"/>
      <c r="P976" s="60" t="n"/>
      <c r="Q976" s="60" t="n"/>
      <c r="R976" s="60" t="n"/>
      <c r="S976" s="60" t="n"/>
      <c r="T976" s="60" t="n"/>
      <c r="U976" s="60" t="n"/>
      <c r="V976" s="60" t="n"/>
      <c r="W976" s="60" t="n"/>
      <c r="X976" s="60" t="n"/>
      <c r="Y976" s="60" t="n"/>
      <c r="Z976" s="61" t="n"/>
      <c r="AA976" s="63">
        <f>IF($H976="","",TODAY()-$H976)</f>
        <v/>
      </c>
      <c r="AB976" s="63">
        <f>IF($A976="","",IF(AND($F976="Yes",OR($U976="No",$U976="NOT FOUND")),"YES",""))</f>
        <v/>
      </c>
      <c r="AC976" s="66">
        <f>IF($A976="","",TRIM(IF(AND($P976=0,$L976&lt;&gt;"Yes"),"T0-NoSmartcard ","")&amp;IF(AND($J976&lt;&gt;"",$J976&gt;365),"StalePwd ","")&amp;IF($K976="Yes","PwdNeverExpires ","")&amp;IF(AND($S976&lt;&gt;"",$S976&lt;&gt;"None"),"Delegation ","")&amp;IF(AND($Q976=1,$O976="None"),"StaleAdminCount ","")&amp;IF(AND($F976="Yes",$H976=""),"NeverLoggedOn ","")))</f>
        <v/>
      </c>
      <c r="AD976" s="60" t="n"/>
      <c r="AE976" s="61" t="n"/>
      <c r="AF976" s="60" t="n"/>
      <c r="AG976" s="62" t="n"/>
      <c r="AH976" s="62" t="n"/>
      <c r="AI976" s="62" t="n"/>
      <c r="AJ976" s="60" t="n"/>
      <c r="AK976" s="61" t="n"/>
      <c r="AL976" s="63">
        <f>IF($A976="","",IF(AH976="","Not Enrolled",IF(TODAY()&gt;AH976,"Review Overdue",IF(AH976-TODAY()&lt;=30,"Review Due Soon","Active"))))</f>
        <v/>
      </c>
      <c r="AM976" s="63">
        <f>IF($A976="","",IF(AI976="","NOT REVIEWED",IF(TODAY()-AI976&gt;90,"OVERDUE",IF(TODAY()-AI976&gt;76,"Due Soon","Current"))))</f>
        <v/>
      </c>
    </row>
    <row r="977" ht="15" customHeight="1" s="39">
      <c r="A977" s="60" t="n"/>
      <c r="B977" s="60" t="n"/>
      <c r="C977" s="61" t="n"/>
      <c r="D977" s="61" t="n"/>
      <c r="E977" s="60" t="n"/>
      <c r="F977" s="60" t="n"/>
      <c r="G977" s="62" t="n"/>
      <c r="H977" s="62" t="n"/>
      <c r="I977" s="62" t="n"/>
      <c r="J977" s="60" t="n"/>
      <c r="K977" s="60" t="n"/>
      <c r="L977" s="60" t="n"/>
      <c r="M977" s="61" t="n"/>
      <c r="N977" s="60" t="n"/>
      <c r="O977" s="60" t="n"/>
      <c r="P977" s="60" t="n"/>
      <c r="Q977" s="60" t="n"/>
      <c r="R977" s="60" t="n"/>
      <c r="S977" s="60" t="n"/>
      <c r="T977" s="60" t="n"/>
      <c r="U977" s="60" t="n"/>
      <c r="V977" s="60" t="n"/>
      <c r="W977" s="60" t="n"/>
      <c r="X977" s="60" t="n"/>
      <c r="Y977" s="60" t="n"/>
      <c r="Z977" s="61" t="n"/>
      <c r="AA977" s="63">
        <f>IF($H977="","",TODAY()-$H977)</f>
        <v/>
      </c>
      <c r="AB977" s="63">
        <f>IF($A977="","",IF(AND($F977="Yes",OR($U977="No",$U977="NOT FOUND")),"YES",""))</f>
        <v/>
      </c>
      <c r="AC977" s="66">
        <f>IF($A977="","",TRIM(IF(AND($P977=0,$L977&lt;&gt;"Yes"),"T0-NoSmartcard ","")&amp;IF(AND($J977&lt;&gt;"",$J977&gt;365),"StalePwd ","")&amp;IF($K977="Yes","PwdNeverExpires ","")&amp;IF(AND($S977&lt;&gt;"",$S977&lt;&gt;"None"),"Delegation ","")&amp;IF(AND($Q977=1,$O977="None"),"StaleAdminCount ","")&amp;IF(AND($F977="Yes",$H977=""),"NeverLoggedOn ","")))</f>
        <v/>
      </c>
      <c r="AD977" s="60" t="n"/>
      <c r="AE977" s="61" t="n"/>
      <c r="AF977" s="60" t="n"/>
      <c r="AG977" s="62" t="n"/>
      <c r="AH977" s="62" t="n"/>
      <c r="AI977" s="62" t="n"/>
      <c r="AJ977" s="60" t="n"/>
      <c r="AK977" s="61" t="n"/>
      <c r="AL977" s="63">
        <f>IF($A977="","",IF(AH977="","Not Enrolled",IF(TODAY()&gt;AH977,"Review Overdue",IF(AH977-TODAY()&lt;=30,"Review Due Soon","Active"))))</f>
        <v/>
      </c>
      <c r="AM977" s="63">
        <f>IF($A977="","",IF(AI977="","NOT REVIEWED",IF(TODAY()-AI977&gt;90,"OVERDUE",IF(TODAY()-AI977&gt;76,"Due Soon","Current"))))</f>
        <v/>
      </c>
    </row>
    <row r="978" ht="15" customHeight="1" s="39">
      <c r="A978" s="60" t="n"/>
      <c r="B978" s="60" t="n"/>
      <c r="C978" s="61" t="n"/>
      <c r="D978" s="61" t="n"/>
      <c r="E978" s="60" t="n"/>
      <c r="F978" s="60" t="n"/>
      <c r="G978" s="62" t="n"/>
      <c r="H978" s="62" t="n"/>
      <c r="I978" s="62" t="n"/>
      <c r="J978" s="60" t="n"/>
      <c r="K978" s="60" t="n"/>
      <c r="L978" s="60" t="n"/>
      <c r="M978" s="61" t="n"/>
      <c r="N978" s="60" t="n"/>
      <c r="O978" s="60" t="n"/>
      <c r="P978" s="60" t="n"/>
      <c r="Q978" s="60" t="n"/>
      <c r="R978" s="60" t="n"/>
      <c r="S978" s="60" t="n"/>
      <c r="T978" s="60" t="n"/>
      <c r="U978" s="60" t="n"/>
      <c r="V978" s="60" t="n"/>
      <c r="W978" s="60" t="n"/>
      <c r="X978" s="60" t="n"/>
      <c r="Y978" s="60" t="n"/>
      <c r="Z978" s="61" t="n"/>
      <c r="AA978" s="63">
        <f>IF($H978="","",TODAY()-$H978)</f>
        <v/>
      </c>
      <c r="AB978" s="63">
        <f>IF($A978="","",IF(AND($F978="Yes",OR($U978="No",$U978="NOT FOUND")),"YES",""))</f>
        <v/>
      </c>
      <c r="AC978" s="66">
        <f>IF($A978="","",TRIM(IF(AND($P978=0,$L978&lt;&gt;"Yes"),"T0-NoSmartcard ","")&amp;IF(AND($J978&lt;&gt;"",$J978&gt;365),"StalePwd ","")&amp;IF($K978="Yes","PwdNeverExpires ","")&amp;IF(AND($S978&lt;&gt;"",$S978&lt;&gt;"None"),"Delegation ","")&amp;IF(AND($Q978=1,$O978="None"),"StaleAdminCount ","")&amp;IF(AND($F978="Yes",$H978=""),"NeverLoggedOn ","")))</f>
        <v/>
      </c>
      <c r="AD978" s="60" t="n"/>
      <c r="AE978" s="61" t="n"/>
      <c r="AF978" s="60" t="n"/>
      <c r="AG978" s="62" t="n"/>
      <c r="AH978" s="62" t="n"/>
      <c r="AI978" s="62" t="n"/>
      <c r="AJ978" s="60" t="n"/>
      <c r="AK978" s="61" t="n"/>
      <c r="AL978" s="63">
        <f>IF($A978="","",IF(AH978="","Not Enrolled",IF(TODAY()&gt;AH978,"Review Overdue",IF(AH978-TODAY()&lt;=30,"Review Due Soon","Active"))))</f>
        <v/>
      </c>
      <c r="AM978" s="63">
        <f>IF($A978="","",IF(AI978="","NOT REVIEWED",IF(TODAY()-AI978&gt;90,"OVERDUE",IF(TODAY()-AI978&gt;76,"Due Soon","Current"))))</f>
        <v/>
      </c>
    </row>
    <row r="979" ht="15" customHeight="1" s="39">
      <c r="A979" s="60" t="n"/>
      <c r="B979" s="60" t="n"/>
      <c r="C979" s="61" t="n"/>
      <c r="D979" s="61" t="n"/>
      <c r="E979" s="60" t="n"/>
      <c r="F979" s="60" t="n"/>
      <c r="G979" s="62" t="n"/>
      <c r="H979" s="62" t="n"/>
      <c r="I979" s="62" t="n"/>
      <c r="J979" s="60" t="n"/>
      <c r="K979" s="60" t="n"/>
      <c r="L979" s="60" t="n"/>
      <c r="M979" s="61" t="n"/>
      <c r="N979" s="60" t="n"/>
      <c r="O979" s="60" t="n"/>
      <c r="P979" s="60" t="n"/>
      <c r="Q979" s="60" t="n"/>
      <c r="R979" s="60" t="n"/>
      <c r="S979" s="60" t="n"/>
      <c r="T979" s="60" t="n"/>
      <c r="U979" s="60" t="n"/>
      <c r="V979" s="60" t="n"/>
      <c r="W979" s="60" t="n"/>
      <c r="X979" s="60" t="n"/>
      <c r="Y979" s="60" t="n"/>
      <c r="Z979" s="61" t="n"/>
      <c r="AA979" s="63">
        <f>IF($H979="","",TODAY()-$H979)</f>
        <v/>
      </c>
      <c r="AB979" s="63">
        <f>IF($A979="","",IF(AND($F979="Yes",OR($U979="No",$U979="NOT FOUND")),"YES",""))</f>
        <v/>
      </c>
      <c r="AC979" s="66">
        <f>IF($A979="","",TRIM(IF(AND($P979=0,$L979&lt;&gt;"Yes"),"T0-NoSmartcard ","")&amp;IF(AND($J979&lt;&gt;"",$J979&gt;365),"StalePwd ","")&amp;IF($K979="Yes","PwdNeverExpires ","")&amp;IF(AND($S979&lt;&gt;"",$S979&lt;&gt;"None"),"Delegation ","")&amp;IF(AND($Q979=1,$O979="None"),"StaleAdminCount ","")&amp;IF(AND($F979="Yes",$H979=""),"NeverLoggedOn ","")))</f>
        <v/>
      </c>
      <c r="AD979" s="60" t="n"/>
      <c r="AE979" s="61" t="n"/>
      <c r="AF979" s="60" t="n"/>
      <c r="AG979" s="62" t="n"/>
      <c r="AH979" s="62" t="n"/>
      <c r="AI979" s="62" t="n"/>
      <c r="AJ979" s="60" t="n"/>
      <c r="AK979" s="61" t="n"/>
      <c r="AL979" s="63">
        <f>IF($A979="","",IF(AH979="","Not Enrolled",IF(TODAY()&gt;AH979,"Review Overdue",IF(AH979-TODAY()&lt;=30,"Review Due Soon","Active"))))</f>
        <v/>
      </c>
      <c r="AM979" s="63">
        <f>IF($A979="","",IF(AI979="","NOT REVIEWED",IF(TODAY()-AI979&gt;90,"OVERDUE",IF(TODAY()-AI979&gt;76,"Due Soon","Current"))))</f>
        <v/>
      </c>
    </row>
    <row r="980" ht="15" customHeight="1" s="39">
      <c r="A980" s="60" t="n"/>
      <c r="B980" s="60" t="n"/>
      <c r="C980" s="61" t="n"/>
      <c r="D980" s="61" t="n"/>
      <c r="E980" s="60" t="n"/>
      <c r="F980" s="60" t="n"/>
      <c r="G980" s="62" t="n"/>
      <c r="H980" s="62" t="n"/>
      <c r="I980" s="62" t="n"/>
      <c r="J980" s="60" t="n"/>
      <c r="K980" s="60" t="n"/>
      <c r="L980" s="60" t="n"/>
      <c r="M980" s="61" t="n"/>
      <c r="N980" s="60" t="n"/>
      <c r="O980" s="60" t="n"/>
      <c r="P980" s="60" t="n"/>
      <c r="Q980" s="60" t="n"/>
      <c r="R980" s="60" t="n"/>
      <c r="S980" s="60" t="n"/>
      <c r="T980" s="60" t="n"/>
      <c r="U980" s="60" t="n"/>
      <c r="V980" s="60" t="n"/>
      <c r="W980" s="60" t="n"/>
      <c r="X980" s="60" t="n"/>
      <c r="Y980" s="60" t="n"/>
      <c r="Z980" s="61" t="n"/>
      <c r="AA980" s="63">
        <f>IF($H980="","",TODAY()-$H980)</f>
        <v/>
      </c>
      <c r="AB980" s="63">
        <f>IF($A980="","",IF(AND($F980="Yes",OR($U980="No",$U980="NOT FOUND")),"YES",""))</f>
        <v/>
      </c>
      <c r="AC980" s="66">
        <f>IF($A980="","",TRIM(IF(AND($P980=0,$L980&lt;&gt;"Yes"),"T0-NoSmartcard ","")&amp;IF(AND($J980&lt;&gt;"",$J980&gt;365),"StalePwd ","")&amp;IF($K980="Yes","PwdNeverExpires ","")&amp;IF(AND($S980&lt;&gt;"",$S980&lt;&gt;"None"),"Delegation ","")&amp;IF(AND($Q980=1,$O980="None"),"StaleAdminCount ","")&amp;IF(AND($F980="Yes",$H980=""),"NeverLoggedOn ","")))</f>
        <v/>
      </c>
      <c r="AD980" s="60" t="n"/>
      <c r="AE980" s="61" t="n"/>
      <c r="AF980" s="60" t="n"/>
      <c r="AG980" s="62" t="n"/>
      <c r="AH980" s="62" t="n"/>
      <c r="AI980" s="62" t="n"/>
      <c r="AJ980" s="60" t="n"/>
      <c r="AK980" s="61" t="n"/>
      <c r="AL980" s="63">
        <f>IF($A980="","",IF(AH980="","Not Enrolled",IF(TODAY()&gt;AH980,"Review Overdue",IF(AH980-TODAY()&lt;=30,"Review Due Soon","Active"))))</f>
        <v/>
      </c>
      <c r="AM980" s="63">
        <f>IF($A980="","",IF(AI980="","NOT REVIEWED",IF(TODAY()-AI980&gt;90,"OVERDUE",IF(TODAY()-AI980&gt;76,"Due Soon","Current"))))</f>
        <v/>
      </c>
    </row>
    <row r="981" ht="15" customHeight="1" s="39">
      <c r="A981" s="60" t="n"/>
      <c r="B981" s="60" t="n"/>
      <c r="C981" s="61" t="n"/>
      <c r="D981" s="61" t="n"/>
      <c r="E981" s="60" t="n"/>
      <c r="F981" s="60" t="n"/>
      <c r="G981" s="62" t="n"/>
      <c r="H981" s="62" t="n"/>
      <c r="I981" s="62" t="n"/>
      <c r="J981" s="60" t="n"/>
      <c r="K981" s="60" t="n"/>
      <c r="L981" s="60" t="n"/>
      <c r="M981" s="61" t="n"/>
      <c r="N981" s="60" t="n"/>
      <c r="O981" s="60" t="n"/>
      <c r="P981" s="60" t="n"/>
      <c r="Q981" s="60" t="n"/>
      <c r="R981" s="60" t="n"/>
      <c r="S981" s="60" t="n"/>
      <c r="T981" s="60" t="n"/>
      <c r="U981" s="60" t="n"/>
      <c r="V981" s="60" t="n"/>
      <c r="W981" s="60" t="n"/>
      <c r="X981" s="60" t="n"/>
      <c r="Y981" s="60" t="n"/>
      <c r="Z981" s="61" t="n"/>
      <c r="AA981" s="63">
        <f>IF($H981="","",TODAY()-$H981)</f>
        <v/>
      </c>
      <c r="AB981" s="63">
        <f>IF($A981="","",IF(AND($F981="Yes",OR($U981="No",$U981="NOT FOUND")),"YES",""))</f>
        <v/>
      </c>
      <c r="AC981" s="66">
        <f>IF($A981="","",TRIM(IF(AND($P981=0,$L981&lt;&gt;"Yes"),"T0-NoSmartcard ","")&amp;IF(AND($J981&lt;&gt;"",$J981&gt;365),"StalePwd ","")&amp;IF($K981="Yes","PwdNeverExpires ","")&amp;IF(AND($S981&lt;&gt;"",$S981&lt;&gt;"None"),"Delegation ","")&amp;IF(AND($Q981=1,$O981="None"),"StaleAdminCount ","")&amp;IF(AND($F981="Yes",$H981=""),"NeverLoggedOn ","")))</f>
        <v/>
      </c>
      <c r="AD981" s="60" t="n"/>
      <c r="AE981" s="61" t="n"/>
      <c r="AF981" s="60" t="n"/>
      <c r="AG981" s="62" t="n"/>
      <c r="AH981" s="62" t="n"/>
      <c r="AI981" s="62" t="n"/>
      <c r="AJ981" s="60" t="n"/>
      <c r="AK981" s="61" t="n"/>
      <c r="AL981" s="63">
        <f>IF($A981="","",IF(AH981="","Not Enrolled",IF(TODAY()&gt;AH981,"Review Overdue",IF(AH981-TODAY()&lt;=30,"Review Due Soon","Active"))))</f>
        <v/>
      </c>
      <c r="AM981" s="63">
        <f>IF($A981="","",IF(AI981="","NOT REVIEWED",IF(TODAY()-AI981&gt;90,"OVERDUE",IF(TODAY()-AI981&gt;76,"Due Soon","Current"))))</f>
        <v/>
      </c>
    </row>
    <row r="982" ht="15" customHeight="1" s="39">
      <c r="A982" s="60" t="n"/>
      <c r="B982" s="60" t="n"/>
      <c r="C982" s="61" t="n"/>
      <c r="D982" s="61" t="n"/>
      <c r="E982" s="60" t="n"/>
      <c r="F982" s="60" t="n"/>
      <c r="G982" s="62" t="n"/>
      <c r="H982" s="62" t="n"/>
      <c r="I982" s="62" t="n"/>
      <c r="J982" s="60" t="n"/>
      <c r="K982" s="60" t="n"/>
      <c r="L982" s="60" t="n"/>
      <c r="M982" s="61" t="n"/>
      <c r="N982" s="60" t="n"/>
      <c r="O982" s="60" t="n"/>
      <c r="P982" s="60" t="n"/>
      <c r="Q982" s="60" t="n"/>
      <c r="R982" s="60" t="n"/>
      <c r="S982" s="60" t="n"/>
      <c r="T982" s="60" t="n"/>
      <c r="U982" s="60" t="n"/>
      <c r="V982" s="60" t="n"/>
      <c r="W982" s="60" t="n"/>
      <c r="X982" s="60" t="n"/>
      <c r="Y982" s="60" t="n"/>
      <c r="Z982" s="61" t="n"/>
      <c r="AA982" s="63">
        <f>IF($H982="","",TODAY()-$H982)</f>
        <v/>
      </c>
      <c r="AB982" s="63">
        <f>IF($A982="","",IF(AND($F982="Yes",OR($U982="No",$U982="NOT FOUND")),"YES",""))</f>
        <v/>
      </c>
      <c r="AC982" s="66">
        <f>IF($A982="","",TRIM(IF(AND($P982=0,$L982&lt;&gt;"Yes"),"T0-NoSmartcard ","")&amp;IF(AND($J982&lt;&gt;"",$J982&gt;365),"StalePwd ","")&amp;IF($K982="Yes","PwdNeverExpires ","")&amp;IF(AND($S982&lt;&gt;"",$S982&lt;&gt;"None"),"Delegation ","")&amp;IF(AND($Q982=1,$O982="None"),"StaleAdminCount ","")&amp;IF(AND($F982="Yes",$H982=""),"NeverLoggedOn ","")))</f>
        <v/>
      </c>
      <c r="AD982" s="60" t="n"/>
      <c r="AE982" s="61" t="n"/>
      <c r="AF982" s="60" t="n"/>
      <c r="AG982" s="62" t="n"/>
      <c r="AH982" s="62" t="n"/>
      <c r="AI982" s="62" t="n"/>
      <c r="AJ982" s="60" t="n"/>
      <c r="AK982" s="61" t="n"/>
      <c r="AL982" s="63">
        <f>IF($A982="","",IF(AH982="","Not Enrolled",IF(TODAY()&gt;AH982,"Review Overdue",IF(AH982-TODAY()&lt;=30,"Review Due Soon","Active"))))</f>
        <v/>
      </c>
      <c r="AM982" s="63">
        <f>IF($A982="","",IF(AI982="","NOT REVIEWED",IF(TODAY()-AI982&gt;90,"OVERDUE",IF(TODAY()-AI982&gt;76,"Due Soon","Current"))))</f>
        <v/>
      </c>
    </row>
    <row r="983" ht="15" customHeight="1" s="39">
      <c r="A983" s="60" t="n"/>
      <c r="B983" s="60" t="n"/>
      <c r="C983" s="61" t="n"/>
      <c r="D983" s="61" t="n"/>
      <c r="E983" s="60" t="n"/>
      <c r="F983" s="60" t="n"/>
      <c r="G983" s="62" t="n"/>
      <c r="H983" s="62" t="n"/>
      <c r="I983" s="62" t="n"/>
      <c r="J983" s="60" t="n"/>
      <c r="K983" s="60" t="n"/>
      <c r="L983" s="60" t="n"/>
      <c r="M983" s="61" t="n"/>
      <c r="N983" s="60" t="n"/>
      <c r="O983" s="60" t="n"/>
      <c r="P983" s="60" t="n"/>
      <c r="Q983" s="60" t="n"/>
      <c r="R983" s="60" t="n"/>
      <c r="S983" s="60" t="n"/>
      <c r="T983" s="60" t="n"/>
      <c r="U983" s="60" t="n"/>
      <c r="V983" s="60" t="n"/>
      <c r="W983" s="60" t="n"/>
      <c r="X983" s="60" t="n"/>
      <c r="Y983" s="60" t="n"/>
      <c r="Z983" s="61" t="n"/>
      <c r="AA983" s="63">
        <f>IF($H983="","",TODAY()-$H983)</f>
        <v/>
      </c>
      <c r="AB983" s="63">
        <f>IF($A983="","",IF(AND($F983="Yes",OR($U983="No",$U983="NOT FOUND")),"YES",""))</f>
        <v/>
      </c>
      <c r="AC983" s="66">
        <f>IF($A983="","",TRIM(IF(AND($P983=0,$L983&lt;&gt;"Yes"),"T0-NoSmartcard ","")&amp;IF(AND($J983&lt;&gt;"",$J983&gt;365),"StalePwd ","")&amp;IF($K983="Yes","PwdNeverExpires ","")&amp;IF(AND($S983&lt;&gt;"",$S983&lt;&gt;"None"),"Delegation ","")&amp;IF(AND($Q983=1,$O983="None"),"StaleAdminCount ","")&amp;IF(AND($F983="Yes",$H983=""),"NeverLoggedOn ","")))</f>
        <v/>
      </c>
      <c r="AD983" s="60" t="n"/>
      <c r="AE983" s="61" t="n"/>
      <c r="AF983" s="60" t="n"/>
      <c r="AG983" s="62" t="n"/>
      <c r="AH983" s="62" t="n"/>
      <c r="AI983" s="62" t="n"/>
      <c r="AJ983" s="60" t="n"/>
      <c r="AK983" s="61" t="n"/>
      <c r="AL983" s="63">
        <f>IF($A983="","",IF(AH983="","Not Enrolled",IF(TODAY()&gt;AH983,"Review Overdue",IF(AH983-TODAY()&lt;=30,"Review Due Soon","Active"))))</f>
        <v/>
      </c>
      <c r="AM983" s="63">
        <f>IF($A983="","",IF(AI983="","NOT REVIEWED",IF(TODAY()-AI983&gt;90,"OVERDUE",IF(TODAY()-AI983&gt;76,"Due Soon","Current"))))</f>
        <v/>
      </c>
    </row>
    <row r="984" ht="15" customHeight="1" s="39">
      <c r="A984" s="60" t="n"/>
      <c r="B984" s="60" t="n"/>
      <c r="C984" s="61" t="n"/>
      <c r="D984" s="61" t="n"/>
      <c r="E984" s="60" t="n"/>
      <c r="F984" s="60" t="n"/>
      <c r="G984" s="62" t="n"/>
      <c r="H984" s="62" t="n"/>
      <c r="I984" s="62" t="n"/>
      <c r="J984" s="60" t="n"/>
      <c r="K984" s="60" t="n"/>
      <c r="L984" s="60" t="n"/>
      <c r="M984" s="61" t="n"/>
      <c r="N984" s="60" t="n"/>
      <c r="O984" s="60" t="n"/>
      <c r="P984" s="60" t="n"/>
      <c r="Q984" s="60" t="n"/>
      <c r="R984" s="60" t="n"/>
      <c r="S984" s="60" t="n"/>
      <c r="T984" s="60" t="n"/>
      <c r="U984" s="60" t="n"/>
      <c r="V984" s="60" t="n"/>
      <c r="W984" s="60" t="n"/>
      <c r="X984" s="60" t="n"/>
      <c r="Y984" s="60" t="n"/>
      <c r="Z984" s="61" t="n"/>
      <c r="AA984" s="63">
        <f>IF($H984="","",TODAY()-$H984)</f>
        <v/>
      </c>
      <c r="AB984" s="63">
        <f>IF($A984="","",IF(AND($F984="Yes",OR($U984="No",$U984="NOT FOUND")),"YES",""))</f>
        <v/>
      </c>
      <c r="AC984" s="66">
        <f>IF($A984="","",TRIM(IF(AND($P984=0,$L984&lt;&gt;"Yes"),"T0-NoSmartcard ","")&amp;IF(AND($J984&lt;&gt;"",$J984&gt;365),"StalePwd ","")&amp;IF($K984="Yes","PwdNeverExpires ","")&amp;IF(AND($S984&lt;&gt;"",$S984&lt;&gt;"None"),"Delegation ","")&amp;IF(AND($Q984=1,$O984="None"),"StaleAdminCount ","")&amp;IF(AND($F984="Yes",$H984=""),"NeverLoggedOn ","")))</f>
        <v/>
      </c>
      <c r="AD984" s="60" t="n"/>
      <c r="AE984" s="61" t="n"/>
      <c r="AF984" s="60" t="n"/>
      <c r="AG984" s="62" t="n"/>
      <c r="AH984" s="62" t="n"/>
      <c r="AI984" s="62" t="n"/>
      <c r="AJ984" s="60" t="n"/>
      <c r="AK984" s="61" t="n"/>
      <c r="AL984" s="63">
        <f>IF($A984="","",IF(AH984="","Not Enrolled",IF(TODAY()&gt;AH984,"Review Overdue",IF(AH984-TODAY()&lt;=30,"Review Due Soon","Active"))))</f>
        <v/>
      </c>
      <c r="AM984" s="63">
        <f>IF($A984="","",IF(AI984="","NOT REVIEWED",IF(TODAY()-AI984&gt;90,"OVERDUE",IF(TODAY()-AI984&gt;76,"Due Soon","Current"))))</f>
        <v/>
      </c>
    </row>
    <row r="985" ht="15" customHeight="1" s="39">
      <c r="A985" s="60" t="n"/>
      <c r="B985" s="60" t="n"/>
      <c r="C985" s="61" t="n"/>
      <c r="D985" s="61" t="n"/>
      <c r="E985" s="60" t="n"/>
      <c r="F985" s="60" t="n"/>
      <c r="G985" s="62" t="n"/>
      <c r="H985" s="62" t="n"/>
      <c r="I985" s="62" t="n"/>
      <c r="J985" s="60" t="n"/>
      <c r="K985" s="60" t="n"/>
      <c r="L985" s="60" t="n"/>
      <c r="M985" s="61" t="n"/>
      <c r="N985" s="60" t="n"/>
      <c r="O985" s="60" t="n"/>
      <c r="P985" s="60" t="n"/>
      <c r="Q985" s="60" t="n"/>
      <c r="R985" s="60" t="n"/>
      <c r="S985" s="60" t="n"/>
      <c r="T985" s="60" t="n"/>
      <c r="U985" s="60" t="n"/>
      <c r="V985" s="60" t="n"/>
      <c r="W985" s="60" t="n"/>
      <c r="X985" s="60" t="n"/>
      <c r="Y985" s="60" t="n"/>
      <c r="Z985" s="61" t="n"/>
      <c r="AA985" s="63">
        <f>IF($H985="","",TODAY()-$H985)</f>
        <v/>
      </c>
      <c r="AB985" s="63">
        <f>IF($A985="","",IF(AND($F985="Yes",OR($U985="No",$U985="NOT FOUND")),"YES",""))</f>
        <v/>
      </c>
      <c r="AC985" s="66">
        <f>IF($A985="","",TRIM(IF(AND($P985=0,$L985&lt;&gt;"Yes"),"T0-NoSmartcard ","")&amp;IF(AND($J985&lt;&gt;"",$J985&gt;365),"StalePwd ","")&amp;IF($K985="Yes","PwdNeverExpires ","")&amp;IF(AND($S985&lt;&gt;"",$S985&lt;&gt;"None"),"Delegation ","")&amp;IF(AND($Q985=1,$O985="None"),"StaleAdminCount ","")&amp;IF(AND($F985="Yes",$H985=""),"NeverLoggedOn ","")))</f>
        <v/>
      </c>
      <c r="AD985" s="60" t="n"/>
      <c r="AE985" s="61" t="n"/>
      <c r="AF985" s="60" t="n"/>
      <c r="AG985" s="62" t="n"/>
      <c r="AH985" s="62" t="n"/>
      <c r="AI985" s="62" t="n"/>
      <c r="AJ985" s="60" t="n"/>
      <c r="AK985" s="61" t="n"/>
      <c r="AL985" s="63">
        <f>IF($A985="","",IF(AH985="","Not Enrolled",IF(TODAY()&gt;AH985,"Review Overdue",IF(AH985-TODAY()&lt;=30,"Review Due Soon","Active"))))</f>
        <v/>
      </c>
      <c r="AM985" s="63">
        <f>IF($A985="","",IF(AI985="","NOT REVIEWED",IF(TODAY()-AI985&gt;90,"OVERDUE",IF(TODAY()-AI985&gt;76,"Due Soon","Current"))))</f>
        <v/>
      </c>
    </row>
    <row r="986" ht="15" customHeight="1" s="39">
      <c r="A986" s="60" t="n"/>
      <c r="B986" s="60" t="n"/>
      <c r="C986" s="61" t="n"/>
      <c r="D986" s="61" t="n"/>
      <c r="E986" s="60" t="n"/>
      <c r="F986" s="60" t="n"/>
      <c r="G986" s="62" t="n"/>
      <c r="H986" s="62" t="n"/>
      <c r="I986" s="62" t="n"/>
      <c r="J986" s="60" t="n"/>
      <c r="K986" s="60" t="n"/>
      <c r="L986" s="60" t="n"/>
      <c r="M986" s="61" t="n"/>
      <c r="N986" s="60" t="n"/>
      <c r="O986" s="60" t="n"/>
      <c r="P986" s="60" t="n"/>
      <c r="Q986" s="60" t="n"/>
      <c r="R986" s="60" t="n"/>
      <c r="S986" s="60" t="n"/>
      <c r="T986" s="60" t="n"/>
      <c r="U986" s="60" t="n"/>
      <c r="V986" s="60" t="n"/>
      <c r="W986" s="60" t="n"/>
      <c r="X986" s="60" t="n"/>
      <c r="Y986" s="60" t="n"/>
      <c r="Z986" s="61" t="n"/>
      <c r="AA986" s="63">
        <f>IF($H986="","",TODAY()-$H986)</f>
        <v/>
      </c>
      <c r="AB986" s="63">
        <f>IF($A986="","",IF(AND($F986="Yes",OR($U986="No",$U986="NOT FOUND")),"YES",""))</f>
        <v/>
      </c>
      <c r="AC986" s="66">
        <f>IF($A986="","",TRIM(IF(AND($P986=0,$L986&lt;&gt;"Yes"),"T0-NoSmartcard ","")&amp;IF(AND($J986&lt;&gt;"",$J986&gt;365),"StalePwd ","")&amp;IF($K986="Yes","PwdNeverExpires ","")&amp;IF(AND($S986&lt;&gt;"",$S986&lt;&gt;"None"),"Delegation ","")&amp;IF(AND($Q986=1,$O986="None"),"StaleAdminCount ","")&amp;IF(AND($F986="Yes",$H986=""),"NeverLoggedOn ","")))</f>
        <v/>
      </c>
      <c r="AD986" s="60" t="n"/>
      <c r="AE986" s="61" t="n"/>
      <c r="AF986" s="60" t="n"/>
      <c r="AG986" s="62" t="n"/>
      <c r="AH986" s="62" t="n"/>
      <c r="AI986" s="62" t="n"/>
      <c r="AJ986" s="60" t="n"/>
      <c r="AK986" s="61" t="n"/>
      <c r="AL986" s="63">
        <f>IF($A986="","",IF(AH986="","Not Enrolled",IF(TODAY()&gt;AH986,"Review Overdue",IF(AH986-TODAY()&lt;=30,"Review Due Soon","Active"))))</f>
        <v/>
      </c>
      <c r="AM986" s="63">
        <f>IF($A986="","",IF(AI986="","NOT REVIEWED",IF(TODAY()-AI986&gt;90,"OVERDUE",IF(TODAY()-AI986&gt;76,"Due Soon","Current"))))</f>
        <v/>
      </c>
    </row>
    <row r="987" ht="15" customHeight="1" s="39">
      <c r="A987" s="60" t="n"/>
      <c r="B987" s="60" t="n"/>
      <c r="C987" s="61" t="n"/>
      <c r="D987" s="61" t="n"/>
      <c r="E987" s="60" t="n"/>
      <c r="F987" s="60" t="n"/>
      <c r="G987" s="62" t="n"/>
      <c r="H987" s="62" t="n"/>
      <c r="I987" s="62" t="n"/>
      <c r="J987" s="60" t="n"/>
      <c r="K987" s="60" t="n"/>
      <c r="L987" s="60" t="n"/>
      <c r="M987" s="61" t="n"/>
      <c r="N987" s="60" t="n"/>
      <c r="O987" s="60" t="n"/>
      <c r="P987" s="60" t="n"/>
      <c r="Q987" s="60" t="n"/>
      <c r="R987" s="60" t="n"/>
      <c r="S987" s="60" t="n"/>
      <c r="T987" s="60" t="n"/>
      <c r="U987" s="60" t="n"/>
      <c r="V987" s="60" t="n"/>
      <c r="W987" s="60" t="n"/>
      <c r="X987" s="60" t="n"/>
      <c r="Y987" s="60" t="n"/>
      <c r="Z987" s="61" t="n"/>
      <c r="AA987" s="63">
        <f>IF($H987="","",TODAY()-$H987)</f>
        <v/>
      </c>
      <c r="AB987" s="63">
        <f>IF($A987="","",IF(AND($F987="Yes",OR($U987="No",$U987="NOT FOUND")),"YES",""))</f>
        <v/>
      </c>
      <c r="AC987" s="66">
        <f>IF($A987="","",TRIM(IF(AND($P987=0,$L987&lt;&gt;"Yes"),"T0-NoSmartcard ","")&amp;IF(AND($J987&lt;&gt;"",$J987&gt;365),"StalePwd ","")&amp;IF($K987="Yes","PwdNeverExpires ","")&amp;IF(AND($S987&lt;&gt;"",$S987&lt;&gt;"None"),"Delegation ","")&amp;IF(AND($Q987=1,$O987="None"),"StaleAdminCount ","")&amp;IF(AND($F987="Yes",$H987=""),"NeverLoggedOn ","")))</f>
        <v/>
      </c>
      <c r="AD987" s="60" t="n"/>
      <c r="AE987" s="61" t="n"/>
      <c r="AF987" s="60" t="n"/>
      <c r="AG987" s="62" t="n"/>
      <c r="AH987" s="62" t="n"/>
      <c r="AI987" s="62" t="n"/>
      <c r="AJ987" s="60" t="n"/>
      <c r="AK987" s="61" t="n"/>
      <c r="AL987" s="63">
        <f>IF($A987="","",IF(AH987="","Not Enrolled",IF(TODAY()&gt;AH987,"Review Overdue",IF(AH987-TODAY()&lt;=30,"Review Due Soon","Active"))))</f>
        <v/>
      </c>
      <c r="AM987" s="63">
        <f>IF($A987="","",IF(AI987="","NOT REVIEWED",IF(TODAY()-AI987&gt;90,"OVERDUE",IF(TODAY()-AI987&gt;76,"Due Soon","Current"))))</f>
        <v/>
      </c>
    </row>
    <row r="988" ht="15" customHeight="1" s="39">
      <c r="A988" s="60" t="n"/>
      <c r="B988" s="60" t="n"/>
      <c r="C988" s="61" t="n"/>
      <c r="D988" s="61" t="n"/>
      <c r="E988" s="60" t="n"/>
      <c r="F988" s="60" t="n"/>
      <c r="G988" s="62" t="n"/>
      <c r="H988" s="62" t="n"/>
      <c r="I988" s="62" t="n"/>
      <c r="J988" s="60" t="n"/>
      <c r="K988" s="60" t="n"/>
      <c r="L988" s="60" t="n"/>
      <c r="M988" s="61" t="n"/>
      <c r="N988" s="60" t="n"/>
      <c r="O988" s="60" t="n"/>
      <c r="P988" s="60" t="n"/>
      <c r="Q988" s="60" t="n"/>
      <c r="R988" s="60" t="n"/>
      <c r="S988" s="60" t="n"/>
      <c r="T988" s="60" t="n"/>
      <c r="U988" s="60" t="n"/>
      <c r="V988" s="60" t="n"/>
      <c r="W988" s="60" t="n"/>
      <c r="X988" s="60" t="n"/>
      <c r="Y988" s="60" t="n"/>
      <c r="Z988" s="61" t="n"/>
      <c r="AA988" s="63">
        <f>IF($H988="","",TODAY()-$H988)</f>
        <v/>
      </c>
      <c r="AB988" s="63">
        <f>IF($A988="","",IF(AND($F988="Yes",OR($U988="No",$U988="NOT FOUND")),"YES",""))</f>
        <v/>
      </c>
      <c r="AC988" s="66">
        <f>IF($A988="","",TRIM(IF(AND($P988=0,$L988&lt;&gt;"Yes"),"T0-NoSmartcard ","")&amp;IF(AND($J988&lt;&gt;"",$J988&gt;365),"StalePwd ","")&amp;IF($K988="Yes","PwdNeverExpires ","")&amp;IF(AND($S988&lt;&gt;"",$S988&lt;&gt;"None"),"Delegation ","")&amp;IF(AND($Q988=1,$O988="None"),"StaleAdminCount ","")&amp;IF(AND($F988="Yes",$H988=""),"NeverLoggedOn ","")))</f>
        <v/>
      </c>
      <c r="AD988" s="60" t="n"/>
      <c r="AE988" s="61" t="n"/>
      <c r="AF988" s="60" t="n"/>
      <c r="AG988" s="62" t="n"/>
      <c r="AH988" s="62" t="n"/>
      <c r="AI988" s="62" t="n"/>
      <c r="AJ988" s="60" t="n"/>
      <c r="AK988" s="61" t="n"/>
      <c r="AL988" s="63">
        <f>IF($A988="","",IF(AH988="","Not Enrolled",IF(TODAY()&gt;AH988,"Review Overdue",IF(AH988-TODAY()&lt;=30,"Review Due Soon","Active"))))</f>
        <v/>
      </c>
      <c r="AM988" s="63">
        <f>IF($A988="","",IF(AI988="","NOT REVIEWED",IF(TODAY()-AI988&gt;90,"OVERDUE",IF(TODAY()-AI988&gt;76,"Due Soon","Current"))))</f>
        <v/>
      </c>
    </row>
    <row r="989" ht="15" customHeight="1" s="39">
      <c r="A989" s="60" t="n"/>
      <c r="B989" s="60" t="n"/>
      <c r="C989" s="61" t="n"/>
      <c r="D989" s="61" t="n"/>
      <c r="E989" s="60" t="n"/>
      <c r="F989" s="60" t="n"/>
      <c r="G989" s="62" t="n"/>
      <c r="H989" s="62" t="n"/>
      <c r="I989" s="62" t="n"/>
      <c r="J989" s="60" t="n"/>
      <c r="K989" s="60" t="n"/>
      <c r="L989" s="60" t="n"/>
      <c r="M989" s="61" t="n"/>
      <c r="N989" s="60" t="n"/>
      <c r="O989" s="60" t="n"/>
      <c r="P989" s="60" t="n"/>
      <c r="Q989" s="60" t="n"/>
      <c r="R989" s="60" t="n"/>
      <c r="S989" s="60" t="n"/>
      <c r="T989" s="60" t="n"/>
      <c r="U989" s="60" t="n"/>
      <c r="V989" s="60" t="n"/>
      <c r="W989" s="60" t="n"/>
      <c r="X989" s="60" t="n"/>
      <c r="Y989" s="60" t="n"/>
      <c r="Z989" s="61" t="n"/>
      <c r="AA989" s="63">
        <f>IF($H989="","",TODAY()-$H989)</f>
        <v/>
      </c>
      <c r="AB989" s="63">
        <f>IF($A989="","",IF(AND($F989="Yes",OR($U989="No",$U989="NOT FOUND")),"YES",""))</f>
        <v/>
      </c>
      <c r="AC989" s="66">
        <f>IF($A989="","",TRIM(IF(AND($P989=0,$L989&lt;&gt;"Yes"),"T0-NoSmartcard ","")&amp;IF(AND($J989&lt;&gt;"",$J989&gt;365),"StalePwd ","")&amp;IF($K989="Yes","PwdNeverExpires ","")&amp;IF(AND($S989&lt;&gt;"",$S989&lt;&gt;"None"),"Delegation ","")&amp;IF(AND($Q989=1,$O989="None"),"StaleAdminCount ","")&amp;IF(AND($F989="Yes",$H989=""),"NeverLoggedOn ","")))</f>
        <v/>
      </c>
      <c r="AD989" s="60" t="n"/>
      <c r="AE989" s="61" t="n"/>
      <c r="AF989" s="60" t="n"/>
      <c r="AG989" s="62" t="n"/>
      <c r="AH989" s="62" t="n"/>
      <c r="AI989" s="62" t="n"/>
      <c r="AJ989" s="60" t="n"/>
      <c r="AK989" s="61" t="n"/>
      <c r="AL989" s="63">
        <f>IF($A989="","",IF(AH989="","Not Enrolled",IF(TODAY()&gt;AH989,"Review Overdue",IF(AH989-TODAY()&lt;=30,"Review Due Soon","Active"))))</f>
        <v/>
      </c>
      <c r="AM989" s="63">
        <f>IF($A989="","",IF(AI989="","NOT REVIEWED",IF(TODAY()-AI989&gt;90,"OVERDUE",IF(TODAY()-AI989&gt;76,"Due Soon","Current"))))</f>
        <v/>
      </c>
    </row>
    <row r="990" ht="15" customHeight="1" s="39">
      <c r="A990" s="60" t="n"/>
      <c r="B990" s="60" t="n"/>
      <c r="C990" s="61" t="n"/>
      <c r="D990" s="61" t="n"/>
      <c r="E990" s="60" t="n"/>
      <c r="F990" s="60" t="n"/>
      <c r="G990" s="62" t="n"/>
      <c r="H990" s="62" t="n"/>
      <c r="I990" s="62" t="n"/>
      <c r="J990" s="60" t="n"/>
      <c r="K990" s="60" t="n"/>
      <c r="L990" s="60" t="n"/>
      <c r="M990" s="61" t="n"/>
      <c r="N990" s="60" t="n"/>
      <c r="O990" s="60" t="n"/>
      <c r="P990" s="60" t="n"/>
      <c r="Q990" s="60" t="n"/>
      <c r="R990" s="60" t="n"/>
      <c r="S990" s="60" t="n"/>
      <c r="T990" s="60" t="n"/>
      <c r="U990" s="60" t="n"/>
      <c r="V990" s="60" t="n"/>
      <c r="W990" s="60" t="n"/>
      <c r="X990" s="60" t="n"/>
      <c r="Y990" s="60" t="n"/>
      <c r="Z990" s="61" t="n"/>
      <c r="AA990" s="63">
        <f>IF($H990="","",TODAY()-$H990)</f>
        <v/>
      </c>
      <c r="AB990" s="63">
        <f>IF($A990="","",IF(AND($F990="Yes",OR($U990="No",$U990="NOT FOUND")),"YES",""))</f>
        <v/>
      </c>
      <c r="AC990" s="66">
        <f>IF($A990="","",TRIM(IF(AND($P990=0,$L990&lt;&gt;"Yes"),"T0-NoSmartcard ","")&amp;IF(AND($J990&lt;&gt;"",$J990&gt;365),"StalePwd ","")&amp;IF($K990="Yes","PwdNeverExpires ","")&amp;IF(AND($S990&lt;&gt;"",$S990&lt;&gt;"None"),"Delegation ","")&amp;IF(AND($Q990=1,$O990="None"),"StaleAdminCount ","")&amp;IF(AND($F990="Yes",$H990=""),"NeverLoggedOn ","")))</f>
        <v/>
      </c>
      <c r="AD990" s="60" t="n"/>
      <c r="AE990" s="61" t="n"/>
      <c r="AF990" s="60" t="n"/>
      <c r="AG990" s="62" t="n"/>
      <c r="AH990" s="62" t="n"/>
      <c r="AI990" s="62" t="n"/>
      <c r="AJ990" s="60" t="n"/>
      <c r="AK990" s="61" t="n"/>
      <c r="AL990" s="63">
        <f>IF($A990="","",IF(AH990="","Not Enrolled",IF(TODAY()&gt;AH990,"Review Overdue",IF(AH990-TODAY()&lt;=30,"Review Due Soon","Active"))))</f>
        <v/>
      </c>
      <c r="AM990" s="63">
        <f>IF($A990="","",IF(AI990="","NOT REVIEWED",IF(TODAY()-AI990&gt;90,"OVERDUE",IF(TODAY()-AI990&gt;76,"Due Soon","Current"))))</f>
        <v/>
      </c>
    </row>
    <row r="991" ht="15" customHeight="1" s="39">
      <c r="A991" s="60" t="n"/>
      <c r="B991" s="60" t="n"/>
      <c r="C991" s="61" t="n"/>
      <c r="D991" s="61" t="n"/>
      <c r="E991" s="60" t="n"/>
      <c r="F991" s="60" t="n"/>
      <c r="G991" s="62" t="n"/>
      <c r="H991" s="62" t="n"/>
      <c r="I991" s="62" t="n"/>
      <c r="J991" s="60" t="n"/>
      <c r="K991" s="60" t="n"/>
      <c r="L991" s="60" t="n"/>
      <c r="M991" s="61" t="n"/>
      <c r="N991" s="60" t="n"/>
      <c r="O991" s="60" t="n"/>
      <c r="P991" s="60" t="n"/>
      <c r="Q991" s="60" t="n"/>
      <c r="R991" s="60" t="n"/>
      <c r="S991" s="60" t="n"/>
      <c r="T991" s="60" t="n"/>
      <c r="U991" s="60" t="n"/>
      <c r="V991" s="60" t="n"/>
      <c r="W991" s="60" t="n"/>
      <c r="X991" s="60" t="n"/>
      <c r="Y991" s="60" t="n"/>
      <c r="Z991" s="61" t="n"/>
      <c r="AA991" s="63">
        <f>IF($H991="","",TODAY()-$H991)</f>
        <v/>
      </c>
      <c r="AB991" s="63">
        <f>IF($A991="","",IF(AND($F991="Yes",OR($U991="No",$U991="NOT FOUND")),"YES",""))</f>
        <v/>
      </c>
      <c r="AC991" s="66">
        <f>IF($A991="","",TRIM(IF(AND($P991=0,$L991&lt;&gt;"Yes"),"T0-NoSmartcard ","")&amp;IF(AND($J991&lt;&gt;"",$J991&gt;365),"StalePwd ","")&amp;IF($K991="Yes","PwdNeverExpires ","")&amp;IF(AND($S991&lt;&gt;"",$S991&lt;&gt;"None"),"Delegation ","")&amp;IF(AND($Q991=1,$O991="None"),"StaleAdminCount ","")&amp;IF(AND($F991="Yes",$H991=""),"NeverLoggedOn ","")))</f>
        <v/>
      </c>
      <c r="AD991" s="60" t="n"/>
      <c r="AE991" s="61" t="n"/>
      <c r="AF991" s="60" t="n"/>
      <c r="AG991" s="62" t="n"/>
      <c r="AH991" s="62" t="n"/>
      <c r="AI991" s="62" t="n"/>
      <c r="AJ991" s="60" t="n"/>
      <c r="AK991" s="61" t="n"/>
      <c r="AL991" s="63">
        <f>IF($A991="","",IF(AH991="","Not Enrolled",IF(TODAY()&gt;AH991,"Review Overdue",IF(AH991-TODAY()&lt;=30,"Review Due Soon","Active"))))</f>
        <v/>
      </c>
      <c r="AM991" s="63">
        <f>IF($A991="","",IF(AI991="","NOT REVIEWED",IF(TODAY()-AI991&gt;90,"OVERDUE",IF(TODAY()-AI991&gt;76,"Due Soon","Current"))))</f>
        <v/>
      </c>
    </row>
    <row r="992" ht="15" customHeight="1" s="39">
      <c r="A992" s="60" t="n"/>
      <c r="B992" s="60" t="n"/>
      <c r="C992" s="61" t="n"/>
      <c r="D992" s="61" t="n"/>
      <c r="E992" s="60" t="n"/>
      <c r="F992" s="60" t="n"/>
      <c r="G992" s="62" t="n"/>
      <c r="H992" s="62" t="n"/>
      <c r="I992" s="62" t="n"/>
      <c r="J992" s="60" t="n"/>
      <c r="K992" s="60" t="n"/>
      <c r="L992" s="60" t="n"/>
      <c r="M992" s="61" t="n"/>
      <c r="N992" s="60" t="n"/>
      <c r="O992" s="60" t="n"/>
      <c r="P992" s="60" t="n"/>
      <c r="Q992" s="60" t="n"/>
      <c r="R992" s="60" t="n"/>
      <c r="S992" s="60" t="n"/>
      <c r="T992" s="60" t="n"/>
      <c r="U992" s="60" t="n"/>
      <c r="V992" s="60" t="n"/>
      <c r="W992" s="60" t="n"/>
      <c r="X992" s="60" t="n"/>
      <c r="Y992" s="60" t="n"/>
      <c r="Z992" s="61" t="n"/>
      <c r="AA992" s="63">
        <f>IF($H992="","",TODAY()-$H992)</f>
        <v/>
      </c>
      <c r="AB992" s="63">
        <f>IF($A992="","",IF(AND($F992="Yes",OR($U992="No",$U992="NOT FOUND")),"YES",""))</f>
        <v/>
      </c>
      <c r="AC992" s="66">
        <f>IF($A992="","",TRIM(IF(AND($P992=0,$L992&lt;&gt;"Yes"),"T0-NoSmartcard ","")&amp;IF(AND($J992&lt;&gt;"",$J992&gt;365),"StalePwd ","")&amp;IF($K992="Yes","PwdNeverExpires ","")&amp;IF(AND($S992&lt;&gt;"",$S992&lt;&gt;"None"),"Delegation ","")&amp;IF(AND($Q992=1,$O992="None"),"StaleAdminCount ","")&amp;IF(AND($F992="Yes",$H992=""),"NeverLoggedOn ","")))</f>
        <v/>
      </c>
      <c r="AD992" s="60" t="n"/>
      <c r="AE992" s="61" t="n"/>
      <c r="AF992" s="60" t="n"/>
      <c r="AG992" s="62" t="n"/>
      <c r="AH992" s="62" t="n"/>
      <c r="AI992" s="62" t="n"/>
      <c r="AJ992" s="60" t="n"/>
      <c r="AK992" s="61" t="n"/>
      <c r="AL992" s="63">
        <f>IF($A992="","",IF(AH992="","Not Enrolled",IF(TODAY()&gt;AH992,"Review Overdue",IF(AH992-TODAY()&lt;=30,"Review Due Soon","Active"))))</f>
        <v/>
      </c>
      <c r="AM992" s="63">
        <f>IF($A992="","",IF(AI992="","NOT REVIEWED",IF(TODAY()-AI992&gt;90,"OVERDUE",IF(TODAY()-AI992&gt;76,"Due Soon","Current"))))</f>
        <v/>
      </c>
    </row>
    <row r="993" ht="15" customHeight="1" s="39">
      <c r="A993" s="60" t="n"/>
      <c r="B993" s="60" t="n"/>
      <c r="C993" s="61" t="n"/>
      <c r="D993" s="61" t="n"/>
      <c r="E993" s="60" t="n"/>
      <c r="F993" s="60" t="n"/>
      <c r="G993" s="62" t="n"/>
      <c r="H993" s="62" t="n"/>
      <c r="I993" s="62" t="n"/>
      <c r="J993" s="60" t="n"/>
      <c r="K993" s="60" t="n"/>
      <c r="L993" s="60" t="n"/>
      <c r="M993" s="61" t="n"/>
      <c r="N993" s="60" t="n"/>
      <c r="O993" s="60" t="n"/>
      <c r="P993" s="60" t="n"/>
      <c r="Q993" s="60" t="n"/>
      <c r="R993" s="60" t="n"/>
      <c r="S993" s="60" t="n"/>
      <c r="T993" s="60" t="n"/>
      <c r="U993" s="60" t="n"/>
      <c r="V993" s="60" t="n"/>
      <c r="W993" s="60" t="n"/>
      <c r="X993" s="60" t="n"/>
      <c r="Y993" s="60" t="n"/>
      <c r="Z993" s="61" t="n"/>
      <c r="AA993" s="63">
        <f>IF($H993="","",TODAY()-$H993)</f>
        <v/>
      </c>
      <c r="AB993" s="63">
        <f>IF($A993="","",IF(AND($F993="Yes",OR($U993="No",$U993="NOT FOUND")),"YES",""))</f>
        <v/>
      </c>
      <c r="AC993" s="66">
        <f>IF($A993="","",TRIM(IF(AND($P993=0,$L993&lt;&gt;"Yes"),"T0-NoSmartcard ","")&amp;IF(AND($J993&lt;&gt;"",$J993&gt;365),"StalePwd ","")&amp;IF($K993="Yes","PwdNeverExpires ","")&amp;IF(AND($S993&lt;&gt;"",$S993&lt;&gt;"None"),"Delegation ","")&amp;IF(AND($Q993=1,$O993="None"),"StaleAdminCount ","")&amp;IF(AND($F993="Yes",$H993=""),"NeverLoggedOn ","")))</f>
        <v/>
      </c>
      <c r="AD993" s="60" t="n"/>
      <c r="AE993" s="61" t="n"/>
      <c r="AF993" s="60" t="n"/>
      <c r="AG993" s="62" t="n"/>
      <c r="AH993" s="62" t="n"/>
      <c r="AI993" s="62" t="n"/>
      <c r="AJ993" s="60" t="n"/>
      <c r="AK993" s="61" t="n"/>
      <c r="AL993" s="63">
        <f>IF($A993="","",IF(AH993="","Not Enrolled",IF(TODAY()&gt;AH993,"Review Overdue",IF(AH993-TODAY()&lt;=30,"Review Due Soon","Active"))))</f>
        <v/>
      </c>
      <c r="AM993" s="63">
        <f>IF($A993="","",IF(AI993="","NOT REVIEWED",IF(TODAY()-AI993&gt;90,"OVERDUE",IF(TODAY()-AI993&gt;76,"Due Soon","Current"))))</f>
        <v/>
      </c>
    </row>
    <row r="994" ht="15" customHeight="1" s="39">
      <c r="A994" s="60" t="n"/>
      <c r="B994" s="60" t="n"/>
      <c r="C994" s="61" t="n"/>
      <c r="D994" s="61" t="n"/>
      <c r="E994" s="60" t="n"/>
      <c r="F994" s="60" t="n"/>
      <c r="G994" s="62" t="n"/>
      <c r="H994" s="62" t="n"/>
      <c r="I994" s="62" t="n"/>
      <c r="J994" s="60" t="n"/>
      <c r="K994" s="60" t="n"/>
      <c r="L994" s="60" t="n"/>
      <c r="M994" s="61" t="n"/>
      <c r="N994" s="60" t="n"/>
      <c r="O994" s="60" t="n"/>
      <c r="P994" s="60" t="n"/>
      <c r="Q994" s="60" t="n"/>
      <c r="R994" s="60" t="n"/>
      <c r="S994" s="60" t="n"/>
      <c r="T994" s="60" t="n"/>
      <c r="U994" s="60" t="n"/>
      <c r="V994" s="60" t="n"/>
      <c r="W994" s="60" t="n"/>
      <c r="X994" s="60" t="n"/>
      <c r="Y994" s="60" t="n"/>
      <c r="Z994" s="61" t="n"/>
      <c r="AA994" s="63">
        <f>IF($H994="","",TODAY()-$H994)</f>
        <v/>
      </c>
      <c r="AB994" s="63">
        <f>IF($A994="","",IF(AND($F994="Yes",OR($U994="No",$U994="NOT FOUND")),"YES",""))</f>
        <v/>
      </c>
      <c r="AC994" s="66">
        <f>IF($A994="","",TRIM(IF(AND($P994=0,$L994&lt;&gt;"Yes"),"T0-NoSmartcard ","")&amp;IF(AND($J994&lt;&gt;"",$J994&gt;365),"StalePwd ","")&amp;IF($K994="Yes","PwdNeverExpires ","")&amp;IF(AND($S994&lt;&gt;"",$S994&lt;&gt;"None"),"Delegation ","")&amp;IF(AND($Q994=1,$O994="None"),"StaleAdminCount ","")&amp;IF(AND($F994="Yes",$H994=""),"NeverLoggedOn ","")))</f>
        <v/>
      </c>
      <c r="AD994" s="60" t="n"/>
      <c r="AE994" s="61" t="n"/>
      <c r="AF994" s="60" t="n"/>
      <c r="AG994" s="62" t="n"/>
      <c r="AH994" s="62" t="n"/>
      <c r="AI994" s="62" t="n"/>
      <c r="AJ994" s="60" t="n"/>
      <c r="AK994" s="61" t="n"/>
      <c r="AL994" s="63">
        <f>IF($A994="","",IF(AH994="","Not Enrolled",IF(TODAY()&gt;AH994,"Review Overdue",IF(AH994-TODAY()&lt;=30,"Review Due Soon","Active"))))</f>
        <v/>
      </c>
      <c r="AM994" s="63">
        <f>IF($A994="","",IF(AI994="","NOT REVIEWED",IF(TODAY()-AI994&gt;90,"OVERDUE",IF(TODAY()-AI994&gt;76,"Due Soon","Current"))))</f>
        <v/>
      </c>
    </row>
    <row r="995" ht="15" customHeight="1" s="39">
      <c r="A995" s="60" t="n"/>
      <c r="B995" s="60" t="n"/>
      <c r="C995" s="61" t="n"/>
      <c r="D995" s="61" t="n"/>
      <c r="E995" s="60" t="n"/>
      <c r="F995" s="60" t="n"/>
      <c r="G995" s="62" t="n"/>
      <c r="H995" s="62" t="n"/>
      <c r="I995" s="62" t="n"/>
      <c r="J995" s="60" t="n"/>
      <c r="K995" s="60" t="n"/>
      <c r="L995" s="60" t="n"/>
      <c r="M995" s="61" t="n"/>
      <c r="N995" s="60" t="n"/>
      <c r="O995" s="60" t="n"/>
      <c r="P995" s="60" t="n"/>
      <c r="Q995" s="60" t="n"/>
      <c r="R995" s="60" t="n"/>
      <c r="S995" s="60" t="n"/>
      <c r="T995" s="60" t="n"/>
      <c r="U995" s="60" t="n"/>
      <c r="V995" s="60" t="n"/>
      <c r="W995" s="60" t="n"/>
      <c r="X995" s="60" t="n"/>
      <c r="Y995" s="60" t="n"/>
      <c r="Z995" s="61" t="n"/>
      <c r="AA995" s="63">
        <f>IF($H995="","",TODAY()-$H995)</f>
        <v/>
      </c>
      <c r="AB995" s="63">
        <f>IF($A995="","",IF(AND($F995="Yes",OR($U995="No",$U995="NOT FOUND")),"YES",""))</f>
        <v/>
      </c>
      <c r="AC995" s="66">
        <f>IF($A995="","",TRIM(IF(AND($P995=0,$L995&lt;&gt;"Yes"),"T0-NoSmartcard ","")&amp;IF(AND($J995&lt;&gt;"",$J995&gt;365),"StalePwd ","")&amp;IF($K995="Yes","PwdNeverExpires ","")&amp;IF(AND($S995&lt;&gt;"",$S995&lt;&gt;"None"),"Delegation ","")&amp;IF(AND($Q995=1,$O995="None"),"StaleAdminCount ","")&amp;IF(AND($F995="Yes",$H995=""),"NeverLoggedOn ","")))</f>
        <v/>
      </c>
      <c r="AD995" s="60" t="n"/>
      <c r="AE995" s="61" t="n"/>
      <c r="AF995" s="60" t="n"/>
      <c r="AG995" s="62" t="n"/>
      <c r="AH995" s="62" t="n"/>
      <c r="AI995" s="62" t="n"/>
      <c r="AJ995" s="60" t="n"/>
      <c r="AK995" s="61" t="n"/>
      <c r="AL995" s="63">
        <f>IF($A995="","",IF(AH995="","Not Enrolled",IF(TODAY()&gt;AH995,"Review Overdue",IF(AH995-TODAY()&lt;=30,"Review Due Soon","Active"))))</f>
        <v/>
      </c>
      <c r="AM995" s="63">
        <f>IF($A995="","",IF(AI995="","NOT REVIEWED",IF(TODAY()-AI995&gt;90,"OVERDUE",IF(TODAY()-AI995&gt;76,"Due Soon","Current"))))</f>
        <v/>
      </c>
    </row>
    <row r="996" ht="15" customHeight="1" s="39">
      <c r="A996" s="60" t="n"/>
      <c r="B996" s="60" t="n"/>
      <c r="C996" s="61" t="n"/>
      <c r="D996" s="61" t="n"/>
      <c r="E996" s="60" t="n"/>
      <c r="F996" s="60" t="n"/>
      <c r="G996" s="62" t="n"/>
      <c r="H996" s="62" t="n"/>
      <c r="I996" s="62" t="n"/>
      <c r="J996" s="60" t="n"/>
      <c r="K996" s="60" t="n"/>
      <c r="L996" s="60" t="n"/>
      <c r="M996" s="61" t="n"/>
      <c r="N996" s="60" t="n"/>
      <c r="O996" s="60" t="n"/>
      <c r="P996" s="60" t="n"/>
      <c r="Q996" s="60" t="n"/>
      <c r="R996" s="60" t="n"/>
      <c r="S996" s="60" t="n"/>
      <c r="T996" s="60" t="n"/>
      <c r="U996" s="60" t="n"/>
      <c r="V996" s="60" t="n"/>
      <c r="W996" s="60" t="n"/>
      <c r="X996" s="60" t="n"/>
      <c r="Y996" s="60" t="n"/>
      <c r="Z996" s="61" t="n"/>
      <c r="AA996" s="63">
        <f>IF($H996="","",TODAY()-$H996)</f>
        <v/>
      </c>
      <c r="AB996" s="63">
        <f>IF($A996="","",IF(AND($F996="Yes",OR($U996="No",$U996="NOT FOUND")),"YES",""))</f>
        <v/>
      </c>
      <c r="AC996" s="66">
        <f>IF($A996="","",TRIM(IF(AND($P996=0,$L996&lt;&gt;"Yes"),"T0-NoSmartcard ","")&amp;IF(AND($J996&lt;&gt;"",$J996&gt;365),"StalePwd ","")&amp;IF($K996="Yes","PwdNeverExpires ","")&amp;IF(AND($S996&lt;&gt;"",$S996&lt;&gt;"None"),"Delegation ","")&amp;IF(AND($Q996=1,$O996="None"),"StaleAdminCount ","")&amp;IF(AND($F996="Yes",$H996=""),"NeverLoggedOn ","")))</f>
        <v/>
      </c>
      <c r="AD996" s="60" t="n"/>
      <c r="AE996" s="61" t="n"/>
      <c r="AF996" s="60" t="n"/>
      <c r="AG996" s="62" t="n"/>
      <c r="AH996" s="62" t="n"/>
      <c r="AI996" s="62" t="n"/>
      <c r="AJ996" s="60" t="n"/>
      <c r="AK996" s="61" t="n"/>
      <c r="AL996" s="63">
        <f>IF($A996="","",IF(AH996="","Not Enrolled",IF(TODAY()&gt;AH996,"Review Overdue",IF(AH996-TODAY()&lt;=30,"Review Due Soon","Active"))))</f>
        <v/>
      </c>
      <c r="AM996" s="63">
        <f>IF($A996="","",IF(AI996="","NOT REVIEWED",IF(TODAY()-AI996&gt;90,"OVERDUE",IF(TODAY()-AI996&gt;76,"Due Soon","Current"))))</f>
        <v/>
      </c>
    </row>
    <row r="997" ht="15" customHeight="1" s="39">
      <c r="A997" s="60" t="n"/>
      <c r="B997" s="60" t="n"/>
      <c r="C997" s="61" t="n"/>
      <c r="D997" s="61" t="n"/>
      <c r="E997" s="60" t="n"/>
      <c r="F997" s="60" t="n"/>
      <c r="G997" s="62" t="n"/>
      <c r="H997" s="62" t="n"/>
      <c r="I997" s="62" t="n"/>
      <c r="J997" s="60" t="n"/>
      <c r="K997" s="60" t="n"/>
      <c r="L997" s="60" t="n"/>
      <c r="M997" s="61" t="n"/>
      <c r="N997" s="60" t="n"/>
      <c r="O997" s="60" t="n"/>
      <c r="P997" s="60" t="n"/>
      <c r="Q997" s="60" t="n"/>
      <c r="R997" s="60" t="n"/>
      <c r="S997" s="60" t="n"/>
      <c r="T997" s="60" t="n"/>
      <c r="U997" s="60" t="n"/>
      <c r="V997" s="60" t="n"/>
      <c r="W997" s="60" t="n"/>
      <c r="X997" s="60" t="n"/>
      <c r="Y997" s="60" t="n"/>
      <c r="Z997" s="61" t="n"/>
      <c r="AA997" s="63">
        <f>IF($H997="","",TODAY()-$H997)</f>
        <v/>
      </c>
      <c r="AB997" s="63">
        <f>IF($A997="","",IF(AND($F997="Yes",OR($U997="No",$U997="NOT FOUND")),"YES",""))</f>
        <v/>
      </c>
      <c r="AC997" s="66">
        <f>IF($A997="","",TRIM(IF(AND($P997=0,$L997&lt;&gt;"Yes"),"T0-NoSmartcard ","")&amp;IF(AND($J997&lt;&gt;"",$J997&gt;365),"StalePwd ","")&amp;IF($K997="Yes","PwdNeverExpires ","")&amp;IF(AND($S997&lt;&gt;"",$S997&lt;&gt;"None"),"Delegation ","")&amp;IF(AND($Q997=1,$O997="None"),"StaleAdminCount ","")&amp;IF(AND($F997="Yes",$H997=""),"NeverLoggedOn ","")))</f>
        <v/>
      </c>
      <c r="AD997" s="60" t="n"/>
      <c r="AE997" s="61" t="n"/>
      <c r="AF997" s="60" t="n"/>
      <c r="AG997" s="62" t="n"/>
      <c r="AH997" s="62" t="n"/>
      <c r="AI997" s="62" t="n"/>
      <c r="AJ997" s="60" t="n"/>
      <c r="AK997" s="61" t="n"/>
      <c r="AL997" s="63">
        <f>IF($A997="","",IF(AH997="","Not Enrolled",IF(TODAY()&gt;AH997,"Review Overdue",IF(AH997-TODAY()&lt;=30,"Review Due Soon","Active"))))</f>
        <v/>
      </c>
      <c r="AM997" s="63">
        <f>IF($A997="","",IF(AI997="","NOT REVIEWED",IF(TODAY()-AI997&gt;90,"OVERDUE",IF(TODAY()-AI997&gt;76,"Due Soon","Current"))))</f>
        <v/>
      </c>
    </row>
    <row r="998" ht="15" customHeight="1" s="39">
      <c r="A998" s="60" t="n"/>
      <c r="B998" s="60" t="n"/>
      <c r="C998" s="61" t="n"/>
      <c r="D998" s="61" t="n"/>
      <c r="E998" s="60" t="n"/>
      <c r="F998" s="60" t="n"/>
      <c r="G998" s="62" t="n"/>
      <c r="H998" s="62" t="n"/>
      <c r="I998" s="62" t="n"/>
      <c r="J998" s="60" t="n"/>
      <c r="K998" s="60" t="n"/>
      <c r="L998" s="60" t="n"/>
      <c r="M998" s="61" t="n"/>
      <c r="N998" s="60" t="n"/>
      <c r="O998" s="60" t="n"/>
      <c r="P998" s="60" t="n"/>
      <c r="Q998" s="60" t="n"/>
      <c r="R998" s="60" t="n"/>
      <c r="S998" s="60" t="n"/>
      <c r="T998" s="60" t="n"/>
      <c r="U998" s="60" t="n"/>
      <c r="V998" s="60" t="n"/>
      <c r="W998" s="60" t="n"/>
      <c r="X998" s="60" t="n"/>
      <c r="Y998" s="60" t="n"/>
      <c r="Z998" s="61" t="n"/>
      <c r="AA998" s="63">
        <f>IF($H998="","",TODAY()-$H998)</f>
        <v/>
      </c>
      <c r="AB998" s="63">
        <f>IF($A998="","",IF(AND($F998="Yes",OR($U998="No",$U998="NOT FOUND")),"YES",""))</f>
        <v/>
      </c>
      <c r="AC998" s="66">
        <f>IF($A998="","",TRIM(IF(AND($P998=0,$L998&lt;&gt;"Yes"),"T0-NoSmartcard ","")&amp;IF(AND($J998&lt;&gt;"",$J998&gt;365),"StalePwd ","")&amp;IF($K998="Yes","PwdNeverExpires ","")&amp;IF(AND($S998&lt;&gt;"",$S998&lt;&gt;"None"),"Delegation ","")&amp;IF(AND($Q998=1,$O998="None"),"StaleAdminCount ","")&amp;IF(AND($F998="Yes",$H998=""),"NeverLoggedOn ","")))</f>
        <v/>
      </c>
      <c r="AD998" s="60" t="n"/>
      <c r="AE998" s="61" t="n"/>
      <c r="AF998" s="60" t="n"/>
      <c r="AG998" s="62" t="n"/>
      <c r="AH998" s="62" t="n"/>
      <c r="AI998" s="62" t="n"/>
      <c r="AJ998" s="60" t="n"/>
      <c r="AK998" s="61" t="n"/>
      <c r="AL998" s="63">
        <f>IF($A998="","",IF(AH998="","Not Enrolled",IF(TODAY()&gt;AH998,"Review Overdue",IF(AH998-TODAY()&lt;=30,"Review Due Soon","Active"))))</f>
        <v/>
      </c>
      <c r="AM998" s="63">
        <f>IF($A998="","",IF(AI998="","NOT REVIEWED",IF(TODAY()-AI998&gt;90,"OVERDUE",IF(TODAY()-AI998&gt;76,"Due Soon","Current"))))</f>
        <v/>
      </c>
    </row>
    <row r="999" ht="15" customHeight="1" s="39">
      <c r="A999" s="60" t="n"/>
      <c r="B999" s="60" t="n"/>
      <c r="C999" s="61" t="n"/>
      <c r="D999" s="61" t="n"/>
      <c r="E999" s="60" t="n"/>
      <c r="F999" s="60" t="n"/>
      <c r="G999" s="62" t="n"/>
      <c r="H999" s="62" t="n"/>
      <c r="I999" s="62" t="n"/>
      <c r="J999" s="60" t="n"/>
      <c r="K999" s="60" t="n"/>
      <c r="L999" s="60" t="n"/>
      <c r="M999" s="61" t="n"/>
      <c r="N999" s="60" t="n"/>
      <c r="O999" s="60" t="n"/>
      <c r="P999" s="60" t="n"/>
      <c r="Q999" s="60" t="n"/>
      <c r="R999" s="60" t="n"/>
      <c r="S999" s="60" t="n"/>
      <c r="T999" s="60" t="n"/>
      <c r="U999" s="60" t="n"/>
      <c r="V999" s="60" t="n"/>
      <c r="W999" s="60" t="n"/>
      <c r="X999" s="60" t="n"/>
      <c r="Y999" s="60" t="n"/>
      <c r="Z999" s="61" t="n"/>
      <c r="AA999" s="63">
        <f>IF($H999="","",TODAY()-$H999)</f>
        <v/>
      </c>
      <c r="AB999" s="63">
        <f>IF($A999="","",IF(AND($F999="Yes",OR($U999="No",$U999="NOT FOUND")),"YES",""))</f>
        <v/>
      </c>
      <c r="AC999" s="66">
        <f>IF($A999="","",TRIM(IF(AND($P999=0,$L999&lt;&gt;"Yes"),"T0-NoSmartcard ","")&amp;IF(AND($J999&lt;&gt;"",$J999&gt;365),"StalePwd ","")&amp;IF($K999="Yes","PwdNeverExpires ","")&amp;IF(AND($S999&lt;&gt;"",$S999&lt;&gt;"None"),"Delegation ","")&amp;IF(AND($Q999=1,$O999="None"),"StaleAdminCount ","")&amp;IF(AND($F999="Yes",$H999=""),"NeverLoggedOn ","")))</f>
        <v/>
      </c>
      <c r="AD999" s="60" t="n"/>
      <c r="AE999" s="61" t="n"/>
      <c r="AF999" s="60" t="n"/>
      <c r="AG999" s="62" t="n"/>
      <c r="AH999" s="62" t="n"/>
      <c r="AI999" s="62" t="n"/>
      <c r="AJ999" s="60" t="n"/>
      <c r="AK999" s="61" t="n"/>
      <c r="AL999" s="63">
        <f>IF($A999="","",IF(AH999="","Not Enrolled",IF(TODAY()&gt;AH999,"Review Overdue",IF(AH999-TODAY()&lt;=30,"Review Due Soon","Active"))))</f>
        <v/>
      </c>
      <c r="AM999" s="63">
        <f>IF($A999="","",IF(AI999="","NOT REVIEWED",IF(TODAY()-AI999&gt;90,"OVERDUE",IF(TODAY()-AI999&gt;76,"Due Soon","Current"))))</f>
        <v/>
      </c>
    </row>
    <row r="1000" ht="15" customHeight="1" s="39">
      <c r="A1000" s="60" t="n"/>
      <c r="B1000" s="60" t="n"/>
      <c r="C1000" s="61" t="n"/>
      <c r="D1000" s="61" t="n"/>
      <c r="E1000" s="60" t="n"/>
      <c r="F1000" s="60" t="n"/>
      <c r="G1000" s="62" t="n"/>
      <c r="H1000" s="62" t="n"/>
      <c r="I1000" s="62" t="n"/>
      <c r="J1000" s="60" t="n"/>
      <c r="K1000" s="60" t="n"/>
      <c r="L1000" s="60" t="n"/>
      <c r="M1000" s="61" t="n"/>
      <c r="N1000" s="60" t="n"/>
      <c r="O1000" s="60" t="n"/>
      <c r="P1000" s="60" t="n"/>
      <c r="Q1000" s="60" t="n"/>
      <c r="R1000" s="60" t="n"/>
      <c r="S1000" s="60" t="n"/>
      <c r="T1000" s="60" t="n"/>
      <c r="U1000" s="60" t="n"/>
      <c r="V1000" s="60" t="n"/>
      <c r="W1000" s="60" t="n"/>
      <c r="X1000" s="60" t="n"/>
      <c r="Y1000" s="60" t="n"/>
      <c r="Z1000" s="61" t="n"/>
      <c r="AA1000" s="63">
        <f>IF($H1000="","",TODAY()-$H1000)</f>
        <v/>
      </c>
      <c r="AB1000" s="63">
        <f>IF($A1000="","",IF(AND($F1000="Yes",OR($U1000="No",$U1000="NOT FOUND")),"YES",""))</f>
        <v/>
      </c>
      <c r="AC1000" s="66">
        <f>IF($A1000="","",TRIM(IF(AND($P1000=0,$L1000&lt;&gt;"Yes"),"T0-NoSmartcard ","")&amp;IF(AND($J1000&lt;&gt;"",$J1000&gt;365),"StalePwd ","")&amp;IF($K1000="Yes","PwdNeverExpires ","")&amp;IF(AND($S1000&lt;&gt;"",$S1000&lt;&gt;"None"),"Delegation ","")&amp;IF(AND($Q1000=1,$O1000="None"),"StaleAdminCount ","")&amp;IF(AND($F1000="Yes",$H1000=""),"NeverLoggedOn ","")))</f>
        <v/>
      </c>
      <c r="AD1000" s="60" t="n"/>
      <c r="AE1000" s="61" t="n"/>
      <c r="AF1000" s="60" t="n"/>
      <c r="AG1000" s="62" t="n"/>
      <c r="AH1000" s="62" t="n"/>
      <c r="AI1000" s="62" t="n"/>
      <c r="AJ1000" s="60" t="n"/>
      <c r="AK1000" s="61" t="n"/>
      <c r="AL1000" s="63">
        <f>IF($A1000="","",IF(AH1000="","Not Enrolled",IF(TODAY()&gt;AH1000,"Review Overdue",IF(AH1000-TODAY()&lt;=30,"Review Due Soon","Active"))))</f>
        <v/>
      </c>
      <c r="AM1000" s="63">
        <f>IF($A1000="","",IF(AI1000="","NOT REVIEWED",IF(TODAY()-AI1000&gt;90,"OVERDUE",IF(TODAY()-AI1000&gt;76,"Due Soon","Current"))))</f>
        <v/>
      </c>
    </row>
    <row r="1001" ht="15" customHeight="1" s="39">
      <c r="A1001" s="60" t="n"/>
      <c r="B1001" s="60" t="n"/>
      <c r="C1001" s="61" t="n"/>
      <c r="D1001" s="61" t="n"/>
      <c r="E1001" s="60" t="n"/>
      <c r="F1001" s="60" t="n"/>
      <c r="G1001" s="62" t="n"/>
      <c r="H1001" s="62" t="n"/>
      <c r="I1001" s="62" t="n"/>
      <c r="J1001" s="60" t="n"/>
      <c r="K1001" s="60" t="n"/>
      <c r="L1001" s="60" t="n"/>
      <c r="M1001" s="61" t="n"/>
      <c r="N1001" s="60" t="n"/>
      <c r="O1001" s="60" t="n"/>
      <c r="P1001" s="60" t="n"/>
      <c r="Q1001" s="60" t="n"/>
      <c r="R1001" s="60" t="n"/>
      <c r="S1001" s="60" t="n"/>
      <c r="T1001" s="60" t="n"/>
      <c r="U1001" s="60" t="n"/>
      <c r="V1001" s="60" t="n"/>
      <c r="W1001" s="60" t="n"/>
      <c r="X1001" s="60" t="n"/>
      <c r="Y1001" s="60" t="n"/>
      <c r="Z1001" s="61" t="n"/>
      <c r="AA1001" s="63">
        <f>IF($H1001="","",TODAY()-$H1001)</f>
        <v/>
      </c>
      <c r="AB1001" s="63">
        <f>IF($A1001="","",IF(AND($F1001="Yes",OR($U1001="No",$U1001="NOT FOUND")),"YES",""))</f>
        <v/>
      </c>
      <c r="AC1001" s="66">
        <f>IF($A1001="","",TRIM(IF(AND($P1001=0,$L1001&lt;&gt;"Yes"),"T0-NoSmartcard ","")&amp;IF(AND($J1001&lt;&gt;"",$J1001&gt;365),"StalePwd ","")&amp;IF($K1001="Yes","PwdNeverExpires ","")&amp;IF(AND($S1001&lt;&gt;"",$S1001&lt;&gt;"None"),"Delegation ","")&amp;IF(AND($Q1001=1,$O1001="None"),"StaleAdminCount ","")&amp;IF(AND($F1001="Yes",$H1001=""),"NeverLoggedOn ","")))</f>
        <v/>
      </c>
      <c r="AD1001" s="60" t="n"/>
      <c r="AE1001" s="61" t="n"/>
      <c r="AF1001" s="60" t="n"/>
      <c r="AG1001" s="62" t="n"/>
      <c r="AH1001" s="62" t="n"/>
      <c r="AI1001" s="62" t="n"/>
      <c r="AJ1001" s="60" t="n"/>
      <c r="AK1001" s="61" t="n"/>
      <c r="AL1001" s="63">
        <f>IF($A1001="","",IF(AH1001="","Not Enrolled",IF(TODAY()&gt;AH1001,"Review Overdue",IF(AH1001-TODAY()&lt;=30,"Review Due Soon","Active"))))</f>
        <v/>
      </c>
      <c r="AM1001" s="63">
        <f>IF($A1001="","",IF(AI1001="","NOT REVIEWED",IF(TODAY()-AI1001&gt;90,"OVERDUE",IF(TODAY()-AI1001&gt;76,"Due Soon","Current"))))</f>
        <v/>
      </c>
    </row>
  </sheetData>
  <autoFilter ref="A1:AM1001"/>
  <conditionalFormatting sqref="P2:P1001">
    <cfRule type="expression" rank="0" priority="2" equalAverage="0" aboveAverage="0" dxfId="9" text="" percent="0" bottom="0">
      <formula>P2=0</formula>
    </cfRule>
    <cfRule type="expression" rank="0" priority="3" equalAverage="0" aboveAverage="0" dxfId="10" text="" percent="0" bottom="0">
      <formula>P2=1</formula>
    </cfRule>
  </conditionalFormatting>
  <conditionalFormatting sqref="AB2:AB1001">
    <cfRule type="expression" rank="0" priority="4" equalAverage="0" aboveAverage="0" dxfId="9" text="" percent="0" bottom="0">
      <formula>AB2="YES"</formula>
    </cfRule>
  </conditionalFormatting>
  <conditionalFormatting sqref="AC2:AC1001">
    <cfRule type="expression" rank="0" priority="5" equalAverage="0" aboveAverage="0" dxfId="9" text="" percent="0" bottom="0">
      <formula>ISNUMBER(SEARCH("T0-",AC2))</formula>
    </cfRule>
    <cfRule type="expression" rank="0" priority="6" equalAverage="0" aboveAverage="0" dxfId="10" text="" percent="0" bottom="0">
      <formula>AND(AC2&lt;&gt;"",NOT(ISNUMBER(SEARCH("T0-",AC2))))</formula>
    </cfRule>
  </conditionalFormatting>
  <conditionalFormatting sqref="AL2:AL1001">
    <cfRule type="expression" rank="0" priority="7" equalAverage="0" aboveAverage="0" dxfId="9" text="" percent="0" bottom="0">
      <formula>OR(AL2="Review Overdue",AL2="Not Enrolled")</formula>
    </cfRule>
    <cfRule type="expression" rank="0" priority="8" equalAverage="0" aboveAverage="0" dxfId="10" text="" percent="0" bottom="0">
      <formula>AL2="Review Due Soon"</formula>
    </cfRule>
    <cfRule type="expression" rank="0" priority="9" equalAverage="0" aboveAverage="0" dxfId="11" text="" percent="0" bottom="0">
      <formula>AL2="Active"</formula>
    </cfRule>
  </conditionalFormatting>
  <conditionalFormatting sqref="AM2:AM1001">
    <cfRule type="expression" rank="0" priority="10" equalAverage="0" aboveAverage="0" dxfId="9" text="" percent="0" bottom="0">
      <formula>OR(AM2="OVERDUE",AM2="NOT REVIEWED")</formula>
    </cfRule>
    <cfRule type="expression" rank="0" priority="11" equalAverage="0" aboveAverage="0" dxfId="10" text="" percent="0" bottom="0">
      <formula>AM2="Due Soon"</formula>
    </cfRule>
  </conditionalFormatting>
  <conditionalFormatting sqref="L2:L1001">
    <cfRule type="expression" rank="0" priority="12" equalAverage="0" aboveAverage="0" dxfId="9" text="" percent="0" bottom="0">
      <formula>AND(L2="No",$P2=0)</formula>
    </cfRule>
  </conditionalFormatting>
  <dataValidations count="3">
    <dataValidation sqref="AD2:AD1001" showDropDown="0" showInputMessage="0" showErrorMessage="0" allowBlank="1" type="list" errorStyle="warning" operator="between">
      <formula1>Reference!$C$2:$C$7</formula1>
      <formula2>0</formula2>
    </dataValidation>
    <dataValidation sqref="AF2:AF1001" showDropDown="0" showInputMessage="0" showErrorMessage="0" allowBlank="1" type="list" errorStyle="warning" operator="between">
      <formula1>Reference!$D$2:$D$7</formula1>
      <formula2>0</formula2>
    </dataValidation>
    <dataValidation sqref="AJ2:AJ1001" showDropDown="0" showInputMessage="0" showErrorMessage="0" allowBlank="1" type="list" errorStyle="warning" operator="between">
      <formula1>Reference!$B$2:$B$8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tabColor rgb="FFC00000"/>
    <outlinePr summaryBelow="1" summaryRight="1"/>
    <pageSetUpPr fitToPage="0"/>
  </sheetPr>
  <dimension ref="A1:D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44" customWidth="1" style="38" min="2" max="2"/>
    <col width="14" customWidth="1" style="38" min="3" max="3"/>
    <col width="74" customWidth="1" style="38" min="4" max="4"/>
  </cols>
  <sheetData>
    <row r="1" ht="19.7" customHeight="1" s="39">
      <c r="A1" s="40" t="inlineStr">
        <is>
          <t>Role tiering model</t>
        </is>
      </c>
    </row>
    <row r="2" ht="15" customHeight="1" s="39">
      <c r="A2" s="49" t="inlineStr">
        <is>
          <t>Reference only. Tiers are assigned by the collection scripts - to change the model, edit the $RoleTiers / $GroupTiers table at the top of each script and re-run.</t>
        </is>
      </c>
    </row>
    <row r="4" ht="15" customHeight="1" s="39">
      <c r="A4" s="68" t="inlineStr">
        <is>
          <t>Tier</t>
        </is>
      </c>
      <c r="B4" s="68" t="inlineStr">
        <is>
          <t>Role / Group</t>
        </is>
      </c>
      <c r="C4" s="68" t="inlineStr">
        <is>
          <t>Plane</t>
        </is>
      </c>
      <c r="D4" s="68" t="inlineStr">
        <is>
          <t>Why this tier</t>
        </is>
      </c>
    </row>
    <row r="5" ht="15" customHeight="1" s="39">
      <c r="A5" s="69" t="n">
        <v>0</v>
      </c>
      <c r="B5" s="70" t="inlineStr">
        <is>
          <t>Global Administrator</t>
        </is>
      </c>
      <c r="C5" s="70" t="inlineStr">
        <is>
          <t>Entra</t>
        </is>
      </c>
      <c r="D5" s="71" t="inlineStr">
        <is>
          <t>Unrestricted control of the tenant.</t>
        </is>
      </c>
    </row>
    <row r="6" ht="15" customHeight="1" s="39">
      <c r="A6" s="69" t="n">
        <v>0</v>
      </c>
      <c r="B6" s="70" t="inlineStr">
        <is>
          <t>Privileged Role Administrator</t>
        </is>
      </c>
      <c r="C6" s="70" t="inlineStr">
        <is>
          <t>Entra</t>
        </is>
      </c>
      <c r="D6" s="71" t="inlineStr">
        <is>
          <t>Can grant any directory role, including Global Administrator.</t>
        </is>
      </c>
    </row>
    <row r="7" ht="15" customHeight="1" s="39">
      <c r="A7" s="69" t="n">
        <v>0</v>
      </c>
      <c r="B7" s="70" t="inlineStr">
        <is>
          <t>Privileged Authentication Administrator</t>
        </is>
      </c>
      <c r="C7" s="70" t="inlineStr">
        <is>
          <t>Entra</t>
        </is>
      </c>
      <c r="D7" s="71" t="inlineStr">
        <is>
          <t>Can reset credentials for any user, including Global Administrators.</t>
        </is>
      </c>
    </row>
    <row r="8" ht="23.85" customHeight="1" s="39">
      <c r="A8" s="69" t="n">
        <v>0</v>
      </c>
      <c r="B8" s="70" t="inlineStr">
        <is>
          <t>Application Administrator</t>
        </is>
      </c>
      <c r="C8" s="70" t="inlineStr">
        <is>
          <t>Entra</t>
        </is>
      </c>
      <c r="D8" s="71" t="inlineStr">
        <is>
          <t>Can add credentials to any service principal, including highly privileged ones. A well-known escalation path to full tenant control.</t>
        </is>
      </c>
    </row>
    <row r="9" ht="15" customHeight="1" s="39">
      <c r="A9" s="69" t="n">
        <v>0</v>
      </c>
      <c r="B9" s="70" t="inlineStr">
        <is>
          <t>Cloud Application Administrator</t>
        </is>
      </c>
      <c r="C9" s="70" t="inlineStr">
        <is>
          <t>Entra</t>
        </is>
      </c>
      <c r="D9" s="71" t="inlineStr">
        <is>
          <t>As above, excluding on-premises application proxy.</t>
        </is>
      </c>
    </row>
    <row r="10" ht="15" customHeight="1" s="39">
      <c r="A10" s="69" t="n">
        <v>0</v>
      </c>
      <c r="B10" s="70" t="inlineStr">
        <is>
          <t>Hybrid Identity Administrator</t>
        </is>
      </c>
      <c r="C10" s="70" t="inlineStr">
        <is>
          <t>Entra</t>
        </is>
      </c>
      <c r="D10" s="71" t="inlineStr">
        <is>
          <t>Controls the sync configuration bridging AD and Entra - compromise reaches both planes.</t>
        </is>
      </c>
    </row>
    <row r="11" ht="15" customHeight="1" s="39">
      <c r="A11" s="69" t="n">
        <v>0</v>
      </c>
      <c r="B11" s="70" t="inlineStr">
        <is>
          <t>Owner</t>
        </is>
      </c>
      <c r="C11" s="70" t="inlineStr">
        <is>
          <t>Azure RBAC</t>
        </is>
      </c>
      <c r="D11" s="71" t="inlineStr">
        <is>
          <t>Full control of the scope including the ability to grant access to others.</t>
        </is>
      </c>
    </row>
    <row r="12" ht="15" customHeight="1" s="39">
      <c r="A12" s="69" t="n">
        <v>0</v>
      </c>
      <c r="B12" s="70" t="inlineStr">
        <is>
          <t>User Access Administrator</t>
        </is>
      </c>
      <c r="C12" s="70" t="inlineStr">
        <is>
          <t>Azure RBAC</t>
        </is>
      </c>
      <c r="D12" s="71" t="inlineStr">
        <is>
          <t>Can grant itself and anyone else any role at the scope.</t>
        </is>
      </c>
    </row>
    <row r="13" ht="15" customHeight="1" s="39">
      <c r="A13" s="69" t="n">
        <v>0</v>
      </c>
      <c r="B13" s="70" t="inlineStr">
        <is>
          <t>Role Based Access Control Administrator</t>
        </is>
      </c>
      <c r="C13" s="70" t="inlineStr">
        <is>
          <t>Azure RBAC</t>
        </is>
      </c>
      <c r="D13" s="71" t="inlineStr">
        <is>
          <t>Can manage role assignments at the scope.</t>
        </is>
      </c>
    </row>
    <row r="14" ht="15" customHeight="1" s="39">
      <c r="A14" s="69" t="n">
        <v>0</v>
      </c>
      <c r="B14" s="70" t="inlineStr">
        <is>
          <t>Domain Admins</t>
        </is>
      </c>
      <c r="C14" s="70" t="inlineStr">
        <is>
          <t>AD</t>
        </is>
      </c>
      <c r="D14" s="71" t="inlineStr">
        <is>
          <t>Full control of the domain.</t>
        </is>
      </c>
    </row>
    <row r="15" ht="15" customHeight="1" s="39">
      <c r="A15" s="69" t="n">
        <v>0</v>
      </c>
      <c r="B15" s="70" t="inlineStr">
        <is>
          <t>Enterprise Admins</t>
        </is>
      </c>
      <c r="C15" s="70" t="inlineStr">
        <is>
          <t>AD</t>
        </is>
      </c>
      <c r="D15" s="71" t="inlineStr">
        <is>
          <t>Full control of the forest.</t>
        </is>
      </c>
    </row>
    <row r="16" ht="15" customHeight="1" s="39">
      <c r="A16" s="69" t="n">
        <v>0</v>
      </c>
      <c r="B16" s="70" t="inlineStr">
        <is>
          <t>Schema Admins</t>
        </is>
      </c>
      <c r="C16" s="70" t="inlineStr">
        <is>
          <t>AD</t>
        </is>
      </c>
      <c r="D16" s="71" t="inlineStr">
        <is>
          <t>Can modify the schema - permanent, forest-wide, effectively irreversible.</t>
        </is>
      </c>
    </row>
    <row r="17" ht="15" customHeight="1" s="39">
      <c r="A17" s="69" t="n">
        <v>0</v>
      </c>
      <c r="B17" s="70" t="inlineStr">
        <is>
          <t>Administrators (builtin)</t>
        </is>
      </c>
      <c r="C17" s="70" t="inlineStr">
        <is>
          <t>AD</t>
        </is>
      </c>
      <c r="D17" s="71" t="inlineStr">
        <is>
          <t>Full control of domain controllers.</t>
        </is>
      </c>
    </row>
    <row r="18" ht="15" customHeight="1" s="39">
      <c r="A18" s="69" t="n">
        <v>0</v>
      </c>
      <c r="B18" s="70" t="inlineStr">
        <is>
          <t>Account Operators</t>
        </is>
      </c>
      <c r="C18" s="70" t="inlineStr">
        <is>
          <t>AD</t>
        </is>
      </c>
      <c r="D18" s="71" t="inlineStr">
        <is>
          <t>Can modify most accounts, including creating new privileged ones.</t>
        </is>
      </c>
    </row>
    <row r="19" ht="15" customHeight="1" s="39">
      <c r="A19" s="69" t="n">
        <v>0</v>
      </c>
      <c r="B19" s="70" t="inlineStr">
        <is>
          <t>Backup Operators</t>
        </is>
      </c>
      <c r="C19" s="70" t="inlineStr">
        <is>
          <t>AD</t>
        </is>
      </c>
      <c r="D19" s="71" t="inlineStr">
        <is>
          <t>Can back up and restore any file including the AD database, yielding every credential.</t>
        </is>
      </c>
    </row>
    <row r="20" ht="15" customHeight="1" s="39">
      <c r="A20" s="69" t="n">
        <v>0</v>
      </c>
      <c r="B20" s="70" t="inlineStr">
        <is>
          <t>Server Operators</t>
        </is>
      </c>
      <c r="C20" s="70" t="inlineStr">
        <is>
          <t>AD</t>
        </is>
      </c>
      <c r="D20" s="71" t="inlineStr">
        <is>
          <t>Can manage services on domain controllers, escalating to SYSTEM.</t>
        </is>
      </c>
    </row>
    <row r="21" ht="15" customHeight="1" s="39">
      <c r="A21" s="69" t="n">
        <v>0</v>
      </c>
      <c r="B21" s="70" t="inlineStr">
        <is>
          <t>Print Operators</t>
        </is>
      </c>
      <c r="C21" s="70" t="inlineStr">
        <is>
          <t>AD</t>
        </is>
      </c>
      <c r="D21" s="71" t="inlineStr">
        <is>
          <t>Can load drivers on domain controllers - a known escalation path.</t>
        </is>
      </c>
    </row>
    <row r="22" ht="15" customHeight="1" s="39">
      <c r="A22" s="69" t="n">
        <v>0</v>
      </c>
      <c r="B22" s="70" t="inlineStr">
        <is>
          <t>DnsAdmins</t>
        </is>
      </c>
      <c r="C22" s="70" t="inlineStr">
        <is>
          <t>AD</t>
        </is>
      </c>
      <c r="D22" s="71" t="inlineStr">
        <is>
          <t>Can load an arbitrary DLL into a service running as SYSTEM on a domain controller.</t>
        </is>
      </c>
    </row>
    <row r="23" ht="15" customHeight="1" s="39">
      <c r="A23" s="69" t="n">
        <v>0</v>
      </c>
      <c r="B23" s="70" t="inlineStr">
        <is>
          <t>Key Admins / Enterprise Key Admins</t>
        </is>
      </c>
      <c r="C23" s="70" t="inlineStr">
        <is>
          <t>AD</t>
        </is>
      </c>
      <c r="D23" s="71" t="inlineStr">
        <is>
          <t>Can manipulate key credentials to impersonate accounts.</t>
        </is>
      </c>
    </row>
    <row r="24" ht="15" customHeight="1" s="39">
      <c r="A24" s="72" t="n">
        <v>1</v>
      </c>
      <c r="B24" s="70" t="inlineStr">
        <is>
          <t>Security Administrator</t>
        </is>
      </c>
      <c r="C24" s="70" t="inlineStr">
        <is>
          <t>Entra</t>
        </is>
      </c>
      <c r="D24" s="71" t="inlineStr">
        <is>
          <t>Broad security configuration control, but cannot directly grant itself more.</t>
        </is>
      </c>
    </row>
    <row r="25" ht="15" customHeight="1" s="39">
      <c r="A25" s="72" t="n">
        <v>1</v>
      </c>
      <c r="B25" s="70" t="inlineStr">
        <is>
          <t>Conditional Access Administrator</t>
        </is>
      </c>
      <c r="C25" s="70" t="inlineStr">
        <is>
          <t>Entra</t>
        </is>
      </c>
      <c r="D25" s="71" t="inlineStr">
        <is>
          <t>Can weaken or bypass access controls tenant-wide.</t>
        </is>
      </c>
    </row>
    <row r="26" ht="15" customHeight="1" s="39">
      <c r="A26" s="72" t="n">
        <v>1</v>
      </c>
      <c r="B26" s="70" t="inlineStr">
        <is>
          <t>User Administrator</t>
        </is>
      </c>
      <c r="C26" s="70" t="inlineStr">
        <is>
          <t>Entra</t>
        </is>
      </c>
      <c r="D26" s="71" t="inlineStr">
        <is>
          <t>Can manage non-admin users and reset their credentials.</t>
        </is>
      </c>
    </row>
    <row r="27" ht="15" customHeight="1" s="39">
      <c r="A27" s="72" t="n">
        <v>1</v>
      </c>
      <c r="B27" s="70" t="inlineStr">
        <is>
          <t>Exchange / SharePoint / Teams / Intune Administrator</t>
        </is>
      </c>
      <c r="C27" s="70" t="inlineStr">
        <is>
          <t>Entra</t>
        </is>
      </c>
      <c r="D27" s="71" t="inlineStr">
        <is>
          <t>Full control of one major workload and its data.</t>
        </is>
      </c>
    </row>
    <row r="28" ht="15" customHeight="1" s="39">
      <c r="A28" s="72" t="n">
        <v>1</v>
      </c>
      <c r="B28" s="70" t="inlineStr">
        <is>
          <t>Contributor</t>
        </is>
      </c>
      <c r="C28" s="70" t="inlineStr">
        <is>
          <t>Azure RBAC</t>
        </is>
      </c>
      <c r="D28" s="71" t="inlineStr">
        <is>
          <t>Full resource control at the scope, but cannot grant access.</t>
        </is>
      </c>
    </row>
    <row r="29" ht="15" customHeight="1" s="39">
      <c r="A29" s="72" t="n">
        <v>1</v>
      </c>
      <c r="B29" s="70" t="inlineStr">
        <is>
          <t>Key Vault Administrator / Secrets Officer</t>
        </is>
      </c>
      <c r="C29" s="70" t="inlineStr">
        <is>
          <t>Azure RBAC</t>
        </is>
      </c>
      <c r="D29" s="71" t="inlineStr">
        <is>
          <t>Access to stored secrets and certificates.</t>
        </is>
      </c>
    </row>
    <row r="30" ht="15" customHeight="1" s="39">
      <c r="A30" s="72" t="n">
        <v>1</v>
      </c>
      <c r="B30" s="70" t="inlineStr">
        <is>
          <t>Group Policy Creator Owners</t>
        </is>
      </c>
      <c r="C30" s="70" t="inlineStr">
        <is>
          <t>AD</t>
        </is>
      </c>
      <c r="D30" s="71" t="inlineStr">
        <is>
          <t>Can create GPOs; escalation depends on where they may be linked.</t>
        </is>
      </c>
    </row>
    <row r="31" ht="15" customHeight="1" s="39">
      <c r="A31" s="72" t="n">
        <v>1</v>
      </c>
      <c r="B31" s="70" t="inlineStr">
        <is>
          <t>Cert Publishers</t>
        </is>
      </c>
      <c r="C31" s="70" t="inlineStr">
        <is>
          <t>AD</t>
        </is>
      </c>
      <c r="D31" s="71" t="inlineStr">
        <is>
          <t>Certificate issuance, which can enable impersonation depending on templates.</t>
        </is>
      </c>
    </row>
    <row r="32" ht="15" customHeight="1" s="39">
      <c r="A32" s="73" t="n">
        <v>2</v>
      </c>
      <c r="B32" s="70" t="inlineStr">
        <is>
          <t>Reader and equivalent read-only roles</t>
        </is>
      </c>
      <c r="C32" s="70" t="inlineStr">
        <is>
          <t>All</t>
        </is>
      </c>
      <c r="D32" s="71" t="inlineStr">
        <is>
          <t>Visibility without change. Still worth inventorying - reconnaissance value.</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80808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38" min="1" max="4"/>
  </cols>
  <sheetData>
    <row r="1" ht="15" customHeight="1" s="39">
      <c r="A1" s="74" t="inlineStr">
        <is>
          <t>Yes / No</t>
        </is>
      </c>
      <c r="B1" s="74" t="inlineStr">
        <is>
          <t>Review Decision</t>
        </is>
      </c>
      <c r="C1" s="74" t="inlineStr">
        <is>
          <t>Access Type</t>
        </is>
      </c>
      <c r="D1" s="74" t="inlineStr">
        <is>
          <t>Decided By</t>
        </is>
      </c>
      <c r="E1" s="38" t="inlineStr">
        <is>
          <t>Access Status (computed - reference only)</t>
        </is>
      </c>
      <c r="F1" s="38" t="inlineStr">
        <is>
          <t>Review Status (computed - reference only)</t>
        </is>
      </c>
      <c r="G1" s="38" t="inlineStr">
        <is>
          <t>Auto-Removal Risk (computed - reference only)</t>
        </is>
      </c>
    </row>
    <row r="2" ht="15" customHeight="1" s="39">
      <c r="A2" s="47" t="inlineStr">
        <is>
          <t>Yes</t>
        </is>
      </c>
      <c r="B2" s="47" t="inlineStr">
        <is>
          <t>Self-Approved</t>
        </is>
      </c>
      <c r="C2" s="47" t="inlineStr">
        <is>
          <t>Permanent (BAU duty)</t>
        </is>
      </c>
      <c r="D2" s="47" t="inlineStr">
        <is>
          <t>Self</t>
        </is>
      </c>
      <c r="E2" s="38" t="inlineStr">
        <is>
          <t>Active</t>
        </is>
      </c>
      <c r="F2" s="38" t="inlineStr">
        <is>
          <t>Current</t>
        </is>
      </c>
      <c r="G2" s="38" t="inlineStr">
        <is>
          <t>Not At Risk</t>
        </is>
      </c>
    </row>
    <row r="3" ht="15" customHeight="1" s="39">
      <c r="A3" s="47" t="inlineStr">
        <is>
          <t>No</t>
        </is>
      </c>
      <c r="B3" s="47" t="inlineStr">
        <is>
          <t>Self-Removed</t>
        </is>
      </c>
      <c r="C3" s="47" t="inlineStr">
        <is>
          <t>Project - time limited</t>
        </is>
      </c>
      <c r="D3" s="47" t="inlineStr">
        <is>
          <t>Auto (No Response)</t>
        </is>
      </c>
      <c r="E3" s="38" t="inlineStr">
        <is>
          <t>Review Due Soon</t>
        </is>
      </c>
      <c r="F3" s="38" t="inlineStr">
        <is>
          <t>Due Soon</t>
        </is>
      </c>
      <c r="G3" s="38" t="inlineStr">
        <is>
          <t>At Risk</t>
        </is>
      </c>
    </row>
    <row r="4" ht="15" customHeight="1" s="39">
      <c r="A4" s="47" t="inlineStr">
        <is>
          <t>Unknown</t>
        </is>
      </c>
      <c r="B4" s="47" t="inlineStr">
        <is>
          <t>Auto-Removed (No Response)</t>
        </is>
      </c>
      <c r="C4" s="47" t="inlineStr">
        <is>
          <t>On-call / rotational</t>
        </is>
      </c>
      <c r="D4" s="47" t="inlineStr">
        <is>
          <t>Escalation Reviewer (Tier 0)</t>
        </is>
      </c>
      <c r="E4" s="38" t="inlineStr">
        <is>
          <t>Review Overdue</t>
        </is>
      </c>
      <c r="F4" s="38" t="inlineStr">
        <is>
          <t>OVERDUE</t>
        </is>
      </c>
    </row>
    <row r="5" ht="15" customHeight="1" s="39">
      <c r="A5" s="47" t="inlineStr">
        <is>
          <t>N/A</t>
        </is>
      </c>
      <c r="B5" s="47" t="inlineStr">
        <is>
          <t>Escalated - Approved</t>
        </is>
      </c>
      <c r="C5" s="47" t="inlineStr">
        <is>
          <t>Break-glass</t>
        </is>
      </c>
      <c r="D5" s="47" t="inlineStr">
        <is>
          <t>Security Team (Override)</t>
        </is>
      </c>
      <c r="E5" s="38" t="inlineStr">
        <is>
          <t>Not Enrolled</t>
        </is>
      </c>
      <c r="F5" s="38" t="inlineStr">
        <is>
          <t>NOT REVIEWED</t>
        </is>
      </c>
    </row>
    <row r="6" ht="15" customHeight="1" s="39">
      <c r="B6" s="47" t="inlineStr">
        <is>
          <t>Escalated - Denied</t>
        </is>
      </c>
      <c r="C6" s="47" t="inlineStr">
        <is>
          <t>Vendor / third party</t>
        </is>
      </c>
      <c r="D6" s="47" t="inlineStr">
        <is>
          <t>NOT YET REVIEWED</t>
        </is>
      </c>
    </row>
    <row r="7" ht="15" customHeight="1" s="39">
      <c r="B7" s="47" t="inlineStr">
        <is>
          <t>Pending Review</t>
        </is>
      </c>
      <c r="C7" s="47" t="inlineStr">
        <is>
          <t>Unknown</t>
        </is>
      </c>
      <c r="D7" s="47" t="inlineStr">
        <is>
          <t>N/A</t>
        </is>
      </c>
    </row>
    <row r="8" ht="15" customHeight="1" s="39">
      <c r="B8" s="47" t="inlineStr">
        <is>
          <t>Manual Override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2026-08-14T03:57:55Z</dcterms:created>
  <dcterms:modified xsi:type="dcterms:W3CDTF">2026-08-31T05:59:51Z</dcterms:modified>
  <cp:revision>0</cp:revision>
</cp:coreProperties>
</file>